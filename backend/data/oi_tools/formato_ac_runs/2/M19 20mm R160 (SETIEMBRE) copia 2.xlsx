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Override PartName="/xl/drawings/drawing1.xml" ContentType="application/vnd.openxmlformats-officedocument.drawing+xml"/>
  <ns0:Override PartName="/xl/media/image1.png" ContentType="image/png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RROR FINAL" sheetId="1" state="visible" r:id="rId1"/>
  </sheets>
  <definedNames>
    <definedName name="_xlnm._FilterDatabase" localSheetId="0" hidden="1">'ERROR FINAL'!$A$8:$CQ$8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0000"/>
    <numFmt numFmtId="165" formatCode="0.0"/>
    <numFmt numFmtId="166" formatCode="_ * #,##0.00_ ;_ * \-#,##0.00_ ;_ * &quot;-&quot;??_ ;_ @_ "/>
    <numFmt numFmtId="167" formatCode="yyyy\-mm\-dd"/>
    <numFmt numFmtId="168" formatCode="#,##0.0"/>
    <numFmt numFmtId="169" formatCode="#,##0.000"/>
    <numFmt numFmtId="170" formatCode="h:mm:ss;@"/>
  </numFmts>
  <fonts count="37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1"/>
      <sz val="10"/>
    </font>
    <font>
      <name val="Calibri"/>
      <family val="2"/>
      <color theme="1"/>
      <sz val="18"/>
      <scheme val="minor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color theme="1"/>
      <sz val="11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color rgb="FFFF0000"/>
      <sz val="10"/>
    </font>
    <font>
      <name val="Calibri"/>
      <family val="2"/>
      <color rgb="FF000000"/>
      <sz val="11"/>
    </font>
    <font>
      <name val="Arial"/>
      <family val="2"/>
      <color rgb="FF000000"/>
      <sz val="10"/>
    </font>
    <font>
      <name val="Arial"/>
      <family val="2"/>
      <color theme="3"/>
      <sz val="10"/>
    </font>
  </fonts>
  <fills count="16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9FFCC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45">
    <xf numFmtId="0" fontId="0" fillId="0" borderId="0"/>
    <xf numFmtId="0" fontId="29" fillId="0" borderId="0"/>
    <xf numFmtId="0" fontId="14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6" fontId="29" fillId="0" borderId="0"/>
    <xf numFmtId="0" fontId="14" fillId="0" borderId="0"/>
    <xf numFmtId="0" fontId="14" fillId="0" borderId="0"/>
    <xf numFmtId="166" fontId="29" fillId="0" borderId="0"/>
    <xf numFmtId="0" fontId="14" fillId="0" borderId="0"/>
    <xf numFmtId="0" fontId="14" fillId="0" borderId="0"/>
    <xf numFmtId="166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243">
    <xf numFmtId="0" fontId="0" fillId="0" borderId="0" pivotButton="0" quotePrefix="0" xfId="0"/>
    <xf numFmtId="0" fontId="14" fillId="0" borderId="0" pivotButton="0" quotePrefix="0" xfId="2"/>
    <xf numFmtId="0" fontId="15" fillId="0" borderId="0" applyAlignment="1" pivotButton="0" quotePrefix="0" xfId="2">
      <alignment horizontal="left" vertical="center"/>
    </xf>
    <xf numFmtId="0" fontId="15" fillId="0" borderId="0" applyAlignment="1" pivotButton="0" quotePrefix="0" xfId="2">
      <alignment shrinkToFit="1"/>
    </xf>
    <xf numFmtId="0" fontId="16" fillId="0" borderId="0" applyAlignment="1" pivotButton="0" quotePrefix="0" xfId="2">
      <alignment textRotation="90" shrinkToFit="1"/>
    </xf>
    <xf numFmtId="0" fontId="15" fillId="0" borderId="0" applyAlignment="1" pivotButton="0" quotePrefix="0" xfId="4">
      <alignment horizontal="center" shrinkToFit="1"/>
    </xf>
    <xf numFmtId="0" fontId="17" fillId="0" borderId="0" applyAlignment="1" pivotButton="0" quotePrefix="0" xfId="4">
      <alignment shrinkToFit="1"/>
    </xf>
    <xf numFmtId="164" fontId="16" fillId="3" borderId="34" applyAlignment="1" pivotButton="0" quotePrefix="0" xfId="4">
      <alignment horizontal="center" vertical="center" textRotation="90" shrinkToFit="1"/>
    </xf>
    <xf numFmtId="164" fontId="16" fillId="3" borderId="31" applyAlignment="1" pivotButton="0" quotePrefix="0" xfId="4">
      <alignment horizontal="center" vertical="center" shrinkToFit="1"/>
    </xf>
    <xf numFmtId="0" fontId="15" fillId="0" borderId="0" applyAlignment="1" pivotButton="0" quotePrefix="0" xfId="2">
      <alignment horizontal="center" shrinkToFit="1"/>
    </xf>
    <xf numFmtId="1" fontId="15" fillId="0" borderId="0" applyAlignment="1" pivotButton="0" quotePrefix="0" xfId="2">
      <alignment vertical="center" shrinkToFit="1"/>
    </xf>
    <xf numFmtId="1" fontId="15" fillId="0" borderId="0" applyAlignment="1" pivotButton="0" quotePrefix="0" xfId="2">
      <alignment shrinkToFit="1"/>
    </xf>
    <xf numFmtId="164" fontId="15" fillId="0" borderId="0" applyAlignment="1" pivotButton="0" quotePrefix="0" xfId="2">
      <alignment shrinkToFit="1"/>
    </xf>
    <xf numFmtId="4" fontId="15" fillId="0" borderId="0" applyAlignment="1" pivotButton="0" quotePrefix="0" xfId="2">
      <alignment shrinkToFit="1"/>
    </xf>
    <xf numFmtId="2" fontId="15" fillId="0" borderId="0" applyAlignment="1" pivotButton="0" quotePrefix="0" xfId="2">
      <alignment shrinkToFit="1"/>
    </xf>
    <xf numFmtId="0" fontId="17" fillId="0" borderId="0" applyAlignment="1" pivotButton="0" quotePrefix="0" xfId="2">
      <alignment shrinkToFit="1"/>
    </xf>
    <xf numFmtId="0" fontId="15" fillId="0" borderId="0" applyAlignment="1" pivotButton="0" quotePrefix="0" xfId="4">
      <alignment shrinkToFit="1"/>
    </xf>
    <xf numFmtId="0" fontId="13" fillId="0" borderId="0" applyAlignment="1" pivotButton="0" quotePrefix="0" xfId="4">
      <alignment horizontal="center"/>
    </xf>
    <xf numFmtId="0" fontId="14" fillId="0" borderId="0" applyAlignment="1" pivotButton="0" quotePrefix="0" xfId="2">
      <alignment horizontal="center"/>
    </xf>
    <xf numFmtId="165" fontId="15" fillId="0" borderId="0" applyAlignment="1" pivotButton="0" quotePrefix="0" xfId="2">
      <alignment horizontal="center" shrinkToFit="1"/>
    </xf>
    <xf numFmtId="4" fontId="15" fillId="0" borderId="0" applyAlignment="1" pivotButton="0" quotePrefix="0" xfId="2">
      <alignment horizontal="center" shrinkToFit="1"/>
    </xf>
    <xf numFmtId="0" fontId="26" fillId="0" borderId="17" applyAlignment="1" pivotButton="0" quotePrefix="0" xfId="0">
      <alignment horizontal="center"/>
    </xf>
    <xf numFmtId="0" fontId="26" fillId="0" borderId="20" applyAlignment="1" pivotButton="0" quotePrefix="0" xfId="0">
      <alignment horizontal="center"/>
    </xf>
    <xf numFmtId="164" fontId="16" fillId="6" borderId="31" applyAlignment="1" pivotButton="0" quotePrefix="0" xfId="4">
      <alignment horizontal="center" vertical="center" shrinkToFit="1"/>
    </xf>
    <xf numFmtId="164" fontId="16" fillId="3" borderId="41" applyAlignment="1" pivotButton="0" quotePrefix="0" xfId="4">
      <alignment horizontal="center" vertical="center" textRotation="90" shrinkToFit="1"/>
    </xf>
    <xf numFmtId="164" fontId="16" fillId="6" borderId="35" applyAlignment="1" pivotButton="0" quotePrefix="0" xfId="4">
      <alignment horizontal="center" vertical="center" shrinkToFit="1"/>
    </xf>
    <xf numFmtId="164" fontId="16" fillId="3" borderId="41" applyAlignment="1" pivotButton="0" quotePrefix="0" xfId="4">
      <alignment vertical="center" textRotation="90" shrinkToFit="1"/>
    </xf>
    <xf numFmtId="164" fontId="16" fillId="3" borderId="35" applyAlignment="1" pivotButton="0" quotePrefix="0" xfId="4">
      <alignment vertical="center" textRotation="90" shrinkToFit="1"/>
    </xf>
    <xf numFmtId="0" fontId="23" fillId="0" borderId="0" applyAlignment="1" pivotButton="0" quotePrefix="0" xfId="7">
      <alignment horizontal="center" vertical="center" wrapText="1"/>
    </xf>
    <xf numFmtId="164" fontId="16" fillId="2" borderId="0" applyAlignment="1" pivotButton="0" quotePrefix="0" xfId="4">
      <alignment horizontal="center" vertical="center" wrapText="1" shrinkToFit="1"/>
    </xf>
    <xf numFmtId="164" fontId="16" fillId="3" borderId="31" applyAlignment="1" pivotButton="0" quotePrefix="0" xfId="4">
      <alignment horizontal="center" vertical="center" textRotation="90" shrinkToFit="1"/>
    </xf>
    <xf numFmtId="0" fontId="13" fillId="0" borderId="17" applyAlignment="1" pivotButton="0" quotePrefix="0" xfId="4">
      <alignment vertical="center"/>
    </xf>
    <xf numFmtId="0" fontId="13" fillId="0" borderId="10" applyAlignment="1" pivotButton="0" quotePrefix="0" xfId="4">
      <alignment vertical="center"/>
    </xf>
    <xf numFmtId="0" fontId="13" fillId="0" borderId="18" applyAlignment="1" pivotButton="0" quotePrefix="0" xfId="4">
      <alignment vertical="center"/>
    </xf>
    <xf numFmtId="0" fontId="13" fillId="0" borderId="20" applyAlignment="1" pivotButton="0" quotePrefix="0" xfId="4">
      <alignment vertical="center"/>
    </xf>
    <xf numFmtId="0" fontId="13" fillId="0" borderId="0" applyAlignment="1" pivotButton="0" quotePrefix="0" xfId="4">
      <alignment vertical="center"/>
    </xf>
    <xf numFmtId="0" fontId="13" fillId="0" borderId="19" applyAlignment="1" pivotButton="0" quotePrefix="0" xfId="4">
      <alignment vertical="center"/>
    </xf>
    <xf numFmtId="0" fontId="13" fillId="0" borderId="21" applyAlignment="1" pivotButton="0" quotePrefix="0" xfId="4">
      <alignment vertical="center"/>
    </xf>
    <xf numFmtId="0" fontId="13" fillId="0" borderId="16" applyAlignment="1" pivotButton="0" quotePrefix="0" xfId="4">
      <alignment vertical="center"/>
    </xf>
    <xf numFmtId="0" fontId="13" fillId="0" borderId="22" applyAlignment="1" pivotButton="0" quotePrefix="0" xfId="4">
      <alignment vertical="center"/>
    </xf>
    <xf numFmtId="164" fontId="16" fillId="8" borderId="23" applyAlignment="1" pivotButton="0" quotePrefix="0" xfId="4">
      <alignment horizontal="center" vertical="center" shrinkToFit="1"/>
    </xf>
    <xf numFmtId="0" fontId="16" fillId="8" borderId="23" applyAlignment="1" pivotButton="0" quotePrefix="0" xfId="4">
      <alignment horizontal="center" shrinkToFit="1"/>
    </xf>
    <xf numFmtId="0" fontId="13" fillId="0" borderId="0" pivotButton="0" quotePrefix="0" xfId="4"/>
    <xf numFmtId="0" fontId="12" fillId="0" borderId="0" applyAlignment="1" pivotButton="0" quotePrefix="0" xfId="4">
      <alignment horizontal="center"/>
    </xf>
    <xf numFmtId="0" fontId="24" fillId="0" borderId="0" applyAlignment="1" pivotButton="0" quotePrefix="0" xfId="0">
      <alignment horizontal="center" vertical="top" wrapText="1"/>
    </xf>
    <xf numFmtId="0" fontId="23" fillId="0" borderId="0" applyAlignment="1" pivotButton="0" quotePrefix="0" xfId="7">
      <alignment vertical="center" wrapText="1"/>
    </xf>
    <xf numFmtId="0" fontId="24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vertical="center" wrapText="1"/>
    </xf>
    <xf numFmtId="0" fontId="25" fillId="0" borderId="0" applyAlignment="1" pivotButton="0" quotePrefix="0" xfId="4">
      <alignment shrinkToFit="1"/>
    </xf>
    <xf numFmtId="0" fontId="27" fillId="7" borderId="15" applyAlignment="1" pivotButton="0" quotePrefix="0" xfId="0">
      <alignment horizontal="center" vertical="center"/>
    </xf>
    <xf numFmtId="0" fontId="13" fillId="0" borderId="37" applyAlignment="1" pivotButton="0" quotePrefix="0" xfId="4">
      <alignment horizontal="center"/>
    </xf>
    <xf numFmtId="0" fontId="13" fillId="0" borderId="38" applyAlignment="1" pivotButton="0" quotePrefix="0" xfId="4">
      <alignment horizontal="center"/>
    </xf>
    <xf numFmtId="165" fontId="13" fillId="0" borderId="38" applyAlignment="1" pivotButton="0" quotePrefix="0" xfId="4">
      <alignment horizontal="center"/>
    </xf>
    <xf numFmtId="0" fontId="26" fillId="0" borderId="20" applyAlignment="1" pivotButton="0" quotePrefix="0" xfId="2">
      <alignment horizontal="center" shrinkToFit="1"/>
    </xf>
    <xf numFmtId="0" fontId="26" fillId="0" borderId="21" applyAlignment="1" pivotButton="0" quotePrefix="0" xfId="2">
      <alignment horizontal="center" shrinkToFit="1"/>
    </xf>
    <xf numFmtId="0" fontId="13" fillId="0" borderId="36" applyAlignment="1" pivotButton="0" quotePrefix="0" xfId="4">
      <alignment horizontal="center"/>
    </xf>
    <xf numFmtId="0" fontId="31" fillId="0" borderId="0" applyAlignment="1" pivotButton="0" quotePrefix="0" xfId="2">
      <alignment horizontal="left" vertical="center"/>
    </xf>
    <xf numFmtId="0" fontId="15" fillId="0" borderId="19" applyAlignment="1" pivotButton="0" quotePrefix="0" xfId="2">
      <alignment horizontal="left" vertical="center"/>
    </xf>
    <xf numFmtId="0" fontId="15" fillId="0" borderId="16" applyAlignment="1" pivotButton="0" quotePrefix="0" xfId="2">
      <alignment horizontal="left" vertical="center"/>
    </xf>
    <xf numFmtId="0" fontId="15" fillId="0" borderId="22" applyAlignment="1" pivotButton="0" quotePrefix="0" xfId="2">
      <alignment horizontal="left" vertical="center"/>
    </xf>
    <xf numFmtId="0" fontId="15" fillId="0" borderId="0" applyAlignment="1" pivotButton="0" quotePrefix="0" xfId="4">
      <alignment horizontal="center" vertical="center" shrinkToFit="1"/>
    </xf>
    <xf numFmtId="0" fontId="15" fillId="0" borderId="0" applyAlignment="1" pivotButton="0" quotePrefix="0" xfId="4">
      <alignment horizontal="center" vertical="center" wrapText="1" shrinkToFit="1"/>
    </xf>
    <xf numFmtId="4" fontId="26" fillId="0" borderId="13" applyAlignment="1" pivotButton="0" quotePrefix="0" xfId="4">
      <alignment horizontal="center" vertical="center" shrinkToFit="1"/>
    </xf>
    <xf numFmtId="4" fontId="26" fillId="0" borderId="9" applyAlignment="1" pivotButton="0" quotePrefix="0" xfId="4">
      <alignment horizontal="center" vertical="center" shrinkToFit="1"/>
    </xf>
    <xf numFmtId="4" fontId="26" fillId="0" borderId="14" applyAlignment="1" pivotButton="0" quotePrefix="0" xfId="4">
      <alignment horizontal="center" vertical="center" shrinkToFit="1"/>
    </xf>
    <xf numFmtId="0" fontId="16" fillId="6" borderId="15" applyAlignment="1" pivotButton="0" quotePrefix="0" xfId="4">
      <alignment horizontal="left" vertical="center"/>
    </xf>
    <xf numFmtId="165" fontId="26" fillId="0" borderId="15" applyAlignment="1" pivotButton="0" quotePrefix="0" xfId="4">
      <alignment horizontal="left" vertical="center"/>
    </xf>
    <xf numFmtId="0" fontId="16" fillId="6" borderId="13" applyAlignment="1" pivotButton="0" quotePrefix="0" xfId="4">
      <alignment horizontal="left" vertical="center"/>
    </xf>
    <xf numFmtId="0" fontId="16" fillId="6" borderId="9" applyAlignment="1" pivotButton="0" quotePrefix="0" xfId="4">
      <alignment horizontal="left" vertical="center"/>
    </xf>
    <xf numFmtId="0" fontId="16" fillId="6" borderId="14" applyAlignment="1" pivotButton="0" quotePrefix="0" xfId="4">
      <alignment horizontal="left" vertical="center"/>
    </xf>
    <xf numFmtId="0" fontId="26" fillId="0" borderId="36" applyAlignment="1" pivotButton="0" quotePrefix="0" xfId="4">
      <alignment horizontal="left" vertical="center"/>
    </xf>
    <xf numFmtId="4" fontId="16" fillId="6" borderId="21" applyAlignment="1" pivotButton="0" quotePrefix="0" xfId="4">
      <alignment horizontal="left" vertical="center" shrinkToFit="1"/>
    </xf>
    <xf numFmtId="4" fontId="16" fillId="6" borderId="16" applyAlignment="1" pivotButton="0" quotePrefix="0" xfId="4">
      <alignment horizontal="left" vertical="center" shrinkToFit="1"/>
    </xf>
    <xf numFmtId="4" fontId="16" fillId="6" borderId="22" applyAlignment="1" pivotButton="0" quotePrefix="0" xfId="4">
      <alignment horizontal="left" vertical="center" shrinkToFit="1"/>
    </xf>
    <xf numFmtId="0" fontId="16" fillId="0" borderId="9" applyAlignment="1" pivotButton="0" quotePrefix="0" xfId="201">
      <alignment horizontal="left" vertical="center"/>
    </xf>
    <xf numFmtId="0" fontId="16" fillId="0" borderId="14" applyAlignment="1" pivotButton="0" quotePrefix="0" xfId="201">
      <alignment horizontal="left" vertical="center"/>
    </xf>
    <xf numFmtId="0" fontId="15" fillId="0" borderId="45" applyAlignment="1" pivotButton="0" quotePrefix="0" xfId="2">
      <alignment horizontal="center" shrinkToFit="1"/>
    </xf>
    <xf numFmtId="0" fontId="15" fillId="0" borderId="46" applyAlignment="1" pivotButton="0" quotePrefix="0" xfId="2">
      <alignment horizontal="center" shrinkToFit="1"/>
    </xf>
    <xf numFmtId="0" fontId="15" fillId="0" borderId="2" applyAlignment="1" pivotButton="0" quotePrefix="0" xfId="2">
      <alignment horizontal="center" shrinkToFit="1"/>
    </xf>
    <xf numFmtId="0" fontId="30" fillId="0" borderId="17" applyAlignment="1" pivotButton="0" quotePrefix="0" xfId="4">
      <alignment horizontal="center" vertical="center" wrapText="1"/>
    </xf>
    <xf numFmtId="0" fontId="30" fillId="0" borderId="10" applyAlignment="1" pivotButton="0" quotePrefix="0" xfId="4">
      <alignment horizontal="center" vertical="center" wrapText="1"/>
    </xf>
    <xf numFmtId="0" fontId="30" fillId="0" borderId="18" applyAlignment="1" pivotButton="0" quotePrefix="0" xfId="4">
      <alignment horizontal="center" vertical="center" wrapText="1"/>
    </xf>
    <xf numFmtId="0" fontId="20" fillId="0" borderId="13" applyAlignment="1" pivotButton="0" quotePrefix="0" xfId="4">
      <alignment horizontal="center" vertical="center" wrapText="1"/>
    </xf>
    <xf numFmtId="0" fontId="20" fillId="0" borderId="9" applyAlignment="1" pivotButton="0" quotePrefix="0" xfId="4">
      <alignment horizontal="center" vertical="center" wrapText="1"/>
    </xf>
    <xf numFmtId="0" fontId="20" fillId="0" borderId="14" applyAlignment="1" pivotButton="0" quotePrefix="0" xfId="4">
      <alignment horizontal="center" vertical="center" wrapText="1"/>
    </xf>
    <xf numFmtId="0" fontId="21" fillId="0" borderId="17" applyAlignment="1" pivotButton="0" quotePrefix="0" xfId="4">
      <alignment horizontal="center" vertical="center" wrapText="1"/>
    </xf>
    <xf numFmtId="0" fontId="21" fillId="0" borderId="10" applyAlignment="1" pivotButton="0" quotePrefix="0" xfId="4">
      <alignment horizontal="center" vertical="center" wrapText="1"/>
    </xf>
    <xf numFmtId="0" fontId="21" fillId="0" borderId="18" applyAlignment="1" pivotButton="0" quotePrefix="0" xfId="4">
      <alignment horizontal="center" vertical="center" wrapText="1"/>
    </xf>
    <xf numFmtId="0" fontId="21" fillId="0" borderId="21" applyAlignment="1" pivotButton="0" quotePrefix="0" xfId="4">
      <alignment horizontal="center" vertical="center" wrapText="1"/>
    </xf>
    <xf numFmtId="0" fontId="21" fillId="0" borderId="16" applyAlignment="1" pivotButton="0" quotePrefix="0" xfId="4">
      <alignment horizontal="center" vertical="center" wrapText="1"/>
    </xf>
    <xf numFmtId="0" fontId="21" fillId="0" borderId="22" applyAlignment="1" pivotButton="0" quotePrefix="0" xfId="4">
      <alignment horizontal="center" vertical="center" wrapText="1"/>
    </xf>
    <xf numFmtId="4" fontId="16" fillId="6" borderId="36" applyAlignment="1" pivotButton="0" quotePrefix="0" xfId="4">
      <alignment horizontal="center" vertical="center" shrinkToFit="1"/>
    </xf>
    <xf numFmtId="4" fontId="16" fillId="6" borderId="13" applyAlignment="1" pivotButton="0" quotePrefix="0" xfId="4">
      <alignment horizontal="center" vertical="center" shrinkToFit="1"/>
    </xf>
    <xf numFmtId="4" fontId="16" fillId="6" borderId="9" applyAlignment="1" pivotButton="0" quotePrefix="0" xfId="4">
      <alignment horizontal="center" vertical="center" shrinkToFit="1"/>
    </xf>
    <xf numFmtId="4" fontId="16" fillId="6" borderId="14" applyAlignment="1" pivotButton="0" quotePrefix="0" xfId="4">
      <alignment horizontal="center" vertical="center" shrinkToFit="1"/>
    </xf>
    <xf numFmtId="1" fontId="16" fillId="5" borderId="39" applyAlignment="1" pivotButton="0" quotePrefix="0" xfId="4">
      <alignment horizontal="center" vertical="center" textRotation="90" shrinkToFit="1"/>
    </xf>
    <xf numFmtId="1" fontId="16" fillId="5" borderId="5" applyAlignment="1" pivotButton="0" quotePrefix="0" xfId="4">
      <alignment horizontal="center" vertical="center" textRotation="90" shrinkToFit="1"/>
    </xf>
    <xf numFmtId="1" fontId="16" fillId="5" borderId="30" applyAlignment="1" pivotButton="0" quotePrefix="0" xfId="4">
      <alignment horizontal="center" vertical="center" textRotation="90" shrinkToFit="1"/>
    </xf>
    <xf numFmtId="164" fontId="16" fillId="3" borderId="8" applyAlignment="1" pivotButton="0" quotePrefix="0" xfId="4">
      <alignment horizontal="center" vertical="center" textRotation="90" shrinkToFit="1"/>
    </xf>
    <xf numFmtId="164" fontId="16" fillId="3" borderId="4" applyAlignment="1" pivotButton="0" quotePrefix="0" xfId="4">
      <alignment horizontal="center" vertical="center" textRotation="90" shrinkToFit="1"/>
    </xf>
    <xf numFmtId="164" fontId="16" fillId="3" borderId="35" applyAlignment="1" pivotButton="0" quotePrefix="0" xfId="4">
      <alignment horizontal="center" vertical="center" textRotation="90" shrinkToFit="1"/>
    </xf>
    <xf numFmtId="164" fontId="16" fillId="6" borderId="33" applyAlignment="1" pivotButton="0" quotePrefix="0" xfId="4">
      <alignment horizontal="center" vertical="center" textRotation="1" shrinkToFit="1"/>
    </xf>
    <xf numFmtId="164" fontId="16" fillId="6" borderId="40" applyAlignment="1" pivotButton="0" quotePrefix="0" xfId="4">
      <alignment horizontal="center" vertical="center" textRotation="1" shrinkToFit="1"/>
    </xf>
    <xf numFmtId="164" fontId="16" fillId="6" borderId="34" applyAlignment="1" pivotButton="0" quotePrefix="0" xfId="4">
      <alignment horizontal="center" vertical="center" textRotation="1" shrinkToFit="1"/>
    </xf>
    <xf numFmtId="164" fontId="16" fillId="3" borderId="6" applyAlignment="1" pivotButton="0" quotePrefix="0" xfId="4">
      <alignment horizontal="center" vertical="center" textRotation="90" shrinkToFit="1"/>
    </xf>
    <xf numFmtId="164" fontId="16" fillId="3" borderId="1" applyAlignment="1" pivotButton="0" quotePrefix="0" xfId="4">
      <alignment horizontal="center" vertical="center" textRotation="90" shrinkToFit="1"/>
    </xf>
    <xf numFmtId="164" fontId="16" fillId="3" borderId="31" applyAlignment="1" pivotButton="0" quotePrefix="0" xfId="4">
      <alignment horizontal="center" vertical="center" textRotation="90" shrinkToFit="1"/>
    </xf>
    <xf numFmtId="3" fontId="19" fillId="4" borderId="7" applyAlignment="1" pivotButton="0" quotePrefix="0" xfId="4">
      <alignment horizontal="center" vertical="center" wrapText="1"/>
    </xf>
    <xf numFmtId="3" fontId="19" fillId="4" borderId="6" applyAlignment="1" pivotButton="0" quotePrefix="0" xfId="4">
      <alignment horizontal="center" vertical="center" wrapText="1"/>
    </xf>
    <xf numFmtId="3" fontId="19" fillId="4" borderId="8" applyAlignment="1" pivotButton="0" quotePrefix="0" xfId="4">
      <alignment horizontal="center" vertical="center" wrapText="1"/>
    </xf>
    <xf numFmtId="3" fontId="19" fillId="4" borderId="3" applyAlignment="1" pivotButton="0" quotePrefix="0" xfId="4">
      <alignment horizontal="center" vertical="center" wrapText="1"/>
    </xf>
    <xf numFmtId="3" fontId="19" fillId="4" borderId="1" applyAlignment="1" pivotButton="0" quotePrefix="0" xfId="4">
      <alignment horizontal="center" vertical="center" wrapText="1"/>
    </xf>
    <xf numFmtId="3" fontId="19" fillId="4" borderId="4" applyAlignment="1" pivotButton="0" quotePrefix="0" xfId="4">
      <alignment horizontal="center" vertical="center" wrapText="1"/>
    </xf>
    <xf numFmtId="164" fontId="15" fillId="3" borderId="7" applyAlignment="1" pivotButton="0" quotePrefix="0" xfId="4">
      <alignment horizontal="center" wrapText="1" shrinkToFit="1"/>
    </xf>
    <xf numFmtId="164" fontId="15" fillId="3" borderId="8" applyAlignment="1" pivotButton="0" quotePrefix="0" xfId="4">
      <alignment horizontal="center" wrapText="1" shrinkToFit="1"/>
    </xf>
    <xf numFmtId="164" fontId="15" fillId="3" borderId="3" applyAlignment="1" pivotButton="0" quotePrefix="0" xfId="4">
      <alignment horizontal="center" wrapText="1" shrinkToFit="1"/>
    </xf>
    <xf numFmtId="164" fontId="15" fillId="3" borderId="4" applyAlignment="1" pivotButton="0" quotePrefix="0" xfId="4">
      <alignment horizontal="center" wrapText="1" shrinkToFit="1"/>
    </xf>
    <xf numFmtId="4" fontId="26" fillId="0" borderId="15" applyAlignment="1" pivotButton="0" quotePrefix="0" xfId="4">
      <alignment horizontal="center" vertical="center" shrinkToFit="1"/>
    </xf>
    <xf numFmtId="0" fontId="30" fillId="0" borderId="13" applyAlignment="1" pivotButton="0" quotePrefix="0" xfId="188">
      <alignment horizontal="center" vertical="center" wrapText="1"/>
    </xf>
    <xf numFmtId="0" fontId="30" fillId="0" borderId="9" applyAlignment="1" pivotButton="0" quotePrefix="0" xfId="188">
      <alignment horizontal="center" vertical="center" wrapText="1"/>
    </xf>
    <xf numFmtId="0" fontId="30" fillId="0" borderId="14" applyAlignment="1" pivotButton="0" quotePrefix="0" xfId="188">
      <alignment horizontal="center" vertical="center" wrapText="1"/>
    </xf>
    <xf numFmtId="0" fontId="15" fillId="0" borderId="1" applyAlignment="1" pivotButton="0" quotePrefix="0" xfId="2">
      <alignment horizontal="center" shrinkToFit="1"/>
    </xf>
    <xf numFmtId="164" fontId="16" fillId="5" borderId="37" applyAlignment="1" pivotButton="0" quotePrefix="0" xfId="4">
      <alignment horizontal="center" vertical="center" textRotation="90" wrapText="1" shrinkToFit="1"/>
    </xf>
    <xf numFmtId="164" fontId="16" fillId="5" borderId="38" applyAlignment="1" pivotButton="0" quotePrefix="0" xfId="4">
      <alignment horizontal="center" vertical="center" textRotation="90" wrapText="1" shrinkToFit="1"/>
    </xf>
    <xf numFmtId="164" fontId="16" fillId="5" borderId="36" applyAlignment="1" pivotButton="0" quotePrefix="0" xfId="4">
      <alignment horizontal="center" vertical="center" textRotation="90" wrapText="1" shrinkToFit="1"/>
    </xf>
    <xf numFmtId="164" fontId="16" fillId="3" borderId="11" applyAlignment="1" pivotButton="0" quotePrefix="0" xfId="4">
      <alignment horizontal="center" vertical="center" textRotation="90" shrinkToFit="1"/>
    </xf>
    <xf numFmtId="164" fontId="16" fillId="3" borderId="12" applyAlignment="1" pivotButton="0" quotePrefix="0" xfId="4">
      <alignment horizontal="center" vertical="center" textRotation="90" shrinkToFit="1"/>
    </xf>
    <xf numFmtId="164" fontId="16" fillId="3" borderId="32" applyAlignment="1" pivotButton="0" quotePrefix="0" xfId="4">
      <alignment horizontal="center" vertical="center" textRotation="90" shrinkToFit="1"/>
    </xf>
    <xf numFmtId="1" fontId="16" fillId="5" borderId="27" applyAlignment="1" pivotButton="0" quotePrefix="0" xfId="4">
      <alignment horizontal="center" vertical="center" textRotation="90" wrapText="1" shrinkToFit="1"/>
    </xf>
    <xf numFmtId="1" fontId="16" fillId="5" borderId="28" applyAlignment="1" pivotButton="0" quotePrefix="0" xfId="4">
      <alignment horizontal="center" vertical="center" textRotation="90" wrapText="1" shrinkToFit="1"/>
    </xf>
    <xf numFmtId="1" fontId="16" fillId="5" borderId="29" applyAlignment="1" pivotButton="0" quotePrefix="0" xfId="4">
      <alignment horizontal="center" vertical="center" textRotation="90" wrapText="1" shrinkToFit="1"/>
    </xf>
    <xf numFmtId="164" fontId="16" fillId="5" borderId="25" applyAlignment="1" pivotButton="0" quotePrefix="0" xfId="4">
      <alignment horizontal="center" vertical="center" textRotation="90" wrapText="1" shrinkToFit="1"/>
    </xf>
    <xf numFmtId="164" fontId="16" fillId="5" borderId="26" applyAlignment="1" pivotButton="0" quotePrefix="0" xfId="4">
      <alignment horizontal="center" vertical="center" textRotation="90" wrapText="1" shrinkToFit="1"/>
    </xf>
    <xf numFmtId="164" fontId="16" fillId="5" borderId="24" applyAlignment="1" pivotButton="0" quotePrefix="0" xfId="4">
      <alignment horizontal="center" vertical="center" textRotation="90" wrapText="1" shrinkToFit="1"/>
    </xf>
    <xf numFmtId="164" fontId="16" fillId="2" borderId="23" applyAlignment="1" pivotButton="0" quotePrefix="0" xfId="4">
      <alignment horizontal="center" vertical="center" shrinkToFit="1"/>
    </xf>
    <xf numFmtId="164" fontId="16" fillId="3" borderId="42" applyAlignment="1" pivotButton="0" quotePrefix="0" xfId="4">
      <alignment horizontal="center" vertical="center" shrinkToFit="1"/>
    </xf>
    <xf numFmtId="164" fontId="16" fillId="3" borderId="43" applyAlignment="1" pivotButton="0" quotePrefix="0" xfId="4">
      <alignment horizontal="center" vertical="center" shrinkToFit="1"/>
    </xf>
    <xf numFmtId="164" fontId="16" fillId="3" borderId="44" applyAlignment="1" pivotButton="0" quotePrefix="0" xfId="4">
      <alignment horizontal="center" vertical="center" shrinkToFit="1"/>
    </xf>
    <xf numFmtId="164" fontId="16" fillId="6" borderId="31" applyAlignment="1" pivotButton="0" quotePrefix="0" xfId="4">
      <alignment horizontal="center" vertical="center" textRotation="1" shrinkToFit="1"/>
    </xf>
    <xf numFmtId="4" fontId="19" fillId="4" borderId="7" applyAlignment="1" pivotButton="0" quotePrefix="0" xfId="4">
      <alignment horizontal="center" vertical="center"/>
    </xf>
    <xf numFmtId="4" fontId="19" fillId="4" borderId="6" applyAlignment="1" pivotButton="0" quotePrefix="0" xfId="4">
      <alignment horizontal="center" vertical="center"/>
    </xf>
    <xf numFmtId="4" fontId="19" fillId="4" borderId="8" applyAlignment="1" pivotButton="0" quotePrefix="0" xfId="4">
      <alignment horizontal="center" vertical="center"/>
    </xf>
    <xf numFmtId="3" fontId="19" fillId="4" borderId="3" applyAlignment="1" pivotButton="0" quotePrefix="0" xfId="4">
      <alignment horizontal="center" vertical="center"/>
    </xf>
    <xf numFmtId="3" fontId="19" fillId="4" borderId="1" applyAlignment="1" pivotButton="0" quotePrefix="0" xfId="4">
      <alignment horizontal="center" vertical="center"/>
    </xf>
    <xf numFmtId="3" fontId="19" fillId="4" borderId="4" applyAlignment="1" pivotButton="0" quotePrefix="0" xfId="4">
      <alignment horizontal="center" vertical="center"/>
    </xf>
    <xf numFmtId="3" fontId="19" fillId="4" borderId="7" applyAlignment="1" pivotButton="0" quotePrefix="0" xfId="4">
      <alignment horizontal="center" vertical="center"/>
    </xf>
    <xf numFmtId="3" fontId="19" fillId="4" borderId="6" applyAlignment="1" pivotButton="0" quotePrefix="0" xfId="4">
      <alignment horizontal="center" vertical="center"/>
    </xf>
    <xf numFmtId="3" fontId="19" fillId="4" borderId="8" applyAlignment="1" pivotButton="0" quotePrefix="0" xfId="4">
      <alignment horizontal="center" vertical="center"/>
    </xf>
    <xf numFmtId="0" fontId="25" fillId="7" borderId="23" applyAlignment="1" pivotButton="0" quotePrefix="0" xfId="4">
      <alignment horizontal="center" shrinkToFit="1"/>
    </xf>
    <xf numFmtId="0" fontId="25" fillId="7" borderId="1" applyAlignment="1" pivotButton="0" quotePrefix="0" xfId="4">
      <alignment horizontal="center" shrinkToFit="1"/>
    </xf>
    <xf numFmtId="164" fontId="15" fillId="0" borderId="0" applyAlignment="1" pivotButton="0" quotePrefix="0" xfId="2">
      <alignment shrinkToFit="1"/>
    </xf>
    <xf numFmtId="165" fontId="15" fillId="0" borderId="0" applyAlignment="1" pivotButton="0" quotePrefix="0" xfId="2">
      <alignment horizontal="center" shrinkToFit="1"/>
    </xf>
    <xf numFmtId="0" fontId="20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30" fillId="0" borderId="37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21" fillId="0" borderId="15" applyAlignment="1" pivotButton="0" quotePrefix="0" xfId="4">
      <alignment horizontal="center" vertical="center" wrapText="1"/>
    </xf>
    <xf numFmtId="0" fontId="30" fillId="0" borderId="15" applyAlignment="1" pivotButton="0" quotePrefix="0" xfId="188">
      <alignment horizontal="center" vertical="center" wrapText="1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5" fontId="26" fillId="0" borderId="15" applyAlignment="1" pivotButton="0" quotePrefix="0" xfId="4">
      <alignment horizontal="left" vertical="center"/>
    </xf>
    <xf numFmtId="4" fontId="16" fillId="6" borderId="36" applyAlignment="1" pivotButton="0" quotePrefix="0" xfId="4">
      <alignment horizontal="left" vertical="center" shrinkToFit="1"/>
    </xf>
    <xf numFmtId="4" fontId="16" fillId="6" borderId="15" applyAlignment="1" pivotButton="0" quotePrefix="0" xfId="4">
      <alignment horizontal="center" vertical="center" shrinkToFit="1"/>
    </xf>
    <xf numFmtId="165" fontId="13" fillId="0" borderId="38" applyAlignment="1" pivotButton="0" quotePrefix="0" xfId="4">
      <alignment horizontal="center"/>
    </xf>
    <xf numFmtId="164" fontId="16" fillId="3" borderId="11" applyAlignment="1" pivotButton="0" quotePrefix="0" xfId="4">
      <alignment horizontal="center" vertical="center" textRotation="90" shrinkToFit="1"/>
    </xf>
    <xf numFmtId="1" fontId="16" fillId="5" borderId="50" applyAlignment="1" pivotButton="0" quotePrefix="0" xfId="4">
      <alignment horizontal="center" vertical="center" textRotation="90" wrapText="1" shrinkToFit="1"/>
    </xf>
    <xf numFmtId="164" fontId="16" fillId="5" borderId="15" applyAlignment="1" pivotButton="0" quotePrefix="0" xfId="4">
      <alignment horizontal="center" vertical="center" textRotation="90" wrapText="1" shrinkToFit="1"/>
    </xf>
    <xf numFmtId="164" fontId="16" fillId="5" borderId="52" applyAlignment="1" pivotButton="0" quotePrefix="0" xfId="4">
      <alignment horizontal="center" vertical="center" textRotation="90" wrapText="1" shrinkToFit="1"/>
    </xf>
    <xf numFmtId="1" fontId="16" fillId="5" borderId="60" applyAlignment="1" pivotButton="0" quotePrefix="0" xfId="4">
      <alignment horizontal="center" vertical="center" textRotation="90" shrinkToFit="1"/>
    </xf>
    <xf numFmtId="164" fontId="16" fillId="3" borderId="6" applyAlignment="1" pivotButton="0" quotePrefix="0" xfId="4">
      <alignment horizontal="center" vertical="center" textRotation="90" shrinkToFit="1"/>
    </xf>
    <xf numFmtId="164" fontId="16" fillId="3" borderId="8" applyAlignment="1" pivotButton="0" quotePrefix="0" xfId="4">
      <alignment horizontal="center" vertical="center" textRotation="90" shrinkToFit="1"/>
    </xf>
    <xf numFmtId="164" fontId="15" fillId="3" borderId="7" applyAlignment="1" pivotButton="0" quotePrefix="0" xfId="4">
      <alignment horizontal="center" wrapText="1" shrinkToFit="1"/>
    </xf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164" fontId="16" fillId="3" borderId="4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8" pivotButton="0" quotePrefix="0" xfId="0"/>
    <xf numFmtId="0" fontId="0" fillId="0" borderId="38" pivotButton="0" quotePrefix="0" xfId="0"/>
    <xf numFmtId="0" fontId="0" fillId="0" borderId="26" pivotButton="0" quotePrefix="0" xfId="0"/>
    <xf numFmtId="0" fontId="0" fillId="0" borderId="5" pivotButton="0" quotePrefix="0" xfId="0"/>
    <xf numFmtId="0" fontId="0" fillId="0" borderId="49" pivotButton="0" quotePrefix="0" xfId="0"/>
    <xf numFmtId="0" fontId="0" fillId="0" borderId="55" pivotButton="0" quotePrefix="0" xfId="0"/>
    <xf numFmtId="0" fontId="0" fillId="0" borderId="46" pivotButton="0" quotePrefix="0" xfId="0"/>
    <xf numFmtId="0" fontId="0" fillId="0" borderId="2" pivotButton="0" quotePrefix="0" xfId="0"/>
    <xf numFmtId="0" fontId="0" fillId="0" borderId="19" pivotButton="0" quotePrefix="0" xfId="0"/>
    <xf numFmtId="0" fontId="0" fillId="0" borderId="54" pivotButton="0" quotePrefix="0" xfId="0"/>
    <xf numFmtId="0" fontId="0" fillId="0" borderId="29" pivotButton="0" quotePrefix="0" xfId="0"/>
    <xf numFmtId="0" fontId="0" fillId="0" borderId="36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23" pivotButton="0" quotePrefix="0" xfId="0"/>
    <xf numFmtId="0" fontId="0" fillId="0" borderId="61" pivotButton="0" quotePrefix="0" xfId="0"/>
    <xf numFmtId="164" fontId="16" fillId="3" borderId="41" applyAlignment="1" pivotButton="0" quotePrefix="0" xfId="4">
      <alignment vertical="center" textRotation="90" shrinkToFit="1"/>
    </xf>
    <xf numFmtId="164" fontId="16" fillId="3" borderId="35" applyAlignment="1" pivotButton="0" quotePrefix="0" xfId="4">
      <alignment vertical="center" textRotation="90" shrinkToFit="1"/>
    </xf>
    <xf numFmtId="164" fontId="16" fillId="3" borderId="41" applyAlignment="1" pivotButton="0" quotePrefix="0" xfId="4">
      <alignment horizontal="center" vertical="center" textRotation="90" shrinkToFit="1"/>
    </xf>
    <xf numFmtId="164" fontId="16" fillId="3" borderId="34" applyAlignment="1" pivotButton="0" quotePrefix="0" xfId="4">
      <alignment horizontal="center" vertical="center" textRotation="90" shrinkToFit="1"/>
    </xf>
    <xf numFmtId="164" fontId="16" fillId="3" borderId="31" applyAlignment="1" pivotButton="0" quotePrefix="0" xfId="4">
      <alignment horizontal="center" vertical="center" shrinkToFit="1"/>
    </xf>
    <xf numFmtId="164" fontId="16" fillId="3" borderId="31" applyAlignment="1" pivotButton="0" quotePrefix="0" xfId="4">
      <alignment horizontal="center" vertical="center" textRotation="90" shrinkToFit="1"/>
    </xf>
    <xf numFmtId="164" fontId="16" fillId="6" borderId="31" applyAlignment="1" pivotButton="0" quotePrefix="0" xfId="4">
      <alignment horizontal="center" vertical="center" textRotation="1" shrinkToFit="1"/>
    </xf>
    <xf numFmtId="0" fontId="0" fillId="0" borderId="40" pivotButton="0" quotePrefix="0" xfId="0"/>
    <xf numFmtId="0" fontId="0" fillId="0" borderId="34" pivotButton="0" quotePrefix="0" xfId="0"/>
    <xf numFmtId="164" fontId="16" fillId="6" borderId="31" applyAlignment="1" pivotButton="0" quotePrefix="0" xfId="4">
      <alignment horizontal="center" vertical="center" shrinkToFit="1"/>
    </xf>
    <xf numFmtId="164" fontId="16" fillId="6" borderId="35" applyAlignment="1" pivotButton="0" quotePrefix="0" xfId="4">
      <alignment horizontal="center" vertical="center" shrinkToFit="1"/>
    </xf>
    <xf numFmtId="0" fontId="0" fillId="0" borderId="56" pivotButton="0" quotePrefix="0" xfId="0"/>
    <xf numFmtId="164" fontId="16" fillId="8" borderId="23" applyAlignment="1" pivotButton="0" quotePrefix="0" xfId="4">
      <alignment horizontal="center" vertical="center" shrinkToFit="1"/>
    </xf>
    <xf numFmtId="164" fontId="16" fillId="2" borderId="23" applyAlignment="1" pivotButton="0" quotePrefix="0" xfId="4">
      <alignment horizontal="center" vertical="center" shrinkToFit="1"/>
    </xf>
    <xf numFmtId="164" fontId="16" fillId="2" borderId="0" applyAlignment="1" pivotButton="0" quotePrefix="0" xfId="4">
      <alignment horizontal="center" vertical="center" wrapText="1" shrinkToFit="1"/>
    </xf>
    <xf numFmtId="1" fontId="29" fillId="9" borderId="3" applyAlignment="1" pivotButton="0" quotePrefix="0" xfId="0">
      <alignment horizontal="center" shrinkToFit="1"/>
    </xf>
    <xf numFmtId="167" fontId="29" fillId="10" borderId="7" applyAlignment="1" pivotButton="0" quotePrefix="0" xfId="0">
      <alignment horizontal="center" shrinkToFit="1"/>
    </xf>
    <xf numFmtId="167" fontId="29" fillId="10" borderId="6" applyAlignment="1" pivotButton="0" quotePrefix="0" xfId="0">
      <alignment horizontal="center" shrinkToFit="1"/>
    </xf>
    <xf numFmtId="1" fontId="29" fillId="10" borderId="6" applyAlignment="1" pivotButton="0" quotePrefix="0" xfId="0">
      <alignment horizontal="center" vertical="center" shrinkToFit="1"/>
    </xf>
    <xf numFmtId="1" fontId="29" fillId="9" borderId="6" applyAlignment="1" pivotButton="0" quotePrefix="0" xfId="0">
      <alignment horizontal="center" shrinkToFit="1"/>
    </xf>
    <xf numFmtId="0" fontId="0" fillId="10" borderId="6" applyAlignment="1" pivotButton="0" quotePrefix="0" xfId="0">
      <alignment horizontal="center"/>
    </xf>
    <xf numFmtId="164" fontId="16" fillId="0" borderId="6" applyAlignment="1" pivotButton="0" quotePrefix="0" xfId="0">
      <alignment horizontal="center" shrinkToFit="1"/>
    </xf>
    <xf numFmtId="165" fontId="33" fillId="9" borderId="6" applyAlignment="1" pivotButton="0" quotePrefix="0" xfId="0">
      <alignment horizontal="center" shrinkToFit="1"/>
    </xf>
    <xf numFmtId="1" fontId="33" fillId="9" borderId="6" applyAlignment="1" pivotButton="0" quotePrefix="0" xfId="0">
      <alignment horizontal="center" shrinkToFit="1"/>
    </xf>
    <xf numFmtId="168" fontId="33" fillId="9" borderId="6" applyAlignment="1" pivotButton="0" quotePrefix="0" xfId="0">
      <alignment horizontal="center" shrinkToFit="1"/>
    </xf>
    <xf numFmtId="169" fontId="33" fillId="9" borderId="6" applyAlignment="1" pivotButton="0" quotePrefix="0" xfId="0">
      <alignment horizontal="center" shrinkToFit="1"/>
    </xf>
    <xf numFmtId="4" fontId="29" fillId="9" borderId="6" applyAlignment="1" pivotButton="0" quotePrefix="0" xfId="0">
      <alignment horizontal="center" shrinkToFit="1"/>
    </xf>
    <xf numFmtId="170" fontId="29" fillId="11" borderId="6" applyAlignment="1" pivotButton="0" quotePrefix="0" xfId="0">
      <alignment horizontal="center" shrinkToFit="1"/>
    </xf>
    <xf numFmtId="4" fontId="29" fillId="12" borderId="1" applyAlignment="1" pivotButton="0" quotePrefix="0" xfId="0">
      <alignment horizontal="center" shrinkToFit="1"/>
    </xf>
    <xf numFmtId="4" fontId="29" fillId="13" borderId="1" applyAlignment="1" pivotButton="0" quotePrefix="0" xfId="0">
      <alignment horizontal="center" shrinkToFit="1"/>
    </xf>
    <xf numFmtId="165" fontId="29" fillId="14" borderId="1" applyAlignment="1" pivotButton="0" quotePrefix="0" xfId="0">
      <alignment horizontal="center" shrinkToFit="1"/>
    </xf>
    <xf numFmtId="169" fontId="34" fillId="9" borderId="6" applyAlignment="1" pivotButton="0" quotePrefix="0" xfId="0">
      <alignment horizontal="center" shrinkToFit="1"/>
    </xf>
    <xf numFmtId="169" fontId="34" fillId="11" borderId="6" applyAlignment="1" pivotButton="0" quotePrefix="0" xfId="0">
      <alignment horizontal="center" shrinkToFit="1"/>
    </xf>
    <xf numFmtId="168" fontId="35" fillId="14" borderId="1" applyAlignment="1" pivotButton="0" quotePrefix="0" xfId="0">
      <alignment horizontal="center" vertical="center" shrinkToFit="1"/>
    </xf>
    <xf numFmtId="169" fontId="29" fillId="9" borderId="6" applyAlignment="1" pivotButton="0" quotePrefix="0" xfId="0">
      <alignment horizontal="center" shrinkToFit="1"/>
    </xf>
    <xf numFmtId="0" fontId="29" fillId="0" borderId="4" applyAlignment="1" pivotButton="0" quotePrefix="0" xfId="0">
      <alignment horizontal="center" shrinkToFit="1"/>
    </xf>
    <xf numFmtId="0" fontId="29" fillId="0" borderId="1" applyAlignment="1" pivotButton="0" quotePrefix="0" xfId="0">
      <alignment horizontal="center" shrinkToFit="1"/>
    </xf>
    <xf numFmtId="0" fontId="29" fillId="0" borderId="0" applyAlignment="1" pivotButton="0" quotePrefix="0" xfId="0">
      <alignment horizontal="center" shrinkToFit="1"/>
    </xf>
    <xf numFmtId="0" fontId="17" fillId="15" borderId="55" applyAlignment="1" pivotButton="0" quotePrefix="0" xfId="0">
      <alignment horizontal="center" vertical="center" shrinkToFit="1"/>
    </xf>
    <xf numFmtId="0" fontId="36" fillId="15" borderId="55" applyAlignment="1" pivotButton="0" quotePrefix="0" xfId="0">
      <alignment horizontal="center" vertical="center" shrinkToFit="1"/>
    </xf>
    <xf numFmtId="0" fontId="29" fillId="0" borderId="23" applyAlignment="1" pivotButton="0" quotePrefix="0" xfId="0">
      <alignment horizontal="center" shrinkToFit="1"/>
    </xf>
    <xf numFmtId="164" fontId="29" fillId="0" borderId="0" applyAlignment="1" pivotButton="0" quotePrefix="0" xfId="0">
      <alignment horizontal="center" shrinkToFit="1"/>
    </xf>
    <xf numFmtId="167" fontId="29" fillId="0" borderId="0" applyAlignment="1" pivotButton="0" quotePrefix="0" xfId="0">
      <alignment horizontal="center" shrinkToFit="1"/>
    </xf>
    <xf numFmtId="1" fontId="29" fillId="0" borderId="0" applyAlignment="1" pivotButton="0" quotePrefix="0" xfId="0">
      <alignment horizontal="center" shrinkToFit="1"/>
    </xf>
    <xf numFmtId="168" fontId="29" fillId="0" borderId="0" applyAlignment="1" pivotButton="0" quotePrefix="0" xfId="0">
      <alignment horizontal="center" shrinkToFit="1"/>
    </xf>
    <xf numFmtId="4" fontId="29" fillId="0" borderId="0" applyAlignment="1" pivotButton="0" quotePrefix="0" xfId="0">
      <alignment horizontal="center" shrinkToFit="1"/>
    </xf>
    <xf numFmtId="165" fontId="29" fillId="0" borderId="0" applyAlignment="1" pivotButton="0" quotePrefix="0" xfId="0">
      <alignment horizontal="center" shrinkToFit="1"/>
    </xf>
  </cellXfs>
  <cellStyles count="245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Normal 3 2 2 3" xfId="19"/>
    <cellStyle name="Normal 3 8" xfId="20"/>
    <cellStyle name="Normal 6" xfId="21"/>
    <cellStyle name="Normal 3 7" xfId="22"/>
    <cellStyle name="Normal 3 9" xfId="23"/>
    <cellStyle name="Normal 3 2 6" xfId="24"/>
    <cellStyle name="Normal 3 6 2" xfId="25"/>
    <cellStyle name="Normal 4 2" xfId="26"/>
    <cellStyle name="Normal 3 2 5 2" xfId="27"/>
    <cellStyle name="Normal 3 3 2" xfId="28"/>
    <cellStyle name="Normal 3 2 2 4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2" xfId="35"/>
    <cellStyle name="Porcentaje 2" xfId="36"/>
    <cellStyle name="Normal 3 10" xfId="37"/>
    <cellStyle name="Normal 3 2 7" xfId="38"/>
    <cellStyle name="Normal 3 6 3" xfId="39"/>
    <cellStyle name="Normal 4 3" xfId="40"/>
    <cellStyle name="Normal 3 2 5 3" xfId="41"/>
    <cellStyle name="Normal 3 3 3" xfId="42"/>
    <cellStyle name="Normal 3 2 2 5" xfId="43"/>
    <cellStyle name="Normal 3 4 3" xfId="44"/>
    <cellStyle name="Normal 3 2 3 3" xfId="45"/>
    <cellStyle name="Normal 5 3" xfId="46"/>
    <cellStyle name="Normal 3 5 3" xfId="47"/>
    <cellStyle name="Normal 3 2 4 3" xfId="48"/>
    <cellStyle name="Normal 3 2 2 2 3" xfId="49"/>
    <cellStyle name="Normal 3 11" xfId="50"/>
    <cellStyle name="Normal 3 2 8" xfId="51"/>
    <cellStyle name="Normal 3 6 4" xfId="52"/>
    <cellStyle name="Normal 4 4" xfId="53"/>
    <cellStyle name="Normal 3 2 5 4" xfId="54"/>
    <cellStyle name="Normal 3 3 4" xfId="55"/>
    <cellStyle name="Normal 3 2 2 6" xfId="56"/>
    <cellStyle name="Normal 3 4 4" xfId="57"/>
    <cellStyle name="Normal 3 2 3 4" xfId="58"/>
    <cellStyle name="Normal 5 4" xfId="59"/>
    <cellStyle name="Normal 3 5 4" xfId="60"/>
    <cellStyle name="Normal 3 2 4 4" xfId="61"/>
    <cellStyle name="Normal 3 2 2 2 4" xfId="62"/>
    <cellStyle name="Normal 3 2 2 2 2 2" xfId="63"/>
    <cellStyle name="Normal 3 12" xfId="64"/>
    <cellStyle name="Normal 3 2 9" xfId="65"/>
    <cellStyle name="Normal 3 6 5" xfId="66"/>
    <cellStyle name="Normal 4 5" xfId="67"/>
    <cellStyle name="Normal 3 2 5 5" xfId="68"/>
    <cellStyle name="Normal 3 3 5" xfId="69"/>
    <cellStyle name="Normal 3 2 2 7" xfId="70"/>
    <cellStyle name="Normal 3 4 5" xfId="71"/>
    <cellStyle name="Normal 3 2 3 5" xfId="72"/>
    <cellStyle name="Normal 5 5" xfId="73"/>
    <cellStyle name="Normal 3 5 5" xfId="74"/>
    <cellStyle name="Normal 3 2 4 5" xfId="75"/>
    <cellStyle name="Normal 3 2 2 2 5" xfId="76"/>
    <cellStyle name="Normal 3 7 2" xfId="77"/>
    <cellStyle name="Normal 3 2 6 2" xfId="78"/>
    <cellStyle name="Normal 3 6 2 2" xfId="79"/>
    <cellStyle name="Normal 4 2 2" xfId="80"/>
    <cellStyle name="Normal 3 2 5 2 2" xfId="81"/>
    <cellStyle name="Normal 3 3 2 2" xfId="82"/>
    <cellStyle name="Normal 3 2 2 3 2" xfId="83"/>
    <cellStyle name="Normal 3 4 2 2" xfId="84"/>
    <cellStyle name="Normal 3 2 3 2 2" xfId="85"/>
    <cellStyle name="Normal 5 2 2" xfId="86"/>
    <cellStyle name="Normal 3 5 2 2" xfId="87"/>
    <cellStyle name="Normal 3 2 4 2 2" xfId="88"/>
    <cellStyle name="Normal 3 2 2 2 2 3" xfId="89"/>
    <cellStyle name="Normal 3 13" xfId="90"/>
    <cellStyle name="Normal 3 2 10" xfId="91"/>
    <cellStyle name="Normal 3 6 6" xfId="92"/>
    <cellStyle name="Normal 4 6" xfId="93"/>
    <cellStyle name="Normal 3 2 5 6" xfId="94"/>
    <cellStyle name="Normal 3 3 6" xfId="95"/>
    <cellStyle name="Normal 3 2 2 8" xfId="96"/>
    <cellStyle name="Normal 3 4 6" xfId="97"/>
    <cellStyle name="Normal 3 2 3 6" xfId="98"/>
    <cellStyle name="Normal 5 6" xfId="99"/>
    <cellStyle name="Normal 3 5 6" xfId="100"/>
    <cellStyle name="Normal 3 2 4 6" xfId="101"/>
    <cellStyle name="Normal 3 2 2 2 6" xfId="102"/>
    <cellStyle name="Normal 3 2 2 2 2 4" xfId="103"/>
    <cellStyle name="Normal 3 14" xfId="104"/>
    <cellStyle name="Normal 3 2 11" xfId="105"/>
    <cellStyle name="Normal 3 6 8" xfId="106"/>
    <cellStyle name="Normal 4 8" xfId="107"/>
    <cellStyle name="Normal 3 2 5 8" xfId="108"/>
    <cellStyle name="Normal 3 3 8" xfId="109"/>
    <cellStyle name="Normal 3 2 2 9" xfId="110"/>
    <cellStyle name="Normal 3 4 8" xfId="111"/>
    <cellStyle name="Normal 3 2 3 8" xfId="112"/>
    <cellStyle name="Normal 5 8" xfId="113"/>
    <cellStyle name="Normal 3 5 8" xfId="114"/>
    <cellStyle name="Normal 3 2 4 8" xfId="115"/>
    <cellStyle name="Normal 3 2 2 2 7" xfId="116"/>
    <cellStyle name="Normal 3 2 2 3 3" xfId="117"/>
    <cellStyle name="Normal 3 8 2" xfId="118"/>
    <cellStyle name="Normal 6 2" xfId="119"/>
    <cellStyle name="Normal 3 7 4" xfId="120"/>
    <cellStyle name="Normal 3 9 2" xfId="121"/>
    <cellStyle name="Normal 3 2 6 4" xfId="122"/>
    <cellStyle name="Normal 3 6 2 3" xfId="123"/>
    <cellStyle name="Normal 4 2 3" xfId="124"/>
    <cellStyle name="Normal 3 2 5 2 3" xfId="125"/>
    <cellStyle name="Normal 3 3 2 3" xfId="126"/>
    <cellStyle name="Normal 3 2 2 4 2" xfId="127"/>
    <cellStyle name="Normal 3 4 2 3" xfId="128"/>
    <cellStyle name="Normal 3 2 3 2 3" xfId="129"/>
    <cellStyle name="Normal 5 2 3" xfId="130"/>
    <cellStyle name="Normal 3 5 2 3" xfId="131"/>
    <cellStyle name="Normal 3 2 4 2 3" xfId="132"/>
    <cellStyle name="Normal 3 2 2 2 2 5" xfId="133"/>
    <cellStyle name="Normal 3 10 2" xfId="134"/>
    <cellStyle name="Normal 3 2 7 2" xfId="135"/>
    <cellStyle name="Normal 3 6 3 2" xfId="136"/>
    <cellStyle name="Normal 4 3 2" xfId="137"/>
    <cellStyle name="Normal 3 2 5 3 2" xfId="138"/>
    <cellStyle name="Normal 3 3 3 2" xfId="139"/>
    <cellStyle name="Normal 3 2 2 5 2" xfId="140"/>
    <cellStyle name="Normal 3 4 3 2" xfId="141"/>
    <cellStyle name="Normal 3 2 3 3 2" xfId="142"/>
    <cellStyle name="Normal 5 3 2" xfId="143"/>
    <cellStyle name="Normal 3 5 3 2" xfId="144"/>
    <cellStyle name="Normal 3 2 4 3 2" xfId="145"/>
    <cellStyle name="Normal 3 2 2 2 3 2" xfId="146"/>
    <cellStyle name="Normal 3 11 2" xfId="147"/>
    <cellStyle name="Normal 3 2 8 2" xfId="148"/>
    <cellStyle name="Normal 3 6 4 2" xfId="149"/>
    <cellStyle name="Normal 4 4 2" xfId="150"/>
    <cellStyle name="Normal 3 2 5 4 2" xfId="151"/>
    <cellStyle name="Normal 3 3 4 2" xfId="152"/>
    <cellStyle name="Normal 3 2 2 6 2" xfId="153"/>
    <cellStyle name="Normal 3 4 4 2" xfId="154"/>
    <cellStyle name="Normal 3 2 3 4 2" xfId="155"/>
    <cellStyle name="Normal 5 4 2" xfId="156"/>
    <cellStyle name="Normal 3 5 4 2" xfId="157"/>
    <cellStyle name="Normal 3 2 4 4 2" xfId="158"/>
    <cellStyle name="Normal 3 2 2 2 4 2" xfId="159"/>
    <cellStyle name="Normal 3 2 2 2 2 2 3" xfId="160"/>
    <cellStyle name="Normal 3 12 2" xfId="161"/>
    <cellStyle name="Normal 3 2 9 2" xfId="162"/>
    <cellStyle name="Normal 3 6 5 2" xfId="163"/>
    <cellStyle name="Normal 4 5 2" xfId="164"/>
    <cellStyle name="Normal 3 2 5 5 2" xfId="165"/>
    <cellStyle name="Normal 3 3 5 2" xfId="166"/>
    <cellStyle name="Normal 3 2 2 7 2" xfId="167"/>
    <cellStyle name="Normal 3 4 5 2" xfId="168"/>
    <cellStyle name="Normal 3 2 3 5 2" xfId="169"/>
    <cellStyle name="Normal 5 5 2" xfId="170"/>
    <cellStyle name="Normal 3 5 5 2" xfId="171"/>
    <cellStyle name="Normal 3 2 4 5 2" xfId="172"/>
    <cellStyle name="Normal 3 2 2 2 5 2" xfId="173"/>
    <cellStyle name="Normal 3 7 2 2" xfId="174"/>
    <cellStyle name="Normal 3 2 6 2 2" xfId="175"/>
    <cellStyle name="Normal 3 6 2 2 2" xfId="176"/>
    <cellStyle name="Normal 4 2 2 2" xfId="177"/>
    <cellStyle name="Normal 3 2 5 2 2 2" xfId="178"/>
    <cellStyle name="Normal 3 3 2 2 2" xfId="179"/>
    <cellStyle name="Normal 3 2 2 3 2 2" xfId="180"/>
    <cellStyle name="Normal 3 4 2 2 2" xfId="181"/>
    <cellStyle name="Normal 3 2 3 2 2 2" xfId="182"/>
    <cellStyle name="Normal 5 2 2 2" xfId="183"/>
    <cellStyle name="Normal 3 5 2 2 2" xfId="184"/>
    <cellStyle name="Normal 3 2 4 2 2 2" xfId="185"/>
    <cellStyle name="Normal 3 2 2 2 2 3 2" xfId="186"/>
    <cellStyle name="Normal 3 13 2" xfId="187"/>
    <cellStyle name="Normal 3 2 10 2" xfId="188"/>
    <cellStyle name="Normal 3 6 6 2" xfId="189"/>
    <cellStyle name="Normal 4 6 2" xfId="190"/>
    <cellStyle name="Normal 3 2 5 6 2" xfId="191"/>
    <cellStyle name="Normal 3 3 6 2" xfId="192"/>
    <cellStyle name="Normal 3 2 2 8 2" xfId="193"/>
    <cellStyle name="Normal 3 4 6 2" xfId="194"/>
    <cellStyle name="Normal 3 2 3 6 2" xfId="195"/>
    <cellStyle name="Normal 5 6 2" xfId="196"/>
    <cellStyle name="Normal 3 5 6 2" xfId="197"/>
    <cellStyle name="Normal 3 2 4 6 2" xfId="198"/>
    <cellStyle name="Normal 3 2 2 2 6 2" xfId="199"/>
    <cellStyle name="Normal 3 2 2 2 2 4 2" xfId="200"/>
    <cellStyle name="Normal 3 2 2 2 2 2 2" xfId="201"/>
    <cellStyle name="Normal 3 6 7" xfId="202"/>
    <cellStyle name="Normal 4 7" xfId="203"/>
    <cellStyle name="Normal 3 2 5 7" xfId="204"/>
    <cellStyle name="Normal 3 3 7" xfId="205"/>
    <cellStyle name="Normal 3 4 7" xfId="206"/>
    <cellStyle name="Normal 3 2 3 7" xfId="207"/>
    <cellStyle name="Normal 5 7" xfId="208"/>
    <cellStyle name="Normal 3 5 7" xfId="209"/>
    <cellStyle name="Normal 3 2 4 7" xfId="210"/>
    <cellStyle name="Normal 3 7 3" xfId="211"/>
    <cellStyle name="Normal 3 2 6 3" xfId="212"/>
    <cellStyle name="Normal 3 15" xfId="213"/>
    <cellStyle name="Normal 3 2 12" xfId="214"/>
    <cellStyle name="Normal 3 6 9" xfId="215"/>
    <cellStyle name="Normal 4 9" xfId="216"/>
    <cellStyle name="Normal 3 2 5 9" xfId="217"/>
    <cellStyle name="Normal 3 3 9" xfId="218"/>
    <cellStyle name="Normal 3 2 2 10" xfId="219"/>
    <cellStyle name="Normal 3 4 9" xfId="220"/>
    <cellStyle name="Normal 3 2 3 9" xfId="221"/>
    <cellStyle name="Normal 5 9" xfId="222"/>
    <cellStyle name="Normal 3 5 9" xfId="223"/>
    <cellStyle name="Normal 3 2 4 9" xfId="224"/>
    <cellStyle name="Normal 3 2 2 2 8" xfId="225"/>
    <cellStyle name="Normal 3 7 5" xfId="226"/>
    <cellStyle name="Normal 3 2 6 5" xfId="227"/>
    <cellStyle name="Normal 3 2 2 2 2 6" xfId="228"/>
    <cellStyle name="Normal 3 8 3" xfId="229"/>
    <cellStyle name="Normal 3 2 7 3" xfId="230"/>
    <cellStyle name="Normal 3 6 2 4" xfId="231"/>
    <cellStyle name="Normal 4 2 4" xfId="232"/>
    <cellStyle name="Normal 3 2 5 2 4" xfId="233"/>
    <cellStyle name="Normal 3 3 2 4" xfId="234"/>
    <cellStyle name="Normal 3 2 2 3 4" xfId="235"/>
    <cellStyle name="Normal 3 4 2 4" xfId="236"/>
    <cellStyle name="Normal 3 2 3 2 4" xfId="237"/>
    <cellStyle name="Normal 5 2 4" xfId="238"/>
    <cellStyle name="Normal 3 5 2 4" xfId="239"/>
    <cellStyle name="Normal 3 2 4 2 4" xfId="240"/>
    <cellStyle name="Normal 3 2 2 2 3 3" xfId="241"/>
    <cellStyle name="Normal 3 7 2 3" xfId="242"/>
    <cellStyle name="Normal 3 2 6 2 3" xfId="243"/>
    <cellStyle name="Normal 3 2 2 2 2 2 4" xfId="244"/>
  </cellStyles>
  <dxfs count="9">
    <dxf>
      <font>
        <color rgb="FF9C0006"/>
      </font>
      <fill>
        <patternFill>
          <bgColor rgb="FFFFC7CE"/>
        </patternFill>
      </fill>
    </dxf>
    <dxf>
      <font>
        <b val="1"/>
        <strike val="0"/>
        <color rgb="FF000000"/>
      </font>
      <fill>
        <patternFill>
          <bgColor rgb="FFFFFF0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  <fill>
        <patternFill>
          <bgColor rgb="FFFFFF00"/>
        </patternFill>
      </fill>
    </dxf>
    <dxf>
      <font>
        <b val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178593</xdr:colOff>
      <xdr:row>0</xdr:row>
      <xdr:rowOff>47625</xdr:rowOff>
    </xdr:from>
    <xdr:to>
      <xdr:col>2</xdr:col>
      <xdr:colOff>285341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ED4E1F0B-EFAB-4278-B46D-D4EB77917F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6833" cy="8188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r="http://schemas.openxmlformats.org/officeDocument/2006/relationships" xmlns:s="http://schemas.openxmlformats.org/spreadsheetml/2006/main">
  <s:sheetPr codeName="Hoja1">
    <s:outlinePr summaryBelow="1" summaryRight="1"/>
    <s:pageSetUpPr/>
  </s:sheetPr>
  <s:dimension ref="A1:CQ208"/>
  <s:sheetViews>
    <s:sheetView tabSelected="1" zoomScale="80" zoomScaleNormal="80" workbookViewId="0">
      <s:selection activeCell="A9" sqref="A9:XFD21"/>
    </s:sheetView>
  </s:sheetViews>
  <s:sheetFormatPr baseColWidth="10" defaultColWidth="7.140625" defaultRowHeight="12.75"/>
  <s:cols>
    <s:col width="3.42578125" customWidth="1" style="9" min="1" max="1"/>
    <s:col width="10" customWidth="1" style="3" min="2" max="2"/>
    <s:col width="10" customWidth="1" style="10" min="3" max="3"/>
    <s:col width="3.140625" customWidth="1" style="11" min="4" max="4"/>
    <s:col width="3.28515625" customWidth="1" style="3" min="5" max="5"/>
    <s:col width="17.7109375" customWidth="1" style="150" min="6" max="6"/>
    <s:col width="13.85546875" customWidth="1" style="150" min="7" max="7"/>
    <s:col width="4.28515625" customWidth="1" style="150" min="8" max="8"/>
    <s:col width="4.7109375" customWidth="1" style="150" min="9" max="9"/>
    <s:col width="4.28515625" customWidth="1" style="151" min="10" max="10"/>
    <s:col width="3.28515625" customWidth="1" style="20" min="11" max="11"/>
    <s:col width="3.140625" customWidth="1" style="20" min="12" max="12"/>
    <s:col width="9.42578125" customWidth="1" style="13" min="13" max="13"/>
    <s:col width="9.5703125" customWidth="1" style="13" min="14" max="14"/>
    <s:col width="6.5703125" customWidth="1" style="13" min="15" max="15"/>
    <s:col width="7.42578125" customWidth="1" style="13" min="16" max="16"/>
    <s:col width="4" customWidth="1" style="13" min="17" max="17"/>
    <s:col width="5.7109375" customWidth="1" style="13" min="18" max="18"/>
    <s:col width="6.42578125" customWidth="1" style="14" min="19" max="19"/>
    <s:col width="7.7109375" customWidth="1" style="14" min="20" max="20"/>
    <s:col width="5.85546875" customWidth="1" style="14" min="21" max="21"/>
    <s:col width="4.5703125" customWidth="1" style="13" min="22" max="22"/>
    <s:col width="4" customWidth="1" style="13" min="23" max="23"/>
    <s:col width="3.5703125" customWidth="1" style="13" min="24" max="24"/>
    <s:col width="9.42578125" customWidth="1" style="13" min="25" max="25"/>
    <s:col width="8.7109375" customWidth="1" style="13" min="26" max="26"/>
    <s:col width="5.28515625" customWidth="1" style="13" min="27" max="27"/>
    <s:col width="7" customWidth="1" style="13" min="28" max="28"/>
    <s:col width="4.28515625" customWidth="1" style="13" min="29" max="29"/>
    <s:col width="7" customWidth="1" style="13" min="30" max="30"/>
    <s:col width="4.42578125" customWidth="1" style="13" min="31" max="31"/>
    <s:col width="4.85546875" customWidth="1" style="13" min="32" max="32"/>
    <s:col width="6" customWidth="1" style="13" min="33" max="33"/>
    <s:col width="4.140625" customWidth="1" style="13" min="34" max="34"/>
    <s:col width="3.7109375" customWidth="1" style="13" min="35" max="36"/>
    <s:col width="8.42578125" customWidth="1" style="13" min="37" max="37"/>
    <s:col width="8" customWidth="1" style="13" min="38" max="38"/>
    <s:col width="5.42578125" customWidth="1" style="13" min="39" max="39"/>
    <s:col width="7.140625" customWidth="1" style="13" min="40" max="40"/>
    <s:col width="5.7109375" customWidth="1" style="13" min="41" max="41"/>
    <s:col width="8.85546875" customWidth="1" style="15" min="42" max="42"/>
    <s:col width="4.5703125" customWidth="1" style="6" min="43" max="43"/>
    <s:col width="5.5703125" customWidth="1" style="16" min="44" max="44"/>
    <s:col width="5.7109375" customWidth="1" style="3" min="45" max="45"/>
    <s:col width="15.140625" customWidth="1" style="3" min="46" max="46"/>
    <s:col width="11.85546875" customWidth="1" style="3" min="47" max="55"/>
    <s:col width="15.42578125" customWidth="1" style="3" min="56" max="56"/>
    <s:col width="13.7109375" customWidth="1" style="9" min="57" max="57"/>
    <s:col width="16" customWidth="1" style="9" min="58" max="59"/>
    <s:col width="15" bestFit="1" customWidth="1" style="9" min="60" max="60"/>
    <s:col width="15.140625" customWidth="1" style="9" min="61" max="61"/>
    <s:col width="4.42578125" customWidth="1" style="9" min="62" max="62"/>
    <s:col width="5.5703125" customWidth="1" style="9" min="63" max="63"/>
    <s:col width="4.28515625" customWidth="1" style="9" min="64" max="64"/>
    <s:col width="18.28515625" customWidth="1" style="9" min="65" max="65"/>
    <s:col width="7.140625" customWidth="1" style="9" min="66" max="66"/>
    <s:col width="6.85546875" customWidth="1" style="9" min="67" max="67"/>
    <s:col width="9" customWidth="1" style="9" min="68" max="68"/>
    <s:col width="11" customWidth="1" style="9" min="69" max="69"/>
    <s:col width="13.140625" customWidth="1" style="9" min="70" max="95"/>
    <s:col width="7.140625" customWidth="1" style="3" min="96" max="16384"/>
  </s:cols>
  <s:sheetData>
    <s:row r="1" ht="26.25" customFormat="1" customHeight="1" s="1" thickBot="1">
      <s:c r="A1" s="31" t="n"/>
      <s:c r="B1" s="32" t="n"/>
      <s:c r="C1" s="32" t="n"/>
      <s:c r="D1" s="33" t="n"/>
      <s:c r="E1" s="152" t="inlineStr">
        <s:is>
          <s:t>FORMATO</s:t>
        </s:is>
      </s:c>
      <s:c r="F1" s="153" t="n"/>
      <s:c r="G1" s="153" t="n"/>
      <s:c r="H1" s="153" t="n"/>
      <s:c r="I1" s="153" t="n"/>
      <s:c r="J1" s="153" t="n"/>
      <s:c r="K1" s="153" t="n"/>
      <s:c r="L1" s="153" t="n"/>
      <s:c r="M1" s="153" t="n"/>
      <s:c r="N1" s="153" t="n"/>
      <s:c r="O1" s="153" t="n"/>
      <s:c r="P1" s="153" t="n"/>
      <s:c r="Q1" s="153" t="n"/>
      <s:c r="R1" s="153" t="n"/>
      <s:c r="S1" s="153" t="n"/>
      <s:c r="T1" s="153" t="n"/>
      <s:c r="U1" s="153" t="n"/>
      <s:c r="V1" s="153" t="n"/>
      <s:c r="W1" s="153" t="n"/>
      <s:c r="X1" s="153" t="n"/>
      <s:c r="Y1" s="153" t="n"/>
      <s:c r="Z1" s="153" t="n"/>
      <s:c r="AA1" s="153" t="n"/>
      <s:c r="AB1" s="153" t="n"/>
      <s:c r="AC1" s="153" t="n"/>
      <s:c r="AD1" s="153" t="n"/>
      <s:c r="AE1" s="153" t="n"/>
      <s:c r="AF1" s="153" t="n"/>
      <s:c r="AG1" s="153" t="n"/>
      <s:c r="AH1" s="153" t="n"/>
      <s:c r="AI1" s="153" t="n"/>
      <s:c r="AJ1" s="153" t="n"/>
      <s:c r="AK1" s="153" t="n"/>
      <s:c r="AL1" s="153" t="n"/>
      <s:c r="AM1" s="153" t="n"/>
      <s:c r="AN1" s="153" t="n"/>
      <s:c r="AO1" s="154" t="n"/>
      <s:c r="AP1" s="155" t="inlineStr">
        <s:is>
          <s:t>Código: F05-GA-PR-01</s:t>
        </s:is>
      </s:c>
      <s:c r="AQ1" s="156" t="n"/>
      <s:c r="AR1" s="156" t="n"/>
      <s:c r="AS1" s="156" t="n"/>
      <s:c r="AT1" s="157" t="n"/>
      <s:c r="AU1" s="42" t="n"/>
      <s:c r="AV1" s="49" t="inlineStr">
        <s:is>
          <s:t>Q3/Q1</s:t>
        </s:is>
      </s:c>
      <s:c r="AW1" s="49" t="inlineStr">
        <s:is>
          <s:t>Q3 (m3/h):</s:t>
        </s:is>
      </s:c>
      <s:c r="AX1" s="42" t="n"/>
      <s:c r="AY1" s="42" t="n"/>
      <s:c r="AZ1" s="42" t="n"/>
      <s:c r="BA1" s="42" t="n"/>
      <s:c r="BE1" s="17" t="n"/>
      <s:c r="BF1" s="17" t="n"/>
      <s:c r="BG1" s="17" t="n"/>
      <s:c r="BH1" s="17" t="n"/>
      <s:c r="BI1" s="17" t="n"/>
      <s:c r="BJ1" s="17" t="n"/>
      <s:c r="BK1" s="17" t="n"/>
      <s:c r="BL1" s="17" t="n"/>
      <s:c r="BM1" s="17" t="n"/>
      <s:c r="BN1" s="17" t="n"/>
      <s:c r="BO1" s="17" t="n"/>
      <s:c r="BP1" s="18" t="n"/>
      <s:c r="BQ1" s="18" t="n"/>
      <s:c r="BR1" s="18" t="n"/>
      <s:c r="BS1" s="18" t="n"/>
      <s:c r="BT1" s="18" t="n"/>
      <s:c r="BU1" s="18" t="n"/>
      <s:c r="BV1" s="18" t="n"/>
      <s:c r="BW1" s="18" t="n"/>
      <s:c r="BX1" s="18" t="n"/>
      <s:c r="BY1" s="18" t="n"/>
      <s:c r="BZ1" s="18" t="n"/>
      <s:c r="CA1" s="18" t="n"/>
      <s:c r="CB1" s="18" t="n"/>
      <s:c r="CC1" s="18" t="n"/>
      <s:c r="CD1" s="18" t="n"/>
      <s:c r="CE1" s="18" t="n"/>
      <s:c r="CF1" s="18" t="n"/>
      <s:c r="CG1" s="18" t="n"/>
      <s:c r="CH1" s="18" t="n"/>
      <s:c r="CI1" s="18" t="n"/>
      <s:c r="CJ1" s="18" t="n"/>
      <s:c r="CK1" s="18" t="n"/>
      <s:c r="CL1" s="18" t="n"/>
      <s:c r="CM1" s="18" t="n"/>
      <s:c r="CN1" s="18" t="n"/>
      <s:c r="CO1" s="18" t="n"/>
      <s:c r="CP1" s="18" t="n"/>
      <s:c r="CQ1" s="18" t="n"/>
    </s:row>
    <s:row r="2" ht="21.75" customFormat="1" customHeight="1" s="1" thickBot="1">
      <s:c r="A2" s="34" t="n"/>
      <s:c r="B2" s="35" t="n"/>
      <s:c r="C2" s="35" t="n"/>
      <s:c r="D2" s="36" t="n"/>
      <s:c r="E2" s="158" t="inlineStr">
        <s:is>
          <s:t xml:space="preserve">  INGRESO DE DATOS DE LA VERIFICACIÓN INICIAL DE MEDIDORES EN LA COMPUTADORA</s:t>
        </s:is>
      </s:c>
      <s:c r="F2" s="156" t="n"/>
      <s:c r="G2" s="156" t="n"/>
      <s:c r="H2" s="156" t="n"/>
      <s:c r="I2" s="156" t="n"/>
      <s:c r="J2" s="156" t="n"/>
      <s:c r="K2" s="156" t="n"/>
      <s:c r="L2" s="156" t="n"/>
      <s:c r="M2" s="156" t="n"/>
      <s:c r="N2" s="156" t="n"/>
      <s:c r="O2" s="156" t="n"/>
      <s:c r="P2" s="156" t="n"/>
      <s:c r="Q2" s="156" t="n"/>
      <s:c r="R2" s="156" t="n"/>
      <s:c r="S2" s="156" t="n"/>
      <s:c r="T2" s="156" t="n"/>
      <s:c r="U2" s="156" t="n"/>
      <s:c r="V2" s="156" t="n"/>
      <s:c r="W2" s="156" t="n"/>
      <s:c r="X2" s="156" t="n"/>
      <s:c r="Y2" s="156" t="n"/>
      <s:c r="Z2" s="156" t="n"/>
      <s:c r="AA2" s="156" t="n"/>
      <s:c r="AB2" s="156" t="n"/>
      <s:c r="AC2" s="156" t="n"/>
      <s:c r="AD2" s="156" t="n"/>
      <s:c r="AE2" s="156" t="n"/>
      <s:c r="AF2" s="156" t="n"/>
      <s:c r="AG2" s="156" t="n"/>
      <s:c r="AH2" s="156" t="n"/>
      <s:c r="AI2" s="156" t="n"/>
      <s:c r="AJ2" s="156" t="n"/>
      <s:c r="AK2" s="156" t="n"/>
      <s:c r="AL2" s="156" t="n"/>
      <s:c r="AM2" s="156" t="n"/>
      <s:c r="AN2" s="156" t="n"/>
      <s:c r="AO2" s="157" t="n"/>
      <s:c r="AP2" s="159" t="inlineStr">
        <s:is>
          <s:t>Versión: 07</s:t>
        </s:is>
      </s:c>
      <s:c r="AQ2" s="153" t="n"/>
      <s:c r="AR2" s="153" t="n"/>
      <s:c r="AS2" s="153" t="n"/>
      <s:c r="AT2" s="154" t="n"/>
      <s:c r="AU2" s="42" t="n"/>
      <s:c r="AV2" s="21" t="n">
        <s:v>100</s:v>
      </s:c>
      <s:c r="AW2" s="50" t="n">
        <s:v>1.6</s:v>
      </s:c>
      <s:c r="AX2" s="42" t="n"/>
      <s:c r="AY2" s="42" t="n"/>
      <s:c r="AZ2" s="42" t="n"/>
      <s:c r="BA2" s="42" t="n"/>
      <s:c r="BE2" s="17" t="n"/>
      <s:c r="BF2" s="17" t="n"/>
      <s:c r="BG2" s="17" t="n"/>
      <s:c r="BH2" s="17" t="n"/>
      <s:c r="BI2" s="17" t="n"/>
      <s:c r="BJ2" s="17" t="n"/>
      <s:c r="BK2" s="17" t="n"/>
      <s:c r="BL2" s="43" t="n"/>
      <s:c r="BM2" s="17" t="n"/>
      <s:c r="BN2" s="17" t="n"/>
      <s:c r="BO2" s="17" t="n"/>
      <s:c r="BP2" s="18" t="n"/>
      <s:c r="BQ2" s="18" t="n"/>
      <s:c r="BR2" s="18" t="n"/>
      <s:c r="BS2" s="18" t="n"/>
      <s:c r="BT2" s="18" t="n"/>
      <s:c r="BU2" s="18" t="n"/>
      <s:c r="BV2" s="18" t="n"/>
      <s:c r="BW2" s="18" t="n"/>
      <s:c r="BX2" s="18" t="n"/>
      <s:c r="BY2" s="18" t="n"/>
      <s:c r="BZ2" s="18" t="n"/>
      <s:c r="CA2" s="18" t="n"/>
      <s:c r="CB2" s="18" t="n"/>
      <s:c r="CC2" s="18" t="n"/>
      <s:c r="CD2" s="18" t="n"/>
      <s:c r="CE2" s="18" t="n"/>
      <s:c r="CF2" s="18" t="n"/>
      <s:c r="CG2" s="18" t="n"/>
      <s:c r="CH2" s="18" t="n"/>
      <s:c r="CI2" s="18" t="n"/>
      <s:c r="CJ2" s="18" t="n"/>
      <s:c r="CK2" s="18" t="n"/>
      <s:c r="CL2" s="18" t="n"/>
      <s:c r="CM2" s="18" t="n"/>
      <s:c r="CN2" s="18" t="n"/>
      <s:c r="CO2" s="18" t="n"/>
      <s:c r="CP2" s="18" t="n"/>
      <s:c r="CQ2" s="18" t="n"/>
    </s:row>
    <s:row r="3" ht="26.25" customFormat="1" customHeight="1" s="1" thickBot="1">
      <s:c r="A3" s="37" t="n"/>
      <s:c r="B3" s="38" t="n"/>
      <s:c r="C3" s="38" t="n"/>
      <s:c r="D3" s="39" t="n"/>
      <s:c r="E3" s="160" t="n"/>
      <s:c r="F3" s="161" t="n"/>
      <s:c r="G3" s="161" t="n"/>
      <s:c r="H3" s="161" t="n"/>
      <s:c r="I3" s="161" t="n"/>
      <s:c r="J3" s="161" t="n"/>
      <s:c r="K3" s="161" t="n"/>
      <s:c r="L3" s="161" t="n"/>
      <s:c r="M3" s="161" t="n"/>
      <s:c r="N3" s="161" t="n"/>
      <s:c r="O3" s="161" t="n"/>
      <s:c r="P3" s="161" t="n"/>
      <s:c r="Q3" s="161" t="n"/>
      <s:c r="R3" s="161" t="n"/>
      <s:c r="S3" s="161" t="n"/>
      <s:c r="T3" s="161" t="n"/>
      <s:c r="U3" s="161" t="n"/>
      <s:c r="V3" s="161" t="n"/>
      <s:c r="W3" s="161" t="n"/>
      <s:c r="X3" s="161" t="n"/>
      <s:c r="Y3" s="161" t="n"/>
      <s:c r="Z3" s="161" t="n"/>
      <s:c r="AA3" s="161" t="n"/>
      <s:c r="AB3" s="161" t="n"/>
      <s:c r="AC3" s="161" t="n"/>
      <s:c r="AD3" s="161" t="n"/>
      <s:c r="AE3" s="161" t="n"/>
      <s:c r="AF3" s="161" t="n"/>
      <s:c r="AG3" s="161" t="n"/>
      <s:c r="AH3" s="161" t="n"/>
      <s:c r="AI3" s="161" t="n"/>
      <s:c r="AJ3" s="161" t="n"/>
      <s:c r="AK3" s="161" t="n"/>
      <s:c r="AL3" s="161" t="n"/>
      <s:c r="AM3" s="161" t="n"/>
      <s:c r="AN3" s="161" t="n"/>
      <s:c r="AO3" s="162" t="n"/>
      <s:c r="AP3" s="159" t="inlineStr">
        <s:is>
          <s:t>Fecha de Vigencia:  2023-04-19</s:t>
        </s:is>
      </s:c>
      <s:c r="AQ3" s="153" t="n"/>
      <s:c r="AR3" s="153" t="n"/>
      <s:c r="AS3" s="153" t="n"/>
      <s:c r="AT3" s="154" t="n"/>
      <s:c r="AU3" s="42" t="n"/>
      <s:c r="AV3" s="22" t="n">
        <s:v>125</s:v>
      </s:c>
      <s:c r="AW3" s="51" t="n">
        <s:v>2.5</s:v>
      </s:c>
      <s:c r="AX3" s="42" t="n"/>
      <s:c r="AY3" s="42" t="n"/>
      <s:c r="AZ3" s="42" t="n"/>
      <s:c r="BA3" s="42" t="n"/>
      <s:c r="BE3" s="17" t="n"/>
      <s:c r="BF3" s="17" t="n"/>
      <s:c r="BG3" s="17" t="n"/>
      <s:c r="BH3" s="17" t="n"/>
      <s:c r="BI3" s="17" t="n"/>
      <s:c r="BJ3" s="17" t="n"/>
      <s:c r="BK3" s="17" t="n"/>
      <s:c r="BL3" s="43" t="n"/>
      <s:c r="BM3" s="17" t="n"/>
      <s:c r="BN3" s="17" t="n"/>
      <s:c r="BO3" s="17" t="n"/>
      <s:c r="BP3" s="18" t="n"/>
      <s:c r="BQ3" s="18" t="n"/>
      <s:c r="BR3" s="18" t="n"/>
      <s:c r="BS3" s="18" t="n"/>
      <s:c r="BT3" s="18" t="n"/>
      <s:c r="BU3" s="18" t="n"/>
      <s:c r="BV3" s="18" t="n"/>
      <s:c r="BW3" s="18" t="n"/>
      <s:c r="BX3" s="18" t="n"/>
      <s:c r="BY3" s="18" t="n"/>
      <s:c r="BZ3" s="18" t="n"/>
      <s:c r="CA3" s="18" t="n"/>
      <s:c r="CB3" s="18" t="n"/>
      <s:c r="CC3" s="18" t="n"/>
      <s:c r="CD3" s="18" t="n"/>
      <s:c r="CE3" s="18" t="n"/>
      <s:c r="CF3" s="18" t="n"/>
      <s:c r="CG3" s="18" t="n"/>
      <s:c r="CH3" s="18" t="n"/>
      <s:c r="CI3" s="18" t="n"/>
      <s:c r="CJ3" s="18" t="n"/>
      <s:c r="CK3" s="18" t="n"/>
      <s:c r="CL3" s="18" t="n"/>
      <s:c r="CM3" s="18" t="n"/>
      <s:c r="CN3" s="18" t="n"/>
      <s:c r="CO3" s="18" t="n"/>
      <s:c r="CP3" s="18" t="n"/>
      <s:c r="CQ3" s="18" t="n"/>
    </s:row>
    <s:row r="4" ht="24.75" customFormat="1" customHeight="1" s="1" thickBot="1">
      <s:c r="A4" s="65" t="inlineStr">
        <s:is>
          <s:t>Q3 (m3/h):</s:t>
        </s:is>
      </s:c>
      <s:c r="B4" s="153" t="n"/>
      <s:c r="C4" s="153" t="n"/>
      <s:c r="D4" s="154" t="n"/>
      <s:c r="E4" s="163" t="n">
        <s:v>4</s:v>
      </s:c>
      <s:c r="F4" s="153" t="n"/>
      <s:c r="G4" s="153" t="n"/>
      <s:c r="H4" s="153" t="n"/>
      <s:c r="I4" s="154" t="n"/>
      <s:c r="J4" s="65" t="inlineStr">
        <s:is>
          <s:t>Alcance Q3/Q1:</s:t>
        </s:is>
      </s:c>
      <s:c r="K4" s="153" t="n"/>
      <s:c r="L4" s="153" t="n"/>
      <s:c r="M4" s="153" t="n"/>
      <s:c r="N4" s="154" t="n"/>
      <s:c r="O4" s="70" t="n">
        <s:v>160</s:v>
      </s:c>
      <s:c r="P4" s="161" t="n"/>
      <s:c r="Q4" s="161" t="n"/>
      <s:c r="R4" s="162" t="n"/>
      <s:c r="S4" s="164" t="inlineStr">
        <s:is>
          <s:t>MAXIMO ERROR PERMISIBLE (PMA):</s:t>
        </s:is>
      </s:c>
      <s:c r="T4" s="161" t="n"/>
      <s:c r="U4" s="161" t="n"/>
      <s:c r="V4" s="161" t="n"/>
      <s:c r="W4" s="161" t="n"/>
      <s:c r="X4" s="161" t="n"/>
      <s:c r="Y4" s="161" t="n"/>
      <s:c r="Z4" s="162" t="n"/>
      <s:c r="AA4" s="91" t="inlineStr">
        <s:is>
          <s:t>Q3</s:t>
        </s:is>
      </s:c>
      <s:c r="AB4" s="162" t="n"/>
      <s:c r="AC4" s="165" t="inlineStr">
        <s:is>
          <s:t>Q2</s:t>
        </s:is>
      </s:c>
      <s:c r="AD4" s="153" t="n"/>
      <s:c r="AE4" s="154" t="n"/>
      <s:c r="AF4" s="165" t="inlineStr">
        <s:is>
          <s:t>Q1</s:t>
        </s:is>
      </s:c>
      <s:c r="AG4" s="153" t="n"/>
      <s:c r="AH4" s="154" t="n"/>
      <s:c r="AI4" s="2" t="n"/>
      <s:c r="AJ4" s="56" t="inlineStr">
        <s:is>
          <s:t>(-)</s:t>
        </s:is>
      </s:c>
      <s:c r="AK4" s="2" t="n"/>
      <s:c r="AL4" s="2" t="n"/>
      <s:c r="AM4" s="2" t="n"/>
      <s:c r="AN4" s="2" t="n"/>
      <s:c r="AO4" s="2" t="n"/>
      <s:c r="AP4" s="2" t="n"/>
      <s:c r="AQ4" s="2" t="n"/>
      <s:c r="AR4" s="2" t="n"/>
      <s:c r="AS4" s="2" t="n"/>
      <s:c r="AT4" s="57" t="n"/>
      <s:c r="AU4" s="42" t="n"/>
      <s:c r="AV4" s="22" t="n">
        <s:v>160</s:v>
      </s:c>
      <s:c r="AW4" s="166" t="n">
        <s:v>4</s:v>
      </s:c>
      <s:c r="AX4" s="42" t="n"/>
      <s:c r="AY4" s="42" t="n"/>
      <s:c r="AZ4" s="42" t="n"/>
      <s:c r="BA4" s="42" t="n"/>
      <s:c r="BE4" s="17" t="n"/>
      <s:c r="BF4" s="17" t="n"/>
      <s:c r="BG4" s="17" t="n"/>
      <s:c r="BH4" s="17" t="n"/>
      <s:c r="BI4" s="17" t="n"/>
      <s:c r="BJ4" s="17" t="n"/>
      <s:c r="BK4" s="17" t="n"/>
      <s:c r="BL4" s="17" t="n"/>
      <s:c r="BM4" s="17" t="n"/>
      <s:c r="BN4" s="17" t="n"/>
      <s:c r="BO4" s="17" t="n"/>
      <s:c r="BP4" s="18" t="n"/>
      <s:c r="BQ4" s="18" t="n"/>
      <s:c r="BR4" s="18" t="n"/>
      <s:c r="BS4" s="18" t="n"/>
      <s:c r="BT4" s="18" t="n"/>
      <s:c r="BU4" s="18" t="n"/>
      <s:c r="BV4" s="18" t="n"/>
      <s:c r="BW4" s="18" t="n"/>
      <s:c r="BX4" s="18" t="n"/>
      <s:c r="BY4" s="18" t="n"/>
      <s:c r="BZ4" s="18" t="n"/>
      <s:c r="CA4" s="18" t="n"/>
      <s:c r="CB4" s="18" t="n"/>
      <s:c r="CC4" s="18" t="n"/>
      <s:c r="CD4" s="18" t="n"/>
      <s:c r="CE4" s="18" t="n"/>
      <s:c r="CF4" s="18" t="n"/>
      <s:c r="CG4" s="18" t="n"/>
      <s:c r="CH4" s="18" t="n"/>
      <s:c r="CI4" s="18" t="n"/>
      <s:c r="CJ4" s="18" t="n"/>
      <s:c r="CK4" s="18" t="n"/>
      <s:c r="CL4" s="18" t="n"/>
      <s:c r="CM4" s="18" t="n"/>
      <s:c r="CN4" s="18" t="n"/>
      <s:c r="CO4" s="18" t="n"/>
      <s:c r="CP4" s="18" t="n"/>
      <s:c r="CQ4" s="18" t="n"/>
    </s:row>
    <s:row r="5" ht="27" customFormat="1" customHeight="1" s="2" thickBot="1">
      <s:c r="A5" s="75" t="inlineStr">
        <s:is>
          <s:t>Presión Estática    0=conforme; 1 = Daño Físico;   2 = Fuga (-) ;  3 = Picado; 4 = Desfasado; 5 = Paralizado</s:t>
        </s:is>
      </s:c>
      <s:c r="B5" s="153" t="n"/>
      <s:c r="C5" s="153" t="n"/>
      <s:c r="D5" s="153" t="n"/>
      <s:c r="E5" s="153" t="n"/>
      <s:c r="F5" s="153" t="n"/>
      <s:c r="G5" s="153" t="n"/>
      <s:c r="H5" s="153" t="n"/>
      <s:c r="I5" s="153" t="n"/>
      <s:c r="J5" s="153" t="n"/>
      <s:c r="K5" s="153" t="n"/>
      <s:c r="L5" s="153" t="n"/>
      <s:c r="M5" s="153" t="n"/>
      <s:c r="N5" s="153" t="n"/>
      <s:c r="O5" s="153" t="n"/>
      <s:c r="P5" s="153" t="n"/>
      <s:c r="Q5" s="153" t="n"/>
      <s:c r="R5" s="153" t="n"/>
      <s:c r="S5" s="153" t="n"/>
      <s:c r="T5" s="153" t="n"/>
      <s:c r="U5" s="153" t="n"/>
      <s:c r="V5" s="153" t="n"/>
      <s:c r="W5" s="153" t="n"/>
      <s:c r="X5" s="153" t="n"/>
      <s:c r="Y5" s="153" t="n"/>
      <s:c r="Z5" s="154" t="n"/>
      <s:c r="AA5" s="117" t="inlineStr">
        <s:is>
          <s:t xml:space="preserve">(±) 2% </s:t>
        </s:is>
      </s:c>
      <s:c r="AB5" s="154" t="n"/>
      <s:c r="AC5" s="117" t="inlineStr">
        <s:is>
          <s:t>(±) 2%</s:t>
        </s:is>
      </s:c>
      <s:c r="AD5" s="153" t="n"/>
      <s:c r="AE5" s="154" t="n"/>
      <s:c r="AF5" s="117" t="inlineStr">
        <s:is>
          <s:t>(±) 5%</s:t>
        </s:is>
      </s:c>
      <s:c r="AG5" s="153" t="n"/>
      <s:c r="AH5" s="154" t="n"/>
      <s:c r="AI5" s="58" t="n"/>
      <s:c r="AJ5" s="58" t="n"/>
      <s:c r="AK5" s="58" t="n"/>
      <s:c r="AL5" s="58" t="n"/>
      <s:c r="AM5" s="58" t="n"/>
      <s:c r="AN5" s="58" t="n"/>
      <s:c r="AO5" s="58" t="n"/>
      <s:c r="AP5" s="58" t="n"/>
      <s:c r="AQ5" s="58" t="n"/>
      <s:c r="AR5" s="58" t="n"/>
      <s:c r="AS5" s="58" t="n"/>
      <s:c r="AT5" s="59" t="n"/>
      <s:c r="AU5" s="44" t="n"/>
      <s:c r="AV5" s="53" t="n">
        <s:v>200</s:v>
      </s:c>
      <s:c r="AW5" s="51" t="n">
        <s:v>6.3</s:v>
      </s:c>
      <s:c r="AX5" s="44" t="n"/>
      <s:c r="AY5" s="44" t="n"/>
      <s:c r="AZ5" s="44" t="n"/>
      <s:c r="BA5" s="44" t="n"/>
      <s:c r="BE5" s="17" t="n"/>
      <s:c r="BF5" s="45" t="n"/>
      <s:c r="BG5" s="46" t="n"/>
      <s:c r="BH5" s="45" t="n"/>
      <s:c r="BI5" s="45" t="n"/>
      <s:c r="BJ5" s="45" t="n"/>
      <s:c r="BK5" s="47" t="n"/>
      <s:c r="BL5" s="47" t="n"/>
      <s:c r="BM5" s="45" t="n"/>
      <s:c r="BN5" s="45" t="n"/>
      <s:c r="BO5" s="45" t="n"/>
      <s:c r="BP5" s="45" t="n"/>
      <s:c r="BQ5" s="45" t="n"/>
      <s:c r="BR5" s="45" t="n"/>
      <s:c r="BS5" s="28" t="n"/>
      <s:c r="BT5" s="28" t="n"/>
      <s:c r="BU5" s="28" t="n"/>
      <s:c r="BV5" s="28" t="n"/>
      <s:c r="BW5" s="28" t="n"/>
      <s:c r="BX5" s="28" t="n"/>
      <s:c r="BY5" s="28" t="n"/>
      <s:c r="BZ5" s="28" t="n"/>
      <s:c r="CA5" s="28" t="n"/>
      <s:c r="CB5" s="28" t="n"/>
      <s:c r="CC5" s="28" t="n"/>
      <s:c r="CD5" s="28" t="n"/>
      <s:c r="CE5" s="28" t="n"/>
      <s:c r="CF5" s="28" t="n"/>
      <s:c r="CG5" s="28" t="n"/>
      <s:c r="CH5" s="28" t="n"/>
      <s:c r="CI5" s="28" t="n"/>
      <s:c r="CJ5" s="28" t="n"/>
      <s:c r="CK5" s="28" t="n"/>
      <s:c r="CL5" s="28" t="n"/>
      <s:c r="CM5" s="28" t="n"/>
      <s:c r="CN5" s="28" t="n"/>
      <s:c r="CO5" s="28" t="n"/>
      <s:c r="CP5" s="28" t="n"/>
      <s:c r="CQ5" s="28" t="n"/>
    </s:row>
    <s:row r="6" ht="15" customHeight="1" thickBot="1">
      <s:c r="A6" s="167" t="inlineStr">
        <s:is>
          <s:t>Item</s:t>
        </s:is>
      </s:c>
      <s:c r="B6" s="168" t="inlineStr">
        <s:is>
          <s:t xml:space="preserve">Fecha de Ensayo presion estatica </s:t>
        </s:is>
      </s:c>
      <s:c r="C6" s="169" t="inlineStr">
        <s:is>
          <s:t>Fecha de Ensayo errores de indicacion</s:t>
        </s:is>
      </s:c>
      <s:c r="D6" s="170" t="inlineStr">
        <s:is>
          <s:t>N° de banco de ensayo</s:t>
        </s:is>
      </s:c>
      <s:c r="E6" s="171" t="inlineStr">
        <s:is>
          <s:t>1' Técnico</s:t>
        </s:is>
      </s:c>
      <s:c r="F6" s="172" t="inlineStr">
        <s:is>
          <s:t>Nro de ceritificado</s:t>
        </s:is>
      </s:c>
      <s:c r="G6" s="173" t="inlineStr">
        <s:is>
          <s:t># Medidor</s:t>
        </s:is>
      </s:c>
      <s:c r="H6" s="174" t="inlineStr">
        <s:is>
          <s:t>Presión Estática</s:t>
        </s:is>
      </s:c>
      <s:c r="I6" s="175" t="n"/>
      <s:c r="J6" s="107">
        <s:f>+E4*1000</s:f>
        <s:v/>
      </s:c>
      <s:c r="K6" s="176" t="n"/>
      <s:c r="L6" s="176" t="n"/>
      <s:c r="M6" s="176" t="n"/>
      <s:c r="N6" s="176" t="n"/>
      <s:c r="O6" s="176" t="n"/>
      <s:c r="P6" s="176" t="n"/>
      <s:c r="Q6" s="176" t="n"/>
      <s:c r="R6" s="176" t="n"/>
      <s:c r="S6" s="176" t="n"/>
      <s:c r="T6" s="176" t="n"/>
      <s:c r="U6" s="177" t="n"/>
      <s:c r="V6" s="145">
        <s:f>AH6*1.6</s:f>
        <s:v/>
      </s:c>
      <s:c r="W6" s="176" t="n"/>
      <s:c r="X6" s="176" t="n"/>
      <s:c r="Y6" s="176" t="n"/>
      <s:c r="Z6" s="176" t="n"/>
      <s:c r="AA6" s="176" t="n"/>
      <s:c r="AB6" s="176" t="n"/>
      <s:c r="AC6" s="176" t="n"/>
      <s:c r="AD6" s="176" t="n"/>
      <s:c r="AE6" s="176" t="n"/>
      <s:c r="AF6" s="176" t="n"/>
      <s:c r="AG6" s="177" t="n"/>
      <s:c r="AH6" s="139">
        <s:f>J6/O4</s:f>
        <s:v/>
      </s:c>
      <s:c r="AI6" s="176" t="n"/>
      <s:c r="AJ6" s="176" t="n"/>
      <s:c r="AK6" s="176" t="n"/>
      <s:c r="AL6" s="176" t="n"/>
      <s:c r="AM6" s="176" t="n"/>
      <s:c r="AN6" s="176" t="n"/>
      <s:c r="AO6" s="176" t="n"/>
      <s:c r="AP6" s="176" t="n"/>
      <s:c r="AQ6" s="176" t="n"/>
      <s:c r="AR6" s="176" t="n"/>
      <s:c r="AS6" s="177" t="n"/>
      <s:c r="AT6" s="178" t="inlineStr">
        <s:is>
          <s:t>Estado</s:t>
        </s:is>
      </s:c>
      <s:c r="AU6" s="16" t="n"/>
      <s:c r="AV6" s="54" t="n">
        <s:v>400</s:v>
      </s:c>
      <s:c r="AW6" s="55" t="n"/>
      <s:c r="AX6" s="16" t="n"/>
      <s:c r="AY6" s="16" t="n"/>
      <s:c r="AZ6" s="16" t="n"/>
      <s:c r="BA6" s="16" t="n"/>
      <s:c r="BE6" s="17" t="n"/>
      <s:c r="BF6" s="5" t="n"/>
      <s:c r="BG6" s="5" t="n"/>
      <s:c r="BH6" s="5" t="n"/>
      <s:c r="BI6" s="5" t="n"/>
      <s:c r="BJ6" s="5" t="n"/>
      <s:c r="BK6" s="5" t="n"/>
      <s:c r="BL6" s="5" t="n"/>
      <s:c r="BM6" s="5" t="n"/>
      <s:c r="BN6" s="5" t="n"/>
      <s:c r="BO6" s="5" t="n"/>
      <s:c r="BP6" s="5" t="n"/>
    </s:row>
    <s:row r="7" ht="21.75" customHeight="1">
      <s:c r="A7" s="179" t="n"/>
      <s:c r="B7" s="180" t="n"/>
      <s:c r="C7" s="181" t="n"/>
      <s:c r="D7" s="182" t="n"/>
      <s:c r="E7" s="183" t="n"/>
      <s:c r="F7" s="183" t="n"/>
      <s:c r="G7" s="180" t="n"/>
      <s:c r="H7" s="184" t="n"/>
      <s:c r="I7" s="185" t="n"/>
      <s:c r="J7" s="110" t="inlineStr">
        <s:is>
          <s:t>Q3</s:t>
        </s:is>
      </s:c>
      <s:c r="K7" s="186" t="n"/>
      <s:c r="L7" s="186" t="n"/>
      <s:c r="M7" s="186" t="n"/>
      <s:c r="N7" s="186" t="n"/>
      <s:c r="O7" s="186" t="n"/>
      <s:c r="P7" s="186" t="n"/>
      <s:c r="Q7" s="186" t="n"/>
      <s:c r="R7" s="186" t="n"/>
      <s:c r="S7" s="186" t="n"/>
      <s:c r="T7" s="186" t="n"/>
      <s:c r="U7" s="187" t="n"/>
      <s:c r="V7" s="142" t="inlineStr">
        <s:is>
          <s:t>Q2</s:t>
        </s:is>
      </s:c>
      <s:c r="W7" s="186" t="n"/>
      <s:c r="X7" s="186" t="n"/>
      <s:c r="Y7" s="186" t="n"/>
      <s:c r="Z7" s="186" t="n"/>
      <s:c r="AA7" s="186" t="n"/>
      <s:c r="AB7" s="186" t="n"/>
      <s:c r="AC7" s="186" t="n"/>
      <s:c r="AD7" s="186" t="n"/>
      <s:c r="AE7" s="186" t="n"/>
      <s:c r="AF7" s="186" t="n"/>
      <s:c r="AG7" s="187" t="n"/>
      <s:c r="AH7" s="142" t="inlineStr">
        <s:is>
          <s:t>Q1</s:t>
        </s:is>
      </s:c>
      <s:c r="AI7" s="186" t="n"/>
      <s:c r="AJ7" s="186" t="n"/>
      <s:c r="AK7" s="186" t="n"/>
      <s:c r="AL7" s="186" t="n"/>
      <s:c r="AM7" s="186" t="n"/>
      <s:c r="AN7" s="186" t="n"/>
      <s:c r="AO7" s="186" t="n"/>
      <s:c r="AP7" s="186" t="n"/>
      <s:c r="AQ7" s="186" t="n"/>
      <s:c r="AR7" s="186" t="n"/>
      <s:c r="AS7" s="187" t="n"/>
      <s:c r="AT7" s="188" t="n"/>
      <s:c r="AU7" s="16" t="n"/>
      <s:c r="AV7" s="16" t="n"/>
      <s:c r="BD7" s="148" t="inlineStr">
        <s:is>
          <s:t>RANGOS ACEPTABLES DE CAUDAL</s:t>
        </s:is>
      </s:c>
      <s:c r="BE7" s="189" t="n"/>
      <s:c r="BF7" s="185" t="n"/>
      <s:c r="BG7" s="48" t="n"/>
      <s:c r="BH7" s="5" t="n"/>
      <s:c r="BI7" s="5" t="n"/>
      <s:c r="BJ7" s="5" t="n"/>
      <s:c r="BK7" s="5" t="n"/>
      <s:c r="BL7" s="5" t="n"/>
      <s:c r="BM7" s="5" t="n"/>
      <s:c r="BN7" s="5" t="n"/>
      <s:c r="BO7" s="5" t="n"/>
      <s:c r="BP7" s="5" t="n"/>
      <s:c r="BX7" s="121" t="inlineStr">
        <s:is>
          <s:t>ESTATICA</s:t>
        </s:is>
      </s:c>
      <s:c r="BY7" s="186" t="n"/>
      <s:c r="BZ7" s="187" t="n"/>
      <s:c r="CA7" s="121" t="inlineStr">
        <s:is>
          <s:t>ERRORES DE INDICACION</s:t>
        </s:is>
      </s:c>
      <s:c r="CB7" s="186" t="n"/>
      <s:c r="CC7" s="186" t="n"/>
      <s:c r="CD7" s="186" t="n"/>
      <s:c r="CE7" s="186" t="n"/>
      <s:c r="CF7" s="186" t="n"/>
      <s:c r="CG7" s="186" t="n"/>
      <s:c r="CH7" s="186" t="n"/>
      <s:c r="CI7" s="186" t="n"/>
      <s:c r="CJ7" s="186" t="n"/>
      <s:c r="CK7" s="186" t="n"/>
      <s:c r="CL7" s="186" t="n"/>
      <s:c r="CM7" s="186" t="n"/>
      <s:c r="CN7" s="186" t="n"/>
      <s:c r="CO7" s="186" t="n"/>
      <s:c r="CP7" s="186" t="n"/>
      <s:c r="CQ7" s="187" t="n"/>
    </s:row>
    <s:row r="8" ht="83.25" customFormat="1" customHeight="1" s="4" thickBot="1">
      <s:c r="A8" s="184" t="n"/>
      <s:c r="B8" s="190" t="n"/>
      <s:c r="C8" s="191" t="n"/>
      <s:c r="D8" s="192" t="n"/>
      <s:c r="E8" s="193" t="n"/>
      <s:c r="F8" s="194" t="n"/>
      <s:c r="G8" s="195" t="n"/>
      <s:c r="H8" s="196" t="inlineStr">
        <s:is>
          <s:t>Presión (bar)</s:t>
        </s:is>
      </s:c>
      <s:c r="I8" s="197" t="inlineStr">
        <s:is>
          <s:t>Estado</s:t>
        </s:is>
      </s:c>
      <s:c r="J8" s="198" t="inlineStr">
        <s:is>
          <s:t>Temperatura</s:t>
        </s:is>
      </s:c>
      <s:c r="K8" s="199" t="inlineStr">
        <s:is>
          <s:t>Presión Entrada</s:t>
        </s:is>
      </s:c>
      <s:c r="L8" s="199" t="inlineStr">
        <s:is>
          <s:t>Presión Salida</s:t>
        </s:is>
      </s:c>
      <s:c r="M8" s="200" t="inlineStr">
        <s:is>
          <s:t>L.I.</s:t>
        </s:is>
      </s:c>
      <s:c r="N8" s="200" t="inlineStr">
        <s:is>
          <s:t>L.F.</s:t>
        </s:is>
      </s:c>
      <s:c r="O8" s="201" t="inlineStr">
        <s:is>
          <s:t>Vol. P</s:t>
        </s:is>
      </s:c>
      <s:c r="P8" s="202" t="inlineStr">
        <s:is>
          <s:t>Tiempo</s:t>
        </s:is>
      </s:c>
      <s:c r="Q8" s="203" t="n"/>
      <s:c r="R8" s="203" t="n"/>
      <s:c r="S8" s="204" t="n"/>
      <s:c r="T8" s="205" t="inlineStr">
        <s:is>
          <s:t>Q3</s:t>
        </s:is>
      </s:c>
      <s:c r="U8" s="206" t="inlineStr">
        <s:is>
          <s:t>E %</s:t>
        </s:is>
      </s:c>
      <s:c r="V8" s="198" t="inlineStr">
        <s:is>
          <s:t>Temperatura</s:t>
        </s:is>
      </s:c>
      <s:c r="W8" s="199" t="inlineStr">
        <s:is>
          <s:t>Presión Entrada</s:t>
        </s:is>
      </s:c>
      <s:c r="X8" s="199" t="inlineStr">
        <s:is>
          <s:t>Presión Salida</s:t>
        </s:is>
      </s:c>
      <s:c r="Y8" s="200" t="inlineStr">
        <s:is>
          <s:t>L.I.</s:t>
        </s:is>
      </s:c>
      <s:c r="Z8" s="200" t="inlineStr">
        <s:is>
          <s:t>L.F.</s:t>
        </s:is>
      </s:c>
      <s:c r="AA8" s="201" t="inlineStr">
        <s:is>
          <s:t>Vol. P</s:t>
        </s:is>
      </s:c>
      <s:c r="AB8" s="202" t="inlineStr">
        <s:is>
          <s:t>Tiempo</s:t>
        </s:is>
      </s:c>
      <s:c r="AC8" s="203" t="n"/>
      <s:c r="AD8" s="203" t="n"/>
      <s:c r="AE8" s="204" t="n"/>
      <s:c r="AF8" s="205" t="inlineStr">
        <s:is>
          <s:t>Q2</s:t>
        </s:is>
      </s:c>
      <s:c r="AG8" s="206" t="inlineStr">
        <s:is>
          <s:t>E %</s:t>
        </s:is>
      </s:c>
      <s:c r="AH8" s="198" t="inlineStr">
        <s:is>
          <s:t>Temperatura</s:t>
        </s:is>
      </s:c>
      <s:c r="AI8" s="199" t="inlineStr">
        <s:is>
          <s:t>Presión Entrada</s:t>
        </s:is>
      </s:c>
      <s:c r="AJ8" s="199" t="inlineStr">
        <s:is>
          <s:t>Presión Salida</s:t>
        </s:is>
      </s:c>
      <s:c r="AK8" s="200" t="inlineStr">
        <s:is>
          <s:t>L.I.</s:t>
        </s:is>
      </s:c>
      <s:c r="AL8" s="200" t="inlineStr">
        <s:is>
          <s:t>L.F.</s:t>
        </s:is>
      </s:c>
      <s:c r="AM8" s="201" t="inlineStr">
        <s:is>
          <s:t>Vol. P</s:t>
        </s:is>
      </s:c>
      <s:c r="AN8" s="202" t="inlineStr">
        <s:is>
          <s:t>Tiempo</s:t>
        </s:is>
      </s:c>
      <s:c r="AO8" s="203" t="n"/>
      <s:c r="AP8" s="203" t="n"/>
      <s:c r="AQ8" s="204" t="n"/>
      <s:c r="AR8" s="205" t="inlineStr">
        <s:is>
          <s:t>Q1</s:t>
        </s:is>
      </s:c>
      <s:c r="AS8" s="206" t="inlineStr">
        <s:is>
          <s:t>E %</s:t>
        </s:is>
      </s:c>
      <s:c r="AT8" s="207" t="n"/>
      <s:c r="AU8" s="5" t="n"/>
      <s:c r="AV8" s="5" t="n"/>
      <s:c r="AW8" s="5" t="n"/>
      <s:c r="AX8" s="5" t="n"/>
      <s:c r="AY8" s="60" t="inlineStr">
        <s:is>
          <s:t>LQ3Q2</s:t>
        </s:is>
      </s:c>
      <s:c r="AZ8" s="60" t="inlineStr">
        <s:is>
          <s:t>LQ2Q1</s:t>
        </s:is>
      </s:c>
      <s:c r="BA8" s="61" t="inlineStr">
        <s:is>
          <s:t>Presion en Q3</s:t>
        </s:is>
      </s:c>
      <s:c r="BB8" s="61" t="inlineStr">
        <s:is>
          <s:t>Presion en Q2</s:t>
        </s:is>
      </s:c>
      <s:c r="BC8" s="61" t="inlineStr">
        <s:is>
          <s:t>Presion en Q1</s:t>
        </s:is>
      </s:c>
      <s:c r="BD8" s="208" t="inlineStr">
        <s:is>
          <s:t>Caudal</s:t>
        </s:is>
      </s:c>
      <s:c r="BE8" s="41" t="inlineStr">
        <s:is>
          <s:t>Q1</s:t>
        </s:is>
      </s:c>
      <s:c r="BF8" s="41" t="inlineStr">
        <s:is>
          <s:t>Q2</s:t>
        </s:is>
      </s:c>
      <s:c r="BG8" s="41" t="inlineStr">
        <s:is>
          <s:t>Q3</s:t>
        </s:is>
      </s:c>
      <s:c r="BH8" s="209" t="inlineStr">
        <s:is>
          <s:t>Ley Signos y Errores</s:t>
        </s:is>
      </s:c>
      <s:c r="BI8" s="189" t="n"/>
      <s:c r="BJ8" s="189" t="n"/>
      <s:c r="BK8" s="189" t="n"/>
      <s:c r="BL8" s="189" t="n"/>
      <s:c r="BM8" s="189" t="n"/>
      <s:c r="BN8" s="189" t="n"/>
      <s:c r="BO8" s="189" t="n"/>
      <s:c r="BP8" s="189" t="n"/>
      <s:c r="BQ8" s="189" t="n"/>
      <s:c r="BR8" s="185" t="n"/>
      <s:c r="BS8" s="210" t="inlineStr">
        <s:is>
          <s:t>N° Certificado (*)</s:t>
        </s:is>
      </s:c>
      <s:c r="BT8" s="210" t="inlineStr">
        <s:is>
          <s:t>N° Serie</s:t>
        </s:is>
      </s:c>
      <s:c r="BU8" s="210" t="inlineStr">
        <s:is>
          <s:t>Año fabricación</s:t>
        </s:is>
      </s:c>
      <s:c r="BV8" s="210" t="inlineStr">
        <s:is>
          <s:t>Fecha de emisión certificado</s:t>
        </s:is>
      </s:c>
      <s:c r="BW8" s="210" t="inlineStr">
        <s:is>
          <s:t>Conclusión de la Verificación</s:t>
        </s:is>
      </s:c>
      <s:c r="BX8" s="210" t="inlineStr">
        <s:is>
          <s:t>Fecha del ensayo</s:t>
        </s:is>
      </s:c>
      <s:c r="BY8" s="210" t="inlineStr">
        <s:is>
          <s:t>pe/ bar</s:t>
        </s:is>
      </s:c>
      <s:c r="BZ8" s="210" t="inlineStr">
        <s:is>
          <s:t>Conclusión</s:t>
        </s:is>
      </s:c>
      <s:c r="CA8" s="210" t="inlineStr">
        <s:is>
          <s:t>Fecha del ensayo</s:t>
        </s:is>
      </s:c>
      <s:c r="CB8" s="210" t="inlineStr">
        <s:is>
          <s:t>tQ1
/ °C</s:t>
        </s:is>
      </s:c>
      <s:c r="CC8" s="210" t="inlineStr">
        <s:is>
          <s:t>Q1 = Qmin
/ (L/h)</s:t>
        </s:is>
      </s:c>
      <s:c r="CD8" s="210" t="inlineStr">
        <s:is>
          <s:t>pQ1=Qmin (entrada)
/ bar</s:t>
        </s:is>
      </s:c>
      <s:c r="CE8" s="210" t="inlineStr">
        <s:is>
          <s:t>pQ1=Qmin (salida)
/ bar</s:t>
        </s:is>
      </s:c>
      <s:c r="CF8" s="210" t="inlineStr">
        <s:is>
          <s:t>EQ1=Qmin
/ %</s:t>
        </s:is>
      </s:c>
      <s:c r="CG8" s="210" t="inlineStr">
        <s:is>
          <s:t>tQ2
/ °C</s:t>
        </s:is>
      </s:c>
      <s:c r="CH8" s="210" t="inlineStr">
        <s:is>
          <s:t>Q2 = Qt
/ (L/h)</s:t>
        </s:is>
      </s:c>
      <s:c r="CI8" s="210" t="inlineStr">
        <s:is>
          <s:t>pQ2=Qt (entrada)
/ bar</s:t>
        </s:is>
      </s:c>
      <s:c r="CJ8" s="210" t="inlineStr">
        <s:is>
          <s:t>pQ2=Qt (salida)
/ bar</s:t>
        </s:is>
      </s:c>
      <s:c r="CK8" s="210" t="inlineStr">
        <s:is>
          <s:t>EQ2=Qt
/ %</s:t>
        </s:is>
      </s:c>
      <s:c r="CL8" s="210" t="inlineStr">
        <s:is>
          <s:t>tQ3
/ °C</s:t>
        </s:is>
      </s:c>
      <s:c r="CM8" s="210" t="inlineStr">
        <s:is>
          <s:t>Q3 = Qp
/ (L/h)</s:t>
        </s:is>
      </s:c>
      <s:c r="CN8" s="210" t="inlineStr">
        <s:is>
          <s:t>pQ3=Qp (entrada)
/ bar</s:t>
        </s:is>
      </s:c>
      <s:c r="CO8" s="210" t="inlineStr">
        <s:is>
          <s:t>pQ3=Qp (salida)
/ bar</s:t>
        </s:is>
      </s:c>
      <s:c r="CP8" s="210" t="inlineStr">
        <s:is>
          <s:t>EQ3=Qp
/ %</s:t>
        </s:is>
      </s:c>
      <s:c r="CQ8" s="210" t="inlineStr">
        <s:is>
          <s:t>Conclusión</s:t>
        </s:is>
      </s:c>
    </s:row>
    <s:row r="9">
      <s:c r="A9" s="211" t="n">
        <s:v>1</s:v>
      </s:c>
      <s:c r="B9" s="212" t="n">
        <s:v>45901</s:v>
      </s:c>
      <s:c r="C9" s="213" t="n">
        <s:v>45901</s:v>
      </s:c>
      <s:c r="D9" s="214" t="n">
        <s:v>6</s:v>
      </s:c>
      <s:c r="E9" s="215" t="n">
        <s:v>4</s:v>
      </s:c>
      <s:c r="F9" s="216" t="inlineStr">
        <s:is>
          <s:t>VI-142059-2025</s:t>
        </s:is>
      </s:c>
      <s:c r="G9" s="217" t="inlineStr">
        <s:is>
          <s:t>QB25009841</s:t>
        </s:is>
      </s:c>
      <s:c r="H9" s="218" t="n">
        <s:v>16</s:v>
      </s:c>
      <s:c r="I9" s="219" t="n">
        <s:v>0</s:v>
      </s:c>
      <s:c r="J9" s="220" t="n">
        <s:v>17.6</s:v>
      </s:c>
      <s:c r="K9" s="221" t="n">
        <s:v>5.154</s:v>
      </s:c>
      <s:c r="L9" s="221" t="n">
        <s:v>0.827</s:v>
      </s:c>
      <s:c r="M9" s="222" t="n">
        <s:v>708.04</s:v>
      </s:c>
      <s:c r="N9" s="222" t="n">
        <s:v>808.88</s:v>
      </s:c>
      <s:c r="O9" s="222" t="n">
        <s:v>101.09</s:v>
      </s:c>
      <s:c r="P9" s="223" t="inlineStr">
        <s:is>
          <s:t>1,34,180</s:t>
        </s:is>
      </s:c>
      <s:c r="Q9" s="224" t="inlineStr">
        <s:is>
          <s:t>1</s:t>
        </s:is>
      </s:c>
      <s:c r="R9" s="224" t="inlineStr">
        <s:is>
          <s:t>34,180</s:t>
        </s:is>
      </s:c>
      <s:c r="S9" s="224" t="n">
        <s:v>0.02616111111111111</s:v>
      </s:c>
      <s:c r="T9" s="225" t="n">
        <s:v>3864.13251221066</s:v>
      </s:c>
      <s:c r="U9" s="226" t="n">
        <s:v>-0.2473043822336251</s:v>
      </s:c>
      <s:c r="V9" s="220" t="n">
        <s:v>17.7</s:v>
      </s:c>
      <s:c r="W9" s="221" t="n">
        <s:v>1.502</s:v>
      </s:c>
      <s:c r="X9" s="221" t="n">
        <s:v>1.495</s:v>
      </s:c>
      <s:c r="Y9" s="222" t="n">
        <s:v>819.78</s:v>
      </s:c>
      <s:c r="Z9" s="222" t="n">
        <s:v>829.96</s:v>
      </s:c>
      <s:c r="AA9" s="227" t="n">
        <s:v>10.03</s:v>
      </s:c>
      <s:c r="AB9" s="228" t="inlineStr">
        <s:is>
          <s:t>14,04,150</s:t>
        </s:is>
      </s:c>
      <s:c r="AC9" s="224" t="inlineStr">
        <s:is>
          <s:t>14</s:t>
        </s:is>
      </s:c>
      <s:c r="AD9" s="224" t="inlineStr">
        <s:is>
          <s:t>04,150</s:t>
        </s:is>
      </s:c>
      <s:c r="AE9" s="224" t="n">
        <s:v>0.2344861111111111</s:v>
      </s:c>
      <s:c r="AF9" s="225" t="n">
        <s:v>42.7743884380738</s:v>
      </s:c>
      <s:c r="AG9" s="229" t="n">
        <s:v>1.495513459621778</s:v>
      </s:c>
      <s:c r="AH9" s="220" t="n">
        <s:v>17.6</s:v>
      </s:c>
      <s:c r="AI9" s="221" t="n">
        <s:v>1.502</s:v>
      </s:c>
      <s:c r="AJ9" s="221" t="n">
        <s:v>1.496</s:v>
      </s:c>
      <s:c r="AK9" s="222" t="n">
        <s:v>829.96</s:v>
      </s:c>
      <s:c r="AL9" s="222" t="n">
        <s:v>835.0599999999999</s:v>
      </s:c>
      <s:c r="AM9" s="230" t="n">
        <s:v>5.018</s:v>
      </s:c>
      <s:c r="AN9" s="223" t="inlineStr">
        <s:is>
          <s:t>11,21,890</s:t>
        </s:is>
      </s:c>
      <s:c r="AO9" s="224" t="inlineStr">
        <s:is>
          <s:t>11</s:t>
        </s:is>
      </s:c>
      <s:c r="AP9" s="224" t="inlineStr">
        <s:is>
          <s:t>21,890</s:t>
        </s:is>
      </s:c>
      <s:c r="AQ9" s="224" t="n">
        <s:v>0.1894138888888889</s:v>
      </s:c>
      <s:c r="AR9" s="225" t="n">
        <s:v>26.49224948305445</s:v>
      </s:c>
      <s:c r="AS9" s="229" t="n">
        <s:v>1.634117178156821</s:v>
      </s:c>
      <s:c r="AT9" s="231" t="inlineStr">
        <s:is>
          <s:t>CONFORME</s:t>
        </s:is>
      </s:c>
      <s:c r="AU9" s="232">
        <s:f>B9=C9</s:f>
        <s:v/>
      </s:c>
      <s:c r="AV9" s="233">
        <s:f>MID(G9,1,2)</s:f>
        <s:v/>
      </s:c>
      <s:c r="AW9" s="233">
        <s:f>LEN(G9)</s:f>
        <s:v/>
      </s:c>
      <s:c r="AX9" s="233" t="inlineStr">
        <s:is>
          <s:t>OI-0534-2025</s:t>
        </s:is>
      </s:c>
      <s:c r="AY9" s="233">
        <s:f>N9&lt;Y9</s:f>
        <s:v/>
      </s:c>
      <s:c r="AZ9" s="233">
        <s:f>Z9&lt;=AK9</s:f>
        <s:v/>
      </s:c>
      <s:c r="BA9" s="233">
        <s:f>L9&lt;K9</s:f>
        <s:v/>
      </s:c>
      <s:c r="BB9" s="233">
        <s:f>W9&gt;=X9</s:f>
        <s:v/>
      </s:c>
      <s:c r="BC9" s="233">
        <s:f>AI9&gt;=AJ9</s:f>
        <s:v/>
      </s:c>
      <s:c r="BD9" s="233">
        <s:f>IF(I9&gt;=1,"Qcorrecto",IF(AND(BE9="aceptable",BF9="aceptable",BG9="aceptable"),"Qcorrecto","Qincorrecto"))</s:f>
        <s:v/>
      </s:c>
      <s:c r="BE9" s="232">
        <s:f>IF(AR9&lt;$AH$6,"error",IF(AR9&gt;$AH$6*1.1,"error","aceptable"))</s:f>
        <s:v/>
      </s:c>
      <s:c r="BF9" s="232">
        <s:f>IF(AF9&lt;$V$6,"error",IF(AF9&gt;$V$6*1.1,"error","aceptable"))</s:f>
        <s:v/>
      </s:c>
      <s:c r="BG9" s="232">
        <s:f>IF(T9&lt;$J$6*0.9,"error",IF(T9&gt;$J$6,"error","aceptable"))</s:f>
        <s:v/>
      </s:c>
      <s:c r="BH9" s="234">
        <s:f>(IF(ABS(U9)&lt;1,"CONFORME",IF(ABS(AG9)&lt;1,"CONFORME",IF(ABS(AS9)&lt;2.5,"CONFORME","NO CONFORME"))))</s:f>
        <s:v/>
      </s:c>
      <s:c r="BI9" s="235">
        <s:f>(IF(ABS(U9)&gt;2.044,"NO CONFORME",IF(ABS(AG9)&gt;2.044,"NO CONFORME",IF(ABS(AS9)&gt;5.044,"NO CONFORME","CONFORME"))))</s:f>
        <s:v/>
      </s:c>
      <s:c r="BJ9" s="233">
        <s:f>SIGN(U9)</s:f>
        <s:v/>
      </s:c>
      <s:c r="BK9" s="233">
        <s:f>SIGN(AG9)</s:f>
        <s:v/>
      </s:c>
      <s:c r="BL9" s="233">
        <s:f>SIGN(AS9)</s:f>
        <s:v/>
      </s:c>
      <s:c r="BM9" s="233">
        <s:f>CONCATENATE(BJ9,BK9,BL9)</s:f>
        <s:v/>
      </s:c>
      <s:c r="BN9" s="233">
        <s:f>IF(BM9="111","SI","SD")</s:f>
        <s:v/>
      </s:c>
      <s:c r="BO9" s="233">
        <s:f>IF(BM9="-1-1-1","SI","SD")</s:f>
        <s:v/>
      </s:c>
      <s:c r="BP9" s="233">
        <s:f>OR(BN9="SI",BO9="SI")</s:f>
        <s:v/>
      </s:c>
      <s:c r="BQ9" s="233">
        <s:f>IF(BP9=FALSE,"SIGDIFERENTES","SIGIGUALES")</s:f>
        <s:v/>
      </s:c>
      <s:c r="BR9" s="236">
        <s:f>IF(BI9="NO CONFORME","NO CONFORME",IF(BH9="CONFORME","CONFORME","NO CONFORME"))</s:f>
        <s:v/>
      </s:c>
      <s:c r="BS9" s="233">
        <s:f>F9</s:f>
        <s:v/>
      </s:c>
      <s:c r="BT9" s="237">
        <s:f>G9</s:f>
        <s:v/>
      </s:c>
      <s:c r="BU9" s="233">
        <s:f>"20"&amp;+MID(G9,3,2)</s:f>
        <s:v/>
      </s:c>
      <s:c r="BV9" s="238">
        <s:f>C9</s:f>
        <s:v/>
      </s:c>
      <s:c r="BW9" s="233">
        <s:f>AT9</s:f>
        <s:v/>
      </s:c>
      <s:c r="BX9" s="238">
        <s:f>B9</s:f>
        <s:v/>
      </s:c>
      <s:c r="BY9" s="239">
        <s:f>H9</s:f>
        <s:v/>
      </s:c>
      <s:c r="BZ9" s="233">
        <s:f>IF(I9=0,"CONFORME","NO CONFORME")</s:f>
        <s:v/>
      </s:c>
      <s:c r="CA9" s="238">
        <s:f>C9</s:f>
        <s:v/>
      </s:c>
      <s:c r="CB9" s="240">
        <s:f>AH9</s:f>
        <s:v/>
      </s:c>
      <s:c r="CC9" s="241">
        <s:f>AR9</s:f>
        <s:v/>
      </s:c>
      <s:c r="CD9" s="240">
        <s:f>AI9</s:f>
        <s:v/>
      </s:c>
      <s:c r="CE9" s="240">
        <s:f>AJ9</s:f>
        <s:v/>
      </s:c>
      <s:c r="CF9" s="240">
        <s:f>AS9</s:f>
        <s:v/>
      </s:c>
      <s:c r="CG9" s="240">
        <s:f>V9</s:f>
        <s:v/>
      </s:c>
      <s:c r="CH9" s="241">
        <s:f>AF9</s:f>
        <s:v/>
      </s:c>
      <s:c r="CI9" s="240">
        <s:f>W9</s:f>
        <s:v/>
      </s:c>
      <s:c r="CJ9" s="240">
        <s:f>X9</s:f>
        <s:v/>
      </s:c>
      <s:c r="CK9" s="240">
        <s:f>AG9</s:f>
        <s:v/>
      </s:c>
      <s:c r="CL9" s="240">
        <s:f>J9</s:f>
        <s:v/>
      </s:c>
      <s:c r="CM9" s="241">
        <s:f>T9</s:f>
        <s:v/>
      </s:c>
      <s:c r="CN9" s="240">
        <s:f>K9</s:f>
        <s:v/>
      </s:c>
      <s:c r="CO9" s="240">
        <s:f>L9</s:f>
        <s:v/>
      </s:c>
      <s:c r="CP9" s="242">
        <s:f>U9</s:f>
        <s:v/>
      </s:c>
      <s:c r="CQ9" s="233">
        <s:f>AT9</s:f>
        <s:v/>
      </s:c>
    </s:row>
    <s:row r="10">
      <s:c r="A10" s="211" t="n">
        <s:v>2</s:v>
      </s:c>
      <s:c r="B10" s="212" t="n">
        <s:v>45901</s:v>
      </s:c>
      <s:c r="C10" s="213" t="n">
        <s:v>45901</s:v>
      </s:c>
      <s:c r="D10" s="214" t="n">
        <s:v>6</s:v>
      </s:c>
      <s:c r="E10" s="215" t="n">
        <s:v>4</s:v>
      </s:c>
      <s:c r="F10" s="216" t="inlineStr">
        <s:is>
          <s:t>VI-142060-2025</s:t>
        </s:is>
      </s:c>
      <s:c r="G10" s="217" t="inlineStr">
        <s:is>
          <s:t>QB25009842</s:t>
        </s:is>
      </s:c>
      <s:c r="H10" s="218" t="n">
        <s:v>16</s:v>
      </s:c>
      <s:c r="I10" s="219" t="n">
        <s:v>0</s:v>
      </s:c>
      <s:c r="J10" s="220" t="n">
        <s:v>17.6</s:v>
      </s:c>
      <s:c r="K10" s="221" t="n">
        <s:v>5.154</s:v>
      </s:c>
      <s:c r="L10" s="221" t="n">
        <s:v>0.827</s:v>
      </s:c>
      <s:c r="M10" s="222" t="n">
        <s:v>711.46</s:v>
      </s:c>
      <s:c r="N10" s="222" t="n">
        <s:v>811.99</s:v>
      </s:c>
      <s:c r="O10" s="222" t="n">
        <s:v>101.09</s:v>
      </s:c>
      <s:c r="P10" s="223" t="inlineStr">
        <s:is>
          <s:t>1,34,180</s:t>
        </s:is>
      </s:c>
      <s:c r="Q10" s="224" t="inlineStr">
        <s:is>
          <s:t>1</s:t>
        </s:is>
      </s:c>
      <s:c r="R10" s="224" t="inlineStr">
        <s:is>
          <s:t>34,180</s:t>
        </s:is>
      </s:c>
      <s:c r="S10" s="224" t="n">
        <s:v>0.02616111111111111</s:v>
      </s:c>
      <s:c r="T10" s="225" t="n">
        <s:v>3864.13251221066</s:v>
      </s:c>
      <s:c r="U10" s="226" t="n">
        <s:v>-0.5539618162034134</s:v>
      </s:c>
      <s:c r="V10" s="220" t="n">
        <s:v>17.7</s:v>
      </s:c>
      <s:c r="W10" s="221" t="n">
        <s:v>1.502</s:v>
      </s:c>
      <s:c r="X10" s="221" t="n">
        <s:v>1.495</s:v>
      </s:c>
      <s:c r="Y10" s="222" t="n">
        <s:v>822.84</s:v>
      </s:c>
      <s:c r="Z10" s="222" t="n">
        <s:v>832.83</s:v>
      </s:c>
      <s:c r="AA10" s="227" t="n">
        <s:v>10.03</s:v>
      </s:c>
      <s:c r="AB10" s="228" t="inlineStr">
        <s:is>
          <s:t>14,04,150</s:t>
        </s:is>
      </s:c>
      <s:c r="AC10" s="224" t="inlineStr">
        <s:is>
          <s:t>14</s:t>
        </s:is>
      </s:c>
      <s:c r="AD10" s="224" t="inlineStr">
        <s:is>
          <s:t>04,150</s:t>
        </s:is>
      </s:c>
      <s:c r="AE10" s="224" t="n">
        <s:v>0.2344861111111111</s:v>
      </s:c>
      <s:c r="AF10" s="225" t="n">
        <s:v>42.7743884380738</s:v>
      </s:c>
      <s:c r="AG10" s="229" t="n">
        <s:v>-0.3988035892322061</s:v>
      </s:c>
      <s:c r="AH10" s="220" t="n">
        <s:v>17.6</s:v>
      </s:c>
      <s:c r="AI10" s="221" t="n">
        <s:v>1.502</s:v>
      </s:c>
      <s:c r="AJ10" s="221" t="n">
        <s:v>1.496</s:v>
      </s:c>
      <s:c r="AK10" s="222" t="n">
        <s:v>832.83</s:v>
      </s:c>
      <s:c r="AL10" s="222" t="n">
        <s:v>837.8</s:v>
      </s:c>
      <s:c r="AM10" s="230" t="n">
        <s:v>5.018</s:v>
      </s:c>
      <s:c r="AN10" s="223" t="inlineStr">
        <s:is>
          <s:t>11,21,890</s:t>
        </s:is>
      </s:c>
      <s:c r="AO10" s="224" t="inlineStr">
        <s:is>
          <s:t>11</s:t>
        </s:is>
      </s:c>
      <s:c r="AP10" s="224" t="inlineStr">
        <s:is>
          <s:t>21,890</s:t>
        </s:is>
      </s:c>
      <s:c r="AQ10" s="224" t="n">
        <s:v>0.1894138888888889</s:v>
      </s:c>
      <s:c r="AR10" s="225" t="n">
        <s:v>26.49224948305445</s:v>
      </s:c>
      <s:c r="AS10" s="229" t="n">
        <s:v>-0.9565563969726225</s:v>
      </s:c>
      <s:c r="AT10" s="231" t="inlineStr">
        <s:is>
          <s:t>CONFORME</s:t>
        </s:is>
      </s:c>
      <s:c r="AU10" s="232">
        <s:f>B10=C10</s:f>
        <s:v/>
      </s:c>
      <s:c r="AV10" s="233">
        <s:f>MID(G10,1,2)</s:f>
        <s:v/>
      </s:c>
      <s:c r="AW10" s="233">
        <s:f>LEN(G10)</s:f>
        <s:v/>
      </s:c>
      <s:c r="AX10" s="233" t="inlineStr">
        <s:is>
          <s:t>OI-0534-2025</s:t>
        </s:is>
      </s:c>
      <s:c r="AY10" s="233">
        <s:f>N10&lt;Y10</s:f>
        <s:v/>
      </s:c>
      <s:c r="AZ10" s="233">
        <s:f>Z10&lt;=AK10</s:f>
        <s:v/>
      </s:c>
      <s:c r="BA10" s="233">
        <s:f>L10&lt;K10</s:f>
        <s:v/>
      </s:c>
      <s:c r="BB10" s="233">
        <s:f>W10&gt;=X10</s:f>
        <s:v/>
      </s:c>
      <s:c r="BC10" s="233">
        <s:f>AI10&gt;=AJ10</s:f>
        <s:v/>
      </s:c>
      <s:c r="BD10" s="233">
        <s:f>IF(I10&gt;=1,"Qcorrecto",IF(AND(BE10="aceptable",BF10="aceptable",BG10="aceptable"),"Qcorrecto","Qincorrecto"))</s:f>
        <s:v/>
      </s:c>
      <s:c r="BE10" s="232">
        <s:f>IF(AR10&lt;$AH$6,"error",IF(AR10&gt;$AH$6*1.1,"error","aceptable"))</s:f>
        <s:v/>
      </s:c>
      <s:c r="BF10" s="232">
        <s:f>IF(AF10&lt;$V$6,"error",IF(AF10&gt;$V$6*1.1,"error","aceptable"))</s:f>
        <s:v/>
      </s:c>
      <s:c r="BG10" s="232">
        <s:f>IF(T10&lt;$J$6*0.9,"error",IF(T10&gt;$J$6,"error","aceptable"))</s:f>
        <s:v/>
      </s:c>
      <s:c r="BH10" s="234">
        <s:f>(IF(ABS(U10)&lt;1,"CONFORME",IF(ABS(AG10)&lt;1,"CONFORME",IF(ABS(AS10)&lt;2.5,"CONFORME","NO CONFORME"))))</s:f>
        <s:v/>
      </s:c>
      <s:c r="BI10" s="235">
        <s:f>(IF(ABS(U10)&gt;2.044,"NO CONFORME",IF(ABS(AG10)&gt;2.044,"NO CONFORME",IF(ABS(AS10)&gt;5.044,"NO CONFORME","CONFORME"))))</s:f>
        <s:v/>
      </s:c>
      <s:c r="BJ10" s="233">
        <s:f>SIGN(U10)</s:f>
        <s:v/>
      </s:c>
      <s:c r="BK10" s="233">
        <s:f>SIGN(AG10)</s:f>
        <s:v/>
      </s:c>
      <s:c r="BL10" s="233">
        <s:f>SIGN(AS10)</s:f>
        <s:v/>
      </s:c>
      <s:c r="BM10" s="233">
        <s:f>CONCATENATE(BJ10,BK10,BL10)</s:f>
        <s:v/>
      </s:c>
      <s:c r="BN10" s="233">
        <s:f>IF(BM10="111","SI","SD")</s:f>
        <s:v/>
      </s:c>
      <s:c r="BO10" s="233">
        <s:f>IF(BM10="-1-1-1","SI","SD")</s:f>
        <s:v/>
      </s:c>
      <s:c r="BP10" s="233">
        <s:f>OR(BN10="SI",BO10="SI")</s:f>
        <s:v/>
      </s:c>
      <s:c r="BQ10" s="233">
        <s:f>IF(BP10=FALSE,"SIGDIFERENTES","SIGIGUALES")</s:f>
        <s:v/>
      </s:c>
      <s:c r="BR10" s="236">
        <s:f>IF(BI10="NO CONFORME","NO CONFORME",IF(BH10="CONFORME","CONFORME","NO CONFORME"))</s:f>
        <s:v/>
      </s:c>
      <s:c r="BS10" s="233">
        <s:f>F10</s:f>
        <s:v/>
      </s:c>
      <s:c r="BT10" s="237">
        <s:f>G10</s:f>
        <s:v/>
      </s:c>
      <s:c r="BU10" s="233">
        <s:f>"20"&amp;+MID(G10,3,2)</s:f>
        <s:v/>
      </s:c>
      <s:c r="BV10" s="238">
        <s:f>C10</s:f>
        <s:v/>
      </s:c>
      <s:c r="BW10" s="233">
        <s:f>AT10</s:f>
        <s:v/>
      </s:c>
      <s:c r="BX10" s="238">
        <s:f>B10</s:f>
        <s:v/>
      </s:c>
      <s:c r="BY10" s="239">
        <s:f>H10</s:f>
        <s:v/>
      </s:c>
      <s:c r="BZ10" s="233">
        <s:f>IF(I10=0,"CONFORME","NO CONFORME")</s:f>
        <s:v/>
      </s:c>
      <s:c r="CA10" s="238">
        <s:f>C10</s:f>
        <s:v/>
      </s:c>
      <s:c r="CB10" s="240">
        <s:f>AH10</s:f>
        <s:v/>
      </s:c>
      <s:c r="CC10" s="241">
        <s:f>AR10</s:f>
        <s:v/>
      </s:c>
      <s:c r="CD10" s="240">
        <s:f>AI10</s:f>
        <s:v/>
      </s:c>
      <s:c r="CE10" s="240">
        <s:f>AJ10</s:f>
        <s:v/>
      </s:c>
      <s:c r="CF10" s="240">
        <s:f>AS10</s:f>
        <s:v/>
      </s:c>
      <s:c r="CG10" s="240">
        <s:f>V10</s:f>
        <s:v/>
      </s:c>
      <s:c r="CH10" s="241">
        <s:f>AF10</s:f>
        <s:v/>
      </s:c>
      <s:c r="CI10" s="240">
        <s:f>W10</s:f>
        <s:v/>
      </s:c>
      <s:c r="CJ10" s="240">
        <s:f>X10</s:f>
        <s:v/>
      </s:c>
      <s:c r="CK10" s="240">
        <s:f>AG10</s:f>
        <s:v/>
      </s:c>
      <s:c r="CL10" s="240">
        <s:f>J10</s:f>
        <s:v/>
      </s:c>
      <s:c r="CM10" s="241">
        <s:f>T10</s:f>
        <s:v/>
      </s:c>
      <s:c r="CN10" s="240">
        <s:f>K10</s:f>
        <s:v/>
      </s:c>
      <s:c r="CO10" s="240">
        <s:f>L10</s:f>
        <s:v/>
      </s:c>
      <s:c r="CP10" s="242">
        <s:f>U10</s:f>
        <s:v/>
      </s:c>
      <s:c r="CQ10" s="233">
        <s:f>AT10</s:f>
        <s:v/>
      </s:c>
    </s:row>
    <s:row r="11">
      <s:c r="A11" s="211" t="n">
        <s:v>3</s:v>
      </s:c>
      <s:c r="B11" s="212" t="n">
        <s:v>45901</s:v>
      </s:c>
      <s:c r="C11" s="213" t="n">
        <s:v>45901</s:v>
      </s:c>
      <s:c r="D11" s="214" t="n">
        <s:v>6</s:v>
      </s:c>
      <s:c r="E11" s="215" t="n">
        <s:v>4</s:v>
      </s:c>
      <s:c r="F11" s="216" t="inlineStr">
        <s:is>
          <s:t>VI-142061-2025</s:t>
        </s:is>
      </s:c>
      <s:c r="G11" s="217" t="inlineStr">
        <s:is>
          <s:t>QB25009843</s:t>
        </s:is>
      </s:c>
      <s:c r="H11" s="218" t="n">
        <s:v>16</s:v>
      </s:c>
      <s:c r="I11" s="219" t="n">
        <s:v>0</s:v>
      </s:c>
      <s:c r="J11" s="220" t="n">
        <s:v>17.6</s:v>
      </s:c>
      <s:c r="K11" s="221" t="n">
        <s:v>5.154</s:v>
      </s:c>
      <s:c r="L11" s="221" t="n">
        <s:v>0.827</s:v>
      </s:c>
      <s:c r="M11" s="222" t="n">
        <s:v>702.89</s:v>
      </s:c>
      <s:c r="N11" s="222" t="n">
        <s:v>803.97</s:v>
      </s:c>
      <s:c r="O11" s="222" t="n">
        <s:v>101.09</s:v>
      </s:c>
      <s:c r="P11" s="223" t="inlineStr">
        <s:is>
          <s:t>1,34,180</s:t>
        </s:is>
      </s:c>
      <s:c r="Q11" s="224" t="inlineStr">
        <s:is>
          <s:t>1</s:t>
        </s:is>
      </s:c>
      <s:c r="R11" s="224" t="inlineStr">
        <s:is>
          <s:t>34,180</s:t>
        </s:is>
      </s:c>
      <s:c r="S11" s="224" t="n">
        <s:v>0.02616111111111111</s:v>
      </s:c>
      <s:c r="T11" s="225" t="n">
        <s:v>3864.13251221066</s:v>
      </s:c>
      <s:c r="U11" s="226" t="n">
        <s:v>-0.009892175289309014</s:v>
      </s:c>
      <s:c r="V11" s="220" t="n">
        <s:v>17.7</s:v>
      </s:c>
      <s:c r="W11" s="221" t="n">
        <s:v>1.502</s:v>
      </s:c>
      <s:c r="X11" s="221" t="n">
        <s:v>1.495</s:v>
      </s:c>
      <s:c r="Y11" s="222" t="n">
        <s:v>814.86</s:v>
      </s:c>
      <s:c r="Z11" s="222" t="n">
        <s:v>824.86</s:v>
      </s:c>
      <s:c r="AA11" s="227" t="n">
        <s:v>10.03</s:v>
      </s:c>
      <s:c r="AB11" s="228" t="inlineStr">
        <s:is>
          <s:t>14,04,150</s:t>
        </s:is>
      </s:c>
      <s:c r="AC11" s="224" t="inlineStr">
        <s:is>
          <s:t>14</s:t>
        </s:is>
      </s:c>
      <s:c r="AD11" s="224" t="inlineStr">
        <s:is>
          <s:t>04,150</s:t>
        </s:is>
      </s:c>
      <s:c r="AE11" s="224" t="n">
        <s:v>0.2344861111111111</s:v>
      </s:c>
      <s:c r="AF11" s="225" t="n">
        <s:v>42.7743884380738</s:v>
      </s:c>
      <s:c r="AG11" s="229" t="n">
        <s:v>-0.299102691924221</s:v>
      </s:c>
      <s:c r="AH11" s="220" t="n">
        <s:v>17.6</s:v>
      </s:c>
      <s:c r="AI11" s="221" t="n">
        <s:v>1.502</s:v>
      </s:c>
      <s:c r="AJ11" s="221" t="n">
        <s:v>1.496</s:v>
      </s:c>
      <s:c r="AK11" s="222" t="n">
        <s:v>824.86</s:v>
      </s:c>
      <s:c r="AL11" s="222" t="n">
        <s:v>829.9299999999999</s:v>
      </s:c>
      <s:c r="AM11" s="230" t="n">
        <s:v>5.018</s:v>
      </s:c>
      <s:c r="AN11" s="223" t="inlineStr">
        <s:is>
          <s:t>11,21,890</s:t>
        </s:is>
      </s:c>
      <s:c r="AO11" s="224" t="inlineStr">
        <s:is>
          <s:t>11</s:t>
        </s:is>
      </s:c>
      <s:c r="AP11" s="224" t="inlineStr">
        <s:is>
          <s:t>21,890</s:t>
        </s:is>
      </s:c>
      <s:c r="AQ11" s="224" t="n">
        <s:v>0.1894138888888889</s:v>
      </s:c>
      <s:c r="AR11" s="225" t="n">
        <s:v>26.49224948305445</s:v>
      </s:c>
      <s:c r="AS11" s="229" t="n">
        <s:v>1.036269430050549</s:v>
      </s:c>
      <s:c r="AT11" s="231" t="inlineStr">
        <s:is>
          <s:t>CONFORME</s:t>
        </s:is>
      </s:c>
      <s:c r="AU11" s="232">
        <s:f>B11=C11</s:f>
        <s:v/>
      </s:c>
      <s:c r="AV11" s="233">
        <s:f>MID(G11,1,2)</s:f>
        <s:v/>
      </s:c>
      <s:c r="AW11" s="233">
        <s:f>LEN(G11)</s:f>
        <s:v/>
      </s:c>
      <s:c r="AX11" s="233" t="inlineStr">
        <s:is>
          <s:t>OI-0534-2025</s:t>
        </s:is>
      </s:c>
      <s:c r="AY11" s="233">
        <s:f>N11&lt;Y11</s:f>
        <s:v/>
      </s:c>
      <s:c r="AZ11" s="233">
        <s:f>Z11&lt;=AK11</s:f>
        <s:v/>
      </s:c>
      <s:c r="BA11" s="233">
        <s:f>L11&lt;K11</s:f>
        <s:v/>
      </s:c>
      <s:c r="BB11" s="233">
        <s:f>W11&gt;=X11</s:f>
        <s:v/>
      </s:c>
      <s:c r="BC11" s="233">
        <s:f>AI11&gt;=AJ11</s:f>
        <s:v/>
      </s:c>
      <s:c r="BD11" s="233">
        <s:f>IF(I11&gt;=1,"Qcorrecto",IF(AND(BE11="aceptable",BF11="aceptable",BG11="aceptable"),"Qcorrecto","Qincorrecto"))</s:f>
        <s:v/>
      </s:c>
      <s:c r="BE11" s="232">
        <s:f>IF(AR11&lt;$AH$6,"error",IF(AR11&gt;$AH$6*1.1,"error","aceptable"))</s:f>
        <s:v/>
      </s:c>
      <s:c r="BF11" s="232">
        <s:f>IF(AF11&lt;$V$6,"error",IF(AF11&gt;$V$6*1.1,"error","aceptable"))</s:f>
        <s:v/>
      </s:c>
      <s:c r="BG11" s="232">
        <s:f>IF(T11&lt;$J$6*0.9,"error",IF(T11&gt;$J$6,"error","aceptable"))</s:f>
        <s:v/>
      </s:c>
      <s:c r="BH11" s="234">
        <s:f>(IF(ABS(U11)&lt;1,"CONFORME",IF(ABS(AG11)&lt;1,"CONFORME",IF(ABS(AS11)&lt;2.5,"CONFORME","NO CONFORME"))))</s:f>
        <s:v/>
      </s:c>
      <s:c r="BI11" s="235">
        <s:f>(IF(ABS(U11)&gt;2.044,"NO CONFORME",IF(ABS(AG11)&gt;2.044,"NO CONFORME",IF(ABS(AS11)&gt;5.044,"NO CONFORME","CONFORME"))))</s:f>
        <s:v/>
      </s:c>
      <s:c r="BJ11" s="233">
        <s:f>SIGN(U11)</s:f>
        <s:v/>
      </s:c>
      <s:c r="BK11" s="233">
        <s:f>SIGN(AG11)</s:f>
        <s:v/>
      </s:c>
      <s:c r="BL11" s="233">
        <s:f>SIGN(AS11)</s:f>
        <s:v/>
      </s:c>
      <s:c r="BM11" s="233">
        <s:f>CONCATENATE(BJ11,BK11,BL11)</s:f>
        <s:v/>
      </s:c>
      <s:c r="BN11" s="233">
        <s:f>IF(BM11="111","SI","SD")</s:f>
        <s:v/>
      </s:c>
      <s:c r="BO11" s="233">
        <s:f>IF(BM11="-1-1-1","SI","SD")</s:f>
        <s:v/>
      </s:c>
      <s:c r="BP11" s="233">
        <s:f>OR(BN11="SI",BO11="SI")</s:f>
        <s:v/>
      </s:c>
      <s:c r="BQ11" s="233">
        <s:f>IF(BP11=FALSE,"SIGDIFERENTES","SIGIGUALES")</s:f>
        <s:v/>
      </s:c>
      <s:c r="BR11" s="236">
        <s:f>IF(BI11="NO CONFORME","NO CONFORME",IF(BH11="CONFORME","CONFORME","NO CONFORME"))</s:f>
        <s:v/>
      </s:c>
      <s:c r="BS11" s="233">
        <s:f>F11</s:f>
        <s:v/>
      </s:c>
      <s:c r="BT11" s="237">
        <s:f>G11</s:f>
        <s:v/>
      </s:c>
      <s:c r="BU11" s="233">
        <s:f>"20"&amp;+MID(G11,3,2)</s:f>
        <s:v/>
      </s:c>
      <s:c r="BV11" s="238">
        <s:f>C11</s:f>
        <s:v/>
      </s:c>
      <s:c r="BW11" s="233">
        <s:f>AT11</s:f>
        <s:v/>
      </s:c>
      <s:c r="BX11" s="238">
        <s:f>B11</s:f>
        <s:v/>
      </s:c>
      <s:c r="BY11" s="239">
        <s:f>H11</s:f>
        <s:v/>
      </s:c>
      <s:c r="BZ11" s="233">
        <s:f>IF(I11=0,"CONFORME","NO CONFORME")</s:f>
        <s:v/>
      </s:c>
      <s:c r="CA11" s="238">
        <s:f>C11</s:f>
        <s:v/>
      </s:c>
      <s:c r="CB11" s="240">
        <s:f>AH11</s:f>
        <s:v/>
      </s:c>
      <s:c r="CC11" s="241">
        <s:f>AR11</s:f>
        <s:v/>
      </s:c>
      <s:c r="CD11" s="240">
        <s:f>AI11</s:f>
        <s:v/>
      </s:c>
      <s:c r="CE11" s="240">
        <s:f>AJ11</s:f>
        <s:v/>
      </s:c>
      <s:c r="CF11" s="240">
        <s:f>AS11</s:f>
        <s:v/>
      </s:c>
      <s:c r="CG11" s="240">
        <s:f>V11</s:f>
        <s:v/>
      </s:c>
      <s:c r="CH11" s="241">
        <s:f>AF11</s:f>
        <s:v/>
      </s:c>
      <s:c r="CI11" s="240">
        <s:f>W11</s:f>
        <s:v/>
      </s:c>
      <s:c r="CJ11" s="240">
        <s:f>X11</s:f>
        <s:v/>
      </s:c>
      <s:c r="CK11" s="240">
        <s:f>AG11</s:f>
        <s:v/>
      </s:c>
      <s:c r="CL11" s="240">
        <s:f>J11</s:f>
        <s:v/>
      </s:c>
      <s:c r="CM11" s="241">
        <s:f>T11</s:f>
        <s:v/>
      </s:c>
      <s:c r="CN11" s="240">
        <s:f>K11</s:f>
        <s:v/>
      </s:c>
      <s:c r="CO11" s="240">
        <s:f>L11</s:f>
        <s:v/>
      </s:c>
      <s:c r="CP11" s="242">
        <s:f>U11</s:f>
        <s:v/>
      </s:c>
      <s:c r="CQ11" s="233">
        <s:f>AT11</s:f>
        <s:v/>
      </s:c>
    </s:row>
    <s:row r="12">
      <s:c r="A12" s="211" t="n">
        <s:v>4</s:v>
      </s:c>
      <s:c r="B12" s="212" t="n">
        <s:v>45901</s:v>
      </s:c>
      <s:c r="C12" s="213" t="n">
        <s:v>45901</s:v>
      </s:c>
      <s:c r="D12" s="214" t="n">
        <s:v>6</s:v>
      </s:c>
      <s:c r="E12" s="215" t="n">
        <s:v>4</s:v>
      </s:c>
      <s:c r="F12" s="216" t="inlineStr">
        <s:is>
          <s:t>VI-142062-2025</s:t>
        </s:is>
      </s:c>
      <s:c r="G12" s="217" t="inlineStr">
        <s:is>
          <s:t>QB25009844</s:t>
        </s:is>
      </s:c>
      <s:c r="H12" s="218" t="n">
        <s:v>16</s:v>
      </s:c>
      <s:c r="I12" s="219" t="n">
        <s:v>0</s:v>
      </s:c>
      <s:c r="J12" s="220" t="n">
        <s:v>17.6</s:v>
      </s:c>
      <s:c r="K12" s="221" t="n">
        <s:v>5.154</s:v>
      </s:c>
      <s:c r="L12" s="221" t="n">
        <s:v>0.827</s:v>
      </s:c>
      <s:c r="M12" s="222" t="n">
        <s:v>707.9</s:v>
      </s:c>
      <s:c r="N12" s="222" t="n">
        <s:v>809.51</s:v>
      </s:c>
      <s:c r="O12" s="222" t="n">
        <s:v>101.09</s:v>
      </s:c>
      <s:c r="P12" s="223" t="inlineStr">
        <s:is>
          <s:t>1,34,180</s:t>
        </s:is>
      </s:c>
      <s:c r="Q12" s="224" t="inlineStr">
        <s:is>
          <s:t>1</s:t>
        </s:is>
      </s:c>
      <s:c r="R12" s="224" t="inlineStr">
        <s:is>
          <s:t>34,180</s:t>
        </s:is>
      </s:c>
      <s:c r="S12" s="224" t="n">
        <s:v>0.02616111111111111</s:v>
      </s:c>
      <s:c r="T12" s="225" t="n">
        <s:v>3864.13251221066</s:v>
      </s:c>
      <s:c r="U12" s="226" t="n">
        <s:v>0.5143931150460087</s:v>
      </s:c>
      <s:c r="V12" s="220" t="n">
        <s:v>17.7</s:v>
      </s:c>
      <s:c r="W12" s="221" t="n">
        <s:v>1.502</s:v>
      </s:c>
      <s:c r="X12" s="221" t="n">
        <s:v>1.495</s:v>
      </s:c>
      <s:c r="Y12" s="222" t="n">
        <s:v>820.46</s:v>
      </s:c>
      <s:c r="Z12" s="222" t="n">
        <s:v>830.55</s:v>
      </s:c>
      <s:c r="AA12" s="227" t="n">
        <s:v>10.03</s:v>
      </s:c>
      <s:c r="AB12" s="228" t="inlineStr">
        <s:is>
          <s:t>14,04,150</s:t>
        </s:is>
      </s:c>
      <s:c r="AC12" s="224" t="inlineStr">
        <s:is>
          <s:t>14</s:t>
        </s:is>
      </s:c>
      <s:c r="AD12" s="224" t="inlineStr">
        <s:is>
          <s:t>04,150</s:t>
        </s:is>
      </s:c>
      <s:c r="AE12" s="224" t="n">
        <s:v>0.2344861111111111</s:v>
      </s:c>
      <s:c r="AF12" s="225" t="n">
        <s:v>42.7743884380738</s:v>
      </s:c>
      <s:c r="AG12" s="229" t="n">
        <s:v>0.598205383847645</s:v>
      </s:c>
      <s:c r="AH12" s="220" t="n">
        <s:v>17.6</s:v>
      </s:c>
      <s:c r="AI12" s="221" t="n">
        <s:v>1.502</s:v>
      </s:c>
      <s:c r="AJ12" s="221" t="n">
        <s:v>1.496</s:v>
      </s:c>
      <s:c r="AK12" s="222" t="n">
        <s:v>830.55</s:v>
      </s:c>
      <s:c r="AL12" s="222" t="n">
        <s:v>835.5599999999999</s:v>
      </s:c>
      <s:c r="AM12" s="230" t="n">
        <s:v>5.018</s:v>
      </s:c>
      <s:c r="AN12" s="223" t="inlineStr">
        <s:is>
          <s:t>11,21,890</s:t>
        </s:is>
      </s:c>
      <s:c r="AO12" s="224" t="inlineStr">
        <s:is>
          <s:t>11</s:t>
        </s:is>
      </s:c>
      <s:c r="AP12" s="224" t="inlineStr">
        <s:is>
          <s:t>21,890</s:t>
        </s:is>
      </s:c>
      <s:c r="AQ12" s="224" t="n">
        <s:v>0.1894138888888889</s:v>
      </s:c>
      <s:c r="AR12" s="225" t="n">
        <s:v>26.49224948305445</s:v>
      </s:c>
      <s:c r="AS12" s="229" t="n">
        <s:v>-0.1594260661619946</s:v>
      </s:c>
      <s:c r="AT12" s="231" t="inlineStr">
        <s:is>
          <s:t>CONFORME</s:t>
        </s:is>
      </s:c>
      <s:c r="AU12" s="232">
        <s:f>B12=C12</s:f>
        <s:v/>
      </s:c>
      <s:c r="AV12" s="233">
        <s:f>MID(G12,1,2)</s:f>
        <s:v/>
      </s:c>
      <s:c r="AW12" s="233">
        <s:f>LEN(G12)</s:f>
        <s:v/>
      </s:c>
      <s:c r="AX12" s="233" t="inlineStr">
        <s:is>
          <s:t>OI-0534-2025</s:t>
        </s:is>
      </s:c>
      <s:c r="AY12" s="233">
        <s:f>N12&lt;Y12</s:f>
        <s:v/>
      </s:c>
      <s:c r="AZ12" s="233">
        <s:f>Z12&lt;=AK12</s:f>
        <s:v/>
      </s:c>
      <s:c r="BA12" s="233">
        <s:f>L12&lt;K12</s:f>
        <s:v/>
      </s:c>
      <s:c r="BB12" s="233">
        <s:f>W12&gt;=X12</s:f>
        <s:v/>
      </s:c>
      <s:c r="BC12" s="233">
        <s:f>AI12&gt;=AJ12</s:f>
        <s:v/>
      </s:c>
      <s:c r="BD12" s="233">
        <s:f>IF(I12&gt;=1,"Qcorrecto",IF(AND(BE12="aceptable",BF12="aceptable",BG12="aceptable"),"Qcorrecto","Qincorrecto"))</s:f>
        <s:v/>
      </s:c>
      <s:c r="BE12" s="232">
        <s:f>IF(AR12&lt;$AH$6,"error",IF(AR12&gt;$AH$6*1.1,"error","aceptable"))</s:f>
        <s:v/>
      </s:c>
      <s:c r="BF12" s="232">
        <s:f>IF(AF12&lt;$V$6,"error",IF(AF12&gt;$V$6*1.1,"error","aceptable"))</s:f>
        <s:v/>
      </s:c>
      <s:c r="BG12" s="232">
        <s:f>IF(T12&lt;$J$6*0.9,"error",IF(T12&gt;$J$6,"error","aceptable"))</s:f>
        <s:v/>
      </s:c>
      <s:c r="BH12" s="234">
        <s:f>(IF(ABS(U12)&lt;1,"CONFORME",IF(ABS(AG12)&lt;1,"CONFORME",IF(ABS(AS12)&lt;2.5,"CONFORME","NO CONFORME"))))</s:f>
        <s:v/>
      </s:c>
      <s:c r="BI12" s="235">
        <s:f>(IF(ABS(U12)&gt;2.044,"NO CONFORME",IF(ABS(AG12)&gt;2.044,"NO CONFORME",IF(ABS(AS12)&gt;5.044,"NO CONFORME","CONFORME"))))</s:f>
        <s:v/>
      </s:c>
      <s:c r="BJ12" s="233">
        <s:f>SIGN(U12)</s:f>
        <s:v/>
      </s:c>
      <s:c r="BK12" s="233">
        <s:f>SIGN(AG12)</s:f>
        <s:v/>
      </s:c>
      <s:c r="BL12" s="233">
        <s:f>SIGN(AS12)</s:f>
        <s:v/>
      </s:c>
      <s:c r="BM12" s="233">
        <s:f>CONCATENATE(BJ12,BK12,BL12)</s:f>
        <s:v/>
      </s:c>
      <s:c r="BN12" s="233">
        <s:f>IF(BM12="111","SI","SD")</s:f>
        <s:v/>
      </s:c>
      <s:c r="BO12" s="233">
        <s:f>IF(BM12="-1-1-1","SI","SD")</s:f>
        <s:v/>
      </s:c>
      <s:c r="BP12" s="233">
        <s:f>OR(BN12="SI",BO12="SI")</s:f>
        <s:v/>
      </s:c>
      <s:c r="BQ12" s="233">
        <s:f>IF(BP12=FALSE,"SIGDIFERENTES","SIGIGUALES")</s:f>
        <s:v/>
      </s:c>
      <s:c r="BR12" s="236">
        <s:f>IF(BI12="NO CONFORME","NO CONFORME",IF(BH12="CONFORME","CONFORME","NO CONFORME"))</s:f>
        <s:v/>
      </s:c>
      <s:c r="BS12" s="233">
        <s:f>F12</s:f>
        <s:v/>
      </s:c>
      <s:c r="BT12" s="237">
        <s:f>G12</s:f>
        <s:v/>
      </s:c>
      <s:c r="BU12" s="233">
        <s:f>"20"&amp;+MID(G12,3,2)</s:f>
        <s:v/>
      </s:c>
      <s:c r="BV12" s="238">
        <s:f>C12</s:f>
        <s:v/>
      </s:c>
      <s:c r="BW12" s="233">
        <s:f>AT12</s:f>
        <s:v/>
      </s:c>
      <s:c r="BX12" s="238">
        <s:f>B12</s:f>
        <s:v/>
      </s:c>
      <s:c r="BY12" s="239">
        <s:f>H12</s:f>
        <s:v/>
      </s:c>
      <s:c r="BZ12" s="233">
        <s:f>IF(I12=0,"CONFORME","NO CONFORME")</s:f>
        <s:v/>
      </s:c>
      <s:c r="CA12" s="238">
        <s:f>C12</s:f>
        <s:v/>
      </s:c>
      <s:c r="CB12" s="240">
        <s:f>AH12</s:f>
        <s:v/>
      </s:c>
      <s:c r="CC12" s="241">
        <s:f>AR12</s:f>
        <s:v/>
      </s:c>
      <s:c r="CD12" s="240">
        <s:f>AI12</s:f>
        <s:v/>
      </s:c>
      <s:c r="CE12" s="240">
        <s:f>AJ12</s:f>
        <s:v/>
      </s:c>
      <s:c r="CF12" s="240">
        <s:f>AS12</s:f>
        <s:v/>
      </s:c>
      <s:c r="CG12" s="240">
        <s:f>V12</s:f>
        <s:v/>
      </s:c>
      <s:c r="CH12" s="241">
        <s:f>AF12</s:f>
        <s:v/>
      </s:c>
      <s:c r="CI12" s="240">
        <s:f>W12</s:f>
        <s:v/>
      </s:c>
      <s:c r="CJ12" s="240">
        <s:f>X12</s:f>
        <s:v/>
      </s:c>
      <s:c r="CK12" s="240">
        <s:f>AG12</s:f>
        <s:v/>
      </s:c>
      <s:c r="CL12" s="240">
        <s:f>J12</s:f>
        <s:v/>
      </s:c>
      <s:c r="CM12" s="241">
        <s:f>T12</s:f>
        <s:v/>
      </s:c>
      <s:c r="CN12" s="240">
        <s:f>K12</s:f>
        <s:v/>
      </s:c>
      <s:c r="CO12" s="240">
        <s:f>L12</s:f>
        <s:v/>
      </s:c>
      <s:c r="CP12" s="242">
        <s:f>U12</s:f>
        <s:v/>
      </s:c>
      <s:c r="CQ12" s="233">
        <s:f>AT12</s:f>
        <s:v/>
      </s:c>
    </s:row>
    <s:row r="13">
      <s:c r="A13" s="211" t="n">
        <s:v>5</s:v>
      </s:c>
      <s:c r="B13" s="212" t="n">
        <s:v>45901</s:v>
      </s:c>
      <s:c r="C13" s="213" t="n">
        <s:v>45901</s:v>
      </s:c>
      <s:c r="D13" s="214" t="n">
        <s:v>6</s:v>
      </s:c>
      <s:c r="E13" s="215" t="n">
        <s:v>4</s:v>
      </s:c>
      <s:c r="F13" s="216" t="inlineStr">
        <s:is>
          <s:t>VI-142063-2025</s:t>
        </s:is>
      </s:c>
      <s:c r="G13" s="217" t="inlineStr">
        <s:is>
          <s:t>QB25009845</s:t>
        </s:is>
      </s:c>
      <s:c r="H13" s="218" t="n">
        <s:v>16</s:v>
      </s:c>
      <s:c r="I13" s="219" t="n">
        <s:v>0</s:v>
      </s:c>
      <s:c r="J13" s="220" t="n">
        <s:v>17.6</s:v>
      </s:c>
      <s:c r="K13" s="221" t="n">
        <s:v>5.154</s:v>
      </s:c>
      <s:c r="L13" s="221" t="n">
        <s:v>0.827</s:v>
      </s:c>
      <s:c r="M13" s="222" t="n">
        <s:v>700.66</s:v>
      </s:c>
      <s:c r="N13" s="222" t="n">
        <s:v>800.49</s:v>
      </s:c>
      <s:c r="O13" s="222" t="n">
        <s:v>101.09</s:v>
      </s:c>
      <s:c r="P13" s="223" t="inlineStr">
        <s:is>
          <s:t>1,34,180</s:t>
        </s:is>
      </s:c>
      <s:c r="Q13" s="224" t="inlineStr">
        <s:is>
          <s:t>1</s:t>
        </s:is>
      </s:c>
      <s:c r="R13" s="224" t="inlineStr">
        <s:is>
          <s:t>34,180</s:t>
        </s:is>
      </s:c>
      <s:c r="S13" s="224" t="n">
        <s:v>0.02616111111111111</s:v>
      </s:c>
      <s:c r="T13" s="225" t="n">
        <s:v>3864.13251221066</s:v>
      </s:c>
      <s:c r="U13" s="226" t="n">
        <s:v>-1.246414086457575</s:v>
      </s:c>
      <s:c r="V13" s="220" t="n">
        <s:v>17.7</s:v>
      </s:c>
      <s:c r="W13" s="221" t="n">
        <s:v>1.502</s:v>
      </s:c>
      <s:c r="X13" s="221" t="n">
        <s:v>1.495</s:v>
      </s:c>
      <s:c r="Y13" s="222" t="n">
        <s:v>811.27</s:v>
      </s:c>
      <s:c r="Z13" s="222" t="n">
        <s:v>821.39</s:v>
      </s:c>
      <s:c r="AA13" s="227" t="n">
        <s:v>10.03</s:v>
      </s:c>
      <s:c r="AB13" s="228" t="inlineStr">
        <s:is>
          <s:t>14,04,150</s:t>
        </s:is>
      </s:c>
      <s:c r="AC13" s="224" t="inlineStr">
        <s:is>
          <s:t>14</s:t>
        </s:is>
      </s:c>
      <s:c r="AD13" s="224" t="inlineStr">
        <s:is>
          <s:t>04,150</s:t>
        </s:is>
      </s:c>
      <s:c r="AE13" s="224" t="n">
        <s:v>0.2344861111111111</s:v>
      </s:c>
      <s:c r="AF13" s="225" t="n">
        <s:v>42.7743884380738</s:v>
      </s:c>
      <s:c r="AG13" s="229" t="n">
        <s:v>0.8973080757727337</s:v>
      </s:c>
      <s:c r="AH13" s="220" t="n">
        <s:v>17.6</s:v>
      </s:c>
      <s:c r="AI13" s="221" t="n">
        <s:v>1.502</s:v>
      </s:c>
      <s:c r="AJ13" s="221" t="n">
        <s:v>1.496</s:v>
      </s:c>
      <s:c r="AK13" s="222" t="n">
        <s:v>821.39</s:v>
      </s:c>
      <s:c r="AL13" s="222" t="n">
        <s:v>826.46</s:v>
      </s:c>
      <s:c r="AM13" s="230" t="n">
        <s:v>5.018</s:v>
      </s:c>
      <s:c r="AN13" s="223" t="inlineStr">
        <s:is>
          <s:t>11,21,890</s:t>
        </s:is>
      </s:c>
      <s:c r="AO13" s="224" t="inlineStr">
        <s:is>
          <s:t>11</s:t>
        </s:is>
      </s:c>
      <s:c r="AP13" s="224" t="inlineStr">
        <s:is>
          <s:t>21,890</s:t>
        </s:is>
      </s:c>
      <s:c r="AQ13" s="224" t="n">
        <s:v>0.1894138888888889</s:v>
      </s:c>
      <s:c r="AR13" s="225" t="n">
        <s:v>26.49224948305445</s:v>
      </s:c>
      <s:c r="AS13" s="229" t="n">
        <s:v>1.036269430052814</s:v>
      </s:c>
      <s:c r="AT13" s="231" t="inlineStr">
        <s:is>
          <s:t>CONFORME</s:t>
        </s:is>
      </s:c>
      <s:c r="AU13" s="232">
        <s:f>B13=C13</s:f>
        <s:v/>
      </s:c>
      <s:c r="AV13" s="233">
        <s:f>MID(G13,1,2)</s:f>
        <s:v/>
      </s:c>
      <s:c r="AW13" s="233">
        <s:f>LEN(G13)</s:f>
        <s:v/>
      </s:c>
      <s:c r="AX13" s="233" t="inlineStr">
        <s:is>
          <s:t>OI-0534-2025</s:t>
        </s:is>
      </s:c>
      <s:c r="AY13" s="233">
        <s:f>N13&lt;Y13</s:f>
        <s:v/>
      </s:c>
      <s:c r="AZ13" s="233">
        <s:f>Z13&lt;=AK13</s:f>
        <s:v/>
      </s:c>
      <s:c r="BA13" s="233">
        <s:f>L13&lt;K13</s:f>
        <s:v/>
      </s:c>
      <s:c r="BB13" s="233">
        <s:f>W13&gt;=X13</s:f>
        <s:v/>
      </s:c>
      <s:c r="BC13" s="233">
        <s:f>AI13&gt;=AJ13</s:f>
        <s:v/>
      </s:c>
      <s:c r="BD13" s="233">
        <s:f>IF(I13&gt;=1,"Qcorrecto",IF(AND(BE13="aceptable",BF13="aceptable",BG13="aceptable"),"Qcorrecto","Qincorrecto"))</s:f>
        <s:v/>
      </s:c>
      <s:c r="BE13" s="232">
        <s:f>IF(AR13&lt;$AH$6,"error",IF(AR13&gt;$AH$6*1.1,"error","aceptable"))</s:f>
        <s:v/>
      </s:c>
      <s:c r="BF13" s="232">
        <s:f>IF(AF13&lt;$V$6,"error",IF(AF13&gt;$V$6*1.1,"error","aceptable"))</s:f>
        <s:v/>
      </s:c>
      <s:c r="BG13" s="232">
        <s:f>IF(T13&lt;$J$6*0.9,"error",IF(T13&gt;$J$6,"error","aceptable"))</s:f>
        <s:v/>
      </s:c>
      <s:c r="BH13" s="234">
        <s:f>(IF(ABS(U13)&lt;1,"CONFORME",IF(ABS(AG13)&lt;1,"CONFORME",IF(ABS(AS13)&lt;2.5,"CONFORME","NO CONFORME"))))</s:f>
        <s:v/>
      </s:c>
      <s:c r="BI13" s="235">
        <s:f>(IF(ABS(U13)&gt;2.044,"NO CONFORME",IF(ABS(AG13)&gt;2.044,"NO CONFORME",IF(ABS(AS13)&gt;5.044,"NO CONFORME","CONFORME"))))</s:f>
        <s:v/>
      </s:c>
      <s:c r="BJ13" s="233">
        <s:f>SIGN(U13)</s:f>
        <s:v/>
      </s:c>
      <s:c r="BK13" s="233">
        <s:f>SIGN(AG13)</s:f>
        <s:v/>
      </s:c>
      <s:c r="BL13" s="233">
        <s:f>SIGN(AS13)</s:f>
        <s:v/>
      </s:c>
      <s:c r="BM13" s="233">
        <s:f>CONCATENATE(BJ13,BK13,BL13)</s:f>
        <s:v/>
      </s:c>
      <s:c r="BN13" s="233">
        <s:f>IF(BM13="111","SI","SD")</s:f>
        <s:v/>
      </s:c>
      <s:c r="BO13" s="233">
        <s:f>IF(BM13="-1-1-1","SI","SD")</s:f>
        <s:v/>
      </s:c>
      <s:c r="BP13" s="233">
        <s:f>OR(BN13="SI",BO13="SI")</s:f>
        <s:v/>
      </s:c>
      <s:c r="BQ13" s="233">
        <s:f>IF(BP13=FALSE,"SIGDIFERENTES","SIGIGUALES")</s:f>
        <s:v/>
      </s:c>
      <s:c r="BR13" s="236">
        <s:f>IF(BI13="NO CONFORME","NO CONFORME",IF(BH13="CONFORME","CONFORME","NO CONFORME"))</s:f>
        <s:v/>
      </s:c>
      <s:c r="BS13" s="233">
        <s:f>F13</s:f>
        <s:v/>
      </s:c>
      <s:c r="BT13" s="237">
        <s:f>G13</s:f>
        <s:v/>
      </s:c>
      <s:c r="BU13" s="233">
        <s:f>"20"&amp;+MID(G13,3,2)</s:f>
        <s:v/>
      </s:c>
      <s:c r="BV13" s="238">
        <s:f>C13</s:f>
        <s:v/>
      </s:c>
      <s:c r="BW13" s="233">
        <s:f>AT13</s:f>
        <s:v/>
      </s:c>
      <s:c r="BX13" s="238">
        <s:f>B13</s:f>
        <s:v/>
      </s:c>
      <s:c r="BY13" s="239">
        <s:f>H13</s:f>
        <s:v/>
      </s:c>
      <s:c r="BZ13" s="233">
        <s:f>IF(I13=0,"CONFORME","NO CONFORME")</s:f>
        <s:v/>
      </s:c>
      <s:c r="CA13" s="238">
        <s:f>C13</s:f>
        <s:v/>
      </s:c>
      <s:c r="CB13" s="240">
        <s:f>AH13</s:f>
        <s:v/>
      </s:c>
      <s:c r="CC13" s="241">
        <s:f>AR13</s:f>
        <s:v/>
      </s:c>
      <s:c r="CD13" s="240">
        <s:f>AI13</s:f>
        <s:v/>
      </s:c>
      <s:c r="CE13" s="240">
        <s:f>AJ13</s:f>
        <s:v/>
      </s:c>
      <s:c r="CF13" s="240">
        <s:f>AS13</s:f>
        <s:v/>
      </s:c>
      <s:c r="CG13" s="240">
        <s:f>V13</s:f>
        <s:v/>
      </s:c>
      <s:c r="CH13" s="241">
        <s:f>AF13</s:f>
        <s:v/>
      </s:c>
      <s:c r="CI13" s="240">
        <s:f>W13</s:f>
        <s:v/>
      </s:c>
      <s:c r="CJ13" s="240">
        <s:f>X13</s:f>
        <s:v/>
      </s:c>
      <s:c r="CK13" s="240">
        <s:f>AG13</s:f>
        <s:v/>
      </s:c>
      <s:c r="CL13" s="240">
        <s:f>J13</s:f>
        <s:v/>
      </s:c>
      <s:c r="CM13" s="241">
        <s:f>T13</s:f>
        <s:v/>
      </s:c>
      <s:c r="CN13" s="240">
        <s:f>K13</s:f>
        <s:v/>
      </s:c>
      <s:c r="CO13" s="240">
        <s:f>L13</s:f>
        <s:v/>
      </s:c>
      <s:c r="CP13" s="242">
        <s:f>U13</s:f>
        <s:v/>
      </s:c>
      <s:c r="CQ13" s="233">
        <s:f>AT13</s:f>
        <s:v/>
      </s:c>
    </s:row>
    <s:row r="14">
      <s:c r="A14" s="211" t="n">
        <s:v>6</s:v>
      </s:c>
      <s:c r="B14" s="212" t="n">
        <s:v>45901</s:v>
      </s:c>
      <s:c r="C14" s="213" t="n">
        <s:v>45901</s:v>
      </s:c>
      <s:c r="D14" s="214" t="n">
        <s:v>6</s:v>
      </s:c>
      <s:c r="E14" s="215" t="n">
        <s:v>4</s:v>
      </s:c>
      <s:c r="F14" s="216" t="inlineStr">
        <s:is>
          <s:t>VI-142064-2025</s:t>
        </s:is>
      </s:c>
      <s:c r="G14" s="217" t="inlineStr">
        <s:is>
          <s:t>QB25009846</s:t>
        </s:is>
      </s:c>
      <s:c r="H14" s="218" t="n">
        <s:v>16</s:v>
      </s:c>
      <s:c r="I14" s="219" t="n">
        <s:v>0</s:v>
      </s:c>
      <s:c r="J14" s="220" t="n">
        <s:v>17.6</s:v>
      </s:c>
      <s:c r="K14" s="221" t="n">
        <s:v>5.154</s:v>
      </s:c>
      <s:c r="L14" s="221" t="n">
        <s:v>0.827</s:v>
      </s:c>
      <s:c r="M14" s="222" t="n">
        <s:v>703.1799999999999</s:v>
      </s:c>
      <s:c r="N14" s="222" t="n">
        <s:v>802.92</s:v>
      </s:c>
      <s:c r="O14" s="222" t="n">
        <s:v>101.09</s:v>
      </s:c>
      <s:c r="P14" s="223" t="inlineStr">
        <s:is>
          <s:t>1,34,180</s:t>
        </s:is>
      </s:c>
      <s:c r="Q14" s="224" t="inlineStr">
        <s:is>
          <s:t>1</s:t>
        </s:is>
      </s:c>
      <s:c r="R14" s="224" t="inlineStr">
        <s:is>
          <s:t>34,180</s:t>
        </s:is>
      </s:c>
      <s:c r="S14" s="224" t="n">
        <s:v>0.02616111111111111</s:v>
      </s:c>
      <s:c r="T14" s="225" t="n">
        <s:v>3864.13251221066</s:v>
      </s:c>
      <s:c r="U14" s="226" t="n">
        <s:v>-1.335443664061722</s:v>
      </s:c>
      <s:c r="V14" s="220" t="n">
        <s:v>17.7</s:v>
      </s:c>
      <s:c r="W14" s="221" t="n">
        <s:v>1.502</s:v>
      </s:c>
      <s:c r="X14" s="221" t="n">
        <s:v>1.495</s:v>
      </s:c>
      <s:c r="Y14" s="222" t="n">
        <s:v>813.7</s:v>
      </s:c>
      <s:c r="Z14" s="222" t="n">
        <s:v>823.75</s:v>
      </s:c>
      <s:c r="AA14" s="227" t="n">
        <s:v>10.03</s:v>
      </s:c>
      <s:c r="AB14" s="228" t="inlineStr">
        <s:is>
          <s:t>14,04,150</s:t>
        </s:is>
      </s:c>
      <s:c r="AC14" s="224" t="inlineStr">
        <s:is>
          <s:t>14</s:t>
        </s:is>
      </s:c>
      <s:c r="AD14" s="224" t="inlineStr">
        <s:is>
          <s:t>04,150</s:t>
        </s:is>
      </s:c>
      <s:c r="AE14" s="224" t="n">
        <s:v>0.2344861111111111</s:v>
      </s:c>
      <s:c r="AF14" s="225" t="n">
        <s:v>42.7743884380738</s:v>
      </s:c>
      <s:c r="AG14" s="229" t="n">
        <s:v>0.1994017946157045</s:v>
      </s:c>
      <s:c r="AH14" s="220" t="n">
        <s:v>17.6</s:v>
      </s:c>
      <s:c r="AI14" s="221" t="n">
        <s:v>1.502</s:v>
      </s:c>
      <s:c r="AJ14" s="221" t="n">
        <s:v>1.496</s:v>
      </s:c>
      <s:c r="AK14" s="222" t="n">
        <s:v>823.75</s:v>
      </s:c>
      <s:c r="AL14" s="222" t="n">
        <s:v>828.79</s:v>
      </s:c>
      <s:c r="AM14" s="230" t="n">
        <s:v>5.018</s:v>
      </s:c>
      <s:c r="AN14" s="223" t="inlineStr">
        <s:is>
          <s:t>11,21,890</s:t>
        </s:is>
      </s:c>
      <s:c r="AO14" s="224" t="inlineStr">
        <s:is>
          <s:t>11</s:t>
        </s:is>
      </s:c>
      <s:c r="AP14" s="224" t="inlineStr">
        <s:is>
          <s:t>21,890</s:t>
        </s:is>
      </s:c>
      <s:c r="AQ14" s="224" t="n">
        <s:v>0.1894138888888889</s:v>
      </s:c>
      <s:c r="AR14" s="225" t="n">
        <s:v>26.49224948305445</s:v>
      </s:c>
      <s:c r="AS14" s="229" t="n">
        <s:v>0.4384216819442771</s:v>
      </s:c>
      <s:c r="AT14" s="231" t="inlineStr">
        <s:is>
          <s:t>CONFORME</s:t>
        </s:is>
      </s:c>
      <s:c r="AU14" s="232">
        <s:f>B14=C14</s:f>
        <s:v/>
      </s:c>
      <s:c r="AV14" s="233">
        <s:f>MID(G14,1,2)</s:f>
        <s:v/>
      </s:c>
      <s:c r="AW14" s="233">
        <s:f>LEN(G14)</s:f>
        <s:v/>
      </s:c>
      <s:c r="AX14" s="233" t="inlineStr">
        <s:is>
          <s:t>OI-0534-2025</s:t>
        </s:is>
      </s:c>
      <s:c r="AY14" s="233">
        <s:f>N14&lt;Y14</s:f>
        <s:v/>
      </s:c>
      <s:c r="AZ14" s="233">
        <s:f>Z14&lt;=AK14</s:f>
        <s:v/>
      </s:c>
      <s:c r="BA14" s="233">
        <s:f>L14&lt;K14</s:f>
        <s:v/>
      </s:c>
      <s:c r="BB14" s="233">
        <s:f>W14&gt;=X14</s:f>
        <s:v/>
      </s:c>
      <s:c r="BC14" s="233">
        <s:f>AI14&gt;=AJ14</s:f>
        <s:v/>
      </s:c>
      <s:c r="BD14" s="233">
        <s:f>IF(I14&gt;=1,"Qcorrecto",IF(AND(BE14="aceptable",BF14="aceptable",BG14="aceptable"),"Qcorrecto","Qincorrecto"))</s:f>
        <s:v/>
      </s:c>
      <s:c r="BE14" s="232">
        <s:f>IF(AR14&lt;$AH$6,"error",IF(AR14&gt;$AH$6*1.1,"error","aceptable"))</s:f>
        <s:v/>
      </s:c>
      <s:c r="BF14" s="232">
        <s:f>IF(AF14&lt;$V$6,"error",IF(AF14&gt;$V$6*1.1,"error","aceptable"))</s:f>
        <s:v/>
      </s:c>
      <s:c r="BG14" s="232">
        <s:f>IF(T14&lt;$J$6*0.9,"error",IF(T14&gt;$J$6,"error","aceptable"))</s:f>
        <s:v/>
      </s:c>
      <s:c r="BH14" s="234">
        <s:f>(IF(ABS(U14)&lt;1,"CONFORME",IF(ABS(AG14)&lt;1,"CONFORME",IF(ABS(AS14)&lt;2.5,"CONFORME","NO CONFORME"))))</s:f>
        <s:v/>
      </s:c>
      <s:c r="BI14" s="235">
        <s:f>(IF(ABS(U14)&gt;2.044,"NO CONFORME",IF(ABS(AG14)&gt;2.044,"NO CONFORME",IF(ABS(AS14)&gt;5.044,"NO CONFORME","CONFORME"))))</s:f>
        <s:v/>
      </s:c>
      <s:c r="BJ14" s="233">
        <s:f>SIGN(U14)</s:f>
        <s:v/>
      </s:c>
      <s:c r="BK14" s="233">
        <s:f>SIGN(AG14)</s:f>
        <s:v/>
      </s:c>
      <s:c r="BL14" s="233">
        <s:f>SIGN(AS14)</s:f>
        <s:v/>
      </s:c>
      <s:c r="BM14" s="233">
        <s:f>CONCATENATE(BJ14,BK14,BL14)</s:f>
        <s:v/>
      </s:c>
      <s:c r="BN14" s="233">
        <s:f>IF(BM14="111","SI","SD")</s:f>
        <s:v/>
      </s:c>
      <s:c r="BO14" s="233">
        <s:f>IF(BM14="-1-1-1","SI","SD")</s:f>
        <s:v/>
      </s:c>
      <s:c r="BP14" s="233">
        <s:f>OR(BN14="SI",BO14="SI")</s:f>
        <s:v/>
      </s:c>
      <s:c r="BQ14" s="233">
        <s:f>IF(BP14=FALSE,"SIGDIFERENTES","SIGIGUALES")</s:f>
        <s:v/>
      </s:c>
      <s:c r="BR14" s="236">
        <s:f>IF(BI14="NO CONFORME","NO CONFORME",IF(BH14="CONFORME","CONFORME","NO CONFORME"))</s:f>
        <s:v/>
      </s:c>
      <s:c r="BS14" s="233">
        <s:f>F14</s:f>
        <s:v/>
      </s:c>
      <s:c r="BT14" s="237">
        <s:f>G14</s:f>
        <s:v/>
      </s:c>
      <s:c r="BU14" s="233">
        <s:f>"20"&amp;+MID(G14,3,2)</s:f>
        <s:v/>
      </s:c>
      <s:c r="BV14" s="238">
        <s:f>C14</s:f>
        <s:v/>
      </s:c>
      <s:c r="BW14" s="233">
        <s:f>AT14</s:f>
        <s:v/>
      </s:c>
      <s:c r="BX14" s="238">
        <s:f>B14</s:f>
        <s:v/>
      </s:c>
      <s:c r="BY14" s="239">
        <s:f>H14</s:f>
        <s:v/>
      </s:c>
      <s:c r="BZ14" s="233">
        <s:f>IF(I14=0,"CONFORME","NO CONFORME")</s:f>
        <s:v/>
      </s:c>
      <s:c r="CA14" s="238">
        <s:f>C14</s:f>
        <s:v/>
      </s:c>
      <s:c r="CB14" s="240">
        <s:f>AH14</s:f>
        <s:v/>
      </s:c>
      <s:c r="CC14" s="241">
        <s:f>AR14</s:f>
        <s:v/>
      </s:c>
      <s:c r="CD14" s="240">
        <s:f>AI14</s:f>
        <s:v/>
      </s:c>
      <s:c r="CE14" s="240">
        <s:f>AJ14</s:f>
        <s:v/>
      </s:c>
      <s:c r="CF14" s="240">
        <s:f>AS14</s:f>
        <s:v/>
      </s:c>
      <s:c r="CG14" s="240">
        <s:f>V14</s:f>
        <s:v/>
      </s:c>
      <s:c r="CH14" s="241">
        <s:f>AF14</s:f>
        <s:v/>
      </s:c>
      <s:c r="CI14" s="240">
        <s:f>W14</s:f>
        <s:v/>
      </s:c>
      <s:c r="CJ14" s="240">
        <s:f>X14</s:f>
        <s:v/>
      </s:c>
      <s:c r="CK14" s="240">
        <s:f>AG14</s:f>
        <s:v/>
      </s:c>
      <s:c r="CL14" s="240">
        <s:f>J14</s:f>
        <s:v/>
      </s:c>
      <s:c r="CM14" s="241">
        <s:f>T14</s:f>
        <s:v/>
      </s:c>
      <s:c r="CN14" s="240">
        <s:f>K14</s:f>
        <s:v/>
      </s:c>
      <s:c r="CO14" s="240">
        <s:f>L14</s:f>
        <s:v/>
      </s:c>
      <s:c r="CP14" s="242">
        <s:f>U14</s:f>
        <s:v/>
      </s:c>
      <s:c r="CQ14" s="233">
        <s:f>AT14</s:f>
        <s:v/>
      </s:c>
    </s:row>
    <s:row r="15">
      <s:c r="A15" s="211" t="n">
        <s:v>7</s:v>
      </s:c>
      <s:c r="B15" s="212" t="n">
        <s:v>45901</s:v>
      </s:c>
      <s:c r="C15" s="213" t="n">
        <s:v>45901</s:v>
      </s:c>
      <s:c r="D15" s="214" t="n">
        <s:v>6</s:v>
      </s:c>
      <s:c r="E15" s="215" t="n">
        <s:v>4</s:v>
      </s:c>
      <s:c r="F15" s="216" t="inlineStr">
        <s:is>
          <s:t>VI-142065-2025</s:t>
        </s:is>
      </s:c>
      <s:c r="G15" s="217" t="inlineStr">
        <s:is>
          <s:t>QB25009847</s:t>
        </s:is>
      </s:c>
      <s:c r="H15" s="218" t="n">
        <s:v>16</s:v>
      </s:c>
      <s:c r="I15" s="219" t="n">
        <s:v>0</s:v>
      </s:c>
      <s:c r="J15" s="220" t="n">
        <s:v>17.6</s:v>
      </s:c>
      <s:c r="K15" s="221" t="n">
        <s:v>5.154</s:v>
      </s:c>
      <s:c r="L15" s="221" t="n">
        <s:v>0.827</s:v>
      </s:c>
      <s:c r="M15" s="222" t="n">
        <s:v>707.58</s:v>
      </s:c>
      <s:c r="N15" s="222" t="n">
        <s:v>808.51</s:v>
      </s:c>
      <s:c r="O15" s="222" t="n">
        <s:v>101.09</s:v>
      </s:c>
      <s:c r="P15" s="223" t="inlineStr">
        <s:is>
          <s:t>1,34,180</s:t>
        </s:is>
      </s:c>
      <s:c r="Q15" s="224" t="inlineStr">
        <s:is>
          <s:t>1</s:t>
        </s:is>
      </s:c>
      <s:c r="R15" s="224" t="inlineStr">
        <s:is>
          <s:t>34,180</s:t>
        </s:is>
      </s:c>
      <s:c r="S15" s="224" t="n">
        <s:v>0.02616111111111111</s:v>
      </s:c>
      <s:c r="T15" s="225" t="n">
        <s:v>3864.13251221066</s:v>
      </s:c>
      <s:c r="U15" s="226" t="n">
        <s:v>-0.1582748046295909</s:v>
      </s:c>
      <s:c r="V15" s="220" t="n">
        <s:v>17.7</s:v>
      </s:c>
      <s:c r="W15" s="221" t="n">
        <s:v>1.502</s:v>
      </s:c>
      <s:c r="X15" s="221" t="n">
        <s:v>1.495</s:v>
      </s:c>
      <s:c r="Y15" s="222" t="n">
        <s:v>819.39</s:v>
      </s:c>
      <s:c r="Z15" s="222" t="n">
        <s:v>829.6</s:v>
      </s:c>
      <s:c r="AA15" s="227" t="n">
        <s:v>10.03</s:v>
      </s:c>
      <s:c r="AB15" s="228" t="inlineStr">
        <s:is>
          <s:t>14,04,150</s:t>
        </s:is>
      </s:c>
      <s:c r="AC15" s="224" t="inlineStr">
        <s:is>
          <s:t>14</s:t>
        </s:is>
      </s:c>
      <s:c r="AD15" s="224" t="inlineStr">
        <s:is>
          <s:t>04,150</s:t>
        </s:is>
      </s:c>
      <s:c r="AE15" s="224" t="n">
        <s:v>0.2344861111111111</s:v>
      </s:c>
      <s:c r="AF15" s="225" t="n">
        <s:v>42.7743884380738</s:v>
      </s:c>
      <s:c r="AG15" s="229" t="n">
        <s:v>1.794616151545733</s:v>
      </s:c>
      <s:c r="AH15" s="220" t="n">
        <s:v>17.6</s:v>
      </s:c>
      <s:c r="AI15" s="221" t="n">
        <s:v>1.502</s:v>
      </s:c>
      <s:c r="AJ15" s="221" t="n">
        <s:v>1.496</s:v>
      </s:c>
      <s:c r="AK15" s="222" t="n">
        <s:v>829.6</s:v>
      </s:c>
      <s:c r="AL15" s="222" t="n">
        <s:v>834.63</s:v>
      </s:c>
      <s:c r="AM15" s="230" t="n">
        <s:v>5.018</s:v>
      </s:c>
      <s:c r="AN15" s="223" t="inlineStr">
        <s:is>
          <s:t>11,21,890</s:t>
        </s:is>
      </s:c>
      <s:c r="AO15" s="224" t="inlineStr">
        <s:is>
          <s:t>11</s:t>
        </s:is>
      </s:c>
      <s:c r="AP15" s="224" t="inlineStr">
        <s:is>
          <s:t>21,890</s:t>
        </s:is>
      </s:c>
      <s:c r="AQ15" s="224" t="n">
        <s:v>0.1894138888888889</s:v>
      </s:c>
      <s:c r="AR15" s="225" t="n">
        <s:v>26.49224948305445</s:v>
      </s:c>
      <s:c r="AS15" s="229" t="n">
        <s:v>0.2391390992421866</s:v>
      </s:c>
      <s:c r="AT15" s="231" t="inlineStr">
        <s:is>
          <s:t>CONFORME</s:t>
        </s:is>
      </s:c>
      <s:c r="AU15" s="232">
        <s:f>B15=C15</s:f>
        <s:v/>
      </s:c>
      <s:c r="AV15" s="233">
        <s:f>MID(G15,1,2)</s:f>
        <s:v/>
      </s:c>
      <s:c r="AW15" s="233">
        <s:f>LEN(G15)</s:f>
        <s:v/>
      </s:c>
      <s:c r="AX15" s="233" t="inlineStr">
        <s:is>
          <s:t>OI-0534-2025</s:t>
        </s:is>
      </s:c>
      <s:c r="AY15" s="233">
        <s:f>N15&lt;Y15</s:f>
        <s:v/>
      </s:c>
      <s:c r="AZ15" s="233">
        <s:f>Z15&lt;=AK15</s:f>
        <s:v/>
      </s:c>
      <s:c r="BA15" s="233">
        <s:f>L15&lt;K15</s:f>
        <s:v/>
      </s:c>
      <s:c r="BB15" s="233">
        <s:f>W15&gt;=X15</s:f>
        <s:v/>
      </s:c>
      <s:c r="BC15" s="233">
        <s:f>AI15&gt;=AJ15</s:f>
        <s:v/>
      </s:c>
      <s:c r="BD15" s="233">
        <s:f>IF(I15&gt;=1,"Qcorrecto",IF(AND(BE15="aceptable",BF15="aceptable",BG15="aceptable"),"Qcorrecto","Qincorrecto"))</s:f>
        <s:v/>
      </s:c>
      <s:c r="BE15" s="232">
        <s:f>IF(AR15&lt;$AH$6,"error",IF(AR15&gt;$AH$6*1.1,"error","aceptable"))</s:f>
        <s:v/>
      </s:c>
      <s:c r="BF15" s="232">
        <s:f>IF(AF15&lt;$V$6,"error",IF(AF15&gt;$V$6*1.1,"error","aceptable"))</s:f>
        <s:v/>
      </s:c>
      <s:c r="BG15" s="232">
        <s:f>IF(T15&lt;$J$6*0.9,"error",IF(T15&gt;$J$6,"error","aceptable"))</s:f>
        <s:v/>
      </s:c>
      <s:c r="BH15" s="234">
        <s:f>(IF(ABS(U15)&lt;1,"CONFORME",IF(ABS(AG15)&lt;1,"CONFORME",IF(ABS(AS15)&lt;2.5,"CONFORME","NO CONFORME"))))</s:f>
        <s:v/>
      </s:c>
      <s:c r="BI15" s="235">
        <s:f>(IF(ABS(U15)&gt;2.044,"NO CONFORME",IF(ABS(AG15)&gt;2.044,"NO CONFORME",IF(ABS(AS15)&gt;5.044,"NO CONFORME","CONFORME"))))</s:f>
        <s:v/>
      </s:c>
      <s:c r="BJ15" s="233">
        <s:f>SIGN(U15)</s:f>
        <s:v/>
      </s:c>
      <s:c r="BK15" s="233">
        <s:f>SIGN(AG15)</s:f>
        <s:v/>
      </s:c>
      <s:c r="BL15" s="233">
        <s:f>SIGN(AS15)</s:f>
        <s:v/>
      </s:c>
      <s:c r="BM15" s="233">
        <s:f>CONCATENATE(BJ15,BK15,BL15)</s:f>
        <s:v/>
      </s:c>
      <s:c r="BN15" s="233">
        <s:f>IF(BM15="111","SI","SD")</s:f>
        <s:v/>
      </s:c>
      <s:c r="BO15" s="233">
        <s:f>IF(BM15="-1-1-1","SI","SD")</s:f>
        <s:v/>
      </s:c>
      <s:c r="BP15" s="233">
        <s:f>OR(BN15="SI",BO15="SI")</s:f>
        <s:v/>
      </s:c>
      <s:c r="BQ15" s="233">
        <s:f>IF(BP15=FALSE,"SIGDIFERENTES","SIGIGUALES")</s:f>
        <s:v/>
      </s:c>
      <s:c r="BR15" s="236">
        <s:f>IF(BI15="NO CONFORME","NO CONFORME",IF(BH15="CONFORME","CONFORME","NO CONFORME"))</s:f>
        <s:v/>
      </s:c>
      <s:c r="BS15" s="233">
        <s:f>F15</s:f>
        <s:v/>
      </s:c>
      <s:c r="BT15" s="237">
        <s:f>G15</s:f>
        <s:v/>
      </s:c>
      <s:c r="BU15" s="233">
        <s:f>"20"&amp;+MID(G15,3,2)</s:f>
        <s:v/>
      </s:c>
      <s:c r="BV15" s="238">
        <s:f>C15</s:f>
        <s:v/>
      </s:c>
      <s:c r="BW15" s="233">
        <s:f>AT15</s:f>
        <s:v/>
      </s:c>
      <s:c r="BX15" s="238">
        <s:f>B15</s:f>
        <s:v/>
      </s:c>
      <s:c r="BY15" s="239">
        <s:f>H15</s:f>
        <s:v/>
      </s:c>
      <s:c r="BZ15" s="233">
        <s:f>IF(I15=0,"CONFORME","NO CONFORME")</s:f>
        <s:v/>
      </s:c>
      <s:c r="CA15" s="238">
        <s:f>C15</s:f>
        <s:v/>
      </s:c>
      <s:c r="CB15" s="240">
        <s:f>AH15</s:f>
        <s:v/>
      </s:c>
      <s:c r="CC15" s="241">
        <s:f>AR15</s:f>
        <s:v/>
      </s:c>
      <s:c r="CD15" s="240">
        <s:f>AI15</s:f>
        <s:v/>
      </s:c>
      <s:c r="CE15" s="240">
        <s:f>AJ15</s:f>
        <s:v/>
      </s:c>
      <s:c r="CF15" s="240">
        <s:f>AS15</s:f>
        <s:v/>
      </s:c>
      <s:c r="CG15" s="240">
        <s:f>V15</s:f>
        <s:v/>
      </s:c>
      <s:c r="CH15" s="241">
        <s:f>AF15</s:f>
        <s:v/>
      </s:c>
      <s:c r="CI15" s="240">
        <s:f>W15</s:f>
        <s:v/>
      </s:c>
      <s:c r="CJ15" s="240">
        <s:f>X15</s:f>
        <s:v/>
      </s:c>
      <s:c r="CK15" s="240">
        <s:f>AG15</s:f>
        <s:v/>
      </s:c>
      <s:c r="CL15" s="240">
        <s:f>J15</s:f>
        <s:v/>
      </s:c>
      <s:c r="CM15" s="241">
        <s:f>T15</s:f>
        <s:v/>
      </s:c>
      <s:c r="CN15" s="240">
        <s:f>K15</s:f>
        <s:v/>
      </s:c>
      <s:c r="CO15" s="240">
        <s:f>L15</s:f>
        <s:v/>
      </s:c>
      <s:c r="CP15" s="242">
        <s:f>U15</s:f>
        <s:v/>
      </s:c>
      <s:c r="CQ15" s="233">
        <s:f>AT15</s:f>
        <s:v/>
      </s:c>
    </s:row>
    <s:row r="16">
      <s:c r="A16" s="211" t="n">
        <s:v>8</s:v>
      </s:c>
      <s:c r="B16" s="212" t="n">
        <s:v>45901</s:v>
      </s:c>
      <s:c r="C16" s="213" t="n">
        <s:v>45901</s:v>
      </s:c>
      <s:c r="D16" s="214" t="n">
        <s:v>6</s:v>
      </s:c>
      <s:c r="E16" s="215" t="n">
        <s:v>4</s:v>
      </s:c>
      <s:c r="F16" s="216" t="inlineStr">
        <s:is>
          <s:t>VI-142066-2025</s:t>
        </s:is>
      </s:c>
      <s:c r="G16" s="217" t="inlineStr">
        <s:is>
          <s:t>QB25009848</s:t>
        </s:is>
      </s:c>
      <s:c r="H16" s="218" t="n">
        <s:v>16</s:v>
      </s:c>
      <s:c r="I16" s="219" t="n">
        <s:v>0</s:v>
      </s:c>
      <s:c r="J16" s="220" t="n">
        <s:v>17.6</s:v>
      </s:c>
      <s:c r="K16" s="221" t="n">
        <s:v>5.154</s:v>
      </s:c>
      <s:c r="L16" s="221" t="n">
        <s:v>0.827</s:v>
      </s:c>
      <s:c r="M16" s="222" t="n">
        <s:v>817.24</s:v>
      </s:c>
      <s:c r="N16" s="222" t="n">
        <s:v>918.14</s:v>
      </s:c>
      <s:c r="O16" s="222" t="n">
        <s:v>101.09</s:v>
      </s:c>
      <s:c r="P16" s="223" t="inlineStr">
        <s:is>
          <s:t>1,34,180</s:t>
        </s:is>
      </s:c>
      <s:c r="Q16" s="224" t="inlineStr">
        <s:is>
          <s:t>1</s:t>
        </s:is>
      </s:c>
      <s:c r="R16" s="224" t="inlineStr">
        <s:is>
          <s:t>34,180</s:t>
        </s:is>
      </s:c>
      <s:c r="S16" s="224" t="n">
        <s:v>0.02616111111111111</s:v>
      </s:c>
      <s:c r="T16" s="225" t="n">
        <s:v>3864.13251221066</s:v>
      </s:c>
      <s:c r="U16" s="226" t="n">
        <s:v>-0.1879513304976023</s:v>
      </s:c>
      <s:c r="V16" s="220" t="n">
        <s:v>17.7</s:v>
      </s:c>
      <s:c r="W16" s="221" t="n">
        <s:v>1.502</s:v>
      </s:c>
      <s:c r="X16" s="221" t="n">
        <s:v>1.495</s:v>
      </s:c>
      <s:c r="Y16" s="222" t="n">
        <s:v>929.01</s:v>
      </s:c>
      <s:c r="Z16" s="222" t="n">
        <s:v>938.98</s:v>
      </s:c>
      <s:c r="AA16" s="227" t="n">
        <s:v>10.03</s:v>
      </s:c>
      <s:c r="AB16" s="228" t="inlineStr">
        <s:is>
          <s:t>14,04,150</s:t>
        </s:is>
      </s:c>
      <s:c r="AC16" s="224" t="inlineStr">
        <s:is>
          <s:t>14</s:t>
        </s:is>
      </s:c>
      <s:c r="AD16" s="224" t="inlineStr">
        <s:is>
          <s:t>04,150</s:t>
        </s:is>
      </s:c>
      <s:c r="AE16" s="224" t="n">
        <s:v>0.2344861111111111</s:v>
      </s:c>
      <s:c r="AF16" s="225" t="n">
        <s:v>42.7743884380738</s:v>
      </s:c>
      <s:c r="AG16" s="229" t="n">
        <s:v>-0.5982053838481762</s:v>
      </s:c>
      <s:c r="AH16" s="220" t="n">
        <s:v>17.6</s:v>
      </s:c>
      <s:c r="AI16" s="221" t="n">
        <s:v>1.502</s:v>
      </s:c>
      <s:c r="AJ16" s="221" t="n">
        <s:v>1.496</s:v>
      </s:c>
      <s:c r="AK16" s="222" t="n">
        <s:v>938.98</s:v>
      </s:c>
      <s:c r="AL16" s="222" t="n">
        <s:v>943.96</s:v>
      </s:c>
      <s:c r="AM16" s="230" t="n">
        <s:v>5.018</s:v>
      </s:c>
      <s:c r="AN16" s="223" t="inlineStr">
        <s:is>
          <s:t>11,21,890</s:t>
        </s:is>
      </s:c>
      <s:c r="AO16" s="224" t="inlineStr">
        <s:is>
          <s:t>11</s:t>
        </s:is>
      </s:c>
      <s:c r="AP16" s="224" t="inlineStr">
        <s:is>
          <s:t>21,890</s:t>
        </s:is>
      </s:c>
      <s:c r="AQ16" s="224" t="n">
        <s:v>0.1894138888888889</s:v>
      </s:c>
      <s:c r="AR16" s="225" t="n">
        <s:v>26.49224948305445</s:v>
      </s:c>
      <s:c r="AS16" s="229" t="n">
        <s:v>-0.7572738142682663</s:v>
      </s:c>
      <s:c r="AT16" s="231" t="inlineStr">
        <s:is>
          <s:t>CONFORME</s:t>
        </s:is>
      </s:c>
      <s:c r="AU16" s="232">
        <s:f>B16=C16</s:f>
        <s:v/>
      </s:c>
      <s:c r="AV16" s="233">
        <s:f>MID(G16,1,2)</s:f>
        <s:v/>
      </s:c>
      <s:c r="AW16" s="233">
        <s:f>LEN(G16)</s:f>
        <s:v/>
      </s:c>
      <s:c r="AX16" s="233" t="inlineStr">
        <s:is>
          <s:t>OI-0534-2025</s:t>
        </s:is>
      </s:c>
      <s:c r="AY16" s="233">
        <s:f>N16&lt;Y16</s:f>
        <s:v/>
      </s:c>
      <s:c r="AZ16" s="233">
        <s:f>Z16&lt;=AK16</s:f>
        <s:v/>
      </s:c>
      <s:c r="BA16" s="233">
        <s:f>L16&lt;K16</s:f>
        <s:v/>
      </s:c>
      <s:c r="BB16" s="233">
        <s:f>W16&gt;=X16</s:f>
        <s:v/>
      </s:c>
      <s:c r="BC16" s="233">
        <s:f>AI16&gt;=AJ16</s:f>
        <s:v/>
      </s:c>
      <s:c r="BD16" s="233">
        <s:f>IF(I16&gt;=1,"Qcorrecto",IF(AND(BE16="aceptable",BF16="aceptable",BG16="aceptable"),"Qcorrecto","Qincorrecto"))</s:f>
        <s:v/>
      </s:c>
      <s:c r="BE16" s="232">
        <s:f>IF(AR16&lt;$AH$6,"error",IF(AR16&gt;$AH$6*1.1,"error","aceptable"))</s:f>
        <s:v/>
      </s:c>
      <s:c r="BF16" s="232">
        <s:f>IF(AF16&lt;$V$6,"error",IF(AF16&gt;$V$6*1.1,"error","aceptable"))</s:f>
        <s:v/>
      </s:c>
      <s:c r="BG16" s="232">
        <s:f>IF(T16&lt;$J$6*0.9,"error",IF(T16&gt;$J$6,"error","aceptable"))</s:f>
        <s:v/>
      </s:c>
      <s:c r="BH16" s="234">
        <s:f>(IF(ABS(U16)&lt;1,"CONFORME",IF(ABS(AG16)&lt;1,"CONFORME",IF(ABS(AS16)&lt;2.5,"CONFORME","NO CONFORME"))))</s:f>
        <s:v/>
      </s:c>
      <s:c r="BI16" s="235">
        <s:f>(IF(ABS(U16)&gt;2.044,"NO CONFORME",IF(ABS(AG16)&gt;2.044,"NO CONFORME",IF(ABS(AS16)&gt;5.044,"NO CONFORME","CONFORME"))))</s:f>
        <s:v/>
      </s:c>
      <s:c r="BJ16" s="233">
        <s:f>SIGN(U16)</s:f>
        <s:v/>
      </s:c>
      <s:c r="BK16" s="233">
        <s:f>SIGN(AG16)</s:f>
        <s:v/>
      </s:c>
      <s:c r="BL16" s="233">
        <s:f>SIGN(AS16)</s:f>
        <s:v/>
      </s:c>
      <s:c r="BM16" s="233">
        <s:f>CONCATENATE(BJ16,BK16,BL16)</s:f>
        <s:v/>
      </s:c>
      <s:c r="BN16" s="233">
        <s:f>IF(BM16="111","SI","SD")</s:f>
        <s:v/>
      </s:c>
      <s:c r="BO16" s="233">
        <s:f>IF(BM16="-1-1-1","SI","SD")</s:f>
        <s:v/>
      </s:c>
      <s:c r="BP16" s="233">
        <s:f>OR(BN16="SI",BO16="SI")</s:f>
        <s:v/>
      </s:c>
      <s:c r="BQ16" s="233">
        <s:f>IF(BP16=FALSE,"SIGDIFERENTES","SIGIGUALES")</s:f>
        <s:v/>
      </s:c>
      <s:c r="BR16" s="236">
        <s:f>IF(BI16="NO CONFORME","NO CONFORME",IF(BH16="CONFORME","CONFORME","NO CONFORME"))</s:f>
        <s:v/>
      </s:c>
      <s:c r="BS16" s="233">
        <s:f>F16</s:f>
        <s:v/>
      </s:c>
      <s:c r="BT16" s="237">
        <s:f>G16</s:f>
        <s:v/>
      </s:c>
      <s:c r="BU16" s="233">
        <s:f>"20"&amp;+MID(G16,3,2)</s:f>
        <s:v/>
      </s:c>
      <s:c r="BV16" s="238">
        <s:f>C16</s:f>
        <s:v/>
      </s:c>
      <s:c r="BW16" s="233">
        <s:f>AT16</s:f>
        <s:v/>
      </s:c>
      <s:c r="BX16" s="238">
        <s:f>B16</s:f>
        <s:v/>
      </s:c>
      <s:c r="BY16" s="239">
        <s:f>H16</s:f>
        <s:v/>
      </s:c>
      <s:c r="BZ16" s="233">
        <s:f>IF(I16=0,"CONFORME","NO CONFORME")</s:f>
        <s:v/>
      </s:c>
      <s:c r="CA16" s="238">
        <s:f>C16</s:f>
        <s:v/>
      </s:c>
      <s:c r="CB16" s="240">
        <s:f>AH16</s:f>
        <s:v/>
      </s:c>
      <s:c r="CC16" s="241">
        <s:f>AR16</s:f>
        <s:v/>
      </s:c>
      <s:c r="CD16" s="240">
        <s:f>AI16</s:f>
        <s:v/>
      </s:c>
      <s:c r="CE16" s="240">
        <s:f>AJ16</s:f>
        <s:v/>
      </s:c>
      <s:c r="CF16" s="240">
        <s:f>AS16</s:f>
        <s:v/>
      </s:c>
      <s:c r="CG16" s="240">
        <s:f>V16</s:f>
        <s:v/>
      </s:c>
      <s:c r="CH16" s="241">
        <s:f>AF16</s:f>
        <s:v/>
      </s:c>
      <s:c r="CI16" s="240">
        <s:f>W16</s:f>
        <s:v/>
      </s:c>
      <s:c r="CJ16" s="240">
        <s:f>X16</s:f>
        <s:v/>
      </s:c>
      <s:c r="CK16" s="240">
        <s:f>AG16</s:f>
        <s:v/>
      </s:c>
      <s:c r="CL16" s="240">
        <s:f>J16</s:f>
        <s:v/>
      </s:c>
      <s:c r="CM16" s="241">
        <s:f>T16</s:f>
        <s:v/>
      </s:c>
      <s:c r="CN16" s="240">
        <s:f>K16</s:f>
        <s:v/>
      </s:c>
      <s:c r="CO16" s="240">
        <s:f>L16</s:f>
        <s:v/>
      </s:c>
      <s:c r="CP16" s="242">
        <s:f>U16</s:f>
        <s:v/>
      </s:c>
      <s:c r="CQ16" s="233">
        <s:f>AT16</s:f>
        <s:v/>
      </s:c>
    </s:row>
    <s:row r="17">
      <s:c r="A17" s="211" t="n">
        <s:v>9</s:v>
      </s:c>
      <s:c r="B17" s="212" t="n">
        <s:v>45901</s:v>
      </s:c>
      <s:c r="C17" s="213" t="n">
        <s:v>45901</s:v>
      </s:c>
      <s:c r="D17" s="214" t="n">
        <s:v>6</s:v>
      </s:c>
      <s:c r="E17" s="215" t="n">
        <s:v>4</s:v>
      </s:c>
      <s:c r="F17" s="216" t="inlineStr">
        <s:is>
          <s:t>VI-142067-2025</s:t>
        </s:is>
      </s:c>
      <s:c r="G17" s="217" t="inlineStr">
        <s:is>
          <s:t>QB25009849</s:t>
        </s:is>
      </s:c>
      <s:c r="H17" s="218" t="n">
        <s:v>16</s:v>
      </s:c>
      <s:c r="I17" s="219" t="n">
        <s:v>0</s:v>
      </s:c>
      <s:c r="J17" s="220" t="n">
        <s:v>17.6</s:v>
      </s:c>
      <s:c r="K17" s="221" t="n">
        <s:v>5.154</s:v>
      </s:c>
      <s:c r="L17" s="221" t="n">
        <s:v>0.827</s:v>
      </s:c>
      <s:c r="M17" s="222" t="n">
        <s:v>815.7</s:v>
      </s:c>
      <s:c r="N17" s="222" t="n">
        <s:v>915.4</s:v>
      </s:c>
      <s:c r="O17" s="222" t="n">
        <s:v>101.09</s:v>
      </s:c>
      <s:c r="P17" s="223" t="inlineStr">
        <s:is>
          <s:t>1,34,180</s:t>
        </s:is>
      </s:c>
      <s:c r="Q17" s="224" t="inlineStr">
        <s:is>
          <s:t>1</s:t>
        </s:is>
      </s:c>
      <s:c r="R17" s="224" t="inlineStr">
        <s:is>
          <s:t>34,180</s:t>
        </s:is>
      </s:c>
      <s:c r="S17" s="224" t="n">
        <s:v>0.02616111111111111</s:v>
      </s:c>
      <s:c r="T17" s="225" t="n">
        <s:v>3864.13251221066</s:v>
      </s:c>
      <s:c r="U17" s="226" t="n">
        <s:v>-1.375012365219182</s:v>
      </s:c>
      <s:c r="V17" s="220" t="n">
        <s:v>17.7</s:v>
      </s:c>
      <s:c r="W17" s="221" t="n">
        <s:v>1.502</s:v>
      </s:c>
      <s:c r="X17" s="221" t="n">
        <s:v>1.495</s:v>
      </s:c>
      <s:c r="Y17" s="222" t="n">
        <s:v>926.1799999999999</s:v>
      </s:c>
      <s:c r="Z17" s="222" t="n">
        <s:v>936.36</s:v>
      </s:c>
      <s:c r="AA17" s="227" t="n">
        <s:v>10.03</s:v>
      </s:c>
      <s:c r="AB17" s="228" t="inlineStr">
        <s:is>
          <s:t>14,04,150</s:t>
        </s:is>
      </s:c>
      <s:c r="AC17" s="224" t="inlineStr">
        <s:is>
          <s:t>14</s:t>
        </s:is>
      </s:c>
      <s:c r="AD17" s="224" t="inlineStr">
        <s:is>
          <s:t>04,150</s:t>
        </s:is>
      </s:c>
      <s:c r="AE17" s="224" t="n">
        <s:v>0.2344861111111111</s:v>
      </s:c>
      <s:c r="AF17" s="225" t="n">
        <s:v>42.7743884380738</s:v>
      </s:c>
      <s:c r="AG17" s="229" t="n">
        <s:v>1.495513459621778</s:v>
      </s:c>
      <s:c r="AH17" s="220" t="n">
        <s:v>17.6</s:v>
      </s:c>
      <s:c r="AI17" s="221" t="n">
        <s:v>1.502</s:v>
      </s:c>
      <s:c r="AJ17" s="221" t="n">
        <s:v>1.496</s:v>
      </s:c>
      <s:c r="AK17" s="222" t="n">
        <s:v>936.36</s:v>
      </s:c>
      <s:c r="AL17" s="222" t="n">
        <s:v>941.45</s:v>
      </s:c>
      <s:c r="AM17" s="230" t="n">
        <s:v>5.018</s:v>
      </s:c>
      <s:c r="AN17" s="223" t="inlineStr">
        <s:is>
          <s:t>11,21,890</s:t>
        </s:is>
      </s:c>
      <s:c r="AO17" s="224" t="inlineStr">
        <s:is>
          <s:t>11</s:t>
        </s:is>
      </s:c>
      <s:c r="AP17" s="224" t="inlineStr">
        <s:is>
          <s:t>21,890</s:t>
        </s:is>
      </s:c>
      <s:c r="AQ17" s="224" t="n">
        <s:v>0.1894138888888889</s:v>
      </s:c>
      <s:c r="AR17" s="225" t="n">
        <s:v>26.49224948305445</s:v>
      </s:c>
      <s:c r="AS17" s="229" t="n">
        <s:v>1.434834595456996</s:v>
      </s:c>
      <s:c r="AT17" s="231" t="inlineStr">
        <s:is>
          <s:t>CONFORME</s:t>
        </s:is>
      </s:c>
      <s:c r="AU17" s="232">
        <s:f>B17=C17</s:f>
        <s:v/>
      </s:c>
      <s:c r="AV17" s="233">
        <s:f>MID(G17,1,2)</s:f>
        <s:v/>
      </s:c>
      <s:c r="AW17" s="233">
        <s:f>LEN(G17)</s:f>
        <s:v/>
      </s:c>
      <s:c r="AX17" s="233" t="inlineStr">
        <s:is>
          <s:t>OI-0534-2025</s:t>
        </s:is>
      </s:c>
      <s:c r="AY17" s="233">
        <s:f>N17&lt;Y17</s:f>
        <s:v/>
      </s:c>
      <s:c r="AZ17" s="233">
        <s:f>Z17&lt;=AK17</s:f>
        <s:v/>
      </s:c>
      <s:c r="BA17" s="233">
        <s:f>L17&lt;K17</s:f>
        <s:v/>
      </s:c>
      <s:c r="BB17" s="233">
        <s:f>W17&gt;=X17</s:f>
        <s:v/>
      </s:c>
      <s:c r="BC17" s="233">
        <s:f>AI17&gt;=AJ17</s:f>
        <s:v/>
      </s:c>
      <s:c r="BD17" s="233">
        <s:f>IF(I17&gt;=1,"Qcorrecto",IF(AND(BE17="aceptable",BF17="aceptable",BG17="aceptable"),"Qcorrecto","Qincorrecto"))</s:f>
        <s:v/>
      </s:c>
      <s:c r="BE17" s="232">
        <s:f>IF(AR17&lt;$AH$6,"error",IF(AR17&gt;$AH$6*1.1,"error","aceptable"))</s:f>
        <s:v/>
      </s:c>
      <s:c r="BF17" s="232">
        <s:f>IF(AF17&lt;$V$6,"error",IF(AF17&gt;$V$6*1.1,"error","aceptable"))</s:f>
        <s:v/>
      </s:c>
      <s:c r="BG17" s="232">
        <s:f>IF(T17&lt;$J$6*0.9,"error",IF(T17&gt;$J$6,"error","aceptable"))</s:f>
        <s:v/>
      </s:c>
      <s:c r="BH17" s="234">
        <s:f>(IF(ABS(U17)&lt;1,"CONFORME",IF(ABS(AG17)&lt;1,"CONFORME",IF(ABS(AS17)&lt;2.5,"CONFORME","NO CONFORME"))))</s:f>
        <s:v/>
      </s:c>
      <s:c r="BI17" s="235">
        <s:f>(IF(ABS(U17)&gt;2.044,"NO CONFORME",IF(ABS(AG17)&gt;2.044,"NO CONFORME",IF(ABS(AS17)&gt;5.044,"NO CONFORME","CONFORME"))))</s:f>
        <s:v/>
      </s:c>
      <s:c r="BJ17" s="233">
        <s:f>SIGN(U17)</s:f>
        <s:v/>
      </s:c>
      <s:c r="BK17" s="233">
        <s:f>SIGN(AG17)</s:f>
        <s:v/>
      </s:c>
      <s:c r="BL17" s="233">
        <s:f>SIGN(AS17)</s:f>
        <s:v/>
      </s:c>
      <s:c r="BM17" s="233">
        <s:f>CONCATENATE(BJ17,BK17,BL17)</s:f>
        <s:v/>
      </s:c>
      <s:c r="BN17" s="233">
        <s:f>IF(BM17="111","SI","SD")</s:f>
        <s:v/>
      </s:c>
      <s:c r="BO17" s="233">
        <s:f>IF(BM17="-1-1-1","SI","SD")</s:f>
        <s:v/>
      </s:c>
      <s:c r="BP17" s="233">
        <s:f>OR(BN17="SI",BO17="SI")</s:f>
        <s:v/>
      </s:c>
      <s:c r="BQ17" s="233">
        <s:f>IF(BP17=FALSE,"SIGDIFERENTES","SIGIGUALES")</s:f>
        <s:v/>
      </s:c>
      <s:c r="BR17" s="236">
        <s:f>IF(BI17="NO CONFORME","NO CONFORME",IF(BH17="CONFORME","CONFORME","NO CONFORME"))</s:f>
        <s:v/>
      </s:c>
      <s:c r="BS17" s="233">
        <s:f>F17</s:f>
        <s:v/>
      </s:c>
      <s:c r="BT17" s="237">
        <s:f>G17</s:f>
        <s:v/>
      </s:c>
      <s:c r="BU17" s="233">
        <s:f>"20"&amp;+MID(G17,3,2)</s:f>
        <s:v/>
      </s:c>
      <s:c r="BV17" s="238">
        <s:f>C17</s:f>
        <s:v/>
      </s:c>
      <s:c r="BW17" s="233">
        <s:f>AT17</s:f>
        <s:v/>
      </s:c>
      <s:c r="BX17" s="238">
        <s:f>B17</s:f>
        <s:v/>
      </s:c>
      <s:c r="BY17" s="239">
        <s:f>H17</s:f>
        <s:v/>
      </s:c>
      <s:c r="BZ17" s="233">
        <s:f>IF(I17=0,"CONFORME","NO CONFORME")</s:f>
        <s:v/>
      </s:c>
      <s:c r="CA17" s="238">
        <s:f>C17</s:f>
        <s:v/>
      </s:c>
      <s:c r="CB17" s="240">
        <s:f>AH17</s:f>
        <s:v/>
      </s:c>
      <s:c r="CC17" s="241">
        <s:f>AR17</s:f>
        <s:v/>
      </s:c>
      <s:c r="CD17" s="240">
        <s:f>AI17</s:f>
        <s:v/>
      </s:c>
      <s:c r="CE17" s="240">
        <s:f>AJ17</s:f>
        <s:v/>
      </s:c>
      <s:c r="CF17" s="240">
        <s:f>AS17</s:f>
        <s:v/>
      </s:c>
      <s:c r="CG17" s="240">
        <s:f>V17</s:f>
        <s:v/>
      </s:c>
      <s:c r="CH17" s="241">
        <s:f>AF17</s:f>
        <s:v/>
      </s:c>
      <s:c r="CI17" s="240">
        <s:f>W17</s:f>
        <s:v/>
      </s:c>
      <s:c r="CJ17" s="240">
        <s:f>X17</s:f>
        <s:v/>
      </s:c>
      <s:c r="CK17" s="240">
        <s:f>AG17</s:f>
        <s:v/>
      </s:c>
      <s:c r="CL17" s="240">
        <s:f>J17</s:f>
        <s:v/>
      </s:c>
      <s:c r="CM17" s="241">
        <s:f>T17</s:f>
        <s:v/>
      </s:c>
      <s:c r="CN17" s="240">
        <s:f>K17</s:f>
        <s:v/>
      </s:c>
      <s:c r="CO17" s="240">
        <s:f>L17</s:f>
        <s:v/>
      </s:c>
      <s:c r="CP17" s="242">
        <s:f>U17</s:f>
        <s:v/>
      </s:c>
      <s:c r="CQ17" s="233">
        <s:f>AT17</s:f>
        <s:v/>
      </s:c>
    </s:row>
    <s:row r="18">
      <s:c r="A18" s="211" t="n">
        <s:v>1</s:v>
      </s:c>
      <s:c r="B18" s="212" t="n">
        <s:v>45901</s:v>
      </s:c>
      <s:c r="C18" s="213" t="n">
        <s:v>45901</s:v>
      </s:c>
      <s:c r="D18" s="214" t="n">
        <s:v>3</s:v>
      </s:c>
      <s:c r="E18" s="215" t="n">
        <s:v>13</s:v>
      </s:c>
      <s:c r="F18" s="216" t="inlineStr">
        <s:is>
          <s:t>VI-236493-2025</s:t>
        </s:is>
      </s:c>
      <s:c r="G18" s="217" t="inlineStr">
        <s:is>
          <s:t>QA25417879</s:t>
        </s:is>
      </s:c>
      <s:c r="H18" s="218" t="n">
        <s:v>16</s:v>
      </s:c>
      <s:c r="I18" s="219" t="n">
        <s:v>0</s:v>
      </s:c>
      <s:c r="J18" s="220" t="n">
        <s:v>18.4</s:v>
      </s:c>
      <s:c r="K18" s="221" t="n">
        <s:v>7.519</s:v>
      </s:c>
      <s:c r="L18" s="221" t="n">
        <s:v>1.171</s:v>
      </s:c>
      <s:c r="M18" s="222" t="n">
        <s:v>373.92</s:v>
      </s:c>
      <s:c r="N18" s="222" t="n">
        <s:v>474.8</s:v>
      </s:c>
      <s:c r="O18" s="222" t="n">
        <s:v>100.49</s:v>
      </s:c>
      <s:c r="P18" s="223" t="inlineStr">
        <s:is>
          <s:t>2,30,540</s:t>
        </s:is>
      </s:c>
      <s:c r="Q18" s="224" t="inlineStr">
        <s:is>
          <s:t>2</s:t>
        </s:is>
      </s:c>
      <s:c r="R18" s="224" t="inlineStr">
        <s:is>
          <s:t>30,540</s:t>
        </s:is>
      </s:c>
      <s:c r="S18" s="224" t="n">
        <s:v>0.04181666666666666</s:v>
      </s:c>
      <s:c r="T18" s="225" t="n">
        <s:v>2403.108808290156</s:v>
      </s:c>
      <s:c r="U18" s="226" t="n">
        <s:v>0.3880983182406215</s:v>
      </s:c>
      <s:c r="V18" s="220" t="n">
        <s:v>18</s:v>
      </s:c>
      <s:c r="W18" s="221" t="n">
        <s:v>1.097</s:v>
      </s:c>
      <s:c r="X18" s="221" t="n">
        <s:v>1.082</s:v>
      </s:c>
      <s:c r="Y18" s="222" t="n">
        <s:v>487.74</s:v>
      </s:c>
      <s:c r="Z18" s="222" t="n">
        <s:v>488.25</s:v>
      </s:c>
      <s:c r="AA18" s="227" t="n">
        <s:v>5.011</s:v>
      </s:c>
      <s:c r="AB18" s="228" t="inlineStr">
        <s:is>
          <s:t>11,28,700</s:t>
        </s:is>
      </s:c>
      <s:c r="AC18" s="224" t="inlineStr">
        <s:is>
          <s:t>11</s:t>
        </s:is>
      </s:c>
      <s:c r="AD18" s="224" t="inlineStr">
        <s:is>
          <s:t>28,700</s:t>
        </s:is>
      </s:c>
      <s:c r="AE18" s="224" t="n">
        <s:v>0.1913055555555556</s:v>
      </s:c>
      <s:c r="AF18" s="225" t="n">
        <s:v>26.19369827210687</s:v>
      </s:c>
      <s:c r="AG18" s="229" t="n">
        <s:v>-89.82239074037136</s:v>
      </s:c>
      <s:c r="AH18" s="220" t="n">
        <s:v>18.2</s:v>
      </s:c>
      <s:c r="AI18" s="221" t="n">
        <s:v>1.097</s:v>
      </s:c>
      <s:c r="AJ18" s="221" t="n">
        <s:v>1.085</s:v>
      </s:c>
      <s:c r="AK18" s="222" t="n">
        <s:v>488.25</s:v>
      </s:c>
      <s:c r="AL18" s="222" t="n">
        <s:v>488.25</s:v>
      </s:c>
      <s:c r="AM18" s="230" t="n">
        <s:v>2.005</s:v>
      </s:c>
      <s:c r="AN18" s="223" t="inlineStr">
        <s:is>
          <s:t>7,20,480</s:t>
        </s:is>
      </s:c>
      <s:c r="AO18" s="224" t="inlineStr">
        <s:is>
          <s:t>7,</s:t>
        </s:is>
      </s:c>
      <s:c r="AP18" s="224" t="inlineStr">
        <s:is>
          <s:t>20,480</s:t>
        </s:is>
      </s:c>
      <s:c r="AQ18" s="224" t="n">
        <s:v>0.1223555555555556</s:v>
      </s:c>
      <s:c r="AR18" s="225" t="n">
        <s:v>16.38666908826734</s:v>
      </s:c>
      <s:c r="AS18" s="229" t="n">
        <s:v>-100</s:v>
      </s:c>
      <s:c r="AT18" s="231" t="inlineStr">
        <s:is>
          <s:t>NO CONFORME</s:t>
        </s:is>
      </s:c>
      <s:c r="AU18" s="232">
        <s:f>B18=C18</s:f>
        <s:v/>
      </s:c>
      <s:c r="AV18" s="233">
        <s:f>MID(G18,1,2)</s:f>
        <s:v/>
      </s:c>
      <s:c r="AW18" s="233">
        <s:f>LEN(G18)</s:f>
        <s:v/>
      </s:c>
      <s:c r="AX18" s="233" t="inlineStr">
        <s:is>
          <s:t>OI-0922-2025</s:t>
        </s:is>
      </s:c>
      <s:c r="AY18" s="233">
        <s:f>N18&lt;Y18</s:f>
        <s:v/>
      </s:c>
      <s:c r="AZ18" s="233">
        <s:f>Z18&lt;=AK18</s:f>
        <s:v/>
      </s:c>
      <s:c r="BA18" s="233">
        <s:f>L18&lt;K18</s:f>
        <s:v/>
      </s:c>
      <s:c r="BB18" s="233">
        <s:f>W18&gt;=X18</s:f>
        <s:v/>
      </s:c>
      <s:c r="BC18" s="233">
        <s:f>AI18&gt;=AJ18</s:f>
        <s:v/>
      </s:c>
      <s:c r="BD18" s="233">
        <s:f>IF(I18&gt;=1,"Qcorrecto",IF(AND(BE18="aceptable",BF18="aceptable",BG18="aceptable"),"Qcorrecto","Qincorrecto"))</s:f>
        <s:v/>
      </s:c>
      <s:c r="BE18" s="232">
        <s:f>IF(AR18&lt;$AH$6,"error",IF(AR18&gt;$AH$6*1.1,"error","aceptable"))</s:f>
        <s:v/>
      </s:c>
      <s:c r="BF18" s="232">
        <s:f>IF(AF18&lt;$V$6,"error",IF(AF18&gt;$V$6*1.1,"error","aceptable"))</s:f>
        <s:v/>
      </s:c>
      <s:c r="BG18" s="232">
        <s:f>IF(T18&lt;$J$6*0.9,"error",IF(T18&gt;$J$6,"error","aceptable"))</s:f>
        <s:v/>
      </s:c>
      <s:c r="BH18" s="234">
        <s:f>(IF(ABS(U18)&lt;1,"CONFORME",IF(ABS(AG18)&lt;1,"CONFORME",IF(ABS(AS18)&lt;2.5,"CONFORME","NO CONFORME"))))</s:f>
        <s:v/>
      </s:c>
      <s:c r="BI18" s="235">
        <s:f>(IF(ABS(U18)&gt;2.044,"NO CONFORME",IF(ABS(AG18)&gt;2.044,"NO CONFORME",IF(ABS(AS18)&gt;5.044,"NO CONFORME","CONFORME"))))</s:f>
        <s:v/>
      </s:c>
      <s:c r="BJ18" s="233">
        <s:f>SIGN(U18)</s:f>
        <s:v/>
      </s:c>
      <s:c r="BK18" s="233">
        <s:f>SIGN(AG18)</s:f>
        <s:v/>
      </s:c>
      <s:c r="BL18" s="233">
        <s:f>SIGN(AS18)</s:f>
        <s:v/>
      </s:c>
      <s:c r="BM18" s="233">
        <s:f>CONCATENATE(BJ18,BK18,BL18)</s:f>
        <s:v/>
      </s:c>
      <s:c r="BN18" s="233">
        <s:f>IF(BM18="111","SI","SD")</s:f>
        <s:v/>
      </s:c>
      <s:c r="BO18" s="233">
        <s:f>IF(BM18="-1-1-1","SI","SD")</s:f>
        <s:v/>
      </s:c>
      <s:c r="BP18" s="233">
        <s:f>OR(BN18="SI",BO18="SI")</s:f>
        <s:v/>
      </s:c>
      <s:c r="BQ18" s="233">
        <s:f>IF(BP18=FALSE,"SIGDIFERENTES","SIGIGUALES")</s:f>
        <s:v/>
      </s:c>
      <s:c r="BR18" s="236">
        <s:f>IF(BI18="NO CONFORME","NO CONFORME",IF(BH18="CONFORME","CONFORME","NO CONFORME"))</s:f>
        <s:v/>
      </s:c>
      <s:c r="BS18" s="233">
        <s:f>F18</s:f>
        <s:v/>
      </s:c>
      <s:c r="BT18" s="237">
        <s:f>G18</s:f>
        <s:v/>
      </s:c>
      <s:c r="BU18" s="233">
        <s:f>"20"&amp;+MID(G18,3,2)</s:f>
        <s:v/>
      </s:c>
      <s:c r="BV18" s="238">
        <s:f>C18</s:f>
        <s:v/>
      </s:c>
      <s:c r="BW18" s="233">
        <s:f>AT18</s:f>
        <s:v/>
      </s:c>
      <s:c r="BX18" s="238">
        <s:f>B18</s:f>
        <s:v/>
      </s:c>
      <s:c r="BY18" s="239">
        <s:f>H18</s:f>
        <s:v/>
      </s:c>
      <s:c r="BZ18" s="233">
        <s:f>IF(I18=0,"CONFORME","NO CONFORME")</s:f>
        <s:v/>
      </s:c>
      <s:c r="CA18" s="238">
        <s:f>C18</s:f>
        <s:v/>
      </s:c>
      <s:c r="CB18" s="240">
        <s:f>AH18</s:f>
        <s:v/>
      </s:c>
      <s:c r="CC18" s="241">
        <s:f>AR18</s:f>
        <s:v/>
      </s:c>
      <s:c r="CD18" s="240">
        <s:f>AI18</s:f>
        <s:v/>
      </s:c>
      <s:c r="CE18" s="240">
        <s:f>AJ18</s:f>
        <s:v/>
      </s:c>
      <s:c r="CF18" s="240">
        <s:f>AS18</s:f>
        <s:v/>
      </s:c>
      <s:c r="CG18" s="240">
        <s:f>V18</s:f>
        <s:v/>
      </s:c>
      <s:c r="CH18" s="241">
        <s:f>AF18</s:f>
        <s:v/>
      </s:c>
      <s:c r="CI18" s="240">
        <s:f>W18</s:f>
        <s:v/>
      </s:c>
      <s:c r="CJ18" s="240">
        <s:f>X18</s:f>
        <s:v/>
      </s:c>
      <s:c r="CK18" s="240">
        <s:f>AG18</s:f>
        <s:v/>
      </s:c>
      <s:c r="CL18" s="240">
        <s:f>J18</s:f>
        <s:v/>
      </s:c>
      <s:c r="CM18" s="241">
        <s:f>T18</s:f>
        <s:v/>
      </s:c>
      <s:c r="CN18" s="240">
        <s:f>K18</s:f>
        <s:v/>
      </s:c>
      <s:c r="CO18" s="240">
        <s:f>L18</s:f>
        <s:v/>
      </s:c>
      <s:c r="CP18" s="242">
        <s:f>U18</s:f>
        <s:v/>
      </s:c>
      <s:c r="CQ18" s="233">
        <s:f>AT18</s:f>
        <s:v/>
      </s:c>
    </s:row>
    <s:row r="19">
      <s:c r="A19" s="211" t="n">
        <s:v>2</s:v>
      </s:c>
      <s:c r="B19" s="212" t="n">
        <s:v>45901</s:v>
      </s:c>
      <s:c r="C19" s="213" t="n">
        <s:v>45901</s:v>
      </s:c>
      <s:c r="D19" s="214" t="n">
        <s:v>3</s:v>
      </s:c>
      <s:c r="E19" s="215" t="n">
        <s:v>13</s:v>
      </s:c>
      <s:c r="F19" s="216" t="inlineStr">
        <s:is>
          <s:t>VI-236494-2025</s:t>
        </s:is>
      </s:c>
      <s:c r="G19" s="217" t="inlineStr">
        <s:is>
          <s:t>QA25417889</s:t>
        </s:is>
      </s:c>
      <s:c r="H19" s="218" t="n">
        <s:v>16</s:v>
      </s:c>
      <s:c r="I19" s="219" t="n">
        <s:v>0</s:v>
      </s:c>
      <s:c r="J19" s="220" t="n">
        <s:v>18.4</s:v>
      </s:c>
      <s:c r="K19" s="221" t="n">
        <s:v>7.519</s:v>
      </s:c>
      <s:c r="L19" s="221" t="n">
        <s:v>1.171</s:v>
      </s:c>
      <s:c r="M19" s="222" t="n">
        <s:v>399.78</s:v>
      </s:c>
      <s:c r="N19" s="222" t="n">
        <s:v>499.51</s:v>
      </s:c>
      <s:c r="O19" s="222" t="n">
        <s:v>100.49</s:v>
      </s:c>
      <s:c r="P19" s="223" t="inlineStr">
        <s:is>
          <s:t>2,30,540</s:t>
        </s:is>
      </s:c>
      <s:c r="Q19" s="224" t="inlineStr">
        <s:is>
          <s:t>2</s:t>
        </s:is>
      </s:c>
      <s:c r="R19" s="224" t="inlineStr">
        <s:is>
          <s:t>30,540</s:t>
        </s:is>
      </s:c>
      <s:c r="S19" s="224" t="n">
        <s:v>0.04181666666666666</s:v>
      </s:c>
      <s:c r="T19" s="225" t="n">
        <s:v>2403.108808290156</s:v>
      </s:c>
      <s:c r="U19" s="226" t="n">
        <s:v>-0.7562941586227253</s:v>
      </s:c>
      <s:c r="V19" s="220" t="n">
        <s:v>18</s:v>
      </s:c>
      <s:c r="W19" s="221" t="n">
        <s:v>1.097</s:v>
      </s:c>
      <s:c r="X19" s="221" t="n">
        <s:v>1.082</s:v>
      </s:c>
      <s:c r="Y19" s="222" t="n">
        <s:v>512.4299999999999</s:v>
      </s:c>
      <s:c r="Z19" s="222" t="n">
        <s:v>517.37</s:v>
      </s:c>
      <s:c r="AA19" s="227" t="n">
        <s:v>5.011</s:v>
      </s:c>
      <s:c r="AB19" s="228" t="inlineStr">
        <s:is>
          <s:t>11,28,700</s:t>
        </s:is>
      </s:c>
      <s:c r="AC19" s="224" t="inlineStr">
        <s:is>
          <s:t>11</s:t>
        </s:is>
      </s:c>
      <s:c r="AD19" s="224" t="inlineStr">
        <s:is>
          <s:t>28,700</s:t>
        </s:is>
      </s:c>
      <s:c r="AE19" s="224" t="n">
        <s:v>0.1913055555555556</s:v>
      </s:c>
      <s:c r="AF19" s="225" t="n">
        <s:v>26.19369827210687</s:v>
      </s:c>
      <s:c r="AG19" s="229" t="n">
        <s:v>-1.416882857711945</s:v>
      </s:c>
      <s:c r="AH19" s="220" t="n">
        <s:v>18.2</s:v>
      </s:c>
      <s:c r="AI19" s="221" t="n">
        <s:v>1.097</s:v>
      </s:c>
      <s:c r="AJ19" s="221" t="n">
        <s:v>1.085</s:v>
      </s:c>
      <s:c r="AK19" s="222" t="n">
        <s:v>517.37</s:v>
      </s:c>
      <s:c r="AL19" s="222" t="n">
        <s:v>519.33</s:v>
      </s:c>
      <s:c r="AM19" s="230" t="n">
        <s:v>2.005</s:v>
      </s:c>
      <s:c r="AN19" s="223" t="inlineStr">
        <s:is>
          <s:t>7,20,480</s:t>
        </s:is>
      </s:c>
      <s:c r="AO19" s="224" t="inlineStr">
        <s:is>
          <s:t>7,</s:t>
        </s:is>
      </s:c>
      <s:c r="AP19" s="224" t="inlineStr">
        <s:is>
          <s:t>20,480</s:t>
        </s:is>
      </s:c>
      <s:c r="AQ19" s="224" t="n">
        <s:v>0.1223555555555556</s:v>
      </s:c>
      <s:c r="AR19" s="225" t="n">
        <s:v>16.38666908826734</s:v>
      </s:c>
      <s:c r="AS19" s="229" t="n">
        <s:v>-2.244389027429602</s:v>
      </s:c>
      <s:c r="AT19" s="231" t="inlineStr">
        <s:is>
          <s:t>CONFORME</s:t>
        </s:is>
      </s:c>
      <s:c r="AU19" s="232">
        <s:f>B19=C19</s:f>
        <s:v/>
      </s:c>
      <s:c r="AV19" s="233">
        <s:f>MID(G19,1,2)</s:f>
        <s:v/>
      </s:c>
      <s:c r="AW19" s="233">
        <s:f>LEN(G19)</s:f>
        <s:v/>
      </s:c>
      <s:c r="AX19" s="233" t="inlineStr">
        <s:is>
          <s:t>OI-0922-2025</s:t>
        </s:is>
      </s:c>
      <s:c r="AY19" s="233">
        <s:f>N19&lt;Y19</s:f>
        <s:v/>
      </s:c>
      <s:c r="AZ19" s="233">
        <s:f>Z19&lt;=AK19</s:f>
        <s:v/>
      </s:c>
      <s:c r="BA19" s="233">
        <s:f>L19&lt;K19</s:f>
        <s:v/>
      </s:c>
      <s:c r="BB19" s="233">
        <s:f>W19&gt;=X19</s:f>
        <s:v/>
      </s:c>
      <s:c r="BC19" s="233">
        <s:f>AI19&gt;=AJ19</s:f>
        <s:v/>
      </s:c>
      <s:c r="BD19" s="233">
        <s:f>IF(I19&gt;=1,"Qcorrecto",IF(AND(BE19="aceptable",BF19="aceptable",BG19="aceptable"),"Qcorrecto","Qincorrecto"))</s:f>
        <s:v/>
      </s:c>
      <s:c r="BE19" s="232">
        <s:f>IF(AR19&lt;$AH$6,"error",IF(AR19&gt;$AH$6*1.1,"error","aceptable"))</s:f>
        <s:v/>
      </s:c>
      <s:c r="BF19" s="232">
        <s:f>IF(AF19&lt;$V$6,"error",IF(AF19&gt;$V$6*1.1,"error","aceptable"))</s:f>
        <s:v/>
      </s:c>
      <s:c r="BG19" s="232">
        <s:f>IF(T19&lt;$J$6*0.9,"error",IF(T19&gt;$J$6,"error","aceptable"))</s:f>
        <s:v/>
      </s:c>
      <s:c r="BH19" s="234">
        <s:f>(IF(ABS(U19)&lt;1,"CONFORME",IF(ABS(AG19)&lt;1,"CONFORME",IF(ABS(AS19)&lt;2.5,"CONFORME","NO CONFORME"))))</s:f>
        <s:v/>
      </s:c>
      <s:c r="BI19" s="235">
        <s:f>(IF(ABS(U19)&gt;2.044,"NO CONFORME",IF(ABS(AG19)&gt;2.044,"NO CONFORME",IF(ABS(AS19)&gt;5.044,"NO CONFORME","CONFORME"))))</s:f>
        <s:v/>
      </s:c>
      <s:c r="BJ19" s="233">
        <s:f>SIGN(U19)</s:f>
        <s:v/>
      </s:c>
      <s:c r="BK19" s="233">
        <s:f>SIGN(AG19)</s:f>
        <s:v/>
      </s:c>
      <s:c r="BL19" s="233">
        <s:f>SIGN(AS19)</s:f>
        <s:v/>
      </s:c>
      <s:c r="BM19" s="233">
        <s:f>CONCATENATE(BJ19,BK19,BL19)</s:f>
        <s:v/>
      </s:c>
      <s:c r="BN19" s="233">
        <s:f>IF(BM19="111","SI","SD")</s:f>
        <s:v/>
      </s:c>
      <s:c r="BO19" s="233">
        <s:f>IF(BM19="-1-1-1","SI","SD")</s:f>
        <s:v/>
      </s:c>
      <s:c r="BP19" s="233">
        <s:f>OR(BN19="SI",BO19="SI")</s:f>
        <s:v/>
      </s:c>
      <s:c r="BQ19" s="233">
        <s:f>IF(BP19=FALSE,"SIGDIFERENTES","SIGIGUALES")</s:f>
        <s:v/>
      </s:c>
      <s:c r="BR19" s="236">
        <s:f>IF(BI19="NO CONFORME","NO CONFORME",IF(BH19="CONFORME","CONFORME","NO CONFORME"))</s:f>
        <s:v/>
      </s:c>
      <s:c r="BS19" s="233">
        <s:f>F19</s:f>
        <s:v/>
      </s:c>
      <s:c r="BT19" s="237">
        <s:f>G19</s:f>
        <s:v/>
      </s:c>
      <s:c r="BU19" s="233">
        <s:f>"20"&amp;+MID(G19,3,2)</s:f>
        <s:v/>
      </s:c>
      <s:c r="BV19" s="238">
        <s:f>C19</s:f>
        <s:v/>
      </s:c>
      <s:c r="BW19" s="233">
        <s:f>AT19</s:f>
        <s:v/>
      </s:c>
      <s:c r="BX19" s="238">
        <s:f>B19</s:f>
        <s:v/>
      </s:c>
      <s:c r="BY19" s="239">
        <s:f>H19</s:f>
        <s:v/>
      </s:c>
      <s:c r="BZ19" s="233">
        <s:f>IF(I19=0,"CONFORME","NO CONFORME")</s:f>
        <s:v/>
      </s:c>
      <s:c r="CA19" s="238">
        <s:f>C19</s:f>
        <s:v/>
      </s:c>
      <s:c r="CB19" s="240">
        <s:f>AH19</s:f>
        <s:v/>
      </s:c>
      <s:c r="CC19" s="241">
        <s:f>AR19</s:f>
        <s:v/>
      </s:c>
      <s:c r="CD19" s="240">
        <s:f>AI19</s:f>
        <s:v/>
      </s:c>
      <s:c r="CE19" s="240">
        <s:f>AJ19</s:f>
        <s:v/>
      </s:c>
      <s:c r="CF19" s="240">
        <s:f>AS19</s:f>
        <s:v/>
      </s:c>
      <s:c r="CG19" s="240">
        <s:f>V19</s:f>
        <s:v/>
      </s:c>
      <s:c r="CH19" s="241">
        <s:f>AF19</s:f>
        <s:v/>
      </s:c>
      <s:c r="CI19" s="240">
        <s:f>W19</s:f>
        <s:v/>
      </s:c>
      <s:c r="CJ19" s="240">
        <s:f>X19</s:f>
        <s:v/>
      </s:c>
      <s:c r="CK19" s="240">
        <s:f>AG19</s:f>
        <s:v/>
      </s:c>
      <s:c r="CL19" s="240">
        <s:f>J19</s:f>
        <s:v/>
      </s:c>
      <s:c r="CM19" s="241">
        <s:f>T19</s:f>
        <s:v/>
      </s:c>
      <s:c r="CN19" s="240">
        <s:f>K19</s:f>
        <s:v/>
      </s:c>
      <s:c r="CO19" s="240">
        <s:f>L19</s:f>
        <s:v/>
      </s:c>
      <s:c r="CP19" s="242">
        <s:f>U19</s:f>
        <s:v/>
      </s:c>
      <s:c r="CQ19" s="233">
        <s:f>AT19</s:f>
        <s:v/>
      </s:c>
    </s:row>
    <s:row r="20">
      <s:c r="A20" s="211" t="n">
        <s:v>3</s:v>
      </s:c>
      <s:c r="B20" s="212" t="n">
        <s:v>45901</s:v>
      </s:c>
      <s:c r="C20" s="213" t="n">
        <s:v>45901</s:v>
      </s:c>
      <s:c r="D20" s="214" t="n">
        <s:v>3</s:v>
      </s:c>
      <s:c r="E20" s="215" t="n">
        <s:v>13</s:v>
      </s:c>
      <s:c r="F20" s="216" t="inlineStr">
        <s:is>
          <s:t>VI-236495-2025</s:t>
        </s:is>
      </s:c>
      <s:c r="G20" s="217" t="inlineStr">
        <s:is>
          <s:t>QA25417853</s:t>
        </s:is>
      </s:c>
      <s:c r="H20" s="218" t="n">
        <s:v>16</s:v>
      </s:c>
      <s:c r="I20" s="219" t="n">
        <s:v>0</s:v>
      </s:c>
      <s:c r="J20" s="220" t="n">
        <s:v>18.4</s:v>
      </s:c>
      <s:c r="K20" s="221" t="n">
        <s:v>7.519</s:v>
      </s:c>
      <s:c r="L20" s="221" t="n">
        <s:v>1.171</s:v>
      </s:c>
      <s:c r="M20" s="222" t="n">
        <s:v>366.35</s:v>
      </s:c>
      <s:c r="N20" s="222" t="n">
        <s:v>466.25</s:v>
      </s:c>
      <s:c r="O20" s="222" t="n">
        <s:v>100.49</s:v>
      </s:c>
      <s:c r="P20" s="223" t="inlineStr">
        <s:is>
          <s:t>2,30,540</s:t>
        </s:is>
      </s:c>
      <s:c r="Q20" s="224" t="inlineStr">
        <s:is>
          <s:t>2</s:t>
        </s:is>
      </s:c>
      <s:c r="R20" s="224" t="inlineStr">
        <s:is>
          <s:t>30,540</s:t>
        </s:is>
      </s:c>
      <s:c r="S20" s="224" t="n">
        <s:v>0.04181666666666666</s:v>
      </s:c>
      <s:c r="T20" s="225" t="n">
        <s:v>2403.108808290156</s:v>
      </s:c>
      <s:c r="U20" s="226" t="n">
        <s:v>-0.5871230968255724</s:v>
      </s:c>
      <s:c r="V20" s="220" t="n">
        <s:v>18</s:v>
      </s:c>
      <s:c r="W20" s="221" t="n">
        <s:v>1.097</s:v>
      </s:c>
      <s:c r="X20" s="221" t="n">
        <s:v>1.082</s:v>
      </s:c>
      <s:c r="Y20" s="222" t="n">
        <s:v>479.07</s:v>
      </s:c>
      <s:c r="Z20" s="222" t="n">
        <s:v>483.95</s:v>
      </s:c>
      <s:c r="AA20" s="227" t="n">
        <s:v>5.011</s:v>
      </s:c>
      <s:c r="AB20" s="228" t="inlineStr">
        <s:is>
          <s:t>11,28,700</s:t>
        </s:is>
      </s:c>
      <s:c r="AC20" s="224" t="inlineStr">
        <s:is>
          <s:t>11</s:t>
        </s:is>
      </s:c>
      <s:c r="AD20" s="224" t="inlineStr">
        <s:is>
          <s:t>28,700</s:t>
        </s:is>
      </s:c>
      <s:c r="AE20" s="224" t="n">
        <s:v>0.1913055555555556</s:v>
      </s:c>
      <s:c r="AF20" s="225" t="n">
        <s:v>26.19369827210687</s:v>
      </s:c>
      <s:c r="AG20" s="229" t="n">
        <s:v>-2.614248652963573</s:v>
      </s:c>
      <s:c r="AH20" s="220" t="n">
        <s:v>18.2</s:v>
      </s:c>
      <s:c r="AI20" s="221" t="n">
        <s:v>1.097</s:v>
      </s:c>
      <s:c r="AJ20" s="221" t="n">
        <s:v>1.085</s:v>
      </s:c>
      <s:c r="AK20" s="222" t="n">
        <s:v>483.95</s:v>
      </s:c>
      <s:c r="AL20" s="222" t="n">
        <s:v>485.81</s:v>
      </s:c>
      <s:c r="AM20" s="230" t="n">
        <s:v>2.005</s:v>
      </s:c>
      <s:c r="AN20" s="223" t="inlineStr">
        <s:is>
          <s:t>7,20,480</s:t>
        </s:is>
      </s:c>
      <s:c r="AO20" s="224" t="inlineStr">
        <s:is>
          <s:t>7,</s:t>
        </s:is>
      </s:c>
      <s:c r="AP20" s="224" t="inlineStr">
        <s:is>
          <s:t>20,480</s:t>
        </s:is>
      </s:c>
      <s:c r="AQ20" s="224" t="n">
        <s:v>0.1223555555555556</s:v>
      </s:c>
      <s:c r="AR20" s="225" t="n">
        <s:v>16.38666908826734</s:v>
      </s:c>
      <s:c r="AS20" s="229" t="n">
        <s:v>-7.231920199500562</s:v>
      </s:c>
      <s:c r="AT20" s="231" t="inlineStr">
        <s:is>
          <s:t>NO CONFORME</s:t>
        </s:is>
      </s:c>
      <s:c r="AU20" s="232">
        <s:f>B20=C20</s:f>
        <s:v/>
      </s:c>
      <s:c r="AV20" s="233">
        <s:f>MID(G20,1,2)</s:f>
        <s:v/>
      </s:c>
      <s:c r="AW20" s="233">
        <s:f>LEN(G20)</s:f>
        <s:v/>
      </s:c>
      <s:c r="AX20" s="233" t="inlineStr">
        <s:is>
          <s:t>OI-0922-2025</s:t>
        </s:is>
      </s:c>
      <s:c r="AY20" s="233">
        <s:f>N20&lt;Y20</s:f>
        <s:v/>
      </s:c>
      <s:c r="AZ20" s="233">
        <s:f>Z20&lt;=AK20</s:f>
        <s:v/>
      </s:c>
      <s:c r="BA20" s="233">
        <s:f>L20&lt;K20</s:f>
        <s:v/>
      </s:c>
      <s:c r="BB20" s="233">
        <s:f>W20&gt;=X20</s:f>
        <s:v/>
      </s:c>
      <s:c r="BC20" s="233">
        <s:f>AI20&gt;=AJ20</s:f>
        <s:v/>
      </s:c>
      <s:c r="BD20" s="233">
        <s:f>IF(I20&gt;=1,"Qcorrecto",IF(AND(BE20="aceptable",BF20="aceptable",BG20="aceptable"),"Qcorrecto","Qincorrecto"))</s:f>
        <s:v/>
      </s:c>
      <s:c r="BE20" s="232">
        <s:f>IF(AR20&lt;$AH$6,"error",IF(AR20&gt;$AH$6*1.1,"error","aceptable"))</s:f>
        <s:v/>
      </s:c>
      <s:c r="BF20" s="232">
        <s:f>IF(AF20&lt;$V$6,"error",IF(AF20&gt;$V$6*1.1,"error","aceptable"))</s:f>
        <s:v/>
      </s:c>
      <s:c r="BG20" s="232">
        <s:f>IF(T20&lt;$J$6*0.9,"error",IF(T20&gt;$J$6,"error","aceptable"))</s:f>
        <s:v/>
      </s:c>
      <s:c r="BH20" s="234">
        <s:f>(IF(ABS(U20)&lt;1,"CONFORME",IF(ABS(AG20)&lt;1,"CONFORME",IF(ABS(AS20)&lt;2.5,"CONFORME","NO CONFORME"))))</s:f>
        <s:v/>
      </s:c>
      <s:c r="BI20" s="235">
        <s:f>(IF(ABS(U20)&gt;2.044,"NO CONFORME",IF(ABS(AG20)&gt;2.044,"NO CONFORME",IF(ABS(AS20)&gt;5.044,"NO CONFORME","CONFORME"))))</s:f>
        <s:v/>
      </s:c>
      <s:c r="BJ20" s="233">
        <s:f>SIGN(U20)</s:f>
        <s:v/>
      </s:c>
      <s:c r="BK20" s="233">
        <s:f>SIGN(AG20)</s:f>
        <s:v/>
      </s:c>
      <s:c r="BL20" s="233">
        <s:f>SIGN(AS20)</s:f>
        <s:v/>
      </s:c>
      <s:c r="BM20" s="233">
        <s:f>CONCATENATE(BJ20,BK20,BL20)</s:f>
        <s:v/>
      </s:c>
      <s:c r="BN20" s="233">
        <s:f>IF(BM20="111","SI","SD")</s:f>
        <s:v/>
      </s:c>
      <s:c r="BO20" s="233">
        <s:f>IF(BM20="-1-1-1","SI","SD")</s:f>
        <s:v/>
      </s:c>
      <s:c r="BP20" s="233">
        <s:f>OR(BN20="SI",BO20="SI")</s:f>
        <s:v/>
      </s:c>
      <s:c r="BQ20" s="233">
        <s:f>IF(BP20=FALSE,"SIGDIFERENTES","SIGIGUALES")</s:f>
        <s:v/>
      </s:c>
      <s:c r="BR20" s="236">
        <s:f>IF(BI20="NO CONFORME","NO CONFORME",IF(BH20="CONFORME","CONFORME","NO CONFORME"))</s:f>
        <s:v/>
      </s:c>
      <s:c r="BS20" s="233">
        <s:f>F20</s:f>
        <s:v/>
      </s:c>
      <s:c r="BT20" s="237">
        <s:f>G20</s:f>
        <s:v/>
      </s:c>
      <s:c r="BU20" s="233">
        <s:f>"20"&amp;+MID(G20,3,2)</s:f>
        <s:v/>
      </s:c>
      <s:c r="BV20" s="238">
        <s:f>C20</s:f>
        <s:v/>
      </s:c>
      <s:c r="BW20" s="233">
        <s:f>AT20</s:f>
        <s:v/>
      </s:c>
      <s:c r="BX20" s="238">
        <s:f>B20</s:f>
        <s:v/>
      </s:c>
      <s:c r="BY20" s="239">
        <s:f>H20</s:f>
        <s:v/>
      </s:c>
      <s:c r="BZ20" s="233">
        <s:f>IF(I20=0,"CONFORME","NO CONFORME")</s:f>
        <s:v/>
      </s:c>
      <s:c r="CA20" s="238">
        <s:f>C20</s:f>
        <s:v/>
      </s:c>
      <s:c r="CB20" s="240">
        <s:f>AH20</s:f>
        <s:v/>
      </s:c>
      <s:c r="CC20" s="241">
        <s:f>AR20</s:f>
        <s:v/>
      </s:c>
      <s:c r="CD20" s="240">
        <s:f>AI20</s:f>
        <s:v/>
      </s:c>
      <s:c r="CE20" s="240">
        <s:f>AJ20</s:f>
        <s:v/>
      </s:c>
      <s:c r="CF20" s="240">
        <s:f>AS20</s:f>
        <s:v/>
      </s:c>
      <s:c r="CG20" s="240">
        <s:f>V20</s:f>
        <s:v/>
      </s:c>
      <s:c r="CH20" s="241">
        <s:f>AF20</s:f>
        <s:v/>
      </s:c>
      <s:c r="CI20" s="240">
        <s:f>W20</s:f>
        <s:v/>
      </s:c>
      <s:c r="CJ20" s="240">
        <s:f>X20</s:f>
        <s:v/>
      </s:c>
      <s:c r="CK20" s="240">
        <s:f>AG20</s:f>
        <s:v/>
      </s:c>
      <s:c r="CL20" s="240">
        <s:f>J20</s:f>
        <s:v/>
      </s:c>
      <s:c r="CM20" s="241">
        <s:f>T20</s:f>
        <s:v/>
      </s:c>
      <s:c r="CN20" s="240">
        <s:f>K20</s:f>
        <s:v/>
      </s:c>
      <s:c r="CO20" s="240">
        <s:f>L20</s:f>
        <s:v/>
      </s:c>
      <s:c r="CP20" s="242">
        <s:f>U20</s:f>
        <s:v/>
      </s:c>
      <s:c r="CQ20" s="233">
        <s:f>AT20</s:f>
        <s:v/>
      </s:c>
    </s:row>
    <s:row r="21">
      <s:c r="A21" s="211" t="n">
        <s:v>4</s:v>
      </s:c>
      <s:c r="B21" s="212" t="n">
        <s:v>45901</s:v>
      </s:c>
      <s:c r="C21" s="213" t="n">
        <s:v>45901</s:v>
      </s:c>
      <s:c r="D21" s="214" t="n">
        <s:v>3</s:v>
      </s:c>
      <s:c r="E21" s="215" t="n">
        <s:v>13</s:v>
      </s:c>
      <s:c r="F21" s="216" t="inlineStr">
        <s:is>
          <s:t>VI-236496-2025</s:t>
        </s:is>
      </s:c>
      <s:c r="G21" s="217" t="inlineStr">
        <s:is>
          <s:t>QA25417876</s:t>
        </s:is>
      </s:c>
      <s:c r="H21" s="218" t="n">
        <s:v>16</s:v>
      </s:c>
      <s:c r="I21" s="219" t="n">
        <s:v>0</s:v>
      </s:c>
      <s:c r="J21" s="220" t="n">
        <s:v>18.4</s:v>
      </s:c>
      <s:c r="K21" s="221" t="n">
        <s:v>7.519</s:v>
      </s:c>
      <s:c r="L21" s="221" t="n">
        <s:v>1.171</s:v>
      </s:c>
      <s:c r="M21" s="222" t="n">
        <s:v>466.88</s:v>
      </s:c>
      <s:c r="N21" s="222" t="n">
        <s:v>567.58</s:v>
      </s:c>
      <s:c r="O21" s="222" t="n">
        <s:v>100.49</s:v>
      </s:c>
      <s:c r="P21" s="223" t="inlineStr">
        <s:is>
          <s:t>2,30,540</s:t>
        </s:is>
      </s:c>
      <s:c r="Q21" s="224" t="inlineStr">
        <s:is>
          <s:t>2</s:t>
        </s:is>
      </s:c>
      <s:c r="R21" s="224" t="inlineStr">
        <s:is>
          <s:t>30,540</s:t>
        </s:is>
      </s:c>
      <s:c r="S21" s="224" t="n">
        <s:v>0.04181666666666666</s:v>
      </s:c>
      <s:c r="T21" s="225" t="n">
        <s:v>2403.108808290156</s:v>
      </s:c>
      <s:c r="U21" s="226" t="n">
        <s:v>0.2089760175142309</s:v>
      </s:c>
      <s:c r="V21" s="220" t="n">
        <s:v>18</s:v>
      </s:c>
      <s:c r="W21" s="221" t="n">
        <s:v>1.097</s:v>
      </s:c>
      <s:c r="X21" s="221" t="n">
        <s:v>1.082</s:v>
      </s:c>
      <s:c r="Y21" s="222" t="n">
        <s:v>580.5700000000001</s:v>
      </s:c>
      <s:c r="Z21" s="222" t="n">
        <s:v>585.59</s:v>
      </s:c>
      <s:c r="AA21" s="227" t="n">
        <s:v>5.011</s:v>
      </s:c>
      <s:c r="AB21" s="228" t="inlineStr">
        <s:is>
          <s:t>11,28,700</s:t>
        </s:is>
      </s:c>
      <s:c r="AC21" s="224" t="inlineStr">
        <s:is>
          <s:t>11</s:t>
        </s:is>
      </s:c>
      <s:c r="AD21" s="224" t="inlineStr">
        <s:is>
          <s:t>28,700</s:t>
        </s:is>
      </s:c>
      <s:c r="AE21" s="224" t="n">
        <s:v>0.1913055555555556</s:v>
      </s:c>
      <s:c r="AF21" s="225" t="n">
        <s:v>26.19369827210687</s:v>
      </s:c>
      <s:c r="AG21" s="229" t="n">
        <s:v>0.179604869287202</s:v>
      </s:c>
      <s:c r="AH21" s="220" t="n">
        <s:v>18.2</s:v>
      </s:c>
      <s:c r="AI21" s="221" t="n">
        <s:v>1.097</s:v>
      </s:c>
      <s:c r="AJ21" s="221" t="n">
        <s:v>1.085</s:v>
      </s:c>
      <s:c r="AK21" s="222" t="n">
        <s:v>585.59</s:v>
      </s:c>
      <s:c r="AL21" s="222" t="n">
        <s:v>587.62</s:v>
      </s:c>
      <s:c r="AM21" s="230" t="n">
        <s:v>2.005</s:v>
      </s:c>
      <s:c r="AN21" s="223" t="inlineStr">
        <s:is>
          <s:t>7,20,480</s:t>
        </s:is>
      </s:c>
      <s:c r="AO21" s="224" t="inlineStr">
        <s:is>
          <s:t>7,</s:t>
        </s:is>
      </s:c>
      <s:c r="AP21" s="224" t="inlineStr">
        <s:is>
          <s:t>20,480</s:t>
        </s:is>
      </s:c>
      <s:c r="AQ21" s="224" t="n">
        <s:v>0.1223555555555556</s:v>
      </s:c>
      <s:c r="AR21" s="225" t="n">
        <s:v>16.38666908826734</s:v>
      </s:c>
      <s:c r="AS21" s="229" t="n">
        <s:v>1.246882793016101</s:v>
      </s:c>
      <s:c r="AT21" s="231" t="inlineStr">
        <s:is>
          <s:t>CONFORME</s:t>
        </s:is>
      </s:c>
      <s:c r="AU21" s="232">
        <s:f>B21=C21</s:f>
        <s:v/>
      </s:c>
      <s:c r="AV21" s="233">
        <s:f>MID(G21,1,2)</s:f>
        <s:v/>
      </s:c>
      <s:c r="AW21" s="233">
        <s:f>LEN(G21)</s:f>
        <s:v/>
      </s:c>
      <s:c r="AX21" s="233" t="inlineStr">
        <s:is>
          <s:t>OI-0922-2025</s:t>
        </s:is>
      </s:c>
      <s:c r="AY21" s="233">
        <s:f>N21&lt;Y21</s:f>
        <s:v/>
      </s:c>
      <s:c r="AZ21" s="233">
        <s:f>Z21&lt;=AK21</s:f>
        <s:v/>
      </s:c>
      <s:c r="BA21" s="233">
        <s:f>L21&lt;K21</s:f>
        <s:v/>
      </s:c>
      <s:c r="BB21" s="233">
        <s:f>W21&gt;=X21</s:f>
        <s:v/>
      </s:c>
      <s:c r="BC21" s="233">
        <s:f>AI21&gt;=AJ21</s:f>
        <s:v/>
      </s:c>
      <s:c r="BD21" s="233">
        <s:f>IF(I21&gt;=1,"Qcorrecto",IF(AND(BE21="aceptable",BF21="aceptable",BG21="aceptable"),"Qcorrecto","Qincorrecto"))</s:f>
        <s:v/>
      </s:c>
      <s:c r="BE21" s="232">
        <s:f>IF(AR21&lt;$AH$6,"error",IF(AR21&gt;$AH$6*1.1,"error","aceptable"))</s:f>
        <s:v/>
      </s:c>
      <s:c r="BF21" s="232">
        <s:f>IF(AF21&lt;$V$6,"error",IF(AF21&gt;$V$6*1.1,"error","aceptable"))</s:f>
        <s:v/>
      </s:c>
      <s:c r="BG21" s="232">
        <s:f>IF(T21&lt;$J$6*0.9,"error",IF(T21&gt;$J$6,"error","aceptable"))</s:f>
        <s:v/>
      </s:c>
      <s:c r="BH21" s="234">
        <s:f>(IF(ABS(U21)&lt;1,"CONFORME",IF(ABS(AG21)&lt;1,"CONFORME",IF(ABS(AS21)&lt;2.5,"CONFORME","NO CONFORME"))))</s:f>
        <s:v/>
      </s:c>
      <s:c r="BI21" s="235">
        <s:f>(IF(ABS(U21)&gt;2.044,"NO CONFORME",IF(ABS(AG21)&gt;2.044,"NO CONFORME",IF(ABS(AS21)&gt;5.044,"NO CONFORME","CONFORME"))))</s:f>
        <s:v/>
      </s:c>
      <s:c r="BJ21" s="233">
        <s:f>SIGN(U21)</s:f>
        <s:v/>
      </s:c>
      <s:c r="BK21" s="233">
        <s:f>SIGN(AG21)</s:f>
        <s:v/>
      </s:c>
      <s:c r="BL21" s="233">
        <s:f>SIGN(AS21)</s:f>
        <s:v/>
      </s:c>
      <s:c r="BM21" s="233">
        <s:f>CONCATENATE(BJ21,BK21,BL21)</s:f>
        <s:v/>
      </s:c>
      <s:c r="BN21" s="233">
        <s:f>IF(BM21="111","SI","SD")</s:f>
        <s:v/>
      </s:c>
      <s:c r="BO21" s="233">
        <s:f>IF(BM21="-1-1-1","SI","SD")</s:f>
        <s:v/>
      </s:c>
      <s:c r="BP21" s="233">
        <s:f>OR(BN21="SI",BO21="SI")</s:f>
        <s:v/>
      </s:c>
      <s:c r="BQ21" s="233">
        <s:f>IF(BP21=FALSE,"SIGDIFERENTES","SIGIGUALES")</s:f>
        <s:v/>
      </s:c>
      <s:c r="BR21" s="236">
        <s:f>IF(BI21="NO CONFORME","NO CONFORME",IF(BH21="CONFORME","CONFORME","NO CONFORME"))</s:f>
        <s:v/>
      </s:c>
      <s:c r="BS21" s="233">
        <s:f>F21</s:f>
        <s:v/>
      </s:c>
      <s:c r="BT21" s="237">
        <s:f>G21</s:f>
        <s:v/>
      </s:c>
      <s:c r="BU21" s="233">
        <s:f>"20"&amp;+MID(G21,3,2)</s:f>
        <s:v/>
      </s:c>
      <s:c r="BV21" s="238">
        <s:f>C21</s:f>
        <s:v/>
      </s:c>
      <s:c r="BW21" s="233">
        <s:f>AT21</s:f>
        <s:v/>
      </s:c>
      <s:c r="BX21" s="238">
        <s:f>B21</s:f>
        <s:v/>
      </s:c>
      <s:c r="BY21" s="239">
        <s:f>H21</s:f>
        <s:v/>
      </s:c>
      <s:c r="BZ21" s="233">
        <s:f>IF(I21=0,"CONFORME","NO CONFORME")</s:f>
        <s:v/>
      </s:c>
      <s:c r="CA21" s="238">
        <s:f>C21</s:f>
        <s:v/>
      </s:c>
      <s:c r="CB21" s="240">
        <s:f>AH21</s:f>
        <s:v/>
      </s:c>
      <s:c r="CC21" s="241">
        <s:f>AR21</s:f>
        <s:v/>
      </s:c>
      <s:c r="CD21" s="240">
        <s:f>AI21</s:f>
        <s:v/>
      </s:c>
      <s:c r="CE21" s="240">
        <s:f>AJ21</s:f>
        <s:v/>
      </s:c>
      <s:c r="CF21" s="240">
        <s:f>AS21</s:f>
        <s:v/>
      </s:c>
      <s:c r="CG21" s="240">
        <s:f>V21</s:f>
        <s:v/>
      </s:c>
      <s:c r="CH21" s="241">
        <s:f>AF21</s:f>
        <s:v/>
      </s:c>
      <s:c r="CI21" s="240">
        <s:f>W21</s:f>
        <s:v/>
      </s:c>
      <s:c r="CJ21" s="240">
        <s:f>X21</s:f>
        <s:v/>
      </s:c>
      <s:c r="CK21" s="240">
        <s:f>AG21</s:f>
        <s:v/>
      </s:c>
      <s:c r="CL21" s="240">
        <s:f>J21</s:f>
        <s:v/>
      </s:c>
      <s:c r="CM21" s="241">
        <s:f>T21</s:f>
        <s:v/>
      </s:c>
      <s:c r="CN21" s="240">
        <s:f>K21</s:f>
        <s:v/>
      </s:c>
      <s:c r="CO21" s="240">
        <s:f>L21</s:f>
        <s:v/>
      </s:c>
      <s:c r="CP21" s="242">
        <s:f>U21</s:f>
        <s:v/>
      </s:c>
      <s:c r="CQ21" s="233">
        <s:f>AT21</s:f>
        <s:v/>
      </s:c>
    </s:row>
    <s:row r="22">
      <s:c r="A22" s="211" t="n">
        <s:v>5</s:v>
      </s:c>
      <s:c r="B22" s="212" t="n">
        <s:v>45901</s:v>
      </s:c>
      <s:c r="C22" s="213" t="n">
        <s:v>45901</s:v>
      </s:c>
      <s:c r="D22" s="214" t="n">
        <s:v>3</s:v>
      </s:c>
      <s:c r="E22" s="215" t="n">
        <s:v>13</s:v>
      </s:c>
      <s:c r="F22" s="216" t="inlineStr">
        <s:is>
          <s:t>VI-236497-2025</s:t>
        </s:is>
      </s:c>
      <s:c r="G22" s="217" t="inlineStr">
        <s:is>
          <s:t>QA25418124</s:t>
        </s:is>
      </s:c>
      <s:c r="H22" s="218" t="n">
        <s:v>16</s:v>
      </s:c>
      <s:c r="I22" s="219" t="n">
        <s:v>0</s:v>
      </s:c>
      <s:c r="J22" s="220" t="n">
        <s:v>18.4</s:v>
      </s:c>
      <s:c r="K22" s="221" t="n">
        <s:v>7.519</s:v>
      </s:c>
      <s:c r="L22" s="221" t="n">
        <s:v>1.171</s:v>
      </s:c>
      <s:c r="M22" s="222" t="n">
        <s:v>349.27</s:v>
      </s:c>
      <s:c r="N22" s="222" t="n">
        <s:v>448.61</s:v>
      </s:c>
      <s:c r="O22" s="222" t="n">
        <s:v>100.49</s:v>
      </s:c>
      <s:c r="P22" s="223" t="inlineStr">
        <s:is>
          <s:t>2,30,540</s:t>
        </s:is>
      </s:c>
      <s:c r="Q22" s="224" t="inlineStr">
        <s:is>
          <s:t>2</s:t>
        </s:is>
      </s:c>
      <s:c r="R22" s="224" t="inlineStr">
        <s:is>
          <s:t>30,540</s:t>
        </s:is>
      </s:c>
      <s:c r="S22" s="224" t="n">
        <s:v>0.04181666666666666</s:v>
      </s:c>
      <s:c r="T22" s="225" t="n">
        <s:v>2403.108808290156</s:v>
      </s:c>
      <s:c r="U22" s="226" t="n">
        <s:v>-1.144392476863333</s:v>
      </s:c>
      <s:c r="V22" s="220" t="n">
        <s:v>18</s:v>
      </s:c>
      <s:c r="W22" s="221" t="n">
        <s:v>1.097</s:v>
      </s:c>
      <s:c r="X22" s="221" t="n">
        <s:v>1.082</s:v>
      </s:c>
      <s:c r="Y22" s="222" t="n">
        <s:v>461.47</s:v>
      </s:c>
      <s:c r="Z22" s="222" t="n">
        <s:v>466.47</s:v>
      </s:c>
      <s:c r="AA22" s="227" t="n">
        <s:v>5.011</s:v>
      </s:c>
      <s:c r="AB22" s="228" t="inlineStr">
        <s:is>
          <s:t>11,28,700</s:t>
        </s:is>
      </s:c>
      <s:c r="AC22" s="224" t="inlineStr">
        <s:is>
          <s:t>11</s:t>
        </s:is>
      </s:c>
      <s:c r="AD22" s="224" t="inlineStr">
        <s:is>
          <s:t>28,700</s:t>
        </s:is>
      </s:c>
      <s:c r="AE22" s="224" t="n">
        <s:v>0.1913055555555556</s:v>
      </s:c>
      <s:c r="AF22" s="225" t="n">
        <s:v>26.19369827210687</s:v>
      </s:c>
      <s:c r="AG22" s="229" t="n">
        <s:v>-0.2195170624625847</s:v>
      </s:c>
      <s:c r="AH22" s="220" t="n">
        <s:v>18.2</s:v>
      </s:c>
      <s:c r="AI22" s="221" t="n">
        <s:v>1.097</s:v>
      </s:c>
      <s:c r="AJ22" s="221" t="n">
        <s:v>1.085</s:v>
      </s:c>
      <s:c r="AK22" s="222" t="n">
        <s:v>466.47</s:v>
      </s:c>
      <s:c r="AL22" s="222" t="n">
        <s:v>468.47</s:v>
      </s:c>
      <s:c r="AM22" s="230" t="n">
        <s:v>2.005</s:v>
      </s:c>
      <s:c r="AN22" s="223" t="inlineStr">
        <s:is>
          <s:t>7,20,480</s:t>
        </s:is>
      </s:c>
      <s:c r="AO22" s="224" t="inlineStr">
        <s:is>
          <s:t>7,</s:t>
        </s:is>
      </s:c>
      <s:c r="AP22" s="224" t="inlineStr">
        <s:is>
          <s:t>20,480</s:t>
        </s:is>
      </s:c>
      <s:c r="AQ22" s="224" t="n">
        <s:v>0.1223555555555556</s:v>
      </s:c>
      <s:c r="AR22" s="225" t="n">
        <s:v>16.38666908826734</s:v>
      </s:c>
      <s:c r="AS22" s="229" t="n">
        <s:v>-0.249376558603486</s:v>
      </s:c>
      <s:c r="AT22" s="231" t="inlineStr">
        <s:is>
          <s:t>CONFORME</s:t>
        </s:is>
      </s:c>
      <s:c r="AU22" s="232">
        <s:f>B22=C22</s:f>
        <s:v/>
      </s:c>
      <s:c r="AV22" s="233">
        <s:f>MID(G22,1,2)</s:f>
        <s:v/>
      </s:c>
      <s:c r="AW22" s="233">
        <s:f>LEN(G22)</s:f>
        <s:v/>
      </s:c>
      <s:c r="AX22" s="233" t="inlineStr">
        <s:is>
          <s:t>OI-0922-2025</s:t>
        </s:is>
      </s:c>
      <s:c r="AY22" s="233">
        <s:f>N22&lt;Y22</s:f>
        <s:v/>
      </s:c>
      <s:c r="AZ22" s="233">
        <s:f>Z22&lt;=AK22</s:f>
        <s:v/>
      </s:c>
      <s:c r="BA22" s="233">
        <s:f>L22&lt;K22</s:f>
        <s:v/>
      </s:c>
      <s:c r="BB22" s="233">
        <s:f>W22&gt;=X22</s:f>
        <s:v/>
      </s:c>
      <s:c r="BC22" s="233">
        <s:f>AI22&gt;=AJ22</s:f>
        <s:v/>
      </s:c>
      <s:c r="BD22" s="233">
        <s:f>IF(I22&gt;=1,"Qcorrecto",IF(AND(BE22="aceptable",BF22="aceptable",BG22="aceptable"),"Qcorrecto","Qincorrecto"))</s:f>
        <s:v/>
      </s:c>
      <s:c r="BE22" s="232">
        <s:f>IF(AR22&lt;$AH$6,"error",IF(AR22&gt;$AH$6*1.1,"error","aceptable"))</s:f>
        <s:v/>
      </s:c>
      <s:c r="BF22" s="232">
        <s:f>IF(AF22&lt;$V$6,"error",IF(AF22&gt;$V$6*1.1,"error","aceptable"))</s:f>
        <s:v/>
      </s:c>
      <s:c r="BG22" s="232">
        <s:f>IF(T22&lt;$J$6*0.9,"error",IF(T22&gt;$J$6,"error","aceptable"))</s:f>
        <s:v/>
      </s:c>
      <s:c r="BH22" s="234">
        <s:f>(IF(ABS(U22)&lt;1,"CONFORME",IF(ABS(AG22)&lt;1,"CONFORME",IF(ABS(AS22)&lt;2.5,"CONFORME","NO CONFORME"))))</s:f>
        <s:v/>
      </s:c>
      <s:c r="BI22" s="235">
        <s:f>(IF(ABS(U22)&gt;2.044,"NO CONFORME",IF(ABS(AG22)&gt;2.044,"NO CONFORME",IF(ABS(AS22)&gt;5.044,"NO CONFORME","CONFORME"))))</s:f>
        <s:v/>
      </s:c>
      <s:c r="BJ22" s="233">
        <s:f>SIGN(U22)</s:f>
        <s:v/>
      </s:c>
      <s:c r="BK22" s="233">
        <s:f>SIGN(AG22)</s:f>
        <s:v/>
      </s:c>
      <s:c r="BL22" s="233">
        <s:f>SIGN(AS22)</s:f>
        <s:v/>
      </s:c>
      <s:c r="BM22" s="233">
        <s:f>CONCATENATE(BJ22,BK22,BL22)</s:f>
        <s:v/>
      </s:c>
      <s:c r="BN22" s="233">
        <s:f>IF(BM22="111","SI","SD")</s:f>
        <s:v/>
      </s:c>
      <s:c r="BO22" s="233">
        <s:f>IF(BM22="-1-1-1","SI","SD")</s:f>
        <s:v/>
      </s:c>
      <s:c r="BP22" s="233">
        <s:f>OR(BN22="SI",BO22="SI")</s:f>
        <s:v/>
      </s:c>
      <s:c r="BQ22" s="233">
        <s:f>IF(BP22=FALSE,"SIGDIFERENTES","SIGIGUALES")</s:f>
        <s:v/>
      </s:c>
      <s:c r="BR22" s="236">
        <s:f>IF(BI22="NO CONFORME","NO CONFORME",IF(BH22="CONFORME","CONFORME","NO CONFORME"))</s:f>
        <s:v/>
      </s:c>
      <s:c r="BS22" s="233">
        <s:f>F22</s:f>
        <s:v/>
      </s:c>
      <s:c r="BT22" s="237">
        <s:f>G22</s:f>
        <s:v/>
      </s:c>
      <s:c r="BU22" s="233">
        <s:f>"20"&amp;+MID(G22,3,2)</s:f>
        <s:v/>
      </s:c>
      <s:c r="BV22" s="238">
        <s:f>C22</s:f>
        <s:v/>
      </s:c>
      <s:c r="BW22" s="233">
        <s:f>AT22</s:f>
        <s:v/>
      </s:c>
      <s:c r="BX22" s="238">
        <s:f>B22</s:f>
        <s:v/>
      </s:c>
      <s:c r="BY22" s="239">
        <s:f>H22</s:f>
        <s:v/>
      </s:c>
      <s:c r="BZ22" s="233">
        <s:f>IF(I22=0,"CONFORME","NO CONFORME")</s:f>
        <s:v/>
      </s:c>
      <s:c r="CA22" s="238">
        <s:f>C22</s:f>
        <s:v/>
      </s:c>
      <s:c r="CB22" s="240">
        <s:f>AH22</s:f>
        <s:v/>
      </s:c>
      <s:c r="CC22" s="241">
        <s:f>AR22</s:f>
        <s:v/>
      </s:c>
      <s:c r="CD22" s="240">
        <s:f>AI22</s:f>
        <s:v/>
      </s:c>
      <s:c r="CE22" s="240">
        <s:f>AJ22</s:f>
        <s:v/>
      </s:c>
      <s:c r="CF22" s="240">
        <s:f>AS22</s:f>
        <s:v/>
      </s:c>
      <s:c r="CG22" s="240">
        <s:f>V22</s:f>
        <s:v/>
      </s:c>
      <s:c r="CH22" s="241">
        <s:f>AF22</s:f>
        <s:v/>
      </s:c>
      <s:c r="CI22" s="240">
        <s:f>W22</s:f>
        <s:v/>
      </s:c>
      <s:c r="CJ22" s="240">
        <s:f>X22</s:f>
        <s:v/>
      </s:c>
      <s:c r="CK22" s="240">
        <s:f>AG22</s:f>
        <s:v/>
      </s:c>
      <s:c r="CL22" s="240">
        <s:f>J22</s:f>
        <s:v/>
      </s:c>
      <s:c r="CM22" s="241">
        <s:f>T22</s:f>
        <s:v/>
      </s:c>
      <s:c r="CN22" s="240">
        <s:f>K22</s:f>
        <s:v/>
      </s:c>
      <s:c r="CO22" s="240">
        <s:f>L22</s:f>
        <s:v/>
      </s:c>
      <s:c r="CP22" s="242">
        <s:f>U22</s:f>
        <s:v/>
      </s:c>
      <s:c r="CQ22" s="233">
        <s:f>AT22</s:f>
        <s:v/>
      </s:c>
    </s:row>
    <s:row r="23">
      <s:c r="A23" s="211" t="n">
        <s:v>6</s:v>
      </s:c>
      <s:c r="B23" s="212" t="n">
        <s:v>45901</s:v>
      </s:c>
      <s:c r="C23" s="213" t="n">
        <s:v>45901</s:v>
      </s:c>
      <s:c r="D23" s="214" t="n">
        <s:v>3</s:v>
      </s:c>
      <s:c r="E23" s="215" t="n">
        <s:v>13</s:v>
      </s:c>
      <s:c r="F23" s="216" t="inlineStr">
        <s:is>
          <s:t>VI-236498-2025</s:t>
        </s:is>
      </s:c>
      <s:c r="G23" s="217" t="inlineStr">
        <s:is>
          <s:t>QA25417827</s:t>
        </s:is>
      </s:c>
      <s:c r="H23" s="218" t="n">
        <s:v>16</s:v>
      </s:c>
      <s:c r="I23" s="219" t="n">
        <s:v>0</s:v>
      </s:c>
      <s:c r="J23" s="220" t="n">
        <s:v>18.4</s:v>
      </s:c>
      <s:c r="K23" s="221" t="n">
        <s:v>7.519</s:v>
      </s:c>
      <s:c r="L23" s="221" t="n">
        <s:v>1.171</s:v>
      </s:c>
      <s:c r="M23" s="222" t="n">
        <s:v>431.49</s:v>
      </s:c>
      <s:c r="N23" s="222" t="n">
        <s:v>532.04</s:v>
      </s:c>
      <s:c r="O23" s="222" t="n">
        <s:v>100.49</s:v>
      </s:c>
      <s:c r="P23" s="223" t="inlineStr">
        <s:is>
          <s:t>2,30,540</s:t>
        </s:is>
      </s:c>
      <s:c r="Q23" s="224" t="inlineStr">
        <s:is>
          <s:t>2</s:t>
        </s:is>
      </s:c>
      <s:c r="R23" s="224" t="inlineStr">
        <s:is>
          <s:t>30,540</s:t>
        </s:is>
      </s:c>
      <s:c r="S23" s="224" t="n">
        <s:v>0.04181666666666666</s:v>
      </s:c>
      <s:c r="T23" s="225" t="n">
        <s:v>2403.108808290156</s:v>
      </s:c>
      <s:c r="U23" s="226" t="n">
        <s:v>0.05970743357543999</s:v>
      </s:c>
      <s:c r="V23" s="220" t="n">
        <s:v>18</s:v>
      </s:c>
      <s:c r="W23" s="221" t="n">
        <s:v>1.097</s:v>
      </s:c>
      <s:c r="X23" s="221" t="n">
        <s:v>1.082</s:v>
      </s:c>
      <s:c r="Y23" s="222" t="n">
        <s:v>544.9299999999999</s:v>
      </s:c>
      <s:c r="Z23" s="222" t="n">
        <s:v>550.02</s:v>
      </s:c>
      <s:c r="AA23" s="227" t="n">
        <s:v>5.011</s:v>
      </s:c>
      <s:c r="AB23" s="228" t="inlineStr">
        <s:is>
          <s:t>11,28,700</s:t>
        </s:is>
      </s:c>
      <s:c r="AC23" s="224" t="inlineStr">
        <s:is>
          <s:t>11</s:t>
        </s:is>
      </s:c>
      <s:c r="AD23" s="224" t="inlineStr">
        <s:is>
          <s:t>28,700</s:t>
        </s:is>
      </s:c>
      <s:c r="AE23" s="224" t="n">
        <s:v>0.1913055555555556</s:v>
      </s:c>
      <s:c r="AF23" s="225" t="n">
        <s:v>26.19369827210687</s:v>
      </s:c>
      <s:c r="AG23" s="229" t="n">
        <s:v>1.576531630413724</s:v>
      </s:c>
      <s:c r="AH23" s="220" t="n">
        <s:v>18.2</s:v>
      </s:c>
      <s:c r="AI23" s="221" t="n">
        <s:v>1.097</s:v>
      </s:c>
      <s:c r="AJ23" s="221" t="n">
        <s:v>1.085</s:v>
      </s:c>
      <s:c r="AK23" s="222" t="n">
        <s:v>550.02</s:v>
      </s:c>
      <s:c r="AL23" s="222" t="n">
        <s:v>552.0700000000001</s:v>
      </s:c>
      <s:c r="AM23" s="230" t="n">
        <s:v>2.005</s:v>
      </s:c>
      <s:c r="AN23" s="223" t="inlineStr">
        <s:is>
          <s:t>7,20,480</s:t>
        </s:is>
      </s:c>
      <s:c r="AO23" s="224" t="inlineStr">
        <s:is>
          <s:t>7,</s:t>
        </s:is>
      </s:c>
      <s:c r="AP23" s="224" t="inlineStr">
        <s:is>
          <s:t>20,480</s:t>
        </s:is>
      </s:c>
      <s:c r="AQ23" s="224" t="n">
        <s:v>0.1223555555555556</s:v>
      </s:c>
      <s:c r="AR23" s="225" t="n">
        <s:v>16.38666908826734</s:v>
      </s:c>
      <s:c r="AS23" s="229" t="n">
        <s:v>2.244389027434829</s:v>
      </s:c>
      <s:c r="AT23" s="231" t="inlineStr">
        <s:is>
          <s:t>CONFORME</s:t>
        </s:is>
      </s:c>
      <s:c r="AU23" s="232">
        <s:f>B23=C23</s:f>
        <s:v/>
      </s:c>
      <s:c r="AV23" s="233">
        <s:f>MID(G23,1,2)</s:f>
        <s:v/>
      </s:c>
      <s:c r="AW23" s="233">
        <s:f>LEN(G23)</s:f>
        <s:v/>
      </s:c>
      <s:c r="AX23" s="233" t="inlineStr">
        <s:is>
          <s:t>OI-0922-2025</s:t>
        </s:is>
      </s:c>
      <s:c r="AY23" s="233">
        <s:f>N23&lt;Y23</s:f>
        <s:v/>
      </s:c>
      <s:c r="AZ23" s="233">
        <s:f>Z23&lt;=AK23</s:f>
        <s:v/>
      </s:c>
      <s:c r="BA23" s="233">
        <s:f>L23&lt;K23</s:f>
        <s:v/>
      </s:c>
      <s:c r="BB23" s="233">
        <s:f>W23&gt;=X23</s:f>
        <s:v/>
      </s:c>
      <s:c r="BC23" s="233">
        <s:f>AI23&gt;=AJ23</s:f>
        <s:v/>
      </s:c>
      <s:c r="BD23" s="233">
        <s:f>IF(I23&gt;=1,"Qcorrecto",IF(AND(BE23="aceptable",BF23="aceptable",BG23="aceptable"),"Qcorrecto","Qincorrecto"))</s:f>
        <s:v/>
      </s:c>
      <s:c r="BE23" s="232">
        <s:f>IF(AR23&lt;$AH$6,"error",IF(AR23&gt;$AH$6*1.1,"error","aceptable"))</s:f>
        <s:v/>
      </s:c>
      <s:c r="BF23" s="232">
        <s:f>IF(AF23&lt;$V$6,"error",IF(AF23&gt;$V$6*1.1,"error","aceptable"))</s:f>
        <s:v/>
      </s:c>
      <s:c r="BG23" s="232">
        <s:f>IF(T23&lt;$J$6*0.9,"error",IF(T23&gt;$J$6,"error","aceptable"))</s:f>
        <s:v/>
      </s:c>
      <s:c r="BH23" s="234">
        <s:f>(IF(ABS(U23)&lt;1,"CONFORME",IF(ABS(AG23)&lt;1,"CONFORME",IF(ABS(AS23)&lt;2.5,"CONFORME","NO CONFORME"))))</s:f>
        <s:v/>
      </s:c>
      <s:c r="BI23" s="235">
        <s:f>(IF(ABS(U23)&gt;2.044,"NO CONFORME",IF(ABS(AG23)&gt;2.044,"NO CONFORME",IF(ABS(AS23)&gt;5.044,"NO CONFORME","CONFORME"))))</s:f>
        <s:v/>
      </s:c>
      <s:c r="BJ23" s="233">
        <s:f>SIGN(U23)</s:f>
        <s:v/>
      </s:c>
      <s:c r="BK23" s="233">
        <s:f>SIGN(AG23)</s:f>
        <s:v/>
      </s:c>
      <s:c r="BL23" s="233">
        <s:f>SIGN(AS23)</s:f>
        <s:v/>
      </s:c>
      <s:c r="BM23" s="233">
        <s:f>CONCATENATE(BJ23,BK23,BL23)</s:f>
        <s:v/>
      </s:c>
      <s:c r="BN23" s="233">
        <s:f>IF(BM23="111","SI","SD")</s:f>
        <s:v/>
      </s:c>
      <s:c r="BO23" s="233">
        <s:f>IF(BM23="-1-1-1","SI","SD")</s:f>
        <s:v/>
      </s:c>
      <s:c r="BP23" s="233">
        <s:f>OR(BN23="SI",BO23="SI")</s:f>
        <s:v/>
      </s:c>
      <s:c r="BQ23" s="233">
        <s:f>IF(BP23=FALSE,"SIGDIFERENTES","SIGIGUALES")</s:f>
        <s:v/>
      </s:c>
      <s:c r="BR23" s="236">
        <s:f>IF(BI23="NO CONFORME","NO CONFORME",IF(BH23="CONFORME","CONFORME","NO CONFORME"))</s:f>
        <s:v/>
      </s:c>
      <s:c r="BS23" s="233">
        <s:f>F23</s:f>
        <s:v/>
      </s:c>
      <s:c r="BT23" s="237">
        <s:f>G23</s:f>
        <s:v/>
      </s:c>
      <s:c r="BU23" s="233">
        <s:f>"20"&amp;+MID(G23,3,2)</s:f>
        <s:v/>
      </s:c>
      <s:c r="BV23" s="238">
        <s:f>C23</s:f>
        <s:v/>
      </s:c>
      <s:c r="BW23" s="233">
        <s:f>AT23</s:f>
        <s:v/>
      </s:c>
      <s:c r="BX23" s="238">
        <s:f>B23</s:f>
        <s:v/>
      </s:c>
      <s:c r="BY23" s="239">
        <s:f>H23</s:f>
        <s:v/>
      </s:c>
      <s:c r="BZ23" s="233">
        <s:f>IF(I23=0,"CONFORME","NO CONFORME")</s:f>
        <s:v/>
      </s:c>
      <s:c r="CA23" s="238">
        <s:f>C23</s:f>
        <s:v/>
      </s:c>
      <s:c r="CB23" s="240">
        <s:f>AH23</s:f>
        <s:v/>
      </s:c>
      <s:c r="CC23" s="241">
        <s:f>AR23</s:f>
        <s:v/>
      </s:c>
      <s:c r="CD23" s="240">
        <s:f>AI23</s:f>
        <s:v/>
      </s:c>
      <s:c r="CE23" s="240">
        <s:f>AJ23</s:f>
        <s:v/>
      </s:c>
      <s:c r="CF23" s="240">
        <s:f>AS23</s:f>
        <s:v/>
      </s:c>
      <s:c r="CG23" s="240">
        <s:f>V23</s:f>
        <s:v/>
      </s:c>
      <s:c r="CH23" s="241">
        <s:f>AF23</s:f>
        <s:v/>
      </s:c>
      <s:c r="CI23" s="240">
        <s:f>W23</s:f>
        <s:v/>
      </s:c>
      <s:c r="CJ23" s="240">
        <s:f>X23</s:f>
        <s:v/>
      </s:c>
      <s:c r="CK23" s="240">
        <s:f>AG23</s:f>
        <s:v/>
      </s:c>
      <s:c r="CL23" s="240">
        <s:f>J23</s:f>
        <s:v/>
      </s:c>
      <s:c r="CM23" s="241">
        <s:f>T23</s:f>
        <s:v/>
      </s:c>
      <s:c r="CN23" s="240">
        <s:f>K23</s:f>
        <s:v/>
      </s:c>
      <s:c r="CO23" s="240">
        <s:f>L23</s:f>
        <s:v/>
      </s:c>
      <s:c r="CP23" s="242">
        <s:f>U23</s:f>
        <s:v/>
      </s:c>
      <s:c r="CQ23" s="233">
        <s:f>AT23</s:f>
        <s:v/>
      </s:c>
    </s:row>
    <s:row r="24">
      <s:c r="A24" s="211" t="n">
        <s:v>7</s:v>
      </s:c>
      <s:c r="B24" s="212" t="n">
        <s:v>45901</s:v>
      </s:c>
      <s:c r="C24" s="213" t="n">
        <s:v>45901</s:v>
      </s:c>
      <s:c r="D24" s="214" t="n">
        <s:v>3</s:v>
      </s:c>
      <s:c r="E24" s="215" t="n">
        <s:v>13</s:v>
      </s:c>
      <s:c r="F24" s="216" t="inlineStr">
        <s:is>
          <s:t>VI-236499-2025</s:t>
        </s:is>
      </s:c>
      <s:c r="G24" s="217" t="inlineStr">
        <s:is>
          <s:t>QA25417863</s:t>
        </s:is>
      </s:c>
      <s:c r="H24" s="218" t="n">
        <s:v>16</s:v>
      </s:c>
      <s:c r="I24" s="219" t="n">
        <s:v>0</s:v>
      </s:c>
      <s:c r="J24" s="220" t="n">
        <s:v>18.4</s:v>
      </s:c>
      <s:c r="K24" s="221" t="n">
        <s:v>7.519</s:v>
      </s:c>
      <s:c r="L24" s="221" t="n">
        <s:v>1.171</s:v>
      </s:c>
      <s:c r="M24" s="222" t="n">
        <s:v>365.61</s:v>
      </s:c>
      <s:c r="N24" s="222" t="n">
        <s:v>466.43</s:v>
      </s:c>
      <s:c r="O24" s="222" t="n">
        <s:v>100.49</s:v>
      </s:c>
      <s:c r="P24" s="223" t="inlineStr">
        <s:is>
          <s:t>2,30,540</s:t>
        </s:is>
      </s:c>
      <s:c r="Q24" s="224" t="inlineStr">
        <s:is>
          <s:t>2</s:t>
        </s:is>
      </s:c>
      <s:c r="R24" s="224" t="inlineStr">
        <s:is>
          <s:t>30,540</s:t>
        </s:is>
      </s:c>
      <s:c r="S24" s="224" t="n">
        <s:v>0.04181666666666666</s:v>
      </s:c>
      <s:c r="T24" s="225" t="n">
        <s:v>2403.108808290156</s:v>
      </s:c>
      <s:c r="U24" s="226" t="n">
        <s:v>0.3283908846651391</s:v>
      </s:c>
      <s:c r="V24" s="220" t="n">
        <s:v>18</s:v>
      </s:c>
      <s:c r="W24" s="221" t="n">
        <s:v>1.097</s:v>
      </s:c>
      <s:c r="X24" s="221" t="n">
        <s:v>1.082</s:v>
      </s:c>
      <s:c r="Y24" s="222" t="n">
        <s:v>479.45</s:v>
      </s:c>
      <s:c r="Z24" s="222" t="n">
        <s:v>484.55</s:v>
      </s:c>
      <s:c r="AA24" s="227" t="n">
        <s:v>5.011</s:v>
      </s:c>
      <s:c r="AB24" s="228" t="inlineStr">
        <s:is>
          <s:t>11,28,700</s:t>
        </s:is>
      </s:c>
      <s:c r="AC24" s="224" t="inlineStr">
        <s:is>
          <s:t>11</s:t>
        </s:is>
      </s:c>
      <s:c r="AD24" s="224" t="inlineStr">
        <s:is>
          <s:t>28,700</s:t>
        </s:is>
      </s:c>
      <s:c r="AE24" s="224" t="n">
        <s:v>0.1913055555555556</s:v>
      </s:c>
      <s:c r="AF24" s="225" t="n">
        <s:v>26.19369827210687</s:v>
      </s:c>
      <s:c r="AG24" s="229" t="n">
        <s:v>1.776092596288617</s:v>
      </s:c>
      <s:c r="AH24" s="220" t="n">
        <s:v>18.2</s:v>
      </s:c>
      <s:c r="AI24" s="221" t="n">
        <s:v>1.097</s:v>
      </s:c>
      <s:c r="AJ24" s="221" t="n">
        <s:v>1.085</s:v>
      </s:c>
      <s:c r="AK24" s="222" t="n">
        <s:v>484.55</s:v>
      </s:c>
      <s:c r="AL24" s="222" t="n">
        <s:v>486.59</s:v>
      </s:c>
      <s:c r="AM24" s="230" t="n">
        <s:v>2.005</s:v>
      </s:c>
      <s:c r="AN24" s="223" t="inlineStr">
        <s:is>
          <s:t>7,20,480</s:t>
        </s:is>
      </s:c>
      <s:c r="AO24" s="224" t="inlineStr">
        <s:is>
          <s:t>7,</s:t>
        </s:is>
      </s:c>
      <s:c r="AP24" s="224" t="inlineStr">
        <s:is>
          <s:t>20,480</s:t>
        </s:is>
      </s:c>
      <s:c r="AQ24" s="224" t="n">
        <s:v>0.1223555555555556</s:v>
      </s:c>
      <s:c r="AR24" s="225" t="n">
        <s:v>16.38666908826734</s:v>
      </s:c>
      <s:c r="AS24" s="229" t="n">
        <s:v>1.74563591022263</s:v>
      </s:c>
      <s:c r="AT24" s="231" t="inlineStr">
        <s:is>
          <s:t>CONFORME</s:t>
        </s:is>
      </s:c>
      <s:c r="AU24" s="232">
        <s:f>B24=C24</s:f>
        <s:v/>
      </s:c>
      <s:c r="AV24" s="233">
        <s:f>MID(G24,1,2)</s:f>
        <s:v/>
      </s:c>
      <s:c r="AW24" s="233">
        <s:f>LEN(G24)</s:f>
        <s:v/>
      </s:c>
      <s:c r="AX24" s="233" t="inlineStr">
        <s:is>
          <s:t>OI-0922-2025</s:t>
        </s:is>
      </s:c>
      <s:c r="AY24" s="233">
        <s:f>N24&lt;Y24</s:f>
        <s:v/>
      </s:c>
      <s:c r="AZ24" s="233">
        <s:f>Z24&lt;=AK24</s:f>
        <s:v/>
      </s:c>
      <s:c r="BA24" s="233">
        <s:f>L24&lt;K24</s:f>
        <s:v/>
      </s:c>
      <s:c r="BB24" s="233">
        <s:f>W24&gt;=X24</s:f>
        <s:v/>
      </s:c>
      <s:c r="BC24" s="233">
        <s:f>AI24&gt;=AJ24</s:f>
        <s:v/>
      </s:c>
      <s:c r="BD24" s="233">
        <s:f>IF(I24&gt;=1,"Qcorrecto",IF(AND(BE24="aceptable",BF24="aceptable",BG24="aceptable"),"Qcorrecto","Qincorrecto"))</s:f>
        <s:v/>
      </s:c>
      <s:c r="BE24" s="232">
        <s:f>IF(AR24&lt;$AH$6,"error",IF(AR24&gt;$AH$6*1.1,"error","aceptable"))</s:f>
        <s:v/>
      </s:c>
      <s:c r="BF24" s="232">
        <s:f>IF(AF24&lt;$V$6,"error",IF(AF24&gt;$V$6*1.1,"error","aceptable"))</s:f>
        <s:v/>
      </s:c>
      <s:c r="BG24" s="232">
        <s:f>IF(T24&lt;$J$6*0.9,"error",IF(T24&gt;$J$6,"error","aceptable"))</s:f>
        <s:v/>
      </s:c>
      <s:c r="BH24" s="234">
        <s:f>(IF(ABS(U24)&lt;1,"CONFORME",IF(ABS(AG24)&lt;1,"CONFORME",IF(ABS(AS24)&lt;2.5,"CONFORME","NO CONFORME"))))</s:f>
        <s:v/>
      </s:c>
      <s:c r="BI24" s="235">
        <s:f>(IF(ABS(U24)&gt;2.044,"NO CONFORME",IF(ABS(AG24)&gt;2.044,"NO CONFORME",IF(ABS(AS24)&gt;5.044,"NO CONFORME","CONFORME"))))</s:f>
        <s:v/>
      </s:c>
      <s:c r="BJ24" s="233">
        <s:f>SIGN(U24)</s:f>
        <s:v/>
      </s:c>
      <s:c r="BK24" s="233">
        <s:f>SIGN(AG24)</s:f>
        <s:v/>
      </s:c>
      <s:c r="BL24" s="233">
        <s:f>SIGN(AS24)</s:f>
        <s:v/>
      </s:c>
      <s:c r="BM24" s="233">
        <s:f>CONCATENATE(BJ24,BK24,BL24)</s:f>
        <s:v/>
      </s:c>
      <s:c r="BN24" s="233">
        <s:f>IF(BM24="111","SI","SD")</s:f>
        <s:v/>
      </s:c>
      <s:c r="BO24" s="233">
        <s:f>IF(BM24="-1-1-1","SI","SD")</s:f>
        <s:v/>
      </s:c>
      <s:c r="BP24" s="233">
        <s:f>OR(BN24="SI",BO24="SI")</s:f>
        <s:v/>
      </s:c>
      <s:c r="BQ24" s="233">
        <s:f>IF(BP24=FALSE,"SIGDIFERENTES","SIGIGUALES")</s:f>
        <s:v/>
      </s:c>
      <s:c r="BR24" s="236">
        <s:f>IF(BI24="NO CONFORME","NO CONFORME",IF(BH24="CONFORME","CONFORME","NO CONFORME"))</s:f>
        <s:v/>
      </s:c>
      <s:c r="BS24" s="233">
        <s:f>F24</s:f>
        <s:v/>
      </s:c>
      <s:c r="BT24" s="237">
        <s:f>G24</s:f>
        <s:v/>
      </s:c>
      <s:c r="BU24" s="233">
        <s:f>"20"&amp;+MID(G24,3,2)</s:f>
        <s:v/>
      </s:c>
      <s:c r="BV24" s="238">
        <s:f>C24</s:f>
        <s:v/>
      </s:c>
      <s:c r="BW24" s="233">
        <s:f>AT24</s:f>
        <s:v/>
      </s:c>
      <s:c r="BX24" s="238">
        <s:f>B24</s:f>
        <s:v/>
      </s:c>
      <s:c r="BY24" s="239">
        <s:f>H24</s:f>
        <s:v/>
      </s:c>
      <s:c r="BZ24" s="233">
        <s:f>IF(I24=0,"CONFORME","NO CONFORME")</s:f>
        <s:v/>
      </s:c>
      <s:c r="CA24" s="238">
        <s:f>C24</s:f>
        <s:v/>
      </s:c>
      <s:c r="CB24" s="240">
        <s:f>AH24</s:f>
        <s:v/>
      </s:c>
      <s:c r="CC24" s="241">
        <s:f>AR24</s:f>
        <s:v/>
      </s:c>
      <s:c r="CD24" s="240">
        <s:f>AI24</s:f>
        <s:v/>
      </s:c>
      <s:c r="CE24" s="240">
        <s:f>AJ24</s:f>
        <s:v/>
      </s:c>
      <s:c r="CF24" s="240">
        <s:f>AS24</s:f>
        <s:v/>
      </s:c>
      <s:c r="CG24" s="240">
        <s:f>V24</s:f>
        <s:v/>
      </s:c>
      <s:c r="CH24" s="241">
        <s:f>AF24</s:f>
        <s:v/>
      </s:c>
      <s:c r="CI24" s="240">
        <s:f>W24</s:f>
        <s:v/>
      </s:c>
      <s:c r="CJ24" s="240">
        <s:f>X24</s:f>
        <s:v/>
      </s:c>
      <s:c r="CK24" s="240">
        <s:f>AG24</s:f>
        <s:v/>
      </s:c>
      <s:c r="CL24" s="240">
        <s:f>J24</s:f>
        <s:v/>
      </s:c>
      <s:c r="CM24" s="241">
        <s:f>T24</s:f>
        <s:v/>
      </s:c>
      <s:c r="CN24" s="240">
        <s:f>K24</s:f>
        <s:v/>
      </s:c>
      <s:c r="CO24" s="240">
        <s:f>L24</s:f>
        <s:v/>
      </s:c>
      <s:c r="CP24" s="242">
        <s:f>U24</s:f>
        <s:v/>
      </s:c>
      <s:c r="CQ24" s="233">
        <s:f>AT24</s:f>
        <s:v/>
      </s:c>
    </s:row>
    <s:row r="25">
      <s:c r="A25" s="211" t="n">
        <s:v>8</s:v>
      </s:c>
      <s:c r="B25" s="212" t="n">
        <s:v>45901</s:v>
      </s:c>
      <s:c r="C25" s="213" t="n">
        <s:v>45901</s:v>
      </s:c>
      <s:c r="D25" s="214" t="n">
        <s:v>3</s:v>
      </s:c>
      <s:c r="E25" s="215" t="n">
        <s:v>13</s:v>
      </s:c>
      <s:c r="F25" s="216" t="inlineStr">
        <s:is>
          <s:t>VI-236500-2025</s:t>
        </s:is>
      </s:c>
      <s:c r="G25" s="217" t="inlineStr">
        <s:is>
          <s:t>QA25417575</s:t>
        </s:is>
      </s:c>
      <s:c r="H25" s="218" t="n">
        <s:v>16</s:v>
      </s:c>
      <s:c r="I25" s="219" t="n">
        <s:v>0</s:v>
      </s:c>
      <s:c r="J25" s="220" t="n">
        <s:v>18.4</s:v>
      </s:c>
      <s:c r="K25" s="221" t="n">
        <s:v>7.519</s:v>
      </s:c>
      <s:c r="L25" s="221" t="n">
        <s:v>1.171</s:v>
      </s:c>
      <s:c r="M25" s="222" t="n">
        <s:v>450.03</s:v>
      </s:c>
      <s:c r="N25" s="222" t="n">
        <s:v>551.27</s:v>
      </s:c>
      <s:c r="O25" s="222" t="n">
        <s:v>100.49</s:v>
      </s:c>
      <s:c r="P25" s="223" t="inlineStr">
        <s:is>
          <s:t>2,30,540</s:t>
        </s:is>
      </s:c>
      <s:c r="Q25" s="224" t="inlineStr">
        <s:is>
          <s:t>2</s:t>
        </s:is>
      </s:c>
      <s:c r="R25" s="224" t="inlineStr">
        <s:is>
          <s:t>30,540</s:t>
        </s:is>
      </s:c>
      <s:c r="S25" s="224" t="n">
        <s:v>0.04181666666666666</s:v>
      </s:c>
      <s:c r="T25" s="225" t="n">
        <s:v>2403.108808290156</s:v>
      </s:c>
      <s:c r="U25" s="226" t="n">
        <s:v>0.7463429196935161</s:v>
      </s:c>
      <s:c r="V25" s="220" t="n">
        <s:v>18</s:v>
      </s:c>
      <s:c r="W25" s="221" t="n">
        <s:v>1.097</s:v>
      </s:c>
      <s:c r="X25" s="221" t="n">
        <s:v>1.082</s:v>
      </s:c>
      <s:c r="Y25" s="222" t="n">
        <s:v>564.23</s:v>
      </s:c>
      <s:c r="Z25" s="222" t="n">
        <s:v>569.33</s:v>
      </s:c>
      <s:c r="AA25" s="227" t="n">
        <s:v>5.011</s:v>
      </s:c>
      <s:c r="AB25" s="228" t="inlineStr">
        <s:is>
          <s:t>11,28,700</s:t>
        </s:is>
      </s:c>
      <s:c r="AC25" s="224" t="inlineStr">
        <s:is>
          <s:t>11</s:t>
        </s:is>
      </s:c>
      <s:c r="AD25" s="224" t="inlineStr">
        <s:is>
          <s:t>28,700</s:t>
        </s:is>
      </s:c>
      <s:c r="AE25" s="224" t="n">
        <s:v>0.1913055555555556</s:v>
      </s:c>
      <s:c r="AF25" s="225" t="n">
        <s:v>26.19369827210687</s:v>
      </s:c>
      <s:c r="AG25" s="229" t="n">
        <s:v>1.776092596288617</s:v>
      </s:c>
      <s:c r="AH25" s="220" t="n">
        <s:v>18.2</s:v>
      </s:c>
      <s:c r="AI25" s="221" t="n">
        <s:v>1.097</s:v>
      </s:c>
      <s:c r="AJ25" s="221" t="n">
        <s:v>1.085</s:v>
      </s:c>
      <s:c r="AK25" s="222" t="n">
        <s:v>569.33</s:v>
      </s:c>
      <s:c r="AL25" s="222" t="n">
        <s:v>571.36</s:v>
      </s:c>
      <s:c r="AM25" s="230" t="n">
        <s:v>2.005</s:v>
      </s:c>
      <s:c r="AN25" s="223" t="inlineStr">
        <s:is>
          <s:t>7,20,480</s:t>
        </s:is>
      </s:c>
      <s:c r="AO25" s="224" t="inlineStr">
        <s:is>
          <s:t>7,</s:t>
        </s:is>
      </s:c>
      <s:c r="AP25" s="224" t="inlineStr">
        <s:is>
          <s:t>20,480</s:t>
        </s:is>
      </s:c>
      <s:c r="AQ25" s="224" t="n">
        <s:v>0.1223555555555556</s:v>
      </s:c>
      <s:c r="AR25" s="225" t="n">
        <s:v>16.38666908826734</s:v>
      </s:c>
      <s:c r="AS25" s="229" t="n">
        <s:v>1.246882793016101</s:v>
      </s:c>
      <s:c r="AT25" s="231" t="inlineStr">
        <s:is>
          <s:t>CONFORME</s:t>
        </s:is>
      </s:c>
      <s:c r="AU25" s="232">
        <s:f>B25=C25</s:f>
        <s:v/>
      </s:c>
      <s:c r="AV25" s="233">
        <s:f>MID(G25,1,2)</s:f>
        <s:v/>
      </s:c>
      <s:c r="AW25" s="233">
        <s:f>LEN(G25)</s:f>
        <s:v/>
      </s:c>
      <s:c r="AX25" s="233" t="inlineStr">
        <s:is>
          <s:t>OI-0922-2025</s:t>
        </s:is>
      </s:c>
      <s:c r="AY25" s="233">
        <s:f>N25&lt;Y25</s:f>
        <s:v/>
      </s:c>
      <s:c r="AZ25" s="233">
        <s:f>Z25&lt;=AK25</s:f>
        <s:v/>
      </s:c>
      <s:c r="BA25" s="233">
        <s:f>L25&lt;K25</s:f>
        <s:v/>
      </s:c>
      <s:c r="BB25" s="233">
        <s:f>W25&gt;=X25</s:f>
        <s:v/>
      </s:c>
      <s:c r="BC25" s="233">
        <s:f>AI25&gt;=AJ25</s:f>
        <s:v/>
      </s:c>
      <s:c r="BD25" s="233">
        <s:f>IF(I25&gt;=1,"Qcorrecto",IF(AND(BE25="aceptable",BF25="aceptable",BG25="aceptable"),"Qcorrecto","Qincorrecto"))</s:f>
        <s:v/>
      </s:c>
      <s:c r="BE25" s="232">
        <s:f>IF(AR25&lt;$AH$6,"error",IF(AR25&gt;$AH$6*1.1,"error","aceptable"))</s:f>
        <s:v/>
      </s:c>
      <s:c r="BF25" s="232">
        <s:f>IF(AF25&lt;$V$6,"error",IF(AF25&gt;$V$6*1.1,"error","aceptable"))</s:f>
        <s:v/>
      </s:c>
      <s:c r="BG25" s="232">
        <s:f>IF(T25&lt;$J$6*0.9,"error",IF(T25&gt;$J$6,"error","aceptable"))</s:f>
        <s:v/>
      </s:c>
      <s:c r="BH25" s="234">
        <s:f>(IF(ABS(U25)&lt;1,"CONFORME",IF(ABS(AG25)&lt;1,"CONFORME",IF(ABS(AS25)&lt;2.5,"CONFORME","NO CONFORME"))))</s:f>
        <s:v/>
      </s:c>
      <s:c r="BI25" s="235">
        <s:f>(IF(ABS(U25)&gt;2.044,"NO CONFORME",IF(ABS(AG25)&gt;2.044,"NO CONFORME",IF(ABS(AS25)&gt;5.044,"NO CONFORME","CONFORME"))))</s:f>
        <s:v/>
      </s:c>
      <s:c r="BJ25" s="233">
        <s:f>SIGN(U25)</s:f>
        <s:v/>
      </s:c>
      <s:c r="BK25" s="233">
        <s:f>SIGN(AG25)</s:f>
        <s:v/>
      </s:c>
      <s:c r="BL25" s="233">
        <s:f>SIGN(AS25)</s:f>
        <s:v/>
      </s:c>
      <s:c r="BM25" s="233">
        <s:f>CONCATENATE(BJ25,BK25,BL25)</s:f>
        <s:v/>
      </s:c>
      <s:c r="BN25" s="233">
        <s:f>IF(BM25="111","SI","SD")</s:f>
        <s:v/>
      </s:c>
      <s:c r="BO25" s="233">
        <s:f>IF(BM25="-1-1-1","SI","SD")</s:f>
        <s:v/>
      </s:c>
      <s:c r="BP25" s="233">
        <s:f>OR(BN25="SI",BO25="SI")</s:f>
        <s:v/>
      </s:c>
      <s:c r="BQ25" s="233">
        <s:f>IF(BP25=FALSE,"SIGDIFERENTES","SIGIGUALES")</s:f>
        <s:v/>
      </s:c>
      <s:c r="BR25" s="236">
        <s:f>IF(BI25="NO CONFORME","NO CONFORME",IF(BH25="CONFORME","CONFORME","NO CONFORME"))</s:f>
        <s:v/>
      </s:c>
      <s:c r="BS25" s="233">
        <s:f>F25</s:f>
        <s:v/>
      </s:c>
      <s:c r="BT25" s="237">
        <s:f>G25</s:f>
        <s:v/>
      </s:c>
      <s:c r="BU25" s="233">
        <s:f>"20"&amp;+MID(G25,3,2)</s:f>
        <s:v/>
      </s:c>
      <s:c r="BV25" s="238">
        <s:f>C25</s:f>
        <s:v/>
      </s:c>
      <s:c r="BW25" s="233">
        <s:f>AT25</s:f>
        <s:v/>
      </s:c>
      <s:c r="BX25" s="238">
        <s:f>B25</s:f>
        <s:v/>
      </s:c>
      <s:c r="BY25" s="239">
        <s:f>H25</s:f>
        <s:v/>
      </s:c>
      <s:c r="BZ25" s="233">
        <s:f>IF(I25=0,"CONFORME","NO CONFORME")</s:f>
        <s:v/>
      </s:c>
      <s:c r="CA25" s="238">
        <s:f>C25</s:f>
        <s:v/>
      </s:c>
      <s:c r="CB25" s="240">
        <s:f>AH25</s:f>
        <s:v/>
      </s:c>
      <s:c r="CC25" s="241">
        <s:f>AR25</s:f>
        <s:v/>
      </s:c>
      <s:c r="CD25" s="240">
        <s:f>AI25</s:f>
        <s:v/>
      </s:c>
      <s:c r="CE25" s="240">
        <s:f>AJ25</s:f>
        <s:v/>
      </s:c>
      <s:c r="CF25" s="240">
        <s:f>AS25</s:f>
        <s:v/>
      </s:c>
      <s:c r="CG25" s="240">
        <s:f>V25</s:f>
        <s:v/>
      </s:c>
      <s:c r="CH25" s="241">
        <s:f>AF25</s:f>
        <s:v/>
      </s:c>
      <s:c r="CI25" s="240">
        <s:f>W25</s:f>
        <s:v/>
      </s:c>
      <s:c r="CJ25" s="240">
        <s:f>X25</s:f>
        <s:v/>
      </s:c>
      <s:c r="CK25" s="240">
        <s:f>AG25</s:f>
        <s:v/>
      </s:c>
      <s:c r="CL25" s="240">
        <s:f>J25</s:f>
        <s:v/>
      </s:c>
      <s:c r="CM25" s="241">
        <s:f>T25</s:f>
        <s:v/>
      </s:c>
      <s:c r="CN25" s="240">
        <s:f>K25</s:f>
        <s:v/>
      </s:c>
      <s:c r="CO25" s="240">
        <s:f>L25</s:f>
        <s:v/>
      </s:c>
      <s:c r="CP25" s="242">
        <s:f>U25</s:f>
        <s:v/>
      </s:c>
      <s:c r="CQ25" s="233">
        <s:f>AT25</s:f>
        <s:v/>
      </s:c>
    </s:row>
    <s:row r="26">
      <s:c r="A26" s="211" t="n">
        <s:v>9</s:v>
      </s:c>
      <s:c r="B26" s="212" t="n">
        <s:v>45901</s:v>
      </s:c>
      <s:c r="C26" s="213" t="n">
        <s:v>45901</s:v>
      </s:c>
      <s:c r="D26" s="214" t="n">
        <s:v>3</s:v>
      </s:c>
      <s:c r="E26" s="215" t="n">
        <s:v>13</s:v>
      </s:c>
      <s:c r="F26" s="216" t="inlineStr">
        <s:is>
          <s:t>VI-236501-2025</s:t>
        </s:is>
      </s:c>
      <s:c r="G26" s="217" t="inlineStr">
        <s:is>
          <s:t>QA25417910</s:t>
        </s:is>
      </s:c>
      <s:c r="H26" s="218" t="n">
        <s:v>16</s:v>
      </s:c>
      <s:c r="I26" s="219" t="n">
        <s:v>0</s:v>
      </s:c>
      <s:c r="J26" s="220" t="n">
        <s:v>18.4</s:v>
      </s:c>
      <s:c r="K26" s="221" t="n">
        <s:v>7.519</s:v>
      </s:c>
      <s:c r="L26" s="221" t="n">
        <s:v>1.171</s:v>
      </s:c>
      <s:c r="M26" s="222" t="n">
        <s:v>373.65</s:v>
      </s:c>
      <s:c r="N26" s="222" t="n">
        <s:v>473.12</s:v>
      </s:c>
      <s:c r="O26" s="222" t="n">
        <s:v>100.49</s:v>
      </s:c>
      <s:c r="P26" s="223" t="inlineStr">
        <s:is>
          <s:t>2,30,540</s:t>
        </s:is>
      </s:c>
      <s:c r="Q26" s="224" t="inlineStr">
        <s:is>
          <s:t>2</s:t>
        </s:is>
      </s:c>
      <s:c r="R26" s="224" t="inlineStr">
        <s:is>
          <s:t>30,540</s:t>
        </s:is>
      </s:c>
      <s:c r="S26" s="224" t="n">
        <s:v>0.04181666666666666</s:v>
      </s:c>
      <s:c r="T26" s="225" t="n">
        <s:v>2403.108808290156</s:v>
      </s:c>
      <s:c r="U26" s="226" t="n">
        <s:v>-1.01502637078313</s:v>
      </s:c>
      <s:c r="V26" s="220" t="n">
        <s:v>18</s:v>
      </s:c>
      <s:c r="W26" s="221" t="n">
        <s:v>1.097</s:v>
      </s:c>
      <s:c r="X26" s="221" t="n">
        <s:v>1.082</s:v>
      </s:c>
      <s:c r="Y26" s="222" t="n">
        <s:v>485.96</s:v>
      </s:c>
      <s:c r="Z26" s="222" t="n">
        <s:v>490.99</s:v>
      </s:c>
      <s:c r="AA26" s="227" t="n">
        <s:v>5.011</s:v>
      </s:c>
      <s:c r="AB26" s="228" t="inlineStr">
        <s:is>
          <s:t>11,28,700</s:t>
        </s:is>
      </s:c>
      <s:c r="AC26" s="224" t="inlineStr">
        <s:is>
          <s:t>11</s:t>
        </s:is>
      </s:c>
      <s:c r="AD26" s="224" t="inlineStr">
        <s:is>
          <s:t>28,700</s:t>
        </s:is>
      </s:c>
      <s:c r="AE26" s="224" t="n">
        <s:v>0.1913055555555556</s:v>
      </s:c>
      <s:c r="AF26" s="225" t="n">
        <s:v>26.19369827210687</s:v>
      </s:c>
      <s:c r="AG26" s="229" t="n">
        <s:v>0.3791658351632297</s:v>
      </s:c>
      <s:c r="AH26" s="220" t="n">
        <s:v>18.2</s:v>
      </s:c>
      <s:c r="AI26" s="221" t="n">
        <s:v>1.097</s:v>
      </s:c>
      <s:c r="AJ26" s="221" t="n">
        <s:v>1.085</s:v>
      </s:c>
      <s:c r="AK26" s="222" t="n">
        <s:v>490.99</s:v>
      </s:c>
      <s:c r="AL26" s="222" t="n">
        <s:v>493.01</s:v>
      </s:c>
      <s:c r="AM26" s="230" t="n">
        <s:v>2.005</s:v>
      </s:c>
      <s:c r="AN26" s="223" t="inlineStr">
        <s:is>
          <s:t>7,20,480</s:t>
        </s:is>
      </s:c>
      <s:c r="AO26" s="224" t="inlineStr">
        <s:is>
          <s:t>7,</s:t>
        </s:is>
      </s:c>
      <s:c r="AP26" s="224" t="inlineStr">
        <s:is>
          <s:t>20,480</s:t>
        </s:is>
      </s:c>
      <s:c r="AQ26" s="224" t="n">
        <s:v>0.1223555555555556</s:v>
      </s:c>
      <s:c r="AR26" s="225" t="n">
        <s:v>16.38666908826734</s:v>
      </s:c>
      <s:c r="AS26" s="229" t="n">
        <s:v>0.7481296758095719</s:v>
      </s:c>
      <s:c r="AT26" s="231" t="inlineStr">
        <s:is>
          <s:t>CONFORME</s:t>
        </s:is>
      </s:c>
      <s:c r="AU26" s="232">
        <s:f>B26=C26</s:f>
        <s:v/>
      </s:c>
      <s:c r="AV26" s="233">
        <s:f>MID(G26,1,2)</s:f>
        <s:v/>
      </s:c>
      <s:c r="AW26" s="233">
        <s:f>LEN(G26)</s:f>
        <s:v/>
      </s:c>
      <s:c r="AX26" s="233" t="inlineStr">
        <s:is>
          <s:t>OI-0922-2025</s:t>
        </s:is>
      </s:c>
      <s:c r="AY26" s="233">
        <s:f>N26&lt;Y26</s:f>
        <s:v/>
      </s:c>
      <s:c r="AZ26" s="233">
        <s:f>Z26&lt;=AK26</s:f>
        <s:v/>
      </s:c>
      <s:c r="BA26" s="233">
        <s:f>L26&lt;K26</s:f>
        <s:v/>
      </s:c>
      <s:c r="BB26" s="233">
        <s:f>W26&gt;=X26</s:f>
        <s:v/>
      </s:c>
      <s:c r="BC26" s="233">
        <s:f>AI26&gt;=AJ26</s:f>
        <s:v/>
      </s:c>
      <s:c r="BD26" s="233">
        <s:f>IF(I26&gt;=1,"Qcorrecto",IF(AND(BE26="aceptable",BF26="aceptable",BG26="aceptable"),"Qcorrecto","Qincorrecto"))</s:f>
        <s:v/>
      </s:c>
      <s:c r="BE26" s="232">
        <s:f>IF(AR26&lt;$AH$6,"error",IF(AR26&gt;$AH$6*1.1,"error","aceptable"))</s:f>
        <s:v/>
      </s:c>
      <s:c r="BF26" s="232">
        <s:f>IF(AF26&lt;$V$6,"error",IF(AF26&gt;$V$6*1.1,"error","aceptable"))</s:f>
        <s:v/>
      </s:c>
      <s:c r="BG26" s="232">
        <s:f>IF(T26&lt;$J$6*0.9,"error",IF(T26&gt;$J$6,"error","aceptable"))</s:f>
        <s:v/>
      </s:c>
      <s:c r="BH26" s="234">
        <s:f>(IF(ABS(U26)&lt;1,"CONFORME",IF(ABS(AG26)&lt;1,"CONFORME",IF(ABS(AS26)&lt;2.5,"CONFORME","NO CONFORME"))))</s:f>
        <s:v/>
      </s:c>
      <s:c r="BI26" s="235">
        <s:f>(IF(ABS(U26)&gt;2.044,"NO CONFORME",IF(ABS(AG26)&gt;2.044,"NO CONFORME",IF(ABS(AS26)&gt;5.044,"NO CONFORME","CONFORME"))))</s:f>
        <s:v/>
      </s:c>
      <s:c r="BJ26" s="233">
        <s:f>SIGN(U26)</s:f>
        <s:v/>
      </s:c>
      <s:c r="BK26" s="233">
        <s:f>SIGN(AG26)</s:f>
        <s:v/>
      </s:c>
      <s:c r="BL26" s="233">
        <s:f>SIGN(AS26)</s:f>
        <s:v/>
      </s:c>
      <s:c r="BM26" s="233">
        <s:f>CONCATENATE(BJ26,BK26,BL26)</s:f>
        <s:v/>
      </s:c>
      <s:c r="BN26" s="233">
        <s:f>IF(BM26="111","SI","SD")</s:f>
        <s:v/>
      </s:c>
      <s:c r="BO26" s="233">
        <s:f>IF(BM26="-1-1-1","SI","SD")</s:f>
        <s:v/>
      </s:c>
      <s:c r="BP26" s="233">
        <s:f>OR(BN26="SI",BO26="SI")</s:f>
        <s:v/>
      </s:c>
      <s:c r="BQ26" s="233">
        <s:f>IF(BP26=FALSE,"SIGDIFERENTES","SIGIGUALES")</s:f>
        <s:v/>
      </s:c>
      <s:c r="BR26" s="236">
        <s:f>IF(BI26="NO CONFORME","NO CONFORME",IF(BH26="CONFORME","CONFORME","NO CONFORME"))</s:f>
        <s:v/>
      </s:c>
      <s:c r="BS26" s="233">
        <s:f>F26</s:f>
        <s:v/>
      </s:c>
      <s:c r="BT26" s="237">
        <s:f>G26</s:f>
        <s:v/>
      </s:c>
      <s:c r="BU26" s="233">
        <s:f>"20"&amp;+MID(G26,3,2)</s:f>
        <s:v/>
      </s:c>
      <s:c r="BV26" s="238">
        <s:f>C26</s:f>
        <s:v/>
      </s:c>
      <s:c r="BW26" s="233">
        <s:f>AT26</s:f>
        <s:v/>
      </s:c>
      <s:c r="BX26" s="238">
        <s:f>B26</s:f>
        <s:v/>
      </s:c>
      <s:c r="BY26" s="239">
        <s:f>H26</s:f>
        <s:v/>
      </s:c>
      <s:c r="BZ26" s="233">
        <s:f>IF(I26=0,"CONFORME","NO CONFORME")</s:f>
        <s:v/>
      </s:c>
      <s:c r="CA26" s="238">
        <s:f>C26</s:f>
        <s:v/>
      </s:c>
      <s:c r="CB26" s="240">
        <s:f>AH26</s:f>
        <s:v/>
      </s:c>
      <s:c r="CC26" s="241">
        <s:f>AR26</s:f>
        <s:v/>
      </s:c>
      <s:c r="CD26" s="240">
        <s:f>AI26</s:f>
        <s:v/>
      </s:c>
      <s:c r="CE26" s="240">
        <s:f>AJ26</s:f>
        <s:v/>
      </s:c>
      <s:c r="CF26" s="240">
        <s:f>AS26</s:f>
        <s:v/>
      </s:c>
      <s:c r="CG26" s="240">
        <s:f>V26</s:f>
        <s:v/>
      </s:c>
      <s:c r="CH26" s="241">
        <s:f>AF26</s:f>
        <s:v/>
      </s:c>
      <s:c r="CI26" s="240">
        <s:f>W26</s:f>
        <s:v/>
      </s:c>
      <s:c r="CJ26" s="240">
        <s:f>X26</s:f>
        <s:v/>
      </s:c>
      <s:c r="CK26" s="240">
        <s:f>AG26</s:f>
        <s:v/>
      </s:c>
      <s:c r="CL26" s="240">
        <s:f>J26</s:f>
        <s:v/>
      </s:c>
      <s:c r="CM26" s="241">
        <s:f>T26</s:f>
        <s:v/>
      </s:c>
      <s:c r="CN26" s="240">
        <s:f>K26</s:f>
        <s:v/>
      </s:c>
      <s:c r="CO26" s="240">
        <s:f>L26</s:f>
        <s:v/>
      </s:c>
      <s:c r="CP26" s="242">
        <s:f>U26</s:f>
        <s:v/>
      </s:c>
      <s:c r="CQ26" s="233">
        <s:f>AT26</s:f>
        <s:v/>
      </s:c>
    </s:row>
    <s:row r="27">
      <s:c r="A27" s="211" t="n">
        <s:v>10</s:v>
      </s:c>
      <s:c r="B27" s="212" t="n">
        <s:v>45901</s:v>
      </s:c>
      <s:c r="C27" s="213" t="n">
        <s:v>45901</s:v>
      </s:c>
      <s:c r="D27" s="214" t="n">
        <s:v>3</s:v>
      </s:c>
      <s:c r="E27" s="215" t="n">
        <s:v>13</s:v>
      </s:c>
      <s:c r="F27" s="216" t="inlineStr">
        <s:is>
          <s:t>VI-236502-2025</s:t>
        </s:is>
      </s:c>
      <s:c r="G27" s="217" t="inlineStr">
        <s:is>
          <s:t>QA25417554</s:t>
        </s:is>
      </s:c>
      <s:c r="H27" s="218" t="n">
        <s:v>16</s:v>
      </s:c>
      <s:c r="I27" s="219" t="n">
        <s:v>0</s:v>
      </s:c>
      <s:c r="J27" s="220" t="n">
        <s:v>18.4</s:v>
      </s:c>
      <s:c r="K27" s="221" t="n">
        <s:v>7.519</s:v>
      </s:c>
      <s:c r="L27" s="221" t="n">
        <s:v>1.171</s:v>
      </s:c>
      <s:c r="M27" s="222" t="n">
        <s:v>368.73</s:v>
      </s:c>
      <s:c r="N27" s="222" t="n">
        <s:v>470.43</s:v>
      </s:c>
      <s:c r="O27" s="222" t="n">
        <s:v>100.49</s:v>
      </s:c>
      <s:c r="P27" s="223" t="inlineStr">
        <s:is>
          <s:t>2,30,540</s:t>
        </s:is>
      </s:c>
      <s:c r="Q27" s="224" t="inlineStr">
        <s:is>
          <s:t>2</s:t>
        </s:is>
      </s:c>
      <s:c r="R27" s="224" t="inlineStr">
        <s:is>
          <s:t>30,540</s:t>
        </s:is>
      </s:c>
      <s:c r="S27" s="224" t="n">
        <s:v>0.04181666666666666</s:v>
      </s:c>
      <s:c r="T27" s="225" t="n">
        <s:v>2403.108808290156</s:v>
      </s:c>
      <s:c r="U27" s="226" t="n">
        <s:v>1.204099910438843</s:v>
      </s:c>
      <s:c r="V27" s="220" t="n">
        <s:v>18</s:v>
      </s:c>
      <s:c r="W27" s="221" t="n">
        <s:v>1.097</s:v>
      </s:c>
      <s:c r="X27" s="221" t="n">
        <s:v>1.082</s:v>
      </s:c>
      <s:c r="Y27" s="222" t="n">
        <s:v>483.42</s:v>
      </s:c>
      <s:c r="Z27" s="222" t="n">
        <s:v>488.48</s:v>
      </s:c>
      <s:c r="AA27" s="227" t="n">
        <s:v>5.011</s:v>
      </s:c>
      <s:c r="AB27" s="228" t="inlineStr">
        <s:is>
          <s:t>11,28,700</s:t>
        </s:is>
      </s:c>
      <s:c r="AC27" s="224" t="inlineStr">
        <s:is>
          <s:t>11</s:t>
        </s:is>
      </s:c>
      <s:c r="AD27" s="224" t="inlineStr">
        <s:is>
          <s:t>28,700</s:t>
        </s:is>
      </s:c>
      <s:c r="AE27" s="224" t="n">
        <s:v>0.1913055555555556</s:v>
      </s:c>
      <s:c r="AF27" s="225" t="n">
        <s:v>26.19369827210687</s:v>
      </s:c>
      <s:c r="AG27" s="229" t="n">
        <s:v>0.9778487327879096</s:v>
      </s:c>
      <s:c r="AH27" s="220" t="n">
        <s:v>18.2</s:v>
      </s:c>
      <s:c r="AI27" s="221" t="n">
        <s:v>1.097</s:v>
      </s:c>
      <s:c r="AJ27" s="221" t="n">
        <s:v>1.085</s:v>
      </s:c>
      <s:c r="AK27" s="222" t="n">
        <s:v>488.48</s:v>
      </s:c>
      <s:c r="AL27" s="222" t="n">
        <s:v>490.5</s:v>
      </s:c>
      <s:c r="AM27" s="230" t="n">
        <s:v>2.005</s:v>
      </s:c>
      <s:c r="AN27" s="223" t="inlineStr">
        <s:is>
          <s:t>7,20,480</s:t>
        </s:is>
      </s:c>
      <s:c r="AO27" s="224" t="inlineStr">
        <s:is>
          <s:t>7,</s:t>
        </s:is>
      </s:c>
      <s:c r="AP27" s="224" t="inlineStr">
        <s:is>
          <s:t>20,480</s:t>
        </s:is>
      </s:c>
      <s:c r="AQ27" s="224" t="n">
        <s:v>0.1223555555555556</s:v>
      </s:c>
      <s:c r="AR27" s="225" t="n">
        <s:v>16.38666908826734</s:v>
      </s:c>
      <s:c r="AS27" s="229" t="n">
        <s:v>0.7481296758095719</s:v>
      </s:c>
      <s:c r="AT27" s="231" t="inlineStr">
        <s:is>
          <s:t>CONFORME</s:t>
        </s:is>
      </s:c>
      <s:c r="AU27" s="232">
        <s:f>B27=C27</s:f>
        <s:v/>
      </s:c>
      <s:c r="AV27" s="233">
        <s:f>MID(G27,1,2)</s:f>
        <s:v/>
      </s:c>
      <s:c r="AW27" s="233">
        <s:f>LEN(G27)</s:f>
        <s:v/>
      </s:c>
      <s:c r="AX27" s="233" t="inlineStr">
        <s:is>
          <s:t>OI-0922-2025</s:t>
        </s:is>
      </s:c>
      <s:c r="AY27" s="233">
        <s:f>N27&lt;Y27</s:f>
        <s:v/>
      </s:c>
      <s:c r="AZ27" s="233">
        <s:f>Z27&lt;=AK27</s:f>
        <s:v/>
      </s:c>
      <s:c r="BA27" s="233">
        <s:f>L27&lt;K27</s:f>
        <s:v/>
      </s:c>
      <s:c r="BB27" s="233">
        <s:f>W27&gt;=X27</s:f>
        <s:v/>
      </s:c>
      <s:c r="BC27" s="233">
        <s:f>AI27&gt;=AJ27</s:f>
        <s:v/>
      </s:c>
      <s:c r="BD27" s="233">
        <s:f>IF(I27&gt;=1,"Qcorrecto",IF(AND(BE27="aceptable",BF27="aceptable",BG27="aceptable"),"Qcorrecto","Qincorrecto"))</s:f>
        <s:v/>
      </s:c>
      <s:c r="BE27" s="232">
        <s:f>IF(AR27&lt;$AH$6,"error",IF(AR27&gt;$AH$6*1.1,"error","aceptable"))</s:f>
        <s:v/>
      </s:c>
      <s:c r="BF27" s="232">
        <s:f>IF(AF27&lt;$V$6,"error",IF(AF27&gt;$V$6*1.1,"error","aceptable"))</s:f>
        <s:v/>
      </s:c>
      <s:c r="BG27" s="232">
        <s:f>IF(T27&lt;$J$6*0.9,"error",IF(T27&gt;$J$6,"error","aceptable"))</s:f>
        <s:v/>
      </s:c>
      <s:c r="BH27" s="234">
        <s:f>(IF(ABS(U27)&lt;1,"CONFORME",IF(ABS(AG27)&lt;1,"CONFORME",IF(ABS(AS27)&lt;2.5,"CONFORME","NO CONFORME"))))</s:f>
        <s:v/>
      </s:c>
      <s:c r="BI27" s="235">
        <s:f>(IF(ABS(U27)&gt;2.044,"NO CONFORME",IF(ABS(AG27)&gt;2.044,"NO CONFORME",IF(ABS(AS27)&gt;5.044,"NO CONFORME","CONFORME"))))</s:f>
        <s:v/>
      </s:c>
      <s:c r="BJ27" s="233">
        <s:f>SIGN(U27)</s:f>
        <s:v/>
      </s:c>
      <s:c r="BK27" s="233">
        <s:f>SIGN(AG27)</s:f>
        <s:v/>
      </s:c>
      <s:c r="BL27" s="233">
        <s:f>SIGN(AS27)</s:f>
        <s:v/>
      </s:c>
      <s:c r="BM27" s="233">
        <s:f>CONCATENATE(BJ27,BK27,BL27)</s:f>
        <s:v/>
      </s:c>
      <s:c r="BN27" s="233">
        <s:f>IF(BM27="111","SI","SD")</s:f>
        <s:v/>
      </s:c>
      <s:c r="BO27" s="233">
        <s:f>IF(BM27="-1-1-1","SI","SD")</s:f>
        <s:v/>
      </s:c>
      <s:c r="BP27" s="233">
        <s:f>OR(BN27="SI",BO27="SI")</s:f>
        <s:v/>
      </s:c>
      <s:c r="BQ27" s="233">
        <s:f>IF(BP27=FALSE,"SIGDIFERENTES","SIGIGUALES")</s:f>
        <s:v/>
      </s:c>
      <s:c r="BR27" s="236">
        <s:f>IF(BI27="NO CONFORME","NO CONFORME",IF(BH27="CONFORME","CONFORME","NO CONFORME"))</s:f>
        <s:v/>
      </s:c>
      <s:c r="BS27" s="233">
        <s:f>F27</s:f>
        <s:v/>
      </s:c>
      <s:c r="BT27" s="237">
        <s:f>G27</s:f>
        <s:v/>
      </s:c>
      <s:c r="BU27" s="233">
        <s:f>"20"&amp;+MID(G27,3,2)</s:f>
        <s:v/>
      </s:c>
      <s:c r="BV27" s="238">
        <s:f>C27</s:f>
        <s:v/>
      </s:c>
      <s:c r="BW27" s="233">
        <s:f>AT27</s:f>
        <s:v/>
      </s:c>
      <s:c r="BX27" s="238">
        <s:f>B27</s:f>
        <s:v/>
      </s:c>
      <s:c r="BY27" s="239">
        <s:f>H27</s:f>
        <s:v/>
      </s:c>
      <s:c r="BZ27" s="233">
        <s:f>IF(I27=0,"CONFORME","NO CONFORME")</s:f>
        <s:v/>
      </s:c>
      <s:c r="CA27" s="238">
        <s:f>C27</s:f>
        <s:v/>
      </s:c>
      <s:c r="CB27" s="240">
        <s:f>AH27</s:f>
        <s:v/>
      </s:c>
      <s:c r="CC27" s="241">
        <s:f>AR27</s:f>
        <s:v/>
      </s:c>
      <s:c r="CD27" s="240">
        <s:f>AI27</s:f>
        <s:v/>
      </s:c>
      <s:c r="CE27" s="240">
        <s:f>AJ27</s:f>
        <s:v/>
      </s:c>
      <s:c r="CF27" s="240">
        <s:f>AS27</s:f>
        <s:v/>
      </s:c>
      <s:c r="CG27" s="240">
        <s:f>V27</s:f>
        <s:v/>
      </s:c>
      <s:c r="CH27" s="241">
        <s:f>AF27</s:f>
        <s:v/>
      </s:c>
      <s:c r="CI27" s="240">
        <s:f>W27</s:f>
        <s:v/>
      </s:c>
      <s:c r="CJ27" s="240">
        <s:f>X27</s:f>
        <s:v/>
      </s:c>
      <s:c r="CK27" s="240">
        <s:f>AG27</s:f>
        <s:v/>
      </s:c>
      <s:c r="CL27" s="240">
        <s:f>J27</s:f>
        <s:v/>
      </s:c>
      <s:c r="CM27" s="241">
        <s:f>T27</s:f>
        <s:v/>
      </s:c>
      <s:c r="CN27" s="240">
        <s:f>K27</s:f>
        <s:v/>
      </s:c>
      <s:c r="CO27" s="240">
        <s:f>L27</s:f>
        <s:v/>
      </s:c>
      <s:c r="CP27" s="242">
        <s:f>U27</s:f>
        <s:v/>
      </s:c>
      <s:c r="CQ27" s="233">
        <s:f>AT27</s:f>
        <s:v/>
      </s:c>
    </s:row>
    <s:row r="28">
      <s:c r="A28" s="211" t="n">
        <s:v>11</s:v>
      </s:c>
      <s:c r="B28" s="212" t="n">
        <s:v>45901</s:v>
      </s:c>
      <s:c r="C28" s="213" t="n">
        <s:v>45901</s:v>
      </s:c>
      <s:c r="D28" s="214" t="n">
        <s:v>3</s:v>
      </s:c>
      <s:c r="E28" s="215" t="n">
        <s:v>13</s:v>
      </s:c>
      <s:c r="F28" s="216" t="inlineStr">
        <s:is>
          <s:t>VI-236503-2025</s:t>
        </s:is>
      </s:c>
      <s:c r="G28" s="217" t="inlineStr">
        <s:is>
          <s:t>QA25417813</s:t>
        </s:is>
      </s:c>
      <s:c r="H28" s="218" t="n">
        <s:v>16</s:v>
      </s:c>
      <s:c r="I28" s="219" t="n">
        <s:v>0</s:v>
      </s:c>
      <s:c r="J28" s="220" t="n">
        <s:v>18.4</s:v>
      </s:c>
      <s:c r="K28" s="221" t="n">
        <s:v>7.519</s:v>
      </s:c>
      <s:c r="L28" s="221" t="n">
        <s:v>1.171</s:v>
      </s:c>
      <s:c r="M28" s="222" t="n">
        <s:v>694.28</s:v>
      </s:c>
      <s:c r="N28" s="222" t="n">
        <s:v>793.92</s:v>
      </s:c>
      <s:c r="O28" s="222" t="n">
        <s:v>100.49</s:v>
      </s:c>
      <s:c r="P28" s="223" t="inlineStr">
        <s:is>
          <s:t>2,30,540</s:t>
        </s:is>
      </s:c>
      <s:c r="Q28" s="224" t="inlineStr">
        <s:is>
          <s:t>2</s:t>
        </s:is>
      </s:c>
      <s:c r="R28" s="224" t="inlineStr">
        <s:is>
          <s:t>30,540</s:t>
        </s:is>
      </s:c>
      <s:c r="S28" s="224" t="n">
        <s:v>0.04181666666666666</s:v>
      </s:c>
      <s:c r="T28" s="225" t="n">
        <s:v>2403.108808290156</s:v>
      </s:c>
      <s:c r="U28" s="226" t="n">
        <s:v>-0.8458553089859773</s:v>
      </s:c>
      <s:c r="V28" s="220" t="n">
        <s:v>18</s:v>
      </s:c>
      <s:c r="W28" s="221" t="n">
        <s:v>1.097</s:v>
      </s:c>
      <s:c r="X28" s="221" t="n">
        <s:v>1.082</s:v>
      </s:c>
      <s:c r="Y28" s="222" t="n">
        <s:v>806.75</s:v>
      </s:c>
      <s:c r="Z28" s="222" t="n">
        <s:v>811.79</s:v>
      </s:c>
      <s:c r="AA28" s="227" t="n">
        <s:v>5.011</s:v>
      </s:c>
      <s:c r="AB28" s="228" t="inlineStr">
        <s:is>
          <s:t>11,28,700</s:t>
        </s:is>
      </s:c>
      <s:c r="AC28" s="224" t="inlineStr">
        <s:is>
          <s:t>11</s:t>
        </s:is>
      </s:c>
      <s:c r="AD28" s="224" t="inlineStr">
        <s:is>
          <s:t>28,700</s:t>
        </s:is>
      </s:c>
      <s:c r="AE28" s="224" t="n">
        <s:v>0.1913055555555556</s:v>
      </s:c>
      <s:c r="AF28" s="225" t="n">
        <s:v>26.19369827210687</s:v>
      </s:c>
      <s:c r="AG28" s="229" t="n">
        <s:v>0.5787268010369886</s:v>
      </s:c>
      <s:c r="AH28" s="220" t="n">
        <s:v>18.2</s:v>
      </s:c>
      <s:c r="AI28" s="221" t="n">
        <s:v>1.097</s:v>
      </s:c>
      <s:c r="AJ28" s="221" t="n">
        <s:v>1.085</s:v>
      </s:c>
      <s:c r="AK28" s="222" t="n">
        <s:v>811.79</s:v>
      </s:c>
      <s:c r="AL28" s="222" t="n">
        <s:v>813.8099999999999</s:v>
      </s:c>
      <s:c r="AM28" s="230" t="n">
        <s:v>2.005</s:v>
      </s:c>
      <s:c r="AN28" s="223" t="inlineStr">
        <s:is>
          <s:t>7,20,480</s:t>
        </s:is>
      </s:c>
      <s:c r="AO28" s="224" t="inlineStr">
        <s:is>
          <s:t>7,</s:t>
        </s:is>
      </s:c>
      <s:c r="AP28" s="224" t="inlineStr">
        <s:is>
          <s:t>20,480</s:t>
        </s:is>
      </s:c>
      <s:c r="AQ28" s="224" t="n">
        <s:v>0.1223555555555556</s:v>
      </s:c>
      <s:c r="AR28" s="225" t="n">
        <s:v>16.38666908826734</s:v>
      </s:c>
      <s:c r="AS28" s="229" t="n">
        <s:v>0.7481296758095719</s:v>
      </s:c>
      <s:c r="AT28" s="231" t="inlineStr">
        <s:is>
          <s:t>CONFORME</s:t>
        </s:is>
      </s:c>
      <s:c r="AU28" s="232">
        <s:f>B28=C28</s:f>
        <s:v/>
      </s:c>
      <s:c r="AV28" s="233">
        <s:f>MID(G28,1,2)</s:f>
        <s:v/>
      </s:c>
      <s:c r="AW28" s="233">
        <s:f>LEN(G28)</s:f>
        <s:v/>
      </s:c>
      <s:c r="AX28" s="233" t="inlineStr">
        <s:is>
          <s:t>OI-0922-2025</s:t>
        </s:is>
      </s:c>
      <s:c r="AY28" s="233">
        <s:f>N28&lt;Y28</s:f>
        <s:v/>
      </s:c>
      <s:c r="AZ28" s="233">
        <s:f>Z28&lt;=AK28</s:f>
        <s:v/>
      </s:c>
      <s:c r="BA28" s="233">
        <s:f>L28&lt;K28</s:f>
        <s:v/>
      </s:c>
      <s:c r="BB28" s="233">
        <s:f>W28&gt;=X28</s:f>
        <s:v/>
      </s:c>
      <s:c r="BC28" s="233">
        <s:f>AI28&gt;=AJ28</s:f>
        <s:v/>
      </s:c>
      <s:c r="BD28" s="233">
        <s:f>IF(I28&gt;=1,"Qcorrecto",IF(AND(BE28="aceptable",BF28="aceptable",BG28="aceptable"),"Qcorrecto","Qincorrecto"))</s:f>
        <s:v/>
      </s:c>
      <s:c r="BE28" s="232">
        <s:f>IF(AR28&lt;$AH$6,"error",IF(AR28&gt;$AH$6*1.1,"error","aceptable"))</s:f>
        <s:v/>
      </s:c>
      <s:c r="BF28" s="232">
        <s:f>IF(AF28&lt;$V$6,"error",IF(AF28&gt;$V$6*1.1,"error","aceptable"))</s:f>
        <s:v/>
      </s:c>
      <s:c r="BG28" s="232">
        <s:f>IF(T28&lt;$J$6*0.9,"error",IF(T28&gt;$J$6,"error","aceptable"))</s:f>
        <s:v/>
      </s:c>
      <s:c r="BH28" s="234">
        <s:f>(IF(ABS(U28)&lt;1,"CONFORME",IF(ABS(AG28)&lt;1,"CONFORME",IF(ABS(AS28)&lt;2.5,"CONFORME","NO CONFORME"))))</s:f>
        <s:v/>
      </s:c>
      <s:c r="BI28" s="235">
        <s:f>(IF(ABS(U28)&gt;2.044,"NO CONFORME",IF(ABS(AG28)&gt;2.044,"NO CONFORME",IF(ABS(AS28)&gt;5.044,"NO CONFORME","CONFORME"))))</s:f>
        <s:v/>
      </s:c>
      <s:c r="BJ28" s="233">
        <s:f>SIGN(U28)</s:f>
        <s:v/>
      </s:c>
      <s:c r="BK28" s="233">
        <s:f>SIGN(AG28)</s:f>
        <s:v/>
      </s:c>
      <s:c r="BL28" s="233">
        <s:f>SIGN(AS28)</s:f>
        <s:v/>
      </s:c>
      <s:c r="BM28" s="233">
        <s:f>CONCATENATE(BJ28,BK28,BL28)</s:f>
        <s:v/>
      </s:c>
      <s:c r="BN28" s="233">
        <s:f>IF(BM28="111","SI","SD")</s:f>
        <s:v/>
      </s:c>
      <s:c r="BO28" s="233">
        <s:f>IF(BM28="-1-1-1","SI","SD")</s:f>
        <s:v/>
      </s:c>
      <s:c r="BP28" s="233">
        <s:f>OR(BN28="SI",BO28="SI")</s:f>
        <s:v/>
      </s:c>
      <s:c r="BQ28" s="233">
        <s:f>IF(BP28=FALSE,"SIGDIFERENTES","SIGIGUALES")</s:f>
        <s:v/>
      </s:c>
      <s:c r="BR28" s="236">
        <s:f>IF(BI28="NO CONFORME","NO CONFORME",IF(BH28="CONFORME","CONFORME","NO CONFORME"))</s:f>
        <s:v/>
      </s:c>
      <s:c r="BS28" s="233">
        <s:f>F28</s:f>
        <s:v/>
      </s:c>
      <s:c r="BT28" s="237">
        <s:f>G28</s:f>
        <s:v/>
      </s:c>
      <s:c r="BU28" s="233">
        <s:f>"20"&amp;+MID(G28,3,2)</s:f>
        <s:v/>
      </s:c>
      <s:c r="BV28" s="238">
        <s:f>C28</s:f>
        <s:v/>
      </s:c>
      <s:c r="BW28" s="233">
        <s:f>AT28</s:f>
        <s:v/>
      </s:c>
      <s:c r="BX28" s="238">
        <s:f>B28</s:f>
        <s:v/>
      </s:c>
      <s:c r="BY28" s="239">
        <s:f>H28</s:f>
        <s:v/>
      </s:c>
      <s:c r="BZ28" s="233">
        <s:f>IF(I28=0,"CONFORME","NO CONFORME")</s:f>
        <s:v/>
      </s:c>
      <s:c r="CA28" s="238">
        <s:f>C28</s:f>
        <s:v/>
      </s:c>
      <s:c r="CB28" s="240">
        <s:f>AH28</s:f>
        <s:v/>
      </s:c>
      <s:c r="CC28" s="241">
        <s:f>AR28</s:f>
        <s:v/>
      </s:c>
      <s:c r="CD28" s="240">
        <s:f>AI28</s:f>
        <s:v/>
      </s:c>
      <s:c r="CE28" s="240">
        <s:f>AJ28</s:f>
        <s:v/>
      </s:c>
      <s:c r="CF28" s="240">
        <s:f>AS28</s:f>
        <s:v/>
      </s:c>
      <s:c r="CG28" s="240">
        <s:f>V28</s:f>
        <s:v/>
      </s:c>
      <s:c r="CH28" s="241">
        <s:f>AF28</s:f>
        <s:v/>
      </s:c>
      <s:c r="CI28" s="240">
        <s:f>W28</s:f>
        <s:v/>
      </s:c>
      <s:c r="CJ28" s="240">
        <s:f>X28</s:f>
        <s:v/>
      </s:c>
      <s:c r="CK28" s="240">
        <s:f>AG28</s:f>
        <s:v/>
      </s:c>
      <s:c r="CL28" s="240">
        <s:f>J28</s:f>
        <s:v/>
      </s:c>
      <s:c r="CM28" s="241">
        <s:f>T28</s:f>
        <s:v/>
      </s:c>
      <s:c r="CN28" s="240">
        <s:f>K28</s:f>
        <s:v/>
      </s:c>
      <s:c r="CO28" s="240">
        <s:f>L28</s:f>
        <s:v/>
      </s:c>
      <s:c r="CP28" s="242">
        <s:f>U28</s:f>
        <s:v/>
      </s:c>
      <s:c r="CQ28" s="233">
        <s:f>AT28</s:f>
        <s:v/>
      </s:c>
    </s:row>
    <s:row r="29">
      <s:c r="A29" s="211" t="n">
        <s:v>12</s:v>
      </s:c>
      <s:c r="B29" s="212" t="n">
        <s:v>45901</s:v>
      </s:c>
      <s:c r="C29" s="213" t="n">
        <s:v>45901</s:v>
      </s:c>
      <s:c r="D29" s="214" t="n">
        <s:v>3</s:v>
      </s:c>
      <s:c r="E29" s="215" t="n">
        <s:v>13</s:v>
      </s:c>
      <s:c r="F29" s="216" t="inlineStr">
        <s:is>
          <s:t>VI-236504-2025</s:t>
        </s:is>
      </s:c>
      <s:c r="G29" s="217" t="inlineStr">
        <s:is>
          <s:t>QA25417820</s:t>
        </s:is>
      </s:c>
      <s:c r="H29" s="218" t="n">
        <s:v>16</s:v>
      </s:c>
      <s:c r="I29" s="219" t="n">
        <s:v>0</s:v>
      </s:c>
      <s:c r="J29" s="220" t="n">
        <s:v>18.4</s:v>
      </s:c>
      <s:c r="K29" s="221" t="n">
        <s:v>7.519</s:v>
      </s:c>
      <s:c r="L29" s="221" t="n">
        <s:v>1.171</s:v>
      </s:c>
      <s:c r="M29" s="222" t="n">
        <s:v>408.79</s:v>
      </s:c>
      <s:c r="N29" s="222" t="n">
        <s:v>508.29</s:v>
      </s:c>
      <s:c r="O29" s="222" t="n">
        <s:v>100.49</s:v>
      </s:c>
      <s:c r="P29" s="223" t="inlineStr">
        <s:is>
          <s:t>2,30,540</s:t>
        </s:is>
      </s:c>
      <s:c r="Q29" s="224" t="inlineStr">
        <s:is>
          <s:t>2</s:t>
        </s:is>
      </s:c>
      <s:c r="R29" s="224" t="inlineStr">
        <s:is>
          <s:t>30,540</s:t>
        </s:is>
      </s:c>
      <s:c r="S29" s="224" t="n">
        <s:v>0.04181666666666666</s:v>
      </s:c>
      <s:c r="T29" s="225" t="n">
        <s:v>2403.108808290156</s:v>
      </s:c>
      <s:c r="U29" s="226" t="n">
        <s:v>-0.9851726539954173</s:v>
      </s:c>
      <s:c r="V29" s="220" t="n">
        <s:v>18</s:v>
      </s:c>
      <s:c r="W29" s="221" t="n">
        <s:v>1.097</s:v>
      </s:c>
      <s:c r="X29" s="221" t="n">
        <s:v>1.082</s:v>
      </s:c>
      <s:c r="Y29" s="222" t="n">
        <s:v>521.15</s:v>
      </s:c>
      <s:c r="Z29" s="222" t="n">
        <s:v>526.1799999999999</s:v>
      </s:c>
      <s:c r="AA29" s="227" t="n">
        <s:v>5.011</s:v>
      </s:c>
      <s:c r="AB29" s="228" t="inlineStr">
        <s:is>
          <s:t>11,28,700</s:t>
        </s:is>
      </s:c>
      <s:c r="AC29" s="224" t="inlineStr">
        <s:is>
          <s:t>11</s:t>
        </s:is>
      </s:c>
      <s:c r="AD29" s="224" t="inlineStr">
        <s:is>
          <s:t>28,700</s:t>
        </s:is>
      </s:c>
      <s:c r="AE29" s="224" t="n">
        <s:v>0.1913055555555556</s:v>
      </s:c>
      <s:c r="AF29" s="225" t="n">
        <s:v>26.19369827210687</s:v>
      </s:c>
      <s:c r="AG29" s="229" t="n">
        <s:v>0.3791658351620953</s:v>
      </s:c>
      <s:c r="AH29" s="220" t="n">
        <s:v>18.2</s:v>
      </s:c>
      <s:c r="AI29" s="221" t="n">
        <s:v>1.097</s:v>
      </s:c>
      <s:c r="AJ29" s="221" t="n">
        <s:v>1.085</s:v>
      </s:c>
      <s:c r="AK29" s="222" t="n">
        <s:v>526.1799999999999</s:v>
      </s:c>
      <s:c r="AL29" s="222" t="n">
        <s:v>528.21</s:v>
      </s:c>
      <s:c r="AM29" s="230" t="n">
        <s:v>2.005</s:v>
      </s:c>
      <s:c r="AN29" s="223" t="inlineStr">
        <s:is>
          <s:t>7,20,480</s:t>
        </s:is>
      </s:c>
      <s:c r="AO29" s="224" t="inlineStr">
        <s:is>
          <s:t>7,</s:t>
        </s:is>
      </s:c>
      <s:c r="AP29" s="224" t="inlineStr">
        <s:is>
          <s:t>20,480</s:t>
        </s:is>
      </s:c>
      <s:c r="AQ29" s="224" t="n">
        <s:v>0.1223555555555556</s:v>
      </s:c>
      <s:c r="AR29" s="225" t="n">
        <s:v>16.38666908826734</s:v>
      </s:c>
      <s:c r="AS29" s="229" t="n">
        <s:v>1.246882793021771</s:v>
      </s:c>
      <s:c r="AT29" s="231" t="inlineStr">
        <s:is>
          <s:t>CONFORME</s:t>
        </s:is>
      </s:c>
      <s:c r="AU29" s="232">
        <s:f>B29=C29</s:f>
        <s:v/>
      </s:c>
      <s:c r="AV29" s="233">
        <s:f>MID(G29,1,2)</s:f>
        <s:v/>
      </s:c>
      <s:c r="AW29" s="233">
        <s:f>LEN(G29)</s:f>
        <s:v/>
      </s:c>
      <s:c r="AX29" s="233" t="inlineStr">
        <s:is>
          <s:t>OI-0922-2025</s:t>
        </s:is>
      </s:c>
      <s:c r="AY29" s="233">
        <s:f>N29&lt;Y29</s:f>
        <s:v/>
      </s:c>
      <s:c r="AZ29" s="233">
        <s:f>Z29&lt;=AK29</s:f>
        <s:v/>
      </s:c>
      <s:c r="BA29" s="233">
        <s:f>L29&lt;K29</s:f>
        <s:v/>
      </s:c>
      <s:c r="BB29" s="233">
        <s:f>W29&gt;=X29</s:f>
        <s:v/>
      </s:c>
      <s:c r="BC29" s="233">
        <s:f>AI29&gt;=AJ29</s:f>
        <s:v/>
      </s:c>
      <s:c r="BD29" s="233">
        <s:f>IF(I29&gt;=1,"Qcorrecto",IF(AND(BE29="aceptable",BF29="aceptable",BG29="aceptable"),"Qcorrecto","Qincorrecto"))</s:f>
        <s:v/>
      </s:c>
      <s:c r="BE29" s="232">
        <s:f>IF(AR29&lt;$AH$6,"error",IF(AR29&gt;$AH$6*1.1,"error","aceptable"))</s:f>
        <s:v/>
      </s:c>
      <s:c r="BF29" s="232">
        <s:f>IF(AF29&lt;$V$6,"error",IF(AF29&gt;$V$6*1.1,"error","aceptable"))</s:f>
        <s:v/>
      </s:c>
      <s:c r="BG29" s="232">
        <s:f>IF(T29&lt;$J$6*0.9,"error",IF(T29&gt;$J$6,"error","aceptable"))</s:f>
        <s:v/>
      </s:c>
      <s:c r="BH29" s="234">
        <s:f>(IF(ABS(U29)&lt;1,"CONFORME",IF(ABS(AG29)&lt;1,"CONFORME",IF(ABS(AS29)&lt;2.5,"CONFORME","NO CONFORME"))))</s:f>
        <s:v/>
      </s:c>
      <s:c r="BI29" s="235">
        <s:f>(IF(ABS(U29)&gt;2.044,"NO CONFORME",IF(ABS(AG29)&gt;2.044,"NO CONFORME",IF(ABS(AS29)&gt;5.044,"NO CONFORME","CONFORME"))))</s:f>
        <s:v/>
      </s:c>
      <s:c r="BJ29" s="233">
        <s:f>SIGN(U29)</s:f>
        <s:v/>
      </s:c>
      <s:c r="BK29" s="233">
        <s:f>SIGN(AG29)</s:f>
        <s:v/>
      </s:c>
      <s:c r="BL29" s="233">
        <s:f>SIGN(AS29)</s:f>
        <s:v/>
      </s:c>
      <s:c r="BM29" s="233">
        <s:f>CONCATENATE(BJ29,BK29,BL29)</s:f>
        <s:v/>
      </s:c>
      <s:c r="BN29" s="233">
        <s:f>IF(BM29="111","SI","SD")</s:f>
        <s:v/>
      </s:c>
      <s:c r="BO29" s="233">
        <s:f>IF(BM29="-1-1-1","SI","SD")</s:f>
        <s:v/>
      </s:c>
      <s:c r="BP29" s="233">
        <s:f>OR(BN29="SI",BO29="SI")</s:f>
        <s:v/>
      </s:c>
      <s:c r="BQ29" s="233">
        <s:f>IF(BP29=FALSE,"SIGDIFERENTES","SIGIGUALES")</s:f>
        <s:v/>
      </s:c>
      <s:c r="BR29" s="236">
        <s:f>IF(BI29="NO CONFORME","NO CONFORME",IF(BH29="CONFORME","CONFORME","NO CONFORME"))</s:f>
        <s:v/>
      </s:c>
      <s:c r="BS29" s="233">
        <s:f>F29</s:f>
        <s:v/>
      </s:c>
      <s:c r="BT29" s="237">
        <s:f>G29</s:f>
        <s:v/>
      </s:c>
      <s:c r="BU29" s="233">
        <s:f>"20"&amp;+MID(G29,3,2)</s:f>
        <s:v/>
      </s:c>
      <s:c r="BV29" s="238">
        <s:f>C29</s:f>
        <s:v/>
      </s:c>
      <s:c r="BW29" s="233">
        <s:f>AT29</s:f>
        <s:v/>
      </s:c>
      <s:c r="BX29" s="238">
        <s:f>B29</s:f>
        <s:v/>
      </s:c>
      <s:c r="BY29" s="239">
        <s:f>H29</s:f>
        <s:v/>
      </s:c>
      <s:c r="BZ29" s="233">
        <s:f>IF(I29=0,"CONFORME","NO CONFORME")</s:f>
        <s:v/>
      </s:c>
      <s:c r="CA29" s="238">
        <s:f>C29</s:f>
        <s:v/>
      </s:c>
      <s:c r="CB29" s="240">
        <s:f>AH29</s:f>
        <s:v/>
      </s:c>
      <s:c r="CC29" s="241">
        <s:f>AR29</s:f>
        <s:v/>
      </s:c>
      <s:c r="CD29" s="240">
        <s:f>AI29</s:f>
        <s:v/>
      </s:c>
      <s:c r="CE29" s="240">
        <s:f>AJ29</s:f>
        <s:v/>
      </s:c>
      <s:c r="CF29" s="240">
        <s:f>AS29</s:f>
        <s:v/>
      </s:c>
      <s:c r="CG29" s="240">
        <s:f>V29</s:f>
        <s:v/>
      </s:c>
      <s:c r="CH29" s="241">
        <s:f>AF29</s:f>
        <s:v/>
      </s:c>
      <s:c r="CI29" s="240">
        <s:f>W29</s:f>
        <s:v/>
      </s:c>
      <s:c r="CJ29" s="240">
        <s:f>X29</s:f>
        <s:v/>
      </s:c>
      <s:c r="CK29" s="240">
        <s:f>AG29</s:f>
        <s:v/>
      </s:c>
      <s:c r="CL29" s="240">
        <s:f>J29</s:f>
        <s:v/>
      </s:c>
      <s:c r="CM29" s="241">
        <s:f>T29</s:f>
        <s:v/>
      </s:c>
      <s:c r="CN29" s="240">
        <s:f>K29</s:f>
        <s:v/>
      </s:c>
      <s:c r="CO29" s="240">
        <s:f>L29</s:f>
        <s:v/>
      </s:c>
      <s:c r="CP29" s="242">
        <s:f>U29</s:f>
        <s:v/>
      </s:c>
      <s:c r="CQ29" s="233">
        <s:f>AT29</s:f>
        <s:v/>
      </s:c>
    </s:row>
    <s:row r="30">
      <s:c r="A30" s="211" t="n">
        <s:v>13</s:v>
      </s:c>
      <s:c r="B30" s="212" t="n">
        <s:v>45901</s:v>
      </s:c>
      <s:c r="C30" s="213" t="n">
        <s:v>45901</s:v>
      </s:c>
      <s:c r="D30" s="214" t="n">
        <s:v>3</s:v>
      </s:c>
      <s:c r="E30" s="215" t="n">
        <s:v>13</s:v>
      </s:c>
      <s:c r="F30" s="216" t="inlineStr">
        <s:is>
          <s:t>VI-236505-2025</s:t>
        </s:is>
      </s:c>
      <s:c r="G30" s="217" t="inlineStr">
        <s:is>
          <s:t>QA25417808</s:t>
        </s:is>
      </s:c>
      <s:c r="H30" s="218" t="n">
        <s:v>16</s:v>
      </s:c>
      <s:c r="I30" s="219" t="n">
        <s:v>0</s:v>
      </s:c>
      <s:c r="J30" s="220" t="n">
        <s:v>18.4</s:v>
      </s:c>
      <s:c r="K30" s="221" t="n">
        <s:v>7.514</s:v>
      </s:c>
      <s:c r="L30" s="221" t="n">
        <s:v>1.212</s:v>
      </s:c>
      <s:c r="M30" s="222" t="n">
        <s:v>731.47</s:v>
      </s:c>
      <s:c r="N30" s="222" t="n">
        <s:v>832.55</s:v>
      </s:c>
      <s:c r="O30" s="222" t="n">
        <s:v>100.51</s:v>
      </s:c>
      <s:c r="P30" s="223" t="inlineStr">
        <s:is>
          <s:t>2,30,780</s:t>
        </s:is>
      </s:c>
      <s:c r="Q30" s="224" t="inlineStr">
        <s:is>
          <s:t>2</s:t>
        </s:is>
      </s:c>
      <s:c r="R30" s="224" t="inlineStr">
        <s:is>
          <s:t>30,780</s:t>
        </s:is>
      </s:c>
      <s:c r="S30" s="224" t="n">
        <s:v>0.04188333333333333</s:v>
      </s:c>
      <s:c r="T30" s="225" t="n">
        <s:v>2399.761241543971</s:v>
      </s:c>
      <s:c r="U30" s="226" t="n">
        <s:v>0.5671077504725123</s:v>
      </s:c>
      <s:c r="V30" s="220" t="n">
        <s:v>18.2</s:v>
      </s:c>
      <s:c r="W30" s="221" t="n">
        <s:v>1.093</s:v>
      </s:c>
      <s:c r="X30" s="221" t="n">
        <s:v>1.081</s:v>
      </s:c>
      <s:c r="Y30" s="222" t="n">
        <s:v>843.49</s:v>
      </s:c>
      <s:c r="Z30" s="222" t="n">
        <s:v>848.54</s:v>
      </s:c>
      <s:c r="AA30" s="227" t="n">
        <s:v>5.015</s:v>
      </s:c>
      <s:c r="AB30" s="228" t="inlineStr">
        <s:is>
          <s:t>11,28,320</s:t>
        </s:is>
      </s:c>
      <s:c r="AC30" s="224" t="inlineStr">
        <s:is>
          <s:t>11</s:t>
        </s:is>
      </s:c>
      <s:c r="AD30" s="224" t="inlineStr">
        <s:is>
          <s:t>28,320</s:t>
        </s:is>
      </s:c>
      <s:c r="AE30" s="224" t="n">
        <s:v>0.1912</s:v>
      </s:c>
      <s:c r="AF30" s="225" t="n">
        <s:v>26.22907949790795</s:v>
      </s:c>
      <s:c r="AG30" s="229" t="n">
        <s:v>0.69790628115563</s:v>
      </s:c>
      <s:c r="AH30" s="220" t="n">
        <s:v>18.4</s:v>
      </s:c>
      <s:c r="AI30" s="221" t="n">
        <s:v>1.093</s:v>
      </s:c>
      <s:c r="AJ30" s="221" t="n">
        <s:v>1.083</s:v>
      </s:c>
      <s:c r="AK30" s="222" t="n">
        <s:v>848.54</s:v>
      </s:c>
      <s:c r="AL30" s="222" t="n">
        <s:v>850.51</s:v>
      </s:c>
      <s:c r="AM30" s="230" t="n">
        <s:v>2.008</s:v>
      </s:c>
      <s:c r="AN30" s="223" t="inlineStr">
        <s:is>
          <s:t>7,26,550</s:t>
        </s:is>
      </s:c>
      <s:c r="AO30" s="224" t="inlineStr">
        <s:is>
          <s:t>7,</s:t>
        </s:is>
      </s:c>
      <s:c r="AP30" s="224" t="inlineStr">
        <s:is>
          <s:t>26,550</s:t>
        </s:is>
      </s:c>
      <s:c r="AQ30" s="224" t="n">
        <s:v>0.1240416666666667</s:v>
      </s:c>
      <s:c r="AR30" s="225" t="n">
        <s:v>16.18810883439704</s:v>
      </s:c>
      <s:c r="AS30" s="229" t="n">
        <s:v>-1.892430278883104</s:v>
      </s:c>
      <s:c r="AT30" s="231" t="inlineStr">
        <s:is>
          <s:t>CONFORME</s:t>
        </s:is>
      </s:c>
      <s:c r="AU30" s="232">
        <s:f>B30=C30</s:f>
        <s:v/>
      </s:c>
      <s:c r="AV30" s="233">
        <s:f>MID(G30,1,2)</s:f>
        <s:v/>
      </s:c>
      <s:c r="AW30" s="233">
        <s:f>LEN(G30)</s:f>
        <s:v/>
      </s:c>
      <s:c r="AX30" s="233" t="inlineStr">
        <s:is>
          <s:t>OI-0922-2025</s:t>
        </s:is>
      </s:c>
      <s:c r="AY30" s="233">
        <s:f>N30&lt;Y30</s:f>
        <s:v/>
      </s:c>
      <s:c r="AZ30" s="233">
        <s:f>Z30&lt;=AK30</s:f>
        <s:v/>
      </s:c>
      <s:c r="BA30" s="233">
        <s:f>L30&lt;K30</s:f>
        <s:v/>
      </s:c>
      <s:c r="BB30" s="233">
        <s:f>W30&gt;=X30</s:f>
        <s:v/>
      </s:c>
      <s:c r="BC30" s="233">
        <s:f>AI30&gt;=AJ30</s:f>
        <s:v/>
      </s:c>
      <s:c r="BD30" s="233">
        <s:f>IF(I30&gt;=1,"Qcorrecto",IF(AND(BE30="aceptable",BF30="aceptable",BG30="aceptable"),"Qcorrecto","Qincorrecto"))</s:f>
        <s:v/>
      </s:c>
      <s:c r="BE30" s="232">
        <s:f>IF(AR30&lt;$AH$6,"error",IF(AR30&gt;$AH$6*1.1,"error","aceptable"))</s:f>
        <s:v/>
      </s:c>
      <s:c r="BF30" s="232">
        <s:f>IF(AF30&lt;$V$6,"error",IF(AF30&gt;$V$6*1.1,"error","aceptable"))</s:f>
        <s:v/>
      </s:c>
      <s:c r="BG30" s="232">
        <s:f>IF(T30&lt;$J$6*0.9,"error",IF(T30&gt;$J$6,"error","aceptable"))</s:f>
        <s:v/>
      </s:c>
      <s:c r="BH30" s="234">
        <s:f>(IF(ABS(U30)&lt;1,"CONFORME",IF(ABS(AG30)&lt;1,"CONFORME",IF(ABS(AS30)&lt;2.5,"CONFORME","NO CONFORME"))))</s:f>
        <s:v/>
      </s:c>
      <s:c r="BI30" s="235">
        <s:f>(IF(ABS(U30)&gt;2.044,"NO CONFORME",IF(ABS(AG30)&gt;2.044,"NO CONFORME",IF(ABS(AS30)&gt;5.044,"NO CONFORME","CONFORME"))))</s:f>
        <s:v/>
      </s:c>
      <s:c r="BJ30" s="233">
        <s:f>SIGN(U30)</s:f>
        <s:v/>
      </s:c>
      <s:c r="BK30" s="233">
        <s:f>SIGN(AG30)</s:f>
        <s:v/>
      </s:c>
      <s:c r="BL30" s="233">
        <s:f>SIGN(AS30)</s:f>
        <s:v/>
      </s:c>
      <s:c r="BM30" s="233">
        <s:f>CONCATENATE(BJ30,BK30,BL30)</s:f>
        <s:v/>
      </s:c>
      <s:c r="BN30" s="233">
        <s:f>IF(BM30="111","SI","SD")</s:f>
        <s:v/>
      </s:c>
      <s:c r="BO30" s="233">
        <s:f>IF(BM30="-1-1-1","SI","SD")</s:f>
        <s:v/>
      </s:c>
      <s:c r="BP30" s="233">
        <s:f>OR(BN30="SI",BO30="SI")</s:f>
        <s:v/>
      </s:c>
      <s:c r="BQ30" s="233">
        <s:f>IF(BP30=FALSE,"SIGDIFERENTES","SIGIGUALES")</s:f>
        <s:v/>
      </s:c>
      <s:c r="BR30" s="236">
        <s:f>IF(BI30="NO CONFORME","NO CONFORME",IF(BH30="CONFORME","CONFORME","NO CONFORME"))</s:f>
        <s:v/>
      </s:c>
      <s:c r="BS30" s="233">
        <s:f>F30</s:f>
        <s:v/>
      </s:c>
      <s:c r="BT30" s="237">
        <s:f>G30</s:f>
        <s:v/>
      </s:c>
      <s:c r="BU30" s="233">
        <s:f>"20"&amp;+MID(G30,3,2)</s:f>
        <s:v/>
      </s:c>
      <s:c r="BV30" s="238">
        <s:f>C30</s:f>
        <s:v/>
      </s:c>
      <s:c r="BW30" s="233">
        <s:f>AT30</s:f>
        <s:v/>
      </s:c>
      <s:c r="BX30" s="238">
        <s:f>B30</s:f>
        <s:v/>
      </s:c>
      <s:c r="BY30" s="239">
        <s:f>H30</s:f>
        <s:v/>
      </s:c>
      <s:c r="BZ30" s="233">
        <s:f>IF(I30=0,"CONFORME","NO CONFORME")</s:f>
        <s:v/>
      </s:c>
      <s:c r="CA30" s="238">
        <s:f>C30</s:f>
        <s:v/>
      </s:c>
      <s:c r="CB30" s="240">
        <s:f>AH30</s:f>
        <s:v/>
      </s:c>
      <s:c r="CC30" s="241">
        <s:f>AR30</s:f>
        <s:v/>
      </s:c>
      <s:c r="CD30" s="240">
        <s:f>AI30</s:f>
        <s:v/>
      </s:c>
      <s:c r="CE30" s="240">
        <s:f>AJ30</s:f>
        <s:v/>
      </s:c>
      <s:c r="CF30" s="240">
        <s:f>AS30</s:f>
        <s:v/>
      </s:c>
      <s:c r="CG30" s="240">
        <s:f>V30</s:f>
        <s:v/>
      </s:c>
      <s:c r="CH30" s="241">
        <s:f>AF30</s:f>
        <s:v/>
      </s:c>
      <s:c r="CI30" s="240">
        <s:f>W30</s:f>
        <s:v/>
      </s:c>
      <s:c r="CJ30" s="240">
        <s:f>X30</s:f>
        <s:v/>
      </s:c>
      <s:c r="CK30" s="240">
        <s:f>AG30</s:f>
        <s:v/>
      </s:c>
      <s:c r="CL30" s="240">
        <s:f>J30</s:f>
        <s:v/>
      </s:c>
      <s:c r="CM30" s="241">
        <s:f>T30</s:f>
        <s:v/>
      </s:c>
      <s:c r="CN30" s="240">
        <s:f>K30</s:f>
        <s:v/>
      </s:c>
      <s:c r="CO30" s="240">
        <s:f>L30</s:f>
        <s:v/>
      </s:c>
      <s:c r="CP30" s="242">
        <s:f>U30</s:f>
        <s:v/>
      </s:c>
      <s:c r="CQ30" s="233">
        <s:f>AT30</s:f>
        <s:v/>
      </s:c>
    </s:row>
    <s:row r="31">
      <s:c r="A31" s="211" t="n">
        <s:v>14</s:v>
      </s:c>
      <s:c r="B31" s="212" t="n">
        <s:v>45901</s:v>
      </s:c>
      <s:c r="C31" s="213" t="n">
        <s:v>45901</s:v>
      </s:c>
      <s:c r="D31" s="214" t="n">
        <s:v>3</s:v>
      </s:c>
      <s:c r="E31" s="215" t="n">
        <s:v>13</s:v>
      </s:c>
      <s:c r="F31" s="216" t="inlineStr">
        <s:is>
          <s:t>VI-236506-2025</s:t>
        </s:is>
      </s:c>
      <s:c r="G31" s="217" t="inlineStr">
        <s:is>
          <s:t>QA25417574</s:t>
        </s:is>
      </s:c>
      <s:c r="H31" s="218" t="n">
        <s:v>16</s:v>
      </s:c>
      <s:c r="I31" s="219" t="n">
        <s:v>0</s:v>
      </s:c>
      <s:c r="J31" s="220" t="n">
        <s:v>18.4</s:v>
      </s:c>
      <s:c r="K31" s="221" t="n">
        <s:v>7.514</s:v>
      </s:c>
      <s:c r="L31" s="221" t="n">
        <s:v>1.212</s:v>
      </s:c>
      <s:c r="M31" s="222" t="n">
        <s:v>391.77</s:v>
      </s:c>
      <s:c r="N31" s="222" t="n">
        <s:v>492.04</s:v>
      </s:c>
      <s:c r="O31" s="222" t="n">
        <s:v>100.51</s:v>
      </s:c>
      <s:c r="P31" s="223" t="inlineStr">
        <s:is>
          <s:t>2,30,780</s:t>
        </s:is>
      </s:c>
      <s:c r="Q31" s="224" t="inlineStr">
        <s:is>
          <s:t>2</s:t>
        </s:is>
      </s:c>
      <s:c r="R31" s="224" t="inlineStr">
        <s:is>
          <s:t>30,780</s:t>
        </s:is>
      </s:c>
      <s:c r="S31" s="224" t="n">
        <s:v>0.04188333333333333</s:v>
      </s:c>
      <s:c r="T31" s="225" t="n">
        <s:v>2399.761241543971</s:v>
      </s:c>
      <s:c r="U31" s="226" t="n">
        <s:v>-0.2387822107252676</s:v>
      </s:c>
      <s:c r="V31" s="220" t="n">
        <s:v>18.2</s:v>
      </s:c>
      <s:c r="W31" s="221" t="n">
        <s:v>1.093</s:v>
      </s:c>
      <s:c r="X31" s="221" t="n">
        <s:v>1.081</s:v>
      </s:c>
      <s:c r="Y31" s="222" t="n">
        <s:v>502.88</s:v>
      </s:c>
      <s:c r="Z31" s="222" t="n">
        <s:v>507.93</s:v>
      </s:c>
      <s:c r="AA31" s="227" t="n">
        <s:v>5.015</s:v>
      </s:c>
      <s:c r="AB31" s="228" t="inlineStr">
        <s:is>
          <s:t>11,28,320</s:t>
        </s:is>
      </s:c>
      <s:c r="AC31" s="224" t="inlineStr">
        <s:is>
          <s:t>11</s:t>
        </s:is>
      </s:c>
      <s:c r="AD31" s="224" t="inlineStr">
        <s:is>
          <s:t>28,320</s:t>
        </s:is>
      </s:c>
      <s:c r="AE31" s="224" t="n">
        <s:v>0.1912</s:v>
      </s:c>
      <s:c r="AF31" s="225" t="n">
        <s:v>26.22907949790795</s:v>
      </s:c>
      <s:c r="AG31" s="229" t="n">
        <s:v>0.6979062811567636</s:v>
      </s:c>
      <s:c r="AH31" s="220" t="n">
        <s:v>18.4</s:v>
      </s:c>
      <s:c r="AI31" s="221" t="n">
        <s:v>1.093</s:v>
      </s:c>
      <s:c r="AJ31" s="221" t="n">
        <s:v>1.083</s:v>
      </s:c>
      <s:c r="AK31" s="222" t="n">
        <s:v>507.93</s:v>
      </s:c>
      <s:c r="AL31" s="222" t="n">
        <s:v>509.9</s:v>
      </s:c>
      <s:c r="AM31" s="230" t="n">
        <s:v>2.008</s:v>
      </s:c>
      <s:c r="AN31" s="223" t="inlineStr">
        <s:is>
          <s:t>7,26,550</s:t>
        </s:is>
      </s:c>
      <s:c r="AO31" s="224" t="inlineStr">
        <s:is>
          <s:t>7,</s:t>
        </s:is>
      </s:c>
      <s:c r="AP31" s="224" t="inlineStr">
        <s:is>
          <s:t>26,550</s:t>
        </s:is>
      </s:c>
      <s:c r="AQ31" s="224" t="n">
        <s:v>0.1240416666666667</s:v>
      </s:c>
      <s:c r="AR31" s="225" t="n">
        <s:v>16.18810883439704</s:v>
      </s:c>
      <s:c r="AS31" s="229" t="n">
        <s:v>-1.892430278885935</s:v>
      </s:c>
      <s:c r="AT31" s="231" t="inlineStr">
        <s:is>
          <s:t>CONFORME</s:t>
        </s:is>
      </s:c>
      <s:c r="AU31" s="232">
        <s:f>B31=C31</s:f>
        <s:v/>
      </s:c>
      <s:c r="AV31" s="233">
        <s:f>MID(G31,1,2)</s:f>
        <s:v/>
      </s:c>
      <s:c r="AW31" s="233">
        <s:f>LEN(G31)</s:f>
        <s:v/>
      </s:c>
      <s:c r="AX31" s="233" t="inlineStr">
        <s:is>
          <s:t>OI-0922-2025</s:t>
        </s:is>
      </s:c>
      <s:c r="AY31" s="233">
        <s:f>N31&lt;Y31</s:f>
        <s:v/>
      </s:c>
      <s:c r="AZ31" s="233">
        <s:f>Z31&lt;=AK31</s:f>
        <s:v/>
      </s:c>
      <s:c r="BA31" s="233">
        <s:f>L31&lt;K31</s:f>
        <s:v/>
      </s:c>
      <s:c r="BB31" s="233">
        <s:f>W31&gt;=X31</s:f>
        <s:v/>
      </s:c>
      <s:c r="BC31" s="233">
        <s:f>AI31&gt;=AJ31</s:f>
        <s:v/>
      </s:c>
      <s:c r="BD31" s="233">
        <s:f>IF(I31&gt;=1,"Qcorrecto",IF(AND(BE31="aceptable",BF31="aceptable",BG31="aceptable"),"Qcorrecto","Qincorrecto"))</s:f>
        <s:v/>
      </s:c>
      <s:c r="BE31" s="232">
        <s:f>IF(AR31&lt;$AH$6,"error",IF(AR31&gt;$AH$6*1.1,"error","aceptable"))</s:f>
        <s:v/>
      </s:c>
      <s:c r="BF31" s="232">
        <s:f>IF(AF31&lt;$V$6,"error",IF(AF31&gt;$V$6*1.1,"error","aceptable"))</s:f>
        <s:v/>
      </s:c>
      <s:c r="BG31" s="232">
        <s:f>IF(T31&lt;$J$6*0.9,"error",IF(T31&gt;$J$6,"error","aceptable"))</s:f>
        <s:v/>
      </s:c>
      <s:c r="BH31" s="234">
        <s:f>(IF(ABS(U31)&lt;1,"CONFORME",IF(ABS(AG31)&lt;1,"CONFORME",IF(ABS(AS31)&lt;2.5,"CONFORME","NO CONFORME"))))</s:f>
        <s:v/>
      </s:c>
      <s:c r="BI31" s="235">
        <s:f>(IF(ABS(U31)&gt;2.044,"NO CONFORME",IF(ABS(AG31)&gt;2.044,"NO CONFORME",IF(ABS(AS31)&gt;5.044,"NO CONFORME","CONFORME"))))</s:f>
        <s:v/>
      </s:c>
      <s:c r="BJ31" s="233">
        <s:f>SIGN(U31)</s:f>
        <s:v/>
      </s:c>
      <s:c r="BK31" s="233">
        <s:f>SIGN(AG31)</s:f>
        <s:v/>
      </s:c>
      <s:c r="BL31" s="233">
        <s:f>SIGN(AS31)</s:f>
        <s:v/>
      </s:c>
      <s:c r="BM31" s="233">
        <s:f>CONCATENATE(BJ31,BK31,BL31)</s:f>
        <s:v/>
      </s:c>
      <s:c r="BN31" s="233">
        <s:f>IF(BM31="111","SI","SD")</s:f>
        <s:v/>
      </s:c>
      <s:c r="BO31" s="233">
        <s:f>IF(BM31="-1-1-1","SI","SD")</s:f>
        <s:v/>
      </s:c>
      <s:c r="BP31" s="233">
        <s:f>OR(BN31="SI",BO31="SI")</s:f>
        <s:v/>
      </s:c>
      <s:c r="BQ31" s="233">
        <s:f>IF(BP31=FALSE,"SIGDIFERENTES","SIGIGUALES")</s:f>
        <s:v/>
      </s:c>
      <s:c r="BR31" s="236">
        <s:f>IF(BI31="NO CONFORME","NO CONFORME",IF(BH31="CONFORME","CONFORME","NO CONFORME"))</s:f>
        <s:v/>
      </s:c>
      <s:c r="BS31" s="233">
        <s:f>F31</s:f>
        <s:v/>
      </s:c>
      <s:c r="BT31" s="237">
        <s:f>G31</s:f>
        <s:v/>
      </s:c>
      <s:c r="BU31" s="233">
        <s:f>"20"&amp;+MID(G31,3,2)</s:f>
        <s:v/>
      </s:c>
      <s:c r="BV31" s="238">
        <s:f>C31</s:f>
        <s:v/>
      </s:c>
      <s:c r="BW31" s="233">
        <s:f>AT31</s:f>
        <s:v/>
      </s:c>
      <s:c r="BX31" s="238">
        <s:f>B31</s:f>
        <s:v/>
      </s:c>
      <s:c r="BY31" s="239">
        <s:f>H31</s:f>
        <s:v/>
      </s:c>
      <s:c r="BZ31" s="233">
        <s:f>IF(I31=0,"CONFORME","NO CONFORME")</s:f>
        <s:v/>
      </s:c>
      <s:c r="CA31" s="238">
        <s:f>C31</s:f>
        <s:v/>
      </s:c>
      <s:c r="CB31" s="240">
        <s:f>AH31</s:f>
        <s:v/>
      </s:c>
      <s:c r="CC31" s="241">
        <s:f>AR31</s:f>
        <s:v/>
      </s:c>
      <s:c r="CD31" s="240">
        <s:f>AI31</s:f>
        <s:v/>
      </s:c>
      <s:c r="CE31" s="240">
        <s:f>AJ31</s:f>
        <s:v/>
      </s:c>
      <s:c r="CF31" s="240">
        <s:f>AS31</s:f>
        <s:v/>
      </s:c>
      <s:c r="CG31" s="240">
        <s:f>V31</s:f>
        <s:v/>
      </s:c>
      <s:c r="CH31" s="241">
        <s:f>AF31</s:f>
        <s:v/>
      </s:c>
      <s:c r="CI31" s="240">
        <s:f>W31</s:f>
        <s:v/>
      </s:c>
      <s:c r="CJ31" s="240">
        <s:f>X31</s:f>
        <s:v/>
      </s:c>
      <s:c r="CK31" s="240">
        <s:f>AG31</s:f>
        <s:v/>
      </s:c>
      <s:c r="CL31" s="240">
        <s:f>J31</s:f>
        <s:v/>
      </s:c>
      <s:c r="CM31" s="241">
        <s:f>T31</s:f>
        <s:v/>
      </s:c>
      <s:c r="CN31" s="240">
        <s:f>K31</s:f>
        <s:v/>
      </s:c>
      <s:c r="CO31" s="240">
        <s:f>L31</s:f>
        <s:v/>
      </s:c>
      <s:c r="CP31" s="242">
        <s:f>U31</s:f>
        <s:v/>
      </s:c>
      <s:c r="CQ31" s="233">
        <s:f>AT31</s:f>
        <s:v/>
      </s:c>
    </s:row>
    <s:row r="32">
      <s:c r="A32" s="211" t="n">
        <s:v>15</s:v>
      </s:c>
      <s:c r="B32" s="212" t="n">
        <s:v>45901</s:v>
      </s:c>
      <s:c r="C32" s="213" t="n">
        <s:v>45901</s:v>
      </s:c>
      <s:c r="D32" s="214" t="n">
        <s:v>3</s:v>
      </s:c>
      <s:c r="E32" s="215" t="n">
        <s:v>13</s:v>
      </s:c>
      <s:c r="F32" s="216" t="inlineStr">
        <s:is>
          <s:t>VI-236507-2025</s:t>
        </s:is>
      </s:c>
      <s:c r="G32" s="217" t="inlineStr">
        <s:is>
          <s:t>QA25417834</s:t>
        </s:is>
      </s:c>
      <s:c r="H32" s="218" t="n">
        <s:v>16</s:v>
      </s:c>
      <s:c r="I32" s="219" t="n">
        <s:v>0</s:v>
      </s:c>
      <s:c r="J32" s="220" t="n">
        <s:v>18.4</s:v>
      </s:c>
      <s:c r="K32" s="221" t="n">
        <s:v>7.514</s:v>
      </s:c>
      <s:c r="L32" s="221" t="n">
        <s:v>1.212</s:v>
      </s:c>
      <s:c r="M32" s="222" t="n">
        <s:v>432.35</s:v>
      </s:c>
      <s:c r="N32" s="222" t="n">
        <s:v>532.65</s:v>
      </s:c>
      <s:c r="O32" s="222" t="n">
        <s:v>100.51</s:v>
      </s:c>
      <s:c r="P32" s="223" t="inlineStr">
        <s:is>
          <s:t>2,30,780</s:t>
        </s:is>
      </s:c>
      <s:c r="Q32" s="224" t="inlineStr">
        <s:is>
          <s:t>2</s:t>
        </s:is>
      </s:c>
      <s:c r="R32" s="224" t="inlineStr">
        <s:is>
          <s:t>30,780</s:t>
        </s:is>
      </s:c>
      <s:c r="S32" s="224" t="n">
        <s:v>0.04188333333333333</s:v>
      </s:c>
      <s:c r="T32" s="225" t="n">
        <s:v>2399.761241543971</s:v>
      </s:c>
      <s:c r="U32" s="226" t="n">
        <s:v>-0.2089344343846887</s:v>
      </s:c>
      <s:c r="V32" s="220" t="n">
        <s:v>18.2</s:v>
      </s:c>
      <s:c r="W32" s="221" t="n">
        <s:v>1.093</s:v>
      </s:c>
      <s:c r="X32" s="221" t="n">
        <s:v>1.081</s:v>
      </s:c>
      <s:c r="Y32" s="222" t="n">
        <s:v>543.47</s:v>
      </s:c>
      <s:c r="Z32" s="222" t="n">
        <s:v>548.53</s:v>
      </s:c>
      <s:c r="AA32" s="227" t="n">
        <s:v>5.015</s:v>
      </s:c>
      <s:c r="AB32" s="228" t="inlineStr">
        <s:is>
          <s:t>11,28,320</s:t>
        </s:is>
      </s:c>
      <s:c r="AC32" s="224" t="inlineStr">
        <s:is>
          <s:t>11</s:t>
        </s:is>
      </s:c>
      <s:c r="AD32" s="224" t="inlineStr">
        <s:is>
          <s:t>28,320</s:t>
        </s:is>
      </s:c>
      <s:c r="AE32" s="224" t="n">
        <s:v>0.1912</s:v>
      </s:c>
      <s:c r="AF32" s="225" t="n">
        <s:v>26.22907949790795</s:v>
      </s:c>
      <s:c r="AG32" s="229" t="n">
        <s:v>0.8973080757716002</s:v>
      </s:c>
      <s:c r="AH32" s="220" t="n">
        <s:v>18.4</s:v>
      </s:c>
      <s:c r="AI32" s="221" t="n">
        <s:v>1.093</s:v>
      </s:c>
      <s:c r="AJ32" s="221" t="n">
        <s:v>1.083</s:v>
      </s:c>
      <s:c r="AK32" s="222" t="n">
        <s:v>548.53</s:v>
      </s:c>
      <s:c r="AL32" s="222" t="n">
        <s:v>550.53</s:v>
      </s:c>
      <s:c r="AM32" s="230" t="n">
        <s:v>2.008</s:v>
      </s:c>
      <s:c r="AN32" s="223" t="inlineStr">
        <s:is>
          <s:t>7,26,550</s:t>
        </s:is>
      </s:c>
      <s:c r="AO32" s="224" t="inlineStr">
        <s:is>
          <s:t>7,</s:t>
        </s:is>
      </s:c>
      <s:c r="AP32" s="224" t="inlineStr">
        <s:is>
          <s:t>26,550</s:t>
        </s:is>
      </s:c>
      <s:c r="AQ32" s="224" t="n">
        <s:v>0.1240416666666667</s:v>
      </s:c>
      <s:c r="AR32" s="225" t="n">
        <s:v>16.18810883439704</s:v>
      </s:c>
      <s:c r="AS32" s="229" t="n">
        <s:v>-0.3984063745019923</s:v>
      </s:c>
      <s:c r="AT32" s="231" t="inlineStr">
        <s:is>
          <s:t>CONFORME</s:t>
        </s:is>
      </s:c>
      <s:c r="AU32" s="232">
        <s:f>B32=C32</s:f>
        <s:v/>
      </s:c>
      <s:c r="AV32" s="233">
        <s:f>MID(G32,1,2)</s:f>
        <s:v/>
      </s:c>
      <s:c r="AW32" s="233">
        <s:f>LEN(G32)</s:f>
        <s:v/>
      </s:c>
      <s:c r="AX32" s="233" t="inlineStr">
        <s:is>
          <s:t>OI-0922-2025</s:t>
        </s:is>
      </s:c>
      <s:c r="AY32" s="233">
        <s:f>N32&lt;Y32</s:f>
        <s:v/>
      </s:c>
      <s:c r="AZ32" s="233">
        <s:f>Z32&lt;=AK32</s:f>
        <s:v/>
      </s:c>
      <s:c r="BA32" s="233">
        <s:f>L32&lt;K32</s:f>
        <s:v/>
      </s:c>
      <s:c r="BB32" s="233">
        <s:f>W32&gt;=X32</s:f>
        <s:v/>
      </s:c>
      <s:c r="BC32" s="233">
        <s:f>AI32&gt;=AJ32</s:f>
        <s:v/>
      </s:c>
      <s:c r="BD32" s="233">
        <s:f>IF(I32&gt;=1,"Qcorrecto",IF(AND(BE32="aceptable",BF32="aceptable",BG32="aceptable"),"Qcorrecto","Qincorrecto"))</s:f>
        <s:v/>
      </s:c>
      <s:c r="BE32" s="232">
        <s:f>IF(AR32&lt;$AH$6,"error",IF(AR32&gt;$AH$6*1.1,"error","aceptable"))</s:f>
        <s:v/>
      </s:c>
      <s:c r="BF32" s="232">
        <s:f>IF(AF32&lt;$V$6,"error",IF(AF32&gt;$V$6*1.1,"error","aceptable"))</s:f>
        <s:v/>
      </s:c>
      <s:c r="BG32" s="232">
        <s:f>IF(T32&lt;$J$6*0.9,"error",IF(T32&gt;$J$6,"error","aceptable"))</s:f>
        <s:v/>
      </s:c>
      <s:c r="BH32" s="234">
        <s:f>(IF(ABS(U32)&lt;1,"CONFORME",IF(ABS(AG32)&lt;1,"CONFORME",IF(ABS(AS32)&lt;2.5,"CONFORME","NO CONFORME"))))</s:f>
        <s:v/>
      </s:c>
      <s:c r="BI32" s="235">
        <s:f>(IF(ABS(U32)&gt;2.044,"NO CONFORME",IF(ABS(AG32)&gt;2.044,"NO CONFORME",IF(ABS(AS32)&gt;5.044,"NO CONFORME","CONFORME"))))</s:f>
        <s:v/>
      </s:c>
      <s:c r="BJ32" s="233">
        <s:f>SIGN(U32)</s:f>
        <s:v/>
      </s:c>
      <s:c r="BK32" s="233">
        <s:f>SIGN(AG32)</s:f>
        <s:v/>
      </s:c>
      <s:c r="BL32" s="233">
        <s:f>SIGN(AS32)</s:f>
        <s:v/>
      </s:c>
      <s:c r="BM32" s="233">
        <s:f>CONCATENATE(BJ32,BK32,BL32)</s:f>
        <s:v/>
      </s:c>
      <s:c r="BN32" s="233">
        <s:f>IF(BM32="111","SI","SD")</s:f>
        <s:v/>
      </s:c>
      <s:c r="BO32" s="233">
        <s:f>IF(BM32="-1-1-1","SI","SD")</s:f>
        <s:v/>
      </s:c>
      <s:c r="BP32" s="233">
        <s:f>OR(BN32="SI",BO32="SI")</s:f>
        <s:v/>
      </s:c>
      <s:c r="BQ32" s="233">
        <s:f>IF(BP32=FALSE,"SIGDIFERENTES","SIGIGUALES")</s:f>
        <s:v/>
      </s:c>
      <s:c r="BR32" s="236">
        <s:f>IF(BI32="NO CONFORME","NO CONFORME",IF(BH32="CONFORME","CONFORME","NO CONFORME"))</s:f>
        <s:v/>
      </s:c>
      <s:c r="BS32" s="233">
        <s:f>F32</s:f>
        <s:v/>
      </s:c>
      <s:c r="BT32" s="237">
        <s:f>G32</s:f>
        <s:v/>
      </s:c>
      <s:c r="BU32" s="233">
        <s:f>"20"&amp;+MID(G32,3,2)</s:f>
        <s:v/>
      </s:c>
      <s:c r="BV32" s="238">
        <s:f>C32</s:f>
        <s:v/>
      </s:c>
      <s:c r="BW32" s="233">
        <s:f>AT32</s:f>
        <s:v/>
      </s:c>
      <s:c r="BX32" s="238">
        <s:f>B32</s:f>
        <s:v/>
      </s:c>
      <s:c r="BY32" s="239">
        <s:f>H32</s:f>
        <s:v/>
      </s:c>
      <s:c r="BZ32" s="233">
        <s:f>IF(I32=0,"CONFORME","NO CONFORME")</s:f>
        <s:v/>
      </s:c>
      <s:c r="CA32" s="238">
        <s:f>C32</s:f>
        <s:v/>
      </s:c>
      <s:c r="CB32" s="240">
        <s:f>AH32</s:f>
        <s:v/>
      </s:c>
      <s:c r="CC32" s="241">
        <s:f>AR32</s:f>
        <s:v/>
      </s:c>
      <s:c r="CD32" s="240">
        <s:f>AI32</s:f>
        <s:v/>
      </s:c>
      <s:c r="CE32" s="240">
        <s:f>AJ32</s:f>
        <s:v/>
      </s:c>
      <s:c r="CF32" s="240">
        <s:f>AS32</s:f>
        <s:v/>
      </s:c>
      <s:c r="CG32" s="240">
        <s:f>V32</s:f>
        <s:v/>
      </s:c>
      <s:c r="CH32" s="241">
        <s:f>AF32</s:f>
        <s:v/>
      </s:c>
      <s:c r="CI32" s="240">
        <s:f>W32</s:f>
        <s:v/>
      </s:c>
      <s:c r="CJ32" s="240">
        <s:f>X32</s:f>
        <s:v/>
      </s:c>
      <s:c r="CK32" s="240">
        <s:f>AG32</s:f>
        <s:v/>
      </s:c>
      <s:c r="CL32" s="240">
        <s:f>J32</s:f>
        <s:v/>
      </s:c>
      <s:c r="CM32" s="241">
        <s:f>T32</s:f>
        <s:v/>
      </s:c>
      <s:c r="CN32" s="240">
        <s:f>K32</s:f>
        <s:v/>
      </s:c>
      <s:c r="CO32" s="240">
        <s:f>L32</s:f>
        <s:v/>
      </s:c>
      <s:c r="CP32" s="242">
        <s:f>U32</s:f>
        <s:v/>
      </s:c>
      <s:c r="CQ32" s="233">
        <s:f>AT32</s:f>
        <s:v/>
      </s:c>
    </s:row>
    <s:row r="33">
      <s:c r="A33" s="211" t="n">
        <s:v>16</s:v>
      </s:c>
      <s:c r="B33" s="212" t="n">
        <s:v>45901</s:v>
      </s:c>
      <s:c r="C33" s="213" t="n">
        <s:v>45901</s:v>
      </s:c>
      <s:c r="D33" s="214" t="n">
        <s:v>3</s:v>
      </s:c>
      <s:c r="E33" s="215" t="n">
        <s:v>13</s:v>
      </s:c>
      <s:c r="F33" s="216" t="inlineStr">
        <s:is>
          <s:t>VI-236508-2025</s:t>
        </s:is>
      </s:c>
      <s:c r="G33" s="217" t="inlineStr">
        <s:is>
          <s:t>QA25418222</s:t>
        </s:is>
      </s:c>
      <s:c r="H33" s="218" t="n">
        <s:v>16</s:v>
      </s:c>
      <s:c r="I33" s="219" t="n">
        <s:v>0</s:v>
      </s:c>
      <s:c r="J33" s="220" t="n">
        <s:v>18.4</s:v>
      </s:c>
      <s:c r="K33" s="221" t="n">
        <s:v>7.514</s:v>
      </s:c>
      <s:c r="L33" s="221" t="n">
        <s:v>1.212</s:v>
      </s:c>
      <s:c r="M33" s="222" t="n">
        <s:v>362.73</s:v>
      </s:c>
      <s:c r="N33" s="222" t="n">
        <s:v>463.12</s:v>
      </s:c>
      <s:c r="O33" s="222" t="n">
        <s:v>100.51</s:v>
      </s:c>
      <s:c r="P33" s="223" t="inlineStr">
        <s:is>
          <s:t>2,30,780</s:t>
        </s:is>
      </s:c>
      <s:c r="Q33" s="224" t="inlineStr">
        <s:is>
          <s:t>2</s:t>
        </s:is>
      </s:c>
      <s:c r="R33" s="224" t="inlineStr">
        <s:is>
          <s:t>30,780</s:t>
        </s:is>
      </s:c>
      <s:c r="S33" s="224" t="n">
        <s:v>0.04188333333333333</s:v>
      </s:c>
      <s:c r="T33" s="225" t="n">
        <s:v>2399.761241543971</s:v>
      </s:c>
      <s:c r="U33" s="226" t="n">
        <s:v>-0.1193911053626691</s:v>
      </s:c>
      <s:c r="V33" s="220" t="n">
        <s:v>18.2</s:v>
      </s:c>
      <s:c r="W33" s="221" t="n">
        <s:v>1.093</s:v>
      </s:c>
      <s:c r="X33" s="221" t="n">
        <s:v>1.081</s:v>
      </s:c>
      <s:c r="Y33" s="222" t="n">
        <s:v>473.99</s:v>
      </s:c>
      <s:c r="Z33" s="222" t="n">
        <s:v>478.98</s:v>
      </s:c>
      <s:c r="AA33" s="227" t="n">
        <s:v>5.015</s:v>
      </s:c>
      <s:c r="AB33" s="228" t="inlineStr">
        <s:is>
          <s:t>11,28,320</s:t>
        </s:is>
      </s:c>
      <s:c r="AC33" s="224" t="inlineStr">
        <s:is>
          <s:t>11</s:t>
        </s:is>
      </s:c>
      <s:c r="AD33" s="224" t="inlineStr">
        <s:is>
          <s:t>28,320</s:t>
        </s:is>
      </s:c>
      <s:c r="AE33" s="224" t="n">
        <s:v>0.1912</s:v>
      </s:c>
      <s:c r="AF33" s="225" t="n">
        <s:v>26.22907949790795</s:v>
      </s:c>
      <s:c r="AG33" s="229" t="n">
        <s:v>-0.4985044865401912</s:v>
      </s:c>
      <s:c r="AH33" s="220" t="n">
        <s:v>18.4</s:v>
      </s:c>
      <s:c r="AI33" s="221" t="n">
        <s:v>1.093</s:v>
      </s:c>
      <s:c r="AJ33" s="221" t="n">
        <s:v>1.083</s:v>
      </s:c>
      <s:c r="AK33" s="222" t="n">
        <s:v>478.98</s:v>
      </s:c>
      <s:c r="AL33" s="222" t="n">
        <s:v>480.93</s:v>
      </s:c>
      <s:c r="AM33" s="230" t="n">
        <s:v>2.008</s:v>
      </s:c>
      <s:c r="AN33" s="223" t="inlineStr">
        <s:is>
          <s:t>7,26,550</s:t>
        </s:is>
      </s:c>
      <s:c r="AO33" s="224" t="inlineStr">
        <s:is>
          <s:t>7,</s:t>
        </s:is>
      </s:c>
      <s:c r="AP33" s="224" t="inlineStr">
        <s:is>
          <s:t>26,550</s:t>
        </s:is>
      </s:c>
      <s:c r="AQ33" s="224" t="n">
        <s:v>0.1240416666666667</s:v>
      </s:c>
      <s:c r="AR33" s="225" t="n">
        <s:v>16.18810883439704</s:v>
      </s:c>
      <s:c r="AS33" s="229" t="n">
        <s:v>-2.888446215140009</s:v>
      </s:c>
      <s:c r="AT33" s="231" t="inlineStr">
        <s:is>
          <s:t>CONFORME</s:t>
        </s:is>
      </s:c>
      <s:c r="AU33" s="232">
        <s:f>B33=C33</s:f>
        <s:v/>
      </s:c>
      <s:c r="AV33" s="233">
        <s:f>MID(G33,1,2)</s:f>
        <s:v/>
      </s:c>
      <s:c r="AW33" s="233">
        <s:f>LEN(G33)</s:f>
        <s:v/>
      </s:c>
      <s:c r="AX33" s="233" t="inlineStr">
        <s:is>
          <s:t>OI-0922-2025</s:t>
        </s:is>
      </s:c>
      <s:c r="AY33" s="233">
        <s:f>N33&lt;Y33</s:f>
        <s:v/>
      </s:c>
      <s:c r="AZ33" s="233">
        <s:f>Z33&lt;=AK33</s:f>
        <s:v/>
      </s:c>
      <s:c r="BA33" s="233">
        <s:f>L33&lt;K33</s:f>
        <s:v/>
      </s:c>
      <s:c r="BB33" s="233">
        <s:f>W33&gt;=X33</s:f>
        <s:v/>
      </s:c>
      <s:c r="BC33" s="233">
        <s:f>AI33&gt;=AJ33</s:f>
        <s:v/>
      </s:c>
      <s:c r="BD33" s="233">
        <s:f>IF(I33&gt;=1,"Qcorrecto",IF(AND(BE33="aceptable",BF33="aceptable",BG33="aceptable"),"Qcorrecto","Qincorrecto"))</s:f>
        <s:v/>
      </s:c>
      <s:c r="BE33" s="232">
        <s:f>IF(AR33&lt;$AH$6,"error",IF(AR33&gt;$AH$6*1.1,"error","aceptable"))</s:f>
        <s:v/>
      </s:c>
      <s:c r="BF33" s="232">
        <s:f>IF(AF33&lt;$V$6,"error",IF(AF33&gt;$V$6*1.1,"error","aceptable"))</s:f>
        <s:v/>
      </s:c>
      <s:c r="BG33" s="232">
        <s:f>IF(T33&lt;$J$6*0.9,"error",IF(T33&gt;$J$6,"error","aceptable"))</s:f>
        <s:v/>
      </s:c>
      <s:c r="BH33" s="234">
        <s:f>(IF(ABS(U33)&lt;1,"CONFORME",IF(ABS(AG33)&lt;1,"CONFORME",IF(ABS(AS33)&lt;2.5,"CONFORME","NO CONFORME"))))</s:f>
        <s:v/>
      </s:c>
      <s:c r="BI33" s="235">
        <s:f>(IF(ABS(U33)&gt;2.044,"NO CONFORME",IF(ABS(AG33)&gt;2.044,"NO CONFORME",IF(ABS(AS33)&gt;5.044,"NO CONFORME","CONFORME"))))</s:f>
        <s:v/>
      </s:c>
      <s:c r="BJ33" s="233">
        <s:f>SIGN(U33)</s:f>
        <s:v/>
      </s:c>
      <s:c r="BK33" s="233">
        <s:f>SIGN(AG33)</s:f>
        <s:v/>
      </s:c>
      <s:c r="BL33" s="233">
        <s:f>SIGN(AS33)</s:f>
        <s:v/>
      </s:c>
      <s:c r="BM33" s="233">
        <s:f>CONCATENATE(BJ33,BK33,BL33)</s:f>
        <s:v/>
      </s:c>
      <s:c r="BN33" s="233">
        <s:f>IF(BM33="111","SI","SD")</s:f>
        <s:v/>
      </s:c>
      <s:c r="BO33" s="233">
        <s:f>IF(BM33="-1-1-1","SI","SD")</s:f>
        <s:v/>
      </s:c>
      <s:c r="BP33" s="233">
        <s:f>OR(BN33="SI",BO33="SI")</s:f>
        <s:v/>
      </s:c>
      <s:c r="BQ33" s="233">
        <s:f>IF(BP33=FALSE,"SIGDIFERENTES","SIGIGUALES")</s:f>
        <s:v/>
      </s:c>
      <s:c r="BR33" s="236">
        <s:f>IF(BI33="NO CONFORME","NO CONFORME",IF(BH33="CONFORME","CONFORME","NO CONFORME"))</s:f>
        <s:v/>
      </s:c>
      <s:c r="BS33" s="233">
        <s:f>F33</s:f>
        <s:v/>
      </s:c>
      <s:c r="BT33" s="237">
        <s:f>G33</s:f>
        <s:v/>
      </s:c>
      <s:c r="BU33" s="233">
        <s:f>"20"&amp;+MID(G33,3,2)</s:f>
        <s:v/>
      </s:c>
      <s:c r="BV33" s="238">
        <s:f>C33</s:f>
        <s:v/>
      </s:c>
      <s:c r="BW33" s="233">
        <s:f>AT33</s:f>
        <s:v/>
      </s:c>
      <s:c r="BX33" s="238">
        <s:f>B33</s:f>
        <s:v/>
      </s:c>
      <s:c r="BY33" s="239">
        <s:f>H33</s:f>
        <s:v/>
      </s:c>
      <s:c r="BZ33" s="233">
        <s:f>IF(I33=0,"CONFORME","NO CONFORME")</s:f>
        <s:v/>
      </s:c>
      <s:c r="CA33" s="238">
        <s:f>C33</s:f>
        <s:v/>
      </s:c>
      <s:c r="CB33" s="240">
        <s:f>AH33</s:f>
        <s:v/>
      </s:c>
      <s:c r="CC33" s="241">
        <s:f>AR33</s:f>
        <s:v/>
      </s:c>
      <s:c r="CD33" s="240">
        <s:f>AI33</s:f>
        <s:v/>
      </s:c>
      <s:c r="CE33" s="240">
        <s:f>AJ33</s:f>
        <s:v/>
      </s:c>
      <s:c r="CF33" s="240">
        <s:f>AS33</s:f>
        <s:v/>
      </s:c>
      <s:c r="CG33" s="240">
        <s:f>V33</s:f>
        <s:v/>
      </s:c>
      <s:c r="CH33" s="241">
        <s:f>AF33</s:f>
        <s:v/>
      </s:c>
      <s:c r="CI33" s="240">
        <s:f>W33</s:f>
        <s:v/>
      </s:c>
      <s:c r="CJ33" s="240">
        <s:f>X33</s:f>
        <s:v/>
      </s:c>
      <s:c r="CK33" s="240">
        <s:f>AG33</s:f>
        <s:v/>
      </s:c>
      <s:c r="CL33" s="240">
        <s:f>J33</s:f>
        <s:v/>
      </s:c>
      <s:c r="CM33" s="241">
        <s:f>T33</s:f>
        <s:v/>
      </s:c>
      <s:c r="CN33" s="240">
        <s:f>K33</s:f>
        <s:v/>
      </s:c>
      <s:c r="CO33" s="240">
        <s:f>L33</s:f>
        <s:v/>
      </s:c>
      <s:c r="CP33" s="242">
        <s:f>U33</s:f>
        <s:v/>
      </s:c>
      <s:c r="CQ33" s="233">
        <s:f>AT33</s:f>
        <s:v/>
      </s:c>
    </s:row>
    <s:row r="34">
      <s:c r="A34" s="211" t="n">
        <s:v>17</s:v>
      </s:c>
      <s:c r="B34" s="212" t="n">
        <s:v>45901</s:v>
      </s:c>
      <s:c r="C34" s="213" t="n">
        <s:v>45901</s:v>
      </s:c>
      <s:c r="D34" s="214" t="n">
        <s:v>3</s:v>
      </s:c>
      <s:c r="E34" s="215" t="n">
        <s:v>13</s:v>
      </s:c>
      <s:c r="F34" s="216" t="inlineStr">
        <s:is>
          <s:t>VI-236509-2025</s:t>
        </s:is>
      </s:c>
      <s:c r="G34" s="217" t="inlineStr">
        <s:is>
          <s:t>QA25417901</s:t>
        </s:is>
      </s:c>
      <s:c r="H34" s="218" t="n">
        <s:v>16</s:v>
      </s:c>
      <s:c r="I34" s="219" t="n">
        <s:v>0</s:v>
      </s:c>
      <s:c r="J34" s="220" t="n">
        <s:v>18.4</s:v>
      </s:c>
      <s:c r="K34" s="221" t="n">
        <s:v>7.514</s:v>
      </s:c>
      <s:c r="L34" s="221" t="n">
        <s:v>1.212</s:v>
      </s:c>
      <s:c r="M34" s="222" t="n">
        <s:v>337.76</s:v>
      </s:c>
      <s:c r="N34" s="222" t="n">
        <s:v>437.63</s:v>
      </s:c>
      <s:c r="O34" s="222" t="n">
        <s:v>100.51</s:v>
      </s:c>
      <s:c r="P34" s="223" t="inlineStr">
        <s:is>
          <s:t>2,30,780</s:t>
        </s:is>
      </s:c>
      <s:c r="Q34" s="224" t="inlineStr">
        <s:is>
          <s:t>2</s:t>
        </s:is>
      </s:c>
      <s:c r="R34" s="224" t="inlineStr">
        <s:is>
          <s:t>30,780</s:t>
        </s:is>
      </s:c>
      <s:c r="S34" s="224" t="n">
        <s:v>0.04188333333333333</s:v>
      </s:c>
      <s:c r="T34" s="225" t="n">
        <s:v>2399.761241543971</s:v>
      </s:c>
      <s:c r="U34" s="226" t="n">
        <s:v>-0.6367525619341364</s:v>
      </s:c>
      <s:c r="V34" s="220" t="n">
        <s:v>18.2</s:v>
      </s:c>
      <s:c r="W34" s="221" t="n">
        <s:v>1.093</s:v>
      </s:c>
      <s:c r="X34" s="221" t="n">
        <s:v>1.081</s:v>
      </s:c>
      <s:c r="Y34" s="222" t="n">
        <s:v>448.44</s:v>
      </s:c>
      <s:c r="Z34" s="222" t="n">
        <s:v>453.45</s:v>
      </s:c>
      <s:c r="AA34" s="227" t="n">
        <s:v>5.015</s:v>
      </s:c>
      <s:c r="AB34" s="228" t="inlineStr">
        <s:is>
          <s:t>11,28,320</s:t>
        </s:is>
      </s:c>
      <s:c r="AC34" s="224" t="inlineStr">
        <s:is>
          <s:t>11</s:t>
        </s:is>
      </s:c>
      <s:c r="AD34" s="224" t="inlineStr">
        <s:is>
          <s:t>28,320</s:t>
        </s:is>
      </s:c>
      <s:c r="AE34" s="224" t="n">
        <s:v>0.1912</s:v>
      </s:c>
      <s:c r="AF34" s="225" t="n">
        <s:v>26.22907949790795</s:v>
      </s:c>
      <s:c r="AG34" s="229" t="n">
        <s:v>-0.09970089730825075</s:v>
      </s:c>
      <s:c r="AH34" s="220" t="n">
        <s:v>18.4</s:v>
      </s:c>
      <s:c r="AI34" s="221" t="n">
        <s:v>1.093</s:v>
      </s:c>
      <s:c r="AJ34" s="221" t="n">
        <s:v>1.083</s:v>
      </s:c>
      <s:c r="AK34" s="222" t="n">
        <s:v>453.45</s:v>
      </s:c>
      <s:c r="AL34" s="222" t="n">
        <s:v>455.42</s:v>
      </s:c>
      <s:c r="AM34" s="230" t="n">
        <s:v>2.008</s:v>
      </s:c>
      <s:c r="AN34" s="223" t="inlineStr">
        <s:is>
          <s:t>7,26,550</s:t>
        </s:is>
      </s:c>
      <s:c r="AO34" s="224" t="inlineStr">
        <s:is>
          <s:t>7,</s:t>
        </s:is>
      </s:c>
      <s:c r="AP34" s="224" t="inlineStr">
        <s:is>
          <s:t>26,550</s:t>
        </s:is>
      </s:c>
      <s:c r="AQ34" s="224" t="n">
        <s:v>0.1240416666666667</s:v>
      </s:c>
      <s:c r="AR34" s="225" t="n">
        <s:v>16.18810883439704</s:v>
      </s:c>
      <s:c r="AS34" s="229" t="n">
        <s:v>-1.892430278883104</s:v>
      </s:c>
      <s:c r="AT34" s="231" t="inlineStr">
        <s:is>
          <s:t>CONFORME</s:t>
        </s:is>
      </s:c>
      <s:c r="AU34" s="232">
        <s:f>B34=C34</s:f>
        <s:v/>
      </s:c>
      <s:c r="AV34" s="233">
        <s:f>MID(G34,1,2)</s:f>
        <s:v/>
      </s:c>
      <s:c r="AW34" s="233">
        <s:f>LEN(G34)</s:f>
        <s:v/>
      </s:c>
      <s:c r="AX34" s="233" t="inlineStr">
        <s:is>
          <s:t>OI-0922-2025</s:t>
        </s:is>
      </s:c>
      <s:c r="AY34" s="233">
        <s:f>N34&lt;Y34</s:f>
        <s:v/>
      </s:c>
      <s:c r="AZ34" s="233">
        <s:f>Z34&lt;=AK34</s:f>
        <s:v/>
      </s:c>
      <s:c r="BA34" s="233">
        <s:f>L34&lt;K34</s:f>
        <s:v/>
      </s:c>
      <s:c r="BB34" s="233">
        <s:f>W34&gt;=X34</s:f>
        <s:v/>
      </s:c>
      <s:c r="BC34" s="233">
        <s:f>AI34&gt;=AJ34</s:f>
        <s:v/>
      </s:c>
      <s:c r="BD34" s="233">
        <s:f>IF(I34&gt;=1,"Qcorrecto",IF(AND(BE34="aceptable",BF34="aceptable",BG34="aceptable"),"Qcorrecto","Qincorrecto"))</s:f>
        <s:v/>
      </s:c>
      <s:c r="BE34" s="232">
        <s:f>IF(AR34&lt;$AH$6,"error",IF(AR34&gt;$AH$6*1.1,"error","aceptable"))</s:f>
        <s:v/>
      </s:c>
      <s:c r="BF34" s="232">
        <s:f>IF(AF34&lt;$V$6,"error",IF(AF34&gt;$V$6*1.1,"error","aceptable"))</s:f>
        <s:v/>
      </s:c>
      <s:c r="BG34" s="232">
        <s:f>IF(T34&lt;$J$6*0.9,"error",IF(T34&gt;$J$6,"error","aceptable"))</s:f>
        <s:v/>
      </s:c>
      <s:c r="BH34" s="234">
        <s:f>(IF(ABS(U34)&lt;1,"CONFORME",IF(ABS(AG34)&lt;1,"CONFORME",IF(ABS(AS34)&lt;2.5,"CONFORME","NO CONFORME"))))</s:f>
        <s:v/>
      </s:c>
      <s:c r="BI34" s="235">
        <s:f>(IF(ABS(U34)&gt;2.044,"NO CONFORME",IF(ABS(AG34)&gt;2.044,"NO CONFORME",IF(ABS(AS34)&gt;5.044,"NO CONFORME","CONFORME"))))</s:f>
        <s:v/>
      </s:c>
      <s:c r="BJ34" s="233">
        <s:f>SIGN(U34)</s:f>
        <s:v/>
      </s:c>
      <s:c r="BK34" s="233">
        <s:f>SIGN(AG34)</s:f>
        <s:v/>
      </s:c>
      <s:c r="BL34" s="233">
        <s:f>SIGN(AS34)</s:f>
        <s:v/>
      </s:c>
      <s:c r="BM34" s="233">
        <s:f>CONCATENATE(BJ34,BK34,BL34)</s:f>
        <s:v/>
      </s:c>
      <s:c r="BN34" s="233">
        <s:f>IF(BM34="111","SI","SD")</s:f>
        <s:v/>
      </s:c>
      <s:c r="BO34" s="233">
        <s:f>IF(BM34="-1-1-1","SI","SD")</s:f>
        <s:v/>
      </s:c>
      <s:c r="BP34" s="233">
        <s:f>OR(BN34="SI",BO34="SI")</s:f>
        <s:v/>
      </s:c>
      <s:c r="BQ34" s="233">
        <s:f>IF(BP34=FALSE,"SIGDIFERENTES","SIGIGUALES")</s:f>
        <s:v/>
      </s:c>
      <s:c r="BR34" s="236">
        <s:f>IF(BI34="NO CONFORME","NO CONFORME",IF(BH34="CONFORME","CONFORME","NO CONFORME"))</s:f>
        <s:v/>
      </s:c>
      <s:c r="BS34" s="233">
        <s:f>F34</s:f>
        <s:v/>
      </s:c>
      <s:c r="BT34" s="237">
        <s:f>G34</s:f>
        <s:v/>
      </s:c>
      <s:c r="BU34" s="233">
        <s:f>"20"&amp;+MID(G34,3,2)</s:f>
        <s:v/>
      </s:c>
      <s:c r="BV34" s="238">
        <s:f>C34</s:f>
        <s:v/>
      </s:c>
      <s:c r="BW34" s="233">
        <s:f>AT34</s:f>
        <s:v/>
      </s:c>
      <s:c r="BX34" s="238">
        <s:f>B34</s:f>
        <s:v/>
      </s:c>
      <s:c r="BY34" s="239">
        <s:f>H34</s:f>
        <s:v/>
      </s:c>
      <s:c r="BZ34" s="233">
        <s:f>IF(I34=0,"CONFORME","NO CONFORME")</s:f>
        <s:v/>
      </s:c>
      <s:c r="CA34" s="238">
        <s:f>C34</s:f>
        <s:v/>
      </s:c>
      <s:c r="CB34" s="240">
        <s:f>AH34</s:f>
        <s:v/>
      </s:c>
      <s:c r="CC34" s="241">
        <s:f>AR34</s:f>
        <s:v/>
      </s:c>
      <s:c r="CD34" s="240">
        <s:f>AI34</s:f>
        <s:v/>
      </s:c>
      <s:c r="CE34" s="240">
        <s:f>AJ34</s:f>
        <s:v/>
      </s:c>
      <s:c r="CF34" s="240">
        <s:f>AS34</s:f>
        <s:v/>
      </s:c>
      <s:c r="CG34" s="240">
        <s:f>V34</s:f>
        <s:v/>
      </s:c>
      <s:c r="CH34" s="241">
        <s:f>AF34</s:f>
        <s:v/>
      </s:c>
      <s:c r="CI34" s="240">
        <s:f>W34</s:f>
        <s:v/>
      </s:c>
      <s:c r="CJ34" s="240">
        <s:f>X34</s:f>
        <s:v/>
      </s:c>
      <s:c r="CK34" s="240">
        <s:f>AG34</s:f>
        <s:v/>
      </s:c>
      <s:c r="CL34" s="240">
        <s:f>J34</s:f>
        <s:v/>
      </s:c>
      <s:c r="CM34" s="241">
        <s:f>T34</s:f>
        <s:v/>
      </s:c>
      <s:c r="CN34" s="240">
        <s:f>K34</s:f>
        <s:v/>
      </s:c>
      <s:c r="CO34" s="240">
        <s:f>L34</s:f>
        <s:v/>
      </s:c>
      <s:c r="CP34" s="242">
        <s:f>U34</s:f>
        <s:v/>
      </s:c>
      <s:c r="CQ34" s="233">
        <s:f>AT34</s:f>
        <s:v/>
      </s:c>
    </s:row>
    <s:row r="35">
      <s:c r="A35" s="211" t="n">
        <s:v>18</s:v>
      </s:c>
      <s:c r="B35" s="212" t="n">
        <s:v>45901</s:v>
      </s:c>
      <s:c r="C35" s="213" t="n">
        <s:v>45901</s:v>
      </s:c>
      <s:c r="D35" s="214" t="n">
        <s:v>3</s:v>
      </s:c>
      <s:c r="E35" s="215" t="n">
        <s:v>13</s:v>
      </s:c>
      <s:c r="F35" s="216" t="inlineStr">
        <s:is>
          <s:t>VI-236510-2025</s:t>
        </s:is>
      </s:c>
      <s:c r="G35" s="217" t="inlineStr">
        <s:is>
          <s:t>QA25417571</s:t>
        </s:is>
      </s:c>
      <s:c r="H35" s="218" t="n">
        <s:v>16</s:v>
      </s:c>
      <s:c r="I35" s="219" t="n">
        <s:v>0</s:v>
      </s:c>
      <s:c r="J35" s="220" t="n">
        <s:v>18.4</s:v>
      </s:c>
      <s:c r="K35" s="221" t="n">
        <s:v>7.514</s:v>
      </s:c>
      <s:c r="L35" s="221" t="n">
        <s:v>1.212</s:v>
      </s:c>
      <s:c r="M35" s="222" t="n">
        <s:v>467.15</s:v>
      </s:c>
      <s:c r="N35" s="222" t="n">
        <s:v>568.11</s:v>
      </s:c>
      <s:c r="O35" s="222" t="n">
        <s:v>100.51</s:v>
      </s:c>
      <s:c r="P35" s="223" t="inlineStr">
        <s:is>
          <s:t>2,30,780</s:t>
        </s:is>
      </s:c>
      <s:c r="Q35" s="224" t="inlineStr">
        <s:is>
          <s:t>2</s:t>
        </s:is>
      </s:c>
      <s:c r="R35" s="224" t="inlineStr">
        <s:is>
          <s:t>30,780</s:t>
        </s:is>
      </s:c>
      <s:c r="S35" s="224" t="n">
        <s:v>0.04188333333333333</s:v>
      </s:c>
      <s:c r="T35" s="225" t="n">
        <s:v>2399.761241543971</s:v>
      </s:c>
      <s:c r="U35" s="226" t="n">
        <s:v>0.4477166451099704</s:v>
      </s:c>
      <s:c r="V35" s="220" t="n">
        <s:v>18.2</s:v>
      </s:c>
      <s:c r="W35" s="221" t="n">
        <s:v>1.093</s:v>
      </s:c>
      <s:c r="X35" s="221" t="n">
        <s:v>1.081</s:v>
      </s:c>
      <s:c r="Y35" s="222" t="n">
        <s:v>579.03</s:v>
      </s:c>
      <s:c r="Z35" s="222" t="n">
        <s:v>584.12</s:v>
      </s:c>
      <s:c r="AA35" s="227" t="n">
        <s:v>5.015</s:v>
      </s:c>
      <s:c r="AB35" s="228" t="inlineStr">
        <s:is>
          <s:t>11,28,320</s:t>
        </s:is>
      </s:c>
      <s:c r="AC35" s="224" t="inlineStr">
        <s:is>
          <s:t>11</s:t>
        </s:is>
      </s:c>
      <s:c r="AD35" s="224" t="inlineStr">
        <s:is>
          <s:t>28,320</s:t>
        </s:is>
      </s:c>
      <s:c r="AE35" s="224" t="n">
        <s:v>0.1912</s:v>
      </s:c>
      <s:c r="AF35" s="225" t="n">
        <s:v>26.22907949790795</s:v>
      </s:c>
      <s:c r="AG35" s="229" t="n">
        <s:v>1.495513459621778</s:v>
      </s:c>
      <s:c r="AH35" s="220" t="n">
        <s:v>18.4</s:v>
      </s:c>
      <s:c r="AI35" s="221" t="n">
        <s:v>1.093</s:v>
      </s:c>
      <s:c r="AJ35" s="221" t="n">
        <s:v>1.083</s:v>
      </s:c>
      <s:c r="AK35" s="222" t="n">
        <s:v>584.12</s:v>
      </s:c>
      <s:c r="AL35" s="222" t="n">
        <s:v>586.13</s:v>
      </s:c>
      <s:c r="AM35" s="230" t="n">
        <s:v>2.008</s:v>
      </s:c>
      <s:c r="AN35" s="223" t="inlineStr">
        <s:is>
          <s:t>7,26,550</s:t>
        </s:is>
      </s:c>
      <s:c r="AO35" s="224" t="inlineStr">
        <s:is>
          <s:t>7,</s:t>
        </s:is>
      </s:c>
      <s:c r="AP35" s="224" t="inlineStr">
        <s:is>
          <s:t>26,550</s:t>
        </s:is>
      </s:c>
      <s:c r="AQ35" s="224" t="n">
        <s:v>0.1240416666666667</s:v>
      </s:c>
      <s:c r="AR35" s="225" t="n">
        <s:v>16.18810883439704</s:v>
      </s:c>
      <s:c r="AS35" s="229" t="n">
        <s:v>0.09960159362504473</s:v>
      </s:c>
      <s:c r="AT35" s="231" t="inlineStr">
        <s:is>
          <s:t>CONFORME</s:t>
        </s:is>
      </s:c>
      <s:c r="AU35" s="232">
        <s:f>B35=C35</s:f>
        <s:v/>
      </s:c>
      <s:c r="AV35" s="233">
        <s:f>MID(G35,1,2)</s:f>
        <s:v/>
      </s:c>
      <s:c r="AW35" s="233">
        <s:f>LEN(G35)</s:f>
        <s:v/>
      </s:c>
      <s:c r="AX35" s="233" t="inlineStr">
        <s:is>
          <s:t>OI-0922-2025</s:t>
        </s:is>
      </s:c>
      <s:c r="AY35" s="233">
        <s:f>N35&lt;Y35</s:f>
        <s:v/>
      </s:c>
      <s:c r="AZ35" s="233">
        <s:f>Z35&lt;=AK35</s:f>
        <s:v/>
      </s:c>
      <s:c r="BA35" s="233">
        <s:f>L35&lt;K35</s:f>
        <s:v/>
      </s:c>
      <s:c r="BB35" s="233">
        <s:f>W35&gt;=X35</s:f>
        <s:v/>
      </s:c>
      <s:c r="BC35" s="233">
        <s:f>AI35&gt;=AJ35</s:f>
        <s:v/>
      </s:c>
      <s:c r="BD35" s="233">
        <s:f>IF(I35&gt;=1,"Qcorrecto",IF(AND(BE35="aceptable",BF35="aceptable",BG35="aceptable"),"Qcorrecto","Qincorrecto"))</s:f>
        <s:v/>
      </s:c>
      <s:c r="BE35" s="232">
        <s:f>IF(AR35&lt;$AH$6,"error",IF(AR35&gt;$AH$6*1.1,"error","aceptable"))</s:f>
        <s:v/>
      </s:c>
      <s:c r="BF35" s="232">
        <s:f>IF(AF35&lt;$V$6,"error",IF(AF35&gt;$V$6*1.1,"error","aceptable"))</s:f>
        <s:v/>
      </s:c>
      <s:c r="BG35" s="232">
        <s:f>IF(T35&lt;$J$6*0.9,"error",IF(T35&gt;$J$6,"error","aceptable"))</s:f>
        <s:v/>
      </s:c>
      <s:c r="BH35" s="234">
        <s:f>(IF(ABS(U35)&lt;1,"CONFORME",IF(ABS(AG35)&lt;1,"CONFORME",IF(ABS(AS35)&lt;2.5,"CONFORME","NO CONFORME"))))</s:f>
        <s:v/>
      </s:c>
      <s:c r="BI35" s="235">
        <s:f>(IF(ABS(U35)&gt;2.044,"NO CONFORME",IF(ABS(AG35)&gt;2.044,"NO CONFORME",IF(ABS(AS35)&gt;5.044,"NO CONFORME","CONFORME"))))</s:f>
        <s:v/>
      </s:c>
      <s:c r="BJ35" s="233">
        <s:f>SIGN(U35)</s:f>
        <s:v/>
      </s:c>
      <s:c r="BK35" s="233">
        <s:f>SIGN(AG35)</s:f>
        <s:v/>
      </s:c>
      <s:c r="BL35" s="233">
        <s:f>SIGN(AS35)</s:f>
        <s:v/>
      </s:c>
      <s:c r="BM35" s="233">
        <s:f>CONCATENATE(BJ35,BK35,BL35)</s:f>
        <s:v/>
      </s:c>
      <s:c r="BN35" s="233">
        <s:f>IF(BM35="111","SI","SD")</s:f>
        <s:v/>
      </s:c>
      <s:c r="BO35" s="233">
        <s:f>IF(BM35="-1-1-1","SI","SD")</s:f>
        <s:v/>
      </s:c>
      <s:c r="BP35" s="233">
        <s:f>OR(BN35="SI",BO35="SI")</s:f>
        <s:v/>
      </s:c>
      <s:c r="BQ35" s="233">
        <s:f>IF(BP35=FALSE,"SIGDIFERENTES","SIGIGUALES")</s:f>
        <s:v/>
      </s:c>
      <s:c r="BR35" s="236">
        <s:f>IF(BI35="NO CONFORME","NO CONFORME",IF(BH35="CONFORME","CONFORME","NO CONFORME"))</s:f>
        <s:v/>
      </s:c>
      <s:c r="BS35" s="233">
        <s:f>F35</s:f>
        <s:v/>
      </s:c>
      <s:c r="BT35" s="237">
        <s:f>G35</s:f>
        <s:v/>
      </s:c>
      <s:c r="BU35" s="233">
        <s:f>"20"&amp;+MID(G35,3,2)</s:f>
        <s:v/>
      </s:c>
      <s:c r="BV35" s="238">
        <s:f>C35</s:f>
        <s:v/>
      </s:c>
      <s:c r="BW35" s="233">
        <s:f>AT35</s:f>
        <s:v/>
      </s:c>
      <s:c r="BX35" s="238">
        <s:f>B35</s:f>
        <s:v/>
      </s:c>
      <s:c r="BY35" s="239">
        <s:f>H35</s:f>
        <s:v/>
      </s:c>
      <s:c r="BZ35" s="233">
        <s:f>IF(I35=0,"CONFORME","NO CONFORME")</s:f>
        <s:v/>
      </s:c>
      <s:c r="CA35" s="238">
        <s:f>C35</s:f>
        <s:v/>
      </s:c>
      <s:c r="CB35" s="240">
        <s:f>AH35</s:f>
        <s:v/>
      </s:c>
      <s:c r="CC35" s="241">
        <s:f>AR35</s:f>
        <s:v/>
      </s:c>
      <s:c r="CD35" s="240">
        <s:f>AI35</s:f>
        <s:v/>
      </s:c>
      <s:c r="CE35" s="240">
        <s:f>AJ35</s:f>
        <s:v/>
      </s:c>
      <s:c r="CF35" s="240">
        <s:f>AS35</s:f>
        <s:v/>
      </s:c>
      <s:c r="CG35" s="240">
        <s:f>V35</s:f>
        <s:v/>
      </s:c>
      <s:c r="CH35" s="241">
        <s:f>AF35</s:f>
        <s:v/>
      </s:c>
      <s:c r="CI35" s="240">
        <s:f>W35</s:f>
        <s:v/>
      </s:c>
      <s:c r="CJ35" s="240">
        <s:f>X35</s:f>
        <s:v/>
      </s:c>
      <s:c r="CK35" s="240">
        <s:f>AG35</s:f>
        <s:v/>
      </s:c>
      <s:c r="CL35" s="240">
        <s:f>J35</s:f>
        <s:v/>
      </s:c>
      <s:c r="CM35" s="241">
        <s:f>T35</s:f>
        <s:v/>
      </s:c>
      <s:c r="CN35" s="240">
        <s:f>K35</s:f>
        <s:v/>
      </s:c>
      <s:c r="CO35" s="240">
        <s:f>L35</s:f>
        <s:v/>
      </s:c>
      <s:c r="CP35" s="242">
        <s:f>U35</s:f>
        <s:v/>
      </s:c>
      <s:c r="CQ35" s="233">
        <s:f>AT35</s:f>
        <s:v/>
      </s:c>
    </s:row>
    <s:row r="36">
      <s:c r="A36" s="211" t="n">
        <s:v>19</s:v>
      </s:c>
      <s:c r="B36" s="212" t="n">
        <s:v>45901</s:v>
      </s:c>
      <s:c r="C36" s="213" t="n">
        <s:v>45901</s:v>
      </s:c>
      <s:c r="D36" s="214" t="n">
        <s:v>3</s:v>
      </s:c>
      <s:c r="E36" s="215" t="n">
        <s:v>13</s:v>
      </s:c>
      <s:c r="F36" s="216" t="inlineStr">
        <s:is>
          <s:t>VI-236511-2025</s:t>
        </s:is>
      </s:c>
      <s:c r="G36" s="217" t="inlineStr">
        <s:is>
          <s:t>QA25418009</s:t>
        </s:is>
      </s:c>
      <s:c r="H36" s="218" t="n">
        <s:v>16</s:v>
      </s:c>
      <s:c r="I36" s="219" t="n">
        <s:v>0</s:v>
      </s:c>
      <s:c r="J36" s="220" t="n">
        <s:v>18.4</s:v>
      </s:c>
      <s:c r="K36" s="221" t="n">
        <s:v>7.514</s:v>
      </s:c>
      <s:c r="L36" s="221" t="n">
        <s:v>1.212</s:v>
      </s:c>
      <s:c r="M36" s="222" t="n">
        <s:v>320.51</s:v>
      </s:c>
      <s:c r="N36" s="222" t="n">
        <s:v>421.22</s:v>
      </s:c>
      <s:c r="O36" s="222" t="n">
        <s:v>100.51</s:v>
      </s:c>
      <s:c r="P36" s="223" t="inlineStr">
        <s:is>
          <s:t>2,30,780</s:t>
        </s:is>
      </s:c>
      <s:c r="Q36" s="224" t="inlineStr">
        <s:is>
          <s:t>2</s:t>
        </s:is>
      </s:c>
      <s:c r="R36" s="224" t="inlineStr">
        <s:is>
          <s:t>30,780</s:t>
        </s:is>
      </s:c>
      <s:c r="S36" s="224" t="n">
        <s:v>0.04188333333333333</s:v>
      </s:c>
      <s:c r="T36" s="225" t="n">
        <s:v>2399.761241543971</s:v>
      </s:c>
      <s:c r="U36" s="226" t="n">
        <s:v>0.1989851756044486</s:v>
      </s:c>
      <s:c r="V36" s="220" t="n">
        <s:v>18.2</s:v>
      </s:c>
      <s:c r="W36" s="221" t="n">
        <s:v>1.093</s:v>
      </s:c>
      <s:c r="X36" s="221" t="n">
        <s:v>1.081</s:v>
      </s:c>
      <s:c r="Y36" s="222" t="n">
        <s:v>432.14</s:v>
      </s:c>
      <s:c r="Z36" s="222" t="n">
        <s:v>437.23</s:v>
      </s:c>
      <s:c r="AA36" s="227" t="n">
        <s:v>5.015</s:v>
      </s:c>
      <s:c r="AB36" s="228" t="inlineStr">
        <s:is>
          <s:t>11,28,320</s:t>
        </s:is>
      </s:c>
      <s:c r="AC36" s="224" t="inlineStr">
        <s:is>
          <s:t>11</s:t>
        </s:is>
      </s:c>
      <s:c r="AD36" s="224" t="inlineStr">
        <s:is>
          <s:t>28,320</s:t>
        </s:is>
      </s:c>
      <s:c r="AE36" s="224" t="n">
        <s:v>0.1912</s:v>
      </s:c>
      <s:c r="AF36" s="225" t="n">
        <s:v>26.22907949790795</s:v>
      </s:c>
      <s:c r="AG36" s="229" t="n">
        <s:v>1.495513459621778</s:v>
      </s:c>
      <s:c r="AH36" s="220" t="n">
        <s:v>18.4</s:v>
      </s:c>
      <s:c r="AI36" s="221" t="n">
        <s:v>1.093</s:v>
      </s:c>
      <s:c r="AJ36" s="221" t="n">
        <s:v>1.083</s:v>
      </s:c>
      <s:c r="AK36" s="222" t="n">
        <s:v>437.23</s:v>
      </s:c>
      <s:c r="AL36" s="222" t="n">
        <s:v>439.24</s:v>
      </s:c>
      <s:c r="AM36" s="230" t="n">
        <s:v>2.008</s:v>
      </s:c>
      <s:c r="AN36" s="223" t="inlineStr">
        <s:is>
          <s:t>7,26,550</s:t>
        </s:is>
      </s:c>
      <s:c r="AO36" s="224" t="inlineStr">
        <s:is>
          <s:t>7,</s:t>
        </s:is>
      </s:c>
      <s:c r="AP36" s="224" t="inlineStr">
        <s:is>
          <s:t>26,550</s:t>
        </s:is>
      </s:c>
      <s:c r="AQ36" s="224" t="n">
        <s:v>0.1240416666666667</s:v>
      </s:c>
      <s:c r="AR36" s="225" t="n">
        <s:v>16.18810883439704</s:v>
      </s:c>
      <s:c r="AS36" s="229" t="n">
        <s:v>0.09960159362504473</s:v>
      </s:c>
      <s:c r="AT36" s="231" t="inlineStr">
        <s:is>
          <s:t>CONFORME</s:t>
        </s:is>
      </s:c>
      <s:c r="AU36" s="232">
        <s:f>B36=C36</s:f>
        <s:v/>
      </s:c>
      <s:c r="AV36" s="233">
        <s:f>MID(G36,1,2)</s:f>
        <s:v/>
      </s:c>
      <s:c r="AW36" s="233">
        <s:f>LEN(G36)</s:f>
        <s:v/>
      </s:c>
      <s:c r="AX36" s="233" t="inlineStr">
        <s:is>
          <s:t>OI-0922-2025</s:t>
        </s:is>
      </s:c>
      <s:c r="AY36" s="233">
        <s:f>N36&lt;Y36</s:f>
        <s:v/>
      </s:c>
      <s:c r="AZ36" s="233">
        <s:f>Z36&lt;=AK36</s:f>
        <s:v/>
      </s:c>
      <s:c r="BA36" s="233">
        <s:f>L36&lt;K36</s:f>
        <s:v/>
      </s:c>
      <s:c r="BB36" s="233">
        <s:f>W36&gt;=X36</s:f>
        <s:v/>
      </s:c>
      <s:c r="BC36" s="233">
        <s:f>AI36&gt;=AJ36</s:f>
        <s:v/>
      </s:c>
      <s:c r="BD36" s="233">
        <s:f>IF(I36&gt;=1,"Qcorrecto",IF(AND(BE36="aceptable",BF36="aceptable",BG36="aceptable"),"Qcorrecto","Qincorrecto"))</s:f>
        <s:v/>
      </s:c>
      <s:c r="BE36" s="232">
        <s:f>IF(AR36&lt;$AH$6,"error",IF(AR36&gt;$AH$6*1.1,"error","aceptable"))</s:f>
        <s:v/>
      </s:c>
      <s:c r="BF36" s="232">
        <s:f>IF(AF36&lt;$V$6,"error",IF(AF36&gt;$V$6*1.1,"error","aceptable"))</s:f>
        <s:v/>
      </s:c>
      <s:c r="BG36" s="232">
        <s:f>IF(T36&lt;$J$6*0.9,"error",IF(T36&gt;$J$6,"error","aceptable"))</s:f>
        <s:v/>
      </s:c>
      <s:c r="BH36" s="234">
        <s:f>(IF(ABS(U36)&lt;1,"CONFORME",IF(ABS(AG36)&lt;1,"CONFORME",IF(ABS(AS36)&lt;2.5,"CONFORME","NO CONFORME"))))</s:f>
        <s:v/>
      </s:c>
      <s:c r="BI36" s="235">
        <s:f>(IF(ABS(U36)&gt;2.044,"NO CONFORME",IF(ABS(AG36)&gt;2.044,"NO CONFORME",IF(ABS(AS36)&gt;5.044,"NO CONFORME","CONFORME"))))</s:f>
        <s:v/>
      </s:c>
      <s:c r="BJ36" s="233">
        <s:f>SIGN(U36)</s:f>
        <s:v/>
      </s:c>
      <s:c r="BK36" s="233">
        <s:f>SIGN(AG36)</s:f>
        <s:v/>
      </s:c>
      <s:c r="BL36" s="233">
        <s:f>SIGN(AS36)</s:f>
        <s:v/>
      </s:c>
      <s:c r="BM36" s="233">
        <s:f>CONCATENATE(BJ36,BK36,BL36)</s:f>
        <s:v/>
      </s:c>
      <s:c r="BN36" s="233">
        <s:f>IF(BM36="111","SI","SD")</s:f>
        <s:v/>
      </s:c>
      <s:c r="BO36" s="233">
        <s:f>IF(BM36="-1-1-1","SI","SD")</s:f>
        <s:v/>
      </s:c>
      <s:c r="BP36" s="233">
        <s:f>OR(BN36="SI",BO36="SI")</s:f>
        <s:v/>
      </s:c>
      <s:c r="BQ36" s="233">
        <s:f>IF(BP36=FALSE,"SIGDIFERENTES","SIGIGUALES")</s:f>
        <s:v/>
      </s:c>
      <s:c r="BR36" s="236">
        <s:f>IF(BI36="NO CONFORME","NO CONFORME",IF(BH36="CONFORME","CONFORME","NO CONFORME"))</s:f>
        <s:v/>
      </s:c>
      <s:c r="BS36" s="233">
        <s:f>F36</s:f>
        <s:v/>
      </s:c>
      <s:c r="BT36" s="237">
        <s:f>G36</s:f>
        <s:v/>
      </s:c>
      <s:c r="BU36" s="233">
        <s:f>"20"&amp;+MID(G36,3,2)</s:f>
        <s:v/>
      </s:c>
      <s:c r="BV36" s="238">
        <s:f>C36</s:f>
        <s:v/>
      </s:c>
      <s:c r="BW36" s="233">
        <s:f>AT36</s:f>
        <s:v/>
      </s:c>
      <s:c r="BX36" s="238">
        <s:f>B36</s:f>
        <s:v/>
      </s:c>
      <s:c r="BY36" s="239">
        <s:f>H36</s:f>
        <s:v/>
      </s:c>
      <s:c r="BZ36" s="233">
        <s:f>IF(I36=0,"CONFORME","NO CONFORME")</s:f>
        <s:v/>
      </s:c>
      <s:c r="CA36" s="238">
        <s:f>C36</s:f>
        <s:v/>
      </s:c>
      <s:c r="CB36" s="240">
        <s:f>AH36</s:f>
        <s:v/>
      </s:c>
      <s:c r="CC36" s="241">
        <s:f>AR36</s:f>
        <s:v/>
      </s:c>
      <s:c r="CD36" s="240">
        <s:f>AI36</s:f>
        <s:v/>
      </s:c>
      <s:c r="CE36" s="240">
        <s:f>AJ36</s:f>
        <s:v/>
      </s:c>
      <s:c r="CF36" s="240">
        <s:f>AS36</s:f>
        <s:v/>
      </s:c>
      <s:c r="CG36" s="240">
        <s:f>V36</s:f>
        <s:v/>
      </s:c>
      <s:c r="CH36" s="241">
        <s:f>AF36</s:f>
        <s:v/>
      </s:c>
      <s:c r="CI36" s="240">
        <s:f>W36</s:f>
        <s:v/>
      </s:c>
      <s:c r="CJ36" s="240">
        <s:f>X36</s:f>
        <s:v/>
      </s:c>
      <s:c r="CK36" s="240">
        <s:f>AG36</s:f>
        <s:v/>
      </s:c>
      <s:c r="CL36" s="240">
        <s:f>J36</s:f>
        <s:v/>
      </s:c>
      <s:c r="CM36" s="241">
        <s:f>T36</s:f>
        <s:v/>
      </s:c>
      <s:c r="CN36" s="240">
        <s:f>K36</s:f>
        <s:v/>
      </s:c>
      <s:c r="CO36" s="240">
        <s:f>L36</s:f>
        <s:v/>
      </s:c>
      <s:c r="CP36" s="242">
        <s:f>U36</s:f>
        <s:v/>
      </s:c>
      <s:c r="CQ36" s="233">
        <s:f>AT36</s:f>
        <s:v/>
      </s:c>
    </s:row>
    <s:row r="37">
      <s:c r="A37" s="211" t="n">
        <s:v>20</s:v>
      </s:c>
      <s:c r="B37" s="212" t="n">
        <s:v>45901</s:v>
      </s:c>
      <s:c r="C37" s="213" t="n">
        <s:v>45901</s:v>
      </s:c>
      <s:c r="D37" s="214" t="n">
        <s:v>3</s:v>
      </s:c>
      <s:c r="E37" s="215" t="n">
        <s:v>13</s:v>
      </s:c>
      <s:c r="F37" s="216" t="inlineStr">
        <s:is>
          <s:t>VI-236512-2025</s:t>
        </s:is>
      </s:c>
      <s:c r="G37" s="217" t="inlineStr">
        <s:is>
          <s:t>QA25417551</s:t>
        </s:is>
      </s:c>
      <s:c r="H37" s="218" t="n">
        <s:v>16</s:v>
      </s:c>
      <s:c r="I37" s="219" t="n">
        <s:v>0</s:v>
      </s:c>
      <s:c r="J37" s="220" t="n">
        <s:v>18.4</s:v>
      </s:c>
      <s:c r="K37" s="221" t="n">
        <s:v>7.514</s:v>
      </s:c>
      <s:c r="L37" s="221" t="n">
        <s:v>1.212</s:v>
      </s:c>
      <s:c r="M37" s="222" t="n">
        <s:v>338.14</s:v>
      </s:c>
      <s:c r="N37" s="222" t="n">
        <s:v>437.95</s:v>
      </s:c>
      <s:c r="O37" s="222" t="n">
        <s:v>100.51</s:v>
      </s:c>
      <s:c r="P37" s="223" t="inlineStr">
        <s:is>
          <s:t>2,30,780</s:t>
        </s:is>
      </s:c>
      <s:c r="Q37" s="224" t="inlineStr">
        <s:is>
          <s:t>2</s:t>
        </s:is>
      </s:c>
      <s:c r="R37" s="224" t="inlineStr">
        <s:is>
          <s:t>30,780</s:t>
        </s:is>
      </s:c>
      <s:c r="S37" s="224" t="n">
        <s:v>0.04188333333333333</s:v>
      </s:c>
      <s:c r="T37" s="225" t="n">
        <s:v>2399.761241543971</s:v>
      </s:c>
      <s:c r="U37" s="226" t="n">
        <s:v>-0.696448114615464</s:v>
      </s:c>
      <s:c r="V37" s="220" t="n">
        <s:v>18.2</s:v>
      </s:c>
      <s:c r="W37" s="221" t="n">
        <s:v>1.093</s:v>
      </s:c>
      <s:c r="X37" s="221" t="n">
        <s:v>1.081</s:v>
      </s:c>
      <s:c r="Y37" s="222" t="n">
        <s:v>448.78</s:v>
      </s:c>
      <s:c r="Z37" s="222" t="n">
        <s:v>453.74</s:v>
      </s:c>
      <s:c r="AA37" s="227" t="n">
        <s:v>5.015</s:v>
      </s:c>
      <s:c r="AB37" s="228" t="inlineStr">
        <s:is>
          <s:t>11,28,320</s:t>
        </s:is>
      </s:c>
      <s:c r="AC37" s="224" t="inlineStr">
        <s:is>
          <s:t>11</s:t>
        </s:is>
      </s:c>
      <s:c r="AD37" s="224" t="inlineStr">
        <s:is>
          <s:t>28,320</s:t>
        </s:is>
      </s:c>
      <s:c r="AE37" s="224" t="n">
        <s:v>0.1912</s:v>
      </s:c>
      <s:c r="AF37" s="225" t="n">
        <s:v>26.22907949790795</s:v>
      </s:c>
      <s:c r="AG37" s="229" t="n">
        <s:v>-1.096709870388102</s:v>
      </s:c>
      <s:c r="AH37" s="220" t="n">
        <s:v>18.4</s:v>
      </s:c>
      <s:c r="AI37" s="221" t="n">
        <s:v>1.093</s:v>
      </s:c>
      <s:c r="AJ37" s="221" t="n">
        <s:v>1.083</s:v>
      </s:c>
      <s:c r="AK37" s="222" t="n">
        <s:v>453.74</s:v>
      </s:c>
      <s:c r="AL37" s="222" t="n">
        <s:v>455.68</s:v>
      </s:c>
      <s:c r="AM37" s="230" t="n">
        <s:v>2.008</s:v>
      </s:c>
      <s:c r="AN37" s="223" t="inlineStr">
        <s:is>
          <s:t>7,26,550</s:t>
        </s:is>
      </s:c>
      <s:c r="AO37" s="224" t="inlineStr">
        <s:is>
          <s:t>7,</s:t>
        </s:is>
      </s:c>
      <s:c r="AP37" s="224" t="inlineStr">
        <s:is>
          <s:t>26,550</s:t>
        </s:is>
      </s:c>
      <s:c r="AQ37" s="224" t="n">
        <s:v>0.1240416666666667</s:v>
      </s:c>
      <s:c r="AR37" s="225" t="n">
        <s:v>16.18810883439704</s:v>
      </s:c>
      <s:c r="AS37" s="229" t="n">
        <s:v>-3.386454183267046</s:v>
      </s:c>
      <s:c r="AT37" s="231" t="inlineStr">
        <s:is>
          <s:t>CONFORME</s:t>
        </s:is>
      </s:c>
      <s:c r="AU37" s="232">
        <s:f>B37=C37</s:f>
        <s:v/>
      </s:c>
      <s:c r="AV37" s="233">
        <s:f>MID(G37,1,2)</s:f>
        <s:v/>
      </s:c>
      <s:c r="AW37" s="233">
        <s:f>LEN(G37)</s:f>
        <s:v/>
      </s:c>
      <s:c r="AX37" s="233" t="inlineStr">
        <s:is>
          <s:t>OI-0922-2025</s:t>
        </s:is>
      </s:c>
      <s:c r="AY37" s="233">
        <s:f>N37&lt;Y37</s:f>
        <s:v/>
      </s:c>
      <s:c r="AZ37" s="233">
        <s:f>Z37&lt;=AK37</s:f>
        <s:v/>
      </s:c>
      <s:c r="BA37" s="233">
        <s:f>L37&lt;K37</s:f>
        <s:v/>
      </s:c>
      <s:c r="BB37" s="233">
        <s:f>W37&gt;=X37</s:f>
        <s:v/>
      </s:c>
      <s:c r="BC37" s="233">
        <s:f>AI37&gt;=AJ37</s:f>
        <s:v/>
      </s:c>
      <s:c r="BD37" s="233">
        <s:f>IF(I37&gt;=1,"Qcorrecto",IF(AND(BE37="aceptable",BF37="aceptable",BG37="aceptable"),"Qcorrecto","Qincorrecto"))</s:f>
        <s:v/>
      </s:c>
      <s:c r="BE37" s="232">
        <s:f>IF(AR37&lt;$AH$6,"error",IF(AR37&gt;$AH$6*1.1,"error","aceptable"))</s:f>
        <s:v/>
      </s:c>
      <s:c r="BF37" s="232">
        <s:f>IF(AF37&lt;$V$6,"error",IF(AF37&gt;$V$6*1.1,"error","aceptable"))</s:f>
        <s:v/>
      </s:c>
      <s:c r="BG37" s="232">
        <s:f>IF(T37&lt;$J$6*0.9,"error",IF(T37&gt;$J$6,"error","aceptable"))</s:f>
        <s:v/>
      </s:c>
      <s:c r="BH37" s="234">
        <s:f>(IF(ABS(U37)&lt;1,"CONFORME",IF(ABS(AG37)&lt;1,"CONFORME",IF(ABS(AS37)&lt;2.5,"CONFORME","NO CONFORME"))))</s:f>
        <s:v/>
      </s:c>
      <s:c r="BI37" s="235">
        <s:f>(IF(ABS(U37)&gt;2.044,"NO CONFORME",IF(ABS(AG37)&gt;2.044,"NO CONFORME",IF(ABS(AS37)&gt;5.044,"NO CONFORME","CONFORME"))))</s:f>
        <s:v/>
      </s:c>
      <s:c r="BJ37" s="233">
        <s:f>SIGN(U37)</s:f>
        <s:v/>
      </s:c>
      <s:c r="BK37" s="233">
        <s:f>SIGN(AG37)</s:f>
        <s:v/>
      </s:c>
      <s:c r="BL37" s="233">
        <s:f>SIGN(AS37)</s:f>
        <s:v/>
      </s:c>
      <s:c r="BM37" s="233">
        <s:f>CONCATENATE(BJ37,BK37,BL37)</s:f>
        <s:v/>
      </s:c>
      <s:c r="BN37" s="233">
        <s:f>IF(BM37="111","SI","SD")</s:f>
        <s:v/>
      </s:c>
      <s:c r="BO37" s="233">
        <s:f>IF(BM37="-1-1-1","SI","SD")</s:f>
        <s:v/>
      </s:c>
      <s:c r="BP37" s="233">
        <s:f>OR(BN37="SI",BO37="SI")</s:f>
        <s:v/>
      </s:c>
      <s:c r="BQ37" s="233">
        <s:f>IF(BP37=FALSE,"SIGDIFERENTES","SIGIGUALES")</s:f>
        <s:v/>
      </s:c>
      <s:c r="BR37" s="236">
        <s:f>IF(BI37="NO CONFORME","NO CONFORME",IF(BH37="CONFORME","CONFORME","NO CONFORME"))</s:f>
        <s:v/>
      </s:c>
      <s:c r="BS37" s="233">
        <s:f>F37</s:f>
        <s:v/>
      </s:c>
      <s:c r="BT37" s="237">
        <s:f>G37</s:f>
        <s:v/>
      </s:c>
      <s:c r="BU37" s="233">
        <s:f>"20"&amp;+MID(G37,3,2)</s:f>
        <s:v/>
      </s:c>
      <s:c r="BV37" s="238">
        <s:f>C37</s:f>
        <s:v/>
      </s:c>
      <s:c r="BW37" s="233">
        <s:f>AT37</s:f>
        <s:v/>
      </s:c>
      <s:c r="BX37" s="238">
        <s:f>B37</s:f>
        <s:v/>
      </s:c>
      <s:c r="BY37" s="239">
        <s:f>H37</s:f>
        <s:v/>
      </s:c>
      <s:c r="BZ37" s="233">
        <s:f>IF(I37=0,"CONFORME","NO CONFORME")</s:f>
        <s:v/>
      </s:c>
      <s:c r="CA37" s="238">
        <s:f>C37</s:f>
        <s:v/>
      </s:c>
      <s:c r="CB37" s="240">
        <s:f>AH37</s:f>
        <s:v/>
      </s:c>
      <s:c r="CC37" s="241">
        <s:f>AR37</s:f>
        <s:v/>
      </s:c>
      <s:c r="CD37" s="240">
        <s:f>AI37</s:f>
        <s:v/>
      </s:c>
      <s:c r="CE37" s="240">
        <s:f>AJ37</s:f>
        <s:v/>
      </s:c>
      <s:c r="CF37" s="240">
        <s:f>AS37</s:f>
        <s:v/>
      </s:c>
      <s:c r="CG37" s="240">
        <s:f>V37</s:f>
        <s:v/>
      </s:c>
      <s:c r="CH37" s="241">
        <s:f>AF37</s:f>
        <s:v/>
      </s:c>
      <s:c r="CI37" s="240">
        <s:f>W37</s:f>
        <s:v/>
      </s:c>
      <s:c r="CJ37" s="240">
        <s:f>X37</s:f>
        <s:v/>
      </s:c>
      <s:c r="CK37" s="240">
        <s:f>AG37</s:f>
        <s:v/>
      </s:c>
      <s:c r="CL37" s="240">
        <s:f>J37</s:f>
        <s:v/>
      </s:c>
      <s:c r="CM37" s="241">
        <s:f>T37</s:f>
        <s:v/>
      </s:c>
      <s:c r="CN37" s="240">
        <s:f>K37</s:f>
        <s:v/>
      </s:c>
      <s:c r="CO37" s="240">
        <s:f>L37</s:f>
        <s:v/>
      </s:c>
      <s:c r="CP37" s="242">
        <s:f>U37</s:f>
        <s:v/>
      </s:c>
      <s:c r="CQ37" s="233">
        <s:f>AT37</s:f>
        <s:v/>
      </s:c>
    </s:row>
    <s:row r="38">
      <s:c r="A38" s="211" t="n">
        <s:v>21</s:v>
      </s:c>
      <s:c r="B38" s="212" t="n">
        <s:v>45901</s:v>
      </s:c>
      <s:c r="C38" s="213" t="n">
        <s:v>45901</s:v>
      </s:c>
      <s:c r="D38" s="214" t="n">
        <s:v>3</s:v>
      </s:c>
      <s:c r="E38" s="215" t="n">
        <s:v>13</s:v>
      </s:c>
      <s:c r="F38" s="216" t="inlineStr">
        <s:is>
          <s:t>VI-236513-2025</s:t>
        </s:is>
      </s:c>
      <s:c r="G38" s="217" t="inlineStr">
        <s:is>
          <s:t>QA25418056</s:t>
        </s:is>
      </s:c>
      <s:c r="H38" s="218" t="n">
        <s:v>16</s:v>
      </s:c>
      <s:c r="I38" s="219" t="n">
        <s:v>0</s:v>
      </s:c>
      <s:c r="J38" s="220" t="n">
        <s:v>18.4</s:v>
      </s:c>
      <s:c r="K38" s="221" t="n">
        <s:v>7.514</s:v>
      </s:c>
      <s:c r="L38" s="221" t="n">
        <s:v>1.212</s:v>
      </s:c>
      <s:c r="M38" s="222" t="n">
        <s:v>565.66</s:v>
      </s:c>
      <s:c r="N38" s="222" t="n">
        <s:v>665.03</s:v>
      </s:c>
      <s:c r="O38" s="222" t="n">
        <s:v>100.51</s:v>
      </s:c>
      <s:c r="P38" s="223" t="inlineStr">
        <s:is>
          <s:t>2,30,780</s:t>
        </s:is>
      </s:c>
      <s:c r="Q38" s="224" t="inlineStr">
        <s:is>
          <s:t>2</s:t>
        </s:is>
      </s:c>
      <s:c r="R38" s="224" t="inlineStr">
        <s:is>
          <s:t>30,780</s:t>
        </s:is>
      </s:c>
      <s:c r="S38" s="224" t="n">
        <s:v>0.04188333333333333</s:v>
      </s:c>
      <s:c r="T38" s="225" t="n">
        <s:v>2399.761241543971</s:v>
      </s:c>
      <s:c r="U38" s="226" t="n">
        <s:v>-1.13421550094518</s:v>
      </s:c>
      <s:c r="V38" s="220" t="n">
        <s:v>18.2</s:v>
      </s:c>
      <s:c r="W38" s="221" t="n">
        <s:v>1.093</s:v>
      </s:c>
      <s:c r="X38" s="221" t="n">
        <s:v>1.081</s:v>
      </s:c>
      <s:c r="Y38" s="222" t="n">
        <s:v>675.8099999999999</s:v>
      </s:c>
      <s:c r="Z38" s="222" t="n">
        <s:v>680.78</s:v>
      </s:c>
      <s:c r="AA38" s="227" t="n">
        <s:v>5.015</s:v>
      </s:c>
      <s:c r="AB38" s="228" t="inlineStr">
        <s:is>
          <s:t>11,28,320</s:t>
        </s:is>
      </s:c>
      <s:c r="AC38" s="224" t="inlineStr">
        <s:is>
          <s:t>11</s:t>
        </s:is>
      </s:c>
      <s:c r="AD38" s="224" t="inlineStr">
        <s:is>
          <s:t>28,320</s:t>
        </s:is>
      </s:c>
      <s:c r="AE38" s="224" t="n">
        <s:v>0.1912</s:v>
      </s:c>
      <s:c r="AF38" s="225" t="n">
        <s:v>26.22907949790795</s:v>
      </s:c>
      <s:c r="AG38" s="229" t="n">
        <s:v>-0.8973080757721316</s:v>
      </s:c>
      <s:c r="AH38" s="220" t="n">
        <s:v>18.4</s:v>
      </s:c>
      <s:c r="AI38" s="221" t="n">
        <s:v>1.093</s:v>
      </s:c>
      <s:c r="AJ38" s="221" t="n">
        <s:v>1.083</s:v>
      </s:c>
      <s:c r="AK38" s="222" t="n">
        <s:v>680.78</s:v>
      </s:c>
      <s:c r="AL38" s="222" t="n">
        <s:v>682.78</s:v>
      </s:c>
      <s:c r="AM38" s="230" t="n">
        <s:v>2.008</s:v>
      </s:c>
      <s:c r="AN38" s="223" t="inlineStr">
        <s:is>
          <s:t>7,26,550</s:t>
        </s:is>
      </s:c>
      <s:c r="AO38" s="224" t="inlineStr">
        <s:is>
          <s:t>7,</s:t>
        </s:is>
      </s:c>
      <s:c r="AP38" s="224" t="inlineStr">
        <s:is>
          <s:t>26,550</s:t>
        </s:is>
      </s:c>
      <s:c r="AQ38" s="224" t="n">
        <s:v>0.1240416666666667</s:v>
      </s:c>
      <s:c r="AR38" s="225" t="n">
        <s:v>16.18810883439704</s:v>
      </s:c>
      <s:c r="AS38" s="229" t="n">
        <s:v>-0.3984063745019923</s:v>
      </s:c>
      <s:c r="AT38" s="231" t="inlineStr">
        <s:is>
          <s:t>CONFORME</s:t>
        </s:is>
      </s:c>
      <s:c r="AU38" s="232">
        <s:f>B38=C38</s:f>
        <s:v/>
      </s:c>
      <s:c r="AV38" s="233">
        <s:f>MID(G38,1,2)</s:f>
        <s:v/>
      </s:c>
      <s:c r="AW38" s="233">
        <s:f>LEN(G38)</s:f>
        <s:v/>
      </s:c>
      <s:c r="AX38" s="233" t="inlineStr">
        <s:is>
          <s:t>OI-0922-2025</s:t>
        </s:is>
      </s:c>
      <s:c r="AY38" s="233">
        <s:f>N38&lt;Y38</s:f>
        <s:v/>
      </s:c>
      <s:c r="AZ38" s="233">
        <s:f>Z38&lt;=AK38</s:f>
        <s:v/>
      </s:c>
      <s:c r="BA38" s="233">
        <s:f>L38&lt;K38</s:f>
        <s:v/>
      </s:c>
      <s:c r="BB38" s="233">
        <s:f>W38&gt;=X38</s:f>
        <s:v/>
      </s:c>
      <s:c r="BC38" s="233">
        <s:f>AI38&gt;=AJ38</s:f>
        <s:v/>
      </s:c>
      <s:c r="BD38" s="233">
        <s:f>IF(I38&gt;=1,"Qcorrecto",IF(AND(BE38="aceptable",BF38="aceptable",BG38="aceptable"),"Qcorrecto","Qincorrecto"))</s:f>
        <s:v/>
      </s:c>
      <s:c r="BE38" s="232">
        <s:f>IF(AR38&lt;$AH$6,"error",IF(AR38&gt;$AH$6*1.1,"error","aceptable"))</s:f>
        <s:v/>
      </s:c>
      <s:c r="BF38" s="232">
        <s:f>IF(AF38&lt;$V$6,"error",IF(AF38&gt;$V$6*1.1,"error","aceptable"))</s:f>
        <s:v/>
      </s:c>
      <s:c r="BG38" s="232">
        <s:f>IF(T38&lt;$J$6*0.9,"error",IF(T38&gt;$J$6,"error","aceptable"))</s:f>
        <s:v/>
      </s:c>
      <s:c r="BH38" s="234">
        <s:f>(IF(ABS(U38)&lt;1,"CONFORME",IF(ABS(AG38)&lt;1,"CONFORME",IF(ABS(AS38)&lt;2.5,"CONFORME","NO CONFORME"))))</s:f>
        <s:v/>
      </s:c>
      <s:c r="BI38" s="235">
        <s:f>(IF(ABS(U38)&gt;2.044,"NO CONFORME",IF(ABS(AG38)&gt;2.044,"NO CONFORME",IF(ABS(AS38)&gt;5.044,"NO CONFORME","CONFORME"))))</s:f>
        <s:v/>
      </s:c>
      <s:c r="BJ38" s="233">
        <s:f>SIGN(U38)</s:f>
        <s:v/>
      </s:c>
      <s:c r="BK38" s="233">
        <s:f>SIGN(AG38)</s:f>
        <s:v/>
      </s:c>
      <s:c r="BL38" s="233">
        <s:f>SIGN(AS38)</s:f>
        <s:v/>
      </s:c>
      <s:c r="BM38" s="233">
        <s:f>CONCATENATE(BJ38,BK38,BL38)</s:f>
        <s:v/>
      </s:c>
      <s:c r="BN38" s="233">
        <s:f>IF(BM38="111","SI","SD")</s:f>
        <s:v/>
      </s:c>
      <s:c r="BO38" s="233">
        <s:f>IF(BM38="-1-1-1","SI","SD")</s:f>
        <s:v/>
      </s:c>
      <s:c r="BP38" s="233">
        <s:f>OR(BN38="SI",BO38="SI")</s:f>
        <s:v/>
      </s:c>
      <s:c r="BQ38" s="233">
        <s:f>IF(BP38=FALSE,"SIGDIFERENTES","SIGIGUALES")</s:f>
        <s:v/>
      </s:c>
      <s:c r="BR38" s="236">
        <s:f>IF(BI38="NO CONFORME","NO CONFORME",IF(BH38="CONFORME","CONFORME","NO CONFORME"))</s:f>
        <s:v/>
      </s:c>
      <s:c r="BS38" s="233">
        <s:f>F38</s:f>
        <s:v/>
      </s:c>
      <s:c r="BT38" s="237">
        <s:f>G38</s:f>
        <s:v/>
      </s:c>
      <s:c r="BU38" s="233">
        <s:f>"20"&amp;+MID(G38,3,2)</s:f>
        <s:v/>
      </s:c>
      <s:c r="BV38" s="238">
        <s:f>C38</s:f>
        <s:v/>
      </s:c>
      <s:c r="BW38" s="233">
        <s:f>AT38</s:f>
        <s:v/>
      </s:c>
      <s:c r="BX38" s="238">
        <s:f>B38</s:f>
        <s:v/>
      </s:c>
      <s:c r="BY38" s="239">
        <s:f>H38</s:f>
        <s:v/>
      </s:c>
      <s:c r="BZ38" s="233">
        <s:f>IF(I38=0,"CONFORME","NO CONFORME")</s:f>
        <s:v/>
      </s:c>
      <s:c r="CA38" s="238">
        <s:f>C38</s:f>
        <s:v/>
      </s:c>
      <s:c r="CB38" s="240">
        <s:f>AH38</s:f>
        <s:v/>
      </s:c>
      <s:c r="CC38" s="241">
        <s:f>AR38</s:f>
        <s:v/>
      </s:c>
      <s:c r="CD38" s="240">
        <s:f>AI38</s:f>
        <s:v/>
      </s:c>
      <s:c r="CE38" s="240">
        <s:f>AJ38</s:f>
        <s:v/>
      </s:c>
      <s:c r="CF38" s="240">
        <s:f>AS38</s:f>
        <s:v/>
      </s:c>
      <s:c r="CG38" s="240">
        <s:f>V38</s:f>
        <s:v/>
      </s:c>
      <s:c r="CH38" s="241">
        <s:f>AF38</s:f>
        <s:v/>
      </s:c>
      <s:c r="CI38" s="240">
        <s:f>W38</s:f>
        <s:v/>
      </s:c>
      <s:c r="CJ38" s="240">
        <s:f>X38</s:f>
        <s:v/>
      </s:c>
      <s:c r="CK38" s="240">
        <s:f>AG38</s:f>
        <s:v/>
      </s:c>
      <s:c r="CL38" s="240">
        <s:f>J38</s:f>
        <s:v/>
      </s:c>
      <s:c r="CM38" s="241">
        <s:f>T38</s:f>
        <s:v/>
      </s:c>
      <s:c r="CN38" s="240">
        <s:f>K38</s:f>
        <s:v/>
      </s:c>
      <s:c r="CO38" s="240">
        <s:f>L38</s:f>
        <s:v/>
      </s:c>
      <s:c r="CP38" s="242">
        <s:f>U38</s:f>
        <s:v/>
      </s:c>
      <s:c r="CQ38" s="233">
        <s:f>AT38</s:f>
        <s:v/>
      </s:c>
    </s:row>
    <s:row r="39">
      <s:c r="A39" s="211" t="n">
        <s:v>22</s:v>
      </s:c>
      <s:c r="B39" s="212" t="n">
        <s:v>45901</s:v>
      </s:c>
      <s:c r="C39" s="213" t="n">
        <s:v>45901</s:v>
      </s:c>
      <s:c r="D39" s="214" t="n">
        <s:v>3</s:v>
      </s:c>
      <s:c r="E39" s="215" t="n">
        <s:v>13</s:v>
      </s:c>
      <s:c r="F39" s="216" t="inlineStr">
        <s:is>
          <s:t>VI-236514-2025</s:t>
        </s:is>
      </s:c>
      <s:c r="G39" s="217" t="inlineStr">
        <s:is>
          <s:t>QA25417874</s:t>
        </s:is>
      </s:c>
      <s:c r="H39" s="218" t="n">
        <s:v>16</s:v>
      </s:c>
      <s:c r="I39" s="219" t="n">
        <s:v>0</s:v>
      </s:c>
      <s:c r="J39" s="220" t="n">
        <s:v>18.4</s:v>
      </s:c>
      <s:c r="K39" s="221" t="n">
        <s:v>7.514</s:v>
      </s:c>
      <s:c r="L39" s="221" t="n">
        <s:v>1.212</s:v>
      </s:c>
      <s:c r="M39" s="222" t="n">
        <s:v>337.11</s:v>
      </s:c>
      <s:c r="N39" s="222" t="n">
        <s:v>437.13</s:v>
      </s:c>
      <s:c r="O39" s="222" t="n">
        <s:v>100.51</s:v>
      </s:c>
      <s:c r="P39" s="223" t="inlineStr">
        <s:is>
          <s:t>2,30,780</s:t>
        </s:is>
      </s:c>
      <s:c r="Q39" s="224" t="inlineStr">
        <s:is>
          <s:t>2</s:t>
        </s:is>
      </s:c>
      <s:c r="R39" s="224" t="inlineStr">
        <s:is>
          <s:t>30,780</s:t>
        </s:is>
      </s:c>
      <s:c r="S39" s="224" t="n">
        <s:v>0.04188333333333333</s:v>
      </s:c>
      <s:c r="T39" s="225" t="n">
        <s:v>2399.761241543971</s:v>
      </s:c>
      <s:c r="U39" s="226" t="n">
        <s:v>-0.487513680230846</s:v>
      </s:c>
      <s:c r="V39" s="220" t="n">
        <s:v>18.2</s:v>
      </s:c>
      <s:c r="W39" s="221" t="n">
        <s:v>1.093</s:v>
      </s:c>
      <s:c r="X39" s="221" t="n">
        <s:v>1.081</s:v>
      </s:c>
      <s:c r="Y39" s="222" t="n">
        <s:v>448.02</s:v>
      </s:c>
      <s:c r="Z39" s="222" t="n">
        <s:v>453.05</s:v>
      </s:c>
      <s:c r="AA39" s="227" t="n">
        <s:v>5.015</s:v>
      </s:c>
      <s:c r="AB39" s="228" t="inlineStr">
        <s:is>
          <s:t>11,28,320</s:t>
        </s:is>
      </s:c>
      <s:c r="AC39" s="224" t="inlineStr">
        <s:is>
          <s:t>11</s:t>
        </s:is>
      </s:c>
      <s:c r="AD39" s="224" t="inlineStr">
        <s:is>
          <s:t>28,320</s:t>
        </s:is>
      </s:c>
      <s:c r="AE39" s="224" t="n">
        <s:v>0.1912</s:v>
      </s:c>
      <s:c r="AF39" s="225" t="n">
        <s:v>26.22907949790795</s:v>
      </s:c>
      <s:c r="AG39" s="229" t="n">
        <s:v>0.2991026919248231</s:v>
      </s:c>
      <s:c r="AH39" s="220" t="n">
        <s:v>18.4</s:v>
      </s:c>
      <s:c r="AI39" s="221" t="n">
        <s:v>1.093</s:v>
      </s:c>
      <s:c r="AJ39" s="221" t="n">
        <s:v>1.083</s:v>
      </s:c>
      <s:c r="AK39" s="222" t="n">
        <s:v>453.05</s:v>
      </s:c>
      <s:c r="AL39" s="222" t="n">
        <s:v>455.06</s:v>
      </s:c>
      <s:c r="AM39" s="230" t="n">
        <s:v>2.008</s:v>
      </s:c>
      <s:c r="AN39" s="223" t="inlineStr">
        <s:is>
          <s:t>7,26,550</s:t>
        </s:is>
      </s:c>
      <s:c r="AO39" s="224" t="inlineStr">
        <s:is>
          <s:t>7,</s:t>
        </s:is>
      </s:c>
      <s:c r="AP39" s="224" t="inlineStr">
        <s:is>
          <s:t>26,550</s:t>
        </s:is>
      </s:c>
      <s:c r="AQ39" s="224" t="n">
        <s:v>0.1240416666666667</s:v>
      </s:c>
      <s:c r="AR39" s="225" t="n">
        <s:v>16.18810883439704</s:v>
      </s:c>
      <s:c r="AS39" s="229" t="n">
        <s:v>0.09960159362504473</s:v>
      </s:c>
      <s:c r="AT39" s="231" t="inlineStr">
        <s:is>
          <s:t>CONFORME</s:t>
        </s:is>
      </s:c>
      <s:c r="AU39" s="232">
        <s:f>B39=C39</s:f>
        <s:v/>
      </s:c>
      <s:c r="AV39" s="233">
        <s:f>MID(G39,1,2)</s:f>
        <s:v/>
      </s:c>
      <s:c r="AW39" s="233">
        <s:f>LEN(G39)</s:f>
        <s:v/>
      </s:c>
      <s:c r="AX39" s="233" t="inlineStr">
        <s:is>
          <s:t>OI-0922-2025</s:t>
        </s:is>
      </s:c>
      <s:c r="AY39" s="233">
        <s:f>N39&lt;Y39</s:f>
        <s:v/>
      </s:c>
      <s:c r="AZ39" s="233">
        <s:f>Z39&lt;=AK39</s:f>
        <s:v/>
      </s:c>
      <s:c r="BA39" s="233">
        <s:f>L39&lt;K39</s:f>
        <s:v/>
      </s:c>
      <s:c r="BB39" s="233">
        <s:f>W39&gt;=X39</s:f>
        <s:v/>
      </s:c>
      <s:c r="BC39" s="233">
        <s:f>AI39&gt;=AJ39</s:f>
        <s:v/>
      </s:c>
      <s:c r="BD39" s="233">
        <s:f>IF(I39&gt;=1,"Qcorrecto",IF(AND(BE39="aceptable",BF39="aceptable",BG39="aceptable"),"Qcorrecto","Qincorrecto"))</s:f>
        <s:v/>
      </s:c>
      <s:c r="BE39" s="232">
        <s:f>IF(AR39&lt;$AH$6,"error",IF(AR39&gt;$AH$6*1.1,"error","aceptable"))</s:f>
        <s:v/>
      </s:c>
      <s:c r="BF39" s="232">
        <s:f>IF(AF39&lt;$V$6,"error",IF(AF39&gt;$V$6*1.1,"error","aceptable"))</s:f>
        <s:v/>
      </s:c>
      <s:c r="BG39" s="232">
        <s:f>IF(T39&lt;$J$6*0.9,"error",IF(T39&gt;$J$6,"error","aceptable"))</s:f>
        <s:v/>
      </s:c>
      <s:c r="BH39" s="234">
        <s:f>(IF(ABS(U39)&lt;1,"CONFORME",IF(ABS(AG39)&lt;1,"CONFORME",IF(ABS(AS39)&lt;2.5,"CONFORME","NO CONFORME"))))</s:f>
        <s:v/>
      </s:c>
      <s:c r="BI39" s="235">
        <s:f>(IF(ABS(U39)&gt;2.044,"NO CONFORME",IF(ABS(AG39)&gt;2.044,"NO CONFORME",IF(ABS(AS39)&gt;5.044,"NO CONFORME","CONFORME"))))</s:f>
        <s:v/>
      </s:c>
      <s:c r="BJ39" s="233">
        <s:f>SIGN(U39)</s:f>
        <s:v/>
      </s:c>
      <s:c r="BK39" s="233">
        <s:f>SIGN(AG39)</s:f>
        <s:v/>
      </s:c>
      <s:c r="BL39" s="233">
        <s:f>SIGN(AS39)</s:f>
        <s:v/>
      </s:c>
      <s:c r="BM39" s="233">
        <s:f>CONCATENATE(BJ39,BK39,BL39)</s:f>
        <s:v/>
      </s:c>
      <s:c r="BN39" s="233">
        <s:f>IF(BM39="111","SI","SD")</s:f>
        <s:v/>
      </s:c>
      <s:c r="BO39" s="233">
        <s:f>IF(BM39="-1-1-1","SI","SD")</s:f>
        <s:v/>
      </s:c>
      <s:c r="BP39" s="233">
        <s:f>OR(BN39="SI",BO39="SI")</s:f>
        <s:v/>
      </s:c>
      <s:c r="BQ39" s="233">
        <s:f>IF(BP39=FALSE,"SIGDIFERENTES","SIGIGUALES")</s:f>
        <s:v/>
      </s:c>
      <s:c r="BR39" s="236">
        <s:f>IF(BI39="NO CONFORME","NO CONFORME",IF(BH39="CONFORME","CONFORME","NO CONFORME"))</s:f>
        <s:v/>
      </s:c>
      <s:c r="BS39" s="233">
        <s:f>F39</s:f>
        <s:v/>
      </s:c>
      <s:c r="BT39" s="237">
        <s:f>G39</s:f>
        <s:v/>
      </s:c>
      <s:c r="BU39" s="233">
        <s:f>"20"&amp;+MID(G39,3,2)</s:f>
        <s:v/>
      </s:c>
      <s:c r="BV39" s="238">
        <s:f>C39</s:f>
        <s:v/>
      </s:c>
      <s:c r="BW39" s="233">
        <s:f>AT39</s:f>
        <s:v/>
      </s:c>
      <s:c r="BX39" s="238">
        <s:f>B39</s:f>
        <s:v/>
      </s:c>
      <s:c r="BY39" s="239">
        <s:f>H39</s:f>
        <s:v/>
      </s:c>
      <s:c r="BZ39" s="233">
        <s:f>IF(I39=0,"CONFORME","NO CONFORME")</s:f>
        <s:v/>
      </s:c>
      <s:c r="CA39" s="238">
        <s:f>C39</s:f>
        <s:v/>
      </s:c>
      <s:c r="CB39" s="240">
        <s:f>AH39</s:f>
        <s:v/>
      </s:c>
      <s:c r="CC39" s="241">
        <s:f>AR39</s:f>
        <s:v/>
      </s:c>
      <s:c r="CD39" s="240">
        <s:f>AI39</s:f>
        <s:v/>
      </s:c>
      <s:c r="CE39" s="240">
        <s:f>AJ39</s:f>
        <s:v/>
      </s:c>
      <s:c r="CF39" s="240">
        <s:f>AS39</s:f>
        <s:v/>
      </s:c>
      <s:c r="CG39" s="240">
        <s:f>V39</s:f>
        <s:v/>
      </s:c>
      <s:c r="CH39" s="241">
        <s:f>AF39</s:f>
        <s:v/>
      </s:c>
      <s:c r="CI39" s="240">
        <s:f>W39</s:f>
        <s:v/>
      </s:c>
      <s:c r="CJ39" s="240">
        <s:f>X39</s:f>
        <s:v/>
      </s:c>
      <s:c r="CK39" s="240">
        <s:f>AG39</s:f>
        <s:v/>
      </s:c>
      <s:c r="CL39" s="240">
        <s:f>J39</s:f>
        <s:v/>
      </s:c>
      <s:c r="CM39" s="241">
        <s:f>T39</s:f>
        <s:v/>
      </s:c>
      <s:c r="CN39" s="240">
        <s:f>K39</s:f>
        <s:v/>
      </s:c>
      <s:c r="CO39" s="240">
        <s:f>L39</s:f>
        <s:v/>
      </s:c>
      <s:c r="CP39" s="242">
        <s:f>U39</s:f>
        <s:v/>
      </s:c>
      <s:c r="CQ39" s="233">
        <s:f>AT39</s:f>
        <s:v/>
      </s:c>
    </s:row>
    <s:row r="40">
      <s:c r="A40" s="211" t="n">
        <s:v>23</s:v>
      </s:c>
      <s:c r="B40" s="212" t="n">
        <s:v>45901</s:v>
      </s:c>
      <s:c r="C40" s="213" t="n">
        <s:v>45901</s:v>
      </s:c>
      <s:c r="D40" s="214" t="n">
        <s:v>3</s:v>
      </s:c>
      <s:c r="E40" s="215" t="n">
        <s:v>13</s:v>
      </s:c>
      <s:c r="F40" s="216" t="inlineStr">
        <s:is>
          <s:t>VI-236515-2025</s:t>
        </s:is>
      </s:c>
      <s:c r="G40" s="217" t="inlineStr">
        <s:is>
          <s:t>QA25417660</s:t>
        </s:is>
      </s:c>
      <s:c r="H40" s="218" t="n">
        <s:v>16</s:v>
      </s:c>
      <s:c r="I40" s="219" t="n">
        <s:v>0</s:v>
      </s:c>
      <s:c r="J40" s="220" t="n">
        <s:v>18.4</s:v>
      </s:c>
      <s:c r="K40" s="221" t="n">
        <s:v>7.514</s:v>
      </s:c>
      <s:c r="L40" s="221" t="n">
        <s:v>1.212</s:v>
      </s:c>
      <s:c r="M40" s="222" t="n">
        <s:v>354.76</s:v>
      </s:c>
      <s:c r="N40" s="222" t="n">
        <s:v>454.45</s:v>
      </s:c>
      <s:c r="O40" s="222" t="n">
        <s:v>100.51</s:v>
      </s:c>
      <s:c r="P40" s="223" t="inlineStr">
        <s:is>
          <s:t>2,30,780</s:t>
        </s:is>
      </s:c>
      <s:c r="Q40" s="224" t="inlineStr">
        <s:is>
          <s:t>2</s:t>
        </s:is>
      </s:c>
      <s:c r="R40" s="224" t="inlineStr">
        <s:is>
          <s:t>30,780</s:t>
        </s:is>
      </s:c>
      <s:c r="S40" s="224" t="n">
        <s:v>0.04188333333333333</s:v>
      </s:c>
      <s:c r="T40" s="225" t="n">
        <s:v>2399.761241543971</s:v>
      </s:c>
      <s:c r="U40" s="226" t="n">
        <s:v>-0.815839219978119</s:v>
      </s:c>
      <s:c r="V40" s="220" t="n">
        <s:v>18.2</s:v>
      </s:c>
      <s:c r="W40" s="221" t="n">
        <s:v>1.093</s:v>
      </s:c>
      <s:c r="X40" s="221" t="n">
        <s:v>1.081</s:v>
      </s:c>
      <s:c r="Y40" s="222" t="n">
        <s:v>465.25</s:v>
      </s:c>
      <s:c r="Z40" s="222" t="n">
        <s:v>470.29</s:v>
      </s:c>
      <s:c r="AA40" s="227" t="n">
        <s:v>5.015</s:v>
      </s:c>
      <s:c r="AB40" s="228" t="inlineStr">
        <s:is>
          <s:t>11,28,320</s:t>
        </s:is>
      </s:c>
      <s:c r="AC40" s="224" t="inlineStr">
        <s:is>
          <s:t>11</s:t>
        </s:is>
      </s:c>
      <s:c r="AD40" s="224" t="inlineStr">
        <s:is>
          <s:t>28,320</s:t>
        </s:is>
      </s:c>
      <s:c r="AE40" s="224" t="n">
        <s:v>0.1912</s:v>
      </s:c>
      <s:c r="AF40" s="225" t="n">
        <s:v>26.22907949790795</s:v>
      </s:c>
      <s:c r="AG40" s="229" t="n">
        <s:v>0.4985044865407933</s:v>
      </s:c>
      <s:c r="AH40" s="220" t="n">
        <s:v>18.4</s:v>
      </s:c>
      <s:c r="AI40" s="221" t="n">
        <s:v>1.093</s:v>
      </s:c>
      <s:c r="AJ40" s="221" t="n">
        <s:v>1.083</s:v>
      </s:c>
      <s:c r="AK40" s="222" t="n">
        <s:v>470.29</s:v>
      </s:c>
      <s:c r="AL40" s="222" t="n">
        <s:v>472.28</s:v>
      </s:c>
      <s:c r="AM40" s="230" t="n">
        <s:v>2.008</s:v>
      </s:c>
      <s:c r="AN40" s="223" t="inlineStr">
        <s:is>
          <s:t>7,26,550</s:t>
        </s:is>
      </s:c>
      <s:c r="AO40" s="224" t="inlineStr">
        <s:is>
          <s:t>7,</s:t>
        </s:is>
      </s:c>
      <s:c r="AP40" s="224" t="inlineStr">
        <s:is>
          <s:t>26,550</s:t>
        </s:is>
      </s:c>
      <s:c r="AQ40" s="224" t="n">
        <s:v>0.1240416666666667</s:v>
      </s:c>
      <s:c r="AR40" s="225" t="n">
        <s:v>16.18810883439704</s:v>
      </s:c>
      <s:c r="AS40" s="229" t="n">
        <s:v>-0.8964143426318603</s:v>
      </s:c>
      <s:c r="AT40" s="231" t="inlineStr">
        <s:is>
          <s:t>CONFORME</s:t>
        </s:is>
      </s:c>
      <s:c r="AU40" s="232">
        <s:f>B40=C40</s:f>
        <s:v/>
      </s:c>
      <s:c r="AV40" s="233">
        <s:f>MID(G40,1,2)</s:f>
        <s:v/>
      </s:c>
      <s:c r="AW40" s="233">
        <s:f>LEN(G40)</s:f>
        <s:v/>
      </s:c>
      <s:c r="AX40" s="233" t="inlineStr">
        <s:is>
          <s:t>OI-0922-2025</s:t>
        </s:is>
      </s:c>
      <s:c r="AY40" s="233">
        <s:f>N40&lt;Y40</s:f>
        <s:v/>
      </s:c>
      <s:c r="AZ40" s="233">
        <s:f>Z40&lt;=AK40</s:f>
        <s:v/>
      </s:c>
      <s:c r="BA40" s="233">
        <s:f>L40&lt;K40</s:f>
        <s:v/>
      </s:c>
      <s:c r="BB40" s="233">
        <s:f>W40&gt;=X40</s:f>
        <s:v/>
      </s:c>
      <s:c r="BC40" s="233">
        <s:f>AI40&gt;=AJ40</s:f>
        <s:v/>
      </s:c>
      <s:c r="BD40" s="233">
        <s:f>IF(I40&gt;=1,"Qcorrecto",IF(AND(BE40="aceptable",BF40="aceptable",BG40="aceptable"),"Qcorrecto","Qincorrecto"))</s:f>
        <s:v/>
      </s:c>
      <s:c r="BE40" s="232">
        <s:f>IF(AR40&lt;$AH$6,"error",IF(AR40&gt;$AH$6*1.1,"error","aceptable"))</s:f>
        <s:v/>
      </s:c>
      <s:c r="BF40" s="232">
        <s:f>IF(AF40&lt;$V$6,"error",IF(AF40&gt;$V$6*1.1,"error","aceptable"))</s:f>
        <s:v/>
      </s:c>
      <s:c r="BG40" s="232">
        <s:f>IF(T40&lt;$J$6*0.9,"error",IF(T40&gt;$J$6,"error","aceptable"))</s:f>
        <s:v/>
      </s:c>
      <s:c r="BH40" s="234">
        <s:f>(IF(ABS(U40)&lt;1,"CONFORME",IF(ABS(AG40)&lt;1,"CONFORME",IF(ABS(AS40)&lt;2.5,"CONFORME","NO CONFORME"))))</s:f>
        <s:v/>
      </s:c>
      <s:c r="BI40" s="235">
        <s:f>(IF(ABS(U40)&gt;2.044,"NO CONFORME",IF(ABS(AG40)&gt;2.044,"NO CONFORME",IF(ABS(AS40)&gt;5.044,"NO CONFORME","CONFORME"))))</s:f>
        <s:v/>
      </s:c>
      <s:c r="BJ40" s="233">
        <s:f>SIGN(U40)</s:f>
        <s:v/>
      </s:c>
      <s:c r="BK40" s="233">
        <s:f>SIGN(AG40)</s:f>
        <s:v/>
      </s:c>
      <s:c r="BL40" s="233">
        <s:f>SIGN(AS40)</s:f>
        <s:v/>
      </s:c>
      <s:c r="BM40" s="233">
        <s:f>CONCATENATE(BJ40,BK40,BL40)</s:f>
        <s:v/>
      </s:c>
      <s:c r="BN40" s="233">
        <s:f>IF(BM40="111","SI","SD")</s:f>
        <s:v/>
      </s:c>
      <s:c r="BO40" s="233">
        <s:f>IF(BM40="-1-1-1","SI","SD")</s:f>
        <s:v/>
      </s:c>
      <s:c r="BP40" s="233">
        <s:f>OR(BN40="SI",BO40="SI")</s:f>
        <s:v/>
      </s:c>
      <s:c r="BQ40" s="233">
        <s:f>IF(BP40=FALSE,"SIGDIFERENTES","SIGIGUALES")</s:f>
        <s:v/>
      </s:c>
      <s:c r="BR40" s="236">
        <s:f>IF(BI40="NO CONFORME","NO CONFORME",IF(BH40="CONFORME","CONFORME","NO CONFORME"))</s:f>
        <s:v/>
      </s:c>
      <s:c r="BS40" s="233">
        <s:f>F40</s:f>
        <s:v/>
      </s:c>
      <s:c r="BT40" s="237">
        <s:f>G40</s:f>
        <s:v/>
      </s:c>
      <s:c r="BU40" s="233">
        <s:f>"20"&amp;+MID(G40,3,2)</s:f>
        <s:v/>
      </s:c>
      <s:c r="BV40" s="238">
        <s:f>C40</s:f>
        <s:v/>
      </s:c>
      <s:c r="BW40" s="233">
        <s:f>AT40</s:f>
        <s:v/>
      </s:c>
      <s:c r="BX40" s="238">
        <s:f>B40</s:f>
        <s:v/>
      </s:c>
      <s:c r="BY40" s="239">
        <s:f>H40</s:f>
        <s:v/>
      </s:c>
      <s:c r="BZ40" s="233">
        <s:f>IF(I40=0,"CONFORME","NO CONFORME")</s:f>
        <s:v/>
      </s:c>
      <s:c r="CA40" s="238">
        <s:f>C40</s:f>
        <s:v/>
      </s:c>
      <s:c r="CB40" s="240">
        <s:f>AH40</s:f>
        <s:v/>
      </s:c>
      <s:c r="CC40" s="241">
        <s:f>AR40</s:f>
        <s:v/>
      </s:c>
      <s:c r="CD40" s="240">
        <s:f>AI40</s:f>
        <s:v/>
      </s:c>
      <s:c r="CE40" s="240">
        <s:f>AJ40</s:f>
        <s:v/>
      </s:c>
      <s:c r="CF40" s="240">
        <s:f>AS40</s:f>
        <s:v/>
      </s:c>
      <s:c r="CG40" s="240">
        <s:f>V40</s:f>
        <s:v/>
      </s:c>
      <s:c r="CH40" s="241">
        <s:f>AF40</s:f>
        <s:v/>
      </s:c>
      <s:c r="CI40" s="240">
        <s:f>W40</s:f>
        <s:v/>
      </s:c>
      <s:c r="CJ40" s="240">
        <s:f>X40</s:f>
        <s:v/>
      </s:c>
      <s:c r="CK40" s="240">
        <s:f>AG40</s:f>
        <s:v/>
      </s:c>
      <s:c r="CL40" s="240">
        <s:f>J40</s:f>
        <s:v/>
      </s:c>
      <s:c r="CM40" s="241">
        <s:f>T40</s:f>
        <s:v/>
      </s:c>
      <s:c r="CN40" s="240">
        <s:f>K40</s:f>
        <s:v/>
      </s:c>
      <s:c r="CO40" s="240">
        <s:f>L40</s:f>
        <s:v/>
      </s:c>
      <s:c r="CP40" s="242">
        <s:f>U40</s:f>
        <s:v/>
      </s:c>
      <s:c r="CQ40" s="233">
        <s:f>AT40</s:f>
        <s:v/>
      </s:c>
    </s:row>
    <s:row r="41">
      <s:c r="A41" s="211" t="n">
        <s:v>24</s:v>
      </s:c>
      <s:c r="B41" s="212" t="n">
        <s:v>45901</s:v>
      </s:c>
      <s:c r="C41" s="213" t="n">
        <s:v>45901</s:v>
      </s:c>
      <s:c r="D41" s="214" t="n">
        <s:v>3</s:v>
      </s:c>
      <s:c r="E41" s="215" t="n">
        <s:v>13</s:v>
      </s:c>
      <s:c r="F41" s="216" t="inlineStr">
        <s:is>
          <s:t>VI-236516-2025</s:t>
        </s:is>
      </s:c>
      <s:c r="G41" s="217" t="inlineStr">
        <s:is>
          <s:t>QA25418170</s:t>
        </s:is>
      </s:c>
      <s:c r="H41" s="218" t="n">
        <s:v>16</s:v>
      </s:c>
      <s:c r="I41" s="219" t="n">
        <s:v>0</s:v>
      </s:c>
      <s:c r="J41" s="220" t="n">
        <s:v>18.4</s:v>
      </s:c>
      <s:c r="K41" s="221" t="n">
        <s:v>7.514</s:v>
      </s:c>
      <s:c r="L41" s="221" t="n">
        <s:v>1.212</s:v>
      </s:c>
      <s:c r="M41" s="222" t="n">
        <s:v>328.96</s:v>
      </s:c>
      <s:c r="N41" s="222" t="n">
        <s:v>427.83</s:v>
      </s:c>
      <s:c r="O41" s="222" t="n">
        <s:v>100.51</s:v>
      </s:c>
      <s:c r="P41" s="223" t="inlineStr">
        <s:is>
          <s:t>2,30,780</s:t>
        </s:is>
      </s:c>
      <s:c r="Q41" s="224" t="inlineStr">
        <s:is>
          <s:t>2</s:t>
        </s:is>
      </s:c>
      <s:c r="R41" s="224" t="inlineStr">
        <s:is>
          <s:t>30,780</s:t>
        </s:is>
      </s:c>
      <s:c r="S41" s="224" t="n">
        <s:v>0.04188333333333333</s:v>
      </s:c>
      <s:c r="T41" s="225" t="n">
        <s:v>2399.761241543971</s:v>
      </s:c>
      <s:c r="U41" s="226" t="n">
        <s:v>-1.631678439956224</s:v>
      </s:c>
      <s:c r="V41" s="220" t="n">
        <s:v>18.2</s:v>
      </s:c>
      <s:c r="W41" s="221" t="n">
        <s:v>1.093</s:v>
      </s:c>
      <s:c r="X41" s="221" t="n">
        <s:v>1.081</s:v>
      </s:c>
      <s:c r="Y41" s="222" t="n">
        <s:v>438.58</s:v>
      </s:c>
      <s:c r="Z41" s="222" t="n">
        <s:v>443.63</s:v>
      </s:c>
      <s:c r="AA41" s="227" t="n">
        <s:v>5.015</s:v>
      </s:c>
      <s:c r="AB41" s="228" t="inlineStr">
        <s:is>
          <s:t>11,28,320</s:t>
        </s:is>
      </s:c>
      <s:c r="AC41" s="224" t="inlineStr">
        <s:is>
          <s:t>11</s:t>
        </s:is>
      </s:c>
      <s:c r="AD41" s="224" t="inlineStr">
        <s:is>
          <s:t>28,320</s:t>
        </s:is>
      </s:c>
      <s:c r="AE41" s="224" t="n">
        <s:v>0.1912</s:v>
      </s:c>
      <s:c r="AF41" s="225" t="n">
        <s:v>26.22907949790795</s:v>
      </s:c>
      <s:c r="AG41" s="229" t="n">
        <s:v>0.6979062811567636</s:v>
      </s:c>
      <s:c r="AH41" s="220" t="n">
        <s:v>18.4</s:v>
      </s:c>
      <s:c r="AI41" s="221" t="n">
        <s:v>1.093</s:v>
      </s:c>
      <s:c r="AJ41" s="221" t="n">
        <s:v>1.083</s:v>
      </s:c>
      <s:c r="AK41" s="222" t="n">
        <s:v>443.63</s:v>
      </s:c>
      <s:c r="AL41" s="222" t="n">
        <s:v>445.66</s:v>
      </s:c>
      <s:c r="AM41" s="230" t="n">
        <s:v>2.008</s:v>
      </s:c>
      <s:c r="AN41" s="223" t="inlineStr">
        <s:is>
          <s:t>7,26,550</s:t>
        </s:is>
      </s:c>
      <s:c r="AO41" s="224" t="inlineStr">
        <s:is>
          <s:t>7,</s:t>
        </s:is>
      </s:c>
      <s:c r="AP41" s="224" t="inlineStr">
        <s:is>
          <s:t>26,550</s:t>
        </s:is>
      </s:c>
      <s:c r="AQ41" s="224" t="n">
        <s:v>0.1240416666666667</s:v>
      </s:c>
      <s:c r="AR41" s="225" t="n">
        <s:v>16.18810883439704</s:v>
      </s:c>
      <s:c r="AS41" s="229" t="n">
        <s:v>1.09561752988195</s:v>
      </s:c>
      <s:c r="AT41" s="231" t="inlineStr">
        <s:is>
          <s:t>CONFORME</s:t>
        </s:is>
      </s:c>
      <s:c r="AU41" s="232">
        <s:f>B41=C41</s:f>
        <s:v/>
      </s:c>
      <s:c r="AV41" s="233">
        <s:f>MID(G41,1,2)</s:f>
        <s:v/>
      </s:c>
      <s:c r="AW41" s="233">
        <s:f>LEN(G41)</s:f>
        <s:v/>
      </s:c>
      <s:c r="AX41" s="233" t="inlineStr">
        <s:is>
          <s:t>OI-0922-2025</s:t>
        </s:is>
      </s:c>
      <s:c r="AY41" s="233">
        <s:f>N41&lt;Y41</s:f>
        <s:v/>
      </s:c>
      <s:c r="AZ41" s="233">
        <s:f>Z41&lt;=AK41</s:f>
        <s:v/>
      </s:c>
      <s:c r="BA41" s="233">
        <s:f>L41&lt;K41</s:f>
        <s:v/>
      </s:c>
      <s:c r="BB41" s="233">
        <s:f>W41&gt;=X41</s:f>
        <s:v/>
      </s:c>
      <s:c r="BC41" s="233">
        <s:f>AI41&gt;=AJ41</s:f>
        <s:v/>
      </s:c>
      <s:c r="BD41" s="233">
        <s:f>IF(I41&gt;=1,"Qcorrecto",IF(AND(BE41="aceptable",BF41="aceptable",BG41="aceptable"),"Qcorrecto","Qincorrecto"))</s:f>
        <s:v/>
      </s:c>
      <s:c r="BE41" s="232">
        <s:f>IF(AR41&lt;$AH$6,"error",IF(AR41&gt;$AH$6*1.1,"error","aceptable"))</s:f>
        <s:v/>
      </s:c>
      <s:c r="BF41" s="232">
        <s:f>IF(AF41&lt;$V$6,"error",IF(AF41&gt;$V$6*1.1,"error","aceptable"))</s:f>
        <s:v/>
      </s:c>
      <s:c r="BG41" s="232">
        <s:f>IF(T41&lt;$J$6*0.9,"error",IF(T41&gt;$J$6,"error","aceptable"))</s:f>
        <s:v/>
      </s:c>
      <s:c r="BH41" s="234">
        <s:f>(IF(ABS(U41)&lt;1,"CONFORME",IF(ABS(AG41)&lt;1,"CONFORME",IF(ABS(AS41)&lt;2.5,"CONFORME","NO CONFORME"))))</s:f>
        <s:v/>
      </s:c>
      <s:c r="BI41" s="235">
        <s:f>(IF(ABS(U41)&gt;2.044,"NO CONFORME",IF(ABS(AG41)&gt;2.044,"NO CONFORME",IF(ABS(AS41)&gt;5.044,"NO CONFORME","CONFORME"))))</s:f>
        <s:v/>
      </s:c>
      <s:c r="BJ41" s="233">
        <s:f>SIGN(U41)</s:f>
        <s:v/>
      </s:c>
      <s:c r="BK41" s="233">
        <s:f>SIGN(AG41)</s:f>
        <s:v/>
      </s:c>
      <s:c r="BL41" s="233">
        <s:f>SIGN(AS41)</s:f>
        <s:v/>
      </s:c>
      <s:c r="BM41" s="233">
        <s:f>CONCATENATE(BJ41,BK41,BL41)</s:f>
        <s:v/>
      </s:c>
      <s:c r="BN41" s="233">
        <s:f>IF(BM41="111","SI","SD")</s:f>
        <s:v/>
      </s:c>
      <s:c r="BO41" s="233">
        <s:f>IF(BM41="-1-1-1","SI","SD")</s:f>
        <s:v/>
      </s:c>
      <s:c r="BP41" s="233">
        <s:f>OR(BN41="SI",BO41="SI")</s:f>
        <s:v/>
      </s:c>
      <s:c r="BQ41" s="233">
        <s:f>IF(BP41=FALSE,"SIGDIFERENTES","SIGIGUALES")</s:f>
        <s:v/>
      </s:c>
      <s:c r="BR41" s="236">
        <s:f>IF(BI41="NO CONFORME","NO CONFORME",IF(BH41="CONFORME","CONFORME","NO CONFORME"))</s:f>
        <s:v/>
      </s:c>
      <s:c r="BS41" s="233">
        <s:f>F41</s:f>
        <s:v/>
      </s:c>
      <s:c r="BT41" s="237">
        <s:f>G41</s:f>
        <s:v/>
      </s:c>
      <s:c r="BU41" s="233">
        <s:f>"20"&amp;+MID(G41,3,2)</s:f>
        <s:v/>
      </s:c>
      <s:c r="BV41" s="238">
        <s:f>C41</s:f>
        <s:v/>
      </s:c>
      <s:c r="BW41" s="233">
        <s:f>AT41</s:f>
        <s:v/>
      </s:c>
      <s:c r="BX41" s="238">
        <s:f>B41</s:f>
        <s:v/>
      </s:c>
      <s:c r="BY41" s="239">
        <s:f>H41</s:f>
        <s:v/>
      </s:c>
      <s:c r="BZ41" s="233">
        <s:f>IF(I41=0,"CONFORME","NO CONFORME")</s:f>
        <s:v/>
      </s:c>
      <s:c r="CA41" s="238">
        <s:f>C41</s:f>
        <s:v/>
      </s:c>
      <s:c r="CB41" s="240">
        <s:f>AH41</s:f>
        <s:v/>
      </s:c>
      <s:c r="CC41" s="241">
        <s:f>AR41</s:f>
        <s:v/>
      </s:c>
      <s:c r="CD41" s="240">
        <s:f>AI41</s:f>
        <s:v/>
      </s:c>
      <s:c r="CE41" s="240">
        <s:f>AJ41</s:f>
        <s:v/>
      </s:c>
      <s:c r="CF41" s="240">
        <s:f>AS41</s:f>
        <s:v/>
      </s:c>
      <s:c r="CG41" s="240">
        <s:f>V41</s:f>
        <s:v/>
      </s:c>
      <s:c r="CH41" s="241">
        <s:f>AF41</s:f>
        <s:v/>
      </s:c>
      <s:c r="CI41" s="240">
        <s:f>W41</s:f>
        <s:v/>
      </s:c>
      <s:c r="CJ41" s="240">
        <s:f>X41</s:f>
        <s:v/>
      </s:c>
      <s:c r="CK41" s="240">
        <s:f>AG41</s:f>
        <s:v/>
      </s:c>
      <s:c r="CL41" s="240">
        <s:f>J41</s:f>
        <s:v/>
      </s:c>
      <s:c r="CM41" s="241">
        <s:f>T41</s:f>
        <s:v/>
      </s:c>
      <s:c r="CN41" s="240">
        <s:f>K41</s:f>
        <s:v/>
      </s:c>
      <s:c r="CO41" s="240">
        <s:f>L41</s:f>
        <s:v/>
      </s:c>
      <s:c r="CP41" s="242">
        <s:f>U41</s:f>
        <s:v/>
      </s:c>
      <s:c r="CQ41" s="233">
        <s:f>AT41</s:f>
        <s:v/>
      </s:c>
    </s:row>
    <s:row r="42">
      <s:c r="A42" s="211" t="n">
        <s:v>25</s:v>
      </s:c>
      <s:c r="B42" s="212" t="n">
        <s:v>45901</s:v>
      </s:c>
      <s:c r="C42" s="213" t="n">
        <s:v>45901</s:v>
      </s:c>
      <s:c r="D42" s="214" t="n">
        <s:v>3</s:v>
      </s:c>
      <s:c r="E42" s="215" t="n">
        <s:v>13</s:v>
      </s:c>
      <s:c r="F42" s="216" t="inlineStr">
        <s:is>
          <s:t>VI-236517-2025</s:t>
        </s:is>
      </s:c>
      <s:c r="G42" s="217" t="inlineStr">
        <s:is>
          <s:t>QA25417745</s:t>
        </s:is>
      </s:c>
      <s:c r="H42" s="218" t="n">
        <s:v>16</s:v>
      </s:c>
      <s:c r="I42" s="219" t="n">
        <s:v>0</s:v>
      </s:c>
      <s:c r="J42" s="220" t="n">
        <s:v>18.4</s:v>
      </s:c>
      <s:c r="K42" s="221" t="n">
        <s:v>7.509</s:v>
      </s:c>
      <s:c r="L42" s="221" t="n">
        <s:v>1.252</s:v>
      </s:c>
      <s:c r="M42" s="222" t="n">
        <s:v>302.47</s:v>
      </s:c>
      <s:c r="N42" s="222" t="n">
        <s:v>402.26</s:v>
      </s:c>
      <s:c r="O42" s="222" t="n">
        <s:v>100.6</s:v>
      </s:c>
      <s:c r="P42" s="223" t="inlineStr">
        <s:is>
          <s:t>2,30,820</s:t>
        </s:is>
      </s:c>
      <s:c r="Q42" s="224" t="inlineStr">
        <s:is>
          <s:t>2</s:t>
        </s:is>
      </s:c>
      <s:c r="R42" s="224" t="inlineStr">
        <s:is>
          <s:t>30,820</s:t>
        </s:is>
      </s:c>
      <s:c r="S42" s="224" t="n">
        <s:v>0.04189444444444444</s:v>
      </s:c>
      <s:c r="T42" s="225" t="n">
        <s:v>2401.273040710781</s:v>
      </s:c>
      <s:c r="U42" s="226" t="n">
        <s:v>-0.8051689860835296</s:v>
      </s:c>
      <s:c r="V42" s="220" t="n">
        <s:v>18.3</s:v>
      </s:c>
      <s:c r="W42" s="221" t="n">
        <s:v>1.095</s:v>
      </s:c>
      <s:c r="X42" s="221" t="n">
        <s:v>1.082</s:v>
      </s:c>
      <s:c r="Y42" s="222" t="n">
        <s:v>414.36</s:v>
      </s:c>
      <s:c r="Z42" s="222" t="n">
        <s:v>419.37</s:v>
      </s:c>
      <s:c r="AA42" s="227" t="n">
        <s:v>5.012</s:v>
      </s:c>
      <s:c r="AB42" s="228" t="inlineStr">
        <s:is>
          <s:t>11,20,970</s:t>
        </s:is>
      </s:c>
      <s:c r="AC42" s="224" t="inlineStr">
        <s:is>
          <s:t>11</s:t>
        </s:is>
      </s:c>
      <s:c r="AD42" s="224" t="inlineStr">
        <s:is>
          <s:t>20,970</s:t>
        </s:is>
      </s:c>
      <s:c r="AE42" s="224" t="n">
        <s:v>0.1891583333333333</s:v>
      </s:c>
      <s:c r="AF42" s="225" t="n">
        <s:v>26.49632142385127</s:v>
      </s:c>
      <s:c r="AG42" s="229" t="n">
        <s:v>-0.03990422984853675</s:v>
      </s:c>
      <s:c r="AH42" s="220" t="n">
        <s:v>18.4</s:v>
      </s:c>
      <s:c r="AI42" s="221" t="n">
        <s:v>1.098</s:v>
      </s:c>
      <s:c r="AJ42" s="221" t="n">
        <s:v>1.085</s:v>
      </s:c>
      <s:c r="AK42" s="222" t="n">
        <s:v>419.37</s:v>
      </s:c>
      <s:c r="AL42" s="222" t="n">
        <s:v>421.33</s:v>
      </s:c>
      <s:c r="AM42" s="230" t="n">
        <s:v>2.007</s:v>
      </s:c>
      <s:c r="AN42" s="223" t="inlineStr">
        <s:is>
          <s:t>7,26,550</s:t>
        </s:is>
      </s:c>
      <s:c r="AO42" s="224" t="inlineStr">
        <s:is>
          <s:t>7,</s:t>
        </s:is>
      </s:c>
      <s:c r="AP42" s="224" t="inlineStr">
        <s:is>
          <s:t>26,550</s:t>
        </s:is>
      </s:c>
      <s:c r="AQ42" s="224" t="n">
        <s:v>0.1240416666666667</s:v>
      </s:c>
      <s:c r="AR42" s="225" t="n">
        <s:v>16.1800470272086</s:v>
      </s:c>
      <s:c r="AS42" s="229" t="n">
        <s:v>-2.341803687096192</s:v>
      </s:c>
      <s:c r="AT42" s="231" t="inlineStr">
        <s:is>
          <s:t>CONFORME</s:t>
        </s:is>
      </s:c>
      <s:c r="AU42" s="232">
        <s:f>B42=C42</s:f>
        <s:v/>
      </s:c>
      <s:c r="AV42" s="233">
        <s:f>MID(G42,1,2)</s:f>
        <s:v/>
      </s:c>
      <s:c r="AW42" s="233">
        <s:f>LEN(G42)</s:f>
        <s:v/>
      </s:c>
      <s:c r="AX42" s="233" t="inlineStr">
        <s:is>
          <s:t>OI-0922-2025</s:t>
        </s:is>
      </s:c>
      <s:c r="AY42" s="233">
        <s:f>N42&lt;Y42</s:f>
        <s:v/>
      </s:c>
      <s:c r="AZ42" s="233">
        <s:f>Z42&lt;=AK42</s:f>
        <s:v/>
      </s:c>
      <s:c r="BA42" s="233">
        <s:f>L42&lt;K42</s:f>
        <s:v/>
      </s:c>
      <s:c r="BB42" s="233">
        <s:f>W42&gt;=X42</s:f>
        <s:v/>
      </s:c>
      <s:c r="BC42" s="233">
        <s:f>AI42&gt;=AJ42</s:f>
        <s:v/>
      </s:c>
      <s:c r="BD42" s="233">
        <s:f>IF(I42&gt;=1,"Qcorrecto",IF(AND(BE42="aceptable",BF42="aceptable",BG42="aceptable"),"Qcorrecto","Qincorrecto"))</s:f>
        <s:v/>
      </s:c>
      <s:c r="BE42" s="232">
        <s:f>IF(AR42&lt;$AH$6,"error",IF(AR42&gt;$AH$6*1.1,"error","aceptable"))</s:f>
        <s:v/>
      </s:c>
      <s:c r="BF42" s="232">
        <s:f>IF(AF42&lt;$V$6,"error",IF(AF42&gt;$V$6*1.1,"error","aceptable"))</s:f>
        <s:v/>
      </s:c>
      <s:c r="BG42" s="232">
        <s:f>IF(T42&lt;$J$6*0.9,"error",IF(T42&gt;$J$6,"error","aceptable"))</s:f>
        <s:v/>
      </s:c>
      <s:c r="BH42" s="234">
        <s:f>(IF(ABS(U42)&lt;1,"CONFORME",IF(ABS(AG42)&lt;1,"CONFORME",IF(ABS(AS42)&lt;2.5,"CONFORME","NO CONFORME"))))</s:f>
        <s:v/>
      </s:c>
      <s:c r="BI42" s="235">
        <s:f>(IF(ABS(U42)&gt;2.044,"NO CONFORME",IF(ABS(AG42)&gt;2.044,"NO CONFORME",IF(ABS(AS42)&gt;5.044,"NO CONFORME","CONFORME"))))</s:f>
        <s:v/>
      </s:c>
      <s:c r="BJ42" s="233">
        <s:f>SIGN(U42)</s:f>
        <s:v/>
      </s:c>
      <s:c r="BK42" s="233">
        <s:f>SIGN(AG42)</s:f>
        <s:v/>
      </s:c>
      <s:c r="BL42" s="233">
        <s:f>SIGN(AS42)</s:f>
        <s:v/>
      </s:c>
      <s:c r="BM42" s="233">
        <s:f>CONCATENATE(BJ42,BK42,BL42)</s:f>
        <s:v/>
      </s:c>
      <s:c r="BN42" s="233">
        <s:f>IF(BM42="111","SI","SD")</s:f>
        <s:v/>
      </s:c>
      <s:c r="BO42" s="233">
        <s:f>IF(BM42="-1-1-1","SI","SD")</s:f>
        <s:v/>
      </s:c>
      <s:c r="BP42" s="233">
        <s:f>OR(BN42="SI",BO42="SI")</s:f>
        <s:v/>
      </s:c>
      <s:c r="BQ42" s="233">
        <s:f>IF(BP42=FALSE,"SIGDIFERENTES","SIGIGUALES")</s:f>
        <s:v/>
      </s:c>
      <s:c r="BR42" s="236">
        <s:f>IF(BI42="NO CONFORME","NO CONFORME",IF(BH42="CONFORME","CONFORME","NO CONFORME"))</s:f>
        <s:v/>
      </s:c>
      <s:c r="BS42" s="233">
        <s:f>F42</s:f>
        <s:v/>
      </s:c>
      <s:c r="BT42" s="237">
        <s:f>G42</s:f>
        <s:v/>
      </s:c>
      <s:c r="BU42" s="233">
        <s:f>"20"&amp;+MID(G42,3,2)</s:f>
        <s:v/>
      </s:c>
      <s:c r="BV42" s="238">
        <s:f>C42</s:f>
        <s:v/>
      </s:c>
      <s:c r="BW42" s="233">
        <s:f>AT42</s:f>
        <s:v/>
      </s:c>
      <s:c r="BX42" s="238">
        <s:f>B42</s:f>
        <s:v/>
      </s:c>
      <s:c r="BY42" s="239">
        <s:f>H42</s:f>
        <s:v/>
      </s:c>
      <s:c r="BZ42" s="233">
        <s:f>IF(I42=0,"CONFORME","NO CONFORME")</s:f>
        <s:v/>
      </s:c>
      <s:c r="CA42" s="238">
        <s:f>C42</s:f>
        <s:v/>
      </s:c>
      <s:c r="CB42" s="240">
        <s:f>AH42</s:f>
        <s:v/>
      </s:c>
      <s:c r="CC42" s="241">
        <s:f>AR42</s:f>
        <s:v/>
      </s:c>
      <s:c r="CD42" s="240">
        <s:f>AI42</s:f>
        <s:v/>
      </s:c>
      <s:c r="CE42" s="240">
        <s:f>AJ42</s:f>
        <s:v/>
      </s:c>
      <s:c r="CF42" s="240">
        <s:f>AS42</s:f>
        <s:v/>
      </s:c>
      <s:c r="CG42" s="240">
        <s:f>V42</s:f>
        <s:v/>
      </s:c>
      <s:c r="CH42" s="241">
        <s:f>AF42</s:f>
        <s:v/>
      </s:c>
      <s:c r="CI42" s="240">
        <s:f>W42</s:f>
        <s:v/>
      </s:c>
      <s:c r="CJ42" s="240">
        <s:f>X42</s:f>
        <s:v/>
      </s:c>
      <s:c r="CK42" s="240">
        <s:f>AG42</s:f>
        <s:v/>
      </s:c>
      <s:c r="CL42" s="240">
        <s:f>J42</s:f>
        <s:v/>
      </s:c>
      <s:c r="CM42" s="241">
        <s:f>T42</s:f>
        <s:v/>
      </s:c>
      <s:c r="CN42" s="240">
        <s:f>K42</s:f>
        <s:v/>
      </s:c>
      <s:c r="CO42" s="240">
        <s:f>L42</s:f>
        <s:v/>
      </s:c>
      <s:c r="CP42" s="242">
        <s:f>U42</s:f>
        <s:v/>
      </s:c>
      <s:c r="CQ42" s="233">
        <s:f>AT42</s:f>
        <s:v/>
      </s:c>
    </s:row>
    <s:row r="43">
      <s:c r="A43" s="211" t="n">
        <s:v>26</s:v>
      </s:c>
      <s:c r="B43" s="212" t="n">
        <s:v>45901</s:v>
      </s:c>
      <s:c r="C43" s="213" t="n">
        <s:v>45901</s:v>
      </s:c>
      <s:c r="D43" s="214" t="n">
        <s:v>3</s:v>
      </s:c>
      <s:c r="E43" s="215" t="n">
        <s:v>13</s:v>
      </s:c>
      <s:c r="F43" s="216" t="inlineStr">
        <s:is>
          <s:t>VI-236518-2025</s:t>
        </s:is>
      </s:c>
      <s:c r="G43" s="217" t="inlineStr">
        <s:is>
          <s:t>QA25417744</s:t>
        </s:is>
      </s:c>
      <s:c r="H43" s="218" t="n">
        <s:v>16</s:v>
      </s:c>
      <s:c r="I43" s="219" t="n">
        <s:v>0</s:v>
      </s:c>
      <s:c r="J43" s="220" t="n">
        <s:v>18.4</s:v>
      </s:c>
      <s:c r="K43" s="221" t="n">
        <s:v>7.509</s:v>
      </s:c>
      <s:c r="L43" s="221" t="n">
        <s:v>1.252</s:v>
      </s:c>
      <s:c r="M43" s="222" t="n">
        <s:v>302.66</s:v>
      </s:c>
      <s:c r="N43" s="222" t="n">
        <s:v>402.15</s:v>
      </s:c>
      <s:c r="O43" s="222" t="n">
        <s:v>100.6</s:v>
      </s:c>
      <s:c r="P43" s="223" t="inlineStr">
        <s:is>
          <s:t>2,30,820</s:t>
        </s:is>
      </s:c>
      <s:c r="Q43" s="224" t="inlineStr">
        <s:is>
          <s:t>2</s:t>
        </s:is>
      </s:c>
      <s:c r="R43" s="224" t="inlineStr">
        <s:is>
          <s:t>30,820</s:t>
        </s:is>
      </s:c>
      <s:c r="S43" s="224" t="n">
        <s:v>0.04189444444444444</s:v>
      </s:c>
      <s:c r="T43" s="225" t="n">
        <s:v>2401.273040710781</s:v>
      </s:c>
      <s:c r="U43" s="226" t="n">
        <s:v>-1.103379721670022</s:v>
      </s:c>
      <s:c r="V43" s="220" t="n">
        <s:v>18.3</s:v>
      </s:c>
      <s:c r="W43" s="221" t="n">
        <s:v>1.095</s:v>
      </s:c>
      <s:c r="X43" s="221" t="n">
        <s:v>1.082</s:v>
      </s:c>
      <s:c r="Y43" s="222" t="n">
        <s:v>414.21</s:v>
      </s:c>
      <s:c r="Z43" s="222" t="n">
        <s:v>419.24</s:v>
      </s:c>
      <s:c r="AA43" s="227" t="n">
        <s:v>5.012</s:v>
      </s:c>
      <s:c r="AB43" s="228" t="inlineStr">
        <s:is>
          <s:t>11,20,970</s:t>
        </s:is>
      </s:c>
      <s:c r="AC43" s="224" t="inlineStr">
        <s:is>
          <s:t>11</s:t>
        </s:is>
      </s:c>
      <s:c r="AD43" s="224" t="inlineStr">
        <s:is>
          <s:t>20,970</s:t>
        </s:is>
      </s:c>
      <s:c r="AE43" s="224" t="n">
        <s:v>0.1891583333333333</s:v>
      </s:c>
      <s:c r="AF43" s="225" t="n">
        <s:v>26.49632142385127</s:v>
      </s:c>
      <s:c r="AG43" s="229" t="n">
        <s:v>0.3591380686358738</s:v>
      </s:c>
      <s:c r="AH43" s="220" t="n">
        <s:v>18.4</s:v>
      </s:c>
      <s:c r="AI43" s="221" t="n">
        <s:v>1.098</s:v>
      </s:c>
      <s:c r="AJ43" s="221" t="n">
        <s:v>1.085</s:v>
      </s:c>
      <s:c r="AK43" s="222" t="n">
        <s:v>419.24</s:v>
      </s:c>
      <s:c r="AL43" s="222" t="n">
        <s:v>421.23</s:v>
      </s:c>
      <s:c r="AM43" s="230" t="n">
        <s:v>2.007</s:v>
      </s:c>
      <s:c r="AN43" s="223" t="inlineStr">
        <s:is>
          <s:t>7,26,550</s:t>
        </s:is>
      </s:c>
      <s:c r="AO43" s="224" t="inlineStr">
        <s:is>
          <s:t>7,</s:t>
        </s:is>
      </s:c>
      <s:c r="AP43" s="224" t="inlineStr">
        <s:is>
          <s:t>26,550</s:t>
        </s:is>
      </s:c>
      <s:c r="AQ43" s="224" t="n">
        <s:v>0.1240416666666667</s:v>
      </s:c>
      <s:c r="AR43" s="225" t="n">
        <s:v>16.1800470272086</s:v>
      </s:c>
      <s:c r="AS43" s="229" t="n">
        <s:v>-0.8470353761829108</s:v>
      </s:c>
      <s:c r="AT43" s="231" t="inlineStr">
        <s:is>
          <s:t>CONFORME</s:t>
        </s:is>
      </s:c>
      <s:c r="AU43" s="232">
        <s:f>B43=C43</s:f>
        <s:v/>
      </s:c>
      <s:c r="AV43" s="233">
        <s:f>MID(G43,1,2)</s:f>
        <s:v/>
      </s:c>
      <s:c r="AW43" s="233">
        <s:f>LEN(G43)</s:f>
        <s:v/>
      </s:c>
      <s:c r="AX43" s="233" t="inlineStr">
        <s:is>
          <s:t>OI-0922-2025</s:t>
        </s:is>
      </s:c>
      <s:c r="AY43" s="233">
        <s:f>N43&lt;Y43</s:f>
        <s:v/>
      </s:c>
      <s:c r="AZ43" s="233">
        <s:f>Z43&lt;=AK43</s:f>
        <s:v/>
      </s:c>
      <s:c r="BA43" s="233">
        <s:f>L43&lt;K43</s:f>
        <s:v/>
      </s:c>
      <s:c r="BB43" s="233">
        <s:f>W43&gt;=X43</s:f>
        <s:v/>
      </s:c>
      <s:c r="BC43" s="233">
        <s:f>AI43&gt;=AJ43</s:f>
        <s:v/>
      </s:c>
      <s:c r="BD43" s="233">
        <s:f>IF(I43&gt;=1,"Qcorrecto",IF(AND(BE43="aceptable",BF43="aceptable",BG43="aceptable"),"Qcorrecto","Qincorrecto"))</s:f>
        <s:v/>
      </s:c>
      <s:c r="BE43" s="232">
        <s:f>IF(AR43&lt;$AH$6,"error",IF(AR43&gt;$AH$6*1.1,"error","aceptable"))</s:f>
        <s:v/>
      </s:c>
      <s:c r="BF43" s="232">
        <s:f>IF(AF43&lt;$V$6,"error",IF(AF43&gt;$V$6*1.1,"error","aceptable"))</s:f>
        <s:v/>
      </s:c>
      <s:c r="BG43" s="232">
        <s:f>IF(T43&lt;$J$6*0.9,"error",IF(T43&gt;$J$6,"error","aceptable"))</s:f>
        <s:v/>
      </s:c>
      <s:c r="BH43" s="234">
        <s:f>(IF(ABS(U43)&lt;1,"CONFORME",IF(ABS(AG43)&lt;1,"CONFORME",IF(ABS(AS43)&lt;2.5,"CONFORME","NO CONFORME"))))</s:f>
        <s:v/>
      </s:c>
      <s:c r="BI43" s="235">
        <s:f>(IF(ABS(U43)&gt;2.044,"NO CONFORME",IF(ABS(AG43)&gt;2.044,"NO CONFORME",IF(ABS(AS43)&gt;5.044,"NO CONFORME","CONFORME"))))</s:f>
        <s:v/>
      </s:c>
      <s:c r="BJ43" s="233">
        <s:f>SIGN(U43)</s:f>
        <s:v/>
      </s:c>
      <s:c r="BK43" s="233">
        <s:f>SIGN(AG43)</s:f>
        <s:v/>
      </s:c>
      <s:c r="BL43" s="233">
        <s:f>SIGN(AS43)</s:f>
        <s:v/>
      </s:c>
      <s:c r="BM43" s="233">
        <s:f>CONCATENATE(BJ43,BK43,BL43)</s:f>
        <s:v/>
      </s:c>
      <s:c r="BN43" s="233">
        <s:f>IF(BM43="111","SI","SD")</s:f>
        <s:v/>
      </s:c>
      <s:c r="BO43" s="233">
        <s:f>IF(BM43="-1-1-1","SI","SD")</s:f>
        <s:v/>
      </s:c>
      <s:c r="BP43" s="233">
        <s:f>OR(BN43="SI",BO43="SI")</s:f>
        <s:v/>
      </s:c>
      <s:c r="BQ43" s="233">
        <s:f>IF(BP43=FALSE,"SIGDIFERENTES","SIGIGUALES")</s:f>
        <s:v/>
      </s:c>
      <s:c r="BR43" s="236">
        <s:f>IF(BI43="NO CONFORME","NO CONFORME",IF(BH43="CONFORME","CONFORME","NO CONFORME"))</s:f>
        <s:v/>
      </s:c>
      <s:c r="BS43" s="233">
        <s:f>F43</s:f>
        <s:v/>
      </s:c>
      <s:c r="BT43" s="237">
        <s:f>G43</s:f>
        <s:v/>
      </s:c>
      <s:c r="BU43" s="233">
        <s:f>"20"&amp;+MID(G43,3,2)</s:f>
        <s:v/>
      </s:c>
      <s:c r="BV43" s="238">
        <s:f>C43</s:f>
        <s:v/>
      </s:c>
      <s:c r="BW43" s="233">
        <s:f>AT43</s:f>
        <s:v/>
      </s:c>
      <s:c r="BX43" s="238">
        <s:f>B43</s:f>
        <s:v/>
      </s:c>
      <s:c r="BY43" s="239">
        <s:f>H43</s:f>
        <s:v/>
      </s:c>
      <s:c r="BZ43" s="233">
        <s:f>IF(I43=0,"CONFORME","NO CONFORME")</s:f>
        <s:v/>
      </s:c>
      <s:c r="CA43" s="238">
        <s:f>C43</s:f>
        <s:v/>
      </s:c>
      <s:c r="CB43" s="240">
        <s:f>AH43</s:f>
        <s:v/>
      </s:c>
      <s:c r="CC43" s="241">
        <s:f>AR43</s:f>
        <s:v/>
      </s:c>
      <s:c r="CD43" s="240">
        <s:f>AI43</s:f>
        <s:v/>
      </s:c>
      <s:c r="CE43" s="240">
        <s:f>AJ43</s:f>
        <s:v/>
      </s:c>
      <s:c r="CF43" s="240">
        <s:f>AS43</s:f>
        <s:v/>
      </s:c>
      <s:c r="CG43" s="240">
        <s:f>V43</s:f>
        <s:v/>
      </s:c>
      <s:c r="CH43" s="241">
        <s:f>AF43</s:f>
        <s:v/>
      </s:c>
      <s:c r="CI43" s="240">
        <s:f>W43</s:f>
        <s:v/>
      </s:c>
      <s:c r="CJ43" s="240">
        <s:f>X43</s:f>
        <s:v/>
      </s:c>
      <s:c r="CK43" s="240">
        <s:f>AG43</s:f>
        <s:v/>
      </s:c>
      <s:c r="CL43" s="240">
        <s:f>J43</s:f>
        <s:v/>
      </s:c>
      <s:c r="CM43" s="241">
        <s:f>T43</s:f>
        <s:v/>
      </s:c>
      <s:c r="CN43" s="240">
        <s:f>K43</s:f>
        <s:v/>
      </s:c>
      <s:c r="CO43" s="240">
        <s:f>L43</s:f>
        <s:v/>
      </s:c>
      <s:c r="CP43" s="242">
        <s:f>U43</s:f>
        <s:v/>
      </s:c>
      <s:c r="CQ43" s="233">
        <s:f>AT43</s:f>
        <s:v/>
      </s:c>
    </s:row>
    <s:row r="44">
      <s:c r="A44" s="211" t="n">
        <s:v>27</s:v>
      </s:c>
      <s:c r="B44" s="212" t="n">
        <s:v>45901</s:v>
      </s:c>
      <s:c r="C44" s="213" t="n">
        <s:v>45901</s:v>
      </s:c>
      <s:c r="D44" s="214" t="n">
        <s:v>3</s:v>
      </s:c>
      <s:c r="E44" s="215" t="n">
        <s:v>13</s:v>
      </s:c>
      <s:c r="F44" s="216" t="inlineStr">
        <s:is>
          <s:t>VI-236519-2025</s:t>
        </s:is>
      </s:c>
      <s:c r="G44" s="217" t="inlineStr">
        <s:is>
          <s:t>QA25417652</s:t>
        </s:is>
      </s:c>
      <s:c r="H44" s="218" t="n">
        <s:v>16</s:v>
      </s:c>
      <s:c r="I44" s="219" t="n">
        <s:v>0</s:v>
      </s:c>
      <s:c r="J44" s="220" t="n">
        <s:v>18.4</s:v>
      </s:c>
      <s:c r="K44" s="221" t="n">
        <s:v>7.509</s:v>
      </s:c>
      <s:c r="L44" s="221" t="n">
        <s:v>1.252</s:v>
      </s:c>
      <s:c r="M44" s="222" t="n">
        <s:v>290.8</s:v>
      </s:c>
      <s:c r="N44" s="222" t="n">
        <s:v>391.05</s:v>
      </s:c>
      <s:c r="O44" s="222" t="n">
        <s:v>100.6</s:v>
      </s:c>
      <s:c r="P44" s="223" t="inlineStr">
        <s:is>
          <s:t>2,30,820</s:t>
        </s:is>
      </s:c>
      <s:c r="Q44" s="224" t="inlineStr">
        <s:is>
          <s:t>2</s:t>
        </s:is>
      </s:c>
      <s:c r="R44" s="224" t="inlineStr">
        <s:is>
          <s:t>30,820</s:t>
        </s:is>
      </s:c>
      <s:c r="S44" s="224" t="n">
        <s:v>0.04189444444444444</s:v>
      </s:c>
      <s:c r="T44" s="225" t="n">
        <s:v>2401.273040710781</s:v>
      </s:c>
      <s:c r="U44" s="226" t="n">
        <s:v>-0.347912524850889</s:v>
      </s:c>
      <s:c r="V44" s="220" t="n">
        <s:v>18.3</s:v>
      </s:c>
      <s:c r="W44" s="221" t="n">
        <s:v>1.095</s:v>
      </s:c>
      <s:c r="X44" s="221" t="n">
        <s:v>1.082</s:v>
      </s:c>
      <s:c r="Y44" s="222" t="n">
        <s:v>403.23</s:v>
      </s:c>
      <s:c r="Z44" s="222" t="n">
        <s:v>408.31</s:v>
      </s:c>
      <s:c r="AA44" s="227" t="n">
        <s:v>5.012</s:v>
      </s:c>
      <s:c r="AB44" s="228" t="inlineStr">
        <s:is>
          <s:t>11,20,970</s:t>
        </s:is>
      </s:c>
      <s:c r="AC44" s="224" t="inlineStr">
        <s:is>
          <s:t>11</s:t>
        </s:is>
      </s:c>
      <s:c r="AD44" s="224" t="inlineStr">
        <s:is>
          <s:t>20,970</s:t>
        </s:is>
      </s:c>
      <s:c r="AE44" s="224" t="n">
        <s:v>0.1891583333333333</s:v>
      </s:c>
      <s:c r="AF44" s="225" t="n">
        <s:v>26.49632142385127</s:v>
      </s:c>
      <s:c r="AG44" s="229" t="n">
        <s:v>1.356743814844065</s:v>
      </s:c>
      <s:c r="AH44" s="220" t="n">
        <s:v>18.4</s:v>
      </s:c>
      <s:c r="AI44" s="221" t="n">
        <s:v>1.098</s:v>
      </s:c>
      <s:c r="AJ44" s="221" t="n">
        <s:v>1.085</s:v>
      </s:c>
      <s:c r="AK44" s="222" t="n">
        <s:v>408.31</s:v>
      </s:c>
      <s:c r="AL44" s="222" t="n">
        <s:v>410.33</s:v>
      </s:c>
      <s:c r="AM44" s="230" t="n">
        <s:v>2.007</s:v>
      </s:c>
      <s:c r="AN44" s="223" t="inlineStr">
        <s:is>
          <s:t>7,26,550</s:t>
        </s:is>
      </s:c>
      <s:c r="AO44" s="224" t="inlineStr">
        <s:is>
          <s:t>7,</s:t>
        </s:is>
      </s:c>
      <s:c r="AP44" s="224" t="inlineStr">
        <s:is>
          <s:t>26,550</s:t>
        </s:is>
      </s:c>
      <s:c r="AQ44" s="224" t="n">
        <s:v>0.1240416666666667</s:v>
      </s:c>
      <s:c r="AR44" s="225" t="n">
        <s:v>16.1800470272086</s:v>
      </s:c>
      <s:c r="AS44" s="229" t="n">
        <s:v>0.6477329347275382</s:v>
      </s:c>
      <s:c r="AT44" s="231" t="inlineStr">
        <s:is>
          <s:t>CONFORME</s:t>
        </s:is>
      </s:c>
      <s:c r="AU44" s="232">
        <s:f>B44=C44</s:f>
        <s:v/>
      </s:c>
      <s:c r="AV44" s="233">
        <s:f>MID(G44,1,2)</s:f>
        <s:v/>
      </s:c>
      <s:c r="AW44" s="233">
        <s:f>LEN(G44)</s:f>
        <s:v/>
      </s:c>
      <s:c r="AX44" s="233" t="inlineStr">
        <s:is>
          <s:t>OI-0922-2025</s:t>
        </s:is>
      </s:c>
      <s:c r="AY44" s="233">
        <s:f>N44&lt;Y44</s:f>
        <s:v/>
      </s:c>
      <s:c r="AZ44" s="233">
        <s:f>Z44&lt;=AK44</s:f>
        <s:v/>
      </s:c>
      <s:c r="BA44" s="233">
        <s:f>L44&lt;K44</s:f>
        <s:v/>
      </s:c>
      <s:c r="BB44" s="233">
        <s:f>W44&gt;=X44</s:f>
        <s:v/>
      </s:c>
      <s:c r="BC44" s="233">
        <s:f>AI44&gt;=AJ44</s:f>
        <s:v/>
      </s:c>
      <s:c r="BD44" s="233">
        <s:f>IF(I44&gt;=1,"Qcorrecto",IF(AND(BE44="aceptable",BF44="aceptable",BG44="aceptable"),"Qcorrecto","Qincorrecto"))</s:f>
        <s:v/>
      </s:c>
      <s:c r="BE44" s="232">
        <s:f>IF(AR44&lt;$AH$6,"error",IF(AR44&gt;$AH$6*1.1,"error","aceptable"))</s:f>
        <s:v/>
      </s:c>
      <s:c r="BF44" s="232">
        <s:f>IF(AF44&lt;$V$6,"error",IF(AF44&gt;$V$6*1.1,"error","aceptable"))</s:f>
        <s:v/>
      </s:c>
      <s:c r="BG44" s="232">
        <s:f>IF(T44&lt;$J$6*0.9,"error",IF(T44&gt;$J$6,"error","aceptable"))</s:f>
        <s:v/>
      </s:c>
      <s:c r="BH44" s="234">
        <s:f>(IF(ABS(U44)&lt;1,"CONFORME",IF(ABS(AG44)&lt;1,"CONFORME",IF(ABS(AS44)&lt;2.5,"CONFORME","NO CONFORME"))))</s:f>
        <s:v/>
      </s:c>
      <s:c r="BI44" s="235">
        <s:f>(IF(ABS(U44)&gt;2.044,"NO CONFORME",IF(ABS(AG44)&gt;2.044,"NO CONFORME",IF(ABS(AS44)&gt;5.044,"NO CONFORME","CONFORME"))))</s:f>
        <s:v/>
      </s:c>
      <s:c r="BJ44" s="233">
        <s:f>SIGN(U44)</s:f>
        <s:v/>
      </s:c>
      <s:c r="BK44" s="233">
        <s:f>SIGN(AG44)</s:f>
        <s:v/>
      </s:c>
      <s:c r="BL44" s="233">
        <s:f>SIGN(AS44)</s:f>
        <s:v/>
      </s:c>
      <s:c r="BM44" s="233">
        <s:f>CONCATENATE(BJ44,BK44,BL44)</s:f>
        <s:v/>
      </s:c>
      <s:c r="BN44" s="233">
        <s:f>IF(BM44="111","SI","SD")</s:f>
        <s:v/>
      </s:c>
      <s:c r="BO44" s="233">
        <s:f>IF(BM44="-1-1-1","SI","SD")</s:f>
        <s:v/>
      </s:c>
      <s:c r="BP44" s="233">
        <s:f>OR(BN44="SI",BO44="SI")</s:f>
        <s:v/>
      </s:c>
      <s:c r="BQ44" s="233">
        <s:f>IF(BP44=FALSE,"SIGDIFERENTES","SIGIGUALES")</s:f>
        <s:v/>
      </s:c>
      <s:c r="BR44" s="236">
        <s:f>IF(BI44="NO CONFORME","NO CONFORME",IF(BH44="CONFORME","CONFORME","NO CONFORME"))</s:f>
        <s:v/>
      </s:c>
      <s:c r="BS44" s="233">
        <s:f>F44</s:f>
        <s:v/>
      </s:c>
      <s:c r="BT44" s="237">
        <s:f>G44</s:f>
        <s:v/>
      </s:c>
      <s:c r="BU44" s="233">
        <s:f>"20"&amp;+MID(G44,3,2)</s:f>
        <s:v/>
      </s:c>
      <s:c r="BV44" s="238">
        <s:f>C44</s:f>
        <s:v/>
      </s:c>
      <s:c r="BW44" s="233">
        <s:f>AT44</s:f>
        <s:v/>
      </s:c>
      <s:c r="BX44" s="238">
        <s:f>B44</s:f>
        <s:v/>
      </s:c>
      <s:c r="BY44" s="239">
        <s:f>H44</s:f>
        <s:v/>
      </s:c>
      <s:c r="BZ44" s="233">
        <s:f>IF(I44=0,"CONFORME","NO CONFORME")</s:f>
        <s:v/>
      </s:c>
      <s:c r="CA44" s="238">
        <s:f>C44</s:f>
        <s:v/>
      </s:c>
      <s:c r="CB44" s="240">
        <s:f>AH44</s:f>
        <s:v/>
      </s:c>
      <s:c r="CC44" s="241">
        <s:f>AR44</s:f>
        <s:v/>
      </s:c>
      <s:c r="CD44" s="240">
        <s:f>AI44</s:f>
        <s:v/>
      </s:c>
      <s:c r="CE44" s="240">
        <s:f>AJ44</s:f>
        <s:v/>
      </s:c>
      <s:c r="CF44" s="240">
        <s:f>AS44</s:f>
        <s:v/>
      </s:c>
      <s:c r="CG44" s="240">
        <s:f>V44</s:f>
        <s:v/>
      </s:c>
      <s:c r="CH44" s="241">
        <s:f>AF44</s:f>
        <s:v/>
      </s:c>
      <s:c r="CI44" s="240">
        <s:f>W44</s:f>
        <s:v/>
      </s:c>
      <s:c r="CJ44" s="240">
        <s:f>X44</s:f>
        <s:v/>
      </s:c>
      <s:c r="CK44" s="240">
        <s:f>AG44</s:f>
        <s:v/>
      </s:c>
      <s:c r="CL44" s="240">
        <s:f>J44</s:f>
        <s:v/>
      </s:c>
      <s:c r="CM44" s="241">
        <s:f>T44</s:f>
        <s:v/>
      </s:c>
      <s:c r="CN44" s="240">
        <s:f>K44</s:f>
        <s:v/>
      </s:c>
      <s:c r="CO44" s="240">
        <s:f>L44</s:f>
        <s:v/>
      </s:c>
      <s:c r="CP44" s="242">
        <s:f>U44</s:f>
        <s:v/>
      </s:c>
      <s:c r="CQ44" s="233">
        <s:f>AT44</s:f>
        <s:v/>
      </s:c>
    </s:row>
    <s:row r="45">
      <s:c r="A45" s="211" t="n">
        <s:v>28</s:v>
      </s:c>
      <s:c r="B45" s="212" t="n">
        <s:v>45901</s:v>
      </s:c>
      <s:c r="C45" s="213" t="n">
        <s:v>45901</s:v>
      </s:c>
      <s:c r="D45" s="214" t="n">
        <s:v>3</s:v>
      </s:c>
      <s:c r="E45" s="215" t="n">
        <s:v>13</s:v>
      </s:c>
      <s:c r="F45" s="216" t="inlineStr">
        <s:is>
          <s:t>VI-236520-2025</s:t>
        </s:is>
      </s:c>
      <s:c r="G45" s="217" t="inlineStr">
        <s:is>
          <s:t>QA25417757</s:t>
        </s:is>
      </s:c>
      <s:c r="H45" s="218" t="n">
        <s:v>16</s:v>
      </s:c>
      <s:c r="I45" s="219" t="n">
        <s:v>0</s:v>
      </s:c>
      <s:c r="J45" s="220" t="n">
        <s:v>18.4</s:v>
      </s:c>
      <s:c r="K45" s="221" t="n">
        <s:v>7.509</s:v>
      </s:c>
      <s:c r="L45" s="221" t="n">
        <s:v>1.252</s:v>
      </s:c>
      <s:c r="M45" s="222" t="n">
        <s:v>306.52</s:v>
      </s:c>
      <s:c r="N45" s="222" t="n">
        <s:v>406.65</s:v>
      </s:c>
      <s:c r="O45" s="222" t="n">
        <s:v>100.6</s:v>
      </s:c>
      <s:c r="P45" s="223" t="inlineStr">
        <s:is>
          <s:t>2,30,820</s:t>
        </s:is>
      </s:c>
      <s:c r="Q45" s="224" t="inlineStr">
        <s:is>
          <s:t>2</s:t>
        </s:is>
      </s:c>
      <s:c r="R45" s="224" t="inlineStr">
        <s:is>
          <s:t>30,820</s:t>
        </s:is>
      </s:c>
      <s:c r="S45" s="224" t="n">
        <s:v>0.04189444444444444</s:v>
      </s:c>
      <s:c r="T45" s="225" t="n">
        <s:v>2401.273040710781</s:v>
      </s:c>
      <s:c r="U45" s="226" t="n">
        <s:v>-0.467196819085486</s:v>
      </s:c>
      <s:c r="V45" s="220" t="n">
        <s:v>18.3</s:v>
      </s:c>
      <s:c r="W45" s="221" t="n">
        <s:v>1.095</s:v>
      </s:c>
      <s:c r="X45" s="221" t="n">
        <s:v>1.082</s:v>
      </s:c>
      <s:c r="Y45" s="222" t="n">
        <s:v>418.64</s:v>
      </s:c>
      <s:c r="Z45" s="222" t="n">
        <s:v>423.65</s:v>
      </s:c>
      <s:c r="AA45" s="227" t="n">
        <s:v>5.012</s:v>
      </s:c>
      <s:c r="AB45" s="228" t="inlineStr">
        <s:is>
          <s:t>11,20,970</s:t>
        </s:is>
      </s:c>
      <s:c r="AC45" s="224" t="inlineStr">
        <s:is>
          <s:t>11</s:t>
        </s:is>
      </s:c>
      <s:c r="AD45" s="224" t="inlineStr">
        <s:is>
          <s:t>20,970</s:t>
        </s:is>
      </s:c>
      <s:c r="AE45" s="224" t="n">
        <s:v>0.1891583333333333</s:v>
      </s:c>
      <s:c r="AF45" s="225" t="n">
        <s:v>26.49632142385127</s:v>
      </s:c>
      <s:c r="AG45" s="229" t="n">
        <s:v>-0.03990422984853675</s:v>
      </s:c>
      <s:c r="AH45" s="220" t="n">
        <s:v>18.4</s:v>
      </s:c>
      <s:c r="AI45" s="221" t="n">
        <s:v>1.098</s:v>
      </s:c>
      <s:c r="AJ45" s="221" t="n">
        <s:v>1.085</s:v>
      </s:c>
      <s:c r="AK45" s="222" t="n">
        <s:v>423.65</s:v>
      </s:c>
      <s:c r="AL45" s="222" t="n">
        <s:v>425.65</s:v>
      </s:c>
      <s:c r="AM45" s="230" t="n">
        <s:v>2.007</s:v>
      </s:c>
      <s:c r="AN45" s="223" t="inlineStr">
        <s:is>
          <s:t>7,26,550</s:t>
        </s:is>
      </s:c>
      <s:c r="AO45" s="224" t="inlineStr">
        <s:is>
          <s:t>7,</s:t>
        </s:is>
      </s:c>
      <s:c r="AP45" s="224" t="inlineStr">
        <s:is>
          <s:t>26,550</s:t>
        </s:is>
      </s:c>
      <s:c r="AQ45" s="224" t="n">
        <s:v>0.1240416666666667</s:v>
      </s:c>
      <s:c r="AR45" s="225" t="n">
        <s:v>16.1800470272086</s:v>
      </s:c>
      <s:c r="AS45" s="229" t="n">
        <s:v>-0.3487792725460945</s:v>
      </s:c>
      <s:c r="AT45" s="231" t="inlineStr">
        <s:is>
          <s:t>CONFORME</s:t>
        </s:is>
      </s:c>
      <s:c r="AU45" s="232">
        <s:f>B45=C45</s:f>
        <s:v/>
      </s:c>
      <s:c r="AV45" s="233">
        <s:f>MID(G45,1,2)</s:f>
        <s:v/>
      </s:c>
      <s:c r="AW45" s="233">
        <s:f>LEN(G45)</s:f>
        <s:v/>
      </s:c>
      <s:c r="AX45" s="233" t="inlineStr">
        <s:is>
          <s:t>OI-0922-2025</s:t>
        </s:is>
      </s:c>
      <s:c r="AY45" s="233">
        <s:f>N45&lt;Y45</s:f>
        <s:v/>
      </s:c>
      <s:c r="AZ45" s="233">
        <s:f>Z45&lt;=AK45</s:f>
        <s:v/>
      </s:c>
      <s:c r="BA45" s="233">
        <s:f>L45&lt;K45</s:f>
        <s:v/>
      </s:c>
      <s:c r="BB45" s="233">
        <s:f>W45&gt;=X45</s:f>
        <s:v/>
      </s:c>
      <s:c r="BC45" s="233">
        <s:f>AI45&gt;=AJ45</s:f>
        <s:v/>
      </s:c>
      <s:c r="BD45" s="233">
        <s:f>IF(I45&gt;=1,"Qcorrecto",IF(AND(BE45="aceptable",BF45="aceptable",BG45="aceptable"),"Qcorrecto","Qincorrecto"))</s:f>
        <s:v/>
      </s:c>
      <s:c r="BE45" s="232">
        <s:f>IF(AR45&lt;$AH$6,"error",IF(AR45&gt;$AH$6*1.1,"error","aceptable"))</s:f>
        <s:v/>
      </s:c>
      <s:c r="BF45" s="232">
        <s:f>IF(AF45&lt;$V$6,"error",IF(AF45&gt;$V$6*1.1,"error","aceptable"))</s:f>
        <s:v/>
      </s:c>
      <s:c r="BG45" s="232">
        <s:f>IF(T45&lt;$J$6*0.9,"error",IF(T45&gt;$J$6,"error","aceptable"))</s:f>
        <s:v/>
      </s:c>
      <s:c r="BH45" s="234">
        <s:f>(IF(ABS(U45)&lt;1,"CONFORME",IF(ABS(AG45)&lt;1,"CONFORME",IF(ABS(AS45)&lt;2.5,"CONFORME","NO CONFORME"))))</s:f>
        <s:v/>
      </s:c>
      <s:c r="BI45" s="235">
        <s:f>(IF(ABS(U45)&gt;2.044,"NO CONFORME",IF(ABS(AG45)&gt;2.044,"NO CONFORME",IF(ABS(AS45)&gt;5.044,"NO CONFORME","CONFORME"))))</s:f>
        <s:v/>
      </s:c>
      <s:c r="BJ45" s="233">
        <s:f>SIGN(U45)</s:f>
        <s:v/>
      </s:c>
      <s:c r="BK45" s="233">
        <s:f>SIGN(AG45)</s:f>
        <s:v/>
      </s:c>
      <s:c r="BL45" s="233">
        <s:f>SIGN(AS45)</s:f>
        <s:v/>
      </s:c>
      <s:c r="BM45" s="233">
        <s:f>CONCATENATE(BJ45,BK45,BL45)</s:f>
        <s:v/>
      </s:c>
      <s:c r="BN45" s="233">
        <s:f>IF(BM45="111","SI","SD")</s:f>
        <s:v/>
      </s:c>
      <s:c r="BO45" s="233">
        <s:f>IF(BM45="-1-1-1","SI","SD")</s:f>
        <s:v/>
      </s:c>
      <s:c r="BP45" s="233">
        <s:f>OR(BN45="SI",BO45="SI")</s:f>
        <s:v/>
      </s:c>
      <s:c r="BQ45" s="233">
        <s:f>IF(BP45=FALSE,"SIGDIFERENTES","SIGIGUALES")</s:f>
        <s:v/>
      </s:c>
      <s:c r="BR45" s="236">
        <s:f>IF(BI45="NO CONFORME","NO CONFORME",IF(BH45="CONFORME","CONFORME","NO CONFORME"))</s:f>
        <s:v/>
      </s:c>
      <s:c r="BS45" s="233">
        <s:f>F45</s:f>
        <s:v/>
      </s:c>
      <s:c r="BT45" s="237">
        <s:f>G45</s:f>
        <s:v/>
      </s:c>
      <s:c r="BU45" s="233">
        <s:f>"20"&amp;+MID(G45,3,2)</s:f>
        <s:v/>
      </s:c>
      <s:c r="BV45" s="238">
        <s:f>C45</s:f>
        <s:v/>
      </s:c>
      <s:c r="BW45" s="233">
        <s:f>AT45</s:f>
        <s:v/>
      </s:c>
      <s:c r="BX45" s="238">
        <s:f>B45</s:f>
        <s:v/>
      </s:c>
      <s:c r="BY45" s="239">
        <s:f>H45</s:f>
        <s:v/>
      </s:c>
      <s:c r="BZ45" s="233">
        <s:f>IF(I45=0,"CONFORME","NO CONFORME")</s:f>
        <s:v/>
      </s:c>
      <s:c r="CA45" s="238">
        <s:f>C45</s:f>
        <s:v/>
      </s:c>
      <s:c r="CB45" s="240">
        <s:f>AH45</s:f>
        <s:v/>
      </s:c>
      <s:c r="CC45" s="241">
        <s:f>AR45</s:f>
        <s:v/>
      </s:c>
      <s:c r="CD45" s="240">
        <s:f>AI45</s:f>
        <s:v/>
      </s:c>
      <s:c r="CE45" s="240">
        <s:f>AJ45</s:f>
        <s:v/>
      </s:c>
      <s:c r="CF45" s="240">
        <s:f>AS45</s:f>
        <s:v/>
      </s:c>
      <s:c r="CG45" s="240">
        <s:f>V45</s:f>
        <s:v/>
      </s:c>
      <s:c r="CH45" s="241">
        <s:f>AF45</s:f>
        <s:v/>
      </s:c>
      <s:c r="CI45" s="240">
        <s:f>W45</s:f>
        <s:v/>
      </s:c>
      <s:c r="CJ45" s="240">
        <s:f>X45</s:f>
        <s:v/>
      </s:c>
      <s:c r="CK45" s="240">
        <s:f>AG45</s:f>
        <s:v/>
      </s:c>
      <s:c r="CL45" s="240">
        <s:f>J45</s:f>
        <s:v/>
      </s:c>
      <s:c r="CM45" s="241">
        <s:f>T45</s:f>
        <s:v/>
      </s:c>
      <s:c r="CN45" s="240">
        <s:f>K45</s:f>
        <s:v/>
      </s:c>
      <s:c r="CO45" s="240">
        <s:f>L45</s:f>
        <s:v/>
      </s:c>
      <s:c r="CP45" s="242">
        <s:f>U45</s:f>
        <s:v/>
      </s:c>
      <s:c r="CQ45" s="233">
        <s:f>AT45</s:f>
        <s:v/>
      </s:c>
    </s:row>
    <s:row r="46">
      <s:c r="A46" s="211" t="n">
        <s:v>29</s:v>
      </s:c>
      <s:c r="B46" s="212" t="n">
        <s:v>45901</s:v>
      </s:c>
      <s:c r="C46" s="213" t="n">
        <s:v>45901</s:v>
      </s:c>
      <s:c r="D46" s="214" t="n">
        <s:v>3</s:v>
      </s:c>
      <s:c r="E46" s="215" t="n">
        <s:v>13</s:v>
      </s:c>
      <s:c r="F46" s="216" t="inlineStr">
        <s:is>
          <s:t>VI-236521-2025</s:t>
        </s:is>
      </s:c>
      <s:c r="G46" s="217" t="inlineStr">
        <s:is>
          <s:t>QA25417581</s:t>
        </s:is>
      </s:c>
      <s:c r="H46" s="218" t="n">
        <s:v>16</s:v>
      </s:c>
      <s:c r="I46" s="219" t="n">
        <s:v>0</s:v>
      </s:c>
      <s:c r="J46" s="220" t="n">
        <s:v>18.4</s:v>
      </s:c>
      <s:c r="K46" s="221" t="n">
        <s:v>7.509</s:v>
      </s:c>
      <s:c r="L46" s="221" t="n">
        <s:v>1.252</s:v>
      </s:c>
      <s:c r="M46" s="222" t="n">
        <s:v>384.69</s:v>
      </s:c>
      <s:c r="N46" s="222" t="n">
        <s:v>483.14</s:v>
      </s:c>
      <s:c r="O46" s="222" t="n">
        <s:v>100.6</s:v>
      </s:c>
      <s:c r="P46" s="223" t="inlineStr">
        <s:is>
          <s:t>2,30,820</s:t>
        </s:is>
      </s:c>
      <s:c r="Q46" s="224" t="inlineStr">
        <s:is>
          <s:t>2</s:t>
        </s:is>
      </s:c>
      <s:c r="R46" s="224" t="inlineStr">
        <s:is>
          <s:t>30,820</s:t>
        </s:is>
      </s:c>
      <s:c r="S46" s="224" t="n">
        <s:v>0.04189444444444444</s:v>
      </s:c>
      <s:c r="T46" s="225" t="n">
        <s:v>2401.273040710781</s:v>
      </s:c>
      <s:c r="U46" s="226" t="n">
        <s:v>-2.137176938369787</s:v>
      </s:c>
      <s:c r="V46" s="220" t="n">
        <s:v>18.3</s:v>
      </s:c>
      <s:c r="W46" s="221" t="n">
        <s:v>1.095</s:v>
      </s:c>
      <s:c r="X46" s="221" t="n">
        <s:v>1.082</s:v>
      </s:c>
      <s:c r="Y46" s="222" t="n">
        <s:v>495.08</s:v>
      </s:c>
      <s:c r="Z46" s="222" t="n">
        <s:v>500.09</s:v>
      </s:c>
      <s:c r="AA46" s="227" t="n">
        <s:v>5.012</s:v>
      </s:c>
      <s:c r="AB46" s="228" t="inlineStr">
        <s:is>
          <s:t>11,20,970</s:t>
        </s:is>
      </s:c>
      <s:c r="AC46" s="224" t="inlineStr">
        <s:is>
          <s:t>11</s:t>
        </s:is>
      </s:c>
      <s:c r="AD46" s="224" t="inlineStr">
        <s:is>
          <s:t>20,970</s:t>
        </s:is>
      </s:c>
      <s:c r="AE46" s="224" t="n">
        <s:v>0.1891583333333333</s:v>
      </s:c>
      <s:c r="AF46" s="225" t="n">
        <s:v>26.49632142385127</s:v>
      </s:c>
      <s:c r="AG46" s="229" t="n">
        <s:v>-0.03990422984853675</s:v>
      </s:c>
      <s:c r="AH46" s="220" t="n">
        <s:v>18.4</s:v>
      </s:c>
      <s:c r="AI46" s="221" t="n">
        <s:v>1.098</s:v>
      </s:c>
      <s:c r="AJ46" s="221" t="n">
        <s:v>1.085</s:v>
      </s:c>
      <s:c r="AK46" s="222" t="n">
        <s:v>500.09</s:v>
      </s:c>
      <s:c r="AL46" s="222" t="n">
        <s:v>502.09</s:v>
      </s:c>
      <s:c r="AM46" s="230" t="n">
        <s:v>2.007</s:v>
      </s:c>
      <s:c r="AN46" s="223" t="inlineStr">
        <s:is>
          <s:t>7,26,550</s:t>
        </s:is>
      </s:c>
      <s:c r="AO46" s="224" t="inlineStr">
        <s:is>
          <s:t>7,</s:t>
        </s:is>
      </s:c>
      <s:c r="AP46" s="224" t="inlineStr">
        <s:is>
          <s:t>26,550</s:t>
        </s:is>
      </s:c>
      <s:c r="AQ46" s="224" t="n">
        <s:v>0.1240416666666667</s:v>
      </s:c>
      <s:c r="AR46" s="225" t="n">
        <s:v>16.1800470272086</s:v>
      </s:c>
      <s:c r="AS46" s="229" t="n">
        <s:v>-0.3487792725460945</s:v>
      </s:c>
      <s:c r="AT46" s="231" t="inlineStr">
        <s:is>
          <s:t>NO CONFORME</s:t>
        </s:is>
      </s:c>
      <s:c r="AU46" s="232">
        <s:f>B46=C46</s:f>
        <s:v/>
      </s:c>
      <s:c r="AV46" s="233">
        <s:f>MID(G46,1,2)</s:f>
        <s:v/>
      </s:c>
      <s:c r="AW46" s="233">
        <s:f>LEN(G46)</s:f>
        <s:v/>
      </s:c>
      <s:c r="AX46" s="233" t="inlineStr">
        <s:is>
          <s:t>OI-0922-2025</s:t>
        </s:is>
      </s:c>
      <s:c r="AY46" s="233">
        <s:f>N46&lt;Y46</s:f>
        <s:v/>
      </s:c>
      <s:c r="AZ46" s="233">
        <s:f>Z46&lt;=AK46</s:f>
        <s:v/>
      </s:c>
      <s:c r="BA46" s="233">
        <s:f>L46&lt;K46</s:f>
        <s:v/>
      </s:c>
      <s:c r="BB46" s="233">
        <s:f>W46&gt;=X46</s:f>
        <s:v/>
      </s:c>
      <s:c r="BC46" s="233">
        <s:f>AI46&gt;=AJ46</s:f>
        <s:v/>
      </s:c>
      <s:c r="BD46" s="233">
        <s:f>IF(I46&gt;=1,"Qcorrecto",IF(AND(BE46="aceptable",BF46="aceptable",BG46="aceptable"),"Qcorrecto","Qincorrecto"))</s:f>
        <s:v/>
      </s:c>
      <s:c r="BE46" s="232">
        <s:f>IF(AR46&lt;$AH$6,"error",IF(AR46&gt;$AH$6*1.1,"error","aceptable"))</s:f>
        <s:v/>
      </s:c>
      <s:c r="BF46" s="232">
        <s:f>IF(AF46&lt;$V$6,"error",IF(AF46&gt;$V$6*1.1,"error","aceptable"))</s:f>
        <s:v/>
      </s:c>
      <s:c r="BG46" s="232">
        <s:f>IF(T46&lt;$J$6*0.9,"error",IF(T46&gt;$J$6,"error","aceptable"))</s:f>
        <s:v/>
      </s:c>
      <s:c r="BH46" s="234">
        <s:f>(IF(ABS(U46)&lt;1,"CONFORME",IF(ABS(AG46)&lt;1,"CONFORME",IF(ABS(AS46)&lt;2.5,"CONFORME","NO CONFORME"))))</s:f>
        <s:v/>
      </s:c>
      <s:c r="BI46" s="235">
        <s:f>(IF(ABS(U46)&gt;2.044,"NO CONFORME",IF(ABS(AG46)&gt;2.044,"NO CONFORME",IF(ABS(AS46)&gt;5.044,"NO CONFORME","CONFORME"))))</s:f>
        <s:v/>
      </s:c>
      <s:c r="BJ46" s="233">
        <s:f>SIGN(U46)</s:f>
        <s:v/>
      </s:c>
      <s:c r="BK46" s="233">
        <s:f>SIGN(AG46)</s:f>
        <s:v/>
      </s:c>
      <s:c r="BL46" s="233">
        <s:f>SIGN(AS46)</s:f>
        <s:v/>
      </s:c>
      <s:c r="BM46" s="233">
        <s:f>CONCATENATE(BJ46,BK46,BL46)</s:f>
        <s:v/>
      </s:c>
      <s:c r="BN46" s="233">
        <s:f>IF(BM46="111","SI","SD")</s:f>
        <s:v/>
      </s:c>
      <s:c r="BO46" s="233">
        <s:f>IF(BM46="-1-1-1","SI","SD")</s:f>
        <s:v/>
      </s:c>
      <s:c r="BP46" s="233">
        <s:f>OR(BN46="SI",BO46="SI")</s:f>
        <s:v/>
      </s:c>
      <s:c r="BQ46" s="233">
        <s:f>IF(BP46=FALSE,"SIGDIFERENTES","SIGIGUALES")</s:f>
        <s:v/>
      </s:c>
      <s:c r="BR46" s="236">
        <s:f>IF(BI46="NO CONFORME","NO CONFORME",IF(BH46="CONFORME","CONFORME","NO CONFORME"))</s:f>
        <s:v/>
      </s:c>
      <s:c r="BS46" s="233">
        <s:f>F46</s:f>
        <s:v/>
      </s:c>
      <s:c r="BT46" s="237">
        <s:f>G46</s:f>
        <s:v/>
      </s:c>
      <s:c r="BU46" s="233">
        <s:f>"20"&amp;+MID(G46,3,2)</s:f>
        <s:v/>
      </s:c>
      <s:c r="BV46" s="238">
        <s:f>C46</s:f>
        <s:v/>
      </s:c>
      <s:c r="BW46" s="233">
        <s:f>AT46</s:f>
        <s:v/>
      </s:c>
      <s:c r="BX46" s="238">
        <s:f>B46</s:f>
        <s:v/>
      </s:c>
      <s:c r="BY46" s="239">
        <s:f>H46</s:f>
        <s:v/>
      </s:c>
      <s:c r="BZ46" s="233">
        <s:f>IF(I46=0,"CONFORME","NO CONFORME")</s:f>
        <s:v/>
      </s:c>
      <s:c r="CA46" s="238">
        <s:f>C46</s:f>
        <s:v/>
      </s:c>
      <s:c r="CB46" s="240">
        <s:f>AH46</s:f>
        <s:v/>
      </s:c>
      <s:c r="CC46" s="241">
        <s:f>AR46</s:f>
        <s:v/>
      </s:c>
      <s:c r="CD46" s="240">
        <s:f>AI46</s:f>
        <s:v/>
      </s:c>
      <s:c r="CE46" s="240">
        <s:f>AJ46</s:f>
        <s:v/>
      </s:c>
      <s:c r="CF46" s="240">
        <s:f>AS46</s:f>
        <s:v/>
      </s:c>
      <s:c r="CG46" s="240">
        <s:f>V46</s:f>
        <s:v/>
      </s:c>
      <s:c r="CH46" s="241">
        <s:f>AF46</s:f>
        <s:v/>
      </s:c>
      <s:c r="CI46" s="240">
        <s:f>W46</s:f>
        <s:v/>
      </s:c>
      <s:c r="CJ46" s="240">
        <s:f>X46</s:f>
        <s:v/>
      </s:c>
      <s:c r="CK46" s="240">
        <s:f>AG46</s:f>
        <s:v/>
      </s:c>
      <s:c r="CL46" s="240">
        <s:f>J46</s:f>
        <s:v/>
      </s:c>
      <s:c r="CM46" s="241">
        <s:f>T46</s:f>
        <s:v/>
      </s:c>
      <s:c r="CN46" s="240">
        <s:f>K46</s:f>
        <s:v/>
      </s:c>
      <s:c r="CO46" s="240">
        <s:f>L46</s:f>
        <s:v/>
      </s:c>
      <s:c r="CP46" s="242">
        <s:f>U46</s:f>
        <s:v/>
      </s:c>
      <s:c r="CQ46" s="233">
        <s:f>AT46</s:f>
        <s:v/>
      </s:c>
    </s:row>
    <s:row r="47">
      <s:c r="A47" s="211" t="n">
        <s:v>30</s:v>
      </s:c>
      <s:c r="B47" s="212" t="n">
        <s:v>45901</s:v>
      </s:c>
      <s:c r="C47" s="213" t="n">
        <s:v>45901</s:v>
      </s:c>
      <s:c r="D47" s="214" t="n">
        <s:v>3</s:v>
      </s:c>
      <s:c r="E47" s="215" t="n">
        <s:v>13</s:v>
      </s:c>
      <s:c r="F47" s="216" t="inlineStr">
        <s:is>
          <s:t>VI-236522-2025</s:t>
        </s:is>
      </s:c>
      <s:c r="G47" s="217" t="inlineStr">
        <s:is>
          <s:t>QA25417628</s:t>
        </s:is>
      </s:c>
      <s:c r="H47" s="218" t="n">
        <s:v>16</s:v>
      </s:c>
      <s:c r="I47" s="219" t="n">
        <s:v>0</s:v>
      </s:c>
      <s:c r="J47" s="220" t="n">
        <s:v>18.4</s:v>
      </s:c>
      <s:c r="K47" s="221" t="n">
        <s:v>7.509</s:v>
      </s:c>
      <s:c r="L47" s="221" t="n">
        <s:v>1.252</s:v>
      </s:c>
      <s:c r="M47" s="222" t="n">
        <s:v>298.91</s:v>
      </s:c>
      <s:c r="N47" s="222" t="n">
        <s:v>399.13</s:v>
      </s:c>
      <s:c r="O47" s="222" t="n">
        <s:v>100.6</s:v>
      </s:c>
      <s:c r="P47" s="223" t="inlineStr">
        <s:is>
          <s:t>2,30,820</s:t>
        </s:is>
      </s:c>
      <s:c r="Q47" s="224" t="inlineStr">
        <s:is>
          <s:t>2</s:t>
        </s:is>
      </s:c>
      <s:c r="R47" s="224" t="inlineStr">
        <s:is>
          <s:t>30,820</s:t>
        </s:is>
      </s:c>
      <s:c r="S47" s="224" t="n">
        <s:v>0.04189444444444444</s:v>
      </s:c>
      <s:c r="T47" s="225" t="n">
        <s:v>2401.273040710781</s:v>
      </s:c>
      <s:c r="U47" s="226" t="n">
        <s:v>-0.3777335984095665</s:v>
      </s:c>
      <s:c r="V47" s="220" t="n">
        <s:v>18.3</s:v>
      </s:c>
      <s:c r="W47" s="221" t="n">
        <s:v>1.095</s:v>
      </s:c>
      <s:c r="X47" s="221" t="n">
        <s:v>1.082</s:v>
      </s:c>
      <s:c r="Y47" s="222" t="n">
        <s:v>411.24</s:v>
      </s:c>
      <s:c r="Z47" s="222" t="n">
        <s:v>416.33</s:v>
      </s:c>
      <s:c r="AA47" s="227" t="n">
        <s:v>5.012</s:v>
      </s:c>
      <s:c r="AB47" s="228" t="inlineStr">
        <s:is>
          <s:t>11,20,970</s:t>
        </s:is>
      </s:c>
      <s:c r="AC47" s="224" t="inlineStr">
        <s:is>
          <s:t>11</s:t>
        </s:is>
      </s:c>
      <s:c r="AD47" s="224" t="inlineStr">
        <s:is>
          <s:t>20,970</s:t>
        </s:is>
      </s:c>
      <s:c r="AE47" s="224" t="n">
        <s:v>0.1891583333333333</s:v>
      </s:c>
      <s:c r="AF47" s="225" t="n">
        <s:v>26.49632142385127</s:v>
      </s:c>
      <s:c r="AG47" s="229" t="n">
        <s:v>1.556264964085703</s:v>
      </s:c>
      <s:c r="AH47" s="220" t="n">
        <s:v>18.4</s:v>
      </s:c>
      <s:c r="AI47" s="221" t="n">
        <s:v>1.098</s:v>
      </s:c>
      <s:c r="AJ47" s="221" t="n">
        <s:v>1.085</s:v>
      </s:c>
      <s:c r="AK47" s="222" t="n">
        <s:v>416.33</s:v>
      </s:c>
      <s:c r="AL47" s="222" t="n">
        <s:v>418.34</s:v>
      </s:c>
      <s:c r="AM47" s="230" t="n">
        <s:v>2.007</s:v>
      </s:c>
      <s:c r="AN47" s="223" t="inlineStr">
        <s:is>
          <s:t>7,26,550</s:t>
        </s:is>
      </s:c>
      <s:c r="AO47" s="224" t="inlineStr">
        <s:is>
          <s:t>7,</s:t>
        </s:is>
      </s:c>
      <s:c r="AP47" s="224" t="inlineStr">
        <s:is>
          <s:t>26,550</s:t>
        </s:is>
      </s:c>
      <s:c r="AQ47" s="224" t="n">
        <s:v>0.1240416666666667</s:v>
      </s:c>
      <s:c r="AR47" s="225" t="n">
        <s:v>16.1800470272086</s:v>
      </s:c>
      <s:c r="AS47" s="229" t="n">
        <s:v>0.1494768310907219</s:v>
      </s:c>
      <s:c r="AT47" s="231" t="inlineStr">
        <s:is>
          <s:t>CONFORME</s:t>
        </s:is>
      </s:c>
      <s:c r="AU47" s="232">
        <s:f>B47=C47</s:f>
        <s:v/>
      </s:c>
      <s:c r="AV47" s="233">
        <s:f>MID(G47,1,2)</s:f>
        <s:v/>
      </s:c>
      <s:c r="AW47" s="233">
        <s:f>LEN(G47)</s:f>
        <s:v/>
      </s:c>
      <s:c r="AX47" s="233" t="inlineStr">
        <s:is>
          <s:t>OI-0922-2025</s:t>
        </s:is>
      </s:c>
      <s:c r="AY47" s="233">
        <s:f>N47&lt;Y47</s:f>
        <s:v/>
      </s:c>
      <s:c r="AZ47" s="233">
        <s:f>Z47&lt;=AK47</s:f>
        <s:v/>
      </s:c>
      <s:c r="BA47" s="233">
        <s:f>L47&lt;K47</s:f>
        <s:v/>
      </s:c>
      <s:c r="BB47" s="233">
        <s:f>W47&gt;=X47</s:f>
        <s:v/>
      </s:c>
      <s:c r="BC47" s="233">
        <s:f>AI47&gt;=AJ47</s:f>
        <s:v/>
      </s:c>
      <s:c r="BD47" s="233">
        <s:f>IF(I47&gt;=1,"Qcorrecto",IF(AND(BE47="aceptable",BF47="aceptable",BG47="aceptable"),"Qcorrecto","Qincorrecto"))</s:f>
        <s:v/>
      </s:c>
      <s:c r="BE47" s="232">
        <s:f>IF(AR47&lt;$AH$6,"error",IF(AR47&gt;$AH$6*1.1,"error","aceptable"))</s:f>
        <s:v/>
      </s:c>
      <s:c r="BF47" s="232">
        <s:f>IF(AF47&lt;$V$6,"error",IF(AF47&gt;$V$6*1.1,"error","aceptable"))</s:f>
        <s:v/>
      </s:c>
      <s:c r="BG47" s="232">
        <s:f>IF(T47&lt;$J$6*0.9,"error",IF(T47&gt;$J$6,"error","aceptable"))</s:f>
        <s:v/>
      </s:c>
      <s:c r="BH47" s="234">
        <s:f>(IF(ABS(U47)&lt;1,"CONFORME",IF(ABS(AG47)&lt;1,"CONFORME",IF(ABS(AS47)&lt;2.5,"CONFORME","NO CONFORME"))))</s:f>
        <s:v/>
      </s:c>
      <s:c r="BI47" s="235">
        <s:f>(IF(ABS(U47)&gt;2.044,"NO CONFORME",IF(ABS(AG47)&gt;2.044,"NO CONFORME",IF(ABS(AS47)&gt;5.044,"NO CONFORME","CONFORME"))))</s:f>
        <s:v/>
      </s:c>
      <s:c r="BJ47" s="233">
        <s:f>SIGN(U47)</s:f>
        <s:v/>
      </s:c>
      <s:c r="BK47" s="233">
        <s:f>SIGN(AG47)</s:f>
        <s:v/>
      </s:c>
      <s:c r="BL47" s="233">
        <s:f>SIGN(AS47)</s:f>
        <s:v/>
      </s:c>
      <s:c r="BM47" s="233">
        <s:f>CONCATENATE(BJ47,BK47,BL47)</s:f>
        <s:v/>
      </s:c>
      <s:c r="BN47" s="233">
        <s:f>IF(BM47="111","SI","SD")</s:f>
        <s:v/>
      </s:c>
      <s:c r="BO47" s="233">
        <s:f>IF(BM47="-1-1-1","SI","SD")</s:f>
        <s:v/>
      </s:c>
      <s:c r="BP47" s="233">
        <s:f>OR(BN47="SI",BO47="SI")</s:f>
        <s:v/>
      </s:c>
      <s:c r="BQ47" s="233">
        <s:f>IF(BP47=FALSE,"SIGDIFERENTES","SIGIGUALES")</s:f>
        <s:v/>
      </s:c>
      <s:c r="BR47" s="236">
        <s:f>IF(BI47="NO CONFORME","NO CONFORME",IF(BH47="CONFORME","CONFORME","NO CONFORME"))</s:f>
        <s:v/>
      </s:c>
      <s:c r="BS47" s="233">
        <s:f>F47</s:f>
        <s:v/>
      </s:c>
      <s:c r="BT47" s="237">
        <s:f>G47</s:f>
        <s:v/>
      </s:c>
      <s:c r="BU47" s="233">
        <s:f>"20"&amp;+MID(G47,3,2)</s:f>
        <s:v/>
      </s:c>
      <s:c r="BV47" s="238">
        <s:f>C47</s:f>
        <s:v/>
      </s:c>
      <s:c r="BW47" s="233">
        <s:f>AT47</s:f>
        <s:v/>
      </s:c>
      <s:c r="BX47" s="238">
        <s:f>B47</s:f>
        <s:v/>
      </s:c>
      <s:c r="BY47" s="239">
        <s:f>H47</s:f>
        <s:v/>
      </s:c>
      <s:c r="BZ47" s="233">
        <s:f>IF(I47=0,"CONFORME","NO CONFORME")</s:f>
        <s:v/>
      </s:c>
      <s:c r="CA47" s="238">
        <s:f>C47</s:f>
        <s:v/>
      </s:c>
      <s:c r="CB47" s="240">
        <s:f>AH47</s:f>
        <s:v/>
      </s:c>
      <s:c r="CC47" s="241">
        <s:f>AR47</s:f>
        <s:v/>
      </s:c>
      <s:c r="CD47" s="240">
        <s:f>AI47</s:f>
        <s:v/>
      </s:c>
      <s:c r="CE47" s="240">
        <s:f>AJ47</s:f>
        <s:v/>
      </s:c>
      <s:c r="CF47" s="240">
        <s:f>AS47</s:f>
        <s:v/>
      </s:c>
      <s:c r="CG47" s="240">
        <s:f>V47</s:f>
        <s:v/>
      </s:c>
      <s:c r="CH47" s="241">
        <s:f>AF47</s:f>
        <s:v/>
      </s:c>
      <s:c r="CI47" s="240">
        <s:f>W47</s:f>
        <s:v/>
      </s:c>
      <s:c r="CJ47" s="240">
        <s:f>X47</s:f>
        <s:v/>
      </s:c>
      <s:c r="CK47" s="240">
        <s:f>AG47</s:f>
        <s:v/>
      </s:c>
      <s:c r="CL47" s="240">
        <s:f>J47</s:f>
        <s:v/>
      </s:c>
      <s:c r="CM47" s="241">
        <s:f>T47</s:f>
        <s:v/>
      </s:c>
      <s:c r="CN47" s="240">
        <s:f>K47</s:f>
        <s:v/>
      </s:c>
      <s:c r="CO47" s="240">
        <s:f>L47</s:f>
        <s:v/>
      </s:c>
      <s:c r="CP47" s="242">
        <s:f>U47</s:f>
        <s:v/>
      </s:c>
      <s:c r="CQ47" s="233">
        <s:f>AT47</s:f>
        <s:v/>
      </s:c>
    </s:row>
    <s:row r="48">
      <s:c r="A48" s="211" t="n">
        <s:v>31</s:v>
      </s:c>
      <s:c r="B48" s="212" t="n">
        <s:v>45901</s:v>
      </s:c>
      <s:c r="C48" s="213" t="n">
        <s:v>45901</s:v>
      </s:c>
      <s:c r="D48" s="214" t="n">
        <s:v>3</s:v>
      </s:c>
      <s:c r="E48" s="215" t="n">
        <s:v>13</s:v>
      </s:c>
      <s:c r="F48" s="216" t="inlineStr">
        <s:is>
          <s:t>VI-236523-2025</s:t>
        </s:is>
      </s:c>
      <s:c r="G48" s="217" t="inlineStr">
        <s:is>
          <s:t>QA25417626</s:t>
        </s:is>
      </s:c>
      <s:c r="H48" s="218" t="n">
        <s:v>16</s:v>
      </s:c>
      <s:c r="I48" s="219" t="n">
        <s:v>0</s:v>
      </s:c>
      <s:c r="J48" s="220" t="n">
        <s:v>18.4</s:v>
      </s:c>
      <s:c r="K48" s="221" t="n">
        <s:v>7.509</s:v>
      </s:c>
      <s:c r="L48" s="221" t="n">
        <s:v>1.252</s:v>
      </s:c>
      <s:c r="M48" s="222" t="n">
        <s:v>292.37</s:v>
      </s:c>
      <s:c r="N48" s="222" t="n">
        <s:v>392.75</s:v>
      </s:c>
      <s:c r="O48" s="222" t="n">
        <s:v>100.6</s:v>
      </s:c>
      <s:c r="P48" s="223" t="inlineStr">
        <s:is>
          <s:t>2,30,820</s:t>
        </s:is>
      </s:c>
      <s:c r="Q48" s="224" t="inlineStr">
        <s:is>
          <s:t>2</s:t>
        </s:is>
      </s:c>
      <s:c r="R48" s="224" t="inlineStr">
        <s:is>
          <s:t>30,820</s:t>
        </s:is>
      </s:c>
      <s:c r="S48" s="224" t="n">
        <s:v>0.04189444444444444</s:v>
      </s:c>
      <s:c r="T48" s="225" t="n">
        <s:v>2401.273040710781</s:v>
      </s:c>
      <s:c r="U48" s="226" t="n">
        <s:v>-0.2186878727634184</s:v>
      </s:c>
      <s:c r="V48" s="220" t="n">
        <s:v>18.3</s:v>
      </s:c>
      <s:c r="W48" s="221" t="n">
        <s:v>1.095</s:v>
      </s:c>
      <s:c r="X48" s="221" t="n">
        <s:v>1.082</s:v>
      </s:c>
      <s:c r="Y48" s="222" t="n">
        <s:v>404.86</s:v>
      </s:c>
      <s:c r="Z48" s="222" t="n">
        <s:v>409.92</s:v>
      </s:c>
      <s:c r="AA48" s="227" t="n">
        <s:v>5.012</s:v>
      </s:c>
      <s:c r="AB48" s="228" t="inlineStr">
        <s:is>
          <s:t>11,20,970</s:t>
        </s:is>
      </s:c>
      <s:c r="AC48" s="224" t="inlineStr">
        <s:is>
          <s:t>11</s:t>
        </s:is>
      </s:c>
      <s:c r="AD48" s="224" t="inlineStr">
        <s:is>
          <s:t>20,970</s:t>
        </s:is>
      </s:c>
      <s:c r="AE48" s="224" t="n">
        <s:v>0.1891583333333333</s:v>
      </s:c>
      <s:c r="AF48" s="225" t="n">
        <s:v>26.49632142385127</s:v>
      </s:c>
      <s:c r="AG48" s="229" t="n">
        <s:v>0.9577015163607884</s:v>
      </s:c>
      <s:c r="AH48" s="220" t="n">
        <s:v>18.4</s:v>
      </s:c>
      <s:c r="AI48" s="221" t="n">
        <s:v>1.098</s:v>
      </s:c>
      <s:c r="AJ48" s="221" t="n">
        <s:v>1.085</s:v>
      </s:c>
      <s:c r="AK48" s="222" t="n">
        <s:v>409.92</s:v>
      </s:c>
      <s:c r="AL48" s="222" t="n">
        <s:v>411.93</s:v>
      </s:c>
      <s:c r="AM48" s="230" t="n">
        <s:v>2.007</s:v>
      </s:c>
      <s:c r="AN48" s="223" t="inlineStr">
        <s:is>
          <s:t>7,26,550</s:t>
        </s:is>
      </s:c>
      <s:c r="AO48" s="224" t="inlineStr">
        <s:is>
          <s:t>7,</s:t>
        </s:is>
      </s:c>
      <s:c r="AP48" s="224" t="inlineStr">
        <s:is>
          <s:t>26,550</s:t>
        </s:is>
      </s:c>
      <s:c r="AQ48" s="224" t="n">
        <s:v>0.1240416666666667</s:v>
      </s:c>
      <s:c r="AR48" s="225" t="n">
        <s:v>16.1800470272086</s:v>
      </s:c>
      <s:c r="AS48" s="229" t="n">
        <s:v>0.1494768310907219</s:v>
      </s:c>
      <s:c r="AT48" s="231" t="inlineStr">
        <s:is>
          <s:t>CONFORME</s:t>
        </s:is>
      </s:c>
      <s:c r="AU48" s="232">
        <s:f>B48=C48</s:f>
        <s:v/>
      </s:c>
      <s:c r="AV48" s="233">
        <s:f>MID(G48,1,2)</s:f>
        <s:v/>
      </s:c>
      <s:c r="AW48" s="233">
        <s:f>LEN(G48)</s:f>
        <s:v/>
      </s:c>
      <s:c r="AX48" s="233" t="inlineStr">
        <s:is>
          <s:t>OI-0922-2025</s:t>
        </s:is>
      </s:c>
      <s:c r="AY48" s="233">
        <s:f>N48&lt;Y48</s:f>
        <s:v/>
      </s:c>
      <s:c r="AZ48" s="233">
        <s:f>Z48&lt;=AK48</s:f>
        <s:v/>
      </s:c>
      <s:c r="BA48" s="233">
        <s:f>L48&lt;K48</s:f>
        <s:v/>
      </s:c>
      <s:c r="BB48" s="233">
        <s:f>W48&gt;=X48</s:f>
        <s:v/>
      </s:c>
      <s:c r="BC48" s="233">
        <s:f>AI48&gt;=AJ48</s:f>
        <s:v/>
      </s:c>
      <s:c r="BD48" s="233">
        <s:f>IF(I48&gt;=1,"Qcorrecto",IF(AND(BE48="aceptable",BF48="aceptable",BG48="aceptable"),"Qcorrecto","Qincorrecto"))</s:f>
        <s:v/>
      </s:c>
      <s:c r="BE48" s="232">
        <s:f>IF(AR48&lt;$AH$6,"error",IF(AR48&gt;$AH$6*1.1,"error","aceptable"))</s:f>
        <s:v/>
      </s:c>
      <s:c r="BF48" s="232">
        <s:f>IF(AF48&lt;$V$6,"error",IF(AF48&gt;$V$6*1.1,"error","aceptable"))</s:f>
        <s:v/>
      </s:c>
      <s:c r="BG48" s="232">
        <s:f>IF(T48&lt;$J$6*0.9,"error",IF(T48&gt;$J$6,"error","aceptable"))</s:f>
        <s:v/>
      </s:c>
      <s:c r="BH48" s="234">
        <s:f>(IF(ABS(U48)&lt;1,"CONFORME",IF(ABS(AG48)&lt;1,"CONFORME",IF(ABS(AS48)&lt;2.5,"CONFORME","NO CONFORME"))))</s:f>
        <s:v/>
      </s:c>
      <s:c r="BI48" s="235">
        <s:f>(IF(ABS(U48)&gt;2.044,"NO CONFORME",IF(ABS(AG48)&gt;2.044,"NO CONFORME",IF(ABS(AS48)&gt;5.044,"NO CONFORME","CONFORME"))))</s:f>
        <s:v/>
      </s:c>
      <s:c r="BJ48" s="233">
        <s:f>SIGN(U48)</s:f>
        <s:v/>
      </s:c>
      <s:c r="BK48" s="233">
        <s:f>SIGN(AG48)</s:f>
        <s:v/>
      </s:c>
      <s:c r="BL48" s="233">
        <s:f>SIGN(AS48)</s:f>
        <s:v/>
      </s:c>
      <s:c r="BM48" s="233">
        <s:f>CONCATENATE(BJ48,BK48,BL48)</s:f>
        <s:v/>
      </s:c>
      <s:c r="BN48" s="233">
        <s:f>IF(BM48="111","SI","SD")</s:f>
        <s:v/>
      </s:c>
      <s:c r="BO48" s="233">
        <s:f>IF(BM48="-1-1-1","SI","SD")</s:f>
        <s:v/>
      </s:c>
      <s:c r="BP48" s="233">
        <s:f>OR(BN48="SI",BO48="SI")</s:f>
        <s:v/>
      </s:c>
      <s:c r="BQ48" s="233">
        <s:f>IF(BP48=FALSE,"SIGDIFERENTES","SIGIGUALES")</s:f>
        <s:v/>
      </s:c>
      <s:c r="BR48" s="236">
        <s:f>IF(BI48="NO CONFORME","NO CONFORME",IF(BH48="CONFORME","CONFORME","NO CONFORME"))</s:f>
        <s:v/>
      </s:c>
      <s:c r="BS48" s="233">
        <s:f>F48</s:f>
        <s:v/>
      </s:c>
      <s:c r="BT48" s="237">
        <s:f>G48</s:f>
        <s:v/>
      </s:c>
      <s:c r="BU48" s="233">
        <s:f>"20"&amp;+MID(G48,3,2)</s:f>
        <s:v/>
      </s:c>
      <s:c r="BV48" s="238">
        <s:f>C48</s:f>
        <s:v/>
      </s:c>
      <s:c r="BW48" s="233">
        <s:f>AT48</s:f>
        <s:v/>
      </s:c>
      <s:c r="BX48" s="238">
        <s:f>B48</s:f>
        <s:v/>
      </s:c>
      <s:c r="BY48" s="239">
        <s:f>H48</s:f>
        <s:v/>
      </s:c>
      <s:c r="BZ48" s="233">
        <s:f>IF(I48=0,"CONFORME","NO CONFORME")</s:f>
        <s:v/>
      </s:c>
      <s:c r="CA48" s="238">
        <s:f>C48</s:f>
        <s:v/>
      </s:c>
      <s:c r="CB48" s="240">
        <s:f>AH48</s:f>
        <s:v/>
      </s:c>
      <s:c r="CC48" s="241">
        <s:f>AR48</s:f>
        <s:v/>
      </s:c>
      <s:c r="CD48" s="240">
        <s:f>AI48</s:f>
        <s:v/>
      </s:c>
      <s:c r="CE48" s="240">
        <s:f>AJ48</s:f>
        <s:v/>
      </s:c>
      <s:c r="CF48" s="240">
        <s:f>AS48</s:f>
        <s:v/>
      </s:c>
      <s:c r="CG48" s="240">
        <s:f>V48</s:f>
        <s:v/>
      </s:c>
      <s:c r="CH48" s="241">
        <s:f>AF48</s:f>
        <s:v/>
      </s:c>
      <s:c r="CI48" s="240">
        <s:f>W48</s:f>
        <s:v/>
      </s:c>
      <s:c r="CJ48" s="240">
        <s:f>X48</s:f>
        <s:v/>
      </s:c>
      <s:c r="CK48" s="240">
        <s:f>AG48</s:f>
        <s:v/>
      </s:c>
      <s:c r="CL48" s="240">
        <s:f>J48</s:f>
        <s:v/>
      </s:c>
      <s:c r="CM48" s="241">
        <s:f>T48</s:f>
        <s:v/>
      </s:c>
      <s:c r="CN48" s="240">
        <s:f>K48</s:f>
        <s:v/>
      </s:c>
      <s:c r="CO48" s="240">
        <s:f>L48</s:f>
        <s:v/>
      </s:c>
      <s:c r="CP48" s="242">
        <s:f>U48</s:f>
        <s:v/>
      </s:c>
      <s:c r="CQ48" s="233">
        <s:f>AT48</s:f>
        <s:v/>
      </s:c>
    </s:row>
    <s:row r="49">
      <s:c r="A49" s="211" t="n">
        <s:v>32</s:v>
      </s:c>
      <s:c r="B49" s="212" t="n">
        <s:v>45901</s:v>
      </s:c>
      <s:c r="C49" s="213" t="n">
        <s:v>45901</s:v>
      </s:c>
      <s:c r="D49" s="214" t="n">
        <s:v>3</s:v>
      </s:c>
      <s:c r="E49" s="215" t="n">
        <s:v>13</s:v>
      </s:c>
      <s:c r="F49" s="216" t="inlineStr">
        <s:is>
          <s:t>VI-236524-2025</s:t>
        </s:is>
      </s:c>
      <s:c r="G49" s="217" t="inlineStr">
        <s:is>
          <s:t>QA25417599</s:t>
        </s:is>
      </s:c>
      <s:c r="H49" s="218" t="n">
        <s:v>16</s:v>
      </s:c>
      <s:c r="I49" s="219" t="n">
        <s:v>0</s:v>
      </s:c>
      <s:c r="J49" s="220" t="n">
        <s:v>18.4</s:v>
      </s:c>
      <s:c r="K49" s="221" t="n">
        <s:v>7.509</s:v>
      </s:c>
      <s:c r="L49" s="221" t="n">
        <s:v>1.252</s:v>
      </s:c>
      <s:c r="M49" s="222" t="n">
        <s:v>299.71</s:v>
      </s:c>
      <s:c r="N49" s="222" t="n">
        <s:v>400.92</s:v>
      </s:c>
      <s:c r="O49" s="222" t="n">
        <s:v>100.6</s:v>
      </s:c>
      <s:c r="P49" s="223" t="inlineStr">
        <s:is>
          <s:t>2,30,820</s:t>
        </s:is>
      </s:c>
      <s:c r="Q49" s="224" t="inlineStr">
        <s:is>
          <s:t>2</s:t>
        </s:is>
      </s:c>
      <s:c r="R49" s="224" t="inlineStr">
        <s:is>
          <s:t>30,820</s:t>
        </s:is>
      </s:c>
      <s:c r="S49" s="224" t="n">
        <s:v>0.04189444444444444</s:v>
      </s:c>
      <s:c r="T49" s="225" t="n">
        <s:v>2401.273040710781</s:v>
      </s:c>
      <s:c r="U49" s="226" t="n">
        <s:v>0.6063618290258868</s:v>
      </s:c>
      <s:c r="V49" s="220" t="n">
        <s:v>18.3</s:v>
      </s:c>
      <s:c r="W49" s="221" t="n">
        <s:v>1.095</s:v>
      </s:c>
      <s:c r="X49" s="221" t="n">
        <s:v>1.082</s:v>
      </s:c>
      <s:c r="Y49" s="222" t="n">
        <s:v>413.18</s:v>
      </s:c>
      <s:c r="Z49" s="222" t="n">
        <s:v>418.23</s:v>
      </s:c>
      <s:c r="AA49" s="227" t="n">
        <s:v>5.012</s:v>
      </s:c>
      <s:c r="AB49" s="228" t="inlineStr">
        <s:is>
          <s:t>11,20,970</s:t>
        </s:is>
      </s:c>
      <s:c r="AC49" s="224" t="inlineStr">
        <s:is>
          <s:t>11</s:t>
        </s:is>
      </s:c>
      <s:c r="AD49" s="224" t="inlineStr">
        <s:is>
          <s:t>20,970</s:t>
        </s:is>
      </s:c>
      <s:c r="AE49" s="224" t="n">
        <s:v>0.1891583333333333</s:v>
      </s:c>
      <s:c r="AF49" s="225" t="n">
        <s:v>26.49632142385127</s:v>
      </s:c>
      <s:c r="AG49" s="229" t="n">
        <s:v>0.7581803671191502</s:v>
      </s:c>
      <s:c r="AH49" s="220" t="n">
        <s:v>18.4</s:v>
      </s:c>
      <s:c r="AI49" s="221" t="n">
        <s:v>1.098</s:v>
      </s:c>
      <s:c r="AJ49" s="221" t="n">
        <s:v>1.085</s:v>
      </s:c>
      <s:c r="AK49" s="222" t="n">
        <s:v>418.23</s:v>
      </s:c>
      <s:c r="AL49" s="222" t="n">
        <s:v>420.17</s:v>
      </s:c>
      <s:c r="AM49" s="230" t="n">
        <s:v>2.007</s:v>
      </s:c>
      <s:c r="AN49" s="223" t="inlineStr">
        <s:is>
          <s:t>7,26,550</s:t>
        </s:is>
      </s:c>
      <s:c r="AO49" s="224" t="inlineStr">
        <s:is>
          <s:t>7,</s:t>
        </s:is>
      </s:c>
      <s:c r="AP49" s="224" t="inlineStr">
        <s:is>
          <s:t>26,550</s:t>
        </s:is>
      </s:c>
      <s:c r="AQ49" s="224" t="n">
        <s:v>0.1240416666666667</s:v>
      </s:c>
      <s:c r="AR49" s="225" t="n">
        <s:v>16.1800470272086</s:v>
      </s:c>
      <s:c r="AS49" s="229" t="n">
        <s:v>-3.338315894369825</s:v>
      </s:c>
      <s:c r="AT49" s="231" t="inlineStr">
        <s:is>
          <s:t>CONFORME</s:t>
        </s:is>
      </s:c>
      <s:c r="AU49" s="232">
        <s:f>B49=C49</s:f>
        <s:v/>
      </s:c>
      <s:c r="AV49" s="233">
        <s:f>MID(G49,1,2)</s:f>
        <s:v/>
      </s:c>
      <s:c r="AW49" s="233">
        <s:f>LEN(G49)</s:f>
        <s:v/>
      </s:c>
      <s:c r="AX49" s="233" t="inlineStr">
        <s:is>
          <s:t>OI-0922-2025</s:t>
        </s:is>
      </s:c>
      <s:c r="AY49" s="233">
        <s:f>N49&lt;Y49</s:f>
        <s:v/>
      </s:c>
      <s:c r="AZ49" s="233">
        <s:f>Z49&lt;=AK49</s:f>
        <s:v/>
      </s:c>
      <s:c r="BA49" s="233">
        <s:f>L49&lt;K49</s:f>
        <s:v/>
      </s:c>
      <s:c r="BB49" s="233">
        <s:f>W49&gt;=X49</s:f>
        <s:v/>
      </s:c>
      <s:c r="BC49" s="233">
        <s:f>AI49&gt;=AJ49</s:f>
        <s:v/>
      </s:c>
      <s:c r="BD49" s="233">
        <s:f>IF(I49&gt;=1,"Qcorrecto",IF(AND(BE49="aceptable",BF49="aceptable",BG49="aceptable"),"Qcorrecto","Qincorrecto"))</s:f>
        <s:v/>
      </s:c>
      <s:c r="BE49" s="232">
        <s:f>IF(AR49&lt;$AH$6,"error",IF(AR49&gt;$AH$6*1.1,"error","aceptable"))</s:f>
        <s:v/>
      </s:c>
      <s:c r="BF49" s="232">
        <s:f>IF(AF49&lt;$V$6,"error",IF(AF49&gt;$V$6*1.1,"error","aceptable"))</s:f>
        <s:v/>
      </s:c>
      <s:c r="BG49" s="232">
        <s:f>IF(T49&lt;$J$6*0.9,"error",IF(T49&gt;$J$6,"error","aceptable"))</s:f>
        <s:v/>
      </s:c>
      <s:c r="BH49" s="234">
        <s:f>(IF(ABS(U49)&lt;1,"CONFORME",IF(ABS(AG49)&lt;1,"CONFORME",IF(ABS(AS49)&lt;2.5,"CONFORME","NO CONFORME"))))</s:f>
        <s:v/>
      </s:c>
      <s:c r="BI49" s="235">
        <s:f>(IF(ABS(U49)&gt;2.044,"NO CONFORME",IF(ABS(AG49)&gt;2.044,"NO CONFORME",IF(ABS(AS49)&gt;5.044,"NO CONFORME","CONFORME"))))</s:f>
        <s:v/>
      </s:c>
      <s:c r="BJ49" s="233">
        <s:f>SIGN(U49)</s:f>
        <s:v/>
      </s:c>
      <s:c r="BK49" s="233">
        <s:f>SIGN(AG49)</s:f>
        <s:v/>
      </s:c>
      <s:c r="BL49" s="233">
        <s:f>SIGN(AS49)</s:f>
        <s:v/>
      </s:c>
      <s:c r="BM49" s="233">
        <s:f>CONCATENATE(BJ49,BK49,BL49)</s:f>
        <s:v/>
      </s:c>
      <s:c r="BN49" s="233">
        <s:f>IF(BM49="111","SI","SD")</s:f>
        <s:v/>
      </s:c>
      <s:c r="BO49" s="233">
        <s:f>IF(BM49="-1-1-1","SI","SD")</s:f>
        <s:v/>
      </s:c>
      <s:c r="BP49" s="233">
        <s:f>OR(BN49="SI",BO49="SI")</s:f>
        <s:v/>
      </s:c>
      <s:c r="BQ49" s="233">
        <s:f>IF(BP49=FALSE,"SIGDIFERENTES","SIGIGUALES")</s:f>
        <s:v/>
      </s:c>
      <s:c r="BR49" s="236">
        <s:f>IF(BI49="NO CONFORME","NO CONFORME",IF(BH49="CONFORME","CONFORME","NO CONFORME"))</s:f>
        <s:v/>
      </s:c>
      <s:c r="BS49" s="233">
        <s:f>F49</s:f>
        <s:v/>
      </s:c>
      <s:c r="BT49" s="237">
        <s:f>G49</s:f>
        <s:v/>
      </s:c>
      <s:c r="BU49" s="233">
        <s:f>"20"&amp;+MID(G49,3,2)</s:f>
        <s:v/>
      </s:c>
      <s:c r="BV49" s="238">
        <s:f>C49</s:f>
        <s:v/>
      </s:c>
      <s:c r="BW49" s="233">
        <s:f>AT49</s:f>
        <s:v/>
      </s:c>
      <s:c r="BX49" s="238">
        <s:f>B49</s:f>
        <s:v/>
      </s:c>
      <s:c r="BY49" s="239">
        <s:f>H49</s:f>
        <s:v/>
      </s:c>
      <s:c r="BZ49" s="233">
        <s:f>IF(I49=0,"CONFORME","NO CONFORME")</s:f>
        <s:v/>
      </s:c>
      <s:c r="CA49" s="238">
        <s:f>C49</s:f>
        <s:v/>
      </s:c>
      <s:c r="CB49" s="240">
        <s:f>AH49</s:f>
        <s:v/>
      </s:c>
      <s:c r="CC49" s="241">
        <s:f>AR49</s:f>
        <s:v/>
      </s:c>
      <s:c r="CD49" s="240">
        <s:f>AI49</s:f>
        <s:v/>
      </s:c>
      <s:c r="CE49" s="240">
        <s:f>AJ49</s:f>
        <s:v/>
      </s:c>
      <s:c r="CF49" s="240">
        <s:f>AS49</s:f>
        <s:v/>
      </s:c>
      <s:c r="CG49" s="240">
        <s:f>V49</s:f>
        <s:v/>
      </s:c>
      <s:c r="CH49" s="241">
        <s:f>AF49</s:f>
        <s:v/>
      </s:c>
      <s:c r="CI49" s="240">
        <s:f>W49</s:f>
        <s:v/>
      </s:c>
      <s:c r="CJ49" s="240">
        <s:f>X49</s:f>
        <s:v/>
      </s:c>
      <s:c r="CK49" s="240">
        <s:f>AG49</s:f>
        <s:v/>
      </s:c>
      <s:c r="CL49" s="240">
        <s:f>J49</s:f>
        <s:v/>
      </s:c>
      <s:c r="CM49" s="241">
        <s:f>T49</s:f>
        <s:v/>
      </s:c>
      <s:c r="CN49" s="240">
        <s:f>K49</s:f>
        <s:v/>
      </s:c>
      <s:c r="CO49" s="240">
        <s:f>L49</s:f>
        <s:v/>
      </s:c>
      <s:c r="CP49" s="242">
        <s:f>U49</s:f>
        <s:v/>
      </s:c>
      <s:c r="CQ49" s="233">
        <s:f>AT49</s:f>
        <s:v/>
      </s:c>
    </s:row>
    <s:row r="50">
      <s:c r="A50" s="211" t="n">
        <s:v>33</s:v>
      </s:c>
      <s:c r="B50" s="212" t="n">
        <s:v>45901</s:v>
      </s:c>
      <s:c r="C50" s="213" t="n">
        <s:v>45901</s:v>
      </s:c>
      <s:c r="D50" s="214" t="n">
        <s:v>3</s:v>
      </s:c>
      <s:c r="E50" s="215" t="n">
        <s:v>13</s:v>
      </s:c>
      <s:c r="F50" s="216" t="inlineStr">
        <s:is>
          <s:t>VI-236525-2025</s:t>
        </s:is>
      </s:c>
      <s:c r="G50" s="217" t="inlineStr">
        <s:is>
          <s:t>QA25418169</s:t>
        </s:is>
      </s:c>
      <s:c r="H50" s="218" t="n">
        <s:v>16</s:v>
      </s:c>
      <s:c r="I50" s="219" t="n">
        <s:v>0</s:v>
      </s:c>
      <s:c r="J50" s="220" t="n">
        <s:v>18.4</s:v>
      </s:c>
      <s:c r="K50" s="221" t="n">
        <s:v>7.509</s:v>
      </s:c>
      <s:c r="L50" s="221" t="n">
        <s:v>1.252</s:v>
      </s:c>
      <s:c r="M50" s="222" t="n">
        <s:v>392.61</s:v>
      </s:c>
      <s:c r="N50" s="222" t="n">
        <s:v>493.21</s:v>
      </s:c>
      <s:c r="O50" s="222" t="n">
        <s:v>100.6</s:v>
      </s:c>
      <s:c r="P50" s="223" t="inlineStr">
        <s:is>
          <s:t>2,30,820</s:t>
        </s:is>
      </s:c>
      <s:c r="Q50" s="224" t="inlineStr">
        <s:is>
          <s:t>2</s:t>
        </s:is>
      </s:c>
      <s:c r="R50" s="224" t="inlineStr">
        <s:is>
          <s:t>30,820</s:t>
        </s:is>
      </s:c>
      <s:c r="S50" s="224" t="n">
        <s:v>0.04189444444444444</s:v>
      </s:c>
      <s:c r="T50" s="225" t="n">
        <s:v>2401.273040710781</s:v>
      </s:c>
      <s:c r="U50" s="226" t="n">
        <s:v>-2.825219625288669e-14</s:v>
      </s:c>
      <s:c r="V50" s="220" t="n">
        <s:v>18.3</s:v>
      </s:c>
      <s:c r="W50" s="221" t="n">
        <s:v>1.095</s:v>
      </s:c>
      <s:c r="X50" s="221" t="n">
        <s:v>1.082</s:v>
      </s:c>
      <s:c r="Y50" s="222" t="n">
        <s:v>505.47</s:v>
      </s:c>
      <s:c r="Z50" s="222" t="n">
        <s:v>510.51</s:v>
      </s:c>
      <s:c r="AA50" s="227" t="n">
        <s:v>5.012</s:v>
      </s:c>
      <s:c r="AB50" s="228" t="inlineStr">
        <s:is>
          <s:t>11,20,970</s:t>
        </s:is>
      </s:c>
      <s:c r="AC50" s="224" t="inlineStr">
        <s:is>
          <s:t>11</s:t>
        </s:is>
      </s:c>
      <s:c r="AD50" s="224" t="inlineStr">
        <s:is>
          <s:t>20,970</s:t>
        </s:is>
      </s:c>
      <s:c r="AE50" s="224" t="n">
        <s:v>0.1891583333333333</s:v>
      </s:c>
      <s:c r="AF50" s="225" t="n">
        <s:v>26.49632142385127</s:v>
      </s:c>
      <s:c r="AG50" s="229" t="n">
        <s:v>0.5586592178763778</s:v>
      </s:c>
      <s:c r="AH50" s="220" t="n">
        <s:v>18.4</s:v>
      </s:c>
      <s:c r="AI50" s="221" t="n">
        <s:v>1.098</s:v>
      </s:c>
      <s:c r="AJ50" s="221" t="n">
        <s:v>1.085</s:v>
      </s:c>
      <s:c r="AK50" s="222" t="n">
        <s:v>510.51</s:v>
      </s:c>
      <s:c r="AL50" s="222" t="n">
        <s:v>512.51</s:v>
      </s:c>
      <s:c r="AM50" s="230" t="n">
        <s:v>2.007</s:v>
      </s:c>
      <s:c r="AN50" s="223" t="inlineStr">
        <s:is>
          <s:t>7,26,550</s:t>
        </s:is>
      </s:c>
      <s:c r="AO50" s="224" t="inlineStr">
        <s:is>
          <s:t>7,</s:t>
        </s:is>
      </s:c>
      <s:c r="AP50" s="224" t="inlineStr">
        <s:is>
          <s:t>26,550</s:t>
        </s:is>
      </s:c>
      <s:c r="AQ50" s="224" t="n">
        <s:v>0.1240416666666667</s:v>
      </s:c>
      <s:c r="AR50" s="225" t="n">
        <s:v>16.1800470272086</s:v>
      </s:c>
      <s:c r="AS50" s="229" t="n">
        <s:v>-0.3487792725460945</s:v>
      </s:c>
      <s:c r="AT50" s="231" t="inlineStr">
        <s:is>
          <s:t>CONFORME</s:t>
        </s:is>
      </s:c>
      <s:c r="AU50" s="232">
        <s:f>B50=C50</s:f>
        <s:v/>
      </s:c>
      <s:c r="AV50" s="233">
        <s:f>MID(G50,1,2)</s:f>
        <s:v/>
      </s:c>
      <s:c r="AW50" s="233">
        <s:f>LEN(G50)</s:f>
        <s:v/>
      </s:c>
      <s:c r="AX50" s="233" t="inlineStr">
        <s:is>
          <s:t>OI-0922-2025</s:t>
        </s:is>
      </s:c>
      <s:c r="AY50" s="233">
        <s:f>N50&lt;Y50</s:f>
        <s:v/>
      </s:c>
      <s:c r="AZ50" s="233">
        <s:f>Z50&lt;=AK50</s:f>
        <s:v/>
      </s:c>
      <s:c r="BA50" s="233">
        <s:f>L50&lt;K50</s:f>
        <s:v/>
      </s:c>
      <s:c r="BB50" s="233">
        <s:f>W50&gt;=X50</s:f>
        <s:v/>
      </s:c>
      <s:c r="BC50" s="233">
        <s:f>AI50&gt;=AJ50</s:f>
        <s:v/>
      </s:c>
      <s:c r="BD50" s="233">
        <s:f>IF(I50&gt;=1,"Qcorrecto",IF(AND(BE50="aceptable",BF50="aceptable",BG50="aceptable"),"Qcorrecto","Qincorrecto"))</s:f>
        <s:v/>
      </s:c>
      <s:c r="BE50" s="232">
        <s:f>IF(AR50&lt;$AH$6,"error",IF(AR50&gt;$AH$6*1.1,"error","aceptable"))</s:f>
        <s:v/>
      </s:c>
      <s:c r="BF50" s="232">
        <s:f>IF(AF50&lt;$V$6,"error",IF(AF50&gt;$V$6*1.1,"error","aceptable"))</s:f>
        <s:v/>
      </s:c>
      <s:c r="BG50" s="232">
        <s:f>IF(T50&lt;$J$6*0.9,"error",IF(T50&gt;$J$6,"error","aceptable"))</s:f>
        <s:v/>
      </s:c>
      <s:c r="BH50" s="234">
        <s:f>(IF(ABS(U50)&lt;1,"CONFORME",IF(ABS(AG50)&lt;1,"CONFORME",IF(ABS(AS50)&lt;2.5,"CONFORME","NO CONFORME"))))</s:f>
        <s:v/>
      </s:c>
      <s:c r="BI50" s="235">
        <s:f>(IF(ABS(U50)&gt;2.044,"NO CONFORME",IF(ABS(AG50)&gt;2.044,"NO CONFORME",IF(ABS(AS50)&gt;5.044,"NO CONFORME","CONFORME"))))</s:f>
        <s:v/>
      </s:c>
      <s:c r="BJ50" s="233">
        <s:f>SIGN(U50)</s:f>
        <s:v/>
      </s:c>
      <s:c r="BK50" s="233">
        <s:f>SIGN(AG50)</s:f>
        <s:v/>
      </s:c>
      <s:c r="BL50" s="233">
        <s:f>SIGN(AS50)</s:f>
        <s:v/>
      </s:c>
      <s:c r="BM50" s="233">
        <s:f>CONCATENATE(BJ50,BK50,BL50)</s:f>
        <s:v/>
      </s:c>
      <s:c r="BN50" s="233">
        <s:f>IF(BM50="111","SI","SD")</s:f>
        <s:v/>
      </s:c>
      <s:c r="BO50" s="233">
        <s:f>IF(BM50="-1-1-1","SI","SD")</s:f>
        <s:v/>
      </s:c>
      <s:c r="BP50" s="233">
        <s:f>OR(BN50="SI",BO50="SI")</s:f>
        <s:v/>
      </s:c>
      <s:c r="BQ50" s="233">
        <s:f>IF(BP50=FALSE,"SIGDIFERENTES","SIGIGUALES")</s:f>
        <s:v/>
      </s:c>
      <s:c r="BR50" s="236">
        <s:f>IF(BI50="NO CONFORME","NO CONFORME",IF(BH50="CONFORME","CONFORME","NO CONFORME"))</s:f>
        <s:v/>
      </s:c>
      <s:c r="BS50" s="233">
        <s:f>F50</s:f>
        <s:v/>
      </s:c>
      <s:c r="BT50" s="237">
        <s:f>G50</s:f>
        <s:v/>
      </s:c>
      <s:c r="BU50" s="233">
        <s:f>"20"&amp;+MID(G50,3,2)</s:f>
        <s:v/>
      </s:c>
      <s:c r="BV50" s="238">
        <s:f>C50</s:f>
        <s:v/>
      </s:c>
      <s:c r="BW50" s="233">
        <s:f>AT50</s:f>
        <s:v/>
      </s:c>
      <s:c r="BX50" s="238">
        <s:f>B50</s:f>
        <s:v/>
      </s:c>
      <s:c r="BY50" s="239">
        <s:f>H50</s:f>
        <s:v/>
      </s:c>
      <s:c r="BZ50" s="233">
        <s:f>IF(I50=0,"CONFORME","NO CONFORME")</s:f>
        <s:v/>
      </s:c>
      <s:c r="CA50" s="238">
        <s:f>C50</s:f>
        <s:v/>
      </s:c>
      <s:c r="CB50" s="240">
        <s:f>AH50</s:f>
        <s:v/>
      </s:c>
      <s:c r="CC50" s="241">
        <s:f>AR50</s:f>
        <s:v/>
      </s:c>
      <s:c r="CD50" s="240">
        <s:f>AI50</s:f>
        <s:v/>
      </s:c>
      <s:c r="CE50" s="240">
        <s:f>AJ50</s:f>
        <s:v/>
      </s:c>
      <s:c r="CF50" s="240">
        <s:f>AS50</s:f>
        <s:v/>
      </s:c>
      <s:c r="CG50" s="240">
        <s:f>V50</s:f>
        <s:v/>
      </s:c>
      <s:c r="CH50" s="241">
        <s:f>AF50</s:f>
        <s:v/>
      </s:c>
      <s:c r="CI50" s="240">
        <s:f>W50</s:f>
        <s:v/>
      </s:c>
      <s:c r="CJ50" s="240">
        <s:f>X50</s:f>
        <s:v/>
      </s:c>
      <s:c r="CK50" s="240">
        <s:f>AG50</s:f>
        <s:v/>
      </s:c>
      <s:c r="CL50" s="240">
        <s:f>J50</s:f>
        <s:v/>
      </s:c>
      <s:c r="CM50" s="241">
        <s:f>T50</s:f>
        <s:v/>
      </s:c>
      <s:c r="CN50" s="240">
        <s:f>K50</s:f>
        <s:v/>
      </s:c>
      <s:c r="CO50" s="240">
        <s:f>L50</s:f>
        <s:v/>
      </s:c>
      <s:c r="CP50" s="242">
        <s:f>U50</s:f>
        <s:v/>
      </s:c>
      <s:c r="CQ50" s="233">
        <s:f>AT50</s:f>
        <s:v/>
      </s:c>
    </s:row>
    <s:row r="51">
      <s:c r="A51" s="211" t="n">
        <s:v>34</s:v>
      </s:c>
      <s:c r="B51" s="212" t="n">
        <s:v>45901</s:v>
      </s:c>
      <s:c r="C51" s="213" t="n">
        <s:v>45901</s:v>
      </s:c>
      <s:c r="D51" s="214" t="n">
        <s:v>3</s:v>
      </s:c>
      <s:c r="E51" s="215" t="n">
        <s:v>13</s:v>
      </s:c>
      <s:c r="F51" s="216" t="inlineStr">
        <s:is>
          <s:t>VI-236526-2025</s:t>
        </s:is>
      </s:c>
      <s:c r="G51" s="217" t="inlineStr">
        <s:is>
          <s:t>QA25418191</s:t>
        </s:is>
      </s:c>
      <s:c r="H51" s="218" t="n">
        <s:v>16</s:v>
      </s:c>
      <s:c r="I51" s="219" t="n">
        <s:v>0</s:v>
      </s:c>
      <s:c r="J51" s="220" t="n">
        <s:v>18.4</s:v>
      </s:c>
      <s:c r="K51" s="221" t="n">
        <s:v>7.509</s:v>
      </s:c>
      <s:c r="L51" s="221" t="n">
        <s:v>1.252</s:v>
      </s:c>
      <s:c r="M51" s="222" t="n">
        <s:v>365.47</s:v>
      </s:c>
      <s:c r="N51" s="222" t="n">
        <s:v>465.03</s:v>
      </s:c>
      <s:c r="O51" s="222" t="n">
        <s:v>100.6</s:v>
      </s:c>
      <s:c r="P51" s="223" t="inlineStr">
        <s:is>
          <s:t>2,30,820</s:t>
        </s:is>
      </s:c>
      <s:c r="Q51" s="224" t="inlineStr">
        <s:is>
          <s:t>2</s:t>
        </s:is>
      </s:c>
      <s:c r="R51" s="224" t="inlineStr">
        <s:is>
          <s:t>30,820</s:t>
        </s:is>
      </s:c>
      <s:c r="S51" s="224" t="n">
        <s:v>0.04189444444444444</s:v>
      </s:c>
      <s:c r="T51" s="225" t="n">
        <s:v>2401.273040710781</s:v>
      </s:c>
      <s:c r="U51" s="226" t="n">
        <s:v>-1.03379721669985</s:v>
      </s:c>
      <s:c r="V51" s="220" t="n">
        <s:v>18.3</s:v>
      </s:c>
      <s:c r="W51" s="221" t="n">
        <s:v>1.095</s:v>
      </s:c>
      <s:c r="X51" s="221" t="n">
        <s:v>1.082</s:v>
      </s:c>
      <s:c r="Y51" s="222" t="n">
        <s:v>477.07</s:v>
      </s:c>
      <s:c r="Z51" s="222" t="n">
        <s:v>482.09</s:v>
      </s:c>
      <s:c r="AA51" s="227" t="n">
        <s:v>5.012</s:v>
      </s:c>
      <s:c r="AB51" s="228" t="inlineStr">
        <s:is>
          <s:t>11,20,970</s:t>
        </s:is>
      </s:c>
      <s:c r="AC51" s="224" t="inlineStr">
        <s:is>
          <s:t>11</s:t>
        </s:is>
      </s:c>
      <s:c r="AD51" s="224" t="inlineStr">
        <s:is>
          <s:t>20,970</s:t>
        </s:is>
      </s:c>
      <s:c r="AE51" s="224" t="n">
        <s:v>0.1891583333333333</s:v>
      </s:c>
      <s:c r="AF51" s="225" t="n">
        <s:v>26.49632142385127</s:v>
      </s:c>
      <s:c r="AG51" s="229" t="n">
        <s:v>0.1596169193931014</s:v>
      </s:c>
      <s:c r="AH51" s="220" t="n">
        <s:v>18.4</s:v>
      </s:c>
      <s:c r="AI51" s="221" t="n">
        <s:v>1.098</s:v>
      </s:c>
      <s:c r="AJ51" s="221" t="n">
        <s:v>1.085</s:v>
      </s:c>
      <s:c r="AK51" s="222" t="n">
        <s:v>482.09</s:v>
      </s:c>
      <s:c r="AL51" s="222" t="n">
        <s:v>484.11</s:v>
      </s:c>
      <s:c r="AM51" s="230" t="n">
        <s:v>2.007</s:v>
      </s:c>
      <s:c r="AN51" s="223" t="inlineStr">
        <s:is>
          <s:t>7,26,550</s:t>
        </s:is>
      </s:c>
      <s:c r="AO51" s="224" t="inlineStr">
        <s:is>
          <s:t>7,</s:t>
        </s:is>
      </s:c>
      <s:c r="AP51" s="224" t="inlineStr">
        <s:is>
          <s:t>26,550</s:t>
        </s:is>
      </s:c>
      <s:c r="AQ51" s="224" t="n">
        <s:v>0.1240416666666667</s:v>
      </s:c>
      <s:c r="AR51" s="225" t="n">
        <s:v>16.1800470272086</s:v>
      </s:c>
      <s:c r="AS51" s="229" t="n">
        <s:v>0.6477329347303704</s:v>
      </s:c>
      <s:c r="AT51" s="231" t="inlineStr">
        <s:is>
          <s:t>CONFORME</s:t>
        </s:is>
      </s:c>
      <s:c r="AU51" s="232">
        <s:f>B51=C51</s:f>
        <s:v/>
      </s:c>
      <s:c r="AV51" s="233">
        <s:f>MID(G51,1,2)</s:f>
        <s:v/>
      </s:c>
      <s:c r="AW51" s="233">
        <s:f>LEN(G51)</s:f>
        <s:v/>
      </s:c>
      <s:c r="AX51" s="233" t="inlineStr">
        <s:is>
          <s:t>OI-0922-2025</s:t>
        </s:is>
      </s:c>
      <s:c r="AY51" s="233">
        <s:f>N51&lt;Y51</s:f>
        <s:v/>
      </s:c>
      <s:c r="AZ51" s="233">
        <s:f>Z51&lt;=AK51</s:f>
        <s:v/>
      </s:c>
      <s:c r="BA51" s="233">
        <s:f>L51&lt;K51</s:f>
        <s:v/>
      </s:c>
      <s:c r="BB51" s="233">
        <s:f>W51&gt;=X51</s:f>
        <s:v/>
      </s:c>
      <s:c r="BC51" s="233">
        <s:f>AI51&gt;=AJ51</s:f>
        <s:v/>
      </s:c>
      <s:c r="BD51" s="233">
        <s:f>IF(I51&gt;=1,"Qcorrecto",IF(AND(BE51="aceptable",BF51="aceptable",BG51="aceptable"),"Qcorrecto","Qincorrecto"))</s:f>
        <s:v/>
      </s:c>
      <s:c r="BE51" s="232">
        <s:f>IF(AR51&lt;$AH$6,"error",IF(AR51&gt;$AH$6*1.1,"error","aceptable"))</s:f>
        <s:v/>
      </s:c>
      <s:c r="BF51" s="232">
        <s:f>IF(AF51&lt;$V$6,"error",IF(AF51&gt;$V$6*1.1,"error","aceptable"))</s:f>
        <s:v/>
      </s:c>
      <s:c r="BG51" s="232">
        <s:f>IF(T51&lt;$J$6*0.9,"error",IF(T51&gt;$J$6,"error","aceptable"))</s:f>
        <s:v/>
      </s:c>
      <s:c r="BH51" s="234">
        <s:f>(IF(ABS(U51)&lt;1,"CONFORME",IF(ABS(AG51)&lt;1,"CONFORME",IF(ABS(AS51)&lt;2.5,"CONFORME","NO CONFORME"))))</s:f>
        <s:v/>
      </s:c>
      <s:c r="BI51" s="235">
        <s:f>(IF(ABS(U51)&gt;2.044,"NO CONFORME",IF(ABS(AG51)&gt;2.044,"NO CONFORME",IF(ABS(AS51)&gt;5.044,"NO CONFORME","CONFORME"))))</s:f>
        <s:v/>
      </s:c>
      <s:c r="BJ51" s="233">
        <s:f>SIGN(U51)</s:f>
        <s:v/>
      </s:c>
      <s:c r="BK51" s="233">
        <s:f>SIGN(AG51)</s:f>
        <s:v/>
      </s:c>
      <s:c r="BL51" s="233">
        <s:f>SIGN(AS51)</s:f>
        <s:v/>
      </s:c>
      <s:c r="BM51" s="233">
        <s:f>CONCATENATE(BJ51,BK51,BL51)</s:f>
        <s:v/>
      </s:c>
      <s:c r="BN51" s="233">
        <s:f>IF(BM51="111","SI","SD")</s:f>
        <s:v/>
      </s:c>
      <s:c r="BO51" s="233">
        <s:f>IF(BM51="-1-1-1","SI","SD")</s:f>
        <s:v/>
      </s:c>
      <s:c r="BP51" s="233">
        <s:f>OR(BN51="SI",BO51="SI")</s:f>
        <s:v/>
      </s:c>
      <s:c r="BQ51" s="233">
        <s:f>IF(BP51=FALSE,"SIGDIFERENTES","SIGIGUALES")</s:f>
        <s:v/>
      </s:c>
      <s:c r="BR51" s="236">
        <s:f>IF(BI51="NO CONFORME","NO CONFORME",IF(BH51="CONFORME","CONFORME","NO CONFORME"))</s:f>
        <s:v/>
      </s:c>
      <s:c r="BS51" s="233">
        <s:f>F51</s:f>
        <s:v/>
      </s:c>
      <s:c r="BT51" s="237">
        <s:f>G51</s:f>
        <s:v/>
      </s:c>
      <s:c r="BU51" s="233">
        <s:f>"20"&amp;+MID(G51,3,2)</s:f>
        <s:v/>
      </s:c>
      <s:c r="BV51" s="238">
        <s:f>C51</s:f>
        <s:v/>
      </s:c>
      <s:c r="BW51" s="233">
        <s:f>AT51</s:f>
        <s:v/>
      </s:c>
      <s:c r="BX51" s="238">
        <s:f>B51</s:f>
        <s:v/>
      </s:c>
      <s:c r="BY51" s="239">
        <s:f>H51</s:f>
        <s:v/>
      </s:c>
      <s:c r="BZ51" s="233">
        <s:f>IF(I51=0,"CONFORME","NO CONFORME")</s:f>
        <s:v/>
      </s:c>
      <s:c r="CA51" s="238">
        <s:f>C51</s:f>
        <s:v/>
      </s:c>
      <s:c r="CB51" s="240">
        <s:f>AH51</s:f>
        <s:v/>
      </s:c>
      <s:c r="CC51" s="241">
        <s:f>AR51</s:f>
        <s:v/>
      </s:c>
      <s:c r="CD51" s="240">
        <s:f>AI51</s:f>
        <s:v/>
      </s:c>
      <s:c r="CE51" s="240">
        <s:f>AJ51</s:f>
        <s:v/>
      </s:c>
      <s:c r="CF51" s="240">
        <s:f>AS51</s:f>
        <s:v/>
      </s:c>
      <s:c r="CG51" s="240">
        <s:f>V51</s:f>
        <s:v/>
      </s:c>
      <s:c r="CH51" s="241">
        <s:f>AF51</s:f>
        <s:v/>
      </s:c>
      <s:c r="CI51" s="240">
        <s:f>W51</s:f>
        <s:v/>
      </s:c>
      <s:c r="CJ51" s="240">
        <s:f>X51</s:f>
        <s:v/>
      </s:c>
      <s:c r="CK51" s="240">
        <s:f>AG51</s:f>
        <s:v/>
      </s:c>
      <s:c r="CL51" s="240">
        <s:f>J51</s:f>
        <s:v/>
      </s:c>
      <s:c r="CM51" s="241">
        <s:f>T51</s:f>
        <s:v/>
      </s:c>
      <s:c r="CN51" s="240">
        <s:f>K51</s:f>
        <s:v/>
      </s:c>
      <s:c r="CO51" s="240">
        <s:f>L51</s:f>
        <s:v/>
      </s:c>
      <s:c r="CP51" s="242">
        <s:f>U51</s:f>
        <s:v/>
      </s:c>
      <s:c r="CQ51" s="233">
        <s:f>AT51</s:f>
        <s:v/>
      </s:c>
    </s:row>
    <s:row r="52">
      <s:c r="A52" s="211" t="n">
        <s:v>35</s:v>
      </s:c>
      <s:c r="B52" s="212" t="n">
        <s:v>45901</s:v>
      </s:c>
      <s:c r="C52" s="213" t="n">
        <s:v>45901</s:v>
      </s:c>
      <s:c r="D52" s="214" t="n">
        <s:v>3</s:v>
      </s:c>
      <s:c r="E52" s="215" t="n">
        <s:v>13</s:v>
      </s:c>
      <s:c r="F52" s="216" t="inlineStr">
        <s:is>
          <s:t>VI-236527-2025</s:t>
        </s:is>
      </s:c>
      <s:c r="G52" s="217" t="inlineStr">
        <s:is>
          <s:t>QA25417722</s:t>
        </s:is>
      </s:c>
      <s:c r="H52" s="218" t="n">
        <s:v>16</s:v>
      </s:c>
      <s:c r="I52" s="219" t="n">
        <s:v>0</s:v>
      </s:c>
      <s:c r="J52" s="220" t="n">
        <s:v>18.4</s:v>
      </s:c>
      <s:c r="K52" s="221" t="n">
        <s:v>7.509</s:v>
      </s:c>
      <s:c r="L52" s="221" t="n">
        <s:v>1.252</s:v>
      </s:c>
      <s:c r="M52" s="222" t="n">
        <s:v>300.06</s:v>
      </s:c>
      <s:c r="N52" s="222" t="n">
        <s:v>399.68</s:v>
      </s:c>
      <s:c r="O52" s="222" t="n">
        <s:v>100.6</s:v>
      </s:c>
      <s:c r="P52" s="223" t="inlineStr">
        <s:is>
          <s:t>2,30,820</s:t>
        </s:is>
      </s:c>
      <s:c r="Q52" s="224" t="inlineStr">
        <s:is>
          <s:t>2</s:t>
        </s:is>
      </s:c>
      <s:c r="R52" s="224" t="inlineStr">
        <s:is>
          <s:t>30,820</s:t>
        </s:is>
      </s:c>
      <s:c r="S52" s="224" t="n">
        <s:v>0.04189444444444444</s:v>
      </s:c>
      <s:c r="T52" s="225" t="n">
        <s:v>2401.273040710781</s:v>
      </s:c>
      <s:c r="U52" s="226" t="n">
        <s:v>-0.9741550695824948</s:v>
      </s:c>
      <s:c r="V52" s="220" t="n">
        <s:v>18.3</s:v>
      </s:c>
      <s:c r="W52" s="221" t="n">
        <s:v>1.095</s:v>
      </s:c>
      <s:c r="X52" s="221" t="n">
        <s:v>1.082</s:v>
      </s:c>
      <s:c r="Y52" s="222" t="n">
        <s:v>411.84</s:v>
      </s:c>
      <s:c r="Z52" s="222" t="n">
        <s:v>416.88</s:v>
      </s:c>
      <s:c r="AA52" s="227" t="n">
        <s:v>5.012</s:v>
      </s:c>
      <s:c r="AB52" s="228" t="inlineStr">
        <s:is>
          <s:t>11,20,970</s:t>
        </s:is>
      </s:c>
      <s:c r="AC52" s="224" t="inlineStr">
        <s:is>
          <s:t>11</s:t>
        </s:is>
      </s:c>
      <s:c r="AD52" s="224" t="inlineStr">
        <s:is>
          <s:t>20,970</s:t>
        </s:is>
      </s:c>
      <s:c r="AE52" s="224" t="n">
        <s:v>0.1891583333333333</s:v>
      </s:c>
      <s:c r="AF52" s="225" t="n">
        <s:v>26.49632142385127</s:v>
      </s:c>
      <s:c r="AG52" s="229" t="n">
        <s:v>0.5586592178775119</s:v>
      </s:c>
      <s:c r="AH52" s="220" t="n">
        <s:v>18.4</s:v>
      </s:c>
      <s:c r="AI52" s="221" t="n">
        <s:v>1.098</s:v>
      </s:c>
      <s:c r="AJ52" s="221" t="n">
        <s:v>1.085</s:v>
      </s:c>
      <s:c r="AK52" s="222" t="n">
        <s:v>416.88</s:v>
      </s:c>
      <s:c r="AL52" s="222" t="n">
        <s:v>418.88</s:v>
      </s:c>
      <s:c r="AM52" s="230" t="n">
        <s:v>2.007</s:v>
      </s:c>
      <s:c r="AN52" s="223" t="inlineStr">
        <s:is>
          <s:t>7,26,550</s:t>
        </s:is>
      </s:c>
      <s:c r="AO52" s="224" t="inlineStr">
        <s:is>
          <s:t>7,</s:t>
        </s:is>
      </s:c>
      <s:c r="AP52" s="224" t="inlineStr">
        <s:is>
          <s:t>26,550</s:t>
        </s:is>
      </s:c>
      <s:c r="AQ52" s="224" t="n">
        <s:v>0.1240416666666667</s:v>
      </s:c>
      <s:c r="AR52" s="225" t="n">
        <s:v>16.1800470272086</s:v>
      </s:c>
      <s:c r="AS52" s="229" t="n">
        <s:v>-0.3487792725460945</s:v>
      </s:c>
      <s:c r="AT52" s="231" t="inlineStr">
        <s:is>
          <s:t>CONFORME</s:t>
        </s:is>
      </s:c>
      <s:c r="AU52" s="232">
        <s:f>B52=C52</s:f>
        <s:v/>
      </s:c>
      <s:c r="AV52" s="233">
        <s:f>MID(G52,1,2)</s:f>
        <s:v/>
      </s:c>
      <s:c r="AW52" s="233">
        <s:f>LEN(G52)</s:f>
        <s:v/>
      </s:c>
      <s:c r="AX52" s="233" t="inlineStr">
        <s:is>
          <s:t>OI-0922-2025</s:t>
        </s:is>
      </s:c>
      <s:c r="AY52" s="233">
        <s:f>N52&lt;Y52</s:f>
        <s:v/>
      </s:c>
      <s:c r="AZ52" s="233">
        <s:f>Z52&lt;=AK52</s:f>
        <s:v/>
      </s:c>
      <s:c r="BA52" s="233">
        <s:f>L52&lt;K52</s:f>
        <s:v/>
      </s:c>
      <s:c r="BB52" s="233">
        <s:f>W52&gt;=X52</s:f>
        <s:v/>
      </s:c>
      <s:c r="BC52" s="233">
        <s:f>AI52&gt;=AJ52</s:f>
        <s:v/>
      </s:c>
      <s:c r="BD52" s="233">
        <s:f>IF(I52&gt;=1,"Qcorrecto",IF(AND(BE52="aceptable",BF52="aceptable",BG52="aceptable"),"Qcorrecto","Qincorrecto"))</s:f>
        <s:v/>
      </s:c>
      <s:c r="BE52" s="232">
        <s:f>IF(AR52&lt;$AH$6,"error",IF(AR52&gt;$AH$6*1.1,"error","aceptable"))</s:f>
        <s:v/>
      </s:c>
      <s:c r="BF52" s="232">
        <s:f>IF(AF52&lt;$V$6,"error",IF(AF52&gt;$V$6*1.1,"error","aceptable"))</s:f>
        <s:v/>
      </s:c>
      <s:c r="BG52" s="232">
        <s:f>IF(T52&lt;$J$6*0.9,"error",IF(T52&gt;$J$6,"error","aceptable"))</s:f>
        <s:v/>
      </s:c>
      <s:c r="BH52" s="234">
        <s:f>(IF(ABS(U52)&lt;1,"CONFORME",IF(ABS(AG52)&lt;1,"CONFORME",IF(ABS(AS52)&lt;2.5,"CONFORME","NO CONFORME"))))</s:f>
        <s:v/>
      </s:c>
      <s:c r="BI52" s="235">
        <s:f>(IF(ABS(U52)&gt;2.044,"NO CONFORME",IF(ABS(AG52)&gt;2.044,"NO CONFORME",IF(ABS(AS52)&gt;5.044,"NO CONFORME","CONFORME"))))</s:f>
        <s:v/>
      </s:c>
      <s:c r="BJ52" s="233">
        <s:f>SIGN(U52)</s:f>
        <s:v/>
      </s:c>
      <s:c r="BK52" s="233">
        <s:f>SIGN(AG52)</s:f>
        <s:v/>
      </s:c>
      <s:c r="BL52" s="233">
        <s:f>SIGN(AS52)</s:f>
        <s:v/>
      </s:c>
      <s:c r="BM52" s="233">
        <s:f>CONCATENATE(BJ52,BK52,BL52)</s:f>
        <s:v/>
      </s:c>
      <s:c r="BN52" s="233">
        <s:f>IF(BM52="111","SI","SD")</s:f>
        <s:v/>
      </s:c>
      <s:c r="BO52" s="233">
        <s:f>IF(BM52="-1-1-1","SI","SD")</s:f>
        <s:v/>
      </s:c>
      <s:c r="BP52" s="233">
        <s:f>OR(BN52="SI",BO52="SI")</s:f>
        <s:v/>
      </s:c>
      <s:c r="BQ52" s="233">
        <s:f>IF(BP52=FALSE,"SIGDIFERENTES","SIGIGUALES")</s:f>
        <s:v/>
      </s:c>
      <s:c r="BR52" s="236">
        <s:f>IF(BI52="NO CONFORME","NO CONFORME",IF(BH52="CONFORME","CONFORME","NO CONFORME"))</s:f>
        <s:v/>
      </s:c>
      <s:c r="BS52" s="233">
        <s:f>F52</s:f>
        <s:v/>
      </s:c>
      <s:c r="BT52" s="237">
        <s:f>G52</s:f>
        <s:v/>
      </s:c>
      <s:c r="BU52" s="233">
        <s:f>"20"&amp;+MID(G52,3,2)</s:f>
        <s:v/>
      </s:c>
      <s:c r="BV52" s="238">
        <s:f>C52</s:f>
        <s:v/>
      </s:c>
      <s:c r="BW52" s="233">
        <s:f>AT52</s:f>
        <s:v/>
      </s:c>
      <s:c r="BX52" s="238">
        <s:f>B52</s:f>
        <s:v/>
      </s:c>
      <s:c r="BY52" s="239">
        <s:f>H52</s:f>
        <s:v/>
      </s:c>
      <s:c r="BZ52" s="233">
        <s:f>IF(I52=0,"CONFORME","NO CONFORME")</s:f>
        <s:v/>
      </s:c>
      <s:c r="CA52" s="238">
        <s:f>C52</s:f>
        <s:v/>
      </s:c>
      <s:c r="CB52" s="240">
        <s:f>AH52</s:f>
        <s:v/>
      </s:c>
      <s:c r="CC52" s="241">
        <s:f>AR52</s:f>
        <s:v/>
      </s:c>
      <s:c r="CD52" s="240">
        <s:f>AI52</s:f>
        <s:v/>
      </s:c>
      <s:c r="CE52" s="240">
        <s:f>AJ52</s:f>
        <s:v/>
      </s:c>
      <s:c r="CF52" s="240">
        <s:f>AS52</s:f>
        <s:v/>
      </s:c>
      <s:c r="CG52" s="240">
        <s:f>V52</s:f>
        <s:v/>
      </s:c>
      <s:c r="CH52" s="241">
        <s:f>AF52</s:f>
        <s:v/>
      </s:c>
      <s:c r="CI52" s="240">
        <s:f>W52</s:f>
        <s:v/>
      </s:c>
      <s:c r="CJ52" s="240">
        <s:f>X52</s:f>
        <s:v/>
      </s:c>
      <s:c r="CK52" s="240">
        <s:f>AG52</s:f>
        <s:v/>
      </s:c>
      <s:c r="CL52" s="240">
        <s:f>J52</s:f>
        <s:v/>
      </s:c>
      <s:c r="CM52" s="241">
        <s:f>T52</s:f>
        <s:v/>
      </s:c>
      <s:c r="CN52" s="240">
        <s:f>K52</s:f>
        <s:v/>
      </s:c>
      <s:c r="CO52" s="240">
        <s:f>L52</s:f>
        <s:v/>
      </s:c>
      <s:c r="CP52" s="242">
        <s:f>U52</s:f>
        <s:v/>
      </s:c>
      <s:c r="CQ52" s="233">
        <s:f>AT52</s:f>
        <s:v/>
      </s:c>
    </s:row>
    <s:row r="53">
      <s:c r="A53" s="211" t="n">
        <s:v>36</s:v>
      </s:c>
      <s:c r="B53" s="212" t="n">
        <s:v>45901</s:v>
      </s:c>
      <s:c r="C53" s="213" t="n">
        <s:v>45901</s:v>
      </s:c>
      <s:c r="D53" s="214" t="n">
        <s:v>3</s:v>
      </s:c>
      <s:c r="E53" s="215" t="n">
        <s:v>13</s:v>
      </s:c>
      <s:c r="F53" s="216" t="inlineStr">
        <s:is>
          <s:t>VI-236528-2025</s:t>
        </s:is>
      </s:c>
      <s:c r="G53" s="217" t="inlineStr">
        <s:is>
          <s:t>QA25417651</s:t>
        </s:is>
      </s:c>
      <s:c r="H53" s="218" t="n">
        <s:v>16</s:v>
      </s:c>
      <s:c r="I53" s="219" t="n">
        <s:v>0</s:v>
      </s:c>
      <s:c r="J53" s="220" t="n">
        <s:v>18.4</s:v>
      </s:c>
      <s:c r="K53" s="221" t="n">
        <s:v>7.509</s:v>
      </s:c>
      <s:c r="L53" s="221" t="n">
        <s:v>1.252</s:v>
      </s:c>
      <s:c r="M53" s="222" t="n">
        <s:v>291.36</s:v>
      </s:c>
      <s:c r="N53" s="222" t="n">
        <s:v>391.2</s:v>
      </s:c>
      <s:c r="O53" s="222" t="n">
        <s:v>100.6</s:v>
      </s:c>
      <s:c r="P53" s="223" t="inlineStr">
        <s:is>
          <s:t>2,30,820</s:t>
        </s:is>
      </s:c>
      <s:c r="Q53" s="224" t="inlineStr">
        <s:is>
          <s:t>2</s:t>
        </s:is>
      </s:c>
      <s:c r="R53" s="224" t="inlineStr">
        <s:is>
          <s:t>30,820</s:t>
        </s:is>
      </s:c>
      <s:c r="S53" s="224" t="n">
        <s:v>0.04189444444444444</s:v>
      </s:c>
      <s:c r="T53" s="225" t="n">
        <s:v>2401.273040710781</s:v>
      </s:c>
      <s:c r="U53" s="226" t="n">
        <s:v>-0.7554671968191047</s:v>
      </s:c>
      <s:c r="V53" s="220" t="n">
        <s:v>18.3</s:v>
      </s:c>
      <s:c r="W53" s="221" t="n">
        <s:v>1.095</s:v>
      </s:c>
      <s:c r="X53" s="221" t="n">
        <s:v>1.082</s:v>
      </s:c>
      <s:c r="Y53" s="222" t="n">
        <s:v>403.33</s:v>
      </s:c>
      <s:c r="Z53" s="222" t="n">
        <s:v>408.42</s:v>
      </s:c>
      <s:c r="AA53" s="227" t="n">
        <s:v>5.012</s:v>
      </s:c>
      <s:c r="AB53" s="228" t="inlineStr">
        <s:is>
          <s:t>11,20,970</s:t>
        </s:is>
      </s:c>
      <s:c r="AC53" s="224" t="inlineStr">
        <s:is>
          <s:t>11</s:t>
        </s:is>
      </s:c>
      <s:c r="AD53" s="224" t="inlineStr">
        <s:is>
          <s:t>20,970</s:t>
        </s:is>
      </s:c>
      <s:c r="AE53" s="224" t="n">
        <s:v>0.1891583333333333</s:v>
      </s:c>
      <s:c r="AF53" s="225" t="n">
        <s:v>26.49632142385127</s:v>
      </s:c>
      <s:c r="AG53" s="229" t="n">
        <s:v>1.556264964086837</s:v>
      </s:c>
      <s:c r="AH53" s="220" t="n">
        <s:v>18.4</s:v>
      </s:c>
      <s:c r="AI53" s="221" t="n">
        <s:v>1.098</s:v>
      </s:c>
      <s:c r="AJ53" s="221" t="n">
        <s:v>1.085</s:v>
      </s:c>
      <s:c r="AK53" s="222" t="n">
        <s:v>408.42</s:v>
      </s:c>
      <s:c r="AL53" s="222" t="n">
        <s:v>410.43</s:v>
      </s:c>
      <s:c r="AM53" s="230" t="n">
        <s:v>2.007</s:v>
      </s:c>
      <s:c r="AN53" s="223" t="inlineStr">
        <s:is>
          <s:t>7,26,550</s:t>
        </s:is>
      </s:c>
      <s:c r="AO53" s="224" t="inlineStr">
        <s:is>
          <s:t>7,</s:t>
        </s:is>
      </s:c>
      <s:c r="AP53" s="224" t="inlineStr">
        <s:is>
          <s:t>26,550</s:t>
        </s:is>
      </s:c>
      <s:c r="AQ53" s="224" t="n">
        <s:v>0.1240416666666667</s:v>
      </s:c>
      <s:c r="AR53" s="225" t="n">
        <s:v>16.1800470272086</s:v>
      </s:c>
      <s:c r="AS53" s="229" t="n">
        <s:v>0.1494768310907219</s:v>
      </s:c>
      <s:c r="AT53" s="231" t="inlineStr">
        <s:is>
          <s:t>CONFORME</s:t>
        </s:is>
      </s:c>
      <s:c r="AU53" s="232">
        <s:f>B53=C53</s:f>
        <s:v/>
      </s:c>
      <s:c r="AV53" s="233">
        <s:f>MID(G53,1,2)</s:f>
        <s:v/>
      </s:c>
      <s:c r="AW53" s="233">
        <s:f>LEN(G53)</s:f>
        <s:v/>
      </s:c>
      <s:c r="AX53" s="233" t="inlineStr">
        <s:is>
          <s:t>OI-0922-2025</s:t>
        </s:is>
      </s:c>
      <s:c r="AY53" s="233">
        <s:f>N53&lt;Y53</s:f>
        <s:v/>
      </s:c>
      <s:c r="AZ53" s="233">
        <s:f>Z53&lt;=AK53</s:f>
        <s:v/>
      </s:c>
      <s:c r="BA53" s="233">
        <s:f>L53&lt;K53</s:f>
        <s:v/>
      </s:c>
      <s:c r="BB53" s="233">
        <s:f>W53&gt;=X53</s:f>
        <s:v/>
      </s:c>
      <s:c r="BC53" s="233">
        <s:f>AI53&gt;=AJ53</s:f>
        <s:v/>
      </s:c>
      <s:c r="BD53" s="233">
        <s:f>IF(I53&gt;=1,"Qcorrecto",IF(AND(BE53="aceptable",BF53="aceptable",BG53="aceptable"),"Qcorrecto","Qincorrecto"))</s:f>
        <s:v/>
      </s:c>
      <s:c r="BE53" s="232">
        <s:f>IF(AR53&lt;$AH$6,"error",IF(AR53&gt;$AH$6*1.1,"error","aceptable"))</s:f>
        <s:v/>
      </s:c>
      <s:c r="BF53" s="232">
        <s:f>IF(AF53&lt;$V$6,"error",IF(AF53&gt;$V$6*1.1,"error","aceptable"))</s:f>
        <s:v/>
      </s:c>
      <s:c r="BG53" s="232">
        <s:f>IF(T53&lt;$J$6*0.9,"error",IF(T53&gt;$J$6,"error","aceptable"))</s:f>
        <s:v/>
      </s:c>
      <s:c r="BH53" s="234">
        <s:f>(IF(ABS(U53)&lt;1,"CONFORME",IF(ABS(AG53)&lt;1,"CONFORME",IF(ABS(AS53)&lt;2.5,"CONFORME","NO CONFORME"))))</s:f>
        <s:v/>
      </s:c>
      <s:c r="BI53" s="235">
        <s:f>(IF(ABS(U53)&gt;2.044,"NO CONFORME",IF(ABS(AG53)&gt;2.044,"NO CONFORME",IF(ABS(AS53)&gt;5.044,"NO CONFORME","CONFORME"))))</s:f>
        <s:v/>
      </s:c>
      <s:c r="BJ53" s="233">
        <s:f>SIGN(U53)</s:f>
        <s:v/>
      </s:c>
      <s:c r="BK53" s="233">
        <s:f>SIGN(AG53)</s:f>
        <s:v/>
      </s:c>
      <s:c r="BL53" s="233">
        <s:f>SIGN(AS53)</s:f>
        <s:v/>
      </s:c>
      <s:c r="BM53" s="233">
        <s:f>CONCATENATE(BJ53,BK53,BL53)</s:f>
        <s:v/>
      </s:c>
      <s:c r="BN53" s="233">
        <s:f>IF(BM53="111","SI","SD")</s:f>
        <s:v/>
      </s:c>
      <s:c r="BO53" s="233">
        <s:f>IF(BM53="-1-1-1","SI","SD")</s:f>
        <s:v/>
      </s:c>
      <s:c r="BP53" s="233">
        <s:f>OR(BN53="SI",BO53="SI")</s:f>
        <s:v/>
      </s:c>
      <s:c r="BQ53" s="233">
        <s:f>IF(BP53=FALSE,"SIGDIFERENTES","SIGIGUALES")</s:f>
        <s:v/>
      </s:c>
      <s:c r="BR53" s="236">
        <s:f>IF(BI53="NO CONFORME","NO CONFORME",IF(BH53="CONFORME","CONFORME","NO CONFORME"))</s:f>
        <s:v/>
      </s:c>
      <s:c r="BS53" s="233">
        <s:f>F53</s:f>
        <s:v/>
      </s:c>
      <s:c r="BT53" s="237">
        <s:f>G53</s:f>
        <s:v/>
      </s:c>
      <s:c r="BU53" s="233">
        <s:f>"20"&amp;+MID(G53,3,2)</s:f>
        <s:v/>
      </s:c>
      <s:c r="BV53" s="238">
        <s:f>C53</s:f>
        <s:v/>
      </s:c>
      <s:c r="BW53" s="233">
        <s:f>AT53</s:f>
        <s:v/>
      </s:c>
      <s:c r="BX53" s="238">
        <s:f>B53</s:f>
        <s:v/>
      </s:c>
      <s:c r="BY53" s="239">
        <s:f>H53</s:f>
        <s:v/>
      </s:c>
      <s:c r="BZ53" s="233">
        <s:f>IF(I53=0,"CONFORME","NO CONFORME")</s:f>
        <s:v/>
      </s:c>
      <s:c r="CA53" s="238">
        <s:f>C53</s:f>
        <s:v/>
      </s:c>
      <s:c r="CB53" s="240">
        <s:f>AH53</s:f>
        <s:v/>
      </s:c>
      <s:c r="CC53" s="241">
        <s:f>AR53</s:f>
        <s:v/>
      </s:c>
      <s:c r="CD53" s="240">
        <s:f>AI53</s:f>
        <s:v/>
      </s:c>
      <s:c r="CE53" s="240">
        <s:f>AJ53</s:f>
        <s:v/>
      </s:c>
      <s:c r="CF53" s="240">
        <s:f>AS53</s:f>
        <s:v/>
      </s:c>
      <s:c r="CG53" s="240">
        <s:f>V53</s:f>
        <s:v/>
      </s:c>
      <s:c r="CH53" s="241">
        <s:f>AF53</s:f>
        <s:v/>
      </s:c>
      <s:c r="CI53" s="240">
        <s:f>W53</s:f>
        <s:v/>
      </s:c>
      <s:c r="CJ53" s="240">
        <s:f>X53</s:f>
        <s:v/>
      </s:c>
      <s:c r="CK53" s="240">
        <s:f>AG53</s:f>
        <s:v/>
      </s:c>
      <s:c r="CL53" s="240">
        <s:f>J53</s:f>
        <s:v/>
      </s:c>
      <s:c r="CM53" s="241">
        <s:f>T53</s:f>
        <s:v/>
      </s:c>
      <s:c r="CN53" s="240">
        <s:f>K53</s:f>
        <s:v/>
      </s:c>
      <s:c r="CO53" s="240">
        <s:f>L53</s:f>
        <s:v/>
      </s:c>
      <s:c r="CP53" s="242">
        <s:f>U53</s:f>
        <s:v/>
      </s:c>
      <s:c r="CQ53" s="233">
        <s:f>AT53</s:f>
        <s:v/>
      </s:c>
    </s:row>
    <s:row r="54">
      <s:c r="A54" s="211" t="n">
        <s:v>37</s:v>
      </s:c>
      <s:c r="B54" s="212" t="n">
        <s:v>45901</s:v>
      </s:c>
      <s:c r="C54" s="213" t="n">
        <s:v>45901</s:v>
      </s:c>
      <s:c r="D54" s="214" t="n">
        <s:v>3</s:v>
      </s:c>
      <s:c r="E54" s="215" t="n">
        <s:v>13</s:v>
      </s:c>
      <s:c r="F54" s="216" t="inlineStr">
        <s:is>
          <s:t>VI-236529-2025</s:t>
        </s:is>
      </s:c>
      <s:c r="G54" s="217" t="inlineStr">
        <s:is>
          <s:t>QA25418199</s:t>
        </s:is>
      </s:c>
      <s:c r="H54" s="218" t="n">
        <s:v>16</s:v>
      </s:c>
      <s:c r="I54" s="219" t="n">
        <s:v>0</s:v>
      </s:c>
      <s:c r="J54" s="220" t="n">
        <s:v>18.5</s:v>
      </s:c>
      <s:c r="K54" s="221" t="n">
        <s:v>7.51</s:v>
      </s:c>
      <s:c r="L54" s="221" t="n">
        <s:v>1.2</s:v>
      </s:c>
      <s:c r="M54" s="222" t="n">
        <s:v>341.88</s:v>
      </s:c>
      <s:c r="N54" s="222" t="n">
        <s:v>443.14</s:v>
      </s:c>
      <s:c r="O54" s="222" t="n">
        <s:v>100.51</s:v>
      </s:c>
      <s:c r="P54" s="223" t="inlineStr">
        <s:is>
          <s:t>2,30,340</s:t>
        </s:is>
      </s:c>
      <s:c r="Q54" s="224" t="inlineStr">
        <s:is>
          <s:t>2</s:t>
        </s:is>
      </s:c>
      <s:c r="R54" s="224" t="inlineStr">
        <s:is>
          <s:t>30,340</s:t>
        </s:is>
      </s:c>
      <s:c r="S54" s="224" t="n">
        <s:v>0.04176111111111111</s:v>
      </s:c>
      <s:c r="T54" s="225" t="n">
        <s:v>2406.784621524544</s:v>
      </s:c>
      <s:c r="U54" s="226" t="n">
        <s:v>0.7461944085165514</s:v>
      </s:c>
      <s:c r="V54" s="220" t="n">
        <s:v>18.4</s:v>
      </s:c>
      <s:c r="W54" s="221" t="n">
        <s:v>1.093</s:v>
      </s:c>
      <s:c r="X54" s="221" t="n">
        <s:v>1.081</s:v>
      </s:c>
      <s:c r="Y54" s="222" t="n">
        <s:v>455.55</s:v>
      </s:c>
      <s:c r="Z54" s="222" t="n">
        <s:v>460.53</s:v>
      </s:c>
      <s:c r="AA54" s="227" t="n">
        <s:v>5.011</s:v>
      </s:c>
      <s:c r="AB54" s="228" t="inlineStr">
        <s:is>
          <s:t>11,20,700</s:t>
        </s:is>
      </s:c>
      <s:c r="AC54" s="224" t="inlineStr">
        <s:is>
          <s:t>11</s:t>
        </s:is>
      </s:c>
      <s:c r="AD54" s="224" t="inlineStr">
        <s:is>
          <s:t>20,700</s:t>
        </s:is>
      </s:c>
      <s:c r="AE54" s="224" t="n">
        <s:v>0.1890833333333334</s:v>
      </s:c>
      <s:c r="AF54" s="225" t="n">
        <s:v>26.50154252974879</s:v>
      </s:c>
      <s:c r="AG54" s="229" t="n">
        <s:v>-0.6186389942135058</s:v>
      </s:c>
      <s:c r="AH54" s="220" t="n">
        <s:v>18.5</s:v>
      </s:c>
      <s:c r="AI54" s="221" t="n">
        <s:v>1.099</s:v>
      </s:c>
      <s:c r="AJ54" s="221" t="n">
        <s:v>1.087</s:v>
      </s:c>
      <s:c r="AK54" s="222" t="n">
        <s:v>460.53</s:v>
      </s:c>
      <s:c r="AL54" s="222" t="n">
        <s:v>462.46</s:v>
      </s:c>
      <s:c r="AM54" s="230" t="n">
        <s:v>2.006</s:v>
      </s:c>
      <s:c r="AN54" s="223" t="inlineStr">
        <s:is>
          <s:t>7,22,100</s:t>
        </s:is>
      </s:c>
      <s:c r="AO54" s="224" t="inlineStr">
        <s:is>
          <s:t>7,</s:t>
        </s:is>
      </s:c>
      <s:c r="AP54" s="224" t="inlineStr">
        <s:is>
          <s:t>22,100</s:t>
        </s:is>
      </s:c>
      <s:c r="AQ54" s="224" t="n">
        <s:v>0.1228055555555556</s:v>
      </s:c>
      <s:c r="AR54" s="225" t="n">
        <s:v>16.33476589007012</s:v>
      </s:c>
      <s:c r="AS54" s="229" t="n">
        <s:v>-3.788634097706529</s:v>
      </s:c>
      <s:c r="AT54" s="231" t="inlineStr">
        <s:is>
          <s:t>CONFORME</s:t>
        </s:is>
      </s:c>
      <s:c r="AU54" s="232">
        <s:f>B54=C54</s:f>
        <s:v/>
      </s:c>
      <s:c r="AV54" s="233">
        <s:f>MID(G54,1,2)</s:f>
        <s:v/>
      </s:c>
      <s:c r="AW54" s="233">
        <s:f>LEN(G54)</s:f>
        <s:v/>
      </s:c>
      <s:c r="AX54" s="233" t="inlineStr">
        <s:is>
          <s:t>OI-0922-2025</s:t>
        </s:is>
      </s:c>
      <s:c r="AY54" s="233">
        <s:f>N54&lt;Y54</s:f>
        <s:v/>
      </s:c>
      <s:c r="AZ54" s="233">
        <s:f>Z54&lt;=AK54</s:f>
        <s:v/>
      </s:c>
      <s:c r="BA54" s="233">
        <s:f>L54&lt;K54</s:f>
        <s:v/>
      </s:c>
      <s:c r="BB54" s="233">
        <s:f>W54&gt;=X54</s:f>
        <s:v/>
      </s:c>
      <s:c r="BC54" s="233">
        <s:f>AI54&gt;=AJ54</s:f>
        <s:v/>
      </s:c>
      <s:c r="BD54" s="233">
        <s:f>IF(I54&gt;=1,"Qcorrecto",IF(AND(BE54="aceptable",BF54="aceptable",BG54="aceptable"),"Qcorrecto","Qincorrecto"))</s:f>
        <s:v/>
      </s:c>
      <s:c r="BE54" s="232">
        <s:f>IF(AR54&lt;$AH$6,"error",IF(AR54&gt;$AH$6*1.1,"error","aceptable"))</s:f>
        <s:v/>
      </s:c>
      <s:c r="BF54" s="232">
        <s:f>IF(AF54&lt;$V$6,"error",IF(AF54&gt;$V$6*1.1,"error","aceptable"))</s:f>
        <s:v/>
      </s:c>
      <s:c r="BG54" s="232">
        <s:f>IF(T54&lt;$J$6*0.9,"error",IF(T54&gt;$J$6,"error","aceptable"))</s:f>
        <s:v/>
      </s:c>
      <s:c r="BH54" s="234">
        <s:f>(IF(ABS(U54)&lt;1,"CONFORME",IF(ABS(AG54)&lt;1,"CONFORME",IF(ABS(AS54)&lt;2.5,"CONFORME","NO CONFORME"))))</s:f>
        <s:v/>
      </s:c>
      <s:c r="BI54" s="235">
        <s:f>(IF(ABS(U54)&gt;2.044,"NO CONFORME",IF(ABS(AG54)&gt;2.044,"NO CONFORME",IF(ABS(AS54)&gt;5.044,"NO CONFORME","CONFORME"))))</s:f>
        <s:v/>
      </s:c>
      <s:c r="BJ54" s="233">
        <s:f>SIGN(U54)</s:f>
        <s:v/>
      </s:c>
      <s:c r="BK54" s="233">
        <s:f>SIGN(AG54)</s:f>
        <s:v/>
      </s:c>
      <s:c r="BL54" s="233">
        <s:f>SIGN(AS54)</s:f>
        <s:v/>
      </s:c>
      <s:c r="BM54" s="233">
        <s:f>CONCATENATE(BJ54,BK54,BL54)</s:f>
        <s:v/>
      </s:c>
      <s:c r="BN54" s="233">
        <s:f>IF(BM54="111","SI","SD")</s:f>
        <s:v/>
      </s:c>
      <s:c r="BO54" s="233">
        <s:f>IF(BM54="-1-1-1","SI","SD")</s:f>
        <s:v/>
      </s:c>
      <s:c r="BP54" s="233">
        <s:f>OR(BN54="SI",BO54="SI")</s:f>
        <s:v/>
      </s:c>
      <s:c r="BQ54" s="233">
        <s:f>IF(BP54=FALSE,"SIGDIFERENTES","SIGIGUALES")</s:f>
        <s:v/>
      </s:c>
      <s:c r="BR54" s="236">
        <s:f>IF(BI54="NO CONFORME","NO CONFORME",IF(BH54="CONFORME","CONFORME","NO CONFORME"))</s:f>
        <s:v/>
      </s:c>
      <s:c r="BS54" s="233">
        <s:f>F54</s:f>
        <s:v/>
      </s:c>
      <s:c r="BT54" s="237">
        <s:f>G54</s:f>
        <s:v/>
      </s:c>
      <s:c r="BU54" s="233">
        <s:f>"20"&amp;+MID(G54,3,2)</s:f>
        <s:v/>
      </s:c>
      <s:c r="BV54" s="238">
        <s:f>C54</s:f>
        <s:v/>
      </s:c>
      <s:c r="BW54" s="233">
        <s:f>AT54</s:f>
        <s:v/>
      </s:c>
      <s:c r="BX54" s="238">
        <s:f>B54</s:f>
        <s:v/>
      </s:c>
      <s:c r="BY54" s="239">
        <s:f>H54</s:f>
        <s:v/>
      </s:c>
      <s:c r="BZ54" s="233">
        <s:f>IF(I54=0,"CONFORME","NO CONFORME")</s:f>
        <s:v/>
      </s:c>
      <s:c r="CA54" s="238">
        <s:f>C54</s:f>
        <s:v/>
      </s:c>
      <s:c r="CB54" s="240">
        <s:f>AH54</s:f>
        <s:v/>
      </s:c>
      <s:c r="CC54" s="241">
        <s:f>AR54</s:f>
        <s:v/>
      </s:c>
      <s:c r="CD54" s="240">
        <s:f>AI54</s:f>
        <s:v/>
      </s:c>
      <s:c r="CE54" s="240">
        <s:f>AJ54</s:f>
        <s:v/>
      </s:c>
      <s:c r="CF54" s="240">
        <s:f>AS54</s:f>
        <s:v/>
      </s:c>
      <s:c r="CG54" s="240">
        <s:f>V54</s:f>
        <s:v/>
      </s:c>
      <s:c r="CH54" s="241">
        <s:f>AF54</s:f>
        <s:v/>
      </s:c>
      <s:c r="CI54" s="240">
        <s:f>W54</s:f>
        <s:v/>
      </s:c>
      <s:c r="CJ54" s="240">
        <s:f>X54</s:f>
        <s:v/>
      </s:c>
      <s:c r="CK54" s="240">
        <s:f>AG54</s:f>
        <s:v/>
      </s:c>
      <s:c r="CL54" s="240">
        <s:f>J54</s:f>
        <s:v/>
      </s:c>
      <s:c r="CM54" s="241">
        <s:f>T54</s:f>
        <s:v/>
      </s:c>
      <s:c r="CN54" s="240">
        <s:f>K54</s:f>
        <s:v/>
      </s:c>
      <s:c r="CO54" s="240">
        <s:f>L54</s:f>
        <s:v/>
      </s:c>
      <s:c r="CP54" s="242">
        <s:f>U54</s:f>
        <s:v/>
      </s:c>
      <s:c r="CQ54" s="233">
        <s:f>AT54</s:f>
        <s:v/>
      </s:c>
    </s:row>
    <s:row r="55">
      <s:c r="A55" s="211" t="n">
        <s:v>38</s:v>
      </s:c>
      <s:c r="B55" s="212" t="n">
        <s:v>45901</s:v>
      </s:c>
      <s:c r="C55" s="213" t="n">
        <s:v>45901</s:v>
      </s:c>
      <s:c r="D55" s="214" t="n">
        <s:v>3</s:v>
      </s:c>
      <s:c r="E55" s="215" t="n">
        <s:v>13</s:v>
      </s:c>
      <s:c r="F55" s="216" t="inlineStr">
        <s:is>
          <s:t>VI-236530-2025</s:t>
        </s:is>
      </s:c>
      <s:c r="G55" s="217" t="inlineStr">
        <s:is>
          <s:t>QA25418063</s:t>
        </s:is>
      </s:c>
      <s:c r="H55" s="218" t="n">
        <s:v>16</s:v>
      </s:c>
      <s:c r="I55" s="219" t="n">
        <s:v>0</s:v>
      </s:c>
      <s:c r="J55" s="220" t="n">
        <s:v>18.5</s:v>
      </s:c>
      <s:c r="K55" s="221" t="n">
        <s:v>7.51</s:v>
      </s:c>
      <s:c r="L55" s="221" t="n">
        <s:v>1.2</s:v>
      </s:c>
      <s:c r="M55" s="222" t="n">
        <s:v>578.61</s:v>
      </s:c>
      <s:c r="N55" s="222" t="n">
        <s:v>678.6900000000001</s:v>
      </s:c>
      <s:c r="O55" s="222" t="n">
        <s:v>100.51</s:v>
      </s:c>
      <s:c r="P55" s="223" t="inlineStr">
        <s:is>
          <s:t>2,30,340</s:t>
        </s:is>
      </s:c>
      <s:c r="Q55" s="224" t="inlineStr">
        <s:is>
          <s:t>2</s:t>
        </s:is>
      </s:c>
      <s:c r="R55" s="224" t="inlineStr">
        <s:is>
          <s:t>30,340</s:t>
        </s:is>
      </s:c>
      <s:c r="S55" s="224" t="n">
        <s:v>0.04176111111111111</s:v>
      </s:c>
      <s:c r="T55" s="225" t="n">
        <s:v>2406.784621524544</s:v>
      </s:c>
      <s:c r="U55" s="226" t="n">
        <s:v>-0.4278181275494619</s:v>
      </s:c>
      <s:c r="V55" s="220" t="n">
        <s:v>18.4</s:v>
      </s:c>
      <s:c r="W55" s="221" t="n">
        <s:v>1.093</s:v>
      </s:c>
      <s:c r="X55" s="221" t="n">
        <s:v>1.081</s:v>
      </s:c>
      <s:c r="Y55" s="222" t="n">
        <s:v>690.9400000000001</s:v>
      </s:c>
      <s:c r="Z55" s="222" t="n">
        <s:v>695.9299999999999</s:v>
      </s:c>
      <s:c r="AA55" s="227" t="n">
        <s:v>5.011</s:v>
      </s:c>
      <s:c r="AB55" s="228" t="inlineStr">
        <s:is>
          <s:t>11,20,700</s:t>
        </s:is>
      </s:c>
      <s:c r="AC55" s="224" t="inlineStr">
        <s:is>
          <s:t>11</s:t>
        </s:is>
      </s:c>
      <s:c r="AD55" s="224" t="inlineStr">
        <s:is>
          <s:t>20,700</s:t>
        </s:is>
      </s:c>
      <s:c r="AE55" s="224" t="n">
        <s:v>0.1890833333333334</s:v>
      </s:c>
      <s:c r="AF55" s="225" t="n">
        <s:v>26.50154252974879</s:v>
      </s:c>
      <s:c r="AG55" s="229" t="n">
        <s:v>-0.4190780283397468</s:v>
      </s:c>
      <s:c r="AH55" s="220" t="n">
        <s:v>18.5</s:v>
      </s:c>
      <s:c r="AI55" s="221" t="n">
        <s:v>1.099</s:v>
      </s:c>
      <s:c r="AJ55" s="221" t="n">
        <s:v>1.087</s:v>
      </s:c>
      <s:c r="AK55" s="222" t="n">
        <s:v>695.9299999999999</s:v>
      </s:c>
      <s:c r="AL55" s="222" t="n">
        <s:v>697.9</s:v>
      </s:c>
      <s:c r="AM55" s="230" t="n">
        <s:v>2.006</s:v>
      </s:c>
      <s:c r="AN55" s="223" t="inlineStr">
        <s:is>
          <s:t>7,22,100</s:t>
        </s:is>
      </s:c>
      <s:c r="AO55" s="224" t="inlineStr">
        <s:is>
          <s:t>7,</s:t>
        </s:is>
      </s:c>
      <s:c r="AP55" s="224" t="inlineStr">
        <s:is>
          <s:t>22,100</s:t>
        </s:is>
      </s:c>
      <s:c r="AQ55" s="224" t="n">
        <s:v>0.1228055555555556</s:v>
      </s:c>
      <s:c r="AR55" s="225" t="n">
        <s:v>16.33476589007012</s:v>
      </s:c>
      <s:c r="AS55" s="229" t="n">
        <s:v>-1.794616151543993</s:v>
      </s:c>
      <s:c r="AT55" s="231" t="inlineStr">
        <s:is>
          <s:t>CONFORME</s:t>
        </s:is>
      </s:c>
      <s:c r="AU55" s="232">
        <s:f>B55=C55</s:f>
        <s:v/>
      </s:c>
      <s:c r="AV55" s="233">
        <s:f>MID(G55,1,2)</s:f>
        <s:v/>
      </s:c>
      <s:c r="AW55" s="233">
        <s:f>LEN(G55)</s:f>
        <s:v/>
      </s:c>
      <s:c r="AX55" s="233" t="inlineStr">
        <s:is>
          <s:t>OI-0922-2025</s:t>
        </s:is>
      </s:c>
      <s:c r="AY55" s="233">
        <s:f>N55&lt;Y55</s:f>
        <s:v/>
      </s:c>
      <s:c r="AZ55" s="233">
        <s:f>Z55&lt;=AK55</s:f>
        <s:v/>
      </s:c>
      <s:c r="BA55" s="233">
        <s:f>L55&lt;K55</s:f>
        <s:v/>
      </s:c>
      <s:c r="BB55" s="233">
        <s:f>W55&gt;=X55</s:f>
        <s:v/>
      </s:c>
      <s:c r="BC55" s="233">
        <s:f>AI55&gt;=AJ55</s:f>
        <s:v/>
      </s:c>
      <s:c r="BD55" s="233">
        <s:f>IF(I55&gt;=1,"Qcorrecto",IF(AND(BE55="aceptable",BF55="aceptable",BG55="aceptable"),"Qcorrecto","Qincorrecto"))</s:f>
        <s:v/>
      </s:c>
      <s:c r="BE55" s="232">
        <s:f>IF(AR55&lt;$AH$6,"error",IF(AR55&gt;$AH$6*1.1,"error","aceptable"))</s:f>
        <s:v/>
      </s:c>
      <s:c r="BF55" s="232">
        <s:f>IF(AF55&lt;$V$6,"error",IF(AF55&gt;$V$6*1.1,"error","aceptable"))</s:f>
        <s:v/>
      </s:c>
      <s:c r="BG55" s="232">
        <s:f>IF(T55&lt;$J$6*0.9,"error",IF(T55&gt;$J$6,"error","aceptable"))</s:f>
        <s:v/>
      </s:c>
      <s:c r="BH55" s="234">
        <s:f>(IF(ABS(U55)&lt;1,"CONFORME",IF(ABS(AG55)&lt;1,"CONFORME",IF(ABS(AS55)&lt;2.5,"CONFORME","NO CONFORME"))))</s:f>
        <s:v/>
      </s:c>
      <s:c r="BI55" s="235">
        <s:f>(IF(ABS(U55)&gt;2.044,"NO CONFORME",IF(ABS(AG55)&gt;2.044,"NO CONFORME",IF(ABS(AS55)&gt;5.044,"NO CONFORME","CONFORME"))))</s:f>
        <s:v/>
      </s:c>
      <s:c r="BJ55" s="233">
        <s:f>SIGN(U55)</s:f>
        <s:v/>
      </s:c>
      <s:c r="BK55" s="233">
        <s:f>SIGN(AG55)</s:f>
        <s:v/>
      </s:c>
      <s:c r="BL55" s="233">
        <s:f>SIGN(AS55)</s:f>
        <s:v/>
      </s:c>
      <s:c r="BM55" s="233">
        <s:f>CONCATENATE(BJ55,BK55,BL55)</s:f>
        <s:v/>
      </s:c>
      <s:c r="BN55" s="233">
        <s:f>IF(BM55="111","SI","SD")</s:f>
        <s:v/>
      </s:c>
      <s:c r="BO55" s="233">
        <s:f>IF(BM55="-1-1-1","SI","SD")</s:f>
        <s:v/>
      </s:c>
      <s:c r="BP55" s="233">
        <s:f>OR(BN55="SI",BO55="SI")</s:f>
        <s:v/>
      </s:c>
      <s:c r="BQ55" s="233">
        <s:f>IF(BP55=FALSE,"SIGDIFERENTES","SIGIGUALES")</s:f>
        <s:v/>
      </s:c>
      <s:c r="BR55" s="236">
        <s:f>IF(BI55="NO CONFORME","NO CONFORME",IF(BH55="CONFORME","CONFORME","NO CONFORME"))</s:f>
        <s:v/>
      </s:c>
      <s:c r="BS55" s="233">
        <s:f>F55</s:f>
        <s:v/>
      </s:c>
      <s:c r="BT55" s="237">
        <s:f>G55</s:f>
        <s:v/>
      </s:c>
      <s:c r="BU55" s="233">
        <s:f>"20"&amp;+MID(G55,3,2)</s:f>
        <s:v/>
      </s:c>
      <s:c r="BV55" s="238">
        <s:f>C55</s:f>
        <s:v/>
      </s:c>
      <s:c r="BW55" s="233">
        <s:f>AT55</s:f>
        <s:v/>
      </s:c>
      <s:c r="BX55" s="238">
        <s:f>B55</s:f>
        <s:v/>
      </s:c>
      <s:c r="BY55" s="239">
        <s:f>H55</s:f>
        <s:v/>
      </s:c>
      <s:c r="BZ55" s="233">
        <s:f>IF(I55=0,"CONFORME","NO CONFORME")</s:f>
        <s:v/>
      </s:c>
      <s:c r="CA55" s="238">
        <s:f>C55</s:f>
        <s:v/>
      </s:c>
      <s:c r="CB55" s="240">
        <s:f>AH55</s:f>
        <s:v/>
      </s:c>
      <s:c r="CC55" s="241">
        <s:f>AR55</s:f>
        <s:v/>
      </s:c>
      <s:c r="CD55" s="240">
        <s:f>AI55</s:f>
        <s:v/>
      </s:c>
      <s:c r="CE55" s="240">
        <s:f>AJ55</s:f>
        <s:v/>
      </s:c>
      <s:c r="CF55" s="240">
        <s:f>AS55</s:f>
        <s:v/>
      </s:c>
      <s:c r="CG55" s="240">
        <s:f>V55</s:f>
        <s:v/>
      </s:c>
      <s:c r="CH55" s="241">
        <s:f>AF55</s:f>
        <s:v/>
      </s:c>
      <s:c r="CI55" s="240">
        <s:f>W55</s:f>
        <s:v/>
      </s:c>
      <s:c r="CJ55" s="240">
        <s:f>X55</s:f>
        <s:v/>
      </s:c>
      <s:c r="CK55" s="240">
        <s:f>AG55</s:f>
        <s:v/>
      </s:c>
      <s:c r="CL55" s="240">
        <s:f>J55</s:f>
        <s:v/>
      </s:c>
      <s:c r="CM55" s="241">
        <s:f>T55</s:f>
        <s:v/>
      </s:c>
      <s:c r="CN55" s="240">
        <s:f>K55</s:f>
        <s:v/>
      </s:c>
      <s:c r="CO55" s="240">
        <s:f>L55</s:f>
        <s:v/>
      </s:c>
      <s:c r="CP55" s="242">
        <s:f>U55</s:f>
        <s:v/>
      </s:c>
      <s:c r="CQ55" s="233">
        <s:f>AT55</s:f>
        <s:v/>
      </s:c>
    </s:row>
    <s:row r="56">
      <s:c r="A56" s="211" t="n">
        <s:v>39</s:v>
      </s:c>
      <s:c r="B56" s="212" t="n">
        <s:v>45901</s:v>
      </s:c>
      <s:c r="C56" s="213" t="n">
        <s:v>45901</s:v>
      </s:c>
      <s:c r="D56" s="214" t="n">
        <s:v>3</s:v>
      </s:c>
      <s:c r="E56" s="215" t="n">
        <s:v>13</s:v>
      </s:c>
      <s:c r="F56" s="216" t="inlineStr">
        <s:is>
          <s:t>VI-236531-2025</s:t>
        </s:is>
      </s:c>
      <s:c r="G56" s="217" t="inlineStr">
        <s:is>
          <s:t>QA25418108</s:t>
        </s:is>
      </s:c>
      <s:c r="H56" s="218" t="n">
        <s:v>16</s:v>
      </s:c>
      <s:c r="I56" s="219" t="n">
        <s:v>0</s:v>
      </s:c>
      <s:c r="J56" s="220" t="n">
        <s:v>18.5</s:v>
      </s:c>
      <s:c r="K56" s="221" t="n">
        <s:v>7.51</s:v>
      </s:c>
      <s:c r="L56" s="221" t="n">
        <s:v>1.2</s:v>
      </s:c>
      <s:c r="M56" s="222" t="n">
        <s:v>488.94</s:v>
      </s:c>
      <s:c r="N56" s="222" t="n">
        <s:v>588.77</s:v>
      </s:c>
      <s:c r="O56" s="222" t="n">
        <s:v>100.51</s:v>
      </s:c>
      <s:c r="P56" s="223" t="inlineStr">
        <s:is>
          <s:t>2,30,340</s:t>
        </s:is>
      </s:c>
      <s:c r="Q56" s="224" t="inlineStr">
        <s:is>
          <s:t>2</s:t>
        </s:is>
      </s:c>
      <s:c r="R56" s="224" t="inlineStr">
        <s:is>
          <s:t>30,340</s:t>
        </s:is>
      </s:c>
      <s:c r="S56" s="224" t="n">
        <s:v>0.04176111111111111</s:v>
      </s:c>
      <s:c r="T56" s="225" t="n">
        <s:v>2406.784621524544</s:v>
      </s:c>
      <s:c r="U56" s="226" t="n">
        <s:v>-0.6765495970550403</s:v>
      </s:c>
      <s:c r="V56" s="220" t="n">
        <s:v>18.4</s:v>
      </s:c>
      <s:c r="W56" s="221" t="n">
        <s:v>1.093</s:v>
      </s:c>
      <s:c r="X56" s="221" t="n">
        <s:v>1.081</s:v>
      </s:c>
      <s:c r="Y56" s="222" t="n">
        <s:v>601.0700000000001</s:v>
      </s:c>
      <s:c r="Z56" s="222" t="n">
        <s:v>606.09</s:v>
      </s:c>
      <s:c r="AA56" s="227" t="n">
        <s:v>5.011</s:v>
      </s:c>
      <s:c r="AB56" s="228" t="inlineStr">
        <s:is>
          <s:t>11,20,700</s:t>
        </s:is>
      </s:c>
      <s:c r="AC56" s="224" t="inlineStr">
        <s:is>
          <s:t>11</s:t>
        </s:is>
      </s:c>
      <s:c r="AD56" s="224" t="inlineStr">
        <s:is>
          <s:t>20,700</s:t>
        </s:is>
      </s:c>
      <s:c r="AE56" s="224" t="n">
        <s:v>0.1890833333333334</s:v>
      </s:c>
      <s:c r="AF56" s="225" t="n">
        <s:v>26.50154252974879</s:v>
      </s:c>
      <s:c r="AG56" s="229" t="n">
        <s:v>0.179604869287202</s:v>
      </s:c>
      <s:c r="AH56" s="220" t="n">
        <s:v>18.5</s:v>
      </s:c>
      <s:c r="AI56" s="221" t="n">
        <s:v>1.099</s:v>
      </s:c>
      <s:c r="AJ56" s="221" t="n">
        <s:v>1.087</s:v>
      </s:c>
      <s:c r="AK56" s="222" t="n">
        <s:v>606.09</s:v>
      </s:c>
      <s:c r="AL56" s="222" t="n">
        <s:v>608.09</s:v>
      </s:c>
      <s:c r="AM56" s="230" t="n">
        <s:v>2.006</s:v>
      </s:c>
      <s:c r="AN56" s="223" t="inlineStr">
        <s:is>
          <s:t>7,22,100</s:t>
        </s:is>
      </s:c>
      <s:c r="AO56" s="224" t="inlineStr">
        <s:is>
          <s:t>7,</s:t>
        </s:is>
      </s:c>
      <s:c r="AP56" s="224" t="inlineStr">
        <s:is>
          <s:t>22,100</s:t>
        </s:is>
      </s:c>
      <s:c r="AQ56" s="224" t="n">
        <s:v>0.1228055555555556</s:v>
      </s:c>
      <s:c r="AR56" s="225" t="n">
        <s:v>16.33476589007012</s:v>
      </s:c>
      <s:c r="AS56" s="229" t="n">
        <s:v>-0.2991026919242165</s:v>
      </s:c>
      <s:c r="AT56" s="231" t="inlineStr">
        <s:is>
          <s:t>CONFORME</s:t>
        </s:is>
      </s:c>
      <s:c r="AU56" s="232">
        <s:f>B56=C56</s:f>
        <s:v/>
      </s:c>
      <s:c r="AV56" s="233">
        <s:f>MID(G56,1,2)</s:f>
        <s:v/>
      </s:c>
      <s:c r="AW56" s="233">
        <s:f>LEN(G56)</s:f>
        <s:v/>
      </s:c>
      <s:c r="AX56" s="233" t="inlineStr">
        <s:is>
          <s:t>OI-0922-2025</s:t>
        </s:is>
      </s:c>
      <s:c r="AY56" s="233">
        <s:f>N56&lt;Y56</s:f>
        <s:v/>
      </s:c>
      <s:c r="AZ56" s="233">
        <s:f>Z56&lt;=AK56</s:f>
        <s:v/>
      </s:c>
      <s:c r="BA56" s="233">
        <s:f>L56&lt;K56</s:f>
        <s:v/>
      </s:c>
      <s:c r="BB56" s="233">
        <s:f>W56&gt;=X56</s:f>
        <s:v/>
      </s:c>
      <s:c r="BC56" s="233">
        <s:f>AI56&gt;=AJ56</s:f>
        <s:v/>
      </s:c>
      <s:c r="BD56" s="233">
        <s:f>IF(I56&gt;=1,"Qcorrecto",IF(AND(BE56="aceptable",BF56="aceptable",BG56="aceptable"),"Qcorrecto","Qincorrecto"))</s:f>
        <s:v/>
      </s:c>
      <s:c r="BE56" s="232">
        <s:f>IF(AR56&lt;$AH$6,"error",IF(AR56&gt;$AH$6*1.1,"error","aceptable"))</s:f>
        <s:v/>
      </s:c>
      <s:c r="BF56" s="232">
        <s:f>IF(AF56&lt;$V$6,"error",IF(AF56&gt;$V$6*1.1,"error","aceptable"))</s:f>
        <s:v/>
      </s:c>
      <s:c r="BG56" s="232">
        <s:f>IF(T56&lt;$J$6*0.9,"error",IF(T56&gt;$J$6,"error","aceptable"))</s:f>
        <s:v/>
      </s:c>
      <s:c r="BH56" s="234">
        <s:f>(IF(ABS(U56)&lt;1,"CONFORME",IF(ABS(AG56)&lt;1,"CONFORME",IF(ABS(AS56)&lt;2.5,"CONFORME","NO CONFORME"))))</s:f>
        <s:v/>
      </s:c>
      <s:c r="BI56" s="235">
        <s:f>(IF(ABS(U56)&gt;2.044,"NO CONFORME",IF(ABS(AG56)&gt;2.044,"NO CONFORME",IF(ABS(AS56)&gt;5.044,"NO CONFORME","CONFORME"))))</s:f>
        <s:v/>
      </s:c>
      <s:c r="BJ56" s="233">
        <s:f>SIGN(U56)</s:f>
        <s:v/>
      </s:c>
      <s:c r="BK56" s="233">
        <s:f>SIGN(AG56)</s:f>
        <s:v/>
      </s:c>
      <s:c r="BL56" s="233">
        <s:f>SIGN(AS56)</s:f>
        <s:v/>
      </s:c>
      <s:c r="BM56" s="233">
        <s:f>CONCATENATE(BJ56,BK56,BL56)</s:f>
        <s:v/>
      </s:c>
      <s:c r="BN56" s="233">
        <s:f>IF(BM56="111","SI","SD")</s:f>
        <s:v/>
      </s:c>
      <s:c r="BO56" s="233">
        <s:f>IF(BM56="-1-1-1","SI","SD")</s:f>
        <s:v/>
      </s:c>
      <s:c r="BP56" s="233">
        <s:f>OR(BN56="SI",BO56="SI")</s:f>
        <s:v/>
      </s:c>
      <s:c r="BQ56" s="233">
        <s:f>IF(BP56=FALSE,"SIGDIFERENTES","SIGIGUALES")</s:f>
        <s:v/>
      </s:c>
      <s:c r="BR56" s="236">
        <s:f>IF(BI56="NO CONFORME","NO CONFORME",IF(BH56="CONFORME","CONFORME","NO CONFORME"))</s:f>
        <s:v/>
      </s:c>
      <s:c r="BS56" s="233">
        <s:f>F56</s:f>
        <s:v/>
      </s:c>
      <s:c r="BT56" s="237">
        <s:f>G56</s:f>
        <s:v/>
      </s:c>
      <s:c r="BU56" s="233">
        <s:f>"20"&amp;+MID(G56,3,2)</s:f>
        <s:v/>
      </s:c>
      <s:c r="BV56" s="238">
        <s:f>C56</s:f>
        <s:v/>
      </s:c>
      <s:c r="BW56" s="233">
        <s:f>AT56</s:f>
        <s:v/>
      </s:c>
      <s:c r="BX56" s="238">
        <s:f>B56</s:f>
        <s:v/>
      </s:c>
      <s:c r="BY56" s="239">
        <s:f>H56</s:f>
        <s:v/>
      </s:c>
      <s:c r="BZ56" s="233">
        <s:f>IF(I56=0,"CONFORME","NO CONFORME")</s:f>
        <s:v/>
      </s:c>
      <s:c r="CA56" s="238">
        <s:f>C56</s:f>
        <s:v/>
      </s:c>
      <s:c r="CB56" s="240">
        <s:f>AH56</s:f>
        <s:v/>
      </s:c>
      <s:c r="CC56" s="241">
        <s:f>AR56</s:f>
        <s:v/>
      </s:c>
      <s:c r="CD56" s="240">
        <s:f>AI56</s:f>
        <s:v/>
      </s:c>
      <s:c r="CE56" s="240">
        <s:f>AJ56</s:f>
        <s:v/>
      </s:c>
      <s:c r="CF56" s="240">
        <s:f>AS56</s:f>
        <s:v/>
      </s:c>
      <s:c r="CG56" s="240">
        <s:f>V56</s:f>
        <s:v/>
      </s:c>
      <s:c r="CH56" s="241">
        <s:f>AF56</s:f>
        <s:v/>
      </s:c>
      <s:c r="CI56" s="240">
        <s:f>W56</s:f>
        <s:v/>
      </s:c>
      <s:c r="CJ56" s="240">
        <s:f>X56</s:f>
        <s:v/>
      </s:c>
      <s:c r="CK56" s="240">
        <s:f>AG56</s:f>
        <s:v/>
      </s:c>
      <s:c r="CL56" s="240">
        <s:f>J56</s:f>
        <s:v/>
      </s:c>
      <s:c r="CM56" s="241">
        <s:f>T56</s:f>
        <s:v/>
      </s:c>
      <s:c r="CN56" s="240">
        <s:f>K56</s:f>
        <s:v/>
      </s:c>
      <s:c r="CO56" s="240">
        <s:f>L56</s:f>
        <s:v/>
      </s:c>
      <s:c r="CP56" s="242">
        <s:f>U56</s:f>
        <s:v/>
      </s:c>
      <s:c r="CQ56" s="233">
        <s:f>AT56</s:f>
        <s:v/>
      </s:c>
    </s:row>
    <s:row r="57">
      <s:c r="A57" s="211" t="n">
        <s:v>40</s:v>
      </s:c>
      <s:c r="B57" s="212" t="n">
        <s:v>45901</s:v>
      </s:c>
      <s:c r="C57" s="213" t="n">
        <s:v>45901</s:v>
      </s:c>
      <s:c r="D57" s="214" t="n">
        <s:v>3</s:v>
      </s:c>
      <s:c r="E57" s="215" t="n">
        <s:v>13</s:v>
      </s:c>
      <s:c r="F57" s="216" t="inlineStr">
        <s:is>
          <s:t>VI-236532-2025</s:t>
        </s:is>
      </s:c>
      <s:c r="G57" s="217" t="inlineStr">
        <s:is>
          <s:t>QA25417747</s:t>
        </s:is>
      </s:c>
      <s:c r="H57" s="218" t="n">
        <s:v>16</s:v>
      </s:c>
      <s:c r="I57" s="219" t="n">
        <s:v>0</s:v>
      </s:c>
      <s:c r="J57" s="220" t="n">
        <s:v>18.5</s:v>
      </s:c>
      <s:c r="K57" s="221" t="n">
        <s:v>7.51</s:v>
      </s:c>
      <s:c r="L57" s="221" t="n">
        <s:v>1.2</s:v>
      </s:c>
      <s:c r="M57" s="222" t="n">
        <s:v>294.78</s:v>
      </s:c>
      <s:c r="N57" s="222" t="n">
        <s:v>394.15</s:v>
      </s:c>
      <s:c r="O57" s="222" t="n">
        <s:v>100.51</s:v>
      </s:c>
      <s:c r="P57" s="223" t="inlineStr">
        <s:is>
          <s:t>2,30,340</s:t>
        </s:is>
      </s:c>
      <s:c r="Q57" s="224" t="inlineStr">
        <s:is>
          <s:t>2</s:t>
        </s:is>
      </s:c>
      <s:c r="R57" s="224" t="inlineStr">
        <s:is>
          <s:t>30,340</s:t>
        </s:is>
      </s:c>
      <s:c r="S57" s="224" t="n">
        <s:v>0.04176111111111111</s:v>
      </s:c>
      <s:c r="T57" s="225" t="n">
        <s:v>2406.784621524544</s:v>
      </s:c>
      <s:c r="U57" s="226" t="n">
        <s:v>-1.13421550094518</s:v>
      </s:c>
      <s:c r="V57" s="220" t="n">
        <s:v>18.4</s:v>
      </s:c>
      <s:c r="W57" s="221" t="n">
        <s:v>1.093</s:v>
      </s:c>
      <s:c r="X57" s="221" t="n">
        <s:v>1.081</s:v>
      </s:c>
      <s:c r="Y57" s="222" t="n">
        <s:v>406.34</s:v>
      </s:c>
      <s:c r="Z57" s="222" t="n">
        <s:v>411.37</s:v>
      </s:c>
      <s:c r="AA57" s="227" t="n">
        <s:v>5.011</s:v>
      </s:c>
      <s:c r="AB57" s="228" t="inlineStr">
        <s:is>
          <s:t>11,20,700</s:t>
        </s:is>
      </s:c>
      <s:c r="AC57" s="224" t="inlineStr">
        <s:is>
          <s:t>11</s:t>
        </s:is>
      </s:c>
      <s:c r="AD57" s="224" t="inlineStr">
        <s:is>
          <s:t>20,700</s:t>
        </s:is>
      </s:c>
      <s:c r="AE57" s="224" t="n">
        <s:v>0.1890833333333334</s:v>
      </s:c>
      <s:c r="AF57" s="225" t="n">
        <s:v>26.50154252974879</s:v>
      </s:c>
      <s:c r="AG57" s="229" t="n">
        <s:v>0.3791658351632297</s:v>
      </s:c>
      <s:c r="AH57" s="220" t="n">
        <s:v>18.5</s:v>
      </s:c>
      <s:c r="AI57" s="221" t="n">
        <s:v>1.099</s:v>
      </s:c>
      <s:c r="AJ57" s="221" t="n">
        <s:v>1.087</s:v>
      </s:c>
      <s:c r="AK57" s="222" t="n">
        <s:v>411.37</s:v>
      </s:c>
      <s:c r="AL57" s="222" t="n">
        <s:v>413.37</s:v>
      </s:c>
      <s:c r="AM57" s="230" t="n">
        <s:v>2.006</s:v>
      </s:c>
      <s:c r="AN57" s="223" t="inlineStr">
        <s:is>
          <s:t>7,22,100</s:t>
        </s:is>
      </s:c>
      <s:c r="AO57" s="224" t="inlineStr">
        <s:is>
          <s:t>7,</s:t>
        </s:is>
      </s:c>
      <s:c r="AP57" s="224" t="inlineStr">
        <s:is>
          <s:t>22,100</s:t>
        </s:is>
      </s:c>
      <s:c r="AQ57" s="224" t="n">
        <s:v>0.1228055555555556</s:v>
      </s:c>
      <s:c r="AR57" s="225" t="n">
        <s:v>16.33476589007012</s:v>
      </s:c>
      <s:c r="AS57" s="229" t="n">
        <s:v>-0.2991026919242165</s:v>
      </s:c>
      <s:c r="AT57" s="231" t="inlineStr">
        <s:is>
          <s:t>CONFORME</s:t>
        </s:is>
      </s:c>
      <s:c r="AU57" s="232">
        <s:f>B57=C57</s:f>
        <s:v/>
      </s:c>
      <s:c r="AV57" s="233">
        <s:f>MID(G57,1,2)</s:f>
        <s:v/>
      </s:c>
      <s:c r="AW57" s="233">
        <s:f>LEN(G57)</s:f>
        <s:v/>
      </s:c>
      <s:c r="AX57" s="233" t="inlineStr">
        <s:is>
          <s:t>OI-0922-2025</s:t>
        </s:is>
      </s:c>
      <s:c r="AY57" s="233">
        <s:f>N57&lt;Y57</s:f>
        <s:v/>
      </s:c>
      <s:c r="AZ57" s="233">
        <s:f>Z57&lt;=AK57</s:f>
        <s:v/>
      </s:c>
      <s:c r="BA57" s="233">
        <s:f>L57&lt;K57</s:f>
        <s:v/>
      </s:c>
      <s:c r="BB57" s="233">
        <s:f>W57&gt;=X57</s:f>
        <s:v/>
      </s:c>
      <s:c r="BC57" s="233">
        <s:f>AI57&gt;=AJ57</s:f>
        <s:v/>
      </s:c>
      <s:c r="BD57" s="233">
        <s:f>IF(I57&gt;=1,"Qcorrecto",IF(AND(BE57="aceptable",BF57="aceptable",BG57="aceptable"),"Qcorrecto","Qincorrecto"))</s:f>
        <s:v/>
      </s:c>
      <s:c r="BE57" s="232">
        <s:f>IF(AR57&lt;$AH$6,"error",IF(AR57&gt;$AH$6*1.1,"error","aceptable"))</s:f>
        <s:v/>
      </s:c>
      <s:c r="BF57" s="232">
        <s:f>IF(AF57&lt;$V$6,"error",IF(AF57&gt;$V$6*1.1,"error","aceptable"))</s:f>
        <s:v/>
      </s:c>
      <s:c r="BG57" s="232">
        <s:f>IF(T57&lt;$J$6*0.9,"error",IF(T57&gt;$J$6,"error","aceptable"))</s:f>
        <s:v/>
      </s:c>
      <s:c r="BH57" s="234">
        <s:f>(IF(ABS(U57)&lt;1,"CONFORME",IF(ABS(AG57)&lt;1,"CONFORME",IF(ABS(AS57)&lt;2.5,"CONFORME","NO CONFORME"))))</s:f>
        <s:v/>
      </s:c>
      <s:c r="BI57" s="235">
        <s:f>(IF(ABS(U57)&gt;2.044,"NO CONFORME",IF(ABS(AG57)&gt;2.044,"NO CONFORME",IF(ABS(AS57)&gt;5.044,"NO CONFORME","CONFORME"))))</s:f>
        <s:v/>
      </s:c>
      <s:c r="BJ57" s="233">
        <s:f>SIGN(U57)</s:f>
        <s:v/>
      </s:c>
      <s:c r="BK57" s="233">
        <s:f>SIGN(AG57)</s:f>
        <s:v/>
      </s:c>
      <s:c r="BL57" s="233">
        <s:f>SIGN(AS57)</s:f>
        <s:v/>
      </s:c>
      <s:c r="BM57" s="233">
        <s:f>CONCATENATE(BJ57,BK57,BL57)</s:f>
        <s:v/>
      </s:c>
      <s:c r="BN57" s="233">
        <s:f>IF(BM57="111","SI","SD")</s:f>
        <s:v/>
      </s:c>
      <s:c r="BO57" s="233">
        <s:f>IF(BM57="-1-1-1","SI","SD")</s:f>
        <s:v/>
      </s:c>
      <s:c r="BP57" s="233">
        <s:f>OR(BN57="SI",BO57="SI")</s:f>
        <s:v/>
      </s:c>
      <s:c r="BQ57" s="233">
        <s:f>IF(BP57=FALSE,"SIGDIFERENTES","SIGIGUALES")</s:f>
        <s:v/>
      </s:c>
      <s:c r="BR57" s="236">
        <s:f>IF(BI57="NO CONFORME","NO CONFORME",IF(BH57="CONFORME","CONFORME","NO CONFORME"))</s:f>
        <s:v/>
      </s:c>
      <s:c r="BS57" s="233">
        <s:f>F57</s:f>
        <s:v/>
      </s:c>
      <s:c r="BT57" s="237">
        <s:f>G57</s:f>
        <s:v/>
      </s:c>
      <s:c r="BU57" s="233">
        <s:f>"20"&amp;+MID(G57,3,2)</s:f>
        <s:v/>
      </s:c>
      <s:c r="BV57" s="238">
        <s:f>C57</s:f>
        <s:v/>
      </s:c>
      <s:c r="BW57" s="233">
        <s:f>AT57</s:f>
        <s:v/>
      </s:c>
      <s:c r="BX57" s="238">
        <s:f>B57</s:f>
        <s:v/>
      </s:c>
      <s:c r="BY57" s="239">
        <s:f>H57</s:f>
        <s:v/>
      </s:c>
      <s:c r="BZ57" s="233">
        <s:f>IF(I57=0,"CONFORME","NO CONFORME")</s:f>
        <s:v/>
      </s:c>
      <s:c r="CA57" s="238">
        <s:f>C57</s:f>
        <s:v/>
      </s:c>
      <s:c r="CB57" s="240">
        <s:f>AH57</s:f>
        <s:v/>
      </s:c>
      <s:c r="CC57" s="241">
        <s:f>AR57</s:f>
        <s:v/>
      </s:c>
      <s:c r="CD57" s="240">
        <s:f>AI57</s:f>
        <s:v/>
      </s:c>
      <s:c r="CE57" s="240">
        <s:f>AJ57</s:f>
        <s:v/>
      </s:c>
      <s:c r="CF57" s="240">
        <s:f>AS57</s:f>
        <s:v/>
      </s:c>
      <s:c r="CG57" s="240">
        <s:f>V57</s:f>
        <s:v/>
      </s:c>
      <s:c r="CH57" s="241">
        <s:f>AF57</s:f>
        <s:v/>
      </s:c>
      <s:c r="CI57" s="240">
        <s:f>W57</s:f>
        <s:v/>
      </s:c>
      <s:c r="CJ57" s="240">
        <s:f>X57</s:f>
        <s:v/>
      </s:c>
      <s:c r="CK57" s="240">
        <s:f>AG57</s:f>
        <s:v/>
      </s:c>
      <s:c r="CL57" s="240">
        <s:f>J57</s:f>
        <s:v/>
      </s:c>
      <s:c r="CM57" s="241">
        <s:f>T57</s:f>
        <s:v/>
      </s:c>
      <s:c r="CN57" s="240">
        <s:f>K57</s:f>
        <s:v/>
      </s:c>
      <s:c r="CO57" s="240">
        <s:f>L57</s:f>
        <s:v/>
      </s:c>
      <s:c r="CP57" s="242">
        <s:f>U57</s:f>
        <s:v/>
      </s:c>
      <s:c r="CQ57" s="233">
        <s:f>AT57</s:f>
        <s:v/>
      </s:c>
    </s:row>
    <s:row r="58">
      <s:c r="A58" s="211" t="n">
        <s:v>41</s:v>
      </s:c>
      <s:c r="B58" s="212" t="n">
        <s:v>45901</s:v>
      </s:c>
      <s:c r="C58" s="213" t="n">
        <s:v>45901</s:v>
      </s:c>
      <s:c r="D58" s="214" t="n">
        <s:v>3</s:v>
      </s:c>
      <s:c r="E58" s="215" t="n">
        <s:v>13</s:v>
      </s:c>
      <s:c r="F58" s="216" t="inlineStr">
        <s:is>
          <s:t>VI-236533-2025</s:t>
        </s:is>
      </s:c>
      <s:c r="G58" s="217" t="inlineStr">
        <s:is>
          <s:t>QA25418150</s:t>
        </s:is>
      </s:c>
      <s:c r="H58" s="218" t="n">
        <s:v>16</s:v>
      </s:c>
      <s:c r="I58" s="219" t="n">
        <s:v>0</s:v>
      </s:c>
      <s:c r="J58" s="220" t="n">
        <s:v>18.5</s:v>
      </s:c>
      <s:c r="K58" s="221" t="n">
        <s:v>7.51</s:v>
      </s:c>
      <s:c r="L58" s="221" t="n">
        <s:v>1.2</s:v>
      </s:c>
      <s:c r="M58" s="222" t="n">
        <s:v>301.25</s:v>
      </s:c>
      <s:c r="N58" s="222" t="n">
        <s:v>401.35</s:v>
      </s:c>
      <s:c r="O58" s="222" t="n">
        <s:v>100.51</s:v>
      </s:c>
      <s:c r="P58" s="223" t="inlineStr">
        <s:is>
          <s:t>2,30,340</s:t>
        </s:is>
      </s:c>
      <s:c r="Q58" s="224" t="inlineStr">
        <s:is>
          <s:t>2</s:t>
        </s:is>
      </s:c>
      <s:c r="R58" s="224" t="inlineStr">
        <s:is>
          <s:t>30,340</s:t>
        </s:is>
      </s:c>
      <s:c r="S58" s="224" t="n">
        <s:v>0.04176111111111111</s:v>
      </s:c>
      <s:c r="T58" s="225" t="n">
        <s:v>2406.784621524544</s:v>
      </s:c>
      <s:c r="U58" s="226" t="n">
        <s:v>-0.4079196099890383</s:v>
      </s:c>
      <s:c r="V58" s="220" t="n">
        <s:v>18.4</s:v>
      </s:c>
      <s:c r="W58" s="221" t="n">
        <s:v>1.093</s:v>
      </s:c>
      <s:c r="X58" s="221" t="n">
        <s:v>1.081</s:v>
      </s:c>
      <s:c r="Y58" s="222" t="n">
        <s:v>413.58</s:v>
      </s:c>
      <s:c r="Z58" s="222" t="n">
        <s:v>418.62</s:v>
      </s:c>
      <s:c r="AA58" s="227" t="n">
        <s:v>5.011</s:v>
      </s:c>
      <s:c r="AB58" s="228" t="inlineStr">
        <s:is>
          <s:t>11,20,700</s:t>
        </s:is>
      </s:c>
      <s:c r="AC58" s="224" t="inlineStr">
        <s:is>
          <s:t>11</s:t>
        </s:is>
      </s:c>
      <s:c r="AD58" s="224" t="inlineStr">
        <s:is>
          <s:t>20,700</s:t>
        </s:is>
      </s:c>
      <s:c r="AE58" s="224" t="n">
        <s:v>0.1890833333333334</s:v>
      </s:c>
      <s:c r="AF58" s="225" t="n">
        <s:v>26.50154252974879</s:v>
      </s:c>
      <s:c r="AG58" s="229" t="n">
        <s:v>0.578726801038123</s:v>
      </s:c>
      <s:c r="AH58" s="220" t="n">
        <s:v>18.5</s:v>
      </s:c>
      <s:c r="AI58" s="221" t="n">
        <s:v>1.099</s:v>
      </s:c>
      <s:c r="AJ58" s="221" t="n">
        <s:v>1.087</s:v>
      </s:c>
      <s:c r="AK58" s="222" t="n">
        <s:v>418.62</s:v>
      </s:c>
      <s:c r="AL58" s="222" t="n">
        <s:v>420.63</s:v>
      </s:c>
      <s:c r="AM58" s="230" t="n">
        <s:v>2.006</s:v>
      </s:c>
      <s:c r="AN58" s="223" t="inlineStr">
        <s:is>
          <s:t>7,22,100</s:t>
        </s:is>
      </s:c>
      <s:c r="AO58" s="224" t="inlineStr">
        <s:is>
          <s:t>7,</s:t>
        </s:is>
      </s:c>
      <s:c r="AP58" s="224" t="inlineStr">
        <s:is>
          <s:t>22,100</s:t>
        </s:is>
      </s:c>
      <s:c r="AQ58" s="224" t="n">
        <s:v>0.1228055555555556</s:v>
      </s:c>
      <s:c r="AR58" s="225" t="n">
        <s:v>16.33476589007012</s:v>
      </s:c>
      <s:c r="AS58" s="229" t="n">
        <s:v>0.199401794615709</s:v>
      </s:c>
      <s:c r="AT58" s="231" t="inlineStr">
        <s:is>
          <s:t>CONFORME</s:t>
        </s:is>
      </s:c>
      <s:c r="AU58" s="232">
        <s:f>B58=C58</s:f>
        <s:v/>
      </s:c>
      <s:c r="AV58" s="233">
        <s:f>MID(G58,1,2)</s:f>
        <s:v/>
      </s:c>
      <s:c r="AW58" s="233">
        <s:f>LEN(G58)</s:f>
        <s:v/>
      </s:c>
      <s:c r="AX58" s="233" t="inlineStr">
        <s:is>
          <s:t>OI-0922-2025</s:t>
        </s:is>
      </s:c>
      <s:c r="AY58" s="233">
        <s:f>N58&lt;Y58</s:f>
        <s:v/>
      </s:c>
      <s:c r="AZ58" s="233">
        <s:f>Z58&lt;=AK58</s:f>
        <s:v/>
      </s:c>
      <s:c r="BA58" s="233">
        <s:f>L58&lt;K58</s:f>
        <s:v/>
      </s:c>
      <s:c r="BB58" s="233">
        <s:f>W58&gt;=X58</s:f>
        <s:v/>
      </s:c>
      <s:c r="BC58" s="233">
        <s:f>AI58&gt;=AJ58</s:f>
        <s:v/>
      </s:c>
      <s:c r="BD58" s="233">
        <s:f>IF(I58&gt;=1,"Qcorrecto",IF(AND(BE58="aceptable",BF58="aceptable",BG58="aceptable"),"Qcorrecto","Qincorrecto"))</s:f>
        <s:v/>
      </s:c>
      <s:c r="BE58" s="232">
        <s:f>IF(AR58&lt;$AH$6,"error",IF(AR58&gt;$AH$6*1.1,"error","aceptable"))</s:f>
        <s:v/>
      </s:c>
      <s:c r="BF58" s="232">
        <s:f>IF(AF58&lt;$V$6,"error",IF(AF58&gt;$V$6*1.1,"error","aceptable"))</s:f>
        <s:v/>
      </s:c>
      <s:c r="BG58" s="232">
        <s:f>IF(T58&lt;$J$6*0.9,"error",IF(T58&gt;$J$6,"error","aceptable"))</s:f>
        <s:v/>
      </s:c>
      <s:c r="BH58" s="234">
        <s:f>(IF(ABS(U58)&lt;1,"CONFORME",IF(ABS(AG58)&lt;1,"CONFORME",IF(ABS(AS58)&lt;2.5,"CONFORME","NO CONFORME"))))</s:f>
        <s:v/>
      </s:c>
      <s:c r="BI58" s="235">
        <s:f>(IF(ABS(U58)&gt;2.044,"NO CONFORME",IF(ABS(AG58)&gt;2.044,"NO CONFORME",IF(ABS(AS58)&gt;5.044,"NO CONFORME","CONFORME"))))</s:f>
        <s:v/>
      </s:c>
      <s:c r="BJ58" s="233">
        <s:f>SIGN(U58)</s:f>
        <s:v/>
      </s:c>
      <s:c r="BK58" s="233">
        <s:f>SIGN(AG58)</s:f>
        <s:v/>
      </s:c>
      <s:c r="BL58" s="233">
        <s:f>SIGN(AS58)</s:f>
        <s:v/>
      </s:c>
      <s:c r="BM58" s="233">
        <s:f>CONCATENATE(BJ58,BK58,BL58)</s:f>
        <s:v/>
      </s:c>
      <s:c r="BN58" s="233">
        <s:f>IF(BM58="111","SI","SD")</s:f>
        <s:v/>
      </s:c>
      <s:c r="BO58" s="233">
        <s:f>IF(BM58="-1-1-1","SI","SD")</s:f>
        <s:v/>
      </s:c>
      <s:c r="BP58" s="233">
        <s:f>OR(BN58="SI",BO58="SI")</s:f>
        <s:v/>
      </s:c>
      <s:c r="BQ58" s="233">
        <s:f>IF(BP58=FALSE,"SIGDIFERENTES","SIGIGUALES")</s:f>
        <s:v/>
      </s:c>
      <s:c r="BR58" s="236">
        <s:f>IF(BI58="NO CONFORME","NO CONFORME",IF(BH58="CONFORME","CONFORME","NO CONFORME"))</s:f>
        <s:v/>
      </s:c>
      <s:c r="BS58" s="233">
        <s:f>F58</s:f>
        <s:v/>
      </s:c>
      <s:c r="BT58" s="237">
        <s:f>G58</s:f>
        <s:v/>
      </s:c>
      <s:c r="BU58" s="233">
        <s:f>"20"&amp;+MID(G58,3,2)</s:f>
        <s:v/>
      </s:c>
      <s:c r="BV58" s="238">
        <s:f>C58</s:f>
        <s:v/>
      </s:c>
      <s:c r="BW58" s="233">
        <s:f>AT58</s:f>
        <s:v/>
      </s:c>
      <s:c r="BX58" s="238">
        <s:f>B58</s:f>
        <s:v/>
      </s:c>
      <s:c r="BY58" s="239">
        <s:f>H58</s:f>
        <s:v/>
      </s:c>
      <s:c r="BZ58" s="233">
        <s:f>IF(I58=0,"CONFORME","NO CONFORME")</s:f>
        <s:v/>
      </s:c>
      <s:c r="CA58" s="238">
        <s:f>C58</s:f>
        <s:v/>
      </s:c>
      <s:c r="CB58" s="240">
        <s:f>AH58</s:f>
        <s:v/>
      </s:c>
      <s:c r="CC58" s="241">
        <s:f>AR58</s:f>
        <s:v/>
      </s:c>
      <s:c r="CD58" s="240">
        <s:f>AI58</s:f>
        <s:v/>
      </s:c>
      <s:c r="CE58" s="240">
        <s:f>AJ58</s:f>
        <s:v/>
      </s:c>
      <s:c r="CF58" s="240">
        <s:f>AS58</s:f>
        <s:v/>
      </s:c>
      <s:c r="CG58" s="240">
        <s:f>V58</s:f>
        <s:v/>
      </s:c>
      <s:c r="CH58" s="241">
        <s:f>AF58</s:f>
        <s:v/>
      </s:c>
      <s:c r="CI58" s="240">
        <s:f>W58</s:f>
        <s:v/>
      </s:c>
      <s:c r="CJ58" s="240">
        <s:f>X58</s:f>
        <s:v/>
      </s:c>
      <s:c r="CK58" s="240">
        <s:f>AG58</s:f>
        <s:v/>
      </s:c>
      <s:c r="CL58" s="240">
        <s:f>J58</s:f>
        <s:v/>
      </s:c>
      <s:c r="CM58" s="241">
        <s:f>T58</s:f>
        <s:v/>
      </s:c>
      <s:c r="CN58" s="240">
        <s:f>K58</s:f>
        <s:v/>
      </s:c>
      <s:c r="CO58" s="240">
        <s:f>L58</s:f>
        <s:v/>
      </s:c>
      <s:c r="CP58" s="242">
        <s:f>U58</s:f>
        <s:v/>
      </s:c>
      <s:c r="CQ58" s="233">
        <s:f>AT58</s:f>
        <s:v/>
      </s:c>
    </s:row>
    <s:row r="59">
      <s:c r="A59" s="211" t="n">
        <s:v>42</s:v>
      </s:c>
      <s:c r="B59" s="212" t="n">
        <s:v>45901</s:v>
      </s:c>
      <s:c r="C59" s="213" t="n">
        <s:v>45901</s:v>
      </s:c>
      <s:c r="D59" s="214" t="n">
        <s:v>3</s:v>
      </s:c>
      <s:c r="E59" s="215" t="n">
        <s:v>13</s:v>
      </s:c>
      <s:c r="F59" s="216" t="inlineStr">
        <s:is>
          <s:t>VI-236534-2025</s:t>
        </s:is>
      </s:c>
      <s:c r="G59" s="217" t="inlineStr">
        <s:is>
          <s:t>QA25418034</s:t>
        </s:is>
      </s:c>
      <s:c r="H59" s="218" t="n">
        <s:v>16</s:v>
      </s:c>
      <s:c r="I59" s="219" t="n">
        <s:v>0</s:v>
      </s:c>
      <s:c r="J59" s="220" t="n">
        <s:v>18.5</s:v>
      </s:c>
      <s:c r="K59" s="221" t="n">
        <s:v>7.51</s:v>
      </s:c>
      <s:c r="L59" s="221" t="n">
        <s:v>1.2</s:v>
      </s:c>
      <s:c r="M59" s="222" t="n">
        <s:v>408.69</s:v>
      </s:c>
      <s:c r="N59" s="222" t="n">
        <s:v>509.54</s:v>
      </s:c>
      <s:c r="O59" s="222" t="n">
        <s:v>100.51</s:v>
      </s:c>
      <s:c r="P59" s="223" t="inlineStr">
        <s:is>
          <s:t>2,30,340</s:t>
        </s:is>
      </s:c>
      <s:c r="Q59" s="224" t="inlineStr">
        <s:is>
          <s:t>2</s:t>
        </s:is>
      </s:c>
      <s:c r="R59" s="224" t="inlineStr">
        <s:is>
          <s:t>30,340</s:t>
        </s:is>
      </s:c>
      <s:c r="S59" s="224" t="n">
        <s:v>0.04176111111111111</s:v>
      </s:c>
      <s:c r="T59" s="225" t="n">
        <s:v>2406.784621524544</s:v>
      </s:c>
      <s:c r="U59" s="226" t="n">
        <s:v>0.3382747985275272</s:v>
      </s:c>
      <s:c r="V59" s="220" t="n">
        <s:v>18.4</s:v>
      </s:c>
      <s:c r="W59" s="221" t="n">
        <s:v>1.093</s:v>
      </s:c>
      <s:c r="X59" s="221" t="n">
        <s:v>1.081</s:v>
      </s:c>
      <s:c r="Y59" s="222" t="n">
        <s:v>521.92</s:v>
      </s:c>
      <s:c r="Z59" s="222" t="n">
        <s:v>526.96</s:v>
      </s:c>
      <s:c r="AA59" s="227" t="n">
        <s:v>5.011</s:v>
      </s:c>
      <s:c r="AB59" s="228" t="inlineStr">
        <s:is>
          <s:t>11,20,700</s:t>
        </s:is>
      </s:c>
      <s:c r="AC59" s="224" t="inlineStr">
        <s:is>
          <s:t>11</s:t>
        </s:is>
      </s:c>
      <s:c r="AD59" s="224" t="inlineStr">
        <s:is>
          <s:t>20,700</s:t>
        </s:is>
      </s:c>
      <s:c r="AE59" s="224" t="n">
        <s:v>0.1890833333333334</s:v>
      </s:c>
      <s:c r="AF59" s="225" t="n">
        <s:v>26.50154252974879</s:v>
      </s:c>
      <s:c r="AG59" s="229" t="n">
        <s:v>0.5787268010392574</s:v>
      </s:c>
      <s:c r="AH59" s="220" t="n">
        <s:v>18.5</s:v>
      </s:c>
      <s:c r="AI59" s="221" t="n">
        <s:v>1.099</s:v>
      </s:c>
      <s:c r="AJ59" s="221" t="n">
        <s:v>1.087</s:v>
      </s:c>
      <s:c r="AK59" s="222" t="n">
        <s:v>526.96</s:v>
      </s:c>
      <s:c r="AL59" s="222" t="n">
        <s:v>528.92</s:v>
      </s:c>
      <s:c r="AM59" s="230" t="n">
        <s:v>2.006</s:v>
      </s:c>
      <s:c r="AN59" s="223" t="inlineStr">
        <s:is>
          <s:t>7,22,100</s:t>
        </s:is>
      </s:c>
      <s:c r="AO59" s="224" t="inlineStr">
        <s:is>
          <s:t>7,</s:t>
        </s:is>
      </s:c>
      <s:c r="AP59" s="224" t="inlineStr">
        <s:is>
          <s:t>22,100</s:t>
        </s:is>
      </s:c>
      <s:c r="AQ59" s="224" t="n">
        <s:v>0.1228055555555556</s:v>
      </s:c>
      <s:c r="AR59" s="225" t="n">
        <s:v>16.33476589007012</s:v>
      </s:c>
      <s:c r="AS59" s="229" t="n">
        <s:v>-2.293120638089586</s:v>
      </s:c>
      <s:c r="AT59" s="231" t="inlineStr">
        <s:is>
          <s:t>CONFORME</s:t>
        </s:is>
      </s:c>
      <s:c r="AU59" s="232">
        <s:f>B59=C59</s:f>
        <s:v/>
      </s:c>
      <s:c r="AV59" s="233">
        <s:f>MID(G59,1,2)</s:f>
        <s:v/>
      </s:c>
      <s:c r="AW59" s="233">
        <s:f>LEN(G59)</s:f>
        <s:v/>
      </s:c>
      <s:c r="AX59" s="233" t="inlineStr">
        <s:is>
          <s:t>OI-0922-2025</s:t>
        </s:is>
      </s:c>
      <s:c r="AY59" s="233">
        <s:f>N59&lt;Y59</s:f>
        <s:v/>
      </s:c>
      <s:c r="AZ59" s="233">
        <s:f>Z59&lt;=AK59</s:f>
        <s:v/>
      </s:c>
      <s:c r="BA59" s="233">
        <s:f>L59&lt;K59</s:f>
        <s:v/>
      </s:c>
      <s:c r="BB59" s="233">
        <s:f>W59&gt;=X59</s:f>
        <s:v/>
      </s:c>
      <s:c r="BC59" s="233">
        <s:f>AI59&gt;=AJ59</s:f>
        <s:v/>
      </s:c>
      <s:c r="BD59" s="233">
        <s:f>IF(I59&gt;=1,"Qcorrecto",IF(AND(BE59="aceptable",BF59="aceptable",BG59="aceptable"),"Qcorrecto","Qincorrecto"))</s:f>
        <s:v/>
      </s:c>
      <s:c r="BE59" s="232">
        <s:f>IF(AR59&lt;$AH$6,"error",IF(AR59&gt;$AH$6*1.1,"error","aceptable"))</s:f>
        <s:v/>
      </s:c>
      <s:c r="BF59" s="232">
        <s:f>IF(AF59&lt;$V$6,"error",IF(AF59&gt;$V$6*1.1,"error","aceptable"))</s:f>
        <s:v/>
      </s:c>
      <s:c r="BG59" s="232">
        <s:f>IF(T59&lt;$J$6*0.9,"error",IF(T59&gt;$J$6,"error","aceptable"))</s:f>
        <s:v/>
      </s:c>
      <s:c r="BH59" s="234">
        <s:f>(IF(ABS(U59)&lt;1,"CONFORME",IF(ABS(AG59)&lt;1,"CONFORME",IF(ABS(AS59)&lt;2.5,"CONFORME","NO CONFORME"))))</s:f>
        <s:v/>
      </s:c>
      <s:c r="BI59" s="235">
        <s:f>(IF(ABS(U59)&gt;2.044,"NO CONFORME",IF(ABS(AG59)&gt;2.044,"NO CONFORME",IF(ABS(AS59)&gt;5.044,"NO CONFORME","CONFORME"))))</s:f>
        <s:v/>
      </s:c>
      <s:c r="BJ59" s="233">
        <s:f>SIGN(U59)</s:f>
        <s:v/>
      </s:c>
      <s:c r="BK59" s="233">
        <s:f>SIGN(AG59)</s:f>
        <s:v/>
      </s:c>
      <s:c r="BL59" s="233">
        <s:f>SIGN(AS59)</s:f>
        <s:v/>
      </s:c>
      <s:c r="BM59" s="233">
        <s:f>CONCATENATE(BJ59,BK59,BL59)</s:f>
        <s:v/>
      </s:c>
      <s:c r="BN59" s="233">
        <s:f>IF(BM59="111","SI","SD")</s:f>
        <s:v/>
      </s:c>
      <s:c r="BO59" s="233">
        <s:f>IF(BM59="-1-1-1","SI","SD")</s:f>
        <s:v/>
      </s:c>
      <s:c r="BP59" s="233">
        <s:f>OR(BN59="SI",BO59="SI")</s:f>
        <s:v/>
      </s:c>
      <s:c r="BQ59" s="233">
        <s:f>IF(BP59=FALSE,"SIGDIFERENTES","SIGIGUALES")</s:f>
        <s:v/>
      </s:c>
      <s:c r="BR59" s="236">
        <s:f>IF(BI59="NO CONFORME","NO CONFORME",IF(BH59="CONFORME","CONFORME","NO CONFORME"))</s:f>
        <s:v/>
      </s:c>
      <s:c r="BS59" s="233">
        <s:f>F59</s:f>
        <s:v/>
      </s:c>
      <s:c r="BT59" s="237">
        <s:f>G59</s:f>
        <s:v/>
      </s:c>
      <s:c r="BU59" s="233">
        <s:f>"20"&amp;+MID(G59,3,2)</s:f>
        <s:v/>
      </s:c>
      <s:c r="BV59" s="238">
        <s:f>C59</s:f>
        <s:v/>
      </s:c>
      <s:c r="BW59" s="233">
        <s:f>AT59</s:f>
        <s:v/>
      </s:c>
      <s:c r="BX59" s="238">
        <s:f>B59</s:f>
        <s:v/>
      </s:c>
      <s:c r="BY59" s="239">
        <s:f>H59</s:f>
        <s:v/>
      </s:c>
      <s:c r="BZ59" s="233">
        <s:f>IF(I59=0,"CONFORME","NO CONFORME")</s:f>
        <s:v/>
      </s:c>
      <s:c r="CA59" s="238">
        <s:f>C59</s:f>
        <s:v/>
      </s:c>
      <s:c r="CB59" s="240">
        <s:f>AH59</s:f>
        <s:v/>
      </s:c>
      <s:c r="CC59" s="241">
        <s:f>AR59</s:f>
        <s:v/>
      </s:c>
      <s:c r="CD59" s="240">
        <s:f>AI59</s:f>
        <s:v/>
      </s:c>
      <s:c r="CE59" s="240">
        <s:f>AJ59</s:f>
        <s:v/>
      </s:c>
      <s:c r="CF59" s="240">
        <s:f>AS59</s:f>
        <s:v/>
      </s:c>
      <s:c r="CG59" s="240">
        <s:f>V59</s:f>
        <s:v/>
      </s:c>
      <s:c r="CH59" s="241">
        <s:f>AF59</s:f>
        <s:v/>
      </s:c>
      <s:c r="CI59" s="240">
        <s:f>W59</s:f>
        <s:v/>
      </s:c>
      <s:c r="CJ59" s="240">
        <s:f>X59</s:f>
        <s:v/>
      </s:c>
      <s:c r="CK59" s="240">
        <s:f>AG59</s:f>
        <s:v/>
      </s:c>
      <s:c r="CL59" s="240">
        <s:f>J59</s:f>
        <s:v/>
      </s:c>
      <s:c r="CM59" s="241">
        <s:f>T59</s:f>
        <s:v/>
      </s:c>
      <s:c r="CN59" s="240">
        <s:f>K59</s:f>
        <s:v/>
      </s:c>
      <s:c r="CO59" s="240">
        <s:f>L59</s:f>
        <s:v/>
      </s:c>
      <s:c r="CP59" s="242">
        <s:f>U59</s:f>
        <s:v/>
      </s:c>
      <s:c r="CQ59" s="233">
        <s:f>AT59</s:f>
        <s:v/>
      </s:c>
    </s:row>
    <s:row r="60">
      <s:c r="A60" s="211" t="n">
        <s:v>43</s:v>
      </s:c>
      <s:c r="B60" s="212" t="n">
        <s:v>45901</s:v>
      </s:c>
      <s:c r="C60" s="213" t="n">
        <s:v>45901</s:v>
      </s:c>
      <s:c r="D60" s="214" t="n">
        <s:v>3</s:v>
      </s:c>
      <s:c r="E60" s="215" t="n">
        <s:v>13</s:v>
      </s:c>
      <s:c r="F60" s="216" t="inlineStr">
        <s:is>
          <s:t>VI-236535-2025</s:t>
        </s:is>
      </s:c>
      <s:c r="G60" s="217" t="inlineStr">
        <s:is>
          <s:t>QA25418018</s:t>
        </s:is>
      </s:c>
      <s:c r="H60" s="218" t="n">
        <s:v>16</s:v>
      </s:c>
      <s:c r="I60" s="219" t="n">
        <s:v>0</s:v>
      </s:c>
      <s:c r="J60" s="220" t="n">
        <s:v>18.5</s:v>
      </s:c>
      <s:c r="K60" s="221" t="n">
        <s:v>7.51</s:v>
      </s:c>
      <s:c r="L60" s="221" t="n">
        <s:v>1.2</s:v>
      </s:c>
      <s:c r="M60" s="222" t="n">
        <s:v>334.44</s:v>
      </s:c>
      <s:c r="N60" s="222" t="n">
        <s:v>434.79</s:v>
      </s:c>
      <s:c r="O60" s="222" t="n">
        <s:v>100.51</s:v>
      </s:c>
      <s:c r="P60" s="223" t="inlineStr">
        <s:is>
          <s:t>2,30,340</s:t>
        </s:is>
      </s:c>
      <s:c r="Q60" s="224" t="inlineStr">
        <s:is>
          <s:t>2</s:t>
        </s:is>
      </s:c>
      <s:c r="R60" s="224" t="inlineStr">
        <s:is>
          <s:t>30,340</s:t>
        </s:is>
      </s:c>
      <s:c r="S60" s="224" t="n">
        <s:v>0.04176111111111111</s:v>
      </s:c>
      <s:c r="T60" s="225" t="n">
        <s:v>2406.784621524544</s:v>
      </s:c>
      <s:c r="U60" s="226" t="n">
        <s:v>-0.1591881404835164</s:v>
      </s:c>
      <s:c r="V60" s="220" t="n">
        <s:v>18.4</s:v>
      </s:c>
      <s:c r="W60" s="221" t="n">
        <s:v>1.093</s:v>
      </s:c>
      <s:c r="X60" s="221" t="n">
        <s:v>1.081</s:v>
      </s:c>
      <s:c r="Y60" s="222" t="n">
        <s:v>447.11</s:v>
      </s:c>
      <s:c r="Z60" s="222" t="n">
        <s:v>452.14</s:v>
      </s:c>
      <s:c r="AA60" s="227" t="n">
        <s:v>5.011</s:v>
      </s:c>
      <s:c r="AB60" s="228" t="inlineStr">
        <s:is>
          <s:t>11,20,700</s:t>
        </s:is>
      </s:c>
      <s:c r="AC60" s="224" t="inlineStr">
        <s:is>
          <s:t>11</s:t>
        </s:is>
      </s:c>
      <s:c r="AD60" s="224" t="inlineStr">
        <s:is>
          <s:t>20,700</s:t>
        </s:is>
      </s:c>
      <s:c r="AE60" s="224" t="n">
        <s:v>0.1890833333333334</s:v>
      </s:c>
      <s:c r="AF60" s="225" t="n">
        <s:v>26.50154252974879</s:v>
      </s:c>
      <s:c r="AG60" s="229" t="n">
        <s:v>0.3791658351620953</s:v>
      </s:c>
      <s:c r="AH60" s="220" t="n">
        <s:v>18.5</s:v>
      </s:c>
      <s:c r="AI60" s="221" t="n">
        <s:v>1.099</s:v>
      </s:c>
      <s:c r="AJ60" s="221" t="n">
        <s:v>1.087</s:v>
      </s:c>
      <s:c r="AK60" s="222" t="n">
        <s:v>452.14</s:v>
      </s:c>
      <s:c r="AL60" s="222" t="n">
        <s:v>454.13</s:v>
      </s:c>
      <s:c r="AM60" s="230" t="n">
        <s:v>2.006</s:v>
      </s:c>
      <s:c r="AN60" s="223" t="inlineStr">
        <s:is>
          <s:t>7,22,100</s:t>
        </s:is>
      </s:c>
      <s:c r="AO60" s="224" t="inlineStr">
        <s:is>
          <s:t>7,</s:t>
        </s:is>
      </s:c>
      <s:c r="AP60" s="224" t="inlineStr">
        <s:is>
          <s:t>22,100</s:t>
        </s:is>
      </s:c>
      <s:c r="AQ60" s="224" t="n">
        <s:v>0.1228055555555556</s:v>
      </s:c>
      <s:c r="AR60" s="225" t="n">
        <s:v>16.33476589007012</s:v>
      </s:c>
      <s:c r="AS60" s="229" t="n">
        <s:v>-0.7976071784641421</s:v>
      </s:c>
      <s:c r="AT60" s="231" t="inlineStr">
        <s:is>
          <s:t>CONFORME</s:t>
        </s:is>
      </s:c>
      <s:c r="AU60" s="232">
        <s:f>B60=C60</s:f>
        <s:v/>
      </s:c>
      <s:c r="AV60" s="233">
        <s:f>MID(G60,1,2)</s:f>
        <s:v/>
      </s:c>
      <s:c r="AW60" s="233">
        <s:f>LEN(G60)</s:f>
        <s:v/>
      </s:c>
      <s:c r="AX60" s="233" t="inlineStr">
        <s:is>
          <s:t>OI-0922-2025</s:t>
        </s:is>
      </s:c>
      <s:c r="AY60" s="233">
        <s:f>N60&lt;Y60</s:f>
        <s:v/>
      </s:c>
      <s:c r="AZ60" s="233">
        <s:f>Z60&lt;=AK60</s:f>
        <s:v/>
      </s:c>
      <s:c r="BA60" s="233">
        <s:f>L60&lt;K60</s:f>
        <s:v/>
      </s:c>
      <s:c r="BB60" s="233">
        <s:f>W60&gt;=X60</s:f>
        <s:v/>
      </s:c>
      <s:c r="BC60" s="233">
        <s:f>AI60&gt;=AJ60</s:f>
        <s:v/>
      </s:c>
      <s:c r="BD60" s="233">
        <s:f>IF(I60&gt;=1,"Qcorrecto",IF(AND(BE60="aceptable",BF60="aceptable",BG60="aceptable"),"Qcorrecto","Qincorrecto"))</s:f>
        <s:v/>
      </s:c>
      <s:c r="BE60" s="232">
        <s:f>IF(AR60&lt;$AH$6,"error",IF(AR60&gt;$AH$6*1.1,"error","aceptable"))</s:f>
        <s:v/>
      </s:c>
      <s:c r="BF60" s="232">
        <s:f>IF(AF60&lt;$V$6,"error",IF(AF60&gt;$V$6*1.1,"error","aceptable"))</s:f>
        <s:v/>
      </s:c>
      <s:c r="BG60" s="232">
        <s:f>IF(T60&lt;$J$6*0.9,"error",IF(T60&gt;$J$6,"error","aceptable"))</s:f>
        <s:v/>
      </s:c>
      <s:c r="BH60" s="234">
        <s:f>(IF(ABS(U60)&lt;1,"CONFORME",IF(ABS(AG60)&lt;1,"CONFORME",IF(ABS(AS60)&lt;2.5,"CONFORME","NO CONFORME"))))</s:f>
        <s:v/>
      </s:c>
      <s:c r="BI60" s="235">
        <s:f>(IF(ABS(U60)&gt;2.044,"NO CONFORME",IF(ABS(AG60)&gt;2.044,"NO CONFORME",IF(ABS(AS60)&gt;5.044,"NO CONFORME","CONFORME"))))</s:f>
        <s:v/>
      </s:c>
      <s:c r="BJ60" s="233">
        <s:f>SIGN(U60)</s:f>
        <s:v/>
      </s:c>
      <s:c r="BK60" s="233">
        <s:f>SIGN(AG60)</s:f>
        <s:v/>
      </s:c>
      <s:c r="BL60" s="233">
        <s:f>SIGN(AS60)</s:f>
        <s:v/>
      </s:c>
      <s:c r="BM60" s="233">
        <s:f>CONCATENATE(BJ60,BK60,BL60)</s:f>
        <s:v/>
      </s:c>
      <s:c r="BN60" s="233">
        <s:f>IF(BM60="111","SI","SD")</s:f>
        <s:v/>
      </s:c>
      <s:c r="BO60" s="233">
        <s:f>IF(BM60="-1-1-1","SI","SD")</s:f>
        <s:v/>
      </s:c>
      <s:c r="BP60" s="233">
        <s:f>OR(BN60="SI",BO60="SI")</s:f>
        <s:v/>
      </s:c>
      <s:c r="BQ60" s="233">
        <s:f>IF(BP60=FALSE,"SIGDIFERENTES","SIGIGUALES")</s:f>
        <s:v/>
      </s:c>
      <s:c r="BR60" s="236">
        <s:f>IF(BI60="NO CONFORME","NO CONFORME",IF(BH60="CONFORME","CONFORME","NO CONFORME"))</s:f>
        <s:v/>
      </s:c>
      <s:c r="BS60" s="233">
        <s:f>F60</s:f>
        <s:v/>
      </s:c>
      <s:c r="BT60" s="237">
        <s:f>G60</s:f>
        <s:v/>
      </s:c>
      <s:c r="BU60" s="233">
        <s:f>"20"&amp;+MID(G60,3,2)</s:f>
        <s:v/>
      </s:c>
      <s:c r="BV60" s="238">
        <s:f>C60</s:f>
        <s:v/>
      </s:c>
      <s:c r="BW60" s="233">
        <s:f>AT60</s:f>
        <s:v/>
      </s:c>
      <s:c r="BX60" s="238">
        <s:f>B60</s:f>
        <s:v/>
      </s:c>
      <s:c r="BY60" s="239">
        <s:f>H60</s:f>
        <s:v/>
      </s:c>
      <s:c r="BZ60" s="233">
        <s:f>IF(I60=0,"CONFORME","NO CONFORME")</s:f>
        <s:v/>
      </s:c>
      <s:c r="CA60" s="238">
        <s:f>C60</s:f>
        <s:v/>
      </s:c>
      <s:c r="CB60" s="240">
        <s:f>AH60</s:f>
        <s:v/>
      </s:c>
      <s:c r="CC60" s="241">
        <s:f>AR60</s:f>
        <s:v/>
      </s:c>
      <s:c r="CD60" s="240">
        <s:f>AI60</s:f>
        <s:v/>
      </s:c>
      <s:c r="CE60" s="240">
        <s:f>AJ60</s:f>
        <s:v/>
      </s:c>
      <s:c r="CF60" s="240">
        <s:f>AS60</s:f>
        <s:v/>
      </s:c>
      <s:c r="CG60" s="240">
        <s:f>V60</s:f>
        <s:v/>
      </s:c>
      <s:c r="CH60" s="241">
        <s:f>AF60</s:f>
        <s:v/>
      </s:c>
      <s:c r="CI60" s="240">
        <s:f>W60</s:f>
        <s:v/>
      </s:c>
      <s:c r="CJ60" s="240">
        <s:f>X60</s:f>
        <s:v/>
      </s:c>
      <s:c r="CK60" s="240">
        <s:f>AG60</s:f>
        <s:v/>
      </s:c>
      <s:c r="CL60" s="240">
        <s:f>J60</s:f>
        <s:v/>
      </s:c>
      <s:c r="CM60" s="241">
        <s:f>T60</s:f>
        <s:v/>
      </s:c>
      <s:c r="CN60" s="240">
        <s:f>K60</s:f>
        <s:v/>
      </s:c>
      <s:c r="CO60" s="240">
        <s:f>L60</s:f>
        <s:v/>
      </s:c>
      <s:c r="CP60" s="242">
        <s:f>U60</s:f>
        <s:v/>
      </s:c>
      <s:c r="CQ60" s="233">
        <s:f>AT60</s:f>
        <s:v/>
      </s:c>
    </s:row>
    <s:row r="61">
      <s:c r="A61" s="211" t="n">
        <s:v>44</s:v>
      </s:c>
      <s:c r="B61" s="212" t="n">
        <s:v>45901</s:v>
      </s:c>
      <s:c r="C61" s="213" t="n">
        <s:v>45901</s:v>
      </s:c>
      <s:c r="D61" s="214" t="n">
        <s:v>3</s:v>
      </s:c>
      <s:c r="E61" s="215" t="n">
        <s:v>13</s:v>
      </s:c>
      <s:c r="F61" s="216" t="inlineStr">
        <s:is>
          <s:t>VI-236536-2025</s:t>
        </s:is>
      </s:c>
      <s:c r="G61" s="217" t="inlineStr">
        <s:is>
          <s:t>QA25418070</s:t>
        </s:is>
      </s:c>
      <s:c r="H61" s="218" t="n">
        <s:v>16</s:v>
      </s:c>
      <s:c r="I61" s="219" t="n">
        <s:v>0</s:v>
      </s:c>
      <s:c r="J61" s="220" t="n">
        <s:v>18.5</s:v>
      </s:c>
      <s:c r="K61" s="221" t="n">
        <s:v>7.51</s:v>
      </s:c>
      <s:c r="L61" s="221" t="n">
        <s:v>1.2</s:v>
      </s:c>
      <s:c r="M61" s="222" t="n">
        <s:v>677.9299999999999</s:v>
      </s:c>
      <s:c r="N61" s="222" t="n">
        <s:v>779.27</s:v>
      </s:c>
      <s:c r="O61" s="222" t="n">
        <s:v>100.51</s:v>
      </s:c>
      <s:c r="P61" s="223" t="inlineStr">
        <s:is>
          <s:t>2,30,340</s:t>
        </s:is>
      </s:c>
      <s:c r="Q61" s="224" t="inlineStr">
        <s:is>
          <s:t>2</s:t>
        </s:is>
      </s:c>
      <s:c r="R61" s="224" t="inlineStr">
        <s:is>
          <s:t>30,340</s:t>
        </s:is>
      </s:c>
      <s:c r="S61" s="224" t="n">
        <s:v>0.04176111111111111</s:v>
      </s:c>
      <s:c r="T61" s="225" t="n">
        <s:v>2406.784621524544</s:v>
      </s:c>
      <s:c r="U61" s="226" t="n">
        <s:v>0.825788478758359</s:v>
      </s:c>
      <s:c r="V61" s="220" t="n">
        <s:v>18.4</s:v>
      </s:c>
      <s:c r="W61" s="221" t="n">
        <s:v>1.093</s:v>
      </s:c>
      <s:c r="X61" s="221" t="n">
        <s:v>1.081</s:v>
      </s:c>
      <s:c r="Y61" s="222" t="n">
        <s:v>791.72</s:v>
      </s:c>
      <s:c r="Z61" s="222" t="n">
        <s:v>796.77</s:v>
      </s:c>
      <s:c r="AA61" s="227" t="n">
        <s:v>5.011</s:v>
      </s:c>
      <s:c r="AB61" s="228" t="inlineStr">
        <s:is>
          <s:t>11,20,700</s:t>
        </s:is>
      </s:c>
      <s:c r="AC61" s="224" t="inlineStr">
        <s:is>
          <s:t>11</s:t>
        </s:is>
      </s:c>
      <s:c r="AD61" s="224" t="inlineStr">
        <s:is>
          <s:t>20,700</s:t>
        </s:is>
      </s:c>
      <s:c r="AE61" s="224" t="n">
        <s:v>0.1890833333333334</s:v>
      </s:c>
      <s:c r="AF61" s="225" t="n">
        <s:v>26.50154252974879</s:v>
      </s:c>
      <s:c r="AG61" s="229" t="n">
        <s:v>0.778287766911882</s:v>
      </s:c>
      <s:c r="AH61" s="220" t="n">
        <s:v>18.5</s:v>
      </s:c>
      <s:c r="AI61" s="221" t="n">
        <s:v>1.099</s:v>
      </s:c>
      <s:c r="AJ61" s="221" t="n">
        <s:v>1.087</s:v>
      </s:c>
      <s:c r="AK61" s="222" t="n">
        <s:v>796.77</s:v>
      </s:c>
      <s:c r="AL61" s="222" t="n">
        <s:v>798.79</s:v>
      </s:c>
      <s:c r="AM61" s="230" t="n">
        <s:v>2.006</s:v>
      </s:c>
      <s:c r="AN61" s="223" t="inlineStr">
        <s:is>
          <s:t>7,22,100</s:t>
        </s:is>
      </s:c>
      <s:c r="AO61" s="224" t="inlineStr">
        <s:is>
          <s:t>7,</s:t>
        </s:is>
      </s:c>
      <s:c r="AP61" s="224" t="inlineStr">
        <s:is>
          <s:t>22,100</s:t>
        </s:is>
      </s:c>
      <s:c r="AQ61" s="224" t="n">
        <s:v>0.1228055555555556</s:v>
      </s:c>
      <s:c r="AR61" s="225" t="n">
        <s:v>16.33476589007012</s:v>
      </s:c>
      <s:c r="AS61" s="229" t="n">
        <s:v>0.6979062811556345</s:v>
      </s:c>
      <s:c r="AT61" s="231" t="inlineStr">
        <s:is>
          <s:t>CONFORME</s:t>
        </s:is>
      </s:c>
      <s:c r="AU61" s="232">
        <s:f>B61=C61</s:f>
        <s:v/>
      </s:c>
      <s:c r="AV61" s="233">
        <s:f>MID(G61,1,2)</s:f>
        <s:v/>
      </s:c>
      <s:c r="AW61" s="233">
        <s:f>LEN(G61)</s:f>
        <s:v/>
      </s:c>
      <s:c r="AX61" s="233" t="inlineStr">
        <s:is>
          <s:t>OI-0922-2025</s:t>
        </s:is>
      </s:c>
      <s:c r="AY61" s="233">
        <s:f>N61&lt;Y61</s:f>
        <s:v/>
      </s:c>
      <s:c r="AZ61" s="233">
        <s:f>Z61&lt;=AK61</s:f>
        <s:v/>
      </s:c>
      <s:c r="BA61" s="233">
        <s:f>L61&lt;K61</s:f>
        <s:v/>
      </s:c>
      <s:c r="BB61" s="233">
        <s:f>W61&gt;=X61</s:f>
        <s:v/>
      </s:c>
      <s:c r="BC61" s="233">
        <s:f>AI61&gt;=AJ61</s:f>
        <s:v/>
      </s:c>
      <s:c r="BD61" s="233">
        <s:f>IF(I61&gt;=1,"Qcorrecto",IF(AND(BE61="aceptable",BF61="aceptable",BG61="aceptable"),"Qcorrecto","Qincorrecto"))</s:f>
        <s:v/>
      </s:c>
      <s:c r="BE61" s="232">
        <s:f>IF(AR61&lt;$AH$6,"error",IF(AR61&gt;$AH$6*1.1,"error","aceptable"))</s:f>
        <s:v/>
      </s:c>
      <s:c r="BF61" s="232">
        <s:f>IF(AF61&lt;$V$6,"error",IF(AF61&gt;$V$6*1.1,"error","aceptable"))</s:f>
        <s:v/>
      </s:c>
      <s:c r="BG61" s="232">
        <s:f>IF(T61&lt;$J$6*0.9,"error",IF(T61&gt;$J$6,"error","aceptable"))</s:f>
        <s:v/>
      </s:c>
      <s:c r="BH61" s="234">
        <s:f>(IF(ABS(U61)&lt;1,"CONFORME",IF(ABS(AG61)&lt;1,"CONFORME",IF(ABS(AS61)&lt;2.5,"CONFORME","NO CONFORME"))))</s:f>
        <s:v/>
      </s:c>
      <s:c r="BI61" s="235">
        <s:f>(IF(ABS(U61)&gt;2.044,"NO CONFORME",IF(ABS(AG61)&gt;2.044,"NO CONFORME",IF(ABS(AS61)&gt;5.044,"NO CONFORME","CONFORME"))))</s:f>
        <s:v/>
      </s:c>
      <s:c r="BJ61" s="233">
        <s:f>SIGN(U61)</s:f>
        <s:v/>
      </s:c>
      <s:c r="BK61" s="233">
        <s:f>SIGN(AG61)</s:f>
        <s:v/>
      </s:c>
      <s:c r="BL61" s="233">
        <s:f>SIGN(AS61)</s:f>
        <s:v/>
      </s:c>
      <s:c r="BM61" s="233">
        <s:f>CONCATENATE(BJ61,BK61,BL61)</s:f>
        <s:v/>
      </s:c>
      <s:c r="BN61" s="233">
        <s:f>IF(BM61="111","SI","SD")</s:f>
        <s:v/>
      </s:c>
      <s:c r="BO61" s="233">
        <s:f>IF(BM61="-1-1-1","SI","SD")</s:f>
        <s:v/>
      </s:c>
      <s:c r="BP61" s="233">
        <s:f>OR(BN61="SI",BO61="SI")</s:f>
        <s:v/>
      </s:c>
      <s:c r="BQ61" s="233">
        <s:f>IF(BP61=FALSE,"SIGDIFERENTES","SIGIGUALES")</s:f>
        <s:v/>
      </s:c>
      <s:c r="BR61" s="236">
        <s:f>IF(BI61="NO CONFORME","NO CONFORME",IF(BH61="CONFORME","CONFORME","NO CONFORME"))</s:f>
        <s:v/>
      </s:c>
      <s:c r="BS61" s="233">
        <s:f>F61</s:f>
        <s:v/>
      </s:c>
      <s:c r="BT61" s="237">
        <s:f>G61</s:f>
        <s:v/>
      </s:c>
      <s:c r="BU61" s="233">
        <s:f>"20"&amp;+MID(G61,3,2)</s:f>
        <s:v/>
      </s:c>
      <s:c r="BV61" s="238">
        <s:f>C61</s:f>
        <s:v/>
      </s:c>
      <s:c r="BW61" s="233">
        <s:f>AT61</s:f>
        <s:v/>
      </s:c>
      <s:c r="BX61" s="238">
        <s:f>B61</s:f>
        <s:v/>
      </s:c>
      <s:c r="BY61" s="239">
        <s:f>H61</s:f>
        <s:v/>
      </s:c>
      <s:c r="BZ61" s="233">
        <s:f>IF(I61=0,"CONFORME","NO CONFORME")</s:f>
        <s:v/>
      </s:c>
      <s:c r="CA61" s="238">
        <s:f>C61</s:f>
        <s:v/>
      </s:c>
      <s:c r="CB61" s="240">
        <s:f>AH61</s:f>
        <s:v/>
      </s:c>
      <s:c r="CC61" s="241">
        <s:f>AR61</s:f>
        <s:v/>
      </s:c>
      <s:c r="CD61" s="240">
        <s:f>AI61</s:f>
        <s:v/>
      </s:c>
      <s:c r="CE61" s="240">
        <s:f>AJ61</s:f>
        <s:v/>
      </s:c>
      <s:c r="CF61" s="240">
        <s:f>AS61</s:f>
        <s:v/>
      </s:c>
      <s:c r="CG61" s="240">
        <s:f>V61</s:f>
        <s:v/>
      </s:c>
      <s:c r="CH61" s="241">
        <s:f>AF61</s:f>
        <s:v/>
      </s:c>
      <s:c r="CI61" s="240">
        <s:f>W61</s:f>
        <s:v/>
      </s:c>
      <s:c r="CJ61" s="240">
        <s:f>X61</s:f>
        <s:v/>
      </s:c>
      <s:c r="CK61" s="240">
        <s:f>AG61</s:f>
        <s:v/>
      </s:c>
      <s:c r="CL61" s="240">
        <s:f>J61</s:f>
        <s:v/>
      </s:c>
      <s:c r="CM61" s="241">
        <s:f>T61</s:f>
        <s:v/>
      </s:c>
      <s:c r="CN61" s="240">
        <s:f>K61</s:f>
        <s:v/>
      </s:c>
      <s:c r="CO61" s="240">
        <s:f>L61</s:f>
        <s:v/>
      </s:c>
      <s:c r="CP61" s="242">
        <s:f>U61</s:f>
        <s:v/>
      </s:c>
      <s:c r="CQ61" s="233">
        <s:f>AT61</s:f>
        <s:v/>
      </s:c>
    </s:row>
    <s:row r="62">
      <s:c r="A62" s="211" t="n">
        <s:v>45</s:v>
      </s:c>
      <s:c r="B62" s="212" t="n">
        <s:v>45901</s:v>
      </s:c>
      <s:c r="C62" s="213" t="n">
        <s:v>45901</s:v>
      </s:c>
      <s:c r="D62" s="214" t="n">
        <s:v>3</s:v>
      </s:c>
      <s:c r="E62" s="215" t="n">
        <s:v>13</s:v>
      </s:c>
      <s:c r="F62" s="216" t="inlineStr">
        <s:is>
          <s:t>VI-236537-2025</s:t>
        </s:is>
      </s:c>
      <s:c r="G62" s="217" t="inlineStr">
        <s:is>
          <s:t>QA25417923</s:t>
        </s:is>
      </s:c>
      <s:c r="H62" s="218" t="n">
        <s:v>16</s:v>
      </s:c>
      <s:c r="I62" s="219" t="n">
        <s:v>0</s:v>
      </s:c>
      <s:c r="J62" s="220" t="n">
        <s:v>18.5</s:v>
      </s:c>
      <s:c r="K62" s="221" t="n">
        <s:v>7.51</s:v>
      </s:c>
      <s:c r="L62" s="221" t="n">
        <s:v>1.2</s:v>
      </s:c>
      <s:c r="M62" s="222" t="n">
        <s:v>286.11</s:v>
      </s:c>
      <s:c r="N62" s="222" t="n">
        <s:v>386.04</s:v>
      </s:c>
      <s:c r="O62" s="222" t="n">
        <s:v>100.51</s:v>
      </s:c>
      <s:c r="P62" s="223" t="inlineStr">
        <s:is>
          <s:t>2,30,340</s:t>
        </s:is>
      </s:c>
      <s:c r="Q62" s="224" t="inlineStr">
        <s:is>
          <s:t>2</s:t>
        </s:is>
      </s:c>
      <s:c r="R62" s="224" t="inlineStr">
        <s:is>
          <s:t>30,340</s:t>
        </s:is>
      </s:c>
      <s:c r="S62" s="224" t="n">
        <s:v>0.04176111111111111</s:v>
      </s:c>
      <s:c r="T62" s="225" t="n">
        <s:v>2406.784621524544</s:v>
      </s:c>
      <s:c r="U62" s="226" t="n">
        <s:v>-0.5770570092528089</s:v>
      </s:c>
      <s:c r="V62" s="220" t="n">
        <s:v>18.4</s:v>
      </s:c>
      <s:c r="W62" s="221" t="n">
        <s:v>1.093</s:v>
      </s:c>
      <s:c r="X62" s="221" t="n">
        <s:v>1.081</s:v>
      </s:c>
      <s:c r="Y62" s="222" t="n">
        <s:v>398.34</s:v>
      </s:c>
      <s:c r="Z62" s="222" t="n">
        <s:v>403.36</s:v>
      </s:c>
      <s:c r="AA62" s="227" t="n">
        <s:v>5.011</s:v>
      </s:c>
      <s:c r="AB62" s="228" t="inlineStr">
        <s:is>
          <s:t>11,20,700</s:t>
        </s:is>
      </s:c>
      <s:c r="AC62" s="224" t="inlineStr">
        <s:is>
          <s:t>11</s:t>
        </s:is>
      </s:c>
      <s:c r="AD62" s="224" t="inlineStr">
        <s:is>
          <s:t>20,700</s:t>
        </s:is>
      </s:c>
      <s:c r="AE62" s="224" t="n">
        <s:v>0.1890833333333334</s:v>
      </s:c>
      <s:c r="AF62" s="225" t="n">
        <s:v>26.50154252974879</s:v>
      </s:c>
      <s:c r="AG62" s="229" t="n">
        <s:v>0.1796048692883363</s:v>
      </s:c>
      <s:c r="AH62" s="220" t="n">
        <s:v>18.5</s:v>
      </s:c>
      <s:c r="AI62" s="221" t="n">
        <s:v>1.099</s:v>
      </s:c>
      <s:c r="AJ62" s="221" t="n">
        <s:v>1.087</s:v>
      </s:c>
      <s:c r="AK62" s="222" t="n">
        <s:v>403.36</s:v>
      </s:c>
      <s:c r="AL62" s="222" t="n">
        <s:v>405.35</s:v>
      </s:c>
      <s:c r="AM62" s="230" t="n">
        <s:v>2.006</s:v>
      </s:c>
      <s:c r="AN62" s="223" t="inlineStr">
        <s:is>
          <s:t>7,22,100</s:t>
        </s:is>
      </s:c>
      <s:c r="AO62" s="224" t="inlineStr">
        <s:is>
          <s:t>7,</s:t>
        </s:is>
      </s:c>
      <s:c r="AP62" s="224" t="inlineStr">
        <s:is>
          <s:t>22,100</s:t>
        </s:is>
      </s:c>
      <s:c r="AQ62" s="224" t="n">
        <s:v>0.1228055555555556</s:v>
      </s:c>
      <s:c r="AR62" s="225" t="n">
        <s:v>16.33476589007012</s:v>
      </s:c>
      <s:c r="AS62" s="229" t="n">
        <s:v>-0.7976071784641421</s:v>
      </s:c>
      <s:c r="AT62" s="231" t="inlineStr">
        <s:is>
          <s:t>CONFORME</s:t>
        </s:is>
      </s:c>
      <s:c r="AU62" s="232">
        <s:f>B62=C62</s:f>
        <s:v/>
      </s:c>
      <s:c r="AV62" s="233">
        <s:f>MID(G62,1,2)</s:f>
        <s:v/>
      </s:c>
      <s:c r="AW62" s="233">
        <s:f>LEN(G62)</s:f>
        <s:v/>
      </s:c>
      <s:c r="AX62" s="233" t="inlineStr">
        <s:is>
          <s:t>OI-0922-2025</s:t>
        </s:is>
      </s:c>
      <s:c r="AY62" s="233">
        <s:f>N62&lt;Y62</s:f>
        <s:v/>
      </s:c>
      <s:c r="AZ62" s="233">
        <s:f>Z62&lt;=AK62</s:f>
        <s:v/>
      </s:c>
      <s:c r="BA62" s="233">
        <s:f>L62&lt;K62</s:f>
        <s:v/>
      </s:c>
      <s:c r="BB62" s="233">
        <s:f>W62&gt;=X62</s:f>
        <s:v/>
      </s:c>
      <s:c r="BC62" s="233">
        <s:f>AI62&gt;=AJ62</s:f>
        <s:v/>
      </s:c>
      <s:c r="BD62" s="233">
        <s:f>IF(I62&gt;=1,"Qcorrecto",IF(AND(BE62="aceptable",BF62="aceptable",BG62="aceptable"),"Qcorrecto","Qincorrecto"))</s:f>
        <s:v/>
      </s:c>
      <s:c r="BE62" s="232">
        <s:f>IF(AR62&lt;$AH$6,"error",IF(AR62&gt;$AH$6*1.1,"error","aceptable"))</s:f>
        <s:v/>
      </s:c>
      <s:c r="BF62" s="232">
        <s:f>IF(AF62&lt;$V$6,"error",IF(AF62&gt;$V$6*1.1,"error","aceptable"))</s:f>
        <s:v/>
      </s:c>
      <s:c r="BG62" s="232">
        <s:f>IF(T62&lt;$J$6*0.9,"error",IF(T62&gt;$J$6,"error","aceptable"))</s:f>
        <s:v/>
      </s:c>
      <s:c r="BH62" s="234">
        <s:f>(IF(ABS(U62)&lt;1,"CONFORME",IF(ABS(AG62)&lt;1,"CONFORME",IF(ABS(AS62)&lt;2.5,"CONFORME","NO CONFORME"))))</s:f>
        <s:v/>
      </s:c>
      <s:c r="BI62" s="235">
        <s:f>(IF(ABS(U62)&gt;2.044,"NO CONFORME",IF(ABS(AG62)&gt;2.044,"NO CONFORME",IF(ABS(AS62)&gt;5.044,"NO CONFORME","CONFORME"))))</s:f>
        <s:v/>
      </s:c>
      <s:c r="BJ62" s="233">
        <s:f>SIGN(U62)</s:f>
        <s:v/>
      </s:c>
      <s:c r="BK62" s="233">
        <s:f>SIGN(AG62)</s:f>
        <s:v/>
      </s:c>
      <s:c r="BL62" s="233">
        <s:f>SIGN(AS62)</s:f>
        <s:v/>
      </s:c>
      <s:c r="BM62" s="233">
        <s:f>CONCATENATE(BJ62,BK62,BL62)</s:f>
        <s:v/>
      </s:c>
      <s:c r="BN62" s="233">
        <s:f>IF(BM62="111","SI","SD")</s:f>
        <s:v/>
      </s:c>
      <s:c r="BO62" s="233">
        <s:f>IF(BM62="-1-1-1","SI","SD")</s:f>
        <s:v/>
      </s:c>
      <s:c r="BP62" s="233">
        <s:f>OR(BN62="SI",BO62="SI")</s:f>
        <s:v/>
      </s:c>
      <s:c r="BQ62" s="233">
        <s:f>IF(BP62=FALSE,"SIGDIFERENTES","SIGIGUALES")</s:f>
        <s:v/>
      </s:c>
      <s:c r="BR62" s="236">
        <s:f>IF(BI62="NO CONFORME","NO CONFORME",IF(BH62="CONFORME","CONFORME","NO CONFORME"))</s:f>
        <s:v/>
      </s:c>
      <s:c r="BS62" s="233">
        <s:f>F62</s:f>
        <s:v/>
      </s:c>
      <s:c r="BT62" s="237">
        <s:f>G62</s:f>
        <s:v/>
      </s:c>
      <s:c r="BU62" s="233">
        <s:f>"20"&amp;+MID(G62,3,2)</s:f>
        <s:v/>
      </s:c>
      <s:c r="BV62" s="238">
        <s:f>C62</s:f>
        <s:v/>
      </s:c>
      <s:c r="BW62" s="233">
        <s:f>AT62</s:f>
        <s:v/>
      </s:c>
      <s:c r="BX62" s="238">
        <s:f>B62</s:f>
        <s:v/>
      </s:c>
      <s:c r="BY62" s="239">
        <s:f>H62</s:f>
        <s:v/>
      </s:c>
      <s:c r="BZ62" s="233">
        <s:f>IF(I62=0,"CONFORME","NO CONFORME")</s:f>
        <s:v/>
      </s:c>
      <s:c r="CA62" s="238">
        <s:f>C62</s:f>
        <s:v/>
      </s:c>
      <s:c r="CB62" s="240">
        <s:f>AH62</s:f>
        <s:v/>
      </s:c>
      <s:c r="CC62" s="241">
        <s:f>AR62</s:f>
        <s:v/>
      </s:c>
      <s:c r="CD62" s="240">
        <s:f>AI62</s:f>
        <s:v/>
      </s:c>
      <s:c r="CE62" s="240">
        <s:f>AJ62</s:f>
        <s:v/>
      </s:c>
      <s:c r="CF62" s="240">
        <s:f>AS62</s:f>
        <s:v/>
      </s:c>
      <s:c r="CG62" s="240">
        <s:f>V62</s:f>
        <s:v/>
      </s:c>
      <s:c r="CH62" s="241">
        <s:f>AF62</s:f>
        <s:v/>
      </s:c>
      <s:c r="CI62" s="240">
        <s:f>W62</s:f>
        <s:v/>
      </s:c>
      <s:c r="CJ62" s="240">
        <s:f>X62</s:f>
        <s:v/>
      </s:c>
      <s:c r="CK62" s="240">
        <s:f>AG62</s:f>
        <s:v/>
      </s:c>
      <s:c r="CL62" s="240">
        <s:f>J62</s:f>
        <s:v/>
      </s:c>
      <s:c r="CM62" s="241">
        <s:f>T62</s:f>
        <s:v/>
      </s:c>
      <s:c r="CN62" s="240">
        <s:f>K62</s:f>
        <s:v/>
      </s:c>
      <s:c r="CO62" s="240">
        <s:f>L62</s:f>
        <s:v/>
      </s:c>
      <s:c r="CP62" s="242">
        <s:f>U62</s:f>
        <s:v/>
      </s:c>
      <s:c r="CQ62" s="233">
        <s:f>AT62</s:f>
        <s:v/>
      </s:c>
    </s:row>
    <s:row r="63">
      <s:c r="A63" s="211" t="n">
        <s:v>46</s:v>
      </s:c>
      <s:c r="B63" s="212" t="n">
        <s:v>45901</s:v>
      </s:c>
      <s:c r="C63" s="213" t="n">
        <s:v>45901</s:v>
      </s:c>
      <s:c r="D63" s="214" t="n">
        <s:v>3</s:v>
      </s:c>
      <s:c r="E63" s="215" t="n">
        <s:v>13</s:v>
      </s:c>
      <s:c r="F63" s="216" t="inlineStr">
        <s:is>
          <s:t>VI-236538-2025</s:t>
        </s:is>
      </s:c>
      <s:c r="G63" s="217" t="inlineStr">
        <s:is>
          <s:t>QA25418149</s:t>
        </s:is>
      </s:c>
      <s:c r="H63" s="218" t="n">
        <s:v>16</s:v>
      </s:c>
      <s:c r="I63" s="219" t="n">
        <s:v>0</s:v>
      </s:c>
      <s:c r="J63" s="220" t="n">
        <s:v>18.5</s:v>
      </s:c>
      <s:c r="K63" s="221" t="n">
        <s:v>7.51</s:v>
      </s:c>
      <s:c r="L63" s="221" t="n">
        <s:v>1.2</s:v>
      </s:c>
      <s:c r="M63" s="222" t="n">
        <s:v>304.18</s:v>
      </s:c>
      <s:c r="N63" s="222" t="n">
        <s:v>403.93</s:v>
      </s:c>
      <s:c r="O63" s="222" t="n">
        <s:v>100.51</s:v>
      </s:c>
      <s:c r="P63" s="223" t="inlineStr">
        <s:is>
          <s:t>2,30,340</s:t>
        </s:is>
      </s:c>
      <s:c r="Q63" s="224" t="inlineStr">
        <s:is>
          <s:t>2</s:t>
        </s:is>
      </s:c>
      <s:c r="R63" s="224" t="inlineStr">
        <s:is>
          <s:t>30,340</s:t>
        </s:is>
      </s:c>
      <s:c r="S63" s="224" t="n">
        <s:v>0.04176111111111111</s:v>
      </s:c>
      <s:c r="T63" s="225" t="n">
        <s:v>2406.784621524544</s:v>
      </s:c>
      <s:c r="U63" s="226" t="n">
        <s:v>-0.7561436672967914</s:v>
      </s:c>
      <s:c r="V63" s="220" t="n">
        <s:v>18.4</s:v>
      </s:c>
      <s:c r="W63" s="221" t="n">
        <s:v>1.093</s:v>
      </s:c>
      <s:c r="X63" s="221" t="n">
        <s:v>1.081</s:v>
      </s:c>
      <s:c r="Y63" s="222" t="n">
        <s:v>416.23</s:v>
      </s:c>
      <s:c r="Z63" s="222" t="n">
        <s:v>421.25</s:v>
      </s:c>
      <s:c r="AA63" s="227" t="n">
        <s:v>5.011</s:v>
      </s:c>
      <s:c r="AB63" s="228" t="inlineStr">
        <s:is>
          <s:t>11,20,700</s:t>
        </s:is>
      </s:c>
      <s:c r="AC63" s="224" t="inlineStr">
        <s:is>
          <s:t>11</s:t>
        </s:is>
      </s:c>
      <s:c r="AD63" s="224" t="inlineStr">
        <s:is>
          <s:t>20,700</s:t>
        </s:is>
      </s:c>
      <s:c r="AE63" s="224" t="n">
        <s:v>0.1890833333333334</s:v>
      </s:c>
      <s:c r="AF63" s="225" t="n">
        <s:v>26.50154252974879</s:v>
      </s:c>
      <s:c r="AG63" s="229" t="n">
        <s:v>0.179604869287202</s:v>
      </s:c>
      <s:c r="AH63" s="220" t="n">
        <s:v>18.5</s:v>
      </s:c>
      <s:c r="AI63" s="221" t="n">
        <s:v>1.099</s:v>
      </s:c>
      <s:c r="AJ63" s="221" t="n">
        <s:v>1.087</s:v>
      </s:c>
      <s:c r="AK63" s="222" t="n">
        <s:v>421.25</s:v>
      </s:c>
      <s:c r="AL63" s="222" t="n">
        <s:v>423.23</s:v>
      </s:c>
      <s:c r="AM63" s="230" t="n">
        <s:v>2.006</s:v>
      </s:c>
      <s:c r="AN63" s="223" t="inlineStr">
        <s:is>
          <s:t>7,22,100</s:t>
        </s:is>
      </s:c>
      <s:c r="AO63" s="224" t="inlineStr">
        <s:is>
          <s:t>7,</s:t>
        </s:is>
      </s:c>
      <s:c r="AP63" s="224" t="inlineStr">
        <s:is>
          <s:t>22,100</s:t>
        </s:is>
      </s:c>
      <s:c r="AQ63" s="224" t="n">
        <s:v>0.1228055555555556</s:v>
      </s:c>
      <s:c r="AR63" s="225" t="n">
        <s:v>16.33476589007012</s:v>
      </s:c>
      <s:c r="AS63" s="229" t="n">
        <s:v>-1.296111665004068</s:v>
      </s:c>
      <s:c r="AT63" s="231" t="inlineStr">
        <s:is>
          <s:t>CONFORME</s:t>
        </s:is>
      </s:c>
      <s:c r="AU63" s="232">
        <s:f>B63=C63</s:f>
        <s:v/>
      </s:c>
      <s:c r="AV63" s="233">
        <s:f>MID(G63,1,2)</s:f>
        <s:v/>
      </s:c>
      <s:c r="AW63" s="233">
        <s:f>LEN(G63)</s:f>
        <s:v/>
      </s:c>
      <s:c r="AX63" s="233" t="inlineStr">
        <s:is>
          <s:t>OI-0922-2025</s:t>
        </s:is>
      </s:c>
      <s:c r="AY63" s="233">
        <s:f>N63&lt;Y63</s:f>
        <s:v/>
      </s:c>
      <s:c r="AZ63" s="233">
        <s:f>Z63&lt;=AK63</s:f>
        <s:v/>
      </s:c>
      <s:c r="BA63" s="233">
        <s:f>L63&lt;K63</s:f>
        <s:v/>
      </s:c>
      <s:c r="BB63" s="233">
        <s:f>W63&gt;=X63</s:f>
        <s:v/>
      </s:c>
      <s:c r="BC63" s="233">
        <s:f>AI63&gt;=AJ63</s:f>
        <s:v/>
      </s:c>
      <s:c r="BD63" s="233">
        <s:f>IF(I63&gt;=1,"Qcorrecto",IF(AND(BE63="aceptable",BF63="aceptable",BG63="aceptable"),"Qcorrecto","Qincorrecto"))</s:f>
        <s:v/>
      </s:c>
      <s:c r="BE63" s="232">
        <s:f>IF(AR63&lt;$AH$6,"error",IF(AR63&gt;$AH$6*1.1,"error","aceptable"))</s:f>
        <s:v/>
      </s:c>
      <s:c r="BF63" s="232">
        <s:f>IF(AF63&lt;$V$6,"error",IF(AF63&gt;$V$6*1.1,"error","aceptable"))</s:f>
        <s:v/>
      </s:c>
      <s:c r="BG63" s="232">
        <s:f>IF(T63&lt;$J$6*0.9,"error",IF(T63&gt;$J$6,"error","aceptable"))</s:f>
        <s:v/>
      </s:c>
      <s:c r="BH63" s="234">
        <s:f>(IF(ABS(U63)&lt;1,"CONFORME",IF(ABS(AG63)&lt;1,"CONFORME",IF(ABS(AS63)&lt;2.5,"CONFORME","NO CONFORME"))))</s:f>
        <s:v/>
      </s:c>
      <s:c r="BI63" s="235">
        <s:f>(IF(ABS(U63)&gt;2.044,"NO CONFORME",IF(ABS(AG63)&gt;2.044,"NO CONFORME",IF(ABS(AS63)&gt;5.044,"NO CONFORME","CONFORME"))))</s:f>
        <s:v/>
      </s:c>
      <s:c r="BJ63" s="233">
        <s:f>SIGN(U63)</s:f>
        <s:v/>
      </s:c>
      <s:c r="BK63" s="233">
        <s:f>SIGN(AG63)</s:f>
        <s:v/>
      </s:c>
      <s:c r="BL63" s="233">
        <s:f>SIGN(AS63)</s:f>
        <s:v/>
      </s:c>
      <s:c r="BM63" s="233">
        <s:f>CONCATENATE(BJ63,BK63,BL63)</s:f>
        <s:v/>
      </s:c>
      <s:c r="BN63" s="233">
        <s:f>IF(BM63="111","SI","SD")</s:f>
        <s:v/>
      </s:c>
      <s:c r="BO63" s="233">
        <s:f>IF(BM63="-1-1-1","SI","SD")</s:f>
        <s:v/>
      </s:c>
      <s:c r="BP63" s="233">
        <s:f>OR(BN63="SI",BO63="SI")</s:f>
        <s:v/>
      </s:c>
      <s:c r="BQ63" s="233">
        <s:f>IF(BP63=FALSE,"SIGDIFERENTES","SIGIGUALES")</s:f>
        <s:v/>
      </s:c>
      <s:c r="BR63" s="236">
        <s:f>IF(BI63="NO CONFORME","NO CONFORME",IF(BH63="CONFORME","CONFORME","NO CONFORME"))</s:f>
        <s:v/>
      </s:c>
      <s:c r="BS63" s="233">
        <s:f>F63</s:f>
        <s:v/>
      </s:c>
      <s:c r="BT63" s="237">
        <s:f>G63</s:f>
        <s:v/>
      </s:c>
      <s:c r="BU63" s="233">
        <s:f>"20"&amp;+MID(G63,3,2)</s:f>
        <s:v/>
      </s:c>
      <s:c r="BV63" s="238">
        <s:f>C63</s:f>
        <s:v/>
      </s:c>
      <s:c r="BW63" s="233">
        <s:f>AT63</s:f>
        <s:v/>
      </s:c>
      <s:c r="BX63" s="238">
        <s:f>B63</s:f>
        <s:v/>
      </s:c>
      <s:c r="BY63" s="239">
        <s:f>H63</s:f>
        <s:v/>
      </s:c>
      <s:c r="BZ63" s="233">
        <s:f>IF(I63=0,"CONFORME","NO CONFORME")</s:f>
        <s:v/>
      </s:c>
      <s:c r="CA63" s="238">
        <s:f>C63</s:f>
        <s:v/>
      </s:c>
      <s:c r="CB63" s="240">
        <s:f>AH63</s:f>
        <s:v/>
      </s:c>
      <s:c r="CC63" s="241">
        <s:f>AR63</s:f>
        <s:v/>
      </s:c>
      <s:c r="CD63" s="240">
        <s:f>AI63</s:f>
        <s:v/>
      </s:c>
      <s:c r="CE63" s="240">
        <s:f>AJ63</s:f>
        <s:v/>
      </s:c>
      <s:c r="CF63" s="240">
        <s:f>AS63</s:f>
        <s:v/>
      </s:c>
      <s:c r="CG63" s="240">
        <s:f>V63</s:f>
        <s:v/>
      </s:c>
      <s:c r="CH63" s="241">
        <s:f>AF63</s:f>
        <s:v/>
      </s:c>
      <s:c r="CI63" s="240">
        <s:f>W63</s:f>
        <s:v/>
      </s:c>
      <s:c r="CJ63" s="240">
        <s:f>X63</s:f>
        <s:v/>
      </s:c>
      <s:c r="CK63" s="240">
        <s:f>AG63</s:f>
        <s:v/>
      </s:c>
      <s:c r="CL63" s="240">
        <s:f>J63</s:f>
        <s:v/>
      </s:c>
      <s:c r="CM63" s="241">
        <s:f>T63</s:f>
        <s:v/>
      </s:c>
      <s:c r="CN63" s="240">
        <s:f>K63</s:f>
        <s:v/>
      </s:c>
      <s:c r="CO63" s="240">
        <s:f>L63</s:f>
        <s:v/>
      </s:c>
      <s:c r="CP63" s="242">
        <s:f>U63</s:f>
        <s:v/>
      </s:c>
      <s:c r="CQ63" s="233">
        <s:f>AT63</s:f>
        <s:v/>
      </s:c>
    </s:row>
    <s:row r="64">
      <s:c r="A64" s="211" t="n">
        <s:v>47</s:v>
      </s:c>
      <s:c r="B64" s="212" t="n">
        <s:v>45901</s:v>
      </s:c>
      <s:c r="C64" s="213" t="n">
        <s:v>45901</s:v>
      </s:c>
      <s:c r="D64" s="214" t="n">
        <s:v>3</s:v>
      </s:c>
      <s:c r="E64" s="215" t="n">
        <s:v>13</s:v>
      </s:c>
      <s:c r="F64" s="216" t="inlineStr">
        <s:is>
          <s:t>VI-236539-2025</s:t>
        </s:is>
      </s:c>
      <s:c r="G64" s="217" t="inlineStr">
        <s:is>
          <s:t>QA25418107</s:t>
        </s:is>
      </s:c>
      <s:c r="H64" s="218" t="n">
        <s:v>16</s:v>
      </s:c>
      <s:c r="I64" s="219" t="n">
        <s:v>0</s:v>
      </s:c>
      <s:c r="J64" s="220" t="n">
        <s:v>18.5</s:v>
      </s:c>
      <s:c r="K64" s="221" t="n">
        <s:v>7.51</s:v>
      </s:c>
      <s:c r="L64" s="221" t="n">
        <s:v>1.2</s:v>
      </s:c>
      <s:c r="M64" s="222" t="n">
        <s:v>426.41</s:v>
      </s:c>
      <s:c r="N64" s="222" t="n">
        <s:v>525.77</s:v>
      </s:c>
      <s:c r="O64" s="222" t="n">
        <s:v>100.51</s:v>
      </s:c>
      <s:c r="P64" s="223" t="inlineStr">
        <s:is>
          <s:t>2,30,340</s:t>
        </s:is>
      </s:c>
      <s:c r="Q64" s="224" t="inlineStr">
        <s:is>
          <s:t>2</s:t>
        </s:is>
      </s:c>
      <s:c r="R64" s="224" t="inlineStr">
        <s:is>
          <s:t>30,340</s:t>
        </s:is>
      </s:c>
      <s:c r="S64" s="224" t="n">
        <s:v>0.04176111111111111</s:v>
      </s:c>
      <s:c r="T64" s="225" t="n">
        <s:v>2406.784621524544</s:v>
      </s:c>
      <s:c r="U64" s="226" t="n">
        <s:v>-1.144164759725449</s:v>
      </s:c>
      <s:c r="V64" s="220" t="n">
        <s:v>18.4</s:v>
      </s:c>
      <s:c r="W64" s="221" t="n">
        <s:v>1.093</s:v>
      </s:c>
      <s:c r="X64" s="221" t="n">
        <s:v>1.081</s:v>
      </s:c>
      <s:c r="Y64" s="222" t="n">
        <s:v>537.97</s:v>
      </s:c>
      <s:c r="Z64" s="222" t="n">
        <s:v>542.98</s:v>
      </s:c>
      <s:c r="AA64" s="227" t="n">
        <s:v>5.011</s:v>
      </s:c>
      <s:c r="AB64" s="228" t="inlineStr">
        <s:is>
          <s:t>11,20,700</s:t>
        </s:is>
      </s:c>
      <s:c r="AC64" s="224" t="inlineStr">
        <s:is>
          <s:t>11</s:t>
        </s:is>
      </s:c>
      <s:c r="AD64" s="224" t="inlineStr">
        <s:is>
          <s:t>20,700</s:t>
        </s:is>
      </s:c>
      <s:c r="AE64" s="224" t="n">
        <s:v>0.1890833333333334</s:v>
      </s:c>
      <s:c r="AF64" s="225" t="n">
        <s:v>26.50154252974879</s:v>
      </s:c>
      <s:c r="AG64" s="229" t="n">
        <s:v>-0.01995609658769139</s:v>
      </s:c>
      <s:c r="AH64" s="220" t="n">
        <s:v>18.5</s:v>
      </s:c>
      <s:c r="AI64" s="221" t="n">
        <s:v>1.099</s:v>
      </s:c>
      <s:c r="AJ64" s="221" t="n">
        <s:v>1.087</s:v>
      </s:c>
      <s:c r="AK64" s="222" t="n">
        <s:v>542.98</s:v>
      </s:c>
      <s:c r="AL64" s="222" t="n">
        <s:v>544.99</s:v>
      </s:c>
      <s:c r="AM64" s="230" t="n">
        <s:v>2.006</s:v>
      </s:c>
      <s:c r="AN64" s="223" t="inlineStr">
        <s:is>
          <s:t>7,22,100</s:t>
        </s:is>
      </s:c>
      <s:c r="AO64" s="224" t="inlineStr">
        <s:is>
          <s:t>7,</s:t>
        </s:is>
      </s:c>
      <s:c r="AP64" s="224" t="inlineStr">
        <s:is>
          <s:t>22,100</s:t>
        </s:is>
      </s:c>
      <s:c r="AQ64" s="224" t="n">
        <s:v>0.1228055555555556</s:v>
      </s:c>
      <s:c r="AR64" s="225" t="n">
        <s:v>16.33476589007012</s:v>
      </s:c>
      <s:c r="AS64" s="229" t="n">
        <s:v>0.199401794615709</s:v>
      </s:c>
      <s:c r="AT64" s="231" t="inlineStr">
        <s:is>
          <s:t>CONFORME</s:t>
        </s:is>
      </s:c>
      <s:c r="AU64" s="232">
        <s:f>B64=C64</s:f>
        <s:v/>
      </s:c>
      <s:c r="AV64" s="233">
        <s:f>MID(G64,1,2)</s:f>
        <s:v/>
      </s:c>
      <s:c r="AW64" s="233">
        <s:f>LEN(G64)</s:f>
        <s:v/>
      </s:c>
      <s:c r="AX64" s="233" t="inlineStr">
        <s:is>
          <s:t>OI-0922-2025</s:t>
        </s:is>
      </s:c>
      <s:c r="AY64" s="233">
        <s:f>N64&lt;Y64</s:f>
        <s:v/>
      </s:c>
      <s:c r="AZ64" s="233">
        <s:f>Z64&lt;=AK64</s:f>
        <s:v/>
      </s:c>
      <s:c r="BA64" s="233">
        <s:f>L64&lt;K64</s:f>
        <s:v/>
      </s:c>
      <s:c r="BB64" s="233">
        <s:f>W64&gt;=X64</s:f>
        <s:v/>
      </s:c>
      <s:c r="BC64" s="233">
        <s:f>AI64&gt;=AJ64</s:f>
        <s:v/>
      </s:c>
      <s:c r="BD64" s="233">
        <s:f>IF(I64&gt;=1,"Qcorrecto",IF(AND(BE64="aceptable",BF64="aceptable",BG64="aceptable"),"Qcorrecto","Qincorrecto"))</s:f>
        <s:v/>
      </s:c>
      <s:c r="BE64" s="232">
        <s:f>IF(AR64&lt;$AH$6,"error",IF(AR64&gt;$AH$6*1.1,"error","aceptable"))</s:f>
        <s:v/>
      </s:c>
      <s:c r="BF64" s="232">
        <s:f>IF(AF64&lt;$V$6,"error",IF(AF64&gt;$V$6*1.1,"error","aceptable"))</s:f>
        <s:v/>
      </s:c>
      <s:c r="BG64" s="232">
        <s:f>IF(T64&lt;$J$6*0.9,"error",IF(T64&gt;$J$6,"error","aceptable"))</s:f>
        <s:v/>
      </s:c>
      <s:c r="BH64" s="234">
        <s:f>(IF(ABS(U64)&lt;1,"CONFORME",IF(ABS(AG64)&lt;1,"CONFORME",IF(ABS(AS64)&lt;2.5,"CONFORME","NO CONFORME"))))</s:f>
        <s:v/>
      </s:c>
      <s:c r="BI64" s="235">
        <s:f>(IF(ABS(U64)&gt;2.044,"NO CONFORME",IF(ABS(AG64)&gt;2.044,"NO CONFORME",IF(ABS(AS64)&gt;5.044,"NO CONFORME","CONFORME"))))</s:f>
        <s:v/>
      </s:c>
      <s:c r="BJ64" s="233">
        <s:f>SIGN(U64)</s:f>
        <s:v/>
      </s:c>
      <s:c r="BK64" s="233">
        <s:f>SIGN(AG64)</s:f>
        <s:v/>
      </s:c>
      <s:c r="BL64" s="233">
        <s:f>SIGN(AS64)</s:f>
        <s:v/>
      </s:c>
      <s:c r="BM64" s="233">
        <s:f>CONCATENATE(BJ64,BK64,BL64)</s:f>
        <s:v/>
      </s:c>
      <s:c r="BN64" s="233">
        <s:f>IF(BM64="111","SI","SD")</s:f>
        <s:v/>
      </s:c>
      <s:c r="BO64" s="233">
        <s:f>IF(BM64="-1-1-1","SI","SD")</s:f>
        <s:v/>
      </s:c>
      <s:c r="BP64" s="233">
        <s:f>OR(BN64="SI",BO64="SI")</s:f>
        <s:v/>
      </s:c>
      <s:c r="BQ64" s="233">
        <s:f>IF(BP64=FALSE,"SIGDIFERENTES","SIGIGUALES")</s:f>
        <s:v/>
      </s:c>
      <s:c r="BR64" s="236">
        <s:f>IF(BI64="NO CONFORME","NO CONFORME",IF(BH64="CONFORME","CONFORME","NO CONFORME"))</s:f>
        <s:v/>
      </s:c>
      <s:c r="BS64" s="233">
        <s:f>F64</s:f>
        <s:v/>
      </s:c>
      <s:c r="BT64" s="237">
        <s:f>G64</s:f>
        <s:v/>
      </s:c>
      <s:c r="BU64" s="233">
        <s:f>"20"&amp;+MID(G64,3,2)</s:f>
        <s:v/>
      </s:c>
      <s:c r="BV64" s="238">
        <s:f>C64</s:f>
        <s:v/>
      </s:c>
      <s:c r="BW64" s="233">
        <s:f>AT64</s:f>
        <s:v/>
      </s:c>
      <s:c r="BX64" s="238">
        <s:f>B64</s:f>
        <s:v/>
      </s:c>
      <s:c r="BY64" s="239">
        <s:f>H64</s:f>
        <s:v/>
      </s:c>
      <s:c r="BZ64" s="233">
        <s:f>IF(I64=0,"CONFORME","NO CONFORME")</s:f>
        <s:v/>
      </s:c>
      <s:c r="CA64" s="238">
        <s:f>C64</s:f>
        <s:v/>
      </s:c>
      <s:c r="CB64" s="240">
        <s:f>AH64</s:f>
        <s:v/>
      </s:c>
      <s:c r="CC64" s="241">
        <s:f>AR64</s:f>
        <s:v/>
      </s:c>
      <s:c r="CD64" s="240">
        <s:f>AI64</s:f>
        <s:v/>
      </s:c>
      <s:c r="CE64" s="240">
        <s:f>AJ64</s:f>
        <s:v/>
      </s:c>
      <s:c r="CF64" s="240">
        <s:f>AS64</s:f>
        <s:v/>
      </s:c>
      <s:c r="CG64" s="240">
        <s:f>V64</s:f>
        <s:v/>
      </s:c>
      <s:c r="CH64" s="241">
        <s:f>AF64</s:f>
        <s:v/>
      </s:c>
      <s:c r="CI64" s="240">
        <s:f>W64</s:f>
        <s:v/>
      </s:c>
      <s:c r="CJ64" s="240">
        <s:f>X64</s:f>
        <s:v/>
      </s:c>
      <s:c r="CK64" s="240">
        <s:f>AG64</s:f>
        <s:v/>
      </s:c>
      <s:c r="CL64" s="240">
        <s:f>J64</s:f>
        <s:v/>
      </s:c>
      <s:c r="CM64" s="241">
        <s:f>T64</s:f>
        <s:v/>
      </s:c>
      <s:c r="CN64" s="240">
        <s:f>K64</s:f>
        <s:v/>
      </s:c>
      <s:c r="CO64" s="240">
        <s:f>L64</s:f>
        <s:v/>
      </s:c>
      <s:c r="CP64" s="242">
        <s:f>U64</s:f>
        <s:v/>
      </s:c>
      <s:c r="CQ64" s="233">
        <s:f>AT64</s:f>
        <s:v/>
      </s:c>
    </s:row>
    <s:row r="65">
      <s:c r="A65" s="211" t="n">
        <s:v>48</s:v>
      </s:c>
      <s:c r="B65" s="212" t="n">
        <s:v>45901</s:v>
      </s:c>
      <s:c r="C65" s="213" t="n">
        <s:v>45901</s:v>
      </s:c>
      <s:c r="D65" s="214" t="n">
        <s:v>3</s:v>
      </s:c>
      <s:c r="E65" s="215" t="n">
        <s:v>13</s:v>
      </s:c>
      <s:c r="F65" s="216" t="inlineStr">
        <s:is>
          <s:t>VI-236540-2025</s:t>
        </s:is>
      </s:c>
      <s:c r="G65" s="217" t="inlineStr">
        <s:is>
          <s:t>QA25418020</s:t>
        </s:is>
      </s:c>
      <s:c r="H65" s="218" t="n">
        <s:v>16</s:v>
      </s:c>
      <s:c r="I65" s="219" t="n">
        <s:v>0</s:v>
      </s:c>
      <s:c r="J65" s="220" t="n">
        <s:v>18.5</s:v>
      </s:c>
      <s:c r="K65" s="221" t="n">
        <s:v>7.51</s:v>
      </s:c>
      <s:c r="L65" s="221" t="n">
        <s:v>1.2</s:v>
      </s:c>
      <s:c r="M65" s="222" t="n">
        <s:v>283.38</s:v>
      </s:c>
      <s:c r="N65" s="222" t="n">
        <s:v>383.9</s:v>
      </s:c>
      <s:c r="O65" s="222" t="n">
        <s:v>100.51</s:v>
      </s:c>
      <s:c r="P65" s="223" t="inlineStr">
        <s:is>
          <s:t>2,30,340</s:t>
        </s:is>
      </s:c>
      <s:c r="Q65" s="224" t="inlineStr">
        <s:is>
          <s:t>2</s:t>
        </s:is>
      </s:c>
      <s:c r="R65" s="224" t="inlineStr">
        <s:is>
          <s:t>30,340</s:t>
        </s:is>
      </s:c>
      <s:c r="S65" s="224" t="n">
        <s:v>0.04176111111111111</s:v>
      </s:c>
      <s:c r="T65" s="225" t="n">
        <s:v>2406.784621524544</s:v>
      </s:c>
      <s:c r="U65" s="226" t="n">
        <s:v>0.009949258780197685</s:v>
      </s:c>
      <s:c r="V65" s="220" t="n">
        <s:v>18.4</s:v>
      </s:c>
      <s:c r="W65" s="221" t="n">
        <s:v>1.093</s:v>
      </s:c>
      <s:c r="X65" s="221" t="n">
        <s:v>1.081</s:v>
      </s:c>
      <s:c r="Y65" s="222" t="n">
        <s:v>396.29</s:v>
      </s:c>
      <s:c r="Z65" s="222" t="n">
        <s:v>401.27</s:v>
      </s:c>
      <s:c r="AA65" s="227" t="n">
        <s:v>5.011</s:v>
      </s:c>
      <s:c r="AB65" s="228" t="inlineStr">
        <s:is>
          <s:t>11,20,700</s:t>
        </s:is>
      </s:c>
      <s:c r="AC65" s="224" t="inlineStr">
        <s:is>
          <s:t>11</s:t>
        </s:is>
      </s:c>
      <s:c r="AD65" s="224" t="inlineStr">
        <s:is>
          <s:t>20,700</s:t>
        </s:is>
      </s:c>
      <s:c r="AE65" s="224" t="n">
        <s:v>0.1890833333333334</s:v>
      </s:c>
      <s:c r="AF65" s="225" t="n">
        <s:v>26.50154252974879</s:v>
      </s:c>
      <s:c r="AG65" s="229" t="n">
        <s:v>-0.6186389942135058</s:v>
      </s:c>
      <s:c r="AH65" s="220" t="n">
        <s:v>18.5</s:v>
      </s:c>
      <s:c r="AI65" s="221" t="n">
        <s:v>1.099</s:v>
      </s:c>
      <s:c r="AJ65" s="221" t="n">
        <s:v>1.087</s:v>
      </s:c>
      <s:c r="AK65" s="222" t="n">
        <s:v>401.27</s:v>
      </s:c>
      <s:c r="AL65" s="222" t="n">
        <s:v>403.23</s:v>
      </s:c>
      <s:c r="AM65" s="230" t="n">
        <s:v>2.006</s:v>
      </s:c>
      <s:c r="AN65" s="223" t="inlineStr">
        <s:is>
          <s:t>7,22,100</s:t>
        </s:is>
      </s:c>
      <s:c r="AO65" s="224" t="inlineStr">
        <s:is>
          <s:t>7,</s:t>
        </s:is>
      </s:c>
      <s:c r="AP65" s="224" t="inlineStr">
        <s:is>
          <s:t>22,100</s:t>
        </s:is>
      </s:c>
      <s:c r="AQ65" s="224" t="n">
        <s:v>0.1228055555555556</s:v>
      </s:c>
      <s:c r="AR65" s="225" t="n">
        <s:v>16.33476589007012</s:v>
      </s:c>
      <s:c r="AS65" s="229" t="n">
        <s:v>-2.293120638083919</s:v>
      </s:c>
      <s:c r="AT65" s="231" t="inlineStr">
        <s:is>
          <s:t>CONFORME</s:t>
        </s:is>
      </s:c>
      <s:c r="AU65" s="232">
        <s:f>B65=C65</s:f>
        <s:v/>
      </s:c>
      <s:c r="AV65" s="233">
        <s:f>MID(G65,1,2)</s:f>
        <s:v/>
      </s:c>
      <s:c r="AW65" s="233">
        <s:f>LEN(G65)</s:f>
        <s:v/>
      </s:c>
      <s:c r="AX65" s="233" t="inlineStr">
        <s:is>
          <s:t>OI-0922-2025</s:t>
        </s:is>
      </s:c>
      <s:c r="AY65" s="233">
        <s:f>N65&lt;Y65</s:f>
        <s:v/>
      </s:c>
      <s:c r="AZ65" s="233">
        <s:f>Z65&lt;=AK65</s:f>
        <s:v/>
      </s:c>
      <s:c r="BA65" s="233">
        <s:f>L65&lt;K65</s:f>
        <s:v/>
      </s:c>
      <s:c r="BB65" s="233">
        <s:f>W65&gt;=X65</s:f>
        <s:v/>
      </s:c>
      <s:c r="BC65" s="233">
        <s:f>AI65&gt;=AJ65</s:f>
        <s:v/>
      </s:c>
      <s:c r="BD65" s="233">
        <s:f>IF(I65&gt;=1,"Qcorrecto",IF(AND(BE65="aceptable",BF65="aceptable",BG65="aceptable"),"Qcorrecto","Qincorrecto"))</s:f>
        <s:v/>
      </s:c>
      <s:c r="BE65" s="232">
        <s:f>IF(AR65&lt;$AH$6,"error",IF(AR65&gt;$AH$6*1.1,"error","aceptable"))</s:f>
        <s:v/>
      </s:c>
      <s:c r="BF65" s="232">
        <s:f>IF(AF65&lt;$V$6,"error",IF(AF65&gt;$V$6*1.1,"error","aceptable"))</s:f>
        <s:v/>
      </s:c>
      <s:c r="BG65" s="232">
        <s:f>IF(T65&lt;$J$6*0.9,"error",IF(T65&gt;$J$6,"error","aceptable"))</s:f>
        <s:v/>
      </s:c>
      <s:c r="BH65" s="234">
        <s:f>(IF(ABS(U65)&lt;1,"CONFORME",IF(ABS(AG65)&lt;1,"CONFORME",IF(ABS(AS65)&lt;2.5,"CONFORME","NO CONFORME"))))</s:f>
        <s:v/>
      </s:c>
      <s:c r="BI65" s="235">
        <s:f>(IF(ABS(U65)&gt;2.044,"NO CONFORME",IF(ABS(AG65)&gt;2.044,"NO CONFORME",IF(ABS(AS65)&gt;5.044,"NO CONFORME","CONFORME"))))</s:f>
        <s:v/>
      </s:c>
      <s:c r="BJ65" s="233">
        <s:f>SIGN(U65)</s:f>
        <s:v/>
      </s:c>
      <s:c r="BK65" s="233">
        <s:f>SIGN(AG65)</s:f>
        <s:v/>
      </s:c>
      <s:c r="BL65" s="233">
        <s:f>SIGN(AS65)</s:f>
        <s:v/>
      </s:c>
      <s:c r="BM65" s="233">
        <s:f>CONCATENATE(BJ65,BK65,BL65)</s:f>
        <s:v/>
      </s:c>
      <s:c r="BN65" s="233">
        <s:f>IF(BM65="111","SI","SD")</s:f>
        <s:v/>
      </s:c>
      <s:c r="BO65" s="233">
        <s:f>IF(BM65="-1-1-1","SI","SD")</s:f>
        <s:v/>
      </s:c>
      <s:c r="BP65" s="233">
        <s:f>OR(BN65="SI",BO65="SI")</s:f>
        <s:v/>
      </s:c>
      <s:c r="BQ65" s="233">
        <s:f>IF(BP65=FALSE,"SIGDIFERENTES","SIGIGUALES")</s:f>
        <s:v/>
      </s:c>
      <s:c r="BR65" s="236">
        <s:f>IF(BI65="NO CONFORME","NO CONFORME",IF(BH65="CONFORME","CONFORME","NO CONFORME"))</s:f>
        <s:v/>
      </s:c>
      <s:c r="BS65" s="233">
        <s:f>F65</s:f>
        <s:v/>
      </s:c>
      <s:c r="BT65" s="237">
        <s:f>G65</s:f>
        <s:v/>
      </s:c>
      <s:c r="BU65" s="233">
        <s:f>"20"&amp;+MID(G65,3,2)</s:f>
        <s:v/>
      </s:c>
      <s:c r="BV65" s="238">
        <s:f>C65</s:f>
        <s:v/>
      </s:c>
      <s:c r="BW65" s="233">
        <s:f>AT65</s:f>
        <s:v/>
      </s:c>
      <s:c r="BX65" s="238">
        <s:f>B65</s:f>
        <s:v/>
      </s:c>
      <s:c r="BY65" s="239">
        <s:f>H65</s:f>
        <s:v/>
      </s:c>
      <s:c r="BZ65" s="233">
        <s:f>IF(I65=0,"CONFORME","NO CONFORME")</s:f>
        <s:v/>
      </s:c>
      <s:c r="CA65" s="238">
        <s:f>C65</s:f>
        <s:v/>
      </s:c>
      <s:c r="CB65" s="240">
        <s:f>AH65</s:f>
        <s:v/>
      </s:c>
      <s:c r="CC65" s="241">
        <s:f>AR65</s:f>
        <s:v/>
      </s:c>
      <s:c r="CD65" s="240">
        <s:f>AI65</s:f>
        <s:v/>
      </s:c>
      <s:c r="CE65" s="240">
        <s:f>AJ65</s:f>
        <s:v/>
      </s:c>
      <s:c r="CF65" s="240">
        <s:f>AS65</s:f>
        <s:v/>
      </s:c>
      <s:c r="CG65" s="240">
        <s:f>V65</s:f>
        <s:v/>
      </s:c>
      <s:c r="CH65" s="241">
        <s:f>AF65</s:f>
        <s:v/>
      </s:c>
      <s:c r="CI65" s="240">
        <s:f>W65</s:f>
        <s:v/>
      </s:c>
      <s:c r="CJ65" s="240">
        <s:f>X65</s:f>
        <s:v/>
      </s:c>
      <s:c r="CK65" s="240">
        <s:f>AG65</s:f>
        <s:v/>
      </s:c>
      <s:c r="CL65" s="240">
        <s:f>J65</s:f>
        <s:v/>
      </s:c>
      <s:c r="CM65" s="241">
        <s:f>T65</s:f>
        <s:v/>
      </s:c>
      <s:c r="CN65" s="240">
        <s:f>K65</s:f>
        <s:v/>
      </s:c>
      <s:c r="CO65" s="240">
        <s:f>L65</s:f>
        <s:v/>
      </s:c>
      <s:c r="CP65" s="242">
        <s:f>U65</s:f>
        <s:v/>
      </s:c>
      <s:c r="CQ65" s="233">
        <s:f>AT65</s:f>
        <s:v/>
      </s:c>
    </s:row>
    <s:row r="66">
      <s:c r="A66" s="211" t="n">
        <s:v>49</s:v>
      </s:c>
      <s:c r="B66" s="212" t="n">
        <s:v>45901</s:v>
      </s:c>
      <s:c r="C66" s="213" t="n">
        <s:v>45901</s:v>
      </s:c>
      <s:c r="D66" s="214" t="n">
        <s:v>3</s:v>
      </s:c>
      <s:c r="E66" s="215" t="n">
        <s:v>13</s:v>
      </s:c>
      <s:c r="F66" s="216" t="inlineStr">
        <s:is>
          <s:t>VI-236541-2025</s:t>
        </s:is>
      </s:c>
      <s:c r="G66" s="217" t="inlineStr">
        <s:is>
          <s:t>QA25417647</s:t>
        </s:is>
      </s:c>
      <s:c r="H66" s="218" t="n">
        <s:v>16</s:v>
      </s:c>
      <s:c r="I66" s="219" t="n">
        <s:v>0</s:v>
      </s:c>
      <s:c r="J66" s="220" t="n">
        <s:v>18.6</s:v>
      </s:c>
      <s:c r="K66" s="221" t="n">
        <s:v>7.504</s:v>
      </s:c>
      <s:c r="L66" s="221" t="n">
        <s:v>1.251</s:v>
      </s:c>
      <s:c r="M66" s="222" t="n">
        <s:v>283.36</s:v>
      </s:c>
      <s:c r="N66" s="222" t="n">
        <s:v>382.19</s:v>
      </s:c>
      <s:c r="O66" s="222" t="n">
        <s:v>100.51</s:v>
      </s:c>
      <s:c r="P66" s="223" t="inlineStr">
        <s:is>
          <s:t>2,30,810</s:t>
        </s:is>
      </s:c>
      <s:c r="Q66" s="224" t="inlineStr">
        <s:is>
          <s:t>2</s:t>
        </s:is>
      </s:c>
      <s:c r="R66" s="224" t="inlineStr">
        <s:is>
          <s:t>30,810</s:t>
        </s:is>
      </s:c>
      <s:c r="S66" s="224" t="n">
        <s:v>0.04189166666666667</s:v>
      </s:c>
      <s:c r="T66" s="225" t="n">
        <s:v>2399.283867117565</s:v>
      </s:c>
      <s:c r="U66" s="226" t="n">
        <s:v>-1.671475475077128</s:v>
      </s:c>
      <s:c r="V66" s="220" t="n">
        <s:v>18.5</s:v>
      </s:c>
      <s:c r="W66" s="221" t="n">
        <s:v>1.09</s:v>
      </s:c>
      <s:c r="X66" s="221" t="n">
        <s:v>1.081</s:v>
      </s:c>
      <s:c r="Y66" s="222" t="n">
        <s:v>393.52</s:v>
      </s:c>
      <s:c r="Z66" s="222" t="n">
        <s:v>398.51</s:v>
      </s:c>
      <s:c r="AA66" s="227" t="n">
        <s:v>5.011</s:v>
      </s:c>
      <s:c r="AB66" s="228" t="inlineStr">
        <s:is>
          <s:t>11,25,130</s:t>
        </s:is>
      </s:c>
      <s:c r="AC66" s="224" t="inlineStr">
        <s:is>
          <s:t>11</s:t>
        </s:is>
      </s:c>
      <s:c r="AD66" s="224" t="inlineStr">
        <s:is>
          <s:t>25,130</s:t>
        </s:is>
      </s:c>
      <s:c r="AE66" s="224" t="n">
        <s:v>0.1903138888888889</s:v>
      </s:c>
      <s:c r="AF66" s="225" t="n">
        <s:v>26.33018551223855</s:v>
      </s:c>
      <s:c r="AG66" s="229" t="n">
        <s:v>-0.4190780283374781</s:v>
      </s:c>
      <s:c r="AH66" s="220" t="n">
        <s:v>18.6</s:v>
      </s:c>
      <s:c r="AI66" s="221" t="n">
        <s:v>1.093</s:v>
      </s:c>
      <s:c r="AJ66" s="221" t="n">
        <s:v>1.082</s:v>
      </s:c>
      <s:c r="AK66" s="222" t="n">
        <s:v>398.51</s:v>
      </s:c>
      <s:c r="AL66" s="222" t="n">
        <s:v>400.49</s:v>
      </s:c>
      <s:c r="AM66" s="230" t="n">
        <s:v>2.006</s:v>
      </s:c>
      <s:c r="AN66" s="223" t="inlineStr">
        <s:is>
          <s:t>7,24,160</s:t>
        </s:is>
      </s:c>
      <s:c r="AO66" s="224" t="inlineStr">
        <s:is>
          <s:t>7,</s:t>
        </s:is>
      </s:c>
      <s:c r="AP66" s="224" t="inlineStr">
        <s:is>
          <s:t>24,160</s:t>
        </s:is>
      </s:c>
      <s:c r="AQ66" s="224" t="n">
        <s:v>0.1233777777777778</s:v>
      </s:c>
      <s:c r="AR66" s="225" t="n">
        <s:v>16.25900576368876</s:v>
      </s:c>
      <s:c r="AS66" s="229" t="n">
        <s:v>-1.296111665004068</s:v>
      </s:c>
      <s:c r="AT66" s="231" t="inlineStr">
        <s:is>
          <s:t>CONFORME</s:t>
        </s:is>
      </s:c>
      <s:c r="AU66" s="232">
        <s:f>B66=C66</s:f>
        <s:v/>
      </s:c>
      <s:c r="AV66" s="233">
        <s:f>MID(G66,1,2)</s:f>
        <s:v/>
      </s:c>
      <s:c r="AW66" s="233">
        <s:f>LEN(G66)</s:f>
        <s:v/>
      </s:c>
      <s:c r="AX66" s="233" t="inlineStr">
        <s:is>
          <s:t>OI-0922-2025</s:t>
        </s:is>
      </s:c>
      <s:c r="AY66" s="233">
        <s:f>N66&lt;Y66</s:f>
        <s:v/>
      </s:c>
      <s:c r="AZ66" s="233">
        <s:f>Z66&lt;=AK66</s:f>
        <s:v/>
      </s:c>
      <s:c r="BA66" s="233">
        <s:f>L66&lt;K66</s:f>
        <s:v/>
      </s:c>
      <s:c r="BB66" s="233">
        <s:f>W66&gt;=X66</s:f>
        <s:v/>
      </s:c>
      <s:c r="BC66" s="233">
        <s:f>AI66&gt;=AJ66</s:f>
        <s:v/>
      </s:c>
      <s:c r="BD66" s="233">
        <s:f>IF(I66&gt;=1,"Qcorrecto",IF(AND(BE66="aceptable",BF66="aceptable",BG66="aceptable"),"Qcorrecto","Qincorrecto"))</s:f>
        <s:v/>
      </s:c>
      <s:c r="BE66" s="232">
        <s:f>IF(AR66&lt;$AH$6,"error",IF(AR66&gt;$AH$6*1.1,"error","aceptable"))</s:f>
        <s:v/>
      </s:c>
      <s:c r="BF66" s="232">
        <s:f>IF(AF66&lt;$V$6,"error",IF(AF66&gt;$V$6*1.1,"error","aceptable"))</s:f>
        <s:v/>
      </s:c>
      <s:c r="BG66" s="232">
        <s:f>IF(T66&lt;$J$6*0.9,"error",IF(T66&gt;$J$6,"error","aceptable"))</s:f>
        <s:v/>
      </s:c>
      <s:c r="BH66" s="234">
        <s:f>(IF(ABS(U66)&lt;1,"CONFORME",IF(ABS(AG66)&lt;1,"CONFORME",IF(ABS(AS66)&lt;2.5,"CONFORME","NO CONFORME"))))</s:f>
        <s:v/>
      </s:c>
      <s:c r="BI66" s="235">
        <s:f>(IF(ABS(U66)&gt;2.044,"NO CONFORME",IF(ABS(AG66)&gt;2.044,"NO CONFORME",IF(ABS(AS66)&gt;5.044,"NO CONFORME","CONFORME"))))</s:f>
        <s:v/>
      </s:c>
      <s:c r="BJ66" s="233">
        <s:f>SIGN(U66)</s:f>
        <s:v/>
      </s:c>
      <s:c r="BK66" s="233">
        <s:f>SIGN(AG66)</s:f>
        <s:v/>
      </s:c>
      <s:c r="BL66" s="233">
        <s:f>SIGN(AS66)</s:f>
        <s:v/>
      </s:c>
      <s:c r="BM66" s="233">
        <s:f>CONCATENATE(BJ66,BK66,BL66)</s:f>
        <s:v/>
      </s:c>
      <s:c r="BN66" s="233">
        <s:f>IF(BM66="111","SI","SD")</s:f>
        <s:v/>
      </s:c>
      <s:c r="BO66" s="233">
        <s:f>IF(BM66="-1-1-1","SI","SD")</s:f>
        <s:v/>
      </s:c>
      <s:c r="BP66" s="233">
        <s:f>OR(BN66="SI",BO66="SI")</s:f>
        <s:v/>
      </s:c>
      <s:c r="BQ66" s="233">
        <s:f>IF(BP66=FALSE,"SIGDIFERENTES","SIGIGUALES")</s:f>
        <s:v/>
      </s:c>
      <s:c r="BR66" s="236">
        <s:f>IF(BI66="NO CONFORME","NO CONFORME",IF(BH66="CONFORME","CONFORME","NO CONFORME"))</s:f>
        <s:v/>
      </s:c>
      <s:c r="BS66" s="233">
        <s:f>F66</s:f>
        <s:v/>
      </s:c>
      <s:c r="BT66" s="237">
        <s:f>G66</s:f>
        <s:v/>
      </s:c>
      <s:c r="BU66" s="233">
        <s:f>"20"&amp;+MID(G66,3,2)</s:f>
        <s:v/>
      </s:c>
      <s:c r="BV66" s="238">
        <s:f>C66</s:f>
        <s:v/>
      </s:c>
      <s:c r="BW66" s="233">
        <s:f>AT66</s:f>
        <s:v/>
      </s:c>
      <s:c r="BX66" s="238">
        <s:f>B66</s:f>
        <s:v/>
      </s:c>
      <s:c r="BY66" s="239">
        <s:f>H66</s:f>
        <s:v/>
      </s:c>
      <s:c r="BZ66" s="233">
        <s:f>IF(I66=0,"CONFORME","NO CONFORME")</s:f>
        <s:v/>
      </s:c>
      <s:c r="CA66" s="238">
        <s:f>C66</s:f>
        <s:v/>
      </s:c>
      <s:c r="CB66" s="240">
        <s:f>AH66</s:f>
        <s:v/>
      </s:c>
      <s:c r="CC66" s="241">
        <s:f>AR66</s:f>
        <s:v/>
      </s:c>
      <s:c r="CD66" s="240">
        <s:f>AI66</s:f>
        <s:v/>
      </s:c>
      <s:c r="CE66" s="240">
        <s:f>AJ66</s:f>
        <s:v/>
      </s:c>
      <s:c r="CF66" s="240">
        <s:f>AS66</s:f>
        <s:v/>
      </s:c>
      <s:c r="CG66" s="240">
        <s:f>V66</s:f>
        <s:v/>
      </s:c>
      <s:c r="CH66" s="241">
        <s:f>AF66</s:f>
        <s:v/>
      </s:c>
      <s:c r="CI66" s="240">
        <s:f>W66</s:f>
        <s:v/>
      </s:c>
      <s:c r="CJ66" s="240">
        <s:f>X66</s:f>
        <s:v/>
      </s:c>
      <s:c r="CK66" s="240">
        <s:f>AG66</s:f>
        <s:v/>
      </s:c>
      <s:c r="CL66" s="240">
        <s:f>J66</s:f>
        <s:v/>
      </s:c>
      <s:c r="CM66" s="241">
        <s:f>T66</s:f>
        <s:v/>
      </s:c>
      <s:c r="CN66" s="240">
        <s:f>K66</s:f>
        <s:v/>
      </s:c>
      <s:c r="CO66" s="240">
        <s:f>L66</s:f>
        <s:v/>
      </s:c>
      <s:c r="CP66" s="242">
        <s:f>U66</s:f>
        <s:v/>
      </s:c>
      <s:c r="CQ66" s="233">
        <s:f>AT66</s:f>
        <s:v/>
      </s:c>
    </s:row>
    <s:row r="67">
      <s:c r="A67" s="211" t="n">
        <s:v>50</s:v>
      </s:c>
      <s:c r="B67" s="212" t="n">
        <s:v>45901</s:v>
      </s:c>
      <s:c r="C67" s="213" t="n">
        <s:v>45901</s:v>
      </s:c>
      <s:c r="D67" s="214" t="n">
        <s:v>3</s:v>
      </s:c>
      <s:c r="E67" s="215" t="n">
        <s:v>13</s:v>
      </s:c>
      <s:c r="F67" s="216" t="inlineStr">
        <s:is>
          <s:t>VI-236542-2025</s:t>
        </s:is>
      </s:c>
      <s:c r="G67" s="217" t="inlineStr">
        <s:is>
          <s:t>QA25417588</s:t>
        </s:is>
      </s:c>
      <s:c r="H67" s="218" t="n">
        <s:v>16</s:v>
      </s:c>
      <s:c r="I67" s="219" t="n">
        <s:v>0</s:v>
      </s:c>
      <s:c r="J67" s="220" t="n">
        <s:v>18.6</s:v>
      </s:c>
      <s:c r="K67" s="221" t="n">
        <s:v>7.504</s:v>
      </s:c>
      <s:c r="L67" s="221" t="n">
        <s:v>1.251</s:v>
      </s:c>
      <s:c r="M67" s="222" t="n">
        <s:v>386.14</s:v>
      </s:c>
      <s:c r="N67" s="222" t="n">
        <s:v>486.55</s:v>
      </s:c>
      <s:c r="O67" s="222" t="n">
        <s:v>100.51</s:v>
      </s:c>
      <s:c r="P67" s="223" t="inlineStr">
        <s:is>
          <s:t>2,30,810</s:t>
        </s:is>
      </s:c>
      <s:c r="Q67" s="224" t="inlineStr">
        <s:is>
          <s:t>2</s:t>
        </s:is>
      </s:c>
      <s:c r="R67" s="224" t="inlineStr">
        <s:is>
          <s:t>30,810</s:t>
        </s:is>
      </s:c>
      <s:c r="S67" s="224" t="n">
        <s:v>0.04189166666666667</s:v>
      </s:c>
      <s:c r="T67" s="225" t="n">
        <s:v>2399.283867117565</s:v>
      </s:c>
      <s:c r="U67" s="226" t="n">
        <s:v>-0.09949258780218893</s:v>
      </s:c>
      <s:c r="V67" s="220" t="n">
        <s:v>18.5</s:v>
      </s:c>
      <s:c r="W67" s="221" t="n">
        <s:v>1.09</s:v>
      </s:c>
      <s:c r="X67" s="221" t="n">
        <s:v>1.081</s:v>
      </s:c>
      <s:c r="Y67" s="222" t="n">
        <s:v>498.07</s:v>
      </s:c>
      <s:c r="Z67" s="222" t="n">
        <s:v>503.13</s:v>
      </s:c>
      <s:c r="AA67" s="227" t="n">
        <s:v>5.011</s:v>
      </s:c>
      <s:c r="AB67" s="228" t="inlineStr">
        <s:is>
          <s:t>11,25,130</s:t>
        </s:is>
      </s:c>
      <s:c r="AC67" s="224" t="inlineStr">
        <s:is>
          <s:t>11</s:t>
        </s:is>
      </s:c>
      <s:c r="AD67" s="224" t="inlineStr">
        <s:is>
          <s:t>25,130</s:t>
        </s:is>
      </s:c>
      <s:c r="AE67" s="224" t="n">
        <s:v>0.1903138888888889</s:v>
      </s:c>
      <s:c r="AF67" s="225" t="n">
        <s:v>26.33018551223855</s:v>
      </s:c>
      <s:c r="AG67" s="229" t="n">
        <s:v>0.9778487327879096</s:v>
      </s:c>
      <s:c r="AH67" s="220" t="n">
        <s:v>18.6</s:v>
      </s:c>
      <s:c r="AI67" s="221" t="n">
        <s:v>1.093</s:v>
      </s:c>
      <s:c r="AJ67" s="221" t="n">
        <s:v>1.082</s:v>
      </s:c>
      <s:c r="AK67" s="222" t="n">
        <s:v>503.13</s:v>
      </s:c>
      <s:c r="AL67" s="222" t="n">
        <s:v>505.15</s:v>
      </s:c>
      <s:c r="AM67" s="230" t="n">
        <s:v>2.006</s:v>
      </s:c>
      <s:c r="AN67" s="223" t="inlineStr">
        <s:is>
          <s:t>7,24,160</s:t>
        </s:is>
      </s:c>
      <s:c r="AO67" s="224" t="inlineStr">
        <s:is>
          <s:t>7,</s:t>
        </s:is>
      </s:c>
      <s:c r="AP67" s="224" t="inlineStr">
        <s:is>
          <s:t>24,160</s:t>
        </s:is>
      </s:c>
      <s:c r="AQ67" s="224" t="n">
        <s:v>0.1233777777777778</s:v>
      </s:c>
      <s:c r="AR67" s="225" t="n">
        <s:v>16.25900576368876</s:v>
      </s:c>
      <s:c r="AS67" s="229" t="n">
        <s:v>0.6979062811556345</s:v>
      </s:c>
      <s:c r="AT67" s="231" t="inlineStr">
        <s:is>
          <s:t>CONFORME</s:t>
        </s:is>
      </s:c>
      <s:c r="AU67" s="232">
        <s:f>B67=C67</s:f>
        <s:v/>
      </s:c>
      <s:c r="AV67" s="233">
        <s:f>MID(G67,1,2)</s:f>
        <s:v/>
      </s:c>
      <s:c r="AW67" s="233">
        <s:f>LEN(G67)</s:f>
        <s:v/>
      </s:c>
      <s:c r="AX67" s="233" t="inlineStr">
        <s:is>
          <s:t>OI-0922-2025</s:t>
        </s:is>
      </s:c>
      <s:c r="AY67" s="233">
        <s:f>N67&lt;Y67</s:f>
        <s:v/>
      </s:c>
      <s:c r="AZ67" s="233">
        <s:f>Z67&lt;=AK67</s:f>
        <s:v/>
      </s:c>
      <s:c r="BA67" s="233">
        <s:f>L67&lt;K67</s:f>
        <s:v/>
      </s:c>
      <s:c r="BB67" s="233">
        <s:f>W67&gt;=X67</s:f>
        <s:v/>
      </s:c>
      <s:c r="BC67" s="233">
        <s:f>AI67&gt;=AJ67</s:f>
        <s:v/>
      </s:c>
      <s:c r="BD67" s="233">
        <s:f>IF(I67&gt;=1,"Qcorrecto",IF(AND(BE67="aceptable",BF67="aceptable",BG67="aceptable"),"Qcorrecto","Qincorrecto"))</s:f>
        <s:v/>
      </s:c>
      <s:c r="BE67" s="232">
        <s:f>IF(AR67&lt;$AH$6,"error",IF(AR67&gt;$AH$6*1.1,"error","aceptable"))</s:f>
        <s:v/>
      </s:c>
      <s:c r="BF67" s="232">
        <s:f>IF(AF67&lt;$V$6,"error",IF(AF67&gt;$V$6*1.1,"error","aceptable"))</s:f>
        <s:v/>
      </s:c>
      <s:c r="BG67" s="232">
        <s:f>IF(T67&lt;$J$6*0.9,"error",IF(T67&gt;$J$6,"error","aceptable"))</s:f>
        <s:v/>
      </s:c>
      <s:c r="BH67" s="234">
        <s:f>(IF(ABS(U67)&lt;1,"CONFORME",IF(ABS(AG67)&lt;1,"CONFORME",IF(ABS(AS67)&lt;2.5,"CONFORME","NO CONFORME"))))</s:f>
        <s:v/>
      </s:c>
      <s:c r="BI67" s="235">
        <s:f>(IF(ABS(U67)&gt;2.044,"NO CONFORME",IF(ABS(AG67)&gt;2.044,"NO CONFORME",IF(ABS(AS67)&gt;5.044,"NO CONFORME","CONFORME"))))</s:f>
        <s:v/>
      </s:c>
      <s:c r="BJ67" s="233">
        <s:f>SIGN(U67)</s:f>
        <s:v/>
      </s:c>
      <s:c r="BK67" s="233">
        <s:f>SIGN(AG67)</s:f>
        <s:v/>
      </s:c>
      <s:c r="BL67" s="233">
        <s:f>SIGN(AS67)</s:f>
        <s:v/>
      </s:c>
      <s:c r="BM67" s="233">
        <s:f>CONCATENATE(BJ67,BK67,BL67)</s:f>
        <s:v/>
      </s:c>
      <s:c r="BN67" s="233">
        <s:f>IF(BM67="111","SI","SD")</s:f>
        <s:v/>
      </s:c>
      <s:c r="BO67" s="233">
        <s:f>IF(BM67="-1-1-1","SI","SD")</s:f>
        <s:v/>
      </s:c>
      <s:c r="BP67" s="233">
        <s:f>OR(BN67="SI",BO67="SI")</s:f>
        <s:v/>
      </s:c>
      <s:c r="BQ67" s="233">
        <s:f>IF(BP67=FALSE,"SIGDIFERENTES","SIGIGUALES")</s:f>
        <s:v/>
      </s:c>
      <s:c r="BR67" s="236">
        <s:f>IF(BI67="NO CONFORME","NO CONFORME",IF(BH67="CONFORME","CONFORME","NO CONFORME"))</s:f>
        <s:v/>
      </s:c>
      <s:c r="BS67" s="233">
        <s:f>F67</s:f>
        <s:v/>
      </s:c>
      <s:c r="BT67" s="237">
        <s:f>G67</s:f>
        <s:v/>
      </s:c>
      <s:c r="BU67" s="233">
        <s:f>"20"&amp;+MID(G67,3,2)</s:f>
        <s:v/>
      </s:c>
      <s:c r="BV67" s="238">
        <s:f>C67</s:f>
        <s:v/>
      </s:c>
      <s:c r="BW67" s="233">
        <s:f>AT67</s:f>
        <s:v/>
      </s:c>
      <s:c r="BX67" s="238">
        <s:f>B67</s:f>
        <s:v/>
      </s:c>
      <s:c r="BY67" s="239">
        <s:f>H67</s:f>
        <s:v/>
      </s:c>
      <s:c r="BZ67" s="233">
        <s:f>IF(I67=0,"CONFORME","NO CONFORME")</s:f>
        <s:v/>
      </s:c>
      <s:c r="CA67" s="238">
        <s:f>C67</s:f>
        <s:v/>
      </s:c>
      <s:c r="CB67" s="240">
        <s:f>AH67</s:f>
        <s:v/>
      </s:c>
      <s:c r="CC67" s="241">
        <s:f>AR67</s:f>
        <s:v/>
      </s:c>
      <s:c r="CD67" s="240">
        <s:f>AI67</s:f>
        <s:v/>
      </s:c>
      <s:c r="CE67" s="240">
        <s:f>AJ67</s:f>
        <s:v/>
      </s:c>
      <s:c r="CF67" s="240">
        <s:f>AS67</s:f>
        <s:v/>
      </s:c>
      <s:c r="CG67" s="240">
        <s:f>V67</s:f>
        <s:v/>
      </s:c>
      <s:c r="CH67" s="241">
        <s:f>AF67</s:f>
        <s:v/>
      </s:c>
      <s:c r="CI67" s="240">
        <s:f>W67</s:f>
        <s:v/>
      </s:c>
      <s:c r="CJ67" s="240">
        <s:f>X67</s:f>
        <s:v/>
      </s:c>
      <s:c r="CK67" s="240">
        <s:f>AG67</s:f>
        <s:v/>
      </s:c>
      <s:c r="CL67" s="240">
        <s:f>J67</s:f>
        <s:v/>
      </s:c>
      <s:c r="CM67" s="241">
        <s:f>T67</s:f>
        <s:v/>
      </s:c>
      <s:c r="CN67" s="240">
        <s:f>K67</s:f>
        <s:v/>
      </s:c>
      <s:c r="CO67" s="240">
        <s:f>L67</s:f>
        <s:v/>
      </s:c>
      <s:c r="CP67" s="242">
        <s:f>U67</s:f>
        <s:v/>
      </s:c>
      <s:c r="CQ67" s="233">
        <s:f>AT67</s:f>
        <s:v/>
      </s:c>
    </s:row>
    <s:row r="68">
      <s:c r="A68" s="211" t="n">
        <s:v>51</s:v>
      </s:c>
      <s:c r="B68" s="212" t="n">
        <s:v>45901</s:v>
      </s:c>
      <s:c r="C68" s="213" t="n">
        <s:v>45901</s:v>
      </s:c>
      <s:c r="D68" s="214" t="n">
        <s:v>3</s:v>
      </s:c>
      <s:c r="E68" s="215" t="n">
        <s:v>13</s:v>
      </s:c>
      <s:c r="F68" s="216" t="inlineStr">
        <s:is>
          <s:t>VI-236543-2025</s:t>
        </s:is>
      </s:c>
      <s:c r="G68" s="217" t="inlineStr">
        <s:is>
          <s:t>QA25418007</s:t>
        </s:is>
      </s:c>
      <s:c r="H68" s="218" t="n">
        <s:v>16</s:v>
      </s:c>
      <s:c r="I68" s="219" t="n">
        <s:v>0</s:v>
      </s:c>
      <s:c r="J68" s="220" t="n">
        <s:v>18.6</s:v>
      </s:c>
      <s:c r="K68" s="221" t="n">
        <s:v>7.504</s:v>
      </s:c>
      <s:c r="L68" s="221" t="n">
        <s:v>1.251</s:v>
      </s:c>
      <s:c r="M68" s="222" t="n">
        <s:v>282.14</s:v>
      </s:c>
      <s:c r="N68" s="222" t="n">
        <s:v>381.95</s:v>
      </s:c>
      <s:c r="O68" s="222" t="n">
        <s:v>100.51</s:v>
      </s:c>
      <s:c r="P68" s="223" t="inlineStr">
        <s:is>
          <s:t>2,30,810</s:t>
        </s:is>
      </s:c>
      <s:c r="Q68" s="224" t="inlineStr">
        <s:is>
          <s:t>2</s:t>
        </s:is>
      </s:c>
      <s:c r="R68" s="224" t="inlineStr">
        <s:is>
          <s:t>30,810</s:t>
        </s:is>
      </s:c>
      <s:c r="S68" s="224" t="n">
        <s:v>0.04189166666666667</s:v>
      </s:c>
      <s:c r="T68" s="225" t="n">
        <s:v>2399.283867117565</s:v>
      </s:c>
      <s:c r="U68" s="226" t="n">
        <s:v>-0.696448114615464</s:v>
      </s:c>
      <s:c r="V68" s="220" t="n">
        <s:v>18.5</s:v>
      </s:c>
      <s:c r="W68" s="221" t="n">
        <s:v>1.09</s:v>
      </s:c>
      <s:c r="X68" s="221" t="n">
        <s:v>1.081</s:v>
      </s:c>
      <s:c r="Y68" s="222" t="n">
        <s:v>393.45</s:v>
      </s:c>
      <s:c r="Z68" s="222" t="n">
        <s:v>398.49</s:v>
      </s:c>
      <s:c r="AA68" s="227" t="n">
        <s:v>5.011</s:v>
      </s:c>
      <s:c r="AB68" s="228" t="inlineStr">
        <s:is>
          <s:t>11,25,130</s:t>
        </s:is>
      </s:c>
      <s:c r="AC68" s="224" t="inlineStr">
        <s:is>
          <s:t>11</s:t>
        </s:is>
      </s:c>
      <s:c r="AD68" s="224" t="inlineStr">
        <s:is>
          <s:t>25,130</s:t>
        </s:is>
      </s:c>
      <s:c r="AE68" s="224" t="n">
        <s:v>0.1903138888888889</s:v>
      </s:c>
      <s:c r="AF68" s="225" t="n">
        <s:v>26.33018551223855</s:v>
      </s:c>
      <s:c r="AG68" s="229" t="n">
        <s:v>0.578726801038123</s:v>
      </s:c>
      <s:c r="AH68" s="220" t="n">
        <s:v>18.6</s:v>
      </s:c>
      <s:c r="AI68" s="221" t="n">
        <s:v>1.093</s:v>
      </s:c>
      <s:c r="AJ68" s="221" t="n">
        <s:v>1.082</s:v>
      </s:c>
      <s:c r="AK68" s="222" t="n">
        <s:v>398.49</s:v>
      </s:c>
      <s:c r="AL68" s="222" t="n">
        <s:v>400.49</s:v>
      </s:c>
      <s:c r="AM68" s="230" t="n">
        <s:v>2.006</s:v>
      </s:c>
      <s:c r="AN68" s="223" t="inlineStr">
        <s:is>
          <s:t>7,24,160</s:t>
        </s:is>
      </s:c>
      <s:c r="AO68" s="224" t="inlineStr">
        <s:is>
          <s:t>7,</s:t>
        </s:is>
      </s:c>
      <s:c r="AP68" s="224" t="inlineStr">
        <s:is>
          <s:t>24,160</s:t>
        </s:is>
      </s:c>
      <s:c r="AQ68" s="224" t="n">
        <s:v>0.1233777777777778</s:v>
      </s:c>
      <s:c r="AR68" s="225" t="n">
        <s:v>16.25900576368876</s:v>
      </s:c>
      <s:c r="AS68" s="229" t="n">
        <s:v>-0.2991026919242165</s:v>
      </s:c>
      <s:c r="AT68" s="231" t="inlineStr">
        <s:is>
          <s:t>CONFORME</s:t>
        </s:is>
      </s:c>
      <s:c r="AU68" s="232">
        <s:f>B68=C68</s:f>
        <s:v/>
      </s:c>
      <s:c r="AV68" s="233">
        <s:f>MID(G68,1,2)</s:f>
        <s:v/>
      </s:c>
      <s:c r="AW68" s="233">
        <s:f>LEN(G68)</s:f>
        <s:v/>
      </s:c>
      <s:c r="AX68" s="233" t="inlineStr">
        <s:is>
          <s:t>OI-0922-2025</s:t>
        </s:is>
      </s:c>
      <s:c r="AY68" s="233">
        <s:f>N68&lt;Y68</s:f>
        <s:v/>
      </s:c>
      <s:c r="AZ68" s="233">
        <s:f>Z68&lt;=AK68</s:f>
        <s:v/>
      </s:c>
      <s:c r="BA68" s="233">
        <s:f>L68&lt;K68</s:f>
        <s:v/>
      </s:c>
      <s:c r="BB68" s="233">
        <s:f>W68&gt;=X68</s:f>
        <s:v/>
      </s:c>
      <s:c r="BC68" s="233">
        <s:f>AI68&gt;=AJ68</s:f>
        <s:v/>
      </s:c>
      <s:c r="BD68" s="233">
        <s:f>IF(I68&gt;=1,"Qcorrecto",IF(AND(BE68="aceptable",BF68="aceptable",BG68="aceptable"),"Qcorrecto","Qincorrecto"))</s:f>
        <s:v/>
      </s:c>
      <s:c r="BE68" s="232">
        <s:f>IF(AR68&lt;$AH$6,"error",IF(AR68&gt;$AH$6*1.1,"error","aceptable"))</s:f>
        <s:v/>
      </s:c>
      <s:c r="BF68" s="232">
        <s:f>IF(AF68&lt;$V$6,"error",IF(AF68&gt;$V$6*1.1,"error","aceptable"))</s:f>
        <s:v/>
      </s:c>
      <s:c r="BG68" s="232">
        <s:f>IF(T68&lt;$J$6*0.9,"error",IF(T68&gt;$J$6,"error","aceptable"))</s:f>
        <s:v/>
      </s:c>
      <s:c r="BH68" s="234">
        <s:f>(IF(ABS(U68)&lt;1,"CONFORME",IF(ABS(AG68)&lt;1,"CONFORME",IF(ABS(AS68)&lt;2.5,"CONFORME","NO CONFORME"))))</s:f>
        <s:v/>
      </s:c>
      <s:c r="BI68" s="235">
        <s:f>(IF(ABS(U68)&gt;2.044,"NO CONFORME",IF(ABS(AG68)&gt;2.044,"NO CONFORME",IF(ABS(AS68)&gt;5.044,"NO CONFORME","CONFORME"))))</s:f>
        <s:v/>
      </s:c>
      <s:c r="BJ68" s="233">
        <s:f>SIGN(U68)</s:f>
        <s:v/>
      </s:c>
      <s:c r="BK68" s="233">
        <s:f>SIGN(AG68)</s:f>
        <s:v/>
      </s:c>
      <s:c r="BL68" s="233">
        <s:f>SIGN(AS68)</s:f>
        <s:v/>
      </s:c>
      <s:c r="BM68" s="233">
        <s:f>CONCATENATE(BJ68,BK68,BL68)</s:f>
        <s:v/>
      </s:c>
      <s:c r="BN68" s="233">
        <s:f>IF(BM68="111","SI","SD")</s:f>
        <s:v/>
      </s:c>
      <s:c r="BO68" s="233">
        <s:f>IF(BM68="-1-1-1","SI","SD")</s:f>
        <s:v/>
      </s:c>
      <s:c r="BP68" s="233">
        <s:f>OR(BN68="SI",BO68="SI")</s:f>
        <s:v/>
      </s:c>
      <s:c r="BQ68" s="233">
        <s:f>IF(BP68=FALSE,"SIGDIFERENTES","SIGIGUALES")</s:f>
        <s:v/>
      </s:c>
      <s:c r="BR68" s="236">
        <s:f>IF(BI68="NO CONFORME","NO CONFORME",IF(BH68="CONFORME","CONFORME","NO CONFORME"))</s:f>
        <s:v/>
      </s:c>
      <s:c r="BS68" s="233">
        <s:f>F68</s:f>
        <s:v/>
      </s:c>
      <s:c r="BT68" s="237">
        <s:f>G68</s:f>
        <s:v/>
      </s:c>
      <s:c r="BU68" s="233">
        <s:f>"20"&amp;+MID(G68,3,2)</s:f>
        <s:v/>
      </s:c>
      <s:c r="BV68" s="238">
        <s:f>C68</s:f>
        <s:v/>
      </s:c>
      <s:c r="BW68" s="233">
        <s:f>AT68</s:f>
        <s:v/>
      </s:c>
      <s:c r="BX68" s="238">
        <s:f>B68</s:f>
        <s:v/>
      </s:c>
      <s:c r="BY68" s="239">
        <s:f>H68</s:f>
        <s:v/>
      </s:c>
      <s:c r="BZ68" s="233">
        <s:f>IF(I68=0,"CONFORME","NO CONFORME")</s:f>
        <s:v/>
      </s:c>
      <s:c r="CA68" s="238">
        <s:f>C68</s:f>
        <s:v/>
      </s:c>
      <s:c r="CB68" s="240">
        <s:f>AH68</s:f>
        <s:v/>
      </s:c>
      <s:c r="CC68" s="241">
        <s:f>AR68</s:f>
        <s:v/>
      </s:c>
      <s:c r="CD68" s="240">
        <s:f>AI68</s:f>
        <s:v/>
      </s:c>
      <s:c r="CE68" s="240">
        <s:f>AJ68</s:f>
        <s:v/>
      </s:c>
      <s:c r="CF68" s="240">
        <s:f>AS68</s:f>
        <s:v/>
      </s:c>
      <s:c r="CG68" s="240">
        <s:f>V68</s:f>
        <s:v/>
      </s:c>
      <s:c r="CH68" s="241">
        <s:f>AF68</s:f>
        <s:v/>
      </s:c>
      <s:c r="CI68" s="240">
        <s:f>W68</s:f>
        <s:v/>
      </s:c>
      <s:c r="CJ68" s="240">
        <s:f>X68</s:f>
        <s:v/>
      </s:c>
      <s:c r="CK68" s="240">
        <s:f>AG68</s:f>
        <s:v/>
      </s:c>
      <s:c r="CL68" s="240">
        <s:f>J68</s:f>
        <s:v/>
      </s:c>
      <s:c r="CM68" s="241">
        <s:f>T68</s:f>
        <s:v/>
      </s:c>
      <s:c r="CN68" s="240">
        <s:f>K68</s:f>
        <s:v/>
      </s:c>
      <s:c r="CO68" s="240">
        <s:f>L68</s:f>
        <s:v/>
      </s:c>
      <s:c r="CP68" s="242">
        <s:f>U68</s:f>
        <s:v/>
      </s:c>
      <s:c r="CQ68" s="233">
        <s:f>AT68</s:f>
        <s:v/>
      </s:c>
    </s:row>
    <s:row r="69">
      <s:c r="A69" s="211" t="n">
        <s:v>52</s:v>
      </s:c>
      <s:c r="B69" s="212" t="n">
        <s:v>45901</s:v>
      </s:c>
      <s:c r="C69" s="213" t="n">
        <s:v>45901</s:v>
      </s:c>
      <s:c r="D69" s="214" t="n">
        <s:v>3</s:v>
      </s:c>
      <s:c r="E69" s="215" t="n">
        <s:v>13</s:v>
      </s:c>
      <s:c r="F69" s="216" t="inlineStr">
        <s:is>
          <s:t>VI-236544-2025</s:t>
        </s:is>
      </s:c>
      <s:c r="G69" s="217" t="inlineStr">
        <s:is>
          <s:t>QA25418089</s:t>
        </s:is>
      </s:c>
      <s:c r="H69" s="218" t="n">
        <s:v>16</s:v>
      </s:c>
      <s:c r="I69" s="219" t="n">
        <s:v>0</s:v>
      </s:c>
      <s:c r="J69" s="220" t="n">
        <s:v>18.6</s:v>
      </s:c>
      <s:c r="K69" s="221" t="n">
        <s:v>7.504</s:v>
      </s:c>
      <s:c r="L69" s="221" t="n">
        <s:v>1.251</s:v>
      </s:c>
      <s:c r="M69" s="222" t="n">
        <s:v>353.51</s:v>
      </s:c>
      <s:c r="N69" s="222" t="n">
        <s:v>453.23</s:v>
      </s:c>
      <s:c r="O69" s="222" t="n">
        <s:v>100.51</s:v>
      </s:c>
      <s:c r="P69" s="223" t="inlineStr">
        <s:is>
          <s:t>2,30,810</s:t>
        </s:is>
      </s:c>
      <s:c r="Q69" s="224" t="inlineStr">
        <s:is>
          <s:t>2</s:t>
        </s:is>
      </s:c>
      <s:c r="R69" s="224" t="inlineStr">
        <s:is>
          <s:t>30,810</s:t>
        </s:is>
      </s:c>
      <s:c r="S69" s="224" t="n">
        <s:v>0.04189166666666667</s:v>
      </s:c>
      <s:c r="T69" s="225" t="n">
        <s:v>2399.283867117565</s:v>
      </s:c>
      <s:c r="U69" s="226" t="n">
        <s:v>-0.7859914436374269</s:v>
      </s:c>
      <s:c r="V69" s="220" t="n">
        <s:v>18.5</s:v>
      </s:c>
      <s:c r="W69" s="221" t="n">
        <s:v>1.09</s:v>
      </s:c>
      <s:c r="X69" s="221" t="n">
        <s:v>1.081</s:v>
      </s:c>
      <s:c r="Y69" s="222" t="n">
        <s:v>464.68</s:v>
      </s:c>
      <s:c r="Z69" s="222" t="n">
        <s:v>469.71</s:v>
      </s:c>
      <s:c r="AA69" s="227" t="n">
        <s:v>5.011</s:v>
      </s:c>
      <s:c r="AB69" s="228" t="inlineStr">
        <s:is>
          <s:t>11,25,130</s:t>
        </s:is>
      </s:c>
      <s:c r="AC69" s="224" t="inlineStr">
        <s:is>
          <s:t>11</s:t>
        </s:is>
      </s:c>
      <s:c r="AD69" s="224" t="inlineStr">
        <s:is>
          <s:t>25,130</s:t>
        </s:is>
      </s:c>
      <s:c r="AE69" s="224" t="n">
        <s:v>0.1903138888888889</s:v>
      </s:c>
      <s:c r="AF69" s="225" t="n">
        <s:v>26.33018551223855</s:v>
      </s:c>
      <s:c r="AG69" s="229" t="n">
        <s:v>0.3791658351620953</s:v>
      </s:c>
      <s:c r="AH69" s="220" t="n">
        <s:v>18.6</s:v>
      </s:c>
      <s:c r="AI69" s="221" t="n">
        <s:v>1.093</s:v>
      </s:c>
      <s:c r="AJ69" s="221" t="n">
        <s:v>1.082</s:v>
      </s:c>
      <s:c r="AK69" s="222" t="n">
        <s:v>469.71</s:v>
      </s:c>
      <s:c r="AL69" s="222" t="n">
        <s:v>471.71</s:v>
      </s:c>
      <s:c r="AM69" s="230" t="n">
        <s:v>2.006</s:v>
      </s:c>
      <s:c r="AN69" s="223" t="inlineStr">
        <s:is>
          <s:t>7,24,160</s:t>
        </s:is>
      </s:c>
      <s:c r="AO69" s="224" t="inlineStr">
        <s:is>
          <s:t>7,</s:t>
        </s:is>
      </s:c>
      <s:c r="AP69" s="224" t="inlineStr">
        <s:is>
          <s:t>24,160</s:t>
        </s:is>
      </s:c>
      <s:c r="AQ69" s="224" t="n">
        <s:v>0.1233777777777778</s:v>
      </s:c>
      <s:c r="AR69" s="225" t="n">
        <s:v>16.25900576368876</s:v>
      </s:c>
      <s:c r="AS69" s="229" t="n">
        <s:v>-0.2991026919242165</s:v>
      </s:c>
      <s:c r="AT69" s="231" t="inlineStr">
        <s:is>
          <s:t>CONFORME</s:t>
        </s:is>
      </s:c>
      <s:c r="AU69" s="232">
        <s:f>B69=C69</s:f>
        <s:v/>
      </s:c>
      <s:c r="AV69" s="233">
        <s:f>MID(G69,1,2)</s:f>
        <s:v/>
      </s:c>
      <s:c r="AW69" s="233">
        <s:f>LEN(G69)</s:f>
        <s:v/>
      </s:c>
      <s:c r="AX69" s="233" t="inlineStr">
        <s:is>
          <s:t>OI-0922-2025</s:t>
        </s:is>
      </s:c>
      <s:c r="AY69" s="233">
        <s:f>N69&lt;Y69</s:f>
        <s:v/>
      </s:c>
      <s:c r="AZ69" s="233">
        <s:f>Z69&lt;=AK69</s:f>
        <s:v/>
      </s:c>
      <s:c r="BA69" s="233">
        <s:f>L69&lt;K69</s:f>
        <s:v/>
      </s:c>
      <s:c r="BB69" s="233">
        <s:f>W69&gt;=X69</s:f>
        <s:v/>
      </s:c>
      <s:c r="BC69" s="233">
        <s:f>AI69&gt;=AJ69</s:f>
        <s:v/>
      </s:c>
      <s:c r="BD69" s="233">
        <s:f>IF(I69&gt;=1,"Qcorrecto",IF(AND(BE69="aceptable",BF69="aceptable",BG69="aceptable"),"Qcorrecto","Qincorrecto"))</s:f>
        <s:v/>
      </s:c>
      <s:c r="BE69" s="232">
        <s:f>IF(AR69&lt;$AH$6,"error",IF(AR69&gt;$AH$6*1.1,"error","aceptable"))</s:f>
        <s:v/>
      </s:c>
      <s:c r="BF69" s="232">
        <s:f>IF(AF69&lt;$V$6,"error",IF(AF69&gt;$V$6*1.1,"error","aceptable"))</s:f>
        <s:v/>
      </s:c>
      <s:c r="BG69" s="232">
        <s:f>IF(T69&lt;$J$6*0.9,"error",IF(T69&gt;$J$6,"error","aceptable"))</s:f>
        <s:v/>
      </s:c>
      <s:c r="BH69" s="234">
        <s:f>(IF(ABS(U69)&lt;1,"CONFORME",IF(ABS(AG69)&lt;1,"CONFORME",IF(ABS(AS69)&lt;2.5,"CONFORME","NO CONFORME"))))</s:f>
        <s:v/>
      </s:c>
      <s:c r="BI69" s="235">
        <s:f>(IF(ABS(U69)&gt;2.044,"NO CONFORME",IF(ABS(AG69)&gt;2.044,"NO CONFORME",IF(ABS(AS69)&gt;5.044,"NO CONFORME","CONFORME"))))</s:f>
        <s:v/>
      </s:c>
      <s:c r="BJ69" s="233">
        <s:f>SIGN(U69)</s:f>
        <s:v/>
      </s:c>
      <s:c r="BK69" s="233">
        <s:f>SIGN(AG69)</s:f>
        <s:v/>
      </s:c>
      <s:c r="BL69" s="233">
        <s:f>SIGN(AS69)</s:f>
        <s:v/>
      </s:c>
      <s:c r="BM69" s="233">
        <s:f>CONCATENATE(BJ69,BK69,BL69)</s:f>
        <s:v/>
      </s:c>
      <s:c r="BN69" s="233">
        <s:f>IF(BM69="111","SI","SD")</s:f>
        <s:v/>
      </s:c>
      <s:c r="BO69" s="233">
        <s:f>IF(BM69="-1-1-1","SI","SD")</s:f>
        <s:v/>
      </s:c>
      <s:c r="BP69" s="233">
        <s:f>OR(BN69="SI",BO69="SI")</s:f>
        <s:v/>
      </s:c>
      <s:c r="BQ69" s="233">
        <s:f>IF(BP69=FALSE,"SIGDIFERENTES","SIGIGUALES")</s:f>
        <s:v/>
      </s:c>
      <s:c r="BR69" s="236">
        <s:f>IF(BI69="NO CONFORME","NO CONFORME",IF(BH69="CONFORME","CONFORME","NO CONFORME"))</s:f>
        <s:v/>
      </s:c>
      <s:c r="BS69" s="233">
        <s:f>F69</s:f>
        <s:v/>
      </s:c>
      <s:c r="BT69" s="237">
        <s:f>G69</s:f>
        <s:v/>
      </s:c>
      <s:c r="BU69" s="233">
        <s:f>"20"&amp;+MID(G69,3,2)</s:f>
        <s:v/>
      </s:c>
      <s:c r="BV69" s="238">
        <s:f>C69</s:f>
        <s:v/>
      </s:c>
      <s:c r="BW69" s="233">
        <s:f>AT69</s:f>
        <s:v/>
      </s:c>
      <s:c r="BX69" s="238">
        <s:f>B69</s:f>
        <s:v/>
      </s:c>
      <s:c r="BY69" s="239">
        <s:f>H69</s:f>
        <s:v/>
      </s:c>
      <s:c r="BZ69" s="233">
        <s:f>IF(I69=0,"CONFORME","NO CONFORME")</s:f>
        <s:v/>
      </s:c>
      <s:c r="CA69" s="238">
        <s:f>C69</s:f>
        <s:v/>
      </s:c>
      <s:c r="CB69" s="240">
        <s:f>AH69</s:f>
        <s:v/>
      </s:c>
      <s:c r="CC69" s="241">
        <s:f>AR69</s:f>
        <s:v/>
      </s:c>
      <s:c r="CD69" s="240">
        <s:f>AI69</s:f>
        <s:v/>
      </s:c>
      <s:c r="CE69" s="240">
        <s:f>AJ69</s:f>
        <s:v/>
      </s:c>
      <s:c r="CF69" s="240">
        <s:f>AS69</s:f>
        <s:v/>
      </s:c>
      <s:c r="CG69" s="240">
        <s:f>V69</s:f>
        <s:v/>
      </s:c>
      <s:c r="CH69" s="241">
        <s:f>AF69</s:f>
        <s:v/>
      </s:c>
      <s:c r="CI69" s="240">
        <s:f>W69</s:f>
        <s:v/>
      </s:c>
      <s:c r="CJ69" s="240">
        <s:f>X69</s:f>
        <s:v/>
      </s:c>
      <s:c r="CK69" s="240">
        <s:f>AG69</s:f>
        <s:v/>
      </s:c>
      <s:c r="CL69" s="240">
        <s:f>J69</s:f>
        <s:v/>
      </s:c>
      <s:c r="CM69" s="241">
        <s:f>T69</s:f>
        <s:v/>
      </s:c>
      <s:c r="CN69" s="240">
        <s:f>K69</s:f>
        <s:v/>
      </s:c>
      <s:c r="CO69" s="240">
        <s:f>L69</s:f>
        <s:v/>
      </s:c>
      <s:c r="CP69" s="242">
        <s:f>U69</s:f>
        <s:v/>
      </s:c>
      <s:c r="CQ69" s="233">
        <s:f>AT69</s:f>
        <s:v/>
      </s:c>
    </s:row>
    <s:row r="70">
      <s:c r="A70" s="211" t="n">
        <s:v>53</s:v>
      </s:c>
      <s:c r="B70" s="212" t="n">
        <s:v>45901</s:v>
      </s:c>
      <s:c r="C70" s="213" t="n">
        <s:v>45901</s:v>
      </s:c>
      <s:c r="D70" s="214" t="n">
        <s:v>3</s:v>
      </s:c>
      <s:c r="E70" s="215" t="n">
        <s:v>13</s:v>
      </s:c>
      <s:c r="F70" s="216" t="inlineStr">
        <s:is>
          <s:t>VI-236545-2025</s:t>
        </s:is>
      </s:c>
      <s:c r="G70" s="217" t="inlineStr">
        <s:is>
          <s:t>QA25417552</s:t>
        </s:is>
      </s:c>
      <s:c r="H70" s="218" t="n">
        <s:v>16</s:v>
      </s:c>
      <s:c r="I70" s="219" t="n">
        <s:v>0</s:v>
      </s:c>
      <s:c r="J70" s="220" t="n">
        <s:v>18.6</s:v>
      </s:c>
      <s:c r="K70" s="221" t="n">
        <s:v>7.504</s:v>
      </s:c>
      <s:c r="L70" s="221" t="n">
        <s:v>1.251</s:v>
      </s:c>
      <s:c r="M70" s="222" t="n">
        <s:v>312.02</s:v>
      </s:c>
      <s:c r="N70" s="222" t="n">
        <s:v>412.7</s:v>
      </s:c>
      <s:c r="O70" s="222" t="n">
        <s:v>100.51</s:v>
      </s:c>
      <s:c r="P70" s="223" t="inlineStr">
        <s:is>
          <s:t>2,30,810</s:t>
        </s:is>
      </s:c>
      <s:c r="Q70" s="224" t="inlineStr">
        <s:is>
          <s:t>2</s:t>
        </s:is>
      </s:c>
      <s:c r="R70" s="224" t="inlineStr">
        <s:is>
          <s:t>30,810</s:t>
        </s:is>
      </s:c>
      <s:c r="S70" s="224" t="n">
        <s:v>0.04189166666666667</s:v>
      </s:c>
      <s:c r="T70" s="225" t="n">
        <s:v>2399.283867117565</s:v>
      </s:c>
      <s:c r="U70" s="226" t="n">
        <s:v>0.1691373992637565</s:v>
      </s:c>
      <s:c r="V70" s="220" t="n">
        <s:v>18.5</s:v>
      </s:c>
      <s:c r="W70" s="221" t="n">
        <s:v>1.09</s:v>
      </s:c>
      <s:c r="X70" s="221" t="n">
        <s:v>1.081</s:v>
      </s:c>
      <s:c r="Y70" s="222" t="n">
        <s:v>424.27</s:v>
      </s:c>
      <s:c r="Z70" s="222" t="n">
        <s:v>429.27</s:v>
      </s:c>
      <s:c r="AA70" s="227" t="n">
        <s:v>5.011</s:v>
      </s:c>
      <s:c r="AB70" s="228" t="inlineStr">
        <s:is>
          <s:t>11,25,130</s:t>
        </s:is>
      </s:c>
      <s:c r="AC70" s="224" t="inlineStr">
        <s:is>
          <s:t>11</s:t>
        </s:is>
      </s:c>
      <s:c r="AD70" s="224" t="inlineStr">
        <s:is>
          <s:t>25,130</s:t>
        </s:is>
      </s:c>
      <s:c r="AE70" s="224" t="n">
        <s:v>0.1903138888888889</s:v>
      </s:c>
      <s:c r="AF70" s="225" t="n">
        <s:v>26.33018551223855</s:v>
      </s:c>
      <s:c r="AG70" s="229" t="n">
        <s:v>-0.2195170624625847</s:v>
      </s:c>
      <s:c r="AH70" s="220" t="n">
        <s:v>18.6</s:v>
      </s:c>
      <s:c r="AI70" s="221" t="n">
        <s:v>1.093</s:v>
      </s:c>
      <s:c r="AJ70" s="221" t="n">
        <s:v>1.082</s:v>
      </s:c>
      <s:c r="AK70" s="222" t="n">
        <s:v>429.27</s:v>
      </s:c>
      <s:c r="AL70" s="222" t="n">
        <s:v>431.25</s:v>
      </s:c>
      <s:c r="AM70" s="230" t="n">
        <s:v>2.006</s:v>
      </s:c>
      <s:c r="AN70" s="223" t="inlineStr">
        <s:is>
          <s:t>7,24,160</s:t>
        </s:is>
      </s:c>
      <s:c r="AO70" s="224" t="inlineStr">
        <s:is>
          <s:t>7,</s:t>
        </s:is>
      </s:c>
      <s:c r="AP70" s="224" t="inlineStr">
        <s:is>
          <s:t>24,160</s:t>
        </s:is>
      </s:c>
      <s:c r="AQ70" s="224" t="n">
        <s:v>0.1233777777777778</s:v>
      </s:c>
      <s:c r="AR70" s="225" t="n">
        <s:v>16.25900576368876</s:v>
      </s:c>
      <s:c r="AS70" s="229" t="n">
        <s:v>-1.296111665004068</s:v>
      </s:c>
      <s:c r="AT70" s="231" t="inlineStr">
        <s:is>
          <s:t>CONFORME</s:t>
        </s:is>
      </s:c>
      <s:c r="AU70" s="232">
        <s:f>B70=C70</s:f>
        <s:v/>
      </s:c>
      <s:c r="AV70" s="233">
        <s:f>MID(G70,1,2)</s:f>
        <s:v/>
      </s:c>
      <s:c r="AW70" s="233">
        <s:f>LEN(G70)</s:f>
        <s:v/>
      </s:c>
      <s:c r="AX70" s="233" t="inlineStr">
        <s:is>
          <s:t>OI-0922-2025</s:t>
        </s:is>
      </s:c>
      <s:c r="AY70" s="233">
        <s:f>N70&lt;Y70</s:f>
        <s:v/>
      </s:c>
      <s:c r="AZ70" s="233">
        <s:f>Z70&lt;=AK70</s:f>
        <s:v/>
      </s:c>
      <s:c r="BA70" s="233">
        <s:f>L70&lt;K70</s:f>
        <s:v/>
      </s:c>
      <s:c r="BB70" s="233">
        <s:f>W70&gt;=X70</s:f>
        <s:v/>
      </s:c>
      <s:c r="BC70" s="233">
        <s:f>AI70&gt;=AJ70</s:f>
        <s:v/>
      </s:c>
      <s:c r="BD70" s="233">
        <s:f>IF(I70&gt;=1,"Qcorrecto",IF(AND(BE70="aceptable",BF70="aceptable",BG70="aceptable"),"Qcorrecto","Qincorrecto"))</s:f>
        <s:v/>
      </s:c>
      <s:c r="BE70" s="232">
        <s:f>IF(AR70&lt;$AH$6,"error",IF(AR70&gt;$AH$6*1.1,"error","aceptable"))</s:f>
        <s:v/>
      </s:c>
      <s:c r="BF70" s="232">
        <s:f>IF(AF70&lt;$V$6,"error",IF(AF70&gt;$V$6*1.1,"error","aceptable"))</s:f>
        <s:v/>
      </s:c>
      <s:c r="BG70" s="232">
        <s:f>IF(T70&lt;$J$6*0.9,"error",IF(T70&gt;$J$6,"error","aceptable"))</s:f>
        <s:v/>
      </s:c>
      <s:c r="BH70" s="234">
        <s:f>(IF(ABS(U70)&lt;1,"CONFORME",IF(ABS(AG70)&lt;1,"CONFORME",IF(ABS(AS70)&lt;2.5,"CONFORME","NO CONFORME"))))</s:f>
        <s:v/>
      </s:c>
      <s:c r="BI70" s="235">
        <s:f>(IF(ABS(U70)&gt;2.044,"NO CONFORME",IF(ABS(AG70)&gt;2.044,"NO CONFORME",IF(ABS(AS70)&gt;5.044,"NO CONFORME","CONFORME"))))</s:f>
        <s:v/>
      </s:c>
      <s:c r="BJ70" s="233">
        <s:f>SIGN(U70)</s:f>
        <s:v/>
      </s:c>
      <s:c r="BK70" s="233">
        <s:f>SIGN(AG70)</s:f>
        <s:v/>
      </s:c>
      <s:c r="BL70" s="233">
        <s:f>SIGN(AS70)</s:f>
        <s:v/>
      </s:c>
      <s:c r="BM70" s="233">
        <s:f>CONCATENATE(BJ70,BK70,BL70)</s:f>
        <s:v/>
      </s:c>
      <s:c r="BN70" s="233">
        <s:f>IF(BM70="111","SI","SD")</s:f>
        <s:v/>
      </s:c>
      <s:c r="BO70" s="233">
        <s:f>IF(BM70="-1-1-1","SI","SD")</s:f>
        <s:v/>
      </s:c>
      <s:c r="BP70" s="233">
        <s:f>OR(BN70="SI",BO70="SI")</s:f>
        <s:v/>
      </s:c>
      <s:c r="BQ70" s="233">
        <s:f>IF(BP70=FALSE,"SIGDIFERENTES","SIGIGUALES")</s:f>
        <s:v/>
      </s:c>
      <s:c r="BR70" s="236">
        <s:f>IF(BI70="NO CONFORME","NO CONFORME",IF(BH70="CONFORME","CONFORME","NO CONFORME"))</s:f>
        <s:v/>
      </s:c>
      <s:c r="BS70" s="233">
        <s:f>F70</s:f>
        <s:v/>
      </s:c>
      <s:c r="BT70" s="237">
        <s:f>G70</s:f>
        <s:v/>
      </s:c>
      <s:c r="BU70" s="233">
        <s:f>"20"&amp;+MID(G70,3,2)</s:f>
        <s:v/>
      </s:c>
      <s:c r="BV70" s="238">
        <s:f>C70</s:f>
        <s:v/>
      </s:c>
      <s:c r="BW70" s="233">
        <s:f>AT70</s:f>
        <s:v/>
      </s:c>
      <s:c r="BX70" s="238">
        <s:f>B70</s:f>
        <s:v/>
      </s:c>
      <s:c r="BY70" s="239">
        <s:f>H70</s:f>
        <s:v/>
      </s:c>
      <s:c r="BZ70" s="233">
        <s:f>IF(I70=0,"CONFORME","NO CONFORME")</s:f>
        <s:v/>
      </s:c>
      <s:c r="CA70" s="238">
        <s:f>C70</s:f>
        <s:v/>
      </s:c>
      <s:c r="CB70" s="240">
        <s:f>AH70</s:f>
        <s:v/>
      </s:c>
      <s:c r="CC70" s="241">
        <s:f>AR70</s:f>
        <s:v/>
      </s:c>
      <s:c r="CD70" s="240">
        <s:f>AI70</s:f>
        <s:v/>
      </s:c>
      <s:c r="CE70" s="240">
        <s:f>AJ70</s:f>
        <s:v/>
      </s:c>
      <s:c r="CF70" s="240">
        <s:f>AS70</s:f>
        <s:v/>
      </s:c>
      <s:c r="CG70" s="240">
        <s:f>V70</s:f>
        <s:v/>
      </s:c>
      <s:c r="CH70" s="241">
        <s:f>AF70</s:f>
        <s:v/>
      </s:c>
      <s:c r="CI70" s="240">
        <s:f>W70</s:f>
        <s:v/>
      </s:c>
      <s:c r="CJ70" s="240">
        <s:f>X70</s:f>
        <s:v/>
      </s:c>
      <s:c r="CK70" s="240">
        <s:f>AG70</s:f>
        <s:v/>
      </s:c>
      <s:c r="CL70" s="240">
        <s:f>J70</s:f>
        <s:v/>
      </s:c>
      <s:c r="CM70" s="241">
        <s:f>T70</s:f>
        <s:v/>
      </s:c>
      <s:c r="CN70" s="240">
        <s:f>K70</s:f>
        <s:v/>
      </s:c>
      <s:c r="CO70" s="240">
        <s:f>L70</s:f>
        <s:v/>
      </s:c>
      <s:c r="CP70" s="242">
        <s:f>U70</s:f>
        <s:v/>
      </s:c>
      <s:c r="CQ70" s="233">
        <s:f>AT70</s:f>
        <s:v/>
      </s:c>
    </s:row>
    <s:row r="71">
      <s:c r="A71" s="211" t="n">
        <s:v>54</s:v>
      </s:c>
      <s:c r="B71" s="212" t="n">
        <s:v>45901</s:v>
      </s:c>
      <s:c r="C71" s="213" t="n">
        <s:v>45901</s:v>
      </s:c>
      <s:c r="D71" s="214" t="n">
        <s:v>3</s:v>
      </s:c>
      <s:c r="E71" s="215" t="n">
        <s:v>13</s:v>
      </s:c>
      <s:c r="F71" s="216" t="inlineStr">
        <s:is>
          <s:t>VI-236546-2025</s:t>
        </s:is>
      </s:c>
      <s:c r="G71" s="217" t="inlineStr">
        <s:is>
          <s:t>QA25417842</s:t>
        </s:is>
      </s:c>
      <s:c r="H71" s="218" t="n">
        <s:v>16</s:v>
      </s:c>
      <s:c r="I71" s="219" t="n">
        <s:v>0</s:v>
      </s:c>
      <s:c r="J71" s="220" t="n">
        <s:v>18.6</s:v>
      </s:c>
      <s:c r="K71" s="221" t="n">
        <s:v>7.504</s:v>
      </s:c>
      <s:c r="L71" s="221" t="n">
        <s:v>1.251</s:v>
      </s:c>
      <s:c r="M71" s="222" t="n">
        <s:v>426.15</s:v>
      </s:c>
      <s:c r="N71" s="222" t="n">
        <s:v>527.17</s:v>
      </s:c>
      <s:c r="O71" s="222" t="n">
        <s:v>100.51</s:v>
      </s:c>
      <s:c r="P71" s="223" t="inlineStr">
        <s:is>
          <s:t>2,30,810</s:t>
        </s:is>
      </s:c>
      <s:c r="Q71" s="224" t="inlineStr">
        <s:is>
          <s:t>2</s:t>
        </s:is>
      </s:c>
      <s:c r="R71" s="224" t="inlineStr">
        <s:is>
          <s:t>30,810</s:t>
        </s:is>
      </s:c>
      <s:c r="S71" s="224" t="n">
        <s:v>0.04189166666666667</s:v>
      </s:c>
      <s:c r="T71" s="225" t="n">
        <s:v>2399.283867117565</s:v>
      </s:c>
      <s:c r="U71" s="226" t="n">
        <s:v>0.5074121977912414</s:v>
      </s:c>
      <s:c r="V71" s="220" t="n">
        <s:v>18.5</s:v>
      </s:c>
      <s:c r="W71" s="221" t="n">
        <s:v>1.09</s:v>
      </s:c>
      <s:c r="X71" s="221" t="n">
        <s:v>1.081</s:v>
      </s:c>
      <s:c r="Y71" s="222" t="n">
        <s:v>538.8099999999999</s:v>
      </s:c>
      <s:c r="Z71" s="222" t="n">
        <s:v>543.78</s:v>
      </s:c>
      <s:c r="AA71" s="227" t="n">
        <s:v>5.011</s:v>
      </s:c>
      <s:c r="AB71" s="228" t="inlineStr">
        <s:is>
          <s:t>11,25,130</s:t>
        </s:is>
      </s:c>
      <s:c r="AC71" s="224" t="inlineStr">
        <s:is>
          <s:t>11</s:t>
        </s:is>
      </s:c>
      <s:c r="AD71" s="224" t="inlineStr">
        <s:is>
          <s:t>25,130</s:t>
        </s:is>
      </s:c>
      <s:c r="AE71" s="224" t="n">
        <s:v>0.1903138888888889</s:v>
      </s:c>
      <s:c r="AF71" s="225" t="n">
        <s:v>26.33018551223855</s:v>
      </s:c>
      <s:c r="AG71" s="229" t="n">
        <s:v>-0.8181999600872647</s:v>
      </s:c>
      <s:c r="AH71" s="220" t="n">
        <s:v>18.6</s:v>
      </s:c>
      <s:c r="AI71" s="221" t="n">
        <s:v>1.093</s:v>
      </s:c>
      <s:c r="AJ71" s="221" t="n">
        <s:v>1.082</s:v>
      </s:c>
      <s:c r="AK71" s="222" t="n">
        <s:v>543.78</s:v>
      </s:c>
      <s:c r="AL71" s="222" t="n">
        <s:v>545.71</s:v>
      </s:c>
      <s:c r="AM71" s="230" t="n">
        <s:v>2.006</s:v>
      </s:c>
      <s:c r="AN71" s="223" t="inlineStr">
        <s:is>
          <s:t>7,24,160</s:t>
        </s:is>
      </s:c>
      <s:c r="AO71" s="224" t="inlineStr">
        <s:is>
          <s:t>7,</s:t>
        </s:is>
      </s:c>
      <s:c r="AP71" s="224" t="inlineStr">
        <s:is>
          <s:t>24,160</s:t>
        </s:is>
      </s:c>
      <s:c r="AQ71" s="224" t="n">
        <s:v>0.1233777777777778</s:v>
      </s:c>
      <s:c r="AR71" s="225" t="n">
        <s:v>16.25900576368876</s:v>
      </s:c>
      <s:c r="AS71" s="229" t="n">
        <s:v>-3.788634097703695</s:v>
      </s:c>
      <s:c r="AT71" s="231" t="inlineStr">
        <s:is>
          <s:t>CONFORME</s:t>
        </s:is>
      </s:c>
      <s:c r="AU71" s="232">
        <s:f>B71=C71</s:f>
        <s:v/>
      </s:c>
      <s:c r="AV71" s="233">
        <s:f>MID(G71,1,2)</s:f>
        <s:v/>
      </s:c>
      <s:c r="AW71" s="233">
        <s:f>LEN(G71)</s:f>
        <s:v/>
      </s:c>
      <s:c r="AX71" s="233" t="inlineStr">
        <s:is>
          <s:t>OI-0922-2025</s:t>
        </s:is>
      </s:c>
      <s:c r="AY71" s="233">
        <s:f>N71&lt;Y71</s:f>
        <s:v/>
      </s:c>
      <s:c r="AZ71" s="233">
        <s:f>Z71&lt;=AK71</s:f>
        <s:v/>
      </s:c>
      <s:c r="BA71" s="233">
        <s:f>L71&lt;K71</s:f>
        <s:v/>
      </s:c>
      <s:c r="BB71" s="233">
        <s:f>W71&gt;=X71</s:f>
        <s:v/>
      </s:c>
      <s:c r="BC71" s="233">
        <s:f>AI71&gt;=AJ71</s:f>
        <s:v/>
      </s:c>
      <s:c r="BD71" s="233">
        <s:f>IF(I71&gt;=1,"Qcorrecto",IF(AND(BE71="aceptable",BF71="aceptable",BG71="aceptable"),"Qcorrecto","Qincorrecto"))</s:f>
        <s:v/>
      </s:c>
      <s:c r="BE71" s="232">
        <s:f>IF(AR71&lt;$AH$6,"error",IF(AR71&gt;$AH$6*1.1,"error","aceptable"))</s:f>
        <s:v/>
      </s:c>
      <s:c r="BF71" s="232">
        <s:f>IF(AF71&lt;$V$6,"error",IF(AF71&gt;$V$6*1.1,"error","aceptable"))</s:f>
        <s:v/>
      </s:c>
      <s:c r="BG71" s="232">
        <s:f>IF(T71&lt;$J$6*0.9,"error",IF(T71&gt;$J$6,"error","aceptable"))</s:f>
        <s:v/>
      </s:c>
      <s:c r="BH71" s="234">
        <s:f>(IF(ABS(U71)&lt;1,"CONFORME",IF(ABS(AG71)&lt;1,"CONFORME",IF(ABS(AS71)&lt;2.5,"CONFORME","NO CONFORME"))))</s:f>
        <s:v/>
      </s:c>
      <s:c r="BI71" s="235">
        <s:f>(IF(ABS(U71)&gt;2.044,"NO CONFORME",IF(ABS(AG71)&gt;2.044,"NO CONFORME",IF(ABS(AS71)&gt;5.044,"NO CONFORME","CONFORME"))))</s:f>
        <s:v/>
      </s:c>
      <s:c r="BJ71" s="233">
        <s:f>SIGN(U71)</s:f>
        <s:v/>
      </s:c>
      <s:c r="BK71" s="233">
        <s:f>SIGN(AG71)</s:f>
        <s:v/>
      </s:c>
      <s:c r="BL71" s="233">
        <s:f>SIGN(AS71)</s:f>
        <s:v/>
      </s:c>
      <s:c r="BM71" s="233">
        <s:f>CONCATENATE(BJ71,BK71,BL71)</s:f>
        <s:v/>
      </s:c>
      <s:c r="BN71" s="233">
        <s:f>IF(BM71="111","SI","SD")</s:f>
        <s:v/>
      </s:c>
      <s:c r="BO71" s="233">
        <s:f>IF(BM71="-1-1-1","SI","SD")</s:f>
        <s:v/>
      </s:c>
      <s:c r="BP71" s="233">
        <s:f>OR(BN71="SI",BO71="SI")</s:f>
        <s:v/>
      </s:c>
      <s:c r="BQ71" s="233">
        <s:f>IF(BP71=FALSE,"SIGDIFERENTES","SIGIGUALES")</s:f>
        <s:v/>
      </s:c>
      <s:c r="BR71" s="236">
        <s:f>IF(BI71="NO CONFORME","NO CONFORME",IF(BH71="CONFORME","CONFORME","NO CONFORME"))</s:f>
        <s:v/>
      </s:c>
      <s:c r="BS71" s="233">
        <s:f>F71</s:f>
        <s:v/>
      </s:c>
      <s:c r="BT71" s="237">
        <s:f>G71</s:f>
        <s:v/>
      </s:c>
      <s:c r="BU71" s="233">
        <s:f>"20"&amp;+MID(G71,3,2)</s:f>
        <s:v/>
      </s:c>
      <s:c r="BV71" s="238">
        <s:f>C71</s:f>
        <s:v/>
      </s:c>
      <s:c r="BW71" s="233">
        <s:f>AT71</s:f>
        <s:v/>
      </s:c>
      <s:c r="BX71" s="238">
        <s:f>B71</s:f>
        <s:v/>
      </s:c>
      <s:c r="BY71" s="239">
        <s:f>H71</s:f>
        <s:v/>
      </s:c>
      <s:c r="BZ71" s="233">
        <s:f>IF(I71=0,"CONFORME","NO CONFORME")</s:f>
        <s:v/>
      </s:c>
      <s:c r="CA71" s="238">
        <s:f>C71</s:f>
        <s:v/>
      </s:c>
      <s:c r="CB71" s="240">
        <s:f>AH71</s:f>
        <s:v/>
      </s:c>
      <s:c r="CC71" s="241">
        <s:f>AR71</s:f>
        <s:v/>
      </s:c>
      <s:c r="CD71" s="240">
        <s:f>AI71</s:f>
        <s:v/>
      </s:c>
      <s:c r="CE71" s="240">
        <s:f>AJ71</s:f>
        <s:v/>
      </s:c>
      <s:c r="CF71" s="240">
        <s:f>AS71</s:f>
        <s:v/>
      </s:c>
      <s:c r="CG71" s="240">
        <s:f>V71</s:f>
        <s:v/>
      </s:c>
      <s:c r="CH71" s="241">
        <s:f>AF71</s:f>
        <s:v/>
      </s:c>
      <s:c r="CI71" s="240">
        <s:f>W71</s:f>
        <s:v/>
      </s:c>
      <s:c r="CJ71" s="240">
        <s:f>X71</s:f>
        <s:v/>
      </s:c>
      <s:c r="CK71" s="240">
        <s:f>AG71</s:f>
        <s:v/>
      </s:c>
      <s:c r="CL71" s="240">
        <s:f>J71</s:f>
        <s:v/>
      </s:c>
      <s:c r="CM71" s="241">
        <s:f>T71</s:f>
        <s:v/>
      </s:c>
      <s:c r="CN71" s="240">
        <s:f>K71</s:f>
        <s:v/>
      </s:c>
      <s:c r="CO71" s="240">
        <s:f>L71</s:f>
        <s:v/>
      </s:c>
      <s:c r="CP71" s="242">
        <s:f>U71</s:f>
        <s:v/>
      </s:c>
      <s:c r="CQ71" s="233">
        <s:f>AT71</s:f>
        <s:v/>
      </s:c>
    </s:row>
    <s:row r="72">
      <s:c r="A72" s="211" t="n">
        <s:v>55</s:v>
      </s:c>
      <s:c r="B72" s="212" t="n">
        <s:v>45901</s:v>
      </s:c>
      <s:c r="C72" s="213" t="n">
        <s:v>45901</s:v>
      </s:c>
      <s:c r="D72" s="214" t="n">
        <s:v>3</s:v>
      </s:c>
      <s:c r="E72" s="215" t="n">
        <s:v>13</s:v>
      </s:c>
      <s:c r="F72" s="216" t="inlineStr">
        <s:is>
          <s:t>VI-236547-2025</s:t>
        </s:is>
      </s:c>
      <s:c r="G72" s="217" t="inlineStr">
        <s:is>
          <s:t>QA25417784</s:t>
        </s:is>
      </s:c>
      <s:c r="H72" s="218" t="n">
        <s:v>16</s:v>
      </s:c>
      <s:c r="I72" s="219" t="n">
        <s:v>0</s:v>
      </s:c>
      <s:c r="J72" s="220" t="n">
        <s:v>18.6</s:v>
      </s:c>
      <s:c r="K72" s="221" t="n">
        <s:v>7.504</s:v>
      </s:c>
      <s:c r="L72" s="221" t="n">
        <s:v>1.251</s:v>
      </s:c>
      <s:c r="M72" s="222" t="n">
        <s:v>315.16</s:v>
      </s:c>
      <s:c r="N72" s="222" t="n">
        <s:v>415.27</s:v>
      </s:c>
      <s:c r="O72" s="222" t="n">
        <s:v>100.51</s:v>
      </s:c>
      <s:c r="P72" s="223" t="inlineStr">
        <s:is>
          <s:t>2,30,810</s:t>
        </s:is>
      </s:c>
      <s:c r="Q72" s="224" t="inlineStr">
        <s:is>
          <s:t>2</s:t>
        </s:is>
      </s:c>
      <s:c r="R72" s="224" t="inlineStr">
        <s:is>
          <s:t>30,810</s:t>
        </s:is>
      </s:c>
      <s:c r="S72" s="224" t="n">
        <s:v>0.04189166666666667</s:v>
      </s:c>
      <s:c r="T72" s="225" t="n">
        <s:v>2399.283867117565</s:v>
      </s:c>
      <s:c r="U72" s="226" t="n">
        <s:v>-0.397970351208883</s:v>
      </s:c>
      <s:c r="V72" s="220" t="n">
        <s:v>18.5</s:v>
      </s:c>
      <s:c r="W72" s="221" t="n">
        <s:v>1.09</s:v>
      </s:c>
      <s:c r="X72" s="221" t="n">
        <s:v>1.081</s:v>
      </s:c>
      <s:c r="Y72" s="222" t="n">
        <s:v>426.85</s:v>
      </s:c>
      <s:c r="Z72" s="222" t="n">
        <s:v>431.88</s:v>
      </s:c>
      <s:c r="AA72" s="227" t="n">
        <s:v>5.011</s:v>
      </s:c>
      <s:c r="AB72" s="228" t="inlineStr">
        <s:is>
          <s:t>11,25,130</s:t>
        </s:is>
      </s:c>
      <s:c r="AC72" s="224" t="inlineStr">
        <s:is>
          <s:t>11</s:t>
        </s:is>
      </s:c>
      <s:c r="AD72" s="224" t="inlineStr">
        <s:is>
          <s:t>25,130</s:t>
        </s:is>
      </s:c>
      <s:c r="AE72" s="224" t="n">
        <s:v>0.1903138888888889</s:v>
      </s:c>
      <s:c r="AF72" s="225" t="n">
        <s:v>26.33018551223855</s:v>
      </s:c>
      <s:c r="AG72" s="229" t="n">
        <s:v>0.3791658351620953</s:v>
      </s:c>
      <s:c r="AH72" s="220" t="n">
        <s:v>18.6</s:v>
      </s:c>
      <s:c r="AI72" s="221" t="n">
        <s:v>1.093</s:v>
      </s:c>
      <s:c r="AJ72" s="221" t="n">
        <s:v>1.082</s:v>
      </s:c>
      <s:c r="AK72" s="222" t="n">
        <s:v>431.88</s:v>
      </s:c>
      <s:c r="AL72" s="222" t="n">
        <s:v>433.91</s:v>
      </s:c>
      <s:c r="AM72" s="230" t="n">
        <s:v>2.006</s:v>
      </s:c>
      <s:c r="AN72" s="223" t="inlineStr">
        <s:is>
          <s:t>7,24,160</s:t>
        </s:is>
      </s:c>
      <s:c r="AO72" s="224" t="inlineStr">
        <s:is>
          <s:t>7,</s:t>
        </s:is>
      </s:c>
      <s:c r="AP72" s="224" t="inlineStr">
        <s:is>
          <s:t>24,160</s:t>
        </s:is>
      </s:c>
      <s:c r="AQ72" s="224" t="n">
        <s:v>0.1233777777777778</s:v>
      </s:c>
      <s:c r="AR72" s="225" t="n">
        <s:v>16.25900576368876</s:v>
      </s:c>
      <s:c r="AS72" s="229" t="n">
        <s:v>1.196410767698394</s:v>
      </s:c>
      <s:c r="AT72" s="231" t="inlineStr">
        <s:is>
          <s:t>CONFORME</s:t>
        </s:is>
      </s:c>
      <s:c r="AU72" s="232">
        <s:f>B72=C72</s:f>
        <s:v/>
      </s:c>
      <s:c r="AV72" s="233">
        <s:f>MID(G72,1,2)</s:f>
        <s:v/>
      </s:c>
      <s:c r="AW72" s="233">
        <s:f>LEN(G72)</s:f>
        <s:v/>
      </s:c>
      <s:c r="AX72" s="233" t="inlineStr">
        <s:is>
          <s:t>OI-0922-2025</s:t>
        </s:is>
      </s:c>
      <s:c r="AY72" s="233">
        <s:f>N72&lt;Y72</s:f>
        <s:v/>
      </s:c>
      <s:c r="AZ72" s="233">
        <s:f>Z72&lt;=AK72</s:f>
        <s:v/>
      </s:c>
      <s:c r="BA72" s="233">
        <s:f>L72&lt;K72</s:f>
        <s:v/>
      </s:c>
      <s:c r="BB72" s="233">
        <s:f>W72&gt;=X72</s:f>
        <s:v/>
      </s:c>
      <s:c r="BC72" s="233">
        <s:f>AI72&gt;=AJ72</s:f>
        <s:v/>
      </s:c>
      <s:c r="BD72" s="233">
        <s:f>IF(I72&gt;=1,"Qcorrecto",IF(AND(BE72="aceptable",BF72="aceptable",BG72="aceptable"),"Qcorrecto","Qincorrecto"))</s:f>
        <s:v/>
      </s:c>
      <s:c r="BE72" s="232">
        <s:f>IF(AR72&lt;$AH$6,"error",IF(AR72&gt;$AH$6*1.1,"error","aceptable"))</s:f>
        <s:v/>
      </s:c>
      <s:c r="BF72" s="232">
        <s:f>IF(AF72&lt;$V$6,"error",IF(AF72&gt;$V$6*1.1,"error","aceptable"))</s:f>
        <s:v/>
      </s:c>
      <s:c r="BG72" s="232">
        <s:f>IF(T72&lt;$J$6*0.9,"error",IF(T72&gt;$J$6,"error","aceptable"))</s:f>
        <s:v/>
      </s:c>
      <s:c r="BH72" s="234">
        <s:f>(IF(ABS(U72)&lt;1,"CONFORME",IF(ABS(AG72)&lt;1,"CONFORME",IF(ABS(AS72)&lt;2.5,"CONFORME","NO CONFORME"))))</s:f>
        <s:v/>
      </s:c>
      <s:c r="BI72" s="235">
        <s:f>(IF(ABS(U72)&gt;2.044,"NO CONFORME",IF(ABS(AG72)&gt;2.044,"NO CONFORME",IF(ABS(AS72)&gt;5.044,"NO CONFORME","CONFORME"))))</s:f>
        <s:v/>
      </s:c>
      <s:c r="BJ72" s="233">
        <s:f>SIGN(U72)</s:f>
        <s:v/>
      </s:c>
      <s:c r="BK72" s="233">
        <s:f>SIGN(AG72)</s:f>
        <s:v/>
      </s:c>
      <s:c r="BL72" s="233">
        <s:f>SIGN(AS72)</s:f>
        <s:v/>
      </s:c>
      <s:c r="BM72" s="233">
        <s:f>CONCATENATE(BJ72,BK72,BL72)</s:f>
        <s:v/>
      </s:c>
      <s:c r="BN72" s="233">
        <s:f>IF(BM72="111","SI","SD")</s:f>
        <s:v/>
      </s:c>
      <s:c r="BO72" s="233">
        <s:f>IF(BM72="-1-1-1","SI","SD")</s:f>
        <s:v/>
      </s:c>
      <s:c r="BP72" s="233">
        <s:f>OR(BN72="SI",BO72="SI")</s:f>
        <s:v/>
      </s:c>
      <s:c r="BQ72" s="233">
        <s:f>IF(BP72=FALSE,"SIGDIFERENTES","SIGIGUALES")</s:f>
        <s:v/>
      </s:c>
      <s:c r="BR72" s="236">
        <s:f>IF(BI72="NO CONFORME","NO CONFORME",IF(BH72="CONFORME","CONFORME","NO CONFORME"))</s:f>
        <s:v/>
      </s:c>
      <s:c r="BS72" s="233">
        <s:f>F72</s:f>
        <s:v/>
      </s:c>
      <s:c r="BT72" s="237">
        <s:f>G72</s:f>
        <s:v/>
      </s:c>
      <s:c r="BU72" s="233">
        <s:f>"20"&amp;+MID(G72,3,2)</s:f>
        <s:v/>
      </s:c>
      <s:c r="BV72" s="238">
        <s:f>C72</s:f>
        <s:v/>
      </s:c>
      <s:c r="BW72" s="233">
        <s:f>AT72</s:f>
        <s:v/>
      </s:c>
      <s:c r="BX72" s="238">
        <s:f>B72</s:f>
        <s:v/>
      </s:c>
      <s:c r="BY72" s="239">
        <s:f>H72</s:f>
        <s:v/>
      </s:c>
      <s:c r="BZ72" s="233">
        <s:f>IF(I72=0,"CONFORME","NO CONFORME")</s:f>
        <s:v/>
      </s:c>
      <s:c r="CA72" s="238">
        <s:f>C72</s:f>
        <s:v/>
      </s:c>
      <s:c r="CB72" s="240">
        <s:f>AH72</s:f>
        <s:v/>
      </s:c>
      <s:c r="CC72" s="241">
        <s:f>AR72</s:f>
        <s:v/>
      </s:c>
      <s:c r="CD72" s="240">
        <s:f>AI72</s:f>
        <s:v/>
      </s:c>
      <s:c r="CE72" s="240">
        <s:f>AJ72</s:f>
        <s:v/>
      </s:c>
      <s:c r="CF72" s="240">
        <s:f>AS72</s:f>
        <s:v/>
      </s:c>
      <s:c r="CG72" s="240">
        <s:f>V72</s:f>
        <s:v/>
      </s:c>
      <s:c r="CH72" s="241">
        <s:f>AF72</s:f>
        <s:v/>
      </s:c>
      <s:c r="CI72" s="240">
        <s:f>W72</s:f>
        <s:v/>
      </s:c>
      <s:c r="CJ72" s="240">
        <s:f>X72</s:f>
        <s:v/>
      </s:c>
      <s:c r="CK72" s="240">
        <s:f>AG72</s:f>
        <s:v/>
      </s:c>
      <s:c r="CL72" s="240">
        <s:f>J72</s:f>
        <s:v/>
      </s:c>
      <s:c r="CM72" s="241">
        <s:f>T72</s:f>
        <s:v/>
      </s:c>
      <s:c r="CN72" s="240">
        <s:f>K72</s:f>
        <s:v/>
      </s:c>
      <s:c r="CO72" s="240">
        <s:f>L72</s:f>
        <s:v/>
      </s:c>
      <s:c r="CP72" s="242">
        <s:f>U72</s:f>
        <s:v/>
      </s:c>
      <s:c r="CQ72" s="233">
        <s:f>AT72</s:f>
        <s:v/>
      </s:c>
    </s:row>
    <s:row r="73">
      <s:c r="A73" s="211" t="n">
        <s:v>56</s:v>
      </s:c>
      <s:c r="B73" s="212" t="n">
        <s:v>45901</s:v>
      </s:c>
      <s:c r="C73" s="213" t="n">
        <s:v>45901</s:v>
      </s:c>
      <s:c r="D73" s="214" t="n">
        <s:v>3</s:v>
      </s:c>
      <s:c r="E73" s="215" t="n">
        <s:v>13</s:v>
      </s:c>
      <s:c r="F73" s="216" t="inlineStr">
        <s:is>
          <s:t>VI-236548-2025</s:t>
        </s:is>
      </s:c>
      <s:c r="G73" s="217" t="inlineStr">
        <s:is>
          <s:t>QA25417800</s:t>
        </s:is>
      </s:c>
      <s:c r="H73" s="218" t="n">
        <s:v>16</s:v>
      </s:c>
      <s:c r="I73" s="219" t="n">
        <s:v>0</s:v>
      </s:c>
      <s:c r="J73" s="220" t="n">
        <s:v>18.6</s:v>
      </s:c>
      <s:c r="K73" s="221" t="n">
        <s:v>7.504</s:v>
      </s:c>
      <s:c r="L73" s="221" t="n">
        <s:v>1.251</s:v>
      </s:c>
      <s:c r="M73" s="222" t="n">
        <s:v>450.39</s:v>
      </s:c>
      <s:c r="N73" s="222" t="n">
        <s:v>550.9299999999999</s:v>
      </s:c>
      <s:c r="O73" s="222" t="n">
        <s:v>100.51</s:v>
      </s:c>
      <s:c r="P73" s="223" t="inlineStr">
        <s:is>
          <s:t>2,30,810</s:t>
        </s:is>
      </s:c>
      <s:c r="Q73" s="224" t="inlineStr">
        <s:is>
          <s:t>2</s:t>
        </s:is>
      </s:c>
      <s:c r="R73" s="224" t="inlineStr">
        <s:is>
          <s:t>30,810</s:t>
        </s:is>
      </s:c>
      <s:c r="S73" s="224" t="n">
        <s:v>0.04189166666666667</s:v>
      </s:c>
      <s:c r="T73" s="225" t="n">
        <s:v>2399.283867117565</s:v>
      </s:c>
      <s:c r="U73" s="226" t="n">
        <s:v>0.02984777634062134</s:v>
      </s:c>
      <s:c r="V73" s="220" t="n">
        <s:v>18.5</s:v>
      </s:c>
      <s:c r="W73" s="221" t="n">
        <s:v>1.09</s:v>
      </s:c>
      <s:c r="X73" s="221" t="n">
        <s:v>1.081</s:v>
      </s:c>
      <s:c r="Y73" s="222" t="n">
        <s:v>562.47</s:v>
      </s:c>
      <s:c r="Z73" s="222" t="n">
        <s:v>567.11</s:v>
      </s:c>
      <s:c r="AA73" s="227" t="n">
        <s:v>5.011</s:v>
      </s:c>
      <s:c r="AB73" s="228" t="inlineStr">
        <s:is>
          <s:t>11,25,130</s:t>
        </s:is>
      </s:c>
      <s:c r="AC73" s="224" t="inlineStr">
        <s:is>
          <s:t>11</s:t>
        </s:is>
      </s:c>
      <s:c r="AD73" s="224" t="inlineStr">
        <s:is>
          <s:t>25,130</s:t>
        </s:is>
      </s:c>
      <s:c r="AE73" s="224" t="n">
        <s:v>0.1903138888888889</s:v>
      </s:c>
      <s:c r="AF73" s="225" t="n">
        <s:v>26.33018551223855</s:v>
      </s:c>
      <s:c r="AG73" s="229" t="n">
        <s:v>-7.403711833965551</s:v>
      </s:c>
      <s:c r="AH73" s="220" t="n">
        <s:v>18.6</s:v>
      </s:c>
      <s:c r="AI73" s="221" t="n">
        <s:v>1.093</s:v>
      </s:c>
      <s:c r="AJ73" s="221" t="n">
        <s:v>1.082</s:v>
      </s:c>
      <s:c r="AK73" s="222" t="n">
        <s:v>567.11</s:v>
      </s:c>
      <s:c r="AL73" s="222" t="n">
        <s:v>568.72</s:v>
      </s:c>
      <s:c r="AM73" s="230" t="n">
        <s:v>2.006</s:v>
      </s:c>
      <s:c r="AN73" s="223" t="inlineStr">
        <s:is>
          <s:t>7,24,160</s:t>
        </s:is>
      </s:c>
      <s:c r="AO73" s="224" t="inlineStr">
        <s:is>
          <s:t>7,</s:t>
        </s:is>
      </s:c>
      <s:c r="AP73" s="224" t="inlineStr">
        <s:is>
          <s:t>24,160</s:t>
        </s:is>
      </s:c>
      <s:c r="AQ73" s="224" t="n">
        <s:v>0.1233777777777778</s:v>
      </s:c>
      <s:c r="AR73" s="225" t="n">
        <s:v>16.25900576368876</s:v>
      </s:c>
      <s:c r="AS73" s="229" t="n">
        <s:v>-19.74077766699831</s:v>
      </s:c>
      <s:c r="AT73" s="231" t="inlineStr">
        <s:is>
          <s:t>NO CONFORME</s:t>
        </s:is>
      </s:c>
      <s:c r="AU73" s="232">
        <s:f>B73=C73</s:f>
        <s:v/>
      </s:c>
      <s:c r="AV73" s="233">
        <s:f>MID(G73,1,2)</s:f>
        <s:v/>
      </s:c>
      <s:c r="AW73" s="233">
        <s:f>LEN(G73)</s:f>
        <s:v/>
      </s:c>
      <s:c r="AX73" s="233" t="inlineStr">
        <s:is>
          <s:t>OI-0922-2025</s:t>
        </s:is>
      </s:c>
      <s:c r="AY73" s="233">
        <s:f>N73&lt;Y73</s:f>
        <s:v/>
      </s:c>
      <s:c r="AZ73" s="233">
        <s:f>Z73&lt;=AK73</s:f>
        <s:v/>
      </s:c>
      <s:c r="BA73" s="233">
        <s:f>L73&lt;K73</s:f>
        <s:v/>
      </s:c>
      <s:c r="BB73" s="233">
        <s:f>W73&gt;=X73</s:f>
        <s:v/>
      </s:c>
      <s:c r="BC73" s="233">
        <s:f>AI73&gt;=AJ73</s:f>
        <s:v/>
      </s:c>
      <s:c r="BD73" s="233">
        <s:f>IF(I73&gt;=1,"Qcorrecto",IF(AND(BE73="aceptable",BF73="aceptable",BG73="aceptable"),"Qcorrecto","Qincorrecto"))</s:f>
        <s:v/>
      </s:c>
      <s:c r="BE73" s="232">
        <s:f>IF(AR73&lt;$AH$6,"error",IF(AR73&gt;$AH$6*1.1,"error","aceptable"))</s:f>
        <s:v/>
      </s:c>
      <s:c r="BF73" s="232">
        <s:f>IF(AF73&lt;$V$6,"error",IF(AF73&gt;$V$6*1.1,"error","aceptable"))</s:f>
        <s:v/>
      </s:c>
      <s:c r="BG73" s="232">
        <s:f>IF(T73&lt;$J$6*0.9,"error",IF(T73&gt;$J$6,"error","aceptable"))</s:f>
        <s:v/>
      </s:c>
      <s:c r="BH73" s="234">
        <s:f>(IF(ABS(U73)&lt;1,"CONFORME",IF(ABS(AG73)&lt;1,"CONFORME",IF(ABS(AS73)&lt;2.5,"CONFORME","NO CONFORME"))))</s:f>
        <s:v/>
      </s:c>
      <s:c r="BI73" s="235">
        <s:f>(IF(ABS(U73)&gt;2.044,"NO CONFORME",IF(ABS(AG73)&gt;2.044,"NO CONFORME",IF(ABS(AS73)&gt;5.044,"NO CONFORME","CONFORME"))))</s:f>
        <s:v/>
      </s:c>
      <s:c r="BJ73" s="233">
        <s:f>SIGN(U73)</s:f>
        <s:v/>
      </s:c>
      <s:c r="BK73" s="233">
        <s:f>SIGN(AG73)</s:f>
        <s:v/>
      </s:c>
      <s:c r="BL73" s="233">
        <s:f>SIGN(AS73)</s:f>
        <s:v/>
      </s:c>
      <s:c r="BM73" s="233">
        <s:f>CONCATENATE(BJ73,BK73,BL73)</s:f>
        <s:v/>
      </s:c>
      <s:c r="BN73" s="233">
        <s:f>IF(BM73="111","SI","SD")</s:f>
        <s:v/>
      </s:c>
      <s:c r="BO73" s="233">
        <s:f>IF(BM73="-1-1-1","SI","SD")</s:f>
        <s:v/>
      </s:c>
      <s:c r="BP73" s="233">
        <s:f>OR(BN73="SI",BO73="SI")</s:f>
        <s:v/>
      </s:c>
      <s:c r="BQ73" s="233">
        <s:f>IF(BP73=FALSE,"SIGDIFERENTES","SIGIGUALES")</s:f>
        <s:v/>
      </s:c>
      <s:c r="BR73" s="236">
        <s:f>IF(BI73="NO CONFORME","NO CONFORME",IF(BH73="CONFORME","CONFORME","NO CONFORME"))</s:f>
        <s:v/>
      </s:c>
      <s:c r="BS73" s="233">
        <s:f>F73</s:f>
        <s:v/>
      </s:c>
      <s:c r="BT73" s="237">
        <s:f>G73</s:f>
        <s:v/>
      </s:c>
      <s:c r="BU73" s="233">
        <s:f>"20"&amp;+MID(G73,3,2)</s:f>
        <s:v/>
      </s:c>
      <s:c r="BV73" s="238">
        <s:f>C73</s:f>
        <s:v/>
      </s:c>
      <s:c r="BW73" s="233">
        <s:f>AT73</s:f>
        <s:v/>
      </s:c>
      <s:c r="BX73" s="238">
        <s:f>B73</s:f>
        <s:v/>
      </s:c>
      <s:c r="BY73" s="239">
        <s:f>H73</s:f>
        <s:v/>
      </s:c>
      <s:c r="BZ73" s="233">
        <s:f>IF(I73=0,"CONFORME","NO CONFORME")</s:f>
        <s:v/>
      </s:c>
      <s:c r="CA73" s="238">
        <s:f>C73</s:f>
        <s:v/>
      </s:c>
      <s:c r="CB73" s="240">
        <s:f>AH73</s:f>
        <s:v/>
      </s:c>
      <s:c r="CC73" s="241">
        <s:f>AR73</s:f>
        <s:v/>
      </s:c>
      <s:c r="CD73" s="240">
        <s:f>AI73</s:f>
        <s:v/>
      </s:c>
      <s:c r="CE73" s="240">
        <s:f>AJ73</s:f>
        <s:v/>
      </s:c>
      <s:c r="CF73" s="240">
        <s:f>AS73</s:f>
        <s:v/>
      </s:c>
      <s:c r="CG73" s="240">
        <s:f>V73</s:f>
        <s:v/>
      </s:c>
      <s:c r="CH73" s="241">
        <s:f>AF73</s:f>
        <s:v/>
      </s:c>
      <s:c r="CI73" s="240">
        <s:f>W73</s:f>
        <s:v/>
      </s:c>
      <s:c r="CJ73" s="240">
        <s:f>X73</s:f>
        <s:v/>
      </s:c>
      <s:c r="CK73" s="240">
        <s:f>AG73</s:f>
        <s:v/>
      </s:c>
      <s:c r="CL73" s="240">
        <s:f>J73</s:f>
        <s:v/>
      </s:c>
      <s:c r="CM73" s="241">
        <s:f>T73</s:f>
        <s:v/>
      </s:c>
      <s:c r="CN73" s="240">
        <s:f>K73</s:f>
        <s:v/>
      </s:c>
      <s:c r="CO73" s="240">
        <s:f>L73</s:f>
        <s:v/>
      </s:c>
      <s:c r="CP73" s="242">
        <s:f>U73</s:f>
        <s:v/>
      </s:c>
      <s:c r="CQ73" s="233">
        <s:f>AT73</s:f>
        <s:v/>
      </s:c>
    </s:row>
    <s:row r="74">
      <s:c r="A74" s="211" t="n">
        <s:v>57</s:v>
      </s:c>
      <s:c r="B74" s="212" t="n">
        <s:v>45901</s:v>
      </s:c>
      <s:c r="C74" s="213" t="n">
        <s:v>45901</s:v>
      </s:c>
      <s:c r="D74" s="214" t="n">
        <s:v>3</s:v>
      </s:c>
      <s:c r="E74" s="215" t="n">
        <s:v>13</s:v>
      </s:c>
      <s:c r="F74" s="216" t="inlineStr">
        <s:is>
          <s:t>VI-236549-2025</s:t>
        </s:is>
      </s:c>
      <s:c r="G74" s="217" t="inlineStr">
        <s:is>
          <s:t>QA25417847</s:t>
        </s:is>
      </s:c>
      <s:c r="H74" s="218" t="n">
        <s:v>16</s:v>
      </s:c>
      <s:c r="I74" s="219" t="n">
        <s:v>0</s:v>
      </s:c>
      <s:c r="J74" s="220" t="n">
        <s:v>18.6</s:v>
      </s:c>
      <s:c r="K74" s="221" t="n">
        <s:v>7.504</s:v>
      </s:c>
      <s:c r="L74" s="221" t="n">
        <s:v>1.251</s:v>
      </s:c>
      <s:c r="M74" s="222" t="n">
        <s:v>296.27</s:v>
      </s:c>
      <s:c r="N74" s="222" t="n">
        <s:v>395.69</s:v>
      </s:c>
      <s:c r="O74" s="222" t="n">
        <s:v>100.51</s:v>
      </s:c>
      <s:c r="P74" s="223" t="inlineStr">
        <s:is>
          <s:t>2,30,810</s:t>
        </s:is>
      </s:c>
      <s:c r="Q74" s="224" t="inlineStr">
        <s:is>
          <s:t>2</s:t>
        </s:is>
      </s:c>
      <s:c r="R74" s="224" t="inlineStr">
        <s:is>
          <s:t>30,810</s:t>
        </s:is>
      </s:c>
      <s:c r="S74" s="224" t="n">
        <s:v>0.04189166666666667</s:v>
      </s:c>
      <s:c r="T74" s="225" t="n">
        <s:v>2399.283867117565</s:v>
      </s:c>
      <s:c r="U74" s="226" t="n">
        <s:v>-1.084469207044064</s:v>
      </s:c>
      <s:c r="V74" s="220" t="n">
        <s:v>18.5</s:v>
      </s:c>
      <s:c r="W74" s="221" t="n">
        <s:v>1.09</s:v>
      </s:c>
      <s:c r="X74" s="221" t="n">
        <s:v>1.081</s:v>
      </s:c>
      <s:c r="Y74" s="222" t="n">
        <s:v>407.14</s:v>
      </s:c>
      <s:c r="Z74" s="222" t="n">
        <s:v>412.13</s:v>
      </s:c>
      <s:c r="AA74" s="227" t="n">
        <s:v>5.011</s:v>
      </s:c>
      <s:c r="AB74" s="228" t="inlineStr">
        <s:is>
          <s:t>11,25,130</s:t>
        </s:is>
      </s:c>
      <s:c r="AC74" s="224" t="inlineStr">
        <s:is>
          <s:t>11</s:t>
        </s:is>
      </s:c>
      <s:c r="AD74" s="224" t="inlineStr">
        <s:is>
          <s:t>25,130</s:t>
        </s:is>
      </s:c>
      <s:c r="AE74" s="224" t="n">
        <s:v>0.1903138888888889</s:v>
      </s:c>
      <s:c r="AF74" s="225" t="n">
        <s:v>26.33018551223855</s:v>
      </s:c>
      <s:c r="AG74" s="229" t="n">
        <s:v>-0.4190780283374781</s:v>
      </s:c>
      <s:c r="AH74" s="220" t="n">
        <s:v>18.6</s:v>
      </s:c>
      <s:c r="AI74" s="221" t="n">
        <s:v>1.093</s:v>
      </s:c>
      <s:c r="AJ74" s="221" t="n">
        <s:v>1.082</s:v>
      </s:c>
      <s:c r="AK74" s="222" t="n">
        <s:v>412.13</s:v>
      </s:c>
      <s:c r="AL74" s="222" t="n">
        <s:v>414.09</s:v>
      </s:c>
      <s:c r="AM74" s="230" t="n">
        <s:v>2.006</s:v>
      </s:c>
      <s:c r="AN74" s="223" t="inlineStr">
        <s:is>
          <s:t>7,24,160</s:t>
        </s:is>
      </s:c>
      <s:c r="AO74" s="224" t="inlineStr">
        <s:is>
          <s:t>7,</s:t>
        </s:is>
      </s:c>
      <s:c r="AP74" s="224" t="inlineStr">
        <s:is>
          <s:t>24,160</s:t>
        </s:is>
      </s:c>
      <s:c r="AQ74" s="224" t="n">
        <s:v>0.1233777777777778</s:v>
      </s:c>
      <s:c r="AR74" s="225" t="n">
        <s:v>16.25900576368876</s:v>
      </s:c>
      <s:c r="AS74" s="229" t="n">
        <s:v>-2.293120638086752</s:v>
      </s:c>
      <s:c r="AT74" s="231" t="inlineStr">
        <s:is>
          <s:t>CONFORME</s:t>
        </s:is>
      </s:c>
      <s:c r="AU74" s="232">
        <s:f>B74=C74</s:f>
        <s:v/>
      </s:c>
      <s:c r="AV74" s="233">
        <s:f>MID(G74,1,2)</s:f>
        <s:v/>
      </s:c>
      <s:c r="AW74" s="233">
        <s:f>LEN(G74)</s:f>
        <s:v/>
      </s:c>
      <s:c r="AX74" s="233" t="inlineStr">
        <s:is>
          <s:t>OI-0922-2025</s:t>
        </s:is>
      </s:c>
      <s:c r="AY74" s="233">
        <s:f>N74&lt;Y74</s:f>
        <s:v/>
      </s:c>
      <s:c r="AZ74" s="233">
        <s:f>Z74&lt;=AK74</s:f>
        <s:v/>
      </s:c>
      <s:c r="BA74" s="233">
        <s:f>L74&lt;K74</s:f>
        <s:v/>
      </s:c>
      <s:c r="BB74" s="233">
        <s:f>W74&gt;=X74</s:f>
        <s:v/>
      </s:c>
      <s:c r="BC74" s="233">
        <s:f>AI74&gt;=AJ74</s:f>
        <s:v/>
      </s:c>
      <s:c r="BD74" s="233">
        <s:f>IF(I74&gt;=1,"Qcorrecto",IF(AND(BE74="aceptable",BF74="aceptable",BG74="aceptable"),"Qcorrecto","Qincorrecto"))</s:f>
        <s:v/>
      </s:c>
      <s:c r="BE74" s="232">
        <s:f>IF(AR74&lt;$AH$6,"error",IF(AR74&gt;$AH$6*1.1,"error","aceptable"))</s:f>
        <s:v/>
      </s:c>
      <s:c r="BF74" s="232">
        <s:f>IF(AF74&lt;$V$6,"error",IF(AF74&gt;$V$6*1.1,"error","aceptable"))</s:f>
        <s:v/>
      </s:c>
      <s:c r="BG74" s="232">
        <s:f>IF(T74&lt;$J$6*0.9,"error",IF(T74&gt;$J$6,"error","aceptable"))</s:f>
        <s:v/>
      </s:c>
      <s:c r="BH74" s="234">
        <s:f>(IF(ABS(U74)&lt;1,"CONFORME",IF(ABS(AG74)&lt;1,"CONFORME",IF(ABS(AS74)&lt;2.5,"CONFORME","NO CONFORME"))))</s:f>
        <s:v/>
      </s:c>
      <s:c r="BI74" s="235">
        <s:f>(IF(ABS(U74)&gt;2.044,"NO CONFORME",IF(ABS(AG74)&gt;2.044,"NO CONFORME",IF(ABS(AS74)&gt;5.044,"NO CONFORME","CONFORME"))))</s:f>
        <s:v/>
      </s:c>
      <s:c r="BJ74" s="233">
        <s:f>SIGN(U74)</s:f>
        <s:v/>
      </s:c>
      <s:c r="BK74" s="233">
        <s:f>SIGN(AG74)</s:f>
        <s:v/>
      </s:c>
      <s:c r="BL74" s="233">
        <s:f>SIGN(AS74)</s:f>
        <s:v/>
      </s:c>
      <s:c r="BM74" s="233">
        <s:f>CONCATENATE(BJ74,BK74,BL74)</s:f>
        <s:v/>
      </s:c>
      <s:c r="BN74" s="233">
        <s:f>IF(BM74="111","SI","SD")</s:f>
        <s:v/>
      </s:c>
      <s:c r="BO74" s="233">
        <s:f>IF(BM74="-1-1-1","SI","SD")</s:f>
        <s:v/>
      </s:c>
      <s:c r="BP74" s="233">
        <s:f>OR(BN74="SI",BO74="SI")</s:f>
        <s:v/>
      </s:c>
      <s:c r="BQ74" s="233">
        <s:f>IF(BP74=FALSE,"SIGDIFERENTES","SIGIGUALES")</s:f>
        <s:v/>
      </s:c>
      <s:c r="BR74" s="236">
        <s:f>IF(BI74="NO CONFORME","NO CONFORME",IF(BH74="CONFORME","CONFORME","NO CONFORME"))</s:f>
        <s:v/>
      </s:c>
      <s:c r="BS74" s="233">
        <s:f>F74</s:f>
        <s:v/>
      </s:c>
      <s:c r="BT74" s="237">
        <s:f>G74</s:f>
        <s:v/>
      </s:c>
      <s:c r="BU74" s="233">
        <s:f>"20"&amp;+MID(G74,3,2)</s:f>
        <s:v/>
      </s:c>
      <s:c r="BV74" s="238">
        <s:f>C74</s:f>
        <s:v/>
      </s:c>
      <s:c r="BW74" s="233">
        <s:f>AT74</s:f>
        <s:v/>
      </s:c>
      <s:c r="BX74" s="238">
        <s:f>B74</s:f>
        <s:v/>
      </s:c>
      <s:c r="BY74" s="239">
        <s:f>H74</s:f>
        <s:v/>
      </s:c>
      <s:c r="BZ74" s="233">
        <s:f>IF(I74=0,"CONFORME","NO CONFORME")</s:f>
        <s:v/>
      </s:c>
      <s:c r="CA74" s="238">
        <s:f>C74</s:f>
        <s:v/>
      </s:c>
      <s:c r="CB74" s="240">
        <s:f>AH74</s:f>
        <s:v/>
      </s:c>
      <s:c r="CC74" s="241">
        <s:f>AR74</s:f>
        <s:v/>
      </s:c>
      <s:c r="CD74" s="240">
        <s:f>AI74</s:f>
        <s:v/>
      </s:c>
      <s:c r="CE74" s="240">
        <s:f>AJ74</s:f>
        <s:v/>
      </s:c>
      <s:c r="CF74" s="240">
        <s:f>AS74</s:f>
        <s:v/>
      </s:c>
      <s:c r="CG74" s="240">
        <s:f>V74</s:f>
        <s:v/>
      </s:c>
      <s:c r="CH74" s="241">
        <s:f>AF74</s:f>
        <s:v/>
      </s:c>
      <s:c r="CI74" s="240">
        <s:f>W74</s:f>
        <s:v/>
      </s:c>
      <s:c r="CJ74" s="240">
        <s:f>X74</s:f>
        <s:v/>
      </s:c>
      <s:c r="CK74" s="240">
        <s:f>AG74</s:f>
        <s:v/>
      </s:c>
      <s:c r="CL74" s="240">
        <s:f>J74</s:f>
        <s:v/>
      </s:c>
      <s:c r="CM74" s="241">
        <s:f>T74</s:f>
        <s:v/>
      </s:c>
      <s:c r="CN74" s="240">
        <s:f>K74</s:f>
        <s:v/>
      </s:c>
      <s:c r="CO74" s="240">
        <s:f>L74</s:f>
        <s:v/>
      </s:c>
      <s:c r="CP74" s="242">
        <s:f>U74</s:f>
        <s:v/>
      </s:c>
      <s:c r="CQ74" s="233">
        <s:f>AT74</s:f>
        <s:v/>
      </s:c>
    </s:row>
    <s:row r="75">
      <s:c r="A75" s="211" t="n">
        <s:v>58</s:v>
      </s:c>
      <s:c r="B75" s="212" t="n">
        <s:v>45901</s:v>
      </s:c>
      <s:c r="C75" s="213" t="n">
        <s:v>45901</s:v>
      </s:c>
      <s:c r="D75" s="214" t="n">
        <s:v>3</s:v>
      </s:c>
      <s:c r="E75" s="215" t="n">
        <s:v>13</s:v>
      </s:c>
      <s:c r="F75" s="216" t="inlineStr">
        <s:is>
          <s:t>VI-236550-2025</s:t>
        </s:is>
      </s:c>
      <s:c r="G75" s="217" t="inlineStr">
        <s:is>
          <s:t>QA25417780</s:t>
        </s:is>
      </s:c>
      <s:c r="H75" s="218" t="n">
        <s:v>16</s:v>
      </s:c>
      <s:c r="I75" s="219" t="n">
        <s:v>0</s:v>
      </s:c>
      <s:c r="J75" s="220" t="n">
        <s:v>18.6</s:v>
      </s:c>
      <s:c r="K75" s="221" t="n">
        <s:v>7.504</s:v>
      </s:c>
      <s:c r="L75" s="221" t="n">
        <s:v>1.251</s:v>
      </s:c>
      <s:c r="M75" s="222" t="n">
        <s:v>314.18</s:v>
      </s:c>
      <s:c r="N75" s="222" t="n">
        <s:v>414.35</s:v>
      </s:c>
      <s:c r="O75" s="222" t="n">
        <s:v>100.51</s:v>
      </s:c>
      <s:c r="P75" s="223" t="inlineStr">
        <s:is>
          <s:t>2,30,810</s:t>
        </s:is>
      </s:c>
      <s:c r="Q75" s="224" t="inlineStr">
        <s:is>
          <s:t>2</s:t>
        </s:is>
      </s:c>
      <s:c r="R75" s="224" t="inlineStr">
        <s:is>
          <s:t>30,810</s:t>
        </s:is>
      </s:c>
      <s:c r="S75" s="224" t="n">
        <s:v>0.04189166666666667</s:v>
      </s:c>
      <s:c r="T75" s="225" t="n">
        <s:v>2399.283867117565</s:v>
      </s:c>
      <s:c r="U75" s="226" t="n">
        <s:v>-0.3382747985274989</s:v>
      </s:c>
      <s:c r="V75" s="220" t="n">
        <s:v>18.5</s:v>
      </s:c>
      <s:c r="W75" s="221" t="n">
        <s:v>1.09</s:v>
      </s:c>
      <s:c r="X75" s="221" t="n">
        <s:v>1.081</s:v>
      </s:c>
      <s:c r="Y75" s="222" t="n">
        <s:v>425.93</s:v>
      </s:c>
      <s:c r="Z75" s="222" t="n">
        <s:v>431.04</s:v>
      </s:c>
      <s:c r="AA75" s="227" t="n">
        <s:v>5.011</s:v>
      </s:c>
      <s:c r="AB75" s="228" t="inlineStr">
        <s:is>
          <s:t>11,25,130</s:t>
        </s:is>
      </s:c>
      <s:c r="AC75" s="224" t="inlineStr">
        <s:is>
          <s:t>11</s:t>
        </s:is>
      </s:c>
      <s:c r="AD75" s="224" t="inlineStr">
        <s:is>
          <s:t>25,130</s:t>
        </s:is>
      </s:c>
      <s:c r="AE75" s="224" t="n">
        <s:v>0.1903138888888889</s:v>
      </s:c>
      <s:c r="AF75" s="225" t="n">
        <s:v>26.33018551223855</s:v>
      </s:c>
      <s:c r="AG75" s="229" t="n">
        <s:v>1.975653562163511</s:v>
      </s:c>
      <s:c r="AH75" s="220" t="n">
        <s:v>18.6</s:v>
      </s:c>
      <s:c r="AI75" s="221" t="n">
        <s:v>1.093</s:v>
      </s:c>
      <s:c r="AJ75" s="221" t="n">
        <s:v>1.082</s:v>
      </s:c>
      <s:c r="AK75" s="222" t="n">
        <s:v>431.04</s:v>
      </s:c>
      <s:c r="AL75" s="222" t="n">
        <s:v>433.06</s:v>
      </s:c>
      <s:c r="AM75" s="230" t="n">
        <s:v>2.006</s:v>
      </s:c>
      <s:c r="AN75" s="223" t="inlineStr">
        <s:is>
          <s:t>7,24,160</s:t>
        </s:is>
      </s:c>
      <s:c r="AO75" s="224" t="inlineStr">
        <s:is>
          <s:t>7,</s:t>
        </s:is>
      </s:c>
      <s:c r="AP75" s="224" t="inlineStr">
        <s:is>
          <s:t>24,160</s:t>
        </s:is>
      </s:c>
      <s:c r="AQ75" s="224" t="n">
        <s:v>0.1233777777777778</s:v>
      </s:c>
      <s:c r="AR75" s="225" t="n">
        <s:v>16.25900576368876</s:v>
      </s:c>
      <s:c r="AS75" s="229" t="n">
        <s:v>0.6979062811556345</s:v>
      </s:c>
      <s:c r="AT75" s="231" t="inlineStr">
        <s:is>
          <s:t>CONFORME</s:t>
        </s:is>
      </s:c>
      <s:c r="AU75" s="232">
        <s:f>B75=C75</s:f>
        <s:v/>
      </s:c>
      <s:c r="AV75" s="233">
        <s:f>MID(G75,1,2)</s:f>
        <s:v/>
      </s:c>
      <s:c r="AW75" s="233">
        <s:f>LEN(G75)</s:f>
        <s:v/>
      </s:c>
      <s:c r="AX75" s="233" t="inlineStr">
        <s:is>
          <s:t>OI-0922-2025</s:t>
        </s:is>
      </s:c>
      <s:c r="AY75" s="233">
        <s:f>N75&lt;Y75</s:f>
        <s:v/>
      </s:c>
      <s:c r="AZ75" s="233">
        <s:f>Z75&lt;=AK75</s:f>
        <s:v/>
      </s:c>
      <s:c r="BA75" s="233">
        <s:f>L75&lt;K75</s:f>
        <s:v/>
      </s:c>
      <s:c r="BB75" s="233">
        <s:f>W75&gt;=X75</s:f>
        <s:v/>
      </s:c>
      <s:c r="BC75" s="233">
        <s:f>AI75&gt;=AJ75</s:f>
        <s:v/>
      </s:c>
      <s:c r="BD75" s="233">
        <s:f>IF(I75&gt;=1,"Qcorrecto",IF(AND(BE75="aceptable",BF75="aceptable",BG75="aceptable"),"Qcorrecto","Qincorrecto"))</s:f>
        <s:v/>
      </s:c>
      <s:c r="BE75" s="232">
        <s:f>IF(AR75&lt;$AH$6,"error",IF(AR75&gt;$AH$6*1.1,"error","aceptable"))</s:f>
        <s:v/>
      </s:c>
      <s:c r="BF75" s="232">
        <s:f>IF(AF75&lt;$V$6,"error",IF(AF75&gt;$V$6*1.1,"error","aceptable"))</s:f>
        <s:v/>
      </s:c>
      <s:c r="BG75" s="232">
        <s:f>IF(T75&lt;$J$6*0.9,"error",IF(T75&gt;$J$6,"error","aceptable"))</s:f>
        <s:v/>
      </s:c>
      <s:c r="BH75" s="234">
        <s:f>(IF(ABS(U75)&lt;1,"CONFORME",IF(ABS(AG75)&lt;1,"CONFORME",IF(ABS(AS75)&lt;2.5,"CONFORME","NO CONFORME"))))</s:f>
        <s:v/>
      </s:c>
      <s:c r="BI75" s="235">
        <s:f>(IF(ABS(U75)&gt;2.044,"NO CONFORME",IF(ABS(AG75)&gt;2.044,"NO CONFORME",IF(ABS(AS75)&gt;5.044,"NO CONFORME","CONFORME"))))</s:f>
        <s:v/>
      </s:c>
      <s:c r="BJ75" s="233">
        <s:f>SIGN(U75)</s:f>
        <s:v/>
      </s:c>
      <s:c r="BK75" s="233">
        <s:f>SIGN(AG75)</s:f>
        <s:v/>
      </s:c>
      <s:c r="BL75" s="233">
        <s:f>SIGN(AS75)</s:f>
        <s:v/>
      </s:c>
      <s:c r="BM75" s="233">
        <s:f>CONCATENATE(BJ75,BK75,BL75)</s:f>
        <s:v/>
      </s:c>
      <s:c r="BN75" s="233">
        <s:f>IF(BM75="111","SI","SD")</s:f>
        <s:v/>
      </s:c>
      <s:c r="BO75" s="233">
        <s:f>IF(BM75="-1-1-1","SI","SD")</s:f>
        <s:v/>
      </s:c>
      <s:c r="BP75" s="233">
        <s:f>OR(BN75="SI",BO75="SI")</s:f>
        <s:v/>
      </s:c>
      <s:c r="BQ75" s="233">
        <s:f>IF(BP75=FALSE,"SIGDIFERENTES","SIGIGUALES")</s:f>
        <s:v/>
      </s:c>
      <s:c r="BR75" s="236">
        <s:f>IF(BI75="NO CONFORME","NO CONFORME",IF(BH75="CONFORME","CONFORME","NO CONFORME"))</s:f>
        <s:v/>
      </s:c>
      <s:c r="BS75" s="233">
        <s:f>F75</s:f>
        <s:v/>
      </s:c>
      <s:c r="BT75" s="237">
        <s:f>G75</s:f>
        <s:v/>
      </s:c>
      <s:c r="BU75" s="233">
        <s:f>"20"&amp;+MID(G75,3,2)</s:f>
        <s:v/>
      </s:c>
      <s:c r="BV75" s="238">
        <s:f>C75</s:f>
        <s:v/>
      </s:c>
      <s:c r="BW75" s="233">
        <s:f>AT75</s:f>
        <s:v/>
      </s:c>
      <s:c r="BX75" s="238">
        <s:f>B75</s:f>
        <s:v/>
      </s:c>
      <s:c r="BY75" s="239">
        <s:f>H75</s:f>
        <s:v/>
      </s:c>
      <s:c r="BZ75" s="233">
        <s:f>IF(I75=0,"CONFORME","NO CONFORME")</s:f>
        <s:v/>
      </s:c>
      <s:c r="CA75" s="238">
        <s:f>C75</s:f>
        <s:v/>
      </s:c>
      <s:c r="CB75" s="240">
        <s:f>AH75</s:f>
        <s:v/>
      </s:c>
      <s:c r="CC75" s="241">
        <s:f>AR75</s:f>
        <s:v/>
      </s:c>
      <s:c r="CD75" s="240">
        <s:f>AI75</s:f>
        <s:v/>
      </s:c>
      <s:c r="CE75" s="240">
        <s:f>AJ75</s:f>
        <s:v/>
      </s:c>
      <s:c r="CF75" s="240">
        <s:f>AS75</s:f>
        <s:v/>
      </s:c>
      <s:c r="CG75" s="240">
        <s:f>V75</s:f>
        <s:v/>
      </s:c>
      <s:c r="CH75" s="241">
        <s:f>AF75</s:f>
        <s:v/>
      </s:c>
      <s:c r="CI75" s="240">
        <s:f>W75</s:f>
        <s:v/>
      </s:c>
      <s:c r="CJ75" s="240">
        <s:f>X75</s:f>
        <s:v/>
      </s:c>
      <s:c r="CK75" s="240">
        <s:f>AG75</s:f>
        <s:v/>
      </s:c>
      <s:c r="CL75" s="240">
        <s:f>J75</s:f>
        <s:v/>
      </s:c>
      <s:c r="CM75" s="241">
        <s:f>T75</s:f>
        <s:v/>
      </s:c>
      <s:c r="CN75" s="240">
        <s:f>K75</s:f>
        <s:v/>
      </s:c>
      <s:c r="CO75" s="240">
        <s:f>L75</s:f>
        <s:v/>
      </s:c>
      <s:c r="CP75" s="242">
        <s:f>U75</s:f>
        <s:v/>
      </s:c>
      <s:c r="CQ75" s="233">
        <s:f>AT75</s:f>
        <s:v/>
      </s:c>
    </s:row>
    <s:row r="76">
      <s:c r="A76" s="211" t="n">
        <s:v>59</s:v>
      </s:c>
      <s:c r="B76" s="212" t="n">
        <s:v>45901</s:v>
      </s:c>
      <s:c r="C76" s="213" t="n">
        <s:v>45901</s:v>
      </s:c>
      <s:c r="D76" s="214" t="n">
        <s:v>3</s:v>
      </s:c>
      <s:c r="E76" s="215" t="n">
        <s:v>13</s:v>
      </s:c>
      <s:c r="F76" s="216" t="inlineStr">
        <s:is>
          <s:t>VI-236551-2025</s:t>
        </s:is>
      </s:c>
      <s:c r="G76" s="217" t="inlineStr">
        <s:is>
          <s:t>QA25417765</s:t>
        </s:is>
      </s:c>
      <s:c r="H76" s="218" t="n">
        <s:v>16</s:v>
      </s:c>
      <s:c r="I76" s="219" t="n">
        <s:v>0</s:v>
      </s:c>
      <s:c r="J76" s="220" t="n">
        <s:v>18.6</s:v>
      </s:c>
      <s:c r="K76" s="221" t="n">
        <s:v>7.504</s:v>
      </s:c>
      <s:c r="L76" s="221" t="n">
        <s:v>1.251</s:v>
      </s:c>
      <s:c r="M76" s="222" t="n">
        <s:v>295.45</s:v>
      </s:c>
      <s:c r="N76" s="222" t="n">
        <s:v>393.83</s:v>
      </s:c>
      <s:c r="O76" s="222" t="n">
        <s:v>100.51</s:v>
      </s:c>
      <s:c r="P76" s="223" t="inlineStr">
        <s:is>
          <s:t>2,30,810</s:t>
        </s:is>
      </s:c>
      <s:c r="Q76" s="224" t="inlineStr">
        <s:is>
          <s:t>2</s:t>
        </s:is>
      </s:c>
      <s:c r="R76" s="224" t="inlineStr">
        <s:is>
          <s:t>30,810</s:t>
        </s:is>
      </s:c>
      <s:c r="S76" s="224" t="n">
        <s:v>0.04189166666666667</s:v>
      </s:c>
      <s:c r="T76" s="225" t="n">
        <s:v>2399.283867117565</s:v>
      </s:c>
      <s:c r="U76" s="226" t="n">
        <s:v>-2.119192120187056</s:v>
      </s:c>
      <s:c r="V76" s="220" t="n">
        <s:v>18.5</s:v>
      </s:c>
      <s:c r="W76" s="221" t="n">
        <s:v>1.09</s:v>
      </s:c>
      <s:c r="X76" s="221" t="n">
        <s:v>1.081</s:v>
      </s:c>
      <s:c r="Y76" s="222" t="n">
        <s:v>405.23</s:v>
      </s:c>
      <s:c r="Z76" s="222" t="n">
        <s:v>410.25</s:v>
      </s:c>
      <s:c r="AA76" s="227" t="n">
        <s:v>5.011</s:v>
      </s:c>
      <s:c r="AB76" s="228" t="inlineStr">
        <s:is>
          <s:t>11,25,130</s:t>
        </s:is>
      </s:c>
      <s:c r="AC76" s="224" t="inlineStr">
        <s:is>
          <s:t>11</s:t>
        </s:is>
      </s:c>
      <s:c r="AD76" s="224" t="inlineStr">
        <s:is>
          <s:t>25,130</s:t>
        </s:is>
      </s:c>
      <s:c r="AE76" s="224" t="n">
        <s:v>0.1903138888888889</s:v>
      </s:c>
      <s:c r="AF76" s="225" t="n">
        <s:v>26.33018551223855</s:v>
      </s:c>
      <s:c r="AG76" s="229" t="n">
        <s:v>0.179604869287202</s:v>
      </s:c>
      <s:c r="AH76" s="220" t="n">
        <s:v>18.6</s:v>
      </s:c>
      <s:c r="AI76" s="221" t="n">
        <s:v>1.093</s:v>
      </s:c>
      <s:c r="AJ76" s="221" t="n">
        <s:v>1.082</s:v>
      </s:c>
      <s:c r="AK76" s="222" t="n">
        <s:v>410.25</s:v>
      </s:c>
      <s:c r="AL76" s="222" t="n">
        <s:v>412.23</s:v>
      </s:c>
      <s:c r="AM76" s="230" t="n">
        <s:v>2.006</s:v>
      </s:c>
      <s:c r="AN76" s="223" t="inlineStr">
        <s:is>
          <s:t>7,24,160</s:t>
        </s:is>
      </s:c>
      <s:c r="AO76" s="224" t="inlineStr">
        <s:is>
          <s:t>7,</s:t>
        </s:is>
      </s:c>
      <s:c r="AP76" s="224" t="inlineStr">
        <s:is>
          <s:t>24,160</s:t>
        </s:is>
      </s:c>
      <s:c r="AQ76" s="224" t="n">
        <s:v>0.1233777777777778</s:v>
      </s:c>
      <s:c r="AR76" s="225" t="n">
        <s:v>16.25900576368876</s:v>
      </s:c>
      <s:c r="AS76" s="229" t="n">
        <s:v>-1.296111665004068</s:v>
      </s:c>
      <s:c r="AT76" s="231" t="inlineStr">
        <s:is>
          <s:t>NO CONFORME</s:t>
        </s:is>
      </s:c>
      <s:c r="AU76" s="232">
        <s:f>B76=C76</s:f>
        <s:v/>
      </s:c>
      <s:c r="AV76" s="233">
        <s:f>MID(G76,1,2)</s:f>
        <s:v/>
      </s:c>
      <s:c r="AW76" s="233">
        <s:f>LEN(G76)</s:f>
        <s:v/>
      </s:c>
      <s:c r="AX76" s="233" t="inlineStr">
        <s:is>
          <s:t>OI-0922-2025</s:t>
        </s:is>
      </s:c>
      <s:c r="AY76" s="233">
        <s:f>N76&lt;Y76</s:f>
        <s:v/>
      </s:c>
      <s:c r="AZ76" s="233">
        <s:f>Z76&lt;=AK76</s:f>
        <s:v/>
      </s:c>
      <s:c r="BA76" s="233">
        <s:f>L76&lt;K76</s:f>
        <s:v/>
      </s:c>
      <s:c r="BB76" s="233">
        <s:f>W76&gt;=X76</s:f>
        <s:v/>
      </s:c>
      <s:c r="BC76" s="233">
        <s:f>AI76&gt;=AJ76</s:f>
        <s:v/>
      </s:c>
      <s:c r="BD76" s="233">
        <s:f>IF(I76&gt;=1,"Qcorrecto",IF(AND(BE76="aceptable",BF76="aceptable",BG76="aceptable"),"Qcorrecto","Qincorrecto"))</s:f>
        <s:v/>
      </s:c>
      <s:c r="BE76" s="232">
        <s:f>IF(AR76&lt;$AH$6,"error",IF(AR76&gt;$AH$6*1.1,"error","aceptable"))</s:f>
        <s:v/>
      </s:c>
      <s:c r="BF76" s="232">
        <s:f>IF(AF76&lt;$V$6,"error",IF(AF76&gt;$V$6*1.1,"error","aceptable"))</s:f>
        <s:v/>
      </s:c>
      <s:c r="BG76" s="232">
        <s:f>IF(T76&lt;$J$6*0.9,"error",IF(T76&gt;$J$6,"error","aceptable"))</s:f>
        <s:v/>
      </s:c>
      <s:c r="BH76" s="234">
        <s:f>(IF(ABS(U76)&lt;1,"CONFORME",IF(ABS(AG76)&lt;1,"CONFORME",IF(ABS(AS76)&lt;2.5,"CONFORME","NO CONFORME"))))</s:f>
        <s:v/>
      </s:c>
      <s:c r="BI76" s="235">
        <s:f>(IF(ABS(U76)&gt;2.044,"NO CONFORME",IF(ABS(AG76)&gt;2.044,"NO CONFORME",IF(ABS(AS76)&gt;5.044,"NO CONFORME","CONFORME"))))</s:f>
        <s:v/>
      </s:c>
      <s:c r="BJ76" s="233">
        <s:f>SIGN(U76)</s:f>
        <s:v/>
      </s:c>
      <s:c r="BK76" s="233">
        <s:f>SIGN(AG76)</s:f>
        <s:v/>
      </s:c>
      <s:c r="BL76" s="233">
        <s:f>SIGN(AS76)</s:f>
        <s:v/>
      </s:c>
      <s:c r="BM76" s="233">
        <s:f>CONCATENATE(BJ76,BK76,BL76)</s:f>
        <s:v/>
      </s:c>
      <s:c r="BN76" s="233">
        <s:f>IF(BM76="111","SI","SD")</s:f>
        <s:v/>
      </s:c>
      <s:c r="BO76" s="233">
        <s:f>IF(BM76="-1-1-1","SI","SD")</s:f>
        <s:v/>
      </s:c>
      <s:c r="BP76" s="233">
        <s:f>OR(BN76="SI",BO76="SI")</s:f>
        <s:v/>
      </s:c>
      <s:c r="BQ76" s="233">
        <s:f>IF(BP76=FALSE,"SIGDIFERENTES","SIGIGUALES")</s:f>
        <s:v/>
      </s:c>
      <s:c r="BR76" s="236">
        <s:f>IF(BI76="NO CONFORME","NO CONFORME",IF(BH76="CONFORME","CONFORME","NO CONFORME"))</s:f>
        <s:v/>
      </s:c>
      <s:c r="BS76" s="233">
        <s:f>F76</s:f>
        <s:v/>
      </s:c>
      <s:c r="BT76" s="237">
        <s:f>G76</s:f>
        <s:v/>
      </s:c>
      <s:c r="BU76" s="233">
        <s:f>"20"&amp;+MID(G76,3,2)</s:f>
        <s:v/>
      </s:c>
      <s:c r="BV76" s="238">
        <s:f>C76</s:f>
        <s:v/>
      </s:c>
      <s:c r="BW76" s="233">
        <s:f>AT76</s:f>
        <s:v/>
      </s:c>
      <s:c r="BX76" s="238">
        <s:f>B76</s:f>
        <s:v/>
      </s:c>
      <s:c r="BY76" s="239">
        <s:f>H76</s:f>
        <s:v/>
      </s:c>
      <s:c r="BZ76" s="233">
        <s:f>IF(I76=0,"CONFORME","NO CONFORME")</s:f>
        <s:v/>
      </s:c>
      <s:c r="CA76" s="238">
        <s:f>C76</s:f>
        <s:v/>
      </s:c>
      <s:c r="CB76" s="240">
        <s:f>AH76</s:f>
        <s:v/>
      </s:c>
      <s:c r="CC76" s="241">
        <s:f>AR76</s:f>
        <s:v/>
      </s:c>
      <s:c r="CD76" s="240">
        <s:f>AI76</s:f>
        <s:v/>
      </s:c>
      <s:c r="CE76" s="240">
        <s:f>AJ76</s:f>
        <s:v/>
      </s:c>
      <s:c r="CF76" s="240">
        <s:f>AS76</s:f>
        <s:v/>
      </s:c>
      <s:c r="CG76" s="240">
        <s:f>V76</s:f>
        <s:v/>
      </s:c>
      <s:c r="CH76" s="241">
        <s:f>AF76</s:f>
        <s:v/>
      </s:c>
      <s:c r="CI76" s="240">
        <s:f>W76</s:f>
        <s:v/>
      </s:c>
      <s:c r="CJ76" s="240">
        <s:f>X76</s:f>
        <s:v/>
      </s:c>
      <s:c r="CK76" s="240">
        <s:f>AG76</s:f>
        <s:v/>
      </s:c>
      <s:c r="CL76" s="240">
        <s:f>J76</s:f>
        <s:v/>
      </s:c>
      <s:c r="CM76" s="241">
        <s:f>T76</s:f>
        <s:v/>
      </s:c>
      <s:c r="CN76" s="240">
        <s:f>K76</s:f>
        <s:v/>
      </s:c>
      <s:c r="CO76" s="240">
        <s:f>L76</s:f>
        <s:v/>
      </s:c>
      <s:c r="CP76" s="242">
        <s:f>U76</s:f>
        <s:v/>
      </s:c>
      <s:c r="CQ76" s="233">
        <s:f>AT76</s:f>
        <s:v/>
      </s:c>
    </s:row>
    <s:row r="77">
      <s:c r="A77" s="211" t="n">
        <s:v>60</s:v>
      </s:c>
      <s:c r="B77" s="212" t="n">
        <s:v>45901</s:v>
      </s:c>
      <s:c r="C77" s="213" t="n">
        <s:v>45901</s:v>
      </s:c>
      <s:c r="D77" s="214" t="n">
        <s:v>3</s:v>
      </s:c>
      <s:c r="E77" s="215" t="n">
        <s:v>13</s:v>
      </s:c>
      <s:c r="F77" s="216" t="inlineStr">
        <s:is>
          <s:t>VI-236552-2025</s:t>
        </s:is>
      </s:c>
      <s:c r="G77" s="217" t="inlineStr">
        <s:is>
          <s:t>QA25417814</s:t>
        </s:is>
      </s:c>
      <s:c r="H77" s="218" t="n">
        <s:v>16</s:v>
      </s:c>
      <s:c r="I77" s="219" t="n">
        <s:v>0</s:v>
      </s:c>
      <s:c r="J77" s="220" t="n">
        <s:v>18.6</s:v>
      </s:c>
      <s:c r="K77" s="221" t="n">
        <s:v>7.504</s:v>
      </s:c>
      <s:c r="L77" s="221" t="n">
        <s:v>1.251</s:v>
      </s:c>
      <s:c r="M77" s="222" t="n">
        <s:v>637.0700000000001</s:v>
      </s:c>
      <s:c r="N77" s="222" t="n">
        <s:v>735.23</s:v>
      </s:c>
      <s:c r="O77" s="222" t="n">
        <s:v>100.51</s:v>
      </s:c>
      <s:c r="P77" s="223" t="inlineStr">
        <s:is>
          <s:t>2,30,810</s:t>
        </s:is>
      </s:c>
      <s:c r="Q77" s="224" t="inlineStr">
        <s:is>
          <s:t>2</s:t>
        </s:is>
      </s:c>
      <s:c r="R77" s="224" t="inlineStr">
        <s:is>
          <s:t>30,810</s:t>
        </s:is>
      </s:c>
      <s:c r="S77" s="224" t="n">
        <s:v>0.04189166666666667</s:v>
      </s:c>
      <s:c r="T77" s="225" t="n">
        <s:v>2399.283867117565</s:v>
      </s:c>
      <s:c r="U77" s="226" t="n">
        <s:v>-2.338075813351942</s:v>
      </s:c>
      <s:c r="V77" s="220" t="n">
        <s:v>18.5</s:v>
      </s:c>
      <s:c r="W77" s="221" t="n">
        <s:v>1.09</s:v>
      </s:c>
      <s:c r="X77" s="221" t="n">
        <s:v>1.081</s:v>
      </s:c>
      <s:c r="Y77" s="222" t="n">
        <s:v>746.63</s:v>
      </s:c>
      <s:c r="Z77" s="222" t="n">
        <s:v>751.65</s:v>
      </s:c>
      <s:c r="AA77" s="227" t="n">
        <s:v>5.011</s:v>
      </s:c>
      <s:c r="AB77" s="228" t="inlineStr">
        <s:is>
          <s:t>11,25,130</s:t>
        </s:is>
      </s:c>
      <s:c r="AC77" s="224" t="inlineStr">
        <s:is>
          <s:t>11</s:t>
        </s:is>
      </s:c>
      <s:c r="AD77" s="224" t="inlineStr">
        <s:is>
          <s:t>25,130</s:t>
        </s:is>
      </s:c>
      <s:c r="AE77" s="224" t="n">
        <s:v>0.1903138888888889</s:v>
      </s:c>
      <s:c r="AF77" s="225" t="n">
        <s:v>26.33018551223855</s:v>
      </s:c>
      <s:c r="AG77" s="229" t="n">
        <s:v>0.179604869287202</s:v>
      </s:c>
      <s:c r="AH77" s="220" t="n">
        <s:v>18.6</s:v>
      </s:c>
      <s:c r="AI77" s="221" t="n">
        <s:v>1.093</s:v>
      </s:c>
      <s:c r="AJ77" s="221" t="n">
        <s:v>1.082</s:v>
      </s:c>
      <s:c r="AK77" s="222" t="n">
        <s:v>751.65</s:v>
      </s:c>
      <s:c r="AL77" s="222" t="n">
        <s:v>753.65</s:v>
      </s:c>
      <s:c r="AM77" s="230" t="n">
        <s:v>2.006</s:v>
      </s:c>
      <s:c r="AN77" s="223" t="inlineStr">
        <s:is>
          <s:t>7,24,160</s:t>
        </s:is>
      </s:c>
      <s:c r="AO77" s="224" t="inlineStr">
        <s:is>
          <s:t>7,</s:t>
        </s:is>
      </s:c>
      <s:c r="AP77" s="224" t="inlineStr">
        <s:is>
          <s:t>24,160</s:t>
        </s:is>
      </s:c>
      <s:c r="AQ77" s="224" t="n">
        <s:v>0.1233777777777778</s:v>
      </s:c>
      <s:c r="AR77" s="225" t="n">
        <s:v>16.25900576368876</s:v>
      </s:c>
      <s:c r="AS77" s="229" t="n">
        <s:v>-0.2991026919242165</s:v>
      </s:c>
      <s:c r="AT77" s="231" t="inlineStr">
        <s:is>
          <s:t>NO CONFORME</s:t>
        </s:is>
      </s:c>
      <s:c r="AU77" s="232">
        <s:f>B77=C77</s:f>
        <s:v/>
      </s:c>
      <s:c r="AV77" s="233">
        <s:f>MID(G77,1,2)</s:f>
        <s:v/>
      </s:c>
      <s:c r="AW77" s="233">
        <s:f>LEN(G77)</s:f>
        <s:v/>
      </s:c>
      <s:c r="AX77" s="233" t="inlineStr">
        <s:is>
          <s:t>OI-0922-2025</s:t>
        </s:is>
      </s:c>
      <s:c r="AY77" s="233">
        <s:f>N77&lt;Y77</s:f>
        <s:v/>
      </s:c>
      <s:c r="AZ77" s="233">
        <s:f>Z77&lt;=AK77</s:f>
        <s:v/>
      </s:c>
      <s:c r="BA77" s="233">
        <s:f>L77&lt;K77</s:f>
        <s:v/>
      </s:c>
      <s:c r="BB77" s="233">
        <s:f>W77&gt;=X77</s:f>
        <s:v/>
      </s:c>
      <s:c r="BC77" s="233">
        <s:f>AI77&gt;=AJ77</s:f>
        <s:v/>
      </s:c>
      <s:c r="BD77" s="233">
        <s:f>IF(I77&gt;=1,"Qcorrecto",IF(AND(BE77="aceptable",BF77="aceptable",BG77="aceptable"),"Qcorrecto","Qincorrecto"))</s:f>
        <s:v/>
      </s:c>
      <s:c r="BE77" s="232">
        <s:f>IF(AR77&lt;$AH$6,"error",IF(AR77&gt;$AH$6*1.1,"error","aceptable"))</s:f>
        <s:v/>
      </s:c>
      <s:c r="BF77" s="232">
        <s:f>IF(AF77&lt;$V$6,"error",IF(AF77&gt;$V$6*1.1,"error","aceptable"))</s:f>
        <s:v/>
      </s:c>
      <s:c r="BG77" s="232">
        <s:f>IF(T77&lt;$J$6*0.9,"error",IF(T77&gt;$J$6,"error","aceptable"))</s:f>
        <s:v/>
      </s:c>
      <s:c r="BH77" s="234">
        <s:f>(IF(ABS(U77)&lt;1,"CONFORME",IF(ABS(AG77)&lt;1,"CONFORME",IF(ABS(AS77)&lt;2.5,"CONFORME","NO CONFORME"))))</s:f>
        <s:v/>
      </s:c>
      <s:c r="BI77" s="235">
        <s:f>(IF(ABS(U77)&gt;2.044,"NO CONFORME",IF(ABS(AG77)&gt;2.044,"NO CONFORME",IF(ABS(AS77)&gt;5.044,"NO CONFORME","CONFORME"))))</s:f>
        <s:v/>
      </s:c>
      <s:c r="BJ77" s="233">
        <s:f>SIGN(U77)</s:f>
        <s:v/>
      </s:c>
      <s:c r="BK77" s="233">
        <s:f>SIGN(AG77)</s:f>
        <s:v/>
      </s:c>
      <s:c r="BL77" s="233">
        <s:f>SIGN(AS77)</s:f>
        <s:v/>
      </s:c>
      <s:c r="BM77" s="233">
        <s:f>CONCATENATE(BJ77,BK77,BL77)</s:f>
        <s:v/>
      </s:c>
      <s:c r="BN77" s="233">
        <s:f>IF(BM77="111","SI","SD")</s:f>
        <s:v/>
      </s:c>
      <s:c r="BO77" s="233">
        <s:f>IF(BM77="-1-1-1","SI","SD")</s:f>
        <s:v/>
      </s:c>
      <s:c r="BP77" s="233">
        <s:f>OR(BN77="SI",BO77="SI")</s:f>
        <s:v/>
      </s:c>
      <s:c r="BQ77" s="233">
        <s:f>IF(BP77=FALSE,"SIGDIFERENTES","SIGIGUALES")</s:f>
        <s:v/>
      </s:c>
      <s:c r="BR77" s="236">
        <s:f>IF(BI77="NO CONFORME","NO CONFORME",IF(BH77="CONFORME","CONFORME","NO CONFORME"))</s:f>
        <s:v/>
      </s:c>
      <s:c r="BS77" s="233">
        <s:f>F77</s:f>
        <s:v/>
      </s:c>
      <s:c r="BT77" s="237">
        <s:f>G77</s:f>
        <s:v/>
      </s:c>
      <s:c r="BU77" s="233">
        <s:f>"20"&amp;+MID(G77,3,2)</s:f>
        <s:v/>
      </s:c>
      <s:c r="BV77" s="238">
        <s:f>C77</s:f>
        <s:v/>
      </s:c>
      <s:c r="BW77" s="233">
        <s:f>AT77</s:f>
        <s:v/>
      </s:c>
      <s:c r="BX77" s="238">
        <s:f>B77</s:f>
        <s:v/>
      </s:c>
      <s:c r="BY77" s="239">
        <s:f>H77</s:f>
        <s:v/>
      </s:c>
      <s:c r="BZ77" s="233">
        <s:f>IF(I77=0,"CONFORME","NO CONFORME")</s:f>
        <s:v/>
      </s:c>
      <s:c r="CA77" s="238">
        <s:f>C77</s:f>
        <s:v/>
      </s:c>
      <s:c r="CB77" s="240">
        <s:f>AH77</s:f>
        <s:v/>
      </s:c>
      <s:c r="CC77" s="241">
        <s:f>AR77</s:f>
        <s:v/>
      </s:c>
      <s:c r="CD77" s="240">
        <s:f>AI77</s:f>
        <s:v/>
      </s:c>
      <s:c r="CE77" s="240">
        <s:f>AJ77</s:f>
        <s:v/>
      </s:c>
      <s:c r="CF77" s="240">
        <s:f>AS77</s:f>
        <s:v/>
      </s:c>
      <s:c r="CG77" s="240">
        <s:f>V77</s:f>
        <s:v/>
      </s:c>
      <s:c r="CH77" s="241">
        <s:f>AF77</s:f>
        <s:v/>
      </s:c>
      <s:c r="CI77" s="240">
        <s:f>W77</s:f>
        <s:v/>
      </s:c>
      <s:c r="CJ77" s="240">
        <s:f>X77</s:f>
        <s:v/>
      </s:c>
      <s:c r="CK77" s="240">
        <s:f>AG77</s:f>
        <s:v/>
      </s:c>
      <s:c r="CL77" s="240">
        <s:f>J77</s:f>
        <s:v/>
      </s:c>
      <s:c r="CM77" s="241">
        <s:f>T77</s:f>
        <s:v/>
      </s:c>
      <s:c r="CN77" s="240">
        <s:f>K77</s:f>
        <s:v/>
      </s:c>
      <s:c r="CO77" s="240">
        <s:f>L77</s:f>
        <s:v/>
      </s:c>
      <s:c r="CP77" s="242">
        <s:f>U77</s:f>
        <s:v/>
      </s:c>
      <s:c r="CQ77" s="233">
        <s:f>AT77</s:f>
        <s:v/>
      </s:c>
    </s:row>
    <s:row r="78">
      <s:c r="A78" s="211" t="n">
        <s:v>61</s:v>
      </s:c>
      <s:c r="B78" s="212" t="n">
        <s:v>45901</s:v>
      </s:c>
      <s:c r="C78" s="213" t="n">
        <s:v>45901</s:v>
      </s:c>
      <s:c r="D78" s="214" t="n">
        <s:v>3</s:v>
      </s:c>
      <s:c r="E78" s="215" t="n">
        <s:v>13</s:v>
      </s:c>
      <s:c r="F78" s="216" t="inlineStr">
        <s:is>
          <s:t>VI-236553-2025</s:t>
        </s:is>
      </s:c>
      <s:c r="G78" s="217" t="inlineStr">
        <s:is>
          <s:t>QA25417774</s:t>
        </s:is>
      </s:c>
      <s:c r="H78" s="218" t="n">
        <s:v>16</s:v>
      </s:c>
      <s:c r="I78" s="219" t="n">
        <s:v>0</s:v>
      </s:c>
      <s:c r="J78" s="220" t="n">
        <s:v>18.8</s:v>
      </s:c>
      <s:c r="K78" s="221" t="n">
        <s:v>7.519</s:v>
      </s:c>
      <s:c r="L78" s="221" t="n">
        <s:v>1.242</s:v>
      </s:c>
      <s:c r="M78" s="222" t="n">
        <s:v>486.12</s:v>
      </s:c>
      <s:c r="N78" s="222" t="n">
        <s:v>586.91</s:v>
      </s:c>
      <s:c r="O78" s="222" t="n">
        <s:v>100.56</s:v>
      </s:c>
      <s:c r="P78" s="223" t="inlineStr">
        <s:is>
          <s:t>2,31,460</s:t>
        </s:is>
      </s:c>
      <s:c r="Q78" s="224" t="inlineStr">
        <s:is>
          <s:t>2</s:t>
        </s:is>
      </s:c>
      <s:c r="R78" s="224" t="inlineStr">
        <s:is>
          <s:t>31,460</s:t>
        </s:is>
      </s:c>
      <s:c r="S78" s="224" t="n">
        <s:v>0.04207222222222223</s:v>
      </s:c>
      <s:c r="T78" s="225" t="n">
        <s:v>2390.175623927109</s:v>
      </s:c>
      <s:c r="U78" s="226" t="n">
        <s:v>0.2287191726332153</s:v>
      </s:c>
      <s:c r="V78" s="220" t="n">
        <s:v>18.6</s:v>
      </s:c>
      <s:c r="W78" s="221" t="n">
        <s:v>1.093</s:v>
      </s:c>
      <s:c r="X78" s="221" t="n">
        <s:v>1.081</s:v>
      </s:c>
      <s:c r="Y78" s="222" t="n">
        <s:v>606.3099999999999</s:v>
      </s:c>
      <s:c r="Z78" s="222" t="n">
        <s:v>611.37</s:v>
      </s:c>
      <s:c r="AA78" s="227" t="n">
        <s:v>5.018</s:v>
      </s:c>
      <s:c r="AB78" s="228" t="inlineStr">
        <s:is>
          <s:t>11,15,580</s:t>
        </s:is>
      </s:c>
      <s:c r="AC78" s="224" t="inlineStr">
        <s:is>
          <s:t>11</s:t>
        </s:is>
      </s:c>
      <s:c r="AD78" s="224" t="inlineStr">
        <s:is>
          <s:t>15,580</s:t>
        </s:is>
      </s:c>
      <s:c r="AE78" s="224" t="n">
        <s:v>0.1876611111111111</s:v>
      </s:c>
      <s:c r="AF78" s="225" t="n">
        <s:v>26.73969034015217</s:v>
      </s:c>
      <s:c r="AG78" s="229" t="n">
        <s:v>0.8369868473507239</s:v>
      </s:c>
      <s:c r="AH78" s="220" t="n">
        <s:v>18.7</s:v>
      </s:c>
      <s:c r="AI78" s="221" t="n">
        <s:v>1.094</s:v>
      </s:c>
      <s:c r="AJ78" s="221" t="n">
        <s:v>1.082</s:v>
      </s:c>
      <s:c r="AK78" s="222" t="n">
        <s:v>611.37</s:v>
      </s:c>
      <s:c r="AL78" s="222" t="n">
        <s:v>613.37</s:v>
      </s:c>
      <s:c r="AM78" s="230" t="n">
        <s:v>2.006</s:v>
      </s:c>
      <s:c r="AN78" s="223" t="inlineStr">
        <s:is>
          <s:t>7,25,900</s:t>
        </s:is>
      </s:c>
      <s:c r="AO78" s="224" t="inlineStr">
        <s:is>
          <s:t>7,</s:t>
        </s:is>
      </s:c>
      <s:c r="AP78" s="224" t="inlineStr">
        <s:is>
          <s:t>25,900</s:t>
        </s:is>
      </s:c>
      <s:c r="AQ78" s="224" t="n">
        <s:v>0.1238611111111111</s:v>
      </s:c>
      <s:c r="AR78" s="225" t="n">
        <s:v>16.19555954249832</s:v>
      </s:c>
      <s:c r="AS78" s="229" t="n">
        <s:v>-0.2991026919242165</s:v>
      </s:c>
      <s:c r="AT78" s="231" t="inlineStr">
        <s:is>
          <s:t>CONFORME</s:t>
        </s:is>
      </s:c>
      <s:c r="AU78" s="232">
        <s:f>B78=C78</s:f>
        <s:v/>
      </s:c>
      <s:c r="AV78" s="233">
        <s:f>MID(G78,1,2)</s:f>
        <s:v/>
      </s:c>
      <s:c r="AW78" s="233">
        <s:f>LEN(G78)</s:f>
        <s:v/>
      </s:c>
      <s:c r="AX78" s="233" t="inlineStr">
        <s:is>
          <s:t>OI-0922-2025</s:t>
        </s:is>
      </s:c>
      <s:c r="AY78" s="233">
        <s:f>N78&lt;Y78</s:f>
        <s:v/>
      </s:c>
      <s:c r="AZ78" s="233">
        <s:f>Z78&lt;=AK78</s:f>
        <s:v/>
      </s:c>
      <s:c r="BA78" s="233">
        <s:f>L78&lt;K78</s:f>
        <s:v/>
      </s:c>
      <s:c r="BB78" s="233">
        <s:f>W78&gt;=X78</s:f>
        <s:v/>
      </s:c>
      <s:c r="BC78" s="233">
        <s:f>AI78&gt;=AJ78</s:f>
        <s:v/>
      </s:c>
      <s:c r="BD78" s="233">
        <s:f>IF(I78&gt;=1,"Qcorrecto",IF(AND(BE78="aceptable",BF78="aceptable",BG78="aceptable"),"Qcorrecto","Qincorrecto"))</s:f>
        <s:v/>
      </s:c>
      <s:c r="BE78" s="232">
        <s:f>IF(AR78&lt;$AH$6,"error",IF(AR78&gt;$AH$6*1.1,"error","aceptable"))</s:f>
        <s:v/>
      </s:c>
      <s:c r="BF78" s="232">
        <s:f>IF(AF78&lt;$V$6,"error",IF(AF78&gt;$V$6*1.1,"error","aceptable"))</s:f>
        <s:v/>
      </s:c>
      <s:c r="BG78" s="232">
        <s:f>IF(T78&lt;$J$6*0.9,"error",IF(T78&gt;$J$6,"error","aceptable"))</s:f>
        <s:v/>
      </s:c>
      <s:c r="BH78" s="234">
        <s:f>(IF(ABS(U78)&lt;1,"CONFORME",IF(ABS(AG78)&lt;1,"CONFORME",IF(ABS(AS78)&lt;2.5,"CONFORME","NO CONFORME"))))</s:f>
        <s:v/>
      </s:c>
      <s:c r="BI78" s="235">
        <s:f>(IF(ABS(U78)&gt;2.044,"NO CONFORME",IF(ABS(AG78)&gt;2.044,"NO CONFORME",IF(ABS(AS78)&gt;5.044,"NO CONFORME","CONFORME"))))</s:f>
        <s:v/>
      </s:c>
      <s:c r="BJ78" s="233">
        <s:f>SIGN(U78)</s:f>
        <s:v/>
      </s:c>
      <s:c r="BK78" s="233">
        <s:f>SIGN(AG78)</s:f>
        <s:v/>
      </s:c>
      <s:c r="BL78" s="233">
        <s:f>SIGN(AS78)</s:f>
        <s:v/>
      </s:c>
      <s:c r="BM78" s="233">
        <s:f>CONCATENATE(BJ78,BK78,BL78)</s:f>
        <s:v/>
      </s:c>
      <s:c r="BN78" s="233">
        <s:f>IF(BM78="111","SI","SD")</s:f>
        <s:v/>
      </s:c>
      <s:c r="BO78" s="233">
        <s:f>IF(BM78="-1-1-1","SI","SD")</s:f>
        <s:v/>
      </s:c>
      <s:c r="BP78" s="233">
        <s:f>OR(BN78="SI",BO78="SI")</s:f>
        <s:v/>
      </s:c>
      <s:c r="BQ78" s="233">
        <s:f>IF(BP78=FALSE,"SIGDIFERENTES","SIGIGUALES")</s:f>
        <s:v/>
      </s:c>
      <s:c r="BR78" s="236">
        <s:f>IF(BI78="NO CONFORME","NO CONFORME",IF(BH78="CONFORME","CONFORME","NO CONFORME"))</s:f>
        <s:v/>
      </s:c>
      <s:c r="BS78" s="233">
        <s:f>F78</s:f>
        <s:v/>
      </s:c>
      <s:c r="BT78" s="237">
        <s:f>G78</s:f>
        <s:v/>
      </s:c>
      <s:c r="BU78" s="233">
        <s:f>"20"&amp;+MID(G78,3,2)</s:f>
        <s:v/>
      </s:c>
      <s:c r="BV78" s="238">
        <s:f>C78</s:f>
        <s:v/>
      </s:c>
      <s:c r="BW78" s="233">
        <s:f>AT78</s:f>
        <s:v/>
      </s:c>
      <s:c r="BX78" s="238">
        <s:f>B78</s:f>
        <s:v/>
      </s:c>
      <s:c r="BY78" s="239">
        <s:f>H78</s:f>
        <s:v/>
      </s:c>
      <s:c r="BZ78" s="233">
        <s:f>IF(I78=0,"CONFORME","NO CONFORME")</s:f>
        <s:v/>
      </s:c>
      <s:c r="CA78" s="238">
        <s:f>C78</s:f>
        <s:v/>
      </s:c>
      <s:c r="CB78" s="240">
        <s:f>AH78</s:f>
        <s:v/>
      </s:c>
      <s:c r="CC78" s="241">
        <s:f>AR78</s:f>
        <s:v/>
      </s:c>
      <s:c r="CD78" s="240">
        <s:f>AI78</s:f>
        <s:v/>
      </s:c>
      <s:c r="CE78" s="240">
        <s:f>AJ78</s:f>
        <s:v/>
      </s:c>
      <s:c r="CF78" s="240">
        <s:f>AS78</s:f>
        <s:v/>
      </s:c>
      <s:c r="CG78" s="240">
        <s:f>V78</s:f>
        <s:v/>
      </s:c>
      <s:c r="CH78" s="241">
        <s:f>AF78</s:f>
        <s:v/>
      </s:c>
      <s:c r="CI78" s="240">
        <s:f>W78</s:f>
        <s:v/>
      </s:c>
      <s:c r="CJ78" s="240">
        <s:f>X78</s:f>
        <s:v/>
      </s:c>
      <s:c r="CK78" s="240">
        <s:f>AG78</s:f>
        <s:v/>
      </s:c>
      <s:c r="CL78" s="240">
        <s:f>J78</s:f>
        <s:v/>
      </s:c>
      <s:c r="CM78" s="241">
        <s:f>T78</s:f>
        <s:v/>
      </s:c>
      <s:c r="CN78" s="240">
        <s:f>K78</s:f>
        <s:v/>
      </s:c>
      <s:c r="CO78" s="240">
        <s:f>L78</s:f>
        <s:v/>
      </s:c>
      <s:c r="CP78" s="242">
        <s:f>U78</s:f>
        <s:v/>
      </s:c>
      <s:c r="CQ78" s="233">
        <s:f>AT78</s:f>
        <s:v/>
      </s:c>
    </s:row>
    <s:row r="79">
      <s:c r="A79" s="211" t="n">
        <s:v>62</s:v>
      </s:c>
      <s:c r="B79" s="212" t="n">
        <s:v>45901</s:v>
      </s:c>
      <s:c r="C79" s="213" t="n">
        <s:v>45901</s:v>
      </s:c>
      <s:c r="D79" s="214" t="n">
        <s:v>3</s:v>
      </s:c>
      <s:c r="E79" s="215" t="n">
        <s:v>13</s:v>
      </s:c>
      <s:c r="F79" s="216" t="inlineStr">
        <s:is>
          <s:t>VI-236554-2025</s:t>
        </s:is>
      </s:c>
      <s:c r="G79" s="217" t="inlineStr">
        <s:is>
          <s:t>QA25417815</s:t>
        </s:is>
      </s:c>
      <s:c r="H79" s="218" t="n">
        <s:v>16</s:v>
      </s:c>
      <s:c r="I79" s="219" t="n">
        <s:v>0</s:v>
      </s:c>
      <s:c r="J79" s="220" t="n">
        <s:v>18.8</s:v>
      </s:c>
      <s:c r="K79" s="221" t="n">
        <s:v>7.519</s:v>
      </s:c>
      <s:c r="L79" s="221" t="n">
        <s:v>1.242</s:v>
      </s:c>
      <s:c r="M79" s="222" t="n">
        <s:v>696.05</s:v>
      </s:c>
      <s:c r="N79" s="222" t="n">
        <s:v>796.51</s:v>
      </s:c>
      <s:c r="O79" s="222" t="n">
        <s:v>100.56</s:v>
      </s:c>
      <s:c r="P79" s="223" t="inlineStr">
        <s:is>
          <s:t>2,31,460</s:t>
        </s:is>
      </s:c>
      <s:c r="Q79" s="224" t="inlineStr">
        <s:is>
          <s:t>2</s:t>
        </s:is>
      </s:c>
      <s:c r="R79" s="224" t="inlineStr">
        <s:is>
          <s:t>31,460</s:t>
        </s:is>
      </s:c>
      <s:c r="S79" s="224" t="n">
        <s:v>0.04207222222222223</s:v>
      </s:c>
      <s:c r="T79" s="225" t="n">
        <s:v>2390.175623927109</s:v>
      </s:c>
      <s:c r="U79" s="226" t="n">
        <s:v>-0.09944311853616339</s:v>
      </s:c>
      <s:c r="V79" s="220" t="n">
        <s:v>18.6</s:v>
      </s:c>
      <s:c r="W79" s="221" t="n">
        <s:v>1.093</s:v>
      </s:c>
      <s:c r="X79" s="221" t="n">
        <s:v>1.081</s:v>
      </s:c>
      <s:c r="Y79" s="222" t="n">
        <s:v>815.74</s:v>
      </s:c>
      <s:c r="Z79" s="222" t="n">
        <s:v>820.76</s:v>
      </s:c>
      <s:c r="AA79" s="227" t="n">
        <s:v>5.018</s:v>
      </s:c>
      <s:c r="AB79" s="228" t="inlineStr">
        <s:is>
          <s:t>11,15,580</s:t>
        </s:is>
      </s:c>
      <s:c r="AC79" s="224" t="inlineStr">
        <s:is>
          <s:t>11</s:t>
        </s:is>
      </s:c>
      <s:c r="AD79" s="224" t="inlineStr">
        <s:is>
          <s:t>15,580</s:t>
        </s:is>
      </s:c>
      <s:c r="AE79" s="224" t="n">
        <s:v>0.1876611111111111</s:v>
      </s:c>
      <s:c r="AF79" s="225" t="n">
        <s:v>26.73969034015217</s:v>
      </s:c>
      <s:c r="AG79" s="229" t="n">
        <s:v>0.03985651654009598</s:v>
      </s:c>
      <s:c r="AH79" s="220" t="n">
        <s:v>18.7</s:v>
      </s:c>
      <s:c r="AI79" s="221" t="n">
        <s:v>1.094</s:v>
      </s:c>
      <s:c r="AJ79" s="221" t="n">
        <s:v>1.082</s:v>
      </s:c>
      <s:c r="AK79" s="222" t="n">
        <s:v>820.76</s:v>
      </s:c>
      <s:c r="AL79" s="222" t="n">
        <s:v>822.72</s:v>
      </s:c>
      <s:c r="AM79" s="230" t="n">
        <s:v>2.006</s:v>
      </s:c>
      <s:c r="AN79" s="223" t="inlineStr">
        <s:is>
          <s:t>7,25,900</s:t>
        </s:is>
      </s:c>
      <s:c r="AO79" s="224" t="inlineStr">
        <s:is>
          <s:t>7,</s:t>
        </s:is>
      </s:c>
      <s:c r="AP79" s="224" t="inlineStr">
        <s:is>
          <s:t>25,900</s:t>
        </s:is>
      </s:c>
      <s:c r="AQ79" s="224" t="n">
        <s:v>0.1238611111111111</s:v>
      </s:c>
      <s:c r="AR79" s="225" t="n">
        <s:v>16.19555954249832</s:v>
      </s:c>
      <s:c r="AS79" s="229" t="n">
        <s:v>-2.293120638083919</s:v>
      </s:c>
      <s:c r="AT79" s="231" t="inlineStr">
        <s:is>
          <s:t>CONFORME</s:t>
        </s:is>
      </s:c>
      <s:c r="AU79" s="232">
        <s:f>B79=C79</s:f>
        <s:v/>
      </s:c>
      <s:c r="AV79" s="233">
        <s:f>MID(G79,1,2)</s:f>
        <s:v/>
      </s:c>
      <s:c r="AW79" s="233">
        <s:f>LEN(G79)</s:f>
        <s:v/>
      </s:c>
      <s:c r="AX79" s="233" t="inlineStr">
        <s:is>
          <s:t>OI-0922-2025</s:t>
        </s:is>
      </s:c>
      <s:c r="AY79" s="233">
        <s:f>N79&lt;Y79</s:f>
        <s:v/>
      </s:c>
      <s:c r="AZ79" s="233">
        <s:f>Z79&lt;=AK79</s:f>
        <s:v/>
      </s:c>
      <s:c r="BA79" s="233">
        <s:f>L79&lt;K79</s:f>
        <s:v/>
      </s:c>
      <s:c r="BB79" s="233">
        <s:f>W79&gt;=X79</s:f>
        <s:v/>
      </s:c>
      <s:c r="BC79" s="233">
        <s:f>AI79&gt;=AJ79</s:f>
        <s:v/>
      </s:c>
      <s:c r="BD79" s="233">
        <s:f>IF(I79&gt;=1,"Qcorrecto",IF(AND(BE79="aceptable",BF79="aceptable",BG79="aceptable"),"Qcorrecto","Qincorrecto"))</s:f>
        <s:v/>
      </s:c>
      <s:c r="BE79" s="232">
        <s:f>IF(AR79&lt;$AH$6,"error",IF(AR79&gt;$AH$6*1.1,"error","aceptable"))</s:f>
        <s:v/>
      </s:c>
      <s:c r="BF79" s="232">
        <s:f>IF(AF79&lt;$V$6,"error",IF(AF79&gt;$V$6*1.1,"error","aceptable"))</s:f>
        <s:v/>
      </s:c>
      <s:c r="BG79" s="232">
        <s:f>IF(T79&lt;$J$6*0.9,"error",IF(T79&gt;$J$6,"error","aceptable"))</s:f>
        <s:v/>
      </s:c>
      <s:c r="BH79" s="234">
        <s:f>(IF(ABS(U79)&lt;1,"CONFORME",IF(ABS(AG79)&lt;1,"CONFORME",IF(ABS(AS79)&lt;2.5,"CONFORME","NO CONFORME"))))</s:f>
        <s:v/>
      </s:c>
      <s:c r="BI79" s="235">
        <s:f>(IF(ABS(U79)&gt;2.044,"NO CONFORME",IF(ABS(AG79)&gt;2.044,"NO CONFORME",IF(ABS(AS79)&gt;5.044,"NO CONFORME","CONFORME"))))</s:f>
        <s:v/>
      </s:c>
      <s:c r="BJ79" s="233">
        <s:f>SIGN(U79)</s:f>
        <s:v/>
      </s:c>
      <s:c r="BK79" s="233">
        <s:f>SIGN(AG79)</s:f>
        <s:v/>
      </s:c>
      <s:c r="BL79" s="233">
        <s:f>SIGN(AS79)</s:f>
        <s:v/>
      </s:c>
      <s:c r="BM79" s="233">
        <s:f>CONCATENATE(BJ79,BK79,BL79)</s:f>
        <s:v/>
      </s:c>
      <s:c r="BN79" s="233">
        <s:f>IF(BM79="111","SI","SD")</s:f>
        <s:v/>
      </s:c>
      <s:c r="BO79" s="233">
        <s:f>IF(BM79="-1-1-1","SI","SD")</s:f>
        <s:v/>
      </s:c>
      <s:c r="BP79" s="233">
        <s:f>OR(BN79="SI",BO79="SI")</s:f>
        <s:v/>
      </s:c>
      <s:c r="BQ79" s="233">
        <s:f>IF(BP79=FALSE,"SIGDIFERENTES","SIGIGUALES")</s:f>
        <s:v/>
      </s:c>
      <s:c r="BR79" s="236">
        <s:f>IF(BI79="NO CONFORME","NO CONFORME",IF(BH79="CONFORME","CONFORME","NO CONFORME"))</s:f>
        <s:v/>
      </s:c>
      <s:c r="BS79" s="233">
        <s:f>F79</s:f>
        <s:v/>
      </s:c>
      <s:c r="BT79" s="237">
        <s:f>G79</s:f>
        <s:v/>
      </s:c>
      <s:c r="BU79" s="233">
        <s:f>"20"&amp;+MID(G79,3,2)</s:f>
        <s:v/>
      </s:c>
      <s:c r="BV79" s="238">
        <s:f>C79</s:f>
        <s:v/>
      </s:c>
      <s:c r="BW79" s="233">
        <s:f>AT79</s:f>
        <s:v/>
      </s:c>
      <s:c r="BX79" s="238">
        <s:f>B79</s:f>
        <s:v/>
      </s:c>
      <s:c r="BY79" s="239">
        <s:f>H79</s:f>
        <s:v/>
      </s:c>
      <s:c r="BZ79" s="233">
        <s:f>IF(I79=0,"CONFORME","NO CONFORME")</s:f>
        <s:v/>
      </s:c>
      <s:c r="CA79" s="238">
        <s:f>C79</s:f>
        <s:v/>
      </s:c>
      <s:c r="CB79" s="240">
        <s:f>AH79</s:f>
        <s:v/>
      </s:c>
      <s:c r="CC79" s="241">
        <s:f>AR79</s:f>
        <s:v/>
      </s:c>
      <s:c r="CD79" s="240">
        <s:f>AI79</s:f>
        <s:v/>
      </s:c>
      <s:c r="CE79" s="240">
        <s:f>AJ79</s:f>
        <s:v/>
      </s:c>
      <s:c r="CF79" s="240">
        <s:f>AS79</s:f>
        <s:v/>
      </s:c>
      <s:c r="CG79" s="240">
        <s:f>V79</s:f>
        <s:v/>
      </s:c>
      <s:c r="CH79" s="241">
        <s:f>AF79</s:f>
        <s:v/>
      </s:c>
      <s:c r="CI79" s="240">
        <s:f>W79</s:f>
        <s:v/>
      </s:c>
      <s:c r="CJ79" s="240">
        <s:f>X79</s:f>
        <s:v/>
      </s:c>
      <s:c r="CK79" s="240">
        <s:f>AG79</s:f>
        <s:v/>
      </s:c>
      <s:c r="CL79" s="240">
        <s:f>J79</s:f>
        <s:v/>
      </s:c>
      <s:c r="CM79" s="241">
        <s:f>T79</s:f>
        <s:v/>
      </s:c>
      <s:c r="CN79" s="240">
        <s:f>K79</s:f>
        <s:v/>
      </s:c>
      <s:c r="CO79" s="240">
        <s:f>L79</s:f>
        <s:v/>
      </s:c>
      <s:c r="CP79" s="242">
        <s:f>U79</s:f>
        <s:v/>
      </s:c>
      <s:c r="CQ79" s="233">
        <s:f>AT79</s:f>
        <s:v/>
      </s:c>
    </s:row>
    <s:row r="80">
      <s:c r="A80" s="211" t="n">
        <s:v>63</s:v>
      </s:c>
      <s:c r="B80" s="212" t="n">
        <s:v>45901</s:v>
      </s:c>
      <s:c r="C80" s="213" t="n">
        <s:v>45901</s:v>
      </s:c>
      <s:c r="D80" s="214" t="n">
        <s:v>3</s:v>
      </s:c>
      <s:c r="E80" s="215" t="n">
        <s:v>13</s:v>
      </s:c>
      <s:c r="F80" s="216" t="inlineStr">
        <s:is>
          <s:t>VI-236555-2025</s:t>
        </s:is>
      </s:c>
      <s:c r="G80" s="217" t="inlineStr">
        <s:is>
          <s:t>QA25417773</s:t>
        </s:is>
      </s:c>
      <s:c r="H80" s="218" t="n">
        <s:v>16</s:v>
      </s:c>
      <s:c r="I80" s="219" t="n">
        <s:v>0</s:v>
      </s:c>
      <s:c r="J80" s="220" t="n">
        <s:v>18.8</s:v>
      </s:c>
      <s:c r="K80" s="221" t="n">
        <s:v>7.519</s:v>
      </s:c>
      <s:c r="L80" s="221" t="n">
        <s:v>1.242</s:v>
      </s:c>
      <s:c r="M80" s="222" t="n">
        <s:v>363.31</s:v>
      </s:c>
      <s:c r="N80" s="222" t="n">
        <s:v>463.14</s:v>
      </s:c>
      <s:c r="O80" s="222" t="n">
        <s:v>100.56</s:v>
      </s:c>
      <s:c r="P80" s="223" t="inlineStr">
        <s:is>
          <s:t>2,31,460</s:t>
        </s:is>
      </s:c>
      <s:c r="Q80" s="224" t="inlineStr">
        <s:is>
          <s:t>2</s:t>
        </s:is>
      </s:c>
      <s:c r="R80" s="224" t="inlineStr">
        <s:is>
          <s:t>31,460</s:t>
        </s:is>
      </s:c>
      <s:c r="S80" s="224" t="n">
        <s:v>0.04207222222222223</s:v>
      </s:c>
      <s:c r="T80" s="225" t="n">
        <s:v>2390.175623927109</s:v>
      </s:c>
      <s:c r="U80" s="226" t="n">
        <s:v>-0.7259347653142584</s:v>
      </s:c>
      <s:c r="V80" s="220" t="n">
        <s:v>18.6</s:v>
      </s:c>
      <s:c r="W80" s="221" t="n">
        <s:v>1.093</s:v>
      </s:c>
      <s:c r="X80" s="221" t="n">
        <s:v>1.081</s:v>
      </s:c>
      <s:c r="Y80" s="222" t="n">
        <s:v>482.34</s:v>
      </s:c>
      <s:c r="Z80" s="222" t="n">
        <s:v>487.39</s:v>
      </s:c>
      <s:c r="AA80" s="227" t="n">
        <s:v>5.018</s:v>
      </s:c>
      <s:c r="AB80" s="228" t="inlineStr">
        <s:is>
          <s:t>11,15,580</s:t>
        </s:is>
      </s:c>
      <s:c r="AC80" s="224" t="inlineStr">
        <s:is>
          <s:t>11</s:t>
        </s:is>
      </s:c>
      <s:c r="AD80" s="224" t="inlineStr">
        <s:is>
          <s:t>15,580</s:t>
        </s:is>
      </s:c>
      <s:c r="AE80" s="224" t="n">
        <s:v>0.1876611111111111</s:v>
      </s:c>
      <s:c r="AF80" s="225" t="n">
        <s:v>26.73969034015217</s:v>
      </s:c>
      <s:c r="AG80" s="229" t="n">
        <s:v>0.6377042646475005</s:v>
      </s:c>
      <s:c r="AH80" s="220" t="n">
        <s:v>18.7</s:v>
      </s:c>
      <s:c r="AI80" s="221" t="n">
        <s:v>1.094</s:v>
      </s:c>
      <s:c r="AJ80" s="221" t="n">
        <s:v>1.082</s:v>
      </s:c>
      <s:c r="AK80" s="222" t="n">
        <s:v>487.39</s:v>
      </s:c>
      <s:c r="AL80" s="222" t="n">
        <s:v>489.38</s:v>
      </s:c>
      <s:c r="AM80" s="230" t="n">
        <s:v>2.006</s:v>
      </s:c>
      <s:c r="AN80" s="223" t="inlineStr">
        <s:is>
          <s:t>7,25,900</s:t>
        </s:is>
      </s:c>
      <s:c r="AO80" s="224" t="inlineStr">
        <s:is>
          <s:t>7,</s:t>
        </s:is>
      </s:c>
      <s:c r="AP80" s="224" t="inlineStr">
        <s:is>
          <s:t>25,900</s:t>
        </s:is>
      </s:c>
      <s:c r="AQ80" s="224" t="n">
        <s:v>0.1238611111111111</s:v>
      </s:c>
      <s:c r="AR80" s="225" t="n">
        <s:v>16.19555954249832</s:v>
      </s:c>
      <s:c r="AS80" s="229" t="n">
        <s:v>-0.7976071784641421</s:v>
      </s:c>
      <s:c r="AT80" s="231" t="inlineStr">
        <s:is>
          <s:t>CONFORME</s:t>
        </s:is>
      </s:c>
      <s:c r="AU80" s="232">
        <s:f>B80=C80</s:f>
        <s:v/>
      </s:c>
      <s:c r="AV80" s="233">
        <s:f>MID(G80,1,2)</s:f>
        <s:v/>
      </s:c>
      <s:c r="AW80" s="233">
        <s:f>LEN(G80)</s:f>
        <s:v/>
      </s:c>
      <s:c r="AX80" s="233" t="inlineStr">
        <s:is>
          <s:t>OI-0922-2025</s:t>
        </s:is>
      </s:c>
      <s:c r="AY80" s="233">
        <s:f>N80&lt;Y80</s:f>
        <s:v/>
      </s:c>
      <s:c r="AZ80" s="233">
        <s:f>Z80&lt;=AK80</s:f>
        <s:v/>
      </s:c>
      <s:c r="BA80" s="233">
        <s:f>L80&lt;K80</s:f>
        <s:v/>
      </s:c>
      <s:c r="BB80" s="233">
        <s:f>W80&gt;=X80</s:f>
        <s:v/>
      </s:c>
      <s:c r="BC80" s="233">
        <s:f>AI80&gt;=AJ80</s:f>
        <s:v/>
      </s:c>
      <s:c r="BD80" s="233">
        <s:f>IF(I80&gt;=1,"Qcorrecto",IF(AND(BE80="aceptable",BF80="aceptable",BG80="aceptable"),"Qcorrecto","Qincorrecto"))</s:f>
        <s:v/>
      </s:c>
      <s:c r="BE80" s="232">
        <s:f>IF(AR80&lt;$AH$6,"error",IF(AR80&gt;$AH$6*1.1,"error","aceptable"))</s:f>
        <s:v/>
      </s:c>
      <s:c r="BF80" s="232">
        <s:f>IF(AF80&lt;$V$6,"error",IF(AF80&gt;$V$6*1.1,"error","aceptable"))</s:f>
        <s:v/>
      </s:c>
      <s:c r="BG80" s="232">
        <s:f>IF(T80&lt;$J$6*0.9,"error",IF(T80&gt;$J$6,"error","aceptable"))</s:f>
        <s:v/>
      </s:c>
      <s:c r="BH80" s="234">
        <s:f>(IF(ABS(U80)&lt;1,"CONFORME",IF(ABS(AG80)&lt;1,"CONFORME",IF(ABS(AS80)&lt;2.5,"CONFORME","NO CONFORME"))))</s:f>
        <s:v/>
      </s:c>
      <s:c r="BI80" s="235">
        <s:f>(IF(ABS(U80)&gt;2.044,"NO CONFORME",IF(ABS(AG80)&gt;2.044,"NO CONFORME",IF(ABS(AS80)&gt;5.044,"NO CONFORME","CONFORME"))))</s:f>
        <s:v/>
      </s:c>
      <s:c r="BJ80" s="233">
        <s:f>SIGN(U80)</s:f>
        <s:v/>
      </s:c>
      <s:c r="BK80" s="233">
        <s:f>SIGN(AG80)</s:f>
        <s:v/>
      </s:c>
      <s:c r="BL80" s="233">
        <s:f>SIGN(AS80)</s:f>
        <s:v/>
      </s:c>
      <s:c r="BM80" s="233">
        <s:f>CONCATENATE(BJ80,BK80,BL80)</s:f>
        <s:v/>
      </s:c>
      <s:c r="BN80" s="233">
        <s:f>IF(BM80="111","SI","SD")</s:f>
        <s:v/>
      </s:c>
      <s:c r="BO80" s="233">
        <s:f>IF(BM80="-1-1-1","SI","SD")</s:f>
        <s:v/>
      </s:c>
      <s:c r="BP80" s="233">
        <s:f>OR(BN80="SI",BO80="SI")</s:f>
        <s:v/>
      </s:c>
      <s:c r="BQ80" s="233">
        <s:f>IF(BP80=FALSE,"SIGDIFERENTES","SIGIGUALES")</s:f>
        <s:v/>
      </s:c>
      <s:c r="BR80" s="236">
        <s:f>IF(BI80="NO CONFORME","NO CONFORME",IF(BH80="CONFORME","CONFORME","NO CONFORME"))</s:f>
        <s:v/>
      </s:c>
      <s:c r="BS80" s="233">
        <s:f>F80</s:f>
        <s:v/>
      </s:c>
      <s:c r="BT80" s="237">
        <s:f>G80</s:f>
        <s:v/>
      </s:c>
      <s:c r="BU80" s="233">
        <s:f>"20"&amp;+MID(G80,3,2)</s:f>
        <s:v/>
      </s:c>
      <s:c r="BV80" s="238">
        <s:f>C80</s:f>
        <s:v/>
      </s:c>
      <s:c r="BW80" s="233">
        <s:f>AT80</s:f>
        <s:v/>
      </s:c>
      <s:c r="BX80" s="238">
        <s:f>B80</s:f>
        <s:v/>
      </s:c>
      <s:c r="BY80" s="239">
        <s:f>H80</s:f>
        <s:v/>
      </s:c>
      <s:c r="BZ80" s="233">
        <s:f>IF(I80=0,"CONFORME","NO CONFORME")</s:f>
        <s:v/>
      </s:c>
      <s:c r="CA80" s="238">
        <s:f>C80</s:f>
        <s:v/>
      </s:c>
      <s:c r="CB80" s="240">
        <s:f>AH80</s:f>
        <s:v/>
      </s:c>
      <s:c r="CC80" s="241">
        <s:f>AR80</s:f>
        <s:v/>
      </s:c>
      <s:c r="CD80" s="240">
        <s:f>AI80</s:f>
        <s:v/>
      </s:c>
      <s:c r="CE80" s="240">
        <s:f>AJ80</s:f>
        <s:v/>
      </s:c>
      <s:c r="CF80" s="240">
        <s:f>AS80</s:f>
        <s:v/>
      </s:c>
      <s:c r="CG80" s="240">
        <s:f>V80</s:f>
        <s:v/>
      </s:c>
      <s:c r="CH80" s="241">
        <s:f>AF80</s:f>
        <s:v/>
      </s:c>
      <s:c r="CI80" s="240">
        <s:f>W80</s:f>
        <s:v/>
      </s:c>
      <s:c r="CJ80" s="240">
        <s:f>X80</s:f>
        <s:v/>
      </s:c>
      <s:c r="CK80" s="240">
        <s:f>AG80</s:f>
        <s:v/>
      </s:c>
      <s:c r="CL80" s="240">
        <s:f>J80</s:f>
        <s:v/>
      </s:c>
      <s:c r="CM80" s="241">
        <s:f>T80</s:f>
        <s:v/>
      </s:c>
      <s:c r="CN80" s="240">
        <s:f>K80</s:f>
        <s:v/>
      </s:c>
      <s:c r="CO80" s="240">
        <s:f>L80</s:f>
        <s:v/>
      </s:c>
      <s:c r="CP80" s="242">
        <s:f>U80</s:f>
        <s:v/>
      </s:c>
      <s:c r="CQ80" s="233">
        <s:f>AT80</s:f>
        <s:v/>
      </s:c>
    </s:row>
    <s:row r="81">
      <s:c r="A81" s="211" t="n">
        <s:v>64</s:v>
      </s:c>
      <s:c r="B81" s="212" t="n">
        <s:v>45901</s:v>
      </s:c>
      <s:c r="C81" s="213" t="n">
        <s:v>45901</s:v>
      </s:c>
      <s:c r="D81" s="214" t="n">
        <s:v>3</s:v>
      </s:c>
      <s:c r="E81" s="215" t="n">
        <s:v>13</s:v>
      </s:c>
      <s:c r="F81" s="216" t="inlineStr">
        <s:is>
          <s:t>VI-236556-2025</s:t>
        </s:is>
      </s:c>
      <s:c r="G81" s="217" t="inlineStr">
        <s:is>
          <s:t>QA25417775</s:t>
        </s:is>
      </s:c>
      <s:c r="H81" s="218" t="n">
        <s:v>16</s:v>
      </s:c>
      <s:c r="I81" s="219" t="n">
        <s:v>0</s:v>
      </s:c>
      <s:c r="J81" s="220" t="n">
        <s:v>18.8</s:v>
      </s:c>
      <s:c r="K81" s="221" t="n">
        <s:v>7.519</s:v>
      </s:c>
      <s:c r="L81" s="221" t="n">
        <s:v>1.242</s:v>
      </s:c>
      <s:c r="M81" s="222" t="n">
        <s:v>375.17</s:v>
      </s:c>
      <s:c r="N81" s="222" t="n">
        <s:v>475.41</s:v>
      </s:c>
      <s:c r="O81" s="222" t="n">
        <s:v>100.56</s:v>
      </s:c>
      <s:c r="P81" s="223" t="inlineStr">
        <s:is>
          <s:t>2,31,460</s:t>
        </s:is>
      </s:c>
      <s:c r="Q81" s="224" t="inlineStr">
        <s:is>
          <s:t>2</s:t>
        </s:is>
      </s:c>
      <s:c r="R81" s="224" t="inlineStr">
        <s:is>
          <s:t>31,460</s:t>
        </s:is>
      </s:c>
      <s:c r="S81" s="224" t="n">
        <s:v>0.04207222222222223</s:v>
      </s:c>
      <s:c r="T81" s="225" t="n">
        <s:v>2390.175623927109</s:v>
      </s:c>
      <s:c r="U81" s="226" t="n">
        <s:v>-0.3182179793158246</s:v>
      </s:c>
      <s:c r="V81" s="220" t="n">
        <s:v>18.6</s:v>
      </s:c>
      <s:c r="W81" s="221" t="n">
        <s:v>1.093</s:v>
      </s:c>
      <s:c r="X81" s="221" t="n">
        <s:v>1.081</s:v>
      </s:c>
      <s:c r="Y81" s="222" t="n">
        <s:v>494.8</s:v>
      </s:c>
      <s:c r="Z81" s="222" t="n">
        <s:v>499.85</s:v>
      </s:c>
      <s:c r="AA81" s="227" t="n">
        <s:v>5.018</s:v>
      </s:c>
      <s:c r="AB81" s="228" t="inlineStr">
        <s:is>
          <s:t>11,15,580</s:t>
        </s:is>
      </s:c>
      <s:c r="AC81" s="224" t="inlineStr">
        <s:is>
          <s:t>11</s:t>
        </s:is>
      </s:c>
      <s:c r="AD81" s="224" t="inlineStr">
        <s:is>
          <s:t>15,580</s:t>
        </s:is>
      </s:c>
      <s:c r="AE81" s="224" t="n">
        <s:v>0.1876611111111111</s:v>
      </s:c>
      <s:c r="AF81" s="225" t="n">
        <s:v>26.73969034015217</s:v>
      </s:c>
      <s:c r="AG81" s="229" t="n">
        <s:v>0.6377042646475005</s:v>
      </s:c>
      <s:c r="AH81" s="220" t="n">
        <s:v>18.7</s:v>
      </s:c>
      <s:c r="AI81" s="221" t="n">
        <s:v>1.094</s:v>
      </s:c>
      <s:c r="AJ81" s="221" t="n">
        <s:v>1.082</s:v>
      </s:c>
      <s:c r="AK81" s="222" t="n">
        <s:v>499.85</s:v>
      </s:c>
      <s:c r="AL81" s="222" t="n">
        <s:v>501.81</s:v>
      </s:c>
      <s:c r="AM81" s="230" t="n">
        <s:v>2.006</s:v>
      </s:c>
      <s:c r="AN81" s="223" t="inlineStr">
        <s:is>
          <s:t>7,25,900</s:t>
        </s:is>
      </s:c>
      <s:c r="AO81" s="224" t="inlineStr">
        <s:is>
          <s:t>7,</s:t>
        </s:is>
      </s:c>
      <s:c r="AP81" s="224" t="inlineStr">
        <s:is>
          <s:t>25,900</s:t>
        </s:is>
      </s:c>
      <s:c r="AQ81" s="224" t="n">
        <s:v>0.1238611111111111</s:v>
      </s:c>
      <s:c r="AR81" s="225" t="n">
        <s:v>16.19555954249832</s:v>
      </s:c>
      <s:c r="AS81" s="229" t="n">
        <s:v>-2.293120638086752</s:v>
      </s:c>
      <s:c r="AT81" s="231" t="inlineStr">
        <s:is>
          <s:t>CONFORME</s:t>
        </s:is>
      </s:c>
      <s:c r="AU81" s="232">
        <s:f>B81=C81</s:f>
        <s:v/>
      </s:c>
      <s:c r="AV81" s="233">
        <s:f>MID(G81,1,2)</s:f>
        <s:v/>
      </s:c>
      <s:c r="AW81" s="233">
        <s:f>LEN(G81)</s:f>
        <s:v/>
      </s:c>
      <s:c r="AX81" s="233" t="inlineStr">
        <s:is>
          <s:t>OI-0922-2025</s:t>
        </s:is>
      </s:c>
      <s:c r="AY81" s="233">
        <s:f>N81&lt;Y81</s:f>
        <s:v/>
      </s:c>
      <s:c r="AZ81" s="233">
        <s:f>Z81&lt;=AK81</s:f>
        <s:v/>
      </s:c>
      <s:c r="BA81" s="233">
        <s:f>L81&lt;K81</s:f>
        <s:v/>
      </s:c>
      <s:c r="BB81" s="233">
        <s:f>W81&gt;=X81</s:f>
        <s:v/>
      </s:c>
      <s:c r="BC81" s="233">
        <s:f>AI81&gt;=AJ81</s:f>
        <s:v/>
      </s:c>
      <s:c r="BD81" s="233">
        <s:f>IF(I81&gt;=1,"Qcorrecto",IF(AND(BE81="aceptable",BF81="aceptable",BG81="aceptable"),"Qcorrecto","Qincorrecto"))</s:f>
        <s:v/>
      </s:c>
      <s:c r="BE81" s="232">
        <s:f>IF(AR81&lt;$AH$6,"error",IF(AR81&gt;$AH$6*1.1,"error","aceptable"))</s:f>
        <s:v/>
      </s:c>
      <s:c r="BF81" s="232">
        <s:f>IF(AF81&lt;$V$6,"error",IF(AF81&gt;$V$6*1.1,"error","aceptable"))</s:f>
        <s:v/>
      </s:c>
      <s:c r="BG81" s="232">
        <s:f>IF(T81&lt;$J$6*0.9,"error",IF(T81&gt;$J$6,"error","aceptable"))</s:f>
        <s:v/>
      </s:c>
      <s:c r="BH81" s="234">
        <s:f>(IF(ABS(U81)&lt;1,"CONFORME",IF(ABS(AG81)&lt;1,"CONFORME",IF(ABS(AS81)&lt;2.5,"CONFORME","NO CONFORME"))))</s:f>
        <s:v/>
      </s:c>
      <s:c r="BI81" s="235">
        <s:f>(IF(ABS(U81)&gt;2.044,"NO CONFORME",IF(ABS(AG81)&gt;2.044,"NO CONFORME",IF(ABS(AS81)&gt;5.044,"NO CONFORME","CONFORME"))))</s:f>
        <s:v/>
      </s:c>
      <s:c r="BJ81" s="233">
        <s:f>SIGN(U81)</s:f>
        <s:v/>
      </s:c>
      <s:c r="BK81" s="233">
        <s:f>SIGN(AG81)</s:f>
        <s:v/>
      </s:c>
      <s:c r="BL81" s="233">
        <s:f>SIGN(AS81)</s:f>
        <s:v/>
      </s:c>
      <s:c r="BM81" s="233">
        <s:f>CONCATENATE(BJ81,BK81,BL81)</s:f>
        <s:v/>
      </s:c>
      <s:c r="BN81" s="233">
        <s:f>IF(BM81="111","SI","SD")</s:f>
        <s:v/>
      </s:c>
      <s:c r="BO81" s="233">
        <s:f>IF(BM81="-1-1-1","SI","SD")</s:f>
        <s:v/>
      </s:c>
      <s:c r="BP81" s="233">
        <s:f>OR(BN81="SI",BO81="SI")</s:f>
        <s:v/>
      </s:c>
      <s:c r="BQ81" s="233">
        <s:f>IF(BP81=FALSE,"SIGDIFERENTES","SIGIGUALES")</s:f>
        <s:v/>
      </s:c>
      <s:c r="BR81" s="236">
        <s:f>IF(BI81="NO CONFORME","NO CONFORME",IF(BH81="CONFORME","CONFORME","NO CONFORME"))</s:f>
        <s:v/>
      </s:c>
      <s:c r="BS81" s="233">
        <s:f>F81</s:f>
        <s:v/>
      </s:c>
      <s:c r="BT81" s="237">
        <s:f>G81</s:f>
        <s:v/>
      </s:c>
      <s:c r="BU81" s="233">
        <s:f>"20"&amp;+MID(G81,3,2)</s:f>
        <s:v/>
      </s:c>
      <s:c r="BV81" s="238">
        <s:f>C81</s:f>
        <s:v/>
      </s:c>
      <s:c r="BW81" s="233">
        <s:f>AT81</s:f>
        <s:v/>
      </s:c>
      <s:c r="BX81" s="238">
        <s:f>B81</s:f>
        <s:v/>
      </s:c>
      <s:c r="BY81" s="239">
        <s:f>H81</s:f>
        <s:v/>
      </s:c>
      <s:c r="BZ81" s="233">
        <s:f>IF(I81=0,"CONFORME","NO CONFORME")</s:f>
        <s:v/>
      </s:c>
      <s:c r="CA81" s="238">
        <s:f>C81</s:f>
        <s:v/>
      </s:c>
      <s:c r="CB81" s="240">
        <s:f>AH81</s:f>
        <s:v/>
      </s:c>
      <s:c r="CC81" s="241">
        <s:f>AR81</s:f>
        <s:v/>
      </s:c>
      <s:c r="CD81" s="240">
        <s:f>AI81</s:f>
        <s:v/>
      </s:c>
      <s:c r="CE81" s="240">
        <s:f>AJ81</s:f>
        <s:v/>
      </s:c>
      <s:c r="CF81" s="240">
        <s:f>AS81</s:f>
        <s:v/>
      </s:c>
      <s:c r="CG81" s="240">
        <s:f>V81</s:f>
        <s:v/>
      </s:c>
      <s:c r="CH81" s="241">
        <s:f>AF81</s:f>
        <s:v/>
      </s:c>
      <s:c r="CI81" s="240">
        <s:f>W81</s:f>
        <s:v/>
      </s:c>
      <s:c r="CJ81" s="240">
        <s:f>X81</s:f>
        <s:v/>
      </s:c>
      <s:c r="CK81" s="240">
        <s:f>AG81</s:f>
        <s:v/>
      </s:c>
      <s:c r="CL81" s="240">
        <s:f>J81</s:f>
        <s:v/>
      </s:c>
      <s:c r="CM81" s="241">
        <s:f>T81</s:f>
        <s:v/>
      </s:c>
      <s:c r="CN81" s="240">
        <s:f>K81</s:f>
        <s:v/>
      </s:c>
      <s:c r="CO81" s="240">
        <s:f>L81</s:f>
        <s:v/>
      </s:c>
      <s:c r="CP81" s="242">
        <s:f>U81</s:f>
        <s:v/>
      </s:c>
      <s:c r="CQ81" s="233">
        <s:f>AT81</s:f>
        <s:v/>
      </s:c>
    </s:row>
    <s:row r="82">
      <s:c r="A82" s="211" t="n">
        <s:v>65</s:v>
      </s:c>
      <s:c r="B82" s="212" t="n">
        <s:v>45901</s:v>
      </s:c>
      <s:c r="C82" s="213" t="n">
        <s:v>45901</s:v>
      </s:c>
      <s:c r="D82" s="214" t="n">
        <s:v>3</s:v>
      </s:c>
      <s:c r="E82" s="215" t="n">
        <s:v>13</s:v>
      </s:c>
      <s:c r="F82" s="216" t="inlineStr">
        <s:is>
          <s:t>VI-236557-2025</s:t>
        </s:is>
      </s:c>
      <s:c r="G82" s="217" t="inlineStr">
        <s:is>
          <s:t>QA25417562</s:t>
        </s:is>
      </s:c>
      <s:c r="H82" s="218" t="n">
        <s:v>16</s:v>
      </s:c>
      <s:c r="I82" s="219" t="n">
        <s:v>0</s:v>
      </s:c>
      <s:c r="J82" s="220" t="n">
        <s:v>18.8</s:v>
      </s:c>
      <s:c r="K82" s="221" t="n">
        <s:v>7.519</s:v>
      </s:c>
      <s:c r="L82" s="221" t="n">
        <s:v>1.242</s:v>
      </s:c>
      <s:c r="M82" s="222" t="n">
        <s:v>396.08</s:v>
      </s:c>
      <s:c r="N82" s="222" t="n">
        <s:v>495.64</s:v>
      </s:c>
      <s:c r="O82" s="222" t="n">
        <s:v>100.56</s:v>
      </s:c>
      <s:c r="P82" s="223" t="inlineStr">
        <s:is>
          <s:t>2,31,460</s:t>
        </s:is>
      </s:c>
      <s:c r="Q82" s="224" t="inlineStr">
        <s:is>
          <s:t>2</s:t>
        </s:is>
      </s:c>
      <s:c r="R82" s="224" t="inlineStr">
        <s:is>
          <s:t>31,460</s:t>
        </s:is>
      </s:c>
      <s:c r="S82" s="224" t="n">
        <s:v>0.04207222222222223</s:v>
      </s:c>
      <s:c r="T82" s="225" t="n">
        <s:v>2390.175623927109</s:v>
      </s:c>
      <s:c r="U82" s="226" t="n">
        <s:v>-0.9944311853619729</s:v>
      </s:c>
      <s:c r="V82" s="220" t="n">
        <s:v>18.6</s:v>
      </s:c>
      <s:c r="W82" s="221" t="n">
        <s:v>1.093</s:v>
      </s:c>
      <s:c r="X82" s="221" t="n">
        <s:v>1.081</s:v>
      </s:c>
      <s:c r="Y82" s="222" t="n">
        <s:v>514.8</s:v>
      </s:c>
      <s:c r="Z82" s="222" t="n">
        <s:v>519.6799999999999</s:v>
      </s:c>
      <s:c r="AA82" s="227" t="n">
        <s:v>5.018</s:v>
      </s:c>
      <s:c r="AB82" s="228" t="inlineStr">
        <s:is>
          <s:t>11,15,580</s:t>
        </s:is>
      </s:c>
      <s:c r="AC82" s="224" t="inlineStr">
        <s:is>
          <s:t>11</s:t>
        </s:is>
      </s:c>
      <s:c r="AD82" s="224" t="inlineStr">
        <s:is>
          <s:t>15,580</s:t>
        </s:is>
      </s:c>
      <s:c r="AE82" s="224" t="n">
        <s:v>0.1876611111111111</s:v>
      </s:c>
      <s:c r="AF82" s="225" t="n">
        <s:v>26.73969034015217</s:v>
      </s:c>
      <s:c r="AG82" s="229" t="n">
        <s:v>-2.750099641291438</s:v>
      </s:c>
      <s:c r="AH82" s="220" t="n">
        <s:v>18.7</s:v>
      </s:c>
      <s:c r="AI82" s="221" t="n">
        <s:v>1.094</s:v>
      </s:c>
      <s:c r="AJ82" s="221" t="n">
        <s:v>1.082</s:v>
      </s:c>
      <s:c r="AK82" s="222" t="n">
        <s:v>519.6799999999999</s:v>
      </s:c>
      <s:c r="AL82" s="222" t="n">
        <s:v>521.46</s:v>
      </s:c>
      <s:c r="AM82" s="230" t="n">
        <s:v>2.006</s:v>
      </s:c>
      <s:c r="AN82" s="223" t="inlineStr">
        <s:is>
          <s:t>7,25,900</s:t>
        </s:is>
      </s:c>
      <s:c r="AO82" s="224" t="inlineStr">
        <s:is>
          <s:t>7,</s:t>
        </s:is>
      </s:c>
      <s:c r="AP82" s="224" t="inlineStr">
        <s:is>
          <s:t>25,900</s:t>
        </s:is>
      </s:c>
      <s:c r="AQ82" s="224" t="n">
        <s:v>0.1238611111111111</s:v>
      </s:c>
      <s:c r="AR82" s="225" t="n">
        <s:v>16.19555954249832</s:v>
      </s:c>
      <s:c r="AS82" s="229" t="n">
        <s:v>-11.26620139580825</s:v>
      </s:c>
      <s:c r="AT82" s="231" t="inlineStr">
        <s:is>
          <s:t>NO CONFORME</s:t>
        </s:is>
      </s:c>
      <s:c r="AU82" s="232">
        <s:f>B82=C82</s:f>
        <s:v/>
      </s:c>
      <s:c r="AV82" s="233">
        <s:f>MID(G82,1,2)</s:f>
        <s:v/>
      </s:c>
      <s:c r="AW82" s="233">
        <s:f>LEN(G82)</s:f>
        <s:v/>
      </s:c>
      <s:c r="AX82" s="233" t="inlineStr">
        <s:is>
          <s:t>OI-0922-2025</s:t>
        </s:is>
      </s:c>
      <s:c r="AY82" s="233">
        <s:f>N82&lt;Y82</s:f>
        <s:v/>
      </s:c>
      <s:c r="AZ82" s="233">
        <s:f>Z82&lt;=AK82</s:f>
        <s:v/>
      </s:c>
      <s:c r="BA82" s="233">
        <s:f>L82&lt;K82</s:f>
        <s:v/>
      </s:c>
      <s:c r="BB82" s="233">
        <s:f>W82&gt;=X82</s:f>
        <s:v/>
      </s:c>
      <s:c r="BC82" s="233">
        <s:f>AI82&gt;=AJ82</s:f>
        <s:v/>
      </s:c>
      <s:c r="BD82" s="233">
        <s:f>IF(I82&gt;=1,"Qcorrecto",IF(AND(BE82="aceptable",BF82="aceptable",BG82="aceptable"),"Qcorrecto","Qincorrecto"))</s:f>
        <s:v/>
      </s:c>
      <s:c r="BE82" s="232">
        <s:f>IF(AR82&lt;$AH$6,"error",IF(AR82&gt;$AH$6*1.1,"error","aceptable"))</s:f>
        <s:v/>
      </s:c>
      <s:c r="BF82" s="232">
        <s:f>IF(AF82&lt;$V$6,"error",IF(AF82&gt;$V$6*1.1,"error","aceptable"))</s:f>
        <s:v/>
      </s:c>
      <s:c r="BG82" s="232">
        <s:f>IF(T82&lt;$J$6*0.9,"error",IF(T82&gt;$J$6,"error","aceptable"))</s:f>
        <s:v/>
      </s:c>
      <s:c r="BH82" s="234">
        <s:f>(IF(ABS(U82)&lt;1,"CONFORME",IF(ABS(AG82)&lt;1,"CONFORME",IF(ABS(AS82)&lt;2.5,"CONFORME","NO CONFORME"))))</s:f>
        <s:v/>
      </s:c>
      <s:c r="BI82" s="235">
        <s:f>(IF(ABS(U82)&gt;2.044,"NO CONFORME",IF(ABS(AG82)&gt;2.044,"NO CONFORME",IF(ABS(AS82)&gt;5.044,"NO CONFORME","CONFORME"))))</s:f>
        <s:v/>
      </s:c>
      <s:c r="BJ82" s="233">
        <s:f>SIGN(U82)</s:f>
        <s:v/>
      </s:c>
      <s:c r="BK82" s="233">
        <s:f>SIGN(AG82)</s:f>
        <s:v/>
      </s:c>
      <s:c r="BL82" s="233">
        <s:f>SIGN(AS82)</s:f>
        <s:v/>
      </s:c>
      <s:c r="BM82" s="233">
        <s:f>CONCATENATE(BJ82,BK82,BL82)</s:f>
        <s:v/>
      </s:c>
      <s:c r="BN82" s="233">
        <s:f>IF(BM82="111","SI","SD")</s:f>
        <s:v/>
      </s:c>
      <s:c r="BO82" s="233">
        <s:f>IF(BM82="-1-1-1","SI","SD")</s:f>
        <s:v/>
      </s:c>
      <s:c r="BP82" s="233">
        <s:f>OR(BN82="SI",BO82="SI")</s:f>
        <s:v/>
      </s:c>
      <s:c r="BQ82" s="233">
        <s:f>IF(BP82=FALSE,"SIGDIFERENTES","SIGIGUALES")</s:f>
        <s:v/>
      </s:c>
      <s:c r="BR82" s="236">
        <s:f>IF(BI82="NO CONFORME","NO CONFORME",IF(BH82="CONFORME","CONFORME","NO CONFORME"))</s:f>
        <s:v/>
      </s:c>
      <s:c r="BS82" s="233">
        <s:f>F82</s:f>
        <s:v/>
      </s:c>
      <s:c r="BT82" s="237">
        <s:f>G82</s:f>
        <s:v/>
      </s:c>
      <s:c r="BU82" s="233">
        <s:f>"20"&amp;+MID(G82,3,2)</s:f>
        <s:v/>
      </s:c>
      <s:c r="BV82" s="238">
        <s:f>C82</s:f>
        <s:v/>
      </s:c>
      <s:c r="BW82" s="233">
        <s:f>AT82</s:f>
        <s:v/>
      </s:c>
      <s:c r="BX82" s="238">
        <s:f>B82</s:f>
        <s:v/>
      </s:c>
      <s:c r="BY82" s="239">
        <s:f>H82</s:f>
        <s:v/>
      </s:c>
      <s:c r="BZ82" s="233">
        <s:f>IF(I82=0,"CONFORME","NO CONFORME")</s:f>
        <s:v/>
      </s:c>
      <s:c r="CA82" s="238">
        <s:f>C82</s:f>
        <s:v/>
      </s:c>
      <s:c r="CB82" s="240">
        <s:f>AH82</s:f>
        <s:v/>
      </s:c>
      <s:c r="CC82" s="241">
        <s:f>AR82</s:f>
        <s:v/>
      </s:c>
      <s:c r="CD82" s="240">
        <s:f>AI82</s:f>
        <s:v/>
      </s:c>
      <s:c r="CE82" s="240">
        <s:f>AJ82</s:f>
        <s:v/>
      </s:c>
      <s:c r="CF82" s="240">
        <s:f>AS82</s:f>
        <s:v/>
      </s:c>
      <s:c r="CG82" s="240">
        <s:f>V82</s:f>
        <s:v/>
      </s:c>
      <s:c r="CH82" s="241">
        <s:f>AF82</s:f>
        <s:v/>
      </s:c>
      <s:c r="CI82" s="240">
        <s:f>W82</s:f>
        <s:v/>
      </s:c>
      <s:c r="CJ82" s="240">
        <s:f>X82</s:f>
        <s:v/>
      </s:c>
      <s:c r="CK82" s="240">
        <s:f>AG82</s:f>
        <s:v/>
      </s:c>
      <s:c r="CL82" s="240">
        <s:f>J82</s:f>
        <s:v/>
      </s:c>
      <s:c r="CM82" s="241">
        <s:f>T82</s:f>
        <s:v/>
      </s:c>
      <s:c r="CN82" s="240">
        <s:f>K82</s:f>
        <s:v/>
      </s:c>
      <s:c r="CO82" s="240">
        <s:f>L82</s:f>
        <s:v/>
      </s:c>
      <s:c r="CP82" s="242">
        <s:f>U82</s:f>
        <s:v/>
      </s:c>
      <s:c r="CQ82" s="233">
        <s:f>AT82</s:f>
        <s:v/>
      </s:c>
    </s:row>
    <s:row r="83">
      <s:c r="A83" s="211" t="n">
        <s:v>66</s:v>
      </s:c>
      <s:c r="B83" s="212" t="n">
        <s:v>45901</s:v>
      </s:c>
      <s:c r="C83" s="213" t="n">
        <s:v>45901</s:v>
      </s:c>
      <s:c r="D83" s="214" t="n">
        <s:v>3</s:v>
      </s:c>
      <s:c r="E83" s="215" t="n">
        <s:v>13</s:v>
      </s:c>
      <s:c r="F83" s="216" t="inlineStr">
        <s:is>
          <s:t>VI-236558-2025</s:t>
        </s:is>
      </s:c>
      <s:c r="G83" s="217" t="inlineStr">
        <s:is>
          <s:t>QA25417534</s:t>
        </s:is>
      </s:c>
      <s:c r="H83" s="218" t="n">
        <s:v>16</s:v>
      </s:c>
      <s:c r="I83" s="219" t="n">
        <s:v>0</s:v>
      </s:c>
      <s:c r="J83" s="220" t="n">
        <s:v>18.8</s:v>
      </s:c>
      <s:c r="K83" s="221" t="n">
        <s:v>7.519</s:v>
      </s:c>
      <s:c r="L83" s="221" t="n">
        <s:v>1.242</s:v>
      </s:c>
      <s:c r="M83" s="222" t="n">
        <s:v>560.5599999999999</s:v>
      </s:c>
      <s:c r="N83" s="222" t="n">
        <s:v>661.24</s:v>
      </s:c>
      <s:c r="O83" s="222" t="n">
        <s:v>100.56</s:v>
      </s:c>
      <s:c r="P83" s="223" t="inlineStr">
        <s:is>
          <s:t>2,31,460</s:t>
        </s:is>
      </s:c>
      <s:c r="Q83" s="224" t="inlineStr">
        <s:is>
          <s:t>2</s:t>
        </s:is>
      </s:c>
      <s:c r="R83" s="224" t="inlineStr">
        <s:is>
          <s:t>31,460</s:t>
        </s:is>
      </s:c>
      <s:c r="S83" s="224" t="n">
        <s:v>0.04207222222222223</s:v>
      </s:c>
      <s:c r="T83" s="225" t="n">
        <s:v>2390.175623927109</s:v>
      </s:c>
      <s:c r="U83" s="226" t="n">
        <s:v>0.1193317422434978</s:v>
      </s:c>
      <s:c r="V83" s="220" t="n">
        <s:v>18.6</s:v>
      </s:c>
      <s:c r="W83" s="221" t="n">
        <s:v>1.093</s:v>
      </s:c>
      <s:c r="X83" s="221" t="n">
        <s:v>1.081</s:v>
      </s:c>
      <s:c r="Y83" s="222" t="n">
        <s:v>680.52</s:v>
      </s:c>
      <s:c r="Z83" s="222" t="n">
        <s:v>685.51</s:v>
      </s:c>
      <s:c r="AA83" s="227" t="n">
        <s:v>5.018</s:v>
      </s:c>
      <s:c r="AB83" s="228" t="inlineStr">
        <s:is>
          <s:t>11,15,580</s:t>
        </s:is>
      </s:c>
      <s:c r="AC83" s="224" t="inlineStr">
        <s:is>
          <s:t>11</s:t>
        </s:is>
      </s:c>
      <s:c r="AD83" s="224" t="inlineStr">
        <s:is>
          <s:t>15,580</s:t>
        </s:is>
      </s:c>
      <s:c r="AE83" s="224" t="n">
        <s:v>0.1876611111111111</s:v>
      </s:c>
      <s:c r="AF83" s="225" t="n">
        <s:v>26.73969034015217</s:v>
      </s:c>
      <s:c r="AG83" s="229" t="n">
        <s:v>-0.5579912315661757</s:v>
      </s:c>
      <s:c r="AH83" s="220" t="n">
        <s:v>18.7</s:v>
      </s:c>
      <s:c r="AI83" s="221" t="n">
        <s:v>1.094</s:v>
      </s:c>
      <s:c r="AJ83" s="221" t="n">
        <s:v>1.082</s:v>
      </s:c>
      <s:c r="AK83" s="222" t="n">
        <s:v>685.51</s:v>
      </s:c>
      <s:c r="AL83" s="222" t="n">
        <s:v>687.47</s:v>
      </s:c>
      <s:c r="AM83" s="230" t="n">
        <s:v>2.006</s:v>
      </s:c>
      <s:c r="AN83" s="223" t="inlineStr">
        <s:is>
          <s:t>7,25,900</s:t>
        </s:is>
      </s:c>
      <s:c r="AO83" s="224" t="inlineStr">
        <s:is>
          <s:t>7,</s:t>
        </s:is>
      </s:c>
      <s:c r="AP83" s="224" t="inlineStr">
        <s:is>
          <s:t>25,900</s:t>
        </s:is>
      </s:c>
      <s:c r="AQ83" s="224" t="n">
        <s:v>0.1238611111111111</s:v>
      </s:c>
      <s:c r="AR83" s="225" t="n">
        <s:v>16.19555954249832</s:v>
      </s:c>
      <s:c r="AS83" s="229" t="n">
        <s:v>-2.293120638083919</s:v>
      </s:c>
      <s:c r="AT83" s="231" t="inlineStr">
        <s:is>
          <s:t>CONFORME</s:t>
        </s:is>
      </s:c>
      <s:c r="AU83" s="232">
        <s:f>B83=C83</s:f>
        <s:v/>
      </s:c>
      <s:c r="AV83" s="233">
        <s:f>MID(G83,1,2)</s:f>
        <s:v/>
      </s:c>
      <s:c r="AW83" s="233">
        <s:f>LEN(G83)</s:f>
        <s:v/>
      </s:c>
      <s:c r="AX83" s="233" t="inlineStr">
        <s:is>
          <s:t>OI-0922-2025</s:t>
        </s:is>
      </s:c>
      <s:c r="AY83" s="233">
        <s:f>N83&lt;Y83</s:f>
        <s:v/>
      </s:c>
      <s:c r="AZ83" s="233">
        <s:f>Z83&lt;=AK83</s:f>
        <s:v/>
      </s:c>
      <s:c r="BA83" s="233">
        <s:f>L83&lt;K83</s:f>
        <s:v/>
      </s:c>
      <s:c r="BB83" s="233">
        <s:f>W83&gt;=X83</s:f>
        <s:v/>
      </s:c>
      <s:c r="BC83" s="233">
        <s:f>AI83&gt;=AJ83</s:f>
        <s:v/>
      </s:c>
      <s:c r="BD83" s="233">
        <s:f>IF(I83&gt;=1,"Qcorrecto",IF(AND(BE83="aceptable",BF83="aceptable",BG83="aceptable"),"Qcorrecto","Qincorrecto"))</s:f>
        <s:v/>
      </s:c>
      <s:c r="BE83" s="232">
        <s:f>IF(AR83&lt;$AH$6,"error",IF(AR83&gt;$AH$6*1.1,"error","aceptable"))</s:f>
        <s:v/>
      </s:c>
      <s:c r="BF83" s="232">
        <s:f>IF(AF83&lt;$V$6,"error",IF(AF83&gt;$V$6*1.1,"error","aceptable"))</s:f>
        <s:v/>
      </s:c>
      <s:c r="BG83" s="232">
        <s:f>IF(T83&lt;$J$6*0.9,"error",IF(T83&gt;$J$6,"error","aceptable"))</s:f>
        <s:v/>
      </s:c>
      <s:c r="BH83" s="234">
        <s:f>(IF(ABS(U83)&lt;1,"CONFORME",IF(ABS(AG83)&lt;1,"CONFORME",IF(ABS(AS83)&lt;2.5,"CONFORME","NO CONFORME"))))</s:f>
        <s:v/>
      </s:c>
      <s:c r="BI83" s="235">
        <s:f>(IF(ABS(U83)&gt;2.044,"NO CONFORME",IF(ABS(AG83)&gt;2.044,"NO CONFORME",IF(ABS(AS83)&gt;5.044,"NO CONFORME","CONFORME"))))</s:f>
        <s:v/>
      </s:c>
      <s:c r="BJ83" s="233">
        <s:f>SIGN(U83)</s:f>
        <s:v/>
      </s:c>
      <s:c r="BK83" s="233">
        <s:f>SIGN(AG83)</s:f>
        <s:v/>
      </s:c>
      <s:c r="BL83" s="233">
        <s:f>SIGN(AS83)</s:f>
        <s:v/>
      </s:c>
      <s:c r="BM83" s="233">
        <s:f>CONCATENATE(BJ83,BK83,BL83)</s:f>
        <s:v/>
      </s:c>
      <s:c r="BN83" s="233">
        <s:f>IF(BM83="111","SI","SD")</s:f>
        <s:v/>
      </s:c>
      <s:c r="BO83" s="233">
        <s:f>IF(BM83="-1-1-1","SI","SD")</s:f>
        <s:v/>
      </s:c>
      <s:c r="BP83" s="233">
        <s:f>OR(BN83="SI",BO83="SI")</s:f>
        <s:v/>
      </s:c>
      <s:c r="BQ83" s="233">
        <s:f>IF(BP83=FALSE,"SIGDIFERENTES","SIGIGUALES")</s:f>
        <s:v/>
      </s:c>
      <s:c r="BR83" s="236">
        <s:f>IF(BI83="NO CONFORME","NO CONFORME",IF(BH83="CONFORME","CONFORME","NO CONFORME"))</s:f>
        <s:v/>
      </s:c>
      <s:c r="BS83" s="233">
        <s:f>F83</s:f>
        <s:v/>
      </s:c>
      <s:c r="BT83" s="237">
        <s:f>G83</s:f>
        <s:v/>
      </s:c>
      <s:c r="BU83" s="233">
        <s:f>"20"&amp;+MID(G83,3,2)</s:f>
        <s:v/>
      </s:c>
      <s:c r="BV83" s="238">
        <s:f>C83</s:f>
        <s:v/>
      </s:c>
      <s:c r="BW83" s="233">
        <s:f>AT83</s:f>
        <s:v/>
      </s:c>
      <s:c r="BX83" s="238">
        <s:f>B83</s:f>
        <s:v/>
      </s:c>
      <s:c r="BY83" s="239">
        <s:f>H83</s:f>
        <s:v/>
      </s:c>
      <s:c r="BZ83" s="233">
        <s:f>IF(I83=0,"CONFORME","NO CONFORME")</s:f>
        <s:v/>
      </s:c>
      <s:c r="CA83" s="238">
        <s:f>C83</s:f>
        <s:v/>
      </s:c>
      <s:c r="CB83" s="240">
        <s:f>AH83</s:f>
        <s:v/>
      </s:c>
      <s:c r="CC83" s="241">
        <s:f>AR83</s:f>
        <s:v/>
      </s:c>
      <s:c r="CD83" s="240">
        <s:f>AI83</s:f>
        <s:v/>
      </s:c>
      <s:c r="CE83" s="240">
        <s:f>AJ83</s:f>
        <s:v/>
      </s:c>
      <s:c r="CF83" s="240">
        <s:f>AS83</s:f>
        <s:v/>
      </s:c>
      <s:c r="CG83" s="240">
        <s:f>V83</s:f>
        <s:v/>
      </s:c>
      <s:c r="CH83" s="241">
        <s:f>AF83</s:f>
        <s:v/>
      </s:c>
      <s:c r="CI83" s="240">
        <s:f>W83</s:f>
        <s:v/>
      </s:c>
      <s:c r="CJ83" s="240">
        <s:f>X83</s:f>
        <s:v/>
      </s:c>
      <s:c r="CK83" s="240">
        <s:f>AG83</s:f>
        <s:v/>
      </s:c>
      <s:c r="CL83" s="240">
        <s:f>J83</s:f>
        <s:v/>
      </s:c>
      <s:c r="CM83" s="241">
        <s:f>T83</s:f>
        <s:v/>
      </s:c>
      <s:c r="CN83" s="240">
        <s:f>K83</s:f>
        <s:v/>
      </s:c>
      <s:c r="CO83" s="240">
        <s:f>L83</s:f>
        <s:v/>
      </s:c>
      <s:c r="CP83" s="242">
        <s:f>U83</s:f>
        <s:v/>
      </s:c>
      <s:c r="CQ83" s="233">
        <s:f>AT83</s:f>
        <s:v/>
      </s:c>
    </s:row>
    <s:row r="84">
      <s:c r="A84" s="211" t="n">
        <s:v>67</s:v>
      </s:c>
      <s:c r="B84" s="212" t="n">
        <s:v>45901</s:v>
      </s:c>
      <s:c r="C84" s="213" t="n">
        <s:v>45901</s:v>
      </s:c>
      <s:c r="D84" s="214" t="n">
        <s:v>3</s:v>
      </s:c>
      <s:c r="E84" s="215" t="n">
        <s:v>13</s:v>
      </s:c>
      <s:c r="F84" s="216" t="inlineStr">
        <s:is>
          <s:t>VI-236559-2025</s:t>
        </s:is>
      </s:c>
      <s:c r="G84" s="217" t="inlineStr">
        <s:is>
          <s:t>QA25418226</s:t>
        </s:is>
      </s:c>
      <s:c r="H84" s="218" t="n">
        <s:v>16</s:v>
      </s:c>
      <s:c r="I84" s="219" t="n">
        <s:v>0</s:v>
      </s:c>
      <s:c r="J84" s="220" t="n">
        <s:v>18.8</s:v>
      </s:c>
      <s:c r="K84" s="221" t="n">
        <s:v>7.519</s:v>
      </s:c>
      <s:c r="L84" s="221" t="n">
        <s:v>1.242</s:v>
      </s:c>
      <s:c r="M84" s="222" t="n">
        <s:v>404.94</s:v>
      </s:c>
      <s:c r="N84" s="222" t="n">
        <s:v>506.04</s:v>
      </s:c>
      <s:c r="O84" s="222" t="n">
        <s:v>100.56</s:v>
      </s:c>
      <s:c r="P84" s="223" t="inlineStr">
        <s:is>
          <s:t>2,31,460</s:t>
        </s:is>
      </s:c>
      <s:c r="Q84" s="224" t="inlineStr">
        <s:is>
          <s:t>2</s:t>
        </s:is>
      </s:c>
      <s:c r="R84" s="224" t="inlineStr">
        <s:is>
          <s:t>31,460</s:t>
        </s:is>
      </s:c>
      <s:c r="S84" s="224" t="n">
        <s:v>0.04207222222222223</s:v>
      </s:c>
      <s:c r="T84" s="225" t="n">
        <s:v>2390.175623927109</s:v>
      </s:c>
      <s:c r="U84" s="226" t="n">
        <s:v>0.5369928400954858</s:v>
      </s:c>
      <s:c r="V84" s="220" t="n">
        <s:v>18.6</s:v>
      </s:c>
      <s:c r="W84" s="221" t="n">
        <s:v>1.093</s:v>
      </s:c>
      <s:c r="X84" s="221" t="n">
        <s:v>1.081</s:v>
      </s:c>
      <s:c r="Y84" s="222" t="n">
        <s:v>525.62</s:v>
      </s:c>
      <s:c r="Z84" s="222" t="n">
        <s:v>530.73</s:v>
      </s:c>
      <s:c r="AA84" s="227" t="n">
        <s:v>5.018</s:v>
      </s:c>
      <s:c r="AB84" s="228" t="inlineStr">
        <s:is>
          <s:t>11,15,580</s:t>
        </s:is>
      </s:c>
      <s:c r="AC84" s="224" t="inlineStr">
        <s:is>
          <s:t>11</s:t>
        </s:is>
      </s:c>
      <s:c r="AD84" s="224" t="inlineStr">
        <s:is>
          <s:t>15,580</s:t>
        </s:is>
      </s:c>
      <s:c r="AE84" s="224" t="n">
        <s:v>0.1876611111111111</s:v>
      </s:c>
      <s:c r="AF84" s="225" t="n">
        <s:v>26.73969034015217</s:v>
      </s:c>
      <s:c r="AG84" s="229" t="n">
        <s:v>1.833399760861177</s:v>
      </s:c>
      <s:c r="AH84" s="220" t="n">
        <s:v>18.7</s:v>
      </s:c>
      <s:c r="AI84" s="221" t="n">
        <s:v>1.094</s:v>
      </s:c>
      <s:c r="AJ84" s="221" t="n">
        <s:v>1.082</s:v>
      </s:c>
      <s:c r="AK84" s="222" t="n">
        <s:v>530.73</s:v>
      </s:c>
      <s:c r="AL84" s="222" t="n">
        <s:v>532.76</s:v>
      </s:c>
      <s:c r="AM84" s="230" t="n">
        <s:v>2.006</s:v>
      </s:c>
      <s:c r="AN84" s="223" t="inlineStr">
        <s:is>
          <s:t>7,25,900</s:t>
        </s:is>
      </s:c>
      <s:c r="AO84" s="224" t="inlineStr">
        <s:is>
          <s:t>7,</s:t>
        </s:is>
      </s:c>
      <s:c r="AP84" s="224" t="inlineStr">
        <s:is>
          <s:t>25,900</s:t>
        </s:is>
      </s:c>
      <s:c r="AQ84" s="224" t="n">
        <s:v>0.1238611111111111</s:v>
      </s:c>
      <s:c r="AR84" s="225" t="n">
        <s:v>16.19555954249832</s:v>
      </s:c>
      <s:c r="AS84" s="229" t="n">
        <s:v>1.19641076769556</s:v>
      </s:c>
      <s:c r="AT84" s="231" t="inlineStr">
        <s:is>
          <s:t>CONFORME</s:t>
        </s:is>
      </s:c>
      <s:c r="AU84" s="232">
        <s:f>B84=C84</s:f>
        <s:v/>
      </s:c>
      <s:c r="AV84" s="233">
        <s:f>MID(G84,1,2)</s:f>
        <s:v/>
      </s:c>
      <s:c r="AW84" s="233">
        <s:f>LEN(G84)</s:f>
        <s:v/>
      </s:c>
      <s:c r="AX84" s="233" t="inlineStr">
        <s:is>
          <s:t>OI-0922-2025</s:t>
        </s:is>
      </s:c>
      <s:c r="AY84" s="233">
        <s:f>N84&lt;Y84</s:f>
        <s:v/>
      </s:c>
      <s:c r="AZ84" s="233">
        <s:f>Z84&lt;=AK84</s:f>
        <s:v/>
      </s:c>
      <s:c r="BA84" s="233">
        <s:f>L84&lt;K84</s:f>
        <s:v/>
      </s:c>
      <s:c r="BB84" s="233">
        <s:f>W84&gt;=X84</s:f>
        <s:v/>
      </s:c>
      <s:c r="BC84" s="233">
        <s:f>AI84&gt;=AJ84</s:f>
        <s:v/>
      </s:c>
      <s:c r="BD84" s="233">
        <s:f>IF(I84&gt;=1,"Qcorrecto",IF(AND(BE84="aceptable",BF84="aceptable",BG84="aceptable"),"Qcorrecto","Qincorrecto"))</s:f>
        <s:v/>
      </s:c>
      <s:c r="BE84" s="232">
        <s:f>IF(AR84&lt;$AH$6,"error",IF(AR84&gt;$AH$6*1.1,"error","aceptable"))</s:f>
        <s:v/>
      </s:c>
      <s:c r="BF84" s="232">
        <s:f>IF(AF84&lt;$V$6,"error",IF(AF84&gt;$V$6*1.1,"error","aceptable"))</s:f>
        <s:v/>
      </s:c>
      <s:c r="BG84" s="232">
        <s:f>IF(T84&lt;$J$6*0.9,"error",IF(T84&gt;$J$6,"error","aceptable"))</s:f>
        <s:v/>
      </s:c>
      <s:c r="BH84" s="234">
        <s:f>(IF(ABS(U84)&lt;1,"CONFORME",IF(ABS(AG84)&lt;1,"CONFORME",IF(ABS(AS84)&lt;2.5,"CONFORME","NO CONFORME"))))</s:f>
        <s:v/>
      </s:c>
      <s:c r="BI84" s="235">
        <s:f>(IF(ABS(U84)&gt;2.044,"NO CONFORME",IF(ABS(AG84)&gt;2.044,"NO CONFORME",IF(ABS(AS84)&gt;5.044,"NO CONFORME","CONFORME"))))</s:f>
        <s:v/>
      </s:c>
      <s:c r="BJ84" s="233">
        <s:f>SIGN(U84)</s:f>
        <s:v/>
      </s:c>
      <s:c r="BK84" s="233">
        <s:f>SIGN(AG84)</s:f>
        <s:v/>
      </s:c>
      <s:c r="BL84" s="233">
        <s:f>SIGN(AS84)</s:f>
        <s:v/>
      </s:c>
      <s:c r="BM84" s="233">
        <s:f>CONCATENATE(BJ84,BK84,BL84)</s:f>
        <s:v/>
      </s:c>
      <s:c r="BN84" s="233">
        <s:f>IF(BM84="111","SI","SD")</s:f>
        <s:v/>
      </s:c>
      <s:c r="BO84" s="233">
        <s:f>IF(BM84="-1-1-1","SI","SD")</s:f>
        <s:v/>
      </s:c>
      <s:c r="BP84" s="233">
        <s:f>OR(BN84="SI",BO84="SI")</s:f>
        <s:v/>
      </s:c>
      <s:c r="BQ84" s="233">
        <s:f>IF(BP84=FALSE,"SIGDIFERENTES","SIGIGUALES")</s:f>
        <s:v/>
      </s:c>
      <s:c r="BR84" s="236">
        <s:f>IF(BI84="NO CONFORME","NO CONFORME",IF(BH84="CONFORME","CONFORME","NO CONFORME"))</s:f>
        <s:v/>
      </s:c>
      <s:c r="BS84" s="233">
        <s:f>F84</s:f>
        <s:v/>
      </s:c>
      <s:c r="BT84" s="237">
        <s:f>G84</s:f>
        <s:v/>
      </s:c>
      <s:c r="BU84" s="233">
        <s:f>"20"&amp;+MID(G84,3,2)</s:f>
        <s:v/>
      </s:c>
      <s:c r="BV84" s="238">
        <s:f>C84</s:f>
        <s:v/>
      </s:c>
      <s:c r="BW84" s="233">
        <s:f>AT84</s:f>
        <s:v/>
      </s:c>
      <s:c r="BX84" s="238">
        <s:f>B84</s:f>
        <s:v/>
      </s:c>
      <s:c r="BY84" s="239">
        <s:f>H84</s:f>
        <s:v/>
      </s:c>
      <s:c r="BZ84" s="233">
        <s:f>IF(I84=0,"CONFORME","NO CONFORME")</s:f>
        <s:v/>
      </s:c>
      <s:c r="CA84" s="238">
        <s:f>C84</s:f>
        <s:v/>
      </s:c>
      <s:c r="CB84" s="240">
        <s:f>AH84</s:f>
        <s:v/>
      </s:c>
      <s:c r="CC84" s="241">
        <s:f>AR84</s:f>
        <s:v/>
      </s:c>
      <s:c r="CD84" s="240">
        <s:f>AI84</s:f>
        <s:v/>
      </s:c>
      <s:c r="CE84" s="240">
        <s:f>AJ84</s:f>
        <s:v/>
      </s:c>
      <s:c r="CF84" s="240">
        <s:f>AS84</s:f>
        <s:v/>
      </s:c>
      <s:c r="CG84" s="240">
        <s:f>V84</s:f>
        <s:v/>
      </s:c>
      <s:c r="CH84" s="241">
        <s:f>AF84</s:f>
        <s:v/>
      </s:c>
      <s:c r="CI84" s="240">
        <s:f>W84</s:f>
        <s:v/>
      </s:c>
      <s:c r="CJ84" s="240">
        <s:f>X84</s:f>
        <s:v/>
      </s:c>
      <s:c r="CK84" s="240">
        <s:f>AG84</s:f>
        <s:v/>
      </s:c>
      <s:c r="CL84" s="240">
        <s:f>J84</s:f>
        <s:v/>
      </s:c>
      <s:c r="CM84" s="241">
        <s:f>T84</s:f>
        <s:v/>
      </s:c>
      <s:c r="CN84" s="240">
        <s:f>K84</s:f>
        <s:v/>
      </s:c>
      <s:c r="CO84" s="240">
        <s:f>L84</s:f>
        <s:v/>
      </s:c>
      <s:c r="CP84" s="242">
        <s:f>U84</s:f>
        <s:v/>
      </s:c>
      <s:c r="CQ84" s="233">
        <s:f>AT84</s:f>
        <s:v/>
      </s:c>
    </s:row>
    <s:row r="85">
      <s:c r="A85" s="211" t="n">
        <s:v>68</s:v>
      </s:c>
      <s:c r="B85" s="212" t="n">
        <s:v>45901</s:v>
      </s:c>
      <s:c r="C85" s="213" t="n">
        <s:v>45901</s:v>
      </s:c>
      <s:c r="D85" s="214" t="n">
        <s:v>3</s:v>
      </s:c>
      <s:c r="E85" s="215" t="n">
        <s:v>13</s:v>
      </s:c>
      <s:c r="F85" s="216" t="inlineStr">
        <s:is>
          <s:t>VI-236560-2025</s:t>
        </s:is>
      </s:c>
      <s:c r="G85" s="217" t="inlineStr">
        <s:is>
          <s:t>QA25417536</s:t>
        </s:is>
      </s:c>
      <s:c r="H85" s="218" t="n">
        <s:v>16</s:v>
      </s:c>
      <s:c r="I85" s="219" t="n">
        <s:v>0</s:v>
      </s:c>
      <s:c r="J85" s="220" t="n">
        <s:v>18.8</s:v>
      </s:c>
      <s:c r="K85" s="221" t="n">
        <s:v>7.519</s:v>
      </s:c>
      <s:c r="L85" s="221" t="n">
        <s:v>1.242</s:v>
      </s:c>
      <s:c r="M85" s="222" t="n">
        <s:v>499.67</s:v>
      </s:c>
      <s:c r="N85" s="222" t="n">
        <s:v>599.53</s:v>
      </s:c>
      <s:c r="O85" s="222" t="n">
        <s:v>100.56</s:v>
      </s:c>
      <s:c r="P85" s="223" t="inlineStr">
        <s:is>
          <s:t>2,31,460</s:t>
        </s:is>
      </s:c>
      <s:c r="Q85" s="224" t="inlineStr">
        <s:is>
          <s:t>2</s:t>
        </s:is>
      </s:c>
      <s:c r="R85" s="224" t="inlineStr">
        <s:is>
          <s:t>31,460</s:t>
        </s:is>
      </s:c>
      <s:c r="S85" s="224" t="n">
        <s:v>0.04207222222222223</s:v>
      </s:c>
      <s:c r="T85" s="225" t="n">
        <s:v>2390.175623927109</s:v>
      </s:c>
      <s:c r="U85" s="226" t="n">
        <s:v>-0.6961018297534263</s:v>
      </s:c>
      <s:c r="V85" s="220" t="n">
        <s:v>18.6</s:v>
      </s:c>
      <s:c r="W85" s="221" t="n">
        <s:v>1.093</s:v>
      </s:c>
      <s:c r="X85" s="221" t="n">
        <s:v>1.081</s:v>
      </s:c>
      <s:c r="Y85" s="222" t="n">
        <s:v>618.6799999999999</s:v>
      </s:c>
      <s:c r="Z85" s="222" t="n">
        <s:v>623.6900000000001</s:v>
      </s:c>
      <s:c r="AA85" s="227" t="n">
        <s:v>5.018</s:v>
      </s:c>
      <s:c r="AB85" s="228" t="inlineStr">
        <s:is>
          <s:t>11,15,580</s:t>
        </s:is>
      </s:c>
      <s:c r="AC85" s="224" t="inlineStr">
        <s:is>
          <s:t>11</s:t>
        </s:is>
      </s:c>
      <s:c r="AD85" s="224" t="inlineStr">
        <s:is>
          <s:t>15,580</s:t>
        </s:is>
      </s:c>
      <s:c r="AE85" s="224" t="n">
        <s:v>0.1876611111111111</s:v>
      </s:c>
      <s:c r="AF85" s="225" t="n">
        <s:v>26.73969034015217</s:v>
      </s:c>
      <s:c r="AG85" s="229" t="n">
        <s:v>-0.159426066159729</s:v>
      </s:c>
      <s:c r="AH85" s="220" t="n">
        <s:v>18.7</s:v>
      </s:c>
      <s:c r="AI85" s="221" t="n">
        <s:v>1.094</s:v>
      </s:c>
      <s:c r="AJ85" s="221" t="n">
        <s:v>1.082</s:v>
      </s:c>
      <s:c r="AK85" s="222" t="n">
        <s:v>623.6900000000001</s:v>
      </s:c>
      <s:c r="AL85" s="222" t="n">
        <s:v>625.67</s:v>
      </s:c>
      <s:c r="AM85" s="230" t="n">
        <s:v>2.006</s:v>
      </s:c>
      <s:c r="AN85" s="223" t="inlineStr">
        <s:is>
          <s:t>7,25,900</s:t>
        </s:is>
      </s:c>
      <s:c r="AO85" s="224" t="inlineStr">
        <s:is>
          <s:t>7,</s:t>
        </s:is>
      </s:c>
      <s:c r="AP85" s="224" t="inlineStr">
        <s:is>
          <s:t>25,900</s:t>
        </s:is>
      </s:c>
      <s:c r="AQ85" s="224" t="n">
        <s:v>0.1238611111111111</s:v>
      </s:c>
      <s:c r="AR85" s="225" t="n">
        <s:v>16.19555954249832</s:v>
      </s:c>
      <s:c r="AS85" s="229" t="n">
        <s:v>-1.296111665009735</s:v>
      </s:c>
      <s:c r="AT85" s="231" t="inlineStr">
        <s:is>
          <s:t>CONFORME</s:t>
        </s:is>
      </s:c>
      <s:c r="AU85" s="232">
        <s:f>B85=C85</s:f>
        <s:v/>
      </s:c>
      <s:c r="AV85" s="233">
        <s:f>MID(G85,1,2)</s:f>
        <s:v/>
      </s:c>
      <s:c r="AW85" s="233">
        <s:f>LEN(G85)</s:f>
        <s:v/>
      </s:c>
      <s:c r="AX85" s="233" t="inlineStr">
        <s:is>
          <s:t>OI-0922-2025</s:t>
        </s:is>
      </s:c>
      <s:c r="AY85" s="233">
        <s:f>N85&lt;Y85</s:f>
        <s:v/>
      </s:c>
      <s:c r="AZ85" s="233">
        <s:f>Z85&lt;=AK85</s:f>
        <s:v/>
      </s:c>
      <s:c r="BA85" s="233">
        <s:f>L85&lt;K85</s:f>
        <s:v/>
      </s:c>
      <s:c r="BB85" s="233">
        <s:f>W85&gt;=X85</s:f>
        <s:v/>
      </s:c>
      <s:c r="BC85" s="233">
        <s:f>AI85&gt;=AJ85</s:f>
        <s:v/>
      </s:c>
      <s:c r="BD85" s="233">
        <s:f>IF(I85&gt;=1,"Qcorrecto",IF(AND(BE85="aceptable",BF85="aceptable",BG85="aceptable"),"Qcorrecto","Qincorrecto"))</s:f>
        <s:v/>
      </s:c>
      <s:c r="BE85" s="232">
        <s:f>IF(AR85&lt;$AH$6,"error",IF(AR85&gt;$AH$6*1.1,"error","aceptable"))</s:f>
        <s:v/>
      </s:c>
      <s:c r="BF85" s="232">
        <s:f>IF(AF85&lt;$V$6,"error",IF(AF85&gt;$V$6*1.1,"error","aceptable"))</s:f>
        <s:v/>
      </s:c>
      <s:c r="BG85" s="232">
        <s:f>IF(T85&lt;$J$6*0.9,"error",IF(T85&gt;$J$6,"error","aceptable"))</s:f>
        <s:v/>
      </s:c>
      <s:c r="BH85" s="234">
        <s:f>(IF(ABS(U85)&lt;1,"CONFORME",IF(ABS(AG85)&lt;1,"CONFORME",IF(ABS(AS85)&lt;2.5,"CONFORME","NO CONFORME"))))</s:f>
        <s:v/>
      </s:c>
      <s:c r="BI85" s="235">
        <s:f>(IF(ABS(U85)&gt;2.044,"NO CONFORME",IF(ABS(AG85)&gt;2.044,"NO CONFORME",IF(ABS(AS85)&gt;5.044,"NO CONFORME","CONFORME"))))</s:f>
        <s:v/>
      </s:c>
      <s:c r="BJ85" s="233">
        <s:f>SIGN(U85)</s:f>
        <s:v/>
      </s:c>
      <s:c r="BK85" s="233">
        <s:f>SIGN(AG85)</s:f>
        <s:v/>
      </s:c>
      <s:c r="BL85" s="233">
        <s:f>SIGN(AS85)</s:f>
        <s:v/>
      </s:c>
      <s:c r="BM85" s="233">
        <s:f>CONCATENATE(BJ85,BK85,BL85)</s:f>
        <s:v/>
      </s:c>
      <s:c r="BN85" s="233">
        <s:f>IF(BM85="111","SI","SD")</s:f>
        <s:v/>
      </s:c>
      <s:c r="BO85" s="233">
        <s:f>IF(BM85="-1-1-1","SI","SD")</s:f>
        <s:v/>
      </s:c>
      <s:c r="BP85" s="233">
        <s:f>OR(BN85="SI",BO85="SI")</s:f>
        <s:v/>
      </s:c>
      <s:c r="BQ85" s="233">
        <s:f>IF(BP85=FALSE,"SIGDIFERENTES","SIGIGUALES")</s:f>
        <s:v/>
      </s:c>
      <s:c r="BR85" s="236">
        <s:f>IF(BI85="NO CONFORME","NO CONFORME",IF(BH85="CONFORME","CONFORME","NO CONFORME"))</s:f>
        <s:v/>
      </s:c>
      <s:c r="BS85" s="233">
        <s:f>F85</s:f>
        <s:v/>
      </s:c>
      <s:c r="BT85" s="237">
        <s:f>G85</s:f>
        <s:v/>
      </s:c>
      <s:c r="BU85" s="233">
        <s:f>"20"&amp;+MID(G85,3,2)</s:f>
        <s:v/>
      </s:c>
      <s:c r="BV85" s="238">
        <s:f>C85</s:f>
        <s:v/>
      </s:c>
      <s:c r="BW85" s="233">
        <s:f>AT85</s:f>
        <s:v/>
      </s:c>
      <s:c r="BX85" s="238">
        <s:f>B85</s:f>
        <s:v/>
      </s:c>
      <s:c r="BY85" s="239">
        <s:f>H85</s:f>
        <s:v/>
      </s:c>
      <s:c r="BZ85" s="233">
        <s:f>IF(I85=0,"CONFORME","NO CONFORME")</s:f>
        <s:v/>
      </s:c>
      <s:c r="CA85" s="238">
        <s:f>C85</s:f>
        <s:v/>
      </s:c>
      <s:c r="CB85" s="240">
        <s:f>AH85</s:f>
        <s:v/>
      </s:c>
      <s:c r="CC85" s="241">
        <s:f>AR85</s:f>
        <s:v/>
      </s:c>
      <s:c r="CD85" s="240">
        <s:f>AI85</s:f>
        <s:v/>
      </s:c>
      <s:c r="CE85" s="240">
        <s:f>AJ85</s:f>
        <s:v/>
      </s:c>
      <s:c r="CF85" s="240">
        <s:f>AS85</s:f>
        <s:v/>
      </s:c>
      <s:c r="CG85" s="240">
        <s:f>V85</s:f>
        <s:v/>
      </s:c>
      <s:c r="CH85" s="241">
        <s:f>AF85</s:f>
        <s:v/>
      </s:c>
      <s:c r="CI85" s="240">
        <s:f>W85</s:f>
        <s:v/>
      </s:c>
      <s:c r="CJ85" s="240">
        <s:f>X85</s:f>
        <s:v/>
      </s:c>
      <s:c r="CK85" s="240">
        <s:f>AG85</s:f>
        <s:v/>
      </s:c>
      <s:c r="CL85" s="240">
        <s:f>J85</s:f>
        <s:v/>
      </s:c>
      <s:c r="CM85" s="241">
        <s:f>T85</s:f>
        <s:v/>
      </s:c>
      <s:c r="CN85" s="240">
        <s:f>K85</s:f>
        <s:v/>
      </s:c>
      <s:c r="CO85" s="240">
        <s:f>L85</s:f>
        <s:v/>
      </s:c>
      <s:c r="CP85" s="242">
        <s:f>U85</s:f>
        <s:v/>
      </s:c>
      <s:c r="CQ85" s="233">
        <s:f>AT85</s:f>
        <s:v/>
      </s:c>
    </s:row>
    <s:row r="86">
      <s:c r="A86" s="211" t="n">
        <s:v>69</s:v>
      </s:c>
      <s:c r="B86" s="212" t="n">
        <s:v>45901</s:v>
      </s:c>
      <s:c r="C86" s="213" t="n">
        <s:v>45901</s:v>
      </s:c>
      <s:c r="D86" s="214" t="n">
        <s:v>3</s:v>
      </s:c>
      <s:c r="E86" s="215" t="n">
        <s:v>13</s:v>
      </s:c>
      <s:c r="F86" s="216" t="inlineStr">
        <s:is>
          <s:t>VI-236561-2025</s:t>
        </s:is>
      </s:c>
      <s:c r="G86" s="217" t="inlineStr">
        <s:is>
          <s:t>QA25418190</s:t>
        </s:is>
      </s:c>
      <s:c r="H86" s="218" t="n">
        <s:v>16</s:v>
      </s:c>
      <s:c r="I86" s="219" t="n">
        <s:v>0</s:v>
      </s:c>
      <s:c r="J86" s="220" t="n">
        <s:v>18.8</s:v>
      </s:c>
      <s:c r="K86" s="221" t="n">
        <s:v>7.519</s:v>
      </s:c>
      <s:c r="L86" s="221" t="n">
        <s:v>1.242</s:v>
      </s:c>
      <s:c r="M86" s="222" t="n">
        <s:v>406.51</s:v>
      </s:c>
      <s:c r="N86" s="222" t="n">
        <s:v>507.09</s:v>
      </s:c>
      <s:c r="O86" s="222" t="n">
        <s:v>100.56</s:v>
      </s:c>
      <s:c r="P86" s="223" t="inlineStr">
        <s:is>
          <s:t>2,31,460</s:t>
        </s:is>
      </s:c>
      <s:c r="Q86" s="224" t="inlineStr">
        <s:is>
          <s:t>2</s:t>
        </s:is>
      </s:c>
      <s:c r="R86" s="224" t="inlineStr">
        <s:is>
          <s:t>31,460</s:t>
        </s:is>
      </s:c>
      <s:c r="S86" s="224" t="n">
        <s:v>0.04207222222222223</s:v>
      </s:c>
      <s:c r="T86" s="225" t="n">
        <s:v>2390.175623927109</s:v>
      </s:c>
      <s:c r="U86" s="226" t="n">
        <s:v>0.01988862370722137</s:v>
      </s:c>
      <s:c r="V86" s="220" t="n">
        <s:v>18.6</s:v>
      </s:c>
      <s:c r="W86" s="221" t="n">
        <s:v>1.093</s:v>
      </s:c>
      <s:c r="X86" s="221" t="n">
        <s:v>1.081</s:v>
      </s:c>
      <s:c r="Y86" s="222" t="n">
        <s:v>526.52</s:v>
      </s:c>
      <s:c r="Z86" s="222" t="n">
        <s:v>531.59</s:v>
      </s:c>
      <s:c r="AA86" s="227" t="n">
        <s:v>5.018</s:v>
      </s:c>
      <s:c r="AB86" s="228" t="inlineStr">
        <s:is>
          <s:t>11,15,580</s:t>
        </s:is>
      </s:c>
      <s:c r="AC86" s="224" t="inlineStr">
        <s:is>
          <s:t>11</s:t>
        </s:is>
      </s:c>
      <s:c r="AD86" s="224" t="inlineStr">
        <s:is>
          <s:t>15,580</s:t>
        </s:is>
      </s:c>
      <s:c r="AE86" s="224" t="n">
        <s:v>0.1876611111111111</s:v>
      </s:c>
      <s:c r="AF86" s="225" t="n">
        <s:v>26.73969034015217</s:v>
      </s:c>
      <s:c r="AG86" s="229" t="n">
        <s:v>1.036269430052814</s:v>
      </s:c>
      <s:c r="AH86" s="220" t="n">
        <s:v>18.7</s:v>
      </s:c>
      <s:c r="AI86" s="221" t="n">
        <s:v>1.094</s:v>
      </s:c>
      <s:c r="AJ86" s="221" t="n">
        <s:v>1.082</s:v>
      </s:c>
      <s:c r="AK86" s="222" t="n">
        <s:v>531.59</s:v>
      </s:c>
      <s:c r="AL86" s="222" t="n">
        <s:v>533.61</s:v>
      </s:c>
      <s:c r="AM86" s="230" t="n">
        <s:v>2.006</s:v>
      </s:c>
      <s:c r="AN86" s="223" t="inlineStr">
        <s:is>
          <s:t>7,25,900</s:t>
        </s:is>
      </s:c>
      <s:c r="AO86" s="224" t="inlineStr">
        <s:is>
          <s:t>7,</s:t>
        </s:is>
      </s:c>
      <s:c r="AP86" s="224" t="inlineStr">
        <s:is>
          <s:t>25,900</s:t>
        </s:is>
      </s:c>
      <s:c r="AQ86" s="224" t="n">
        <s:v>0.1238611111111111</s:v>
      </s:c>
      <s:c r="AR86" s="225" t="n">
        <s:v>16.19555954249832</s:v>
      </s:c>
      <s:c r="AS86" s="229" t="n">
        <s:v>0.6979062811556345</s:v>
      </s:c>
      <s:c r="AT86" s="231" t="inlineStr">
        <s:is>
          <s:t>CONFORME</s:t>
        </s:is>
      </s:c>
      <s:c r="AU86" s="232">
        <s:f>B86=C86</s:f>
        <s:v/>
      </s:c>
      <s:c r="AV86" s="233">
        <s:f>MID(G86,1,2)</s:f>
        <s:v/>
      </s:c>
      <s:c r="AW86" s="233">
        <s:f>LEN(G86)</s:f>
        <s:v/>
      </s:c>
      <s:c r="AX86" s="233" t="inlineStr">
        <s:is>
          <s:t>OI-0922-2025</s:t>
        </s:is>
      </s:c>
      <s:c r="AY86" s="233">
        <s:f>N86&lt;Y86</s:f>
        <s:v/>
      </s:c>
      <s:c r="AZ86" s="233">
        <s:f>Z86&lt;=AK86</s:f>
        <s:v/>
      </s:c>
      <s:c r="BA86" s="233">
        <s:f>L86&lt;K86</s:f>
        <s:v/>
      </s:c>
      <s:c r="BB86" s="233">
        <s:f>W86&gt;=X86</s:f>
        <s:v/>
      </s:c>
      <s:c r="BC86" s="233">
        <s:f>AI86&gt;=AJ86</s:f>
        <s:v/>
      </s:c>
      <s:c r="BD86" s="233">
        <s:f>IF(I86&gt;=1,"Qcorrecto",IF(AND(BE86="aceptable",BF86="aceptable",BG86="aceptable"),"Qcorrecto","Qincorrecto"))</s:f>
        <s:v/>
      </s:c>
      <s:c r="BE86" s="232">
        <s:f>IF(AR86&lt;$AH$6,"error",IF(AR86&gt;$AH$6*1.1,"error","aceptable"))</s:f>
        <s:v/>
      </s:c>
      <s:c r="BF86" s="232">
        <s:f>IF(AF86&lt;$V$6,"error",IF(AF86&gt;$V$6*1.1,"error","aceptable"))</s:f>
        <s:v/>
      </s:c>
      <s:c r="BG86" s="232">
        <s:f>IF(T86&lt;$J$6*0.9,"error",IF(T86&gt;$J$6,"error","aceptable"))</s:f>
        <s:v/>
      </s:c>
      <s:c r="BH86" s="234">
        <s:f>(IF(ABS(U86)&lt;1,"CONFORME",IF(ABS(AG86)&lt;1,"CONFORME",IF(ABS(AS86)&lt;2.5,"CONFORME","NO CONFORME"))))</s:f>
        <s:v/>
      </s:c>
      <s:c r="BI86" s="235">
        <s:f>(IF(ABS(U86)&gt;2.044,"NO CONFORME",IF(ABS(AG86)&gt;2.044,"NO CONFORME",IF(ABS(AS86)&gt;5.044,"NO CONFORME","CONFORME"))))</s:f>
        <s:v/>
      </s:c>
      <s:c r="BJ86" s="233">
        <s:f>SIGN(U86)</s:f>
        <s:v/>
      </s:c>
      <s:c r="BK86" s="233">
        <s:f>SIGN(AG86)</s:f>
        <s:v/>
      </s:c>
      <s:c r="BL86" s="233">
        <s:f>SIGN(AS86)</s:f>
        <s:v/>
      </s:c>
      <s:c r="BM86" s="233">
        <s:f>CONCATENATE(BJ86,BK86,BL86)</s:f>
        <s:v/>
      </s:c>
      <s:c r="BN86" s="233">
        <s:f>IF(BM86="111","SI","SD")</s:f>
        <s:v/>
      </s:c>
      <s:c r="BO86" s="233">
        <s:f>IF(BM86="-1-1-1","SI","SD")</s:f>
        <s:v/>
      </s:c>
      <s:c r="BP86" s="233">
        <s:f>OR(BN86="SI",BO86="SI")</s:f>
        <s:v/>
      </s:c>
      <s:c r="BQ86" s="233">
        <s:f>IF(BP86=FALSE,"SIGDIFERENTES","SIGIGUALES")</s:f>
        <s:v/>
      </s:c>
      <s:c r="BR86" s="236">
        <s:f>IF(BI86="NO CONFORME","NO CONFORME",IF(BH86="CONFORME","CONFORME","NO CONFORME"))</s:f>
        <s:v/>
      </s:c>
      <s:c r="BS86" s="233">
        <s:f>F86</s:f>
        <s:v/>
      </s:c>
      <s:c r="BT86" s="237">
        <s:f>G86</s:f>
        <s:v/>
      </s:c>
      <s:c r="BU86" s="233">
        <s:f>"20"&amp;+MID(G86,3,2)</s:f>
        <s:v/>
      </s:c>
      <s:c r="BV86" s="238">
        <s:f>C86</s:f>
        <s:v/>
      </s:c>
      <s:c r="BW86" s="233">
        <s:f>AT86</s:f>
        <s:v/>
      </s:c>
      <s:c r="BX86" s="238">
        <s:f>B86</s:f>
        <s:v/>
      </s:c>
      <s:c r="BY86" s="239">
        <s:f>H86</s:f>
        <s:v/>
      </s:c>
      <s:c r="BZ86" s="233">
        <s:f>IF(I86=0,"CONFORME","NO CONFORME")</s:f>
        <s:v/>
      </s:c>
      <s:c r="CA86" s="238">
        <s:f>C86</s:f>
        <s:v/>
      </s:c>
      <s:c r="CB86" s="240">
        <s:f>AH86</s:f>
        <s:v/>
      </s:c>
      <s:c r="CC86" s="241">
        <s:f>AR86</s:f>
        <s:v/>
      </s:c>
      <s:c r="CD86" s="240">
        <s:f>AI86</s:f>
        <s:v/>
      </s:c>
      <s:c r="CE86" s="240">
        <s:f>AJ86</s:f>
        <s:v/>
      </s:c>
      <s:c r="CF86" s="240">
        <s:f>AS86</s:f>
        <s:v/>
      </s:c>
      <s:c r="CG86" s="240">
        <s:f>V86</s:f>
        <s:v/>
      </s:c>
      <s:c r="CH86" s="241">
        <s:f>AF86</s:f>
        <s:v/>
      </s:c>
      <s:c r="CI86" s="240">
        <s:f>W86</s:f>
        <s:v/>
      </s:c>
      <s:c r="CJ86" s="240">
        <s:f>X86</s:f>
        <s:v/>
      </s:c>
      <s:c r="CK86" s="240">
        <s:f>AG86</s:f>
        <s:v/>
      </s:c>
      <s:c r="CL86" s="240">
        <s:f>J86</s:f>
        <s:v/>
      </s:c>
      <s:c r="CM86" s="241">
        <s:f>T86</s:f>
        <s:v/>
      </s:c>
      <s:c r="CN86" s="240">
        <s:f>K86</s:f>
        <s:v/>
      </s:c>
      <s:c r="CO86" s="240">
        <s:f>L86</s:f>
        <s:v/>
      </s:c>
      <s:c r="CP86" s="242">
        <s:f>U86</s:f>
        <s:v/>
      </s:c>
      <s:c r="CQ86" s="233">
        <s:f>AT86</s:f>
        <s:v/>
      </s:c>
    </s:row>
    <s:row r="87">
      <s:c r="A87" s="211" t="n">
        <s:v>70</s:v>
      </s:c>
      <s:c r="B87" s="212" t="n">
        <s:v>45901</s:v>
      </s:c>
      <s:c r="C87" s="213" t="n">
        <s:v>45901</s:v>
      </s:c>
      <s:c r="D87" s="214" t="n">
        <s:v>3</s:v>
      </s:c>
      <s:c r="E87" s="215" t="n">
        <s:v>13</s:v>
      </s:c>
      <s:c r="F87" s="216" t="inlineStr">
        <s:is>
          <s:t>VI-236562-2025</s:t>
        </s:is>
      </s:c>
      <s:c r="G87" s="217" t="inlineStr">
        <s:is>
          <s:t>QA25418175</s:t>
        </s:is>
      </s:c>
      <s:c r="H87" s="218" t="n">
        <s:v>16</s:v>
      </s:c>
      <s:c r="I87" s="219" t="n">
        <s:v>0</s:v>
      </s:c>
      <s:c r="J87" s="220" t="n">
        <s:v>18.8</s:v>
      </s:c>
      <s:c r="K87" s="221" t="n">
        <s:v>7.519</s:v>
      </s:c>
      <s:c r="L87" s="221" t="n">
        <s:v>1.242</s:v>
      </s:c>
      <s:c r="M87" s="222" t="n">
        <s:v>370.92</s:v>
      </s:c>
      <s:c r="N87" s="222" t="n">
        <s:v>470.93</s:v>
      </s:c>
      <s:c r="O87" s="222" t="n">
        <s:v>100.56</s:v>
      </s:c>
      <s:c r="P87" s="223" t="inlineStr">
        <s:is>
          <s:t>2,31,460</s:t>
        </s:is>
      </s:c>
      <s:c r="Q87" s="224" t="inlineStr">
        <s:is>
          <s:t>2</s:t>
        </s:is>
      </s:c>
      <s:c r="R87" s="224" t="inlineStr">
        <s:is>
          <s:t>31,460</s:t>
        </s:is>
      </s:c>
      <s:c r="S87" s="224" t="n">
        <s:v>0.04207222222222223</s:v>
      </s:c>
      <s:c r="T87" s="225" t="n">
        <s:v>2390.175623927109</s:v>
      </s:c>
      <s:c r="U87" s="226" t="n">
        <s:v>-0.5469371519490964</s:v>
      </s:c>
      <s:c r="V87" s="220" t="n">
        <s:v>18.6</s:v>
      </s:c>
      <s:c r="W87" s="221" t="n">
        <s:v>1.093</s:v>
      </s:c>
      <s:c r="X87" s="221" t="n">
        <s:v>1.081</s:v>
      </s:c>
      <s:c r="Y87" s="222" t="n">
        <s:v>490.17</s:v>
      </s:c>
      <s:c r="Z87" s="222" t="n">
        <s:v>495.24</s:v>
      </s:c>
      <s:c r="AA87" s="227" t="n">
        <s:v>5.018</s:v>
      </s:c>
      <s:c r="AB87" s="228" t="inlineStr">
        <s:is>
          <s:t>11,15,580</s:t>
        </s:is>
      </s:c>
      <s:c r="AC87" s="224" t="inlineStr">
        <s:is>
          <s:t>11</s:t>
        </s:is>
      </s:c>
      <s:c r="AD87" s="224" t="inlineStr">
        <s:is>
          <s:t>15,580</s:t>
        </s:is>
      </s:c>
      <s:c r="AE87" s="224" t="n">
        <s:v>0.1876611111111111</s:v>
      </s:c>
      <s:c r="AF87" s="225" t="n">
        <s:v>26.73969034015217</s:v>
      </s:c>
      <s:c r="AG87" s="229" t="n">
        <s:v>1.036269430051682</s:v>
      </s:c>
      <s:c r="AH87" s="220" t="n">
        <s:v>18.7</s:v>
      </s:c>
      <s:c r="AI87" s="221" t="n">
        <s:v>1.094</s:v>
      </s:c>
      <s:c r="AJ87" s="221" t="n">
        <s:v>1.082</s:v>
      </s:c>
      <s:c r="AK87" s="222" t="n">
        <s:v>495.24</s:v>
      </s:c>
      <s:c r="AL87" s="222" t="n">
        <s:v>497.26</s:v>
      </s:c>
      <s:c r="AM87" s="230" t="n">
        <s:v>2.006</s:v>
      </s:c>
      <s:c r="AN87" s="223" t="inlineStr">
        <s:is>
          <s:t>7,25,900</s:t>
        </s:is>
      </s:c>
      <s:c r="AO87" s="224" t="inlineStr">
        <s:is>
          <s:t>7,</s:t>
        </s:is>
      </s:c>
      <s:c r="AP87" s="224" t="inlineStr">
        <s:is>
          <s:t>25,900</s:t>
        </s:is>
      </s:c>
      <s:c r="AQ87" s="224" t="n">
        <s:v>0.1238611111111111</s:v>
      </s:c>
      <s:c r="AR87" s="225" t="n">
        <s:v>16.19555954249832</s:v>
      </s:c>
      <s:c r="AS87" s="229" t="n">
        <s:v>0.6979062811556345</s:v>
      </s:c>
      <s:c r="AT87" s="231" t="inlineStr">
        <s:is>
          <s:t>CONFORME</s:t>
        </s:is>
      </s:c>
      <s:c r="AU87" s="232">
        <s:f>B87=C87</s:f>
        <s:v/>
      </s:c>
      <s:c r="AV87" s="233">
        <s:f>MID(G87,1,2)</s:f>
        <s:v/>
      </s:c>
      <s:c r="AW87" s="233">
        <s:f>LEN(G87)</s:f>
        <s:v/>
      </s:c>
      <s:c r="AX87" s="233" t="inlineStr">
        <s:is>
          <s:t>OI-0922-2025</s:t>
        </s:is>
      </s:c>
      <s:c r="AY87" s="233">
        <s:f>N87&lt;Y87</s:f>
        <s:v/>
      </s:c>
      <s:c r="AZ87" s="233">
        <s:f>Z87&lt;=AK87</s:f>
        <s:v/>
      </s:c>
      <s:c r="BA87" s="233">
        <s:f>L87&lt;K87</s:f>
        <s:v/>
      </s:c>
      <s:c r="BB87" s="233">
        <s:f>W87&gt;=X87</s:f>
        <s:v/>
      </s:c>
      <s:c r="BC87" s="233">
        <s:f>AI87&gt;=AJ87</s:f>
        <s:v/>
      </s:c>
      <s:c r="BD87" s="233">
        <s:f>IF(I87&gt;=1,"Qcorrecto",IF(AND(BE87="aceptable",BF87="aceptable",BG87="aceptable"),"Qcorrecto","Qincorrecto"))</s:f>
        <s:v/>
      </s:c>
      <s:c r="BE87" s="232">
        <s:f>IF(AR87&lt;$AH$6,"error",IF(AR87&gt;$AH$6*1.1,"error","aceptable"))</s:f>
        <s:v/>
      </s:c>
      <s:c r="BF87" s="232">
        <s:f>IF(AF87&lt;$V$6,"error",IF(AF87&gt;$V$6*1.1,"error","aceptable"))</s:f>
        <s:v/>
      </s:c>
      <s:c r="BG87" s="232">
        <s:f>IF(T87&lt;$J$6*0.9,"error",IF(T87&gt;$J$6,"error","aceptable"))</s:f>
        <s:v/>
      </s:c>
      <s:c r="BH87" s="234">
        <s:f>(IF(ABS(U87)&lt;1,"CONFORME",IF(ABS(AG87)&lt;1,"CONFORME",IF(ABS(AS87)&lt;2.5,"CONFORME","NO CONFORME"))))</s:f>
        <s:v/>
      </s:c>
      <s:c r="BI87" s="235">
        <s:f>(IF(ABS(U87)&gt;2.044,"NO CONFORME",IF(ABS(AG87)&gt;2.044,"NO CONFORME",IF(ABS(AS87)&gt;5.044,"NO CONFORME","CONFORME"))))</s:f>
        <s:v/>
      </s:c>
      <s:c r="BJ87" s="233">
        <s:f>SIGN(U87)</s:f>
        <s:v/>
      </s:c>
      <s:c r="BK87" s="233">
        <s:f>SIGN(AG87)</s:f>
        <s:v/>
      </s:c>
      <s:c r="BL87" s="233">
        <s:f>SIGN(AS87)</s:f>
        <s:v/>
      </s:c>
      <s:c r="BM87" s="233">
        <s:f>CONCATENATE(BJ87,BK87,BL87)</s:f>
        <s:v/>
      </s:c>
      <s:c r="BN87" s="233">
        <s:f>IF(BM87="111","SI","SD")</s:f>
        <s:v/>
      </s:c>
      <s:c r="BO87" s="233">
        <s:f>IF(BM87="-1-1-1","SI","SD")</s:f>
        <s:v/>
      </s:c>
      <s:c r="BP87" s="233">
        <s:f>OR(BN87="SI",BO87="SI")</s:f>
        <s:v/>
      </s:c>
      <s:c r="BQ87" s="233">
        <s:f>IF(BP87=FALSE,"SIGDIFERENTES","SIGIGUALES")</s:f>
        <s:v/>
      </s:c>
      <s:c r="BR87" s="236">
        <s:f>IF(BI87="NO CONFORME","NO CONFORME",IF(BH87="CONFORME","CONFORME","NO CONFORME"))</s:f>
        <s:v/>
      </s:c>
      <s:c r="BS87" s="233">
        <s:f>F87</s:f>
        <s:v/>
      </s:c>
      <s:c r="BT87" s="237">
        <s:f>G87</s:f>
        <s:v/>
      </s:c>
      <s:c r="BU87" s="233">
        <s:f>"20"&amp;+MID(G87,3,2)</s:f>
        <s:v/>
      </s:c>
      <s:c r="BV87" s="238">
        <s:f>C87</s:f>
        <s:v/>
      </s:c>
      <s:c r="BW87" s="233">
        <s:f>AT87</s:f>
        <s:v/>
      </s:c>
      <s:c r="BX87" s="238">
        <s:f>B87</s:f>
        <s:v/>
      </s:c>
      <s:c r="BY87" s="239">
        <s:f>H87</s:f>
        <s:v/>
      </s:c>
      <s:c r="BZ87" s="233">
        <s:f>IF(I87=0,"CONFORME","NO CONFORME")</s:f>
        <s:v/>
      </s:c>
      <s:c r="CA87" s="238">
        <s:f>C87</s:f>
        <s:v/>
      </s:c>
      <s:c r="CB87" s="240">
        <s:f>AH87</s:f>
        <s:v/>
      </s:c>
      <s:c r="CC87" s="241">
        <s:f>AR87</s:f>
        <s:v/>
      </s:c>
      <s:c r="CD87" s="240">
        <s:f>AI87</s:f>
        <s:v/>
      </s:c>
      <s:c r="CE87" s="240">
        <s:f>AJ87</s:f>
        <s:v/>
      </s:c>
      <s:c r="CF87" s="240">
        <s:f>AS87</s:f>
        <s:v/>
      </s:c>
      <s:c r="CG87" s="240">
        <s:f>V87</s:f>
        <s:v/>
      </s:c>
      <s:c r="CH87" s="241">
        <s:f>AF87</s:f>
        <s:v/>
      </s:c>
      <s:c r="CI87" s="240">
        <s:f>W87</s:f>
        <s:v/>
      </s:c>
      <s:c r="CJ87" s="240">
        <s:f>X87</s:f>
        <s:v/>
      </s:c>
      <s:c r="CK87" s="240">
        <s:f>AG87</s:f>
        <s:v/>
      </s:c>
      <s:c r="CL87" s="240">
        <s:f>J87</s:f>
        <s:v/>
      </s:c>
      <s:c r="CM87" s="241">
        <s:f>T87</s:f>
        <s:v/>
      </s:c>
      <s:c r="CN87" s="240">
        <s:f>K87</s:f>
        <s:v/>
      </s:c>
      <s:c r="CO87" s="240">
        <s:f>L87</s:f>
        <s:v/>
      </s:c>
      <s:c r="CP87" s="242">
        <s:f>U87</s:f>
        <s:v/>
      </s:c>
      <s:c r="CQ87" s="233">
        <s:f>AT87</s:f>
        <s:v/>
      </s:c>
    </s:row>
    <s:row r="88">
      <s:c r="A88" s="211" t="n">
        <s:v>71</s:v>
      </s:c>
      <s:c r="B88" s="212" t="n">
        <s:v>45901</s:v>
      </s:c>
      <s:c r="C88" s="213" t="n">
        <s:v>45901</s:v>
      </s:c>
      <s:c r="D88" s="214" t="n">
        <s:v>3</s:v>
      </s:c>
      <s:c r="E88" s="215" t="n">
        <s:v>13</s:v>
      </s:c>
      <s:c r="F88" s="216" t="inlineStr">
        <s:is>
          <s:t>VI-236563-2025</s:t>
        </s:is>
      </s:c>
      <s:c r="G88" s="217" t="inlineStr">
        <s:is>
          <s:t>QA25418181</s:t>
        </s:is>
      </s:c>
      <s:c r="H88" s="218" t="n">
        <s:v>16</s:v>
      </s:c>
      <s:c r="I88" s="219" t="n">
        <s:v>0</s:v>
      </s:c>
      <s:c r="J88" s="220" t="n">
        <s:v>18.8</s:v>
      </s:c>
      <s:c r="K88" s="221" t="n">
        <s:v>7.519</s:v>
      </s:c>
      <s:c r="L88" s="221" t="n">
        <s:v>1.242</s:v>
      </s:c>
      <s:c r="M88" s="222" t="n">
        <s:v>372.15</s:v>
      </s:c>
      <s:c r="N88" s="222" t="n">
        <s:v>472.81</s:v>
      </s:c>
      <s:c r="O88" s="222" t="n">
        <s:v>100.56</s:v>
      </s:c>
      <s:c r="P88" s="223" t="inlineStr">
        <s:is>
          <s:t>2,31,460</s:t>
        </s:is>
      </s:c>
      <s:c r="Q88" s="224" t="inlineStr">
        <s:is>
          <s:t>2</s:t>
        </s:is>
      </s:c>
      <s:c r="R88" s="224" t="inlineStr">
        <s:is>
          <s:t>31,460</s:t>
        </s:is>
      </s:c>
      <s:c r="S88" s="224" t="n">
        <s:v>0.04207222222222223</s:v>
      </s:c>
      <s:c r="T88" s="225" t="n">
        <s:v>2390.175623927109</s:v>
      </s:c>
      <s:c r="U88" s="226" t="n">
        <s:v>0.0994431185362199</s:v>
      </s:c>
      <s:c r="V88" s="220" t="n">
        <s:v>18.6</s:v>
      </s:c>
      <s:c r="W88" s="221" t="n">
        <s:v>1.093</s:v>
      </s:c>
      <s:c r="X88" s="221" t="n">
        <s:v>1.081</s:v>
      </s:c>
      <s:c r="Y88" s="222" t="n">
        <s:v>492.26</s:v>
      </s:c>
      <s:c r="Z88" s="222" t="n">
        <s:v>497.38</s:v>
      </s:c>
      <s:c r="AA88" s="227" t="n">
        <s:v>5.018</s:v>
      </s:c>
      <s:c r="AB88" s="228" t="inlineStr">
        <s:is>
          <s:t>11,15,580</s:t>
        </s:is>
      </s:c>
      <s:c r="AC88" s="224" t="inlineStr">
        <s:is>
          <s:t>11</s:t>
        </s:is>
      </s:c>
      <s:c r="AD88" s="224" t="inlineStr">
        <s:is>
          <s:t>15,580</s:t>
        </s:is>
      </s:c>
      <s:c r="AE88" s="224" t="n">
        <s:v>0.1876611111111111</s:v>
      </s:c>
      <s:c r="AF88" s="225" t="n">
        <s:v>26.73969034015217</s:v>
      </s:c>
      <s:c r="AG88" s="229" t="n">
        <s:v>2.032682343563267</s:v>
      </s:c>
      <s:c r="AH88" s="220" t="n">
        <s:v>18.7</s:v>
      </s:c>
      <s:c r="AI88" s="221" t="n">
        <s:v>1.094</s:v>
      </s:c>
      <s:c r="AJ88" s="221" t="n">
        <s:v>1.082</s:v>
      </s:c>
      <s:c r="AK88" s="222" t="n">
        <s:v>497.38</s:v>
      </s:c>
      <s:c r="AL88" s="222" t="n">
        <s:v>499.43</s:v>
      </s:c>
      <s:c r="AM88" s="230" t="n">
        <s:v>2.006</s:v>
      </s:c>
      <s:c r="AN88" s="223" t="inlineStr">
        <s:is>
          <s:t>7,25,900</s:t>
        </s:is>
      </s:c>
      <s:c r="AO88" s="224" t="inlineStr">
        <s:is>
          <s:t>7,</s:t>
        </s:is>
      </s:c>
      <s:c r="AP88" s="224" t="inlineStr">
        <s:is>
          <s:t>25,900</s:t>
        </s:is>
      </s:c>
      <s:c r="AQ88" s="224" t="n">
        <s:v>0.1238611111111111</s:v>
      </s:c>
      <s:c r="AR88" s="225" t="n">
        <s:v>16.19555954249832</s:v>
      </s:c>
      <s:c r="AS88" s="229" t="n">
        <s:v>2.193419740778245</s:v>
      </s:c>
      <s:c r="AT88" s="231" t="inlineStr">
        <s:is>
          <s:t>CONFORME</s:t>
        </s:is>
      </s:c>
      <s:c r="AU88" s="232">
        <s:f>B88=C88</s:f>
        <s:v/>
      </s:c>
      <s:c r="AV88" s="233">
        <s:f>MID(G88,1,2)</s:f>
        <s:v/>
      </s:c>
      <s:c r="AW88" s="233">
        <s:f>LEN(G88)</s:f>
        <s:v/>
      </s:c>
      <s:c r="AX88" s="233" t="inlineStr">
        <s:is>
          <s:t>OI-0922-2025</s:t>
        </s:is>
      </s:c>
      <s:c r="AY88" s="233">
        <s:f>N88&lt;Y88</s:f>
        <s:v/>
      </s:c>
      <s:c r="AZ88" s="233">
        <s:f>Z88&lt;=AK88</s:f>
        <s:v/>
      </s:c>
      <s:c r="BA88" s="233">
        <s:f>L88&lt;K88</s:f>
        <s:v/>
      </s:c>
      <s:c r="BB88" s="233">
        <s:f>W88&gt;=X88</s:f>
        <s:v/>
      </s:c>
      <s:c r="BC88" s="233">
        <s:f>AI88&gt;=AJ88</s:f>
        <s:v/>
      </s:c>
      <s:c r="BD88" s="233">
        <s:f>IF(I88&gt;=1,"Qcorrecto",IF(AND(BE88="aceptable",BF88="aceptable",BG88="aceptable"),"Qcorrecto","Qincorrecto"))</s:f>
        <s:v/>
      </s:c>
      <s:c r="BE88" s="232">
        <s:f>IF(AR88&lt;$AH$6,"error",IF(AR88&gt;$AH$6*1.1,"error","aceptable"))</s:f>
        <s:v/>
      </s:c>
      <s:c r="BF88" s="232">
        <s:f>IF(AF88&lt;$V$6,"error",IF(AF88&gt;$V$6*1.1,"error","aceptable"))</s:f>
        <s:v/>
      </s:c>
      <s:c r="BG88" s="232">
        <s:f>IF(T88&lt;$J$6*0.9,"error",IF(T88&gt;$J$6,"error","aceptable"))</s:f>
        <s:v/>
      </s:c>
      <s:c r="BH88" s="234">
        <s:f>(IF(ABS(U88)&lt;1,"CONFORME",IF(ABS(AG88)&lt;1,"CONFORME",IF(ABS(AS88)&lt;2.5,"CONFORME","NO CONFORME"))))</s:f>
        <s:v/>
      </s:c>
      <s:c r="BI88" s="235">
        <s:f>(IF(ABS(U88)&gt;2.044,"NO CONFORME",IF(ABS(AG88)&gt;2.044,"NO CONFORME",IF(ABS(AS88)&gt;5.044,"NO CONFORME","CONFORME"))))</s:f>
        <s:v/>
      </s:c>
      <s:c r="BJ88" s="233">
        <s:f>SIGN(U88)</s:f>
        <s:v/>
      </s:c>
      <s:c r="BK88" s="233">
        <s:f>SIGN(AG88)</s:f>
        <s:v/>
      </s:c>
      <s:c r="BL88" s="233">
        <s:f>SIGN(AS88)</s:f>
        <s:v/>
      </s:c>
      <s:c r="BM88" s="233">
        <s:f>CONCATENATE(BJ88,BK88,BL88)</s:f>
        <s:v/>
      </s:c>
      <s:c r="BN88" s="233">
        <s:f>IF(BM88="111","SI","SD")</s:f>
        <s:v/>
      </s:c>
      <s:c r="BO88" s="233">
        <s:f>IF(BM88="-1-1-1","SI","SD")</s:f>
        <s:v/>
      </s:c>
      <s:c r="BP88" s="233">
        <s:f>OR(BN88="SI",BO88="SI")</s:f>
        <s:v/>
      </s:c>
      <s:c r="BQ88" s="233">
        <s:f>IF(BP88=FALSE,"SIGDIFERENTES","SIGIGUALES")</s:f>
        <s:v/>
      </s:c>
      <s:c r="BR88" s="236">
        <s:f>IF(BI88="NO CONFORME","NO CONFORME",IF(BH88="CONFORME","CONFORME","NO CONFORME"))</s:f>
        <s:v/>
      </s:c>
      <s:c r="BS88" s="233">
        <s:f>F88</s:f>
        <s:v/>
      </s:c>
      <s:c r="BT88" s="237">
        <s:f>G88</s:f>
        <s:v/>
      </s:c>
      <s:c r="BU88" s="233">
        <s:f>"20"&amp;+MID(G88,3,2)</s:f>
        <s:v/>
      </s:c>
      <s:c r="BV88" s="238">
        <s:f>C88</s:f>
        <s:v/>
      </s:c>
      <s:c r="BW88" s="233">
        <s:f>AT88</s:f>
        <s:v/>
      </s:c>
      <s:c r="BX88" s="238">
        <s:f>B88</s:f>
        <s:v/>
      </s:c>
      <s:c r="BY88" s="239">
        <s:f>H88</s:f>
        <s:v/>
      </s:c>
      <s:c r="BZ88" s="233">
        <s:f>IF(I88=0,"CONFORME","NO CONFORME")</s:f>
        <s:v/>
      </s:c>
      <s:c r="CA88" s="238">
        <s:f>C88</s:f>
        <s:v/>
      </s:c>
      <s:c r="CB88" s="240">
        <s:f>AH88</s:f>
        <s:v/>
      </s:c>
      <s:c r="CC88" s="241">
        <s:f>AR88</s:f>
        <s:v/>
      </s:c>
      <s:c r="CD88" s="240">
        <s:f>AI88</s:f>
        <s:v/>
      </s:c>
      <s:c r="CE88" s="240">
        <s:f>AJ88</s:f>
        <s:v/>
      </s:c>
      <s:c r="CF88" s="240">
        <s:f>AS88</s:f>
        <s:v/>
      </s:c>
      <s:c r="CG88" s="240">
        <s:f>V88</s:f>
        <s:v/>
      </s:c>
      <s:c r="CH88" s="241">
        <s:f>AF88</s:f>
        <s:v/>
      </s:c>
      <s:c r="CI88" s="240">
        <s:f>W88</s:f>
        <s:v/>
      </s:c>
      <s:c r="CJ88" s="240">
        <s:f>X88</s:f>
        <s:v/>
      </s:c>
      <s:c r="CK88" s="240">
        <s:f>AG88</s:f>
        <s:v/>
      </s:c>
      <s:c r="CL88" s="240">
        <s:f>J88</s:f>
        <s:v/>
      </s:c>
      <s:c r="CM88" s="241">
        <s:f>T88</s:f>
        <s:v/>
      </s:c>
      <s:c r="CN88" s="240">
        <s:f>K88</s:f>
        <s:v/>
      </s:c>
      <s:c r="CO88" s="240">
        <s:f>L88</s:f>
        <s:v/>
      </s:c>
      <s:c r="CP88" s="242">
        <s:f>U88</s:f>
        <s:v/>
      </s:c>
      <s:c r="CQ88" s="233">
        <s:f>AT88</s:f>
        <s:v/>
      </s:c>
    </s:row>
    <s:row r="89">
      <s:c r="A89" s="211" t="n">
        <s:v>72</s:v>
      </s:c>
      <s:c r="B89" s="212" t="n">
        <s:v>45901</s:v>
      </s:c>
      <s:c r="C89" s="213" t="n">
        <s:v>45901</s:v>
      </s:c>
      <s:c r="D89" s="214" t="n">
        <s:v>3</s:v>
      </s:c>
      <s:c r="E89" s="215" t="n">
        <s:v>13</s:v>
      </s:c>
      <s:c r="F89" s="216" t="inlineStr">
        <s:is>
          <s:t>VI-236564-2025</s:t>
        </s:is>
      </s:c>
      <s:c r="G89" s="217" t="inlineStr">
        <s:is>
          <s:t>QA25418220</s:t>
        </s:is>
      </s:c>
      <s:c r="H89" s="218" t="n">
        <s:v>16</s:v>
      </s:c>
      <s:c r="I89" s="219" t="n">
        <s:v>0</s:v>
      </s:c>
      <s:c r="J89" s="220" t="n">
        <s:v>18.8</s:v>
      </s:c>
      <s:c r="K89" s="221" t="n">
        <s:v>7.519</s:v>
      </s:c>
      <s:c r="L89" s="221" t="n">
        <s:v>1.242</s:v>
      </s:c>
      <s:c r="M89" s="222" t="n">
        <s:v>350.55</s:v>
      </s:c>
      <s:c r="N89" s="222" t="n">
        <s:v>451.59</s:v>
      </s:c>
      <s:c r="O89" s="222" t="n">
        <s:v>100.56</s:v>
      </s:c>
      <s:c r="P89" s="223" t="inlineStr">
        <s:is>
          <s:t>2,31,460</s:t>
        </s:is>
      </s:c>
      <s:c r="Q89" s="224" t="inlineStr">
        <s:is>
          <s:t>2</s:t>
        </s:is>
      </s:c>
      <s:c r="R89" s="224" t="inlineStr">
        <s:is>
          <s:t>31,460</s:t>
        </s:is>
      </s:c>
      <s:c r="S89" s="224" t="n">
        <s:v>0.04207222222222223</s:v>
      </s:c>
      <s:c r="T89" s="225" t="n">
        <s:v>2390.175623927109</s:v>
      </s:c>
      <s:c r="U89" s="226" t="n">
        <s:v>0.4773269689737085</s:v>
      </s:c>
      <s:c r="V89" s="220" t="n">
        <s:v>18.6</s:v>
      </s:c>
      <s:c r="W89" s="221" t="n">
        <s:v>1.093</s:v>
      </s:c>
      <s:c r="X89" s="221" t="n">
        <s:v>1.081</s:v>
      </s:c>
      <s:c r="Y89" s="222" t="n">
        <s:v>471.15</s:v>
      </s:c>
      <s:c r="Z89" s="222" t="n">
        <s:v>476.25</s:v>
      </s:c>
      <s:c r="AA89" s="227" t="n">
        <s:v>5.018</s:v>
      </s:c>
      <s:c r="AB89" s="228" t="inlineStr">
        <s:is>
          <s:t>11,15,580</s:t>
        </s:is>
      </s:c>
      <s:c r="AC89" s="224" t="inlineStr">
        <s:is>
          <s:t>11</s:t>
        </s:is>
      </s:c>
      <s:c r="AD89" s="224" t="inlineStr">
        <s:is>
          <s:t>15,580</s:t>
        </s:is>
      </s:c>
      <s:c r="AE89" s="224" t="n">
        <s:v>0.1876611111111111</s:v>
      </s:c>
      <s:c r="AF89" s="225" t="n">
        <s:v>26.73969034015217</s:v>
      </s:c>
      <s:c r="AG89" s="229" t="n">
        <s:v>1.634117178159086</s:v>
      </s:c>
      <s:c r="AH89" s="220" t="n">
        <s:v>18.7</s:v>
      </s:c>
      <s:c r="AI89" s="221" t="n">
        <s:v>1.094</s:v>
      </s:c>
      <s:c r="AJ89" s="221" t="n">
        <s:v>1.082</s:v>
      </s:c>
      <s:c r="AK89" s="222" t="n">
        <s:v>476.25</s:v>
      </s:c>
      <s:c r="AL89" s="222" t="n">
        <s:v>478.29</s:v>
      </s:c>
      <s:c r="AM89" s="230" t="n">
        <s:v>2.006</s:v>
      </s:c>
      <s:c r="AN89" s="223" t="inlineStr">
        <s:is>
          <s:t>7,25,900</s:t>
        </s:is>
      </s:c>
      <s:c r="AO89" s="224" t="inlineStr">
        <s:is>
          <s:t>7,</s:t>
        </s:is>
      </s:c>
      <s:c r="AP89" s="224" t="inlineStr">
        <s:is>
          <s:t>25,900</s:t>
        </s:is>
      </s:c>
      <s:c r="AQ89" s="224" t="n">
        <s:v>0.1238611111111111</s:v>
      </s:c>
      <s:c r="AR89" s="225" t="n">
        <s:v>16.19555954249832</s:v>
      </s:c>
      <s:c r="AS89" s="229" t="n">
        <s:v>1.694915254238319</s:v>
      </s:c>
      <s:c r="AT89" s="231" t="inlineStr">
        <s:is>
          <s:t>CONFORME</s:t>
        </s:is>
      </s:c>
      <s:c r="AU89" s="232">
        <s:f>B89=C89</s:f>
        <s:v/>
      </s:c>
      <s:c r="AV89" s="233">
        <s:f>MID(G89,1,2)</s:f>
        <s:v/>
      </s:c>
      <s:c r="AW89" s="233">
        <s:f>LEN(G89)</s:f>
        <s:v/>
      </s:c>
      <s:c r="AX89" s="233" t="inlineStr">
        <s:is>
          <s:t>OI-0922-2025</s:t>
        </s:is>
      </s:c>
      <s:c r="AY89" s="233">
        <s:f>N89&lt;Y89</s:f>
        <s:v/>
      </s:c>
      <s:c r="AZ89" s="233">
        <s:f>Z89&lt;=AK89</s:f>
        <s:v/>
      </s:c>
      <s:c r="BA89" s="233">
        <s:f>L89&lt;K89</s:f>
        <s:v/>
      </s:c>
      <s:c r="BB89" s="233">
        <s:f>W89&gt;=X89</s:f>
        <s:v/>
      </s:c>
      <s:c r="BC89" s="233">
        <s:f>AI89&gt;=AJ89</s:f>
        <s:v/>
      </s:c>
      <s:c r="BD89" s="233">
        <s:f>IF(I89&gt;=1,"Qcorrecto",IF(AND(BE89="aceptable",BF89="aceptable",BG89="aceptable"),"Qcorrecto","Qincorrecto"))</s:f>
        <s:v/>
      </s:c>
      <s:c r="BE89" s="232">
        <s:f>IF(AR89&lt;$AH$6,"error",IF(AR89&gt;$AH$6*1.1,"error","aceptable"))</s:f>
        <s:v/>
      </s:c>
      <s:c r="BF89" s="232">
        <s:f>IF(AF89&lt;$V$6,"error",IF(AF89&gt;$V$6*1.1,"error","aceptable"))</s:f>
        <s:v/>
      </s:c>
      <s:c r="BG89" s="232">
        <s:f>IF(T89&lt;$J$6*0.9,"error",IF(T89&gt;$J$6,"error","aceptable"))</s:f>
        <s:v/>
      </s:c>
      <s:c r="BH89" s="234">
        <s:f>(IF(ABS(U89)&lt;1,"CONFORME",IF(ABS(AG89)&lt;1,"CONFORME",IF(ABS(AS89)&lt;2.5,"CONFORME","NO CONFORME"))))</s:f>
        <s:v/>
      </s:c>
      <s:c r="BI89" s="235">
        <s:f>(IF(ABS(U89)&gt;2.044,"NO CONFORME",IF(ABS(AG89)&gt;2.044,"NO CONFORME",IF(ABS(AS89)&gt;5.044,"NO CONFORME","CONFORME"))))</s:f>
        <s:v/>
      </s:c>
      <s:c r="BJ89" s="233">
        <s:f>SIGN(U89)</s:f>
        <s:v/>
      </s:c>
      <s:c r="BK89" s="233">
        <s:f>SIGN(AG89)</s:f>
        <s:v/>
      </s:c>
      <s:c r="BL89" s="233">
        <s:f>SIGN(AS89)</s:f>
        <s:v/>
      </s:c>
      <s:c r="BM89" s="233">
        <s:f>CONCATENATE(BJ89,BK89,BL89)</s:f>
        <s:v/>
      </s:c>
      <s:c r="BN89" s="233">
        <s:f>IF(BM89="111","SI","SD")</s:f>
        <s:v/>
      </s:c>
      <s:c r="BO89" s="233">
        <s:f>IF(BM89="-1-1-1","SI","SD")</s:f>
        <s:v/>
      </s:c>
      <s:c r="BP89" s="233">
        <s:f>OR(BN89="SI",BO89="SI")</s:f>
        <s:v/>
      </s:c>
      <s:c r="BQ89" s="233">
        <s:f>IF(BP89=FALSE,"SIGDIFERENTES","SIGIGUALES")</s:f>
        <s:v/>
      </s:c>
      <s:c r="BR89" s="236">
        <s:f>IF(BI89="NO CONFORME","NO CONFORME",IF(BH89="CONFORME","CONFORME","NO CONFORME"))</s:f>
        <s:v/>
      </s:c>
      <s:c r="BS89" s="233">
        <s:f>F89</s:f>
        <s:v/>
      </s:c>
      <s:c r="BT89" s="237">
        <s:f>G89</s:f>
        <s:v/>
      </s:c>
      <s:c r="BU89" s="233">
        <s:f>"20"&amp;+MID(G89,3,2)</s:f>
        <s:v/>
      </s:c>
      <s:c r="BV89" s="238">
        <s:f>C89</s:f>
        <s:v/>
      </s:c>
      <s:c r="BW89" s="233">
        <s:f>AT89</s:f>
        <s:v/>
      </s:c>
      <s:c r="BX89" s="238">
        <s:f>B89</s:f>
        <s:v/>
      </s:c>
      <s:c r="BY89" s="239">
        <s:f>H89</s:f>
        <s:v/>
      </s:c>
      <s:c r="BZ89" s="233">
        <s:f>IF(I89=0,"CONFORME","NO CONFORME")</s:f>
        <s:v/>
      </s:c>
      <s:c r="CA89" s="238">
        <s:f>C89</s:f>
        <s:v/>
      </s:c>
      <s:c r="CB89" s="240">
        <s:f>AH89</s:f>
        <s:v/>
      </s:c>
      <s:c r="CC89" s="241">
        <s:f>AR89</s:f>
        <s:v/>
      </s:c>
      <s:c r="CD89" s="240">
        <s:f>AI89</s:f>
        <s:v/>
      </s:c>
      <s:c r="CE89" s="240">
        <s:f>AJ89</s:f>
        <s:v/>
      </s:c>
      <s:c r="CF89" s="240">
        <s:f>AS89</s:f>
        <s:v/>
      </s:c>
      <s:c r="CG89" s="240">
        <s:f>V89</s:f>
        <s:v/>
      </s:c>
      <s:c r="CH89" s="241">
        <s:f>AF89</s:f>
        <s:v/>
      </s:c>
      <s:c r="CI89" s="240">
        <s:f>W89</s:f>
        <s:v/>
      </s:c>
      <s:c r="CJ89" s="240">
        <s:f>X89</s:f>
        <s:v/>
      </s:c>
      <s:c r="CK89" s="240">
        <s:f>AG89</s:f>
        <s:v/>
      </s:c>
      <s:c r="CL89" s="240">
        <s:f>J89</s:f>
        <s:v/>
      </s:c>
      <s:c r="CM89" s="241">
        <s:f>T89</s:f>
        <s:v/>
      </s:c>
      <s:c r="CN89" s="240">
        <s:f>K89</s:f>
        <s:v/>
      </s:c>
      <s:c r="CO89" s="240">
        <s:f>L89</s:f>
        <s:v/>
      </s:c>
      <s:c r="CP89" s="242">
        <s:f>U89</s:f>
        <s:v/>
      </s:c>
      <s:c r="CQ89" s="233">
        <s:f>AT89</s:f>
        <s:v/>
      </s:c>
    </s:row>
    <s:row r="90">
      <s:c r="A90" s="211" t="n">
        <s:v>73</s:v>
      </s:c>
      <s:c r="B90" s="212" t="n">
        <s:v>45901</s:v>
      </s:c>
      <s:c r="C90" s="213" t="n">
        <s:v>45901</s:v>
      </s:c>
      <s:c r="D90" s="214" t="n">
        <s:v>3</s:v>
      </s:c>
      <s:c r="E90" s="215" t="n">
        <s:v>13</s:v>
      </s:c>
      <s:c r="F90" s="216" t="inlineStr">
        <s:is>
          <s:t>VI-236565-2025</s:t>
        </s:is>
      </s:c>
      <s:c r="G90" s="217" t="inlineStr">
        <s:is>
          <s:t>QA25418201</s:t>
        </s:is>
      </s:c>
      <s:c r="H90" s="218" t="n">
        <s:v>16</s:v>
      </s:c>
      <s:c r="I90" s="219" t="n">
        <s:v>0</s:v>
      </s:c>
      <s:c r="J90" s="220" t="n">
        <s:v>18.8</s:v>
      </s:c>
      <s:c r="K90" s="221" t="n">
        <s:v>7.51</s:v>
      </s:c>
      <s:c r="L90" s="221" t="n">
        <s:v>1.223</s:v>
      </s:c>
      <s:c r="M90" s="222" t="n">
        <s:v>473.13</s:v>
      </s:c>
      <s:c r="N90" s="222" t="n">
        <s:v>573.55</s:v>
      </s:c>
      <s:c r="O90" s="222" t="n">
        <s:v>100.42</s:v>
      </s:c>
      <s:c r="P90" s="223" t="inlineStr">
        <s:is>
          <s:t>2,30,560</s:t>
        </s:is>
      </s:c>
      <s:c r="Q90" s="224" t="inlineStr">
        <s:is>
          <s:t>2</s:t>
        </s:is>
      </s:c>
      <s:c r="R90" s="224" t="inlineStr">
        <s:is>
          <s:t>30,560</s:t>
        </s:is>
      </s:c>
      <s:c r="S90" s="224" t="n">
        <s:v>0.04182222222222223</s:v>
      </s:c>
      <s:c r="T90" s="225" t="n">
        <s:v>2401.115834218916</s:v>
      </s:c>
      <s:c r="U90" s="226" t="n">
        <s:v>-4.245425626927505e-14</s:v>
      </s:c>
      <s:c r="V90" s="220" t="n">
        <s:v>18.8</s:v>
      </s:c>
      <s:c r="W90" s="221" t="n">
        <s:v>1.094</s:v>
      </s:c>
      <s:c r="X90" s="221" t="n">
        <s:v>1.082</s:v>
      </s:c>
      <s:c r="Y90" s="222" t="n">
        <s:v>587.14</s:v>
      </s:c>
      <s:c r="Z90" s="222" t="n">
        <s:v>592.1900000000001</s:v>
      </s:c>
      <s:c r="AA90" s="227" t="n">
        <s:v>5.028</s:v>
      </s:c>
      <s:c r="AB90" s="228" t="inlineStr">
        <s:is>
          <s:t>11,33,420</s:t>
        </s:is>
      </s:c>
      <s:c r="AC90" s="224" t="inlineStr">
        <s:is>
          <s:t>11</s:t>
        </s:is>
      </s:c>
      <s:c r="AD90" s="224" t="inlineStr">
        <s:is>
          <s:t>33,420</s:t>
        </s:is>
      </s:c>
      <s:c r="AE90" s="224" t="n">
        <s:v>0.1926166666666667</s:v>
      </s:c>
      <s:c r="AF90" s="225" t="n">
        <s:v>26.10366011940815</s:v>
      </s:c>
      <s:c r="AG90" s="229" t="n">
        <s:v>0.4375497215606332</s:v>
      </s:c>
      <s:c r="AH90" s="220" t="n">
        <s:v>18.9</s:v>
      </s:c>
      <s:c r="AI90" s="221" t="n">
        <s:v>1.094</s:v>
      </s:c>
      <s:c r="AJ90" s="221" t="n">
        <s:v>1.082</s:v>
      </s:c>
      <s:c r="AK90" s="222" t="n">
        <s:v>592.1900000000001</s:v>
      </s:c>
      <s:c r="AL90" s="222" t="n">
        <s:v>594.15</s:v>
      </s:c>
      <s:c r="AM90" s="230" t="n">
        <s:v>2.006</s:v>
      </s:c>
      <s:c r="AN90" s="223" t="inlineStr">
        <s:is>
          <s:t>7,24,950</s:t>
        </s:is>
      </s:c>
      <s:c r="AO90" s="224" t="inlineStr">
        <s:is>
          <s:t>7,</s:t>
        </s:is>
      </s:c>
      <s:c r="AP90" s="224" t="inlineStr">
        <s:is>
          <s:t>24,950</s:t>
        </s:is>
      </s:c>
      <s:c r="AQ90" s="224" t="n">
        <s:v>0.1235972222222222</s:v>
      </s:c>
      <s:c r="AR90" s="225" t="n">
        <s:v>16.23013821777728</s:v>
      </s:c>
      <s:c r="AS90" s="229" t="n">
        <s:v>-2.293120638089586</s:v>
      </s:c>
      <s:c r="AT90" s="231" t="inlineStr">
        <s:is>
          <s:t>CONFORME</s:t>
        </s:is>
      </s:c>
      <s:c r="AU90" s="232">
        <s:f>B90=C90</s:f>
        <s:v/>
      </s:c>
      <s:c r="AV90" s="233">
        <s:f>MID(G90,1,2)</s:f>
        <s:v/>
      </s:c>
      <s:c r="AW90" s="233">
        <s:f>LEN(G90)</s:f>
        <s:v/>
      </s:c>
      <s:c r="AX90" s="233" t="inlineStr">
        <s:is>
          <s:t>OI-0922-2025</s:t>
        </s:is>
      </s:c>
      <s:c r="AY90" s="233">
        <s:f>N90&lt;Y90</s:f>
        <s:v/>
      </s:c>
      <s:c r="AZ90" s="233">
        <s:f>Z90&lt;=AK90</s:f>
        <s:v/>
      </s:c>
      <s:c r="BA90" s="233">
        <s:f>L90&lt;K90</s:f>
        <s:v/>
      </s:c>
      <s:c r="BB90" s="233">
        <s:f>W90&gt;=X90</s:f>
        <s:v/>
      </s:c>
      <s:c r="BC90" s="233">
        <s:f>AI90&gt;=AJ90</s:f>
        <s:v/>
      </s:c>
      <s:c r="BD90" s="233">
        <s:f>IF(I90&gt;=1,"Qcorrecto",IF(AND(BE90="aceptable",BF90="aceptable",BG90="aceptable"),"Qcorrecto","Qincorrecto"))</s:f>
        <s:v/>
      </s:c>
      <s:c r="BE90" s="232">
        <s:f>IF(AR90&lt;$AH$6,"error",IF(AR90&gt;$AH$6*1.1,"error","aceptable"))</s:f>
        <s:v/>
      </s:c>
      <s:c r="BF90" s="232">
        <s:f>IF(AF90&lt;$V$6,"error",IF(AF90&gt;$V$6*1.1,"error","aceptable"))</s:f>
        <s:v/>
      </s:c>
      <s:c r="BG90" s="232">
        <s:f>IF(T90&lt;$J$6*0.9,"error",IF(T90&gt;$J$6,"error","aceptable"))</s:f>
        <s:v/>
      </s:c>
      <s:c r="BH90" s="234">
        <s:f>(IF(ABS(U90)&lt;1,"CONFORME",IF(ABS(AG90)&lt;1,"CONFORME",IF(ABS(AS90)&lt;2.5,"CONFORME","NO CONFORME"))))</s:f>
        <s:v/>
      </s:c>
      <s:c r="BI90" s="235">
        <s:f>(IF(ABS(U90)&gt;2.044,"NO CONFORME",IF(ABS(AG90)&gt;2.044,"NO CONFORME",IF(ABS(AS90)&gt;5.044,"NO CONFORME","CONFORME"))))</s:f>
        <s:v/>
      </s:c>
      <s:c r="BJ90" s="233">
        <s:f>SIGN(U90)</s:f>
        <s:v/>
      </s:c>
      <s:c r="BK90" s="233">
        <s:f>SIGN(AG90)</s:f>
        <s:v/>
      </s:c>
      <s:c r="BL90" s="233">
        <s:f>SIGN(AS90)</s:f>
        <s:v/>
      </s:c>
      <s:c r="BM90" s="233">
        <s:f>CONCATENATE(BJ90,BK90,BL90)</s:f>
        <s:v/>
      </s:c>
      <s:c r="BN90" s="233">
        <s:f>IF(BM90="111","SI","SD")</s:f>
        <s:v/>
      </s:c>
      <s:c r="BO90" s="233">
        <s:f>IF(BM90="-1-1-1","SI","SD")</s:f>
        <s:v/>
      </s:c>
      <s:c r="BP90" s="233">
        <s:f>OR(BN90="SI",BO90="SI")</s:f>
        <s:v/>
      </s:c>
      <s:c r="BQ90" s="233">
        <s:f>IF(BP90=FALSE,"SIGDIFERENTES","SIGIGUALES")</s:f>
        <s:v/>
      </s:c>
      <s:c r="BR90" s="236">
        <s:f>IF(BI90="NO CONFORME","NO CONFORME",IF(BH90="CONFORME","CONFORME","NO CONFORME"))</s:f>
        <s:v/>
      </s:c>
      <s:c r="BS90" s="233">
        <s:f>F90</s:f>
        <s:v/>
      </s:c>
      <s:c r="BT90" s="237">
        <s:f>G90</s:f>
        <s:v/>
      </s:c>
      <s:c r="BU90" s="233">
        <s:f>"20"&amp;+MID(G90,3,2)</s:f>
        <s:v/>
      </s:c>
      <s:c r="BV90" s="238">
        <s:f>C90</s:f>
        <s:v/>
      </s:c>
      <s:c r="BW90" s="233">
        <s:f>AT90</s:f>
        <s:v/>
      </s:c>
      <s:c r="BX90" s="238">
        <s:f>B90</s:f>
        <s:v/>
      </s:c>
      <s:c r="BY90" s="239">
        <s:f>H90</s:f>
        <s:v/>
      </s:c>
      <s:c r="BZ90" s="233">
        <s:f>IF(I90=0,"CONFORME","NO CONFORME")</s:f>
        <s:v/>
      </s:c>
      <s:c r="CA90" s="238">
        <s:f>C90</s:f>
        <s:v/>
      </s:c>
      <s:c r="CB90" s="240">
        <s:f>AH90</s:f>
        <s:v/>
      </s:c>
      <s:c r="CC90" s="241">
        <s:f>AR90</s:f>
        <s:v/>
      </s:c>
      <s:c r="CD90" s="240">
        <s:f>AI90</s:f>
        <s:v/>
      </s:c>
      <s:c r="CE90" s="240">
        <s:f>AJ90</s:f>
        <s:v/>
      </s:c>
      <s:c r="CF90" s="240">
        <s:f>AS90</s:f>
        <s:v/>
      </s:c>
      <s:c r="CG90" s="240">
        <s:f>V90</s:f>
        <s:v/>
      </s:c>
      <s:c r="CH90" s="241">
        <s:f>AF90</s:f>
        <s:v/>
      </s:c>
      <s:c r="CI90" s="240">
        <s:f>W90</s:f>
        <s:v/>
      </s:c>
      <s:c r="CJ90" s="240">
        <s:f>X90</s:f>
        <s:v/>
      </s:c>
      <s:c r="CK90" s="240">
        <s:f>AG90</s:f>
        <s:v/>
      </s:c>
      <s:c r="CL90" s="240">
        <s:f>J90</s:f>
        <s:v/>
      </s:c>
      <s:c r="CM90" s="241">
        <s:f>T90</s:f>
        <s:v/>
      </s:c>
      <s:c r="CN90" s="240">
        <s:f>K90</s:f>
        <s:v/>
      </s:c>
      <s:c r="CO90" s="240">
        <s:f>L90</s:f>
        <s:v/>
      </s:c>
      <s:c r="CP90" s="242">
        <s:f>U90</s:f>
        <s:v/>
      </s:c>
      <s:c r="CQ90" s="233">
        <s:f>AT90</s:f>
        <s:v/>
      </s:c>
    </s:row>
    <s:row r="91">
      <s:c r="A91" s="211" t="n">
        <s:v>74</s:v>
      </s:c>
      <s:c r="B91" s="212" t="n">
        <s:v>45901</s:v>
      </s:c>
      <s:c r="C91" s="213" t="n">
        <s:v>45901</s:v>
      </s:c>
      <s:c r="D91" s="214" t="n">
        <s:v>3</s:v>
      </s:c>
      <s:c r="E91" s="215" t="n">
        <s:v>13</s:v>
      </s:c>
      <s:c r="F91" s="216" t="inlineStr">
        <s:is>
          <s:t>VI-236566-2025</s:t>
        </s:is>
      </s:c>
      <s:c r="G91" s="217" t="inlineStr">
        <s:is>
          <s:t>QA25418182</s:t>
        </s:is>
      </s:c>
      <s:c r="H91" s="218" t="n">
        <s:v>16</s:v>
      </s:c>
      <s:c r="I91" s="219" t="n">
        <s:v>0</s:v>
      </s:c>
      <s:c r="J91" s="220" t="n">
        <s:v>18.8</s:v>
      </s:c>
      <s:c r="K91" s="221" t="n">
        <s:v>7.51</s:v>
      </s:c>
      <s:c r="L91" s="221" t="n">
        <s:v>1.223</s:v>
      </s:c>
      <s:c r="M91" s="222" t="n">
        <s:v>337.95</s:v>
      </s:c>
      <s:c r="N91" s="222" t="n">
        <s:v>438.19</s:v>
      </s:c>
      <s:c r="O91" s="222" t="n">
        <s:v>100.42</s:v>
      </s:c>
      <s:c r="P91" s="223" t="inlineStr">
        <s:is>
          <s:t>2,30,560</s:t>
        </s:is>
      </s:c>
      <s:c r="Q91" s="224" t="inlineStr">
        <s:is>
          <s:t>2</s:t>
        </s:is>
      </s:c>
      <s:c r="R91" s="224" t="inlineStr">
        <s:is>
          <s:t>30,560</s:t>
        </s:is>
      </s:c>
      <s:c r="S91" s="224" t="n">
        <s:v>0.04182222222222223</s:v>
      </s:c>
      <s:c r="T91" s="225" t="n">
        <s:v>2401.115834218916</s:v>
      </s:c>
      <s:c r="U91" s="226" t="n">
        <s:v>-0.1792471619199289</s:v>
      </s:c>
      <s:c r="V91" s="220" t="n">
        <s:v>18.8</s:v>
      </s:c>
      <s:c r="W91" s="221" t="n">
        <s:v>1.094</s:v>
      </s:c>
      <s:c r="X91" s="221" t="n">
        <s:v>1.082</s:v>
      </s:c>
      <s:c r="Y91" s="222" t="n">
        <s:v>451.76</s:v>
      </s:c>
      <s:c r="Z91" s="222" t="n">
        <s:v>456.77</s:v>
      </s:c>
      <s:c r="AA91" s="227" t="n">
        <s:v>5.028</s:v>
      </s:c>
      <s:c r="AB91" s="228" t="inlineStr">
        <s:is>
          <s:t>11,33,420</s:t>
        </s:is>
      </s:c>
      <s:c r="AC91" s="224" t="inlineStr">
        <s:is>
          <s:t>11</s:t>
        </s:is>
      </s:c>
      <s:c r="AD91" s="224" t="inlineStr">
        <s:is>
          <s:t>33,420</s:t>
        </s:is>
      </s:c>
      <s:c r="AE91" s="224" t="n">
        <s:v>0.1926166666666667</s:v>
      </s:c>
      <s:c r="AF91" s="225" t="n">
        <s:v>26.10366011940815</s:v>
      </s:c>
      <s:c r="AG91" s="229" t="n">
        <s:v>-0.3579952267304828</s:v>
      </s:c>
      <s:c r="AH91" s="220" t="n">
        <s:v>18.9</s:v>
      </s:c>
      <s:c r="AI91" s="221" t="n">
        <s:v>1.094</s:v>
      </s:c>
      <s:c r="AJ91" s="221" t="n">
        <s:v>1.082</s:v>
      </s:c>
      <s:c r="AK91" s="222" t="n">
        <s:v>456.77</s:v>
      </s:c>
      <s:c r="AL91" s="222" t="n">
        <s:v>458.74</s:v>
      </s:c>
      <s:c r="AM91" s="230" t="n">
        <s:v>2.006</s:v>
      </s:c>
      <s:c r="AN91" s="223" t="inlineStr">
        <s:is>
          <s:t>7,24,950</s:t>
        </s:is>
      </s:c>
      <s:c r="AO91" s="224" t="inlineStr">
        <s:is>
          <s:t>7,</s:t>
        </s:is>
      </s:c>
      <s:c r="AP91" s="224" t="inlineStr">
        <s:is>
          <s:t>24,950</s:t>
        </s:is>
      </s:c>
      <s:c r="AQ91" s="224" t="n">
        <s:v>0.1235972222222222</s:v>
      </s:c>
      <s:c r="AR91" s="225" t="n">
        <s:v>16.23013821777728</s:v>
      </s:c>
      <s:c r="AS91" s="229" t="n">
        <s:v>-1.794616151543993</s:v>
      </s:c>
      <s:c r="AT91" s="231" t="inlineStr">
        <s:is>
          <s:t>CONFORME</s:t>
        </s:is>
      </s:c>
      <s:c r="AU91" s="232">
        <s:f>B91=C91</s:f>
        <s:v/>
      </s:c>
      <s:c r="AV91" s="233">
        <s:f>MID(G91,1,2)</s:f>
        <s:v/>
      </s:c>
      <s:c r="AW91" s="233">
        <s:f>LEN(G91)</s:f>
        <s:v/>
      </s:c>
      <s:c r="AX91" s="233" t="inlineStr">
        <s:is>
          <s:t>OI-0922-2025</s:t>
        </s:is>
      </s:c>
      <s:c r="AY91" s="233">
        <s:f>N91&lt;Y91</s:f>
        <s:v/>
      </s:c>
      <s:c r="AZ91" s="233">
        <s:f>Z91&lt;=AK91</s:f>
        <s:v/>
      </s:c>
      <s:c r="BA91" s="233">
        <s:f>L91&lt;K91</s:f>
        <s:v/>
      </s:c>
      <s:c r="BB91" s="233">
        <s:f>W91&gt;=X91</s:f>
        <s:v/>
      </s:c>
      <s:c r="BC91" s="233">
        <s:f>AI91&gt;=AJ91</s:f>
        <s:v/>
      </s:c>
      <s:c r="BD91" s="233">
        <s:f>IF(I91&gt;=1,"Qcorrecto",IF(AND(BE91="aceptable",BF91="aceptable",BG91="aceptable"),"Qcorrecto","Qincorrecto"))</s:f>
        <s:v/>
      </s:c>
      <s:c r="BE91" s="232">
        <s:f>IF(AR91&lt;$AH$6,"error",IF(AR91&gt;$AH$6*1.1,"error","aceptable"))</s:f>
        <s:v/>
      </s:c>
      <s:c r="BF91" s="232">
        <s:f>IF(AF91&lt;$V$6,"error",IF(AF91&gt;$V$6*1.1,"error","aceptable"))</s:f>
        <s:v/>
      </s:c>
      <s:c r="BG91" s="232">
        <s:f>IF(T91&lt;$J$6*0.9,"error",IF(T91&gt;$J$6,"error","aceptable"))</s:f>
        <s:v/>
      </s:c>
      <s:c r="BH91" s="234">
        <s:f>(IF(ABS(U91)&lt;1,"CONFORME",IF(ABS(AG91)&lt;1,"CONFORME",IF(ABS(AS91)&lt;2.5,"CONFORME","NO CONFORME"))))</s:f>
        <s:v/>
      </s:c>
      <s:c r="BI91" s="235">
        <s:f>(IF(ABS(U91)&gt;2.044,"NO CONFORME",IF(ABS(AG91)&gt;2.044,"NO CONFORME",IF(ABS(AS91)&gt;5.044,"NO CONFORME","CONFORME"))))</s:f>
        <s:v/>
      </s:c>
      <s:c r="BJ91" s="233">
        <s:f>SIGN(U91)</s:f>
        <s:v/>
      </s:c>
      <s:c r="BK91" s="233">
        <s:f>SIGN(AG91)</s:f>
        <s:v/>
      </s:c>
      <s:c r="BL91" s="233">
        <s:f>SIGN(AS91)</s:f>
        <s:v/>
      </s:c>
      <s:c r="BM91" s="233">
        <s:f>CONCATENATE(BJ91,BK91,BL91)</s:f>
        <s:v/>
      </s:c>
      <s:c r="BN91" s="233">
        <s:f>IF(BM91="111","SI","SD")</s:f>
        <s:v/>
      </s:c>
      <s:c r="BO91" s="233">
        <s:f>IF(BM91="-1-1-1","SI","SD")</s:f>
        <s:v/>
      </s:c>
      <s:c r="BP91" s="233">
        <s:f>OR(BN91="SI",BO91="SI")</s:f>
        <s:v/>
      </s:c>
      <s:c r="BQ91" s="233">
        <s:f>IF(BP91=FALSE,"SIGDIFERENTES","SIGIGUALES")</s:f>
        <s:v/>
      </s:c>
      <s:c r="BR91" s="236">
        <s:f>IF(BI91="NO CONFORME","NO CONFORME",IF(BH91="CONFORME","CONFORME","NO CONFORME"))</s:f>
        <s:v/>
      </s:c>
      <s:c r="BS91" s="233">
        <s:f>F91</s:f>
        <s:v/>
      </s:c>
      <s:c r="BT91" s="237">
        <s:f>G91</s:f>
        <s:v/>
      </s:c>
      <s:c r="BU91" s="233">
        <s:f>"20"&amp;+MID(G91,3,2)</s:f>
        <s:v/>
      </s:c>
      <s:c r="BV91" s="238">
        <s:f>C91</s:f>
        <s:v/>
      </s:c>
      <s:c r="BW91" s="233">
        <s:f>AT91</s:f>
        <s:v/>
      </s:c>
      <s:c r="BX91" s="238">
        <s:f>B91</s:f>
        <s:v/>
      </s:c>
      <s:c r="BY91" s="239">
        <s:f>H91</s:f>
        <s:v/>
      </s:c>
      <s:c r="BZ91" s="233">
        <s:f>IF(I91=0,"CONFORME","NO CONFORME")</s:f>
        <s:v/>
      </s:c>
      <s:c r="CA91" s="238">
        <s:f>C91</s:f>
        <s:v/>
      </s:c>
      <s:c r="CB91" s="240">
        <s:f>AH91</s:f>
        <s:v/>
      </s:c>
      <s:c r="CC91" s="241">
        <s:f>AR91</s:f>
        <s:v/>
      </s:c>
      <s:c r="CD91" s="240">
        <s:f>AI91</s:f>
        <s:v/>
      </s:c>
      <s:c r="CE91" s="240">
        <s:f>AJ91</s:f>
        <s:v/>
      </s:c>
      <s:c r="CF91" s="240">
        <s:f>AS91</s:f>
        <s:v/>
      </s:c>
      <s:c r="CG91" s="240">
        <s:f>V91</s:f>
        <s:v/>
      </s:c>
      <s:c r="CH91" s="241">
        <s:f>AF91</s:f>
        <s:v/>
      </s:c>
      <s:c r="CI91" s="240">
        <s:f>W91</s:f>
        <s:v/>
      </s:c>
      <s:c r="CJ91" s="240">
        <s:f>X91</s:f>
        <s:v/>
      </s:c>
      <s:c r="CK91" s="240">
        <s:f>AG91</s:f>
        <s:v/>
      </s:c>
      <s:c r="CL91" s="240">
        <s:f>J91</s:f>
        <s:v/>
      </s:c>
      <s:c r="CM91" s="241">
        <s:f>T91</s:f>
        <s:v/>
      </s:c>
      <s:c r="CN91" s="240">
        <s:f>K91</s:f>
        <s:v/>
      </s:c>
      <s:c r="CO91" s="240">
        <s:f>L91</s:f>
        <s:v/>
      </s:c>
      <s:c r="CP91" s="242">
        <s:f>U91</s:f>
        <s:v/>
      </s:c>
      <s:c r="CQ91" s="233">
        <s:f>AT91</s:f>
        <s:v/>
      </s:c>
    </s:row>
    <s:row r="92">
      <s:c r="A92" s="211" t="n">
        <s:v>75</s:v>
      </s:c>
      <s:c r="B92" s="212" t="n">
        <s:v>45901</s:v>
      </s:c>
      <s:c r="C92" s="213" t="n">
        <s:v>45901</s:v>
      </s:c>
      <s:c r="D92" s="214" t="n">
        <s:v>3</s:v>
      </s:c>
      <s:c r="E92" s="215" t="n">
        <s:v>13</s:v>
      </s:c>
      <s:c r="F92" s="216" t="inlineStr">
        <s:is>
          <s:t>VI-236567-2025</s:t>
        </s:is>
      </s:c>
      <s:c r="G92" s="217" t="inlineStr">
        <s:is>
          <s:t>QA25418213</s:t>
        </s:is>
      </s:c>
      <s:c r="H92" s="218" t="n">
        <s:v>16</s:v>
      </s:c>
      <s:c r="I92" s="219" t="n">
        <s:v>0</s:v>
      </s:c>
      <s:c r="J92" s="220" t="n">
        <s:v>18.8</s:v>
      </s:c>
      <s:c r="K92" s="221" t="n">
        <s:v>7.51</s:v>
      </s:c>
      <s:c r="L92" s="221" t="n">
        <s:v>1.223</s:v>
      </s:c>
      <s:c r="M92" s="222" t="n">
        <s:v>312.84</s:v>
      </s:c>
      <s:c r="N92" s="222" t="n">
        <s:v>412.62</s:v>
      </s:c>
      <s:c r="O92" s="222" t="n">
        <s:v>100.42</s:v>
      </s:c>
      <s:c r="P92" s="223" t="inlineStr">
        <s:is>
          <s:t>2,30,560</s:t>
        </s:is>
      </s:c>
      <s:c r="Q92" s="224" t="inlineStr">
        <s:is>
          <s:t>2</s:t>
        </s:is>
      </s:c>
      <s:c r="R92" s="224" t="inlineStr">
        <s:is>
          <s:t>30,560</s:t>
        </s:is>
      </s:c>
      <s:c r="S92" s="224" t="n">
        <s:v>0.04182222222222223</s:v>
      </s:c>
      <s:c r="T92" s="225" t="n">
        <s:v>2401.115834218916</s:v>
      </s:c>
      <s:c r="U92" s="226" t="n">
        <s:v>-0.6373232423819678</s:v>
      </s:c>
      <s:c r="V92" s="220" t="n">
        <s:v>18.8</s:v>
      </s:c>
      <s:c r="W92" s="221" t="n">
        <s:v>1.094</s:v>
      </s:c>
      <s:c r="X92" s="221" t="n">
        <s:v>1.082</s:v>
      </s:c>
      <s:c r="Y92" s="222" t="n">
        <s:v>426.04</s:v>
      </s:c>
      <s:c r="Z92" s="222" t="n">
        <s:v>431.07</s:v>
      </s:c>
      <s:c r="AA92" s="227" t="n">
        <s:v>5.028</s:v>
      </s:c>
      <s:c r="AB92" s="228" t="inlineStr">
        <s:is>
          <s:t>11,33,420</s:t>
        </s:is>
      </s:c>
      <s:c r="AC92" s="224" t="inlineStr">
        <s:is>
          <s:t>11</s:t>
        </s:is>
      </s:c>
      <s:c r="AD92" s="224" t="inlineStr">
        <s:is>
          <s:t>33,420</s:t>
        </s:is>
      </s:c>
      <s:c r="AE92" s="224" t="n">
        <s:v>0.1926166666666667</s:v>
      </s:c>
      <s:c r="AF92" s="225" t="n">
        <s:v>26.10366011940815</s:v>
      </s:c>
      <s:c r="AG92" s="229" t="n">
        <s:v>0.0397772474139446</s:v>
      </s:c>
      <s:c r="AH92" s="220" t="n">
        <s:v>18.9</s:v>
      </s:c>
      <s:c r="AI92" s="221" t="n">
        <s:v>1.094</s:v>
      </s:c>
      <s:c r="AJ92" s="221" t="n">
        <s:v>1.082</s:v>
      </s:c>
      <s:c r="AK92" s="222" t="n">
        <s:v>431.07</s:v>
      </s:c>
      <s:c r="AL92" s="222" t="n">
        <s:v>433.06</s:v>
      </s:c>
      <s:c r="AM92" s="230" t="n">
        <s:v>2.006</s:v>
      </s:c>
      <s:c r="AN92" s="223" t="inlineStr">
        <s:is>
          <s:t>7,24,950</s:t>
        </s:is>
      </s:c>
      <s:c r="AO92" s="224" t="inlineStr">
        <s:is>
          <s:t>7,</s:t>
        </s:is>
      </s:c>
      <s:c r="AP92" s="224" t="inlineStr">
        <s:is>
          <s:t>24,950</s:t>
        </s:is>
      </s:c>
      <s:c r="AQ92" s="224" t="n">
        <s:v>0.1235972222222222</s:v>
      </s:c>
      <s:c r="AR92" s="225" t="n">
        <s:v>16.23013821777728</s:v>
      </s:c>
      <s:c r="AS92" s="229" t="n">
        <s:v>-0.7976071784641421</s:v>
      </s:c>
      <s:c r="AT92" s="231" t="inlineStr">
        <s:is>
          <s:t>CONFORME</s:t>
        </s:is>
      </s:c>
      <s:c r="AU92" s="232">
        <s:f>B92=C92</s:f>
        <s:v/>
      </s:c>
      <s:c r="AV92" s="233">
        <s:f>MID(G92,1,2)</s:f>
        <s:v/>
      </s:c>
      <s:c r="AW92" s="233">
        <s:f>LEN(G92)</s:f>
        <s:v/>
      </s:c>
      <s:c r="AX92" s="233" t="inlineStr">
        <s:is>
          <s:t>OI-0922-2025</s:t>
        </s:is>
      </s:c>
      <s:c r="AY92" s="233">
        <s:f>N92&lt;Y92</s:f>
        <s:v/>
      </s:c>
      <s:c r="AZ92" s="233">
        <s:f>Z92&lt;=AK92</s:f>
        <s:v/>
      </s:c>
      <s:c r="BA92" s="233">
        <s:f>L92&lt;K92</s:f>
        <s:v/>
      </s:c>
      <s:c r="BB92" s="233">
        <s:f>W92&gt;=X92</s:f>
        <s:v/>
      </s:c>
      <s:c r="BC92" s="233">
        <s:f>AI92&gt;=AJ92</s:f>
        <s:v/>
      </s:c>
      <s:c r="BD92" s="233">
        <s:f>IF(I92&gt;=1,"Qcorrecto",IF(AND(BE92="aceptable",BF92="aceptable",BG92="aceptable"),"Qcorrecto","Qincorrecto"))</s:f>
        <s:v/>
      </s:c>
      <s:c r="BE92" s="232">
        <s:f>IF(AR92&lt;$AH$6,"error",IF(AR92&gt;$AH$6*1.1,"error","aceptable"))</s:f>
        <s:v/>
      </s:c>
      <s:c r="BF92" s="232">
        <s:f>IF(AF92&lt;$V$6,"error",IF(AF92&gt;$V$6*1.1,"error","aceptable"))</s:f>
        <s:v/>
      </s:c>
      <s:c r="BG92" s="232">
        <s:f>IF(T92&lt;$J$6*0.9,"error",IF(T92&gt;$J$6,"error","aceptable"))</s:f>
        <s:v/>
      </s:c>
      <s:c r="BH92" s="234">
        <s:f>(IF(ABS(U92)&lt;1,"CONFORME",IF(ABS(AG92)&lt;1,"CONFORME",IF(ABS(AS92)&lt;2.5,"CONFORME","NO CONFORME"))))</s:f>
        <s:v/>
      </s:c>
      <s:c r="BI92" s="235">
        <s:f>(IF(ABS(U92)&gt;2.044,"NO CONFORME",IF(ABS(AG92)&gt;2.044,"NO CONFORME",IF(ABS(AS92)&gt;5.044,"NO CONFORME","CONFORME"))))</s:f>
        <s:v/>
      </s:c>
      <s:c r="BJ92" s="233">
        <s:f>SIGN(U92)</s:f>
        <s:v/>
      </s:c>
      <s:c r="BK92" s="233">
        <s:f>SIGN(AG92)</s:f>
        <s:v/>
      </s:c>
      <s:c r="BL92" s="233">
        <s:f>SIGN(AS92)</s:f>
        <s:v/>
      </s:c>
      <s:c r="BM92" s="233">
        <s:f>CONCATENATE(BJ92,BK92,BL92)</s:f>
        <s:v/>
      </s:c>
      <s:c r="BN92" s="233">
        <s:f>IF(BM92="111","SI","SD")</s:f>
        <s:v/>
      </s:c>
      <s:c r="BO92" s="233">
        <s:f>IF(BM92="-1-1-1","SI","SD")</s:f>
        <s:v/>
      </s:c>
      <s:c r="BP92" s="233">
        <s:f>OR(BN92="SI",BO92="SI")</s:f>
        <s:v/>
      </s:c>
      <s:c r="BQ92" s="233">
        <s:f>IF(BP92=FALSE,"SIGDIFERENTES","SIGIGUALES")</s:f>
        <s:v/>
      </s:c>
      <s:c r="BR92" s="236">
        <s:f>IF(BI92="NO CONFORME","NO CONFORME",IF(BH92="CONFORME","CONFORME","NO CONFORME"))</s:f>
        <s:v/>
      </s:c>
      <s:c r="BS92" s="233">
        <s:f>F92</s:f>
        <s:v/>
      </s:c>
      <s:c r="BT92" s="237">
        <s:f>G92</s:f>
        <s:v/>
      </s:c>
      <s:c r="BU92" s="233">
        <s:f>"20"&amp;+MID(G92,3,2)</s:f>
        <s:v/>
      </s:c>
      <s:c r="BV92" s="238">
        <s:f>C92</s:f>
        <s:v/>
      </s:c>
      <s:c r="BW92" s="233">
        <s:f>AT92</s:f>
        <s:v/>
      </s:c>
      <s:c r="BX92" s="238">
        <s:f>B92</s:f>
        <s:v/>
      </s:c>
      <s:c r="BY92" s="239">
        <s:f>H92</s:f>
        <s:v/>
      </s:c>
      <s:c r="BZ92" s="233">
        <s:f>IF(I92=0,"CONFORME","NO CONFORME")</s:f>
        <s:v/>
      </s:c>
      <s:c r="CA92" s="238">
        <s:f>C92</s:f>
        <s:v/>
      </s:c>
      <s:c r="CB92" s="240">
        <s:f>AH92</s:f>
        <s:v/>
      </s:c>
      <s:c r="CC92" s="241">
        <s:f>AR92</s:f>
        <s:v/>
      </s:c>
      <s:c r="CD92" s="240">
        <s:f>AI92</s:f>
        <s:v/>
      </s:c>
      <s:c r="CE92" s="240">
        <s:f>AJ92</s:f>
        <s:v/>
      </s:c>
      <s:c r="CF92" s="240">
        <s:f>AS92</s:f>
        <s:v/>
      </s:c>
      <s:c r="CG92" s="240">
        <s:f>V92</s:f>
        <s:v/>
      </s:c>
      <s:c r="CH92" s="241">
        <s:f>AF92</s:f>
        <s:v/>
      </s:c>
      <s:c r="CI92" s="240">
        <s:f>W92</s:f>
        <s:v/>
      </s:c>
      <s:c r="CJ92" s="240">
        <s:f>X92</s:f>
        <s:v/>
      </s:c>
      <s:c r="CK92" s="240">
        <s:f>AG92</s:f>
        <s:v/>
      </s:c>
      <s:c r="CL92" s="240">
        <s:f>J92</s:f>
        <s:v/>
      </s:c>
      <s:c r="CM92" s="241">
        <s:f>T92</s:f>
        <s:v/>
      </s:c>
      <s:c r="CN92" s="240">
        <s:f>K92</s:f>
        <s:v/>
      </s:c>
      <s:c r="CO92" s="240">
        <s:f>L92</s:f>
        <s:v/>
      </s:c>
      <s:c r="CP92" s="242">
        <s:f>U92</s:f>
        <s:v/>
      </s:c>
      <s:c r="CQ92" s="233">
        <s:f>AT92</s:f>
        <s:v/>
      </s:c>
    </s:row>
    <s:row r="93">
      <s:c r="A93" s="211" t="n">
        <s:v>76</s:v>
      </s:c>
      <s:c r="B93" s="212" t="n">
        <s:v>45901</s:v>
      </s:c>
      <s:c r="C93" s="213" t="n">
        <s:v>45901</s:v>
      </s:c>
      <s:c r="D93" s="214" t="n">
        <s:v>3</s:v>
      </s:c>
      <s:c r="E93" s="215" t="n">
        <s:v>13</s:v>
      </s:c>
      <s:c r="F93" s="216" t="inlineStr">
        <s:is>
          <s:t>VI-236568-2025</s:t>
        </s:is>
      </s:c>
      <s:c r="G93" s="217" t="inlineStr">
        <s:is>
          <s:t>QA25417785</s:t>
        </s:is>
      </s:c>
      <s:c r="H93" s="218" t="n">
        <s:v>16</s:v>
      </s:c>
      <s:c r="I93" s="219" t="n">
        <s:v>0</s:v>
      </s:c>
      <s:c r="J93" s="220" t="n">
        <s:v>18.8</s:v>
      </s:c>
      <s:c r="K93" s="221" t="n">
        <s:v>7.51</s:v>
      </s:c>
      <s:c r="L93" s="221" t="n">
        <s:v>1.223</s:v>
      </s:c>
      <s:c r="M93" s="222" t="n">
        <s:v>389.54</s:v>
      </s:c>
      <s:c r="N93" s="222" t="n">
        <s:v>489.09</s:v>
      </s:c>
      <s:c r="O93" s="222" t="n">
        <s:v>100.42</s:v>
      </s:c>
      <s:c r="P93" s="223" t="inlineStr">
        <s:is>
          <s:t>2,30,560</s:t>
        </s:is>
      </s:c>
      <s:c r="Q93" s="224" t="inlineStr">
        <s:is>
          <s:t>2</s:t>
        </s:is>
      </s:c>
      <s:c r="R93" s="224" t="inlineStr">
        <s:is>
          <s:t>30,560</s:t>
        </s:is>
      </s:c>
      <s:c r="S93" s="224" t="n">
        <s:v>0.04182222222222223</s:v>
      </s:c>
      <s:c r="T93" s="225" t="n">
        <s:v>2401.115834218916</s:v>
      </s:c>
      <s:c r="U93" s="226" t="n">
        <s:v>-0.8663612826130722</s:v>
      </s:c>
      <s:c r="V93" s="220" t="n">
        <s:v>18.8</s:v>
      </s:c>
      <s:c r="W93" s="221" t="n">
        <s:v>1.094</s:v>
      </s:c>
      <s:c r="X93" s="221" t="n">
        <s:v>1.082</s:v>
      </s:c>
      <s:c r="Y93" s="222" t="n">
        <s:v>502.53</s:v>
      </s:c>
      <s:c r="Z93" s="222" t="n">
        <s:v>507.53</s:v>
      </s:c>
      <s:c r="AA93" s="227" t="n">
        <s:v>5.028</s:v>
      </s:c>
      <s:c r="AB93" s="228" t="inlineStr">
        <s:is>
          <s:t>11,33,420</s:t>
        </s:is>
      </s:c>
      <s:c r="AC93" s="224" t="inlineStr">
        <s:is>
          <s:t>11</s:t>
        </s:is>
      </s:c>
      <s:c r="AD93" s="224" t="inlineStr">
        <s:is>
          <s:t>33,420</s:t>
        </s:is>
      </s:c>
      <s:c r="AE93" s="224" t="n">
        <s:v>0.1926166666666667</s:v>
      </s:c>
      <s:c r="AF93" s="225" t="n">
        <s:v>26.10366011940815</s:v>
      </s:c>
      <s:c r="AG93" s="229" t="n">
        <s:v>-0.5568814638026965</s:v>
      </s:c>
      <s:c r="AH93" s="220" t="n">
        <s:v>18.9</s:v>
      </s:c>
      <s:c r="AI93" s="221" t="n">
        <s:v>1.094</s:v>
      </s:c>
      <s:c r="AJ93" s="221" t="n">
        <s:v>1.082</s:v>
      </s:c>
      <s:c r="AK93" s="222" t="n">
        <s:v>507.53</s:v>
      </s:c>
      <s:c r="AL93" s="222" t="n">
        <s:v>509.47</s:v>
      </s:c>
      <s:c r="AM93" s="230" t="n">
        <s:v>2.006</s:v>
      </s:c>
      <s:c r="AN93" s="223" t="inlineStr">
        <s:is>
          <s:t>7,24,950</s:t>
        </s:is>
      </s:c>
      <s:c r="AO93" s="224" t="inlineStr">
        <s:is>
          <s:t>7,</s:t>
        </s:is>
      </s:c>
      <s:c r="AP93" s="224" t="inlineStr">
        <s:is>
          <s:t>24,950</s:t>
        </s:is>
      </s:c>
      <s:c r="AQ93" s="224" t="n">
        <s:v>0.1235972222222222</s:v>
      </s:c>
      <s:c r="AR93" s="225" t="n">
        <s:v>16.23013821777728</s:v>
      </s:c>
      <s:c r="AS93" s="229" t="n">
        <s:v>-3.29012961116377</s:v>
      </s:c>
      <s:c r="AT93" s="231" t="inlineStr">
        <s:is>
          <s:t>CONFORME</s:t>
        </s:is>
      </s:c>
      <s:c r="AU93" s="232">
        <s:f>B93=C93</s:f>
        <s:v/>
      </s:c>
      <s:c r="AV93" s="233">
        <s:f>MID(G93,1,2)</s:f>
        <s:v/>
      </s:c>
      <s:c r="AW93" s="233">
        <s:f>LEN(G93)</s:f>
        <s:v/>
      </s:c>
      <s:c r="AX93" s="233" t="inlineStr">
        <s:is>
          <s:t>OI-0922-2025</s:t>
        </s:is>
      </s:c>
      <s:c r="AY93" s="233">
        <s:f>N93&lt;Y93</s:f>
        <s:v/>
      </s:c>
      <s:c r="AZ93" s="233">
        <s:f>Z93&lt;=AK93</s:f>
        <s:v/>
      </s:c>
      <s:c r="BA93" s="233">
        <s:f>L93&lt;K93</s:f>
        <s:v/>
      </s:c>
      <s:c r="BB93" s="233">
        <s:f>W93&gt;=X93</s:f>
        <s:v/>
      </s:c>
      <s:c r="BC93" s="233">
        <s:f>AI93&gt;=AJ93</s:f>
        <s:v/>
      </s:c>
      <s:c r="BD93" s="233">
        <s:f>IF(I93&gt;=1,"Qcorrecto",IF(AND(BE93="aceptable",BF93="aceptable",BG93="aceptable"),"Qcorrecto","Qincorrecto"))</s:f>
        <s:v/>
      </s:c>
      <s:c r="BE93" s="232">
        <s:f>IF(AR93&lt;$AH$6,"error",IF(AR93&gt;$AH$6*1.1,"error","aceptable"))</s:f>
        <s:v/>
      </s:c>
      <s:c r="BF93" s="232">
        <s:f>IF(AF93&lt;$V$6,"error",IF(AF93&gt;$V$6*1.1,"error","aceptable"))</s:f>
        <s:v/>
      </s:c>
      <s:c r="BG93" s="232">
        <s:f>IF(T93&lt;$J$6*0.9,"error",IF(T93&gt;$J$6,"error","aceptable"))</s:f>
        <s:v/>
      </s:c>
      <s:c r="BH93" s="234">
        <s:f>(IF(ABS(U93)&lt;1,"CONFORME",IF(ABS(AG93)&lt;1,"CONFORME",IF(ABS(AS93)&lt;2.5,"CONFORME","NO CONFORME"))))</s:f>
        <s:v/>
      </s:c>
      <s:c r="BI93" s="235">
        <s:f>(IF(ABS(U93)&gt;2.044,"NO CONFORME",IF(ABS(AG93)&gt;2.044,"NO CONFORME",IF(ABS(AS93)&gt;5.044,"NO CONFORME","CONFORME"))))</s:f>
        <s:v/>
      </s:c>
      <s:c r="BJ93" s="233">
        <s:f>SIGN(U93)</s:f>
        <s:v/>
      </s:c>
      <s:c r="BK93" s="233">
        <s:f>SIGN(AG93)</s:f>
        <s:v/>
      </s:c>
      <s:c r="BL93" s="233">
        <s:f>SIGN(AS93)</s:f>
        <s:v/>
      </s:c>
      <s:c r="BM93" s="233">
        <s:f>CONCATENATE(BJ93,BK93,BL93)</s:f>
        <s:v/>
      </s:c>
      <s:c r="BN93" s="233">
        <s:f>IF(BM93="111","SI","SD")</s:f>
        <s:v/>
      </s:c>
      <s:c r="BO93" s="233">
        <s:f>IF(BM93="-1-1-1","SI","SD")</s:f>
        <s:v/>
      </s:c>
      <s:c r="BP93" s="233">
        <s:f>OR(BN93="SI",BO93="SI")</s:f>
        <s:v/>
      </s:c>
      <s:c r="BQ93" s="233">
        <s:f>IF(BP93=FALSE,"SIGDIFERENTES","SIGIGUALES")</s:f>
        <s:v/>
      </s:c>
      <s:c r="BR93" s="236">
        <s:f>IF(BI93="NO CONFORME","NO CONFORME",IF(BH93="CONFORME","CONFORME","NO CONFORME"))</s:f>
        <s:v/>
      </s:c>
      <s:c r="BS93" s="233">
        <s:f>F93</s:f>
        <s:v/>
      </s:c>
      <s:c r="BT93" s="237">
        <s:f>G93</s:f>
        <s:v/>
      </s:c>
      <s:c r="BU93" s="233">
        <s:f>"20"&amp;+MID(G93,3,2)</s:f>
        <s:v/>
      </s:c>
      <s:c r="BV93" s="238">
        <s:f>C93</s:f>
        <s:v/>
      </s:c>
      <s:c r="BW93" s="233">
        <s:f>AT93</s:f>
        <s:v/>
      </s:c>
      <s:c r="BX93" s="238">
        <s:f>B93</s:f>
        <s:v/>
      </s:c>
      <s:c r="BY93" s="239">
        <s:f>H93</s:f>
        <s:v/>
      </s:c>
      <s:c r="BZ93" s="233">
        <s:f>IF(I93=0,"CONFORME","NO CONFORME")</s:f>
        <s:v/>
      </s:c>
      <s:c r="CA93" s="238">
        <s:f>C93</s:f>
        <s:v/>
      </s:c>
      <s:c r="CB93" s="240">
        <s:f>AH93</s:f>
        <s:v/>
      </s:c>
      <s:c r="CC93" s="241">
        <s:f>AR93</s:f>
        <s:v/>
      </s:c>
      <s:c r="CD93" s="240">
        <s:f>AI93</s:f>
        <s:v/>
      </s:c>
      <s:c r="CE93" s="240">
        <s:f>AJ93</s:f>
        <s:v/>
      </s:c>
      <s:c r="CF93" s="240">
        <s:f>AS93</s:f>
        <s:v/>
      </s:c>
      <s:c r="CG93" s="240">
        <s:f>V93</s:f>
        <s:v/>
      </s:c>
      <s:c r="CH93" s="241">
        <s:f>AF93</s:f>
        <s:v/>
      </s:c>
      <s:c r="CI93" s="240">
        <s:f>W93</s:f>
        <s:v/>
      </s:c>
      <s:c r="CJ93" s="240">
        <s:f>X93</s:f>
        <s:v/>
      </s:c>
      <s:c r="CK93" s="240">
        <s:f>AG93</s:f>
        <s:v/>
      </s:c>
      <s:c r="CL93" s="240">
        <s:f>J93</s:f>
        <s:v/>
      </s:c>
      <s:c r="CM93" s="241">
        <s:f>T93</s:f>
        <s:v/>
      </s:c>
      <s:c r="CN93" s="240">
        <s:f>K93</s:f>
        <s:v/>
      </s:c>
      <s:c r="CO93" s="240">
        <s:f>L93</s:f>
        <s:v/>
      </s:c>
      <s:c r="CP93" s="242">
        <s:f>U93</s:f>
        <s:v/>
      </s:c>
      <s:c r="CQ93" s="233">
        <s:f>AT93</s:f>
        <s:v/>
      </s:c>
    </s:row>
    <s:row r="94">
      <s:c r="A94" s="211" t="n">
        <s:v>77</s:v>
      </s:c>
      <s:c r="B94" s="212" t="n">
        <s:v>45901</s:v>
      </s:c>
      <s:c r="C94" s="213" t="n">
        <s:v>45901</s:v>
      </s:c>
      <s:c r="D94" s="214" t="n">
        <s:v>3</s:v>
      </s:c>
      <s:c r="E94" s="215" t="n">
        <s:v>13</s:v>
      </s:c>
      <s:c r="F94" s="216" t="inlineStr">
        <s:is>
          <s:t>VI-236569-2025</s:t>
        </s:is>
      </s:c>
      <s:c r="G94" s="217" t="inlineStr">
        <s:is>
          <s:t>QA25418224</s:t>
        </s:is>
      </s:c>
      <s:c r="H94" s="218" t="n">
        <s:v>16</s:v>
      </s:c>
      <s:c r="I94" s="219" t="n">
        <s:v>0</s:v>
      </s:c>
      <s:c r="J94" s="220" t="n">
        <s:v>18.8</s:v>
      </s:c>
      <s:c r="K94" s="221" t="n">
        <s:v>7.51</s:v>
      </s:c>
      <s:c r="L94" s="221" t="n">
        <s:v>1.223</s:v>
      </s:c>
      <s:c r="M94" s="222" t="n">
        <s:v>365.92</s:v>
      </s:c>
      <s:c r="N94" s="222" t="n">
        <s:v>465.6</s:v>
      </s:c>
      <s:c r="O94" s="222" t="n">
        <s:v>100.42</s:v>
      </s:c>
      <s:c r="P94" s="223" t="inlineStr">
        <s:is>
          <s:t>2,30,560</s:t>
        </s:is>
      </s:c>
      <s:c r="Q94" s="224" t="inlineStr">
        <s:is>
          <s:t>2</s:t>
        </s:is>
      </s:c>
      <s:c r="R94" s="224" t="inlineStr">
        <s:is>
          <s:t>30,560</s:t>
        </s:is>
      </s:c>
      <s:c r="S94" s="224" t="n">
        <s:v>0.04182222222222223</s:v>
      </s:c>
      <s:c r="T94" s="225" t="n">
        <s:v>2401.115834218916</s:v>
      </s:c>
      <s:c r="U94" s="226" t="n">
        <s:v>-0.7369049990041774</s:v>
      </s:c>
      <s:c r="V94" s="220" t="n">
        <s:v>18.8</s:v>
      </s:c>
      <s:c r="W94" s="221" t="n">
        <s:v>1.094</s:v>
      </s:c>
      <s:c r="X94" s="221" t="n">
        <s:v>1.082</s:v>
      </s:c>
      <s:c r="Y94" s="222" t="n">
        <s:v>479.03</s:v>
      </s:c>
      <s:c r="Z94" s="222" t="n">
        <s:v>484.07</s:v>
      </s:c>
      <s:c r="AA94" s="227" t="n">
        <s:v>5.028</s:v>
      </s:c>
      <s:c r="AB94" s="228" t="inlineStr">
        <s:is>
          <s:t>11,33,420</s:t>
        </s:is>
      </s:c>
      <s:c r="AC94" s="224" t="inlineStr">
        <s:is>
          <s:t>11</s:t>
        </s:is>
      </s:c>
      <s:c r="AD94" s="224" t="inlineStr">
        <s:is>
          <s:t>33,420</s:t>
        </s:is>
      </s:c>
      <s:c r="AE94" s="224" t="n">
        <s:v>0.1926166666666667</s:v>
      </s:c>
      <s:c r="AF94" s="225" t="n">
        <s:v>26.10366011940815</s:v>
      </s:c>
      <s:c r="AG94" s="229" t="n">
        <s:v>0.2386634844872889</s:v>
      </s:c>
      <s:c r="AH94" s="220" t="n">
        <s:v>18.9</s:v>
      </s:c>
      <s:c r="AI94" s="221" t="n">
        <s:v>1.094</s:v>
      </s:c>
      <s:c r="AJ94" s="221" t="n">
        <s:v>1.082</s:v>
      </s:c>
      <s:c r="AK94" s="222" t="n">
        <s:v>484.07</s:v>
      </s:c>
      <s:c r="AL94" s="222" t="n">
        <s:v>486.04</s:v>
      </s:c>
      <s:c r="AM94" s="230" t="n">
        <s:v>2.006</s:v>
      </s:c>
      <s:c r="AN94" s="223" t="inlineStr">
        <s:is>
          <s:t>7,24,950</s:t>
        </s:is>
      </s:c>
      <s:c r="AO94" s="224" t="inlineStr">
        <s:is>
          <s:t>7,</s:t>
        </s:is>
      </s:c>
      <s:c r="AP94" s="224" t="inlineStr">
        <s:is>
          <s:t>24,950</s:t>
        </s:is>
      </s:c>
      <s:c r="AQ94" s="224" t="n">
        <s:v>0.1235972222222222</s:v>
      </s:c>
      <s:c r="AR94" s="225" t="n">
        <s:v>16.23013821777728</s:v>
      </s:c>
      <s:c r="AS94" s="229" t="n">
        <s:v>-1.794616151543993</s:v>
      </s:c>
      <s:c r="AT94" s="231" t="inlineStr">
        <s:is>
          <s:t>CONFORME</s:t>
        </s:is>
      </s:c>
      <s:c r="AU94" s="232">
        <s:f>B94=C94</s:f>
        <s:v/>
      </s:c>
      <s:c r="AV94" s="233">
        <s:f>MID(G94,1,2)</s:f>
        <s:v/>
      </s:c>
      <s:c r="AW94" s="233">
        <s:f>LEN(G94)</s:f>
        <s:v/>
      </s:c>
      <s:c r="AX94" s="233" t="inlineStr">
        <s:is>
          <s:t>OI-0922-2025</s:t>
        </s:is>
      </s:c>
      <s:c r="AY94" s="233">
        <s:f>N94&lt;Y94</s:f>
        <s:v/>
      </s:c>
      <s:c r="AZ94" s="233">
        <s:f>Z94&lt;=AK94</s:f>
        <s:v/>
      </s:c>
      <s:c r="BA94" s="233">
        <s:f>L94&lt;K94</s:f>
        <s:v/>
      </s:c>
      <s:c r="BB94" s="233">
        <s:f>W94&gt;=X94</s:f>
        <s:v/>
      </s:c>
      <s:c r="BC94" s="233">
        <s:f>AI94&gt;=AJ94</s:f>
        <s:v/>
      </s:c>
      <s:c r="BD94" s="233">
        <s:f>IF(I94&gt;=1,"Qcorrecto",IF(AND(BE94="aceptable",BF94="aceptable",BG94="aceptable"),"Qcorrecto","Qincorrecto"))</s:f>
        <s:v/>
      </s:c>
      <s:c r="BE94" s="232">
        <s:f>IF(AR94&lt;$AH$6,"error",IF(AR94&gt;$AH$6*1.1,"error","aceptable"))</s:f>
        <s:v/>
      </s:c>
      <s:c r="BF94" s="232">
        <s:f>IF(AF94&lt;$V$6,"error",IF(AF94&gt;$V$6*1.1,"error","aceptable"))</s:f>
        <s:v/>
      </s:c>
      <s:c r="BG94" s="232">
        <s:f>IF(T94&lt;$J$6*0.9,"error",IF(T94&gt;$J$6,"error","aceptable"))</s:f>
        <s:v/>
      </s:c>
      <s:c r="BH94" s="234">
        <s:f>(IF(ABS(U94)&lt;1,"CONFORME",IF(ABS(AG94)&lt;1,"CONFORME",IF(ABS(AS94)&lt;2.5,"CONFORME","NO CONFORME"))))</s:f>
        <s:v/>
      </s:c>
      <s:c r="BI94" s="235">
        <s:f>(IF(ABS(U94)&gt;2.044,"NO CONFORME",IF(ABS(AG94)&gt;2.044,"NO CONFORME",IF(ABS(AS94)&gt;5.044,"NO CONFORME","CONFORME"))))</s:f>
        <s:v/>
      </s:c>
      <s:c r="BJ94" s="233">
        <s:f>SIGN(U94)</s:f>
        <s:v/>
      </s:c>
      <s:c r="BK94" s="233">
        <s:f>SIGN(AG94)</s:f>
        <s:v/>
      </s:c>
      <s:c r="BL94" s="233">
        <s:f>SIGN(AS94)</s:f>
        <s:v/>
      </s:c>
      <s:c r="BM94" s="233">
        <s:f>CONCATENATE(BJ94,BK94,BL94)</s:f>
        <s:v/>
      </s:c>
      <s:c r="BN94" s="233">
        <s:f>IF(BM94="111","SI","SD")</s:f>
        <s:v/>
      </s:c>
      <s:c r="BO94" s="233">
        <s:f>IF(BM94="-1-1-1","SI","SD")</s:f>
        <s:v/>
      </s:c>
      <s:c r="BP94" s="233">
        <s:f>OR(BN94="SI",BO94="SI")</s:f>
        <s:v/>
      </s:c>
      <s:c r="BQ94" s="233">
        <s:f>IF(BP94=FALSE,"SIGDIFERENTES","SIGIGUALES")</s:f>
        <s:v/>
      </s:c>
      <s:c r="BR94" s="236">
        <s:f>IF(BI94="NO CONFORME","NO CONFORME",IF(BH94="CONFORME","CONFORME","NO CONFORME"))</s:f>
        <s:v/>
      </s:c>
      <s:c r="BS94" s="233">
        <s:f>F94</s:f>
        <s:v/>
      </s:c>
      <s:c r="BT94" s="237">
        <s:f>G94</s:f>
        <s:v/>
      </s:c>
      <s:c r="BU94" s="233">
        <s:f>"20"&amp;+MID(G94,3,2)</s:f>
        <s:v/>
      </s:c>
      <s:c r="BV94" s="238">
        <s:f>C94</s:f>
        <s:v/>
      </s:c>
      <s:c r="BW94" s="233">
        <s:f>AT94</s:f>
        <s:v/>
      </s:c>
      <s:c r="BX94" s="238">
        <s:f>B94</s:f>
        <s:v/>
      </s:c>
      <s:c r="BY94" s="239">
        <s:f>H94</s:f>
        <s:v/>
      </s:c>
      <s:c r="BZ94" s="233">
        <s:f>IF(I94=0,"CONFORME","NO CONFORME")</s:f>
        <s:v/>
      </s:c>
      <s:c r="CA94" s="238">
        <s:f>C94</s:f>
        <s:v/>
      </s:c>
      <s:c r="CB94" s="240">
        <s:f>AH94</s:f>
        <s:v/>
      </s:c>
      <s:c r="CC94" s="241">
        <s:f>AR94</s:f>
        <s:v/>
      </s:c>
      <s:c r="CD94" s="240">
        <s:f>AI94</s:f>
        <s:v/>
      </s:c>
      <s:c r="CE94" s="240">
        <s:f>AJ94</s:f>
        <s:v/>
      </s:c>
      <s:c r="CF94" s="240">
        <s:f>AS94</s:f>
        <s:v/>
      </s:c>
      <s:c r="CG94" s="240">
        <s:f>V94</s:f>
        <s:v/>
      </s:c>
      <s:c r="CH94" s="241">
        <s:f>AF94</s:f>
        <s:v/>
      </s:c>
      <s:c r="CI94" s="240">
        <s:f>W94</s:f>
        <s:v/>
      </s:c>
      <s:c r="CJ94" s="240">
        <s:f>X94</s:f>
        <s:v/>
      </s:c>
      <s:c r="CK94" s="240">
        <s:f>AG94</s:f>
        <s:v/>
      </s:c>
      <s:c r="CL94" s="240">
        <s:f>J94</s:f>
        <s:v/>
      </s:c>
      <s:c r="CM94" s="241">
        <s:f>T94</s:f>
        <s:v/>
      </s:c>
      <s:c r="CN94" s="240">
        <s:f>K94</s:f>
        <s:v/>
      </s:c>
      <s:c r="CO94" s="240">
        <s:f>L94</s:f>
        <s:v/>
      </s:c>
      <s:c r="CP94" s="242">
        <s:f>U94</s:f>
        <s:v/>
      </s:c>
      <s:c r="CQ94" s="233">
        <s:f>AT94</s:f>
        <s:v/>
      </s:c>
    </s:row>
    <s:row r="95">
      <s:c r="A95" s="211" t="n">
        <s:v>78</s:v>
      </s:c>
      <s:c r="B95" s="212" t="n">
        <s:v>45901</s:v>
      </s:c>
      <s:c r="C95" s="213" t="n">
        <s:v>45901</s:v>
      </s:c>
      <s:c r="D95" s="214" t="n">
        <s:v>3</s:v>
      </s:c>
      <s:c r="E95" s="215" t="n">
        <s:v>13</s:v>
      </s:c>
      <s:c r="F95" s="216" t="inlineStr">
        <s:is>
          <s:t>VI-236570-2025</s:t>
        </s:is>
      </s:c>
      <s:c r="G95" s="217" t="inlineStr">
        <s:is>
          <s:t>QA25418214</s:t>
        </s:is>
      </s:c>
      <s:c r="H95" s="218" t="n">
        <s:v>16</s:v>
      </s:c>
      <s:c r="I95" s="219" t="n">
        <s:v>0</s:v>
      </s:c>
      <s:c r="J95" s="220" t="n">
        <s:v>18.8</s:v>
      </s:c>
      <s:c r="K95" s="221" t="n">
        <s:v>7.51</s:v>
      </s:c>
      <s:c r="L95" s="221" t="n">
        <s:v>1.223</s:v>
      </s:c>
      <s:c r="M95" s="222" t="n">
        <s:v>419.33</s:v>
      </s:c>
      <s:c r="N95" s="222" t="n">
        <s:v>519.65</s:v>
      </s:c>
      <s:c r="O95" s="222" t="n">
        <s:v>100.42</s:v>
      </s:c>
      <s:c r="P95" s="223" t="inlineStr">
        <s:is>
          <s:t>2,30,560</s:t>
        </s:is>
      </s:c>
      <s:c r="Q95" s="224" t="inlineStr">
        <s:is>
          <s:t>2</s:t>
        </s:is>
      </s:c>
      <s:c r="R95" s="224" t="inlineStr">
        <s:is>
          <s:t>30,560</s:t>
        </s:is>
      </s:c>
      <s:c r="S95" s="224" t="n">
        <s:v>0.04182222222222223</s:v>
      </s:c>
      <s:c r="T95" s="225" t="n">
        <s:v>2401.115834218916</s:v>
      </s:c>
      <s:c r="U95" s="226" t="n">
        <s:v>-0.0995817566221953</s:v>
      </s:c>
      <s:c r="V95" s="220" t="n">
        <s:v>18.8</s:v>
      </s:c>
      <s:c r="W95" s="221" t="n">
        <s:v>1.094</s:v>
      </s:c>
      <s:c r="X95" s="221" t="n">
        <s:v>1.082</s:v>
      </s:c>
      <s:c r="Y95" s="222" t="n">
        <s:v>533.1799999999999</s:v>
      </s:c>
      <s:c r="Z95" s="222" t="n">
        <s:v>538.27</s:v>
      </s:c>
      <s:c r="AA95" s="227" t="n">
        <s:v>5.028</s:v>
      </s:c>
      <s:c r="AB95" s="228" t="inlineStr">
        <s:is>
          <s:t>11,33,420</s:t>
        </s:is>
      </s:c>
      <s:c r="AC95" s="224" t="inlineStr">
        <s:is>
          <s:t>11</s:t>
        </s:is>
      </s:c>
      <s:c r="AD95" s="224" t="inlineStr">
        <s:is>
          <s:t>33,420</s:t>
        </s:is>
      </s:c>
      <s:c r="AE95" s="224" t="n">
        <s:v>0.1926166666666667</s:v>
      </s:c>
      <s:c r="AF95" s="225" t="n">
        <s:v>26.10366011940815</s:v>
      </s:c>
      <s:c r="AG95" s="229" t="n">
        <s:v>1.233094669849488</s:v>
      </s:c>
      <s:c r="AH95" s="220" t="n">
        <s:v>18.9</s:v>
      </s:c>
      <s:c r="AI95" s="221" t="n">
        <s:v>1.094</s:v>
      </s:c>
      <s:c r="AJ95" s="221" t="n">
        <s:v>1.082</s:v>
      </s:c>
      <s:c r="AK95" s="222" t="n">
        <s:v>538.27</s:v>
      </s:c>
      <s:c r="AL95" s="222" t="n">
        <s:v>540.28</s:v>
      </s:c>
      <s:c r="AM95" s="230" t="n">
        <s:v>2.006</s:v>
      </s:c>
      <s:c r="AN95" s="223" t="inlineStr">
        <s:is>
          <s:t>7,24,950</s:t>
        </s:is>
      </s:c>
      <s:c r="AO95" s="224" t="inlineStr">
        <s:is>
          <s:t>7,</s:t>
        </s:is>
      </s:c>
      <s:c r="AP95" s="224" t="inlineStr">
        <s:is>
          <s:t>24,950</s:t>
        </s:is>
      </s:c>
      <s:c r="AQ95" s="224" t="n">
        <s:v>0.1235972222222222</s:v>
      </s:c>
      <s:c r="AR95" s="225" t="n">
        <s:v>16.23013821777728</s:v>
      </s:c>
      <s:c r="AS95" s="229" t="n">
        <s:v>0.199401794615709</s:v>
      </s:c>
      <s:c r="AT95" s="231" t="inlineStr">
        <s:is>
          <s:t>CONFORME</s:t>
        </s:is>
      </s:c>
      <s:c r="AU95" s="232">
        <s:f>B95=C95</s:f>
        <s:v/>
      </s:c>
      <s:c r="AV95" s="233">
        <s:f>MID(G95,1,2)</s:f>
        <s:v/>
      </s:c>
      <s:c r="AW95" s="233">
        <s:f>LEN(G95)</s:f>
        <s:v/>
      </s:c>
      <s:c r="AX95" s="233" t="inlineStr">
        <s:is>
          <s:t>OI-0922-2025</s:t>
        </s:is>
      </s:c>
      <s:c r="AY95" s="233">
        <s:f>N95&lt;Y95</s:f>
        <s:v/>
      </s:c>
      <s:c r="AZ95" s="233">
        <s:f>Z95&lt;=AK95</s:f>
        <s:v/>
      </s:c>
      <s:c r="BA95" s="233">
        <s:f>L95&lt;K95</s:f>
        <s:v/>
      </s:c>
      <s:c r="BB95" s="233">
        <s:f>W95&gt;=X95</s:f>
        <s:v/>
      </s:c>
      <s:c r="BC95" s="233">
        <s:f>AI95&gt;=AJ95</s:f>
        <s:v/>
      </s:c>
      <s:c r="BD95" s="233">
        <s:f>IF(I95&gt;=1,"Qcorrecto",IF(AND(BE95="aceptable",BF95="aceptable",BG95="aceptable"),"Qcorrecto","Qincorrecto"))</s:f>
        <s:v/>
      </s:c>
      <s:c r="BE95" s="232">
        <s:f>IF(AR95&lt;$AH$6,"error",IF(AR95&gt;$AH$6*1.1,"error","aceptable"))</s:f>
        <s:v/>
      </s:c>
      <s:c r="BF95" s="232">
        <s:f>IF(AF95&lt;$V$6,"error",IF(AF95&gt;$V$6*1.1,"error","aceptable"))</s:f>
        <s:v/>
      </s:c>
      <s:c r="BG95" s="232">
        <s:f>IF(T95&lt;$J$6*0.9,"error",IF(T95&gt;$J$6,"error","aceptable"))</s:f>
        <s:v/>
      </s:c>
      <s:c r="BH95" s="234">
        <s:f>(IF(ABS(U95)&lt;1,"CONFORME",IF(ABS(AG95)&lt;1,"CONFORME",IF(ABS(AS95)&lt;2.5,"CONFORME","NO CONFORME"))))</s:f>
        <s:v/>
      </s:c>
      <s:c r="BI95" s="235">
        <s:f>(IF(ABS(U95)&gt;2.044,"NO CONFORME",IF(ABS(AG95)&gt;2.044,"NO CONFORME",IF(ABS(AS95)&gt;5.044,"NO CONFORME","CONFORME"))))</s:f>
        <s:v/>
      </s:c>
      <s:c r="BJ95" s="233">
        <s:f>SIGN(U95)</s:f>
        <s:v/>
      </s:c>
      <s:c r="BK95" s="233">
        <s:f>SIGN(AG95)</s:f>
        <s:v/>
      </s:c>
      <s:c r="BL95" s="233">
        <s:f>SIGN(AS95)</s:f>
        <s:v/>
      </s:c>
      <s:c r="BM95" s="233">
        <s:f>CONCATENATE(BJ95,BK95,BL95)</s:f>
        <s:v/>
      </s:c>
      <s:c r="BN95" s="233">
        <s:f>IF(BM95="111","SI","SD")</s:f>
        <s:v/>
      </s:c>
      <s:c r="BO95" s="233">
        <s:f>IF(BM95="-1-1-1","SI","SD")</s:f>
        <s:v/>
      </s:c>
      <s:c r="BP95" s="233">
        <s:f>OR(BN95="SI",BO95="SI")</s:f>
        <s:v/>
      </s:c>
      <s:c r="BQ95" s="233">
        <s:f>IF(BP95=FALSE,"SIGDIFERENTES","SIGIGUALES")</s:f>
        <s:v/>
      </s:c>
      <s:c r="BR95" s="236">
        <s:f>IF(BI95="NO CONFORME","NO CONFORME",IF(BH95="CONFORME","CONFORME","NO CONFORME"))</s:f>
        <s:v/>
      </s:c>
      <s:c r="BS95" s="233">
        <s:f>F95</s:f>
        <s:v/>
      </s:c>
      <s:c r="BT95" s="237">
        <s:f>G95</s:f>
        <s:v/>
      </s:c>
      <s:c r="BU95" s="233">
        <s:f>"20"&amp;+MID(G95,3,2)</s:f>
        <s:v/>
      </s:c>
      <s:c r="BV95" s="238">
        <s:f>C95</s:f>
        <s:v/>
      </s:c>
      <s:c r="BW95" s="233">
        <s:f>AT95</s:f>
        <s:v/>
      </s:c>
      <s:c r="BX95" s="238">
        <s:f>B95</s:f>
        <s:v/>
      </s:c>
      <s:c r="BY95" s="239">
        <s:f>H95</s:f>
        <s:v/>
      </s:c>
      <s:c r="BZ95" s="233">
        <s:f>IF(I95=0,"CONFORME","NO CONFORME")</s:f>
        <s:v/>
      </s:c>
      <s:c r="CA95" s="238">
        <s:f>C95</s:f>
        <s:v/>
      </s:c>
      <s:c r="CB95" s="240">
        <s:f>AH95</s:f>
        <s:v/>
      </s:c>
      <s:c r="CC95" s="241">
        <s:f>AR95</s:f>
        <s:v/>
      </s:c>
      <s:c r="CD95" s="240">
        <s:f>AI95</s:f>
        <s:v/>
      </s:c>
      <s:c r="CE95" s="240">
        <s:f>AJ95</s:f>
        <s:v/>
      </s:c>
      <s:c r="CF95" s="240">
        <s:f>AS95</s:f>
        <s:v/>
      </s:c>
      <s:c r="CG95" s="240">
        <s:f>V95</s:f>
        <s:v/>
      </s:c>
      <s:c r="CH95" s="241">
        <s:f>AF95</s:f>
        <s:v/>
      </s:c>
      <s:c r="CI95" s="240">
        <s:f>W95</s:f>
        <s:v/>
      </s:c>
      <s:c r="CJ95" s="240">
        <s:f>X95</s:f>
        <s:v/>
      </s:c>
      <s:c r="CK95" s="240">
        <s:f>AG95</s:f>
        <s:v/>
      </s:c>
      <s:c r="CL95" s="240">
        <s:f>J95</s:f>
        <s:v/>
      </s:c>
      <s:c r="CM95" s="241">
        <s:f>T95</s:f>
        <s:v/>
      </s:c>
      <s:c r="CN95" s="240">
        <s:f>K95</s:f>
        <s:v/>
      </s:c>
      <s:c r="CO95" s="240">
        <s:f>L95</s:f>
        <s:v/>
      </s:c>
      <s:c r="CP95" s="242">
        <s:f>U95</s:f>
        <s:v/>
      </s:c>
      <s:c r="CQ95" s="233">
        <s:f>AT95</s:f>
        <s:v/>
      </s:c>
    </s:row>
    <s:row r="96">
      <s:c r="A96" s="211" t="n">
        <s:v>79</s:v>
      </s:c>
      <s:c r="B96" s="212" t="n">
        <s:v>45901</s:v>
      </s:c>
      <s:c r="C96" s="213" t="n">
        <s:v>45901</s:v>
      </s:c>
      <s:c r="D96" s="214" t="n">
        <s:v>3</s:v>
      </s:c>
      <s:c r="E96" s="215" t="n">
        <s:v>13</s:v>
      </s:c>
      <s:c r="F96" s="216" t="inlineStr">
        <s:is>
          <s:t>VI-236571-2025</s:t>
        </s:is>
      </s:c>
      <s:c r="G96" s="217" t="inlineStr">
        <s:is>
          <s:t>QA25418166</s:t>
        </s:is>
      </s:c>
      <s:c r="H96" s="218" t="n">
        <s:v>16</s:v>
      </s:c>
      <s:c r="I96" s="219" t="n">
        <s:v>0</s:v>
      </s:c>
      <s:c r="J96" s="220" t="n">
        <s:v>18.8</s:v>
      </s:c>
      <s:c r="K96" s="221" t="n">
        <s:v>7.51</s:v>
      </s:c>
      <s:c r="L96" s="221" t="n">
        <s:v>1.223</s:v>
      </s:c>
      <s:c r="M96" s="222" t="n">
        <s:v>427.14</s:v>
      </s:c>
      <s:c r="N96" s="222" t="n">
        <s:v>528.12</s:v>
      </s:c>
      <s:c r="O96" s="222" t="n">
        <s:v>100.42</s:v>
      </s:c>
      <s:c r="P96" s="223" t="inlineStr">
        <s:is>
          <s:t>2,30,560</s:t>
        </s:is>
      </s:c>
      <s:c r="Q96" s="224" t="inlineStr">
        <s:is>
          <s:t>2</s:t>
        </s:is>
      </s:c>
      <s:c r="R96" s="224" t="inlineStr">
        <s:is>
          <s:t>30,560</s:t>
        </s:is>
      </s:c>
      <s:c r="S96" s="224" t="n">
        <s:v>0.04182222222222223</s:v>
      </s:c>
      <s:c r="T96" s="225" t="n">
        <s:v>2401.115834218916</s:v>
      </s:c>
      <s:c r="U96" s="226" t="n">
        <s:v>0.5576578370842626</s:v>
      </s:c>
      <s:c r="V96" s="220" t="n">
        <s:v>18.8</s:v>
      </s:c>
      <s:c r="W96" s="221" t="n">
        <s:v>1.094</s:v>
      </s:c>
      <s:c r="X96" s="221" t="n">
        <s:v>1.082</s:v>
      </s:c>
      <s:c r="Y96" s="222" t="n">
        <s:v>541.76</s:v>
      </s:c>
      <s:c r="Z96" s="222" t="n">
        <s:v>546.85</s:v>
      </s:c>
      <s:c r="AA96" s="227" t="n">
        <s:v>5.028</s:v>
      </s:c>
      <s:c r="AB96" s="228" t="inlineStr">
        <s:is>
          <s:t>11,33,420</s:t>
        </s:is>
      </s:c>
      <s:c r="AC96" s="224" t="inlineStr">
        <s:is>
          <s:t>11</s:t>
        </s:is>
      </s:c>
      <s:c r="AD96" s="224" t="inlineStr">
        <s:is>
          <s:t>33,420</s:t>
        </s:is>
      </s:c>
      <s:c r="AE96" s="224" t="n">
        <s:v>0.1926166666666667</s:v>
      </s:c>
      <s:c r="AF96" s="225" t="n">
        <s:v>26.10366011940815</s:v>
      </s:c>
      <s:c r="AG96" s="229" t="n">
        <s:v>1.233094669849488</s:v>
      </s:c>
      <s:c r="AH96" s="220" t="n">
        <s:v>18.9</s:v>
      </s:c>
      <s:c r="AI96" s="221" t="n">
        <s:v>1.094</s:v>
      </s:c>
      <s:c r="AJ96" s="221" t="n">
        <s:v>1.082</s:v>
      </s:c>
      <s:c r="AK96" s="222" t="n">
        <s:v>546.85</s:v>
      </s:c>
      <s:c r="AL96" s="222" t="n">
        <s:v>548.85</s:v>
      </s:c>
      <s:c r="AM96" s="230" t="n">
        <s:v>2.006</s:v>
      </s:c>
      <s:c r="AN96" s="223" t="inlineStr">
        <s:is>
          <s:t>7,24,950</s:t>
        </s:is>
      </s:c>
      <s:c r="AO96" s="224" t="inlineStr">
        <s:is>
          <s:t>7,</s:t>
        </s:is>
      </s:c>
      <s:c r="AP96" s="224" t="inlineStr">
        <s:is>
          <s:t>24,950</s:t>
        </s:is>
      </s:c>
      <s:c r="AQ96" s="224" t="n">
        <s:v>0.1235972222222222</s:v>
      </s:c>
      <s:c r="AR96" s="225" t="n">
        <s:v>16.23013821777728</s:v>
      </s:c>
      <s:c r="AS96" s="229" t="n">
        <s:v>-0.2991026919242165</s:v>
      </s:c>
      <s:c r="AT96" s="231" t="inlineStr">
        <s:is>
          <s:t>CONFORME</s:t>
        </s:is>
      </s:c>
      <s:c r="AU96" s="232">
        <s:f>B96=C96</s:f>
        <s:v/>
      </s:c>
      <s:c r="AV96" s="233">
        <s:f>MID(G96,1,2)</s:f>
        <s:v/>
      </s:c>
      <s:c r="AW96" s="233">
        <s:f>LEN(G96)</s:f>
        <s:v/>
      </s:c>
      <s:c r="AX96" s="233" t="inlineStr">
        <s:is>
          <s:t>OI-0922-2025</s:t>
        </s:is>
      </s:c>
      <s:c r="AY96" s="233">
        <s:f>N96&lt;Y96</s:f>
        <s:v/>
      </s:c>
      <s:c r="AZ96" s="233">
        <s:f>Z96&lt;=AK96</s:f>
        <s:v/>
      </s:c>
      <s:c r="BA96" s="233">
        <s:f>L96&lt;K96</s:f>
        <s:v/>
      </s:c>
      <s:c r="BB96" s="233">
        <s:f>W96&gt;=X96</s:f>
        <s:v/>
      </s:c>
      <s:c r="BC96" s="233">
        <s:f>AI96&gt;=AJ96</s:f>
        <s:v/>
      </s:c>
      <s:c r="BD96" s="233">
        <s:f>IF(I96&gt;=1,"Qcorrecto",IF(AND(BE96="aceptable",BF96="aceptable",BG96="aceptable"),"Qcorrecto","Qincorrecto"))</s:f>
        <s:v/>
      </s:c>
      <s:c r="BE96" s="232">
        <s:f>IF(AR96&lt;$AH$6,"error",IF(AR96&gt;$AH$6*1.1,"error","aceptable"))</s:f>
        <s:v/>
      </s:c>
      <s:c r="BF96" s="232">
        <s:f>IF(AF96&lt;$V$6,"error",IF(AF96&gt;$V$6*1.1,"error","aceptable"))</s:f>
        <s:v/>
      </s:c>
      <s:c r="BG96" s="232">
        <s:f>IF(T96&lt;$J$6*0.9,"error",IF(T96&gt;$J$6,"error","aceptable"))</s:f>
        <s:v/>
      </s:c>
      <s:c r="BH96" s="234">
        <s:f>(IF(ABS(U96)&lt;1,"CONFORME",IF(ABS(AG96)&lt;1,"CONFORME",IF(ABS(AS96)&lt;2.5,"CONFORME","NO CONFORME"))))</s:f>
        <s:v/>
      </s:c>
      <s:c r="BI96" s="235">
        <s:f>(IF(ABS(U96)&gt;2.044,"NO CONFORME",IF(ABS(AG96)&gt;2.044,"NO CONFORME",IF(ABS(AS96)&gt;5.044,"NO CONFORME","CONFORME"))))</s:f>
        <s:v/>
      </s:c>
      <s:c r="BJ96" s="233">
        <s:f>SIGN(U96)</s:f>
        <s:v/>
      </s:c>
      <s:c r="BK96" s="233">
        <s:f>SIGN(AG96)</s:f>
        <s:v/>
      </s:c>
      <s:c r="BL96" s="233">
        <s:f>SIGN(AS96)</s:f>
        <s:v/>
      </s:c>
      <s:c r="BM96" s="233">
        <s:f>CONCATENATE(BJ96,BK96,BL96)</s:f>
        <s:v/>
      </s:c>
      <s:c r="BN96" s="233">
        <s:f>IF(BM96="111","SI","SD")</s:f>
        <s:v/>
      </s:c>
      <s:c r="BO96" s="233">
        <s:f>IF(BM96="-1-1-1","SI","SD")</s:f>
        <s:v/>
      </s:c>
      <s:c r="BP96" s="233">
        <s:f>OR(BN96="SI",BO96="SI")</s:f>
        <s:v/>
      </s:c>
      <s:c r="BQ96" s="233">
        <s:f>IF(BP96=FALSE,"SIGDIFERENTES","SIGIGUALES")</s:f>
        <s:v/>
      </s:c>
      <s:c r="BR96" s="236">
        <s:f>IF(BI96="NO CONFORME","NO CONFORME",IF(BH96="CONFORME","CONFORME","NO CONFORME"))</s:f>
        <s:v/>
      </s:c>
      <s:c r="BS96" s="233">
        <s:f>F96</s:f>
        <s:v/>
      </s:c>
      <s:c r="BT96" s="237">
        <s:f>G96</s:f>
        <s:v/>
      </s:c>
      <s:c r="BU96" s="233">
        <s:f>"20"&amp;+MID(G96,3,2)</s:f>
        <s:v/>
      </s:c>
      <s:c r="BV96" s="238">
        <s:f>C96</s:f>
        <s:v/>
      </s:c>
      <s:c r="BW96" s="233">
        <s:f>AT96</s:f>
        <s:v/>
      </s:c>
      <s:c r="BX96" s="238">
        <s:f>B96</s:f>
        <s:v/>
      </s:c>
      <s:c r="BY96" s="239">
        <s:f>H96</s:f>
        <s:v/>
      </s:c>
      <s:c r="BZ96" s="233">
        <s:f>IF(I96=0,"CONFORME","NO CONFORME")</s:f>
        <s:v/>
      </s:c>
      <s:c r="CA96" s="238">
        <s:f>C96</s:f>
        <s:v/>
      </s:c>
      <s:c r="CB96" s="240">
        <s:f>AH96</s:f>
        <s:v/>
      </s:c>
      <s:c r="CC96" s="241">
        <s:f>AR96</s:f>
        <s:v/>
      </s:c>
      <s:c r="CD96" s="240">
        <s:f>AI96</s:f>
        <s:v/>
      </s:c>
      <s:c r="CE96" s="240">
        <s:f>AJ96</s:f>
        <s:v/>
      </s:c>
      <s:c r="CF96" s="240">
        <s:f>AS96</s:f>
        <s:v/>
      </s:c>
      <s:c r="CG96" s="240">
        <s:f>V96</s:f>
        <s:v/>
      </s:c>
      <s:c r="CH96" s="241">
        <s:f>AF96</s:f>
        <s:v/>
      </s:c>
      <s:c r="CI96" s="240">
        <s:f>W96</s:f>
        <s:v/>
      </s:c>
      <s:c r="CJ96" s="240">
        <s:f>X96</s:f>
        <s:v/>
      </s:c>
      <s:c r="CK96" s="240">
        <s:f>AG96</s:f>
        <s:v/>
      </s:c>
      <s:c r="CL96" s="240">
        <s:f>J96</s:f>
        <s:v/>
      </s:c>
      <s:c r="CM96" s="241">
        <s:f>T96</s:f>
        <s:v/>
      </s:c>
      <s:c r="CN96" s="240">
        <s:f>K96</s:f>
        <s:v/>
      </s:c>
      <s:c r="CO96" s="240">
        <s:f>L96</s:f>
        <s:v/>
      </s:c>
      <s:c r="CP96" s="242">
        <s:f>U96</s:f>
        <s:v/>
      </s:c>
      <s:c r="CQ96" s="233">
        <s:f>AT96</s:f>
        <s:v/>
      </s:c>
    </s:row>
    <s:row r="97">
      <s:c r="A97" s="211" t="n">
        <s:v>80</s:v>
      </s:c>
      <s:c r="B97" s="212" t="n">
        <s:v>45901</s:v>
      </s:c>
      <s:c r="C97" s="213" t="n">
        <s:v>45901</s:v>
      </s:c>
      <s:c r="D97" s="214" t="n">
        <s:v>3</s:v>
      </s:c>
      <s:c r="E97" s="215" t="n">
        <s:v>13</s:v>
      </s:c>
      <s:c r="F97" s="216" t="inlineStr">
        <s:is>
          <s:t>VI-236572-2025</s:t>
        </s:is>
      </s:c>
      <s:c r="G97" s="217" t="inlineStr">
        <s:is>
          <s:t>QA25417782</s:t>
        </s:is>
      </s:c>
      <s:c r="H97" s="218" t="n">
        <s:v>16</s:v>
      </s:c>
      <s:c r="I97" s="219" t="n">
        <s:v>0</s:v>
      </s:c>
      <s:c r="J97" s="220" t="n">
        <s:v>18.8</s:v>
      </s:c>
      <s:c r="K97" s="221" t="n">
        <s:v>7.51</s:v>
      </s:c>
      <s:c r="L97" s="221" t="n">
        <s:v>1.223</s:v>
      </s:c>
      <s:c r="M97" s="222" t="n">
        <s:v>333.28</s:v>
      </s:c>
      <s:c r="N97" s="222" t="n">
        <s:v>433.11</s:v>
      </s:c>
      <s:c r="O97" s="222" t="n">
        <s:v>100.42</s:v>
      </s:c>
      <s:c r="P97" s="223" t="inlineStr">
        <s:is>
          <s:t>2,30,560</s:t>
        </s:is>
      </s:c>
      <s:c r="Q97" s="224" t="inlineStr">
        <s:is>
          <s:t>2</s:t>
        </s:is>
      </s:c>
      <s:c r="R97" s="224" t="inlineStr">
        <s:is>
          <s:t>30,560</s:t>
        </s:is>
      </s:c>
      <s:c r="S97" s="224" t="n">
        <s:v>0.04182222222222223</s:v>
      </s:c>
      <s:c r="T97" s="225" t="n">
        <s:v>2401.115834218916</s:v>
      </s:c>
      <s:c r="U97" s="226" t="n">
        <s:v>-0.5875323640708631</s:v>
      </s:c>
      <s:c r="V97" s="220" t="n">
        <s:v>18.8</s:v>
      </s:c>
      <s:c r="W97" s="221" t="n">
        <s:v>1.094</s:v>
      </s:c>
      <s:c r="X97" s="221" t="n">
        <s:v>1.082</s:v>
      </s:c>
      <s:c r="Y97" s="222" t="n">
        <s:v>446.55</s:v>
      </s:c>
      <s:c r="Z97" s="222" t="n">
        <s:v>451.59</s:v>
      </s:c>
      <s:c r="AA97" s="227" t="n">
        <s:v>5.028</s:v>
      </s:c>
      <s:c r="AB97" s="228" t="inlineStr">
        <s:is>
          <s:t>11,33,420</s:t>
        </s:is>
      </s:c>
      <s:c r="AC97" s="224" t="inlineStr">
        <s:is>
          <s:t>11</s:t>
        </s:is>
      </s:c>
      <s:c r="AD97" s="224" t="inlineStr">
        <s:is>
          <s:t>33,420</s:t>
        </s:is>
      </s:c>
      <s:c r="AE97" s="224" t="n">
        <s:v>0.1926166666666667</s:v>
      </s:c>
      <s:c r="AF97" s="225" t="n">
        <s:v>26.10366011940815</s:v>
      </s:c>
      <s:c r="AG97" s="229" t="n">
        <s:v>0.2386634844861583</s:v>
      </s:c>
      <s:c r="AH97" s="220" t="n">
        <s:v>18.9</s:v>
      </s:c>
      <s:c r="AI97" s="221" t="n">
        <s:v>1.094</s:v>
      </s:c>
      <s:c r="AJ97" s="221" t="n">
        <s:v>1.082</s:v>
      </s:c>
      <s:c r="AK97" s="222" t="n">
        <s:v>451.59</s:v>
      </s:c>
      <s:c r="AL97" s="222" t="n">
        <s:v>453.57</s:v>
      </s:c>
      <s:c r="AM97" s="230" t="n">
        <s:v>2.006</s:v>
      </s:c>
      <s:c r="AN97" s="223" t="inlineStr">
        <s:is>
          <s:t>7,24,950</s:t>
        </s:is>
      </s:c>
      <s:c r="AO97" s="224" t="inlineStr">
        <s:is>
          <s:t>7,</s:t>
        </s:is>
      </s:c>
      <s:c r="AP97" s="224" t="inlineStr">
        <s:is>
          <s:t>24,950</s:t>
        </s:is>
      </s:c>
      <s:c r="AQ97" s="224" t="n">
        <s:v>0.1235972222222222</s:v>
      </s:c>
      <s:c r="AR97" s="225" t="n">
        <s:v>16.23013821777728</s:v>
      </s:c>
      <s:c r="AS97" s="229" t="n">
        <s:v>-1.296111665004068</s:v>
      </s:c>
      <s:c r="AT97" s="231" t="inlineStr">
        <s:is>
          <s:t>CONFORME</s:t>
        </s:is>
      </s:c>
      <s:c r="AU97" s="232">
        <s:f>B97=C97</s:f>
        <s:v/>
      </s:c>
      <s:c r="AV97" s="233">
        <s:f>MID(G97,1,2)</s:f>
        <s:v/>
      </s:c>
      <s:c r="AW97" s="233">
        <s:f>LEN(G97)</s:f>
        <s:v/>
      </s:c>
      <s:c r="AX97" s="233" t="inlineStr">
        <s:is>
          <s:t>OI-0922-2025</s:t>
        </s:is>
      </s:c>
      <s:c r="AY97" s="233">
        <s:f>N97&lt;Y97</s:f>
        <s:v/>
      </s:c>
      <s:c r="AZ97" s="233">
        <s:f>Z97&lt;=AK97</s:f>
        <s:v/>
      </s:c>
      <s:c r="BA97" s="233">
        <s:f>L97&lt;K97</s:f>
        <s:v/>
      </s:c>
      <s:c r="BB97" s="233">
        <s:f>W97&gt;=X97</s:f>
        <s:v/>
      </s:c>
      <s:c r="BC97" s="233">
        <s:f>AI97&gt;=AJ97</s:f>
        <s:v/>
      </s:c>
      <s:c r="BD97" s="233">
        <s:f>IF(I97&gt;=1,"Qcorrecto",IF(AND(BE97="aceptable",BF97="aceptable",BG97="aceptable"),"Qcorrecto","Qincorrecto"))</s:f>
        <s:v/>
      </s:c>
      <s:c r="BE97" s="232">
        <s:f>IF(AR97&lt;$AH$6,"error",IF(AR97&gt;$AH$6*1.1,"error","aceptable"))</s:f>
        <s:v/>
      </s:c>
      <s:c r="BF97" s="232">
        <s:f>IF(AF97&lt;$V$6,"error",IF(AF97&gt;$V$6*1.1,"error","aceptable"))</s:f>
        <s:v/>
      </s:c>
      <s:c r="BG97" s="232">
        <s:f>IF(T97&lt;$J$6*0.9,"error",IF(T97&gt;$J$6,"error","aceptable"))</s:f>
        <s:v/>
      </s:c>
      <s:c r="BH97" s="234">
        <s:f>(IF(ABS(U97)&lt;1,"CONFORME",IF(ABS(AG97)&lt;1,"CONFORME",IF(ABS(AS97)&lt;2.5,"CONFORME","NO CONFORME"))))</s:f>
        <s:v/>
      </s:c>
      <s:c r="BI97" s="235">
        <s:f>(IF(ABS(U97)&gt;2.044,"NO CONFORME",IF(ABS(AG97)&gt;2.044,"NO CONFORME",IF(ABS(AS97)&gt;5.044,"NO CONFORME","CONFORME"))))</s:f>
        <s:v/>
      </s:c>
      <s:c r="BJ97" s="233">
        <s:f>SIGN(U97)</s:f>
        <s:v/>
      </s:c>
      <s:c r="BK97" s="233">
        <s:f>SIGN(AG97)</s:f>
        <s:v/>
      </s:c>
      <s:c r="BL97" s="233">
        <s:f>SIGN(AS97)</s:f>
        <s:v/>
      </s:c>
      <s:c r="BM97" s="233">
        <s:f>CONCATENATE(BJ97,BK97,BL97)</s:f>
        <s:v/>
      </s:c>
      <s:c r="BN97" s="233">
        <s:f>IF(BM97="111","SI","SD")</s:f>
        <s:v/>
      </s:c>
      <s:c r="BO97" s="233">
        <s:f>IF(BM97="-1-1-1","SI","SD")</s:f>
        <s:v/>
      </s:c>
      <s:c r="BP97" s="233">
        <s:f>OR(BN97="SI",BO97="SI")</s:f>
        <s:v/>
      </s:c>
      <s:c r="BQ97" s="233">
        <s:f>IF(BP97=FALSE,"SIGDIFERENTES","SIGIGUALES")</s:f>
        <s:v/>
      </s:c>
      <s:c r="BR97" s="236">
        <s:f>IF(BI97="NO CONFORME","NO CONFORME",IF(BH97="CONFORME","CONFORME","NO CONFORME"))</s:f>
        <s:v/>
      </s:c>
      <s:c r="BS97" s="233">
        <s:f>F97</s:f>
        <s:v/>
      </s:c>
      <s:c r="BT97" s="237">
        <s:f>G97</s:f>
        <s:v/>
      </s:c>
      <s:c r="BU97" s="233">
        <s:f>"20"&amp;+MID(G97,3,2)</s:f>
        <s:v/>
      </s:c>
      <s:c r="BV97" s="238">
        <s:f>C97</s:f>
        <s:v/>
      </s:c>
      <s:c r="BW97" s="233">
        <s:f>AT97</s:f>
        <s:v/>
      </s:c>
      <s:c r="BX97" s="238">
        <s:f>B97</s:f>
        <s:v/>
      </s:c>
      <s:c r="BY97" s="239">
        <s:f>H97</s:f>
        <s:v/>
      </s:c>
      <s:c r="BZ97" s="233">
        <s:f>IF(I97=0,"CONFORME","NO CONFORME")</s:f>
        <s:v/>
      </s:c>
      <s:c r="CA97" s="238">
        <s:f>C97</s:f>
        <s:v/>
      </s:c>
      <s:c r="CB97" s="240">
        <s:f>AH97</s:f>
        <s:v/>
      </s:c>
      <s:c r="CC97" s="241">
        <s:f>AR97</s:f>
        <s:v/>
      </s:c>
      <s:c r="CD97" s="240">
        <s:f>AI97</s:f>
        <s:v/>
      </s:c>
      <s:c r="CE97" s="240">
        <s:f>AJ97</s:f>
        <s:v/>
      </s:c>
      <s:c r="CF97" s="240">
        <s:f>AS97</s:f>
        <s:v/>
      </s:c>
      <s:c r="CG97" s="240">
        <s:f>V97</s:f>
        <s:v/>
      </s:c>
      <s:c r="CH97" s="241">
        <s:f>AF97</s:f>
        <s:v/>
      </s:c>
      <s:c r="CI97" s="240">
        <s:f>W97</s:f>
        <s:v/>
      </s:c>
      <s:c r="CJ97" s="240">
        <s:f>X97</s:f>
        <s:v/>
      </s:c>
      <s:c r="CK97" s="240">
        <s:f>AG97</s:f>
        <s:v/>
      </s:c>
      <s:c r="CL97" s="240">
        <s:f>J97</s:f>
        <s:v/>
      </s:c>
      <s:c r="CM97" s="241">
        <s:f>T97</s:f>
        <s:v/>
      </s:c>
      <s:c r="CN97" s="240">
        <s:f>K97</s:f>
        <s:v/>
      </s:c>
      <s:c r="CO97" s="240">
        <s:f>L97</s:f>
        <s:v/>
      </s:c>
      <s:c r="CP97" s="242">
        <s:f>U97</s:f>
        <s:v/>
      </s:c>
      <s:c r="CQ97" s="233">
        <s:f>AT97</s:f>
        <s:v/>
      </s:c>
    </s:row>
    <s:row r="98">
      <s:c r="A98" s="211" t="n">
        <s:v>81</s:v>
      </s:c>
      <s:c r="B98" s="212" t="n">
        <s:v>45901</s:v>
      </s:c>
      <s:c r="C98" s="213" t="n">
        <s:v>45901</s:v>
      </s:c>
      <s:c r="D98" s="214" t="n">
        <s:v>3</s:v>
      </s:c>
      <s:c r="E98" s="215" t="n">
        <s:v>13</s:v>
      </s:c>
      <s:c r="F98" s="216" t="inlineStr">
        <s:is>
          <s:t>VI-236573-2025</s:t>
        </s:is>
      </s:c>
      <s:c r="G98" s="217" t="inlineStr">
        <s:is>
          <s:t>QA25418194</s:t>
        </s:is>
      </s:c>
      <s:c r="H98" s="218" t="n">
        <s:v>16</s:v>
      </s:c>
      <s:c r="I98" s="219" t="n">
        <s:v>0</s:v>
      </s:c>
      <s:c r="J98" s="220" t="n">
        <s:v>18.8</s:v>
      </s:c>
      <s:c r="K98" s="221" t="n">
        <s:v>7.51</s:v>
      </s:c>
      <s:c r="L98" s="221" t="n">
        <s:v>1.223</s:v>
      </s:c>
      <s:c r="M98" s="222" t="n">
        <s:v>317.14</s:v>
      </s:c>
      <s:c r="N98" s="222" t="n">
        <s:v>416.98</s:v>
      </s:c>
      <s:c r="O98" s="222" t="n">
        <s:v>100.42</s:v>
      </s:c>
      <s:c r="P98" s="223" t="inlineStr">
        <s:is>
          <s:t>2,30,560</s:t>
        </s:is>
      </s:c>
      <s:c r="Q98" s="224" t="inlineStr">
        <s:is>
          <s:t>2</s:t>
        </s:is>
      </s:c>
      <s:c r="R98" s="224" t="inlineStr">
        <s:is>
          <s:t>30,560</s:t>
        </s:is>
      </s:c>
      <s:c r="S98" s="224" t="n">
        <s:v>0.04182222222222223</s:v>
      </s:c>
      <s:c r="T98" s="225" t="n">
        <s:v>2401.115834218916</s:v>
      </s:c>
      <s:c r="U98" s="226" t="n">
        <s:v>-0.5775741884086535</s:v>
      </s:c>
      <s:c r="V98" s="220" t="n">
        <s:v>18.8</s:v>
      </s:c>
      <s:c r="W98" s="221" t="n">
        <s:v>1.094</s:v>
      </s:c>
      <s:c r="X98" s="221" t="n">
        <s:v>1.082</s:v>
      </s:c>
      <s:c r="Y98" s="222" t="n">
        <s:v>430.41</s:v>
      </s:c>
      <s:c r="Z98" s="222" t="n">
        <s:v>435.46</s:v>
      </s:c>
      <s:c r="AA98" s="227" t="n">
        <s:v>5.028</s:v>
      </s:c>
      <s:c r="AB98" s="228" t="inlineStr">
        <s:is>
          <s:t>11,33,420</s:t>
        </s:is>
      </s:c>
      <s:c r="AC98" s="224" t="inlineStr">
        <s:is>
          <s:t>11</s:t>
        </s:is>
      </s:c>
      <s:c r="AD98" s="224" t="inlineStr">
        <s:is>
          <s:t>33,420</s:t>
        </s:is>
      </s:c>
      <s:c r="AE98" s="224" t="n">
        <s:v>0.1926166666666667</s:v>
      </s:c>
      <s:c r="AF98" s="225" t="n">
        <s:v>26.10366011940815</s:v>
      </s:c>
      <s:c r="AG98" s="229" t="n">
        <s:v>0.437549721558372</s:v>
      </s:c>
      <s:c r="AH98" s="220" t="n">
        <s:v>18.9</s:v>
      </s:c>
      <s:c r="AI98" s="221" t="n">
        <s:v>1.094</s:v>
      </s:c>
      <s:c r="AJ98" s="221" t="n">
        <s:v>1.082</s:v>
      </s:c>
      <s:c r="AK98" s="222" t="n">
        <s:v>435.46</s:v>
      </s:c>
      <s:c r="AL98" s="222" t="n">
        <s:v>437.44</s:v>
      </s:c>
      <s:c r="AM98" s="230" t="n">
        <s:v>2.006</s:v>
      </s:c>
      <s:c r="AN98" s="223" t="inlineStr">
        <s:is>
          <s:t>7,24,950</s:t>
        </s:is>
      </s:c>
      <s:c r="AO98" s="224" t="inlineStr">
        <s:is>
          <s:t>7,</s:t>
        </s:is>
      </s:c>
      <s:c r="AP98" s="224" t="inlineStr">
        <s:is>
          <s:t>24,950</s:t>
        </s:is>
      </s:c>
      <s:c r="AQ98" s="224" t="n">
        <s:v>0.1235972222222222</s:v>
      </s:c>
      <s:c r="AR98" s="225" t="n">
        <s:v>16.23013821777728</s:v>
      </s:c>
      <s:c r="AS98" s="229" t="n">
        <s:v>-1.296111665004068</s:v>
      </s:c>
      <s:c r="AT98" s="231" t="inlineStr">
        <s:is>
          <s:t>CONFORME</s:t>
        </s:is>
      </s:c>
      <s:c r="AU98" s="232">
        <s:f>B98=C98</s:f>
        <s:v/>
      </s:c>
      <s:c r="AV98" s="233">
        <s:f>MID(G98,1,2)</s:f>
        <s:v/>
      </s:c>
      <s:c r="AW98" s="233">
        <s:f>LEN(G98)</s:f>
        <s:v/>
      </s:c>
      <s:c r="AX98" s="233" t="inlineStr">
        <s:is>
          <s:t>OI-0922-2025</s:t>
        </s:is>
      </s:c>
      <s:c r="AY98" s="233">
        <s:f>N98&lt;Y98</s:f>
        <s:v/>
      </s:c>
      <s:c r="AZ98" s="233">
        <s:f>Z98&lt;=AK98</s:f>
        <s:v/>
      </s:c>
      <s:c r="BA98" s="233">
        <s:f>L98&lt;K98</s:f>
        <s:v/>
      </s:c>
      <s:c r="BB98" s="233">
        <s:f>W98&gt;=X98</s:f>
        <s:v/>
      </s:c>
      <s:c r="BC98" s="233">
        <s:f>AI98&gt;=AJ98</s:f>
        <s:v/>
      </s:c>
      <s:c r="BD98" s="233">
        <s:f>IF(I98&gt;=1,"Qcorrecto",IF(AND(BE98="aceptable",BF98="aceptable",BG98="aceptable"),"Qcorrecto","Qincorrecto"))</s:f>
        <s:v/>
      </s:c>
      <s:c r="BE98" s="232">
        <s:f>IF(AR98&lt;$AH$6,"error",IF(AR98&gt;$AH$6*1.1,"error","aceptable"))</s:f>
        <s:v/>
      </s:c>
      <s:c r="BF98" s="232">
        <s:f>IF(AF98&lt;$V$6,"error",IF(AF98&gt;$V$6*1.1,"error","aceptable"))</s:f>
        <s:v/>
      </s:c>
      <s:c r="BG98" s="232">
        <s:f>IF(T98&lt;$J$6*0.9,"error",IF(T98&gt;$J$6,"error","aceptable"))</s:f>
        <s:v/>
      </s:c>
      <s:c r="BH98" s="234">
        <s:f>(IF(ABS(U98)&lt;1,"CONFORME",IF(ABS(AG98)&lt;1,"CONFORME",IF(ABS(AS98)&lt;2.5,"CONFORME","NO CONFORME"))))</s:f>
        <s:v/>
      </s:c>
      <s:c r="BI98" s="235">
        <s:f>(IF(ABS(U98)&gt;2.044,"NO CONFORME",IF(ABS(AG98)&gt;2.044,"NO CONFORME",IF(ABS(AS98)&gt;5.044,"NO CONFORME","CONFORME"))))</s:f>
        <s:v/>
      </s:c>
      <s:c r="BJ98" s="233">
        <s:f>SIGN(U98)</s:f>
        <s:v/>
      </s:c>
      <s:c r="BK98" s="233">
        <s:f>SIGN(AG98)</s:f>
        <s:v/>
      </s:c>
      <s:c r="BL98" s="233">
        <s:f>SIGN(AS98)</s:f>
        <s:v/>
      </s:c>
      <s:c r="BM98" s="233">
        <s:f>CONCATENATE(BJ98,BK98,BL98)</s:f>
        <s:v/>
      </s:c>
      <s:c r="BN98" s="233">
        <s:f>IF(BM98="111","SI","SD")</s:f>
        <s:v/>
      </s:c>
      <s:c r="BO98" s="233">
        <s:f>IF(BM98="-1-1-1","SI","SD")</s:f>
        <s:v/>
      </s:c>
      <s:c r="BP98" s="233">
        <s:f>OR(BN98="SI",BO98="SI")</s:f>
        <s:v/>
      </s:c>
      <s:c r="BQ98" s="233">
        <s:f>IF(BP98=FALSE,"SIGDIFERENTES","SIGIGUALES")</s:f>
        <s:v/>
      </s:c>
      <s:c r="BR98" s="236">
        <s:f>IF(BI98="NO CONFORME","NO CONFORME",IF(BH98="CONFORME","CONFORME","NO CONFORME"))</s:f>
        <s:v/>
      </s:c>
      <s:c r="BS98" s="233">
        <s:f>F98</s:f>
        <s:v/>
      </s:c>
      <s:c r="BT98" s="237">
        <s:f>G98</s:f>
        <s:v/>
      </s:c>
      <s:c r="BU98" s="233">
        <s:f>"20"&amp;+MID(G98,3,2)</s:f>
        <s:v/>
      </s:c>
      <s:c r="BV98" s="238">
        <s:f>C98</s:f>
        <s:v/>
      </s:c>
      <s:c r="BW98" s="233">
        <s:f>AT98</s:f>
        <s:v/>
      </s:c>
      <s:c r="BX98" s="238">
        <s:f>B98</s:f>
        <s:v/>
      </s:c>
      <s:c r="BY98" s="239">
        <s:f>H98</s:f>
        <s:v/>
      </s:c>
      <s:c r="BZ98" s="233">
        <s:f>IF(I98=0,"CONFORME","NO CONFORME")</s:f>
        <s:v/>
      </s:c>
      <s:c r="CA98" s="238">
        <s:f>C98</s:f>
        <s:v/>
      </s:c>
      <s:c r="CB98" s="240">
        <s:f>AH98</s:f>
        <s:v/>
      </s:c>
      <s:c r="CC98" s="241">
        <s:f>AR98</s:f>
        <s:v/>
      </s:c>
      <s:c r="CD98" s="240">
        <s:f>AI98</s:f>
        <s:v/>
      </s:c>
      <s:c r="CE98" s="240">
        <s:f>AJ98</s:f>
        <s:v/>
      </s:c>
      <s:c r="CF98" s="240">
        <s:f>AS98</s:f>
        <s:v/>
      </s:c>
      <s:c r="CG98" s="240">
        <s:f>V98</s:f>
        <s:v/>
      </s:c>
      <s:c r="CH98" s="241">
        <s:f>AF98</s:f>
        <s:v/>
      </s:c>
      <s:c r="CI98" s="240">
        <s:f>W98</s:f>
        <s:v/>
      </s:c>
      <s:c r="CJ98" s="240">
        <s:f>X98</s:f>
        <s:v/>
      </s:c>
      <s:c r="CK98" s="240">
        <s:f>AG98</s:f>
        <s:v/>
      </s:c>
      <s:c r="CL98" s="240">
        <s:f>J98</s:f>
        <s:v/>
      </s:c>
      <s:c r="CM98" s="241">
        <s:f>T98</s:f>
        <s:v/>
      </s:c>
      <s:c r="CN98" s="240">
        <s:f>K98</s:f>
        <s:v/>
      </s:c>
      <s:c r="CO98" s="240">
        <s:f>L98</s:f>
        <s:v/>
      </s:c>
      <s:c r="CP98" s="242">
        <s:f>U98</s:f>
        <s:v/>
      </s:c>
      <s:c r="CQ98" s="233">
        <s:f>AT98</s:f>
        <s:v/>
      </s:c>
    </s:row>
    <s:row r="99">
      <s:c r="A99" s="211" t="n">
        <s:v>82</s:v>
      </s:c>
      <s:c r="B99" s="212" t="n">
        <s:v>45901</s:v>
      </s:c>
      <s:c r="C99" s="213" t="n">
        <s:v>45901</s:v>
      </s:c>
      <s:c r="D99" s="214" t="n">
        <s:v>3</s:v>
      </s:c>
      <s:c r="E99" s="215" t="n">
        <s:v>13</s:v>
      </s:c>
      <s:c r="F99" s="216" t="inlineStr">
        <s:is>
          <s:t>VI-236574-2025</s:t>
        </s:is>
      </s:c>
      <s:c r="G99" s="217" t="inlineStr">
        <s:is>
          <s:t>QA25417797</s:t>
        </s:is>
      </s:c>
      <s:c r="H99" s="218" t="n">
        <s:v>16</s:v>
      </s:c>
      <s:c r="I99" s="219" t="n">
        <s:v>0</s:v>
      </s:c>
      <s:c r="J99" s="220" t="n">
        <s:v>18.8</s:v>
      </s:c>
      <s:c r="K99" s="221" t="n">
        <s:v>7.51</s:v>
      </s:c>
      <s:c r="L99" s="221" t="n">
        <s:v>1.223</s:v>
      </s:c>
      <s:c r="M99" s="222" t="n">
        <s:v>389</s:v>
      </s:c>
      <s:c r="N99" s="222" t="n">
        <s:v>487.89</s:v>
      </s:c>
      <s:c r="O99" s="222" t="n">
        <s:v>100.42</s:v>
      </s:c>
      <s:c r="P99" s="223" t="inlineStr">
        <s:is>
          <s:t>2,30,560</s:t>
        </s:is>
      </s:c>
      <s:c r="Q99" s="224" t="inlineStr">
        <s:is>
          <s:t>2</s:t>
        </s:is>
      </s:c>
      <s:c r="R99" s="224" t="inlineStr">
        <s:is>
          <s:t>30,560</s:t>
        </s:is>
      </s:c>
      <s:c r="S99" s="224" t="n">
        <s:v>0.04182222222222223</s:v>
      </s:c>
      <s:c r="T99" s="225" t="n">
        <s:v>2401.115834218916</s:v>
      </s:c>
      <s:c r="U99" s="226" t="n">
        <s:v>-1.523600876319473</s:v>
      </s:c>
      <s:c r="V99" s="220" t="n">
        <s:v>18.8</s:v>
      </s:c>
      <s:c r="W99" s="221" t="n">
        <s:v>1.094</s:v>
      </s:c>
      <s:c r="X99" s="221" t="n">
        <s:v>1.082</s:v>
      </s:c>
      <s:c r="Y99" s="222" t="n">
        <s:v>501.29</s:v>
      </s:c>
      <s:c r="Z99" s="222" t="n">
        <s:v>506.33</s:v>
      </s:c>
      <s:c r="AA99" s="227" t="n">
        <s:v>5.028</s:v>
      </s:c>
      <s:c r="AB99" s="228" t="inlineStr">
        <s:is>
          <s:t>11,33,420</s:t>
        </s:is>
      </s:c>
      <s:c r="AC99" s="224" t="inlineStr">
        <s:is>
          <s:t>11</s:t>
        </s:is>
      </s:c>
      <s:c r="AD99" s="224" t="inlineStr">
        <s:is>
          <s:t>33,420</s:t>
        </s:is>
      </s:c>
      <s:c r="AE99" s="224" t="n">
        <s:v>0.1926166666666667</s:v>
      </s:c>
      <s:c r="AF99" s="225" t="n">
        <s:v>26.10366011940815</s:v>
      </s:c>
      <s:c r="AG99" s="229" t="n">
        <s:v>0.2386634844861583</s:v>
      </s:c>
      <s:c r="AH99" s="220" t="n">
        <s:v>18.9</s:v>
      </s:c>
      <s:c r="AI99" s="221" t="n">
        <s:v>1.094</s:v>
      </s:c>
      <s:c r="AJ99" s="221" t="n">
        <s:v>1.082</s:v>
      </s:c>
      <s:c r="AK99" s="222" t="n">
        <s:v>506.33</s:v>
      </s:c>
      <s:c r="AL99" s="222" t="n">
        <s:v>508.33</s:v>
      </s:c>
      <s:c r="AM99" s="230" t="n">
        <s:v>2.006</s:v>
      </s:c>
      <s:c r="AN99" s="223" t="inlineStr">
        <s:is>
          <s:t>7,24,950</s:t>
        </s:is>
      </s:c>
      <s:c r="AO99" s="224" t="inlineStr">
        <s:is>
          <s:t>7,</s:t>
        </s:is>
      </s:c>
      <s:c r="AP99" s="224" t="inlineStr">
        <s:is>
          <s:t>24,950</s:t>
        </s:is>
      </s:c>
      <s:c r="AQ99" s="224" t="n">
        <s:v>0.1235972222222222</s:v>
      </s:c>
      <s:c r="AR99" s="225" t="n">
        <s:v>16.23013821777728</s:v>
      </s:c>
      <s:c r="AS99" s="229" t="n">
        <s:v>-0.2991026919242165</s:v>
      </s:c>
      <s:c r="AT99" s="231" t="inlineStr">
        <s:is>
          <s:t>CONFORME</s:t>
        </s:is>
      </s:c>
      <s:c r="AU99" s="232">
        <s:f>B99=C99</s:f>
        <s:v/>
      </s:c>
      <s:c r="AV99" s="233">
        <s:f>MID(G99,1,2)</s:f>
        <s:v/>
      </s:c>
      <s:c r="AW99" s="233">
        <s:f>LEN(G99)</s:f>
        <s:v/>
      </s:c>
      <s:c r="AX99" s="233" t="inlineStr">
        <s:is>
          <s:t>OI-0922-2025</s:t>
        </s:is>
      </s:c>
      <s:c r="AY99" s="233">
        <s:f>N99&lt;Y99</s:f>
        <s:v/>
      </s:c>
      <s:c r="AZ99" s="233">
        <s:f>Z99&lt;=AK99</s:f>
        <s:v/>
      </s:c>
      <s:c r="BA99" s="233">
        <s:f>L99&lt;K99</s:f>
        <s:v/>
      </s:c>
      <s:c r="BB99" s="233">
        <s:f>W99&gt;=X99</s:f>
        <s:v/>
      </s:c>
      <s:c r="BC99" s="233">
        <s:f>AI99&gt;=AJ99</s:f>
        <s:v/>
      </s:c>
      <s:c r="BD99" s="233">
        <s:f>IF(I99&gt;=1,"Qcorrecto",IF(AND(BE99="aceptable",BF99="aceptable",BG99="aceptable"),"Qcorrecto","Qincorrecto"))</s:f>
        <s:v/>
      </s:c>
      <s:c r="BE99" s="232">
        <s:f>IF(AR99&lt;$AH$6,"error",IF(AR99&gt;$AH$6*1.1,"error","aceptable"))</s:f>
        <s:v/>
      </s:c>
      <s:c r="BF99" s="232">
        <s:f>IF(AF99&lt;$V$6,"error",IF(AF99&gt;$V$6*1.1,"error","aceptable"))</s:f>
        <s:v/>
      </s:c>
      <s:c r="BG99" s="232">
        <s:f>IF(T99&lt;$J$6*0.9,"error",IF(T99&gt;$J$6,"error","aceptable"))</s:f>
        <s:v/>
      </s:c>
      <s:c r="BH99" s="234">
        <s:f>(IF(ABS(U99)&lt;1,"CONFORME",IF(ABS(AG99)&lt;1,"CONFORME",IF(ABS(AS99)&lt;2.5,"CONFORME","NO CONFORME"))))</s:f>
        <s:v/>
      </s:c>
      <s:c r="BI99" s="235">
        <s:f>(IF(ABS(U99)&gt;2.044,"NO CONFORME",IF(ABS(AG99)&gt;2.044,"NO CONFORME",IF(ABS(AS99)&gt;5.044,"NO CONFORME","CONFORME"))))</s:f>
        <s:v/>
      </s:c>
      <s:c r="BJ99" s="233">
        <s:f>SIGN(U99)</s:f>
        <s:v/>
      </s:c>
      <s:c r="BK99" s="233">
        <s:f>SIGN(AG99)</s:f>
        <s:v/>
      </s:c>
      <s:c r="BL99" s="233">
        <s:f>SIGN(AS99)</s:f>
        <s:v/>
      </s:c>
      <s:c r="BM99" s="233">
        <s:f>CONCATENATE(BJ99,BK99,BL99)</s:f>
        <s:v/>
      </s:c>
      <s:c r="BN99" s="233">
        <s:f>IF(BM99="111","SI","SD")</s:f>
        <s:v/>
      </s:c>
      <s:c r="BO99" s="233">
        <s:f>IF(BM99="-1-1-1","SI","SD")</s:f>
        <s:v/>
      </s:c>
      <s:c r="BP99" s="233">
        <s:f>OR(BN99="SI",BO99="SI")</s:f>
        <s:v/>
      </s:c>
      <s:c r="BQ99" s="233">
        <s:f>IF(BP99=FALSE,"SIGDIFERENTES","SIGIGUALES")</s:f>
        <s:v/>
      </s:c>
      <s:c r="BR99" s="236">
        <s:f>IF(BI99="NO CONFORME","NO CONFORME",IF(BH99="CONFORME","CONFORME","NO CONFORME"))</s:f>
        <s:v/>
      </s:c>
      <s:c r="BS99" s="233">
        <s:f>F99</s:f>
        <s:v/>
      </s:c>
      <s:c r="BT99" s="237">
        <s:f>G99</s:f>
        <s:v/>
      </s:c>
      <s:c r="BU99" s="233">
        <s:f>"20"&amp;+MID(G99,3,2)</s:f>
        <s:v/>
      </s:c>
      <s:c r="BV99" s="238">
        <s:f>C99</s:f>
        <s:v/>
      </s:c>
      <s:c r="BW99" s="233">
        <s:f>AT99</s:f>
        <s:v/>
      </s:c>
      <s:c r="BX99" s="238">
        <s:f>B99</s:f>
        <s:v/>
      </s:c>
      <s:c r="BY99" s="239">
        <s:f>H99</s:f>
        <s:v/>
      </s:c>
      <s:c r="BZ99" s="233">
        <s:f>IF(I99=0,"CONFORME","NO CONFORME")</s:f>
        <s:v/>
      </s:c>
      <s:c r="CA99" s="238">
        <s:f>C99</s:f>
        <s:v/>
      </s:c>
      <s:c r="CB99" s="240">
        <s:f>AH99</s:f>
        <s:v/>
      </s:c>
      <s:c r="CC99" s="241">
        <s:f>AR99</s:f>
        <s:v/>
      </s:c>
      <s:c r="CD99" s="240">
        <s:f>AI99</s:f>
        <s:v/>
      </s:c>
      <s:c r="CE99" s="240">
        <s:f>AJ99</s:f>
        <s:v/>
      </s:c>
      <s:c r="CF99" s="240">
        <s:f>AS99</s:f>
        <s:v/>
      </s:c>
      <s:c r="CG99" s="240">
        <s:f>V99</s:f>
        <s:v/>
      </s:c>
      <s:c r="CH99" s="241">
        <s:f>AF99</s:f>
        <s:v/>
      </s:c>
      <s:c r="CI99" s="240">
        <s:f>W99</s:f>
        <s:v/>
      </s:c>
      <s:c r="CJ99" s="240">
        <s:f>X99</s:f>
        <s:v/>
      </s:c>
      <s:c r="CK99" s="240">
        <s:f>AG99</s:f>
        <s:v/>
      </s:c>
      <s:c r="CL99" s="240">
        <s:f>J99</s:f>
        <s:v/>
      </s:c>
      <s:c r="CM99" s="241">
        <s:f>T99</s:f>
        <s:v/>
      </s:c>
      <s:c r="CN99" s="240">
        <s:f>K99</s:f>
        <s:v/>
      </s:c>
      <s:c r="CO99" s="240">
        <s:f>L99</s:f>
        <s:v/>
      </s:c>
      <s:c r="CP99" s="242">
        <s:f>U99</s:f>
        <s:v/>
      </s:c>
      <s:c r="CQ99" s="233">
        <s:f>AT99</s:f>
        <s:v/>
      </s:c>
    </s:row>
    <s:row r="100">
      <s:c r="A100" s="211" t="n">
        <s:v>83</s:v>
      </s:c>
      <s:c r="B100" s="212" t="n">
        <s:v>45901</s:v>
      </s:c>
      <s:c r="C100" s="213" t="n">
        <s:v>45901</s:v>
      </s:c>
      <s:c r="D100" s="214" t="n">
        <s:v>3</s:v>
      </s:c>
      <s:c r="E100" s="215" t="n">
        <s:v>13</s:v>
      </s:c>
      <s:c r="F100" s="216" t="inlineStr">
        <s:is>
          <s:t>VI-236575-2025</s:t>
        </s:is>
      </s:c>
      <s:c r="G100" s="217" t="inlineStr">
        <s:is>
          <s:t>QA25417777</s:t>
        </s:is>
      </s:c>
      <s:c r="H100" s="218" t="n">
        <s:v>16</s:v>
      </s:c>
      <s:c r="I100" s="219" t="n">
        <s:v>0</s:v>
      </s:c>
      <s:c r="J100" s="220" t="n">
        <s:v>18.8</s:v>
      </s:c>
      <s:c r="K100" s="221" t="n">
        <s:v>7.51</s:v>
      </s:c>
      <s:c r="L100" s="221" t="n">
        <s:v>1.223</s:v>
      </s:c>
      <s:c r="M100" s="222" t="n">
        <s:v>337.36</s:v>
      </s:c>
      <s:c r="N100" s="222" t="n">
        <s:v>437.98</s:v>
      </s:c>
      <s:c r="O100" s="222" t="n">
        <s:v>100.42</s:v>
      </s:c>
      <s:c r="P100" s="223" t="inlineStr">
        <s:is>
          <s:t>2,30,560</s:t>
        </s:is>
      </s:c>
      <s:c r="Q100" s="224" t="inlineStr">
        <s:is>
          <s:t>2</s:t>
        </s:is>
      </s:c>
      <s:c r="R100" s="224" t="inlineStr">
        <s:is>
          <s:t>30,560</s:t>
        </s:is>
      </s:c>
      <s:c r="S100" s="224" t="n">
        <s:v>0.04182222222222223</s:v>
      </s:c>
      <s:c r="T100" s="225" t="n">
        <s:v>2401.115834218916</s:v>
      </s:c>
      <s:c r="U100" s="226" t="n">
        <s:v>0.1991635132443764</s:v>
      </s:c>
      <s:c r="V100" s="220" t="n">
        <s:v>18.8</s:v>
      </s:c>
      <s:c r="W100" s="221" t="n">
        <s:v>1.094</s:v>
      </s:c>
      <s:c r="X100" s="221" t="n">
        <s:v>1.082</s:v>
      </s:c>
      <s:c r="Y100" s="222" t="n">
        <s:v>451.65</s:v>
      </s:c>
      <s:c r="Z100" s="222" t="n">
        <s:v>456.76</s:v>
      </s:c>
      <s:c r="AA100" s="227" t="n">
        <s:v>5.028</s:v>
      </s:c>
      <s:c r="AB100" s="228" t="inlineStr">
        <s:is>
          <s:t>11,33,420</s:t>
        </s:is>
      </s:c>
      <s:c r="AC100" s="224" t="inlineStr">
        <s:is>
          <s:t>11</s:t>
        </s:is>
      </s:c>
      <s:c r="AD100" s="224" t="inlineStr">
        <s:is>
          <s:t>33,420</s:t>
        </s:is>
      </s:c>
      <s:c r="AE100" s="224" t="n">
        <s:v>0.1926166666666667</s:v>
      </s:c>
      <s:c r="AF100" s="225" t="n">
        <s:v>26.10366011940815</s:v>
      </s:c>
      <s:c r="AG100" s="229" t="n">
        <s:v>1.630867143993916</s:v>
      </s:c>
      <s:c r="AH100" s="220" t="n">
        <s:v>18.9</s:v>
      </s:c>
      <s:c r="AI100" s="221" t="n">
        <s:v>1.094</s:v>
      </s:c>
      <s:c r="AJ100" s="221" t="n">
        <s:v>1.082</s:v>
      </s:c>
      <s:c r="AK100" s="222" t="n">
        <s:v>456.76</s:v>
      </s:c>
      <s:c r="AL100" s="222" t="n">
        <s:v>458.76</s:v>
      </s:c>
      <s:c r="AM100" s="230" t="n">
        <s:v>2.006</s:v>
      </s:c>
      <s:c r="AN100" s="223" t="inlineStr">
        <s:is>
          <s:t>7,24,950</s:t>
        </s:is>
      </s:c>
      <s:c r="AO100" s="224" t="inlineStr">
        <s:is>
          <s:t>7,</s:t>
        </s:is>
      </s:c>
      <s:c r="AP100" s="224" t="inlineStr">
        <s:is>
          <s:t>24,950</s:t>
        </s:is>
      </s:c>
      <s:c r="AQ100" s="224" t="n">
        <s:v>0.1235972222222222</s:v>
      </s:c>
      <s:c r="AR100" s="225" t="n">
        <s:v>16.23013821777728</s:v>
      </s:c>
      <s:c r="AS100" s="229" t="n">
        <s:v>-0.2991026919242165</s:v>
      </s:c>
      <s:c r="AT100" s="231" t="inlineStr">
        <s:is>
          <s:t>CONFORME</s:t>
        </s:is>
      </s:c>
      <s:c r="AU100" s="232">
        <s:f>B100=C100</s:f>
        <s:v/>
      </s:c>
      <s:c r="AV100" s="233">
        <s:f>MID(G100,1,2)</s:f>
        <s:v/>
      </s:c>
      <s:c r="AW100" s="233">
        <s:f>LEN(G100)</s:f>
        <s:v/>
      </s:c>
      <s:c r="AX100" s="233" t="inlineStr">
        <s:is>
          <s:t>OI-0922-2025</s:t>
        </s:is>
      </s:c>
      <s:c r="AY100" s="233">
        <s:f>N100&lt;Y100</s:f>
        <s:v/>
      </s:c>
      <s:c r="AZ100" s="233">
        <s:f>Z100&lt;=AK100</s:f>
        <s:v/>
      </s:c>
      <s:c r="BA100" s="233">
        <s:f>L100&lt;K100</s:f>
        <s:v/>
      </s:c>
      <s:c r="BB100" s="233">
        <s:f>W100&gt;=X100</s:f>
        <s:v/>
      </s:c>
      <s:c r="BC100" s="233">
        <s:f>AI100&gt;=AJ100</s:f>
        <s:v/>
      </s:c>
      <s:c r="BD100" s="233">
        <s:f>IF(I100&gt;=1,"Qcorrecto",IF(AND(BE100="aceptable",BF100="aceptable",BG100="aceptable"),"Qcorrecto","Qincorrecto"))</s:f>
        <s:v/>
      </s:c>
      <s:c r="BE100" s="232">
        <s:f>IF(AR100&lt;$AH$6,"error",IF(AR100&gt;$AH$6*1.1,"error","aceptable"))</s:f>
        <s:v/>
      </s:c>
      <s:c r="BF100" s="232">
        <s:f>IF(AF100&lt;$V$6,"error",IF(AF100&gt;$V$6*1.1,"error","aceptable"))</s:f>
        <s:v/>
      </s:c>
      <s:c r="BG100" s="232">
        <s:f>IF(T100&lt;$J$6*0.9,"error",IF(T100&gt;$J$6,"error","aceptable"))</s:f>
        <s:v/>
      </s:c>
      <s:c r="BH100" s="234">
        <s:f>(IF(ABS(U100)&lt;1,"CONFORME",IF(ABS(AG100)&lt;1,"CONFORME",IF(ABS(AS100)&lt;2.5,"CONFORME","NO CONFORME"))))</s:f>
        <s:v/>
      </s:c>
      <s:c r="BI100" s="235">
        <s:f>(IF(ABS(U100)&gt;2.044,"NO CONFORME",IF(ABS(AG100)&gt;2.044,"NO CONFORME",IF(ABS(AS100)&gt;5.044,"NO CONFORME","CONFORME"))))</s:f>
        <s:v/>
      </s:c>
      <s:c r="BJ100" s="233">
        <s:f>SIGN(U100)</s:f>
        <s:v/>
      </s:c>
      <s:c r="BK100" s="233">
        <s:f>SIGN(AG100)</s:f>
        <s:v/>
      </s:c>
      <s:c r="BL100" s="233">
        <s:f>SIGN(AS100)</s:f>
        <s:v/>
      </s:c>
      <s:c r="BM100" s="233">
        <s:f>CONCATENATE(BJ100,BK100,BL100)</s:f>
        <s:v/>
      </s:c>
      <s:c r="BN100" s="233">
        <s:f>IF(BM100="111","SI","SD")</s:f>
        <s:v/>
      </s:c>
      <s:c r="BO100" s="233">
        <s:f>IF(BM100="-1-1-1","SI","SD")</s:f>
        <s:v/>
      </s:c>
      <s:c r="BP100" s="233">
        <s:f>OR(BN100="SI",BO100="SI")</s:f>
        <s:v/>
      </s:c>
      <s:c r="BQ100" s="233">
        <s:f>IF(BP100=FALSE,"SIGDIFERENTES","SIGIGUALES")</s:f>
        <s:v/>
      </s:c>
      <s:c r="BR100" s="236">
        <s:f>IF(BI100="NO CONFORME","NO CONFORME",IF(BH100="CONFORME","CONFORME","NO CONFORME"))</s:f>
        <s:v/>
      </s:c>
      <s:c r="BS100" s="233">
        <s:f>F100</s:f>
        <s:v/>
      </s:c>
      <s:c r="BT100" s="237">
        <s:f>G100</s:f>
        <s:v/>
      </s:c>
      <s:c r="BU100" s="233">
        <s:f>"20"&amp;+MID(G100,3,2)</s:f>
        <s:v/>
      </s:c>
      <s:c r="BV100" s="238">
        <s:f>C100</s:f>
        <s:v/>
      </s:c>
      <s:c r="BW100" s="233">
        <s:f>AT100</s:f>
        <s:v/>
      </s:c>
      <s:c r="BX100" s="238">
        <s:f>B100</s:f>
        <s:v/>
      </s:c>
      <s:c r="BY100" s="239">
        <s:f>H100</s:f>
        <s:v/>
      </s:c>
      <s:c r="BZ100" s="233">
        <s:f>IF(I100=0,"CONFORME","NO CONFORME")</s:f>
        <s:v/>
      </s:c>
      <s:c r="CA100" s="238">
        <s:f>C100</s:f>
        <s:v/>
      </s:c>
      <s:c r="CB100" s="240">
        <s:f>AH100</s:f>
        <s:v/>
      </s:c>
      <s:c r="CC100" s="241">
        <s:f>AR100</s:f>
        <s:v/>
      </s:c>
      <s:c r="CD100" s="240">
        <s:f>AI100</s:f>
        <s:v/>
      </s:c>
      <s:c r="CE100" s="240">
        <s:f>AJ100</s:f>
        <s:v/>
      </s:c>
      <s:c r="CF100" s="240">
        <s:f>AS100</s:f>
        <s:v/>
      </s:c>
      <s:c r="CG100" s="240">
        <s:f>V100</s:f>
        <s:v/>
      </s:c>
      <s:c r="CH100" s="241">
        <s:f>AF100</s:f>
        <s:v/>
      </s:c>
      <s:c r="CI100" s="240">
        <s:f>W100</s:f>
        <s:v/>
      </s:c>
      <s:c r="CJ100" s="240">
        <s:f>X100</s:f>
        <s:v/>
      </s:c>
      <s:c r="CK100" s="240">
        <s:f>AG100</s:f>
        <s:v/>
      </s:c>
      <s:c r="CL100" s="240">
        <s:f>J100</s:f>
        <s:v/>
      </s:c>
      <s:c r="CM100" s="241">
        <s:f>T100</s:f>
        <s:v/>
      </s:c>
      <s:c r="CN100" s="240">
        <s:f>K100</s:f>
        <s:v/>
      </s:c>
      <s:c r="CO100" s="240">
        <s:f>L100</s:f>
        <s:v/>
      </s:c>
      <s:c r="CP100" s="242">
        <s:f>U100</s:f>
        <s:v/>
      </s:c>
      <s:c r="CQ100" s="233">
        <s:f>AT100</s:f>
        <s:v/>
      </s:c>
    </s:row>
    <s:row r="101">
      <s:c r="A101" s="211" t="n">
        <s:v>1</s:v>
      </s:c>
      <s:c r="B101" s="212" t="n">
        <s:v>45901</s:v>
      </s:c>
      <s:c r="C101" s="213" t="n">
        <s:v>45901</s:v>
      </s:c>
      <s:c r="D101" s="214" t="n">
        <s:v>3</s:v>
      </s:c>
      <s:c r="E101" s="215" t="n">
        <s:v>13</s:v>
      </s:c>
      <s:c r="F101" s="216" t="inlineStr">
        <s:is>
          <s:t>VI-236576-2025</s:t>
        </s:is>
      </s:c>
      <s:c r="G101" s="217" t="inlineStr">
        <s:is>
          <s:t>QA25418459</s:t>
        </s:is>
      </s:c>
      <s:c r="H101" s="218" t="n">
        <s:v>16</s:v>
      </s:c>
      <s:c r="I101" s="219" t="n">
        <s:v>0</s:v>
      </s:c>
      <s:c r="J101" s="220" t="n">
        <s:v>18.8</s:v>
      </s:c>
      <s:c r="K101" s="221" t="n">
        <s:v>7.51</s:v>
      </s:c>
      <s:c r="L101" s="221" t="n">
        <s:v>1.223</s:v>
      </s:c>
      <s:c r="M101" s="222" t="n">
        <s:v>378.81</s:v>
      </s:c>
      <s:c r="N101" s="222" t="n">
        <s:v>478.07</s:v>
      </s:c>
      <s:c r="O101" s="222" t="n">
        <s:v>100.42</s:v>
      </s:c>
      <s:c r="P101" s="223" t="inlineStr">
        <s:is>
          <s:t>2,30,560</s:t>
        </s:is>
      </s:c>
      <s:c r="Q101" s="224" t="inlineStr">
        <s:is>
          <s:t>2</s:t>
        </s:is>
      </s:c>
      <s:c r="R101" s="224" t="inlineStr">
        <s:is>
          <s:t>30,560</s:t>
        </s:is>
      </s:c>
      <s:c r="S101" s="224" t="n">
        <s:v>0.04182222222222223</s:v>
      </s:c>
      <s:c r="T101" s="225" t="n">
        <s:v>2401.115834218916</s:v>
      </s:c>
      <s:c r="U101" s="226" t="n">
        <s:v>-1.155148376817378</s:v>
      </s:c>
      <s:c r="V101" s="220" t="n">
        <s:v>18.8</s:v>
      </s:c>
      <s:c r="W101" s="221" t="n">
        <s:v>1.094</s:v>
      </s:c>
      <s:c r="X101" s="221" t="n">
        <s:v>1.082</s:v>
      </s:c>
      <s:c r="Y101" s="222" t="n">
        <s:v>491.49</s:v>
      </s:c>
      <s:c r="Z101" s="222" t="n">
        <s:v>496.6</s:v>
      </s:c>
      <s:c r="AA101" s="227" t="n">
        <s:v>5.028</s:v>
      </s:c>
      <s:c r="AB101" s="228" t="inlineStr">
        <s:is>
          <s:t>11,33,420</s:t>
        </s:is>
      </s:c>
      <s:c r="AC101" s="224" t="inlineStr">
        <s:is>
          <s:t>11</s:t>
        </s:is>
      </s:c>
      <s:c r="AD101" s="224" t="inlineStr">
        <s:is>
          <s:t>33,420</s:t>
        </s:is>
      </s:c>
      <s:c r="AE101" s="224" t="n">
        <s:v>0.1926166666666667</s:v>
      </s:c>
      <s:c r="AF101" s="225" t="n">
        <s:v>26.10366011940815</s:v>
      </s:c>
      <s:c r="AG101" s="229" t="n">
        <s:v>1.630867143993916</s:v>
      </s:c>
      <s:c r="AH101" s="220" t="n">
        <s:v>18.9</s:v>
      </s:c>
      <s:c r="AI101" s="221" t="n">
        <s:v>1.094</s:v>
      </s:c>
      <s:c r="AJ101" s="221" t="n">
        <s:v>1.082</s:v>
      </s:c>
      <s:c r="AK101" s="222" t="n">
        <s:v>496.6</s:v>
      </s:c>
      <s:c r="AL101" s="222" t="n">
        <s:v>498.62</s:v>
      </s:c>
      <s:c r="AM101" s="230" t="n">
        <s:v>2.006</s:v>
      </s:c>
      <s:c r="AN101" s="223" t="inlineStr">
        <s:is>
          <s:t>7,24,950</s:t>
        </s:is>
      </s:c>
      <s:c r="AO101" s="224" t="inlineStr">
        <s:is>
          <s:t>7,</s:t>
        </s:is>
      </s:c>
      <s:c r="AP101" s="224" t="inlineStr">
        <s:is>
          <s:t>24,950</s:t>
        </s:is>
      </s:c>
      <s:c r="AQ101" s="224" t="n">
        <s:v>0.1235972222222222</s:v>
      </s:c>
      <s:c r="AR101" s="225" t="n">
        <s:v>16.23013821777728</s:v>
      </s:c>
      <s:c r="AS101" s="229" t="n">
        <s:v>0.6979062811556345</s:v>
      </s:c>
      <s:c r="AT101" s="231" t="inlineStr">
        <s:is>
          <s:t>CONFORME</s:t>
        </s:is>
      </s:c>
      <s:c r="AU101" s="232">
        <s:f>B101=C101</s:f>
        <s:v/>
      </s:c>
      <s:c r="AV101" s="233">
        <s:f>MID(G101,1,2)</s:f>
        <s:v/>
      </s:c>
      <s:c r="AW101" s="233">
        <s:f>LEN(G101)</s:f>
        <s:v/>
      </s:c>
      <s:c r="AX101" s="233" t="inlineStr">
        <s:is>
          <s:t>OI-0923-2025</s:t>
        </s:is>
      </s:c>
      <s:c r="AY101" s="233">
        <s:f>N101&lt;Y101</s:f>
        <s:v/>
      </s:c>
      <s:c r="AZ101" s="233">
        <s:f>Z101&lt;=AK101</s:f>
        <s:v/>
      </s:c>
      <s:c r="BA101" s="233">
        <s:f>L101&lt;K101</s:f>
        <s:v/>
      </s:c>
      <s:c r="BB101" s="233">
        <s:f>W101&gt;=X101</s:f>
        <s:v/>
      </s:c>
      <s:c r="BC101" s="233">
        <s:f>AI101&gt;=AJ101</s:f>
        <s:v/>
      </s:c>
      <s:c r="BD101" s="233">
        <s:f>IF(I101&gt;=1,"Qcorrecto",IF(AND(BE101="aceptable",BF101="aceptable",BG101="aceptable"),"Qcorrecto","Qincorrecto"))</s:f>
        <s:v/>
      </s:c>
      <s:c r="BE101" s="232">
        <s:f>IF(AR101&lt;$AH$6,"error",IF(AR101&gt;$AH$6*1.1,"error","aceptable"))</s:f>
        <s:v/>
      </s:c>
      <s:c r="BF101" s="232">
        <s:f>IF(AF101&lt;$V$6,"error",IF(AF101&gt;$V$6*1.1,"error","aceptable"))</s:f>
        <s:v/>
      </s:c>
      <s:c r="BG101" s="232">
        <s:f>IF(T101&lt;$J$6*0.9,"error",IF(T101&gt;$J$6,"error","aceptable"))</s:f>
        <s:v/>
      </s:c>
      <s:c r="BH101" s="234">
        <s:f>(IF(ABS(U101)&lt;1,"CONFORME",IF(ABS(AG101)&lt;1,"CONFORME",IF(ABS(AS101)&lt;2.5,"CONFORME","NO CONFORME"))))</s:f>
        <s:v/>
      </s:c>
      <s:c r="BI101" s="235">
        <s:f>(IF(ABS(U101)&gt;2.044,"NO CONFORME",IF(ABS(AG101)&gt;2.044,"NO CONFORME",IF(ABS(AS101)&gt;5.044,"NO CONFORME","CONFORME"))))</s:f>
        <s:v/>
      </s:c>
      <s:c r="BJ101" s="233">
        <s:f>SIGN(U101)</s:f>
        <s:v/>
      </s:c>
      <s:c r="BK101" s="233">
        <s:f>SIGN(AG101)</s:f>
        <s:v/>
      </s:c>
      <s:c r="BL101" s="233">
        <s:f>SIGN(AS101)</s:f>
        <s:v/>
      </s:c>
      <s:c r="BM101" s="233">
        <s:f>CONCATENATE(BJ101,BK101,BL101)</s:f>
        <s:v/>
      </s:c>
      <s:c r="BN101" s="233">
        <s:f>IF(BM101="111","SI","SD")</s:f>
        <s:v/>
      </s:c>
      <s:c r="BO101" s="233">
        <s:f>IF(BM101="-1-1-1","SI","SD")</s:f>
        <s:v/>
      </s:c>
      <s:c r="BP101" s="233">
        <s:f>OR(BN101="SI",BO101="SI")</s:f>
        <s:v/>
      </s:c>
      <s:c r="BQ101" s="233">
        <s:f>IF(BP101=FALSE,"SIGDIFERENTES","SIGIGUALES")</s:f>
        <s:v/>
      </s:c>
      <s:c r="BR101" s="236">
        <s:f>IF(BI101="NO CONFORME","NO CONFORME",IF(BH101="CONFORME","CONFORME","NO CONFORME"))</s:f>
        <s:v/>
      </s:c>
      <s:c r="BS101" s="233">
        <s:f>F101</s:f>
        <s:v/>
      </s:c>
      <s:c r="BT101" s="237">
        <s:f>G101</s:f>
        <s:v/>
      </s:c>
      <s:c r="BU101" s="233">
        <s:f>"20"&amp;+MID(G101,3,2)</s:f>
        <s:v/>
      </s:c>
      <s:c r="BV101" s="238">
        <s:f>C101</s:f>
        <s:v/>
      </s:c>
      <s:c r="BW101" s="233">
        <s:f>AT101</s:f>
        <s:v/>
      </s:c>
      <s:c r="BX101" s="238">
        <s:f>B101</s:f>
        <s:v/>
      </s:c>
      <s:c r="BY101" s="239">
        <s:f>H101</s:f>
        <s:v/>
      </s:c>
      <s:c r="BZ101" s="233">
        <s:f>IF(I101=0,"CONFORME","NO CONFORME")</s:f>
        <s:v/>
      </s:c>
      <s:c r="CA101" s="238">
        <s:f>C101</s:f>
        <s:v/>
      </s:c>
      <s:c r="CB101" s="240">
        <s:f>AH101</s:f>
        <s:v/>
      </s:c>
      <s:c r="CC101" s="241">
        <s:f>AR101</s:f>
        <s:v/>
      </s:c>
      <s:c r="CD101" s="240">
        <s:f>AI101</s:f>
        <s:v/>
      </s:c>
      <s:c r="CE101" s="240">
        <s:f>AJ101</s:f>
        <s:v/>
      </s:c>
      <s:c r="CF101" s="240">
        <s:f>AS101</s:f>
        <s:v/>
      </s:c>
      <s:c r="CG101" s="240">
        <s:f>V101</s:f>
        <s:v/>
      </s:c>
      <s:c r="CH101" s="241">
        <s:f>AF101</s:f>
        <s:v/>
      </s:c>
      <s:c r="CI101" s="240">
        <s:f>W101</s:f>
        <s:v/>
      </s:c>
      <s:c r="CJ101" s="240">
        <s:f>X101</s:f>
        <s:v/>
      </s:c>
      <s:c r="CK101" s="240">
        <s:f>AG101</s:f>
        <s:v/>
      </s:c>
      <s:c r="CL101" s="240">
        <s:f>J101</s:f>
        <s:v/>
      </s:c>
      <s:c r="CM101" s="241">
        <s:f>T101</s:f>
        <s:v/>
      </s:c>
      <s:c r="CN101" s="240">
        <s:f>K101</s:f>
        <s:v/>
      </s:c>
      <s:c r="CO101" s="240">
        <s:f>L101</s:f>
        <s:v/>
      </s:c>
      <s:c r="CP101" s="242">
        <s:f>U101</s:f>
        <s:v/>
      </s:c>
      <s:c r="CQ101" s="233">
        <s:f>AT101</s:f>
        <s:v/>
      </s:c>
    </s:row>
    <s:row r="102">
      <s:c r="A102" s="211" t="n">
        <s:v>2</s:v>
      </s:c>
      <s:c r="B102" s="212" t="n">
        <s:v>45901</s:v>
      </s:c>
      <s:c r="C102" s="213" t="n">
        <s:v>45901</s:v>
      </s:c>
      <s:c r="D102" s="214" t="n">
        <s:v>3</s:v>
      </s:c>
      <s:c r="E102" s="215" t="n">
        <s:v>13</s:v>
      </s:c>
      <s:c r="F102" s="216" t="inlineStr">
        <s:is>
          <s:t>VI-236577-2025</s:t>
        </s:is>
      </s:c>
      <s:c r="G102" s="217" t="inlineStr">
        <s:is>
          <s:t>QA25418434</s:t>
        </s:is>
      </s:c>
      <s:c r="H102" s="218" t="n">
        <s:v>16</s:v>
      </s:c>
      <s:c r="I102" s="219" t="n">
        <s:v>0</s:v>
      </s:c>
      <s:c r="J102" s="220" t="n">
        <s:v>19</s:v>
      </s:c>
      <s:c r="K102" s="221" t="n">
        <s:v>7.512</s:v>
      </s:c>
      <s:c r="L102" s="221" t="n">
        <s:v>1.152</s:v>
      </s:c>
      <s:c r="M102" s="222" t="n">
        <s:v>315.72</s:v>
      </s:c>
      <s:c r="N102" s="222" t="n">
        <s:v>416.01</s:v>
      </s:c>
      <s:c r="O102" s="222" t="n">
        <s:v>100.49</s:v>
      </s:c>
      <s:c r="P102" s="223" t="inlineStr">
        <s:is>
          <s:t>2,30,000</s:t>
        </s:is>
      </s:c>
      <s:c r="Q102" s="224" t="inlineStr">
        <s:is>
          <s:t>2</s:t>
        </s:is>
      </s:c>
      <s:c r="R102" s="224" t="inlineStr">
        <s:is>
          <s:t>30,000</s:t>
        </s:is>
      </s:c>
      <s:c r="S102" s="224" t="n">
        <s:v>0.04166666666666666</s:v>
      </s:c>
      <s:c r="T102" s="225" t="n">
        <s:v>2411.76</s:v>
      </s:c>
      <s:c r="U102" s="226" t="n">
        <s:v>-0.1990247785849649</s:v>
      </s:c>
      <s:c r="V102" s="220" t="n">
        <s:v>18.8</s:v>
      </s:c>
      <s:c r="W102" s="221" t="n">
        <s:v>1.093</s:v>
      </s:c>
      <s:c r="X102" s="221" t="n">
        <s:v>1.082</s:v>
      </s:c>
      <s:c r="Y102" s="222" t="n">
        <s:v>426.33</s:v>
      </s:c>
      <s:c r="Z102" s="222" t="n">
        <s:v>431.36</s:v>
      </s:c>
      <s:c r="AA102" s="227" t="n">
        <s:v>5.02</s:v>
      </s:c>
      <s:c r="AB102" s="228" t="inlineStr">
        <s:is>
          <s:t>11,25,470</s:t>
        </s:is>
      </s:c>
      <s:c r="AC102" s="224" t="inlineStr">
        <s:is>
          <s:t>11</s:t>
        </s:is>
      </s:c>
      <s:c r="AD102" s="224" t="inlineStr">
        <s:is>
          <s:t>25,470</s:t>
        </s:is>
      </s:c>
      <s:c r="AE102" s="224" t="n">
        <s:v>0.1904083333333333</s:v>
      </s:c>
      <s:c r="AF102" s="225" t="n">
        <s:v>26.36439231476213</s:v>
      </s:c>
      <s:c r="AG102" s="229" t="n">
        <s:v>0.1992031872515933</s:v>
      </s:c>
      <s:c r="AH102" s="220" t="n">
        <s:v>18.8</s:v>
      </s:c>
      <s:c r="AI102" s="221" t="n">
        <s:v>1.092</s:v>
      </s:c>
      <s:c r="AJ102" s="221" t="n">
        <s:v>1.08</s:v>
      </s:c>
      <s:c r="AK102" s="222" t="n">
        <s:v>431.36</s:v>
      </s:c>
      <s:c r="AL102" s="222" t="n">
        <s:v>433.33</s:v>
      </s:c>
      <s:c r="AM102" s="230" t="n">
        <s:v>2.007</s:v>
      </s:c>
      <s:c r="AN102" s="223" t="inlineStr">
        <s:is>
          <s:t>7,21,350</s:t>
        </s:is>
      </s:c>
      <s:c r="AO102" s="224" t="inlineStr">
        <s:is>
          <s:t>7,</s:t>
        </s:is>
      </s:c>
      <s:c r="AP102" s="224" t="inlineStr">
        <s:is>
          <s:t>21,350</s:t>
        </s:is>
      </s:c>
      <s:c r="AQ102" s="224" t="n">
        <s:v>0.1225972222222222</s:v>
      </s:c>
      <s:c r="AR102" s="225" t="n">
        <s:v>16.37068086552623</s:v>
      </s:c>
      <s:c r="AS102" s="229" t="n">
        <s:v>-1.843547583459376</s:v>
      </s:c>
      <s:c r="AT102" s="231" t="inlineStr">
        <s:is>
          <s:t>CONFORME</s:t>
        </s:is>
      </s:c>
      <s:c r="AU102" s="232">
        <s:f>B102=C102</s:f>
        <s:v/>
      </s:c>
      <s:c r="AV102" s="233">
        <s:f>MID(G102,1,2)</s:f>
        <s:v/>
      </s:c>
      <s:c r="AW102" s="233">
        <s:f>LEN(G102)</s:f>
        <s:v/>
      </s:c>
      <s:c r="AX102" s="233" t="inlineStr">
        <s:is>
          <s:t>OI-0923-2025</s:t>
        </s:is>
      </s:c>
      <s:c r="AY102" s="233">
        <s:f>N102&lt;Y102</s:f>
        <s:v/>
      </s:c>
      <s:c r="AZ102" s="233">
        <s:f>Z102&lt;=AK102</s:f>
        <s:v/>
      </s:c>
      <s:c r="BA102" s="233">
        <s:f>L102&lt;K102</s:f>
        <s:v/>
      </s:c>
      <s:c r="BB102" s="233">
        <s:f>W102&gt;=X102</s:f>
        <s:v/>
      </s:c>
      <s:c r="BC102" s="233">
        <s:f>AI102&gt;=AJ102</s:f>
        <s:v/>
      </s:c>
      <s:c r="BD102" s="233">
        <s:f>IF(I102&gt;=1,"Qcorrecto",IF(AND(BE102="aceptable",BF102="aceptable",BG102="aceptable"),"Qcorrecto","Qincorrecto"))</s:f>
        <s:v/>
      </s:c>
      <s:c r="BE102" s="232">
        <s:f>IF(AR102&lt;$AH$6,"error",IF(AR102&gt;$AH$6*1.1,"error","aceptable"))</s:f>
        <s:v/>
      </s:c>
      <s:c r="BF102" s="232">
        <s:f>IF(AF102&lt;$V$6,"error",IF(AF102&gt;$V$6*1.1,"error","aceptable"))</s:f>
        <s:v/>
      </s:c>
      <s:c r="BG102" s="232">
        <s:f>IF(T102&lt;$J$6*0.9,"error",IF(T102&gt;$J$6,"error","aceptable"))</s:f>
        <s:v/>
      </s:c>
      <s:c r="BH102" s="234">
        <s:f>(IF(ABS(U102)&lt;1,"CONFORME",IF(ABS(AG102)&lt;1,"CONFORME",IF(ABS(AS102)&lt;2.5,"CONFORME","NO CONFORME"))))</s:f>
        <s:v/>
      </s:c>
      <s:c r="BI102" s="235">
        <s:f>(IF(ABS(U102)&gt;2.044,"NO CONFORME",IF(ABS(AG102)&gt;2.044,"NO CONFORME",IF(ABS(AS102)&gt;5.044,"NO CONFORME","CONFORME"))))</s:f>
        <s:v/>
      </s:c>
      <s:c r="BJ102" s="233">
        <s:f>SIGN(U102)</s:f>
        <s:v/>
      </s:c>
      <s:c r="BK102" s="233">
        <s:f>SIGN(AG102)</s:f>
        <s:v/>
      </s:c>
      <s:c r="BL102" s="233">
        <s:f>SIGN(AS102)</s:f>
        <s:v/>
      </s:c>
      <s:c r="BM102" s="233">
        <s:f>CONCATENATE(BJ102,BK102,BL102)</s:f>
        <s:v/>
      </s:c>
      <s:c r="BN102" s="233">
        <s:f>IF(BM102="111","SI","SD")</s:f>
        <s:v/>
      </s:c>
      <s:c r="BO102" s="233">
        <s:f>IF(BM102="-1-1-1","SI","SD")</s:f>
        <s:v/>
      </s:c>
      <s:c r="BP102" s="233">
        <s:f>OR(BN102="SI",BO102="SI")</s:f>
        <s:v/>
      </s:c>
      <s:c r="BQ102" s="233">
        <s:f>IF(BP102=FALSE,"SIGDIFERENTES","SIGIGUALES")</s:f>
        <s:v/>
      </s:c>
      <s:c r="BR102" s="236">
        <s:f>IF(BI102="NO CONFORME","NO CONFORME",IF(BH102="CONFORME","CONFORME","NO CONFORME"))</s:f>
        <s:v/>
      </s:c>
      <s:c r="BS102" s="233">
        <s:f>F102</s:f>
        <s:v/>
      </s:c>
      <s:c r="BT102" s="237">
        <s:f>G102</s:f>
        <s:v/>
      </s:c>
      <s:c r="BU102" s="233">
        <s:f>"20"&amp;+MID(G102,3,2)</s:f>
        <s:v/>
      </s:c>
      <s:c r="BV102" s="238">
        <s:f>C102</s:f>
        <s:v/>
      </s:c>
      <s:c r="BW102" s="233">
        <s:f>AT102</s:f>
        <s:v/>
      </s:c>
      <s:c r="BX102" s="238">
        <s:f>B102</s:f>
        <s:v/>
      </s:c>
      <s:c r="BY102" s="239">
        <s:f>H102</s:f>
        <s:v/>
      </s:c>
      <s:c r="BZ102" s="233">
        <s:f>IF(I102=0,"CONFORME","NO CONFORME")</s:f>
        <s:v/>
      </s:c>
      <s:c r="CA102" s="238">
        <s:f>C102</s:f>
        <s:v/>
      </s:c>
      <s:c r="CB102" s="240">
        <s:f>AH102</s:f>
        <s:v/>
      </s:c>
      <s:c r="CC102" s="241">
        <s:f>AR102</s:f>
        <s:v/>
      </s:c>
      <s:c r="CD102" s="240">
        <s:f>AI102</s:f>
        <s:v/>
      </s:c>
      <s:c r="CE102" s="240">
        <s:f>AJ102</s:f>
        <s:v/>
      </s:c>
      <s:c r="CF102" s="240">
        <s:f>AS102</s:f>
        <s:v/>
      </s:c>
      <s:c r="CG102" s="240">
        <s:f>V102</s:f>
        <s:v/>
      </s:c>
      <s:c r="CH102" s="241">
        <s:f>AF102</s:f>
        <s:v/>
      </s:c>
      <s:c r="CI102" s="240">
        <s:f>W102</s:f>
        <s:v/>
      </s:c>
      <s:c r="CJ102" s="240">
        <s:f>X102</s:f>
        <s:v/>
      </s:c>
      <s:c r="CK102" s="240">
        <s:f>AG102</s:f>
        <s:v/>
      </s:c>
      <s:c r="CL102" s="240">
        <s:f>J102</s:f>
        <s:v/>
      </s:c>
      <s:c r="CM102" s="241">
        <s:f>T102</s:f>
        <s:v/>
      </s:c>
      <s:c r="CN102" s="240">
        <s:f>K102</s:f>
        <s:v/>
      </s:c>
      <s:c r="CO102" s="240">
        <s:f>L102</s:f>
        <s:v/>
      </s:c>
      <s:c r="CP102" s="242">
        <s:f>U102</s:f>
        <s:v/>
      </s:c>
      <s:c r="CQ102" s="233">
        <s:f>AT102</s:f>
        <s:v/>
      </s:c>
    </s:row>
    <s:row r="103">
      <s:c r="A103" s="211" t="n">
        <s:v>3</s:v>
      </s:c>
      <s:c r="B103" s="212" t="n">
        <s:v>45901</s:v>
      </s:c>
      <s:c r="C103" s="213" t="n">
        <s:v>45901</s:v>
      </s:c>
      <s:c r="D103" s="214" t="n">
        <s:v>3</s:v>
      </s:c>
      <s:c r="E103" s="215" t="n">
        <s:v>13</s:v>
      </s:c>
      <s:c r="F103" s="216" t="inlineStr">
        <s:is>
          <s:t>VI-236578-2025</s:t>
        </s:is>
      </s:c>
      <s:c r="G103" s="217" t="inlineStr">
        <s:is>
          <s:t>QA25418469</s:t>
        </s:is>
      </s:c>
      <s:c r="H103" s="218" t="n">
        <s:v>16</s:v>
      </s:c>
      <s:c r="I103" s="219" t="n">
        <s:v>0</s:v>
      </s:c>
      <s:c r="J103" s="220" t="n">
        <s:v>19</s:v>
      </s:c>
      <s:c r="K103" s="221" t="n">
        <s:v>7.512</s:v>
      </s:c>
      <s:c r="L103" s="221" t="n">
        <s:v>1.152</s:v>
      </s:c>
      <s:c r="M103" s="222" t="n">
        <s:v>573.86</s:v>
      </s:c>
      <s:c r="N103" s="222" t="n">
        <s:v>674.21</s:v>
      </s:c>
      <s:c r="O103" s="222" t="n">
        <s:v>100.49</s:v>
      </s:c>
      <s:c r="P103" s="223" t="inlineStr">
        <s:is>
          <s:t>2,30,000</s:t>
        </s:is>
      </s:c>
      <s:c r="Q103" s="224" t="inlineStr">
        <s:is>
          <s:t>2</s:t>
        </s:is>
      </s:c>
      <s:c r="R103" s="224" t="inlineStr">
        <s:is>
          <s:t>30,000</s:t>
        </s:is>
      </s:c>
      <s:c r="S103" s="224" t="n">
        <s:v>0.04166666666666666</s:v>
      </s:c>
      <s:c r="T103" s="225" t="n">
        <s:v>2411.76</s:v>
      </s:c>
      <s:c r="U103" s="226" t="n">
        <s:v>-0.139317345009426</s:v>
      </s:c>
      <s:c r="V103" s="220" t="n">
        <s:v>18.8</s:v>
      </s:c>
      <s:c r="W103" s="221" t="n">
        <s:v>1.093</s:v>
      </s:c>
      <s:c r="X103" s="221" t="n">
        <s:v>1.082</s:v>
      </s:c>
      <s:c r="Y103" s="222" t="n">
        <s:v>684.55</s:v>
      </s:c>
      <s:c r="Z103" s="222" t="n">
        <s:v>689.63</s:v>
      </s:c>
      <s:c r="AA103" s="227" t="n">
        <s:v>5.02</s:v>
      </s:c>
      <s:c r="AB103" s="228" t="inlineStr">
        <s:is>
          <s:t>11,25,470</s:t>
        </s:is>
      </s:c>
      <s:c r="AC103" s="224" t="inlineStr">
        <s:is>
          <s:t>11</s:t>
        </s:is>
      </s:c>
      <s:c r="AD103" s="224" t="inlineStr">
        <s:is>
          <s:t>25,470</s:t>
        </s:is>
      </s:c>
      <s:c r="AE103" s="224" t="n">
        <s:v>0.1904083333333333</s:v>
      </s:c>
      <s:c r="AF103" s="225" t="n">
        <s:v>26.36439231476213</s:v>
      </s:c>
      <s:c r="AG103" s="229" t="n">
        <s:v>1.1952191235068</s:v>
      </s:c>
      <s:c r="AH103" s="220" t="n">
        <s:v>18.8</s:v>
      </s:c>
      <s:c r="AI103" s="221" t="n">
        <s:v>1.092</s:v>
      </s:c>
      <s:c r="AJ103" s="221" t="n">
        <s:v>1.08</s:v>
      </s:c>
      <s:c r="AK103" s="222" t="n">
        <s:v>689.63</s:v>
      </s:c>
      <s:c r="AL103" s="222" t="n">
        <s:v>691.62</s:v>
      </s:c>
      <s:c r="AM103" s="230" t="n">
        <s:v>2.007</s:v>
      </s:c>
      <s:c r="AN103" s="223" t="inlineStr">
        <s:is>
          <s:t>7,21,350</s:t>
        </s:is>
      </s:c>
      <s:c r="AO103" s="224" t="inlineStr">
        <s:is>
          <s:t>7,</s:t>
        </s:is>
      </s:c>
      <s:c r="AP103" s="224" t="inlineStr">
        <s:is>
          <s:t>21,350</s:t>
        </s:is>
      </s:c>
      <s:c r="AQ103" s="224" t="n">
        <s:v>0.1225972222222222</s:v>
      </s:c>
      <s:c r="AR103" s="225" t="n">
        <s:v>16.37068086552623</s:v>
      </s:c>
      <s:c r="AS103" s="229" t="n">
        <s:v>-0.8470353761829108</s:v>
      </s:c>
      <s:c r="AT103" s="231" t="inlineStr">
        <s:is>
          <s:t>CONFORME</s:t>
        </s:is>
      </s:c>
      <s:c r="AU103" s="232">
        <s:f>B103=C103</s:f>
        <s:v/>
      </s:c>
      <s:c r="AV103" s="233">
        <s:f>MID(G103,1,2)</s:f>
        <s:v/>
      </s:c>
      <s:c r="AW103" s="233">
        <s:f>LEN(G103)</s:f>
        <s:v/>
      </s:c>
      <s:c r="AX103" s="233" t="inlineStr">
        <s:is>
          <s:t>OI-0923-2025</s:t>
        </s:is>
      </s:c>
      <s:c r="AY103" s="233">
        <s:f>N103&lt;Y103</s:f>
        <s:v/>
      </s:c>
      <s:c r="AZ103" s="233">
        <s:f>Z103&lt;=AK103</s:f>
        <s:v/>
      </s:c>
      <s:c r="BA103" s="233">
        <s:f>L103&lt;K103</s:f>
        <s:v/>
      </s:c>
      <s:c r="BB103" s="233">
        <s:f>W103&gt;=X103</s:f>
        <s:v/>
      </s:c>
      <s:c r="BC103" s="233">
        <s:f>AI103&gt;=AJ103</s:f>
        <s:v/>
      </s:c>
      <s:c r="BD103" s="233">
        <s:f>IF(I103&gt;=1,"Qcorrecto",IF(AND(BE103="aceptable",BF103="aceptable",BG103="aceptable"),"Qcorrecto","Qincorrecto"))</s:f>
        <s:v/>
      </s:c>
      <s:c r="BE103" s="232">
        <s:f>IF(AR103&lt;$AH$6,"error",IF(AR103&gt;$AH$6*1.1,"error","aceptable"))</s:f>
        <s:v/>
      </s:c>
      <s:c r="BF103" s="232">
        <s:f>IF(AF103&lt;$V$6,"error",IF(AF103&gt;$V$6*1.1,"error","aceptable"))</s:f>
        <s:v/>
      </s:c>
      <s:c r="BG103" s="232">
        <s:f>IF(T103&lt;$J$6*0.9,"error",IF(T103&gt;$J$6,"error","aceptable"))</s:f>
        <s:v/>
      </s:c>
      <s:c r="BH103" s="234">
        <s:f>(IF(ABS(U103)&lt;1,"CONFORME",IF(ABS(AG103)&lt;1,"CONFORME",IF(ABS(AS103)&lt;2.5,"CONFORME","NO CONFORME"))))</s:f>
        <s:v/>
      </s:c>
      <s:c r="BI103" s="235">
        <s:f>(IF(ABS(U103)&gt;2.044,"NO CONFORME",IF(ABS(AG103)&gt;2.044,"NO CONFORME",IF(ABS(AS103)&gt;5.044,"NO CONFORME","CONFORME"))))</s:f>
        <s:v/>
      </s:c>
      <s:c r="BJ103" s="233">
        <s:f>SIGN(U103)</s:f>
        <s:v/>
      </s:c>
      <s:c r="BK103" s="233">
        <s:f>SIGN(AG103)</s:f>
        <s:v/>
      </s:c>
      <s:c r="BL103" s="233">
        <s:f>SIGN(AS103)</s:f>
        <s:v/>
      </s:c>
      <s:c r="BM103" s="233">
        <s:f>CONCATENATE(BJ103,BK103,BL103)</s:f>
        <s:v/>
      </s:c>
      <s:c r="BN103" s="233">
        <s:f>IF(BM103="111","SI","SD")</s:f>
        <s:v/>
      </s:c>
      <s:c r="BO103" s="233">
        <s:f>IF(BM103="-1-1-1","SI","SD")</s:f>
        <s:v/>
      </s:c>
      <s:c r="BP103" s="233">
        <s:f>OR(BN103="SI",BO103="SI")</s:f>
        <s:v/>
      </s:c>
      <s:c r="BQ103" s="233">
        <s:f>IF(BP103=FALSE,"SIGDIFERENTES","SIGIGUALES")</s:f>
        <s:v/>
      </s:c>
      <s:c r="BR103" s="236">
        <s:f>IF(BI103="NO CONFORME","NO CONFORME",IF(BH103="CONFORME","CONFORME","NO CONFORME"))</s:f>
        <s:v/>
      </s:c>
      <s:c r="BS103" s="233">
        <s:f>F103</s:f>
        <s:v/>
      </s:c>
      <s:c r="BT103" s="237">
        <s:f>G103</s:f>
        <s:v/>
      </s:c>
      <s:c r="BU103" s="233">
        <s:f>"20"&amp;+MID(G103,3,2)</s:f>
        <s:v/>
      </s:c>
      <s:c r="BV103" s="238">
        <s:f>C103</s:f>
        <s:v/>
      </s:c>
      <s:c r="BW103" s="233">
        <s:f>AT103</s:f>
        <s:v/>
      </s:c>
      <s:c r="BX103" s="238">
        <s:f>B103</s:f>
        <s:v/>
      </s:c>
      <s:c r="BY103" s="239">
        <s:f>H103</s:f>
        <s:v/>
      </s:c>
      <s:c r="BZ103" s="233">
        <s:f>IF(I103=0,"CONFORME","NO CONFORME")</s:f>
        <s:v/>
      </s:c>
      <s:c r="CA103" s="238">
        <s:f>C103</s:f>
        <s:v/>
      </s:c>
      <s:c r="CB103" s="240">
        <s:f>AH103</s:f>
        <s:v/>
      </s:c>
      <s:c r="CC103" s="241">
        <s:f>AR103</s:f>
        <s:v/>
      </s:c>
      <s:c r="CD103" s="240">
        <s:f>AI103</s:f>
        <s:v/>
      </s:c>
      <s:c r="CE103" s="240">
        <s:f>AJ103</s:f>
        <s:v/>
      </s:c>
      <s:c r="CF103" s="240">
        <s:f>AS103</s:f>
        <s:v/>
      </s:c>
      <s:c r="CG103" s="240">
        <s:f>V103</s:f>
        <s:v/>
      </s:c>
      <s:c r="CH103" s="241">
        <s:f>AF103</s:f>
        <s:v/>
      </s:c>
      <s:c r="CI103" s="240">
        <s:f>W103</s:f>
        <s:v/>
      </s:c>
      <s:c r="CJ103" s="240">
        <s:f>X103</s:f>
        <s:v/>
      </s:c>
      <s:c r="CK103" s="240">
        <s:f>AG103</s:f>
        <s:v/>
      </s:c>
      <s:c r="CL103" s="240">
        <s:f>J103</s:f>
        <s:v/>
      </s:c>
      <s:c r="CM103" s="241">
        <s:f>T103</s:f>
        <s:v/>
      </s:c>
      <s:c r="CN103" s="240">
        <s:f>K103</s:f>
        <s:v/>
      </s:c>
      <s:c r="CO103" s="240">
        <s:f>L103</s:f>
        <s:v/>
      </s:c>
      <s:c r="CP103" s="242">
        <s:f>U103</s:f>
        <s:v/>
      </s:c>
      <s:c r="CQ103" s="233">
        <s:f>AT103</s:f>
        <s:v/>
      </s:c>
    </s:row>
    <s:row r="104">
      <s:c r="A104" s="211" t="n">
        <s:v>4</s:v>
      </s:c>
      <s:c r="B104" s="212" t="n">
        <s:v>45901</s:v>
      </s:c>
      <s:c r="C104" s="213" t="n">
        <s:v>45901</s:v>
      </s:c>
      <s:c r="D104" s="214" t="n">
        <s:v>3</s:v>
      </s:c>
      <s:c r="E104" s="215" t="n">
        <s:v>13</s:v>
      </s:c>
      <s:c r="F104" s="216" t="inlineStr">
        <s:is>
          <s:t>VI-236579-2025</s:t>
        </s:is>
      </s:c>
      <s:c r="G104" s="217" t="inlineStr">
        <s:is>
          <s:t>QA25418454</s:t>
        </s:is>
      </s:c>
      <s:c r="H104" s="218" t="n">
        <s:v>16</s:v>
      </s:c>
      <s:c r="I104" s="219" t="n">
        <s:v>0</s:v>
      </s:c>
      <s:c r="J104" s="220" t="n">
        <s:v>19</s:v>
      </s:c>
      <s:c r="K104" s="221" t="n">
        <s:v>7.512</s:v>
      </s:c>
      <s:c r="L104" s="221" t="n">
        <s:v>1.152</s:v>
      </s:c>
      <s:c r="M104" s="222" t="n">
        <s:v>445.28</s:v>
      </s:c>
      <s:c r="N104" s="222" t="n">
        <s:v>544.91</s:v>
      </s:c>
      <s:c r="O104" s="222" t="n">
        <s:v>100.49</s:v>
      </s:c>
      <s:c r="P104" s="223" t="inlineStr">
        <s:is>
          <s:t>2,30,000</s:t>
        </s:is>
      </s:c>
      <s:c r="Q104" s="224" t="inlineStr">
        <s:is>
          <s:t>2</s:t>
        </s:is>
      </s:c>
      <s:c r="R104" s="224" t="inlineStr">
        <s:is>
          <s:t>30,000</s:t>
        </s:is>
      </s:c>
      <s:c r="S104" s="224" t="n">
        <s:v>0.04166666666666666</s:v>
      </s:c>
      <s:c r="T104" s="225" t="n">
        <s:v>2411.76</s:v>
      </s:c>
      <s:c r="U104" s="226" t="n">
        <s:v>-0.8558065479152148</s:v>
      </s:c>
      <s:c r="V104" s="220" t="n">
        <s:v>18.8</s:v>
      </s:c>
      <s:c r="W104" s="221" t="n">
        <s:v>1.093</s:v>
      </s:c>
      <s:c r="X104" s="221" t="n">
        <s:v>1.082</s:v>
      </s:c>
      <s:c r="Y104" s="222" t="n">
        <s:v>555.23</s:v>
      </s:c>
      <s:c r="Z104" s="222" t="n">
        <s:v>560.26</s:v>
      </s:c>
      <s:c r="AA104" s="227" t="n">
        <s:v>5.02</s:v>
      </s:c>
      <s:c r="AB104" s="228" t="inlineStr">
        <s:is>
          <s:t>11,25,470</s:t>
        </s:is>
      </s:c>
      <s:c r="AC104" s="224" t="inlineStr">
        <s:is>
          <s:t>11</s:t>
        </s:is>
      </s:c>
      <s:c r="AD104" s="224" t="inlineStr">
        <s:is>
          <s:t>25,470</s:t>
        </s:is>
      </s:c>
      <s:c r="AE104" s="224" t="n">
        <s:v>0.1904083333333333</s:v>
      </s:c>
      <s:c r="AF104" s="225" t="n">
        <s:v>26.36439231476213</s:v>
      </s:c>
      <s:c r="AG104" s="229" t="n">
        <s:v>0.199203187250461</s:v>
      </s:c>
      <s:c r="AH104" s="220" t="n">
        <s:v>18.8</s:v>
      </s:c>
      <s:c r="AI104" s="221" t="n">
        <s:v>1.092</s:v>
      </s:c>
      <s:c r="AJ104" s="221" t="n">
        <s:v>1.08</s:v>
      </s:c>
      <s:c r="AK104" s="222" t="n">
        <s:v>560.26</s:v>
      </s:c>
      <s:c r="AL104" s="222" t="n">
        <s:v>562.23</s:v>
      </s:c>
      <s:c r="AM104" s="230" t="n">
        <s:v>2.007</s:v>
      </s:c>
      <s:c r="AN104" s="223" t="inlineStr">
        <s:is>
          <s:t>7,21,350</s:t>
        </s:is>
      </s:c>
      <s:c r="AO104" s="224" t="inlineStr">
        <s:is>
          <s:t>7,</s:t>
        </s:is>
      </s:c>
      <s:c r="AP104" s="224" t="inlineStr">
        <s:is>
          <s:t>21,350</s:t>
        </s:is>
      </s:c>
      <s:c r="AQ104" s="224" t="n">
        <s:v>0.1225972222222222</s:v>
      </s:c>
      <s:c r="AR104" s="225" t="n">
        <s:v>16.37068086552623</s:v>
      </s:c>
      <s:c r="AS104" s="229" t="n">
        <s:v>-1.843547583456544</s:v>
      </s:c>
      <s:c r="AT104" s="231" t="inlineStr">
        <s:is>
          <s:t>CONFORME</s:t>
        </s:is>
      </s:c>
      <s:c r="AU104" s="232">
        <s:f>B104=C104</s:f>
        <s:v/>
      </s:c>
      <s:c r="AV104" s="233">
        <s:f>MID(G104,1,2)</s:f>
        <s:v/>
      </s:c>
      <s:c r="AW104" s="233">
        <s:f>LEN(G104)</s:f>
        <s:v/>
      </s:c>
      <s:c r="AX104" s="233" t="inlineStr">
        <s:is>
          <s:t>OI-0923-2025</s:t>
        </s:is>
      </s:c>
      <s:c r="AY104" s="233">
        <s:f>N104&lt;Y104</s:f>
        <s:v/>
      </s:c>
      <s:c r="AZ104" s="233">
        <s:f>Z104&lt;=AK104</s:f>
        <s:v/>
      </s:c>
      <s:c r="BA104" s="233">
        <s:f>L104&lt;K104</s:f>
        <s:v/>
      </s:c>
      <s:c r="BB104" s="233">
        <s:f>W104&gt;=X104</s:f>
        <s:v/>
      </s:c>
      <s:c r="BC104" s="233">
        <s:f>AI104&gt;=AJ104</s:f>
        <s:v/>
      </s:c>
      <s:c r="BD104" s="233">
        <s:f>IF(I104&gt;=1,"Qcorrecto",IF(AND(BE104="aceptable",BF104="aceptable",BG104="aceptable"),"Qcorrecto","Qincorrecto"))</s:f>
        <s:v/>
      </s:c>
      <s:c r="BE104" s="232">
        <s:f>IF(AR104&lt;$AH$6,"error",IF(AR104&gt;$AH$6*1.1,"error","aceptable"))</s:f>
        <s:v/>
      </s:c>
      <s:c r="BF104" s="232">
        <s:f>IF(AF104&lt;$V$6,"error",IF(AF104&gt;$V$6*1.1,"error","aceptable"))</s:f>
        <s:v/>
      </s:c>
      <s:c r="BG104" s="232">
        <s:f>IF(T104&lt;$J$6*0.9,"error",IF(T104&gt;$J$6,"error","aceptable"))</s:f>
        <s:v/>
      </s:c>
      <s:c r="BH104" s="234">
        <s:f>(IF(ABS(U104)&lt;1,"CONFORME",IF(ABS(AG104)&lt;1,"CONFORME",IF(ABS(AS104)&lt;2.5,"CONFORME","NO CONFORME"))))</s:f>
        <s:v/>
      </s:c>
      <s:c r="BI104" s="235">
        <s:f>(IF(ABS(U104)&gt;2.044,"NO CONFORME",IF(ABS(AG104)&gt;2.044,"NO CONFORME",IF(ABS(AS104)&gt;5.044,"NO CONFORME","CONFORME"))))</s:f>
        <s:v/>
      </s:c>
      <s:c r="BJ104" s="233">
        <s:f>SIGN(U104)</s:f>
        <s:v/>
      </s:c>
      <s:c r="BK104" s="233">
        <s:f>SIGN(AG104)</s:f>
        <s:v/>
      </s:c>
      <s:c r="BL104" s="233">
        <s:f>SIGN(AS104)</s:f>
        <s:v/>
      </s:c>
      <s:c r="BM104" s="233">
        <s:f>CONCATENATE(BJ104,BK104,BL104)</s:f>
        <s:v/>
      </s:c>
      <s:c r="BN104" s="233">
        <s:f>IF(BM104="111","SI","SD")</s:f>
        <s:v/>
      </s:c>
      <s:c r="BO104" s="233">
        <s:f>IF(BM104="-1-1-1","SI","SD")</s:f>
        <s:v/>
      </s:c>
      <s:c r="BP104" s="233">
        <s:f>OR(BN104="SI",BO104="SI")</s:f>
        <s:v/>
      </s:c>
      <s:c r="BQ104" s="233">
        <s:f>IF(BP104=FALSE,"SIGDIFERENTES","SIGIGUALES")</s:f>
        <s:v/>
      </s:c>
      <s:c r="BR104" s="236">
        <s:f>IF(BI104="NO CONFORME","NO CONFORME",IF(BH104="CONFORME","CONFORME","NO CONFORME"))</s:f>
        <s:v/>
      </s:c>
      <s:c r="BS104" s="233">
        <s:f>F104</s:f>
        <s:v/>
      </s:c>
      <s:c r="BT104" s="237">
        <s:f>G104</s:f>
        <s:v/>
      </s:c>
      <s:c r="BU104" s="233">
        <s:f>"20"&amp;+MID(G104,3,2)</s:f>
        <s:v/>
      </s:c>
      <s:c r="BV104" s="238">
        <s:f>C104</s:f>
        <s:v/>
      </s:c>
      <s:c r="BW104" s="233">
        <s:f>AT104</s:f>
        <s:v/>
      </s:c>
      <s:c r="BX104" s="238">
        <s:f>B104</s:f>
        <s:v/>
      </s:c>
      <s:c r="BY104" s="239">
        <s:f>H104</s:f>
        <s:v/>
      </s:c>
      <s:c r="BZ104" s="233">
        <s:f>IF(I104=0,"CONFORME","NO CONFORME")</s:f>
        <s:v/>
      </s:c>
      <s:c r="CA104" s="238">
        <s:f>C104</s:f>
        <s:v/>
      </s:c>
      <s:c r="CB104" s="240">
        <s:f>AH104</s:f>
        <s:v/>
      </s:c>
      <s:c r="CC104" s="241">
        <s:f>AR104</s:f>
        <s:v/>
      </s:c>
      <s:c r="CD104" s="240">
        <s:f>AI104</s:f>
        <s:v/>
      </s:c>
      <s:c r="CE104" s="240">
        <s:f>AJ104</s:f>
        <s:v/>
      </s:c>
      <s:c r="CF104" s="240">
        <s:f>AS104</s:f>
        <s:v/>
      </s:c>
      <s:c r="CG104" s="240">
        <s:f>V104</s:f>
        <s:v/>
      </s:c>
      <s:c r="CH104" s="241">
        <s:f>AF104</s:f>
        <s:v/>
      </s:c>
      <s:c r="CI104" s="240">
        <s:f>W104</s:f>
        <s:v/>
      </s:c>
      <s:c r="CJ104" s="240">
        <s:f>X104</s:f>
        <s:v/>
      </s:c>
      <s:c r="CK104" s="240">
        <s:f>AG104</s:f>
        <s:v/>
      </s:c>
      <s:c r="CL104" s="240">
        <s:f>J104</s:f>
        <s:v/>
      </s:c>
      <s:c r="CM104" s="241">
        <s:f>T104</s:f>
        <s:v/>
      </s:c>
      <s:c r="CN104" s="240">
        <s:f>K104</s:f>
        <s:v/>
      </s:c>
      <s:c r="CO104" s="240">
        <s:f>L104</s:f>
        <s:v/>
      </s:c>
      <s:c r="CP104" s="242">
        <s:f>U104</s:f>
        <s:v/>
      </s:c>
      <s:c r="CQ104" s="233">
        <s:f>AT104</s:f>
        <s:v/>
      </s:c>
    </s:row>
    <s:row r="105">
      <s:c r="A105" s="211" t="n">
        <s:v>5</s:v>
      </s:c>
      <s:c r="B105" s="212" t="n">
        <s:v>45901</s:v>
      </s:c>
      <s:c r="C105" s="213" t="n">
        <s:v>45901</s:v>
      </s:c>
      <s:c r="D105" s="214" t="n">
        <s:v>3</s:v>
      </s:c>
      <s:c r="E105" s="215" t="n">
        <s:v>13</s:v>
      </s:c>
      <s:c r="F105" s="216" t="inlineStr">
        <s:is>
          <s:t>VI-236580-2025</s:t>
        </s:is>
      </s:c>
      <s:c r="G105" s="217" t="inlineStr">
        <s:is>
          <s:t>QA25418477</s:t>
        </s:is>
      </s:c>
      <s:c r="H105" s="218" t="n">
        <s:v>16</s:v>
      </s:c>
      <s:c r="I105" s="219" t="n">
        <s:v>0</s:v>
      </s:c>
      <s:c r="J105" s="220" t="n">
        <s:v>19</s:v>
      </s:c>
      <s:c r="K105" s="221" t="n">
        <s:v>7.512</s:v>
      </s:c>
      <s:c r="L105" s="221" t="n">
        <s:v>1.152</s:v>
      </s:c>
      <s:c r="M105" s="222" t="n">
        <s:v>358.65</s:v>
      </s:c>
      <s:c r="N105" s="222" t="n">
        <s:v>459.04</s:v>
      </s:c>
      <s:c r="O105" s="222" t="n">
        <s:v>100.49</s:v>
      </s:c>
      <s:c r="P105" s="223" t="inlineStr">
        <s:is>
          <s:t>2,30,000</s:t>
        </s:is>
      </s:c>
      <s:c r="Q105" s="224" t="inlineStr">
        <s:is>
          <s:t>2</s:t>
        </s:is>
      </s:c>
      <s:c r="R105" s="224" t="inlineStr">
        <s:is>
          <s:t>30,000</s:t>
        </s:is>
      </s:c>
      <s:c r="S105" s="224" t="n">
        <s:v>0.04166666666666666</s:v>
      </s:c>
      <s:c r="T105" s="225" t="n">
        <s:v>2411.76</s:v>
      </s:c>
      <s:c r="U105" s="226" t="n">
        <s:v>-0.09951238929241885</s:v>
      </s:c>
      <s:c r="V105" s="220" t="n">
        <s:v>18.8</s:v>
      </s:c>
      <s:c r="W105" s="221" t="n">
        <s:v>1.093</s:v>
      </s:c>
      <s:c r="X105" s="221" t="n">
        <s:v>1.082</s:v>
      </s:c>
      <s:c r="Y105" s="222" t="n">
        <s:v>469.42</s:v>
      </s:c>
      <s:c r="Z105" s="222" t="n">
        <s:v>474.45</s:v>
      </s:c>
      <s:c r="AA105" s="227" t="n">
        <s:v>5.02</s:v>
      </s:c>
      <s:c r="AB105" s="228" t="inlineStr">
        <s:is>
          <s:t>11,25,470</s:t>
        </s:is>
      </s:c>
      <s:c r="AC105" s="224" t="inlineStr">
        <s:is>
          <s:t>11</s:t>
        </s:is>
      </s:c>
      <s:c r="AD105" s="224" t="inlineStr">
        <s:is>
          <s:t>25,470</s:t>
        </s:is>
      </s:c>
      <s:c r="AE105" s="224" t="n">
        <s:v>0.1904083333333333</s:v>
      </s:c>
      <s:c r="AF105" s="225" t="n">
        <s:v>26.36439231476213</s:v>
      </s:c>
      <s:c r="AG105" s="229" t="n">
        <s:v>0.199203187250461</s:v>
      </s:c>
      <s:c r="AH105" s="220" t="n">
        <s:v>18.8</s:v>
      </s:c>
      <s:c r="AI105" s="221" t="n">
        <s:v>1.092</s:v>
      </s:c>
      <s:c r="AJ105" s="221" t="n">
        <s:v>1.08</s:v>
      </s:c>
      <s:c r="AK105" s="222" t="n">
        <s:v>474.45</s:v>
      </s:c>
      <s:c r="AL105" s="222" t="n">
        <s:v>476.46</s:v>
      </s:c>
      <s:c r="AM105" s="230" t="n">
        <s:v>2.007</s:v>
      </s:c>
      <s:c r="AN105" s="223" t="inlineStr">
        <s:is>
          <s:t>7,21,350</s:t>
        </s:is>
      </s:c>
      <s:c r="AO105" s="224" t="inlineStr">
        <s:is>
          <s:t>7,</s:t>
        </s:is>
      </s:c>
      <s:c r="AP105" s="224" t="inlineStr">
        <s:is>
          <s:t>21,350</s:t>
        </s:is>
      </s:c>
      <s:c r="AQ105" s="224" t="n">
        <s:v>0.1225972222222222</s:v>
      </s:c>
      <s:c r="AR105" s="225" t="n">
        <s:v>16.37068086552623</s:v>
      </s:c>
      <s:c r="AS105" s="229" t="n">
        <s:v>0.1494768310907219</s:v>
      </s:c>
      <s:c r="AT105" s="231" t="inlineStr">
        <s:is>
          <s:t>CONFORME</s:t>
        </s:is>
      </s:c>
      <s:c r="AU105" s="232">
        <s:f>B105=C105</s:f>
        <s:v/>
      </s:c>
      <s:c r="AV105" s="233">
        <s:f>MID(G105,1,2)</s:f>
        <s:v/>
      </s:c>
      <s:c r="AW105" s="233">
        <s:f>LEN(G105)</s:f>
        <s:v/>
      </s:c>
      <s:c r="AX105" s="233" t="inlineStr">
        <s:is>
          <s:t>OI-0923-2025</s:t>
        </s:is>
      </s:c>
      <s:c r="AY105" s="233">
        <s:f>N105&lt;Y105</s:f>
        <s:v/>
      </s:c>
      <s:c r="AZ105" s="233">
        <s:f>Z105&lt;=AK105</s:f>
        <s:v/>
      </s:c>
      <s:c r="BA105" s="233">
        <s:f>L105&lt;K105</s:f>
        <s:v/>
      </s:c>
      <s:c r="BB105" s="233">
        <s:f>W105&gt;=X105</s:f>
        <s:v/>
      </s:c>
      <s:c r="BC105" s="233">
        <s:f>AI105&gt;=AJ105</s:f>
        <s:v/>
      </s:c>
      <s:c r="BD105" s="233">
        <s:f>IF(I105&gt;=1,"Qcorrecto",IF(AND(BE105="aceptable",BF105="aceptable",BG105="aceptable"),"Qcorrecto","Qincorrecto"))</s:f>
        <s:v/>
      </s:c>
      <s:c r="BE105" s="232">
        <s:f>IF(AR105&lt;$AH$6,"error",IF(AR105&gt;$AH$6*1.1,"error","aceptable"))</s:f>
        <s:v/>
      </s:c>
      <s:c r="BF105" s="232">
        <s:f>IF(AF105&lt;$V$6,"error",IF(AF105&gt;$V$6*1.1,"error","aceptable"))</s:f>
        <s:v/>
      </s:c>
      <s:c r="BG105" s="232">
        <s:f>IF(T105&lt;$J$6*0.9,"error",IF(T105&gt;$J$6,"error","aceptable"))</s:f>
        <s:v/>
      </s:c>
      <s:c r="BH105" s="234">
        <s:f>(IF(ABS(U105)&lt;1,"CONFORME",IF(ABS(AG105)&lt;1,"CONFORME",IF(ABS(AS105)&lt;2.5,"CONFORME","NO CONFORME"))))</s:f>
        <s:v/>
      </s:c>
      <s:c r="BI105" s="235">
        <s:f>(IF(ABS(U105)&gt;2.044,"NO CONFORME",IF(ABS(AG105)&gt;2.044,"NO CONFORME",IF(ABS(AS105)&gt;5.044,"NO CONFORME","CONFORME"))))</s:f>
        <s:v/>
      </s:c>
      <s:c r="BJ105" s="233">
        <s:f>SIGN(U105)</s:f>
        <s:v/>
      </s:c>
      <s:c r="BK105" s="233">
        <s:f>SIGN(AG105)</s:f>
        <s:v/>
      </s:c>
      <s:c r="BL105" s="233">
        <s:f>SIGN(AS105)</s:f>
        <s:v/>
      </s:c>
      <s:c r="BM105" s="233">
        <s:f>CONCATENATE(BJ105,BK105,BL105)</s:f>
        <s:v/>
      </s:c>
      <s:c r="BN105" s="233">
        <s:f>IF(BM105="111","SI","SD")</s:f>
        <s:v/>
      </s:c>
      <s:c r="BO105" s="233">
        <s:f>IF(BM105="-1-1-1","SI","SD")</s:f>
        <s:v/>
      </s:c>
      <s:c r="BP105" s="233">
        <s:f>OR(BN105="SI",BO105="SI")</s:f>
        <s:v/>
      </s:c>
      <s:c r="BQ105" s="233">
        <s:f>IF(BP105=FALSE,"SIGDIFERENTES","SIGIGUALES")</s:f>
        <s:v/>
      </s:c>
      <s:c r="BR105" s="236">
        <s:f>IF(BI105="NO CONFORME","NO CONFORME",IF(BH105="CONFORME","CONFORME","NO CONFORME"))</s:f>
        <s:v/>
      </s:c>
      <s:c r="BS105" s="233">
        <s:f>F105</s:f>
        <s:v/>
      </s:c>
      <s:c r="BT105" s="237">
        <s:f>G105</s:f>
        <s:v/>
      </s:c>
      <s:c r="BU105" s="233">
        <s:f>"20"&amp;+MID(G105,3,2)</s:f>
        <s:v/>
      </s:c>
      <s:c r="BV105" s="238">
        <s:f>C105</s:f>
        <s:v/>
      </s:c>
      <s:c r="BW105" s="233">
        <s:f>AT105</s:f>
        <s:v/>
      </s:c>
      <s:c r="BX105" s="238">
        <s:f>B105</s:f>
        <s:v/>
      </s:c>
      <s:c r="BY105" s="239">
        <s:f>H105</s:f>
        <s:v/>
      </s:c>
      <s:c r="BZ105" s="233">
        <s:f>IF(I105=0,"CONFORME","NO CONFORME")</s:f>
        <s:v/>
      </s:c>
      <s:c r="CA105" s="238">
        <s:f>C105</s:f>
        <s:v/>
      </s:c>
      <s:c r="CB105" s="240">
        <s:f>AH105</s:f>
        <s:v/>
      </s:c>
      <s:c r="CC105" s="241">
        <s:f>AR105</s:f>
        <s:v/>
      </s:c>
      <s:c r="CD105" s="240">
        <s:f>AI105</s:f>
        <s:v/>
      </s:c>
      <s:c r="CE105" s="240">
        <s:f>AJ105</s:f>
        <s:v/>
      </s:c>
      <s:c r="CF105" s="240">
        <s:f>AS105</s:f>
        <s:v/>
      </s:c>
      <s:c r="CG105" s="240">
        <s:f>V105</s:f>
        <s:v/>
      </s:c>
      <s:c r="CH105" s="241">
        <s:f>AF105</s:f>
        <s:v/>
      </s:c>
      <s:c r="CI105" s="240">
        <s:f>W105</s:f>
        <s:v/>
      </s:c>
      <s:c r="CJ105" s="240">
        <s:f>X105</s:f>
        <s:v/>
      </s:c>
      <s:c r="CK105" s="240">
        <s:f>AG105</s:f>
        <s:v/>
      </s:c>
      <s:c r="CL105" s="240">
        <s:f>J105</s:f>
        <s:v/>
      </s:c>
      <s:c r="CM105" s="241">
        <s:f>T105</s:f>
        <s:v/>
      </s:c>
      <s:c r="CN105" s="240">
        <s:f>K105</s:f>
        <s:v/>
      </s:c>
      <s:c r="CO105" s="240">
        <s:f>L105</s:f>
        <s:v/>
      </s:c>
      <s:c r="CP105" s="242">
        <s:f>U105</s:f>
        <s:v/>
      </s:c>
      <s:c r="CQ105" s="233">
        <s:f>AT105</s:f>
        <s:v/>
      </s:c>
    </s:row>
    <s:row r="106">
      <s:c r="A106" s="211" t="n">
        <s:v>6</s:v>
      </s:c>
      <s:c r="B106" s="212" t="n">
        <s:v>45901</s:v>
      </s:c>
      <s:c r="C106" s="213" t="n">
        <s:v>45901</s:v>
      </s:c>
      <s:c r="D106" s="214" t="n">
        <s:v>3</s:v>
      </s:c>
      <s:c r="E106" s="215" t="n">
        <s:v>13</s:v>
      </s:c>
      <s:c r="F106" s="216" t="inlineStr">
        <s:is>
          <s:t>VI-236581-2025</s:t>
        </s:is>
      </s:c>
      <s:c r="G106" s="217" t="inlineStr">
        <s:is>
          <s:t>QA25418452</s:t>
        </s:is>
      </s:c>
      <s:c r="H106" s="218" t="n">
        <s:v>16</s:v>
      </s:c>
      <s:c r="I106" s="219" t="n">
        <s:v>0</s:v>
      </s:c>
      <s:c r="J106" s="220" t="n">
        <s:v>19</s:v>
      </s:c>
      <s:c r="K106" s="221" t="n">
        <s:v>7.512</s:v>
      </s:c>
      <s:c r="L106" s="221" t="n">
        <s:v>1.152</s:v>
      </s:c>
      <s:c r="M106" s="222" t="n">
        <s:v>523.53</s:v>
      </s:c>
      <s:c r="N106" s="222" t="n">
        <s:v>623.87</s:v>
      </s:c>
      <s:c r="O106" s="222" t="n">
        <s:v>100.49</s:v>
      </s:c>
      <s:c r="P106" s="223" t="inlineStr">
        <s:is>
          <s:t>2,30,000</s:t>
        </s:is>
      </s:c>
      <s:c r="Q106" s="224" t="inlineStr">
        <s:is>
          <s:t>2</s:t>
        </s:is>
      </s:c>
      <s:c r="R106" s="224" t="inlineStr">
        <s:is>
          <s:t>30,000</s:t>
        </s:is>
      </s:c>
      <s:c r="S106" s="224" t="n">
        <s:v>0.04166666666666666</s:v>
      </s:c>
      <s:c r="T106" s="225" t="n">
        <s:v>2411.76</s:v>
      </s:c>
      <s:c r="U106" s="226" t="n">
        <s:v>-0.1492685839386636</s:v>
      </s:c>
      <s:c r="V106" s="220" t="n">
        <s:v>18.8</s:v>
      </s:c>
      <s:c r="W106" s="221" t="n">
        <s:v>1.093</s:v>
      </s:c>
      <s:c r="X106" s="221" t="n">
        <s:v>1.082</s:v>
      </s:c>
      <s:c r="Y106" s="222" t="n">
        <s:v>634.16</s:v>
      </s:c>
      <s:c r="Z106" s="222" t="n">
        <s:v>639.14</s:v>
      </s:c>
      <s:c r="AA106" s="227" t="n">
        <s:v>5.02</s:v>
      </s:c>
      <s:c r="AB106" s="228" t="inlineStr">
        <s:is>
          <s:t>11,25,470</s:t>
        </s:is>
      </s:c>
      <s:c r="AC106" s="224" t="inlineStr">
        <s:is>
          <s:t>11</s:t>
        </s:is>
      </s:c>
      <s:c r="AD106" s="224" t="inlineStr">
        <s:is>
          <s:t>25,470</s:t>
        </s:is>
      </s:c>
      <s:c r="AE106" s="224" t="n">
        <s:v>0.1904083333333333</s:v>
      </s:c>
      <s:c r="AF106" s="225" t="n">
        <s:v>26.36439231476213</s:v>
      </s:c>
      <s:c r="AG106" s="229" t="n">
        <s:v>-0.7968127490036133</s:v>
      </s:c>
      <s:c r="AH106" s="220" t="n">
        <s:v>18.8</s:v>
      </s:c>
      <s:c r="AI106" s="221" t="n">
        <s:v>1.092</s:v>
      </s:c>
      <s:c r="AJ106" s="221" t="n">
        <s:v>1.08</s:v>
      </s:c>
      <s:c r="AK106" s="222" t="n">
        <s:v>639.14</s:v>
      </s:c>
      <s:c r="AL106" s="222" t="n">
        <s:v>641.09</s:v>
      </s:c>
      <s:c r="AM106" s="230" t="n">
        <s:v>2.007</s:v>
      </s:c>
      <s:c r="AN106" s="223" t="inlineStr">
        <s:is>
          <s:t>7,21,350</s:t>
        </s:is>
      </s:c>
      <s:c r="AO106" s="224" t="inlineStr">
        <s:is>
          <s:t>7,</s:t>
        </s:is>
      </s:c>
      <s:c r="AP106" s="224" t="inlineStr">
        <s:is>
          <s:t>21,350</s:t>
        </s:is>
      </s:c>
      <s:c r="AQ106" s="224" t="n">
        <s:v>0.1225972222222222</s:v>
      </s:c>
      <s:c r="AR106" s="225" t="n">
        <s:v>16.37068086552623</s:v>
      </s:c>
      <s:c r="AS106" s="229" t="n">
        <s:v>-2.840059790730177</s:v>
      </s:c>
      <s:c r="AT106" s="231" t="inlineStr">
        <s:is>
          <s:t>CONFORME</s:t>
        </s:is>
      </s:c>
      <s:c r="AU106" s="232">
        <s:f>B106=C106</s:f>
        <s:v/>
      </s:c>
      <s:c r="AV106" s="233">
        <s:f>MID(G106,1,2)</s:f>
        <s:v/>
      </s:c>
      <s:c r="AW106" s="233">
        <s:f>LEN(G106)</s:f>
        <s:v/>
      </s:c>
      <s:c r="AX106" s="233" t="inlineStr">
        <s:is>
          <s:t>OI-0923-2025</s:t>
        </s:is>
      </s:c>
      <s:c r="AY106" s="233">
        <s:f>N106&lt;Y106</s:f>
        <s:v/>
      </s:c>
      <s:c r="AZ106" s="233">
        <s:f>Z106&lt;=AK106</s:f>
        <s:v/>
      </s:c>
      <s:c r="BA106" s="233">
        <s:f>L106&lt;K106</s:f>
        <s:v/>
      </s:c>
      <s:c r="BB106" s="233">
        <s:f>W106&gt;=X106</s:f>
        <s:v/>
      </s:c>
      <s:c r="BC106" s="233">
        <s:f>AI106&gt;=AJ106</s:f>
        <s:v/>
      </s:c>
      <s:c r="BD106" s="233">
        <s:f>IF(I106&gt;=1,"Qcorrecto",IF(AND(BE106="aceptable",BF106="aceptable",BG106="aceptable"),"Qcorrecto","Qincorrecto"))</s:f>
        <s:v/>
      </s:c>
      <s:c r="BE106" s="232">
        <s:f>IF(AR106&lt;$AH$6,"error",IF(AR106&gt;$AH$6*1.1,"error","aceptable"))</s:f>
        <s:v/>
      </s:c>
      <s:c r="BF106" s="232">
        <s:f>IF(AF106&lt;$V$6,"error",IF(AF106&gt;$V$6*1.1,"error","aceptable"))</s:f>
        <s:v/>
      </s:c>
      <s:c r="BG106" s="232">
        <s:f>IF(T106&lt;$J$6*0.9,"error",IF(T106&gt;$J$6,"error","aceptable"))</s:f>
        <s:v/>
      </s:c>
      <s:c r="BH106" s="234">
        <s:f>(IF(ABS(U106)&lt;1,"CONFORME",IF(ABS(AG106)&lt;1,"CONFORME",IF(ABS(AS106)&lt;2.5,"CONFORME","NO CONFORME"))))</s:f>
        <s:v/>
      </s:c>
      <s:c r="BI106" s="235">
        <s:f>(IF(ABS(U106)&gt;2.044,"NO CONFORME",IF(ABS(AG106)&gt;2.044,"NO CONFORME",IF(ABS(AS106)&gt;5.044,"NO CONFORME","CONFORME"))))</s:f>
        <s:v/>
      </s:c>
      <s:c r="BJ106" s="233">
        <s:f>SIGN(U106)</s:f>
        <s:v/>
      </s:c>
      <s:c r="BK106" s="233">
        <s:f>SIGN(AG106)</s:f>
        <s:v/>
      </s:c>
      <s:c r="BL106" s="233">
        <s:f>SIGN(AS106)</s:f>
        <s:v/>
      </s:c>
      <s:c r="BM106" s="233">
        <s:f>CONCATENATE(BJ106,BK106,BL106)</s:f>
        <s:v/>
      </s:c>
      <s:c r="BN106" s="233">
        <s:f>IF(BM106="111","SI","SD")</s:f>
        <s:v/>
      </s:c>
      <s:c r="BO106" s="233">
        <s:f>IF(BM106="-1-1-1","SI","SD")</s:f>
        <s:v/>
      </s:c>
      <s:c r="BP106" s="233">
        <s:f>OR(BN106="SI",BO106="SI")</s:f>
        <s:v/>
      </s:c>
      <s:c r="BQ106" s="233">
        <s:f>IF(BP106=FALSE,"SIGDIFERENTES","SIGIGUALES")</s:f>
        <s:v/>
      </s:c>
      <s:c r="BR106" s="236">
        <s:f>IF(BI106="NO CONFORME","NO CONFORME",IF(BH106="CONFORME","CONFORME","NO CONFORME"))</s:f>
        <s:v/>
      </s:c>
      <s:c r="BS106" s="233">
        <s:f>F106</s:f>
        <s:v/>
      </s:c>
      <s:c r="BT106" s="237">
        <s:f>G106</s:f>
        <s:v/>
      </s:c>
      <s:c r="BU106" s="233">
        <s:f>"20"&amp;+MID(G106,3,2)</s:f>
        <s:v/>
      </s:c>
      <s:c r="BV106" s="238">
        <s:f>C106</s:f>
        <s:v/>
      </s:c>
      <s:c r="BW106" s="233">
        <s:f>AT106</s:f>
        <s:v/>
      </s:c>
      <s:c r="BX106" s="238">
        <s:f>B106</s:f>
        <s:v/>
      </s:c>
      <s:c r="BY106" s="239">
        <s:f>H106</s:f>
        <s:v/>
      </s:c>
      <s:c r="BZ106" s="233">
        <s:f>IF(I106=0,"CONFORME","NO CONFORME")</s:f>
        <s:v/>
      </s:c>
      <s:c r="CA106" s="238">
        <s:f>C106</s:f>
        <s:v/>
      </s:c>
      <s:c r="CB106" s="240">
        <s:f>AH106</s:f>
        <s:v/>
      </s:c>
      <s:c r="CC106" s="241">
        <s:f>AR106</s:f>
        <s:v/>
      </s:c>
      <s:c r="CD106" s="240">
        <s:f>AI106</s:f>
        <s:v/>
      </s:c>
      <s:c r="CE106" s="240">
        <s:f>AJ106</s:f>
        <s:v/>
      </s:c>
      <s:c r="CF106" s="240">
        <s:f>AS106</s:f>
        <s:v/>
      </s:c>
      <s:c r="CG106" s="240">
        <s:f>V106</s:f>
        <s:v/>
      </s:c>
      <s:c r="CH106" s="241">
        <s:f>AF106</s:f>
        <s:v/>
      </s:c>
      <s:c r="CI106" s="240">
        <s:f>W106</s:f>
        <s:v/>
      </s:c>
      <s:c r="CJ106" s="240">
        <s:f>X106</s:f>
        <s:v/>
      </s:c>
      <s:c r="CK106" s="240">
        <s:f>AG106</s:f>
        <s:v/>
      </s:c>
      <s:c r="CL106" s="240">
        <s:f>J106</s:f>
        <s:v/>
      </s:c>
      <s:c r="CM106" s="241">
        <s:f>T106</s:f>
        <s:v/>
      </s:c>
      <s:c r="CN106" s="240">
        <s:f>K106</s:f>
        <s:v/>
      </s:c>
      <s:c r="CO106" s="240">
        <s:f>L106</s:f>
        <s:v/>
      </s:c>
      <s:c r="CP106" s="242">
        <s:f>U106</s:f>
        <s:v/>
      </s:c>
      <s:c r="CQ106" s="233">
        <s:f>AT106</s:f>
        <s:v/>
      </s:c>
    </s:row>
    <s:row r="107">
      <s:c r="A107" s="211" t="n">
        <s:v>7</s:v>
      </s:c>
      <s:c r="B107" s="212" t="n">
        <s:v>45901</s:v>
      </s:c>
      <s:c r="C107" s="213" t="n">
        <s:v>45901</s:v>
      </s:c>
      <s:c r="D107" s="214" t="n">
        <s:v>3</s:v>
      </s:c>
      <s:c r="E107" s="215" t="n">
        <s:v>13</s:v>
      </s:c>
      <s:c r="F107" s="216" t="inlineStr">
        <s:is>
          <s:t>VI-236582-2025</s:t>
        </s:is>
      </s:c>
      <s:c r="G107" s="217" t="inlineStr">
        <s:is>
          <s:t>QA25418403</s:t>
        </s:is>
      </s:c>
      <s:c r="H107" s="218" t="n">
        <s:v>16</s:v>
      </s:c>
      <s:c r="I107" s="219" t="n">
        <s:v>0</s:v>
      </s:c>
      <s:c r="J107" s="220" t="n">
        <s:v>19</s:v>
      </s:c>
      <s:c r="K107" s="221" t="n">
        <s:v>7.512</s:v>
      </s:c>
      <s:c r="L107" s="221" t="n">
        <s:v>1.152</s:v>
      </s:c>
      <s:c r="M107" s="222" t="n">
        <s:v>393.54</s:v>
      </s:c>
      <s:c r="N107" s="222" t="n">
        <s:v>494.05</s:v>
      </s:c>
      <s:c r="O107" s="222" t="n">
        <s:v>100.49</s:v>
      </s:c>
      <s:c r="P107" s="223" t="inlineStr">
        <s:is>
          <s:t>2,30,000</s:t>
        </s:is>
      </s:c>
      <s:c r="Q107" s="224" t="inlineStr">
        <s:is>
          <s:t>2</s:t>
        </s:is>
      </s:c>
      <s:c r="R107" s="224" t="inlineStr">
        <s:is>
          <s:t>30,000</s:t>
        </s:is>
      </s:c>
      <s:c r="S107" s="224" t="n">
        <s:v>0.04166666666666666</s:v>
      </s:c>
      <s:c r="T107" s="225" t="n">
        <s:v>2411.76</s:v>
      </s:c>
      <s:c r="U107" s="226" t="n">
        <s:v>0.01990247785848942</s:v>
      </s:c>
      <s:c r="V107" s="220" t="n">
        <s:v>18.8</s:v>
      </s:c>
      <s:c r="W107" s="221" t="n">
        <s:v>1.093</s:v>
      </s:c>
      <s:c r="X107" s="221" t="n">
        <s:v>1.082</s:v>
      </s:c>
      <s:c r="Y107" s="222" t="n">
        <s:v>504.44</s:v>
      </s:c>
      <s:c r="Z107" s="222" t="n">
        <s:v>509.45</s:v>
      </s:c>
      <s:c r="AA107" s="227" t="n">
        <s:v>5.02</s:v>
      </s:c>
      <s:c r="AB107" s="228" t="inlineStr">
        <s:is>
          <s:t>11,25,470</s:t>
        </s:is>
      </s:c>
      <s:c r="AC107" s="224" t="inlineStr">
        <s:is>
          <s:t>11</s:t>
        </s:is>
      </s:c>
      <s:c r="AD107" s="224" t="inlineStr">
        <s:is>
          <s:t>25,470</s:t>
        </s:is>
      </s:c>
      <s:c r="AE107" s="224" t="n">
        <s:v>0.1904083333333333</s:v>
      </s:c>
      <s:c r="AF107" s="225" t="n">
        <s:v>26.36439231476213</s:v>
      </s:c>
      <s:c r="AG107" s="229" t="n">
        <s:v>-0.1992031872511687</s:v>
      </s:c>
      <s:c r="AH107" s="220" t="n">
        <s:v>18.8</s:v>
      </s:c>
      <s:c r="AI107" s="221" t="n">
        <s:v>1.092</s:v>
      </s:c>
      <s:c r="AJ107" s="221" t="n">
        <s:v>1.08</s:v>
      </s:c>
      <s:c r="AK107" s="222" t="n">
        <s:v>509.45</s:v>
      </s:c>
      <s:c r="AL107" s="222" t="n">
        <s:v>511.41</s:v>
      </s:c>
      <s:c r="AM107" s="230" t="n">
        <s:v>2.007</s:v>
      </s:c>
      <s:c r="AN107" s="223" t="inlineStr">
        <s:is>
          <s:t>7,21,350</s:t>
        </s:is>
      </s:c>
      <s:c r="AO107" s="224" t="inlineStr">
        <s:is>
          <s:t>7,</s:t>
        </s:is>
      </s:c>
      <s:c r="AP107" s="224" t="inlineStr">
        <s:is>
          <s:t>21,350</s:t>
        </s:is>
      </s:c>
      <s:c r="AQ107" s="224" t="n">
        <s:v>0.1225972222222222</s:v>
      </s:c>
      <s:c r="AR107" s="225" t="n">
        <s:v>16.37068086552623</s:v>
      </s:c>
      <s:c r="AS107" s="229" t="n">
        <s:v>-2.34180368709336</s:v>
      </s:c>
      <s:c r="AT107" s="231" t="inlineStr">
        <s:is>
          <s:t>CONFORME</s:t>
        </s:is>
      </s:c>
      <s:c r="AU107" s="232">
        <s:f>B107=C107</s:f>
        <s:v/>
      </s:c>
      <s:c r="AV107" s="233">
        <s:f>MID(G107,1,2)</s:f>
        <s:v/>
      </s:c>
      <s:c r="AW107" s="233">
        <s:f>LEN(G107)</s:f>
        <s:v/>
      </s:c>
      <s:c r="AX107" s="233" t="inlineStr">
        <s:is>
          <s:t>OI-0923-2025</s:t>
        </s:is>
      </s:c>
      <s:c r="AY107" s="233">
        <s:f>N107&lt;Y107</s:f>
        <s:v/>
      </s:c>
      <s:c r="AZ107" s="233">
        <s:f>Z107&lt;=AK107</s:f>
        <s:v/>
      </s:c>
      <s:c r="BA107" s="233">
        <s:f>L107&lt;K107</s:f>
        <s:v/>
      </s:c>
      <s:c r="BB107" s="233">
        <s:f>W107&gt;=X107</s:f>
        <s:v/>
      </s:c>
      <s:c r="BC107" s="233">
        <s:f>AI107&gt;=AJ107</s:f>
        <s:v/>
      </s:c>
      <s:c r="BD107" s="233">
        <s:f>IF(I107&gt;=1,"Qcorrecto",IF(AND(BE107="aceptable",BF107="aceptable",BG107="aceptable"),"Qcorrecto","Qincorrecto"))</s:f>
        <s:v/>
      </s:c>
      <s:c r="BE107" s="232">
        <s:f>IF(AR107&lt;$AH$6,"error",IF(AR107&gt;$AH$6*1.1,"error","aceptable"))</s:f>
        <s:v/>
      </s:c>
      <s:c r="BF107" s="232">
        <s:f>IF(AF107&lt;$V$6,"error",IF(AF107&gt;$V$6*1.1,"error","aceptable"))</s:f>
        <s:v/>
      </s:c>
      <s:c r="BG107" s="232">
        <s:f>IF(T107&lt;$J$6*0.9,"error",IF(T107&gt;$J$6,"error","aceptable"))</s:f>
        <s:v/>
      </s:c>
      <s:c r="BH107" s="234">
        <s:f>(IF(ABS(U107)&lt;1,"CONFORME",IF(ABS(AG107)&lt;1,"CONFORME",IF(ABS(AS107)&lt;2.5,"CONFORME","NO CONFORME"))))</s:f>
        <s:v/>
      </s:c>
      <s:c r="BI107" s="235">
        <s:f>(IF(ABS(U107)&gt;2.044,"NO CONFORME",IF(ABS(AG107)&gt;2.044,"NO CONFORME",IF(ABS(AS107)&gt;5.044,"NO CONFORME","CONFORME"))))</s:f>
        <s:v/>
      </s:c>
      <s:c r="BJ107" s="233">
        <s:f>SIGN(U107)</s:f>
        <s:v/>
      </s:c>
      <s:c r="BK107" s="233">
        <s:f>SIGN(AG107)</s:f>
        <s:v/>
      </s:c>
      <s:c r="BL107" s="233">
        <s:f>SIGN(AS107)</s:f>
        <s:v/>
      </s:c>
      <s:c r="BM107" s="233">
        <s:f>CONCATENATE(BJ107,BK107,BL107)</s:f>
        <s:v/>
      </s:c>
      <s:c r="BN107" s="233">
        <s:f>IF(BM107="111","SI","SD")</s:f>
        <s:v/>
      </s:c>
      <s:c r="BO107" s="233">
        <s:f>IF(BM107="-1-1-1","SI","SD")</s:f>
        <s:v/>
      </s:c>
      <s:c r="BP107" s="233">
        <s:f>OR(BN107="SI",BO107="SI")</s:f>
        <s:v/>
      </s:c>
      <s:c r="BQ107" s="233">
        <s:f>IF(BP107=FALSE,"SIGDIFERENTES","SIGIGUALES")</s:f>
        <s:v/>
      </s:c>
      <s:c r="BR107" s="236">
        <s:f>IF(BI107="NO CONFORME","NO CONFORME",IF(BH107="CONFORME","CONFORME","NO CONFORME"))</s:f>
        <s:v/>
      </s:c>
      <s:c r="BS107" s="233">
        <s:f>F107</s:f>
        <s:v/>
      </s:c>
      <s:c r="BT107" s="237">
        <s:f>G107</s:f>
        <s:v/>
      </s:c>
      <s:c r="BU107" s="233">
        <s:f>"20"&amp;+MID(G107,3,2)</s:f>
        <s:v/>
      </s:c>
      <s:c r="BV107" s="238">
        <s:f>C107</s:f>
        <s:v/>
      </s:c>
      <s:c r="BW107" s="233">
        <s:f>AT107</s:f>
        <s:v/>
      </s:c>
      <s:c r="BX107" s="238">
        <s:f>B107</s:f>
        <s:v/>
      </s:c>
      <s:c r="BY107" s="239">
        <s:f>H107</s:f>
        <s:v/>
      </s:c>
      <s:c r="BZ107" s="233">
        <s:f>IF(I107=0,"CONFORME","NO CONFORME")</s:f>
        <s:v/>
      </s:c>
      <s:c r="CA107" s="238">
        <s:f>C107</s:f>
        <s:v/>
      </s:c>
      <s:c r="CB107" s="240">
        <s:f>AH107</s:f>
        <s:v/>
      </s:c>
      <s:c r="CC107" s="241">
        <s:f>AR107</s:f>
        <s:v/>
      </s:c>
      <s:c r="CD107" s="240">
        <s:f>AI107</s:f>
        <s:v/>
      </s:c>
      <s:c r="CE107" s="240">
        <s:f>AJ107</s:f>
        <s:v/>
      </s:c>
      <s:c r="CF107" s="240">
        <s:f>AS107</s:f>
        <s:v/>
      </s:c>
      <s:c r="CG107" s="240">
        <s:f>V107</s:f>
        <s:v/>
      </s:c>
      <s:c r="CH107" s="241">
        <s:f>AF107</s:f>
        <s:v/>
      </s:c>
      <s:c r="CI107" s="240">
        <s:f>W107</s:f>
        <s:v/>
      </s:c>
      <s:c r="CJ107" s="240">
        <s:f>X107</s:f>
        <s:v/>
      </s:c>
      <s:c r="CK107" s="240">
        <s:f>AG107</s:f>
        <s:v/>
      </s:c>
      <s:c r="CL107" s="240">
        <s:f>J107</s:f>
        <s:v/>
      </s:c>
      <s:c r="CM107" s="241">
        <s:f>T107</s:f>
        <s:v/>
      </s:c>
      <s:c r="CN107" s="240">
        <s:f>K107</s:f>
        <s:v/>
      </s:c>
      <s:c r="CO107" s="240">
        <s:f>L107</s:f>
        <s:v/>
      </s:c>
      <s:c r="CP107" s="242">
        <s:f>U107</s:f>
        <s:v/>
      </s:c>
      <s:c r="CQ107" s="233">
        <s:f>AT107</s:f>
        <s:v/>
      </s:c>
    </s:row>
    <s:row r="108">
      <s:c r="A108" s="211" t="n">
        <s:v>8</s:v>
      </s:c>
      <s:c r="B108" s="212" t="n">
        <s:v>45901</s:v>
      </s:c>
      <s:c r="C108" s="213" t="n">
        <s:v>45901</s:v>
      </s:c>
      <s:c r="D108" s="214" t="n">
        <s:v>3</s:v>
      </s:c>
      <s:c r="E108" s="215" t="n">
        <s:v>13</s:v>
      </s:c>
      <s:c r="F108" s="216" t="inlineStr">
        <s:is>
          <s:t>VI-236583-2025</s:t>
        </s:is>
      </s:c>
      <s:c r="G108" s="217" t="inlineStr">
        <s:is>
          <s:t>QA25418414</s:t>
        </s:is>
      </s:c>
      <s:c r="H108" s="218" t="n">
        <s:v>16</s:v>
      </s:c>
      <s:c r="I108" s="219" t="n">
        <s:v>0</s:v>
      </s:c>
      <s:c r="J108" s="220" t="n">
        <s:v>19</s:v>
      </s:c>
      <s:c r="K108" s="221" t="n">
        <s:v>7.512</s:v>
      </s:c>
      <s:c r="L108" s="221" t="n">
        <s:v>1.152</s:v>
      </s:c>
      <s:c r="M108" s="222" t="n">
        <s:v>542.4</s:v>
      </s:c>
      <s:c r="N108" s="222" t="n">
        <s:v>643.46</s:v>
      </s:c>
      <s:c r="O108" s="222" t="n">
        <s:v>100.49</s:v>
      </s:c>
      <s:c r="P108" s="223" t="inlineStr">
        <s:is>
          <s:t>2,30,000</s:t>
        </s:is>
      </s:c>
      <s:c r="Q108" s="224" t="inlineStr">
        <s:is>
          <s:t>2</s:t>
        </s:is>
      </s:c>
      <s:c r="R108" s="224" t="inlineStr">
        <s:is>
          <s:t>30,000</s:t>
        </s:is>
      </s:c>
      <s:c r="S108" s="224" t="n">
        <s:v>0.04166666666666666</s:v>
      </s:c>
      <s:c r="T108" s="225" t="n">
        <s:v>2411.76</s:v>
      </s:c>
      <s:c r="U108" s="226" t="n">
        <s:v>0.5672206189671254</s:v>
      </s:c>
      <s:c r="V108" s="220" t="n">
        <s:v>18.8</s:v>
      </s:c>
      <s:c r="W108" s="221" t="n">
        <s:v>1.093</s:v>
      </s:c>
      <s:c r="X108" s="221" t="n">
        <s:v>1.082</s:v>
      </s:c>
      <s:c r="Y108" s="222" t="n">
        <s:v>653.8099999999999</s:v>
      </s:c>
      <s:c r="Z108" s="222" t="n">
        <s:v>658.87</s:v>
      </s:c>
      <s:c r="AA108" s="227" t="n">
        <s:v>5.02</s:v>
      </s:c>
      <s:c r="AB108" s="228" t="inlineStr">
        <s:is>
          <s:t>11,25,470</s:t>
        </s:is>
      </s:c>
      <s:c r="AC108" s="224" t="inlineStr">
        <s:is>
          <s:t>11</s:t>
        </s:is>
      </s:c>
      <s:c r="AD108" s="224" t="inlineStr">
        <s:is>
          <s:t>25,470</s:t>
        </s:is>
      </s:c>
      <s:c r="AE108" s="224" t="n">
        <s:v>0.1904083333333333</s:v>
      </s:c>
      <s:c r="AF108" s="225" t="n">
        <s:v>26.36439231476213</s:v>
      </s:c>
      <s:c r="AG108" s="229" t="n">
        <s:v>0.7968127490051703</s:v>
      </s:c>
      <s:c r="AH108" s="220" t="n">
        <s:v>18.8</s:v>
      </s:c>
      <s:c r="AI108" s="221" t="n">
        <s:v>1.092</s:v>
      </s:c>
      <s:c r="AJ108" s="221" t="n">
        <s:v>1.08</s:v>
      </s:c>
      <s:c r="AK108" s="222" t="n">
        <s:v>658.87</s:v>
      </s:c>
      <s:c r="AL108" s="222" t="n">
        <s:v>660.85</s:v>
      </s:c>
      <s:c r="AM108" s="230" t="n">
        <s:v>2.007</s:v>
      </s:c>
      <s:c r="AN108" s="223" t="inlineStr">
        <s:is>
          <s:t>7,21,350</s:t>
        </s:is>
      </s:c>
      <s:c r="AO108" s="224" t="inlineStr">
        <s:is>
          <s:t>7,</s:t>
        </s:is>
      </s:c>
      <s:c r="AP108" s="224" t="inlineStr">
        <s:is>
          <s:t>21,350</s:t>
        </s:is>
      </s:c>
      <s:c r="AQ108" s="224" t="n">
        <s:v>0.1225972222222222</s:v>
      </s:c>
      <s:c r="AR108" s="225" t="n">
        <s:v>16.37068086552623</s:v>
      </s:c>
      <s:c r="AS108" s="229" t="n">
        <s:v>-1.345291479819727</s:v>
      </s:c>
      <s:c r="AT108" s="231" t="inlineStr">
        <s:is>
          <s:t>CONFORME</s:t>
        </s:is>
      </s:c>
      <s:c r="AU108" s="232">
        <s:f>B108=C108</s:f>
        <s:v/>
      </s:c>
      <s:c r="AV108" s="233">
        <s:f>MID(G108,1,2)</s:f>
        <s:v/>
      </s:c>
      <s:c r="AW108" s="233">
        <s:f>LEN(G108)</s:f>
        <s:v/>
      </s:c>
      <s:c r="AX108" s="233" t="inlineStr">
        <s:is>
          <s:t>OI-0923-2025</s:t>
        </s:is>
      </s:c>
      <s:c r="AY108" s="233">
        <s:f>N108&lt;Y108</s:f>
        <s:v/>
      </s:c>
      <s:c r="AZ108" s="233">
        <s:f>Z108&lt;=AK108</s:f>
        <s:v/>
      </s:c>
      <s:c r="BA108" s="233">
        <s:f>L108&lt;K108</s:f>
        <s:v/>
      </s:c>
      <s:c r="BB108" s="233">
        <s:f>W108&gt;=X108</s:f>
        <s:v/>
      </s:c>
      <s:c r="BC108" s="233">
        <s:f>AI108&gt;=AJ108</s:f>
        <s:v/>
      </s:c>
      <s:c r="BD108" s="233">
        <s:f>IF(I108&gt;=1,"Qcorrecto",IF(AND(BE108="aceptable",BF108="aceptable",BG108="aceptable"),"Qcorrecto","Qincorrecto"))</s:f>
        <s:v/>
      </s:c>
      <s:c r="BE108" s="232">
        <s:f>IF(AR108&lt;$AH$6,"error",IF(AR108&gt;$AH$6*1.1,"error","aceptable"))</s:f>
        <s:v/>
      </s:c>
      <s:c r="BF108" s="232">
        <s:f>IF(AF108&lt;$V$6,"error",IF(AF108&gt;$V$6*1.1,"error","aceptable"))</s:f>
        <s:v/>
      </s:c>
      <s:c r="BG108" s="232">
        <s:f>IF(T108&lt;$J$6*0.9,"error",IF(T108&gt;$J$6,"error","aceptable"))</s:f>
        <s:v/>
      </s:c>
      <s:c r="BH108" s="234">
        <s:f>(IF(ABS(U108)&lt;1,"CONFORME",IF(ABS(AG108)&lt;1,"CONFORME",IF(ABS(AS108)&lt;2.5,"CONFORME","NO CONFORME"))))</s:f>
        <s:v/>
      </s:c>
      <s:c r="BI108" s="235">
        <s:f>(IF(ABS(U108)&gt;2.044,"NO CONFORME",IF(ABS(AG108)&gt;2.044,"NO CONFORME",IF(ABS(AS108)&gt;5.044,"NO CONFORME","CONFORME"))))</s:f>
        <s:v/>
      </s:c>
      <s:c r="BJ108" s="233">
        <s:f>SIGN(U108)</s:f>
        <s:v/>
      </s:c>
      <s:c r="BK108" s="233">
        <s:f>SIGN(AG108)</s:f>
        <s:v/>
      </s:c>
      <s:c r="BL108" s="233">
        <s:f>SIGN(AS108)</s:f>
        <s:v/>
      </s:c>
      <s:c r="BM108" s="233">
        <s:f>CONCATENATE(BJ108,BK108,BL108)</s:f>
        <s:v/>
      </s:c>
      <s:c r="BN108" s="233">
        <s:f>IF(BM108="111","SI","SD")</s:f>
        <s:v/>
      </s:c>
      <s:c r="BO108" s="233">
        <s:f>IF(BM108="-1-1-1","SI","SD")</s:f>
        <s:v/>
      </s:c>
      <s:c r="BP108" s="233">
        <s:f>OR(BN108="SI",BO108="SI")</s:f>
        <s:v/>
      </s:c>
      <s:c r="BQ108" s="233">
        <s:f>IF(BP108=FALSE,"SIGDIFERENTES","SIGIGUALES")</s:f>
        <s:v/>
      </s:c>
      <s:c r="BR108" s="236">
        <s:f>IF(BI108="NO CONFORME","NO CONFORME",IF(BH108="CONFORME","CONFORME","NO CONFORME"))</s:f>
        <s:v/>
      </s:c>
      <s:c r="BS108" s="233">
        <s:f>F108</s:f>
        <s:v/>
      </s:c>
      <s:c r="BT108" s="237">
        <s:f>G108</s:f>
        <s:v/>
      </s:c>
      <s:c r="BU108" s="233">
        <s:f>"20"&amp;+MID(G108,3,2)</s:f>
        <s:v/>
      </s:c>
      <s:c r="BV108" s="238">
        <s:f>C108</s:f>
        <s:v/>
      </s:c>
      <s:c r="BW108" s="233">
        <s:f>AT108</s:f>
        <s:v/>
      </s:c>
      <s:c r="BX108" s="238">
        <s:f>B108</s:f>
        <s:v/>
      </s:c>
      <s:c r="BY108" s="239">
        <s:f>H108</s:f>
        <s:v/>
      </s:c>
      <s:c r="BZ108" s="233">
        <s:f>IF(I108=0,"CONFORME","NO CONFORME")</s:f>
        <s:v/>
      </s:c>
      <s:c r="CA108" s="238">
        <s:f>C108</s:f>
        <s:v/>
      </s:c>
      <s:c r="CB108" s="240">
        <s:f>AH108</s:f>
        <s:v/>
      </s:c>
      <s:c r="CC108" s="241">
        <s:f>AR108</s:f>
        <s:v/>
      </s:c>
      <s:c r="CD108" s="240">
        <s:f>AI108</s:f>
        <s:v/>
      </s:c>
      <s:c r="CE108" s="240">
        <s:f>AJ108</s:f>
        <s:v/>
      </s:c>
      <s:c r="CF108" s="240">
        <s:f>AS108</s:f>
        <s:v/>
      </s:c>
      <s:c r="CG108" s="240">
        <s:f>V108</s:f>
        <s:v/>
      </s:c>
      <s:c r="CH108" s="241">
        <s:f>AF108</s:f>
        <s:v/>
      </s:c>
      <s:c r="CI108" s="240">
        <s:f>W108</s:f>
        <s:v/>
      </s:c>
      <s:c r="CJ108" s="240">
        <s:f>X108</s:f>
        <s:v/>
      </s:c>
      <s:c r="CK108" s="240">
        <s:f>AG108</s:f>
        <s:v/>
      </s:c>
      <s:c r="CL108" s="240">
        <s:f>J108</s:f>
        <s:v/>
      </s:c>
      <s:c r="CM108" s="241">
        <s:f>T108</s:f>
        <s:v/>
      </s:c>
      <s:c r="CN108" s="240">
        <s:f>K108</s:f>
        <s:v/>
      </s:c>
      <s:c r="CO108" s="240">
        <s:f>L108</s:f>
        <s:v/>
      </s:c>
      <s:c r="CP108" s="242">
        <s:f>U108</s:f>
        <s:v/>
      </s:c>
      <s:c r="CQ108" s="233">
        <s:f>AT108</s:f>
        <s:v/>
      </s:c>
    </s:row>
    <s:row r="109">
      <s:c r="A109" s="211" t="n">
        <s:v>9</s:v>
      </s:c>
      <s:c r="B109" s="212" t="n">
        <s:v>45901</s:v>
      </s:c>
      <s:c r="C109" s="213" t="n">
        <s:v>45901</s:v>
      </s:c>
      <s:c r="D109" s="214" t="n">
        <s:v>3</s:v>
      </s:c>
      <s:c r="E109" s="215" t="n">
        <s:v>13</s:v>
      </s:c>
      <s:c r="F109" s="216" t="inlineStr">
        <s:is>
          <s:t>VI-236584-2025</s:t>
        </s:is>
      </s:c>
      <s:c r="G109" s="217" t="inlineStr">
        <s:is>
          <s:t>QA25418409</s:t>
        </s:is>
      </s:c>
      <s:c r="H109" s="218" t="n">
        <s:v>16</s:v>
      </s:c>
      <s:c r="I109" s="219" t="n">
        <s:v>0</s:v>
      </s:c>
      <s:c r="J109" s="220" t="n">
        <s:v>19</s:v>
      </s:c>
      <s:c r="K109" s="221" t="n">
        <s:v>7.512</s:v>
      </s:c>
      <s:c r="L109" s="221" t="n">
        <s:v>1.152</s:v>
      </s:c>
      <s:c r="M109" s="222" t="n">
        <s:v>387.14</s:v>
      </s:c>
      <s:c r="N109" s="222" t="n">
        <s:v>487.15</s:v>
      </s:c>
      <s:c r="O109" s="222" t="n">
        <s:v>100.49</s:v>
      </s:c>
      <s:c r="P109" s="223" t="inlineStr">
        <s:is>
          <s:t>2,30,000</s:t>
        </s:is>
      </s:c>
      <s:c r="Q109" s="224" t="inlineStr">
        <s:is>
          <s:t>2</s:t>
        </s:is>
      </s:c>
      <s:c r="R109" s="224" t="inlineStr">
        <s:is>
          <s:t>30,000</s:t>
        </s:is>
      </s:c>
      <s:c r="S109" s="224" t="n">
        <s:v>0.04166666666666666</s:v>
      </s:c>
      <s:c r="T109" s="225" t="n">
        <s:v>2411.76</s:v>
      </s:c>
      <s:c r="U109" s="226" t="n">
        <s:v>-0.4776594686038451</s:v>
      </s:c>
      <s:c r="V109" s="220" t="n">
        <s:v>18.8</s:v>
      </s:c>
      <s:c r="W109" s="221" t="n">
        <s:v>1.093</s:v>
      </s:c>
      <s:c r="X109" s="221" t="n">
        <s:v>1.082</s:v>
      </s:c>
      <s:c r="Y109" s="222" t="n">
        <s:v>497.47</s:v>
      </s:c>
      <s:c r="Z109" s="222" t="n">
        <s:v>502.45</s:v>
      </s:c>
      <s:c r="AA109" s="227" t="n">
        <s:v>5.02</s:v>
      </s:c>
      <s:c r="AB109" s="228" t="inlineStr">
        <s:is>
          <s:t>11,25,470</s:t>
        </s:is>
      </s:c>
      <s:c r="AC109" s="224" t="inlineStr">
        <s:is>
          <s:t>11</s:t>
        </s:is>
      </s:c>
      <s:c r="AD109" s="224" t="inlineStr">
        <s:is>
          <s:t>25,470</s:t>
        </s:is>
      </s:c>
      <s:c r="AE109" s="224" t="n">
        <s:v>0.1904083333333333</s:v>
      </s:c>
      <s:c r="AF109" s="225" t="n">
        <s:v>26.36439231476213</s:v>
      </s:c>
      <s:c r="AG109" s="229" t="n">
        <s:v>-0.7968127490047456</s:v>
      </s:c>
      <s:c r="AH109" s="220" t="n">
        <s:v>18.8</s:v>
      </s:c>
      <s:c r="AI109" s="221" t="n">
        <s:v>1.092</s:v>
      </s:c>
      <s:c r="AJ109" s="221" t="n">
        <s:v>1.08</s:v>
      </s:c>
      <s:c r="AK109" s="222" t="n">
        <s:v>502.45</s:v>
      </s:c>
      <s:c r="AL109" s="222" t="n">
        <s:v>504.37</s:v>
      </s:c>
      <s:c r="AM109" s="230" t="n">
        <s:v>2.007</s:v>
      </s:c>
      <s:c r="AN109" s="223" t="inlineStr">
        <s:is>
          <s:t>7,21,350</s:t>
        </s:is>
      </s:c>
      <s:c r="AO109" s="224" t="inlineStr">
        <s:is>
          <s:t>7,</s:t>
        </s:is>
      </s:c>
      <s:c r="AP109" s="224" t="inlineStr">
        <s:is>
          <s:t>21,350</s:t>
        </s:is>
      </s:c>
      <s:c r="AQ109" s="224" t="n">
        <s:v>0.1225972222222222</s:v>
      </s:c>
      <s:c r="AR109" s="225" t="n">
        <s:v>16.37068086552623</s:v>
      </s:c>
      <s:c r="AS109" s="229" t="n">
        <s:v>-4.334828101643458</s:v>
      </s:c>
      <s:c r="AT109" s="231" t="inlineStr">
        <s:is>
          <s:t>CONFORME</s:t>
        </s:is>
      </s:c>
      <s:c r="AU109" s="232">
        <s:f>B109=C109</s:f>
        <s:v/>
      </s:c>
      <s:c r="AV109" s="233">
        <s:f>MID(G109,1,2)</s:f>
        <s:v/>
      </s:c>
      <s:c r="AW109" s="233">
        <s:f>LEN(G109)</s:f>
        <s:v/>
      </s:c>
      <s:c r="AX109" s="233" t="inlineStr">
        <s:is>
          <s:t>OI-0923-2025</s:t>
        </s:is>
      </s:c>
      <s:c r="AY109" s="233">
        <s:f>N109&lt;Y109</s:f>
        <s:v/>
      </s:c>
      <s:c r="AZ109" s="233">
        <s:f>Z109&lt;=AK109</s:f>
        <s:v/>
      </s:c>
      <s:c r="BA109" s="233">
        <s:f>L109&lt;K109</s:f>
        <s:v/>
      </s:c>
      <s:c r="BB109" s="233">
        <s:f>W109&gt;=X109</s:f>
        <s:v/>
      </s:c>
      <s:c r="BC109" s="233">
        <s:f>AI109&gt;=AJ109</s:f>
        <s:v/>
      </s:c>
      <s:c r="BD109" s="233">
        <s:f>IF(I109&gt;=1,"Qcorrecto",IF(AND(BE109="aceptable",BF109="aceptable",BG109="aceptable"),"Qcorrecto","Qincorrecto"))</s:f>
        <s:v/>
      </s:c>
      <s:c r="BE109" s="232">
        <s:f>IF(AR109&lt;$AH$6,"error",IF(AR109&gt;$AH$6*1.1,"error","aceptable"))</s:f>
        <s:v/>
      </s:c>
      <s:c r="BF109" s="232">
        <s:f>IF(AF109&lt;$V$6,"error",IF(AF109&gt;$V$6*1.1,"error","aceptable"))</s:f>
        <s:v/>
      </s:c>
      <s:c r="BG109" s="232">
        <s:f>IF(T109&lt;$J$6*0.9,"error",IF(T109&gt;$J$6,"error","aceptable"))</s:f>
        <s:v/>
      </s:c>
      <s:c r="BH109" s="234">
        <s:f>(IF(ABS(U109)&lt;1,"CONFORME",IF(ABS(AG109)&lt;1,"CONFORME",IF(ABS(AS109)&lt;2.5,"CONFORME","NO CONFORME"))))</s:f>
        <s:v/>
      </s:c>
      <s:c r="BI109" s="235">
        <s:f>(IF(ABS(U109)&gt;2.044,"NO CONFORME",IF(ABS(AG109)&gt;2.044,"NO CONFORME",IF(ABS(AS109)&gt;5.044,"NO CONFORME","CONFORME"))))</s:f>
        <s:v/>
      </s:c>
      <s:c r="BJ109" s="233">
        <s:f>SIGN(U109)</s:f>
        <s:v/>
      </s:c>
      <s:c r="BK109" s="233">
        <s:f>SIGN(AG109)</s:f>
        <s:v/>
      </s:c>
      <s:c r="BL109" s="233">
        <s:f>SIGN(AS109)</s:f>
        <s:v/>
      </s:c>
      <s:c r="BM109" s="233">
        <s:f>CONCATENATE(BJ109,BK109,BL109)</s:f>
        <s:v/>
      </s:c>
      <s:c r="BN109" s="233">
        <s:f>IF(BM109="111","SI","SD")</s:f>
        <s:v/>
      </s:c>
      <s:c r="BO109" s="233">
        <s:f>IF(BM109="-1-1-1","SI","SD")</s:f>
        <s:v/>
      </s:c>
      <s:c r="BP109" s="233">
        <s:f>OR(BN109="SI",BO109="SI")</s:f>
        <s:v/>
      </s:c>
      <s:c r="BQ109" s="233">
        <s:f>IF(BP109=FALSE,"SIGDIFERENTES","SIGIGUALES")</s:f>
        <s:v/>
      </s:c>
      <s:c r="BR109" s="236">
        <s:f>IF(BI109="NO CONFORME","NO CONFORME",IF(BH109="CONFORME","CONFORME","NO CONFORME"))</s:f>
        <s:v/>
      </s:c>
      <s:c r="BS109" s="233">
        <s:f>F109</s:f>
        <s:v/>
      </s:c>
      <s:c r="BT109" s="237">
        <s:f>G109</s:f>
        <s:v/>
      </s:c>
      <s:c r="BU109" s="233">
        <s:f>"20"&amp;+MID(G109,3,2)</s:f>
        <s:v/>
      </s:c>
      <s:c r="BV109" s="238">
        <s:f>C109</s:f>
        <s:v/>
      </s:c>
      <s:c r="BW109" s="233">
        <s:f>AT109</s:f>
        <s:v/>
      </s:c>
      <s:c r="BX109" s="238">
        <s:f>B109</s:f>
        <s:v/>
      </s:c>
      <s:c r="BY109" s="239">
        <s:f>H109</s:f>
        <s:v/>
      </s:c>
      <s:c r="BZ109" s="233">
        <s:f>IF(I109=0,"CONFORME","NO CONFORME")</s:f>
        <s:v/>
      </s:c>
      <s:c r="CA109" s="238">
        <s:f>C109</s:f>
        <s:v/>
      </s:c>
      <s:c r="CB109" s="240">
        <s:f>AH109</s:f>
        <s:v/>
      </s:c>
      <s:c r="CC109" s="241">
        <s:f>AR109</s:f>
        <s:v/>
      </s:c>
      <s:c r="CD109" s="240">
        <s:f>AI109</s:f>
        <s:v/>
      </s:c>
      <s:c r="CE109" s="240">
        <s:f>AJ109</s:f>
        <s:v/>
      </s:c>
      <s:c r="CF109" s="240">
        <s:f>AS109</s:f>
        <s:v/>
      </s:c>
      <s:c r="CG109" s="240">
        <s:f>V109</s:f>
        <s:v/>
      </s:c>
      <s:c r="CH109" s="241">
        <s:f>AF109</s:f>
        <s:v/>
      </s:c>
      <s:c r="CI109" s="240">
        <s:f>W109</s:f>
        <s:v/>
      </s:c>
      <s:c r="CJ109" s="240">
        <s:f>X109</s:f>
        <s:v/>
      </s:c>
      <s:c r="CK109" s="240">
        <s:f>AG109</s:f>
        <s:v/>
      </s:c>
      <s:c r="CL109" s="240">
        <s:f>J109</s:f>
        <s:v/>
      </s:c>
      <s:c r="CM109" s="241">
        <s:f>T109</s:f>
        <s:v/>
      </s:c>
      <s:c r="CN109" s="240">
        <s:f>K109</s:f>
        <s:v/>
      </s:c>
      <s:c r="CO109" s="240">
        <s:f>L109</s:f>
        <s:v/>
      </s:c>
      <s:c r="CP109" s="242">
        <s:f>U109</s:f>
        <s:v/>
      </s:c>
      <s:c r="CQ109" s="233">
        <s:f>AT109</s:f>
        <s:v/>
      </s:c>
    </s:row>
    <s:row r="110">
      <s:c r="A110" s="211" t="n">
        <s:v>10</s:v>
      </s:c>
      <s:c r="B110" s="212" t="n">
        <s:v>45901</s:v>
      </s:c>
      <s:c r="C110" s="213" t="n">
        <s:v>45901</s:v>
      </s:c>
      <s:c r="D110" s="214" t="n">
        <s:v>3</s:v>
      </s:c>
      <s:c r="E110" s="215" t="n">
        <s:v>13</s:v>
      </s:c>
      <s:c r="F110" s="216" t="inlineStr">
        <s:is>
          <s:t>VI-236585-2025</s:t>
        </s:is>
      </s:c>
      <s:c r="G110" s="217" t="inlineStr">
        <s:is>
          <s:t>QA25418448</s:t>
        </s:is>
      </s:c>
      <s:c r="H110" s="218" t="n">
        <s:v>16</s:v>
      </s:c>
      <s:c r="I110" s="219" t="n">
        <s:v>0</s:v>
      </s:c>
      <s:c r="J110" s="220" t="n">
        <s:v>19</s:v>
      </s:c>
      <s:c r="K110" s="221" t="n">
        <s:v>7.512</s:v>
      </s:c>
      <s:c r="L110" s="221" t="n">
        <s:v>1.152</s:v>
      </s:c>
      <s:c r="M110" s="222" t="n">
        <s:v>328.81</s:v>
      </s:c>
      <s:c r="N110" s="222" t="n">
        <s:v>428.82</s:v>
      </s:c>
      <s:c r="O110" s="222" t="n">
        <s:v>100.49</s:v>
      </s:c>
      <s:c r="P110" s="223" t="inlineStr">
        <s:is>
          <s:t>2,30,000</s:t>
        </s:is>
      </s:c>
      <s:c r="Q110" s="224" t="inlineStr">
        <s:is>
          <s:t>2</s:t>
        </s:is>
      </s:c>
      <s:c r="R110" s="224" t="inlineStr">
        <s:is>
          <s:t>30,000</s:t>
        </s:is>
      </s:c>
      <s:c r="S110" s="224" t="n">
        <s:v>0.04166666666666666</s:v>
      </s:c>
      <s:c r="T110" s="225" t="n">
        <s:v>2411.76</s:v>
      </s:c>
      <s:c r="U110" s="226" t="n">
        <s:v>-0.4776594686038451</s:v>
      </s:c>
      <s:c r="V110" s="220" t="n">
        <s:v>18.8</s:v>
      </s:c>
      <s:c r="W110" s="221" t="n">
        <s:v>1.093</s:v>
      </s:c>
      <s:c r="X110" s="221" t="n">
        <s:v>1.082</s:v>
      </s:c>
      <s:c r="Y110" s="222" t="n">
        <s:v>439.17</s:v>
      </s:c>
      <s:c r="Z110" s="222" t="n">
        <s:v>444.13</s:v>
      </s:c>
      <s:c r="AA110" s="227" t="n">
        <s:v>5.02</s:v>
      </s:c>
      <s:c r="AB110" s="228" t="inlineStr">
        <s:is>
          <s:t>11,25,470</s:t>
        </s:is>
      </s:c>
      <s:c r="AC110" s="224" t="inlineStr">
        <s:is>
          <s:t>11</s:t>
        </s:is>
      </s:c>
      <s:c r="AD110" s="224" t="inlineStr">
        <s:is>
          <s:t>25,470</s:t>
        </s:is>
      </s:c>
      <s:c r="AE110" s="224" t="n">
        <s:v>0.1904083333333333</s:v>
      </s:c>
      <s:c r="AF110" s="225" t="n">
        <s:v>26.36439231476213</s:v>
      </s:c>
      <s:c r="AG110" s="229" t="n">
        <s:v>-1.195219123506375</s:v>
      </s:c>
      <s:c r="AH110" s="220" t="n">
        <s:v>18.8</s:v>
      </s:c>
      <s:c r="AI110" s="221" t="n">
        <s:v>1.092</s:v>
      </s:c>
      <s:c r="AJ110" s="221" t="n">
        <s:v>1.08</s:v>
      </s:c>
      <s:c r="AK110" s="222" t="n">
        <s:v>444.13</s:v>
      </s:c>
      <s:c r="AL110" s="222" t="n">
        <s:v>446.05</s:v>
      </s:c>
      <s:c r="AM110" s="230" t="n">
        <s:v>2.007</s:v>
      </s:c>
      <s:c r="AN110" s="223" t="inlineStr">
        <s:is>
          <s:t>7,21,350</s:t>
        </s:is>
      </s:c>
      <s:c r="AO110" s="224" t="inlineStr">
        <s:is>
          <s:t>7,</s:t>
        </s:is>
      </s:c>
      <s:c r="AP110" s="224" t="inlineStr">
        <s:is>
          <s:t>21,350</s:t>
        </s:is>
      </s:c>
      <s:c r="AQ110" s="224" t="n">
        <s:v>0.1225972222222222</s:v>
      </s:c>
      <s:c r="AR110" s="225" t="n">
        <s:v>16.37068086552623</s:v>
      </s:c>
      <s:c r="AS110" s="229" t="n">
        <s:v>-4.334828101643458</s:v>
      </s:c>
      <s:c r="AT110" s="231" t="inlineStr">
        <s:is>
          <s:t>CONFORME</s:t>
        </s:is>
      </s:c>
      <s:c r="AU110" s="232">
        <s:f>B110=C110</s:f>
        <s:v/>
      </s:c>
      <s:c r="AV110" s="233">
        <s:f>MID(G110,1,2)</s:f>
        <s:v/>
      </s:c>
      <s:c r="AW110" s="233">
        <s:f>LEN(G110)</s:f>
        <s:v/>
      </s:c>
      <s:c r="AX110" s="233" t="inlineStr">
        <s:is>
          <s:t>OI-0923-2025</s:t>
        </s:is>
      </s:c>
      <s:c r="AY110" s="233">
        <s:f>N110&lt;Y110</s:f>
        <s:v/>
      </s:c>
      <s:c r="AZ110" s="233">
        <s:f>Z110&lt;=AK110</s:f>
        <s:v/>
      </s:c>
      <s:c r="BA110" s="233">
        <s:f>L110&lt;K110</s:f>
        <s:v/>
      </s:c>
      <s:c r="BB110" s="233">
        <s:f>W110&gt;=X110</s:f>
        <s:v/>
      </s:c>
      <s:c r="BC110" s="233">
        <s:f>AI110&gt;=AJ110</s:f>
        <s:v/>
      </s:c>
      <s:c r="BD110" s="233">
        <s:f>IF(I110&gt;=1,"Qcorrecto",IF(AND(BE110="aceptable",BF110="aceptable",BG110="aceptable"),"Qcorrecto","Qincorrecto"))</s:f>
        <s:v/>
      </s:c>
      <s:c r="BE110" s="232">
        <s:f>IF(AR110&lt;$AH$6,"error",IF(AR110&gt;$AH$6*1.1,"error","aceptable"))</s:f>
        <s:v/>
      </s:c>
      <s:c r="BF110" s="232">
        <s:f>IF(AF110&lt;$V$6,"error",IF(AF110&gt;$V$6*1.1,"error","aceptable"))</s:f>
        <s:v/>
      </s:c>
      <s:c r="BG110" s="232">
        <s:f>IF(T110&lt;$J$6*0.9,"error",IF(T110&gt;$J$6,"error","aceptable"))</s:f>
        <s:v/>
      </s:c>
      <s:c r="BH110" s="234">
        <s:f>(IF(ABS(U110)&lt;1,"CONFORME",IF(ABS(AG110)&lt;1,"CONFORME",IF(ABS(AS110)&lt;2.5,"CONFORME","NO CONFORME"))))</s:f>
        <s:v/>
      </s:c>
      <s:c r="BI110" s="235">
        <s:f>(IF(ABS(U110)&gt;2.044,"NO CONFORME",IF(ABS(AG110)&gt;2.044,"NO CONFORME",IF(ABS(AS110)&gt;5.044,"NO CONFORME","CONFORME"))))</s:f>
        <s:v/>
      </s:c>
      <s:c r="BJ110" s="233">
        <s:f>SIGN(U110)</s:f>
        <s:v/>
      </s:c>
      <s:c r="BK110" s="233">
        <s:f>SIGN(AG110)</s:f>
        <s:v/>
      </s:c>
      <s:c r="BL110" s="233">
        <s:f>SIGN(AS110)</s:f>
        <s:v/>
      </s:c>
      <s:c r="BM110" s="233">
        <s:f>CONCATENATE(BJ110,BK110,BL110)</s:f>
        <s:v/>
      </s:c>
      <s:c r="BN110" s="233">
        <s:f>IF(BM110="111","SI","SD")</s:f>
        <s:v/>
      </s:c>
      <s:c r="BO110" s="233">
        <s:f>IF(BM110="-1-1-1","SI","SD")</s:f>
        <s:v/>
      </s:c>
      <s:c r="BP110" s="233">
        <s:f>OR(BN110="SI",BO110="SI")</s:f>
        <s:v/>
      </s:c>
      <s:c r="BQ110" s="233">
        <s:f>IF(BP110=FALSE,"SIGDIFERENTES","SIGIGUALES")</s:f>
        <s:v/>
      </s:c>
      <s:c r="BR110" s="236">
        <s:f>IF(BI110="NO CONFORME","NO CONFORME",IF(BH110="CONFORME","CONFORME","NO CONFORME"))</s:f>
        <s:v/>
      </s:c>
      <s:c r="BS110" s="233">
        <s:f>F110</s:f>
        <s:v/>
      </s:c>
      <s:c r="BT110" s="237">
        <s:f>G110</s:f>
        <s:v/>
      </s:c>
      <s:c r="BU110" s="233">
        <s:f>"20"&amp;+MID(G110,3,2)</s:f>
        <s:v/>
      </s:c>
      <s:c r="BV110" s="238">
        <s:f>C110</s:f>
        <s:v/>
      </s:c>
      <s:c r="BW110" s="233">
        <s:f>AT110</s:f>
        <s:v/>
      </s:c>
      <s:c r="BX110" s="238">
        <s:f>B110</s:f>
        <s:v/>
      </s:c>
      <s:c r="BY110" s="239">
        <s:f>H110</s:f>
        <s:v/>
      </s:c>
      <s:c r="BZ110" s="233">
        <s:f>IF(I110=0,"CONFORME","NO CONFORME")</s:f>
        <s:v/>
      </s:c>
      <s:c r="CA110" s="238">
        <s:f>C110</s:f>
        <s:v/>
      </s:c>
      <s:c r="CB110" s="240">
        <s:f>AH110</s:f>
        <s:v/>
      </s:c>
      <s:c r="CC110" s="241">
        <s:f>AR110</s:f>
        <s:v/>
      </s:c>
      <s:c r="CD110" s="240">
        <s:f>AI110</s:f>
        <s:v/>
      </s:c>
      <s:c r="CE110" s="240">
        <s:f>AJ110</s:f>
        <s:v/>
      </s:c>
      <s:c r="CF110" s="240">
        <s:f>AS110</s:f>
        <s:v/>
      </s:c>
      <s:c r="CG110" s="240">
        <s:f>V110</s:f>
        <s:v/>
      </s:c>
      <s:c r="CH110" s="241">
        <s:f>AF110</s:f>
        <s:v/>
      </s:c>
      <s:c r="CI110" s="240">
        <s:f>W110</s:f>
        <s:v/>
      </s:c>
      <s:c r="CJ110" s="240">
        <s:f>X110</s:f>
        <s:v/>
      </s:c>
      <s:c r="CK110" s="240">
        <s:f>AG110</s:f>
        <s:v/>
      </s:c>
      <s:c r="CL110" s="240">
        <s:f>J110</s:f>
        <s:v/>
      </s:c>
      <s:c r="CM110" s="241">
        <s:f>T110</s:f>
        <s:v/>
      </s:c>
      <s:c r="CN110" s="240">
        <s:f>K110</s:f>
        <s:v/>
      </s:c>
      <s:c r="CO110" s="240">
        <s:f>L110</s:f>
        <s:v/>
      </s:c>
      <s:c r="CP110" s="242">
        <s:f>U110</s:f>
        <s:v/>
      </s:c>
      <s:c r="CQ110" s="233">
        <s:f>AT110</s:f>
        <s:v/>
      </s:c>
    </s:row>
    <s:row r="111">
      <s:c r="A111" s="211" t="n">
        <s:v>11</s:v>
      </s:c>
      <s:c r="B111" s="212" t="n">
        <s:v>45901</s:v>
      </s:c>
      <s:c r="C111" s="213" t="n">
        <s:v>45901</s:v>
      </s:c>
      <s:c r="D111" s="214" t="n">
        <s:v>3</s:v>
      </s:c>
      <s:c r="E111" s="215" t="n">
        <s:v>13</s:v>
      </s:c>
      <s:c r="F111" s="216" t="inlineStr">
        <s:is>
          <s:t>VI-236586-2025</s:t>
        </s:is>
      </s:c>
      <s:c r="G111" s="217" t="inlineStr">
        <s:is>
          <s:t>QA25418428</s:t>
        </s:is>
      </s:c>
      <s:c r="H111" s="218" t="n">
        <s:v>16</s:v>
      </s:c>
      <s:c r="I111" s="219" t="n">
        <s:v>0</s:v>
      </s:c>
      <s:c r="J111" s="220" t="n">
        <s:v>19</s:v>
      </s:c>
      <s:c r="K111" s="221" t="n">
        <s:v>7.512</s:v>
      </s:c>
      <s:c r="L111" s="221" t="n">
        <s:v>1.152</s:v>
      </s:c>
      <s:c r="M111" s="222" t="n">
        <s:v>323.16</s:v>
      </s:c>
      <s:c r="N111" s="222" t="n">
        <s:v>423.94</s:v>
      </s:c>
      <s:c r="O111" s="222" t="n">
        <s:v>100.49</s:v>
      </s:c>
      <s:c r="P111" s="223" t="inlineStr">
        <s:is>
          <s:t>2,30,000</s:t>
        </s:is>
      </s:c>
      <s:c r="Q111" s="224" t="inlineStr">
        <s:is>
          <s:t>2</s:t>
        </s:is>
      </s:c>
      <s:c r="R111" s="224" t="inlineStr">
        <s:is>
          <s:t>30,000</s:t>
        </s:is>
      </s:c>
      <s:c r="S111" s="224" t="n">
        <s:v>0.04166666666666666</s:v>
      </s:c>
      <s:c r="T111" s="225" t="n">
        <s:v>2411.76</s:v>
      </s:c>
      <s:c r="U111" s="226" t="n">
        <s:v>0.288585928948132</s:v>
      </s:c>
      <s:c r="V111" s="220" t="n">
        <s:v>18.8</s:v>
      </s:c>
      <s:c r="W111" s="221" t="n">
        <s:v>1.093</s:v>
      </s:c>
      <s:c r="X111" s="221" t="n">
        <s:v>1.082</s:v>
      </s:c>
      <s:c r="Y111" s="222" t="n">
        <s:v>434.38</s:v>
      </s:c>
      <s:c r="Z111" s="222" t="n">
        <s:v>439.43</s:v>
      </s:c>
      <s:c r="AA111" s="227" t="n">
        <s:v>5.02</s:v>
      </s:c>
      <s:c r="AB111" s="228" t="inlineStr">
        <s:is>
          <s:t>11,25,470</s:t>
        </s:is>
      </s:c>
      <s:c r="AC111" s="224" t="inlineStr">
        <s:is>
          <s:t>11</s:t>
        </s:is>
      </s:c>
      <s:c r="AD111" s="224" t="inlineStr">
        <s:is>
          <s:t>25,470</s:t>
        </s:is>
      </s:c>
      <s:c r="AE111" s="224" t="n">
        <s:v>0.1904083333333333</s:v>
      </s:c>
      <s:c r="AF111" s="225" t="n">
        <s:v>26.36439231476213</s:v>
      </s:c>
      <s:c r="AG111" s="229" t="n">
        <s:v>0.5976095617532231</s:v>
      </s:c>
      <s:c r="AH111" s="220" t="n">
        <s:v>18.8</s:v>
      </s:c>
      <s:c r="AI111" s="221" t="n">
        <s:v>1.092</s:v>
      </s:c>
      <s:c r="AJ111" s="221" t="n">
        <s:v>1.08</s:v>
      </s:c>
      <s:c r="AK111" s="222" t="n">
        <s:v>439.43</s:v>
      </s:c>
      <s:c r="AL111" s="222" t="n">
        <s:v>441.37</s:v>
      </s:c>
      <s:c r="AM111" s="230" t="n">
        <s:v>2.007</s:v>
      </s:c>
      <s:c r="AN111" s="223" t="inlineStr">
        <s:is>
          <s:t>7,21,350</s:t>
        </s:is>
      </s:c>
      <s:c r="AO111" s="224" t="inlineStr">
        <s:is>
          <s:t>7,</s:t>
        </s:is>
      </s:c>
      <s:c r="AP111" s="224" t="inlineStr">
        <s:is>
          <s:t>21,350</s:t>
        </s:is>
      </s:c>
      <s:c r="AQ111" s="224" t="n">
        <s:v>0.1225972222222222</s:v>
      </s:c>
      <s:c r="AR111" s="225" t="n">
        <s:v>16.37068086552623</s:v>
      </s:c>
      <s:c r="AS111" s="229" t="n">
        <s:v>-3.338315894369825</s:v>
      </s:c>
      <s:c r="AT111" s="231" t="inlineStr">
        <s:is>
          <s:t>CONFORME</s:t>
        </s:is>
      </s:c>
      <s:c r="AU111" s="232">
        <s:f>B111=C111</s:f>
        <s:v/>
      </s:c>
      <s:c r="AV111" s="233">
        <s:f>MID(G111,1,2)</s:f>
        <s:v/>
      </s:c>
      <s:c r="AW111" s="233">
        <s:f>LEN(G111)</s:f>
        <s:v/>
      </s:c>
      <s:c r="AX111" s="233" t="inlineStr">
        <s:is>
          <s:t>OI-0923-2025</s:t>
        </s:is>
      </s:c>
      <s:c r="AY111" s="233">
        <s:f>N111&lt;Y111</s:f>
        <s:v/>
      </s:c>
      <s:c r="AZ111" s="233">
        <s:f>Z111&lt;=AK111</s:f>
        <s:v/>
      </s:c>
      <s:c r="BA111" s="233">
        <s:f>L111&lt;K111</s:f>
        <s:v/>
      </s:c>
      <s:c r="BB111" s="233">
        <s:f>W111&gt;=X111</s:f>
        <s:v/>
      </s:c>
      <s:c r="BC111" s="233">
        <s:f>AI111&gt;=AJ111</s:f>
        <s:v/>
      </s:c>
      <s:c r="BD111" s="233">
        <s:f>IF(I111&gt;=1,"Qcorrecto",IF(AND(BE111="aceptable",BF111="aceptable",BG111="aceptable"),"Qcorrecto","Qincorrecto"))</s:f>
        <s:v/>
      </s:c>
      <s:c r="BE111" s="232">
        <s:f>IF(AR111&lt;$AH$6,"error",IF(AR111&gt;$AH$6*1.1,"error","aceptable"))</s:f>
        <s:v/>
      </s:c>
      <s:c r="BF111" s="232">
        <s:f>IF(AF111&lt;$V$6,"error",IF(AF111&gt;$V$6*1.1,"error","aceptable"))</s:f>
        <s:v/>
      </s:c>
      <s:c r="BG111" s="232">
        <s:f>IF(T111&lt;$J$6*0.9,"error",IF(T111&gt;$J$6,"error","aceptable"))</s:f>
        <s:v/>
      </s:c>
      <s:c r="BH111" s="234">
        <s:f>(IF(ABS(U111)&lt;1,"CONFORME",IF(ABS(AG111)&lt;1,"CONFORME",IF(ABS(AS111)&lt;2.5,"CONFORME","NO CONFORME"))))</s:f>
        <s:v/>
      </s:c>
      <s:c r="BI111" s="235">
        <s:f>(IF(ABS(U111)&gt;2.044,"NO CONFORME",IF(ABS(AG111)&gt;2.044,"NO CONFORME",IF(ABS(AS111)&gt;5.044,"NO CONFORME","CONFORME"))))</s:f>
        <s:v/>
      </s:c>
      <s:c r="BJ111" s="233">
        <s:f>SIGN(U111)</s:f>
        <s:v/>
      </s:c>
      <s:c r="BK111" s="233">
        <s:f>SIGN(AG111)</s:f>
        <s:v/>
      </s:c>
      <s:c r="BL111" s="233">
        <s:f>SIGN(AS111)</s:f>
        <s:v/>
      </s:c>
      <s:c r="BM111" s="233">
        <s:f>CONCATENATE(BJ111,BK111,BL111)</s:f>
        <s:v/>
      </s:c>
      <s:c r="BN111" s="233">
        <s:f>IF(BM111="111","SI","SD")</s:f>
        <s:v/>
      </s:c>
      <s:c r="BO111" s="233">
        <s:f>IF(BM111="-1-1-1","SI","SD")</s:f>
        <s:v/>
      </s:c>
      <s:c r="BP111" s="233">
        <s:f>OR(BN111="SI",BO111="SI")</s:f>
        <s:v/>
      </s:c>
      <s:c r="BQ111" s="233">
        <s:f>IF(BP111=FALSE,"SIGDIFERENTES","SIGIGUALES")</s:f>
        <s:v/>
      </s:c>
      <s:c r="BR111" s="236">
        <s:f>IF(BI111="NO CONFORME","NO CONFORME",IF(BH111="CONFORME","CONFORME","NO CONFORME"))</s:f>
        <s:v/>
      </s:c>
      <s:c r="BS111" s="233">
        <s:f>F111</s:f>
        <s:v/>
      </s:c>
      <s:c r="BT111" s="237">
        <s:f>G111</s:f>
        <s:v/>
      </s:c>
      <s:c r="BU111" s="233">
        <s:f>"20"&amp;+MID(G111,3,2)</s:f>
        <s:v/>
      </s:c>
      <s:c r="BV111" s="238">
        <s:f>C111</s:f>
        <s:v/>
      </s:c>
      <s:c r="BW111" s="233">
        <s:f>AT111</s:f>
        <s:v/>
      </s:c>
      <s:c r="BX111" s="238">
        <s:f>B111</s:f>
        <s:v/>
      </s:c>
      <s:c r="BY111" s="239">
        <s:f>H111</s:f>
        <s:v/>
      </s:c>
      <s:c r="BZ111" s="233">
        <s:f>IF(I111=0,"CONFORME","NO CONFORME")</s:f>
        <s:v/>
      </s:c>
      <s:c r="CA111" s="238">
        <s:f>C111</s:f>
        <s:v/>
      </s:c>
      <s:c r="CB111" s="240">
        <s:f>AH111</s:f>
        <s:v/>
      </s:c>
      <s:c r="CC111" s="241">
        <s:f>AR111</s:f>
        <s:v/>
      </s:c>
      <s:c r="CD111" s="240">
        <s:f>AI111</s:f>
        <s:v/>
      </s:c>
      <s:c r="CE111" s="240">
        <s:f>AJ111</s:f>
        <s:v/>
      </s:c>
      <s:c r="CF111" s="240">
        <s:f>AS111</s:f>
        <s:v/>
      </s:c>
      <s:c r="CG111" s="240">
        <s:f>V111</s:f>
        <s:v/>
      </s:c>
      <s:c r="CH111" s="241">
        <s:f>AF111</s:f>
        <s:v/>
      </s:c>
      <s:c r="CI111" s="240">
        <s:f>W111</s:f>
        <s:v/>
      </s:c>
      <s:c r="CJ111" s="240">
        <s:f>X111</s:f>
        <s:v/>
      </s:c>
      <s:c r="CK111" s="240">
        <s:f>AG111</s:f>
        <s:v/>
      </s:c>
      <s:c r="CL111" s="240">
        <s:f>J111</s:f>
        <s:v/>
      </s:c>
      <s:c r="CM111" s="241">
        <s:f>T111</s:f>
        <s:v/>
      </s:c>
      <s:c r="CN111" s="240">
        <s:f>K111</s:f>
        <s:v/>
      </s:c>
      <s:c r="CO111" s="240">
        <s:f>L111</s:f>
        <s:v/>
      </s:c>
      <s:c r="CP111" s="242">
        <s:f>U111</s:f>
        <s:v/>
      </s:c>
      <s:c r="CQ111" s="233">
        <s:f>AT111</s:f>
        <s:v/>
      </s:c>
    </s:row>
    <s:row r="112">
      <s:c r="A112" s="211" t="n">
        <s:v>12</s:v>
      </s:c>
      <s:c r="B112" s="212" t="n">
        <s:v>45901</s:v>
      </s:c>
      <s:c r="C112" s="213" t="n">
        <s:v>45901</s:v>
      </s:c>
      <s:c r="D112" s="214" t="n">
        <s:v>3</s:v>
      </s:c>
      <s:c r="E112" s="215" t="n">
        <s:v>13</s:v>
      </s:c>
      <s:c r="F112" s="216" t="inlineStr">
        <s:is>
          <s:t>VI-236587-2025</s:t>
        </s:is>
      </s:c>
      <s:c r="G112" s="217" t="inlineStr">
        <s:is>
          <s:t>QA25418598</s:t>
        </s:is>
      </s:c>
      <s:c r="H112" s="218" t="n">
        <s:v>16</s:v>
      </s:c>
      <s:c r="I112" s="219" t="n">
        <s:v>0</s:v>
      </s:c>
      <s:c r="J112" s="220" t="n">
        <s:v>19</s:v>
      </s:c>
      <s:c r="K112" s="221" t="n">
        <s:v>7.512</s:v>
      </s:c>
      <s:c r="L112" s="221" t="n">
        <s:v>1.152</s:v>
      </s:c>
      <s:c r="M112" s="222" t="n">
        <s:v>452.51</s:v>
      </s:c>
      <s:c r="N112" s="222" t="n">
        <s:v>552.28</s:v>
      </s:c>
      <s:c r="O112" s="222" t="n">
        <s:v>100.49</s:v>
      </s:c>
      <s:c r="P112" s="223" t="inlineStr">
        <s:is>
          <s:t>2,30,000</s:t>
        </s:is>
      </s:c>
      <s:c r="Q112" s="224" t="inlineStr">
        <s:is>
          <s:t>2</s:t>
        </s:is>
      </s:c>
      <s:c r="R112" s="224" t="inlineStr">
        <s:is>
          <s:t>30,000</s:t>
        </s:is>
      </s:c>
      <s:c r="S112" s="224" t="n">
        <s:v>0.04166666666666666</s:v>
      </s:c>
      <s:c r="T112" s="225" t="n">
        <s:v>2411.76</s:v>
      </s:c>
      <s:c r="U112" s="226" t="n">
        <s:v>-0.7164892029057748</s:v>
      </s:c>
      <s:c r="V112" s="220" t="n">
        <s:v>18.8</s:v>
      </s:c>
      <s:c r="W112" s="221" t="n">
        <s:v>1.093</s:v>
      </s:c>
      <s:c r="X112" s="221" t="n">
        <s:v>1.082</s:v>
      </s:c>
      <s:c r="Y112" s="222" t="n">
        <s:v>562.58</s:v>
      </s:c>
      <s:c r="Z112" s="222" t="n">
        <s:v>567.5700000000001</s:v>
      </s:c>
      <s:c r="AA112" s="227" t="n">
        <s:v>5.02</s:v>
      </s:c>
      <s:c r="AB112" s="228" t="inlineStr">
        <s:is>
          <s:t>11,25,470</s:t>
        </s:is>
      </s:c>
      <s:c r="AC112" s="224" t="inlineStr">
        <s:is>
          <s:t>11</s:t>
        </s:is>
      </s:c>
      <s:c r="AD112" s="224" t="inlineStr">
        <s:is>
          <s:t>25,470</s:t>
        </s:is>
      </s:c>
      <s:c r="AE112" s="224" t="n">
        <s:v>0.1904083333333333</s:v>
      </s:c>
      <s:c r="AF112" s="225" t="n">
        <s:v>26.36439231476213</s:v>
      </s:c>
      <s:c r="AG112" s="229" t="n">
        <s:v>-0.5976095617527984</s:v>
      </s:c>
      <s:c r="AH112" s="220" t="n">
        <s:v>18.8</s:v>
      </s:c>
      <s:c r="AI112" s="221" t="n">
        <s:v>1.092</s:v>
      </s:c>
      <s:c r="AJ112" s="221" t="n">
        <s:v>1.08</s:v>
      </s:c>
      <s:c r="AK112" s="222" t="n">
        <s:v>567.5700000000001</s:v>
      </s:c>
      <s:c r="AL112" s="222" t="n">
        <s:v>569.55</s:v>
      </s:c>
      <s:c r="AM112" s="230" t="n">
        <s:v>2.007</s:v>
      </s:c>
      <s:c r="AN112" s="223" t="inlineStr">
        <s:is>
          <s:t>7,21,350</s:t>
        </s:is>
      </s:c>
      <s:c r="AO112" s="224" t="inlineStr">
        <s:is>
          <s:t>7,</s:t>
        </s:is>
      </s:c>
      <s:c r="AP112" s="224" t="inlineStr">
        <s:is>
          <s:t>21,350</s:t>
        </s:is>
      </s:c>
      <s:c r="AQ112" s="224" t="n">
        <s:v>0.1225972222222222</s:v>
      </s:c>
      <s:c r="AR112" s="225" t="n">
        <s:v>16.37068086552623</s:v>
      </s:c>
      <s:c r="AS112" s="229" t="n">
        <s:v>-1.345291479825392</s:v>
      </s:c>
      <s:c r="AT112" s="231" t="inlineStr">
        <s:is>
          <s:t>CONFORME</s:t>
        </s:is>
      </s:c>
      <s:c r="AU112" s="232">
        <s:f>B112=C112</s:f>
        <s:v/>
      </s:c>
      <s:c r="AV112" s="233">
        <s:f>MID(G112,1,2)</s:f>
        <s:v/>
      </s:c>
      <s:c r="AW112" s="233">
        <s:f>LEN(G112)</s:f>
        <s:v/>
      </s:c>
      <s:c r="AX112" s="233" t="inlineStr">
        <s:is>
          <s:t>OI-0923-2025</s:t>
        </s:is>
      </s:c>
      <s:c r="AY112" s="233">
        <s:f>N112&lt;Y112</s:f>
        <s:v/>
      </s:c>
      <s:c r="AZ112" s="233">
        <s:f>Z112&lt;=AK112</s:f>
        <s:v/>
      </s:c>
      <s:c r="BA112" s="233">
        <s:f>L112&lt;K112</s:f>
        <s:v/>
      </s:c>
      <s:c r="BB112" s="233">
        <s:f>W112&gt;=X112</s:f>
        <s:v/>
      </s:c>
      <s:c r="BC112" s="233">
        <s:f>AI112&gt;=AJ112</s:f>
        <s:v/>
      </s:c>
      <s:c r="BD112" s="233">
        <s:f>IF(I112&gt;=1,"Qcorrecto",IF(AND(BE112="aceptable",BF112="aceptable",BG112="aceptable"),"Qcorrecto","Qincorrecto"))</s:f>
        <s:v/>
      </s:c>
      <s:c r="BE112" s="232">
        <s:f>IF(AR112&lt;$AH$6,"error",IF(AR112&gt;$AH$6*1.1,"error","aceptable"))</s:f>
        <s:v/>
      </s:c>
      <s:c r="BF112" s="232">
        <s:f>IF(AF112&lt;$V$6,"error",IF(AF112&gt;$V$6*1.1,"error","aceptable"))</s:f>
        <s:v/>
      </s:c>
      <s:c r="BG112" s="232">
        <s:f>IF(T112&lt;$J$6*0.9,"error",IF(T112&gt;$J$6,"error","aceptable"))</s:f>
        <s:v/>
      </s:c>
      <s:c r="BH112" s="234">
        <s:f>(IF(ABS(U112)&lt;1,"CONFORME",IF(ABS(AG112)&lt;1,"CONFORME",IF(ABS(AS112)&lt;2.5,"CONFORME","NO CONFORME"))))</s:f>
        <s:v/>
      </s:c>
      <s:c r="BI112" s="235">
        <s:f>(IF(ABS(U112)&gt;2.044,"NO CONFORME",IF(ABS(AG112)&gt;2.044,"NO CONFORME",IF(ABS(AS112)&gt;5.044,"NO CONFORME","CONFORME"))))</s:f>
        <s:v/>
      </s:c>
      <s:c r="BJ112" s="233">
        <s:f>SIGN(U112)</s:f>
        <s:v/>
      </s:c>
      <s:c r="BK112" s="233">
        <s:f>SIGN(AG112)</s:f>
        <s:v/>
      </s:c>
      <s:c r="BL112" s="233">
        <s:f>SIGN(AS112)</s:f>
        <s:v/>
      </s:c>
      <s:c r="BM112" s="233">
        <s:f>CONCATENATE(BJ112,BK112,BL112)</s:f>
        <s:v/>
      </s:c>
      <s:c r="BN112" s="233">
        <s:f>IF(BM112="111","SI","SD")</s:f>
        <s:v/>
      </s:c>
      <s:c r="BO112" s="233">
        <s:f>IF(BM112="-1-1-1","SI","SD")</s:f>
        <s:v/>
      </s:c>
      <s:c r="BP112" s="233">
        <s:f>OR(BN112="SI",BO112="SI")</s:f>
        <s:v/>
      </s:c>
      <s:c r="BQ112" s="233">
        <s:f>IF(BP112=FALSE,"SIGDIFERENTES","SIGIGUALES")</s:f>
        <s:v/>
      </s:c>
      <s:c r="BR112" s="236">
        <s:f>IF(BI112="NO CONFORME","NO CONFORME",IF(BH112="CONFORME","CONFORME","NO CONFORME"))</s:f>
        <s:v/>
      </s:c>
      <s:c r="BS112" s="233">
        <s:f>F112</s:f>
        <s:v/>
      </s:c>
      <s:c r="BT112" s="237">
        <s:f>G112</s:f>
        <s:v/>
      </s:c>
      <s:c r="BU112" s="233">
        <s:f>"20"&amp;+MID(G112,3,2)</s:f>
        <s:v/>
      </s:c>
      <s:c r="BV112" s="238">
        <s:f>C112</s:f>
        <s:v/>
      </s:c>
      <s:c r="BW112" s="233">
        <s:f>AT112</s:f>
        <s:v/>
      </s:c>
      <s:c r="BX112" s="238">
        <s:f>B112</s:f>
        <s:v/>
      </s:c>
      <s:c r="BY112" s="239">
        <s:f>H112</s:f>
        <s:v/>
      </s:c>
      <s:c r="BZ112" s="233">
        <s:f>IF(I112=0,"CONFORME","NO CONFORME")</s:f>
        <s:v/>
      </s:c>
      <s:c r="CA112" s="238">
        <s:f>C112</s:f>
        <s:v/>
      </s:c>
      <s:c r="CB112" s="240">
        <s:f>AH112</s:f>
        <s:v/>
      </s:c>
      <s:c r="CC112" s="241">
        <s:f>AR112</s:f>
        <s:v/>
      </s:c>
      <s:c r="CD112" s="240">
        <s:f>AI112</s:f>
        <s:v/>
      </s:c>
      <s:c r="CE112" s="240">
        <s:f>AJ112</s:f>
        <s:v/>
      </s:c>
      <s:c r="CF112" s="240">
        <s:f>AS112</s:f>
        <s:v/>
      </s:c>
      <s:c r="CG112" s="240">
        <s:f>V112</s:f>
        <s:v/>
      </s:c>
      <s:c r="CH112" s="241">
        <s:f>AF112</s:f>
        <s:v/>
      </s:c>
      <s:c r="CI112" s="240">
        <s:f>W112</s:f>
        <s:v/>
      </s:c>
      <s:c r="CJ112" s="240">
        <s:f>X112</s:f>
        <s:v/>
      </s:c>
      <s:c r="CK112" s="240">
        <s:f>AG112</s:f>
        <s:v/>
      </s:c>
      <s:c r="CL112" s="240">
        <s:f>J112</s:f>
        <s:v/>
      </s:c>
      <s:c r="CM112" s="241">
        <s:f>T112</s:f>
        <s:v/>
      </s:c>
      <s:c r="CN112" s="240">
        <s:f>K112</s:f>
        <s:v/>
      </s:c>
      <s:c r="CO112" s="240">
        <s:f>L112</s:f>
        <s:v/>
      </s:c>
      <s:c r="CP112" s="242">
        <s:f>U112</s:f>
        <s:v/>
      </s:c>
      <s:c r="CQ112" s="233">
        <s:f>AT112</s:f>
        <s:v/>
      </s:c>
    </s:row>
    <s:row r="113">
      <s:c r="A113" s="211" t="n">
        <s:v>13</s:v>
      </s:c>
      <s:c r="B113" s="212" t="n">
        <s:v>45901</s:v>
      </s:c>
      <s:c r="C113" s="213" t="n">
        <s:v>45901</s:v>
      </s:c>
      <s:c r="D113" s="214" t="n">
        <s:v>3</s:v>
      </s:c>
      <s:c r="E113" s="215" t="n">
        <s:v>13</s:v>
      </s:c>
      <s:c r="F113" s="216" t="inlineStr">
        <s:is>
          <s:t>VI-236588-2025</s:t>
        </s:is>
      </s:c>
      <s:c r="G113" s="217" t="inlineStr">
        <s:is>
          <s:t>QA25418600</s:t>
        </s:is>
      </s:c>
      <s:c r="H113" s="218" t="n">
        <s:v>16</s:v>
      </s:c>
      <s:c r="I113" s="219" t="n">
        <s:v>0</s:v>
      </s:c>
      <s:c r="J113" s="220" t="n">
        <s:v>19</s:v>
      </s:c>
      <s:c r="K113" s="221" t="n">
        <s:v>7.512</s:v>
      </s:c>
      <s:c r="L113" s="221" t="n">
        <s:v>1.152</s:v>
      </s:c>
      <s:c r="M113" s="222" t="n">
        <s:v>447.94</s:v>
      </s:c>
      <s:c r="N113" s="222" t="n">
        <s:v>547.14</s:v>
      </s:c>
      <s:c r="O113" s="222" t="n">
        <s:v>100.49</s:v>
      </s:c>
      <s:c r="P113" s="223" t="inlineStr">
        <s:is>
          <s:t>2,30,000</s:t>
        </s:is>
      </s:c>
      <s:c r="Q113" s="224" t="inlineStr">
        <s:is>
          <s:t>2</s:t>
        </s:is>
      </s:c>
      <s:c r="R113" s="224" t="inlineStr">
        <s:is>
          <s:t>30,000</s:t>
        </s:is>
      </s:c>
      <s:c r="S113" s="224" t="n">
        <s:v>0.04166666666666666</s:v>
      </s:c>
      <s:c r="T113" s="225" t="n">
        <s:v>2411.76</s:v>
      </s:c>
      <s:c r="U113" s="226" t="n">
        <s:v>-1.283709821872829</s:v>
      </s:c>
      <s:c r="V113" s="220" t="n">
        <s:v>18.8</s:v>
      </s:c>
      <s:c r="W113" s="221" t="n">
        <s:v>1.093</s:v>
      </s:c>
      <s:c r="X113" s="221" t="n">
        <s:v>1.082</s:v>
      </s:c>
      <s:c r="Y113" s="222" t="n">
        <s:v>557.4299999999999</s:v>
      </s:c>
      <s:c r="Z113" s="222" t="n">
        <s:v>562.49</s:v>
      </s:c>
      <s:c r="AA113" s="227" t="n">
        <s:v>5.02</s:v>
      </s:c>
      <s:c r="AB113" s="228" t="inlineStr">
        <s:is>
          <s:t>11,25,470</s:t>
        </s:is>
      </s:c>
      <s:c r="AC113" s="224" t="inlineStr">
        <s:is>
          <s:t>11</s:t>
        </s:is>
      </s:c>
      <s:c r="AD113" s="224" t="inlineStr">
        <s:is>
          <s:t>25,470</s:t>
        </s:is>
      </s:c>
      <s:c r="AE113" s="224" t="n">
        <s:v>0.1904083333333333</s:v>
      </s:c>
      <s:c r="AF113" s="225" t="n">
        <s:v>26.36439231476213</s:v>
      </s:c>
      <s:c r="AG113" s="229" t="n">
        <s:v>0.7968127490051703</s:v>
      </s:c>
      <s:c r="AH113" s="220" t="n">
        <s:v>18.8</s:v>
      </s:c>
      <s:c r="AI113" s="221" t="n">
        <s:v>1.092</s:v>
      </s:c>
      <s:c r="AJ113" s="221" t="n">
        <s:v>1.08</s:v>
      </s:c>
      <s:c r="AK113" s="222" t="n">
        <s:v>562.49</s:v>
      </s:c>
      <s:c r="AL113" s="222" t="n">
        <s:v>564.48</s:v>
      </s:c>
      <s:c r="AM113" s="230" t="n">
        <s:v>2.007</s:v>
      </s:c>
      <s:c r="AN113" s="223" t="inlineStr">
        <s:is>
          <s:t>7,21,350</s:t>
        </s:is>
      </s:c>
      <s:c r="AO113" s="224" t="inlineStr">
        <s:is>
          <s:t>7,</s:t>
        </s:is>
      </s:c>
      <s:c r="AP113" s="224" t="inlineStr">
        <s:is>
          <s:t>21,350</s:t>
        </s:is>
      </s:c>
      <s:c r="AQ113" s="224" t="n">
        <s:v>0.1225972222222222</s:v>
      </s:c>
      <s:c r="AR113" s="225" t="n">
        <s:v>16.37068086552623</s:v>
      </s:c>
      <s:c r="AS113" s="229" t="n">
        <s:v>-0.8470353761829108</s:v>
      </s:c>
      <s:c r="AT113" s="231" t="inlineStr">
        <s:is>
          <s:t>CONFORME</s:t>
        </s:is>
      </s:c>
      <s:c r="AU113" s="232">
        <s:f>B113=C113</s:f>
        <s:v/>
      </s:c>
      <s:c r="AV113" s="233">
        <s:f>MID(G113,1,2)</s:f>
        <s:v/>
      </s:c>
      <s:c r="AW113" s="233">
        <s:f>LEN(G113)</s:f>
        <s:v/>
      </s:c>
      <s:c r="AX113" s="233" t="inlineStr">
        <s:is>
          <s:t>OI-0923-2025</s:t>
        </s:is>
      </s:c>
      <s:c r="AY113" s="233">
        <s:f>N113&lt;Y113</s:f>
        <s:v/>
      </s:c>
      <s:c r="AZ113" s="233">
        <s:f>Z113&lt;=AK113</s:f>
        <s:v/>
      </s:c>
      <s:c r="BA113" s="233">
        <s:f>L113&lt;K113</s:f>
        <s:v/>
      </s:c>
      <s:c r="BB113" s="233">
        <s:f>W113&gt;=X113</s:f>
        <s:v/>
      </s:c>
      <s:c r="BC113" s="233">
        <s:f>AI113&gt;=AJ113</s:f>
        <s:v/>
      </s:c>
      <s:c r="BD113" s="233">
        <s:f>IF(I113&gt;=1,"Qcorrecto",IF(AND(BE113="aceptable",BF113="aceptable",BG113="aceptable"),"Qcorrecto","Qincorrecto"))</s:f>
        <s:v/>
      </s:c>
      <s:c r="BE113" s="232">
        <s:f>IF(AR113&lt;$AH$6,"error",IF(AR113&gt;$AH$6*1.1,"error","aceptable"))</s:f>
        <s:v/>
      </s:c>
      <s:c r="BF113" s="232">
        <s:f>IF(AF113&lt;$V$6,"error",IF(AF113&gt;$V$6*1.1,"error","aceptable"))</s:f>
        <s:v/>
      </s:c>
      <s:c r="BG113" s="232">
        <s:f>IF(T113&lt;$J$6*0.9,"error",IF(T113&gt;$J$6,"error","aceptable"))</s:f>
        <s:v/>
      </s:c>
      <s:c r="BH113" s="234">
        <s:f>(IF(ABS(U113)&lt;1,"CONFORME",IF(ABS(AG113)&lt;1,"CONFORME",IF(ABS(AS113)&lt;2.5,"CONFORME","NO CONFORME"))))</s:f>
        <s:v/>
      </s:c>
      <s:c r="BI113" s="235">
        <s:f>(IF(ABS(U113)&gt;2.044,"NO CONFORME",IF(ABS(AG113)&gt;2.044,"NO CONFORME",IF(ABS(AS113)&gt;5.044,"NO CONFORME","CONFORME"))))</s:f>
        <s:v/>
      </s:c>
      <s:c r="BJ113" s="233">
        <s:f>SIGN(U113)</s:f>
        <s:v/>
      </s:c>
      <s:c r="BK113" s="233">
        <s:f>SIGN(AG113)</s:f>
        <s:v/>
      </s:c>
      <s:c r="BL113" s="233">
        <s:f>SIGN(AS113)</s:f>
        <s:v/>
      </s:c>
      <s:c r="BM113" s="233">
        <s:f>CONCATENATE(BJ113,BK113,BL113)</s:f>
        <s:v/>
      </s:c>
      <s:c r="BN113" s="233">
        <s:f>IF(BM113="111","SI","SD")</s:f>
        <s:v/>
      </s:c>
      <s:c r="BO113" s="233">
        <s:f>IF(BM113="-1-1-1","SI","SD")</s:f>
        <s:v/>
      </s:c>
      <s:c r="BP113" s="233">
        <s:f>OR(BN113="SI",BO113="SI")</s:f>
        <s:v/>
      </s:c>
      <s:c r="BQ113" s="233">
        <s:f>IF(BP113=FALSE,"SIGDIFERENTES","SIGIGUALES")</s:f>
        <s:v/>
      </s:c>
      <s:c r="BR113" s="236">
        <s:f>IF(BI113="NO CONFORME","NO CONFORME",IF(BH113="CONFORME","CONFORME","NO CONFORME"))</s:f>
        <s:v/>
      </s:c>
      <s:c r="BS113" s="233">
        <s:f>F113</s:f>
        <s:v/>
      </s:c>
      <s:c r="BT113" s="237">
        <s:f>G113</s:f>
        <s:v/>
      </s:c>
      <s:c r="BU113" s="233">
        <s:f>"20"&amp;+MID(G113,3,2)</s:f>
        <s:v/>
      </s:c>
      <s:c r="BV113" s="238">
        <s:f>C113</s:f>
        <s:v/>
      </s:c>
      <s:c r="BW113" s="233">
        <s:f>AT113</s:f>
        <s:v/>
      </s:c>
      <s:c r="BX113" s="238">
        <s:f>B113</s:f>
        <s:v/>
      </s:c>
      <s:c r="BY113" s="239">
        <s:f>H113</s:f>
        <s:v/>
      </s:c>
      <s:c r="BZ113" s="233">
        <s:f>IF(I113=0,"CONFORME","NO CONFORME")</s:f>
        <s:v/>
      </s:c>
      <s:c r="CA113" s="238">
        <s:f>C113</s:f>
        <s:v/>
      </s:c>
      <s:c r="CB113" s="240">
        <s:f>AH113</s:f>
        <s:v/>
      </s:c>
      <s:c r="CC113" s="241">
        <s:f>AR113</s:f>
        <s:v/>
      </s:c>
      <s:c r="CD113" s="240">
        <s:f>AI113</s:f>
        <s:v/>
      </s:c>
      <s:c r="CE113" s="240">
        <s:f>AJ113</s:f>
        <s:v/>
      </s:c>
      <s:c r="CF113" s="240">
        <s:f>AS113</s:f>
        <s:v/>
      </s:c>
      <s:c r="CG113" s="240">
        <s:f>V113</s:f>
        <s:v/>
      </s:c>
      <s:c r="CH113" s="241">
        <s:f>AF113</s:f>
        <s:v/>
      </s:c>
      <s:c r="CI113" s="240">
        <s:f>W113</s:f>
        <s:v/>
      </s:c>
      <s:c r="CJ113" s="240">
        <s:f>X113</s:f>
        <s:v/>
      </s:c>
      <s:c r="CK113" s="240">
        <s:f>AG113</s:f>
        <s:v/>
      </s:c>
      <s:c r="CL113" s="240">
        <s:f>J113</s:f>
        <s:v/>
      </s:c>
      <s:c r="CM113" s="241">
        <s:f>T113</s:f>
        <s:v/>
      </s:c>
      <s:c r="CN113" s="240">
        <s:f>K113</s:f>
        <s:v/>
      </s:c>
      <s:c r="CO113" s="240">
        <s:f>L113</s:f>
        <s:v/>
      </s:c>
      <s:c r="CP113" s="242">
        <s:f>U113</s:f>
        <s:v/>
      </s:c>
      <s:c r="CQ113" s="233">
        <s:f>AT113</s:f>
        <s:v/>
      </s:c>
    </s:row>
    <s:row r="114">
      <s:c r="A114" s="211" t="n">
        <s:v>14</s:v>
      </s:c>
      <s:c r="B114" s="212" t="n">
        <s:v>45901</s:v>
      </s:c>
      <s:c r="C114" s="213" t="n">
        <s:v>45901</s:v>
      </s:c>
      <s:c r="D114" s="214" t="n">
        <s:v>3</s:v>
      </s:c>
      <s:c r="E114" s="215" t="n">
        <s:v>13</s:v>
      </s:c>
      <s:c r="F114" s="216" t="inlineStr">
        <s:is>
          <s:t>VI-236589-2025</s:t>
        </s:is>
      </s:c>
      <s:c r="G114" s="217" t="inlineStr">
        <s:is>
          <s:t>QA25418872</s:t>
        </s:is>
      </s:c>
      <s:c r="H114" s="218" t="n">
        <s:v>16</s:v>
      </s:c>
      <s:c r="I114" s="219" t="n">
        <s:v>0</s:v>
      </s:c>
      <s:c r="J114" s="220" t="n">
        <s:v>19</s:v>
      </s:c>
      <s:c r="K114" s="221" t="n">
        <s:v>7.497</s:v>
      </s:c>
      <s:c r="L114" s="221" t="n">
        <s:v>1.14</s:v>
      </s:c>
      <s:c r="M114" s="222" t="n">
        <s:v>535.86</s:v>
      </s:c>
      <s:c r="N114" s="222" t="n">
        <s:v>635.35</s:v>
      </s:c>
      <s:c r="O114" s="222" t="n">
        <s:v>100.38</s:v>
      </s:c>
      <s:c r="P114" s="223" t="inlineStr">
        <s:is>
          <s:t>2,29,300</s:t>
        </s:is>
      </s:c>
      <s:c r="Q114" s="224" t="inlineStr">
        <s:is>
          <s:t>2</s:t>
        </s:is>
      </s:c>
      <s:c r="R114" s="224" t="inlineStr">
        <s:is>
          <s:t>29,300</s:t>
        </s:is>
      </s:c>
      <s:c r="S114" s="224" t="n">
        <s:v>0.04147222222222222</s:v>
      </s:c>
      <s:c r="T114" s="225" t="n">
        <s:v>2420.415271265907</s:v>
      </s:c>
      <s:c r="U114" s="226" t="n">
        <s:v>-0.8866308029487809</s:v>
      </s:c>
      <s:c r="V114" s="220" t="n">
        <s:v>19</s:v>
      </s:c>
      <s:c r="W114" s="221" t="n">
        <s:v>1.091</s:v>
      </s:c>
      <s:c r="X114" s="221" t="n">
        <s:v>1.08</s:v>
      </s:c>
      <s:c r="Y114" s="222" t="n">
        <s:v>645.5700000000001</s:v>
      </s:c>
      <s:c r="Z114" s="222" t="n">
        <s:v>650.83</s:v>
      </s:c>
      <s:c r="AA114" s="227" t="n">
        <s:v>5.229</s:v>
      </s:c>
      <s:c r="AB114" s="228" t="inlineStr">
        <s:is>
          <s:t>11,55,860</s:t>
        </s:is>
      </s:c>
      <s:c r="AC114" s="224" t="inlineStr">
        <s:is>
          <s:t>11</s:t>
        </s:is>
      </s:c>
      <s:c r="AD114" s="224" t="inlineStr">
        <s:is>
          <s:t>55,860</s:t>
        </s:is>
      </s:c>
      <s:c r="AE114" s="224" t="n">
        <s:v>0.19885</s:v>
      </s:c>
      <s:c r="AF114" s="225" t="n">
        <s:v>26.29620316821725</s:v>
      </s:c>
      <s:c r="AG114" s="229" t="n">
        <s:v>0.5928475807992123</s:v>
      </s:c>
      <s:c r="AH114" s="220" t="n">
        <s:v>19</s:v>
      </s:c>
      <s:c r="AI114" s="221" t="n">
        <s:v>1.095</s:v>
      </s:c>
      <s:c r="AJ114" s="221" t="n">
        <s:v>1.082</s:v>
      </s:c>
      <s:c r="AK114" s="222" t="n">
        <s:v>650.83</s:v>
      </s:c>
      <s:c r="AL114" s="222" t="n">
        <s:v>652.8200000000001</s:v>
      </s:c>
      <s:c r="AM114" s="230" t="n">
        <s:v>2.006</s:v>
      </s:c>
      <s:c r="AN114" s="223" t="inlineStr">
        <s:is>
          <s:t>7,25,910</s:t>
        </s:is>
      </s:c>
      <s:c r="AO114" s="224" t="inlineStr">
        <s:is>
          <s:t>7,</s:t>
        </s:is>
      </s:c>
      <s:c r="AP114" s="224" t="inlineStr">
        <s:is>
          <s:t>25,910</s:t>
        </s:is>
      </s:c>
      <s:c r="AQ114" s="224" t="n">
        <s:v>0.1238638888888889</s:v>
      </s:c>
      <s:c r="AR114" s="225" t="n">
        <s:v>16.19519634006862</s:v>
      </s:c>
      <s:c r="AS114" s="229" t="n">
        <s:v>-0.7976071784641421</s:v>
      </s:c>
      <s:c r="AT114" s="231" t="inlineStr">
        <s:is>
          <s:t>CONFORME</s:t>
        </s:is>
      </s:c>
      <s:c r="AU114" s="232">
        <s:f>B114=C114</s:f>
        <s:v/>
      </s:c>
      <s:c r="AV114" s="233">
        <s:f>MID(G114,1,2)</s:f>
        <s:v/>
      </s:c>
      <s:c r="AW114" s="233">
        <s:f>LEN(G114)</s:f>
        <s:v/>
      </s:c>
      <s:c r="AX114" s="233" t="inlineStr">
        <s:is>
          <s:t>OI-0923-2025</s:t>
        </s:is>
      </s:c>
      <s:c r="AY114" s="233">
        <s:f>N114&lt;Y114</s:f>
        <s:v/>
      </s:c>
      <s:c r="AZ114" s="233">
        <s:f>Z114&lt;=AK114</s:f>
        <s:v/>
      </s:c>
      <s:c r="BA114" s="233">
        <s:f>L114&lt;K114</s:f>
        <s:v/>
      </s:c>
      <s:c r="BB114" s="233">
        <s:f>W114&gt;=X114</s:f>
        <s:v/>
      </s:c>
      <s:c r="BC114" s="233">
        <s:f>AI114&gt;=AJ114</s:f>
        <s:v/>
      </s:c>
      <s:c r="BD114" s="233">
        <s:f>IF(I114&gt;=1,"Qcorrecto",IF(AND(BE114="aceptable",BF114="aceptable",BG114="aceptable"),"Qcorrecto","Qincorrecto"))</s:f>
        <s:v/>
      </s:c>
      <s:c r="BE114" s="232">
        <s:f>IF(AR114&lt;$AH$6,"error",IF(AR114&gt;$AH$6*1.1,"error","aceptable"))</s:f>
        <s:v/>
      </s:c>
      <s:c r="BF114" s="232">
        <s:f>IF(AF114&lt;$V$6,"error",IF(AF114&gt;$V$6*1.1,"error","aceptable"))</s:f>
        <s:v/>
      </s:c>
      <s:c r="BG114" s="232">
        <s:f>IF(T114&lt;$J$6*0.9,"error",IF(T114&gt;$J$6,"error","aceptable"))</s:f>
        <s:v/>
      </s:c>
      <s:c r="BH114" s="234">
        <s:f>(IF(ABS(U114)&lt;1,"CONFORME",IF(ABS(AG114)&lt;1,"CONFORME",IF(ABS(AS114)&lt;2.5,"CONFORME","NO CONFORME"))))</s:f>
        <s:v/>
      </s:c>
      <s:c r="BI114" s="235">
        <s:f>(IF(ABS(U114)&gt;2.044,"NO CONFORME",IF(ABS(AG114)&gt;2.044,"NO CONFORME",IF(ABS(AS114)&gt;5.044,"NO CONFORME","CONFORME"))))</s:f>
        <s:v/>
      </s:c>
      <s:c r="BJ114" s="233">
        <s:f>SIGN(U114)</s:f>
        <s:v/>
      </s:c>
      <s:c r="BK114" s="233">
        <s:f>SIGN(AG114)</s:f>
        <s:v/>
      </s:c>
      <s:c r="BL114" s="233">
        <s:f>SIGN(AS114)</s:f>
        <s:v/>
      </s:c>
      <s:c r="BM114" s="233">
        <s:f>CONCATENATE(BJ114,BK114,BL114)</s:f>
        <s:v/>
      </s:c>
      <s:c r="BN114" s="233">
        <s:f>IF(BM114="111","SI","SD")</s:f>
        <s:v/>
      </s:c>
      <s:c r="BO114" s="233">
        <s:f>IF(BM114="-1-1-1","SI","SD")</s:f>
        <s:v/>
      </s:c>
      <s:c r="BP114" s="233">
        <s:f>OR(BN114="SI",BO114="SI")</s:f>
        <s:v/>
      </s:c>
      <s:c r="BQ114" s="233">
        <s:f>IF(BP114=FALSE,"SIGDIFERENTES","SIGIGUALES")</s:f>
        <s:v/>
      </s:c>
      <s:c r="BR114" s="236">
        <s:f>IF(BI114="NO CONFORME","NO CONFORME",IF(BH114="CONFORME","CONFORME","NO CONFORME"))</s:f>
        <s:v/>
      </s:c>
      <s:c r="BS114" s="233">
        <s:f>F114</s:f>
        <s:v/>
      </s:c>
      <s:c r="BT114" s="237">
        <s:f>G114</s:f>
        <s:v/>
      </s:c>
      <s:c r="BU114" s="233">
        <s:f>"20"&amp;+MID(G114,3,2)</s:f>
        <s:v/>
      </s:c>
      <s:c r="BV114" s="238">
        <s:f>C114</s:f>
        <s:v/>
      </s:c>
      <s:c r="BW114" s="233">
        <s:f>AT114</s:f>
        <s:v/>
      </s:c>
      <s:c r="BX114" s="238">
        <s:f>B114</s:f>
        <s:v/>
      </s:c>
      <s:c r="BY114" s="239">
        <s:f>H114</s:f>
        <s:v/>
      </s:c>
      <s:c r="BZ114" s="233">
        <s:f>IF(I114=0,"CONFORME","NO CONFORME")</s:f>
        <s:v/>
      </s:c>
      <s:c r="CA114" s="238">
        <s:f>C114</s:f>
        <s:v/>
      </s:c>
      <s:c r="CB114" s="240">
        <s:f>AH114</s:f>
        <s:v/>
      </s:c>
      <s:c r="CC114" s="241">
        <s:f>AR114</s:f>
        <s:v/>
      </s:c>
      <s:c r="CD114" s="240">
        <s:f>AI114</s:f>
        <s:v/>
      </s:c>
      <s:c r="CE114" s="240">
        <s:f>AJ114</s:f>
        <s:v/>
      </s:c>
      <s:c r="CF114" s="240">
        <s:f>AS114</s:f>
        <s:v/>
      </s:c>
      <s:c r="CG114" s="240">
        <s:f>V114</s:f>
        <s:v/>
      </s:c>
      <s:c r="CH114" s="241">
        <s:f>AF114</s:f>
        <s:v/>
      </s:c>
      <s:c r="CI114" s="240">
        <s:f>W114</s:f>
        <s:v/>
      </s:c>
      <s:c r="CJ114" s="240">
        <s:f>X114</s:f>
        <s:v/>
      </s:c>
      <s:c r="CK114" s="240">
        <s:f>AG114</s:f>
        <s:v/>
      </s:c>
      <s:c r="CL114" s="240">
        <s:f>J114</s:f>
        <s:v/>
      </s:c>
      <s:c r="CM114" s="241">
        <s:f>T114</s:f>
        <s:v/>
      </s:c>
      <s:c r="CN114" s="240">
        <s:f>K114</s:f>
        <s:v/>
      </s:c>
      <s:c r="CO114" s="240">
        <s:f>L114</s:f>
        <s:v/>
      </s:c>
      <s:c r="CP114" s="242">
        <s:f>U114</s:f>
        <s:v/>
      </s:c>
      <s:c r="CQ114" s="233">
        <s:f>AT114</s:f>
        <s:v/>
      </s:c>
    </s:row>
    <s:row r="115">
      <s:c r="A115" s="211" t="n">
        <s:v>15</s:v>
      </s:c>
      <s:c r="B115" s="212" t="n">
        <s:v>45901</s:v>
      </s:c>
      <s:c r="C115" s="213" t="n">
        <s:v>45901</s:v>
      </s:c>
      <s:c r="D115" s="214" t="n">
        <s:v>3</s:v>
      </s:c>
      <s:c r="E115" s="215" t="n">
        <s:v>13</s:v>
      </s:c>
      <s:c r="F115" s="216" t="inlineStr">
        <s:is>
          <s:t>VI-236590-2025</s:t>
        </s:is>
      </s:c>
      <s:c r="G115" s="217" t="inlineStr">
        <s:is>
          <s:t>QA25418602</s:t>
        </s:is>
      </s:c>
      <s:c r="H115" s="218" t="n">
        <s:v>16</s:v>
      </s:c>
      <s:c r="I115" s="219" t="n">
        <s:v>0</s:v>
      </s:c>
      <s:c r="J115" s="220" t="n">
        <s:v>19</s:v>
      </s:c>
      <s:c r="K115" s="221" t="n">
        <s:v>7.497</s:v>
      </s:c>
      <s:c r="L115" s="221" t="n">
        <s:v>1.14</s:v>
      </s:c>
      <s:c r="M115" s="222" t="n">
        <s:v>443.44</s:v>
      </s:c>
      <s:c r="N115" s="222" t="n">
        <s:v>541.54</s:v>
      </s:c>
      <s:c r="O115" s="222" t="n">
        <s:v>100.38</s:v>
      </s:c>
      <s:c r="P115" s="223" t="inlineStr">
        <s:is>
          <s:t>2,29,300</s:t>
        </s:is>
      </s:c>
      <s:c r="Q115" s="224" t="inlineStr">
        <s:is>
          <s:t>2</s:t>
        </s:is>
      </s:c>
      <s:c r="R115" s="224" t="inlineStr">
        <s:is>
          <s:t>29,300</s:t>
        </s:is>
      </s:c>
      <s:c r="S115" s="224" t="n">
        <s:v>0.04147222222222222</s:v>
      </s:c>
      <s:c r="T115" s="225" t="n">
        <s:v>2420.415271265907</s:v>
      </s:c>
      <s:c r="U115" s="226" t="n">
        <s:v>-2.271368798565481</s:v>
      </s:c>
      <s:c r="V115" s="220" t="n">
        <s:v>19</s:v>
      </s:c>
      <s:c r="W115" s="221" t="n">
        <s:v>1.091</s:v>
      </s:c>
      <s:c r="X115" s="221" t="n">
        <s:v>1.08</s:v>
      </s:c>
      <s:c r="Y115" s="222" t="n">
        <s:v>551.64</s:v>
      </s:c>
      <s:c r="Z115" s="222" t="n">
        <s:v>556.8200000000001</s:v>
      </s:c>
      <s:c r="AA115" s="227" t="n">
        <s:v>5.229</s:v>
      </s:c>
      <s:c r="AB115" s="228" t="inlineStr">
        <s:is>
          <s:t>11,55,860</s:t>
        </s:is>
      </s:c>
      <s:c r="AC115" s="224" t="inlineStr">
        <s:is>
          <s:t>11</s:t>
        </s:is>
      </s:c>
      <s:c r="AD115" s="224" t="inlineStr">
        <s:is>
          <s:t>55,860</s:t>
        </s:is>
      </s:c>
      <s:c r="AE115" s="224" t="n">
        <s:v>0.19885</s:v>
      </s:c>
      <s:c r="AF115" s="225" t="n">
        <s:v>26.29620316821725</s:v>
      </s:c>
      <s:c r="AG115" s="229" t="n">
        <s:v>-0.9370816599720104</s:v>
      </s:c>
      <s:c r="AH115" s="220" t="n">
        <s:v>19</s:v>
      </s:c>
      <s:c r="AI115" s="221" t="n">
        <s:v>1.095</s:v>
      </s:c>
      <s:c r="AJ115" s="221" t="n">
        <s:v>1.082</s:v>
      </s:c>
      <s:c r="AK115" s="222" t="n">
        <s:v>556.8200000000001</s:v>
      </s:c>
      <s:c r="AL115" s="222" t="n">
        <s:v>558.83</s:v>
      </s:c>
      <s:c r="AM115" s="230" t="n">
        <s:v>2.006</s:v>
      </s:c>
      <s:c r="AN115" s="223" t="inlineStr">
        <s:is>
          <s:t>7,25,910</s:t>
        </s:is>
      </s:c>
      <s:c r="AO115" s="224" t="inlineStr">
        <s:is>
          <s:t>7,</s:t>
        </s:is>
      </s:c>
      <s:c r="AP115" s="224" t="inlineStr">
        <s:is>
          <s:t>25,910</s:t>
        </s:is>
      </s:c>
      <s:c r="AQ115" s="224" t="n">
        <s:v>0.1238638888888889</s:v>
      </s:c>
      <s:c r="AR115" s="225" t="n">
        <s:v>16.19519634006862</s:v>
      </s:c>
      <s:c r="AS115" s="229" t="n">
        <s:v>0.199401794615709</s:v>
      </s:c>
      <s:c r="AT115" s="231" t="inlineStr">
        <s:is>
          <s:t>NO CONFORME</s:t>
        </s:is>
      </s:c>
      <s:c r="AU115" s="232">
        <s:f>B115=C115</s:f>
        <s:v/>
      </s:c>
      <s:c r="AV115" s="233">
        <s:f>MID(G115,1,2)</s:f>
        <s:v/>
      </s:c>
      <s:c r="AW115" s="233">
        <s:f>LEN(G115)</s:f>
        <s:v/>
      </s:c>
      <s:c r="AX115" s="233" t="inlineStr">
        <s:is>
          <s:t>OI-0923-2025</s:t>
        </s:is>
      </s:c>
      <s:c r="AY115" s="233">
        <s:f>N115&lt;Y115</s:f>
        <s:v/>
      </s:c>
      <s:c r="AZ115" s="233">
        <s:f>Z115&lt;=AK115</s:f>
        <s:v/>
      </s:c>
      <s:c r="BA115" s="233">
        <s:f>L115&lt;K115</s:f>
        <s:v/>
      </s:c>
      <s:c r="BB115" s="233">
        <s:f>W115&gt;=X115</s:f>
        <s:v/>
      </s:c>
      <s:c r="BC115" s="233">
        <s:f>AI115&gt;=AJ115</s:f>
        <s:v/>
      </s:c>
      <s:c r="BD115" s="233">
        <s:f>IF(I115&gt;=1,"Qcorrecto",IF(AND(BE115="aceptable",BF115="aceptable",BG115="aceptable"),"Qcorrecto","Qincorrecto"))</s:f>
        <s:v/>
      </s:c>
      <s:c r="BE115" s="232">
        <s:f>IF(AR115&lt;$AH$6,"error",IF(AR115&gt;$AH$6*1.1,"error","aceptable"))</s:f>
        <s:v/>
      </s:c>
      <s:c r="BF115" s="232">
        <s:f>IF(AF115&lt;$V$6,"error",IF(AF115&gt;$V$6*1.1,"error","aceptable"))</s:f>
        <s:v/>
      </s:c>
      <s:c r="BG115" s="232">
        <s:f>IF(T115&lt;$J$6*0.9,"error",IF(T115&gt;$J$6,"error","aceptable"))</s:f>
        <s:v/>
      </s:c>
      <s:c r="BH115" s="234">
        <s:f>(IF(ABS(U115)&lt;1,"CONFORME",IF(ABS(AG115)&lt;1,"CONFORME",IF(ABS(AS115)&lt;2.5,"CONFORME","NO CONFORME"))))</s:f>
        <s:v/>
      </s:c>
      <s:c r="BI115" s="235">
        <s:f>(IF(ABS(U115)&gt;2.044,"NO CONFORME",IF(ABS(AG115)&gt;2.044,"NO CONFORME",IF(ABS(AS115)&gt;5.044,"NO CONFORME","CONFORME"))))</s:f>
        <s:v/>
      </s:c>
      <s:c r="BJ115" s="233">
        <s:f>SIGN(U115)</s:f>
        <s:v/>
      </s:c>
      <s:c r="BK115" s="233">
        <s:f>SIGN(AG115)</s:f>
        <s:v/>
      </s:c>
      <s:c r="BL115" s="233">
        <s:f>SIGN(AS115)</s:f>
        <s:v/>
      </s:c>
      <s:c r="BM115" s="233">
        <s:f>CONCATENATE(BJ115,BK115,BL115)</s:f>
        <s:v/>
      </s:c>
      <s:c r="BN115" s="233">
        <s:f>IF(BM115="111","SI","SD")</s:f>
        <s:v/>
      </s:c>
      <s:c r="BO115" s="233">
        <s:f>IF(BM115="-1-1-1","SI","SD")</s:f>
        <s:v/>
      </s:c>
      <s:c r="BP115" s="233">
        <s:f>OR(BN115="SI",BO115="SI")</s:f>
        <s:v/>
      </s:c>
      <s:c r="BQ115" s="233">
        <s:f>IF(BP115=FALSE,"SIGDIFERENTES","SIGIGUALES")</s:f>
        <s:v/>
      </s:c>
      <s:c r="BR115" s="236">
        <s:f>IF(BI115="NO CONFORME","NO CONFORME",IF(BH115="CONFORME","CONFORME","NO CONFORME"))</s:f>
        <s:v/>
      </s:c>
      <s:c r="BS115" s="233">
        <s:f>F115</s:f>
        <s:v/>
      </s:c>
      <s:c r="BT115" s="237">
        <s:f>G115</s:f>
        <s:v/>
      </s:c>
      <s:c r="BU115" s="233">
        <s:f>"20"&amp;+MID(G115,3,2)</s:f>
        <s:v/>
      </s:c>
      <s:c r="BV115" s="238">
        <s:f>C115</s:f>
        <s:v/>
      </s:c>
      <s:c r="BW115" s="233">
        <s:f>AT115</s:f>
        <s:v/>
      </s:c>
      <s:c r="BX115" s="238">
        <s:f>B115</s:f>
        <s:v/>
      </s:c>
      <s:c r="BY115" s="239">
        <s:f>H115</s:f>
        <s:v/>
      </s:c>
      <s:c r="BZ115" s="233">
        <s:f>IF(I115=0,"CONFORME","NO CONFORME")</s:f>
        <s:v/>
      </s:c>
      <s:c r="CA115" s="238">
        <s:f>C115</s:f>
        <s:v/>
      </s:c>
      <s:c r="CB115" s="240">
        <s:f>AH115</s:f>
        <s:v/>
      </s:c>
      <s:c r="CC115" s="241">
        <s:f>AR115</s:f>
        <s:v/>
      </s:c>
      <s:c r="CD115" s="240">
        <s:f>AI115</s:f>
        <s:v/>
      </s:c>
      <s:c r="CE115" s="240">
        <s:f>AJ115</s:f>
        <s:v/>
      </s:c>
      <s:c r="CF115" s="240">
        <s:f>AS115</s:f>
        <s:v/>
      </s:c>
      <s:c r="CG115" s="240">
        <s:f>V115</s:f>
        <s:v/>
      </s:c>
      <s:c r="CH115" s="241">
        <s:f>AF115</s:f>
        <s:v/>
      </s:c>
      <s:c r="CI115" s="240">
        <s:f>W115</s:f>
        <s:v/>
      </s:c>
      <s:c r="CJ115" s="240">
        <s:f>X115</s:f>
        <s:v/>
      </s:c>
      <s:c r="CK115" s="240">
        <s:f>AG115</s:f>
        <s:v/>
      </s:c>
      <s:c r="CL115" s="240">
        <s:f>J115</s:f>
        <s:v/>
      </s:c>
      <s:c r="CM115" s="241">
        <s:f>T115</s:f>
        <s:v/>
      </s:c>
      <s:c r="CN115" s="240">
        <s:f>K115</s:f>
        <s:v/>
      </s:c>
      <s:c r="CO115" s="240">
        <s:f>L115</s:f>
        <s:v/>
      </s:c>
      <s:c r="CP115" s="242">
        <s:f>U115</s:f>
        <s:v/>
      </s:c>
      <s:c r="CQ115" s="233">
        <s:f>AT115</s:f>
        <s:v/>
      </s:c>
    </s:row>
    <s:row r="116">
      <s:c r="A116" s="211" t="n">
        <s:v>16</s:v>
      </s:c>
      <s:c r="B116" s="212" t="n">
        <s:v>45901</s:v>
      </s:c>
      <s:c r="C116" s="213" t="n">
        <s:v>45901</s:v>
      </s:c>
      <s:c r="D116" s="214" t="n">
        <s:v>3</s:v>
      </s:c>
      <s:c r="E116" s="215" t="n">
        <s:v>13</s:v>
      </s:c>
      <s:c r="F116" s="216" t="inlineStr">
        <s:is>
          <s:t>VI-236591-2025</s:t>
        </s:is>
      </s:c>
      <s:c r="G116" s="217" t="inlineStr">
        <s:is>
          <s:t>QA25418864</s:t>
        </s:is>
      </s:c>
      <s:c r="H116" s="218" t="n">
        <s:v>16</s:v>
      </s:c>
      <s:c r="I116" s="219" t="n">
        <s:v>0</s:v>
      </s:c>
      <s:c r="J116" s="220" t="n">
        <s:v>19</s:v>
      </s:c>
      <s:c r="K116" s="221" t="n">
        <s:v>7.497</s:v>
      </s:c>
      <s:c r="L116" s="221" t="n">
        <s:v>1.14</s:v>
      </s:c>
      <s:c r="M116" s="222" t="n">
        <s:v>422.71</s:v>
      </s:c>
      <s:c r="N116" s="222" t="n">
        <s:v>522.53</s:v>
      </s:c>
      <s:c r="O116" s="222" t="n">
        <s:v>100.38</s:v>
      </s:c>
      <s:c r="P116" s="223" t="inlineStr">
        <s:is>
          <s:t>2,29,300</s:t>
        </s:is>
      </s:c>
      <s:c r="Q116" s="224" t="inlineStr">
        <s:is>
          <s:t>2</s:t>
        </s:is>
      </s:c>
      <s:c r="R116" s="224" t="inlineStr">
        <s:is>
          <s:t>29,300</s:t>
        </s:is>
      </s:c>
      <s:c r="S116" s="224" t="n">
        <s:v>0.04147222222222222</s:v>
      </s:c>
      <s:c r="T116" s="225" t="n">
        <s:v>2420.415271265907</s:v>
      </s:c>
      <s:c r="U116" s="226" t="n">
        <s:v>-0.5578800557880079</s:v>
      </s:c>
      <s:c r="V116" s="220" t="n">
        <s:v>19</s:v>
      </s:c>
      <s:c r="W116" s="221" t="n">
        <s:v>1.091</s:v>
      </s:c>
      <s:c r="X116" s="221" t="n">
        <s:v>1.08</s:v>
      </s:c>
      <s:c r="Y116" s="222" t="n">
        <s:v>532.79</s:v>
      </s:c>
      <s:c r="Z116" s="222" t="n">
        <s:v>538.11</s:v>
      </s:c>
      <s:c r="AA116" s="227" t="n">
        <s:v>5.229</s:v>
      </s:c>
      <s:c r="AB116" s="228" t="inlineStr">
        <s:is>
          <s:t>11,55,860</s:t>
        </s:is>
      </s:c>
      <s:c r="AC116" s="224" t="inlineStr">
        <s:is>
          <s:t>11</s:t>
        </s:is>
      </s:c>
      <s:c r="AD116" s="224" t="inlineStr">
        <s:is>
          <s:t>55,860</s:t>
        </s:is>
      </s:c>
      <s:c r="AE116" s="224" t="n">
        <s:v>0.19885</s:v>
      </s:c>
      <s:c r="AF116" s="225" t="n">
        <s:v>26.29620316821725</s:v>
      </s:c>
      <s:c r="AG116" s="229" t="n">
        <s:v>1.740294511379804</s:v>
      </s:c>
      <s:c r="AH116" s="220" t="n">
        <s:v>19</s:v>
      </s:c>
      <s:c r="AI116" s="221" t="n">
        <s:v>1.095</s:v>
      </s:c>
      <s:c r="AJ116" s="221" t="n">
        <s:v>1.082</s:v>
      </s:c>
      <s:c r="AK116" s="222" t="n">
        <s:v>538.11</s:v>
      </s:c>
      <s:c r="AL116" s="222" t="n">
        <s:v>540.13</s:v>
      </s:c>
      <s:c r="AM116" s="230" t="n">
        <s:v>2.006</s:v>
      </s:c>
      <s:c r="AN116" s="223" t="inlineStr">
        <s:is>
          <s:t>7,25,910</s:t>
        </s:is>
      </s:c>
      <s:c r="AO116" s="224" t="inlineStr">
        <s:is>
          <s:t>7,</s:t>
        </s:is>
      </s:c>
      <s:c r="AP116" s="224" t="inlineStr">
        <s:is>
          <s:t>25,910</s:t>
        </s:is>
      </s:c>
      <s:c r="AQ116" s="224" t="n">
        <s:v>0.1238638888888889</s:v>
      </s:c>
      <s:c r="AR116" s="225" t="n">
        <s:v>16.19519634006862</s:v>
      </s:c>
      <s:c r="AS116" s="229" t="n">
        <s:v>0.6979062811556345</s:v>
      </s:c>
      <s:c r="AT116" s="231" t="inlineStr">
        <s:is>
          <s:t>CONFORME</s:t>
        </s:is>
      </s:c>
      <s:c r="AU116" s="232">
        <s:f>B116=C116</s:f>
        <s:v/>
      </s:c>
      <s:c r="AV116" s="233">
        <s:f>MID(G116,1,2)</s:f>
        <s:v/>
      </s:c>
      <s:c r="AW116" s="233">
        <s:f>LEN(G116)</s:f>
        <s:v/>
      </s:c>
      <s:c r="AX116" s="233" t="inlineStr">
        <s:is>
          <s:t>OI-0923-2025</s:t>
        </s:is>
      </s:c>
      <s:c r="AY116" s="233">
        <s:f>N116&lt;Y116</s:f>
        <s:v/>
      </s:c>
      <s:c r="AZ116" s="233">
        <s:f>Z116&lt;=AK116</s:f>
        <s:v/>
      </s:c>
      <s:c r="BA116" s="233">
        <s:f>L116&lt;K116</s:f>
        <s:v/>
      </s:c>
      <s:c r="BB116" s="233">
        <s:f>W116&gt;=X116</s:f>
        <s:v/>
      </s:c>
      <s:c r="BC116" s="233">
        <s:f>AI116&gt;=AJ116</s:f>
        <s:v/>
      </s:c>
      <s:c r="BD116" s="233">
        <s:f>IF(I116&gt;=1,"Qcorrecto",IF(AND(BE116="aceptable",BF116="aceptable",BG116="aceptable"),"Qcorrecto","Qincorrecto"))</s:f>
        <s:v/>
      </s:c>
      <s:c r="BE116" s="232">
        <s:f>IF(AR116&lt;$AH$6,"error",IF(AR116&gt;$AH$6*1.1,"error","aceptable"))</s:f>
        <s:v/>
      </s:c>
      <s:c r="BF116" s="232">
        <s:f>IF(AF116&lt;$V$6,"error",IF(AF116&gt;$V$6*1.1,"error","aceptable"))</s:f>
        <s:v/>
      </s:c>
      <s:c r="BG116" s="232">
        <s:f>IF(T116&lt;$J$6*0.9,"error",IF(T116&gt;$J$6,"error","aceptable"))</s:f>
        <s:v/>
      </s:c>
      <s:c r="BH116" s="234">
        <s:f>(IF(ABS(U116)&lt;1,"CONFORME",IF(ABS(AG116)&lt;1,"CONFORME",IF(ABS(AS116)&lt;2.5,"CONFORME","NO CONFORME"))))</s:f>
        <s:v/>
      </s:c>
      <s:c r="BI116" s="235">
        <s:f>(IF(ABS(U116)&gt;2.044,"NO CONFORME",IF(ABS(AG116)&gt;2.044,"NO CONFORME",IF(ABS(AS116)&gt;5.044,"NO CONFORME","CONFORME"))))</s:f>
        <s:v/>
      </s:c>
      <s:c r="BJ116" s="233">
        <s:f>SIGN(U116)</s:f>
        <s:v/>
      </s:c>
      <s:c r="BK116" s="233">
        <s:f>SIGN(AG116)</s:f>
        <s:v/>
      </s:c>
      <s:c r="BL116" s="233">
        <s:f>SIGN(AS116)</s:f>
        <s:v/>
      </s:c>
      <s:c r="BM116" s="233">
        <s:f>CONCATENATE(BJ116,BK116,BL116)</s:f>
        <s:v/>
      </s:c>
      <s:c r="BN116" s="233">
        <s:f>IF(BM116="111","SI","SD")</s:f>
        <s:v/>
      </s:c>
      <s:c r="BO116" s="233">
        <s:f>IF(BM116="-1-1-1","SI","SD")</s:f>
        <s:v/>
      </s:c>
      <s:c r="BP116" s="233">
        <s:f>OR(BN116="SI",BO116="SI")</s:f>
        <s:v/>
      </s:c>
      <s:c r="BQ116" s="233">
        <s:f>IF(BP116=FALSE,"SIGDIFERENTES","SIGIGUALES")</s:f>
        <s:v/>
      </s:c>
      <s:c r="BR116" s="236">
        <s:f>IF(BI116="NO CONFORME","NO CONFORME",IF(BH116="CONFORME","CONFORME","NO CONFORME"))</s:f>
        <s:v/>
      </s:c>
      <s:c r="BS116" s="233">
        <s:f>F116</s:f>
        <s:v/>
      </s:c>
      <s:c r="BT116" s="237">
        <s:f>G116</s:f>
        <s:v/>
      </s:c>
      <s:c r="BU116" s="233">
        <s:f>"20"&amp;+MID(G116,3,2)</s:f>
        <s:v/>
      </s:c>
      <s:c r="BV116" s="238">
        <s:f>C116</s:f>
        <s:v/>
      </s:c>
      <s:c r="BW116" s="233">
        <s:f>AT116</s:f>
        <s:v/>
      </s:c>
      <s:c r="BX116" s="238">
        <s:f>B116</s:f>
        <s:v/>
      </s:c>
      <s:c r="BY116" s="239">
        <s:f>H116</s:f>
        <s:v/>
      </s:c>
      <s:c r="BZ116" s="233">
        <s:f>IF(I116=0,"CONFORME","NO CONFORME")</s:f>
        <s:v/>
      </s:c>
      <s:c r="CA116" s="238">
        <s:f>C116</s:f>
        <s:v/>
      </s:c>
      <s:c r="CB116" s="240">
        <s:f>AH116</s:f>
        <s:v/>
      </s:c>
      <s:c r="CC116" s="241">
        <s:f>AR116</s:f>
        <s:v/>
      </s:c>
      <s:c r="CD116" s="240">
        <s:f>AI116</s:f>
        <s:v/>
      </s:c>
      <s:c r="CE116" s="240">
        <s:f>AJ116</s:f>
        <s:v/>
      </s:c>
      <s:c r="CF116" s="240">
        <s:f>AS116</s:f>
        <s:v/>
      </s:c>
      <s:c r="CG116" s="240">
        <s:f>V116</s:f>
        <s:v/>
      </s:c>
      <s:c r="CH116" s="241">
        <s:f>AF116</s:f>
        <s:v/>
      </s:c>
      <s:c r="CI116" s="240">
        <s:f>W116</s:f>
        <s:v/>
      </s:c>
      <s:c r="CJ116" s="240">
        <s:f>X116</s:f>
        <s:v/>
      </s:c>
      <s:c r="CK116" s="240">
        <s:f>AG116</s:f>
        <s:v/>
      </s:c>
      <s:c r="CL116" s="240">
        <s:f>J116</s:f>
        <s:v/>
      </s:c>
      <s:c r="CM116" s="241">
        <s:f>T116</s:f>
        <s:v/>
      </s:c>
      <s:c r="CN116" s="240">
        <s:f>K116</s:f>
        <s:v/>
      </s:c>
      <s:c r="CO116" s="240">
        <s:f>L116</s:f>
        <s:v/>
      </s:c>
      <s:c r="CP116" s="242">
        <s:f>U116</s:f>
        <s:v/>
      </s:c>
      <s:c r="CQ116" s="233">
        <s:f>AT116</s:f>
        <s:v/>
      </s:c>
    </s:row>
    <s:row r="117">
      <s:c r="A117" s="211" t="n">
        <s:v>17</s:v>
      </s:c>
      <s:c r="B117" s="212" t="n">
        <s:v>45901</s:v>
      </s:c>
      <s:c r="C117" s="213" t="n">
        <s:v>45901</s:v>
      </s:c>
      <s:c r="D117" s="214" t="n">
        <s:v>3</s:v>
      </s:c>
      <s:c r="E117" s="215" t="n">
        <s:v>13</s:v>
      </s:c>
      <s:c r="F117" s="216" t="inlineStr">
        <s:is>
          <s:t>VI-236592-2025</s:t>
        </s:is>
      </s:c>
      <s:c r="G117" s="217" t="inlineStr">
        <s:is>
          <s:t>QA25418593</s:t>
        </s:is>
      </s:c>
      <s:c r="H117" s="218" t="n">
        <s:v>16</s:v>
      </s:c>
      <s:c r="I117" s="219" t="n">
        <s:v>0</s:v>
      </s:c>
      <s:c r="J117" s="220" t="n">
        <s:v>19</s:v>
      </s:c>
      <s:c r="K117" s="221" t="n">
        <s:v>7.497</s:v>
      </s:c>
      <s:c r="L117" s="221" t="n">
        <s:v>1.14</s:v>
      </s:c>
      <s:c r="M117" s="222" t="n">
        <s:v>490.85</s:v>
      </s:c>
      <s:c r="N117" s="222" t="n">
        <s:v>590.55</s:v>
      </s:c>
      <s:c r="O117" s="222" t="n">
        <s:v>100.38</s:v>
      </s:c>
      <s:c r="P117" s="223" t="inlineStr">
        <s:is>
          <s:t>2,29,300</s:t>
        </s:is>
      </s:c>
      <s:c r="Q117" s="224" t="inlineStr">
        <s:is>
          <s:t>2</s:t>
        </s:is>
      </s:c>
      <s:c r="R117" s="224" t="inlineStr">
        <s:is>
          <s:t>29,300</s:t>
        </s:is>
      </s:c>
      <s:c r="S117" s="224" t="n">
        <s:v>0.04147222222222222</s:v>
      </s:c>
      <s:c r="T117" s="225" t="n">
        <s:v>2420.415271265907</s:v>
      </s:c>
      <s:c r="U117" s="226" t="n">
        <s:v>-0.6774257820283559</s:v>
      </s:c>
      <s:c r="V117" s="220" t="n">
        <s:v>19</s:v>
      </s:c>
      <s:c r="W117" s="221" t="n">
        <s:v>1.091</s:v>
      </s:c>
      <s:c r="X117" s="221" t="n">
        <s:v>1.08</s:v>
      </s:c>
      <s:c r="Y117" s="222" t="n">
        <s:v>600.78</s:v>
      </s:c>
      <s:c r="Z117" s="222" t="n">
        <s:v>606.04</s:v>
      </s:c>
      <s:c r="AA117" s="227" t="n">
        <s:v>5.229</s:v>
      </s:c>
      <s:c r="AB117" s="228" t="inlineStr">
        <s:is>
          <s:t>11,55,860</s:t>
        </s:is>
      </s:c>
      <s:c r="AC117" s="224" t="inlineStr">
        <s:is>
          <s:t>11</s:t>
        </s:is>
      </s:c>
      <s:c r="AD117" s="224" t="inlineStr">
        <s:is>
          <s:t>55,860</s:t>
        </s:is>
      </s:c>
      <s:c r="AE117" s="224" t="n">
        <s:v>0.19885</s:v>
      </s:c>
      <s:c r="AF117" s="225" t="n">
        <s:v>26.29620316821725</s:v>
      </s:c>
      <s:c r="AG117" s="229" t="n">
        <s:v>0.5928475807992123</s:v>
      </s:c>
      <s:c r="AH117" s="220" t="n">
        <s:v>19</s:v>
      </s:c>
      <s:c r="AI117" s="221" t="n">
        <s:v>1.095</s:v>
      </s:c>
      <s:c r="AJ117" s="221" t="n">
        <s:v>1.082</s:v>
      </s:c>
      <s:c r="AK117" s="222" t="n">
        <s:v>606.04</s:v>
      </s:c>
      <s:c r="AL117" s="222" t="n">
        <s:v>608.03</s:v>
      </s:c>
      <s:c r="AM117" s="230" t="n">
        <s:v>2.006</s:v>
      </s:c>
      <s:c r="AN117" s="223" t="inlineStr">
        <s:is>
          <s:t>7,25,910</s:t>
        </s:is>
      </s:c>
      <s:c r="AO117" s="224" t="inlineStr">
        <s:is>
          <s:t>7,</s:t>
        </s:is>
      </s:c>
      <s:c r="AP117" s="224" t="inlineStr">
        <s:is>
          <s:t>25,910</s:t>
        </s:is>
      </s:c>
      <s:c r="AQ117" s="224" t="n">
        <s:v>0.1238638888888889</s:v>
      </s:c>
      <s:c r="AR117" s="225" t="n">
        <s:v>16.19519634006862</s:v>
      </s:c>
      <s:c r="AS117" s="229" t="n">
        <s:v>-0.7976071784641421</s:v>
      </s:c>
      <s:c r="AT117" s="231" t="inlineStr">
        <s:is>
          <s:t>CONFORME</s:t>
        </s:is>
      </s:c>
      <s:c r="AU117" s="232">
        <s:f>B117=C117</s:f>
        <s:v/>
      </s:c>
      <s:c r="AV117" s="233">
        <s:f>MID(G117,1,2)</s:f>
        <s:v/>
      </s:c>
      <s:c r="AW117" s="233">
        <s:f>LEN(G117)</s:f>
        <s:v/>
      </s:c>
      <s:c r="AX117" s="233" t="inlineStr">
        <s:is>
          <s:t>OI-0923-2025</s:t>
        </s:is>
      </s:c>
      <s:c r="AY117" s="233">
        <s:f>N117&lt;Y117</s:f>
        <s:v/>
      </s:c>
      <s:c r="AZ117" s="233">
        <s:f>Z117&lt;=AK117</s:f>
        <s:v/>
      </s:c>
      <s:c r="BA117" s="233">
        <s:f>L117&lt;K117</s:f>
        <s:v/>
      </s:c>
      <s:c r="BB117" s="233">
        <s:f>W117&gt;=X117</s:f>
        <s:v/>
      </s:c>
      <s:c r="BC117" s="233">
        <s:f>AI117&gt;=AJ117</s:f>
        <s:v/>
      </s:c>
      <s:c r="BD117" s="233">
        <s:f>IF(I117&gt;=1,"Qcorrecto",IF(AND(BE117="aceptable",BF117="aceptable",BG117="aceptable"),"Qcorrecto","Qincorrecto"))</s:f>
        <s:v/>
      </s:c>
      <s:c r="BE117" s="232">
        <s:f>IF(AR117&lt;$AH$6,"error",IF(AR117&gt;$AH$6*1.1,"error","aceptable"))</s:f>
        <s:v/>
      </s:c>
      <s:c r="BF117" s="232">
        <s:f>IF(AF117&lt;$V$6,"error",IF(AF117&gt;$V$6*1.1,"error","aceptable"))</s:f>
        <s:v/>
      </s:c>
      <s:c r="BG117" s="232">
        <s:f>IF(T117&lt;$J$6*0.9,"error",IF(T117&gt;$J$6,"error","aceptable"))</s:f>
        <s:v/>
      </s:c>
      <s:c r="BH117" s="234">
        <s:f>(IF(ABS(U117)&lt;1,"CONFORME",IF(ABS(AG117)&lt;1,"CONFORME",IF(ABS(AS117)&lt;2.5,"CONFORME","NO CONFORME"))))</s:f>
        <s:v/>
      </s:c>
      <s:c r="BI117" s="235">
        <s:f>(IF(ABS(U117)&gt;2.044,"NO CONFORME",IF(ABS(AG117)&gt;2.044,"NO CONFORME",IF(ABS(AS117)&gt;5.044,"NO CONFORME","CONFORME"))))</s:f>
        <s:v/>
      </s:c>
      <s:c r="BJ117" s="233">
        <s:f>SIGN(U117)</s:f>
        <s:v/>
      </s:c>
      <s:c r="BK117" s="233">
        <s:f>SIGN(AG117)</s:f>
        <s:v/>
      </s:c>
      <s:c r="BL117" s="233">
        <s:f>SIGN(AS117)</s:f>
        <s:v/>
      </s:c>
      <s:c r="BM117" s="233">
        <s:f>CONCATENATE(BJ117,BK117,BL117)</s:f>
        <s:v/>
      </s:c>
      <s:c r="BN117" s="233">
        <s:f>IF(BM117="111","SI","SD")</s:f>
        <s:v/>
      </s:c>
      <s:c r="BO117" s="233">
        <s:f>IF(BM117="-1-1-1","SI","SD")</s:f>
        <s:v/>
      </s:c>
      <s:c r="BP117" s="233">
        <s:f>OR(BN117="SI",BO117="SI")</s:f>
        <s:v/>
      </s:c>
      <s:c r="BQ117" s="233">
        <s:f>IF(BP117=FALSE,"SIGDIFERENTES","SIGIGUALES")</s:f>
        <s:v/>
      </s:c>
      <s:c r="BR117" s="236">
        <s:f>IF(BI117="NO CONFORME","NO CONFORME",IF(BH117="CONFORME","CONFORME","NO CONFORME"))</s:f>
        <s:v/>
      </s:c>
      <s:c r="BS117" s="233">
        <s:f>F117</s:f>
        <s:v/>
      </s:c>
      <s:c r="BT117" s="237">
        <s:f>G117</s:f>
        <s:v/>
      </s:c>
      <s:c r="BU117" s="233">
        <s:f>"20"&amp;+MID(G117,3,2)</s:f>
        <s:v/>
      </s:c>
      <s:c r="BV117" s="238">
        <s:f>C117</s:f>
        <s:v/>
      </s:c>
      <s:c r="BW117" s="233">
        <s:f>AT117</s:f>
        <s:v/>
      </s:c>
      <s:c r="BX117" s="238">
        <s:f>B117</s:f>
        <s:v/>
      </s:c>
      <s:c r="BY117" s="239">
        <s:f>H117</s:f>
        <s:v/>
      </s:c>
      <s:c r="BZ117" s="233">
        <s:f>IF(I117=0,"CONFORME","NO CONFORME")</s:f>
        <s:v/>
      </s:c>
      <s:c r="CA117" s="238">
        <s:f>C117</s:f>
        <s:v/>
      </s:c>
      <s:c r="CB117" s="240">
        <s:f>AH117</s:f>
        <s:v/>
      </s:c>
      <s:c r="CC117" s="241">
        <s:f>AR117</s:f>
        <s:v/>
      </s:c>
      <s:c r="CD117" s="240">
        <s:f>AI117</s:f>
        <s:v/>
      </s:c>
      <s:c r="CE117" s="240">
        <s:f>AJ117</s:f>
        <s:v/>
      </s:c>
      <s:c r="CF117" s="240">
        <s:f>AS117</s:f>
        <s:v/>
      </s:c>
      <s:c r="CG117" s="240">
        <s:f>V117</s:f>
        <s:v/>
      </s:c>
      <s:c r="CH117" s="241">
        <s:f>AF117</s:f>
        <s:v/>
      </s:c>
      <s:c r="CI117" s="240">
        <s:f>W117</s:f>
        <s:v/>
      </s:c>
      <s:c r="CJ117" s="240">
        <s:f>X117</s:f>
        <s:v/>
      </s:c>
      <s:c r="CK117" s="240">
        <s:f>AG117</s:f>
        <s:v/>
      </s:c>
      <s:c r="CL117" s="240">
        <s:f>J117</s:f>
        <s:v/>
      </s:c>
      <s:c r="CM117" s="241">
        <s:f>T117</s:f>
        <s:v/>
      </s:c>
      <s:c r="CN117" s="240">
        <s:f>K117</s:f>
        <s:v/>
      </s:c>
      <s:c r="CO117" s="240">
        <s:f>L117</s:f>
        <s:v/>
      </s:c>
      <s:c r="CP117" s="242">
        <s:f>U117</s:f>
        <s:v/>
      </s:c>
      <s:c r="CQ117" s="233">
        <s:f>AT117</s:f>
        <s:v/>
      </s:c>
    </s:row>
    <s:row r="118">
      <s:c r="A118" s="211" t="n">
        <s:v>18</s:v>
      </s:c>
      <s:c r="B118" s="212" t="n">
        <s:v>45901</s:v>
      </s:c>
      <s:c r="C118" s="213" t="n">
        <s:v>45901</s:v>
      </s:c>
      <s:c r="D118" s="214" t="n">
        <s:v>3</s:v>
      </s:c>
      <s:c r="E118" s="215" t="n">
        <s:v>13</s:v>
      </s:c>
      <s:c r="F118" s="216" t="inlineStr">
        <s:is>
          <s:t>VI-236593-2025</s:t>
        </s:is>
      </s:c>
      <s:c r="G118" s="217" t="inlineStr">
        <s:is>
          <s:t>QA25418803</s:t>
        </s:is>
      </s:c>
      <s:c r="H118" s="218" t="n">
        <s:v>16</s:v>
      </s:c>
      <s:c r="I118" s="219" t="n">
        <s:v>0</s:v>
      </s:c>
      <s:c r="J118" s="220" t="n">
        <s:v>19</s:v>
      </s:c>
      <s:c r="K118" s="221" t="n">
        <s:v>7.497</s:v>
      </s:c>
      <s:c r="L118" s="221" t="n">
        <s:v>1.14</s:v>
      </s:c>
      <s:c r="M118" s="222" t="n">
        <s:v>361.17</s:v>
      </s:c>
      <s:c r="N118" s="222" t="n">
        <s:v>462.13</s:v>
      </s:c>
      <s:c r="O118" s="222" t="n">
        <s:v>100.38</s:v>
      </s:c>
      <s:c r="P118" s="223" t="inlineStr">
        <s:is>
          <s:t>2,29,300</s:t>
        </s:is>
      </s:c>
      <s:c r="Q118" s="224" t="inlineStr">
        <s:is>
          <s:t>2</s:t>
        </s:is>
      </s:c>
      <s:c r="R118" s="224" t="inlineStr">
        <s:is>
          <s:t>29,300</s:t>
        </s:is>
      </s:c>
      <s:c r="S118" s="224" t="n">
        <s:v>0.04147222222222222</s:v>
      </s:c>
      <s:c r="T118" s="225" t="n">
        <s:v>2420.415271265907</s:v>
      </s:c>
      <s:c r="U118" s="226" t="n">
        <s:v>0.5778043434947042</s:v>
      </s:c>
      <s:c r="V118" s="220" t="n">
        <s:v>19</s:v>
      </s:c>
      <s:c r="W118" s="221" t="n">
        <s:v>1.091</s:v>
      </s:c>
      <s:c r="X118" s="221" t="n">
        <s:v>1.08</s:v>
      </s:c>
      <s:c r="Y118" s="222" t="n">
        <s:v>472.53</s:v>
      </s:c>
      <s:c r="Z118" s="222" t="n">
        <s:v>477.86</s:v>
      </s:c>
      <s:c r="AA118" s="227" t="n">
        <s:v>5.229</s:v>
      </s:c>
      <s:c r="AB118" s="228" t="inlineStr">
        <s:is>
          <s:t>11,55,860</s:t>
        </s:is>
      </s:c>
      <s:c r="AC118" s="224" t="inlineStr">
        <s:is>
          <s:t>11</s:t>
        </s:is>
      </s:c>
      <s:c r="AD118" s="224" t="inlineStr">
        <s:is>
          <s:t>55,860</s:t>
        </s:is>
      </s:c>
      <s:c r="AE118" s="224" t="n">
        <s:v>0.19885</s:v>
      </s:c>
      <s:c r="AF118" s="225" t="n">
        <s:v>26.29620316821725</s:v>
      </s:c>
      <s:c r="AG118" s="229" t="n">
        <s:v>1.931535666476206</s:v>
      </s:c>
      <s:c r="AH118" s="220" t="n">
        <s:v>19</s:v>
      </s:c>
      <s:c r="AI118" s="221" t="n">
        <s:v>1.095</s:v>
      </s:c>
      <s:c r="AJ118" s="221" t="n">
        <s:v>1.082</s:v>
      </s:c>
      <s:c r="AK118" s="222" t="n">
        <s:v>477.86</s:v>
      </s:c>
      <s:c r="AL118" s="222" t="n">
        <s:v>479.87</s:v>
      </s:c>
      <s:c r="AM118" s="230" t="n">
        <s:v>2.006</s:v>
      </s:c>
      <s:c r="AN118" s="223" t="inlineStr">
        <s:is>
          <s:t>7,25,910</s:t>
        </s:is>
      </s:c>
      <s:c r="AO118" s="224" t="inlineStr">
        <s:is>
          <s:t>7,</s:t>
        </s:is>
      </s:c>
      <s:c r="AP118" s="224" t="inlineStr">
        <s:is>
          <s:t>25,910</s:t>
        </s:is>
      </s:c>
      <s:c r="AQ118" s="224" t="n">
        <s:v>0.1238638888888889</s:v>
      </s:c>
      <s:c r="AR118" s="225" t="n">
        <s:v>16.19519634006862</s:v>
      </s:c>
      <s:c r="AS118" s="229" t="n">
        <s:v>0.199401794615709</s:v>
      </s:c>
      <s:c r="AT118" s="231" t="inlineStr">
        <s:is>
          <s:t>CONFORME</s:t>
        </s:is>
      </s:c>
      <s:c r="AU118" s="232">
        <s:f>B118=C118</s:f>
        <s:v/>
      </s:c>
      <s:c r="AV118" s="233">
        <s:f>MID(G118,1,2)</s:f>
        <s:v/>
      </s:c>
      <s:c r="AW118" s="233">
        <s:f>LEN(G118)</s:f>
        <s:v/>
      </s:c>
      <s:c r="AX118" s="233" t="inlineStr">
        <s:is>
          <s:t>OI-0923-2025</s:t>
        </s:is>
      </s:c>
      <s:c r="AY118" s="233">
        <s:f>N118&lt;Y118</s:f>
        <s:v/>
      </s:c>
      <s:c r="AZ118" s="233">
        <s:f>Z118&lt;=AK118</s:f>
        <s:v/>
      </s:c>
      <s:c r="BA118" s="233">
        <s:f>L118&lt;K118</s:f>
        <s:v/>
      </s:c>
      <s:c r="BB118" s="233">
        <s:f>W118&gt;=X118</s:f>
        <s:v/>
      </s:c>
      <s:c r="BC118" s="233">
        <s:f>AI118&gt;=AJ118</s:f>
        <s:v/>
      </s:c>
      <s:c r="BD118" s="233">
        <s:f>IF(I118&gt;=1,"Qcorrecto",IF(AND(BE118="aceptable",BF118="aceptable",BG118="aceptable"),"Qcorrecto","Qincorrecto"))</s:f>
        <s:v/>
      </s:c>
      <s:c r="BE118" s="232">
        <s:f>IF(AR118&lt;$AH$6,"error",IF(AR118&gt;$AH$6*1.1,"error","aceptable"))</s:f>
        <s:v/>
      </s:c>
      <s:c r="BF118" s="232">
        <s:f>IF(AF118&lt;$V$6,"error",IF(AF118&gt;$V$6*1.1,"error","aceptable"))</s:f>
        <s:v/>
      </s:c>
      <s:c r="BG118" s="232">
        <s:f>IF(T118&lt;$J$6*0.9,"error",IF(T118&gt;$J$6,"error","aceptable"))</s:f>
        <s:v/>
      </s:c>
      <s:c r="BH118" s="234">
        <s:f>(IF(ABS(U118)&lt;1,"CONFORME",IF(ABS(AG118)&lt;1,"CONFORME",IF(ABS(AS118)&lt;2.5,"CONFORME","NO CONFORME"))))</s:f>
        <s:v/>
      </s:c>
      <s:c r="BI118" s="235">
        <s:f>(IF(ABS(U118)&gt;2.044,"NO CONFORME",IF(ABS(AG118)&gt;2.044,"NO CONFORME",IF(ABS(AS118)&gt;5.044,"NO CONFORME","CONFORME"))))</s:f>
        <s:v/>
      </s:c>
      <s:c r="BJ118" s="233">
        <s:f>SIGN(U118)</s:f>
        <s:v/>
      </s:c>
      <s:c r="BK118" s="233">
        <s:f>SIGN(AG118)</s:f>
        <s:v/>
      </s:c>
      <s:c r="BL118" s="233">
        <s:f>SIGN(AS118)</s:f>
        <s:v/>
      </s:c>
      <s:c r="BM118" s="233">
        <s:f>CONCATENATE(BJ118,BK118,BL118)</s:f>
        <s:v/>
      </s:c>
      <s:c r="BN118" s="233">
        <s:f>IF(BM118="111","SI","SD")</s:f>
        <s:v/>
      </s:c>
      <s:c r="BO118" s="233">
        <s:f>IF(BM118="-1-1-1","SI","SD")</s:f>
        <s:v/>
      </s:c>
      <s:c r="BP118" s="233">
        <s:f>OR(BN118="SI",BO118="SI")</s:f>
        <s:v/>
      </s:c>
      <s:c r="BQ118" s="233">
        <s:f>IF(BP118=FALSE,"SIGDIFERENTES","SIGIGUALES")</s:f>
        <s:v/>
      </s:c>
      <s:c r="BR118" s="236">
        <s:f>IF(BI118="NO CONFORME","NO CONFORME",IF(BH118="CONFORME","CONFORME","NO CONFORME"))</s:f>
        <s:v/>
      </s:c>
      <s:c r="BS118" s="233">
        <s:f>F118</s:f>
        <s:v/>
      </s:c>
      <s:c r="BT118" s="237">
        <s:f>G118</s:f>
        <s:v/>
      </s:c>
      <s:c r="BU118" s="233">
        <s:f>"20"&amp;+MID(G118,3,2)</s:f>
        <s:v/>
      </s:c>
      <s:c r="BV118" s="238">
        <s:f>C118</s:f>
        <s:v/>
      </s:c>
      <s:c r="BW118" s="233">
        <s:f>AT118</s:f>
        <s:v/>
      </s:c>
      <s:c r="BX118" s="238">
        <s:f>B118</s:f>
        <s:v/>
      </s:c>
      <s:c r="BY118" s="239">
        <s:f>H118</s:f>
        <s:v/>
      </s:c>
      <s:c r="BZ118" s="233">
        <s:f>IF(I118=0,"CONFORME","NO CONFORME")</s:f>
        <s:v/>
      </s:c>
      <s:c r="CA118" s="238">
        <s:f>C118</s:f>
        <s:v/>
      </s:c>
      <s:c r="CB118" s="240">
        <s:f>AH118</s:f>
        <s:v/>
      </s:c>
      <s:c r="CC118" s="241">
        <s:f>AR118</s:f>
        <s:v/>
      </s:c>
      <s:c r="CD118" s="240">
        <s:f>AI118</s:f>
        <s:v/>
      </s:c>
      <s:c r="CE118" s="240">
        <s:f>AJ118</s:f>
        <s:v/>
      </s:c>
      <s:c r="CF118" s="240">
        <s:f>AS118</s:f>
        <s:v/>
      </s:c>
      <s:c r="CG118" s="240">
        <s:f>V118</s:f>
        <s:v/>
      </s:c>
      <s:c r="CH118" s="241">
        <s:f>AF118</s:f>
        <s:v/>
      </s:c>
      <s:c r="CI118" s="240">
        <s:f>W118</s:f>
        <s:v/>
      </s:c>
      <s:c r="CJ118" s="240">
        <s:f>X118</s:f>
        <s:v/>
      </s:c>
      <s:c r="CK118" s="240">
        <s:f>AG118</s:f>
        <s:v/>
      </s:c>
      <s:c r="CL118" s="240">
        <s:f>J118</s:f>
        <s:v/>
      </s:c>
      <s:c r="CM118" s="241">
        <s:f>T118</s:f>
        <s:v/>
      </s:c>
      <s:c r="CN118" s="240">
        <s:f>K118</s:f>
        <s:v/>
      </s:c>
      <s:c r="CO118" s="240">
        <s:f>L118</s:f>
        <s:v/>
      </s:c>
      <s:c r="CP118" s="242">
        <s:f>U118</s:f>
        <s:v/>
      </s:c>
      <s:c r="CQ118" s="233">
        <s:f>AT118</s:f>
        <s:v/>
      </s:c>
    </s:row>
    <s:row r="119">
      <s:c r="A119" s="211" t="n">
        <s:v>19</s:v>
      </s:c>
      <s:c r="B119" s="212" t="n">
        <s:v>45901</s:v>
      </s:c>
      <s:c r="C119" s="213" t="n">
        <s:v>45901</s:v>
      </s:c>
      <s:c r="D119" s="214" t="n">
        <s:v>3</s:v>
      </s:c>
      <s:c r="E119" s="215" t="n">
        <s:v>13</s:v>
      </s:c>
      <s:c r="F119" s="216" t="inlineStr">
        <s:is>
          <s:t>VI-236594-2025</s:t>
        </s:is>
      </s:c>
      <s:c r="G119" s="217" t="inlineStr">
        <s:is>
          <s:t>QA25418866</s:t>
        </s:is>
      </s:c>
      <s:c r="H119" s="218" t="n">
        <s:v>16</s:v>
      </s:c>
      <s:c r="I119" s="219" t="n">
        <s:v>0</s:v>
      </s:c>
      <s:c r="J119" s="220" t="n">
        <s:v>19</s:v>
      </s:c>
      <s:c r="K119" s="221" t="n">
        <s:v>7.497</s:v>
      </s:c>
      <s:c r="L119" s="221" t="n">
        <s:v>1.14</s:v>
      </s:c>
      <s:c r="M119" s="222" t="n">
        <s:v>491.87</s:v>
      </s:c>
      <s:c r="N119" s="222" t="n">
        <s:v>592.8</s:v>
      </s:c>
      <s:c r="O119" s="222" t="n">
        <s:v>100.38</s:v>
      </s:c>
      <s:c r="P119" s="223" t="inlineStr">
        <s:is>
          <s:t>2,29,300</s:t>
        </s:is>
      </s:c>
      <s:c r="Q119" s="224" t="inlineStr">
        <s:is>
          <s:t>2</s:t>
        </s:is>
      </s:c>
      <s:c r="R119" s="224" t="inlineStr">
        <s:is>
          <s:t>29,300</s:t>
        </s:is>
      </s:c>
      <s:c r="S119" s="224" t="n">
        <s:v>0.04147222222222222</s:v>
      </s:c>
      <s:c r="T119" s="225" t="n">
        <s:v>2420.415271265907</s:v>
      </s:c>
      <s:c r="U119" s="226" t="n">
        <s:v>0.547917911934603</s:v>
      </s:c>
      <s:c r="V119" s="220" t="n">
        <s:v>19</s:v>
      </s:c>
      <s:c r="W119" s="221" t="n">
        <s:v>1.091</s:v>
      </s:c>
      <s:c r="X119" s="221" t="n">
        <s:v>1.08</s:v>
      </s:c>
      <s:c r="Y119" s="222" t="n">
        <s:v>603.15</s:v>
      </s:c>
      <s:c r="Z119" s="222" t="n">
        <s:v>608.47</s:v>
      </s:c>
      <s:c r="AA119" s="227" t="n">
        <s:v>5.229</s:v>
      </s:c>
      <s:c r="AB119" s="228" t="inlineStr">
        <s:is>
          <s:t>11,55,860</s:t>
        </s:is>
      </s:c>
      <s:c r="AC119" s="224" t="inlineStr">
        <s:is>
          <s:t>11</s:t>
        </s:is>
      </s:c>
      <s:c r="AD119" s="224" t="inlineStr">
        <s:is>
          <s:t>55,860</s:t>
        </s:is>
      </s:c>
      <s:c r="AE119" s="224" t="n">
        <s:v>0.19885</s:v>
      </s:c>
      <s:c r="AF119" s="225" t="n">
        <s:v>26.29620316821725</s:v>
      </s:c>
      <s:c r="AG119" s="229" t="n">
        <s:v>1.740294511379804</s:v>
      </s:c>
      <s:c r="AH119" s="220" t="n">
        <s:v>19</s:v>
      </s:c>
      <s:c r="AI119" s="221" t="n">
        <s:v>1.095</s:v>
      </s:c>
      <s:c r="AJ119" s="221" t="n">
        <s:v>1.082</s:v>
      </s:c>
      <s:c r="AK119" s="222" t="n">
        <s:v>608.47</s:v>
      </s:c>
      <s:c r="AL119" s="222" t="n">
        <s:v>610.48</s:v>
      </s:c>
      <s:c r="AM119" s="230" t="n">
        <s:v>2.006</s:v>
      </s:c>
      <s:c r="AN119" s="223" t="inlineStr">
        <s:is>
          <s:t>7,25,910</s:t>
        </s:is>
      </s:c>
      <s:c r="AO119" s="224" t="inlineStr">
        <s:is>
          <s:t>7,</s:t>
        </s:is>
      </s:c>
      <s:c r="AP119" s="224" t="inlineStr">
        <s:is>
          <s:t>25,910</s:t>
        </s:is>
      </s:c>
      <s:c r="AQ119" s="224" t="n">
        <s:v>0.1238638888888889</s:v>
      </s:c>
      <s:c r="AR119" s="225" t="n">
        <s:v>16.19519634006862</s:v>
      </s:c>
      <s:c r="AS119" s="229" t="n">
        <s:v>0.199401794615709</s:v>
      </s:c>
      <s:c r="AT119" s="231" t="inlineStr">
        <s:is>
          <s:t>CONFORME</s:t>
        </s:is>
      </s:c>
      <s:c r="AU119" s="232">
        <s:f>B119=C119</s:f>
        <s:v/>
      </s:c>
      <s:c r="AV119" s="233">
        <s:f>MID(G119,1,2)</s:f>
        <s:v/>
      </s:c>
      <s:c r="AW119" s="233">
        <s:f>LEN(G119)</s:f>
        <s:v/>
      </s:c>
      <s:c r="AX119" s="233" t="inlineStr">
        <s:is>
          <s:t>OI-0923-2025</s:t>
        </s:is>
      </s:c>
      <s:c r="AY119" s="233">
        <s:f>N119&lt;Y119</s:f>
        <s:v/>
      </s:c>
      <s:c r="AZ119" s="233">
        <s:f>Z119&lt;=AK119</s:f>
        <s:v/>
      </s:c>
      <s:c r="BA119" s="233">
        <s:f>L119&lt;K119</s:f>
        <s:v/>
      </s:c>
      <s:c r="BB119" s="233">
        <s:f>W119&gt;=X119</s:f>
        <s:v/>
      </s:c>
      <s:c r="BC119" s="233">
        <s:f>AI119&gt;=AJ119</s:f>
        <s:v/>
      </s:c>
      <s:c r="BD119" s="233">
        <s:f>IF(I119&gt;=1,"Qcorrecto",IF(AND(BE119="aceptable",BF119="aceptable",BG119="aceptable"),"Qcorrecto","Qincorrecto"))</s:f>
        <s:v/>
      </s:c>
      <s:c r="BE119" s="232">
        <s:f>IF(AR119&lt;$AH$6,"error",IF(AR119&gt;$AH$6*1.1,"error","aceptable"))</s:f>
        <s:v/>
      </s:c>
      <s:c r="BF119" s="232">
        <s:f>IF(AF119&lt;$V$6,"error",IF(AF119&gt;$V$6*1.1,"error","aceptable"))</s:f>
        <s:v/>
      </s:c>
      <s:c r="BG119" s="232">
        <s:f>IF(T119&lt;$J$6*0.9,"error",IF(T119&gt;$J$6,"error","aceptable"))</s:f>
        <s:v/>
      </s:c>
      <s:c r="BH119" s="234">
        <s:f>(IF(ABS(U119)&lt;1,"CONFORME",IF(ABS(AG119)&lt;1,"CONFORME",IF(ABS(AS119)&lt;2.5,"CONFORME","NO CONFORME"))))</s:f>
        <s:v/>
      </s:c>
      <s:c r="BI119" s="235">
        <s:f>(IF(ABS(U119)&gt;2.044,"NO CONFORME",IF(ABS(AG119)&gt;2.044,"NO CONFORME",IF(ABS(AS119)&gt;5.044,"NO CONFORME","CONFORME"))))</s:f>
        <s:v/>
      </s:c>
      <s:c r="BJ119" s="233">
        <s:f>SIGN(U119)</s:f>
        <s:v/>
      </s:c>
      <s:c r="BK119" s="233">
        <s:f>SIGN(AG119)</s:f>
        <s:v/>
      </s:c>
      <s:c r="BL119" s="233">
        <s:f>SIGN(AS119)</s:f>
        <s:v/>
      </s:c>
      <s:c r="BM119" s="233">
        <s:f>CONCATENATE(BJ119,BK119,BL119)</s:f>
        <s:v/>
      </s:c>
      <s:c r="BN119" s="233">
        <s:f>IF(BM119="111","SI","SD")</s:f>
        <s:v/>
      </s:c>
      <s:c r="BO119" s="233">
        <s:f>IF(BM119="-1-1-1","SI","SD")</s:f>
        <s:v/>
      </s:c>
      <s:c r="BP119" s="233">
        <s:f>OR(BN119="SI",BO119="SI")</s:f>
        <s:v/>
      </s:c>
      <s:c r="BQ119" s="233">
        <s:f>IF(BP119=FALSE,"SIGDIFERENTES","SIGIGUALES")</s:f>
        <s:v/>
      </s:c>
      <s:c r="BR119" s="236">
        <s:f>IF(BI119="NO CONFORME","NO CONFORME",IF(BH119="CONFORME","CONFORME","NO CONFORME"))</s:f>
        <s:v/>
      </s:c>
      <s:c r="BS119" s="233">
        <s:f>F119</s:f>
        <s:v/>
      </s:c>
      <s:c r="BT119" s="237">
        <s:f>G119</s:f>
        <s:v/>
      </s:c>
      <s:c r="BU119" s="233">
        <s:f>"20"&amp;+MID(G119,3,2)</s:f>
        <s:v/>
      </s:c>
      <s:c r="BV119" s="238">
        <s:f>C119</s:f>
        <s:v/>
      </s:c>
      <s:c r="BW119" s="233">
        <s:f>AT119</s:f>
        <s:v/>
      </s:c>
      <s:c r="BX119" s="238">
        <s:f>B119</s:f>
        <s:v/>
      </s:c>
      <s:c r="BY119" s="239">
        <s:f>H119</s:f>
        <s:v/>
      </s:c>
      <s:c r="BZ119" s="233">
        <s:f>IF(I119=0,"CONFORME","NO CONFORME")</s:f>
        <s:v/>
      </s:c>
      <s:c r="CA119" s="238">
        <s:f>C119</s:f>
        <s:v/>
      </s:c>
      <s:c r="CB119" s="240">
        <s:f>AH119</s:f>
        <s:v/>
      </s:c>
      <s:c r="CC119" s="241">
        <s:f>AR119</s:f>
        <s:v/>
      </s:c>
      <s:c r="CD119" s="240">
        <s:f>AI119</s:f>
        <s:v/>
      </s:c>
      <s:c r="CE119" s="240">
        <s:f>AJ119</s:f>
        <s:v/>
      </s:c>
      <s:c r="CF119" s="240">
        <s:f>AS119</s:f>
        <s:v/>
      </s:c>
      <s:c r="CG119" s="240">
        <s:f>V119</s:f>
        <s:v/>
      </s:c>
      <s:c r="CH119" s="241">
        <s:f>AF119</s:f>
        <s:v/>
      </s:c>
      <s:c r="CI119" s="240">
        <s:f>W119</s:f>
        <s:v/>
      </s:c>
      <s:c r="CJ119" s="240">
        <s:f>X119</s:f>
        <s:v/>
      </s:c>
      <s:c r="CK119" s="240">
        <s:f>AG119</s:f>
        <s:v/>
      </s:c>
      <s:c r="CL119" s="240">
        <s:f>J119</s:f>
        <s:v/>
      </s:c>
      <s:c r="CM119" s="241">
        <s:f>T119</s:f>
        <s:v/>
      </s:c>
      <s:c r="CN119" s="240">
        <s:f>K119</s:f>
        <s:v/>
      </s:c>
      <s:c r="CO119" s="240">
        <s:f>L119</s:f>
        <s:v/>
      </s:c>
      <s:c r="CP119" s="242">
        <s:f>U119</s:f>
        <s:v/>
      </s:c>
      <s:c r="CQ119" s="233">
        <s:f>AT119</s:f>
        <s:v/>
      </s:c>
    </s:row>
    <s:row r="120">
      <s:c r="A120" s="211" t="n">
        <s:v>20</s:v>
      </s:c>
      <s:c r="B120" s="212" t="n">
        <s:v>45901</s:v>
      </s:c>
      <s:c r="C120" s="213" t="n">
        <s:v>45901</s:v>
      </s:c>
      <s:c r="D120" s="214" t="n">
        <s:v>3</s:v>
      </s:c>
      <s:c r="E120" s="215" t="n">
        <s:v>13</s:v>
      </s:c>
      <s:c r="F120" s="216" t="inlineStr">
        <s:is>
          <s:t>VI-236595-2025</s:t>
        </s:is>
      </s:c>
      <s:c r="G120" s="217" t="inlineStr">
        <s:is>
          <s:t>QA25418582</s:t>
        </s:is>
      </s:c>
      <s:c r="H120" s="218" t="n">
        <s:v>16</s:v>
      </s:c>
      <s:c r="I120" s="219" t="n">
        <s:v>0</s:v>
      </s:c>
      <s:c r="J120" s="220" t="n">
        <s:v>19</s:v>
      </s:c>
      <s:c r="K120" s="221" t="n">
        <s:v>7.497</s:v>
      </s:c>
      <s:c r="L120" s="221" t="n">
        <s:v>1.14</s:v>
      </s:c>
      <s:c r="M120" s="222" t="n">
        <s:v>402.33</s:v>
      </s:c>
      <s:c r="N120" s="222" t="n">
        <s:v>502.65</s:v>
      </s:c>
      <s:c r="O120" s="222" t="n">
        <s:v>100.38</s:v>
      </s:c>
      <s:c r="P120" s="223" t="inlineStr">
        <s:is>
          <s:t>2,29,300</s:t>
        </s:is>
      </s:c>
      <s:c r="Q120" s="224" t="inlineStr">
        <s:is>
          <s:t>2</s:t>
        </s:is>
      </s:c>
      <s:c r="R120" s="224" t="inlineStr">
        <s:is>
          <s:t>29,300</s:t>
        </s:is>
      </s:c>
      <s:c r="S120" s="224" t="n">
        <s:v>0.04147222222222222</s:v>
      </s:c>
      <s:c r="T120" s="225" t="n">
        <s:v>2420.415271265907</s:v>
      </s:c>
      <s:c r="U120" s="226" t="n">
        <s:v>-0.05977286312014573</s:v>
      </s:c>
      <s:c r="V120" s="220" t="n">
        <s:v>19</s:v>
      </s:c>
      <s:c r="W120" s="221" t="n">
        <s:v>1.091</s:v>
      </s:c>
      <s:c r="X120" s="221" t="n">
        <s:v>1.08</s:v>
      </s:c>
      <s:c r="Y120" s="222" t="n">
        <s:v>512.9299999999999</s:v>
      </s:c>
      <s:c r="Z120" s="222" t="n">
        <s:v>518.21</s:v>
      </s:c>
      <s:c r="AA120" s="227" t="n">
        <s:v>5.229</s:v>
      </s:c>
      <s:c r="AB120" s="228" t="inlineStr">
        <s:is>
          <s:t>11,55,860</s:t>
        </s:is>
      </s:c>
      <s:c r="AC120" s="224" t="inlineStr">
        <s:is>
          <s:t>11</s:t>
        </s:is>
      </s:c>
      <s:c r="AD120" s="224" t="inlineStr">
        <s:is>
          <s:t>55,860</s:t>
        </s:is>
      </s:c>
      <s:c r="AE120" s="224" t="n">
        <s:v>0.19885</s:v>
      </s:c>
      <s:c r="AF120" s="225" t="n">
        <s:v>26.29620316821725</s:v>
      </s:c>
      <s:c r="AG120" s="229" t="n">
        <s:v>0.9753298909941921</s:v>
      </s:c>
      <s:c r="AH120" s="220" t="n">
        <s:v>19</s:v>
      </s:c>
      <s:c r="AI120" s="221" t="n">
        <s:v>1.095</s:v>
      </s:c>
      <s:c r="AJ120" s="221" t="n">
        <s:v>1.082</s:v>
      </s:c>
      <s:c r="AK120" s="222" t="n">
        <s:v>518.21</s:v>
      </s:c>
      <s:c r="AL120" s="222" t="n">
        <s:v>520.23</s:v>
      </s:c>
      <s:c r="AM120" s="230" t="n">
        <s:v>2.006</s:v>
      </s:c>
      <s:c r="AN120" s="223" t="inlineStr">
        <s:is>
          <s:t>7,25,910</s:t>
        </s:is>
      </s:c>
      <s:c r="AO120" s="224" t="inlineStr">
        <s:is>
          <s:t>7,</s:t>
        </s:is>
      </s:c>
      <s:c r="AP120" s="224" t="inlineStr">
        <s:is>
          <s:t>25,910</s:t>
        </s:is>
      </s:c>
      <s:c r="AQ120" s="224" t="n">
        <s:v>0.1238638888888889</s:v>
      </s:c>
      <s:c r="AR120" s="225" t="n">
        <s:v>16.19519634006862</s:v>
      </s:c>
      <s:c r="AS120" s="229" t="n">
        <s:v>0.6979062811556345</s:v>
      </s:c>
      <s:c r="AT120" s="231" t="inlineStr">
        <s:is>
          <s:t>CONFORME</s:t>
        </s:is>
      </s:c>
      <s:c r="AU120" s="232">
        <s:f>B120=C120</s:f>
        <s:v/>
      </s:c>
      <s:c r="AV120" s="233">
        <s:f>MID(G120,1,2)</s:f>
        <s:v/>
      </s:c>
      <s:c r="AW120" s="233">
        <s:f>LEN(G120)</s:f>
        <s:v/>
      </s:c>
      <s:c r="AX120" s="233" t="inlineStr">
        <s:is>
          <s:t>OI-0923-2025</s:t>
        </s:is>
      </s:c>
      <s:c r="AY120" s="233">
        <s:f>N120&lt;Y120</s:f>
        <s:v/>
      </s:c>
      <s:c r="AZ120" s="233">
        <s:f>Z120&lt;=AK120</s:f>
        <s:v/>
      </s:c>
      <s:c r="BA120" s="233">
        <s:f>L120&lt;K120</s:f>
        <s:v/>
      </s:c>
      <s:c r="BB120" s="233">
        <s:f>W120&gt;=X120</s:f>
        <s:v/>
      </s:c>
      <s:c r="BC120" s="233">
        <s:f>AI120&gt;=AJ120</s:f>
        <s:v/>
      </s:c>
      <s:c r="BD120" s="233">
        <s:f>IF(I120&gt;=1,"Qcorrecto",IF(AND(BE120="aceptable",BF120="aceptable",BG120="aceptable"),"Qcorrecto","Qincorrecto"))</s:f>
        <s:v/>
      </s:c>
      <s:c r="BE120" s="232">
        <s:f>IF(AR120&lt;$AH$6,"error",IF(AR120&gt;$AH$6*1.1,"error","aceptable"))</s:f>
        <s:v/>
      </s:c>
      <s:c r="BF120" s="232">
        <s:f>IF(AF120&lt;$V$6,"error",IF(AF120&gt;$V$6*1.1,"error","aceptable"))</s:f>
        <s:v/>
      </s:c>
      <s:c r="BG120" s="232">
        <s:f>IF(T120&lt;$J$6*0.9,"error",IF(T120&gt;$J$6,"error","aceptable"))</s:f>
        <s:v/>
      </s:c>
      <s:c r="BH120" s="234">
        <s:f>(IF(ABS(U120)&lt;1,"CONFORME",IF(ABS(AG120)&lt;1,"CONFORME",IF(ABS(AS120)&lt;2.5,"CONFORME","NO CONFORME"))))</s:f>
        <s:v/>
      </s:c>
      <s:c r="BI120" s="235">
        <s:f>(IF(ABS(U120)&gt;2.044,"NO CONFORME",IF(ABS(AG120)&gt;2.044,"NO CONFORME",IF(ABS(AS120)&gt;5.044,"NO CONFORME","CONFORME"))))</s:f>
        <s:v/>
      </s:c>
      <s:c r="BJ120" s="233">
        <s:f>SIGN(U120)</s:f>
        <s:v/>
      </s:c>
      <s:c r="BK120" s="233">
        <s:f>SIGN(AG120)</s:f>
        <s:v/>
      </s:c>
      <s:c r="BL120" s="233">
        <s:f>SIGN(AS120)</s:f>
        <s:v/>
      </s:c>
      <s:c r="BM120" s="233">
        <s:f>CONCATENATE(BJ120,BK120,BL120)</s:f>
        <s:v/>
      </s:c>
      <s:c r="BN120" s="233">
        <s:f>IF(BM120="111","SI","SD")</s:f>
        <s:v/>
      </s:c>
      <s:c r="BO120" s="233">
        <s:f>IF(BM120="-1-1-1","SI","SD")</s:f>
        <s:v/>
      </s:c>
      <s:c r="BP120" s="233">
        <s:f>OR(BN120="SI",BO120="SI")</s:f>
        <s:v/>
      </s:c>
      <s:c r="BQ120" s="233">
        <s:f>IF(BP120=FALSE,"SIGDIFERENTES","SIGIGUALES")</s:f>
        <s:v/>
      </s:c>
      <s:c r="BR120" s="236">
        <s:f>IF(BI120="NO CONFORME","NO CONFORME",IF(BH120="CONFORME","CONFORME","NO CONFORME"))</s:f>
        <s:v/>
      </s:c>
      <s:c r="BS120" s="233">
        <s:f>F120</s:f>
        <s:v/>
      </s:c>
      <s:c r="BT120" s="237">
        <s:f>G120</s:f>
        <s:v/>
      </s:c>
      <s:c r="BU120" s="233">
        <s:f>"20"&amp;+MID(G120,3,2)</s:f>
        <s:v/>
      </s:c>
      <s:c r="BV120" s="238">
        <s:f>C120</s:f>
        <s:v/>
      </s:c>
      <s:c r="BW120" s="233">
        <s:f>AT120</s:f>
        <s:v/>
      </s:c>
      <s:c r="BX120" s="238">
        <s:f>B120</s:f>
        <s:v/>
      </s:c>
      <s:c r="BY120" s="239">
        <s:f>H120</s:f>
        <s:v/>
      </s:c>
      <s:c r="BZ120" s="233">
        <s:f>IF(I120=0,"CONFORME","NO CONFORME")</s:f>
        <s:v/>
      </s:c>
      <s:c r="CA120" s="238">
        <s:f>C120</s:f>
        <s:v/>
      </s:c>
      <s:c r="CB120" s="240">
        <s:f>AH120</s:f>
        <s:v/>
      </s:c>
      <s:c r="CC120" s="241">
        <s:f>AR120</s:f>
        <s:v/>
      </s:c>
      <s:c r="CD120" s="240">
        <s:f>AI120</s:f>
        <s:v/>
      </s:c>
      <s:c r="CE120" s="240">
        <s:f>AJ120</s:f>
        <s:v/>
      </s:c>
      <s:c r="CF120" s="240">
        <s:f>AS120</s:f>
        <s:v/>
      </s:c>
      <s:c r="CG120" s="240">
        <s:f>V120</s:f>
        <s:v/>
      </s:c>
      <s:c r="CH120" s="241">
        <s:f>AF120</s:f>
        <s:v/>
      </s:c>
      <s:c r="CI120" s="240">
        <s:f>W120</s:f>
        <s:v/>
      </s:c>
      <s:c r="CJ120" s="240">
        <s:f>X120</s:f>
        <s:v/>
      </s:c>
      <s:c r="CK120" s="240">
        <s:f>AG120</s:f>
        <s:v/>
      </s:c>
      <s:c r="CL120" s="240">
        <s:f>J120</s:f>
        <s:v/>
      </s:c>
      <s:c r="CM120" s="241">
        <s:f>T120</s:f>
        <s:v/>
      </s:c>
      <s:c r="CN120" s="240">
        <s:f>K120</s:f>
        <s:v/>
      </s:c>
      <s:c r="CO120" s="240">
        <s:f>L120</s:f>
        <s:v/>
      </s:c>
      <s:c r="CP120" s="242">
        <s:f>U120</s:f>
        <s:v/>
      </s:c>
      <s:c r="CQ120" s="233">
        <s:f>AT120</s:f>
        <s:v/>
      </s:c>
    </s:row>
    <s:row r="121">
      <s:c r="A121" s="211" t="n">
        <s:v>21</s:v>
      </s:c>
      <s:c r="B121" s="212" t="n">
        <s:v>45901</s:v>
      </s:c>
      <s:c r="C121" s="213" t="n">
        <s:v>45901</s:v>
      </s:c>
      <s:c r="D121" s="214" t="n">
        <s:v>3</s:v>
      </s:c>
      <s:c r="E121" s="215" t="n">
        <s:v>13</s:v>
      </s:c>
      <s:c r="F121" s="216" t="inlineStr">
        <s:is>
          <s:t>VI-236596-2025</s:t>
        </s:is>
      </s:c>
      <s:c r="G121" s="217" t="inlineStr">
        <s:is>
          <s:t>QA25418597</s:t>
        </s:is>
      </s:c>
      <s:c r="H121" s="218" t="n">
        <s:v>16</s:v>
      </s:c>
      <s:c r="I121" s="219" t="n">
        <s:v>0</s:v>
      </s:c>
      <s:c r="J121" s="220" t="n">
        <s:v>19</s:v>
      </s:c>
      <s:c r="K121" s="221" t="n">
        <s:v>7.497</s:v>
      </s:c>
      <s:c r="L121" s="221" t="n">
        <s:v>1.14</s:v>
      </s:c>
      <s:c r="M121" s="222" t="n">
        <s:v>448.61</s:v>
      </s:c>
      <s:c r="N121" s="222" t="n">
        <s:v>548.4</s:v>
      </s:c>
      <s:c r="O121" s="222" t="n">
        <s:v>100.38</s:v>
      </s:c>
      <s:c r="P121" s="223" t="inlineStr">
        <s:is>
          <s:t>2,29,300</s:t>
        </s:is>
      </s:c>
      <s:c r="Q121" s="224" t="inlineStr">
        <s:is>
          <s:t>2</s:t>
        </s:is>
      </s:c>
      <s:c r="R121" s="224" t="inlineStr">
        <s:is>
          <s:t>29,300</s:t>
        </s:is>
      </s:c>
      <s:c r="S121" s="224" t="n">
        <s:v>0.04147222222222222</s:v>
      </s:c>
      <s:c r="T121" s="225" t="n">
        <s:v>2420.415271265907</s:v>
      </s:c>
      <s:c r="U121" s="226" t="n">
        <s:v>-0.5877664873481091</s:v>
      </s:c>
      <s:c r="V121" s="220" t="n">
        <s:v>19</s:v>
      </s:c>
      <s:c r="W121" s="221" t="n">
        <s:v>1.091</s:v>
      </s:c>
      <s:c r="X121" s="221" t="n">
        <s:v>1.08</s:v>
      </s:c>
      <s:c r="Y121" s="222" t="n">
        <s:v>558.64</s:v>
      </s:c>
      <s:c r="Z121" s="222" t="n">
        <s:v>563.89</s:v>
      </s:c>
      <s:c r="AA121" s="227" t="n">
        <s:v>5.229</s:v>
      </s:c>
      <s:c r="AB121" s="228" t="inlineStr">
        <s:is>
          <s:t>11,55,860</s:t>
        </s:is>
      </s:c>
      <s:c r="AC121" s="224" t="inlineStr">
        <s:is>
          <s:t>11</s:t>
        </s:is>
      </s:c>
      <s:c r="AD121" s="224" t="inlineStr">
        <s:is>
          <s:t>55,860</s:t>
        </s:is>
      </s:c>
      <s:c r="AE121" s="224" t="n">
        <s:v>0.19885</s:v>
      </s:c>
      <s:c r="AF121" s="225" t="n">
        <s:v>26.29620316821725</s:v>
      </s:c>
      <s:c r="AG121" s="229" t="n">
        <s:v>0.4016064257028095</s:v>
      </s:c>
      <s:c r="AH121" s="220" t="n">
        <s:v>19</s:v>
      </s:c>
      <s:c r="AI121" s="221" t="n">
        <s:v>1.095</s:v>
      </s:c>
      <s:c r="AJ121" s="221" t="n">
        <s:v>1.082</s:v>
      </s:c>
      <s:c r="AK121" s="222" t="n">
        <s:v>563.89</s:v>
      </s:c>
      <s:c r="AL121" s="222" t="n">
        <s:v>565.91</s:v>
      </s:c>
      <s:c r="AM121" s="230" t="n">
        <s:v>2.006</s:v>
      </s:c>
      <s:c r="AN121" s="223" t="inlineStr">
        <s:is>
          <s:t>7,25,910</s:t>
        </s:is>
      </s:c>
      <s:c r="AO121" s="224" t="inlineStr">
        <s:is>
          <s:t>7,</s:t>
        </s:is>
      </s:c>
      <s:c r="AP121" s="224" t="inlineStr">
        <s:is>
          <s:t>25,910</s:t>
        </s:is>
      </s:c>
      <s:c r="AQ121" s="224" t="n">
        <s:v>0.1238638888888889</s:v>
      </s:c>
      <s:c r="AR121" s="225" t="n">
        <s:v>16.19519634006862</s:v>
      </s:c>
      <s:c r="AS121" s="229" t="n">
        <s:v>0.6979062811556345</s:v>
      </s:c>
      <s:c r="AT121" s="231" t="inlineStr">
        <s:is>
          <s:t>CONFORME</s:t>
        </s:is>
      </s:c>
      <s:c r="AU121" s="232">
        <s:f>B121=C121</s:f>
        <s:v/>
      </s:c>
      <s:c r="AV121" s="233">
        <s:f>MID(G121,1,2)</s:f>
        <s:v/>
      </s:c>
      <s:c r="AW121" s="233">
        <s:f>LEN(G121)</s:f>
        <s:v/>
      </s:c>
      <s:c r="AX121" s="233" t="inlineStr">
        <s:is>
          <s:t>OI-0923-2025</s:t>
        </s:is>
      </s:c>
      <s:c r="AY121" s="233">
        <s:f>N121&lt;Y121</s:f>
        <s:v/>
      </s:c>
      <s:c r="AZ121" s="233">
        <s:f>Z121&lt;=AK121</s:f>
        <s:v/>
      </s:c>
      <s:c r="BA121" s="233">
        <s:f>L121&lt;K121</s:f>
        <s:v/>
      </s:c>
      <s:c r="BB121" s="233">
        <s:f>W121&gt;=X121</s:f>
        <s:v/>
      </s:c>
      <s:c r="BC121" s="233">
        <s:f>AI121&gt;=AJ121</s:f>
        <s:v/>
      </s:c>
      <s:c r="BD121" s="233">
        <s:f>IF(I121&gt;=1,"Qcorrecto",IF(AND(BE121="aceptable",BF121="aceptable",BG121="aceptable"),"Qcorrecto","Qincorrecto"))</s:f>
        <s:v/>
      </s:c>
      <s:c r="BE121" s="232">
        <s:f>IF(AR121&lt;$AH$6,"error",IF(AR121&gt;$AH$6*1.1,"error","aceptable"))</s:f>
        <s:v/>
      </s:c>
      <s:c r="BF121" s="232">
        <s:f>IF(AF121&lt;$V$6,"error",IF(AF121&gt;$V$6*1.1,"error","aceptable"))</s:f>
        <s:v/>
      </s:c>
      <s:c r="BG121" s="232">
        <s:f>IF(T121&lt;$J$6*0.9,"error",IF(T121&gt;$J$6,"error","aceptable"))</s:f>
        <s:v/>
      </s:c>
      <s:c r="BH121" s="234">
        <s:f>(IF(ABS(U121)&lt;1,"CONFORME",IF(ABS(AG121)&lt;1,"CONFORME",IF(ABS(AS121)&lt;2.5,"CONFORME","NO CONFORME"))))</s:f>
        <s:v/>
      </s:c>
      <s:c r="BI121" s="235">
        <s:f>(IF(ABS(U121)&gt;2.044,"NO CONFORME",IF(ABS(AG121)&gt;2.044,"NO CONFORME",IF(ABS(AS121)&gt;5.044,"NO CONFORME","CONFORME"))))</s:f>
        <s:v/>
      </s:c>
      <s:c r="BJ121" s="233">
        <s:f>SIGN(U121)</s:f>
        <s:v/>
      </s:c>
      <s:c r="BK121" s="233">
        <s:f>SIGN(AG121)</s:f>
        <s:v/>
      </s:c>
      <s:c r="BL121" s="233">
        <s:f>SIGN(AS121)</s:f>
        <s:v/>
      </s:c>
      <s:c r="BM121" s="233">
        <s:f>CONCATENATE(BJ121,BK121,BL121)</s:f>
        <s:v/>
      </s:c>
      <s:c r="BN121" s="233">
        <s:f>IF(BM121="111","SI","SD")</s:f>
        <s:v/>
      </s:c>
      <s:c r="BO121" s="233">
        <s:f>IF(BM121="-1-1-1","SI","SD")</s:f>
        <s:v/>
      </s:c>
      <s:c r="BP121" s="233">
        <s:f>OR(BN121="SI",BO121="SI")</s:f>
        <s:v/>
      </s:c>
      <s:c r="BQ121" s="233">
        <s:f>IF(BP121=FALSE,"SIGDIFERENTES","SIGIGUALES")</s:f>
        <s:v/>
      </s:c>
      <s:c r="BR121" s="236">
        <s:f>IF(BI121="NO CONFORME","NO CONFORME",IF(BH121="CONFORME","CONFORME","NO CONFORME"))</s:f>
        <s:v/>
      </s:c>
      <s:c r="BS121" s="233">
        <s:f>F121</s:f>
        <s:v/>
      </s:c>
      <s:c r="BT121" s="237">
        <s:f>G121</s:f>
        <s:v/>
      </s:c>
      <s:c r="BU121" s="233">
        <s:f>"20"&amp;+MID(G121,3,2)</s:f>
        <s:v/>
      </s:c>
      <s:c r="BV121" s="238">
        <s:f>C121</s:f>
        <s:v/>
      </s:c>
      <s:c r="BW121" s="233">
        <s:f>AT121</s:f>
        <s:v/>
      </s:c>
      <s:c r="BX121" s="238">
        <s:f>B121</s:f>
        <s:v/>
      </s:c>
      <s:c r="BY121" s="239">
        <s:f>H121</s:f>
        <s:v/>
      </s:c>
      <s:c r="BZ121" s="233">
        <s:f>IF(I121=0,"CONFORME","NO CONFORME")</s:f>
        <s:v/>
      </s:c>
      <s:c r="CA121" s="238">
        <s:f>C121</s:f>
        <s:v/>
      </s:c>
      <s:c r="CB121" s="240">
        <s:f>AH121</s:f>
        <s:v/>
      </s:c>
      <s:c r="CC121" s="241">
        <s:f>AR121</s:f>
        <s:v/>
      </s:c>
      <s:c r="CD121" s="240">
        <s:f>AI121</s:f>
        <s:v/>
      </s:c>
      <s:c r="CE121" s="240">
        <s:f>AJ121</s:f>
        <s:v/>
      </s:c>
      <s:c r="CF121" s="240">
        <s:f>AS121</s:f>
        <s:v/>
      </s:c>
      <s:c r="CG121" s="240">
        <s:f>V121</s:f>
        <s:v/>
      </s:c>
      <s:c r="CH121" s="241">
        <s:f>AF121</s:f>
        <s:v/>
      </s:c>
      <s:c r="CI121" s="240">
        <s:f>W121</s:f>
        <s:v/>
      </s:c>
      <s:c r="CJ121" s="240">
        <s:f>X121</s:f>
        <s:v/>
      </s:c>
      <s:c r="CK121" s="240">
        <s:f>AG121</s:f>
        <s:v/>
      </s:c>
      <s:c r="CL121" s="240">
        <s:f>J121</s:f>
        <s:v/>
      </s:c>
      <s:c r="CM121" s="241">
        <s:f>T121</s:f>
        <s:v/>
      </s:c>
      <s:c r="CN121" s="240">
        <s:f>K121</s:f>
        <s:v/>
      </s:c>
      <s:c r="CO121" s="240">
        <s:f>L121</s:f>
        <s:v/>
      </s:c>
      <s:c r="CP121" s="242">
        <s:f>U121</s:f>
        <s:v/>
      </s:c>
      <s:c r="CQ121" s="233">
        <s:f>AT121</s:f>
        <s:v/>
      </s:c>
    </s:row>
    <s:row r="122">
      <s:c r="A122" s="211" t="n">
        <s:v>22</s:v>
      </s:c>
      <s:c r="B122" s="212" t="n">
        <s:v>45901</s:v>
      </s:c>
      <s:c r="C122" s="213" t="n">
        <s:v>45901</s:v>
      </s:c>
      <s:c r="D122" s="214" t="n">
        <s:v>3</s:v>
      </s:c>
      <s:c r="E122" s="215" t="n">
        <s:v>13</s:v>
      </s:c>
      <s:c r="F122" s="216" t="inlineStr">
        <s:is>
          <s:t>VI-236597-2025</s:t>
        </s:is>
      </s:c>
      <s:c r="G122" s="217" t="inlineStr">
        <s:is>
          <s:t>QA25418581</s:t>
        </s:is>
      </s:c>
      <s:c r="H122" s="218" t="n">
        <s:v>16</s:v>
      </s:c>
      <s:c r="I122" s="219" t="n">
        <s:v>0</s:v>
      </s:c>
      <s:c r="J122" s="220" t="n">
        <s:v>19</s:v>
      </s:c>
      <s:c r="K122" s="221" t="n">
        <s:v>7.497</s:v>
      </s:c>
      <s:c r="L122" s="221" t="n">
        <s:v>1.14</s:v>
      </s:c>
      <s:c r="M122" s="222" t="n">
        <s:v>402.01</s:v>
      </s:c>
      <s:c r="N122" s="222" t="n">
        <s:v>502.95</s:v>
      </s:c>
      <s:c r="O122" s="222" t="n">
        <s:v>100.38</s:v>
      </s:c>
      <s:c r="P122" s="223" t="inlineStr">
        <s:is>
          <s:t>2,29,300</s:t>
        </s:is>
      </s:c>
      <s:c r="Q122" s="224" t="inlineStr">
        <s:is>
          <s:t>2</s:t>
        </s:is>
      </s:c>
      <s:c r="R122" s="224" t="inlineStr">
        <s:is>
          <s:t>29,300</s:t>
        </s:is>
      </s:c>
      <s:c r="S122" s="224" t="n">
        <s:v>0.04147222222222222</s:v>
      </s:c>
      <s:c r="T122" s="225" t="n">
        <s:v>2420.415271265907</s:v>
      </s:c>
      <s:c r="U122" s="226" t="n">
        <s:v>0.5578800557880079</s:v>
      </s:c>
      <s:c r="V122" s="220" t="n">
        <s:v>19</s:v>
      </s:c>
      <s:c r="W122" s="221" t="n">
        <s:v>1.091</s:v>
      </s:c>
      <s:c r="X122" s="221" t="n">
        <s:v>1.08</s:v>
      </s:c>
      <s:c r="Y122" s="222" t="n">
        <s:v>513.33</s:v>
      </s:c>
      <s:c r="Z122" s="222" t="n">
        <s:v>518.5700000000001</s:v>
      </s:c>
      <s:c r="AA122" s="227" t="n">
        <s:v>5.229</s:v>
      </s:c>
      <s:c r="AB122" s="228" t="inlineStr">
        <s:is>
          <s:t>11,55,860</s:t>
        </s:is>
      </s:c>
      <s:c r="AC122" s="224" t="inlineStr">
        <s:is>
          <s:t>11</s:t>
        </s:is>
      </s:c>
      <s:c r="AD122" s="224" t="inlineStr">
        <s:is>
          <s:t>55,860</s:t>
        </s:is>
      </s:c>
      <s:c r="AE122" s="224" t="n">
        <s:v>0.19885</s:v>
      </s:c>
      <s:c r="AF122" s="225" t="n">
        <s:v>26.29620316821725</s:v>
      </s:c>
      <s:c r="AG122" s="229" t="n">
        <s:v>0.2103652706064066</s:v>
      </s:c>
      <s:c r="AH122" s="220" t="n">
        <s:v>19</s:v>
      </s:c>
      <s:c r="AI122" s="221" t="n">
        <s:v>1.095</s:v>
      </s:c>
      <s:c r="AJ122" s="221" t="n">
        <s:v>1.082</s:v>
      </s:c>
      <s:c r="AK122" s="222" t="n">
        <s:v>518.5700000000001</s:v>
      </s:c>
      <s:c r="AL122" s="222" t="n">
        <s:v>520.5599999999999</s:v>
      </s:c>
      <s:c r="AM122" s="230" t="n">
        <s:v>2.006</s:v>
      </s:c>
      <s:c r="AN122" s="223" t="inlineStr">
        <s:is>
          <s:t>7,25,910</s:t>
        </s:is>
      </s:c>
      <s:c r="AO122" s="224" t="inlineStr">
        <s:is>
          <s:t>7,</s:t>
        </s:is>
      </s:c>
      <s:c r="AP122" s="224" t="inlineStr">
        <s:is>
          <s:t>25,910</s:t>
        </s:is>
      </s:c>
      <s:c r="AQ122" s="224" t="n">
        <s:v>0.1238638888888889</s:v>
      </s:c>
      <s:c r="AR122" s="225" t="n">
        <s:v>16.19519634006862</s:v>
      </s:c>
      <s:c r="AS122" s="229" t="n">
        <s:v>-0.7976071784698094</s:v>
      </s:c>
      <s:c r="AT122" s="231" t="inlineStr">
        <s:is>
          <s:t>CONFORME</s:t>
        </s:is>
      </s:c>
      <s:c r="AU122" s="232">
        <s:f>B122=C122</s:f>
        <s:v/>
      </s:c>
      <s:c r="AV122" s="233">
        <s:f>MID(G122,1,2)</s:f>
        <s:v/>
      </s:c>
      <s:c r="AW122" s="233">
        <s:f>LEN(G122)</s:f>
        <s:v/>
      </s:c>
      <s:c r="AX122" s="233" t="inlineStr">
        <s:is>
          <s:t>OI-0923-2025</s:t>
        </s:is>
      </s:c>
      <s:c r="AY122" s="233">
        <s:f>N122&lt;Y122</s:f>
        <s:v/>
      </s:c>
      <s:c r="AZ122" s="233">
        <s:f>Z122&lt;=AK122</s:f>
        <s:v/>
      </s:c>
      <s:c r="BA122" s="233">
        <s:f>L122&lt;K122</s:f>
        <s:v/>
      </s:c>
      <s:c r="BB122" s="233">
        <s:f>W122&gt;=X122</s:f>
        <s:v/>
      </s:c>
      <s:c r="BC122" s="233">
        <s:f>AI122&gt;=AJ122</s:f>
        <s:v/>
      </s:c>
      <s:c r="BD122" s="233">
        <s:f>IF(I122&gt;=1,"Qcorrecto",IF(AND(BE122="aceptable",BF122="aceptable",BG122="aceptable"),"Qcorrecto","Qincorrecto"))</s:f>
        <s:v/>
      </s:c>
      <s:c r="BE122" s="232">
        <s:f>IF(AR122&lt;$AH$6,"error",IF(AR122&gt;$AH$6*1.1,"error","aceptable"))</s:f>
        <s:v/>
      </s:c>
      <s:c r="BF122" s="232">
        <s:f>IF(AF122&lt;$V$6,"error",IF(AF122&gt;$V$6*1.1,"error","aceptable"))</s:f>
        <s:v/>
      </s:c>
      <s:c r="BG122" s="232">
        <s:f>IF(T122&lt;$J$6*0.9,"error",IF(T122&gt;$J$6,"error","aceptable"))</s:f>
        <s:v/>
      </s:c>
      <s:c r="BH122" s="234">
        <s:f>(IF(ABS(U122)&lt;1,"CONFORME",IF(ABS(AG122)&lt;1,"CONFORME",IF(ABS(AS122)&lt;2.5,"CONFORME","NO CONFORME"))))</s:f>
        <s:v/>
      </s:c>
      <s:c r="BI122" s="235">
        <s:f>(IF(ABS(U122)&gt;2.044,"NO CONFORME",IF(ABS(AG122)&gt;2.044,"NO CONFORME",IF(ABS(AS122)&gt;5.044,"NO CONFORME","CONFORME"))))</s:f>
        <s:v/>
      </s:c>
      <s:c r="BJ122" s="233">
        <s:f>SIGN(U122)</s:f>
        <s:v/>
      </s:c>
      <s:c r="BK122" s="233">
        <s:f>SIGN(AG122)</s:f>
        <s:v/>
      </s:c>
      <s:c r="BL122" s="233">
        <s:f>SIGN(AS122)</s:f>
        <s:v/>
      </s:c>
      <s:c r="BM122" s="233">
        <s:f>CONCATENATE(BJ122,BK122,BL122)</s:f>
        <s:v/>
      </s:c>
      <s:c r="BN122" s="233">
        <s:f>IF(BM122="111","SI","SD")</s:f>
        <s:v/>
      </s:c>
      <s:c r="BO122" s="233">
        <s:f>IF(BM122="-1-1-1","SI","SD")</s:f>
        <s:v/>
      </s:c>
      <s:c r="BP122" s="233">
        <s:f>OR(BN122="SI",BO122="SI")</s:f>
        <s:v/>
      </s:c>
      <s:c r="BQ122" s="233">
        <s:f>IF(BP122=FALSE,"SIGDIFERENTES","SIGIGUALES")</s:f>
        <s:v/>
      </s:c>
      <s:c r="BR122" s="236">
        <s:f>IF(BI122="NO CONFORME","NO CONFORME",IF(BH122="CONFORME","CONFORME","NO CONFORME"))</s:f>
        <s:v/>
      </s:c>
      <s:c r="BS122" s="233">
        <s:f>F122</s:f>
        <s:v/>
      </s:c>
      <s:c r="BT122" s="237">
        <s:f>G122</s:f>
        <s:v/>
      </s:c>
      <s:c r="BU122" s="233">
        <s:f>"20"&amp;+MID(G122,3,2)</s:f>
        <s:v/>
      </s:c>
      <s:c r="BV122" s="238">
        <s:f>C122</s:f>
        <s:v/>
      </s:c>
      <s:c r="BW122" s="233">
        <s:f>AT122</s:f>
        <s:v/>
      </s:c>
      <s:c r="BX122" s="238">
        <s:f>B122</s:f>
        <s:v/>
      </s:c>
      <s:c r="BY122" s="239">
        <s:f>H122</s:f>
        <s:v/>
      </s:c>
      <s:c r="BZ122" s="233">
        <s:f>IF(I122=0,"CONFORME","NO CONFORME")</s:f>
        <s:v/>
      </s:c>
      <s:c r="CA122" s="238">
        <s:f>C122</s:f>
        <s:v/>
      </s:c>
      <s:c r="CB122" s="240">
        <s:f>AH122</s:f>
        <s:v/>
      </s:c>
      <s:c r="CC122" s="241">
        <s:f>AR122</s:f>
        <s:v/>
      </s:c>
      <s:c r="CD122" s="240">
        <s:f>AI122</s:f>
        <s:v/>
      </s:c>
      <s:c r="CE122" s="240">
        <s:f>AJ122</s:f>
        <s:v/>
      </s:c>
      <s:c r="CF122" s="240">
        <s:f>AS122</s:f>
        <s:v/>
      </s:c>
      <s:c r="CG122" s="240">
        <s:f>V122</s:f>
        <s:v/>
      </s:c>
      <s:c r="CH122" s="241">
        <s:f>AF122</s:f>
        <s:v/>
      </s:c>
      <s:c r="CI122" s="240">
        <s:f>W122</s:f>
        <s:v/>
      </s:c>
      <s:c r="CJ122" s="240">
        <s:f>X122</s:f>
        <s:v/>
      </s:c>
      <s:c r="CK122" s="240">
        <s:f>AG122</s:f>
        <s:v/>
      </s:c>
      <s:c r="CL122" s="240">
        <s:f>J122</s:f>
        <s:v/>
      </s:c>
      <s:c r="CM122" s="241">
        <s:f>T122</s:f>
        <s:v/>
      </s:c>
      <s:c r="CN122" s="240">
        <s:f>K122</s:f>
        <s:v/>
      </s:c>
      <s:c r="CO122" s="240">
        <s:f>L122</s:f>
        <s:v/>
      </s:c>
      <s:c r="CP122" s="242">
        <s:f>U122</s:f>
        <s:v/>
      </s:c>
      <s:c r="CQ122" s="233">
        <s:f>AT122</s:f>
        <s:v/>
      </s:c>
    </s:row>
    <s:row r="123">
      <s:c r="A123" s="211" t="n">
        <s:v>23</s:v>
      </s:c>
      <s:c r="B123" s="212" t="n">
        <s:v>45901</s:v>
      </s:c>
      <s:c r="C123" s="213" t="n">
        <s:v>45901</s:v>
      </s:c>
      <s:c r="D123" s="214" t="n">
        <s:v>3</s:v>
      </s:c>
      <s:c r="E123" s="215" t="n">
        <s:v>13</s:v>
      </s:c>
      <s:c r="F123" s="216" t="inlineStr">
        <s:is>
          <s:t>VI-236598-2025</s:t>
        </s:is>
      </s:c>
      <s:c r="G123" s="217" t="inlineStr">
        <s:is>
          <s:t>QA25418800</s:t>
        </s:is>
      </s:c>
      <s:c r="H123" s="218" t="n">
        <s:v>16</s:v>
      </s:c>
      <s:c r="I123" s="219" t="n">
        <s:v>0</s:v>
      </s:c>
      <s:c r="J123" s="220" t="n">
        <s:v>19</s:v>
      </s:c>
      <s:c r="K123" s="221" t="n">
        <s:v>7.497</s:v>
      </s:c>
      <s:c r="L123" s="221" t="n">
        <s:v>1.14</s:v>
      </s:c>
      <s:c r="M123" s="222" t="n">
        <s:v>361.67</s:v>
      </s:c>
      <s:c r="N123" s="222" t="n">
        <s:v>460.91</s:v>
      </s:c>
      <s:c r="O123" s="222" t="n">
        <s:v>100.38</s:v>
      </s:c>
      <s:c r="P123" s="223" t="inlineStr">
        <s:is>
          <s:t>2,29,300</s:t>
        </s:is>
      </s:c>
      <s:c r="Q123" s="224" t="inlineStr">
        <s:is>
          <s:t>2</s:t>
        </s:is>
      </s:c>
      <s:c r="R123" s="224" t="inlineStr">
        <s:is>
          <s:t>29,300</s:t>
        </s:is>
      </s:c>
      <s:c r="S123" s="224" t="n">
        <s:v>0.04147222222222222</s:v>
      </s:c>
      <s:c r="T123" s="225" t="n">
        <s:v>2420.415271265907</s:v>
      </s:c>
      <s:c r="U123" s="226" t="n">
        <s:v>-1.135684399282712</s:v>
      </s:c>
      <s:c r="V123" s="220" t="n">
        <s:v>19</s:v>
      </s:c>
      <s:c r="W123" s="221" t="n">
        <s:v>1.091</s:v>
      </s:c>
      <s:c r="X123" s="221" t="n">
        <s:v>1.08</s:v>
      </s:c>
      <s:c r="Y123" s="222" t="n">
        <s:v>471.11</s:v>
      </s:c>
      <s:c r="Z123" s="222" t="n">
        <s:v>476.35</s:v>
      </s:c>
      <s:c r="AA123" s="227" t="n">
        <s:v>5.229</s:v>
      </s:c>
      <s:c r="AB123" s="228" t="inlineStr">
        <s:is>
          <s:t>11,55,860</s:t>
        </s:is>
      </s:c>
      <s:c r="AC123" s="224" t="inlineStr">
        <s:is>
          <s:t>11</s:t>
        </s:is>
      </s:c>
      <s:c r="AD123" s="224" t="inlineStr">
        <s:is>
          <s:t>55,860</s:t>
        </s:is>
      </s:c>
      <s:c r="AE123" s="224" t="n">
        <s:v>0.19885</s:v>
      </s:c>
      <s:c r="AF123" s="225" t="n">
        <s:v>26.29620316821725</s:v>
      </s:c>
      <s:c r="AG123" s="229" t="n">
        <s:v>0.2103652706064066</s:v>
      </s:c>
      <s:c r="AH123" s="220" t="n">
        <s:v>19</s:v>
      </s:c>
      <s:c r="AI123" s="221" t="n">
        <s:v>1.095</s:v>
      </s:c>
      <s:c r="AJ123" s="221" t="n">
        <s:v>1.082</s:v>
      </s:c>
      <s:c r="AK123" s="222" t="n">
        <s:v>476.35</s:v>
      </s:c>
      <s:c r="AL123" s="222" t="n">
        <s:v>478.38</s:v>
      </s:c>
      <s:c r="AM123" s="230" t="n">
        <s:v>2.006</s:v>
      </s:c>
      <s:c r="AN123" s="223" t="inlineStr">
        <s:is>
          <s:t>7,25,910</s:t>
        </s:is>
      </s:c>
      <s:c r="AO123" s="224" t="inlineStr">
        <s:is>
          <s:t>7,</s:t>
        </s:is>
      </s:c>
      <s:c r="AP123" s="224" t="inlineStr">
        <s:is>
          <s:t>25,910</s:t>
        </s:is>
      </s:c>
      <s:c r="AQ123" s="224" t="n">
        <s:v>0.1238638888888889</s:v>
      </s:c>
      <s:c r="AR123" s="225" t="n">
        <s:v>16.19519634006862</s:v>
      </s:c>
      <s:c r="AS123" s="229" t="n">
        <s:v>1.19641076769556</s:v>
      </s:c>
      <s:c r="AT123" s="231" t="inlineStr">
        <s:is>
          <s:t>CONFORME</s:t>
        </s:is>
      </s:c>
      <s:c r="AU123" s="232">
        <s:f>B123=C123</s:f>
        <s:v/>
      </s:c>
      <s:c r="AV123" s="233">
        <s:f>MID(G123,1,2)</s:f>
        <s:v/>
      </s:c>
      <s:c r="AW123" s="233">
        <s:f>LEN(G123)</s:f>
        <s:v/>
      </s:c>
      <s:c r="AX123" s="233" t="inlineStr">
        <s:is>
          <s:t>OI-0923-2025</s:t>
        </s:is>
      </s:c>
      <s:c r="AY123" s="233">
        <s:f>N123&lt;Y123</s:f>
        <s:v/>
      </s:c>
      <s:c r="AZ123" s="233">
        <s:f>Z123&lt;=AK123</s:f>
        <s:v/>
      </s:c>
      <s:c r="BA123" s="233">
        <s:f>L123&lt;K123</s:f>
        <s:v/>
      </s:c>
      <s:c r="BB123" s="233">
        <s:f>W123&gt;=X123</s:f>
        <s:v/>
      </s:c>
      <s:c r="BC123" s="233">
        <s:f>AI123&gt;=AJ123</s:f>
        <s:v/>
      </s:c>
      <s:c r="BD123" s="233">
        <s:f>IF(I123&gt;=1,"Qcorrecto",IF(AND(BE123="aceptable",BF123="aceptable",BG123="aceptable"),"Qcorrecto","Qincorrecto"))</s:f>
        <s:v/>
      </s:c>
      <s:c r="BE123" s="232">
        <s:f>IF(AR123&lt;$AH$6,"error",IF(AR123&gt;$AH$6*1.1,"error","aceptable"))</s:f>
        <s:v/>
      </s:c>
      <s:c r="BF123" s="232">
        <s:f>IF(AF123&lt;$V$6,"error",IF(AF123&gt;$V$6*1.1,"error","aceptable"))</s:f>
        <s:v/>
      </s:c>
      <s:c r="BG123" s="232">
        <s:f>IF(T123&lt;$J$6*0.9,"error",IF(T123&gt;$J$6,"error","aceptable"))</s:f>
        <s:v/>
      </s:c>
      <s:c r="BH123" s="234">
        <s:f>(IF(ABS(U123)&lt;1,"CONFORME",IF(ABS(AG123)&lt;1,"CONFORME",IF(ABS(AS123)&lt;2.5,"CONFORME","NO CONFORME"))))</s:f>
        <s:v/>
      </s:c>
      <s:c r="BI123" s="235">
        <s:f>(IF(ABS(U123)&gt;2.044,"NO CONFORME",IF(ABS(AG123)&gt;2.044,"NO CONFORME",IF(ABS(AS123)&gt;5.044,"NO CONFORME","CONFORME"))))</s:f>
        <s:v/>
      </s:c>
      <s:c r="BJ123" s="233">
        <s:f>SIGN(U123)</s:f>
        <s:v/>
      </s:c>
      <s:c r="BK123" s="233">
        <s:f>SIGN(AG123)</s:f>
        <s:v/>
      </s:c>
      <s:c r="BL123" s="233">
        <s:f>SIGN(AS123)</s:f>
        <s:v/>
      </s:c>
      <s:c r="BM123" s="233">
        <s:f>CONCATENATE(BJ123,BK123,BL123)</s:f>
        <s:v/>
      </s:c>
      <s:c r="BN123" s="233">
        <s:f>IF(BM123="111","SI","SD")</s:f>
        <s:v/>
      </s:c>
      <s:c r="BO123" s="233">
        <s:f>IF(BM123="-1-1-1","SI","SD")</s:f>
        <s:v/>
      </s:c>
      <s:c r="BP123" s="233">
        <s:f>OR(BN123="SI",BO123="SI")</s:f>
        <s:v/>
      </s:c>
      <s:c r="BQ123" s="233">
        <s:f>IF(BP123=FALSE,"SIGDIFERENTES","SIGIGUALES")</s:f>
        <s:v/>
      </s:c>
      <s:c r="BR123" s="236">
        <s:f>IF(BI123="NO CONFORME","NO CONFORME",IF(BH123="CONFORME","CONFORME","NO CONFORME"))</s:f>
        <s:v/>
      </s:c>
      <s:c r="BS123" s="233">
        <s:f>F123</s:f>
        <s:v/>
      </s:c>
      <s:c r="BT123" s="237">
        <s:f>G123</s:f>
        <s:v/>
      </s:c>
      <s:c r="BU123" s="233">
        <s:f>"20"&amp;+MID(G123,3,2)</s:f>
        <s:v/>
      </s:c>
      <s:c r="BV123" s="238">
        <s:f>C123</s:f>
        <s:v/>
      </s:c>
      <s:c r="BW123" s="233">
        <s:f>AT123</s:f>
        <s:v/>
      </s:c>
      <s:c r="BX123" s="238">
        <s:f>B123</s:f>
        <s:v/>
      </s:c>
      <s:c r="BY123" s="239">
        <s:f>H123</s:f>
        <s:v/>
      </s:c>
      <s:c r="BZ123" s="233">
        <s:f>IF(I123=0,"CONFORME","NO CONFORME")</s:f>
        <s:v/>
      </s:c>
      <s:c r="CA123" s="238">
        <s:f>C123</s:f>
        <s:v/>
      </s:c>
      <s:c r="CB123" s="240">
        <s:f>AH123</s:f>
        <s:v/>
      </s:c>
      <s:c r="CC123" s="241">
        <s:f>AR123</s:f>
        <s:v/>
      </s:c>
      <s:c r="CD123" s="240">
        <s:f>AI123</s:f>
        <s:v/>
      </s:c>
      <s:c r="CE123" s="240">
        <s:f>AJ123</s:f>
        <s:v/>
      </s:c>
      <s:c r="CF123" s="240">
        <s:f>AS123</s:f>
        <s:v/>
      </s:c>
      <s:c r="CG123" s="240">
        <s:f>V123</s:f>
        <s:v/>
      </s:c>
      <s:c r="CH123" s="241">
        <s:f>AF123</s:f>
        <s:v/>
      </s:c>
      <s:c r="CI123" s="240">
        <s:f>W123</s:f>
        <s:v/>
      </s:c>
      <s:c r="CJ123" s="240">
        <s:f>X123</s:f>
        <s:v/>
      </s:c>
      <s:c r="CK123" s="240">
        <s:f>AG123</s:f>
        <s:v/>
      </s:c>
      <s:c r="CL123" s="240">
        <s:f>J123</s:f>
        <s:v/>
      </s:c>
      <s:c r="CM123" s="241">
        <s:f>T123</s:f>
        <s:v/>
      </s:c>
      <s:c r="CN123" s="240">
        <s:f>K123</s:f>
        <s:v/>
      </s:c>
      <s:c r="CO123" s="240">
        <s:f>L123</s:f>
        <s:v/>
      </s:c>
      <s:c r="CP123" s="242">
        <s:f>U123</s:f>
        <s:v/>
      </s:c>
      <s:c r="CQ123" s="233">
        <s:f>AT123</s:f>
        <s:v/>
      </s:c>
    </s:row>
    <s:row r="124">
      <s:c r="A124" s="211" t="n">
        <s:v>24</s:v>
      </s:c>
      <s:c r="B124" s="212" t="n">
        <s:v>45901</s:v>
      </s:c>
      <s:c r="C124" s="213" t="n">
        <s:v>45901</s:v>
      </s:c>
      <s:c r="D124" s="214" t="n">
        <s:v>3</s:v>
      </s:c>
      <s:c r="E124" s="215" t="n">
        <s:v>13</s:v>
      </s:c>
      <s:c r="F124" s="216" t="inlineStr">
        <s:is>
          <s:t>VI-236599-2025</s:t>
        </s:is>
      </s:c>
      <s:c r="G124" s="217" t="inlineStr">
        <s:is>
          <s:t>QA25418861</s:t>
        </s:is>
      </s:c>
      <s:c r="H124" s="218" t="n">
        <s:v>16</s:v>
      </s:c>
      <s:c r="I124" s="219" t="n">
        <s:v>0</s:v>
      </s:c>
      <s:c r="J124" s="220" t="n">
        <s:v>19</s:v>
      </s:c>
      <s:c r="K124" s="221" t="n">
        <s:v>7.497</s:v>
      </s:c>
      <s:c r="L124" s="221" t="n">
        <s:v>1.14</s:v>
      </s:c>
      <s:c r="M124" s="222" t="n">
        <s:v>428.73</s:v>
      </s:c>
      <s:c r="N124" s="222" t="n">
        <s:v>528.72</s:v>
      </s:c>
      <s:c r="O124" s="222" t="n">
        <s:v>100.38</s:v>
      </s:c>
      <s:c r="P124" s="223" t="inlineStr">
        <s:is>
          <s:t>2,29,300</s:t>
        </s:is>
      </s:c>
      <s:c r="Q124" s="224" t="inlineStr">
        <s:is>
          <s:t>2</s:t>
        </s:is>
      </s:c>
      <s:c r="R124" s="224" t="inlineStr">
        <s:is>
          <s:t>29,300</s:t>
        </s:is>
      </s:c>
      <s:c r="S124" s="224" t="n">
        <s:v>0.04147222222222222</s:v>
      </s:c>
      <s:c r="T124" s="225" t="n">
        <s:v>2420.415271265907</s:v>
      </s:c>
      <s:c r="U124" s="226" t="n">
        <s:v>-0.3885236102809189</s:v>
      </s:c>
      <s:c r="V124" s="220" t="n">
        <s:v>19</s:v>
      </s:c>
      <s:c r="W124" s="221" t="n">
        <s:v>1.091</s:v>
      </s:c>
      <s:c r="X124" s="221" t="n">
        <s:v>1.08</s:v>
      </s:c>
      <s:c r="Y124" s="222" t="n">
        <s:v>538.99</s:v>
      </s:c>
      <s:c r="Z124" s="222" t="n">
        <s:v>544.26</s:v>
      </s:c>
      <s:c r="AA124" s="227" t="n">
        <s:v>5.229</s:v>
      </s:c>
      <s:c r="AB124" s="228" t="inlineStr">
        <s:is>
          <s:t>11,55,860</s:t>
        </s:is>
      </s:c>
      <s:c r="AC124" s="224" t="inlineStr">
        <s:is>
          <s:t>11</s:t>
        </s:is>
      </s:c>
      <s:c r="AD124" s="224" t="inlineStr">
        <s:is>
          <s:t>55,860</s:t>
        </s:is>
      </s:c>
      <s:c r="AE124" s="224" t="n">
        <s:v>0.19885</s:v>
      </s:c>
      <s:c r="AF124" s="225" t="n">
        <s:v>26.29620316821725</s:v>
      </s:c>
      <s:c r="AG124" s="229" t="n">
        <s:v>0.7840887358956152</s:v>
      </s:c>
      <s:c r="AH124" s="220" t="n">
        <s:v>19</s:v>
      </s:c>
      <s:c r="AI124" s="221" t="n">
        <s:v>1.095</s:v>
      </s:c>
      <s:c r="AJ124" s="221" t="n">
        <s:v>1.082</s:v>
      </s:c>
      <s:c r="AK124" s="222" t="n">
        <s:v>544.26</s:v>
      </s:c>
      <s:c r="AL124" s="222" t="n">
        <s:v>546.27</s:v>
      </s:c>
      <s:c r="AM124" s="230" t="n">
        <s:v>2.006</s:v>
      </s:c>
      <s:c r="AN124" s="223" t="inlineStr">
        <s:is>
          <s:t>7,25,910</s:t>
        </s:is>
      </s:c>
      <s:c r="AO124" s="224" t="inlineStr">
        <s:is>
          <s:t>7,</s:t>
        </s:is>
      </s:c>
      <s:c r="AP124" s="224" t="inlineStr">
        <s:is>
          <s:t>25,910</s:t>
        </s:is>
      </s:c>
      <s:c r="AQ124" s="224" t="n">
        <s:v>0.1238638888888889</s:v>
      </s:c>
      <s:c r="AR124" s="225" t="n">
        <s:v>16.19519634006862</s:v>
      </s:c>
      <s:c r="AS124" s="229" t="n">
        <s:v>0.199401794615709</s:v>
      </s:c>
      <s:c r="AT124" s="231" t="inlineStr">
        <s:is>
          <s:t>CONFORME</s:t>
        </s:is>
      </s:c>
      <s:c r="AU124" s="232">
        <s:f>B124=C124</s:f>
        <s:v/>
      </s:c>
      <s:c r="AV124" s="233">
        <s:f>MID(G124,1,2)</s:f>
        <s:v/>
      </s:c>
      <s:c r="AW124" s="233">
        <s:f>LEN(G124)</s:f>
        <s:v/>
      </s:c>
      <s:c r="AX124" s="233" t="inlineStr">
        <s:is>
          <s:t>OI-0923-2025</s:t>
        </s:is>
      </s:c>
      <s:c r="AY124" s="233">
        <s:f>N124&lt;Y124</s:f>
        <s:v/>
      </s:c>
      <s:c r="AZ124" s="233">
        <s:f>Z124&lt;=AK124</s:f>
        <s:v/>
      </s:c>
      <s:c r="BA124" s="233">
        <s:f>L124&lt;K124</s:f>
        <s:v/>
      </s:c>
      <s:c r="BB124" s="233">
        <s:f>W124&gt;=X124</s:f>
        <s:v/>
      </s:c>
      <s:c r="BC124" s="233">
        <s:f>AI124&gt;=AJ124</s:f>
        <s:v/>
      </s:c>
      <s:c r="BD124" s="233">
        <s:f>IF(I124&gt;=1,"Qcorrecto",IF(AND(BE124="aceptable",BF124="aceptable",BG124="aceptable"),"Qcorrecto","Qincorrecto"))</s:f>
        <s:v/>
      </s:c>
      <s:c r="BE124" s="232">
        <s:f>IF(AR124&lt;$AH$6,"error",IF(AR124&gt;$AH$6*1.1,"error","aceptable"))</s:f>
        <s:v/>
      </s:c>
      <s:c r="BF124" s="232">
        <s:f>IF(AF124&lt;$V$6,"error",IF(AF124&gt;$V$6*1.1,"error","aceptable"))</s:f>
        <s:v/>
      </s:c>
      <s:c r="BG124" s="232">
        <s:f>IF(T124&lt;$J$6*0.9,"error",IF(T124&gt;$J$6,"error","aceptable"))</s:f>
        <s:v/>
      </s:c>
      <s:c r="BH124" s="234">
        <s:f>(IF(ABS(U124)&lt;1,"CONFORME",IF(ABS(AG124)&lt;1,"CONFORME",IF(ABS(AS124)&lt;2.5,"CONFORME","NO CONFORME"))))</s:f>
        <s:v/>
      </s:c>
      <s:c r="BI124" s="235">
        <s:f>(IF(ABS(U124)&gt;2.044,"NO CONFORME",IF(ABS(AG124)&gt;2.044,"NO CONFORME",IF(ABS(AS124)&gt;5.044,"NO CONFORME","CONFORME"))))</s:f>
        <s:v/>
      </s:c>
      <s:c r="BJ124" s="233">
        <s:f>SIGN(U124)</s:f>
        <s:v/>
      </s:c>
      <s:c r="BK124" s="233">
        <s:f>SIGN(AG124)</s:f>
        <s:v/>
      </s:c>
      <s:c r="BL124" s="233">
        <s:f>SIGN(AS124)</s:f>
        <s:v/>
      </s:c>
      <s:c r="BM124" s="233">
        <s:f>CONCATENATE(BJ124,BK124,BL124)</s:f>
        <s:v/>
      </s:c>
      <s:c r="BN124" s="233">
        <s:f>IF(BM124="111","SI","SD")</s:f>
        <s:v/>
      </s:c>
      <s:c r="BO124" s="233">
        <s:f>IF(BM124="-1-1-1","SI","SD")</s:f>
        <s:v/>
      </s:c>
      <s:c r="BP124" s="233">
        <s:f>OR(BN124="SI",BO124="SI")</s:f>
        <s:v/>
      </s:c>
      <s:c r="BQ124" s="233">
        <s:f>IF(BP124=FALSE,"SIGDIFERENTES","SIGIGUALES")</s:f>
        <s:v/>
      </s:c>
      <s:c r="BR124" s="236">
        <s:f>IF(BI124="NO CONFORME","NO CONFORME",IF(BH124="CONFORME","CONFORME","NO CONFORME"))</s:f>
        <s:v/>
      </s:c>
      <s:c r="BS124" s="233">
        <s:f>F124</s:f>
        <s:v/>
      </s:c>
      <s:c r="BT124" s="237">
        <s:f>G124</s:f>
        <s:v/>
      </s:c>
      <s:c r="BU124" s="233">
        <s:f>"20"&amp;+MID(G124,3,2)</s:f>
        <s:v/>
      </s:c>
      <s:c r="BV124" s="238">
        <s:f>C124</s:f>
        <s:v/>
      </s:c>
      <s:c r="BW124" s="233">
        <s:f>AT124</s:f>
        <s:v/>
      </s:c>
      <s:c r="BX124" s="238">
        <s:f>B124</s:f>
        <s:v/>
      </s:c>
      <s:c r="BY124" s="239">
        <s:f>H124</s:f>
        <s:v/>
      </s:c>
      <s:c r="BZ124" s="233">
        <s:f>IF(I124=0,"CONFORME","NO CONFORME")</s:f>
        <s:v/>
      </s:c>
      <s:c r="CA124" s="238">
        <s:f>C124</s:f>
        <s:v/>
      </s:c>
      <s:c r="CB124" s="240">
        <s:f>AH124</s:f>
        <s:v/>
      </s:c>
      <s:c r="CC124" s="241">
        <s:f>AR124</s:f>
        <s:v/>
      </s:c>
      <s:c r="CD124" s="240">
        <s:f>AI124</s:f>
        <s:v/>
      </s:c>
      <s:c r="CE124" s="240">
        <s:f>AJ124</s:f>
        <s:v/>
      </s:c>
      <s:c r="CF124" s="240">
        <s:f>AS124</s:f>
        <s:v/>
      </s:c>
      <s:c r="CG124" s="240">
        <s:f>V124</s:f>
        <s:v/>
      </s:c>
      <s:c r="CH124" s="241">
        <s:f>AF124</s:f>
        <s:v/>
      </s:c>
      <s:c r="CI124" s="240">
        <s:f>W124</s:f>
        <s:v/>
      </s:c>
      <s:c r="CJ124" s="240">
        <s:f>X124</s:f>
        <s:v/>
      </s:c>
      <s:c r="CK124" s="240">
        <s:f>AG124</s:f>
        <s:v/>
      </s:c>
      <s:c r="CL124" s="240">
        <s:f>J124</s:f>
        <s:v/>
      </s:c>
      <s:c r="CM124" s="241">
        <s:f>T124</s:f>
        <s:v/>
      </s:c>
      <s:c r="CN124" s="240">
        <s:f>K124</s:f>
        <s:v/>
      </s:c>
      <s:c r="CO124" s="240">
        <s:f>L124</s:f>
        <s:v/>
      </s:c>
      <s:c r="CP124" s="242">
        <s:f>U124</s:f>
        <s:v/>
      </s:c>
      <s:c r="CQ124" s="233">
        <s:f>AT124</s:f>
        <s:v/>
      </s:c>
    </s:row>
    <s:row r="125">
      <s:c r="A125" s="211" t="n">
        <s:v>25</s:v>
      </s:c>
      <s:c r="B125" s="212" t="n">
        <s:v>45901</s:v>
      </s:c>
      <s:c r="C125" s="213" t="n">
        <s:v>45901</s:v>
      </s:c>
      <s:c r="D125" s="214" t="n">
        <s:v>3</s:v>
      </s:c>
      <s:c r="E125" s="215" t="n">
        <s:v>13</s:v>
      </s:c>
      <s:c r="F125" s="216" t="inlineStr">
        <s:is>
          <s:t>VI-236600-2025</s:t>
        </s:is>
      </s:c>
      <s:c r="G125" s="217" t="inlineStr">
        <s:is>
          <s:t>QA25418855</s:t>
        </s:is>
      </s:c>
      <s:c r="H125" s="218" t="n">
        <s:v>16</s:v>
      </s:c>
      <s:c r="I125" s="219" t="n">
        <s:v>0</s:v>
      </s:c>
      <s:c r="J125" s="220" t="n">
        <s:v>19</s:v>
      </s:c>
      <s:c r="K125" s="221" t="n">
        <s:v>7.497</s:v>
      </s:c>
      <s:c r="L125" s="221" t="n">
        <s:v>1.14</s:v>
      </s:c>
      <s:c r="M125" s="222" t="n">
        <s:v>358.18</s:v>
      </s:c>
      <s:c r="N125" s="222" t="n">
        <s:v>457.33</s:v>
      </s:c>
      <s:c r="O125" s="222" t="n">
        <s:v>100.38</s:v>
      </s:c>
      <s:c r="P125" s="223" t="inlineStr">
        <s:is>
          <s:t>2,29,300</s:t>
        </s:is>
      </s:c>
      <s:c r="Q125" s="224" t="inlineStr">
        <s:is>
          <s:t>2</s:t>
        </s:is>
      </s:c>
      <s:c r="R125" s="224" t="inlineStr">
        <s:is>
          <s:t>29,300</s:t>
        </s:is>
      </s:c>
      <s:c r="S125" s="224" t="n">
        <s:v>0.04147222222222222</s:v>
      </s:c>
      <s:c r="T125" s="225" t="n">
        <s:v>2420.415271265907</s:v>
      </s:c>
      <s:c r="U125" s="226" t="n">
        <s:v>-1.225343693962959</s:v>
      </s:c>
      <s:c r="V125" s="220" t="n">
        <s:v>19</s:v>
      </s:c>
      <s:c r="W125" s="221" t="n">
        <s:v>1.091</s:v>
      </s:c>
      <s:c r="X125" s="221" t="n">
        <s:v>1.08</s:v>
      </s:c>
      <s:c r="Y125" s="222" t="n">
        <s:v>467.54</s:v>
      </s:c>
      <s:c r="Z125" s="222" t="n">
        <s:v>472.82</s:v>
      </s:c>
      <s:c r="AA125" s="227" t="n">
        <s:v>5.229</s:v>
      </s:c>
      <s:c r="AB125" s="228" t="inlineStr">
        <s:is>
          <s:t>11,55,860</s:t>
        </s:is>
      </s:c>
      <s:c r="AC125" s="224" t="inlineStr">
        <s:is>
          <s:t>11</s:t>
        </s:is>
      </s:c>
      <s:c r="AD125" s="224" t="inlineStr">
        <s:is>
          <s:t>55,860</s:t>
        </s:is>
      </s:c>
      <s:c r="AE125" s="224" t="n">
        <s:v>0.19885</s:v>
      </s:c>
      <s:c r="AF125" s="225" t="n">
        <s:v>26.29620316821725</s:v>
      </s:c>
      <s:c r="AG125" s="229" t="n">
        <s:v>0.9753298909920179</s:v>
      </s:c>
      <s:c r="AH125" s="220" t="n">
        <s:v>19</s:v>
      </s:c>
      <s:c r="AI125" s="221" t="n">
        <s:v>1.095</s:v>
      </s:c>
      <s:c r="AJ125" s="221" t="n">
        <s:v>1.082</s:v>
      </s:c>
      <s:c r="AK125" s="222" t="n">
        <s:v>472.82</s:v>
      </s:c>
      <s:c r="AL125" s="222" t="n">
        <s:v>474.81</s:v>
      </s:c>
      <s:c r="AM125" s="230" t="n">
        <s:v>2.006</s:v>
      </s:c>
      <s:c r="AN125" s="223" t="inlineStr">
        <s:is>
          <s:t>7,25,910</s:t>
        </s:is>
      </s:c>
      <s:c r="AO125" s="224" t="inlineStr">
        <s:is>
          <s:t>7,</s:t>
        </s:is>
      </s:c>
      <s:c r="AP125" s="224" t="inlineStr">
        <s:is>
          <s:t>25,910</s:t>
        </s:is>
      </s:c>
      <s:c r="AQ125" s="224" t="n">
        <s:v>0.1238638888888889</s:v>
      </s:c>
      <s:c r="AR125" s="225" t="n">
        <s:v>16.19519634006862</s:v>
      </s:c>
      <s:c r="AS125" s="229" t="n">
        <s:v>-0.7976071784641421</s:v>
      </s:c>
      <s:c r="AT125" s="231" t="inlineStr">
        <s:is>
          <s:t>CONFORME</s:t>
        </s:is>
      </s:c>
      <s:c r="AU125" s="232">
        <s:f>B125=C125</s:f>
        <s:v/>
      </s:c>
      <s:c r="AV125" s="233">
        <s:f>MID(G125,1,2)</s:f>
        <s:v/>
      </s:c>
      <s:c r="AW125" s="233">
        <s:f>LEN(G125)</s:f>
        <s:v/>
      </s:c>
      <s:c r="AX125" s="233" t="inlineStr">
        <s:is>
          <s:t>OI-0923-2025</s:t>
        </s:is>
      </s:c>
      <s:c r="AY125" s="233">
        <s:f>N125&lt;Y125</s:f>
        <s:v/>
      </s:c>
      <s:c r="AZ125" s="233">
        <s:f>Z125&lt;=AK125</s:f>
        <s:v/>
      </s:c>
      <s:c r="BA125" s="233">
        <s:f>L125&lt;K125</s:f>
        <s:v/>
      </s:c>
      <s:c r="BB125" s="233">
        <s:f>W125&gt;=X125</s:f>
        <s:v/>
      </s:c>
      <s:c r="BC125" s="233">
        <s:f>AI125&gt;=AJ125</s:f>
        <s:v/>
      </s:c>
      <s:c r="BD125" s="233">
        <s:f>IF(I125&gt;=1,"Qcorrecto",IF(AND(BE125="aceptable",BF125="aceptable",BG125="aceptable"),"Qcorrecto","Qincorrecto"))</s:f>
        <s:v/>
      </s:c>
      <s:c r="BE125" s="232">
        <s:f>IF(AR125&lt;$AH$6,"error",IF(AR125&gt;$AH$6*1.1,"error","aceptable"))</s:f>
        <s:v/>
      </s:c>
      <s:c r="BF125" s="232">
        <s:f>IF(AF125&lt;$V$6,"error",IF(AF125&gt;$V$6*1.1,"error","aceptable"))</s:f>
        <s:v/>
      </s:c>
      <s:c r="BG125" s="232">
        <s:f>IF(T125&lt;$J$6*0.9,"error",IF(T125&gt;$J$6,"error","aceptable"))</s:f>
        <s:v/>
      </s:c>
      <s:c r="BH125" s="234">
        <s:f>(IF(ABS(U125)&lt;1,"CONFORME",IF(ABS(AG125)&lt;1,"CONFORME",IF(ABS(AS125)&lt;2.5,"CONFORME","NO CONFORME"))))</s:f>
        <s:v/>
      </s:c>
      <s:c r="BI125" s="235">
        <s:f>(IF(ABS(U125)&gt;2.044,"NO CONFORME",IF(ABS(AG125)&gt;2.044,"NO CONFORME",IF(ABS(AS125)&gt;5.044,"NO CONFORME","CONFORME"))))</s:f>
        <s:v/>
      </s:c>
      <s:c r="BJ125" s="233">
        <s:f>SIGN(U125)</s:f>
        <s:v/>
      </s:c>
      <s:c r="BK125" s="233">
        <s:f>SIGN(AG125)</s:f>
        <s:v/>
      </s:c>
      <s:c r="BL125" s="233">
        <s:f>SIGN(AS125)</s:f>
        <s:v/>
      </s:c>
      <s:c r="BM125" s="233">
        <s:f>CONCATENATE(BJ125,BK125,BL125)</s:f>
        <s:v/>
      </s:c>
      <s:c r="BN125" s="233">
        <s:f>IF(BM125="111","SI","SD")</s:f>
        <s:v/>
      </s:c>
      <s:c r="BO125" s="233">
        <s:f>IF(BM125="-1-1-1","SI","SD")</s:f>
        <s:v/>
      </s:c>
      <s:c r="BP125" s="233">
        <s:f>OR(BN125="SI",BO125="SI")</s:f>
        <s:v/>
      </s:c>
      <s:c r="BQ125" s="233">
        <s:f>IF(BP125=FALSE,"SIGDIFERENTES","SIGIGUALES")</s:f>
        <s:v/>
      </s:c>
      <s:c r="BR125" s="236">
        <s:f>IF(BI125="NO CONFORME","NO CONFORME",IF(BH125="CONFORME","CONFORME","NO CONFORME"))</s:f>
        <s:v/>
      </s:c>
      <s:c r="BS125" s="233">
        <s:f>F125</s:f>
        <s:v/>
      </s:c>
      <s:c r="BT125" s="237">
        <s:f>G125</s:f>
        <s:v/>
      </s:c>
      <s:c r="BU125" s="233">
        <s:f>"20"&amp;+MID(G125,3,2)</s:f>
        <s:v/>
      </s:c>
      <s:c r="BV125" s="238">
        <s:f>C125</s:f>
        <s:v/>
      </s:c>
      <s:c r="BW125" s="233">
        <s:f>AT125</s:f>
        <s:v/>
      </s:c>
      <s:c r="BX125" s="238">
        <s:f>B125</s:f>
        <s:v/>
      </s:c>
      <s:c r="BY125" s="239">
        <s:f>H125</s:f>
        <s:v/>
      </s:c>
      <s:c r="BZ125" s="233">
        <s:f>IF(I125=0,"CONFORME","NO CONFORME")</s:f>
        <s:v/>
      </s:c>
      <s:c r="CA125" s="238">
        <s:f>C125</s:f>
        <s:v/>
      </s:c>
      <s:c r="CB125" s="240">
        <s:f>AH125</s:f>
        <s:v/>
      </s:c>
      <s:c r="CC125" s="241">
        <s:f>AR125</s:f>
        <s:v/>
      </s:c>
      <s:c r="CD125" s="240">
        <s:f>AI125</s:f>
        <s:v/>
      </s:c>
      <s:c r="CE125" s="240">
        <s:f>AJ125</s:f>
        <s:v/>
      </s:c>
      <s:c r="CF125" s="240">
        <s:f>AS125</s:f>
        <s:v/>
      </s:c>
      <s:c r="CG125" s="240">
        <s:f>V125</s:f>
        <s:v/>
      </s:c>
      <s:c r="CH125" s="241">
        <s:f>AF125</s:f>
        <s:v/>
      </s:c>
      <s:c r="CI125" s="240">
        <s:f>W125</s:f>
        <s:v/>
      </s:c>
      <s:c r="CJ125" s="240">
        <s:f>X125</s:f>
        <s:v/>
      </s:c>
      <s:c r="CK125" s="240">
        <s:f>AG125</s:f>
        <s:v/>
      </s:c>
      <s:c r="CL125" s="240">
        <s:f>J125</s:f>
        <s:v/>
      </s:c>
      <s:c r="CM125" s="241">
        <s:f>T125</s:f>
        <s:v/>
      </s:c>
      <s:c r="CN125" s="240">
        <s:f>K125</s:f>
        <s:v/>
      </s:c>
      <s:c r="CO125" s="240">
        <s:f>L125</s:f>
        <s:v/>
      </s:c>
      <s:c r="CP125" s="242">
        <s:f>U125</s:f>
        <s:v/>
      </s:c>
      <s:c r="CQ125" s="233">
        <s:f>AT125</s:f>
        <s:v/>
      </s:c>
    </s:row>
    <s:row r="126">
      <s:c r="A126" s="211" t="n">
        <s:v>26</s:v>
      </s:c>
      <s:c r="B126" s="212" t="n">
        <s:v>45901</s:v>
      </s:c>
      <s:c r="C126" s="213" t="n">
        <s:v>45901</s:v>
      </s:c>
      <s:c r="D126" s="214" t="n">
        <s:v>3</s:v>
      </s:c>
      <s:c r="E126" s="215" t="n">
        <s:v>13</s:v>
      </s:c>
      <s:c r="F126" s="216" t="inlineStr">
        <s:is>
          <s:t>VI-236601-2025</s:t>
        </s:is>
      </s:c>
      <s:c r="G126" s="217" t="inlineStr">
        <s:is>
          <s:t>QA25418852</s:t>
        </s:is>
      </s:c>
      <s:c r="H126" s="218" t="n">
        <s:v>16</s:v>
      </s:c>
      <s:c r="I126" s="219" t="n">
        <s:v>0</s:v>
      </s:c>
      <s:c r="J126" s="220" t="n">
        <s:v>19</s:v>
      </s:c>
      <s:c r="K126" s="221" t="n">
        <s:v>7.513</s:v>
      </s:c>
      <s:c r="L126" s="221" t="n">
        <s:v>1.291</s:v>
      </s:c>
      <s:c r="M126" s="222" t="n">
        <s:v>314.14</s:v>
      </s:c>
      <s:c r="N126" s="222" t="n">
        <s:v>413.24</s:v>
      </s:c>
      <s:c r="O126" s="222" t="n">
        <s:v>100.38</s:v>
      </s:c>
      <s:c r="P126" s="223" t="inlineStr">
        <s:is>
          <s:t>2,31,150</s:t>
        </s:is>
      </s:c>
      <s:c r="Q126" s="224" t="inlineStr">
        <s:is>
          <s:t>2</s:t>
        </s:is>
      </s:c>
      <s:c r="R126" s="224" t="inlineStr">
        <s:is>
          <s:t>31,150</s:t>
        </s:is>
      </s:c>
      <s:c r="S126" s="224" t="n">
        <s:v>0.04198611111111111</s:v>
      </s:c>
      <s:c r="T126" s="225" t="n">
        <s:v>2390.790605358915</s:v>
      </s:c>
      <s:c r="U126" s="226" t="n">
        <s:v>-1.2751544132297</s:v>
      </s:c>
      <s:c r="V126" s="220" t="n">
        <s:v>19</s:v>
      </s:c>
      <s:c r="W126" s="221" t="n">
        <s:v>1.094</s:v>
      </s:c>
      <s:c r="X126" s="221" t="n">
        <s:v>1.083</s:v>
      </s:c>
      <s:c r="Y126" s="222" t="n">
        <s:v>425.34</s:v>
      </s:c>
      <s:c r="Z126" s="222" t="n">
        <s:v>430.49</s:v>
      </s:c>
      <s:c r="AA126" s="227" t="n">
        <s:v>5.141</s:v>
      </s:c>
      <s:c r="AB126" s="228" t="inlineStr">
        <s:is>
          <s:t>11,36,520</s:t>
        </s:is>
      </s:c>
      <s:c r="AC126" s="224" t="inlineStr">
        <s:is>
          <s:t>11</s:t>
        </s:is>
      </s:c>
      <s:c r="AD126" s="224" t="inlineStr">
        <s:is>
          <s:t>36,520</s:t>
        </s:is>
      </s:c>
      <s:c r="AE126" s="224" t="n">
        <s:v>0.1934777777777778</s:v>
      </s:c>
      <s:c r="AF126" s="225" t="n">
        <s:v>26.5715270200425</s:v>
      </s:c>
      <s:c r="AG126" s="229" t="n">
        <s:v>0.1750632172735672</s:v>
      </s:c>
      <s:c r="AH126" s="220" t="n">
        <s:v>19</s:v>
      </s:c>
      <s:c r="AI126" s="221" t="n">
        <s:v>1.092</s:v>
      </s:c>
      <s:c r="AJ126" s="221" t="n">
        <s:v>1.078</s:v>
      </s:c>
      <s:c r="AK126" s="222" t="n">
        <s:v>430.49</s:v>
      </s:c>
      <s:c r="AL126" s="222" t="n">
        <s:v>432.47</s:v>
      </s:c>
      <s:c r="AM126" s="230" t="n">
        <s:v>2.005</s:v>
      </s:c>
      <s:c r="AN126" s="223" t="inlineStr">
        <s:is>
          <s:t>7,22,780</s:t>
        </s:is>
      </s:c>
      <s:c r="AO126" s="224" t="inlineStr">
        <s:is>
          <s:t>7,</s:t>
        </s:is>
      </s:c>
      <s:c r="AP126" s="224" t="inlineStr">
        <s:is>
          <s:t>22,780</s:t>
        </s:is>
      </s:c>
      <s:c r="AQ126" s="224" t="n">
        <s:v>0.1229944444444444</s:v>
      </s:c>
      <s:c r="AR126" s="225" t="n">
        <s:v>16.3015493021365</s:v>
      </s:c>
      <s:c r="AS126" s="229" t="n">
        <s:v>-1.246882793016544</s:v>
      </s:c>
      <s:c r="AT126" s="231" t="inlineStr">
        <s:is>
          <s:t>CONFORME</s:t>
        </s:is>
      </s:c>
      <s:c r="AU126" s="232">
        <s:f>B126=C126</s:f>
        <s:v/>
      </s:c>
      <s:c r="AV126" s="233">
        <s:f>MID(G126,1,2)</s:f>
        <s:v/>
      </s:c>
      <s:c r="AW126" s="233">
        <s:f>LEN(G126)</s:f>
        <s:v/>
      </s:c>
      <s:c r="AX126" s="233" t="inlineStr">
        <s:is>
          <s:t>OI-0923-2025</s:t>
        </s:is>
      </s:c>
      <s:c r="AY126" s="233">
        <s:f>N126&lt;Y126</s:f>
        <s:v/>
      </s:c>
      <s:c r="AZ126" s="233">
        <s:f>Z126&lt;=AK126</s:f>
        <s:v/>
      </s:c>
      <s:c r="BA126" s="233">
        <s:f>L126&lt;K126</s:f>
        <s:v/>
      </s:c>
      <s:c r="BB126" s="233">
        <s:f>W126&gt;=X126</s:f>
        <s:v/>
      </s:c>
      <s:c r="BC126" s="233">
        <s:f>AI126&gt;=AJ126</s:f>
        <s:v/>
      </s:c>
      <s:c r="BD126" s="233">
        <s:f>IF(I126&gt;=1,"Qcorrecto",IF(AND(BE126="aceptable",BF126="aceptable",BG126="aceptable"),"Qcorrecto","Qincorrecto"))</s:f>
        <s:v/>
      </s:c>
      <s:c r="BE126" s="232">
        <s:f>IF(AR126&lt;$AH$6,"error",IF(AR126&gt;$AH$6*1.1,"error","aceptable"))</s:f>
        <s:v/>
      </s:c>
      <s:c r="BF126" s="232">
        <s:f>IF(AF126&lt;$V$6,"error",IF(AF126&gt;$V$6*1.1,"error","aceptable"))</s:f>
        <s:v/>
      </s:c>
      <s:c r="BG126" s="232">
        <s:f>IF(T126&lt;$J$6*0.9,"error",IF(T126&gt;$J$6,"error","aceptable"))</s:f>
        <s:v/>
      </s:c>
      <s:c r="BH126" s="234">
        <s:f>(IF(ABS(U126)&lt;1,"CONFORME",IF(ABS(AG126)&lt;1,"CONFORME",IF(ABS(AS126)&lt;2.5,"CONFORME","NO CONFORME"))))</s:f>
        <s:v/>
      </s:c>
      <s:c r="BI126" s="235">
        <s:f>(IF(ABS(U126)&gt;2.044,"NO CONFORME",IF(ABS(AG126)&gt;2.044,"NO CONFORME",IF(ABS(AS126)&gt;5.044,"NO CONFORME","CONFORME"))))</s:f>
        <s:v/>
      </s:c>
      <s:c r="BJ126" s="233">
        <s:f>SIGN(U126)</s:f>
        <s:v/>
      </s:c>
      <s:c r="BK126" s="233">
        <s:f>SIGN(AG126)</s:f>
        <s:v/>
      </s:c>
      <s:c r="BL126" s="233">
        <s:f>SIGN(AS126)</s:f>
        <s:v/>
      </s:c>
      <s:c r="BM126" s="233">
        <s:f>CONCATENATE(BJ126,BK126,BL126)</s:f>
        <s:v/>
      </s:c>
      <s:c r="BN126" s="233">
        <s:f>IF(BM126="111","SI","SD")</s:f>
        <s:v/>
      </s:c>
      <s:c r="BO126" s="233">
        <s:f>IF(BM126="-1-1-1","SI","SD")</s:f>
        <s:v/>
      </s:c>
      <s:c r="BP126" s="233">
        <s:f>OR(BN126="SI",BO126="SI")</s:f>
        <s:v/>
      </s:c>
      <s:c r="BQ126" s="233">
        <s:f>IF(BP126=FALSE,"SIGDIFERENTES","SIGIGUALES")</s:f>
        <s:v/>
      </s:c>
      <s:c r="BR126" s="236">
        <s:f>IF(BI126="NO CONFORME","NO CONFORME",IF(BH126="CONFORME","CONFORME","NO CONFORME"))</s:f>
        <s:v/>
      </s:c>
      <s:c r="BS126" s="233">
        <s:f>F126</s:f>
        <s:v/>
      </s:c>
      <s:c r="BT126" s="237">
        <s:f>G126</s:f>
        <s:v/>
      </s:c>
      <s:c r="BU126" s="233">
        <s:f>"20"&amp;+MID(G126,3,2)</s:f>
        <s:v/>
      </s:c>
      <s:c r="BV126" s="238">
        <s:f>C126</s:f>
        <s:v/>
      </s:c>
      <s:c r="BW126" s="233">
        <s:f>AT126</s:f>
        <s:v/>
      </s:c>
      <s:c r="BX126" s="238">
        <s:f>B126</s:f>
        <s:v/>
      </s:c>
      <s:c r="BY126" s="239">
        <s:f>H126</s:f>
        <s:v/>
      </s:c>
      <s:c r="BZ126" s="233">
        <s:f>IF(I126=0,"CONFORME","NO CONFORME")</s:f>
        <s:v/>
      </s:c>
      <s:c r="CA126" s="238">
        <s:f>C126</s:f>
        <s:v/>
      </s:c>
      <s:c r="CB126" s="240">
        <s:f>AH126</s:f>
        <s:v/>
      </s:c>
      <s:c r="CC126" s="241">
        <s:f>AR126</s:f>
        <s:v/>
      </s:c>
      <s:c r="CD126" s="240">
        <s:f>AI126</s:f>
        <s:v/>
      </s:c>
      <s:c r="CE126" s="240">
        <s:f>AJ126</s:f>
        <s:v/>
      </s:c>
      <s:c r="CF126" s="240">
        <s:f>AS126</s:f>
        <s:v/>
      </s:c>
      <s:c r="CG126" s="240">
        <s:f>V126</s:f>
        <s:v/>
      </s:c>
      <s:c r="CH126" s="241">
        <s:f>AF126</s:f>
        <s:v/>
      </s:c>
      <s:c r="CI126" s="240">
        <s:f>W126</s:f>
        <s:v/>
      </s:c>
      <s:c r="CJ126" s="240">
        <s:f>X126</s:f>
        <s:v/>
      </s:c>
      <s:c r="CK126" s="240">
        <s:f>AG126</s:f>
        <s:v/>
      </s:c>
      <s:c r="CL126" s="240">
        <s:f>J126</s:f>
        <s:v/>
      </s:c>
      <s:c r="CM126" s="241">
        <s:f>T126</s:f>
        <s:v/>
      </s:c>
      <s:c r="CN126" s="240">
        <s:f>K126</s:f>
        <s:v/>
      </s:c>
      <s:c r="CO126" s="240">
        <s:f>L126</s:f>
        <s:v/>
      </s:c>
      <s:c r="CP126" s="242">
        <s:f>U126</s:f>
        <s:v/>
      </s:c>
      <s:c r="CQ126" s="233">
        <s:f>AT126</s:f>
        <s:v/>
      </s:c>
    </s:row>
    <s:row r="127">
      <s:c r="A127" s="211" t="n">
        <s:v>27</s:v>
      </s:c>
      <s:c r="B127" s="212" t="n">
        <s:v>45901</s:v>
      </s:c>
      <s:c r="C127" s="213" t="n">
        <s:v>45901</s:v>
      </s:c>
      <s:c r="D127" s="214" t="n">
        <s:v>3</s:v>
      </s:c>
      <s:c r="E127" s="215" t="n">
        <s:v>13</s:v>
      </s:c>
      <s:c r="F127" s="216" t="inlineStr">
        <s:is>
          <s:t>VI-236602-2025</s:t>
        </s:is>
      </s:c>
      <s:c r="G127" s="217" t="inlineStr">
        <s:is>
          <s:t>QA25418644</s:t>
        </s:is>
      </s:c>
      <s:c r="H127" s="218" t="n">
        <s:v>16</s:v>
      </s:c>
      <s:c r="I127" s="219" t="n">
        <s:v>0</s:v>
      </s:c>
      <s:c r="J127" s="220" t="n">
        <s:v>19</s:v>
      </s:c>
      <s:c r="K127" s="221" t="n">
        <s:v>7.513</s:v>
      </s:c>
      <s:c r="L127" s="221" t="n">
        <s:v>1.291</s:v>
      </s:c>
      <s:c r="M127" s="222" t="n">
        <s:v>276</s:v>
      </s:c>
      <s:c r="N127" s="222" t="n">
        <s:v>375.06</s:v>
      </s:c>
      <s:c r="O127" s="222" t="n">
        <s:v>100.38</s:v>
      </s:c>
      <s:c r="P127" s="223" t="inlineStr">
        <s:is>
          <s:t>2,31,150</s:t>
        </s:is>
      </s:c>
      <s:c r="Q127" s="224" t="inlineStr">
        <s:is>
          <s:t>2</s:t>
        </s:is>
      </s:c>
      <s:c r="R127" s="224" t="inlineStr">
        <s:is>
          <s:t>31,150</s:t>
        </s:is>
      </s:c>
      <s:c r="S127" s="224" t="n">
        <s:v>0.04198611111111111</s:v>
      </s:c>
      <s:c r="T127" s="225" t="n">
        <s:v>2390.790605358915</s:v>
      </s:c>
      <s:c r="U127" s="226" t="n">
        <s:v>-1.315002988643149</s:v>
      </s:c>
      <s:c r="V127" s="220" t="n">
        <s:v>19</s:v>
      </s:c>
      <s:c r="W127" s="221" t="n">
        <s:v>1.094</s:v>
      </s:c>
      <s:c r="X127" s="221" t="n">
        <s:v>1.083</s:v>
      </s:c>
      <s:c r="Y127" s="222" t="n">
        <s:v>387.21</s:v>
      </s:c>
      <s:c r="Z127" s="222" t="n">
        <s:v>392.41</s:v>
      </s:c>
      <s:c r="AA127" s="227" t="n">
        <s:v>5.141</s:v>
      </s:c>
      <s:c r="AB127" s="228" t="inlineStr">
        <s:is>
          <s:t>11,36,520</s:t>
        </s:is>
      </s:c>
      <s:c r="AC127" s="224" t="inlineStr">
        <s:is>
          <s:t>11</s:t>
        </s:is>
      </s:c>
      <s:c r="AD127" s="224" t="inlineStr">
        <s:is>
          <s:t>36,520</s:t>
        </s:is>
      </s:c>
      <s:c r="AE127" s="224" t="n">
        <s:v>0.1934777777777778</s:v>
      </s:c>
      <s:c r="AF127" s="225" t="n">
        <s:v>26.5715270200425</s:v>
      </s:c>
      <s:c r="AG127" s="229" t="n">
        <s:v>1.1476366465677</s:v>
      </s:c>
      <s:c r="AH127" s="220" t="n">
        <s:v>19</s:v>
      </s:c>
      <s:c r="AI127" s="221" t="n">
        <s:v>1.092</s:v>
      </s:c>
      <s:c r="AJ127" s="221" t="n">
        <s:v>1.078</s:v>
      </s:c>
      <s:c r="AK127" s="222" t="n">
        <s:v>392.41</s:v>
      </s:c>
      <s:c r="AL127" s="222" t="n">
        <s:v>394.39</s:v>
      </s:c>
      <s:c r="AM127" s="230" t="n">
        <s:v>2.005</s:v>
      </s:c>
      <s:c r="AN127" s="223" t="inlineStr">
        <s:is>
          <s:t>7,22,780</s:t>
        </s:is>
      </s:c>
      <s:c r="AO127" s="224" t="inlineStr">
        <s:is>
          <s:t>7,</s:t>
        </s:is>
      </s:c>
      <s:c r="AP127" s="224" t="inlineStr">
        <s:is>
          <s:t>22,780</s:t>
        </s:is>
      </s:c>
      <s:c r="AQ127" s="224" t="n">
        <s:v>0.1229944444444444</s:v>
      </s:c>
      <s:c r="AR127" s="225" t="n">
        <s:v>16.3015493021365</s:v>
      </s:c>
      <s:c r="AS127" s="229" t="n">
        <s:v>-1.246882793019379</s:v>
      </s:c>
      <s:c r="AT127" s="231" t="inlineStr">
        <s:is>
          <s:t>CONFORME</s:t>
        </s:is>
      </s:c>
      <s:c r="AU127" s="232">
        <s:f>B127=C127</s:f>
        <s:v/>
      </s:c>
      <s:c r="AV127" s="233">
        <s:f>MID(G127,1,2)</s:f>
        <s:v/>
      </s:c>
      <s:c r="AW127" s="233">
        <s:f>LEN(G127)</s:f>
        <s:v/>
      </s:c>
      <s:c r="AX127" s="233" t="inlineStr">
        <s:is>
          <s:t>OI-0923-2025</s:t>
        </s:is>
      </s:c>
      <s:c r="AY127" s="233">
        <s:f>N127&lt;Y127</s:f>
        <s:v/>
      </s:c>
      <s:c r="AZ127" s="233">
        <s:f>Z127&lt;=AK127</s:f>
        <s:v/>
      </s:c>
      <s:c r="BA127" s="233">
        <s:f>L127&lt;K127</s:f>
        <s:v/>
      </s:c>
      <s:c r="BB127" s="233">
        <s:f>W127&gt;=X127</s:f>
        <s:v/>
      </s:c>
      <s:c r="BC127" s="233">
        <s:f>AI127&gt;=AJ127</s:f>
        <s:v/>
      </s:c>
      <s:c r="BD127" s="233">
        <s:f>IF(I127&gt;=1,"Qcorrecto",IF(AND(BE127="aceptable",BF127="aceptable",BG127="aceptable"),"Qcorrecto","Qincorrecto"))</s:f>
        <s:v/>
      </s:c>
      <s:c r="BE127" s="232">
        <s:f>IF(AR127&lt;$AH$6,"error",IF(AR127&gt;$AH$6*1.1,"error","aceptable"))</s:f>
        <s:v/>
      </s:c>
      <s:c r="BF127" s="232">
        <s:f>IF(AF127&lt;$V$6,"error",IF(AF127&gt;$V$6*1.1,"error","aceptable"))</s:f>
        <s:v/>
      </s:c>
      <s:c r="BG127" s="232">
        <s:f>IF(T127&lt;$J$6*0.9,"error",IF(T127&gt;$J$6,"error","aceptable"))</s:f>
        <s:v/>
      </s:c>
      <s:c r="BH127" s="234">
        <s:f>(IF(ABS(U127)&lt;1,"CONFORME",IF(ABS(AG127)&lt;1,"CONFORME",IF(ABS(AS127)&lt;2.5,"CONFORME","NO CONFORME"))))</s:f>
        <s:v/>
      </s:c>
      <s:c r="BI127" s="235">
        <s:f>(IF(ABS(U127)&gt;2.044,"NO CONFORME",IF(ABS(AG127)&gt;2.044,"NO CONFORME",IF(ABS(AS127)&gt;5.044,"NO CONFORME","CONFORME"))))</s:f>
        <s:v/>
      </s:c>
      <s:c r="BJ127" s="233">
        <s:f>SIGN(U127)</s:f>
        <s:v/>
      </s:c>
      <s:c r="BK127" s="233">
        <s:f>SIGN(AG127)</s:f>
        <s:v/>
      </s:c>
      <s:c r="BL127" s="233">
        <s:f>SIGN(AS127)</s:f>
        <s:v/>
      </s:c>
      <s:c r="BM127" s="233">
        <s:f>CONCATENATE(BJ127,BK127,BL127)</s:f>
        <s:v/>
      </s:c>
      <s:c r="BN127" s="233">
        <s:f>IF(BM127="111","SI","SD")</s:f>
        <s:v/>
      </s:c>
      <s:c r="BO127" s="233">
        <s:f>IF(BM127="-1-1-1","SI","SD")</s:f>
        <s:v/>
      </s:c>
      <s:c r="BP127" s="233">
        <s:f>OR(BN127="SI",BO127="SI")</s:f>
        <s:v/>
      </s:c>
      <s:c r="BQ127" s="233">
        <s:f>IF(BP127=FALSE,"SIGDIFERENTES","SIGIGUALES")</s:f>
        <s:v/>
      </s:c>
      <s:c r="BR127" s="236">
        <s:f>IF(BI127="NO CONFORME","NO CONFORME",IF(BH127="CONFORME","CONFORME","NO CONFORME"))</s:f>
        <s:v/>
      </s:c>
      <s:c r="BS127" s="233">
        <s:f>F127</s:f>
        <s:v/>
      </s:c>
      <s:c r="BT127" s="237">
        <s:f>G127</s:f>
        <s:v/>
      </s:c>
      <s:c r="BU127" s="233">
        <s:f>"20"&amp;+MID(G127,3,2)</s:f>
        <s:v/>
      </s:c>
      <s:c r="BV127" s="238">
        <s:f>C127</s:f>
        <s:v/>
      </s:c>
      <s:c r="BW127" s="233">
        <s:f>AT127</s:f>
        <s:v/>
      </s:c>
      <s:c r="BX127" s="238">
        <s:f>B127</s:f>
        <s:v/>
      </s:c>
      <s:c r="BY127" s="239">
        <s:f>H127</s:f>
        <s:v/>
      </s:c>
      <s:c r="BZ127" s="233">
        <s:f>IF(I127=0,"CONFORME","NO CONFORME")</s:f>
        <s:v/>
      </s:c>
      <s:c r="CA127" s="238">
        <s:f>C127</s:f>
        <s:v/>
      </s:c>
      <s:c r="CB127" s="240">
        <s:f>AH127</s:f>
        <s:v/>
      </s:c>
      <s:c r="CC127" s="241">
        <s:f>AR127</s:f>
        <s:v/>
      </s:c>
      <s:c r="CD127" s="240">
        <s:f>AI127</s:f>
        <s:v/>
      </s:c>
      <s:c r="CE127" s="240">
        <s:f>AJ127</s:f>
        <s:v/>
      </s:c>
      <s:c r="CF127" s="240">
        <s:f>AS127</s:f>
        <s:v/>
      </s:c>
      <s:c r="CG127" s="240">
        <s:f>V127</s:f>
        <s:v/>
      </s:c>
      <s:c r="CH127" s="241">
        <s:f>AF127</s:f>
        <s:v/>
      </s:c>
      <s:c r="CI127" s="240">
        <s:f>W127</s:f>
        <s:v/>
      </s:c>
      <s:c r="CJ127" s="240">
        <s:f>X127</s:f>
        <s:v/>
      </s:c>
      <s:c r="CK127" s="240">
        <s:f>AG127</s:f>
        <s:v/>
      </s:c>
      <s:c r="CL127" s="240">
        <s:f>J127</s:f>
        <s:v/>
      </s:c>
      <s:c r="CM127" s="241">
        <s:f>T127</s:f>
        <s:v/>
      </s:c>
      <s:c r="CN127" s="240">
        <s:f>K127</s:f>
        <s:v/>
      </s:c>
      <s:c r="CO127" s="240">
        <s:f>L127</s:f>
        <s:v/>
      </s:c>
      <s:c r="CP127" s="242">
        <s:f>U127</s:f>
        <s:v/>
      </s:c>
      <s:c r="CQ127" s="233">
        <s:f>AT127</s:f>
        <s:v/>
      </s:c>
    </s:row>
    <s:row r="128">
      <s:c r="A128" s="211" t="n">
        <s:v>28</s:v>
      </s:c>
      <s:c r="B128" s="212" t="n">
        <s:v>45901</s:v>
      </s:c>
      <s:c r="C128" s="213" t="n">
        <s:v>45901</s:v>
      </s:c>
      <s:c r="D128" s="214" t="n">
        <s:v>3</s:v>
      </s:c>
      <s:c r="E128" s="215" t="n">
        <s:v>13</s:v>
      </s:c>
      <s:c r="F128" s="216" t="inlineStr">
        <s:is>
          <s:t>VI-236603-2025</s:t>
        </s:is>
      </s:c>
      <s:c r="G128" s="217" t="inlineStr">
        <s:is>
          <s:t>QA25418890</s:t>
        </s:is>
      </s:c>
      <s:c r="H128" s="218" t="n">
        <s:v>16</s:v>
      </s:c>
      <s:c r="I128" s="219" t="n">
        <s:v>0</s:v>
      </s:c>
      <s:c r="J128" s="220" t="n">
        <s:v>19</s:v>
      </s:c>
      <s:c r="K128" s="221" t="n">
        <s:v>7.513</s:v>
      </s:c>
      <s:c r="L128" s="221" t="n">
        <s:v>1.291</s:v>
      </s:c>
      <s:c r="M128" s="222" t="n">
        <s:v>365.77</s:v>
      </s:c>
      <s:c r="N128" s="222" t="n">
        <s:v>466.29</s:v>
      </s:c>
      <s:c r="O128" s="222" t="n">
        <s:v>100.38</s:v>
      </s:c>
      <s:c r="P128" s="223" t="inlineStr">
        <s:is>
          <s:t>2,31,150</s:t>
        </s:is>
      </s:c>
      <s:c r="Q128" s="224" t="inlineStr">
        <s:is>
          <s:t>2</s:t>
        </s:is>
      </s:c>
      <s:c r="R128" s="224" t="inlineStr">
        <s:is>
          <s:t>31,150</s:t>
        </s:is>
      </s:c>
      <s:c r="S128" s="224" t="n">
        <s:v>0.04198611111111111</s:v>
      </s:c>
      <s:c r="T128" s="225" t="n">
        <s:v>2390.790605358915</s:v>
      </s:c>
      <s:c r="U128" s="226" t="n">
        <s:v>0.1394700139470444</s:v>
      </s:c>
      <s:c r="V128" s="220" t="n">
        <s:v>19</s:v>
      </s:c>
      <s:c r="W128" s="221" t="n">
        <s:v>1.094</s:v>
      </s:c>
      <s:c r="X128" s="221" t="n">
        <s:v>1.083</s:v>
      </s:c>
      <s:c r="Y128" s="222" t="n">
        <s:v>478.61</s:v>
      </s:c>
      <s:c r="Z128" s="222" t="n">
        <s:v>483.79</s:v>
      </s:c>
      <s:c r="AA128" s="227" t="n">
        <s:v>5.141</s:v>
      </s:c>
      <s:c r="AB128" s="228" t="inlineStr">
        <s:is>
          <s:t>11,36,520</s:t>
        </s:is>
      </s:c>
      <s:c r="AC128" s="224" t="inlineStr">
        <s:is>
          <s:t>11</s:t>
        </s:is>
      </s:c>
      <s:c r="AD128" s="224" t="inlineStr">
        <s:is>
          <s:t>36,520</s:t>
        </s:is>
      </s:c>
      <s:c r="AE128" s="224" t="n">
        <s:v>0.1934777777777778</s:v>
      </s:c>
      <s:c r="AF128" s="225" t="n">
        <s:v>26.5715270200425</s:v>
      </s:c>
      <s:c r="AG128" s="229" t="n">
        <s:v>0.7586072748493835</s:v>
      </s:c>
      <s:c r="AH128" s="220" t="n">
        <s:v>19</s:v>
      </s:c>
      <s:c r="AI128" s="221" t="n">
        <s:v>1.092</s:v>
      </s:c>
      <s:c r="AJ128" s="221" t="n">
        <s:v>1.078</s:v>
      </s:c>
      <s:c r="AK128" s="222" t="n">
        <s:v>483.79</s:v>
      </s:c>
      <s:c r="AL128" s="222" t="n">
        <s:v>485.79</s:v>
      </s:c>
      <s:c r="AM128" s="230" t="n">
        <s:v>2.005</s:v>
      </s:c>
      <s:c r="AN128" s="223" t="inlineStr">
        <s:is>
          <s:t>7,22,780</s:t>
        </s:is>
      </s:c>
      <s:c r="AO128" s="224" t="inlineStr">
        <s:is>
          <s:t>7,</s:t>
        </s:is>
      </s:c>
      <s:c r="AP128" s="224" t="inlineStr">
        <s:is>
          <s:t>22,780</s:t>
        </s:is>
      </s:c>
      <s:c r="AQ128" s="224" t="n">
        <s:v>0.1229944444444444</s:v>
      </s:c>
      <s:c r="AR128" s="225" t="n">
        <s:v>16.3015493021365</s:v>
      </s:c>
      <s:c r="AS128" s="229" t="n">
        <s:v>-0.249376558603486</s:v>
      </s:c>
      <s:c r="AT128" s="231" t="inlineStr">
        <s:is>
          <s:t>CONFORME</s:t>
        </s:is>
      </s:c>
      <s:c r="AU128" s="232">
        <s:f>B128=C128</s:f>
        <s:v/>
      </s:c>
      <s:c r="AV128" s="233">
        <s:f>MID(G128,1,2)</s:f>
        <s:v/>
      </s:c>
      <s:c r="AW128" s="233">
        <s:f>LEN(G128)</s:f>
        <s:v/>
      </s:c>
      <s:c r="AX128" s="233" t="inlineStr">
        <s:is>
          <s:t>OI-0923-2025</s:t>
        </s:is>
      </s:c>
      <s:c r="AY128" s="233">
        <s:f>N128&lt;Y128</s:f>
        <s:v/>
      </s:c>
      <s:c r="AZ128" s="233">
        <s:f>Z128&lt;=AK128</s:f>
        <s:v/>
      </s:c>
      <s:c r="BA128" s="233">
        <s:f>L128&lt;K128</s:f>
        <s:v/>
      </s:c>
      <s:c r="BB128" s="233">
        <s:f>W128&gt;=X128</s:f>
        <s:v/>
      </s:c>
      <s:c r="BC128" s="233">
        <s:f>AI128&gt;=AJ128</s:f>
        <s:v/>
      </s:c>
      <s:c r="BD128" s="233">
        <s:f>IF(I128&gt;=1,"Qcorrecto",IF(AND(BE128="aceptable",BF128="aceptable",BG128="aceptable"),"Qcorrecto","Qincorrecto"))</s:f>
        <s:v/>
      </s:c>
      <s:c r="BE128" s="232">
        <s:f>IF(AR128&lt;$AH$6,"error",IF(AR128&gt;$AH$6*1.1,"error","aceptable"))</s:f>
        <s:v/>
      </s:c>
      <s:c r="BF128" s="232">
        <s:f>IF(AF128&lt;$V$6,"error",IF(AF128&gt;$V$6*1.1,"error","aceptable"))</s:f>
        <s:v/>
      </s:c>
      <s:c r="BG128" s="232">
        <s:f>IF(T128&lt;$J$6*0.9,"error",IF(T128&gt;$J$6,"error","aceptable"))</s:f>
        <s:v/>
      </s:c>
      <s:c r="BH128" s="234">
        <s:f>(IF(ABS(U128)&lt;1,"CONFORME",IF(ABS(AG128)&lt;1,"CONFORME",IF(ABS(AS128)&lt;2.5,"CONFORME","NO CONFORME"))))</s:f>
        <s:v/>
      </s:c>
      <s:c r="BI128" s="235">
        <s:f>(IF(ABS(U128)&gt;2.044,"NO CONFORME",IF(ABS(AG128)&gt;2.044,"NO CONFORME",IF(ABS(AS128)&gt;5.044,"NO CONFORME","CONFORME"))))</s:f>
        <s:v/>
      </s:c>
      <s:c r="BJ128" s="233">
        <s:f>SIGN(U128)</s:f>
        <s:v/>
      </s:c>
      <s:c r="BK128" s="233">
        <s:f>SIGN(AG128)</s:f>
        <s:v/>
      </s:c>
      <s:c r="BL128" s="233">
        <s:f>SIGN(AS128)</s:f>
        <s:v/>
      </s:c>
      <s:c r="BM128" s="233">
        <s:f>CONCATENATE(BJ128,BK128,BL128)</s:f>
        <s:v/>
      </s:c>
      <s:c r="BN128" s="233">
        <s:f>IF(BM128="111","SI","SD")</s:f>
        <s:v/>
      </s:c>
      <s:c r="BO128" s="233">
        <s:f>IF(BM128="-1-1-1","SI","SD")</s:f>
        <s:v/>
      </s:c>
      <s:c r="BP128" s="233">
        <s:f>OR(BN128="SI",BO128="SI")</s:f>
        <s:v/>
      </s:c>
      <s:c r="BQ128" s="233">
        <s:f>IF(BP128=FALSE,"SIGDIFERENTES","SIGIGUALES")</s:f>
        <s:v/>
      </s:c>
      <s:c r="BR128" s="236">
        <s:f>IF(BI128="NO CONFORME","NO CONFORME",IF(BH128="CONFORME","CONFORME","NO CONFORME"))</s:f>
        <s:v/>
      </s:c>
      <s:c r="BS128" s="233">
        <s:f>F128</s:f>
        <s:v/>
      </s:c>
      <s:c r="BT128" s="237">
        <s:f>G128</s:f>
        <s:v/>
      </s:c>
      <s:c r="BU128" s="233">
        <s:f>"20"&amp;+MID(G128,3,2)</s:f>
        <s:v/>
      </s:c>
      <s:c r="BV128" s="238">
        <s:f>C128</s:f>
        <s:v/>
      </s:c>
      <s:c r="BW128" s="233">
        <s:f>AT128</s:f>
        <s:v/>
      </s:c>
      <s:c r="BX128" s="238">
        <s:f>B128</s:f>
        <s:v/>
      </s:c>
      <s:c r="BY128" s="239">
        <s:f>H128</s:f>
        <s:v/>
      </s:c>
      <s:c r="BZ128" s="233">
        <s:f>IF(I128=0,"CONFORME","NO CONFORME")</s:f>
        <s:v/>
      </s:c>
      <s:c r="CA128" s="238">
        <s:f>C128</s:f>
        <s:v/>
      </s:c>
      <s:c r="CB128" s="240">
        <s:f>AH128</s:f>
        <s:v/>
      </s:c>
      <s:c r="CC128" s="241">
        <s:f>AR128</s:f>
        <s:v/>
      </s:c>
      <s:c r="CD128" s="240">
        <s:f>AI128</s:f>
        <s:v/>
      </s:c>
      <s:c r="CE128" s="240">
        <s:f>AJ128</s:f>
        <s:v/>
      </s:c>
      <s:c r="CF128" s="240">
        <s:f>AS128</s:f>
        <s:v/>
      </s:c>
      <s:c r="CG128" s="240">
        <s:f>V128</s:f>
        <s:v/>
      </s:c>
      <s:c r="CH128" s="241">
        <s:f>AF128</s:f>
        <s:v/>
      </s:c>
      <s:c r="CI128" s="240">
        <s:f>W128</s:f>
        <s:v/>
      </s:c>
      <s:c r="CJ128" s="240">
        <s:f>X128</s:f>
        <s:v/>
      </s:c>
      <s:c r="CK128" s="240">
        <s:f>AG128</s:f>
        <s:v/>
      </s:c>
      <s:c r="CL128" s="240">
        <s:f>J128</s:f>
        <s:v/>
      </s:c>
      <s:c r="CM128" s="241">
        <s:f>T128</s:f>
        <s:v/>
      </s:c>
      <s:c r="CN128" s="240">
        <s:f>K128</s:f>
        <s:v/>
      </s:c>
      <s:c r="CO128" s="240">
        <s:f>L128</s:f>
        <s:v/>
      </s:c>
      <s:c r="CP128" s="242">
        <s:f>U128</s:f>
        <s:v/>
      </s:c>
      <s:c r="CQ128" s="233">
        <s:f>AT128</s:f>
        <s:v/>
      </s:c>
    </s:row>
    <s:row r="129">
      <s:c r="A129" s="211" t="n">
        <s:v>29</s:v>
      </s:c>
      <s:c r="B129" s="212" t="n">
        <s:v>45901</s:v>
      </s:c>
      <s:c r="C129" s="213" t="n">
        <s:v>45901</s:v>
      </s:c>
      <s:c r="D129" s="214" t="n">
        <s:v>3</s:v>
      </s:c>
      <s:c r="E129" s="215" t="n">
        <s:v>13</s:v>
      </s:c>
      <s:c r="F129" s="216" t="inlineStr">
        <s:is>
          <s:t>VI-236604-2025</s:t>
        </s:is>
      </s:c>
      <s:c r="G129" s="217" t="inlineStr">
        <s:is>
          <s:t>QA25418601</s:t>
        </s:is>
      </s:c>
      <s:c r="H129" s="218" t="n">
        <s:v>16</s:v>
      </s:c>
      <s:c r="I129" s="219" t="n">
        <s:v>0</s:v>
      </s:c>
      <s:c r="J129" s="220" t="n">
        <s:v>19</s:v>
      </s:c>
      <s:c r="K129" s="221" t="n">
        <s:v>7.513</s:v>
      </s:c>
      <s:c r="L129" s="221" t="n">
        <s:v>1.291</s:v>
      </s:c>
      <s:c r="M129" s="222" t="n">
        <s:v>388.94</s:v>
      </s:c>
      <s:c r="N129" s="222" t="n">
        <s:v>488.35</s:v>
      </s:c>
      <s:c r="O129" s="222" t="n">
        <s:v>100.38</s:v>
      </s:c>
      <s:c r="P129" s="223" t="inlineStr">
        <s:is>
          <s:t>2,31,150</s:t>
        </s:is>
      </s:c>
      <s:c r="Q129" s="224" t="inlineStr">
        <s:is>
          <s:t>2</s:t>
        </s:is>
      </s:c>
      <s:c r="R129" s="224" t="inlineStr">
        <s:is>
          <s:t>31,150</s:t>
        </s:is>
      </s:c>
      <s:c r="S129" s="224" t="n">
        <s:v>0.04198611111111111</s:v>
      </s:c>
      <s:c r="T129" s="225" t="n">
        <s:v>2390.790605358915</s:v>
      </s:c>
      <s:c r="U129" s="226" t="n">
        <s:v>-0.9663279537756231</s:v>
      </s:c>
      <s:c r="V129" s="220" t="n">
        <s:v>19</s:v>
      </s:c>
      <s:c r="W129" s="221" t="n">
        <s:v>1.094</s:v>
      </s:c>
      <s:c r="X129" s="221" t="n">
        <s:v>1.083</s:v>
      </s:c>
      <s:c r="Y129" s="222" t="n">
        <s:v>500.43</s:v>
      </s:c>
      <s:c r="Z129" s="222" t="n">
        <s:v>505.57</s:v>
      </s:c>
      <s:c r="AA129" s="227" t="n">
        <s:v>5.141</s:v>
      </s:c>
      <s:c r="AB129" s="228" t="inlineStr">
        <s:is>
          <s:t>11,36,520</s:t>
        </s:is>
      </s:c>
      <s:c r="AC129" s="224" t="inlineStr">
        <s:is>
          <s:t>11</s:t>
        </s:is>
      </s:c>
      <s:c r="AD129" s="224" t="inlineStr">
        <s:is>
          <s:t>36,520</s:t>
        </s:is>
      </s:c>
      <s:c r="AE129" s="224" t="n">
        <s:v>0.1934777777777778</s:v>
      </s:c>
      <s:c r="AF129" s="225" t="n">
        <s:v>26.5715270200425</s:v>
      </s:c>
      <s:c r="AG129" s="229" t="n">
        <s:v>-0.01945146858614388</s:v>
      </s:c>
      <s:c r="AH129" s="220" t="n">
        <s:v>19</s:v>
      </s:c>
      <s:c r="AI129" s="221" t="n">
        <s:v>1.092</s:v>
      </s:c>
      <s:c r="AJ129" s="221" t="n">
        <s:v>1.078</s:v>
      </s:c>
      <s:c r="AK129" s="222" t="n">
        <s:v>505.57</s:v>
      </s:c>
      <s:c r="AL129" s="222" t="n">
        <s:v>507.56</s:v>
      </s:c>
      <s:c r="AM129" s="230" t="n">
        <s:v>2.005</s:v>
      </s:c>
      <s:c r="AN129" s="223" t="inlineStr">
        <s:is>
          <s:t>7,22,780</s:t>
        </s:is>
      </s:c>
      <s:c r="AO129" s="224" t="inlineStr">
        <s:is>
          <s:t>7,</s:t>
        </s:is>
      </s:c>
      <s:c r="AP129" s="224" t="inlineStr">
        <s:is>
          <s:t>22,780</s:t>
        </s:is>
      </s:c>
      <s:c r="AQ129" s="224" t="n">
        <s:v>0.1229944444444444</s:v>
      </s:c>
      <s:c r="AR129" s="225" t="n">
        <s:v>16.3015493021365</s:v>
      </s:c>
      <s:c r="AS129" s="229" t="n">
        <s:v>-0.748129675810015</s:v>
      </s:c>
      <s:c r="AT129" s="231" t="inlineStr">
        <s:is>
          <s:t>CONFORME</s:t>
        </s:is>
      </s:c>
      <s:c r="AU129" s="232">
        <s:f>B129=C129</s:f>
        <s:v/>
      </s:c>
      <s:c r="AV129" s="233">
        <s:f>MID(G129,1,2)</s:f>
        <s:v/>
      </s:c>
      <s:c r="AW129" s="233">
        <s:f>LEN(G129)</s:f>
        <s:v/>
      </s:c>
      <s:c r="AX129" s="233" t="inlineStr">
        <s:is>
          <s:t>OI-0923-2025</s:t>
        </s:is>
      </s:c>
      <s:c r="AY129" s="233">
        <s:f>N129&lt;Y129</s:f>
        <s:v/>
      </s:c>
      <s:c r="AZ129" s="233">
        <s:f>Z129&lt;=AK129</s:f>
        <s:v/>
      </s:c>
      <s:c r="BA129" s="233">
        <s:f>L129&lt;K129</s:f>
        <s:v/>
      </s:c>
      <s:c r="BB129" s="233">
        <s:f>W129&gt;=X129</s:f>
        <s:v/>
      </s:c>
      <s:c r="BC129" s="233">
        <s:f>AI129&gt;=AJ129</s:f>
        <s:v/>
      </s:c>
      <s:c r="BD129" s="233">
        <s:f>IF(I129&gt;=1,"Qcorrecto",IF(AND(BE129="aceptable",BF129="aceptable",BG129="aceptable"),"Qcorrecto","Qincorrecto"))</s:f>
        <s:v/>
      </s:c>
      <s:c r="BE129" s="232">
        <s:f>IF(AR129&lt;$AH$6,"error",IF(AR129&gt;$AH$6*1.1,"error","aceptable"))</s:f>
        <s:v/>
      </s:c>
      <s:c r="BF129" s="232">
        <s:f>IF(AF129&lt;$V$6,"error",IF(AF129&gt;$V$6*1.1,"error","aceptable"))</s:f>
        <s:v/>
      </s:c>
      <s:c r="BG129" s="232">
        <s:f>IF(T129&lt;$J$6*0.9,"error",IF(T129&gt;$J$6,"error","aceptable"))</s:f>
        <s:v/>
      </s:c>
      <s:c r="BH129" s="234">
        <s:f>(IF(ABS(U129)&lt;1,"CONFORME",IF(ABS(AG129)&lt;1,"CONFORME",IF(ABS(AS129)&lt;2.5,"CONFORME","NO CONFORME"))))</s:f>
        <s:v/>
      </s:c>
      <s:c r="BI129" s="235">
        <s:f>(IF(ABS(U129)&gt;2.044,"NO CONFORME",IF(ABS(AG129)&gt;2.044,"NO CONFORME",IF(ABS(AS129)&gt;5.044,"NO CONFORME","CONFORME"))))</s:f>
        <s:v/>
      </s:c>
      <s:c r="BJ129" s="233">
        <s:f>SIGN(U129)</s:f>
        <s:v/>
      </s:c>
      <s:c r="BK129" s="233">
        <s:f>SIGN(AG129)</s:f>
        <s:v/>
      </s:c>
      <s:c r="BL129" s="233">
        <s:f>SIGN(AS129)</s:f>
        <s:v/>
      </s:c>
      <s:c r="BM129" s="233">
        <s:f>CONCATENATE(BJ129,BK129,BL129)</s:f>
        <s:v/>
      </s:c>
      <s:c r="BN129" s="233">
        <s:f>IF(BM129="111","SI","SD")</s:f>
        <s:v/>
      </s:c>
      <s:c r="BO129" s="233">
        <s:f>IF(BM129="-1-1-1","SI","SD")</s:f>
        <s:v/>
      </s:c>
      <s:c r="BP129" s="233">
        <s:f>OR(BN129="SI",BO129="SI")</s:f>
        <s:v/>
      </s:c>
      <s:c r="BQ129" s="233">
        <s:f>IF(BP129=FALSE,"SIGDIFERENTES","SIGIGUALES")</s:f>
        <s:v/>
      </s:c>
      <s:c r="BR129" s="236">
        <s:f>IF(BI129="NO CONFORME","NO CONFORME",IF(BH129="CONFORME","CONFORME","NO CONFORME"))</s:f>
        <s:v/>
      </s:c>
      <s:c r="BS129" s="233">
        <s:f>F129</s:f>
        <s:v/>
      </s:c>
      <s:c r="BT129" s="237">
        <s:f>G129</s:f>
        <s:v/>
      </s:c>
      <s:c r="BU129" s="233">
        <s:f>"20"&amp;+MID(G129,3,2)</s:f>
        <s:v/>
      </s:c>
      <s:c r="BV129" s="238">
        <s:f>C129</s:f>
        <s:v/>
      </s:c>
      <s:c r="BW129" s="233">
        <s:f>AT129</s:f>
        <s:v/>
      </s:c>
      <s:c r="BX129" s="238">
        <s:f>B129</s:f>
        <s:v/>
      </s:c>
      <s:c r="BY129" s="239">
        <s:f>H129</s:f>
        <s:v/>
      </s:c>
      <s:c r="BZ129" s="233">
        <s:f>IF(I129=0,"CONFORME","NO CONFORME")</s:f>
        <s:v/>
      </s:c>
      <s:c r="CA129" s="238">
        <s:f>C129</s:f>
        <s:v/>
      </s:c>
      <s:c r="CB129" s="240">
        <s:f>AH129</s:f>
        <s:v/>
      </s:c>
      <s:c r="CC129" s="241">
        <s:f>AR129</s:f>
        <s:v/>
      </s:c>
      <s:c r="CD129" s="240">
        <s:f>AI129</s:f>
        <s:v/>
      </s:c>
      <s:c r="CE129" s="240">
        <s:f>AJ129</s:f>
        <s:v/>
      </s:c>
      <s:c r="CF129" s="240">
        <s:f>AS129</s:f>
        <s:v/>
      </s:c>
      <s:c r="CG129" s="240">
        <s:f>V129</s:f>
        <s:v/>
      </s:c>
      <s:c r="CH129" s="241">
        <s:f>AF129</s:f>
        <s:v/>
      </s:c>
      <s:c r="CI129" s="240">
        <s:f>W129</s:f>
        <s:v/>
      </s:c>
      <s:c r="CJ129" s="240">
        <s:f>X129</s:f>
        <s:v/>
      </s:c>
      <s:c r="CK129" s="240">
        <s:f>AG129</s:f>
        <s:v/>
      </s:c>
      <s:c r="CL129" s="240">
        <s:f>J129</s:f>
        <s:v/>
      </s:c>
      <s:c r="CM129" s="241">
        <s:f>T129</s:f>
        <s:v/>
      </s:c>
      <s:c r="CN129" s="240">
        <s:f>K129</s:f>
        <s:v/>
      </s:c>
      <s:c r="CO129" s="240">
        <s:f>L129</s:f>
        <s:v/>
      </s:c>
      <s:c r="CP129" s="242">
        <s:f>U129</s:f>
        <s:v/>
      </s:c>
      <s:c r="CQ129" s="233">
        <s:f>AT129</s:f>
        <s:v/>
      </s:c>
    </s:row>
    <s:row r="130">
      <s:c r="A130" s="211" t="n">
        <s:v>30</s:v>
      </s:c>
      <s:c r="B130" s="212" t="n">
        <s:v>45901</s:v>
      </s:c>
      <s:c r="C130" s="213" t="n">
        <s:v>45901</s:v>
      </s:c>
      <s:c r="D130" s="214" t="n">
        <s:v>3</s:v>
      </s:c>
      <s:c r="E130" s="215" t="n">
        <s:v>13</s:v>
      </s:c>
      <s:c r="F130" s="216" t="inlineStr">
        <s:is>
          <s:t>VI-236605-2025</s:t>
        </s:is>
      </s:c>
      <s:c r="G130" s="217" t="inlineStr">
        <s:is>
          <s:t>QA25418860</s:t>
        </s:is>
      </s:c>
      <s:c r="H130" s="218" t="n">
        <s:v>16</s:v>
      </s:c>
      <s:c r="I130" s="219" t="n">
        <s:v>0</s:v>
      </s:c>
      <s:c r="J130" s="220" t="n">
        <s:v>19</s:v>
      </s:c>
      <s:c r="K130" s="221" t="n">
        <s:v>7.513</s:v>
      </s:c>
      <s:c r="L130" s="221" t="n">
        <s:v>1.291</s:v>
      </s:c>
      <s:c r="M130" s="222" t="n">
        <s:v>373.77</s:v>
      </s:c>
      <s:c r="N130" s="222" t="n">
        <s:v>474.86</s:v>
      </s:c>
      <s:c r="O130" s="222" t="n">
        <s:v>100.38</s:v>
      </s:c>
      <s:c r="P130" s="223" t="inlineStr">
        <s:is>
          <s:t>2,31,150</s:t>
        </s:is>
      </s:c>
      <s:c r="Q130" s="224" t="inlineStr">
        <s:is>
          <s:t>2</s:t>
        </s:is>
      </s:c>
      <s:c r="R130" s="224" t="inlineStr">
        <s:is>
          <s:t>31,150</s:t>
        </s:is>
      </s:c>
      <s:c r="S130" s="224" t="n">
        <s:v>0.04198611111111111</s:v>
      </s:c>
      <s:c r="T130" s="225" t="n">
        <s:v>2390.790605358915</s:v>
      </s:c>
      <s:c r="U130" s="226" t="n">
        <s:v>0.7073122135884005</s:v>
      </s:c>
      <s:c r="V130" s="220" t="n">
        <s:v>19</s:v>
      </s:c>
      <s:c r="W130" s="221" t="n">
        <s:v>1.094</s:v>
      </s:c>
      <s:c r="X130" s="221" t="n">
        <s:v>1.083</s:v>
      </s:c>
      <s:c r="Y130" s="222" t="n">
        <s:v>487.26</s:v>
      </s:c>
      <s:c r="Z130" s="222" t="n">
        <s:v>492.46</s:v>
      </s:c>
      <s:c r="AA130" s="227" t="n">
        <s:v>5.141</s:v>
      </s:c>
      <s:c r="AB130" s="228" t="inlineStr">
        <s:is>
          <s:t>11,36,520</s:t>
        </s:is>
      </s:c>
      <s:c r="AC130" s="224" t="inlineStr">
        <s:is>
          <s:t>11</s:t>
        </s:is>
      </s:c>
      <s:c r="AD130" s="224" t="inlineStr">
        <s:is>
          <s:t>36,520</s:t>
        </s:is>
      </s:c>
      <s:c r="AE130" s="224" t="n">
        <s:v>0.1934777777777778</s:v>
      </s:c>
      <s:c r="AF130" s="225" t="n">
        <s:v>26.5715270200425</s:v>
      </s:c>
      <s:c r="AG130" s="229" t="n">
        <s:v>1.147636646566594</s:v>
      </s:c>
      <s:c r="AH130" s="220" t="n">
        <s:v>19</s:v>
      </s:c>
      <s:c r="AI130" s="221" t="n">
        <s:v>1.092</s:v>
      </s:c>
      <s:c r="AJ130" s="221" t="n">
        <s:v>1.078</s:v>
      </s:c>
      <s:c r="AK130" s="222" t="n">
        <s:v>492.46</s:v>
      </s:c>
      <s:c r="AL130" s="222" t="n">
        <s:v>494.46</s:v>
      </s:c>
      <s:c r="AM130" s="230" t="n">
        <s:v>2.005</s:v>
      </s:c>
      <s:c r="AN130" s="223" t="inlineStr">
        <s:is>
          <s:t>7,22,780</s:t>
        </s:is>
      </s:c>
      <s:c r="AO130" s="224" t="inlineStr">
        <s:is>
          <s:t>7,</s:t>
        </s:is>
      </s:c>
      <s:c r="AP130" s="224" t="inlineStr">
        <s:is>
          <s:t>22,780</s:t>
        </s:is>
      </s:c>
      <s:c r="AQ130" s="224" t="n">
        <s:v>0.1229944444444444</s:v>
      </s:c>
      <s:c r="AR130" s="225" t="n">
        <s:v>16.3015493021365</s:v>
      </s:c>
      <s:c r="AS130" s="229" t="n">
        <s:v>-0.249376558603486</s:v>
      </s:c>
      <s:c r="AT130" s="231" t="inlineStr">
        <s:is>
          <s:t>CONFORME</s:t>
        </s:is>
      </s:c>
      <s:c r="AU130" s="232">
        <s:f>B130=C130</s:f>
        <s:v/>
      </s:c>
      <s:c r="AV130" s="233">
        <s:f>MID(G130,1,2)</s:f>
        <s:v/>
      </s:c>
      <s:c r="AW130" s="233">
        <s:f>LEN(G130)</s:f>
        <s:v/>
      </s:c>
      <s:c r="AX130" s="233" t="inlineStr">
        <s:is>
          <s:t>OI-0923-2025</s:t>
        </s:is>
      </s:c>
      <s:c r="AY130" s="233">
        <s:f>N130&lt;Y130</s:f>
        <s:v/>
      </s:c>
      <s:c r="AZ130" s="233">
        <s:f>Z130&lt;=AK130</s:f>
        <s:v/>
      </s:c>
      <s:c r="BA130" s="233">
        <s:f>L130&lt;K130</s:f>
        <s:v/>
      </s:c>
      <s:c r="BB130" s="233">
        <s:f>W130&gt;=X130</s:f>
        <s:v/>
      </s:c>
      <s:c r="BC130" s="233">
        <s:f>AI130&gt;=AJ130</s:f>
        <s:v/>
      </s:c>
      <s:c r="BD130" s="233">
        <s:f>IF(I130&gt;=1,"Qcorrecto",IF(AND(BE130="aceptable",BF130="aceptable",BG130="aceptable"),"Qcorrecto","Qincorrecto"))</s:f>
        <s:v/>
      </s:c>
      <s:c r="BE130" s="232">
        <s:f>IF(AR130&lt;$AH$6,"error",IF(AR130&gt;$AH$6*1.1,"error","aceptable"))</s:f>
        <s:v/>
      </s:c>
      <s:c r="BF130" s="232">
        <s:f>IF(AF130&lt;$V$6,"error",IF(AF130&gt;$V$6*1.1,"error","aceptable"))</s:f>
        <s:v/>
      </s:c>
      <s:c r="BG130" s="232">
        <s:f>IF(T130&lt;$J$6*0.9,"error",IF(T130&gt;$J$6,"error","aceptable"))</s:f>
        <s:v/>
      </s:c>
      <s:c r="BH130" s="234">
        <s:f>(IF(ABS(U130)&lt;1,"CONFORME",IF(ABS(AG130)&lt;1,"CONFORME",IF(ABS(AS130)&lt;2.5,"CONFORME","NO CONFORME"))))</s:f>
        <s:v/>
      </s:c>
      <s:c r="BI130" s="235">
        <s:f>(IF(ABS(U130)&gt;2.044,"NO CONFORME",IF(ABS(AG130)&gt;2.044,"NO CONFORME",IF(ABS(AS130)&gt;5.044,"NO CONFORME","CONFORME"))))</s:f>
        <s:v/>
      </s:c>
      <s:c r="BJ130" s="233">
        <s:f>SIGN(U130)</s:f>
        <s:v/>
      </s:c>
      <s:c r="BK130" s="233">
        <s:f>SIGN(AG130)</s:f>
        <s:v/>
      </s:c>
      <s:c r="BL130" s="233">
        <s:f>SIGN(AS130)</s:f>
        <s:v/>
      </s:c>
      <s:c r="BM130" s="233">
        <s:f>CONCATENATE(BJ130,BK130,BL130)</s:f>
        <s:v/>
      </s:c>
      <s:c r="BN130" s="233">
        <s:f>IF(BM130="111","SI","SD")</s:f>
        <s:v/>
      </s:c>
      <s:c r="BO130" s="233">
        <s:f>IF(BM130="-1-1-1","SI","SD")</s:f>
        <s:v/>
      </s:c>
      <s:c r="BP130" s="233">
        <s:f>OR(BN130="SI",BO130="SI")</s:f>
        <s:v/>
      </s:c>
      <s:c r="BQ130" s="233">
        <s:f>IF(BP130=FALSE,"SIGDIFERENTES","SIGIGUALES")</s:f>
        <s:v/>
      </s:c>
      <s:c r="BR130" s="236">
        <s:f>IF(BI130="NO CONFORME","NO CONFORME",IF(BH130="CONFORME","CONFORME","NO CONFORME"))</s:f>
        <s:v/>
      </s:c>
      <s:c r="BS130" s="233">
        <s:f>F130</s:f>
        <s:v/>
      </s:c>
      <s:c r="BT130" s="237">
        <s:f>G130</s:f>
        <s:v/>
      </s:c>
      <s:c r="BU130" s="233">
        <s:f>"20"&amp;+MID(G130,3,2)</s:f>
        <s:v/>
      </s:c>
      <s:c r="BV130" s="238">
        <s:f>C130</s:f>
        <s:v/>
      </s:c>
      <s:c r="BW130" s="233">
        <s:f>AT130</s:f>
        <s:v/>
      </s:c>
      <s:c r="BX130" s="238">
        <s:f>B130</s:f>
        <s:v/>
      </s:c>
      <s:c r="BY130" s="239">
        <s:f>H130</s:f>
        <s:v/>
      </s:c>
      <s:c r="BZ130" s="233">
        <s:f>IF(I130=0,"CONFORME","NO CONFORME")</s:f>
        <s:v/>
      </s:c>
      <s:c r="CA130" s="238">
        <s:f>C130</s:f>
        <s:v/>
      </s:c>
      <s:c r="CB130" s="240">
        <s:f>AH130</s:f>
        <s:v/>
      </s:c>
      <s:c r="CC130" s="241">
        <s:f>AR130</s:f>
        <s:v/>
      </s:c>
      <s:c r="CD130" s="240">
        <s:f>AI130</s:f>
        <s:v/>
      </s:c>
      <s:c r="CE130" s="240">
        <s:f>AJ130</s:f>
        <s:v/>
      </s:c>
      <s:c r="CF130" s="240">
        <s:f>AS130</s:f>
        <s:v/>
      </s:c>
      <s:c r="CG130" s="240">
        <s:f>V130</s:f>
        <s:v/>
      </s:c>
      <s:c r="CH130" s="241">
        <s:f>AF130</s:f>
        <s:v/>
      </s:c>
      <s:c r="CI130" s="240">
        <s:f>W130</s:f>
        <s:v/>
      </s:c>
      <s:c r="CJ130" s="240">
        <s:f>X130</s:f>
        <s:v/>
      </s:c>
      <s:c r="CK130" s="240">
        <s:f>AG130</s:f>
        <s:v/>
      </s:c>
      <s:c r="CL130" s="240">
        <s:f>J130</s:f>
        <s:v/>
      </s:c>
      <s:c r="CM130" s="241">
        <s:f>T130</s:f>
        <s:v/>
      </s:c>
      <s:c r="CN130" s="240">
        <s:f>K130</s:f>
        <s:v/>
      </s:c>
      <s:c r="CO130" s="240">
        <s:f>L130</s:f>
        <s:v/>
      </s:c>
      <s:c r="CP130" s="242">
        <s:f>U130</s:f>
        <s:v/>
      </s:c>
      <s:c r="CQ130" s="233">
        <s:f>AT130</s:f>
        <s:v/>
      </s:c>
    </s:row>
    <s:row r="131">
      <s:c r="A131" s="211" t="n">
        <s:v>31</s:v>
      </s:c>
      <s:c r="B131" s="212" t="n">
        <s:v>45901</s:v>
      </s:c>
      <s:c r="C131" s="213" t="n">
        <s:v>45901</s:v>
      </s:c>
      <s:c r="D131" s="214" t="n">
        <s:v>3</s:v>
      </s:c>
      <s:c r="E131" s="215" t="n">
        <s:v>13</s:v>
      </s:c>
      <s:c r="F131" s="216" t="inlineStr">
        <s:is>
          <s:t>VI-236606-2025</s:t>
        </s:is>
      </s:c>
      <s:c r="G131" s="217" t="inlineStr">
        <s:is>
          <s:t>QA25418789</s:t>
        </s:is>
      </s:c>
      <s:c r="H131" s="218" t="n">
        <s:v>16</s:v>
      </s:c>
      <s:c r="I131" s="219" t="n">
        <s:v>0</s:v>
      </s:c>
      <s:c r="J131" s="220" t="n">
        <s:v>19</s:v>
      </s:c>
      <s:c r="K131" s="221" t="n">
        <s:v>7.513</s:v>
      </s:c>
      <s:c r="L131" s="221" t="n">
        <s:v>1.291</s:v>
      </s:c>
      <s:c r="M131" s="222" t="n">
        <s:v>300.11</s:v>
      </s:c>
      <s:c r="N131" s="222" t="n">
        <s:v>399.5</s:v>
      </s:c>
      <s:c r="O131" s="222" t="n">
        <s:v>100.38</s:v>
      </s:c>
      <s:c r="P131" s="223" t="inlineStr">
        <s:is>
          <s:t>2,31,150</s:t>
        </s:is>
      </s:c>
      <s:c r="Q131" s="224" t="inlineStr">
        <s:is>
          <s:t>2</s:t>
        </s:is>
      </s:c>
      <s:c r="R131" s="224" t="inlineStr">
        <s:is>
          <s:t>31,150</s:t>
        </s:is>
      </s:c>
      <s:c r="S131" s="224" t="n">
        <s:v>0.04198611111111111</s:v>
      </s:c>
      <s:c r="T131" s="225" t="n">
        <s:v>2390.790605358915</s:v>
      </s:c>
      <s:c r="U131" s="226" t="n">
        <s:v>-0.9862522414823761</s:v>
      </s:c>
      <s:c r="V131" s="220" t="n">
        <s:v>19</s:v>
      </s:c>
      <s:c r="W131" s="221" t="n">
        <s:v>1.094</s:v>
      </s:c>
      <s:c r="X131" s="221" t="n">
        <s:v>1.083</s:v>
      </s:c>
      <s:c r="Y131" s="222" t="n">
        <s:v>411.62</s:v>
      </s:c>
      <s:c r="Z131" s="222" t="n">
        <s:v>416.71</s:v>
      </s:c>
      <s:c r="AA131" s="227" t="n">
        <s:v>5.141</s:v>
      </s:c>
      <s:c r="AB131" s="228" t="inlineStr">
        <s:is>
          <s:t>11,36,520</s:t>
        </s:is>
      </s:c>
      <s:c r="AC131" s="224" t="inlineStr">
        <s:is>
          <s:t>11</s:t>
        </s:is>
      </s:c>
      <s:c r="AD131" s="224" t="inlineStr">
        <s:is>
          <s:t>36,520</s:t>
        </s:is>
      </s:c>
      <s:c r="AE131" s="224" t="n">
        <s:v>0.1934777777777778</s:v>
      </s:c>
      <s:c r="AF131" s="225" t="n">
        <s:v>26.5715270200425</s:v>
      </s:c>
      <s:c r="AG131" s="229" t="n">
        <s:v>-0.9920248978802768</s:v>
      </s:c>
      <s:c r="AH131" s="220" t="n">
        <s:v>19</s:v>
      </s:c>
      <s:c r="AI131" s="221" t="n">
        <s:v>1.092</s:v>
      </s:c>
      <s:c r="AJ131" s="221" t="n">
        <s:v>1.078</s:v>
      </s:c>
      <s:c r="AK131" s="222" t="n">
        <s:v>416.71</s:v>
      </s:c>
      <s:c r="AL131" s="222" t="n">
        <s:v>418.64</s:v>
      </s:c>
      <s:c r="AM131" s="230" t="n">
        <s:v>2.005</s:v>
      </s:c>
      <s:c r="AN131" s="223" t="inlineStr">
        <s:is>
          <s:t>7,22,780</s:t>
        </s:is>
      </s:c>
      <s:c r="AO131" s="224" t="inlineStr">
        <s:is>
          <s:t>7,</s:t>
        </s:is>
      </s:c>
      <s:c r="AP131" s="224" t="inlineStr">
        <s:is>
          <s:t>22,780</s:t>
        </s:is>
      </s:c>
      <s:c r="AQ131" s="224" t="n">
        <s:v>0.1229944444444444</s:v>
      </s:c>
      <s:c r="AR131" s="225" t="n">
        <s:v>16.3015493021365</s:v>
      </s:c>
      <s:c r="AS131" s="229" t="n">
        <s:v>-3.740648379052024</s:v>
      </s:c>
      <s:c r="AT131" s="231" t="inlineStr">
        <s:is>
          <s:t>CONFORME</s:t>
        </s:is>
      </s:c>
      <s:c r="AU131" s="232">
        <s:f>B131=C131</s:f>
        <s:v/>
      </s:c>
      <s:c r="AV131" s="233">
        <s:f>MID(G131,1,2)</s:f>
        <s:v/>
      </s:c>
      <s:c r="AW131" s="233">
        <s:f>LEN(G131)</s:f>
        <s:v/>
      </s:c>
      <s:c r="AX131" s="233" t="inlineStr">
        <s:is>
          <s:t>OI-0923-2025</s:t>
        </s:is>
      </s:c>
      <s:c r="AY131" s="233">
        <s:f>N131&lt;Y131</s:f>
        <s:v/>
      </s:c>
      <s:c r="AZ131" s="233">
        <s:f>Z131&lt;=AK131</s:f>
        <s:v/>
      </s:c>
      <s:c r="BA131" s="233">
        <s:f>L131&lt;K131</s:f>
        <s:v/>
      </s:c>
      <s:c r="BB131" s="233">
        <s:f>W131&gt;=X131</s:f>
        <s:v/>
      </s:c>
      <s:c r="BC131" s="233">
        <s:f>AI131&gt;=AJ131</s:f>
        <s:v/>
      </s:c>
      <s:c r="BD131" s="233">
        <s:f>IF(I131&gt;=1,"Qcorrecto",IF(AND(BE131="aceptable",BF131="aceptable",BG131="aceptable"),"Qcorrecto","Qincorrecto"))</s:f>
        <s:v/>
      </s:c>
      <s:c r="BE131" s="232">
        <s:f>IF(AR131&lt;$AH$6,"error",IF(AR131&gt;$AH$6*1.1,"error","aceptable"))</s:f>
        <s:v/>
      </s:c>
      <s:c r="BF131" s="232">
        <s:f>IF(AF131&lt;$V$6,"error",IF(AF131&gt;$V$6*1.1,"error","aceptable"))</s:f>
        <s:v/>
      </s:c>
      <s:c r="BG131" s="232">
        <s:f>IF(T131&lt;$J$6*0.9,"error",IF(T131&gt;$J$6,"error","aceptable"))</s:f>
        <s:v/>
      </s:c>
      <s:c r="BH131" s="234">
        <s:f>(IF(ABS(U131)&lt;1,"CONFORME",IF(ABS(AG131)&lt;1,"CONFORME",IF(ABS(AS131)&lt;2.5,"CONFORME","NO CONFORME"))))</s:f>
        <s:v/>
      </s:c>
      <s:c r="BI131" s="235">
        <s:f>(IF(ABS(U131)&gt;2.044,"NO CONFORME",IF(ABS(AG131)&gt;2.044,"NO CONFORME",IF(ABS(AS131)&gt;5.044,"NO CONFORME","CONFORME"))))</s:f>
        <s:v/>
      </s:c>
      <s:c r="BJ131" s="233">
        <s:f>SIGN(U131)</s:f>
        <s:v/>
      </s:c>
      <s:c r="BK131" s="233">
        <s:f>SIGN(AG131)</s:f>
        <s:v/>
      </s:c>
      <s:c r="BL131" s="233">
        <s:f>SIGN(AS131)</s:f>
        <s:v/>
      </s:c>
      <s:c r="BM131" s="233">
        <s:f>CONCATENATE(BJ131,BK131,BL131)</s:f>
        <s:v/>
      </s:c>
      <s:c r="BN131" s="233">
        <s:f>IF(BM131="111","SI","SD")</s:f>
        <s:v/>
      </s:c>
      <s:c r="BO131" s="233">
        <s:f>IF(BM131="-1-1-1","SI","SD")</s:f>
        <s:v/>
      </s:c>
      <s:c r="BP131" s="233">
        <s:f>OR(BN131="SI",BO131="SI")</s:f>
        <s:v/>
      </s:c>
      <s:c r="BQ131" s="233">
        <s:f>IF(BP131=FALSE,"SIGDIFERENTES","SIGIGUALES")</s:f>
        <s:v/>
      </s:c>
      <s:c r="BR131" s="236">
        <s:f>IF(BI131="NO CONFORME","NO CONFORME",IF(BH131="CONFORME","CONFORME","NO CONFORME"))</s:f>
        <s:v/>
      </s:c>
      <s:c r="BS131" s="233">
        <s:f>F131</s:f>
        <s:v/>
      </s:c>
      <s:c r="BT131" s="237">
        <s:f>G131</s:f>
        <s:v/>
      </s:c>
      <s:c r="BU131" s="233">
        <s:f>"20"&amp;+MID(G131,3,2)</s:f>
        <s:v/>
      </s:c>
      <s:c r="BV131" s="238">
        <s:f>C131</s:f>
        <s:v/>
      </s:c>
      <s:c r="BW131" s="233">
        <s:f>AT131</s:f>
        <s:v/>
      </s:c>
      <s:c r="BX131" s="238">
        <s:f>B131</s:f>
        <s:v/>
      </s:c>
      <s:c r="BY131" s="239">
        <s:f>H131</s:f>
        <s:v/>
      </s:c>
      <s:c r="BZ131" s="233">
        <s:f>IF(I131=0,"CONFORME","NO CONFORME")</s:f>
        <s:v/>
      </s:c>
      <s:c r="CA131" s="238">
        <s:f>C131</s:f>
        <s:v/>
      </s:c>
      <s:c r="CB131" s="240">
        <s:f>AH131</s:f>
        <s:v/>
      </s:c>
      <s:c r="CC131" s="241">
        <s:f>AR131</s:f>
        <s:v/>
      </s:c>
      <s:c r="CD131" s="240">
        <s:f>AI131</s:f>
        <s:v/>
      </s:c>
      <s:c r="CE131" s="240">
        <s:f>AJ131</s:f>
        <s:v/>
      </s:c>
      <s:c r="CF131" s="240">
        <s:f>AS131</s:f>
        <s:v/>
      </s:c>
      <s:c r="CG131" s="240">
        <s:f>V131</s:f>
        <s:v/>
      </s:c>
      <s:c r="CH131" s="241">
        <s:f>AF131</s:f>
        <s:v/>
      </s:c>
      <s:c r="CI131" s="240">
        <s:f>W131</s:f>
        <s:v/>
      </s:c>
      <s:c r="CJ131" s="240">
        <s:f>X131</s:f>
        <s:v/>
      </s:c>
      <s:c r="CK131" s="240">
        <s:f>AG131</s:f>
        <s:v/>
      </s:c>
      <s:c r="CL131" s="240">
        <s:f>J131</s:f>
        <s:v/>
      </s:c>
      <s:c r="CM131" s="241">
        <s:f>T131</s:f>
        <s:v/>
      </s:c>
      <s:c r="CN131" s="240">
        <s:f>K131</s:f>
        <s:v/>
      </s:c>
      <s:c r="CO131" s="240">
        <s:f>L131</s:f>
        <s:v/>
      </s:c>
      <s:c r="CP131" s="242">
        <s:f>U131</s:f>
        <s:v/>
      </s:c>
      <s:c r="CQ131" s="233">
        <s:f>AT131</s:f>
        <s:v/>
      </s:c>
    </s:row>
    <s:row r="132">
      <s:c r="A132" s="211" t="n">
        <s:v>32</s:v>
      </s:c>
      <s:c r="B132" s="212" t="n">
        <s:v>45901</s:v>
      </s:c>
      <s:c r="C132" s="213" t="n">
        <s:v>45901</s:v>
      </s:c>
      <s:c r="D132" s="214" t="n">
        <s:v>3</s:v>
      </s:c>
      <s:c r="E132" s="215" t="n">
        <s:v>13</s:v>
      </s:c>
      <s:c r="F132" s="216" t="inlineStr">
        <s:is>
          <s:t>VI-236607-2025</s:t>
        </s:is>
      </s:c>
      <s:c r="G132" s="217" t="inlineStr">
        <s:is>
          <s:t>QA25418849</s:t>
        </s:is>
      </s:c>
      <s:c r="H132" s="218" t="n">
        <s:v>16</s:v>
      </s:c>
      <s:c r="I132" s="219" t="n">
        <s:v>0</s:v>
      </s:c>
      <s:c r="J132" s="220" t="n">
        <s:v>19</s:v>
      </s:c>
      <s:c r="K132" s="221" t="n">
        <s:v>7.513</s:v>
      </s:c>
      <s:c r="L132" s="221" t="n">
        <s:v>1.291</s:v>
      </s:c>
      <s:c r="M132" s="222" t="n">
        <s:v>326.61</s:v>
      </s:c>
      <s:c r="N132" s="222" t="n">
        <s:v>427.25</s:v>
      </s:c>
      <s:c r="O132" s="222" t="n">
        <s:v>100.38</s:v>
      </s:c>
      <s:c r="P132" s="223" t="inlineStr">
        <s:is>
          <s:t>2,31,150</s:t>
        </s:is>
      </s:c>
      <s:c r="Q132" s="224" t="inlineStr">
        <s:is>
          <s:t>2</s:t>
        </s:is>
      </s:c>
      <s:c r="R132" s="224" t="inlineStr">
        <s:is>
          <s:t>31,150</s:t>
        </s:is>
      </s:c>
      <s:c r="S132" s="224" t="n">
        <s:v>0.04198611111111111</s:v>
      </s:c>
      <s:c r="T132" s="225" t="n">
        <s:v>2390.790605358915</s:v>
      </s:c>
      <s:c r="U132" s="226" t="n">
        <s:v>0.2590157401872792</s:v>
      </s:c>
      <s:c r="V132" s="220" t="n">
        <s:v>19</s:v>
      </s:c>
      <s:c r="W132" s="221" t="n">
        <s:v>1.094</s:v>
      </s:c>
      <s:c r="X132" s="221" t="n">
        <s:v>1.083</s:v>
      </s:c>
      <s:c r="Y132" s="222" t="n">
        <s:v>439.57</s:v>
      </s:c>
      <s:c r="Z132" s="222" t="n">
        <s:v>444.73</s:v>
      </s:c>
      <s:c r="AA132" s="227" t="n">
        <s:v>5.141</s:v>
      </s:c>
      <s:c r="AB132" s="228" t="inlineStr">
        <s:is>
          <s:t>11,36,520</s:t>
        </s:is>
      </s:c>
      <s:c r="AC132" s="224" t="inlineStr">
        <s:is>
          <s:t>11</s:t>
        </s:is>
      </s:c>
      <s:c r="AD132" s="224" t="inlineStr">
        <s:is>
          <s:t>36,520</s:t>
        </s:is>
      </s:c>
      <s:c r="AE132" s="224" t="n">
        <s:v>0.1934777777777778</s:v>
      </s:c>
      <s:c r="AF132" s="225" t="n">
        <s:v>26.5715270200425</s:v>
      </s:c>
      <s:c r="AG132" s="229" t="n">
        <s:v>0.3695779031321726</s:v>
      </s:c>
      <s:c r="AH132" s="220" t="n">
        <s:v>19</s:v>
      </s:c>
      <s:c r="AI132" s="221" t="n">
        <s:v>1.092</s:v>
      </s:c>
      <s:c r="AJ132" s="221" t="n">
        <s:v>1.078</s:v>
      </s:c>
      <s:c r="AK132" s="222" t="n">
        <s:v>444.73</s:v>
      </s:c>
      <s:c r="AL132" s="222" t="n">
        <s:v>446.72</s:v>
      </s:c>
      <s:c r="AM132" s="230" t="n">
        <s:v>2.005</s:v>
      </s:c>
      <s:c r="AN132" s="223" t="inlineStr">
        <s:is>
          <s:t>7,22,780</s:t>
        </s:is>
      </s:c>
      <s:c r="AO132" s="224" t="inlineStr">
        <s:is>
          <s:t>7,</s:t>
        </s:is>
      </s:c>
      <s:c r="AP132" s="224" t="inlineStr">
        <s:is>
          <s:t>22,780</s:t>
        </s:is>
      </s:c>
      <s:c r="AQ132" s="224" t="n">
        <s:v>0.1229944444444444</s:v>
      </s:c>
      <s:c r="AR132" s="225" t="n">
        <s:v>16.3015493021365</s:v>
      </s:c>
      <s:c r="AS132" s="229" t="n">
        <s:v>-0.748129675810015</s:v>
      </s:c>
      <s:c r="AT132" s="231" t="inlineStr">
        <s:is>
          <s:t>CONFORME</s:t>
        </s:is>
      </s:c>
      <s:c r="AU132" s="232">
        <s:f>B132=C132</s:f>
        <s:v/>
      </s:c>
      <s:c r="AV132" s="233">
        <s:f>MID(G132,1,2)</s:f>
        <s:v/>
      </s:c>
      <s:c r="AW132" s="233">
        <s:f>LEN(G132)</s:f>
        <s:v/>
      </s:c>
      <s:c r="AX132" s="233" t="inlineStr">
        <s:is>
          <s:t>OI-0923-2025</s:t>
        </s:is>
      </s:c>
      <s:c r="AY132" s="233">
        <s:f>N132&lt;Y132</s:f>
        <s:v/>
      </s:c>
      <s:c r="AZ132" s="233">
        <s:f>Z132&lt;=AK132</s:f>
        <s:v/>
      </s:c>
      <s:c r="BA132" s="233">
        <s:f>L132&lt;K132</s:f>
        <s:v/>
      </s:c>
      <s:c r="BB132" s="233">
        <s:f>W132&gt;=X132</s:f>
        <s:v/>
      </s:c>
      <s:c r="BC132" s="233">
        <s:f>AI132&gt;=AJ132</s:f>
        <s:v/>
      </s:c>
      <s:c r="BD132" s="233">
        <s:f>IF(I132&gt;=1,"Qcorrecto",IF(AND(BE132="aceptable",BF132="aceptable",BG132="aceptable"),"Qcorrecto","Qincorrecto"))</s:f>
        <s:v/>
      </s:c>
      <s:c r="BE132" s="232">
        <s:f>IF(AR132&lt;$AH$6,"error",IF(AR132&gt;$AH$6*1.1,"error","aceptable"))</s:f>
        <s:v/>
      </s:c>
      <s:c r="BF132" s="232">
        <s:f>IF(AF132&lt;$V$6,"error",IF(AF132&gt;$V$6*1.1,"error","aceptable"))</s:f>
        <s:v/>
      </s:c>
      <s:c r="BG132" s="232">
        <s:f>IF(T132&lt;$J$6*0.9,"error",IF(T132&gt;$J$6,"error","aceptable"))</s:f>
        <s:v/>
      </s:c>
      <s:c r="BH132" s="234">
        <s:f>(IF(ABS(U132)&lt;1,"CONFORME",IF(ABS(AG132)&lt;1,"CONFORME",IF(ABS(AS132)&lt;2.5,"CONFORME","NO CONFORME"))))</s:f>
        <s:v/>
      </s:c>
      <s:c r="BI132" s="235">
        <s:f>(IF(ABS(U132)&gt;2.044,"NO CONFORME",IF(ABS(AG132)&gt;2.044,"NO CONFORME",IF(ABS(AS132)&gt;5.044,"NO CONFORME","CONFORME"))))</s:f>
        <s:v/>
      </s:c>
      <s:c r="BJ132" s="233">
        <s:f>SIGN(U132)</s:f>
        <s:v/>
      </s:c>
      <s:c r="BK132" s="233">
        <s:f>SIGN(AG132)</s:f>
        <s:v/>
      </s:c>
      <s:c r="BL132" s="233">
        <s:f>SIGN(AS132)</s:f>
        <s:v/>
      </s:c>
      <s:c r="BM132" s="233">
        <s:f>CONCATENATE(BJ132,BK132,BL132)</s:f>
        <s:v/>
      </s:c>
      <s:c r="BN132" s="233">
        <s:f>IF(BM132="111","SI","SD")</s:f>
        <s:v/>
      </s:c>
      <s:c r="BO132" s="233">
        <s:f>IF(BM132="-1-1-1","SI","SD")</s:f>
        <s:v/>
      </s:c>
      <s:c r="BP132" s="233">
        <s:f>OR(BN132="SI",BO132="SI")</s:f>
        <s:v/>
      </s:c>
      <s:c r="BQ132" s="233">
        <s:f>IF(BP132=FALSE,"SIGDIFERENTES","SIGIGUALES")</s:f>
        <s:v/>
      </s:c>
      <s:c r="BR132" s="236">
        <s:f>IF(BI132="NO CONFORME","NO CONFORME",IF(BH132="CONFORME","CONFORME","NO CONFORME"))</s:f>
        <s:v/>
      </s:c>
      <s:c r="BS132" s="233">
        <s:f>F132</s:f>
        <s:v/>
      </s:c>
      <s:c r="BT132" s="237">
        <s:f>G132</s:f>
        <s:v/>
      </s:c>
      <s:c r="BU132" s="233">
        <s:f>"20"&amp;+MID(G132,3,2)</s:f>
        <s:v/>
      </s:c>
      <s:c r="BV132" s="238">
        <s:f>C132</s:f>
        <s:v/>
      </s:c>
      <s:c r="BW132" s="233">
        <s:f>AT132</s:f>
        <s:v/>
      </s:c>
      <s:c r="BX132" s="238">
        <s:f>B132</s:f>
        <s:v/>
      </s:c>
      <s:c r="BY132" s="239">
        <s:f>H132</s:f>
        <s:v/>
      </s:c>
      <s:c r="BZ132" s="233">
        <s:f>IF(I132=0,"CONFORME","NO CONFORME")</s:f>
        <s:v/>
      </s:c>
      <s:c r="CA132" s="238">
        <s:f>C132</s:f>
        <s:v/>
      </s:c>
      <s:c r="CB132" s="240">
        <s:f>AH132</s:f>
        <s:v/>
      </s:c>
      <s:c r="CC132" s="241">
        <s:f>AR132</s:f>
        <s:v/>
      </s:c>
      <s:c r="CD132" s="240">
        <s:f>AI132</s:f>
        <s:v/>
      </s:c>
      <s:c r="CE132" s="240">
        <s:f>AJ132</s:f>
        <s:v/>
      </s:c>
      <s:c r="CF132" s="240">
        <s:f>AS132</s:f>
        <s:v/>
      </s:c>
      <s:c r="CG132" s="240">
        <s:f>V132</s:f>
        <s:v/>
      </s:c>
      <s:c r="CH132" s="241">
        <s:f>AF132</s:f>
        <s:v/>
      </s:c>
      <s:c r="CI132" s="240">
        <s:f>W132</s:f>
        <s:v/>
      </s:c>
      <s:c r="CJ132" s="240">
        <s:f>X132</s:f>
        <s:v/>
      </s:c>
      <s:c r="CK132" s="240">
        <s:f>AG132</s:f>
        <s:v/>
      </s:c>
      <s:c r="CL132" s="240">
        <s:f>J132</s:f>
        <s:v/>
      </s:c>
      <s:c r="CM132" s="241">
        <s:f>T132</s:f>
        <s:v/>
      </s:c>
      <s:c r="CN132" s="240">
        <s:f>K132</s:f>
        <s:v/>
      </s:c>
      <s:c r="CO132" s="240">
        <s:f>L132</s:f>
        <s:v/>
      </s:c>
      <s:c r="CP132" s="242">
        <s:f>U132</s:f>
        <s:v/>
      </s:c>
      <s:c r="CQ132" s="233">
        <s:f>AT132</s:f>
        <s:v/>
      </s:c>
    </s:row>
    <s:row r="133">
      <s:c r="A133" s="211" t="n">
        <s:v>33</s:v>
      </s:c>
      <s:c r="B133" s="212" t="n">
        <s:v>45901</s:v>
      </s:c>
      <s:c r="C133" s="213" t="n">
        <s:v>45901</s:v>
      </s:c>
      <s:c r="D133" s="214" t="n">
        <s:v>3</s:v>
      </s:c>
      <s:c r="E133" s="215" t="n">
        <s:v>13</s:v>
      </s:c>
      <s:c r="F133" s="216" t="inlineStr">
        <s:is>
          <s:t>VI-236608-2025</s:t>
        </s:is>
      </s:c>
      <s:c r="G133" s="217" t="inlineStr">
        <s:is>
          <s:t>QA25418410</s:t>
        </s:is>
      </s:c>
      <s:c r="H133" s="218" t="n">
        <s:v>16</s:v>
      </s:c>
      <s:c r="I133" s="219" t="n">
        <s:v>0</s:v>
      </s:c>
      <s:c r="J133" s="220" t="n">
        <s:v>19</s:v>
      </s:c>
      <s:c r="K133" s="221" t="n">
        <s:v>7.513</s:v>
      </s:c>
      <s:c r="L133" s="221" t="n">
        <s:v>1.291</s:v>
      </s:c>
      <s:c r="M133" s="222" t="n">
        <s:v>335</s:v>
      </s:c>
      <s:c r="N133" s="222" t="n">
        <s:v>434.91</s:v>
      </s:c>
      <s:c r="O133" s="222" t="n">
        <s:v>100.38</s:v>
      </s:c>
      <s:c r="P133" s="223" t="inlineStr">
        <s:is>
          <s:t>2,31,150</s:t>
        </s:is>
      </s:c>
      <s:c r="Q133" s="224" t="inlineStr">
        <s:is>
          <s:t>2</s:t>
        </s:is>
      </s:c>
      <s:c r="R133" s="224" t="inlineStr">
        <s:is>
          <s:t>31,150</s:t>
        </s:is>
      </s:c>
      <s:c r="S133" s="224" t="n">
        <s:v>0.04198611111111111</s:v>
      </s:c>
      <s:c r="T133" s="225" t="n">
        <s:v>2390.790605358915</s:v>
      </s:c>
      <s:c r="U133" s="226" t="n">
        <s:v>-0.468220761107761</s:v>
      </s:c>
      <s:c r="V133" s="220" t="n">
        <s:v>19</s:v>
      </s:c>
      <s:c r="W133" s="221" t="n">
        <s:v>1.094</s:v>
      </s:c>
      <s:c r="X133" s="221" t="n">
        <s:v>1.083</s:v>
      </s:c>
      <s:c r="Y133" s="222" t="n">
        <s:v>447.12</s:v>
      </s:c>
      <s:c r="Z133" s="222" t="n">
        <s:v>452.28</s:v>
      </s:c>
      <s:c r="AA133" s="227" t="n">
        <s:v>5.141</s:v>
      </s:c>
      <s:c r="AB133" s="228" t="inlineStr">
        <s:is>
          <s:t>11,36,520</s:t>
        </s:is>
      </s:c>
      <s:c r="AC133" s="224" t="inlineStr">
        <s:is>
          <s:t>11</s:t>
        </s:is>
      </s:c>
      <s:c r="AD133" s="224" t="inlineStr">
        <s:is>
          <s:t>36,520</s:t>
        </s:is>
      </s:c>
      <s:c r="AE133" s="224" t="n">
        <s:v>0.1934777777777778</s:v>
      </s:c>
      <s:c r="AF133" s="225" t="n">
        <s:v>26.5715270200425</s:v>
      </s:c>
      <s:c r="AG133" s="229" t="n">
        <s:v>0.369577903131067</s:v>
      </s:c>
      <s:c r="AH133" s="220" t="n">
        <s:v>19</s:v>
      </s:c>
      <s:c r="AI133" s="221" t="n">
        <s:v>1.092</s:v>
      </s:c>
      <s:c r="AJ133" s="221" t="n">
        <s:v>1.078</s:v>
      </s:c>
      <s:c r="AK133" s="222" t="n">
        <s:v>452.28</s:v>
      </s:c>
      <s:c r="AL133" s="222" t="n">
        <s:v>454.29</s:v>
      </s:c>
      <s:c r="AM133" s="230" t="n">
        <s:v>2.005</s:v>
      </s:c>
      <s:c r="AN133" s="223" t="inlineStr">
        <s:is>
          <s:t>7,22,780</s:t>
        </s:is>
      </s:c>
      <s:c r="AO133" s="224" t="inlineStr">
        <s:is>
          <s:t>7,</s:t>
        </s:is>
      </s:c>
      <s:c r="AP133" s="224" t="inlineStr">
        <s:is>
          <s:t>22,780</s:t>
        </s:is>
      </s:c>
      <s:c r="AQ133" s="224" t="n">
        <s:v>0.1229944444444444</s:v>
      </s:c>
      <s:c r="AR133" s="225" t="n">
        <s:v>16.3015493021365</s:v>
      </s:c>
      <s:c r="AS133" s="229" t="n">
        <s:v>0.2493765586058781</s:v>
      </s:c>
      <s:c r="AT133" s="231" t="inlineStr">
        <s:is>
          <s:t>CONFORME</s:t>
        </s:is>
      </s:c>
      <s:c r="AU133" s="232">
        <s:f>B133=C133</s:f>
        <s:v/>
      </s:c>
      <s:c r="AV133" s="233">
        <s:f>MID(G133,1,2)</s:f>
        <s:v/>
      </s:c>
      <s:c r="AW133" s="233">
        <s:f>LEN(G133)</s:f>
        <s:v/>
      </s:c>
      <s:c r="AX133" s="233" t="inlineStr">
        <s:is>
          <s:t>OI-0923-2025</s:t>
        </s:is>
      </s:c>
      <s:c r="AY133" s="233">
        <s:f>N133&lt;Y133</s:f>
        <s:v/>
      </s:c>
      <s:c r="AZ133" s="233">
        <s:f>Z133&lt;=AK133</s:f>
        <s:v/>
      </s:c>
      <s:c r="BA133" s="233">
        <s:f>L133&lt;K133</s:f>
        <s:v/>
      </s:c>
      <s:c r="BB133" s="233">
        <s:f>W133&gt;=X133</s:f>
        <s:v/>
      </s:c>
      <s:c r="BC133" s="233">
        <s:f>AI133&gt;=AJ133</s:f>
        <s:v/>
      </s:c>
      <s:c r="BD133" s="233">
        <s:f>IF(I133&gt;=1,"Qcorrecto",IF(AND(BE133="aceptable",BF133="aceptable",BG133="aceptable"),"Qcorrecto","Qincorrecto"))</s:f>
        <s:v/>
      </s:c>
      <s:c r="BE133" s="232">
        <s:f>IF(AR133&lt;$AH$6,"error",IF(AR133&gt;$AH$6*1.1,"error","aceptable"))</s:f>
        <s:v/>
      </s:c>
      <s:c r="BF133" s="232">
        <s:f>IF(AF133&lt;$V$6,"error",IF(AF133&gt;$V$6*1.1,"error","aceptable"))</s:f>
        <s:v/>
      </s:c>
      <s:c r="BG133" s="232">
        <s:f>IF(T133&lt;$J$6*0.9,"error",IF(T133&gt;$J$6,"error","aceptable"))</s:f>
        <s:v/>
      </s:c>
      <s:c r="BH133" s="234">
        <s:f>(IF(ABS(U133)&lt;1,"CONFORME",IF(ABS(AG133)&lt;1,"CONFORME",IF(ABS(AS133)&lt;2.5,"CONFORME","NO CONFORME"))))</s:f>
        <s:v/>
      </s:c>
      <s:c r="BI133" s="235">
        <s:f>(IF(ABS(U133)&gt;2.044,"NO CONFORME",IF(ABS(AG133)&gt;2.044,"NO CONFORME",IF(ABS(AS133)&gt;5.044,"NO CONFORME","CONFORME"))))</s:f>
        <s:v/>
      </s:c>
      <s:c r="BJ133" s="233">
        <s:f>SIGN(U133)</s:f>
        <s:v/>
      </s:c>
      <s:c r="BK133" s="233">
        <s:f>SIGN(AG133)</s:f>
        <s:v/>
      </s:c>
      <s:c r="BL133" s="233">
        <s:f>SIGN(AS133)</s:f>
        <s:v/>
      </s:c>
      <s:c r="BM133" s="233">
        <s:f>CONCATENATE(BJ133,BK133,BL133)</s:f>
        <s:v/>
      </s:c>
      <s:c r="BN133" s="233">
        <s:f>IF(BM133="111","SI","SD")</s:f>
        <s:v/>
      </s:c>
      <s:c r="BO133" s="233">
        <s:f>IF(BM133="-1-1-1","SI","SD")</s:f>
        <s:v/>
      </s:c>
      <s:c r="BP133" s="233">
        <s:f>OR(BN133="SI",BO133="SI")</s:f>
        <s:v/>
      </s:c>
      <s:c r="BQ133" s="233">
        <s:f>IF(BP133=FALSE,"SIGDIFERENTES","SIGIGUALES")</s:f>
        <s:v/>
      </s:c>
      <s:c r="BR133" s="236">
        <s:f>IF(BI133="NO CONFORME","NO CONFORME",IF(BH133="CONFORME","CONFORME","NO CONFORME"))</s:f>
        <s:v/>
      </s:c>
      <s:c r="BS133" s="233">
        <s:f>F133</s:f>
        <s:v/>
      </s:c>
      <s:c r="BT133" s="237">
        <s:f>G133</s:f>
        <s:v/>
      </s:c>
      <s:c r="BU133" s="233">
        <s:f>"20"&amp;+MID(G133,3,2)</s:f>
        <s:v/>
      </s:c>
      <s:c r="BV133" s="238">
        <s:f>C133</s:f>
        <s:v/>
      </s:c>
      <s:c r="BW133" s="233">
        <s:f>AT133</s:f>
        <s:v/>
      </s:c>
      <s:c r="BX133" s="238">
        <s:f>B133</s:f>
        <s:v/>
      </s:c>
      <s:c r="BY133" s="239">
        <s:f>H133</s:f>
        <s:v/>
      </s:c>
      <s:c r="BZ133" s="233">
        <s:f>IF(I133=0,"CONFORME","NO CONFORME")</s:f>
        <s:v/>
      </s:c>
      <s:c r="CA133" s="238">
        <s:f>C133</s:f>
        <s:v/>
      </s:c>
      <s:c r="CB133" s="240">
        <s:f>AH133</s:f>
        <s:v/>
      </s:c>
      <s:c r="CC133" s="241">
        <s:f>AR133</s:f>
        <s:v/>
      </s:c>
      <s:c r="CD133" s="240">
        <s:f>AI133</s:f>
        <s:v/>
      </s:c>
      <s:c r="CE133" s="240">
        <s:f>AJ133</s:f>
        <s:v/>
      </s:c>
      <s:c r="CF133" s="240">
        <s:f>AS133</s:f>
        <s:v/>
      </s:c>
      <s:c r="CG133" s="240">
        <s:f>V133</s:f>
        <s:v/>
      </s:c>
      <s:c r="CH133" s="241">
        <s:f>AF133</s:f>
        <s:v/>
      </s:c>
      <s:c r="CI133" s="240">
        <s:f>W133</s:f>
        <s:v/>
      </s:c>
      <s:c r="CJ133" s="240">
        <s:f>X133</s:f>
        <s:v/>
      </s:c>
      <s:c r="CK133" s="240">
        <s:f>AG133</s:f>
        <s:v/>
      </s:c>
      <s:c r="CL133" s="240">
        <s:f>J133</s:f>
        <s:v/>
      </s:c>
      <s:c r="CM133" s="241">
        <s:f>T133</s:f>
        <s:v/>
      </s:c>
      <s:c r="CN133" s="240">
        <s:f>K133</s:f>
        <s:v/>
      </s:c>
      <s:c r="CO133" s="240">
        <s:f>L133</s:f>
        <s:v/>
      </s:c>
      <s:c r="CP133" s="242">
        <s:f>U133</s:f>
        <s:v/>
      </s:c>
      <s:c r="CQ133" s="233">
        <s:f>AT133</s:f>
        <s:v/>
      </s:c>
    </s:row>
    <s:row r="134">
      <s:c r="A134" s="211" t="n">
        <s:v>34</s:v>
      </s:c>
      <s:c r="B134" s="212" t="n">
        <s:v>45901</s:v>
      </s:c>
      <s:c r="C134" s="213" t="n">
        <s:v>45901</s:v>
      </s:c>
      <s:c r="D134" s="214" t="n">
        <s:v>3</s:v>
      </s:c>
      <s:c r="E134" s="215" t="n">
        <s:v>13</s:v>
      </s:c>
      <s:c r="F134" s="216" t="inlineStr">
        <s:is>
          <s:t>VI-236609-2025</s:t>
        </s:is>
      </s:c>
      <s:c r="G134" s="217" t="inlineStr">
        <s:is>
          <s:t>QA25418444</s:t>
        </s:is>
      </s:c>
      <s:c r="H134" s="218" t="n">
        <s:v>16</s:v>
      </s:c>
      <s:c r="I134" s="219" t="n">
        <s:v>0</s:v>
      </s:c>
      <s:c r="J134" s="220" t="n">
        <s:v>19</s:v>
      </s:c>
      <s:c r="K134" s="221" t="n">
        <s:v>7.513</s:v>
      </s:c>
      <s:c r="L134" s="221" t="n">
        <s:v>1.291</s:v>
      </s:c>
      <s:c r="M134" s="222" t="n">
        <s:v>317.93</s:v>
      </s:c>
      <s:c r="N134" s="222" t="n">
        <s:v>417.4</s:v>
      </s:c>
      <s:c r="O134" s="222" t="n">
        <s:v>100.38</s:v>
      </s:c>
      <s:c r="P134" s="223" t="inlineStr">
        <s:is>
          <s:t>2,31,150</s:t>
        </s:is>
      </s:c>
      <s:c r="Q134" s="224" t="inlineStr">
        <s:is>
          <s:t>2</s:t>
        </s:is>
      </s:c>
      <s:c r="R134" s="224" t="inlineStr">
        <s:is>
          <s:t>31,150</s:t>
        </s:is>
      </s:c>
      <s:c r="S134" s="224" t="n">
        <s:v>0.04198611111111111</s:v>
      </s:c>
      <s:c r="T134" s="225" t="n">
        <s:v>2390.790605358915</s:v>
      </s:c>
      <s:c r="U134" s="226" t="n">
        <s:v>-0.906555090655534</s:v>
      </s:c>
      <s:c r="V134" s="220" t="n">
        <s:v>19</s:v>
      </s:c>
      <s:c r="W134" s="221" t="n">
        <s:v>1.094</s:v>
      </s:c>
      <s:c r="X134" s="221" t="n">
        <s:v>1.083</s:v>
      </s:c>
      <s:c r="Y134" s="222" t="n">
        <s:v>429.47</s:v>
      </s:c>
      <s:c r="Z134" s="222" t="n">
        <s:v>434.49</s:v>
      </s:c>
      <s:c r="AA134" s="227" t="n">
        <s:v>5.141</s:v>
      </s:c>
      <s:c r="AB134" s="228" t="inlineStr">
        <s:is>
          <s:t>11,36,520</s:t>
        </s:is>
      </s:c>
      <s:c r="AC134" s="224" t="inlineStr">
        <s:is>
          <s:t>11</s:t>
        </s:is>
      </s:c>
      <s:c r="AD134" s="224" t="inlineStr">
        <s:is>
          <s:t>36,520</s:t>
        </s:is>
      </s:c>
      <s:c r="AE134" s="224" t="n">
        <s:v>0.1934777777777778</s:v>
      </s:c>
      <s:c r="AF134" s="225" t="n">
        <s:v>26.5715270200425</s:v>
      </s:c>
      <s:c r="AG134" s="229" t="n">
        <s:v>-2.35362769889162</s:v>
      </s:c>
      <s:c r="AH134" s="220" t="n">
        <s:v>19</s:v>
      </s:c>
      <s:c r="AI134" s="221" t="n">
        <s:v>1.092</s:v>
      </s:c>
      <s:c r="AJ134" s="221" t="n">
        <s:v>1.078</s:v>
      </s:c>
      <s:c r="AK134" s="222" t="n">
        <s:v>434.49</s:v>
      </s:c>
      <s:c r="AL134" s="222" t="n">
        <s:v>436.34</s:v>
      </s:c>
      <s:c r="AM134" s="230" t="n">
        <s:v>2.005</s:v>
      </s:c>
      <s:c r="AN134" s="223" t="inlineStr">
        <s:is>
          <s:t>7,22,780</s:t>
        </s:is>
      </s:c>
      <s:c r="AO134" s="224" t="inlineStr">
        <s:is>
          <s:t>7,</s:t>
        </s:is>
      </s:c>
      <s:c r="AP134" s="224" t="inlineStr">
        <s:is>
          <s:t>22,780</s:t>
        </s:is>
      </s:c>
      <s:c r="AQ134" s="224" t="n">
        <s:v>0.1229944444444444</s:v>
      </s:c>
      <s:c r="AR134" s="225" t="n">
        <s:v>16.3015493021365</s:v>
      </s:c>
      <s:c r="AS134" s="229" t="n">
        <s:v>-7.730673316709925</s:v>
      </s:c>
      <s:c r="AT134" s="231" t="inlineStr">
        <s:is>
          <s:t>NO CONFORME</s:t>
        </s:is>
      </s:c>
      <s:c r="AU134" s="232">
        <s:f>B134=C134</s:f>
        <s:v/>
      </s:c>
      <s:c r="AV134" s="233">
        <s:f>MID(G134,1,2)</s:f>
        <s:v/>
      </s:c>
      <s:c r="AW134" s="233">
        <s:f>LEN(G134)</s:f>
        <s:v/>
      </s:c>
      <s:c r="AX134" s="233" t="inlineStr">
        <s:is>
          <s:t>OI-0923-2025</s:t>
        </s:is>
      </s:c>
      <s:c r="AY134" s="233">
        <s:f>N134&lt;Y134</s:f>
        <s:v/>
      </s:c>
      <s:c r="AZ134" s="233">
        <s:f>Z134&lt;=AK134</s:f>
        <s:v/>
      </s:c>
      <s:c r="BA134" s="233">
        <s:f>L134&lt;K134</s:f>
        <s:v/>
      </s:c>
      <s:c r="BB134" s="233">
        <s:f>W134&gt;=X134</s:f>
        <s:v/>
      </s:c>
      <s:c r="BC134" s="233">
        <s:f>AI134&gt;=AJ134</s:f>
        <s:v/>
      </s:c>
      <s:c r="BD134" s="233">
        <s:f>IF(I134&gt;=1,"Qcorrecto",IF(AND(BE134="aceptable",BF134="aceptable",BG134="aceptable"),"Qcorrecto","Qincorrecto"))</s:f>
        <s:v/>
      </s:c>
      <s:c r="BE134" s="232">
        <s:f>IF(AR134&lt;$AH$6,"error",IF(AR134&gt;$AH$6*1.1,"error","aceptable"))</s:f>
        <s:v/>
      </s:c>
      <s:c r="BF134" s="232">
        <s:f>IF(AF134&lt;$V$6,"error",IF(AF134&gt;$V$6*1.1,"error","aceptable"))</s:f>
        <s:v/>
      </s:c>
      <s:c r="BG134" s="232">
        <s:f>IF(T134&lt;$J$6*0.9,"error",IF(T134&gt;$J$6,"error","aceptable"))</s:f>
        <s:v/>
      </s:c>
      <s:c r="BH134" s="234">
        <s:f>(IF(ABS(U134)&lt;1,"CONFORME",IF(ABS(AG134)&lt;1,"CONFORME",IF(ABS(AS134)&lt;2.5,"CONFORME","NO CONFORME"))))</s:f>
        <s:v/>
      </s:c>
      <s:c r="BI134" s="235">
        <s:f>(IF(ABS(U134)&gt;2.044,"NO CONFORME",IF(ABS(AG134)&gt;2.044,"NO CONFORME",IF(ABS(AS134)&gt;5.044,"NO CONFORME","CONFORME"))))</s:f>
        <s:v/>
      </s:c>
      <s:c r="BJ134" s="233">
        <s:f>SIGN(U134)</s:f>
        <s:v/>
      </s:c>
      <s:c r="BK134" s="233">
        <s:f>SIGN(AG134)</s:f>
        <s:v/>
      </s:c>
      <s:c r="BL134" s="233">
        <s:f>SIGN(AS134)</s:f>
        <s:v/>
      </s:c>
      <s:c r="BM134" s="233">
        <s:f>CONCATENATE(BJ134,BK134,BL134)</s:f>
        <s:v/>
      </s:c>
      <s:c r="BN134" s="233">
        <s:f>IF(BM134="111","SI","SD")</s:f>
        <s:v/>
      </s:c>
      <s:c r="BO134" s="233">
        <s:f>IF(BM134="-1-1-1","SI","SD")</s:f>
        <s:v/>
      </s:c>
      <s:c r="BP134" s="233">
        <s:f>OR(BN134="SI",BO134="SI")</s:f>
        <s:v/>
      </s:c>
      <s:c r="BQ134" s="233">
        <s:f>IF(BP134=FALSE,"SIGDIFERENTES","SIGIGUALES")</s:f>
        <s:v/>
      </s:c>
      <s:c r="BR134" s="236">
        <s:f>IF(BI134="NO CONFORME","NO CONFORME",IF(BH134="CONFORME","CONFORME","NO CONFORME"))</s:f>
        <s:v/>
      </s:c>
      <s:c r="BS134" s="233">
        <s:f>F134</s:f>
        <s:v/>
      </s:c>
      <s:c r="BT134" s="237">
        <s:f>G134</s:f>
        <s:v/>
      </s:c>
      <s:c r="BU134" s="233">
        <s:f>"20"&amp;+MID(G134,3,2)</s:f>
        <s:v/>
      </s:c>
      <s:c r="BV134" s="238">
        <s:f>C134</s:f>
        <s:v/>
      </s:c>
      <s:c r="BW134" s="233">
        <s:f>AT134</s:f>
        <s:v/>
      </s:c>
      <s:c r="BX134" s="238">
        <s:f>B134</s:f>
        <s:v/>
      </s:c>
      <s:c r="BY134" s="239">
        <s:f>H134</s:f>
        <s:v/>
      </s:c>
      <s:c r="BZ134" s="233">
        <s:f>IF(I134=0,"CONFORME","NO CONFORME")</s:f>
        <s:v/>
      </s:c>
      <s:c r="CA134" s="238">
        <s:f>C134</s:f>
        <s:v/>
      </s:c>
      <s:c r="CB134" s="240">
        <s:f>AH134</s:f>
        <s:v/>
      </s:c>
      <s:c r="CC134" s="241">
        <s:f>AR134</s:f>
        <s:v/>
      </s:c>
      <s:c r="CD134" s="240">
        <s:f>AI134</s:f>
        <s:v/>
      </s:c>
      <s:c r="CE134" s="240">
        <s:f>AJ134</s:f>
        <s:v/>
      </s:c>
      <s:c r="CF134" s="240">
        <s:f>AS134</s:f>
        <s:v/>
      </s:c>
      <s:c r="CG134" s="240">
        <s:f>V134</s:f>
        <s:v/>
      </s:c>
      <s:c r="CH134" s="241">
        <s:f>AF134</s:f>
        <s:v/>
      </s:c>
      <s:c r="CI134" s="240">
        <s:f>W134</s:f>
        <s:v/>
      </s:c>
      <s:c r="CJ134" s="240">
        <s:f>X134</s:f>
        <s:v/>
      </s:c>
      <s:c r="CK134" s="240">
        <s:f>AG134</s:f>
        <s:v/>
      </s:c>
      <s:c r="CL134" s="240">
        <s:f>J134</s:f>
        <s:v/>
      </s:c>
      <s:c r="CM134" s="241">
        <s:f>T134</s:f>
        <s:v/>
      </s:c>
      <s:c r="CN134" s="240">
        <s:f>K134</s:f>
        <s:v/>
      </s:c>
      <s:c r="CO134" s="240">
        <s:f>L134</s:f>
        <s:v/>
      </s:c>
      <s:c r="CP134" s="242">
        <s:f>U134</s:f>
        <s:v/>
      </s:c>
      <s:c r="CQ134" s="233">
        <s:f>AT134</s:f>
        <s:v/>
      </s:c>
    </s:row>
    <s:row r="135">
      <s:c r="A135" s="211" t="n">
        <s:v>35</s:v>
      </s:c>
      <s:c r="B135" s="212" t="n">
        <s:v>45901</s:v>
      </s:c>
      <s:c r="C135" s="213" t="n">
        <s:v>45901</s:v>
      </s:c>
      <s:c r="D135" s="214" t="n">
        <s:v>3</s:v>
      </s:c>
      <s:c r="E135" s="215" t="n">
        <s:v>13</s:v>
      </s:c>
      <s:c r="F135" s="216" t="inlineStr">
        <s:is>
          <s:t>VI-236610-2025</s:t>
        </s:is>
      </s:c>
      <s:c r="G135" s="217" t="inlineStr">
        <s:is>
          <s:t>QA25418445</s:t>
        </s:is>
      </s:c>
      <s:c r="H135" s="218" t="n">
        <s:v>16</s:v>
      </s:c>
      <s:c r="I135" s="219" t="n">
        <s:v>0</s:v>
      </s:c>
      <s:c r="J135" s="220" t="n">
        <s:v>19</s:v>
      </s:c>
      <s:c r="K135" s="221" t="n">
        <s:v>7.513</s:v>
      </s:c>
      <s:c r="L135" s="221" t="n">
        <s:v>1.291</s:v>
      </s:c>
      <s:c r="M135" s="222" t="n">
        <s:v>321.62</s:v>
      </s:c>
      <s:c r="N135" s="222" t="n">
        <s:v>422.04</s:v>
      </s:c>
      <s:c r="O135" s="222" t="n">
        <s:v>100.38</s:v>
      </s:c>
      <s:c r="P135" s="223" t="inlineStr">
        <s:is>
          <s:t>2,31,150</s:t>
        </s:is>
      </s:c>
      <s:c r="Q135" s="224" t="inlineStr">
        <s:is>
          <s:t>2</s:t>
        </s:is>
      </s:c>
      <s:c r="R135" s="224" t="inlineStr">
        <s:is>
          <s:t>31,150</s:t>
        </s:is>
      </s:c>
      <s:c r="S135" s="224" t="n">
        <s:v>0.04198611111111111</s:v>
      </s:c>
      <s:c r="T135" s="225" t="n">
        <s:v>2390.790605358915</s:v>
      </s:c>
      <s:c r="U135" s="226" t="n">
        <s:v>0.03984857541344936</s:v>
      </s:c>
      <s:c r="V135" s="220" t="n">
        <s:v>19</s:v>
      </s:c>
      <s:c r="W135" s="221" t="n">
        <s:v>1.094</s:v>
      </s:c>
      <s:c r="X135" s="221" t="n">
        <s:v>1.083</s:v>
      </s:c>
      <s:c r="Y135" s="222" t="n">
        <s:v>434.35</s:v>
      </s:c>
      <s:c r="Z135" s="222" t="n">
        <s:v>439.49</s:v>
      </s:c>
      <s:c r="AA135" s="227" t="n">
        <s:v>5.141</s:v>
      </s:c>
      <s:c r="AB135" s="228" t="inlineStr">
        <s:is>
          <s:t>11,36,520</s:t>
        </s:is>
      </s:c>
      <s:c r="AC135" s="224" t="inlineStr">
        <s:is>
          <s:t>11</s:t>
        </s:is>
      </s:c>
      <s:c r="AD135" s="224" t="inlineStr">
        <s:is>
          <s:t>36,520</s:t>
        </s:is>
      </s:c>
      <s:c r="AE135" s="224" t="n">
        <s:v>0.1934777777777778</s:v>
      </s:c>
      <s:c r="AF135" s="225" t="n">
        <s:v>26.5715270200425</s:v>
      </s:c>
      <s:c r="AG135" s="229" t="n">
        <s:v>-0.01945146858614388</s:v>
      </s:c>
      <s:c r="AH135" s="220" t="n">
        <s:v>19</s:v>
      </s:c>
      <s:c r="AI135" s="221" t="n">
        <s:v>1.092</s:v>
      </s:c>
      <s:c r="AJ135" s="221" t="n">
        <s:v>1.078</s:v>
      </s:c>
      <s:c r="AK135" s="222" t="n">
        <s:v>439.49</s:v>
      </s:c>
      <s:c r="AL135" s="222" t="n">
        <s:v>441.47</s:v>
      </s:c>
      <s:c r="AM135" s="230" t="n">
        <s:v>2.005</s:v>
      </s:c>
      <s:c r="AN135" s="223" t="inlineStr">
        <s:is>
          <s:t>7,22,780</s:t>
        </s:is>
      </s:c>
      <s:c r="AO135" s="224" t="inlineStr">
        <s:is>
          <s:t>7,</s:t>
        </s:is>
      </s:c>
      <s:c r="AP135" s="224" t="inlineStr">
        <s:is>
          <s:t>22,780</s:t>
        </s:is>
      </s:c>
      <s:c r="AQ135" s="224" t="n">
        <s:v>0.1229944444444444</s:v>
      </s:c>
      <s:c r="AR135" s="225" t="n">
        <s:v>16.3015493021365</s:v>
      </s:c>
      <s:c r="AS135" s="229" t="n">
        <s:v>-1.246882793016544</s:v>
      </s:c>
      <s:c r="AT135" s="231" t="inlineStr">
        <s:is>
          <s:t>CONFORME</s:t>
        </s:is>
      </s:c>
      <s:c r="AU135" s="232">
        <s:f>B135=C135</s:f>
        <s:v/>
      </s:c>
      <s:c r="AV135" s="233">
        <s:f>MID(G135,1,2)</s:f>
        <s:v/>
      </s:c>
      <s:c r="AW135" s="233">
        <s:f>LEN(G135)</s:f>
        <s:v/>
      </s:c>
      <s:c r="AX135" s="233" t="inlineStr">
        <s:is>
          <s:t>OI-0923-2025</s:t>
        </s:is>
      </s:c>
      <s:c r="AY135" s="233">
        <s:f>N135&lt;Y135</s:f>
        <s:v/>
      </s:c>
      <s:c r="AZ135" s="233">
        <s:f>Z135&lt;=AK135</s:f>
        <s:v/>
      </s:c>
      <s:c r="BA135" s="233">
        <s:f>L135&lt;K135</s:f>
        <s:v/>
      </s:c>
      <s:c r="BB135" s="233">
        <s:f>W135&gt;=X135</s:f>
        <s:v/>
      </s:c>
      <s:c r="BC135" s="233">
        <s:f>AI135&gt;=AJ135</s:f>
        <s:v/>
      </s:c>
      <s:c r="BD135" s="233">
        <s:f>IF(I135&gt;=1,"Qcorrecto",IF(AND(BE135="aceptable",BF135="aceptable",BG135="aceptable"),"Qcorrecto","Qincorrecto"))</s:f>
        <s:v/>
      </s:c>
      <s:c r="BE135" s="232">
        <s:f>IF(AR135&lt;$AH$6,"error",IF(AR135&gt;$AH$6*1.1,"error","aceptable"))</s:f>
        <s:v/>
      </s:c>
      <s:c r="BF135" s="232">
        <s:f>IF(AF135&lt;$V$6,"error",IF(AF135&gt;$V$6*1.1,"error","aceptable"))</s:f>
        <s:v/>
      </s:c>
      <s:c r="BG135" s="232">
        <s:f>IF(T135&lt;$J$6*0.9,"error",IF(T135&gt;$J$6,"error","aceptable"))</s:f>
        <s:v/>
      </s:c>
      <s:c r="BH135" s="234">
        <s:f>(IF(ABS(U135)&lt;1,"CONFORME",IF(ABS(AG135)&lt;1,"CONFORME",IF(ABS(AS135)&lt;2.5,"CONFORME","NO CONFORME"))))</s:f>
        <s:v/>
      </s:c>
      <s:c r="BI135" s="235">
        <s:f>(IF(ABS(U135)&gt;2.044,"NO CONFORME",IF(ABS(AG135)&gt;2.044,"NO CONFORME",IF(ABS(AS135)&gt;5.044,"NO CONFORME","CONFORME"))))</s:f>
        <s:v/>
      </s:c>
      <s:c r="BJ135" s="233">
        <s:f>SIGN(U135)</s:f>
        <s:v/>
      </s:c>
      <s:c r="BK135" s="233">
        <s:f>SIGN(AG135)</s:f>
        <s:v/>
      </s:c>
      <s:c r="BL135" s="233">
        <s:f>SIGN(AS135)</s:f>
        <s:v/>
      </s:c>
      <s:c r="BM135" s="233">
        <s:f>CONCATENATE(BJ135,BK135,BL135)</s:f>
        <s:v/>
      </s:c>
      <s:c r="BN135" s="233">
        <s:f>IF(BM135="111","SI","SD")</s:f>
        <s:v/>
      </s:c>
      <s:c r="BO135" s="233">
        <s:f>IF(BM135="-1-1-1","SI","SD")</s:f>
        <s:v/>
      </s:c>
      <s:c r="BP135" s="233">
        <s:f>OR(BN135="SI",BO135="SI")</s:f>
        <s:v/>
      </s:c>
      <s:c r="BQ135" s="233">
        <s:f>IF(BP135=FALSE,"SIGDIFERENTES","SIGIGUALES")</s:f>
        <s:v/>
      </s:c>
      <s:c r="BR135" s="236">
        <s:f>IF(BI135="NO CONFORME","NO CONFORME",IF(BH135="CONFORME","CONFORME","NO CONFORME"))</s:f>
        <s:v/>
      </s:c>
      <s:c r="BS135" s="233">
        <s:f>F135</s:f>
        <s:v/>
      </s:c>
      <s:c r="BT135" s="237">
        <s:f>G135</s:f>
        <s:v/>
      </s:c>
      <s:c r="BU135" s="233">
        <s:f>"20"&amp;+MID(G135,3,2)</s:f>
        <s:v/>
      </s:c>
      <s:c r="BV135" s="238">
        <s:f>C135</s:f>
        <s:v/>
      </s:c>
      <s:c r="BW135" s="233">
        <s:f>AT135</s:f>
        <s:v/>
      </s:c>
      <s:c r="BX135" s="238">
        <s:f>B135</s:f>
        <s:v/>
      </s:c>
      <s:c r="BY135" s="239">
        <s:f>H135</s:f>
        <s:v/>
      </s:c>
      <s:c r="BZ135" s="233">
        <s:f>IF(I135=0,"CONFORME","NO CONFORME")</s:f>
        <s:v/>
      </s:c>
      <s:c r="CA135" s="238">
        <s:f>C135</s:f>
        <s:v/>
      </s:c>
      <s:c r="CB135" s="240">
        <s:f>AH135</s:f>
        <s:v/>
      </s:c>
      <s:c r="CC135" s="241">
        <s:f>AR135</s:f>
        <s:v/>
      </s:c>
      <s:c r="CD135" s="240">
        <s:f>AI135</s:f>
        <s:v/>
      </s:c>
      <s:c r="CE135" s="240">
        <s:f>AJ135</s:f>
        <s:v/>
      </s:c>
      <s:c r="CF135" s="240">
        <s:f>AS135</s:f>
        <s:v/>
      </s:c>
      <s:c r="CG135" s="240">
        <s:f>V135</s:f>
        <s:v/>
      </s:c>
      <s:c r="CH135" s="241">
        <s:f>AF135</s:f>
        <s:v/>
      </s:c>
      <s:c r="CI135" s="240">
        <s:f>W135</s:f>
        <s:v/>
      </s:c>
      <s:c r="CJ135" s="240">
        <s:f>X135</s:f>
        <s:v/>
      </s:c>
      <s:c r="CK135" s="240">
        <s:f>AG135</s:f>
        <s:v/>
      </s:c>
      <s:c r="CL135" s="240">
        <s:f>J135</s:f>
        <s:v/>
      </s:c>
      <s:c r="CM135" s="241">
        <s:f>T135</s:f>
        <s:v/>
      </s:c>
      <s:c r="CN135" s="240">
        <s:f>K135</s:f>
        <s:v/>
      </s:c>
      <s:c r="CO135" s="240">
        <s:f>L135</s:f>
        <s:v/>
      </s:c>
      <s:c r="CP135" s="242">
        <s:f>U135</s:f>
        <s:v/>
      </s:c>
      <s:c r="CQ135" s="233">
        <s:f>AT135</s:f>
        <s:v/>
      </s:c>
    </s:row>
    <s:row r="136">
      <s:c r="A136" s="211" t="n">
        <s:v>36</s:v>
      </s:c>
      <s:c r="B136" s="212" t="n">
        <s:v>45901</s:v>
      </s:c>
      <s:c r="C136" s="213" t="n">
        <s:v>45901</s:v>
      </s:c>
      <s:c r="D136" s="214" t="n">
        <s:v>3</s:v>
      </s:c>
      <s:c r="E136" s="215" t="n">
        <s:v>13</s:v>
      </s:c>
      <s:c r="F136" s="216" t="inlineStr">
        <s:is>
          <s:t>VI-236611-2025</s:t>
        </s:is>
      </s:c>
      <s:c r="G136" s="217" t="inlineStr">
        <s:is>
          <s:t>QA25418287</s:t>
        </s:is>
      </s:c>
      <s:c r="H136" s="218" t="n">
        <s:v>16</s:v>
      </s:c>
      <s:c r="I136" s="219" t="n">
        <s:v>0</s:v>
      </s:c>
      <s:c r="J136" s="220" t="n">
        <s:v>19</s:v>
      </s:c>
      <s:c r="K136" s="221" t="n">
        <s:v>7.513</s:v>
      </s:c>
      <s:c r="L136" s="221" t="n">
        <s:v>1.291</s:v>
      </s:c>
      <s:c r="M136" s="222" t="n">
        <s:v>398.83</s:v>
      </s:c>
      <s:c r="N136" s="222" t="n">
        <s:v>498.65</s:v>
      </s:c>
      <s:c r="O136" s="222" t="n">
        <s:v>100.38</s:v>
      </s:c>
      <s:c r="P136" s="223" t="inlineStr">
        <s:is>
          <s:t>2,31,150</s:t>
        </s:is>
      </s:c>
      <s:c r="Q136" s="224" t="inlineStr">
        <s:is>
          <s:t>2</s:t>
        </s:is>
      </s:c>
      <s:c r="R136" s="224" t="inlineStr">
        <s:is>
          <s:t>31,150</s:t>
        </s:is>
      </s:c>
      <s:c r="S136" s="224" t="n">
        <s:v>0.04198611111111111</s:v>
      </s:c>
      <s:c r="T136" s="225" t="n">
        <s:v>2390.790605358915</s:v>
      </s:c>
      <s:c r="U136" s="226" t="n">
        <s:v>-0.5578800557880079</s:v>
      </s:c>
      <s:c r="V136" s="220" t="n">
        <s:v>19</s:v>
      </s:c>
      <s:c r="W136" s="221" t="n">
        <s:v>1.094</s:v>
      </s:c>
      <s:c r="X136" s="221" t="n">
        <s:v>1.083</s:v>
      </s:c>
      <s:c r="Y136" s="222" t="n">
        <s:v>510.83</s:v>
      </s:c>
      <s:c r="Z136" s="222" t="n">
        <s:v>515.99</s:v>
      </s:c>
      <s:c r="AA136" s="227" t="n">
        <s:v>5.141</s:v>
      </s:c>
      <s:c r="AB136" s="228" t="inlineStr">
        <s:is>
          <s:t>11,36,520</s:t>
        </s:is>
      </s:c>
      <s:c r="AC136" s="224" t="inlineStr">
        <s:is>
          <s:t>11</s:t>
        </s:is>
      </s:c>
      <s:c r="AD136" s="224" t="inlineStr">
        <s:is>
          <s:t>36,520</s:t>
        </s:is>
      </s:c>
      <s:c r="AE136" s="224" t="n">
        <s:v>0.1934777777777778</s:v>
      </s:c>
      <s:c r="AF136" s="225" t="n">
        <s:v>26.5715270200425</s:v>
      </s:c>
      <s:c r="AG136" s="229" t="n">
        <s:v>0.3695779031321726</s:v>
      </s:c>
      <s:c r="AH136" s="220" t="n">
        <s:v>19</s:v>
      </s:c>
      <s:c r="AI136" s="221" t="n">
        <s:v>1.092</s:v>
      </s:c>
      <s:c r="AJ136" s="221" t="n">
        <s:v>1.078</s:v>
      </s:c>
      <s:c r="AK136" s="222" t="n">
        <s:v>515.99</s:v>
      </s:c>
      <s:c r="AL136" s="222" t="n">
        <s:v>517.99</s:v>
      </s:c>
      <s:c r="AM136" s="230" t="n">
        <s:v>2.005</s:v>
      </s:c>
      <s:c r="AN136" s="223" t="inlineStr">
        <s:is>
          <s:t>7,22,780</s:t>
        </s:is>
      </s:c>
      <s:c r="AO136" s="224" t="inlineStr">
        <s:is>
          <s:t>7,</s:t>
        </s:is>
      </s:c>
      <s:c r="AP136" s="224" t="inlineStr">
        <s:is>
          <s:t>22,780</s:t>
        </s:is>
      </s:c>
      <s:c r="AQ136" s="224" t="n">
        <s:v>0.1229944444444444</s:v>
      </s:c>
      <s:c r="AR136" s="225" t="n">
        <s:v>16.3015493021365</s:v>
      </s:c>
      <s:c r="AS136" s="229" t="n">
        <s:v>-0.249376558603486</s:v>
      </s:c>
      <s:c r="AT136" s="231" t="inlineStr">
        <s:is>
          <s:t>CONFORME</s:t>
        </s:is>
      </s:c>
      <s:c r="AU136" s="232">
        <s:f>B136=C136</s:f>
        <s:v/>
      </s:c>
      <s:c r="AV136" s="233">
        <s:f>MID(G136,1,2)</s:f>
        <s:v/>
      </s:c>
      <s:c r="AW136" s="233">
        <s:f>LEN(G136)</s:f>
        <s:v/>
      </s:c>
      <s:c r="AX136" s="233" t="inlineStr">
        <s:is>
          <s:t>OI-0923-2025</s:t>
        </s:is>
      </s:c>
      <s:c r="AY136" s="233">
        <s:f>N136&lt;Y136</s:f>
        <s:v/>
      </s:c>
      <s:c r="AZ136" s="233">
        <s:f>Z136&lt;=AK136</s:f>
        <s:v/>
      </s:c>
      <s:c r="BA136" s="233">
        <s:f>L136&lt;K136</s:f>
        <s:v/>
      </s:c>
      <s:c r="BB136" s="233">
        <s:f>W136&gt;=X136</s:f>
        <s:v/>
      </s:c>
      <s:c r="BC136" s="233">
        <s:f>AI136&gt;=AJ136</s:f>
        <s:v/>
      </s:c>
      <s:c r="BD136" s="233">
        <s:f>IF(I136&gt;=1,"Qcorrecto",IF(AND(BE136="aceptable",BF136="aceptable",BG136="aceptable"),"Qcorrecto","Qincorrecto"))</s:f>
        <s:v/>
      </s:c>
      <s:c r="BE136" s="232">
        <s:f>IF(AR136&lt;$AH$6,"error",IF(AR136&gt;$AH$6*1.1,"error","aceptable"))</s:f>
        <s:v/>
      </s:c>
      <s:c r="BF136" s="232">
        <s:f>IF(AF136&lt;$V$6,"error",IF(AF136&gt;$V$6*1.1,"error","aceptable"))</s:f>
        <s:v/>
      </s:c>
      <s:c r="BG136" s="232">
        <s:f>IF(T136&lt;$J$6*0.9,"error",IF(T136&gt;$J$6,"error","aceptable"))</s:f>
        <s:v/>
      </s:c>
      <s:c r="BH136" s="234">
        <s:f>(IF(ABS(U136)&lt;1,"CONFORME",IF(ABS(AG136)&lt;1,"CONFORME",IF(ABS(AS136)&lt;2.5,"CONFORME","NO CONFORME"))))</s:f>
        <s:v/>
      </s:c>
      <s:c r="BI136" s="235">
        <s:f>(IF(ABS(U136)&gt;2.044,"NO CONFORME",IF(ABS(AG136)&gt;2.044,"NO CONFORME",IF(ABS(AS136)&gt;5.044,"NO CONFORME","CONFORME"))))</s:f>
        <s:v/>
      </s:c>
      <s:c r="BJ136" s="233">
        <s:f>SIGN(U136)</s:f>
        <s:v/>
      </s:c>
      <s:c r="BK136" s="233">
        <s:f>SIGN(AG136)</s:f>
        <s:v/>
      </s:c>
      <s:c r="BL136" s="233">
        <s:f>SIGN(AS136)</s:f>
        <s:v/>
      </s:c>
      <s:c r="BM136" s="233">
        <s:f>CONCATENATE(BJ136,BK136,BL136)</s:f>
        <s:v/>
      </s:c>
      <s:c r="BN136" s="233">
        <s:f>IF(BM136="111","SI","SD")</s:f>
        <s:v/>
      </s:c>
      <s:c r="BO136" s="233">
        <s:f>IF(BM136="-1-1-1","SI","SD")</s:f>
        <s:v/>
      </s:c>
      <s:c r="BP136" s="233">
        <s:f>OR(BN136="SI",BO136="SI")</s:f>
        <s:v/>
      </s:c>
      <s:c r="BQ136" s="233">
        <s:f>IF(BP136=FALSE,"SIGDIFERENTES","SIGIGUALES")</s:f>
        <s:v/>
      </s:c>
      <s:c r="BR136" s="236">
        <s:f>IF(BI136="NO CONFORME","NO CONFORME",IF(BH136="CONFORME","CONFORME","NO CONFORME"))</s:f>
        <s:v/>
      </s:c>
      <s:c r="BS136" s="233">
        <s:f>F136</s:f>
        <s:v/>
      </s:c>
      <s:c r="BT136" s="237">
        <s:f>G136</s:f>
        <s:v/>
      </s:c>
      <s:c r="BU136" s="233">
        <s:f>"20"&amp;+MID(G136,3,2)</s:f>
        <s:v/>
      </s:c>
      <s:c r="BV136" s="238">
        <s:f>C136</s:f>
        <s:v/>
      </s:c>
      <s:c r="BW136" s="233">
        <s:f>AT136</s:f>
        <s:v/>
      </s:c>
      <s:c r="BX136" s="238">
        <s:f>B136</s:f>
        <s:v/>
      </s:c>
      <s:c r="BY136" s="239">
        <s:f>H136</s:f>
        <s:v/>
      </s:c>
      <s:c r="BZ136" s="233">
        <s:f>IF(I136=0,"CONFORME","NO CONFORME")</s:f>
        <s:v/>
      </s:c>
      <s:c r="CA136" s="238">
        <s:f>C136</s:f>
        <s:v/>
      </s:c>
      <s:c r="CB136" s="240">
        <s:f>AH136</s:f>
        <s:v/>
      </s:c>
      <s:c r="CC136" s="241">
        <s:f>AR136</s:f>
        <s:v/>
      </s:c>
      <s:c r="CD136" s="240">
        <s:f>AI136</s:f>
        <s:v/>
      </s:c>
      <s:c r="CE136" s="240">
        <s:f>AJ136</s:f>
        <s:v/>
      </s:c>
      <s:c r="CF136" s="240">
        <s:f>AS136</s:f>
        <s:v/>
      </s:c>
      <s:c r="CG136" s="240">
        <s:f>V136</s:f>
        <s:v/>
      </s:c>
      <s:c r="CH136" s="241">
        <s:f>AF136</s:f>
        <s:v/>
      </s:c>
      <s:c r="CI136" s="240">
        <s:f>W136</s:f>
        <s:v/>
      </s:c>
      <s:c r="CJ136" s="240">
        <s:f>X136</s:f>
        <s:v/>
      </s:c>
      <s:c r="CK136" s="240">
        <s:f>AG136</s:f>
        <s:v/>
      </s:c>
      <s:c r="CL136" s="240">
        <s:f>J136</s:f>
        <s:v/>
      </s:c>
      <s:c r="CM136" s="241">
        <s:f>T136</s:f>
        <s:v/>
      </s:c>
      <s:c r="CN136" s="240">
        <s:f>K136</s:f>
        <s:v/>
      </s:c>
      <s:c r="CO136" s="240">
        <s:f>L136</s:f>
        <s:v/>
      </s:c>
      <s:c r="CP136" s="242">
        <s:f>U136</s:f>
        <s:v/>
      </s:c>
      <s:c r="CQ136" s="233">
        <s:f>AT136</s:f>
        <s:v/>
      </s:c>
    </s:row>
    <s:row r="137">
      <s:c r="A137" s="211" t="n">
        <s:v>37</s:v>
      </s:c>
      <s:c r="B137" s="212" t="n">
        <s:v>45901</s:v>
      </s:c>
      <s:c r="C137" s="213" t="n">
        <s:v>45901</s:v>
      </s:c>
      <s:c r="D137" s="214" t="n">
        <s:v>3</s:v>
      </s:c>
      <s:c r="E137" s="215" t="n">
        <s:v>13</s:v>
      </s:c>
      <s:c r="F137" s="216" t="inlineStr">
        <s:is>
          <s:t>VI-236612-2025</s:t>
        </s:is>
      </s:c>
      <s:c r="G137" s="217" t="inlineStr">
        <s:is>
          <s:t>QA25418431</s:t>
        </s:is>
      </s:c>
      <s:c r="H137" s="218" t="n">
        <s:v>16</s:v>
      </s:c>
      <s:c r="I137" s="219" t="n">
        <s:v>0</s:v>
      </s:c>
      <s:c r="J137" s="220" t="n">
        <s:v>19</s:v>
      </s:c>
      <s:c r="K137" s="221" t="n">
        <s:v>7.513</s:v>
      </s:c>
      <s:c r="L137" s="221" t="n">
        <s:v>1.291</s:v>
      </s:c>
      <s:c r="M137" s="222" t="n">
        <s:v>265.06</s:v>
      </s:c>
      <s:c r="N137" s="222" t="n">
        <s:v>364.39</s:v>
      </s:c>
      <s:c r="O137" s="222" t="n">
        <s:v>100.38</s:v>
      </s:c>
      <s:c r="P137" s="223" t="inlineStr">
        <s:is>
          <s:t>2,31,150</s:t>
        </s:is>
      </s:c>
      <s:c r="Q137" s="224" t="inlineStr">
        <s:is>
          <s:t>2</s:t>
        </s:is>
      </s:c>
      <s:c r="R137" s="224" t="inlineStr">
        <s:is>
          <s:t>31,150</s:t>
        </s:is>
      </s:c>
      <s:c r="S137" s="224" t="n">
        <s:v>0.04198611111111111</s:v>
      </s:c>
      <s:c r="T137" s="225" t="n">
        <s:v>2390.790605358915</s:v>
      </s:c>
      <s:c r="U137" s="226" t="n">
        <s:v>-1.046025104602522</s:v>
      </s:c>
      <s:c r="V137" s="220" t="n">
        <s:v>19</s:v>
      </s:c>
      <s:c r="W137" s="221" t="n">
        <s:v>1.094</s:v>
      </s:c>
      <s:c r="X137" s="221" t="n">
        <s:v>1.083</s:v>
      </s:c>
      <s:c r="Y137" s="222" t="n">
        <s:v>376.52</s:v>
      </s:c>
      <s:c r="Z137" s="222" t="n">
        <s:v>381.66</s:v>
      </s:c>
      <s:c r="AA137" s="227" t="n">
        <s:v>5.141</s:v>
      </s:c>
      <s:c r="AB137" s="228" t="inlineStr">
        <s:is>
          <s:t>11,36,520</s:t>
        </s:is>
      </s:c>
      <s:c r="AC137" s="224" t="inlineStr">
        <s:is>
          <s:t>11</s:t>
        </s:is>
      </s:c>
      <s:c r="AD137" s="224" t="inlineStr">
        <s:is>
          <s:t>36,520</s:t>
        </s:is>
      </s:c>
      <s:c r="AE137" s="224" t="n">
        <s:v>0.1934777777777778</s:v>
      </s:c>
      <s:c r="AF137" s="225" t="n">
        <s:v>26.5715270200425</s:v>
      </s:c>
      <s:c r="AG137" s="229" t="n">
        <s:v>-0.01945146858503819</s:v>
      </s:c>
      <s:c r="AH137" s="220" t="n">
        <s:v>19</s:v>
      </s:c>
      <s:c r="AI137" s="221" t="n">
        <s:v>1.092</s:v>
      </s:c>
      <s:c r="AJ137" s="221" t="n">
        <s:v>1.078</s:v>
      </s:c>
      <s:c r="AK137" s="222" t="n">
        <s:v>381.66</s:v>
      </s:c>
      <s:c r="AL137" s="222" t="n">
        <s:v>383.61</s:v>
      </s:c>
      <s:c r="AM137" s="230" t="n">
        <s:v>2.005</s:v>
      </s:c>
      <s:c r="AN137" s="223" t="inlineStr">
        <s:is>
          <s:t>7,22,780</s:t>
        </s:is>
      </s:c>
      <s:c r="AO137" s="224" t="inlineStr">
        <s:is>
          <s:t>7,</s:t>
        </s:is>
      </s:c>
      <s:c r="AP137" s="224" t="inlineStr">
        <s:is>
          <s:t>22,780</s:t>
        </s:is>
      </s:c>
      <s:c r="AQ137" s="224" t="n">
        <s:v>0.1229944444444444</s:v>
      </s:c>
      <s:c r="AR137" s="225" t="n">
        <s:v>16.3015493021365</s:v>
      </s:c>
      <s:c r="AS137" s="229" t="n">
        <s:v>-2.743142144638966</s:v>
      </s:c>
      <s:c r="AT137" s="231" t="inlineStr">
        <s:is>
          <s:t>CONFORME</s:t>
        </s:is>
      </s:c>
      <s:c r="AU137" s="232">
        <s:f>B137=C137</s:f>
        <s:v/>
      </s:c>
      <s:c r="AV137" s="233">
        <s:f>MID(G137,1,2)</s:f>
        <s:v/>
      </s:c>
      <s:c r="AW137" s="233">
        <s:f>LEN(G137)</s:f>
        <s:v/>
      </s:c>
      <s:c r="AX137" s="233" t="inlineStr">
        <s:is>
          <s:t>OI-0923-2025</s:t>
        </s:is>
      </s:c>
      <s:c r="AY137" s="233">
        <s:f>N137&lt;Y137</s:f>
        <s:v/>
      </s:c>
      <s:c r="AZ137" s="233">
        <s:f>Z137&lt;=AK137</s:f>
        <s:v/>
      </s:c>
      <s:c r="BA137" s="233">
        <s:f>L137&lt;K137</s:f>
        <s:v/>
      </s:c>
      <s:c r="BB137" s="233">
        <s:f>W137&gt;=X137</s:f>
        <s:v/>
      </s:c>
      <s:c r="BC137" s="233">
        <s:f>AI137&gt;=AJ137</s:f>
        <s:v/>
      </s:c>
      <s:c r="BD137" s="233">
        <s:f>IF(I137&gt;=1,"Qcorrecto",IF(AND(BE137="aceptable",BF137="aceptable",BG137="aceptable"),"Qcorrecto","Qincorrecto"))</s:f>
        <s:v/>
      </s:c>
      <s:c r="BE137" s="232">
        <s:f>IF(AR137&lt;$AH$6,"error",IF(AR137&gt;$AH$6*1.1,"error","aceptable"))</s:f>
        <s:v/>
      </s:c>
      <s:c r="BF137" s="232">
        <s:f>IF(AF137&lt;$V$6,"error",IF(AF137&gt;$V$6*1.1,"error","aceptable"))</s:f>
        <s:v/>
      </s:c>
      <s:c r="BG137" s="232">
        <s:f>IF(T137&lt;$J$6*0.9,"error",IF(T137&gt;$J$6,"error","aceptable"))</s:f>
        <s:v/>
      </s:c>
      <s:c r="BH137" s="234">
        <s:f>(IF(ABS(U137)&lt;1,"CONFORME",IF(ABS(AG137)&lt;1,"CONFORME",IF(ABS(AS137)&lt;2.5,"CONFORME","NO CONFORME"))))</s:f>
        <s:v/>
      </s:c>
      <s:c r="BI137" s="235">
        <s:f>(IF(ABS(U137)&gt;2.044,"NO CONFORME",IF(ABS(AG137)&gt;2.044,"NO CONFORME",IF(ABS(AS137)&gt;5.044,"NO CONFORME","CONFORME"))))</s:f>
        <s:v/>
      </s:c>
      <s:c r="BJ137" s="233">
        <s:f>SIGN(U137)</s:f>
        <s:v/>
      </s:c>
      <s:c r="BK137" s="233">
        <s:f>SIGN(AG137)</s:f>
        <s:v/>
      </s:c>
      <s:c r="BL137" s="233">
        <s:f>SIGN(AS137)</s:f>
        <s:v/>
      </s:c>
      <s:c r="BM137" s="233">
        <s:f>CONCATENATE(BJ137,BK137,BL137)</s:f>
        <s:v/>
      </s:c>
      <s:c r="BN137" s="233">
        <s:f>IF(BM137="111","SI","SD")</s:f>
        <s:v/>
      </s:c>
      <s:c r="BO137" s="233">
        <s:f>IF(BM137="-1-1-1","SI","SD")</s:f>
        <s:v/>
      </s:c>
      <s:c r="BP137" s="233">
        <s:f>OR(BN137="SI",BO137="SI")</s:f>
        <s:v/>
      </s:c>
      <s:c r="BQ137" s="233">
        <s:f>IF(BP137=FALSE,"SIGDIFERENTES","SIGIGUALES")</s:f>
        <s:v/>
      </s:c>
      <s:c r="BR137" s="236">
        <s:f>IF(BI137="NO CONFORME","NO CONFORME",IF(BH137="CONFORME","CONFORME","NO CONFORME"))</s:f>
        <s:v/>
      </s:c>
      <s:c r="BS137" s="233">
        <s:f>F137</s:f>
        <s:v/>
      </s:c>
      <s:c r="BT137" s="237">
        <s:f>G137</s:f>
        <s:v/>
      </s:c>
      <s:c r="BU137" s="233">
        <s:f>"20"&amp;+MID(G137,3,2)</s:f>
        <s:v/>
      </s:c>
      <s:c r="BV137" s="238">
        <s:f>C137</s:f>
        <s:v/>
      </s:c>
      <s:c r="BW137" s="233">
        <s:f>AT137</s:f>
        <s:v/>
      </s:c>
      <s:c r="BX137" s="238">
        <s:f>B137</s:f>
        <s:v/>
      </s:c>
      <s:c r="BY137" s="239">
        <s:f>H137</s:f>
        <s:v/>
      </s:c>
      <s:c r="BZ137" s="233">
        <s:f>IF(I137=0,"CONFORME","NO CONFORME")</s:f>
        <s:v/>
      </s:c>
      <s:c r="CA137" s="238">
        <s:f>C137</s:f>
        <s:v/>
      </s:c>
      <s:c r="CB137" s="240">
        <s:f>AH137</s:f>
        <s:v/>
      </s:c>
      <s:c r="CC137" s="241">
        <s:f>AR137</s:f>
        <s:v/>
      </s:c>
      <s:c r="CD137" s="240">
        <s:f>AI137</s:f>
        <s:v/>
      </s:c>
      <s:c r="CE137" s="240">
        <s:f>AJ137</s:f>
        <s:v/>
      </s:c>
      <s:c r="CF137" s="240">
        <s:f>AS137</s:f>
        <s:v/>
      </s:c>
      <s:c r="CG137" s="240">
        <s:f>V137</s:f>
        <s:v/>
      </s:c>
      <s:c r="CH137" s="241">
        <s:f>AF137</s:f>
        <s:v/>
      </s:c>
      <s:c r="CI137" s="240">
        <s:f>W137</s:f>
        <s:v/>
      </s:c>
      <s:c r="CJ137" s="240">
        <s:f>X137</s:f>
        <s:v/>
      </s:c>
      <s:c r="CK137" s="240">
        <s:f>AG137</s:f>
        <s:v/>
      </s:c>
      <s:c r="CL137" s="240">
        <s:f>J137</s:f>
        <s:v/>
      </s:c>
      <s:c r="CM137" s="241">
        <s:f>T137</s:f>
        <s:v/>
      </s:c>
      <s:c r="CN137" s="240">
        <s:f>K137</s:f>
        <s:v/>
      </s:c>
      <s:c r="CO137" s="240">
        <s:f>L137</s:f>
        <s:v/>
      </s:c>
      <s:c r="CP137" s="242">
        <s:f>U137</s:f>
        <s:v/>
      </s:c>
      <s:c r="CQ137" s="233">
        <s:f>AT137</s:f>
        <s:v/>
      </s:c>
    </s:row>
    <s:row r="138">
      <s:c r="A138" s="211" t="n">
        <s:v>38</s:v>
      </s:c>
      <s:c r="B138" s="212" t="n">
        <s:v>45901</s:v>
      </s:c>
      <s:c r="C138" s="213" t="n">
        <s:v>45901</s:v>
      </s:c>
      <s:c r="D138" s="214" t="n">
        <s:v>3</s:v>
      </s:c>
      <s:c r="E138" s="215" t="n">
        <s:v>13</s:v>
      </s:c>
      <s:c r="F138" s="216" t="inlineStr">
        <s:is>
          <s:t>VI-236613-2025</s:t>
        </s:is>
      </s:c>
      <s:c r="G138" s="217" t="inlineStr">
        <s:is>
          <s:t>QA25418232</s:t>
        </s:is>
      </s:c>
      <s:c r="H138" s="218" t="n">
        <s:v>16</s:v>
      </s:c>
      <s:c r="I138" s="219" t="n">
        <s:v>0</s:v>
      </s:c>
      <s:c r="J138" s="220" t="n">
        <s:v>19.1</s:v>
      </s:c>
      <s:c r="K138" s="221" t="n">
        <s:v>7.504</s:v>
      </s:c>
      <s:c r="L138" s="221" t="n">
        <s:v>1.178</s:v>
      </s:c>
      <s:c r="M138" s="222" t="n">
        <s:v>393.81</s:v>
      </s:c>
      <s:c r="N138" s="222" t="n">
        <s:v>493.57</s:v>
      </s:c>
      <s:c r="O138" s="222" t="n">
        <s:v>100.58</s:v>
      </s:c>
      <s:c r="P138" s="223" t="inlineStr">
        <s:is>
          <s:t>2,30,290</s:t>
        </s:is>
      </s:c>
      <s:c r="Q138" s="224" t="inlineStr">
        <s:is>
          <s:t>2</s:t>
        </s:is>
      </s:c>
      <s:c r="R138" s="224" t="inlineStr">
        <s:is>
          <s:t>30,290</s:t>
        </s:is>
      </s:c>
      <s:c r="S138" s="224" t="n">
        <s:v>0.04174722222222222</s:v>
      </s:c>
      <s:c r="T138" s="225" t="n">
        <s:v>2409.262093286313</s:v>
      </s:c>
      <s:c r="U138" s="226" t="n">
        <s:v>-0.8152714257307689</s:v>
      </s:c>
      <s:c r="V138" s="220" t="n">
        <s:v>19.2</s:v>
      </s:c>
      <s:c r="W138" s="221" t="n">
        <s:v>1.091</s:v>
      </s:c>
      <s:c r="X138" s="221" t="n">
        <s:v>1.079</s:v>
      </s:c>
      <s:c r="Y138" s="222" t="n">
        <s:v>507.04</s:v>
      </s:c>
      <s:c r="Z138" s="222" t="n">
        <s:v>511.97</s:v>
      </s:c>
      <s:c r="AA138" s="227" t="n">
        <s:v>5.018</s:v>
      </s:c>
      <s:c r="AB138" s="228" t="inlineStr">
        <s:is>
          <s:t>11,16,920</s:t>
        </s:is>
      </s:c>
      <s:c r="AC138" s="224" t="inlineStr">
        <s:is>
          <s:t>11</s:t>
        </s:is>
      </s:c>
      <s:c r="AD138" s="224" t="inlineStr">
        <s:is>
          <s:t>16,920</s:t>
        </s:is>
      </s:c>
      <s:c r="AE138" s="224" t="n">
        <s:v>0.1880333333333333</s:v>
      </s:c>
      <s:c r="AF138" s="225" t="n">
        <s:v>26.6867576670803</s:v>
      </s:c>
      <s:c r="AG138" s="229" t="n">
        <s:v>-1.753686727779852</s:v>
      </s:c>
      <s:c r="AH138" s="220" t="n">
        <s:v>19.1</s:v>
      </s:c>
      <s:c r="AI138" s="221" t="n">
        <s:v>1.091</s:v>
      </s:c>
      <s:c r="AJ138" s="221" t="n">
        <s:v>1.08</s:v>
      </s:c>
      <s:c r="AK138" s="222" t="n">
        <s:v>511.97</s:v>
      </s:c>
      <s:c r="AL138" s="222" t="n">
        <s:v>513.88</s:v>
      </s:c>
      <s:c r="AM138" s="230" t="n">
        <s:v>2.007</s:v>
      </s:c>
      <s:c r="AN138" s="223" t="inlineStr">
        <s:is>
          <s:t>7,23,380</s:t>
        </s:is>
      </s:c>
      <s:c r="AO138" s="224" t="inlineStr">
        <s:is>
          <s:t>7,</s:t>
        </s:is>
      </s:c>
      <s:c r="AP138" s="224" t="inlineStr">
        <s:is>
          <s:t>23,380</s:t>
        </s:is>
      </s:c>
      <s:c r="AQ138" s="224" t="n">
        <s:v>0.1231611111111111</s:v>
      </s:c>
      <s:c r="AR138" s="225" t="n">
        <s:v>16.29572826920475</s:v>
      </s:c>
      <s:c r="AS138" s="229" t="n">
        <s:v>-4.833084205283106</s:v>
      </s:c>
      <s:c r="AT138" s="231" t="inlineStr">
        <s:is>
          <s:t>CONFORME</s:t>
        </s:is>
      </s:c>
      <s:c r="AU138" s="232">
        <s:f>B138=C138</s:f>
        <s:v/>
      </s:c>
      <s:c r="AV138" s="233">
        <s:f>MID(G138,1,2)</s:f>
        <s:v/>
      </s:c>
      <s:c r="AW138" s="233">
        <s:f>LEN(G138)</s:f>
        <s:v/>
      </s:c>
      <s:c r="AX138" s="233" t="inlineStr">
        <s:is>
          <s:t>OI-0923-2025</s:t>
        </s:is>
      </s:c>
      <s:c r="AY138" s="233">
        <s:f>N138&lt;Y138</s:f>
        <s:v/>
      </s:c>
      <s:c r="AZ138" s="233">
        <s:f>Z138&lt;=AK138</s:f>
        <s:v/>
      </s:c>
      <s:c r="BA138" s="233">
        <s:f>L138&lt;K138</s:f>
        <s:v/>
      </s:c>
      <s:c r="BB138" s="233">
        <s:f>W138&gt;=X138</s:f>
        <s:v/>
      </s:c>
      <s:c r="BC138" s="233">
        <s:f>AI138&gt;=AJ138</s:f>
        <s:v/>
      </s:c>
      <s:c r="BD138" s="233">
        <s:f>IF(I138&gt;=1,"Qcorrecto",IF(AND(BE138="aceptable",BF138="aceptable",BG138="aceptable"),"Qcorrecto","Qincorrecto"))</s:f>
        <s:v/>
      </s:c>
      <s:c r="BE138" s="232">
        <s:f>IF(AR138&lt;$AH$6,"error",IF(AR138&gt;$AH$6*1.1,"error","aceptable"))</s:f>
        <s:v/>
      </s:c>
      <s:c r="BF138" s="232">
        <s:f>IF(AF138&lt;$V$6,"error",IF(AF138&gt;$V$6*1.1,"error","aceptable"))</s:f>
        <s:v/>
      </s:c>
      <s:c r="BG138" s="232">
        <s:f>IF(T138&lt;$J$6*0.9,"error",IF(T138&gt;$J$6,"error","aceptable"))</s:f>
        <s:v/>
      </s:c>
      <s:c r="BH138" s="234">
        <s:f>(IF(ABS(U138)&lt;1,"CONFORME",IF(ABS(AG138)&lt;1,"CONFORME",IF(ABS(AS138)&lt;2.5,"CONFORME","NO CONFORME"))))</s:f>
        <s:v/>
      </s:c>
      <s:c r="BI138" s="235">
        <s:f>(IF(ABS(U138)&gt;2.044,"NO CONFORME",IF(ABS(AG138)&gt;2.044,"NO CONFORME",IF(ABS(AS138)&gt;5.044,"NO CONFORME","CONFORME"))))</s:f>
        <s:v/>
      </s:c>
      <s:c r="BJ138" s="233">
        <s:f>SIGN(U138)</s:f>
        <s:v/>
      </s:c>
      <s:c r="BK138" s="233">
        <s:f>SIGN(AG138)</s:f>
        <s:v/>
      </s:c>
      <s:c r="BL138" s="233">
        <s:f>SIGN(AS138)</s:f>
        <s:v/>
      </s:c>
      <s:c r="BM138" s="233">
        <s:f>CONCATENATE(BJ138,BK138,BL138)</s:f>
        <s:v/>
      </s:c>
      <s:c r="BN138" s="233">
        <s:f>IF(BM138="111","SI","SD")</s:f>
        <s:v/>
      </s:c>
      <s:c r="BO138" s="233">
        <s:f>IF(BM138="-1-1-1","SI","SD")</s:f>
        <s:v/>
      </s:c>
      <s:c r="BP138" s="233">
        <s:f>OR(BN138="SI",BO138="SI")</s:f>
        <s:v/>
      </s:c>
      <s:c r="BQ138" s="233">
        <s:f>IF(BP138=FALSE,"SIGDIFERENTES","SIGIGUALES")</s:f>
        <s:v/>
      </s:c>
      <s:c r="BR138" s="236">
        <s:f>IF(BI138="NO CONFORME","NO CONFORME",IF(BH138="CONFORME","CONFORME","NO CONFORME"))</s:f>
        <s:v/>
      </s:c>
      <s:c r="BS138" s="233">
        <s:f>F138</s:f>
        <s:v/>
      </s:c>
      <s:c r="BT138" s="237">
        <s:f>G138</s:f>
        <s:v/>
      </s:c>
      <s:c r="BU138" s="233">
        <s:f>"20"&amp;+MID(G138,3,2)</s:f>
        <s:v/>
      </s:c>
      <s:c r="BV138" s="238">
        <s:f>C138</s:f>
        <s:v/>
      </s:c>
      <s:c r="BW138" s="233">
        <s:f>AT138</s:f>
        <s:v/>
      </s:c>
      <s:c r="BX138" s="238">
        <s:f>B138</s:f>
        <s:v/>
      </s:c>
      <s:c r="BY138" s="239">
        <s:f>H138</s:f>
        <s:v/>
      </s:c>
      <s:c r="BZ138" s="233">
        <s:f>IF(I138=0,"CONFORME","NO CONFORME")</s:f>
        <s:v/>
      </s:c>
      <s:c r="CA138" s="238">
        <s:f>C138</s:f>
        <s:v/>
      </s:c>
      <s:c r="CB138" s="240">
        <s:f>AH138</s:f>
        <s:v/>
      </s:c>
      <s:c r="CC138" s="241">
        <s:f>AR138</s:f>
        <s:v/>
      </s:c>
      <s:c r="CD138" s="240">
        <s:f>AI138</s:f>
        <s:v/>
      </s:c>
      <s:c r="CE138" s="240">
        <s:f>AJ138</s:f>
        <s:v/>
      </s:c>
      <s:c r="CF138" s="240">
        <s:f>AS138</s:f>
        <s:v/>
      </s:c>
      <s:c r="CG138" s="240">
        <s:f>V138</s:f>
        <s:v/>
      </s:c>
      <s:c r="CH138" s="241">
        <s:f>AF138</s:f>
        <s:v/>
      </s:c>
      <s:c r="CI138" s="240">
        <s:f>W138</s:f>
        <s:v/>
      </s:c>
      <s:c r="CJ138" s="240">
        <s:f>X138</s:f>
        <s:v/>
      </s:c>
      <s:c r="CK138" s="240">
        <s:f>AG138</s:f>
        <s:v/>
      </s:c>
      <s:c r="CL138" s="240">
        <s:f>J138</s:f>
        <s:v/>
      </s:c>
      <s:c r="CM138" s="241">
        <s:f>T138</s:f>
        <s:v/>
      </s:c>
      <s:c r="CN138" s="240">
        <s:f>K138</s:f>
        <s:v/>
      </s:c>
      <s:c r="CO138" s="240">
        <s:f>L138</s:f>
        <s:v/>
      </s:c>
      <s:c r="CP138" s="242">
        <s:f>U138</s:f>
        <s:v/>
      </s:c>
      <s:c r="CQ138" s="233">
        <s:f>AT138</s:f>
        <s:v/>
      </s:c>
    </s:row>
    <s:row r="139">
      <s:c r="A139" s="211" t="n">
        <s:v>39</s:v>
      </s:c>
      <s:c r="B139" s="212" t="n">
        <s:v>45901</s:v>
      </s:c>
      <s:c r="C139" s="213" t="n">
        <s:v>45901</s:v>
      </s:c>
      <s:c r="D139" s="214" t="n">
        <s:v>3</s:v>
      </s:c>
      <s:c r="E139" s="215" t="n">
        <s:v>13</s:v>
      </s:c>
      <s:c r="F139" s="216" t="inlineStr">
        <s:is>
          <s:t>VI-236614-2025</s:t>
        </s:is>
      </s:c>
      <s:c r="G139" s="217" t="inlineStr">
        <s:is>
          <s:t>QA25418433</s:t>
        </s:is>
      </s:c>
      <s:c r="H139" s="218" t="n">
        <s:v>16</s:v>
      </s:c>
      <s:c r="I139" s="219" t="n">
        <s:v>0</s:v>
      </s:c>
      <s:c r="J139" s="220" t="n">
        <s:v>19.1</s:v>
      </s:c>
      <s:c r="K139" s="221" t="n">
        <s:v>7.504</s:v>
      </s:c>
      <s:c r="L139" s="221" t="n">
        <s:v>1.178</s:v>
      </s:c>
      <s:c r="M139" s="222" t="n">
        <s:v>273.4</s:v>
      </s:c>
      <s:c r="N139" s="222" t="n">
        <s:v>373.19</s:v>
      </s:c>
      <s:c r="O139" s="222" t="n">
        <s:v>100.58</s:v>
      </s:c>
      <s:c r="P139" s="223" t="inlineStr">
        <s:is>
          <s:t>2,30,290</s:t>
        </s:is>
      </s:c>
      <s:c r="Q139" s="224" t="inlineStr">
        <s:is>
          <s:t>2</s:t>
        </s:is>
      </s:c>
      <s:c r="R139" s="224" t="inlineStr">
        <s:is>
          <s:t>30,290</s:t>
        </s:is>
      </s:c>
      <s:c r="S139" s="224" t="n">
        <s:v>0.04174722222222222</s:v>
      </s:c>
      <s:c r="T139" s="225" t="n">
        <s:v>2409.262093286313</s:v>
      </s:c>
      <s:c r="U139" s="226" t="n">
        <s:v>-0.7854444223503459</s:v>
      </s:c>
      <s:c r="V139" s="220" t="n">
        <s:v>19.2</s:v>
      </s:c>
      <s:c r="W139" s="221" t="n">
        <s:v>1.091</s:v>
      </s:c>
      <s:c r="X139" s="221" t="n">
        <s:v>1.079</s:v>
      </s:c>
      <s:c r="Y139" s="222" t="n">
        <s:v>386.79</s:v>
      </s:c>
      <s:c r="Z139" s="222" t="n">
        <s:v>391.84</s:v>
      </s:c>
      <s:c r="AA139" s="227" t="n">
        <s:v>5.018</s:v>
      </s:c>
      <s:c r="AB139" s="228" t="inlineStr">
        <s:is>
          <s:t>11,16,920</s:t>
        </s:is>
      </s:c>
      <s:c r="AC139" s="224" t="inlineStr">
        <s:is>
          <s:t>11</s:t>
        </s:is>
      </s:c>
      <s:c r="AD139" s="224" t="inlineStr">
        <s:is>
          <s:t>16,920</s:t>
        </s:is>
      </s:c>
      <s:c r="AE139" s="224" t="n">
        <s:v>0.1880333333333333</s:v>
      </s:c>
      <s:c r="AF139" s="225" t="n">
        <s:v>26.6867576670803</s:v>
      </s:c>
      <s:c r="AG139" s="229" t="n">
        <s:v>0.6377042646463678</s:v>
      </s:c>
      <s:c r="AH139" s="220" t="n">
        <s:v>19.1</s:v>
      </s:c>
      <s:c r="AI139" s="221" t="n">
        <s:v>1.091</s:v>
      </s:c>
      <s:c r="AJ139" s="221" t="n">
        <s:v>1.08</s:v>
      </s:c>
      <s:c r="AK139" s="222" t="n">
        <s:v>391.84</s:v>
      </s:c>
      <s:c r="AL139" s="222" t="n">
        <s:v>393.84</s:v>
      </s:c>
      <s:c r="AM139" s="230" t="n">
        <s:v>2.007</s:v>
      </s:c>
      <s:c r="AN139" s="223" t="inlineStr">
        <s:is>
          <s:t>7,23,380</s:t>
        </s:is>
      </s:c>
      <s:c r="AO139" s="224" t="inlineStr">
        <s:is>
          <s:t>7,</s:t>
        </s:is>
      </s:c>
      <s:c r="AP139" s="224" t="inlineStr">
        <s:is>
          <s:t>23,380</s:t>
        </s:is>
      </s:c>
      <s:c r="AQ139" s="224" t="n">
        <s:v>0.1231611111111111</s:v>
      </s:c>
      <s:c r="AR139" s="225" t="n">
        <s:v>16.29572826920475</s:v>
      </s:c>
      <s:c r="AS139" s="229" t="n">
        <s:v>-0.3487792725460945</s:v>
      </s:c>
      <s:c r="AT139" s="231" t="inlineStr">
        <s:is>
          <s:t>CONFORME</s:t>
        </s:is>
      </s:c>
      <s:c r="AU139" s="232">
        <s:f>B139=C139</s:f>
        <s:v/>
      </s:c>
      <s:c r="AV139" s="233">
        <s:f>MID(G139,1,2)</s:f>
        <s:v/>
      </s:c>
      <s:c r="AW139" s="233">
        <s:f>LEN(G139)</s:f>
        <s:v/>
      </s:c>
      <s:c r="AX139" s="233" t="inlineStr">
        <s:is>
          <s:t>OI-0923-2025</s:t>
        </s:is>
      </s:c>
      <s:c r="AY139" s="233">
        <s:f>N139&lt;Y139</s:f>
        <s:v/>
      </s:c>
      <s:c r="AZ139" s="233">
        <s:f>Z139&lt;=AK139</s:f>
        <s:v/>
      </s:c>
      <s:c r="BA139" s="233">
        <s:f>L139&lt;K139</s:f>
        <s:v/>
      </s:c>
      <s:c r="BB139" s="233">
        <s:f>W139&gt;=X139</s:f>
        <s:v/>
      </s:c>
      <s:c r="BC139" s="233">
        <s:f>AI139&gt;=AJ139</s:f>
        <s:v/>
      </s:c>
      <s:c r="BD139" s="233">
        <s:f>IF(I139&gt;=1,"Qcorrecto",IF(AND(BE139="aceptable",BF139="aceptable",BG139="aceptable"),"Qcorrecto","Qincorrecto"))</s:f>
        <s:v/>
      </s:c>
      <s:c r="BE139" s="232">
        <s:f>IF(AR139&lt;$AH$6,"error",IF(AR139&gt;$AH$6*1.1,"error","aceptable"))</s:f>
        <s:v/>
      </s:c>
      <s:c r="BF139" s="232">
        <s:f>IF(AF139&lt;$V$6,"error",IF(AF139&gt;$V$6*1.1,"error","aceptable"))</s:f>
        <s:v/>
      </s:c>
      <s:c r="BG139" s="232">
        <s:f>IF(T139&lt;$J$6*0.9,"error",IF(T139&gt;$J$6,"error","aceptable"))</s:f>
        <s:v/>
      </s:c>
      <s:c r="BH139" s="234">
        <s:f>(IF(ABS(U139)&lt;1,"CONFORME",IF(ABS(AG139)&lt;1,"CONFORME",IF(ABS(AS139)&lt;2.5,"CONFORME","NO CONFORME"))))</s:f>
        <s:v/>
      </s:c>
      <s:c r="BI139" s="235">
        <s:f>(IF(ABS(U139)&gt;2.044,"NO CONFORME",IF(ABS(AG139)&gt;2.044,"NO CONFORME",IF(ABS(AS139)&gt;5.044,"NO CONFORME","CONFORME"))))</s:f>
        <s:v/>
      </s:c>
      <s:c r="BJ139" s="233">
        <s:f>SIGN(U139)</s:f>
        <s:v/>
      </s:c>
      <s:c r="BK139" s="233">
        <s:f>SIGN(AG139)</s:f>
        <s:v/>
      </s:c>
      <s:c r="BL139" s="233">
        <s:f>SIGN(AS139)</s:f>
        <s:v/>
      </s:c>
      <s:c r="BM139" s="233">
        <s:f>CONCATENATE(BJ139,BK139,BL139)</s:f>
        <s:v/>
      </s:c>
      <s:c r="BN139" s="233">
        <s:f>IF(BM139="111","SI","SD")</s:f>
        <s:v/>
      </s:c>
      <s:c r="BO139" s="233">
        <s:f>IF(BM139="-1-1-1","SI","SD")</s:f>
        <s:v/>
      </s:c>
      <s:c r="BP139" s="233">
        <s:f>OR(BN139="SI",BO139="SI")</s:f>
        <s:v/>
      </s:c>
      <s:c r="BQ139" s="233">
        <s:f>IF(BP139=FALSE,"SIGDIFERENTES","SIGIGUALES")</s:f>
        <s:v/>
      </s:c>
      <s:c r="BR139" s="236">
        <s:f>IF(BI139="NO CONFORME","NO CONFORME",IF(BH139="CONFORME","CONFORME","NO CONFORME"))</s:f>
        <s:v/>
      </s:c>
      <s:c r="BS139" s="233">
        <s:f>F139</s:f>
        <s:v/>
      </s:c>
      <s:c r="BT139" s="237">
        <s:f>G139</s:f>
        <s:v/>
      </s:c>
      <s:c r="BU139" s="233">
        <s:f>"20"&amp;+MID(G139,3,2)</s:f>
        <s:v/>
      </s:c>
      <s:c r="BV139" s="238">
        <s:f>C139</s:f>
        <s:v/>
      </s:c>
      <s:c r="BW139" s="233">
        <s:f>AT139</s:f>
        <s:v/>
      </s:c>
      <s:c r="BX139" s="238">
        <s:f>B139</s:f>
        <s:v/>
      </s:c>
      <s:c r="BY139" s="239">
        <s:f>H139</s:f>
        <s:v/>
      </s:c>
      <s:c r="BZ139" s="233">
        <s:f>IF(I139=0,"CONFORME","NO CONFORME")</s:f>
        <s:v/>
      </s:c>
      <s:c r="CA139" s="238">
        <s:f>C139</s:f>
        <s:v/>
      </s:c>
      <s:c r="CB139" s="240">
        <s:f>AH139</s:f>
        <s:v/>
      </s:c>
      <s:c r="CC139" s="241">
        <s:f>AR139</s:f>
        <s:v/>
      </s:c>
      <s:c r="CD139" s="240">
        <s:f>AI139</s:f>
        <s:v/>
      </s:c>
      <s:c r="CE139" s="240">
        <s:f>AJ139</s:f>
        <s:v/>
      </s:c>
      <s:c r="CF139" s="240">
        <s:f>AS139</s:f>
        <s:v/>
      </s:c>
      <s:c r="CG139" s="240">
        <s:f>V139</s:f>
        <s:v/>
      </s:c>
      <s:c r="CH139" s="241">
        <s:f>AF139</s:f>
        <s:v/>
      </s:c>
      <s:c r="CI139" s="240">
        <s:f>W139</s:f>
        <s:v/>
      </s:c>
      <s:c r="CJ139" s="240">
        <s:f>X139</s:f>
        <s:v/>
      </s:c>
      <s:c r="CK139" s="240">
        <s:f>AG139</s:f>
        <s:v/>
      </s:c>
      <s:c r="CL139" s="240">
        <s:f>J139</s:f>
        <s:v/>
      </s:c>
      <s:c r="CM139" s="241">
        <s:f>T139</s:f>
        <s:v/>
      </s:c>
      <s:c r="CN139" s="240">
        <s:f>K139</s:f>
        <s:v/>
      </s:c>
      <s:c r="CO139" s="240">
        <s:f>L139</s:f>
        <s:v/>
      </s:c>
      <s:c r="CP139" s="242">
        <s:f>U139</s:f>
        <s:v/>
      </s:c>
      <s:c r="CQ139" s="233">
        <s:f>AT139</s:f>
        <s:v/>
      </s:c>
    </s:row>
    <s:row r="140">
      <s:c r="A140" s="211" t="n">
        <s:v>40</s:v>
      </s:c>
      <s:c r="B140" s="212" t="n">
        <s:v>45901</s:v>
      </s:c>
      <s:c r="C140" s="213" t="n">
        <s:v>45901</s:v>
      </s:c>
      <s:c r="D140" s="214" t="n">
        <s:v>3</s:v>
      </s:c>
      <s:c r="E140" s="215" t="n">
        <s:v>13</s:v>
      </s:c>
      <s:c r="F140" s="216" t="inlineStr">
        <s:is>
          <s:t>VI-236615-2025</s:t>
        </s:is>
      </s:c>
      <s:c r="G140" s="217" t="inlineStr">
        <s:is>
          <s:t>QA25418443</s:t>
        </s:is>
      </s:c>
      <s:c r="H140" s="218" t="n">
        <s:v>16</s:v>
      </s:c>
      <s:c r="I140" s="219" t="n">
        <s:v>0</s:v>
      </s:c>
      <s:c r="J140" s="220" t="n">
        <s:v>19.1</s:v>
      </s:c>
      <s:c r="K140" s="221" t="n">
        <s:v>7.504</s:v>
      </s:c>
      <s:c r="L140" s="221" t="n">
        <s:v>1.178</s:v>
      </s:c>
      <s:c r="M140" s="222" t="n">
        <s:v>347.72</s:v>
      </s:c>
      <s:c r="N140" s="222" t="n">
        <s:v>447.39</s:v>
      </s:c>
      <s:c r="O140" s="222" t="n">
        <s:v>100.58</s:v>
      </s:c>
      <s:c r="P140" s="223" t="inlineStr">
        <s:is>
          <s:t>2,30,290</s:t>
        </s:is>
      </s:c>
      <s:c r="Q140" s="224" t="inlineStr">
        <s:is>
          <s:t>2</s:t>
        </s:is>
      </s:c>
      <s:c r="R140" s="224" t="inlineStr">
        <s:is>
          <s:t>30,290</s:t>
        </s:is>
      </s:c>
      <s:c r="S140" s="224" t="n">
        <s:v>0.04174722222222222</s:v>
      </s:c>
      <s:c r="T140" s="225" t="n">
        <s:v>2409.262093286313</s:v>
      </s:c>
      <s:c r="U140" s="226" t="n">
        <s:v>-0.9047524358719817</s:v>
      </s:c>
      <s:c r="V140" s="220" t="n">
        <s:v>19.2</s:v>
      </s:c>
      <s:c r="W140" s="221" t="n">
        <s:v>1.091</s:v>
      </s:c>
      <s:c r="X140" s="221" t="n">
        <s:v>1.079</s:v>
      </s:c>
      <s:c r="Y140" s="222" t="n">
        <s:v>460.94</s:v>
      </s:c>
      <s:c r="Z140" s="222" t="n">
        <s:v>465.97</s:v>
      </s:c>
      <s:c r="AA140" s="227" t="n">
        <s:v>5.018</s:v>
      </s:c>
      <s:c r="AB140" s="228" t="inlineStr">
        <s:is>
          <s:t>11,16,920</s:t>
        </s:is>
      </s:c>
      <s:c r="AC140" s="224" t="inlineStr">
        <s:is>
          <s:t>11</s:t>
        </s:is>
      </s:c>
      <s:c r="AD140" s="224" t="inlineStr">
        <s:is>
          <s:t>16,920</s:t>
        </s:is>
      </s:c>
      <s:c r="AE140" s="224" t="n">
        <s:v>0.1880333333333333</s:v>
      </s:c>
      <s:c r="AF140" s="225" t="n">
        <s:v>26.6867576670803</s:v>
      </s:c>
      <s:c r="AG140" s="229" t="n">
        <s:v>0.2391390992433194</s:v>
      </s:c>
      <s:c r="AH140" s="220" t="n">
        <s:v>19.1</s:v>
      </s:c>
      <s:c r="AI140" s="221" t="n">
        <s:v>1.091</s:v>
      </s:c>
      <s:c r="AJ140" s="221" t="n">
        <s:v>1.08</s:v>
      </s:c>
      <s:c r="AK140" s="222" t="n">
        <s:v>465.97</s:v>
      </s:c>
      <s:c r="AL140" s="222" t="n">
        <s:v>467.95</s:v>
      </s:c>
      <s:c r="AM140" s="230" t="n">
        <s:v>2.007</s:v>
      </s:c>
      <s:c r="AN140" s="223" t="inlineStr">
        <s:is>
          <s:t>7,23,380</s:t>
        </s:is>
      </s:c>
      <s:c r="AO140" s="224" t="inlineStr">
        <s:is>
          <s:t>7,</s:t>
        </s:is>
      </s:c>
      <s:c r="AP140" s="224" t="inlineStr">
        <s:is>
          <s:t>23,380</s:t>
        </s:is>
      </s:c>
      <s:c r="AQ140" s="224" t="n">
        <s:v>0.1231611111111111</s:v>
      </s:c>
      <s:c r="AR140" s="225" t="n">
        <s:v>16.29572826920475</s:v>
      </s:c>
      <s:c r="AS140" s="229" t="n">
        <s:v>-1.345291479822559</s:v>
      </s:c>
      <s:c r="AT140" s="231" t="inlineStr">
        <s:is>
          <s:t>CONFORME</s:t>
        </s:is>
      </s:c>
      <s:c r="AU140" s="232">
        <s:f>B140=C140</s:f>
        <s:v/>
      </s:c>
      <s:c r="AV140" s="233">
        <s:f>MID(G140,1,2)</s:f>
        <s:v/>
      </s:c>
      <s:c r="AW140" s="233">
        <s:f>LEN(G140)</s:f>
        <s:v/>
      </s:c>
      <s:c r="AX140" s="233" t="inlineStr">
        <s:is>
          <s:t>OI-0923-2025</s:t>
        </s:is>
      </s:c>
      <s:c r="AY140" s="233">
        <s:f>N140&lt;Y140</s:f>
        <s:v/>
      </s:c>
      <s:c r="AZ140" s="233">
        <s:f>Z140&lt;=AK140</s:f>
        <s:v/>
      </s:c>
      <s:c r="BA140" s="233">
        <s:f>L140&lt;K140</s:f>
        <s:v/>
      </s:c>
      <s:c r="BB140" s="233">
        <s:f>W140&gt;=X140</s:f>
        <s:v/>
      </s:c>
      <s:c r="BC140" s="233">
        <s:f>AI140&gt;=AJ140</s:f>
        <s:v/>
      </s:c>
      <s:c r="BD140" s="233">
        <s:f>IF(I140&gt;=1,"Qcorrecto",IF(AND(BE140="aceptable",BF140="aceptable",BG140="aceptable"),"Qcorrecto","Qincorrecto"))</s:f>
        <s:v/>
      </s:c>
      <s:c r="BE140" s="232">
        <s:f>IF(AR140&lt;$AH$6,"error",IF(AR140&gt;$AH$6*1.1,"error","aceptable"))</s:f>
        <s:v/>
      </s:c>
      <s:c r="BF140" s="232">
        <s:f>IF(AF140&lt;$V$6,"error",IF(AF140&gt;$V$6*1.1,"error","aceptable"))</s:f>
        <s:v/>
      </s:c>
      <s:c r="BG140" s="232">
        <s:f>IF(T140&lt;$J$6*0.9,"error",IF(T140&gt;$J$6,"error","aceptable"))</s:f>
        <s:v/>
      </s:c>
      <s:c r="BH140" s="234">
        <s:f>(IF(ABS(U140)&lt;1,"CONFORME",IF(ABS(AG140)&lt;1,"CONFORME",IF(ABS(AS140)&lt;2.5,"CONFORME","NO CONFORME"))))</s:f>
        <s:v/>
      </s:c>
      <s:c r="BI140" s="235">
        <s:f>(IF(ABS(U140)&gt;2.044,"NO CONFORME",IF(ABS(AG140)&gt;2.044,"NO CONFORME",IF(ABS(AS140)&gt;5.044,"NO CONFORME","CONFORME"))))</s:f>
        <s:v/>
      </s:c>
      <s:c r="BJ140" s="233">
        <s:f>SIGN(U140)</s:f>
        <s:v/>
      </s:c>
      <s:c r="BK140" s="233">
        <s:f>SIGN(AG140)</s:f>
        <s:v/>
      </s:c>
      <s:c r="BL140" s="233">
        <s:f>SIGN(AS140)</s:f>
        <s:v/>
      </s:c>
      <s:c r="BM140" s="233">
        <s:f>CONCATENATE(BJ140,BK140,BL140)</s:f>
        <s:v/>
      </s:c>
      <s:c r="BN140" s="233">
        <s:f>IF(BM140="111","SI","SD")</s:f>
        <s:v/>
      </s:c>
      <s:c r="BO140" s="233">
        <s:f>IF(BM140="-1-1-1","SI","SD")</s:f>
        <s:v/>
      </s:c>
      <s:c r="BP140" s="233">
        <s:f>OR(BN140="SI",BO140="SI")</s:f>
        <s:v/>
      </s:c>
      <s:c r="BQ140" s="233">
        <s:f>IF(BP140=FALSE,"SIGDIFERENTES","SIGIGUALES")</s:f>
        <s:v/>
      </s:c>
      <s:c r="BR140" s="236">
        <s:f>IF(BI140="NO CONFORME","NO CONFORME",IF(BH140="CONFORME","CONFORME","NO CONFORME"))</s:f>
        <s:v/>
      </s:c>
      <s:c r="BS140" s="233">
        <s:f>F140</s:f>
        <s:v/>
      </s:c>
      <s:c r="BT140" s="237">
        <s:f>G140</s:f>
        <s:v/>
      </s:c>
      <s:c r="BU140" s="233">
        <s:f>"20"&amp;+MID(G140,3,2)</s:f>
        <s:v/>
      </s:c>
      <s:c r="BV140" s="238">
        <s:f>C140</s:f>
        <s:v/>
      </s:c>
      <s:c r="BW140" s="233">
        <s:f>AT140</s:f>
        <s:v/>
      </s:c>
      <s:c r="BX140" s="238">
        <s:f>B140</s:f>
        <s:v/>
      </s:c>
      <s:c r="BY140" s="239">
        <s:f>H140</s:f>
        <s:v/>
      </s:c>
      <s:c r="BZ140" s="233">
        <s:f>IF(I140=0,"CONFORME","NO CONFORME")</s:f>
        <s:v/>
      </s:c>
      <s:c r="CA140" s="238">
        <s:f>C140</s:f>
        <s:v/>
      </s:c>
      <s:c r="CB140" s="240">
        <s:f>AH140</s:f>
        <s:v/>
      </s:c>
      <s:c r="CC140" s="241">
        <s:f>AR140</s:f>
        <s:v/>
      </s:c>
      <s:c r="CD140" s="240">
        <s:f>AI140</s:f>
        <s:v/>
      </s:c>
      <s:c r="CE140" s="240">
        <s:f>AJ140</s:f>
        <s:v/>
      </s:c>
      <s:c r="CF140" s="240">
        <s:f>AS140</s:f>
        <s:v/>
      </s:c>
      <s:c r="CG140" s="240">
        <s:f>V140</s:f>
        <s:v/>
      </s:c>
      <s:c r="CH140" s="241">
        <s:f>AF140</s:f>
        <s:v/>
      </s:c>
      <s:c r="CI140" s="240">
        <s:f>W140</s:f>
        <s:v/>
      </s:c>
      <s:c r="CJ140" s="240">
        <s:f>X140</s:f>
        <s:v/>
      </s:c>
      <s:c r="CK140" s="240">
        <s:f>AG140</s:f>
        <s:v/>
      </s:c>
      <s:c r="CL140" s="240">
        <s:f>J140</s:f>
        <s:v/>
      </s:c>
      <s:c r="CM140" s="241">
        <s:f>T140</s:f>
        <s:v/>
      </s:c>
      <s:c r="CN140" s="240">
        <s:f>K140</s:f>
        <s:v/>
      </s:c>
      <s:c r="CO140" s="240">
        <s:f>L140</s:f>
        <s:v/>
      </s:c>
      <s:c r="CP140" s="242">
        <s:f>U140</s:f>
        <s:v/>
      </s:c>
      <s:c r="CQ140" s="233">
        <s:f>AT140</s:f>
        <s:v/>
      </s:c>
    </s:row>
    <s:row r="141">
      <s:c r="A141" s="211" t="n">
        <s:v>41</s:v>
      </s:c>
      <s:c r="B141" s="212" t="n">
        <s:v>45901</s:v>
      </s:c>
      <s:c r="C141" s="213" t="n">
        <s:v>45901</s:v>
      </s:c>
      <s:c r="D141" s="214" t="n">
        <s:v>3</s:v>
      </s:c>
      <s:c r="E141" s="215" t="n">
        <s:v>13</s:v>
      </s:c>
      <s:c r="F141" s="216" t="inlineStr">
        <s:is>
          <s:t>VI-236616-2025</s:t>
        </s:is>
      </s:c>
      <s:c r="G141" s="217" t="inlineStr">
        <s:is>
          <s:t>QA25418233</s:t>
        </s:is>
      </s:c>
      <s:c r="H141" s="218" t="n">
        <s:v>16</s:v>
      </s:c>
      <s:c r="I141" s="219" t="n">
        <s:v>0</s:v>
      </s:c>
      <s:c r="J141" s="220" t="n">
        <s:v>19.1</s:v>
      </s:c>
      <s:c r="K141" s="221" t="n">
        <s:v>7.504</s:v>
      </s:c>
      <s:c r="L141" s="221" t="n">
        <s:v>1.178</s:v>
      </s:c>
      <s:c r="M141" s="222" t="n">
        <s:v>323.47</s:v>
      </s:c>
      <s:c r="N141" s="222" t="n">
        <s:v>422.92</s:v>
      </s:c>
      <s:c r="O141" s="222" t="n">
        <s:v>100.58</s:v>
      </s:c>
      <s:c r="P141" s="223" t="inlineStr">
        <s:is>
          <s:t>2,30,290</s:t>
        </s:is>
      </s:c>
      <s:c r="Q141" s="224" t="inlineStr">
        <s:is>
          <s:t>2</s:t>
        </s:is>
      </s:c>
      <s:c r="R141" s="224" t="inlineStr">
        <s:is>
          <s:t>30,290</s:t>
        </s:is>
      </s:c>
      <s:c r="S141" s="224" t="n">
        <s:v>0.04174722222222222</s:v>
      </s:c>
      <s:c r="T141" s="225" t="n">
        <s:v>2409.262093286313</s:v>
      </s:c>
      <s:c r="U141" s="226" t="n">
        <s:v>-1.12348379399484</s:v>
      </s:c>
      <s:c r="V141" s="220" t="n">
        <s:v>19.2</s:v>
      </s:c>
      <s:c r="W141" s="221" t="n">
        <s:v>1.091</s:v>
      </s:c>
      <s:c r="X141" s="221" t="n">
        <s:v>1.079</s:v>
      </s:c>
      <s:c r="Y141" s="222" t="n">
        <s:v>436.51</s:v>
      </s:c>
      <s:c r="Z141" s="222" t="n">
        <s:v>441.53</s:v>
      </s:c>
      <s:c r="AA141" s="227" t="n">
        <s:v>5.018</s:v>
      </s:c>
      <s:c r="AB141" s="228" t="inlineStr">
        <s:is>
          <s:t>11,16,920</s:t>
        </s:is>
      </s:c>
      <s:c r="AC141" s="224" t="inlineStr">
        <s:is>
          <s:t>11</s:t>
        </s:is>
      </s:c>
      <s:c r="AD141" s="224" t="inlineStr">
        <s:is>
          <s:t>16,920</s:t>
        </s:is>
      </s:c>
      <s:c r="AE141" s="224" t="n">
        <s:v>0.1880333333333333</s:v>
      </s:c>
      <s:c r="AF141" s="225" t="n">
        <s:v>26.6867576670803</s:v>
      </s:c>
      <s:c r="AG141" s="229" t="n">
        <s:v>0.03985651654009598</s:v>
      </s:c>
      <s:c r="AH141" s="220" t="n">
        <s:v>19.1</s:v>
      </s:c>
      <s:c r="AI141" s="221" t="n">
        <s:v>1.091</s:v>
      </s:c>
      <s:c r="AJ141" s="221" t="n">
        <s:v>1.08</s:v>
      </s:c>
      <s:c r="AK141" s="222" t="n">
        <s:v>441.53</s:v>
      </s:c>
      <s:c r="AL141" s="222" t="n">
        <s:v>443.54</s:v>
      </s:c>
      <s:c r="AM141" s="230" t="n">
        <s:v>2.007</s:v>
      </s:c>
      <s:c r="AN141" s="223" t="inlineStr">
        <s:is>
          <s:t>7,23,380</s:t>
        </s:is>
      </s:c>
      <s:c r="AO141" s="224" t="inlineStr">
        <s:is>
          <s:t>7,</s:t>
        </s:is>
      </s:c>
      <s:c r="AP141" s="224" t="inlineStr">
        <s:is>
          <s:t>23,380</s:t>
        </s:is>
      </s:c>
      <s:c r="AQ141" s="224" t="n">
        <s:v>0.1231611111111111</s:v>
      </s:c>
      <s:c r="AR141" s="225" t="n">
        <s:v>16.29572826920475</s:v>
      </s:c>
      <s:c r="AS141" s="229" t="n">
        <s:v>0.1494768310935541</s:v>
      </s:c>
      <s:c r="AT141" s="231" t="inlineStr">
        <s:is>
          <s:t>CONFORME</s:t>
        </s:is>
      </s:c>
      <s:c r="AU141" s="232">
        <s:f>B141=C141</s:f>
        <s:v/>
      </s:c>
      <s:c r="AV141" s="233">
        <s:f>MID(G141,1,2)</s:f>
        <s:v/>
      </s:c>
      <s:c r="AW141" s="233">
        <s:f>LEN(G141)</s:f>
        <s:v/>
      </s:c>
      <s:c r="AX141" s="233" t="inlineStr">
        <s:is>
          <s:t>OI-0923-2025</s:t>
        </s:is>
      </s:c>
      <s:c r="AY141" s="233">
        <s:f>N141&lt;Y141</s:f>
        <s:v/>
      </s:c>
      <s:c r="AZ141" s="233">
        <s:f>Z141&lt;=AK141</s:f>
        <s:v/>
      </s:c>
      <s:c r="BA141" s="233">
        <s:f>L141&lt;K141</s:f>
        <s:v/>
      </s:c>
      <s:c r="BB141" s="233">
        <s:f>W141&gt;=X141</s:f>
        <s:v/>
      </s:c>
      <s:c r="BC141" s="233">
        <s:f>AI141&gt;=AJ141</s:f>
        <s:v/>
      </s:c>
      <s:c r="BD141" s="233">
        <s:f>IF(I141&gt;=1,"Qcorrecto",IF(AND(BE141="aceptable",BF141="aceptable",BG141="aceptable"),"Qcorrecto","Qincorrecto"))</s:f>
        <s:v/>
      </s:c>
      <s:c r="BE141" s="232">
        <s:f>IF(AR141&lt;$AH$6,"error",IF(AR141&gt;$AH$6*1.1,"error","aceptable"))</s:f>
        <s:v/>
      </s:c>
      <s:c r="BF141" s="232">
        <s:f>IF(AF141&lt;$V$6,"error",IF(AF141&gt;$V$6*1.1,"error","aceptable"))</s:f>
        <s:v/>
      </s:c>
      <s:c r="BG141" s="232">
        <s:f>IF(T141&lt;$J$6*0.9,"error",IF(T141&gt;$J$6,"error","aceptable"))</s:f>
        <s:v/>
      </s:c>
      <s:c r="BH141" s="234">
        <s:f>(IF(ABS(U141)&lt;1,"CONFORME",IF(ABS(AG141)&lt;1,"CONFORME",IF(ABS(AS141)&lt;2.5,"CONFORME","NO CONFORME"))))</s:f>
        <s:v/>
      </s:c>
      <s:c r="BI141" s="235">
        <s:f>(IF(ABS(U141)&gt;2.044,"NO CONFORME",IF(ABS(AG141)&gt;2.044,"NO CONFORME",IF(ABS(AS141)&gt;5.044,"NO CONFORME","CONFORME"))))</s:f>
        <s:v/>
      </s:c>
      <s:c r="BJ141" s="233">
        <s:f>SIGN(U141)</s:f>
        <s:v/>
      </s:c>
      <s:c r="BK141" s="233">
        <s:f>SIGN(AG141)</s:f>
        <s:v/>
      </s:c>
      <s:c r="BL141" s="233">
        <s:f>SIGN(AS141)</s:f>
        <s:v/>
      </s:c>
      <s:c r="BM141" s="233">
        <s:f>CONCATENATE(BJ141,BK141,BL141)</s:f>
        <s:v/>
      </s:c>
      <s:c r="BN141" s="233">
        <s:f>IF(BM141="111","SI","SD")</s:f>
        <s:v/>
      </s:c>
      <s:c r="BO141" s="233">
        <s:f>IF(BM141="-1-1-1","SI","SD")</s:f>
        <s:v/>
      </s:c>
      <s:c r="BP141" s="233">
        <s:f>OR(BN141="SI",BO141="SI")</s:f>
        <s:v/>
      </s:c>
      <s:c r="BQ141" s="233">
        <s:f>IF(BP141=FALSE,"SIGDIFERENTES","SIGIGUALES")</s:f>
        <s:v/>
      </s:c>
      <s:c r="BR141" s="236">
        <s:f>IF(BI141="NO CONFORME","NO CONFORME",IF(BH141="CONFORME","CONFORME","NO CONFORME"))</s:f>
        <s:v/>
      </s:c>
      <s:c r="BS141" s="233">
        <s:f>F141</s:f>
        <s:v/>
      </s:c>
      <s:c r="BT141" s="237">
        <s:f>G141</s:f>
        <s:v/>
      </s:c>
      <s:c r="BU141" s="233">
        <s:f>"20"&amp;+MID(G141,3,2)</s:f>
        <s:v/>
      </s:c>
      <s:c r="BV141" s="238">
        <s:f>C141</s:f>
        <s:v/>
      </s:c>
      <s:c r="BW141" s="233">
        <s:f>AT141</s:f>
        <s:v/>
      </s:c>
      <s:c r="BX141" s="238">
        <s:f>B141</s:f>
        <s:v/>
      </s:c>
      <s:c r="BY141" s="239">
        <s:f>H141</s:f>
        <s:v/>
      </s:c>
      <s:c r="BZ141" s="233">
        <s:f>IF(I141=0,"CONFORME","NO CONFORME")</s:f>
        <s:v/>
      </s:c>
      <s:c r="CA141" s="238">
        <s:f>C141</s:f>
        <s:v/>
      </s:c>
      <s:c r="CB141" s="240">
        <s:f>AH141</s:f>
        <s:v/>
      </s:c>
      <s:c r="CC141" s="241">
        <s:f>AR141</s:f>
        <s:v/>
      </s:c>
      <s:c r="CD141" s="240">
        <s:f>AI141</s:f>
        <s:v/>
      </s:c>
      <s:c r="CE141" s="240">
        <s:f>AJ141</s:f>
        <s:v/>
      </s:c>
      <s:c r="CF141" s="240">
        <s:f>AS141</s:f>
        <s:v/>
      </s:c>
      <s:c r="CG141" s="240">
        <s:f>V141</s:f>
        <s:v/>
      </s:c>
      <s:c r="CH141" s="241">
        <s:f>AF141</s:f>
        <s:v/>
      </s:c>
      <s:c r="CI141" s="240">
        <s:f>W141</s:f>
        <s:v/>
      </s:c>
      <s:c r="CJ141" s="240">
        <s:f>X141</s:f>
        <s:v/>
      </s:c>
      <s:c r="CK141" s="240">
        <s:f>AG141</s:f>
        <s:v/>
      </s:c>
      <s:c r="CL141" s="240">
        <s:f>J141</s:f>
        <s:v/>
      </s:c>
      <s:c r="CM141" s="241">
        <s:f>T141</s:f>
        <s:v/>
      </s:c>
      <s:c r="CN141" s="240">
        <s:f>K141</s:f>
        <s:v/>
      </s:c>
      <s:c r="CO141" s="240">
        <s:f>L141</s:f>
        <s:v/>
      </s:c>
      <s:c r="CP141" s="242">
        <s:f>U141</s:f>
        <s:v/>
      </s:c>
      <s:c r="CQ141" s="233">
        <s:f>AT141</s:f>
        <s:v/>
      </s:c>
    </s:row>
    <s:row r="142">
      <s:c r="A142" s="211" t="n">
        <s:v>42</s:v>
      </s:c>
      <s:c r="B142" s="212" t="n">
        <s:v>45901</s:v>
      </s:c>
      <s:c r="C142" s="213" t="n">
        <s:v>45901</s:v>
      </s:c>
      <s:c r="D142" s="214" t="n">
        <s:v>3</s:v>
      </s:c>
      <s:c r="E142" s="215" t="n">
        <s:v>13</s:v>
      </s:c>
      <s:c r="F142" s="216" t="inlineStr">
        <s:is>
          <s:t>VI-236617-2025</s:t>
        </s:is>
      </s:c>
      <s:c r="G142" s="217" t="inlineStr">
        <s:is>
          <s:t>QA25418239</s:t>
        </s:is>
      </s:c>
      <s:c r="H142" s="218" t="n">
        <s:v>16</s:v>
      </s:c>
      <s:c r="I142" s="219" t="n">
        <s:v>0</s:v>
      </s:c>
      <s:c r="J142" s="220" t="n">
        <s:v>19.1</s:v>
      </s:c>
      <s:c r="K142" s="221" t="n">
        <s:v>7.504</s:v>
      </s:c>
      <s:c r="L142" s="221" t="n">
        <s:v>1.178</s:v>
      </s:c>
      <s:c r="M142" s="222" t="n">
        <s:v>323.51</s:v>
      </s:c>
      <s:c r="N142" s="222" t="n">
        <s:v>423.96</s:v>
      </s:c>
      <s:c r="O142" s="222" t="n">
        <s:v>100.58</s:v>
      </s:c>
      <s:c r="P142" s="223" t="inlineStr">
        <s:is>
          <s:t>2,30,290</s:t>
        </s:is>
      </s:c>
      <s:c r="Q142" s="224" t="inlineStr">
        <s:is>
          <s:t>2</s:t>
        </s:is>
      </s:c>
      <s:c r="R142" s="224" t="inlineStr">
        <s:is>
          <s:t>30,290</s:t>
        </s:is>
      </s:c>
      <s:c r="S142" s="224" t="n">
        <s:v>0.04174722222222222</s:v>
      </s:c>
      <s:c r="T142" s="225" t="n">
        <s:v>2409.262093286313</s:v>
      </s:c>
      <s:c r="U142" s="226" t="n">
        <s:v>-0.1292503479817157</s:v>
      </s:c>
      <s:c r="V142" s="220" t="n">
        <s:v>19.2</s:v>
      </s:c>
      <s:c r="W142" s="221" t="n">
        <s:v>1.091</s:v>
      </s:c>
      <s:c r="X142" s="221" t="n">
        <s:v>1.079</s:v>
      </s:c>
      <s:c r="Y142" s="222" t="n">
        <s:v>437.66</s:v>
      </s:c>
      <s:c r="Z142" s="222" t="n">
        <s:v>442.74</s:v>
      </s:c>
      <s:c r="AA142" s="227" t="n">
        <s:v>5.018</s:v>
      </s:c>
      <s:c r="AB142" s="228" t="inlineStr">
        <s:is>
          <s:t>11,16,920</s:t>
        </s:is>
      </s:c>
      <s:c r="AC142" s="224" t="inlineStr">
        <s:is>
          <s:t>11</s:t>
        </s:is>
      </s:c>
      <s:c r="AD142" s="224" t="inlineStr">
        <s:is>
          <s:t>16,920</s:t>
        </s:is>
      </s:c>
      <s:c r="AE142" s="224" t="n">
        <s:v>0.1880333333333333</s:v>
      </s:c>
      <s:c r="AF142" s="225" t="n">
        <s:v>26.6867576670803</s:v>
      </s:c>
      <s:c r="AG142" s="229" t="n">
        <s:v>1.235552012753772</s:v>
      </s:c>
      <s:c r="AH142" s="220" t="n">
        <s:v>19.1</s:v>
      </s:c>
      <s:c r="AI142" s="221" t="n">
        <s:v>1.091</s:v>
      </s:c>
      <s:c r="AJ142" s="221" t="n">
        <s:v>1.08</s:v>
      </s:c>
      <s:c r="AK142" s="222" t="n">
        <s:v>442.74</s:v>
      </s:c>
      <s:c r="AL142" s="222" t="n">
        <s:v>444.76</s:v>
      </s:c>
      <s:c r="AM142" s="230" t="n">
        <s:v>2.007</s:v>
      </s:c>
      <s:c r="AN142" s="223" t="inlineStr">
        <s:is>
          <s:t>7,23,380</s:t>
        </s:is>
      </s:c>
      <s:c r="AO142" s="224" t="inlineStr">
        <s:is>
          <s:t>7,</s:t>
        </s:is>
      </s:c>
      <s:c r="AP142" s="224" t="inlineStr">
        <s:is>
          <s:t>23,380</s:t>
        </s:is>
      </s:c>
      <s:c r="AQ142" s="224" t="n">
        <s:v>0.1231611111111111</s:v>
      </s:c>
      <s:c r="AR142" s="225" t="n">
        <s:v>16.29572826920475</s:v>
      </s:c>
      <s:c r="AS142" s="229" t="n">
        <s:v>0.6477329347275382</s:v>
      </s:c>
      <s:c r="AT142" s="231" t="inlineStr">
        <s:is>
          <s:t>CONFORME</s:t>
        </s:is>
      </s:c>
      <s:c r="AU142" s="232">
        <s:f>B142=C142</s:f>
        <s:v/>
      </s:c>
      <s:c r="AV142" s="233">
        <s:f>MID(G142,1,2)</s:f>
        <s:v/>
      </s:c>
      <s:c r="AW142" s="233">
        <s:f>LEN(G142)</s:f>
        <s:v/>
      </s:c>
      <s:c r="AX142" s="233" t="inlineStr">
        <s:is>
          <s:t>OI-0923-2025</s:t>
        </s:is>
      </s:c>
      <s:c r="AY142" s="233">
        <s:f>N142&lt;Y142</s:f>
        <s:v/>
      </s:c>
      <s:c r="AZ142" s="233">
        <s:f>Z142&lt;=AK142</s:f>
        <s:v/>
      </s:c>
      <s:c r="BA142" s="233">
        <s:f>L142&lt;K142</s:f>
        <s:v/>
      </s:c>
      <s:c r="BB142" s="233">
        <s:f>W142&gt;=X142</s:f>
        <s:v/>
      </s:c>
      <s:c r="BC142" s="233">
        <s:f>AI142&gt;=AJ142</s:f>
        <s:v/>
      </s:c>
      <s:c r="BD142" s="233">
        <s:f>IF(I142&gt;=1,"Qcorrecto",IF(AND(BE142="aceptable",BF142="aceptable",BG142="aceptable"),"Qcorrecto","Qincorrecto"))</s:f>
        <s:v/>
      </s:c>
      <s:c r="BE142" s="232">
        <s:f>IF(AR142&lt;$AH$6,"error",IF(AR142&gt;$AH$6*1.1,"error","aceptable"))</s:f>
        <s:v/>
      </s:c>
      <s:c r="BF142" s="232">
        <s:f>IF(AF142&lt;$V$6,"error",IF(AF142&gt;$V$6*1.1,"error","aceptable"))</s:f>
        <s:v/>
      </s:c>
      <s:c r="BG142" s="232">
        <s:f>IF(T142&lt;$J$6*0.9,"error",IF(T142&gt;$J$6,"error","aceptable"))</s:f>
        <s:v/>
      </s:c>
      <s:c r="BH142" s="234">
        <s:f>(IF(ABS(U142)&lt;1,"CONFORME",IF(ABS(AG142)&lt;1,"CONFORME",IF(ABS(AS142)&lt;2.5,"CONFORME","NO CONFORME"))))</s:f>
        <s:v/>
      </s:c>
      <s:c r="BI142" s="235">
        <s:f>(IF(ABS(U142)&gt;2.044,"NO CONFORME",IF(ABS(AG142)&gt;2.044,"NO CONFORME",IF(ABS(AS142)&gt;5.044,"NO CONFORME","CONFORME"))))</s:f>
        <s:v/>
      </s:c>
      <s:c r="BJ142" s="233">
        <s:f>SIGN(U142)</s:f>
        <s:v/>
      </s:c>
      <s:c r="BK142" s="233">
        <s:f>SIGN(AG142)</s:f>
        <s:v/>
      </s:c>
      <s:c r="BL142" s="233">
        <s:f>SIGN(AS142)</s:f>
        <s:v/>
      </s:c>
      <s:c r="BM142" s="233">
        <s:f>CONCATENATE(BJ142,BK142,BL142)</s:f>
        <s:v/>
      </s:c>
      <s:c r="BN142" s="233">
        <s:f>IF(BM142="111","SI","SD")</s:f>
        <s:v/>
      </s:c>
      <s:c r="BO142" s="233">
        <s:f>IF(BM142="-1-1-1","SI","SD")</s:f>
        <s:v/>
      </s:c>
      <s:c r="BP142" s="233">
        <s:f>OR(BN142="SI",BO142="SI")</s:f>
        <s:v/>
      </s:c>
      <s:c r="BQ142" s="233">
        <s:f>IF(BP142=FALSE,"SIGDIFERENTES","SIGIGUALES")</s:f>
        <s:v/>
      </s:c>
      <s:c r="BR142" s="236">
        <s:f>IF(BI142="NO CONFORME","NO CONFORME",IF(BH142="CONFORME","CONFORME","NO CONFORME"))</s:f>
        <s:v/>
      </s:c>
      <s:c r="BS142" s="233">
        <s:f>F142</s:f>
        <s:v/>
      </s:c>
      <s:c r="BT142" s="237">
        <s:f>G142</s:f>
        <s:v/>
      </s:c>
      <s:c r="BU142" s="233">
        <s:f>"20"&amp;+MID(G142,3,2)</s:f>
        <s:v/>
      </s:c>
      <s:c r="BV142" s="238">
        <s:f>C142</s:f>
        <s:v/>
      </s:c>
      <s:c r="BW142" s="233">
        <s:f>AT142</s:f>
        <s:v/>
      </s:c>
      <s:c r="BX142" s="238">
        <s:f>B142</s:f>
        <s:v/>
      </s:c>
      <s:c r="BY142" s="239">
        <s:f>H142</s:f>
        <s:v/>
      </s:c>
      <s:c r="BZ142" s="233">
        <s:f>IF(I142=0,"CONFORME","NO CONFORME")</s:f>
        <s:v/>
      </s:c>
      <s:c r="CA142" s="238">
        <s:f>C142</s:f>
        <s:v/>
      </s:c>
      <s:c r="CB142" s="240">
        <s:f>AH142</s:f>
        <s:v/>
      </s:c>
      <s:c r="CC142" s="241">
        <s:f>AR142</s:f>
        <s:v/>
      </s:c>
      <s:c r="CD142" s="240">
        <s:f>AI142</s:f>
        <s:v/>
      </s:c>
      <s:c r="CE142" s="240">
        <s:f>AJ142</s:f>
        <s:v/>
      </s:c>
      <s:c r="CF142" s="240">
        <s:f>AS142</s:f>
        <s:v/>
      </s:c>
      <s:c r="CG142" s="240">
        <s:f>V142</s:f>
        <s:v/>
      </s:c>
      <s:c r="CH142" s="241">
        <s:f>AF142</s:f>
        <s:v/>
      </s:c>
      <s:c r="CI142" s="240">
        <s:f>W142</s:f>
        <s:v/>
      </s:c>
      <s:c r="CJ142" s="240">
        <s:f>X142</s:f>
        <s:v/>
      </s:c>
      <s:c r="CK142" s="240">
        <s:f>AG142</s:f>
        <s:v/>
      </s:c>
      <s:c r="CL142" s="240">
        <s:f>J142</s:f>
        <s:v/>
      </s:c>
      <s:c r="CM142" s="241">
        <s:f>T142</s:f>
        <s:v/>
      </s:c>
      <s:c r="CN142" s="240">
        <s:f>K142</s:f>
        <s:v/>
      </s:c>
      <s:c r="CO142" s="240">
        <s:f>L142</s:f>
        <s:v/>
      </s:c>
      <s:c r="CP142" s="242">
        <s:f>U142</s:f>
        <s:v/>
      </s:c>
      <s:c r="CQ142" s="233">
        <s:f>AT142</s:f>
        <s:v/>
      </s:c>
    </s:row>
    <s:row r="143">
      <s:c r="A143" s="211" t="n">
        <s:v>43</s:v>
      </s:c>
      <s:c r="B143" s="212" t="n">
        <s:v>45901</s:v>
      </s:c>
      <s:c r="C143" s="213" t="n">
        <s:v>45901</s:v>
      </s:c>
      <s:c r="D143" s="214" t="n">
        <s:v>3</s:v>
      </s:c>
      <s:c r="E143" s="215" t="n">
        <s:v>13</s:v>
      </s:c>
      <s:c r="F143" s="216" t="inlineStr">
        <s:is>
          <s:t>VI-236618-2025</s:t>
        </s:is>
      </s:c>
      <s:c r="G143" s="217" t="inlineStr">
        <s:is>
          <s:t>QA25418235</s:t>
        </s:is>
      </s:c>
      <s:c r="H143" s="218" t="n">
        <s:v>16</s:v>
      </s:c>
      <s:c r="I143" s="219" t="n">
        <s:v>0</s:v>
      </s:c>
      <s:c r="J143" s="220" t="n">
        <s:v>19.1</s:v>
      </s:c>
      <s:c r="K143" s="221" t="n">
        <s:v>7.504</s:v>
      </s:c>
      <s:c r="L143" s="221" t="n">
        <s:v>1.178</s:v>
      </s:c>
      <s:c r="M143" s="222" t="n">
        <s:v>326.16</s:v>
      </s:c>
      <s:c r="N143" s="222" t="n">
        <s:v>426.15</s:v>
      </s:c>
      <s:c r="O143" s="222" t="n">
        <s:v>100.58</s:v>
      </s:c>
      <s:c r="P143" s="223" t="inlineStr">
        <s:is>
          <s:t>2,30,290</s:t>
        </s:is>
      </s:c>
      <s:c r="Q143" s="224" t="inlineStr">
        <s:is>
          <s:t>2</s:t>
        </s:is>
      </s:c>
      <s:c r="R143" s="224" t="inlineStr">
        <s:is>
          <s:t>30,290</s:t>
        </s:is>
      </s:c>
      <s:c r="S143" s="224" t="n">
        <s:v>0.04174722222222222</s:v>
      </s:c>
      <s:c r="T143" s="225" t="n">
        <s:v>2409.262093286313</s:v>
      </s:c>
      <s:c r="U143" s="226" t="n">
        <s:v>-0.586597733147789</s:v>
      </s:c>
      <s:c r="V143" s="220" t="n">
        <s:v>19.2</s:v>
      </s:c>
      <s:c r="W143" s="221" t="n">
        <s:v>1.091</s:v>
      </s:c>
      <s:c r="X143" s="221" t="n">
        <s:v>1.079</s:v>
      </s:c>
      <s:c r="Y143" s="222" t="n">
        <s:v>439.69</s:v>
      </s:c>
      <s:c r="Z143" s="222" t="n">
        <s:v>444.71</s:v>
      </s:c>
      <s:c r="AA143" s="227" t="n">
        <s:v>5.018</s:v>
      </s:c>
      <s:c r="AB143" s="228" t="inlineStr">
        <s:is>
          <s:t>11,16,920</s:t>
        </s:is>
      </s:c>
      <s:c r="AC143" s="224" t="inlineStr">
        <s:is>
          <s:t>11</s:t>
        </s:is>
      </s:c>
      <s:c r="AD143" s="224" t="inlineStr">
        <s:is>
          <s:t>16,920</s:t>
        </s:is>
      </s:c>
      <s:c r="AE143" s="224" t="n">
        <s:v>0.1880333333333333</s:v>
      </s:c>
      <s:c r="AF143" s="225" t="n">
        <s:v>26.6867576670803</s:v>
      </s:c>
      <s:c r="AG143" s="229" t="n">
        <s:v>0.03985651654009598</s:v>
      </s:c>
      <s:c r="AH143" s="220" t="n">
        <s:v>19.1</s:v>
      </s:c>
      <s:c r="AI143" s="221" t="n">
        <s:v>1.091</s:v>
      </s:c>
      <s:c r="AJ143" s="221" t="n">
        <s:v>1.08</s:v>
      </s:c>
      <s:c r="AK143" s="222" t="n">
        <s:v>444.71</s:v>
      </s:c>
      <s:c r="AL143" s="222" t="n">
        <s:v>446.74</s:v>
      </s:c>
      <s:c r="AM143" s="230" t="n">
        <s:v>2.007</s:v>
      </s:c>
      <s:c r="AN143" s="223" t="inlineStr">
        <s:is>
          <s:t>7,23,380</s:t>
        </s:is>
      </s:c>
      <s:c r="AO143" s="224" t="inlineStr">
        <s:is>
          <s:t>7,</s:t>
        </s:is>
      </s:c>
      <s:c r="AP143" s="224" t="inlineStr">
        <s:is>
          <s:t>23,380</s:t>
        </s:is>
      </s:c>
      <s:c r="AQ143" s="224" t="n">
        <s:v>0.1231611111111111</s:v>
      </s:c>
      <s:c r="AR143" s="225" t="n">
        <s:v>16.29572826920475</s:v>
      </s:c>
      <s:c r="AS143" s="229" t="n">
        <s:v>1.145989038367187</s:v>
      </s:c>
      <s:c r="AT143" s="231" t="inlineStr">
        <s:is>
          <s:t>CONFORME</s:t>
        </s:is>
      </s:c>
      <s:c r="AU143" s="232">
        <s:f>B143=C143</s:f>
        <s:v/>
      </s:c>
      <s:c r="AV143" s="233">
        <s:f>MID(G143,1,2)</s:f>
        <s:v/>
      </s:c>
      <s:c r="AW143" s="233">
        <s:f>LEN(G143)</s:f>
        <s:v/>
      </s:c>
      <s:c r="AX143" s="233" t="inlineStr">
        <s:is>
          <s:t>OI-0923-2025</s:t>
        </s:is>
      </s:c>
      <s:c r="AY143" s="233">
        <s:f>N143&lt;Y143</s:f>
        <s:v/>
      </s:c>
      <s:c r="AZ143" s="233">
        <s:f>Z143&lt;=AK143</s:f>
        <s:v/>
      </s:c>
      <s:c r="BA143" s="233">
        <s:f>L143&lt;K143</s:f>
        <s:v/>
      </s:c>
      <s:c r="BB143" s="233">
        <s:f>W143&gt;=X143</s:f>
        <s:v/>
      </s:c>
      <s:c r="BC143" s="233">
        <s:f>AI143&gt;=AJ143</s:f>
        <s:v/>
      </s:c>
      <s:c r="BD143" s="233">
        <s:f>IF(I143&gt;=1,"Qcorrecto",IF(AND(BE143="aceptable",BF143="aceptable",BG143="aceptable"),"Qcorrecto","Qincorrecto"))</s:f>
        <s:v/>
      </s:c>
      <s:c r="BE143" s="232">
        <s:f>IF(AR143&lt;$AH$6,"error",IF(AR143&gt;$AH$6*1.1,"error","aceptable"))</s:f>
        <s:v/>
      </s:c>
      <s:c r="BF143" s="232">
        <s:f>IF(AF143&lt;$V$6,"error",IF(AF143&gt;$V$6*1.1,"error","aceptable"))</s:f>
        <s:v/>
      </s:c>
      <s:c r="BG143" s="232">
        <s:f>IF(T143&lt;$J$6*0.9,"error",IF(T143&gt;$J$6,"error","aceptable"))</s:f>
        <s:v/>
      </s:c>
      <s:c r="BH143" s="234">
        <s:f>(IF(ABS(U143)&lt;1,"CONFORME",IF(ABS(AG143)&lt;1,"CONFORME",IF(ABS(AS143)&lt;2.5,"CONFORME","NO CONFORME"))))</s:f>
        <s:v/>
      </s:c>
      <s:c r="BI143" s="235">
        <s:f>(IF(ABS(U143)&gt;2.044,"NO CONFORME",IF(ABS(AG143)&gt;2.044,"NO CONFORME",IF(ABS(AS143)&gt;5.044,"NO CONFORME","CONFORME"))))</s:f>
        <s:v/>
      </s:c>
      <s:c r="BJ143" s="233">
        <s:f>SIGN(U143)</s:f>
        <s:v/>
      </s:c>
      <s:c r="BK143" s="233">
        <s:f>SIGN(AG143)</s:f>
        <s:v/>
      </s:c>
      <s:c r="BL143" s="233">
        <s:f>SIGN(AS143)</s:f>
        <s:v/>
      </s:c>
      <s:c r="BM143" s="233">
        <s:f>CONCATENATE(BJ143,BK143,BL143)</s:f>
        <s:v/>
      </s:c>
      <s:c r="BN143" s="233">
        <s:f>IF(BM143="111","SI","SD")</s:f>
        <s:v/>
      </s:c>
      <s:c r="BO143" s="233">
        <s:f>IF(BM143="-1-1-1","SI","SD")</s:f>
        <s:v/>
      </s:c>
      <s:c r="BP143" s="233">
        <s:f>OR(BN143="SI",BO143="SI")</s:f>
        <s:v/>
      </s:c>
      <s:c r="BQ143" s="233">
        <s:f>IF(BP143=FALSE,"SIGDIFERENTES","SIGIGUALES")</s:f>
        <s:v/>
      </s:c>
      <s:c r="BR143" s="236">
        <s:f>IF(BI143="NO CONFORME","NO CONFORME",IF(BH143="CONFORME","CONFORME","NO CONFORME"))</s:f>
        <s:v/>
      </s:c>
      <s:c r="BS143" s="233">
        <s:f>F143</s:f>
        <s:v/>
      </s:c>
      <s:c r="BT143" s="237">
        <s:f>G143</s:f>
        <s:v/>
      </s:c>
      <s:c r="BU143" s="233">
        <s:f>"20"&amp;+MID(G143,3,2)</s:f>
        <s:v/>
      </s:c>
      <s:c r="BV143" s="238">
        <s:f>C143</s:f>
        <s:v/>
      </s:c>
      <s:c r="BW143" s="233">
        <s:f>AT143</s:f>
        <s:v/>
      </s:c>
      <s:c r="BX143" s="238">
        <s:f>B143</s:f>
        <s:v/>
      </s:c>
      <s:c r="BY143" s="239">
        <s:f>H143</s:f>
        <s:v/>
      </s:c>
      <s:c r="BZ143" s="233">
        <s:f>IF(I143=0,"CONFORME","NO CONFORME")</s:f>
        <s:v/>
      </s:c>
      <s:c r="CA143" s="238">
        <s:f>C143</s:f>
        <s:v/>
      </s:c>
      <s:c r="CB143" s="240">
        <s:f>AH143</s:f>
        <s:v/>
      </s:c>
      <s:c r="CC143" s="241">
        <s:f>AR143</s:f>
        <s:v/>
      </s:c>
      <s:c r="CD143" s="240">
        <s:f>AI143</s:f>
        <s:v/>
      </s:c>
      <s:c r="CE143" s="240">
        <s:f>AJ143</s:f>
        <s:v/>
      </s:c>
      <s:c r="CF143" s="240">
        <s:f>AS143</s:f>
        <s:v/>
      </s:c>
      <s:c r="CG143" s="240">
        <s:f>V143</s:f>
        <s:v/>
      </s:c>
      <s:c r="CH143" s="241">
        <s:f>AF143</s:f>
        <s:v/>
      </s:c>
      <s:c r="CI143" s="240">
        <s:f>W143</s:f>
        <s:v/>
      </s:c>
      <s:c r="CJ143" s="240">
        <s:f>X143</s:f>
        <s:v/>
      </s:c>
      <s:c r="CK143" s="240">
        <s:f>AG143</s:f>
        <s:v/>
      </s:c>
      <s:c r="CL143" s="240">
        <s:f>J143</s:f>
        <s:v/>
      </s:c>
      <s:c r="CM143" s="241">
        <s:f>T143</s:f>
        <s:v/>
      </s:c>
      <s:c r="CN143" s="240">
        <s:f>K143</s:f>
        <s:v/>
      </s:c>
      <s:c r="CO143" s="240">
        <s:f>L143</s:f>
        <s:v/>
      </s:c>
      <s:c r="CP143" s="242">
        <s:f>U143</s:f>
        <s:v/>
      </s:c>
      <s:c r="CQ143" s="233">
        <s:f>AT143</s:f>
        <s:v/>
      </s:c>
    </s:row>
    <s:row r="144">
      <s:c r="A144" s="211" t="n">
        <s:v>44</s:v>
      </s:c>
      <s:c r="B144" s="212" t="n">
        <s:v>45901</s:v>
      </s:c>
      <s:c r="C144" s="213" t="n">
        <s:v>45901</s:v>
      </s:c>
      <s:c r="D144" s="214" t="n">
        <s:v>3</s:v>
      </s:c>
      <s:c r="E144" s="215" t="n">
        <s:v>13</s:v>
      </s:c>
      <s:c r="F144" s="216" t="inlineStr">
        <s:is>
          <s:t>VI-236619-2025</s:t>
        </s:is>
      </s:c>
      <s:c r="G144" s="217" t="inlineStr">
        <s:is>
          <s:t>QA25418411</s:t>
        </s:is>
      </s:c>
      <s:c r="H144" s="218" t="n">
        <s:v>16</s:v>
      </s:c>
      <s:c r="I144" s="219" t="n">
        <s:v>0</s:v>
      </s:c>
      <s:c r="J144" s="220" t="n">
        <s:v>19.1</s:v>
      </s:c>
      <s:c r="K144" s="221" t="n">
        <s:v>7.504</s:v>
      </s:c>
      <s:c r="L144" s="221" t="n">
        <s:v>1.178</s:v>
      </s:c>
      <s:c r="M144" s="222" t="n">
        <s:v>510.25</s:v>
      </s:c>
      <s:c r="N144" s="222" t="n">
        <s:v>609.86</s:v>
      </s:c>
      <s:c r="O144" s="222" t="n">
        <s:v>100.58</s:v>
      </s:c>
      <s:c r="P144" s="223" t="inlineStr">
        <s:is>
          <s:t>2,30,290</s:t>
        </s:is>
      </s:c>
      <s:c r="Q144" s="224" t="inlineStr">
        <s:is>
          <s:t>2</s:t>
        </s:is>
      </s:c>
      <s:c r="R144" s="224" t="inlineStr">
        <s:is>
          <s:t>30,290</s:t>
        </s:is>
      </s:c>
      <s:c r="S144" s="224" t="n">
        <s:v>0.04174722222222222</s:v>
      </s:c>
      <s:c r="T144" s="225" t="n">
        <s:v>2409.262093286313</s:v>
      </s:c>
      <s:c r="U144" s="226" t="n">
        <s:v>-0.964406442632715</s:v>
      </s:c>
      <s:c r="V144" s="220" t="n">
        <s:v>19.2</s:v>
      </s:c>
      <s:c r="W144" s="221" t="n">
        <s:v>1.091</s:v>
      </s:c>
      <s:c r="X144" s="221" t="n">
        <s:v>1.079</s:v>
      </s:c>
      <s:c r="Y144" s="222" t="n">
        <s:v>623.41</s:v>
      </s:c>
      <s:c r="Z144" s="222" t="n">
        <s:v>628.4299999999999</s:v>
      </s:c>
      <s:c r="AA144" s="227" t="n">
        <s:v>5.018</s:v>
      </s:c>
      <s:c r="AB144" s="228" t="inlineStr">
        <s:is>
          <s:t>11,16,920</s:t>
        </s:is>
      </s:c>
      <s:c r="AC144" s="224" t="inlineStr">
        <s:is>
          <s:t>11</s:t>
        </s:is>
      </s:c>
      <s:c r="AD144" s="224" t="inlineStr">
        <s:is>
          <s:t>16,920</s:t>
        </s:is>
      </s:c>
      <s:c r="AE144" s="224" t="n">
        <s:v>0.1880333333333333</s:v>
      </s:c>
      <s:c r="AF144" s="225" t="n">
        <s:v>26.6867576670803</s:v>
      </s:c>
      <s:c r="AG144" s="229" t="n">
        <s:v>0.03985651654009598</s:v>
      </s:c>
      <s:c r="AH144" s="220" t="n">
        <s:v>19.1</s:v>
      </s:c>
      <s:c r="AI144" s="221" t="n">
        <s:v>1.091</s:v>
      </s:c>
      <s:c r="AJ144" s="221" t="n">
        <s:v>1.08</s:v>
      </s:c>
      <s:c r="AK144" s="222" t="n">
        <s:v>628.4299999999999</s:v>
      </s:c>
      <s:c r="AL144" s="222" t="n">
        <s:v>630.37</s:v>
      </s:c>
      <s:c r="AM144" s="230" t="n">
        <s:v>2.007</s:v>
      </s:c>
      <s:c r="AN144" s="223" t="inlineStr">
        <s:is>
          <s:t>7,23,380</s:t>
        </s:is>
      </s:c>
      <s:c r="AO144" s="224" t="inlineStr">
        <s:is>
          <s:t>7,</s:t>
        </s:is>
      </s:c>
      <s:c r="AP144" s="224" t="inlineStr">
        <s:is>
          <s:t>23,380</s:t>
        </s:is>
      </s:c>
      <s:c r="AQ144" s="224" t="n">
        <s:v>0.1231611111111111</s:v>
      </s:c>
      <s:c r="AR144" s="225" t="n">
        <s:v>16.29572826920475</s:v>
      </s:c>
      <s:c r="AS144" s="229" t="n">
        <s:v>-3.338315894366993</s:v>
      </s:c>
      <s:c r="AT144" s="231" t="inlineStr">
        <s:is>
          <s:t>CONFORME</s:t>
        </s:is>
      </s:c>
      <s:c r="AU144" s="232">
        <s:f>B144=C144</s:f>
        <s:v/>
      </s:c>
      <s:c r="AV144" s="233">
        <s:f>MID(G144,1,2)</s:f>
        <s:v/>
      </s:c>
      <s:c r="AW144" s="233">
        <s:f>LEN(G144)</s:f>
        <s:v/>
      </s:c>
      <s:c r="AX144" s="233" t="inlineStr">
        <s:is>
          <s:t>OI-0923-2025</s:t>
        </s:is>
      </s:c>
      <s:c r="AY144" s="233">
        <s:f>N144&lt;Y144</s:f>
        <s:v/>
      </s:c>
      <s:c r="AZ144" s="233">
        <s:f>Z144&lt;=AK144</s:f>
        <s:v/>
      </s:c>
      <s:c r="BA144" s="233">
        <s:f>L144&lt;K144</s:f>
        <s:v/>
      </s:c>
      <s:c r="BB144" s="233">
        <s:f>W144&gt;=X144</s:f>
        <s:v/>
      </s:c>
      <s:c r="BC144" s="233">
        <s:f>AI144&gt;=AJ144</s:f>
        <s:v/>
      </s:c>
      <s:c r="BD144" s="233">
        <s:f>IF(I144&gt;=1,"Qcorrecto",IF(AND(BE144="aceptable",BF144="aceptable",BG144="aceptable"),"Qcorrecto","Qincorrecto"))</s:f>
        <s:v/>
      </s:c>
      <s:c r="BE144" s="232">
        <s:f>IF(AR144&lt;$AH$6,"error",IF(AR144&gt;$AH$6*1.1,"error","aceptable"))</s:f>
        <s:v/>
      </s:c>
      <s:c r="BF144" s="232">
        <s:f>IF(AF144&lt;$V$6,"error",IF(AF144&gt;$V$6*1.1,"error","aceptable"))</s:f>
        <s:v/>
      </s:c>
      <s:c r="BG144" s="232">
        <s:f>IF(T144&lt;$J$6*0.9,"error",IF(T144&gt;$J$6,"error","aceptable"))</s:f>
        <s:v/>
      </s:c>
      <s:c r="BH144" s="234">
        <s:f>(IF(ABS(U144)&lt;1,"CONFORME",IF(ABS(AG144)&lt;1,"CONFORME",IF(ABS(AS144)&lt;2.5,"CONFORME","NO CONFORME"))))</s:f>
        <s:v/>
      </s:c>
      <s:c r="BI144" s="235">
        <s:f>(IF(ABS(U144)&gt;2.044,"NO CONFORME",IF(ABS(AG144)&gt;2.044,"NO CONFORME",IF(ABS(AS144)&gt;5.044,"NO CONFORME","CONFORME"))))</s:f>
        <s:v/>
      </s:c>
      <s:c r="BJ144" s="233">
        <s:f>SIGN(U144)</s:f>
        <s:v/>
      </s:c>
      <s:c r="BK144" s="233">
        <s:f>SIGN(AG144)</s:f>
        <s:v/>
      </s:c>
      <s:c r="BL144" s="233">
        <s:f>SIGN(AS144)</s:f>
        <s:v/>
      </s:c>
      <s:c r="BM144" s="233">
        <s:f>CONCATENATE(BJ144,BK144,BL144)</s:f>
        <s:v/>
      </s:c>
      <s:c r="BN144" s="233">
        <s:f>IF(BM144="111","SI","SD")</s:f>
        <s:v/>
      </s:c>
      <s:c r="BO144" s="233">
        <s:f>IF(BM144="-1-1-1","SI","SD")</s:f>
        <s:v/>
      </s:c>
      <s:c r="BP144" s="233">
        <s:f>OR(BN144="SI",BO144="SI")</s:f>
        <s:v/>
      </s:c>
      <s:c r="BQ144" s="233">
        <s:f>IF(BP144=FALSE,"SIGDIFERENTES","SIGIGUALES")</s:f>
        <s:v/>
      </s:c>
      <s:c r="BR144" s="236">
        <s:f>IF(BI144="NO CONFORME","NO CONFORME",IF(BH144="CONFORME","CONFORME","NO CONFORME"))</s:f>
        <s:v/>
      </s:c>
      <s:c r="BS144" s="233">
        <s:f>F144</s:f>
        <s:v/>
      </s:c>
      <s:c r="BT144" s="237">
        <s:f>G144</s:f>
        <s:v/>
      </s:c>
      <s:c r="BU144" s="233">
        <s:f>"20"&amp;+MID(G144,3,2)</s:f>
        <s:v/>
      </s:c>
      <s:c r="BV144" s="238">
        <s:f>C144</s:f>
        <s:v/>
      </s:c>
      <s:c r="BW144" s="233">
        <s:f>AT144</s:f>
        <s:v/>
      </s:c>
      <s:c r="BX144" s="238">
        <s:f>B144</s:f>
        <s:v/>
      </s:c>
      <s:c r="BY144" s="239">
        <s:f>H144</s:f>
        <s:v/>
      </s:c>
      <s:c r="BZ144" s="233">
        <s:f>IF(I144=0,"CONFORME","NO CONFORME")</s:f>
        <s:v/>
      </s:c>
      <s:c r="CA144" s="238">
        <s:f>C144</s:f>
        <s:v/>
      </s:c>
      <s:c r="CB144" s="240">
        <s:f>AH144</s:f>
        <s:v/>
      </s:c>
      <s:c r="CC144" s="241">
        <s:f>AR144</s:f>
        <s:v/>
      </s:c>
      <s:c r="CD144" s="240">
        <s:f>AI144</s:f>
        <s:v/>
      </s:c>
      <s:c r="CE144" s="240">
        <s:f>AJ144</s:f>
        <s:v/>
      </s:c>
      <s:c r="CF144" s="240">
        <s:f>AS144</s:f>
        <s:v/>
      </s:c>
      <s:c r="CG144" s="240">
        <s:f>V144</s:f>
        <s:v/>
      </s:c>
      <s:c r="CH144" s="241">
        <s:f>AF144</s:f>
        <s:v/>
      </s:c>
      <s:c r="CI144" s="240">
        <s:f>W144</s:f>
        <s:v/>
      </s:c>
      <s:c r="CJ144" s="240">
        <s:f>X144</s:f>
        <s:v/>
      </s:c>
      <s:c r="CK144" s="240">
        <s:f>AG144</s:f>
        <s:v/>
      </s:c>
      <s:c r="CL144" s="240">
        <s:f>J144</s:f>
        <s:v/>
      </s:c>
      <s:c r="CM144" s="241">
        <s:f>T144</s:f>
        <s:v/>
      </s:c>
      <s:c r="CN144" s="240">
        <s:f>K144</s:f>
        <s:v/>
      </s:c>
      <s:c r="CO144" s="240">
        <s:f>L144</s:f>
        <s:v/>
      </s:c>
      <s:c r="CP144" s="242">
        <s:f>U144</s:f>
        <s:v/>
      </s:c>
      <s:c r="CQ144" s="233">
        <s:f>AT144</s:f>
        <s:v/>
      </s:c>
    </s:row>
    <s:row r="145">
      <s:c r="A145" s="211" t="n">
        <s:v>45</s:v>
      </s:c>
      <s:c r="B145" s="212" t="n">
        <s:v>45901</s:v>
      </s:c>
      <s:c r="C145" s="213" t="n">
        <s:v>45901</s:v>
      </s:c>
      <s:c r="D145" s="214" t="n">
        <s:v>3</s:v>
      </s:c>
      <s:c r="E145" s="215" t="n">
        <s:v>13</s:v>
      </s:c>
      <s:c r="F145" s="216" t="inlineStr">
        <s:is>
          <s:t>VI-236620-2025</s:t>
        </s:is>
      </s:c>
      <s:c r="G145" s="217" t="inlineStr">
        <s:is>
          <s:t>QA25418236</s:t>
        </s:is>
      </s:c>
      <s:c r="H145" s="218" t="n">
        <s:v>16</s:v>
      </s:c>
      <s:c r="I145" s="219" t="n">
        <s:v>0</s:v>
      </s:c>
      <s:c r="J145" s="220" t="n">
        <s:v>19.1</s:v>
      </s:c>
      <s:c r="K145" s="221" t="n">
        <s:v>7.504</s:v>
      </s:c>
      <s:c r="L145" s="221" t="n">
        <s:v>1.178</s:v>
      </s:c>
      <s:c r="M145" s="222" t="n">
        <s:v>319.43</s:v>
      </s:c>
      <s:c r="N145" s="222" t="n">
        <s:v>419.82</s:v>
      </s:c>
      <s:c r="O145" s="222" t="n">
        <s:v>100.58</s:v>
      </s:c>
      <s:c r="P145" s="223" t="inlineStr">
        <s:is>
          <s:t>2,30,290</s:t>
        </s:is>
      </s:c>
      <s:c r="Q145" s="224" t="inlineStr">
        <s:is>
          <s:t>2</s:t>
        </s:is>
      </s:c>
      <s:c r="R145" s="224" t="inlineStr">
        <s:is>
          <s:t>30,290</s:t>
        </s:is>
      </s:c>
      <s:c r="S145" s="224" t="n">
        <s:v>0.04174722222222222</s:v>
      </s:c>
      <s:c r="T145" s="225" t="n">
        <s:v>2409.262093286313</s:v>
      </s:c>
      <s:c r="U145" s="226" t="n">
        <s:v>-0.1889043547425054</s:v>
      </s:c>
      <s:c r="V145" s="220" t="n">
        <s:v>19.2</s:v>
      </s:c>
      <s:c r="W145" s="221" t="n">
        <s:v>1.091</s:v>
      </s:c>
      <s:c r="X145" s="221" t="n">
        <s:v>1.079</s:v>
      </s:c>
      <s:c r="Y145" s="222" t="n">
        <s:v>433.47</s:v>
      </s:c>
      <s:c r="Z145" s="222" t="n">
        <s:v>438.51</s:v>
      </s:c>
      <s:c r="AA145" s="227" t="n">
        <s:v>5.018</s:v>
      </s:c>
      <s:c r="AB145" s="228" t="inlineStr">
        <s:is>
          <s:t>11,16,920</s:t>
        </s:is>
      </s:c>
      <s:c r="AC145" s="224" t="inlineStr">
        <s:is>
          <s:t>11</s:t>
        </s:is>
      </s:c>
      <s:c r="AD145" s="224" t="inlineStr">
        <s:is>
          <s:t>16,920</s:t>
        </s:is>
      </s:c>
      <s:c r="AE145" s="224" t="n">
        <s:v>0.1880333333333333</s:v>
      </s:c>
      <s:c r="AF145" s="225" t="n">
        <s:v>26.6867576670803</s:v>
      </s:c>
      <s:c r="AG145" s="229" t="n">
        <s:v>0.4384216819442771</s:v>
      </s:c>
      <s:c r="AH145" s="220" t="n">
        <s:v>19.1</s:v>
      </s:c>
      <s:c r="AI145" s="221" t="n">
        <s:v>1.091</s:v>
      </s:c>
      <s:c r="AJ145" s="221" t="n">
        <s:v>1.08</s:v>
      </s:c>
      <s:c r="AK145" s="222" t="n">
        <s:v>438.51</s:v>
      </s:c>
      <s:c r="AL145" s="222" t="n">
        <s:v>440.52</s:v>
      </s:c>
      <s:c r="AM145" s="230" t="n">
        <s:v>2.007</s:v>
      </s:c>
      <s:c r="AN145" s="223" t="inlineStr">
        <s:is>
          <s:t>7,23,380</s:t>
        </s:is>
      </s:c>
      <s:c r="AO145" s="224" t="inlineStr">
        <s:is>
          <s:t>7,</s:t>
        </s:is>
      </s:c>
      <s:c r="AP145" s="224" t="inlineStr">
        <s:is>
          <s:t>23,380</s:t>
        </s:is>
      </s:c>
      <s:c r="AQ145" s="224" t="n">
        <s:v>0.1231611111111111</s:v>
      </s:c>
      <s:c r="AR145" s="225" t="n">
        <s:v>16.29572826920475</s:v>
      </s:c>
      <s:c r="AS145" s="229" t="n">
        <s:v>0.1494768310907219</s:v>
      </s:c>
      <s:c r="AT145" s="231" t="inlineStr">
        <s:is>
          <s:t>CONFORME</s:t>
        </s:is>
      </s:c>
      <s:c r="AU145" s="232">
        <s:f>B145=C145</s:f>
        <s:v/>
      </s:c>
      <s:c r="AV145" s="233">
        <s:f>MID(G145,1,2)</s:f>
        <s:v/>
      </s:c>
      <s:c r="AW145" s="233">
        <s:f>LEN(G145)</s:f>
        <s:v/>
      </s:c>
      <s:c r="AX145" s="233" t="inlineStr">
        <s:is>
          <s:t>OI-0923-2025</s:t>
        </s:is>
      </s:c>
      <s:c r="AY145" s="233">
        <s:f>N145&lt;Y145</s:f>
        <s:v/>
      </s:c>
      <s:c r="AZ145" s="233">
        <s:f>Z145&lt;=AK145</s:f>
        <s:v/>
      </s:c>
      <s:c r="BA145" s="233">
        <s:f>L145&lt;K145</s:f>
        <s:v/>
      </s:c>
      <s:c r="BB145" s="233">
        <s:f>W145&gt;=X145</s:f>
        <s:v/>
      </s:c>
      <s:c r="BC145" s="233">
        <s:f>AI145&gt;=AJ145</s:f>
        <s:v/>
      </s:c>
      <s:c r="BD145" s="233">
        <s:f>IF(I145&gt;=1,"Qcorrecto",IF(AND(BE145="aceptable",BF145="aceptable",BG145="aceptable"),"Qcorrecto","Qincorrecto"))</s:f>
        <s:v/>
      </s:c>
      <s:c r="BE145" s="232">
        <s:f>IF(AR145&lt;$AH$6,"error",IF(AR145&gt;$AH$6*1.1,"error","aceptable"))</s:f>
        <s:v/>
      </s:c>
      <s:c r="BF145" s="232">
        <s:f>IF(AF145&lt;$V$6,"error",IF(AF145&gt;$V$6*1.1,"error","aceptable"))</s:f>
        <s:v/>
      </s:c>
      <s:c r="BG145" s="232">
        <s:f>IF(T145&lt;$J$6*0.9,"error",IF(T145&gt;$J$6,"error","aceptable"))</s:f>
        <s:v/>
      </s:c>
      <s:c r="BH145" s="234">
        <s:f>(IF(ABS(U145)&lt;1,"CONFORME",IF(ABS(AG145)&lt;1,"CONFORME",IF(ABS(AS145)&lt;2.5,"CONFORME","NO CONFORME"))))</s:f>
        <s:v/>
      </s:c>
      <s:c r="BI145" s="235">
        <s:f>(IF(ABS(U145)&gt;2.044,"NO CONFORME",IF(ABS(AG145)&gt;2.044,"NO CONFORME",IF(ABS(AS145)&gt;5.044,"NO CONFORME","CONFORME"))))</s:f>
        <s:v/>
      </s:c>
      <s:c r="BJ145" s="233">
        <s:f>SIGN(U145)</s:f>
        <s:v/>
      </s:c>
      <s:c r="BK145" s="233">
        <s:f>SIGN(AG145)</s:f>
        <s:v/>
      </s:c>
      <s:c r="BL145" s="233">
        <s:f>SIGN(AS145)</s:f>
        <s:v/>
      </s:c>
      <s:c r="BM145" s="233">
        <s:f>CONCATENATE(BJ145,BK145,BL145)</s:f>
        <s:v/>
      </s:c>
      <s:c r="BN145" s="233">
        <s:f>IF(BM145="111","SI","SD")</s:f>
        <s:v/>
      </s:c>
      <s:c r="BO145" s="233">
        <s:f>IF(BM145="-1-1-1","SI","SD")</s:f>
        <s:v/>
      </s:c>
      <s:c r="BP145" s="233">
        <s:f>OR(BN145="SI",BO145="SI")</s:f>
        <s:v/>
      </s:c>
      <s:c r="BQ145" s="233">
        <s:f>IF(BP145=FALSE,"SIGDIFERENTES","SIGIGUALES")</s:f>
        <s:v/>
      </s:c>
      <s:c r="BR145" s="236">
        <s:f>IF(BI145="NO CONFORME","NO CONFORME",IF(BH145="CONFORME","CONFORME","NO CONFORME"))</s:f>
        <s:v/>
      </s:c>
      <s:c r="BS145" s="233">
        <s:f>F145</s:f>
        <s:v/>
      </s:c>
      <s:c r="BT145" s="237">
        <s:f>G145</s:f>
        <s:v/>
      </s:c>
      <s:c r="BU145" s="233">
        <s:f>"20"&amp;+MID(G145,3,2)</s:f>
        <s:v/>
      </s:c>
      <s:c r="BV145" s="238">
        <s:f>C145</s:f>
        <s:v/>
      </s:c>
      <s:c r="BW145" s="233">
        <s:f>AT145</s:f>
        <s:v/>
      </s:c>
      <s:c r="BX145" s="238">
        <s:f>B145</s:f>
        <s:v/>
      </s:c>
      <s:c r="BY145" s="239">
        <s:f>H145</s:f>
        <s:v/>
      </s:c>
      <s:c r="BZ145" s="233">
        <s:f>IF(I145=0,"CONFORME","NO CONFORME")</s:f>
        <s:v/>
      </s:c>
      <s:c r="CA145" s="238">
        <s:f>C145</s:f>
        <s:v/>
      </s:c>
      <s:c r="CB145" s="240">
        <s:f>AH145</s:f>
        <s:v/>
      </s:c>
      <s:c r="CC145" s="241">
        <s:f>AR145</s:f>
        <s:v/>
      </s:c>
      <s:c r="CD145" s="240">
        <s:f>AI145</s:f>
        <s:v/>
      </s:c>
      <s:c r="CE145" s="240">
        <s:f>AJ145</s:f>
        <s:v/>
      </s:c>
      <s:c r="CF145" s="240">
        <s:f>AS145</s:f>
        <s:v/>
      </s:c>
      <s:c r="CG145" s="240">
        <s:f>V145</s:f>
        <s:v/>
      </s:c>
      <s:c r="CH145" s="241">
        <s:f>AF145</s:f>
        <s:v/>
      </s:c>
      <s:c r="CI145" s="240">
        <s:f>W145</s:f>
        <s:v/>
      </s:c>
      <s:c r="CJ145" s="240">
        <s:f>X145</s:f>
        <s:v/>
      </s:c>
      <s:c r="CK145" s="240">
        <s:f>AG145</s:f>
        <s:v/>
      </s:c>
      <s:c r="CL145" s="240">
        <s:f>J145</s:f>
        <s:v/>
      </s:c>
      <s:c r="CM145" s="241">
        <s:f>T145</s:f>
        <s:v/>
      </s:c>
      <s:c r="CN145" s="240">
        <s:f>K145</s:f>
        <s:v/>
      </s:c>
      <s:c r="CO145" s="240">
        <s:f>L145</s:f>
        <s:v/>
      </s:c>
      <s:c r="CP145" s="242">
        <s:f>U145</s:f>
        <s:v/>
      </s:c>
      <s:c r="CQ145" s="233">
        <s:f>AT145</s:f>
        <s:v/>
      </s:c>
    </s:row>
    <s:row r="146">
      <s:c r="A146" s="211" t="n">
        <s:v>46</s:v>
      </s:c>
      <s:c r="B146" s="212" t="n">
        <s:v>45901</s:v>
      </s:c>
      <s:c r="C146" s="213" t="n">
        <s:v>45901</s:v>
      </s:c>
      <s:c r="D146" s="214" t="n">
        <s:v>3</s:v>
      </s:c>
      <s:c r="E146" s="215" t="n">
        <s:v>13</s:v>
      </s:c>
      <s:c r="F146" s="216" t="inlineStr">
        <s:is>
          <s:t>VI-236621-2025</s:t>
        </s:is>
      </s:c>
      <s:c r="G146" s="217" t="inlineStr">
        <s:is>
          <s:t>QA25418238</s:t>
        </s:is>
      </s:c>
      <s:c r="H146" s="218" t="n">
        <s:v>16</s:v>
      </s:c>
      <s:c r="I146" s="219" t="n">
        <s:v>0</s:v>
      </s:c>
      <s:c r="J146" s="220" t="n">
        <s:v>19.1</s:v>
      </s:c>
      <s:c r="K146" s="221" t="n">
        <s:v>7.504</s:v>
      </s:c>
      <s:c r="L146" s="221" t="n">
        <s:v>1.178</s:v>
      </s:c>
      <s:c r="M146" s="222" t="n">
        <s:v>319.14</s:v>
      </s:c>
      <s:c r="N146" s="222" t="n">
        <s:v>419.99</s:v>
      </s:c>
      <s:c r="O146" s="222" t="n">
        <s:v>100.58</s:v>
      </s:c>
      <s:c r="P146" s="223" t="inlineStr">
        <s:is>
          <s:t>2,30,290</s:t>
        </s:is>
      </s:c>
      <s:c r="Q146" s="224" t="inlineStr">
        <s:is>
          <s:t>2</s:t>
        </s:is>
      </s:c>
      <s:c r="R146" s="224" t="inlineStr">
        <s:is>
          <s:t>30,290</s:t>
        </s:is>
      </s:c>
      <s:c r="S146" s="224" t="n">
        <s:v>0.04174722222222222</s:v>
      </s:c>
      <s:c r="T146" s="225" t="n">
        <s:v>2409.262093286313</s:v>
      </s:c>
      <s:c r="U146" s="226" t="n">
        <s:v>0.2684430304235678</s:v>
      </s:c>
      <s:c r="V146" s="220" t="n">
        <s:v>19.2</s:v>
      </s:c>
      <s:c r="W146" s="221" t="n">
        <s:v>1.091</s:v>
      </s:c>
      <s:c r="X146" s="221" t="n">
        <s:v>1.079</s:v>
      </s:c>
      <s:c r="Y146" s="222" t="n">
        <s:v>433.66</s:v>
      </s:c>
      <s:c r="Z146" s="222" t="n">
        <s:v>438.67</s:v>
      </s:c>
      <s:c r="AA146" s="227" t="n">
        <s:v>5.018</s:v>
      </s:c>
      <s:c r="AB146" s="228" t="inlineStr">
        <s:is>
          <s:t>11,16,920</s:t>
        </s:is>
      </s:c>
      <s:c r="AC146" s="224" t="inlineStr">
        <s:is>
          <s:t>11</s:t>
        </s:is>
      </s:c>
      <s:c r="AD146" s="224" t="inlineStr">
        <s:is>
          <s:t>16,920</s:t>
        </s:is>
      </s:c>
      <s:c r="AE146" s="224" t="n">
        <s:v>0.1880333333333333</s:v>
      </s:c>
      <s:c r="AF146" s="225" t="n">
        <s:v>26.6867576670803</s:v>
      </s:c>
      <s:c r="AG146" s="229" t="n">
        <s:v>-0.1594260661619946</s:v>
      </s:c>
      <s:c r="AH146" s="220" t="n">
        <s:v>19.1</s:v>
      </s:c>
      <s:c r="AI146" s="221" t="n">
        <s:v>1.091</s:v>
      </s:c>
      <s:c r="AJ146" s="221" t="n">
        <s:v>1.08</s:v>
      </s:c>
      <s:c r="AK146" s="222" t="n">
        <s:v>438.67</s:v>
      </s:c>
      <s:c r="AL146" s="222" t="n">
        <s:v>440.66</s:v>
      </s:c>
      <s:c r="AM146" s="230" t="n">
        <s:v>2.007</s:v>
      </s:c>
      <s:c r="AN146" s="223" t="inlineStr">
        <s:is>
          <s:t>7,23,380</s:t>
        </s:is>
      </s:c>
      <s:c r="AO146" s="224" t="inlineStr">
        <s:is>
          <s:t>7,</s:t>
        </s:is>
      </s:c>
      <s:c r="AP146" s="224" t="inlineStr">
        <s:is>
          <s:t>23,380</s:t>
        </s:is>
      </s:c>
      <s:c r="AQ146" s="224" t="n">
        <s:v>0.1231611111111111</s:v>
      </s:c>
      <s:c r="AR146" s="225" t="n">
        <s:v>16.29572826920475</s:v>
      </s:c>
      <s:c r="AS146" s="229" t="n">
        <s:v>-0.8470353761829108</s:v>
      </s:c>
      <s:c r="AT146" s="231" t="inlineStr">
        <s:is>
          <s:t>CONFORME</s:t>
        </s:is>
      </s:c>
      <s:c r="AU146" s="232">
        <s:f>B146=C146</s:f>
        <s:v/>
      </s:c>
      <s:c r="AV146" s="233">
        <s:f>MID(G146,1,2)</s:f>
        <s:v/>
      </s:c>
      <s:c r="AW146" s="233">
        <s:f>LEN(G146)</s:f>
        <s:v/>
      </s:c>
      <s:c r="AX146" s="233" t="inlineStr">
        <s:is>
          <s:t>OI-0923-2025</s:t>
        </s:is>
      </s:c>
      <s:c r="AY146" s="233">
        <s:f>N146&lt;Y146</s:f>
        <s:v/>
      </s:c>
      <s:c r="AZ146" s="233">
        <s:f>Z146&lt;=AK146</s:f>
        <s:v/>
      </s:c>
      <s:c r="BA146" s="233">
        <s:f>L146&lt;K146</s:f>
        <s:v/>
      </s:c>
      <s:c r="BB146" s="233">
        <s:f>W146&gt;=X146</s:f>
        <s:v/>
      </s:c>
      <s:c r="BC146" s="233">
        <s:f>AI146&gt;=AJ146</s:f>
        <s:v/>
      </s:c>
      <s:c r="BD146" s="233">
        <s:f>IF(I146&gt;=1,"Qcorrecto",IF(AND(BE146="aceptable",BF146="aceptable",BG146="aceptable"),"Qcorrecto","Qincorrecto"))</s:f>
        <s:v/>
      </s:c>
      <s:c r="BE146" s="232">
        <s:f>IF(AR146&lt;$AH$6,"error",IF(AR146&gt;$AH$6*1.1,"error","aceptable"))</s:f>
        <s:v/>
      </s:c>
      <s:c r="BF146" s="232">
        <s:f>IF(AF146&lt;$V$6,"error",IF(AF146&gt;$V$6*1.1,"error","aceptable"))</s:f>
        <s:v/>
      </s:c>
      <s:c r="BG146" s="232">
        <s:f>IF(T146&lt;$J$6*0.9,"error",IF(T146&gt;$J$6,"error","aceptable"))</s:f>
        <s:v/>
      </s:c>
      <s:c r="BH146" s="234">
        <s:f>(IF(ABS(U146)&lt;1,"CONFORME",IF(ABS(AG146)&lt;1,"CONFORME",IF(ABS(AS146)&lt;2.5,"CONFORME","NO CONFORME"))))</s:f>
        <s:v/>
      </s:c>
      <s:c r="BI146" s="235">
        <s:f>(IF(ABS(U146)&gt;2.044,"NO CONFORME",IF(ABS(AG146)&gt;2.044,"NO CONFORME",IF(ABS(AS146)&gt;5.044,"NO CONFORME","CONFORME"))))</s:f>
        <s:v/>
      </s:c>
      <s:c r="BJ146" s="233">
        <s:f>SIGN(U146)</s:f>
        <s:v/>
      </s:c>
      <s:c r="BK146" s="233">
        <s:f>SIGN(AG146)</s:f>
        <s:v/>
      </s:c>
      <s:c r="BL146" s="233">
        <s:f>SIGN(AS146)</s:f>
        <s:v/>
      </s:c>
      <s:c r="BM146" s="233">
        <s:f>CONCATENATE(BJ146,BK146,BL146)</s:f>
        <s:v/>
      </s:c>
      <s:c r="BN146" s="233">
        <s:f>IF(BM146="111","SI","SD")</s:f>
        <s:v/>
      </s:c>
      <s:c r="BO146" s="233">
        <s:f>IF(BM146="-1-1-1","SI","SD")</s:f>
        <s:v/>
      </s:c>
      <s:c r="BP146" s="233">
        <s:f>OR(BN146="SI",BO146="SI")</s:f>
        <s:v/>
      </s:c>
      <s:c r="BQ146" s="233">
        <s:f>IF(BP146=FALSE,"SIGDIFERENTES","SIGIGUALES")</s:f>
        <s:v/>
      </s:c>
      <s:c r="BR146" s="236">
        <s:f>IF(BI146="NO CONFORME","NO CONFORME",IF(BH146="CONFORME","CONFORME","NO CONFORME"))</s:f>
        <s:v/>
      </s:c>
      <s:c r="BS146" s="233">
        <s:f>F146</s:f>
        <s:v/>
      </s:c>
      <s:c r="BT146" s="237">
        <s:f>G146</s:f>
        <s:v/>
      </s:c>
      <s:c r="BU146" s="233">
        <s:f>"20"&amp;+MID(G146,3,2)</s:f>
        <s:v/>
      </s:c>
      <s:c r="BV146" s="238">
        <s:f>C146</s:f>
        <s:v/>
      </s:c>
      <s:c r="BW146" s="233">
        <s:f>AT146</s:f>
        <s:v/>
      </s:c>
      <s:c r="BX146" s="238">
        <s:f>B146</s:f>
        <s:v/>
      </s:c>
      <s:c r="BY146" s="239">
        <s:f>H146</s:f>
        <s:v/>
      </s:c>
      <s:c r="BZ146" s="233">
        <s:f>IF(I146=0,"CONFORME","NO CONFORME")</s:f>
        <s:v/>
      </s:c>
      <s:c r="CA146" s="238">
        <s:f>C146</s:f>
        <s:v/>
      </s:c>
      <s:c r="CB146" s="240">
        <s:f>AH146</s:f>
        <s:v/>
      </s:c>
      <s:c r="CC146" s="241">
        <s:f>AR146</s:f>
        <s:v/>
      </s:c>
      <s:c r="CD146" s="240">
        <s:f>AI146</s:f>
        <s:v/>
      </s:c>
      <s:c r="CE146" s="240">
        <s:f>AJ146</s:f>
        <s:v/>
      </s:c>
      <s:c r="CF146" s="240">
        <s:f>AS146</s:f>
        <s:v/>
      </s:c>
      <s:c r="CG146" s="240">
        <s:f>V146</s:f>
        <s:v/>
      </s:c>
      <s:c r="CH146" s="241">
        <s:f>AF146</s:f>
        <s:v/>
      </s:c>
      <s:c r="CI146" s="240">
        <s:f>W146</s:f>
        <s:v/>
      </s:c>
      <s:c r="CJ146" s="240">
        <s:f>X146</s:f>
        <s:v/>
      </s:c>
      <s:c r="CK146" s="240">
        <s:f>AG146</s:f>
        <s:v/>
      </s:c>
      <s:c r="CL146" s="240">
        <s:f>J146</s:f>
        <s:v/>
      </s:c>
      <s:c r="CM146" s="241">
        <s:f>T146</s:f>
        <s:v/>
      </s:c>
      <s:c r="CN146" s="240">
        <s:f>K146</s:f>
        <s:v/>
      </s:c>
      <s:c r="CO146" s="240">
        <s:f>L146</s:f>
        <s:v/>
      </s:c>
      <s:c r="CP146" s="242">
        <s:f>U146</s:f>
        <s:v/>
      </s:c>
      <s:c r="CQ146" s="233">
        <s:f>AT146</s:f>
        <s:v/>
      </s:c>
    </s:row>
    <s:row r="147">
      <s:c r="A147" s="211" t="n">
        <s:v>47</s:v>
      </s:c>
      <s:c r="B147" s="212" t="n">
        <s:v>45901</s:v>
      </s:c>
      <s:c r="C147" s="213" t="n">
        <s:v>45901</s:v>
      </s:c>
      <s:c r="D147" s="214" t="n">
        <s:v>3</s:v>
      </s:c>
      <s:c r="E147" s="215" t="n">
        <s:v>13</s:v>
      </s:c>
      <s:c r="F147" s="216" t="inlineStr">
        <s:is>
          <s:t>VI-236622-2025</s:t>
        </s:is>
      </s:c>
      <s:c r="G147" s="217" t="inlineStr">
        <s:is>
          <s:t>QA25418419</s:t>
        </s:is>
      </s:c>
      <s:c r="H147" s="218" t="n">
        <s:v>16</s:v>
      </s:c>
      <s:c r="I147" s="219" t="n">
        <s:v>0</s:v>
      </s:c>
      <s:c r="J147" s="220" t="n">
        <s:v>19.1</s:v>
      </s:c>
      <s:c r="K147" s="221" t="n">
        <s:v>7.504</s:v>
      </s:c>
      <s:c r="L147" s="221" t="n">
        <s:v>1.178</s:v>
      </s:c>
      <s:c r="M147" s="222" t="n">
        <s:v>319.37</s:v>
      </s:c>
      <s:c r="N147" s="222" t="n">
        <s:v>419.07</s:v>
      </s:c>
      <s:c r="O147" s="222" t="n">
        <s:v>100.58</s:v>
      </s:c>
      <s:c r="P147" s="223" t="inlineStr">
        <s:is>
          <s:t>2,30,290</s:t>
        </s:is>
      </s:c>
      <s:c r="Q147" s="224" t="inlineStr">
        <s:is>
          <s:t>2</s:t>
        </s:is>
      </s:c>
      <s:c r="R147" s="224" t="inlineStr">
        <s:is>
          <s:t>30,290</s:t>
        </s:is>
      </s:c>
      <s:c r="S147" s="224" t="n">
        <s:v>0.04174722222222222</s:v>
      </s:c>
      <s:c r="T147" s="225" t="n">
        <s:v>2409.262093286313</s:v>
      </s:c>
      <s:c r="U147" s="226" t="n">
        <s:v>-0.8749254324915587</s:v>
      </s:c>
      <s:c r="V147" s="220" t="n">
        <s:v>19.2</s:v>
      </s:c>
      <s:c r="W147" s="221" t="n">
        <s:v>1.091</s:v>
      </s:c>
      <s:c r="X147" s="221" t="n">
        <s:v>1.079</s:v>
      </s:c>
      <s:c r="Y147" s="222" t="n">
        <s:v>432.67</s:v>
      </s:c>
      <s:c r="Z147" s="222" t="n">
        <s:v>437.68</s:v>
      </s:c>
      <s:c r="AA147" s="227" t="n">
        <s:v>5.018</s:v>
      </s:c>
      <s:c r="AB147" s="228" t="inlineStr">
        <s:is>
          <s:t>11,16,920</s:t>
        </s:is>
      </s:c>
      <s:c r="AC147" s="224" t="inlineStr">
        <s:is>
          <s:t>11</s:t>
        </s:is>
      </s:c>
      <s:c r="AD147" s="224" t="inlineStr">
        <s:is>
          <s:t>16,920</s:t>
        </s:is>
      </s:c>
      <s:c r="AE147" s="224" t="n">
        <s:v>0.1880333333333333</s:v>
      </s:c>
      <s:c r="AF147" s="225" t="n">
        <s:v>26.6867576670803</s:v>
      </s:c>
      <s:c r="AG147" s="229" t="n">
        <s:v>-0.1594260661619946</s:v>
      </s:c>
      <s:c r="AH147" s="220" t="n">
        <s:v>19.1</s:v>
      </s:c>
      <s:c r="AI147" s="221" t="n">
        <s:v>1.091</s:v>
      </s:c>
      <s:c r="AJ147" s="221" t="n">
        <s:v>1.08</s:v>
      </s:c>
      <s:c r="AK147" s="222" t="n">
        <s:v>437.68</s:v>
      </s:c>
      <s:c r="AL147" s="222" t="n">
        <s:v>439.66</s:v>
      </s:c>
      <s:c r="AM147" s="230" t="n">
        <s:v>2.007</s:v>
      </s:c>
      <s:c r="AN147" s="223" t="inlineStr">
        <s:is>
          <s:t>7,23,380</s:t>
        </s:is>
      </s:c>
      <s:c r="AO147" s="224" t="inlineStr">
        <s:is>
          <s:t>7,</s:t>
        </s:is>
      </s:c>
      <s:c r="AP147" s="224" t="inlineStr">
        <s:is>
          <s:t>23,380</s:t>
        </s:is>
      </s:c>
      <s:c r="AQ147" s="224" t="n">
        <s:v>0.1231611111111111</s:v>
      </s:c>
      <s:c r="AR147" s="225" t="n">
        <s:v>16.29572826920475</s:v>
      </s:c>
      <s:c r="AS147" s="229" t="n">
        <s:v>-1.345291479819727</s:v>
      </s:c>
      <s:c r="AT147" s="231" t="inlineStr">
        <s:is>
          <s:t>CONFORME</s:t>
        </s:is>
      </s:c>
      <s:c r="AU147" s="232">
        <s:f>B147=C147</s:f>
        <s:v/>
      </s:c>
      <s:c r="AV147" s="233">
        <s:f>MID(G147,1,2)</s:f>
        <s:v/>
      </s:c>
      <s:c r="AW147" s="233">
        <s:f>LEN(G147)</s:f>
        <s:v/>
      </s:c>
      <s:c r="AX147" s="233" t="inlineStr">
        <s:is>
          <s:t>OI-0923-2025</s:t>
        </s:is>
      </s:c>
      <s:c r="AY147" s="233">
        <s:f>N147&lt;Y147</s:f>
        <s:v/>
      </s:c>
      <s:c r="AZ147" s="233">
        <s:f>Z147&lt;=AK147</s:f>
        <s:v/>
      </s:c>
      <s:c r="BA147" s="233">
        <s:f>L147&lt;K147</s:f>
        <s:v/>
      </s:c>
      <s:c r="BB147" s="233">
        <s:f>W147&gt;=X147</s:f>
        <s:v/>
      </s:c>
      <s:c r="BC147" s="233">
        <s:f>AI147&gt;=AJ147</s:f>
        <s:v/>
      </s:c>
      <s:c r="BD147" s="233">
        <s:f>IF(I147&gt;=1,"Qcorrecto",IF(AND(BE147="aceptable",BF147="aceptable",BG147="aceptable"),"Qcorrecto","Qincorrecto"))</s:f>
        <s:v/>
      </s:c>
      <s:c r="BE147" s="232">
        <s:f>IF(AR147&lt;$AH$6,"error",IF(AR147&gt;$AH$6*1.1,"error","aceptable"))</s:f>
        <s:v/>
      </s:c>
      <s:c r="BF147" s="232">
        <s:f>IF(AF147&lt;$V$6,"error",IF(AF147&gt;$V$6*1.1,"error","aceptable"))</s:f>
        <s:v/>
      </s:c>
      <s:c r="BG147" s="232">
        <s:f>IF(T147&lt;$J$6*0.9,"error",IF(T147&gt;$J$6,"error","aceptable"))</s:f>
        <s:v/>
      </s:c>
      <s:c r="BH147" s="234">
        <s:f>(IF(ABS(U147)&lt;1,"CONFORME",IF(ABS(AG147)&lt;1,"CONFORME",IF(ABS(AS147)&lt;2.5,"CONFORME","NO CONFORME"))))</s:f>
        <s:v/>
      </s:c>
      <s:c r="BI147" s="235">
        <s:f>(IF(ABS(U147)&gt;2.044,"NO CONFORME",IF(ABS(AG147)&gt;2.044,"NO CONFORME",IF(ABS(AS147)&gt;5.044,"NO CONFORME","CONFORME"))))</s:f>
        <s:v/>
      </s:c>
      <s:c r="BJ147" s="233">
        <s:f>SIGN(U147)</s:f>
        <s:v/>
      </s:c>
      <s:c r="BK147" s="233">
        <s:f>SIGN(AG147)</s:f>
        <s:v/>
      </s:c>
      <s:c r="BL147" s="233">
        <s:f>SIGN(AS147)</s:f>
        <s:v/>
      </s:c>
      <s:c r="BM147" s="233">
        <s:f>CONCATENATE(BJ147,BK147,BL147)</s:f>
        <s:v/>
      </s:c>
      <s:c r="BN147" s="233">
        <s:f>IF(BM147="111","SI","SD")</s:f>
        <s:v/>
      </s:c>
      <s:c r="BO147" s="233">
        <s:f>IF(BM147="-1-1-1","SI","SD")</s:f>
        <s:v/>
      </s:c>
      <s:c r="BP147" s="233">
        <s:f>OR(BN147="SI",BO147="SI")</s:f>
        <s:v/>
      </s:c>
      <s:c r="BQ147" s="233">
        <s:f>IF(BP147=FALSE,"SIGDIFERENTES","SIGIGUALES")</s:f>
        <s:v/>
      </s:c>
      <s:c r="BR147" s="236">
        <s:f>IF(BI147="NO CONFORME","NO CONFORME",IF(BH147="CONFORME","CONFORME","NO CONFORME"))</s:f>
        <s:v/>
      </s:c>
      <s:c r="BS147" s="233">
        <s:f>F147</s:f>
        <s:v/>
      </s:c>
      <s:c r="BT147" s="237">
        <s:f>G147</s:f>
        <s:v/>
      </s:c>
      <s:c r="BU147" s="233">
        <s:f>"20"&amp;+MID(G147,3,2)</s:f>
        <s:v/>
      </s:c>
      <s:c r="BV147" s="238">
        <s:f>C147</s:f>
        <s:v/>
      </s:c>
      <s:c r="BW147" s="233">
        <s:f>AT147</s:f>
        <s:v/>
      </s:c>
      <s:c r="BX147" s="238">
        <s:f>B147</s:f>
        <s:v/>
      </s:c>
      <s:c r="BY147" s="239">
        <s:f>H147</s:f>
        <s:v/>
      </s:c>
      <s:c r="BZ147" s="233">
        <s:f>IF(I147=0,"CONFORME","NO CONFORME")</s:f>
        <s:v/>
      </s:c>
      <s:c r="CA147" s="238">
        <s:f>C147</s:f>
        <s:v/>
      </s:c>
      <s:c r="CB147" s="240">
        <s:f>AH147</s:f>
        <s:v/>
      </s:c>
      <s:c r="CC147" s="241">
        <s:f>AR147</s:f>
        <s:v/>
      </s:c>
      <s:c r="CD147" s="240">
        <s:f>AI147</s:f>
        <s:v/>
      </s:c>
      <s:c r="CE147" s="240">
        <s:f>AJ147</s:f>
        <s:v/>
      </s:c>
      <s:c r="CF147" s="240">
        <s:f>AS147</s:f>
        <s:v/>
      </s:c>
      <s:c r="CG147" s="240">
        <s:f>V147</s:f>
        <s:v/>
      </s:c>
      <s:c r="CH147" s="241">
        <s:f>AF147</s:f>
        <s:v/>
      </s:c>
      <s:c r="CI147" s="240">
        <s:f>W147</s:f>
        <s:v/>
      </s:c>
      <s:c r="CJ147" s="240">
        <s:f>X147</s:f>
        <s:v/>
      </s:c>
      <s:c r="CK147" s="240">
        <s:f>AG147</s:f>
        <s:v/>
      </s:c>
      <s:c r="CL147" s="240">
        <s:f>J147</s:f>
        <s:v/>
      </s:c>
      <s:c r="CM147" s="241">
        <s:f>T147</s:f>
        <s:v/>
      </s:c>
      <s:c r="CN147" s="240">
        <s:f>K147</s:f>
        <s:v/>
      </s:c>
      <s:c r="CO147" s="240">
        <s:f>L147</s:f>
        <s:v/>
      </s:c>
      <s:c r="CP147" s="242">
        <s:f>U147</s:f>
        <s:v/>
      </s:c>
      <s:c r="CQ147" s="233">
        <s:f>AT147</s:f>
        <s:v/>
      </s:c>
    </s:row>
    <s:row r="148">
      <s:c r="A148" s="211" t="n">
        <s:v>48</s:v>
      </s:c>
      <s:c r="B148" s="212" t="n">
        <s:v>45901</s:v>
      </s:c>
      <s:c r="C148" s="213" t="n">
        <s:v>45901</s:v>
      </s:c>
      <s:c r="D148" s="214" t="n">
        <s:v>3</s:v>
      </s:c>
      <s:c r="E148" s="215" t="n">
        <s:v>13</s:v>
      </s:c>
      <s:c r="F148" s="216" t="inlineStr">
        <s:is>
          <s:t>VI-236623-2025</s:t>
        </s:is>
      </s:c>
      <s:c r="G148" s="217" t="inlineStr">
        <s:is>
          <s:t>QA25418383</s:t>
        </s:is>
      </s:c>
      <s:c r="H148" s="218" t="n">
        <s:v>16</s:v>
      </s:c>
      <s:c r="I148" s="219" t="n">
        <s:v>0</s:v>
      </s:c>
      <s:c r="J148" s="220" t="n">
        <s:v>19.1</s:v>
      </s:c>
      <s:c r="K148" s="221" t="n">
        <s:v>7.504</s:v>
      </s:c>
      <s:c r="L148" s="221" t="n">
        <s:v>1.178</s:v>
      </s:c>
      <s:c r="M148" s="222" t="n">
        <s:v>320.63</s:v>
      </s:c>
      <s:c r="N148" s="222" t="n">
        <s:v>420.38</s:v>
      </s:c>
      <s:c r="O148" s="222" t="n">
        <s:v>100.58</s:v>
      </s:c>
      <s:c r="P148" s="223" t="inlineStr">
        <s:is>
          <s:t>2,30,290</s:t>
        </s:is>
      </s:c>
      <s:c r="Q148" s="224" t="inlineStr">
        <s:is>
          <s:t>2</s:t>
        </s:is>
      </s:c>
      <s:c r="R148" s="224" t="inlineStr">
        <s:is>
          <s:t>30,290</s:t>
        </s:is>
      </s:c>
      <s:c r="S148" s="224" t="n">
        <s:v>0.04174722222222222</s:v>
      </s:c>
      <s:c r="T148" s="225" t="n">
        <s:v>2409.262093286313</s:v>
      </s:c>
      <s:c r="U148" s="226" t="n">
        <s:v>-0.8252137601908911</s:v>
      </s:c>
      <s:c r="V148" s="220" t="n">
        <s:v>19.2</s:v>
      </s:c>
      <s:c r="W148" s="221" t="n">
        <s:v>1.091</s:v>
      </s:c>
      <s:c r="X148" s="221" t="n">
        <s:v>1.079</s:v>
      </s:c>
      <s:c r="Y148" s="222" t="n">
        <s:v>433.9</s:v>
      </s:c>
      <s:c r="Z148" s="222" t="n">
        <s:v>438.96</s:v>
      </s:c>
      <s:c r="AA148" s="227" t="n">
        <s:v>5.018</s:v>
      </s:c>
      <s:c r="AB148" s="228" t="inlineStr">
        <s:is>
          <s:t>11,16,920</s:t>
        </s:is>
      </s:c>
      <s:c r="AC148" s="224" t="inlineStr">
        <s:is>
          <s:t>11</s:t>
        </s:is>
      </s:c>
      <s:c r="AD148" s="224" t="inlineStr">
        <s:is>
          <s:t>16,920</s:t>
        </s:is>
      </s:c>
      <s:c r="AE148" s="224" t="n">
        <s:v>0.1880333333333333</s:v>
      </s:c>
      <s:c r="AF148" s="225" t="n">
        <s:v>26.6867576670803</s:v>
      </s:c>
      <s:c r="AG148" s="229" t="n">
        <s:v>0.8369868473495912</s:v>
      </s:c>
      <s:c r="AH148" s="220" t="n">
        <s:v>19.1</s:v>
      </s:c>
      <s:c r="AI148" s="221" t="n">
        <s:v>1.091</s:v>
      </s:c>
      <s:c r="AJ148" s="221" t="n">
        <s:v>1.08</s:v>
      </s:c>
      <s:c r="AK148" s="222" t="n">
        <s:v>438.96</s:v>
      </s:c>
      <s:c r="AL148" s="222" t="n">
        <s:v>440.99</s:v>
      </s:c>
      <s:c r="AM148" s="230" t="n">
        <s:v>2.007</s:v>
      </s:c>
      <s:c r="AN148" s="223" t="inlineStr">
        <s:is>
          <s:t>7,23,380</s:t>
        </s:is>
      </s:c>
      <s:c r="AO148" s="224" t="inlineStr">
        <s:is>
          <s:t>7,</s:t>
        </s:is>
      </s:c>
      <s:c r="AP148" s="224" t="inlineStr">
        <s:is>
          <s:t>23,380</s:t>
        </s:is>
      </s:c>
      <s:c r="AQ148" s="224" t="n">
        <s:v>0.1231611111111111</s:v>
      </s:c>
      <s:c r="AR148" s="225" t="n">
        <s:v>16.29572826920475</s:v>
      </s:c>
      <s:c r="AS148" s="229" t="n">
        <s:v>1.145989038367187</s:v>
      </s:c>
      <s:c r="AT148" s="231" t="inlineStr">
        <s:is>
          <s:t>CONFORME</s:t>
        </s:is>
      </s:c>
      <s:c r="AU148" s="232">
        <s:f>B148=C148</s:f>
        <s:v/>
      </s:c>
      <s:c r="AV148" s="233">
        <s:f>MID(G148,1,2)</s:f>
        <s:v/>
      </s:c>
      <s:c r="AW148" s="233">
        <s:f>LEN(G148)</s:f>
        <s:v/>
      </s:c>
      <s:c r="AX148" s="233" t="inlineStr">
        <s:is>
          <s:t>OI-0923-2025</s:t>
        </s:is>
      </s:c>
      <s:c r="AY148" s="233">
        <s:f>N148&lt;Y148</s:f>
        <s:v/>
      </s:c>
      <s:c r="AZ148" s="233">
        <s:f>Z148&lt;=AK148</s:f>
        <s:v/>
      </s:c>
      <s:c r="BA148" s="233">
        <s:f>L148&lt;K148</s:f>
        <s:v/>
      </s:c>
      <s:c r="BB148" s="233">
        <s:f>W148&gt;=X148</s:f>
        <s:v/>
      </s:c>
      <s:c r="BC148" s="233">
        <s:f>AI148&gt;=AJ148</s:f>
        <s:v/>
      </s:c>
      <s:c r="BD148" s="233">
        <s:f>IF(I148&gt;=1,"Qcorrecto",IF(AND(BE148="aceptable",BF148="aceptable",BG148="aceptable"),"Qcorrecto","Qincorrecto"))</s:f>
        <s:v/>
      </s:c>
      <s:c r="BE148" s="232">
        <s:f>IF(AR148&lt;$AH$6,"error",IF(AR148&gt;$AH$6*1.1,"error","aceptable"))</s:f>
        <s:v/>
      </s:c>
      <s:c r="BF148" s="232">
        <s:f>IF(AF148&lt;$V$6,"error",IF(AF148&gt;$V$6*1.1,"error","aceptable"))</s:f>
        <s:v/>
      </s:c>
      <s:c r="BG148" s="232">
        <s:f>IF(T148&lt;$J$6*0.9,"error",IF(T148&gt;$J$6,"error","aceptable"))</s:f>
        <s:v/>
      </s:c>
      <s:c r="BH148" s="234">
        <s:f>(IF(ABS(U148)&lt;1,"CONFORME",IF(ABS(AG148)&lt;1,"CONFORME",IF(ABS(AS148)&lt;2.5,"CONFORME","NO CONFORME"))))</s:f>
        <s:v/>
      </s:c>
      <s:c r="BI148" s="235">
        <s:f>(IF(ABS(U148)&gt;2.044,"NO CONFORME",IF(ABS(AG148)&gt;2.044,"NO CONFORME",IF(ABS(AS148)&gt;5.044,"NO CONFORME","CONFORME"))))</s:f>
        <s:v/>
      </s:c>
      <s:c r="BJ148" s="233">
        <s:f>SIGN(U148)</s:f>
        <s:v/>
      </s:c>
      <s:c r="BK148" s="233">
        <s:f>SIGN(AG148)</s:f>
        <s:v/>
      </s:c>
      <s:c r="BL148" s="233">
        <s:f>SIGN(AS148)</s:f>
        <s:v/>
      </s:c>
      <s:c r="BM148" s="233">
        <s:f>CONCATENATE(BJ148,BK148,BL148)</s:f>
        <s:v/>
      </s:c>
      <s:c r="BN148" s="233">
        <s:f>IF(BM148="111","SI","SD")</s:f>
        <s:v/>
      </s:c>
      <s:c r="BO148" s="233">
        <s:f>IF(BM148="-1-1-1","SI","SD")</s:f>
        <s:v/>
      </s:c>
      <s:c r="BP148" s="233">
        <s:f>OR(BN148="SI",BO148="SI")</s:f>
        <s:v/>
      </s:c>
      <s:c r="BQ148" s="233">
        <s:f>IF(BP148=FALSE,"SIGDIFERENTES","SIGIGUALES")</s:f>
        <s:v/>
      </s:c>
      <s:c r="BR148" s="236">
        <s:f>IF(BI148="NO CONFORME","NO CONFORME",IF(BH148="CONFORME","CONFORME","NO CONFORME"))</s:f>
        <s:v/>
      </s:c>
      <s:c r="BS148" s="233">
        <s:f>F148</s:f>
        <s:v/>
      </s:c>
      <s:c r="BT148" s="237">
        <s:f>G148</s:f>
        <s:v/>
      </s:c>
      <s:c r="BU148" s="233">
        <s:f>"20"&amp;+MID(G148,3,2)</s:f>
        <s:v/>
      </s:c>
      <s:c r="BV148" s="238">
        <s:f>C148</s:f>
        <s:v/>
      </s:c>
      <s:c r="BW148" s="233">
        <s:f>AT148</s:f>
        <s:v/>
      </s:c>
      <s:c r="BX148" s="238">
        <s:f>B148</s:f>
        <s:v/>
      </s:c>
      <s:c r="BY148" s="239">
        <s:f>H148</s:f>
        <s:v/>
      </s:c>
      <s:c r="BZ148" s="233">
        <s:f>IF(I148=0,"CONFORME","NO CONFORME")</s:f>
        <s:v/>
      </s:c>
      <s:c r="CA148" s="238">
        <s:f>C148</s:f>
        <s:v/>
      </s:c>
      <s:c r="CB148" s="240">
        <s:f>AH148</s:f>
        <s:v/>
      </s:c>
      <s:c r="CC148" s="241">
        <s:f>AR148</s:f>
        <s:v/>
      </s:c>
      <s:c r="CD148" s="240">
        <s:f>AI148</s:f>
        <s:v/>
      </s:c>
      <s:c r="CE148" s="240">
        <s:f>AJ148</s:f>
        <s:v/>
      </s:c>
      <s:c r="CF148" s="240">
        <s:f>AS148</s:f>
        <s:v/>
      </s:c>
      <s:c r="CG148" s="240">
        <s:f>V148</s:f>
        <s:v/>
      </s:c>
      <s:c r="CH148" s="241">
        <s:f>AF148</s:f>
        <s:v/>
      </s:c>
      <s:c r="CI148" s="240">
        <s:f>W148</s:f>
        <s:v/>
      </s:c>
      <s:c r="CJ148" s="240">
        <s:f>X148</s:f>
        <s:v/>
      </s:c>
      <s:c r="CK148" s="240">
        <s:f>AG148</s:f>
        <s:v/>
      </s:c>
      <s:c r="CL148" s="240">
        <s:f>J148</s:f>
        <s:v/>
      </s:c>
      <s:c r="CM148" s="241">
        <s:f>T148</s:f>
        <s:v/>
      </s:c>
      <s:c r="CN148" s="240">
        <s:f>K148</s:f>
        <s:v/>
      </s:c>
      <s:c r="CO148" s="240">
        <s:f>L148</s:f>
        <s:v/>
      </s:c>
      <s:c r="CP148" s="242">
        <s:f>U148</s:f>
        <s:v/>
      </s:c>
      <s:c r="CQ148" s="233">
        <s:f>AT148</s:f>
        <s:v/>
      </s:c>
    </s:row>
    <s:row r="149">
      <s:c r="A149" s="211" t="n">
        <s:v>49</s:v>
      </s:c>
      <s:c r="B149" s="212" t="n">
        <s:v>45901</s:v>
      </s:c>
      <s:c r="C149" s="213" t="n">
        <s:v>45901</s:v>
      </s:c>
      <s:c r="D149" s="214" t="n">
        <s:v>3</s:v>
      </s:c>
      <s:c r="E149" s="215" t="n">
        <s:v>13</s:v>
      </s:c>
      <s:c r="F149" s="216" t="inlineStr">
        <s:is>
          <s:t>VI-236624-2025</s:t>
        </s:is>
      </s:c>
      <s:c r="G149" s="217" t="inlineStr">
        <s:is>
          <s:t>QA25418342</s:t>
        </s:is>
      </s:c>
      <s:c r="H149" s="218" t="n">
        <s:v>16</s:v>
      </s:c>
      <s:c r="I149" s="219" t="n">
        <s:v>0</s:v>
      </s:c>
      <s:c r="J149" s="220" t="n">
        <s:v>19.1</s:v>
      </s:c>
      <s:c r="K149" s="221" t="n">
        <s:v>7.504</s:v>
      </s:c>
      <s:c r="L149" s="221" t="n">
        <s:v>1.178</s:v>
      </s:c>
      <s:c r="M149" s="222" t="n">
        <s:v>312.34</s:v>
      </s:c>
      <s:c r="N149" s="222" t="n">
        <s:v>410.23</s:v>
      </s:c>
      <s:c r="O149" s="222" t="n">
        <s:v>100.58</s:v>
      </s:c>
      <s:c r="P149" s="223" t="inlineStr">
        <s:is>
          <s:t>2,30,290</s:t>
        </s:is>
      </s:c>
      <s:c r="Q149" s="224" t="inlineStr">
        <s:is>
          <s:t>2</s:t>
        </s:is>
      </s:c>
      <s:c r="R149" s="224" t="inlineStr">
        <s:is>
          <s:t>30,290</s:t>
        </s:is>
      </s:c>
      <s:c r="S149" s="224" t="n">
        <s:v>0.04174722222222222</s:v>
      </s:c>
      <s:c r="T149" s="225" t="n">
        <s:v>2409.262093286313</s:v>
      </s:c>
      <s:c r="U149" s="226" t="n">
        <s:v>-2.674487969775259</s:v>
      </s:c>
      <s:c r="V149" s="220" t="n">
        <s:v>19.2</s:v>
      </s:c>
      <s:c r="W149" s="221" t="n">
        <s:v>1.091</s:v>
      </s:c>
      <s:c r="X149" s="221" t="n">
        <s:v>1.079</s:v>
      </s:c>
      <s:c r="Y149" s="222" t="n">
        <s:v>423.55</s:v>
      </s:c>
      <s:c r="Z149" s="222" t="n">
        <s:v>428.5</s:v>
      </s:c>
      <s:c r="AA149" s="227" t="n">
        <s:v>5.018</s:v>
      </s:c>
      <s:c r="AB149" s="228" t="inlineStr">
        <s:is>
          <s:t>11,16,920</s:t>
        </s:is>
      </s:c>
      <s:c r="AC149" s="224" t="inlineStr">
        <s:is>
          <s:t>11</s:t>
        </s:is>
      </s:c>
      <s:c r="AD149" s="224" t="inlineStr">
        <s:is>
          <s:t>16,920</s:t>
        </s:is>
      </s:c>
      <s:c r="AE149" s="224" t="n">
        <s:v>0.1880333333333333</s:v>
      </s:c>
      <s:c r="AF149" s="225" t="n">
        <s:v>26.6867576670803</s:v>
      </s:c>
      <s:c r="AG149" s="229" t="n">
        <s:v>-1.355121562375671</s:v>
      </s:c>
      <s:c r="AH149" s="220" t="n">
        <s:v>19.1</s:v>
      </s:c>
      <s:c r="AI149" s="221" t="n">
        <s:v>1.091</s:v>
      </s:c>
      <s:c r="AJ149" s="221" t="n">
        <s:v>1.08</s:v>
      </s:c>
      <s:c r="AK149" s="222" t="n">
        <s:v>428.5</s:v>
      </s:c>
      <s:c r="AL149" s="222" t="n">
        <s:v>430.44</s:v>
      </s:c>
      <s:c r="AM149" s="230" t="n">
        <s:v>2.007</s:v>
      </s:c>
      <s:c r="AN149" s="223" t="inlineStr">
        <s:is>
          <s:t>7,23,380</s:t>
        </s:is>
      </s:c>
      <s:c r="AO149" s="224" t="inlineStr">
        <s:is>
          <s:t>7,</s:t>
        </s:is>
      </s:c>
      <s:c r="AP149" s="224" t="inlineStr">
        <s:is>
          <s:t>23,380</s:t>
        </s:is>
      </s:c>
      <s:c r="AQ149" s="224" t="n">
        <s:v>0.1231611111111111</s:v>
      </s:c>
      <s:c r="AR149" s="225" t="n">
        <s:v>16.29572826920475</s:v>
      </s:c>
      <s:c r="AS149" s="229" t="n">
        <s:v>-3.338315894369825</s:v>
      </s:c>
      <s:c r="AT149" s="231" t="inlineStr">
        <s:is>
          <s:t>NO CONFORME</s:t>
        </s:is>
      </s:c>
      <s:c r="AU149" s="232">
        <s:f>B149=C149</s:f>
        <s:v/>
      </s:c>
      <s:c r="AV149" s="233">
        <s:f>MID(G149,1,2)</s:f>
        <s:v/>
      </s:c>
      <s:c r="AW149" s="233">
        <s:f>LEN(G149)</s:f>
        <s:v/>
      </s:c>
      <s:c r="AX149" s="233" t="inlineStr">
        <s:is>
          <s:t>OI-0923-2025</s:t>
        </s:is>
      </s:c>
      <s:c r="AY149" s="233">
        <s:f>N149&lt;Y149</s:f>
        <s:v/>
      </s:c>
      <s:c r="AZ149" s="233">
        <s:f>Z149&lt;=AK149</s:f>
        <s:v/>
      </s:c>
      <s:c r="BA149" s="233">
        <s:f>L149&lt;K149</s:f>
        <s:v/>
      </s:c>
      <s:c r="BB149" s="233">
        <s:f>W149&gt;=X149</s:f>
        <s:v/>
      </s:c>
      <s:c r="BC149" s="233">
        <s:f>AI149&gt;=AJ149</s:f>
        <s:v/>
      </s:c>
      <s:c r="BD149" s="233">
        <s:f>IF(I149&gt;=1,"Qcorrecto",IF(AND(BE149="aceptable",BF149="aceptable",BG149="aceptable"),"Qcorrecto","Qincorrecto"))</s:f>
        <s:v/>
      </s:c>
      <s:c r="BE149" s="232">
        <s:f>IF(AR149&lt;$AH$6,"error",IF(AR149&gt;$AH$6*1.1,"error","aceptable"))</s:f>
        <s:v/>
      </s:c>
      <s:c r="BF149" s="232">
        <s:f>IF(AF149&lt;$V$6,"error",IF(AF149&gt;$V$6*1.1,"error","aceptable"))</s:f>
        <s:v/>
      </s:c>
      <s:c r="BG149" s="232">
        <s:f>IF(T149&lt;$J$6*0.9,"error",IF(T149&gt;$J$6,"error","aceptable"))</s:f>
        <s:v/>
      </s:c>
      <s:c r="BH149" s="234">
        <s:f>(IF(ABS(U149)&lt;1,"CONFORME",IF(ABS(AG149)&lt;1,"CONFORME",IF(ABS(AS149)&lt;2.5,"CONFORME","NO CONFORME"))))</s:f>
        <s:v/>
      </s:c>
      <s:c r="BI149" s="235">
        <s:f>(IF(ABS(U149)&gt;2.044,"NO CONFORME",IF(ABS(AG149)&gt;2.044,"NO CONFORME",IF(ABS(AS149)&gt;5.044,"NO CONFORME","CONFORME"))))</s:f>
        <s:v/>
      </s:c>
      <s:c r="BJ149" s="233">
        <s:f>SIGN(U149)</s:f>
        <s:v/>
      </s:c>
      <s:c r="BK149" s="233">
        <s:f>SIGN(AG149)</s:f>
        <s:v/>
      </s:c>
      <s:c r="BL149" s="233">
        <s:f>SIGN(AS149)</s:f>
        <s:v/>
      </s:c>
      <s:c r="BM149" s="233">
        <s:f>CONCATENATE(BJ149,BK149,BL149)</s:f>
        <s:v/>
      </s:c>
      <s:c r="BN149" s="233">
        <s:f>IF(BM149="111","SI","SD")</s:f>
        <s:v/>
      </s:c>
      <s:c r="BO149" s="233">
        <s:f>IF(BM149="-1-1-1","SI","SD")</s:f>
        <s:v/>
      </s:c>
      <s:c r="BP149" s="233">
        <s:f>OR(BN149="SI",BO149="SI")</s:f>
        <s:v/>
      </s:c>
      <s:c r="BQ149" s="233">
        <s:f>IF(BP149=FALSE,"SIGDIFERENTES","SIGIGUALES")</s:f>
        <s:v/>
      </s:c>
      <s:c r="BR149" s="236">
        <s:f>IF(BI149="NO CONFORME","NO CONFORME",IF(BH149="CONFORME","CONFORME","NO CONFORME"))</s:f>
        <s:v/>
      </s:c>
      <s:c r="BS149" s="233">
        <s:f>F149</s:f>
        <s:v/>
      </s:c>
      <s:c r="BT149" s="237">
        <s:f>G149</s:f>
        <s:v/>
      </s:c>
      <s:c r="BU149" s="233">
        <s:f>"20"&amp;+MID(G149,3,2)</s:f>
        <s:v/>
      </s:c>
      <s:c r="BV149" s="238">
        <s:f>C149</s:f>
        <s:v/>
      </s:c>
      <s:c r="BW149" s="233">
        <s:f>AT149</s:f>
        <s:v/>
      </s:c>
      <s:c r="BX149" s="238">
        <s:f>B149</s:f>
        <s:v/>
      </s:c>
      <s:c r="BY149" s="239">
        <s:f>H149</s:f>
        <s:v/>
      </s:c>
      <s:c r="BZ149" s="233">
        <s:f>IF(I149=0,"CONFORME","NO CONFORME")</s:f>
        <s:v/>
      </s:c>
      <s:c r="CA149" s="238">
        <s:f>C149</s:f>
        <s:v/>
      </s:c>
      <s:c r="CB149" s="240">
        <s:f>AH149</s:f>
        <s:v/>
      </s:c>
      <s:c r="CC149" s="241">
        <s:f>AR149</s:f>
        <s:v/>
      </s:c>
      <s:c r="CD149" s="240">
        <s:f>AI149</s:f>
        <s:v/>
      </s:c>
      <s:c r="CE149" s="240">
        <s:f>AJ149</s:f>
        <s:v/>
      </s:c>
      <s:c r="CF149" s="240">
        <s:f>AS149</s:f>
        <s:v/>
      </s:c>
      <s:c r="CG149" s="240">
        <s:f>V149</s:f>
        <s:v/>
      </s:c>
      <s:c r="CH149" s="241">
        <s:f>AF149</s:f>
        <s:v/>
      </s:c>
      <s:c r="CI149" s="240">
        <s:f>W149</s:f>
        <s:v/>
      </s:c>
      <s:c r="CJ149" s="240">
        <s:f>X149</s:f>
        <s:v/>
      </s:c>
      <s:c r="CK149" s="240">
        <s:f>AG149</s:f>
        <s:v/>
      </s:c>
      <s:c r="CL149" s="240">
        <s:f>J149</s:f>
        <s:v/>
      </s:c>
      <s:c r="CM149" s="241">
        <s:f>T149</s:f>
        <s:v/>
      </s:c>
      <s:c r="CN149" s="240">
        <s:f>K149</s:f>
        <s:v/>
      </s:c>
      <s:c r="CO149" s="240">
        <s:f>L149</s:f>
        <s:v/>
      </s:c>
      <s:c r="CP149" s="242">
        <s:f>U149</s:f>
        <s:v/>
      </s:c>
      <s:c r="CQ149" s="233">
        <s:f>AT149</s:f>
        <s:v/>
      </s:c>
    </s:row>
    <s:row r="150">
      <s:c r="A150" s="211" t="n">
        <s:v>50</s:v>
      </s:c>
      <s:c r="B150" s="212" t="n">
        <s:v>45901</s:v>
      </s:c>
      <s:c r="C150" s="213" t="n">
        <s:v>45901</s:v>
      </s:c>
      <s:c r="D150" s="214" t="n">
        <s:v>3</s:v>
      </s:c>
      <s:c r="E150" s="215" t="n">
        <s:v>13</s:v>
      </s:c>
      <s:c r="F150" s="216" t="inlineStr">
        <s:is>
          <s:t>VI-236625-2025</s:t>
        </s:is>
      </s:c>
      <s:c r="G150" s="217" t="inlineStr">
        <s:is>
          <s:t>QA25418487</s:t>
        </s:is>
      </s:c>
      <s:c r="H150" s="218" t="n">
        <s:v>16</s:v>
      </s:c>
      <s:c r="I150" s="219" t="n">
        <s:v>0</s:v>
      </s:c>
      <s:c r="J150" s="220" t="n">
        <s:v>19</s:v>
      </s:c>
      <s:c r="K150" s="221" t="n">
        <s:v>7.501</s:v>
      </s:c>
      <s:c r="L150" s="221" t="n">
        <s:v>1.123</s:v>
      </s:c>
      <s:c r="M150" s="222" t="n">
        <s:v>314.83</s:v>
      </s:c>
      <s:c r="N150" s="222" t="n">
        <s:v>414.43</s:v>
      </s:c>
      <s:c r="O150" s="222" t="n">
        <s:v>100.51</s:v>
      </s:c>
      <s:c r="P150" s="223" t="inlineStr">
        <s:is>
          <s:t>2,29,980</s:t>
        </s:is>
      </s:c>
      <s:c r="Q150" s="224" t="inlineStr">
        <s:is>
          <s:t>2</s:t>
        </s:is>
      </s:c>
      <s:c r="R150" s="224" t="inlineStr">
        <s:is>
          <s:t>29,980</s:t>
        </s:is>
      </s:c>
      <s:c r="S150" s="224" t="n">
        <s:v>0.04166111111111111</s:v>
      </s:c>
      <s:c r="T150" s="225" t="n">
        <s:v>2412.561674889986</s:v>
      </s:c>
      <s:c r="U150" s="226" t="n">
        <s:v>-0.905382549000082</s:v>
      </s:c>
      <s:c r="V150" s="220" t="n">
        <s:v>19.1</s:v>
      </s:c>
      <s:c r="W150" s="221" t="n">
        <s:v>1.092</s:v>
      </s:c>
      <s:c r="X150" s="221" t="n">
        <s:v>1.079</s:v>
      </s:c>
      <s:c r="Y150" s="222" t="n">
        <s:v>429.87</s:v>
      </s:c>
      <s:c r="Z150" s="222" t="n">
        <s:v>434.92</s:v>
      </s:c>
      <s:c r="AA150" s="227" t="n">
        <s:v>5.02</s:v>
      </s:c>
      <s:c r="AB150" s="228" t="inlineStr">
        <s:is>
          <s:t>11,25,810</s:t>
        </s:is>
      </s:c>
      <s:c r="AC150" s="224" t="inlineStr">
        <s:is>
          <s:t>11</s:t>
        </s:is>
      </s:c>
      <s:c r="AD150" s="224" t="inlineStr">
        <s:is>
          <s:t>25,810</s:t>
        </s:is>
      </s:c>
      <s:c r="AE150" s="224" t="n">
        <s:v>0.1905027777777778</s:v>
      </s:c>
      <s:c r="AF150" s="225" t="n">
        <s:v>26.35132179466616</s:v>
      </s:c>
      <s:c r="AG150" s="229" t="n">
        <s:v>0.5976095617532231</s:v>
      </s:c>
      <s:c r="AH150" s="220" t="n">
        <s:v>19.2</s:v>
      </s:c>
      <s:c r="AI150" s="221" t="n">
        <s:v>1.093</s:v>
      </s:c>
      <s:c r="AJ150" s="221" t="n">
        <s:v>1.082</s:v>
      </s:c>
      <s:c r="AK150" s="222" t="n">
        <s:v>434.92</s:v>
      </s:c>
      <s:c r="AL150" s="222" t="n">
        <s:v>436.9</s:v>
      </s:c>
      <s:c r="AM150" s="230" t="n">
        <s:v>2.006</s:v>
      </s:c>
      <s:c r="AN150" s="223" t="inlineStr">
        <s:is>
          <s:t>7,23,700</s:t>
        </s:is>
      </s:c>
      <s:c r="AO150" s="224" t="inlineStr">
        <s:is>
          <s:t>7,</s:t>
        </s:is>
      </s:c>
      <s:c r="AP150" s="224" t="inlineStr">
        <s:is>
          <s:t>23,700</s:t>
        </s:is>
      </s:c>
      <s:c r="AQ150" s="224" t="n">
        <s:v>0.12325</s:v>
      </s:c>
      <s:c r="AR150" s="225" t="n">
        <s:v>16.27586206896552</s:v>
      </s:c>
      <s:c r="AS150" s="229" t="n">
        <s:v>-1.296111665006901</s:v>
      </s:c>
      <s:c r="AT150" s="231" t="inlineStr">
        <s:is>
          <s:t>CONFORME</s:t>
        </s:is>
      </s:c>
      <s:c r="AU150" s="232">
        <s:f>B150=C150</s:f>
        <s:v/>
      </s:c>
      <s:c r="AV150" s="233">
        <s:f>MID(G150,1,2)</s:f>
        <s:v/>
      </s:c>
      <s:c r="AW150" s="233">
        <s:f>LEN(G150)</s:f>
        <s:v/>
      </s:c>
      <s:c r="AX150" s="233" t="inlineStr">
        <s:is>
          <s:t>OI-0923-2025</s:t>
        </s:is>
      </s:c>
      <s:c r="AY150" s="233">
        <s:f>N150&lt;Y150</s:f>
        <s:v/>
      </s:c>
      <s:c r="AZ150" s="233">
        <s:f>Z150&lt;=AK150</s:f>
        <s:v/>
      </s:c>
      <s:c r="BA150" s="233">
        <s:f>L150&lt;K150</s:f>
        <s:v/>
      </s:c>
      <s:c r="BB150" s="233">
        <s:f>W150&gt;=X150</s:f>
        <s:v/>
      </s:c>
      <s:c r="BC150" s="233">
        <s:f>AI150&gt;=AJ150</s:f>
        <s:v/>
      </s:c>
      <s:c r="BD150" s="233">
        <s:f>IF(I150&gt;=1,"Qcorrecto",IF(AND(BE150="aceptable",BF150="aceptable",BG150="aceptable"),"Qcorrecto","Qincorrecto"))</s:f>
        <s:v/>
      </s:c>
      <s:c r="BE150" s="232">
        <s:f>IF(AR150&lt;$AH$6,"error",IF(AR150&gt;$AH$6*1.1,"error","aceptable"))</s:f>
        <s:v/>
      </s:c>
      <s:c r="BF150" s="232">
        <s:f>IF(AF150&lt;$V$6,"error",IF(AF150&gt;$V$6*1.1,"error","aceptable"))</s:f>
        <s:v/>
      </s:c>
      <s:c r="BG150" s="232">
        <s:f>IF(T150&lt;$J$6*0.9,"error",IF(T150&gt;$J$6,"error","aceptable"))</s:f>
        <s:v/>
      </s:c>
      <s:c r="BH150" s="234">
        <s:f>(IF(ABS(U150)&lt;1,"CONFORME",IF(ABS(AG150)&lt;1,"CONFORME",IF(ABS(AS150)&lt;2.5,"CONFORME","NO CONFORME"))))</s:f>
        <s:v/>
      </s:c>
      <s:c r="BI150" s="235">
        <s:f>(IF(ABS(U150)&gt;2.044,"NO CONFORME",IF(ABS(AG150)&gt;2.044,"NO CONFORME",IF(ABS(AS150)&gt;5.044,"NO CONFORME","CONFORME"))))</s:f>
        <s:v/>
      </s:c>
      <s:c r="BJ150" s="233">
        <s:f>SIGN(U150)</s:f>
        <s:v/>
      </s:c>
      <s:c r="BK150" s="233">
        <s:f>SIGN(AG150)</s:f>
        <s:v/>
      </s:c>
      <s:c r="BL150" s="233">
        <s:f>SIGN(AS150)</s:f>
        <s:v/>
      </s:c>
      <s:c r="BM150" s="233">
        <s:f>CONCATENATE(BJ150,BK150,BL150)</s:f>
        <s:v/>
      </s:c>
      <s:c r="BN150" s="233">
        <s:f>IF(BM150="111","SI","SD")</s:f>
        <s:v/>
      </s:c>
      <s:c r="BO150" s="233">
        <s:f>IF(BM150="-1-1-1","SI","SD")</s:f>
        <s:v/>
      </s:c>
      <s:c r="BP150" s="233">
        <s:f>OR(BN150="SI",BO150="SI")</s:f>
        <s:v/>
      </s:c>
      <s:c r="BQ150" s="233">
        <s:f>IF(BP150=FALSE,"SIGDIFERENTES","SIGIGUALES")</s:f>
        <s:v/>
      </s:c>
      <s:c r="BR150" s="236">
        <s:f>IF(BI150="NO CONFORME","NO CONFORME",IF(BH150="CONFORME","CONFORME","NO CONFORME"))</s:f>
        <s:v/>
      </s:c>
      <s:c r="BS150" s="233">
        <s:f>F150</s:f>
        <s:v/>
      </s:c>
      <s:c r="BT150" s="237">
        <s:f>G150</s:f>
        <s:v/>
      </s:c>
      <s:c r="BU150" s="233">
        <s:f>"20"&amp;+MID(G150,3,2)</s:f>
        <s:v/>
      </s:c>
      <s:c r="BV150" s="238">
        <s:f>C150</s:f>
        <s:v/>
      </s:c>
      <s:c r="BW150" s="233">
        <s:f>AT150</s:f>
        <s:v/>
      </s:c>
      <s:c r="BX150" s="238">
        <s:f>B150</s:f>
        <s:v/>
      </s:c>
      <s:c r="BY150" s="239">
        <s:f>H150</s:f>
        <s:v/>
      </s:c>
      <s:c r="BZ150" s="233">
        <s:f>IF(I150=0,"CONFORME","NO CONFORME")</s:f>
        <s:v/>
      </s:c>
      <s:c r="CA150" s="238">
        <s:f>C150</s:f>
        <s:v/>
      </s:c>
      <s:c r="CB150" s="240">
        <s:f>AH150</s:f>
        <s:v/>
      </s:c>
      <s:c r="CC150" s="241">
        <s:f>AR150</s:f>
        <s:v/>
      </s:c>
      <s:c r="CD150" s="240">
        <s:f>AI150</s:f>
        <s:v/>
      </s:c>
      <s:c r="CE150" s="240">
        <s:f>AJ150</s:f>
        <s:v/>
      </s:c>
      <s:c r="CF150" s="240">
        <s:f>AS150</s:f>
        <s:v/>
      </s:c>
      <s:c r="CG150" s="240">
        <s:f>V150</s:f>
        <s:v/>
      </s:c>
      <s:c r="CH150" s="241">
        <s:f>AF150</s:f>
        <s:v/>
      </s:c>
      <s:c r="CI150" s="240">
        <s:f>W150</s:f>
        <s:v/>
      </s:c>
      <s:c r="CJ150" s="240">
        <s:f>X150</s:f>
        <s:v/>
      </s:c>
      <s:c r="CK150" s="240">
        <s:f>AG150</s:f>
        <s:v/>
      </s:c>
      <s:c r="CL150" s="240">
        <s:f>J150</s:f>
        <s:v/>
      </s:c>
      <s:c r="CM150" s="241">
        <s:f>T150</s:f>
        <s:v/>
      </s:c>
      <s:c r="CN150" s="240">
        <s:f>K150</s:f>
        <s:v/>
      </s:c>
      <s:c r="CO150" s="240">
        <s:f>L150</s:f>
        <s:v/>
      </s:c>
      <s:c r="CP150" s="242">
        <s:f>U150</s:f>
        <s:v/>
      </s:c>
      <s:c r="CQ150" s="233">
        <s:f>AT150</s:f>
        <s:v/>
      </s:c>
    </s:row>
    <s:row r="151">
      <s:c r="A151" s="211" t="n">
        <s:v>51</s:v>
      </s:c>
      <s:c r="B151" s="212" t="n">
        <s:v>45901</s:v>
      </s:c>
      <s:c r="C151" s="213" t="n">
        <s:v>45901</s:v>
      </s:c>
      <s:c r="D151" s="214" t="n">
        <s:v>3</s:v>
      </s:c>
      <s:c r="E151" s="215" t="n">
        <s:v>13</s:v>
      </s:c>
      <s:c r="F151" s="216" t="inlineStr">
        <s:is>
          <s:t>VI-236626-2025</s:t>
        </s:is>
      </s:c>
      <s:c r="G151" s="217" t="inlineStr">
        <s:is>
          <s:t>QA25418923</s:t>
        </s:is>
      </s:c>
      <s:c r="H151" s="218" t="n">
        <s:v>16</s:v>
      </s:c>
      <s:c r="I151" s="219" t="n">
        <s:v>0</s:v>
      </s:c>
      <s:c r="J151" s="220" t="n">
        <s:v>19</s:v>
      </s:c>
      <s:c r="K151" s="221" t="n">
        <s:v>7.501</s:v>
      </s:c>
      <s:c r="L151" s="221" t="n">
        <s:v>1.123</s:v>
      </s:c>
      <s:c r="M151" s="222" t="n">
        <s:v>301.53</s:v>
      </s:c>
      <s:c r="N151" s="222" t="n">
        <s:v>400.88</s:v>
      </s:c>
      <s:c r="O151" s="222" t="n">
        <s:v>100.51</s:v>
      </s:c>
      <s:c r="P151" s="223" t="inlineStr">
        <s:is>
          <s:t>2,29,980</s:t>
        </s:is>
      </s:c>
      <s:c r="Q151" s="224" t="inlineStr">
        <s:is>
          <s:t>2</s:t>
        </s:is>
      </s:c>
      <s:c r="R151" s="224" t="inlineStr">
        <s:is>
          <s:t>29,980</s:t>
        </s:is>
      </s:c>
      <s:c r="S151" s="224" t="n">
        <s:v>0.04166111111111111</s:v>
      </s:c>
      <s:c r="T151" s="225" t="n">
        <s:v>2412.561674889986</s:v>
      </s:c>
      <s:c r="U151" s="226" t="n">
        <s:v>-1.154114018505604</s:v>
      </s:c>
      <s:c r="V151" s="220" t="n">
        <s:v>19.1</s:v>
      </s:c>
      <s:c r="W151" s="221" t="n">
        <s:v>1.092</s:v>
      </s:c>
      <s:c r="X151" s="221" t="n">
        <s:v>1.079</s:v>
      </s:c>
      <s:c r="Y151" s="222" t="n">
        <s:v>416.31</s:v>
      </s:c>
      <s:c r="Z151" s="222" t="n">
        <s:v>421.31</s:v>
      </s:c>
      <s:c r="AA151" s="227" t="n">
        <s:v>5.02</s:v>
      </s:c>
      <s:c r="AB151" s="228" t="inlineStr">
        <s:is>
          <s:t>11,25,810</s:t>
        </s:is>
      </s:c>
      <s:c r="AC151" s="224" t="inlineStr">
        <s:is>
          <s:t>11</s:t>
        </s:is>
      </s:c>
      <s:c r="AD151" s="224" t="inlineStr">
        <s:is>
          <s:t>25,810</s:t>
        </s:is>
      </s:c>
      <s:c r="AE151" s="224" t="n">
        <s:v>0.1905027777777778</s:v>
      </s:c>
      <s:c r="AF151" s="225" t="n">
        <s:v>26.35132179466616</s:v>
      </s:c>
      <s:c r="AG151" s="229" t="n">
        <s:v>-0.3984063745019836</s:v>
      </s:c>
      <s:c r="AH151" s="220" t="n">
        <s:v>19.2</s:v>
      </s:c>
      <s:c r="AI151" s="221" t="n">
        <s:v>1.093</s:v>
      </s:c>
      <s:c r="AJ151" s="221" t="n">
        <s:v>1.082</s:v>
      </s:c>
      <s:c r="AK151" s="222" t="n">
        <s:v>421.31</s:v>
      </s:c>
      <s:c r="AL151" s="222" t="n">
        <s:v>423.24</s:v>
      </s:c>
      <s:c r="AM151" s="230" t="n">
        <s:v>2.006</s:v>
      </s:c>
      <s:c r="AN151" s="223" t="inlineStr">
        <s:is>
          <s:t>7,23,700</s:t>
        </s:is>
      </s:c>
      <s:c r="AO151" s="224" t="inlineStr">
        <s:is>
          <s:t>7,</s:t>
        </s:is>
      </s:c>
      <s:c r="AP151" s="224" t="inlineStr">
        <s:is>
          <s:t>23,700</s:t>
        </s:is>
      </s:c>
      <s:c r="AQ151" s="224" t="n">
        <s:v>0.12325</s:v>
      </s:c>
      <s:c r="AR151" s="225" t="n">
        <s:v>16.27586206896552</s:v>
      </s:c>
      <s:c r="AS151" s="229" t="n">
        <s:v>-3.788634097706529</s:v>
      </s:c>
      <s:c r="AT151" s="231" t="inlineStr">
        <s:is>
          <s:t>CONFORME</s:t>
        </s:is>
      </s:c>
      <s:c r="AU151" s="232">
        <s:f>B151=C151</s:f>
        <s:v/>
      </s:c>
      <s:c r="AV151" s="233">
        <s:f>MID(G151,1,2)</s:f>
        <s:v/>
      </s:c>
      <s:c r="AW151" s="233">
        <s:f>LEN(G151)</s:f>
        <s:v/>
      </s:c>
      <s:c r="AX151" s="233" t="inlineStr">
        <s:is>
          <s:t>OI-0923-2025</s:t>
        </s:is>
      </s:c>
      <s:c r="AY151" s="233">
        <s:f>N151&lt;Y151</s:f>
        <s:v/>
      </s:c>
      <s:c r="AZ151" s="233">
        <s:f>Z151&lt;=AK151</s:f>
        <s:v/>
      </s:c>
      <s:c r="BA151" s="233">
        <s:f>L151&lt;K151</s:f>
        <s:v/>
      </s:c>
      <s:c r="BB151" s="233">
        <s:f>W151&gt;=X151</s:f>
        <s:v/>
      </s:c>
      <s:c r="BC151" s="233">
        <s:f>AI151&gt;=AJ151</s:f>
        <s:v/>
      </s:c>
      <s:c r="BD151" s="233">
        <s:f>IF(I151&gt;=1,"Qcorrecto",IF(AND(BE151="aceptable",BF151="aceptable",BG151="aceptable"),"Qcorrecto","Qincorrecto"))</s:f>
        <s:v/>
      </s:c>
      <s:c r="BE151" s="232">
        <s:f>IF(AR151&lt;$AH$6,"error",IF(AR151&gt;$AH$6*1.1,"error","aceptable"))</s:f>
        <s:v/>
      </s:c>
      <s:c r="BF151" s="232">
        <s:f>IF(AF151&lt;$V$6,"error",IF(AF151&gt;$V$6*1.1,"error","aceptable"))</s:f>
        <s:v/>
      </s:c>
      <s:c r="BG151" s="232">
        <s:f>IF(T151&lt;$J$6*0.9,"error",IF(T151&gt;$J$6,"error","aceptable"))</s:f>
        <s:v/>
      </s:c>
      <s:c r="BH151" s="234">
        <s:f>(IF(ABS(U151)&lt;1,"CONFORME",IF(ABS(AG151)&lt;1,"CONFORME",IF(ABS(AS151)&lt;2.5,"CONFORME","NO CONFORME"))))</s:f>
        <s:v/>
      </s:c>
      <s:c r="BI151" s="235">
        <s:f>(IF(ABS(U151)&gt;2.044,"NO CONFORME",IF(ABS(AG151)&gt;2.044,"NO CONFORME",IF(ABS(AS151)&gt;5.044,"NO CONFORME","CONFORME"))))</s:f>
        <s:v/>
      </s:c>
      <s:c r="BJ151" s="233">
        <s:f>SIGN(U151)</s:f>
        <s:v/>
      </s:c>
      <s:c r="BK151" s="233">
        <s:f>SIGN(AG151)</s:f>
        <s:v/>
      </s:c>
      <s:c r="BL151" s="233">
        <s:f>SIGN(AS151)</s:f>
        <s:v/>
      </s:c>
      <s:c r="BM151" s="233">
        <s:f>CONCATENATE(BJ151,BK151,BL151)</s:f>
        <s:v/>
      </s:c>
      <s:c r="BN151" s="233">
        <s:f>IF(BM151="111","SI","SD")</s:f>
        <s:v/>
      </s:c>
      <s:c r="BO151" s="233">
        <s:f>IF(BM151="-1-1-1","SI","SD")</s:f>
        <s:v/>
      </s:c>
      <s:c r="BP151" s="233">
        <s:f>OR(BN151="SI",BO151="SI")</s:f>
        <s:v/>
      </s:c>
      <s:c r="BQ151" s="233">
        <s:f>IF(BP151=FALSE,"SIGDIFERENTES","SIGIGUALES")</s:f>
        <s:v/>
      </s:c>
      <s:c r="BR151" s="236">
        <s:f>IF(BI151="NO CONFORME","NO CONFORME",IF(BH151="CONFORME","CONFORME","NO CONFORME"))</s:f>
        <s:v/>
      </s:c>
      <s:c r="BS151" s="233">
        <s:f>F151</s:f>
        <s:v/>
      </s:c>
      <s:c r="BT151" s="237">
        <s:f>G151</s:f>
        <s:v/>
      </s:c>
      <s:c r="BU151" s="233">
        <s:f>"20"&amp;+MID(G151,3,2)</s:f>
        <s:v/>
      </s:c>
      <s:c r="BV151" s="238">
        <s:f>C151</s:f>
        <s:v/>
      </s:c>
      <s:c r="BW151" s="233">
        <s:f>AT151</s:f>
        <s:v/>
      </s:c>
      <s:c r="BX151" s="238">
        <s:f>B151</s:f>
        <s:v/>
      </s:c>
      <s:c r="BY151" s="239">
        <s:f>H151</s:f>
        <s:v/>
      </s:c>
      <s:c r="BZ151" s="233">
        <s:f>IF(I151=0,"CONFORME","NO CONFORME")</s:f>
        <s:v/>
      </s:c>
      <s:c r="CA151" s="238">
        <s:f>C151</s:f>
        <s:v/>
      </s:c>
      <s:c r="CB151" s="240">
        <s:f>AH151</s:f>
        <s:v/>
      </s:c>
      <s:c r="CC151" s="241">
        <s:f>AR151</s:f>
        <s:v/>
      </s:c>
      <s:c r="CD151" s="240">
        <s:f>AI151</s:f>
        <s:v/>
      </s:c>
      <s:c r="CE151" s="240">
        <s:f>AJ151</s:f>
        <s:v/>
      </s:c>
      <s:c r="CF151" s="240">
        <s:f>AS151</s:f>
        <s:v/>
      </s:c>
      <s:c r="CG151" s="240">
        <s:f>V151</s:f>
        <s:v/>
      </s:c>
      <s:c r="CH151" s="241">
        <s:f>AF151</s:f>
        <s:v/>
      </s:c>
      <s:c r="CI151" s="240">
        <s:f>W151</s:f>
        <s:v/>
      </s:c>
      <s:c r="CJ151" s="240">
        <s:f>X151</s:f>
        <s:v/>
      </s:c>
      <s:c r="CK151" s="240">
        <s:f>AG151</s:f>
        <s:v/>
      </s:c>
      <s:c r="CL151" s="240">
        <s:f>J151</s:f>
        <s:v/>
      </s:c>
      <s:c r="CM151" s="241">
        <s:f>T151</s:f>
        <s:v/>
      </s:c>
      <s:c r="CN151" s="240">
        <s:f>K151</s:f>
        <s:v/>
      </s:c>
      <s:c r="CO151" s="240">
        <s:f>L151</s:f>
        <s:v/>
      </s:c>
      <s:c r="CP151" s="242">
        <s:f>U151</s:f>
        <s:v/>
      </s:c>
      <s:c r="CQ151" s="233">
        <s:f>AT151</s:f>
        <s:v/>
      </s:c>
    </s:row>
    <s:row r="152">
      <s:c r="A152" s="211" t="n">
        <s:v>52</s:v>
      </s:c>
      <s:c r="B152" s="212" t="n">
        <s:v>45901</s:v>
      </s:c>
      <s:c r="C152" s="213" t="n">
        <s:v>45901</s:v>
      </s:c>
      <s:c r="D152" s="214" t="n">
        <s:v>3</s:v>
      </s:c>
      <s:c r="E152" s="215" t="n">
        <s:v>13</s:v>
      </s:c>
      <s:c r="F152" s="216" t="inlineStr">
        <s:is>
          <s:t>VI-236627-2025</s:t>
        </s:is>
      </s:c>
      <s:c r="G152" s="217" t="inlineStr">
        <s:is>
          <s:t>QA25418481</s:t>
        </s:is>
      </s:c>
      <s:c r="H152" s="218" t="n">
        <s:v>16</s:v>
      </s:c>
      <s:c r="I152" s="219" t="n">
        <s:v>0</s:v>
      </s:c>
      <s:c r="J152" s="220" t="n">
        <s:v>19</s:v>
      </s:c>
      <s:c r="K152" s="221" t="n">
        <s:v>7.501</s:v>
      </s:c>
      <s:c r="L152" s="221" t="n">
        <s:v>1.123</s:v>
      </s:c>
      <s:c r="M152" s="222" t="n">
        <s:v>309.45</s:v>
      </s:c>
      <s:c r="N152" s="222" t="n">
        <s:v>408.08</s:v>
      </s:c>
      <s:c r="O152" s="222" t="n">
        <s:v>100.51</s:v>
      </s:c>
      <s:c r="P152" s="223" t="inlineStr">
        <s:is>
          <s:t>2,29,980</s:t>
        </s:is>
      </s:c>
      <s:c r="Q152" s="224" t="inlineStr">
        <s:is>
          <s:t>2</s:t>
        </s:is>
      </s:c>
      <s:c r="R152" s="224" t="inlineStr">
        <s:is>
          <s:t>29,980</s:t>
        </s:is>
      </s:c>
      <s:c r="S152" s="224" t="n">
        <s:v>0.04166111111111111</s:v>
      </s:c>
      <s:c r="T152" s="225" t="n">
        <s:v>2412.561674889986</s:v>
      </s:c>
      <s:c r="U152" s="226" t="n">
        <s:v>-1.870460650681534</s:v>
      </s:c>
      <s:c r="V152" s="220" t="n">
        <s:v>19.1</s:v>
      </s:c>
      <s:c r="W152" s="221" t="n">
        <s:v>1.092</s:v>
      </s:c>
      <s:c r="X152" s="221" t="n">
        <s:v>1.079</s:v>
      </s:c>
      <s:c r="Y152" s="222" t="n">
        <s:v>423.45</s:v>
      </s:c>
      <s:c r="Z152" s="222" t="n">
        <s:v>428.49</s:v>
      </s:c>
      <s:c r="AA152" s="227" t="n">
        <s:v>5.02</s:v>
      </s:c>
      <s:c r="AB152" s="228" t="inlineStr">
        <s:is>
          <s:t>11,25,810</s:t>
        </s:is>
      </s:c>
      <s:c r="AC152" s="224" t="inlineStr">
        <s:is>
          <s:t>11</s:t>
        </s:is>
      </s:c>
      <s:c r="AD152" s="224" t="inlineStr">
        <s:is>
          <s:t>25,810</s:t>
        </s:is>
      </s:c>
      <s:c r="AE152" s="224" t="n">
        <s:v>0.1905027777777778</s:v>
      </s:c>
      <s:c r="AF152" s="225" t="n">
        <s:v>26.35132179466616</s:v>
      </s:c>
      <s:c r="AG152" s="229" t="n">
        <s:v>0.3984063745024082</s:v>
      </s:c>
      <s:c r="AH152" s="220" t="n">
        <s:v>19.2</s:v>
      </s:c>
      <s:c r="AI152" s="221" t="n">
        <s:v>1.093</s:v>
      </s:c>
      <s:c r="AJ152" s="221" t="n">
        <s:v>1.082</s:v>
      </s:c>
      <s:c r="AK152" s="222" t="n">
        <s:v>428.49</s:v>
      </s:c>
      <s:c r="AL152" s="222" t="n">
        <s:v>430.49</s:v>
      </s:c>
      <s:c r="AM152" s="230" t="n">
        <s:v>2.006</s:v>
      </s:c>
      <s:c r="AN152" s="223" t="inlineStr">
        <s:is>
          <s:t>7,23,700</s:t>
        </s:is>
      </s:c>
      <s:c r="AO152" s="224" t="inlineStr">
        <s:is>
          <s:t>7,</s:t>
        </s:is>
      </s:c>
      <s:c r="AP152" s="224" t="inlineStr">
        <s:is>
          <s:t>23,700</s:t>
        </s:is>
      </s:c>
      <s:c r="AQ152" s="224" t="n">
        <s:v>0.12325</s:v>
      </s:c>
      <s:c r="AR152" s="225" t="n">
        <s:v>16.27586206896552</s:v>
      </s:c>
      <s:c r="AS152" s="229" t="n">
        <s:v>-0.2991026919242165</s:v>
      </s:c>
      <s:c r="AT152" s="231" t="inlineStr">
        <s:is>
          <s:t>CONFORME</s:t>
        </s:is>
      </s:c>
      <s:c r="AU152" s="232">
        <s:f>B152=C152</s:f>
        <s:v/>
      </s:c>
      <s:c r="AV152" s="233">
        <s:f>MID(G152,1,2)</s:f>
        <s:v/>
      </s:c>
      <s:c r="AW152" s="233">
        <s:f>LEN(G152)</s:f>
        <s:v/>
      </s:c>
      <s:c r="AX152" s="233" t="inlineStr">
        <s:is>
          <s:t>OI-0923-2025</s:t>
        </s:is>
      </s:c>
      <s:c r="AY152" s="233">
        <s:f>N152&lt;Y152</s:f>
        <s:v/>
      </s:c>
      <s:c r="AZ152" s="233">
        <s:f>Z152&lt;=AK152</s:f>
        <s:v/>
      </s:c>
      <s:c r="BA152" s="233">
        <s:f>L152&lt;K152</s:f>
        <s:v/>
      </s:c>
      <s:c r="BB152" s="233">
        <s:f>W152&gt;=X152</s:f>
        <s:v/>
      </s:c>
      <s:c r="BC152" s="233">
        <s:f>AI152&gt;=AJ152</s:f>
        <s:v/>
      </s:c>
      <s:c r="BD152" s="233">
        <s:f>IF(I152&gt;=1,"Qcorrecto",IF(AND(BE152="aceptable",BF152="aceptable",BG152="aceptable"),"Qcorrecto","Qincorrecto"))</s:f>
        <s:v/>
      </s:c>
      <s:c r="BE152" s="232">
        <s:f>IF(AR152&lt;$AH$6,"error",IF(AR152&gt;$AH$6*1.1,"error","aceptable"))</s:f>
        <s:v/>
      </s:c>
      <s:c r="BF152" s="232">
        <s:f>IF(AF152&lt;$V$6,"error",IF(AF152&gt;$V$6*1.1,"error","aceptable"))</s:f>
        <s:v/>
      </s:c>
      <s:c r="BG152" s="232">
        <s:f>IF(T152&lt;$J$6*0.9,"error",IF(T152&gt;$J$6,"error","aceptable"))</s:f>
        <s:v/>
      </s:c>
      <s:c r="BH152" s="234">
        <s:f>(IF(ABS(U152)&lt;1,"CONFORME",IF(ABS(AG152)&lt;1,"CONFORME",IF(ABS(AS152)&lt;2.5,"CONFORME","NO CONFORME"))))</s:f>
        <s:v/>
      </s:c>
      <s:c r="BI152" s="235">
        <s:f>(IF(ABS(U152)&gt;2.044,"NO CONFORME",IF(ABS(AG152)&gt;2.044,"NO CONFORME",IF(ABS(AS152)&gt;5.044,"NO CONFORME","CONFORME"))))</s:f>
        <s:v/>
      </s:c>
      <s:c r="BJ152" s="233">
        <s:f>SIGN(U152)</s:f>
        <s:v/>
      </s:c>
      <s:c r="BK152" s="233">
        <s:f>SIGN(AG152)</s:f>
        <s:v/>
      </s:c>
      <s:c r="BL152" s="233">
        <s:f>SIGN(AS152)</s:f>
        <s:v/>
      </s:c>
      <s:c r="BM152" s="233">
        <s:f>CONCATENATE(BJ152,BK152,BL152)</s:f>
        <s:v/>
      </s:c>
      <s:c r="BN152" s="233">
        <s:f>IF(BM152="111","SI","SD")</s:f>
        <s:v/>
      </s:c>
      <s:c r="BO152" s="233">
        <s:f>IF(BM152="-1-1-1","SI","SD")</s:f>
        <s:v/>
      </s:c>
      <s:c r="BP152" s="233">
        <s:f>OR(BN152="SI",BO152="SI")</s:f>
        <s:v/>
      </s:c>
      <s:c r="BQ152" s="233">
        <s:f>IF(BP152=FALSE,"SIGDIFERENTES","SIGIGUALES")</s:f>
        <s:v/>
      </s:c>
      <s:c r="BR152" s="236">
        <s:f>IF(BI152="NO CONFORME","NO CONFORME",IF(BH152="CONFORME","CONFORME","NO CONFORME"))</s:f>
        <s:v/>
      </s:c>
      <s:c r="BS152" s="233">
        <s:f>F152</s:f>
        <s:v/>
      </s:c>
      <s:c r="BT152" s="237">
        <s:f>G152</s:f>
        <s:v/>
      </s:c>
      <s:c r="BU152" s="233">
        <s:f>"20"&amp;+MID(G152,3,2)</s:f>
        <s:v/>
      </s:c>
      <s:c r="BV152" s="238">
        <s:f>C152</s:f>
        <s:v/>
      </s:c>
      <s:c r="BW152" s="233">
        <s:f>AT152</s:f>
        <s:v/>
      </s:c>
      <s:c r="BX152" s="238">
        <s:f>B152</s:f>
        <s:v/>
      </s:c>
      <s:c r="BY152" s="239">
        <s:f>H152</s:f>
        <s:v/>
      </s:c>
      <s:c r="BZ152" s="233">
        <s:f>IF(I152=0,"CONFORME","NO CONFORME")</s:f>
        <s:v/>
      </s:c>
      <s:c r="CA152" s="238">
        <s:f>C152</s:f>
        <s:v/>
      </s:c>
      <s:c r="CB152" s="240">
        <s:f>AH152</s:f>
        <s:v/>
      </s:c>
      <s:c r="CC152" s="241">
        <s:f>AR152</s:f>
        <s:v/>
      </s:c>
      <s:c r="CD152" s="240">
        <s:f>AI152</s:f>
        <s:v/>
      </s:c>
      <s:c r="CE152" s="240">
        <s:f>AJ152</s:f>
        <s:v/>
      </s:c>
      <s:c r="CF152" s="240">
        <s:f>AS152</s:f>
        <s:v/>
      </s:c>
      <s:c r="CG152" s="240">
        <s:f>V152</s:f>
        <s:v/>
      </s:c>
      <s:c r="CH152" s="241">
        <s:f>AF152</s:f>
        <s:v/>
      </s:c>
      <s:c r="CI152" s="240">
        <s:f>W152</s:f>
        <s:v/>
      </s:c>
      <s:c r="CJ152" s="240">
        <s:f>X152</s:f>
        <s:v/>
      </s:c>
      <s:c r="CK152" s="240">
        <s:f>AG152</s:f>
        <s:v/>
      </s:c>
      <s:c r="CL152" s="240">
        <s:f>J152</s:f>
        <s:v/>
      </s:c>
      <s:c r="CM152" s="241">
        <s:f>T152</s:f>
        <s:v/>
      </s:c>
      <s:c r="CN152" s="240">
        <s:f>K152</s:f>
        <s:v/>
      </s:c>
      <s:c r="CO152" s="240">
        <s:f>L152</s:f>
        <s:v/>
      </s:c>
      <s:c r="CP152" s="242">
        <s:f>U152</s:f>
        <s:v/>
      </s:c>
      <s:c r="CQ152" s="233">
        <s:f>AT152</s:f>
        <s:v/>
      </s:c>
    </s:row>
    <s:row r="153">
      <s:c r="A153" s="211" t="n">
        <s:v>53</s:v>
      </s:c>
      <s:c r="B153" s="212" t="n">
        <s:v>45901</s:v>
      </s:c>
      <s:c r="C153" s="213" t="n">
        <s:v>45901</s:v>
      </s:c>
      <s:c r="D153" s="214" t="n">
        <s:v>3</s:v>
      </s:c>
      <s:c r="E153" s="215" t="n">
        <s:v>13</s:v>
      </s:c>
      <s:c r="F153" s="216" t="inlineStr">
        <s:is>
          <s:t>VI-236628-2025</s:t>
        </s:is>
      </s:c>
      <s:c r="G153" s="217" t="inlineStr">
        <s:is>
          <s:t>QA25418339</s:t>
        </s:is>
      </s:c>
      <s:c r="H153" s="218" t="n">
        <s:v>16</s:v>
      </s:c>
      <s:c r="I153" s="219" t="n">
        <s:v>0</s:v>
      </s:c>
      <s:c r="J153" s="220" t="n">
        <s:v>19</s:v>
      </s:c>
      <s:c r="K153" s="221" t="n">
        <s:v>7.501</s:v>
      </s:c>
      <s:c r="L153" s="221" t="n">
        <s:v>1.123</s:v>
      </s:c>
      <s:c r="M153" s="222" t="n">
        <s:v>295.38</s:v>
      </s:c>
      <s:c r="N153" s="222" t="n">
        <s:v>396.07</s:v>
      </s:c>
      <s:c r="O153" s="222" t="n">
        <s:v>100.51</s:v>
      </s:c>
      <s:c r="P153" s="223" t="inlineStr">
        <s:is>
          <s:t>2,29,980</s:t>
        </s:is>
      </s:c>
      <s:c r="Q153" s="224" t="inlineStr">
        <s:is>
          <s:t>2</s:t>
        </s:is>
      </s:c>
      <s:c r="R153" s="224" t="inlineStr">
        <s:is>
          <s:t>29,980</s:t>
        </s:is>
      </s:c>
      <s:c r="S153" s="224" t="n">
        <s:v>0.04166111111111111</s:v>
      </s:c>
      <s:c r="T153" s="225" t="n">
        <s:v>2412.561674889986</s:v>
      </s:c>
      <s:c r="U153" s="226" t="n">
        <s:v>0.1790866580439684</s:v>
      </s:c>
      <s:c r="V153" s="220" t="n">
        <s:v>19.1</s:v>
      </s:c>
      <s:c r="W153" s="221" t="n">
        <s:v>1.092</s:v>
      </s:c>
      <s:c r="X153" s="221" t="n">
        <s:v>1.079</s:v>
      </s:c>
      <s:c r="Y153" s="222" t="n">
        <s:v>411.74</s:v>
      </s:c>
      <s:c r="Z153" s="222" t="n">
        <s:v>416.71</s:v>
      </s:c>
      <s:c r="AA153" s="227" t="n">
        <s:v>5.02</s:v>
      </s:c>
      <s:c r="AB153" s="228" t="inlineStr">
        <s:is>
          <s:t>11,25,810</s:t>
        </s:is>
      </s:c>
      <s:c r="AC153" s="224" t="inlineStr">
        <s:is>
          <s:t>11</s:t>
        </s:is>
      </s:c>
      <s:c r="AD153" s="224" t="inlineStr">
        <s:is>
          <s:t>25,810</s:t>
        </s:is>
      </s:c>
      <s:c r="AE153" s="224" t="n">
        <s:v>0.1905027777777778</s:v>
      </s:c>
      <s:c r="AF153" s="225" t="n">
        <s:v>26.35132179466616</s:v>
      </s:c>
      <s:c r="AG153" s="229" t="n">
        <s:v>-0.9960159362555605</s:v>
      </s:c>
      <s:c r="AH153" s="220" t="n">
        <s:v>19.2</s:v>
      </s:c>
      <s:c r="AI153" s="221" t="n">
        <s:v>1.093</s:v>
      </s:c>
      <s:c r="AJ153" s="221" t="n">
        <s:v>1.082</s:v>
      </s:c>
      <s:c r="AK153" s="222" t="n">
        <s:v>416.71</s:v>
      </s:c>
      <s:c r="AL153" s="222" t="n">
        <s:v>418.59</s:v>
      </s:c>
      <s:c r="AM153" s="230" t="n">
        <s:v>2.006</s:v>
      </s:c>
      <s:c r="AN153" s="223" t="inlineStr">
        <s:is>
          <s:t>7,23,700</s:t>
        </s:is>
      </s:c>
      <s:c r="AO153" s="224" t="inlineStr">
        <s:is>
          <s:t>7,</s:t>
        </s:is>
      </s:c>
      <s:c r="AP153" s="224" t="inlineStr">
        <s:is>
          <s:t>23,700</s:t>
        </s:is>
      </s:c>
      <s:c r="AQ153" s="224" t="n">
        <s:v>0.12325</s:v>
      </s:c>
      <s:c r="AR153" s="225" t="n">
        <s:v>16.27586206896552</s:v>
      </s:c>
      <s:c r="AS153" s="229" t="n">
        <s:v>-6.281156530408991</s:v>
      </s:c>
      <s:c r="AT153" s="231" t="inlineStr">
        <s:is>
          <s:t>NO CONFORME</s:t>
        </s:is>
      </s:c>
      <s:c r="AU153" s="232">
        <s:f>B153=C153</s:f>
        <s:v/>
      </s:c>
      <s:c r="AV153" s="233">
        <s:f>MID(G153,1,2)</s:f>
        <s:v/>
      </s:c>
      <s:c r="AW153" s="233">
        <s:f>LEN(G153)</s:f>
        <s:v/>
      </s:c>
      <s:c r="AX153" s="233" t="inlineStr">
        <s:is>
          <s:t>OI-0923-2025</s:t>
        </s:is>
      </s:c>
      <s:c r="AY153" s="233">
        <s:f>N153&lt;Y153</s:f>
        <s:v/>
      </s:c>
      <s:c r="AZ153" s="233">
        <s:f>Z153&lt;=AK153</s:f>
        <s:v/>
      </s:c>
      <s:c r="BA153" s="233">
        <s:f>L153&lt;K153</s:f>
        <s:v/>
      </s:c>
      <s:c r="BB153" s="233">
        <s:f>W153&gt;=X153</s:f>
        <s:v/>
      </s:c>
      <s:c r="BC153" s="233">
        <s:f>AI153&gt;=AJ153</s:f>
        <s:v/>
      </s:c>
      <s:c r="BD153" s="233">
        <s:f>IF(I153&gt;=1,"Qcorrecto",IF(AND(BE153="aceptable",BF153="aceptable",BG153="aceptable"),"Qcorrecto","Qincorrecto"))</s:f>
        <s:v/>
      </s:c>
      <s:c r="BE153" s="232">
        <s:f>IF(AR153&lt;$AH$6,"error",IF(AR153&gt;$AH$6*1.1,"error","aceptable"))</s:f>
        <s:v/>
      </s:c>
      <s:c r="BF153" s="232">
        <s:f>IF(AF153&lt;$V$6,"error",IF(AF153&gt;$V$6*1.1,"error","aceptable"))</s:f>
        <s:v/>
      </s:c>
      <s:c r="BG153" s="232">
        <s:f>IF(T153&lt;$J$6*0.9,"error",IF(T153&gt;$J$6,"error","aceptable"))</s:f>
        <s:v/>
      </s:c>
      <s:c r="BH153" s="234">
        <s:f>(IF(ABS(U153)&lt;1,"CONFORME",IF(ABS(AG153)&lt;1,"CONFORME",IF(ABS(AS153)&lt;2.5,"CONFORME","NO CONFORME"))))</s:f>
        <s:v/>
      </s:c>
      <s:c r="BI153" s="235">
        <s:f>(IF(ABS(U153)&gt;2.044,"NO CONFORME",IF(ABS(AG153)&gt;2.044,"NO CONFORME",IF(ABS(AS153)&gt;5.044,"NO CONFORME","CONFORME"))))</s:f>
        <s:v/>
      </s:c>
      <s:c r="BJ153" s="233">
        <s:f>SIGN(U153)</s:f>
        <s:v/>
      </s:c>
      <s:c r="BK153" s="233">
        <s:f>SIGN(AG153)</s:f>
        <s:v/>
      </s:c>
      <s:c r="BL153" s="233">
        <s:f>SIGN(AS153)</s:f>
        <s:v/>
      </s:c>
      <s:c r="BM153" s="233">
        <s:f>CONCATENATE(BJ153,BK153,BL153)</s:f>
        <s:v/>
      </s:c>
      <s:c r="BN153" s="233">
        <s:f>IF(BM153="111","SI","SD")</s:f>
        <s:v/>
      </s:c>
      <s:c r="BO153" s="233">
        <s:f>IF(BM153="-1-1-1","SI","SD")</s:f>
        <s:v/>
      </s:c>
      <s:c r="BP153" s="233">
        <s:f>OR(BN153="SI",BO153="SI")</s:f>
        <s:v/>
      </s:c>
      <s:c r="BQ153" s="233">
        <s:f>IF(BP153=FALSE,"SIGDIFERENTES","SIGIGUALES")</s:f>
        <s:v/>
      </s:c>
      <s:c r="BR153" s="236">
        <s:f>IF(BI153="NO CONFORME","NO CONFORME",IF(BH153="CONFORME","CONFORME","NO CONFORME"))</s:f>
        <s:v/>
      </s:c>
      <s:c r="BS153" s="233">
        <s:f>F153</s:f>
        <s:v/>
      </s:c>
      <s:c r="BT153" s="237">
        <s:f>G153</s:f>
        <s:v/>
      </s:c>
      <s:c r="BU153" s="233">
        <s:f>"20"&amp;+MID(G153,3,2)</s:f>
        <s:v/>
      </s:c>
      <s:c r="BV153" s="238">
        <s:f>C153</s:f>
        <s:v/>
      </s:c>
      <s:c r="BW153" s="233">
        <s:f>AT153</s:f>
        <s:v/>
      </s:c>
      <s:c r="BX153" s="238">
        <s:f>B153</s:f>
        <s:v/>
      </s:c>
      <s:c r="BY153" s="239">
        <s:f>H153</s:f>
        <s:v/>
      </s:c>
      <s:c r="BZ153" s="233">
        <s:f>IF(I153=0,"CONFORME","NO CONFORME")</s:f>
        <s:v/>
      </s:c>
      <s:c r="CA153" s="238">
        <s:f>C153</s:f>
        <s:v/>
      </s:c>
      <s:c r="CB153" s="240">
        <s:f>AH153</s:f>
        <s:v/>
      </s:c>
      <s:c r="CC153" s="241">
        <s:f>AR153</s:f>
        <s:v/>
      </s:c>
      <s:c r="CD153" s="240">
        <s:f>AI153</s:f>
        <s:v/>
      </s:c>
      <s:c r="CE153" s="240">
        <s:f>AJ153</s:f>
        <s:v/>
      </s:c>
      <s:c r="CF153" s="240">
        <s:f>AS153</s:f>
        <s:v/>
      </s:c>
      <s:c r="CG153" s="240">
        <s:f>V153</s:f>
        <s:v/>
      </s:c>
      <s:c r="CH153" s="241">
        <s:f>AF153</s:f>
        <s:v/>
      </s:c>
      <s:c r="CI153" s="240">
        <s:f>W153</s:f>
        <s:v/>
      </s:c>
      <s:c r="CJ153" s="240">
        <s:f>X153</s:f>
        <s:v/>
      </s:c>
      <s:c r="CK153" s="240">
        <s:f>AG153</s:f>
        <s:v/>
      </s:c>
      <s:c r="CL153" s="240">
        <s:f>J153</s:f>
        <s:v/>
      </s:c>
      <s:c r="CM153" s="241">
        <s:f>T153</s:f>
        <s:v/>
      </s:c>
      <s:c r="CN153" s="240">
        <s:f>K153</s:f>
        <s:v/>
      </s:c>
      <s:c r="CO153" s="240">
        <s:f>L153</s:f>
        <s:v/>
      </s:c>
      <s:c r="CP153" s="242">
        <s:f>U153</s:f>
        <s:v/>
      </s:c>
      <s:c r="CQ153" s="233">
        <s:f>AT153</s:f>
        <s:v/>
      </s:c>
    </s:row>
    <s:row r="154">
      <s:c r="A154" s="211" t="n">
        <s:v>54</s:v>
      </s:c>
      <s:c r="B154" s="212" t="n">
        <s:v>45901</s:v>
      </s:c>
      <s:c r="C154" s="213" t="n">
        <s:v>45901</s:v>
      </s:c>
      <s:c r="D154" s="214" t="n">
        <s:v>3</s:v>
      </s:c>
      <s:c r="E154" s="215" t="n">
        <s:v>13</s:v>
      </s:c>
      <s:c r="F154" s="216" t="inlineStr">
        <s:is>
          <s:t>VI-236629-2025</s:t>
        </s:is>
      </s:c>
      <s:c r="G154" s="217" t="inlineStr">
        <s:is>
          <s:t>QA25418926</s:t>
        </s:is>
      </s:c>
      <s:c r="H154" s="218" t="n">
        <s:v>16</s:v>
      </s:c>
      <s:c r="I154" s="219" t="n">
        <s:v>0</s:v>
      </s:c>
      <s:c r="J154" s="220" t="n">
        <s:v>19</s:v>
      </s:c>
      <s:c r="K154" s="221" t="n">
        <s:v>7.501</s:v>
      </s:c>
      <s:c r="L154" s="221" t="n">
        <s:v>1.123</s:v>
      </s:c>
      <s:c r="M154" s="222" t="n">
        <s:v>355.64</s:v>
      </s:c>
      <s:c r="N154" s="222" t="n">
        <s:v>456.16</s:v>
      </s:c>
      <s:c r="O154" s="222" t="n">
        <s:v>100.51</s:v>
      </s:c>
      <s:c r="P154" s="223" t="inlineStr">
        <s:is>
          <s:t>2,29,980</s:t>
        </s:is>
      </s:c>
      <s:c r="Q154" s="224" t="inlineStr">
        <s:is>
          <s:t>2</s:t>
        </s:is>
      </s:c>
      <s:c r="R154" s="224" t="inlineStr">
        <s:is>
          <s:t>29,980</s:t>
        </s:is>
      </s:c>
      <s:c r="S154" s="224" t="n">
        <s:v>0.04166111111111111</s:v>
      </s:c>
      <s:c r="T154" s="225" t="n">
        <s:v>2412.561674889986</s:v>
      </s:c>
      <s:c r="U154" s="226" t="n">
        <s:v>0.00994925878025424</s:v>
      </s:c>
      <s:c r="V154" s="220" t="n">
        <s:v>19.1</s:v>
      </s:c>
      <s:c r="W154" s="221" t="n">
        <s:v>1.092</s:v>
      </s:c>
      <s:c r="X154" s="221" t="n">
        <s:v>1.079</s:v>
      </s:c>
      <s:c r="Y154" s="222" t="n">
        <s:v>471.8</s:v>
      </s:c>
      <s:c r="Z154" s="222" t="n">
        <s:v>476.87</s:v>
      </s:c>
      <s:c r="AA154" s="227" t="n">
        <s:v>5.02</s:v>
      </s:c>
      <s:c r="AB154" s="228" t="inlineStr">
        <s:is>
          <s:t>11,25,810</s:t>
        </s:is>
      </s:c>
      <s:c r="AC154" s="224" t="inlineStr">
        <s:is>
          <s:t>11</s:t>
        </s:is>
      </s:c>
      <s:c r="AD154" s="224" t="inlineStr">
        <s:is>
          <s:t>25,810</s:t>
        </s:is>
      </s:c>
      <s:c r="AE154" s="224" t="n">
        <s:v>0.1905027777777778</s:v>
      </s:c>
      <s:c r="AF154" s="225" t="n">
        <s:v>26.35132179466616</s:v>
      </s:c>
      <s:c r="AG154" s="229" t="n">
        <s:v>0.9960159362548527</s:v>
      </s:c>
      <s:c r="AH154" s="220" t="n">
        <s:v>19.2</s:v>
      </s:c>
      <s:c r="AI154" s="221" t="n">
        <s:v>1.093</s:v>
      </s:c>
      <s:c r="AJ154" s="221" t="n">
        <s:v>1.082</s:v>
      </s:c>
      <s:c r="AK154" s="222" t="n">
        <s:v>476.87</s:v>
      </s:c>
      <s:c r="AL154" s="222" t="n">
        <s:v>478.86</s:v>
      </s:c>
      <s:c r="AM154" s="230" t="n">
        <s:v>2.006</s:v>
      </s:c>
      <s:c r="AN154" s="223" t="inlineStr">
        <s:is>
          <s:t>7,23,700</s:t>
        </s:is>
      </s:c>
      <s:c r="AO154" s="224" t="inlineStr">
        <s:is>
          <s:t>7,</s:t>
        </s:is>
      </s:c>
      <s:c r="AP154" s="224" t="inlineStr">
        <s:is>
          <s:t>23,700</s:t>
        </s:is>
      </s:c>
      <s:c r="AQ154" s="224" t="n">
        <s:v>0.12325</s:v>
      </s:c>
      <s:c r="AR154" s="225" t="n">
        <s:v>16.27586206896552</s:v>
      </s:c>
      <s:c r="AS154" s="229" t="n">
        <s:v>-0.7976071784641421</s:v>
      </s:c>
      <s:c r="AT154" s="231" t="inlineStr">
        <s:is>
          <s:t>CONFORME</s:t>
        </s:is>
      </s:c>
      <s:c r="AU154" s="232">
        <s:f>B154=C154</s:f>
        <s:v/>
      </s:c>
      <s:c r="AV154" s="233">
        <s:f>MID(G154,1,2)</s:f>
        <s:v/>
      </s:c>
      <s:c r="AW154" s="233">
        <s:f>LEN(G154)</s:f>
        <s:v/>
      </s:c>
      <s:c r="AX154" s="233" t="inlineStr">
        <s:is>
          <s:t>OI-0923-2025</s:t>
        </s:is>
      </s:c>
      <s:c r="AY154" s="233">
        <s:f>N154&lt;Y154</s:f>
        <s:v/>
      </s:c>
      <s:c r="AZ154" s="233">
        <s:f>Z154&lt;=AK154</s:f>
        <s:v/>
      </s:c>
      <s:c r="BA154" s="233">
        <s:f>L154&lt;K154</s:f>
        <s:v/>
      </s:c>
      <s:c r="BB154" s="233">
        <s:f>W154&gt;=X154</s:f>
        <s:v/>
      </s:c>
      <s:c r="BC154" s="233">
        <s:f>AI154&gt;=AJ154</s:f>
        <s:v/>
      </s:c>
      <s:c r="BD154" s="233">
        <s:f>IF(I154&gt;=1,"Qcorrecto",IF(AND(BE154="aceptable",BF154="aceptable",BG154="aceptable"),"Qcorrecto","Qincorrecto"))</s:f>
        <s:v/>
      </s:c>
      <s:c r="BE154" s="232">
        <s:f>IF(AR154&lt;$AH$6,"error",IF(AR154&gt;$AH$6*1.1,"error","aceptable"))</s:f>
        <s:v/>
      </s:c>
      <s:c r="BF154" s="232">
        <s:f>IF(AF154&lt;$V$6,"error",IF(AF154&gt;$V$6*1.1,"error","aceptable"))</s:f>
        <s:v/>
      </s:c>
      <s:c r="BG154" s="232">
        <s:f>IF(T154&lt;$J$6*0.9,"error",IF(T154&gt;$J$6,"error","aceptable"))</s:f>
        <s:v/>
      </s:c>
      <s:c r="BH154" s="234">
        <s:f>(IF(ABS(U154)&lt;1,"CONFORME",IF(ABS(AG154)&lt;1,"CONFORME",IF(ABS(AS154)&lt;2.5,"CONFORME","NO CONFORME"))))</s:f>
        <s:v/>
      </s:c>
      <s:c r="BI154" s="235">
        <s:f>(IF(ABS(U154)&gt;2.044,"NO CONFORME",IF(ABS(AG154)&gt;2.044,"NO CONFORME",IF(ABS(AS154)&gt;5.044,"NO CONFORME","CONFORME"))))</s:f>
        <s:v/>
      </s:c>
      <s:c r="BJ154" s="233">
        <s:f>SIGN(U154)</s:f>
        <s:v/>
      </s:c>
      <s:c r="BK154" s="233">
        <s:f>SIGN(AG154)</s:f>
        <s:v/>
      </s:c>
      <s:c r="BL154" s="233">
        <s:f>SIGN(AS154)</s:f>
        <s:v/>
      </s:c>
      <s:c r="BM154" s="233">
        <s:f>CONCATENATE(BJ154,BK154,BL154)</s:f>
        <s:v/>
      </s:c>
      <s:c r="BN154" s="233">
        <s:f>IF(BM154="111","SI","SD")</s:f>
        <s:v/>
      </s:c>
      <s:c r="BO154" s="233">
        <s:f>IF(BM154="-1-1-1","SI","SD")</s:f>
        <s:v/>
      </s:c>
      <s:c r="BP154" s="233">
        <s:f>OR(BN154="SI",BO154="SI")</s:f>
        <s:v/>
      </s:c>
      <s:c r="BQ154" s="233">
        <s:f>IF(BP154=FALSE,"SIGDIFERENTES","SIGIGUALES")</s:f>
        <s:v/>
      </s:c>
      <s:c r="BR154" s="236">
        <s:f>IF(BI154="NO CONFORME","NO CONFORME",IF(BH154="CONFORME","CONFORME","NO CONFORME"))</s:f>
        <s:v/>
      </s:c>
      <s:c r="BS154" s="233">
        <s:f>F154</s:f>
        <s:v/>
      </s:c>
      <s:c r="BT154" s="237">
        <s:f>G154</s:f>
        <s:v/>
      </s:c>
      <s:c r="BU154" s="233">
        <s:f>"20"&amp;+MID(G154,3,2)</s:f>
        <s:v/>
      </s:c>
      <s:c r="BV154" s="238">
        <s:f>C154</s:f>
        <s:v/>
      </s:c>
      <s:c r="BW154" s="233">
        <s:f>AT154</s:f>
        <s:v/>
      </s:c>
      <s:c r="BX154" s="238">
        <s:f>B154</s:f>
        <s:v/>
      </s:c>
      <s:c r="BY154" s="239">
        <s:f>H154</s:f>
        <s:v/>
      </s:c>
      <s:c r="BZ154" s="233">
        <s:f>IF(I154=0,"CONFORME","NO CONFORME")</s:f>
        <s:v/>
      </s:c>
      <s:c r="CA154" s="238">
        <s:f>C154</s:f>
        <s:v/>
      </s:c>
      <s:c r="CB154" s="240">
        <s:f>AH154</s:f>
        <s:v/>
      </s:c>
      <s:c r="CC154" s="241">
        <s:f>AR154</s:f>
        <s:v/>
      </s:c>
      <s:c r="CD154" s="240">
        <s:f>AI154</s:f>
        <s:v/>
      </s:c>
      <s:c r="CE154" s="240">
        <s:f>AJ154</s:f>
        <s:v/>
      </s:c>
      <s:c r="CF154" s="240">
        <s:f>AS154</s:f>
        <s:v/>
      </s:c>
      <s:c r="CG154" s="240">
        <s:f>V154</s:f>
        <s:v/>
      </s:c>
      <s:c r="CH154" s="241">
        <s:f>AF154</s:f>
        <s:v/>
      </s:c>
      <s:c r="CI154" s="240">
        <s:f>W154</s:f>
        <s:v/>
      </s:c>
      <s:c r="CJ154" s="240">
        <s:f>X154</s:f>
        <s:v/>
      </s:c>
      <s:c r="CK154" s="240">
        <s:f>AG154</s:f>
        <s:v/>
      </s:c>
      <s:c r="CL154" s="240">
        <s:f>J154</s:f>
        <s:v/>
      </s:c>
      <s:c r="CM154" s="241">
        <s:f>T154</s:f>
        <s:v/>
      </s:c>
      <s:c r="CN154" s="240">
        <s:f>K154</s:f>
        <s:v/>
      </s:c>
      <s:c r="CO154" s="240">
        <s:f>L154</s:f>
        <s:v/>
      </s:c>
      <s:c r="CP154" s="242">
        <s:f>U154</s:f>
        <s:v/>
      </s:c>
      <s:c r="CQ154" s="233">
        <s:f>AT154</s:f>
        <s:v/>
      </s:c>
    </s:row>
    <s:row r="155">
      <s:c r="A155" s="211" t="n">
        <s:v>55</s:v>
      </s:c>
      <s:c r="B155" s="212" t="n">
        <s:v>45901</s:v>
      </s:c>
      <s:c r="C155" s="213" t="n">
        <s:v>45901</s:v>
      </s:c>
      <s:c r="D155" s="214" t="n">
        <s:v>3</s:v>
      </s:c>
      <s:c r="E155" s="215" t="n">
        <s:v>13</s:v>
      </s:c>
      <s:c r="F155" s="216" t="inlineStr">
        <s:is>
          <s:t>VI-236630-2025</s:t>
        </s:is>
      </s:c>
      <s:c r="G155" s="217" t="inlineStr">
        <s:is>
          <s:t>QA25418518</s:t>
        </s:is>
      </s:c>
      <s:c r="H155" s="218" t="n">
        <s:v>16</s:v>
      </s:c>
      <s:c r="I155" s="219" t="n">
        <s:v>0</s:v>
      </s:c>
      <s:c r="J155" s="220" t="n">
        <s:v>19</s:v>
      </s:c>
      <s:c r="K155" s="221" t="n">
        <s:v>7.501</s:v>
      </s:c>
      <s:c r="L155" s="221" t="n">
        <s:v>1.123</s:v>
      </s:c>
      <s:c r="M155" s="222" t="n">
        <s:v>396.31</s:v>
      </s:c>
      <s:c r="N155" s="222" t="n">
        <s:v>497.13</s:v>
      </s:c>
      <s:c r="O155" s="222" t="n">
        <s:v>100.51</s:v>
      </s:c>
      <s:c r="P155" s="223" t="inlineStr">
        <s:is>
          <s:t>2,29,980</s:t>
        </s:is>
      </s:c>
      <s:c r="Q155" s="224" t="inlineStr">
        <s:is>
          <s:t>2</s:t>
        </s:is>
      </s:c>
      <s:c r="R155" s="224" t="inlineStr">
        <s:is>
          <s:t>29,980</s:t>
        </s:is>
      </s:c>
      <s:c r="S155" s="224" t="n">
        <s:v>0.04166111111111111</s:v>
      </s:c>
      <s:c r="T155" s="225" t="n">
        <s:v>2412.561674889986</s:v>
      </s:c>
      <s:c r="U155" s="226" t="n">
        <s:v>0.3084270221868352</s:v>
      </s:c>
      <s:c r="V155" s="220" t="n">
        <s:v>19.1</s:v>
      </s:c>
      <s:c r="W155" s="221" t="n">
        <s:v>1.092</s:v>
      </s:c>
      <s:c r="X155" s="221" t="n">
        <s:v>1.079</s:v>
      </s:c>
      <s:c r="Y155" s="222" t="n">
        <s:v>512.77</s:v>
      </s:c>
      <s:c r="Z155" s="222" t="n">
        <s:v>517.91</s:v>
      </s:c>
      <s:c r="AA155" s="227" t="n">
        <s:v>5.02</s:v>
      </s:c>
      <s:c r="AB155" s="228" t="inlineStr">
        <s:is>
          <s:t>11,25,810</s:t>
        </s:is>
      </s:c>
      <s:c r="AC155" s="224" t="inlineStr">
        <s:is>
          <s:t>11</s:t>
        </s:is>
      </s:c>
      <s:c r="AD155" s="224" t="inlineStr">
        <s:is>
          <s:t>25,810</s:t>
        </s:is>
      </s:c>
      <s:c r="AE155" s="224" t="n">
        <s:v>0.1905027777777778</s:v>
      </s:c>
      <s:c r="AF155" s="225" t="n">
        <s:v>26.35132179466616</s:v>
      </s:c>
      <s:c r="AG155" s="229" t="n">
        <s:v>2.390438247011689</s:v>
      </s:c>
      <s:c r="AH155" s="220" t="n">
        <s:v>19.2</s:v>
      </s:c>
      <s:c r="AI155" s="221" t="n">
        <s:v>1.093</s:v>
      </s:c>
      <s:c r="AJ155" s="221" t="n">
        <s:v>1.082</s:v>
      </s:c>
      <s:c r="AK155" s="222" t="n">
        <s:v>517.91</s:v>
      </s:c>
      <s:c r="AL155" s="222" t="n">
        <s:v>519.96</s:v>
      </s:c>
      <s:c r="AM155" s="230" t="n">
        <s:v>2.006</s:v>
      </s:c>
      <s:c r="AN155" s="223" t="inlineStr">
        <s:is>
          <s:t>7,23,700</s:t>
        </s:is>
      </s:c>
      <s:c r="AO155" s="224" t="inlineStr">
        <s:is>
          <s:t>7,</s:t>
        </s:is>
      </s:c>
      <s:c r="AP155" s="224" t="inlineStr">
        <s:is>
          <s:t>23,700</s:t>
        </s:is>
      </s:c>
      <s:c r="AQ155" s="224" t="n">
        <s:v>0.12325</s:v>
      </s:c>
      <s:c r="AR155" s="225" t="n">
        <s:v>16.27586206896552</s:v>
      </s:c>
      <s:c r="AS155" s="229" t="n">
        <s:v>2.193419740781078</s:v>
      </s:c>
      <s:c r="AT155" s="231" t="inlineStr">
        <s:is>
          <s:t>NO CONFORME</s:t>
        </s:is>
      </s:c>
      <s:c r="AU155" s="232">
        <s:f>B155=C155</s:f>
        <s:v/>
      </s:c>
      <s:c r="AV155" s="233">
        <s:f>MID(G155,1,2)</s:f>
        <s:v/>
      </s:c>
      <s:c r="AW155" s="233">
        <s:f>LEN(G155)</s:f>
        <s:v/>
      </s:c>
      <s:c r="AX155" s="233" t="inlineStr">
        <s:is>
          <s:t>OI-0923-2025</s:t>
        </s:is>
      </s:c>
      <s:c r="AY155" s="233">
        <s:f>N155&lt;Y155</s:f>
        <s:v/>
      </s:c>
      <s:c r="AZ155" s="233">
        <s:f>Z155&lt;=AK155</s:f>
        <s:v/>
      </s:c>
      <s:c r="BA155" s="233">
        <s:f>L155&lt;K155</s:f>
        <s:v/>
      </s:c>
      <s:c r="BB155" s="233">
        <s:f>W155&gt;=X155</s:f>
        <s:v/>
      </s:c>
      <s:c r="BC155" s="233">
        <s:f>AI155&gt;=AJ155</s:f>
        <s:v/>
      </s:c>
      <s:c r="BD155" s="233">
        <s:f>IF(I155&gt;=1,"Qcorrecto",IF(AND(BE155="aceptable",BF155="aceptable",BG155="aceptable"),"Qcorrecto","Qincorrecto"))</s:f>
        <s:v/>
      </s:c>
      <s:c r="BE155" s="232">
        <s:f>IF(AR155&lt;$AH$6,"error",IF(AR155&gt;$AH$6*1.1,"error","aceptable"))</s:f>
        <s:v/>
      </s:c>
      <s:c r="BF155" s="232">
        <s:f>IF(AF155&lt;$V$6,"error",IF(AF155&gt;$V$6*1.1,"error","aceptable"))</s:f>
        <s:v/>
      </s:c>
      <s:c r="BG155" s="232">
        <s:f>IF(T155&lt;$J$6*0.9,"error",IF(T155&gt;$J$6,"error","aceptable"))</s:f>
        <s:v/>
      </s:c>
      <s:c r="BH155" s="234">
        <s:f>(IF(ABS(U155)&lt;1,"CONFORME",IF(ABS(AG155)&lt;1,"CONFORME",IF(ABS(AS155)&lt;2.5,"CONFORME","NO CONFORME"))))</s:f>
        <s:v/>
      </s:c>
      <s:c r="BI155" s="235">
        <s:f>(IF(ABS(U155)&gt;2.044,"NO CONFORME",IF(ABS(AG155)&gt;2.044,"NO CONFORME",IF(ABS(AS155)&gt;5.044,"NO CONFORME","CONFORME"))))</s:f>
        <s:v/>
      </s:c>
      <s:c r="BJ155" s="233">
        <s:f>SIGN(U155)</s:f>
        <s:v/>
      </s:c>
      <s:c r="BK155" s="233">
        <s:f>SIGN(AG155)</s:f>
        <s:v/>
      </s:c>
      <s:c r="BL155" s="233">
        <s:f>SIGN(AS155)</s:f>
        <s:v/>
      </s:c>
      <s:c r="BM155" s="233">
        <s:f>CONCATENATE(BJ155,BK155,BL155)</s:f>
        <s:v/>
      </s:c>
      <s:c r="BN155" s="233">
        <s:f>IF(BM155="111","SI","SD")</s:f>
        <s:v/>
      </s:c>
      <s:c r="BO155" s="233">
        <s:f>IF(BM155="-1-1-1","SI","SD")</s:f>
        <s:v/>
      </s:c>
      <s:c r="BP155" s="233">
        <s:f>OR(BN155="SI",BO155="SI")</s:f>
        <s:v/>
      </s:c>
      <s:c r="BQ155" s="233">
        <s:f>IF(BP155=FALSE,"SIGDIFERENTES","SIGIGUALES")</s:f>
        <s:v/>
      </s:c>
      <s:c r="BR155" s="236">
        <s:f>IF(BI155="NO CONFORME","NO CONFORME",IF(BH155="CONFORME","CONFORME","NO CONFORME"))</s:f>
        <s:v/>
      </s:c>
      <s:c r="BS155" s="233">
        <s:f>F155</s:f>
        <s:v/>
      </s:c>
      <s:c r="BT155" s="237">
        <s:f>G155</s:f>
        <s:v/>
      </s:c>
      <s:c r="BU155" s="233">
        <s:f>"20"&amp;+MID(G155,3,2)</s:f>
        <s:v/>
      </s:c>
      <s:c r="BV155" s="238">
        <s:f>C155</s:f>
        <s:v/>
      </s:c>
      <s:c r="BW155" s="233">
        <s:f>AT155</s:f>
        <s:v/>
      </s:c>
      <s:c r="BX155" s="238">
        <s:f>B155</s:f>
        <s:v/>
      </s:c>
      <s:c r="BY155" s="239">
        <s:f>H155</s:f>
        <s:v/>
      </s:c>
      <s:c r="BZ155" s="233">
        <s:f>IF(I155=0,"CONFORME","NO CONFORME")</s:f>
        <s:v/>
      </s:c>
      <s:c r="CA155" s="238">
        <s:f>C155</s:f>
        <s:v/>
      </s:c>
      <s:c r="CB155" s="240">
        <s:f>AH155</s:f>
        <s:v/>
      </s:c>
      <s:c r="CC155" s="241">
        <s:f>AR155</s:f>
        <s:v/>
      </s:c>
      <s:c r="CD155" s="240">
        <s:f>AI155</s:f>
        <s:v/>
      </s:c>
      <s:c r="CE155" s="240">
        <s:f>AJ155</s:f>
        <s:v/>
      </s:c>
      <s:c r="CF155" s="240">
        <s:f>AS155</s:f>
        <s:v/>
      </s:c>
      <s:c r="CG155" s="240">
        <s:f>V155</s:f>
        <s:v/>
      </s:c>
      <s:c r="CH155" s="241">
        <s:f>AF155</s:f>
        <s:v/>
      </s:c>
      <s:c r="CI155" s="240">
        <s:f>W155</s:f>
        <s:v/>
      </s:c>
      <s:c r="CJ155" s="240">
        <s:f>X155</s:f>
        <s:v/>
      </s:c>
      <s:c r="CK155" s="240">
        <s:f>AG155</s:f>
        <s:v/>
      </s:c>
      <s:c r="CL155" s="240">
        <s:f>J155</s:f>
        <s:v/>
      </s:c>
      <s:c r="CM155" s="241">
        <s:f>T155</s:f>
        <s:v/>
      </s:c>
      <s:c r="CN155" s="240">
        <s:f>K155</s:f>
        <s:v/>
      </s:c>
      <s:c r="CO155" s="240">
        <s:f>L155</s:f>
        <s:v/>
      </s:c>
      <s:c r="CP155" s="242">
        <s:f>U155</s:f>
        <s:v/>
      </s:c>
      <s:c r="CQ155" s="233">
        <s:f>AT155</s:f>
        <s:v/>
      </s:c>
    </s:row>
    <s:row r="156">
      <s:c r="A156" s="211" t="n">
        <s:v>56</s:v>
      </s:c>
      <s:c r="B156" s="212" t="n">
        <s:v>45901</s:v>
      </s:c>
      <s:c r="C156" s="213" t="n">
        <s:v>45901</s:v>
      </s:c>
      <s:c r="D156" s="214" t="n">
        <s:v>3</s:v>
      </s:c>
      <s:c r="E156" s="215" t="n">
        <s:v>13</s:v>
      </s:c>
      <s:c r="F156" s="216" t="inlineStr">
        <s:is>
          <s:t>VI-236631-2025</s:t>
        </s:is>
      </s:c>
      <s:c r="G156" s="217" t="inlineStr">
        <s:is>
          <s:t>QA25418389</s:t>
        </s:is>
      </s:c>
      <s:c r="H156" s="218" t="n">
        <s:v>16</s:v>
      </s:c>
      <s:c r="I156" s="219" t="n">
        <s:v>0</s:v>
      </s:c>
      <s:c r="J156" s="220" t="n">
        <s:v>19</s:v>
      </s:c>
      <s:c r="K156" s="221" t="n">
        <s:v>7.501</s:v>
      </s:c>
      <s:c r="L156" s="221" t="n">
        <s:v>1.123</s:v>
      </s:c>
      <s:c r="M156" s="222" t="n">
        <s:v>325.91</s:v>
      </s:c>
      <s:c r="N156" s="222" t="n">
        <s:v>425.07</s:v>
      </s:c>
      <s:c r="O156" s="222" t="n">
        <s:v>100.51</s:v>
      </s:c>
      <s:c r="P156" s="223" t="inlineStr">
        <s:is>
          <s:t>2,29,980</s:t>
        </s:is>
      </s:c>
      <s:c r="Q156" s="224" t="inlineStr">
        <s:is>
          <s:t>2</s:t>
        </s:is>
      </s:c>
      <s:c r="R156" s="224" t="inlineStr">
        <s:is>
          <s:t>29,980</s:t>
        </s:is>
      </s:c>
      <s:c r="S156" s="224" t="n">
        <s:v>0.04166111111111111</s:v>
      </s:c>
      <s:c r="T156" s="225" t="n">
        <s:v>2412.561674889986</s:v>
      </s:c>
      <s:c r="U156" s="226" t="n">
        <s:v>-1.343149935329855</s:v>
      </s:c>
      <s:c r="V156" s="220" t="n">
        <s:v>19.1</s:v>
      </s:c>
      <s:c r="W156" s="221" t="n">
        <s:v>1.092</s:v>
      </s:c>
      <s:c r="X156" s="221" t="n">
        <s:v>1.079</s:v>
      </s:c>
      <s:c r="Y156" s="222" t="n">
        <s:v>440.46</s:v>
      </s:c>
      <s:c r="Z156" s="222" t="n">
        <s:v>445.31</s:v>
      </s:c>
      <s:c r="AA156" s="227" t="n">
        <s:v>5.02</s:v>
      </s:c>
      <s:c r="AB156" s="228" t="inlineStr">
        <s:is>
          <s:t>11,25,810</s:t>
        </s:is>
      </s:c>
      <s:c r="AC156" s="224" t="inlineStr">
        <s:is>
          <s:t>11</s:t>
        </s:is>
      </s:c>
      <s:c r="AD156" s="224" t="inlineStr">
        <s:is>
          <s:t>25,810</s:t>
        </s:is>
      </s:c>
      <s:c r="AE156" s="224" t="n">
        <s:v>0.1905027777777778</s:v>
      </s:c>
      <s:c r="AF156" s="225" t="n">
        <s:v>26.35132179466616</s:v>
      </s:c>
      <s:c r="AG156" s="229" t="n">
        <s:v>-3.386454183266471</s:v>
      </s:c>
      <s:c r="AH156" s="220" t="n">
        <s:v>19.2</s:v>
      </s:c>
      <s:c r="AI156" s="221" t="n">
        <s:v>1.093</s:v>
      </s:c>
      <s:c r="AJ156" s="221" t="n">
        <s:v>1.082</s:v>
      </s:c>
      <s:c r="AK156" s="222" t="n">
        <s:v>445.31</s:v>
      </s:c>
      <s:c r="AL156" s="222" t="n">
        <s:v>447.05</s:v>
      </s:c>
      <s:c r="AM156" s="230" t="n">
        <s:v>2.006</s:v>
      </s:c>
      <s:c r="AN156" s="223" t="inlineStr">
        <s:is>
          <s:t>7,23,700</s:t>
        </s:is>
      </s:c>
      <s:c r="AO156" s="224" t="inlineStr">
        <s:is>
          <s:t>7,</s:t>
        </s:is>
      </s:c>
      <s:c r="AP156" s="224" t="inlineStr">
        <s:is>
          <s:t>23,700</s:t>
        </s:is>
      </s:c>
      <s:c r="AQ156" s="224" t="n">
        <s:v>0.12325</s:v>
      </s:c>
      <s:c r="AR156" s="225" t="n">
        <s:v>16.27586206896552</s:v>
      </s:c>
      <s:c r="AS156" s="229" t="n">
        <s:v>-13.26021934197361</s:v>
      </s:c>
      <s:c r="AT156" s="231" t="inlineStr">
        <s:is>
          <s:t>NO CONFORME</s:t>
        </s:is>
      </s:c>
      <s:c r="AU156" s="232">
        <s:f>B156=C156</s:f>
        <s:v/>
      </s:c>
      <s:c r="AV156" s="233">
        <s:f>MID(G156,1,2)</s:f>
        <s:v/>
      </s:c>
      <s:c r="AW156" s="233">
        <s:f>LEN(G156)</s:f>
        <s:v/>
      </s:c>
      <s:c r="AX156" s="233" t="inlineStr">
        <s:is>
          <s:t>OI-0923-2025</s:t>
        </s:is>
      </s:c>
      <s:c r="AY156" s="233">
        <s:f>N156&lt;Y156</s:f>
        <s:v/>
      </s:c>
      <s:c r="AZ156" s="233">
        <s:f>Z156&lt;=AK156</s:f>
        <s:v/>
      </s:c>
      <s:c r="BA156" s="233">
        <s:f>L156&lt;K156</s:f>
        <s:v/>
      </s:c>
      <s:c r="BB156" s="233">
        <s:f>W156&gt;=X156</s:f>
        <s:v/>
      </s:c>
      <s:c r="BC156" s="233">
        <s:f>AI156&gt;=AJ156</s:f>
        <s:v/>
      </s:c>
      <s:c r="BD156" s="233">
        <s:f>IF(I156&gt;=1,"Qcorrecto",IF(AND(BE156="aceptable",BF156="aceptable",BG156="aceptable"),"Qcorrecto","Qincorrecto"))</s:f>
        <s:v/>
      </s:c>
      <s:c r="BE156" s="232">
        <s:f>IF(AR156&lt;$AH$6,"error",IF(AR156&gt;$AH$6*1.1,"error","aceptable"))</s:f>
        <s:v/>
      </s:c>
      <s:c r="BF156" s="232">
        <s:f>IF(AF156&lt;$V$6,"error",IF(AF156&gt;$V$6*1.1,"error","aceptable"))</s:f>
        <s:v/>
      </s:c>
      <s:c r="BG156" s="232">
        <s:f>IF(T156&lt;$J$6*0.9,"error",IF(T156&gt;$J$6,"error","aceptable"))</s:f>
        <s:v/>
      </s:c>
      <s:c r="BH156" s="234">
        <s:f>(IF(ABS(U156)&lt;1,"CONFORME",IF(ABS(AG156)&lt;1,"CONFORME",IF(ABS(AS156)&lt;2.5,"CONFORME","NO CONFORME"))))</s:f>
        <s:v/>
      </s:c>
      <s:c r="BI156" s="235">
        <s:f>(IF(ABS(U156)&gt;2.044,"NO CONFORME",IF(ABS(AG156)&gt;2.044,"NO CONFORME",IF(ABS(AS156)&gt;5.044,"NO CONFORME","CONFORME"))))</s:f>
        <s:v/>
      </s:c>
      <s:c r="BJ156" s="233">
        <s:f>SIGN(U156)</s:f>
        <s:v/>
      </s:c>
      <s:c r="BK156" s="233">
        <s:f>SIGN(AG156)</s:f>
        <s:v/>
      </s:c>
      <s:c r="BL156" s="233">
        <s:f>SIGN(AS156)</s:f>
        <s:v/>
      </s:c>
      <s:c r="BM156" s="233">
        <s:f>CONCATENATE(BJ156,BK156,BL156)</s:f>
        <s:v/>
      </s:c>
      <s:c r="BN156" s="233">
        <s:f>IF(BM156="111","SI","SD")</s:f>
        <s:v/>
      </s:c>
      <s:c r="BO156" s="233">
        <s:f>IF(BM156="-1-1-1","SI","SD")</s:f>
        <s:v/>
      </s:c>
      <s:c r="BP156" s="233">
        <s:f>OR(BN156="SI",BO156="SI")</s:f>
        <s:v/>
      </s:c>
      <s:c r="BQ156" s="233">
        <s:f>IF(BP156=FALSE,"SIGDIFERENTES","SIGIGUALES")</s:f>
        <s:v/>
      </s:c>
      <s:c r="BR156" s="236">
        <s:f>IF(BI156="NO CONFORME","NO CONFORME",IF(BH156="CONFORME","CONFORME","NO CONFORME"))</s:f>
        <s:v/>
      </s:c>
      <s:c r="BS156" s="233">
        <s:f>F156</s:f>
        <s:v/>
      </s:c>
      <s:c r="BT156" s="237">
        <s:f>G156</s:f>
        <s:v/>
      </s:c>
      <s:c r="BU156" s="233">
        <s:f>"20"&amp;+MID(G156,3,2)</s:f>
        <s:v/>
      </s:c>
      <s:c r="BV156" s="238">
        <s:f>C156</s:f>
        <s:v/>
      </s:c>
      <s:c r="BW156" s="233">
        <s:f>AT156</s:f>
        <s:v/>
      </s:c>
      <s:c r="BX156" s="238">
        <s:f>B156</s:f>
        <s:v/>
      </s:c>
      <s:c r="BY156" s="239">
        <s:f>H156</s:f>
        <s:v/>
      </s:c>
      <s:c r="BZ156" s="233">
        <s:f>IF(I156=0,"CONFORME","NO CONFORME")</s:f>
        <s:v/>
      </s:c>
      <s:c r="CA156" s="238">
        <s:f>C156</s:f>
        <s:v/>
      </s:c>
      <s:c r="CB156" s="240">
        <s:f>AH156</s:f>
        <s:v/>
      </s:c>
      <s:c r="CC156" s="241">
        <s:f>AR156</s:f>
        <s:v/>
      </s:c>
      <s:c r="CD156" s="240">
        <s:f>AI156</s:f>
        <s:v/>
      </s:c>
      <s:c r="CE156" s="240">
        <s:f>AJ156</s:f>
        <s:v/>
      </s:c>
      <s:c r="CF156" s="240">
        <s:f>AS156</s:f>
        <s:v/>
      </s:c>
      <s:c r="CG156" s="240">
        <s:f>V156</s:f>
        <s:v/>
      </s:c>
      <s:c r="CH156" s="241">
        <s:f>AF156</s:f>
        <s:v/>
      </s:c>
      <s:c r="CI156" s="240">
        <s:f>W156</s:f>
        <s:v/>
      </s:c>
      <s:c r="CJ156" s="240">
        <s:f>X156</s:f>
        <s:v/>
      </s:c>
      <s:c r="CK156" s="240">
        <s:f>AG156</s:f>
        <s:v/>
      </s:c>
      <s:c r="CL156" s="240">
        <s:f>J156</s:f>
        <s:v/>
      </s:c>
      <s:c r="CM156" s="241">
        <s:f>T156</s:f>
        <s:v/>
      </s:c>
      <s:c r="CN156" s="240">
        <s:f>K156</s:f>
        <s:v/>
      </s:c>
      <s:c r="CO156" s="240">
        <s:f>L156</s:f>
        <s:v/>
      </s:c>
      <s:c r="CP156" s="242">
        <s:f>U156</s:f>
        <s:v/>
      </s:c>
      <s:c r="CQ156" s="233">
        <s:f>AT156</s:f>
        <s:v/>
      </s:c>
    </s:row>
    <s:row r="157">
      <s:c r="A157" s="211" t="n">
        <s:v>57</s:v>
      </s:c>
      <s:c r="B157" s="212" t="n">
        <s:v>45901</s:v>
      </s:c>
      <s:c r="C157" s="213" t="n">
        <s:v>45901</s:v>
      </s:c>
      <s:c r="D157" s="214" t="n">
        <s:v>3</s:v>
      </s:c>
      <s:c r="E157" s="215" t="n">
        <s:v>13</s:v>
      </s:c>
      <s:c r="F157" s="216" t="inlineStr">
        <s:is>
          <s:t>VI-236632-2025</s:t>
        </s:is>
      </s:c>
      <s:c r="G157" s="217" t="inlineStr">
        <s:is>
          <s:t>QA25418924</s:t>
        </s:is>
      </s:c>
      <s:c r="H157" s="218" t="n">
        <s:v>16</s:v>
      </s:c>
      <s:c r="I157" s="219" t="n">
        <s:v>0</s:v>
      </s:c>
      <s:c r="J157" s="220" t="n">
        <s:v>19</s:v>
      </s:c>
      <s:c r="K157" s="221" t="n">
        <s:v>7.501</s:v>
      </s:c>
      <s:c r="L157" s="221" t="n">
        <s:v>1.123</s:v>
      </s:c>
      <s:c r="M157" s="222" t="n">
        <s:v>309.65</s:v>
      </s:c>
      <s:c r="N157" s="222" t="n">
        <s:v>407.36</s:v>
      </s:c>
      <s:c r="O157" s="222" t="n">
        <s:v>100.51</s:v>
      </s:c>
      <s:c r="P157" s="223" t="inlineStr">
        <s:is>
          <s:t>2,29,980</s:t>
        </s:is>
      </s:c>
      <s:c r="Q157" s="224" t="inlineStr">
        <s:is>
          <s:t>2</s:t>
        </s:is>
      </s:c>
      <s:c r="R157" s="224" t="inlineStr">
        <s:is>
          <s:t>29,980</s:t>
        </s:is>
      </s:c>
      <s:c r="S157" s="224" t="n">
        <s:v>0.04166111111111111</s:v>
      </s:c>
      <s:c r="T157" s="225" t="n">
        <s:v>2412.561674889986</s:v>
      </s:c>
      <s:c r="U157" s="226" t="n">
        <s:v>-2.785792458461813</s:v>
      </s:c>
      <s:c r="V157" s="220" t="n">
        <s:v>19.1</s:v>
      </s:c>
      <s:c r="W157" s="221" t="n">
        <s:v>1.092</s:v>
      </s:c>
      <s:c r="X157" s="221" t="n">
        <s:v>1.079</s:v>
      </s:c>
      <s:c r="Y157" s="222" t="n">
        <s:v>422.55</s:v>
      </s:c>
      <s:c r="Z157" s="222" t="n">
        <s:v>427.51</s:v>
      </s:c>
      <s:c r="AA157" s="227" t="n">
        <s:v>5.02</s:v>
      </s:c>
      <s:c r="AB157" s="228" t="inlineStr">
        <s:is>
          <s:t>11,25,810</s:t>
        </s:is>
      </s:c>
      <s:c r="AC157" s="224" t="inlineStr">
        <s:is>
          <s:t>11</s:t>
        </s:is>
      </s:c>
      <s:c r="AD157" s="224" t="inlineStr">
        <s:is>
          <s:t>25,810</s:t>
        </s:is>
      </s:c>
      <s:c r="AE157" s="224" t="n">
        <s:v>0.1905027777777778</s:v>
      </s:c>
      <s:c r="AF157" s="225" t="n">
        <s:v>26.35132179466616</s:v>
      </s:c>
      <s:c r="AG157" s="229" t="n">
        <s:v>-1.195219123506375</s:v>
      </s:c>
      <s:c r="AH157" s="220" t="n">
        <s:v>19.2</s:v>
      </s:c>
      <s:c r="AI157" s="221" t="n">
        <s:v>1.093</s:v>
      </s:c>
      <s:c r="AJ157" s="221" t="n">
        <s:v>1.082</s:v>
      </s:c>
      <s:c r="AK157" s="222" t="n">
        <s:v>427.51</s:v>
      </s:c>
      <s:c r="AL157" s="222" t="n">
        <s:v>429.45</s:v>
      </s:c>
      <s:c r="AM157" s="230" t="n">
        <s:v>2.006</s:v>
      </s:c>
      <s:c r="AN157" s="223" t="inlineStr">
        <s:is>
          <s:t>7,23,700</s:t>
        </s:is>
      </s:c>
      <s:c r="AO157" s="224" t="inlineStr">
        <s:is>
          <s:t>7,</s:t>
        </s:is>
      </s:c>
      <s:c r="AP157" s="224" t="inlineStr">
        <s:is>
          <s:t>23,700</s:t>
        </s:is>
      </s:c>
      <s:c r="AQ157" s="224" t="n">
        <s:v>0.12325</s:v>
      </s:c>
      <s:c r="AR157" s="225" t="n">
        <s:v>16.27586206896552</s:v>
      </s:c>
      <s:c r="AS157" s="229" t="n">
        <s:v>-3.290129611166603</s:v>
      </s:c>
      <s:c r="AT157" s="231" t="inlineStr">
        <s:is>
          <s:t>NO CONFORME</s:t>
        </s:is>
      </s:c>
      <s:c r="AU157" s="232">
        <s:f>B157=C157</s:f>
        <s:v/>
      </s:c>
      <s:c r="AV157" s="233">
        <s:f>MID(G157,1,2)</s:f>
        <s:v/>
      </s:c>
      <s:c r="AW157" s="233">
        <s:f>LEN(G157)</s:f>
        <s:v/>
      </s:c>
      <s:c r="AX157" s="233" t="inlineStr">
        <s:is>
          <s:t>OI-0923-2025</s:t>
        </s:is>
      </s:c>
      <s:c r="AY157" s="233">
        <s:f>N157&lt;Y157</s:f>
        <s:v/>
      </s:c>
      <s:c r="AZ157" s="233">
        <s:f>Z157&lt;=AK157</s:f>
        <s:v/>
      </s:c>
      <s:c r="BA157" s="233">
        <s:f>L157&lt;K157</s:f>
        <s:v/>
      </s:c>
      <s:c r="BB157" s="233">
        <s:f>W157&gt;=X157</s:f>
        <s:v/>
      </s:c>
      <s:c r="BC157" s="233">
        <s:f>AI157&gt;=AJ157</s:f>
        <s:v/>
      </s:c>
      <s:c r="BD157" s="233">
        <s:f>IF(I157&gt;=1,"Qcorrecto",IF(AND(BE157="aceptable",BF157="aceptable",BG157="aceptable"),"Qcorrecto","Qincorrecto"))</s:f>
        <s:v/>
      </s:c>
      <s:c r="BE157" s="232">
        <s:f>IF(AR157&lt;$AH$6,"error",IF(AR157&gt;$AH$6*1.1,"error","aceptable"))</s:f>
        <s:v/>
      </s:c>
      <s:c r="BF157" s="232">
        <s:f>IF(AF157&lt;$V$6,"error",IF(AF157&gt;$V$6*1.1,"error","aceptable"))</s:f>
        <s:v/>
      </s:c>
      <s:c r="BG157" s="232">
        <s:f>IF(T157&lt;$J$6*0.9,"error",IF(T157&gt;$J$6,"error","aceptable"))</s:f>
        <s:v/>
      </s:c>
      <s:c r="BH157" s="234">
        <s:f>(IF(ABS(U157)&lt;1,"CONFORME",IF(ABS(AG157)&lt;1,"CONFORME",IF(ABS(AS157)&lt;2.5,"CONFORME","NO CONFORME"))))</s:f>
        <s:v/>
      </s:c>
      <s:c r="BI157" s="235">
        <s:f>(IF(ABS(U157)&gt;2.044,"NO CONFORME",IF(ABS(AG157)&gt;2.044,"NO CONFORME",IF(ABS(AS157)&gt;5.044,"NO CONFORME","CONFORME"))))</s:f>
        <s:v/>
      </s:c>
      <s:c r="BJ157" s="233">
        <s:f>SIGN(U157)</s:f>
        <s:v/>
      </s:c>
      <s:c r="BK157" s="233">
        <s:f>SIGN(AG157)</s:f>
        <s:v/>
      </s:c>
      <s:c r="BL157" s="233">
        <s:f>SIGN(AS157)</s:f>
        <s:v/>
      </s:c>
      <s:c r="BM157" s="233">
        <s:f>CONCATENATE(BJ157,BK157,BL157)</s:f>
        <s:v/>
      </s:c>
      <s:c r="BN157" s="233">
        <s:f>IF(BM157="111","SI","SD")</s:f>
        <s:v/>
      </s:c>
      <s:c r="BO157" s="233">
        <s:f>IF(BM157="-1-1-1","SI","SD")</s:f>
        <s:v/>
      </s:c>
      <s:c r="BP157" s="233">
        <s:f>OR(BN157="SI",BO157="SI")</s:f>
        <s:v/>
      </s:c>
      <s:c r="BQ157" s="233">
        <s:f>IF(BP157=FALSE,"SIGDIFERENTES","SIGIGUALES")</s:f>
        <s:v/>
      </s:c>
      <s:c r="BR157" s="236">
        <s:f>IF(BI157="NO CONFORME","NO CONFORME",IF(BH157="CONFORME","CONFORME","NO CONFORME"))</s:f>
        <s:v/>
      </s:c>
      <s:c r="BS157" s="233">
        <s:f>F157</s:f>
        <s:v/>
      </s:c>
      <s:c r="BT157" s="237">
        <s:f>G157</s:f>
        <s:v/>
      </s:c>
      <s:c r="BU157" s="233">
        <s:f>"20"&amp;+MID(G157,3,2)</s:f>
        <s:v/>
      </s:c>
      <s:c r="BV157" s="238">
        <s:f>C157</s:f>
        <s:v/>
      </s:c>
      <s:c r="BW157" s="233">
        <s:f>AT157</s:f>
        <s:v/>
      </s:c>
      <s:c r="BX157" s="238">
        <s:f>B157</s:f>
        <s:v/>
      </s:c>
      <s:c r="BY157" s="239">
        <s:f>H157</s:f>
        <s:v/>
      </s:c>
      <s:c r="BZ157" s="233">
        <s:f>IF(I157=0,"CONFORME","NO CONFORME")</s:f>
        <s:v/>
      </s:c>
      <s:c r="CA157" s="238">
        <s:f>C157</s:f>
        <s:v/>
      </s:c>
      <s:c r="CB157" s="240">
        <s:f>AH157</s:f>
        <s:v/>
      </s:c>
      <s:c r="CC157" s="241">
        <s:f>AR157</s:f>
        <s:v/>
      </s:c>
      <s:c r="CD157" s="240">
        <s:f>AI157</s:f>
        <s:v/>
      </s:c>
      <s:c r="CE157" s="240">
        <s:f>AJ157</s:f>
        <s:v/>
      </s:c>
      <s:c r="CF157" s="240">
        <s:f>AS157</s:f>
        <s:v/>
      </s:c>
      <s:c r="CG157" s="240">
        <s:f>V157</s:f>
        <s:v/>
      </s:c>
      <s:c r="CH157" s="241">
        <s:f>AF157</s:f>
        <s:v/>
      </s:c>
      <s:c r="CI157" s="240">
        <s:f>W157</s:f>
        <s:v/>
      </s:c>
      <s:c r="CJ157" s="240">
        <s:f>X157</s:f>
        <s:v/>
      </s:c>
      <s:c r="CK157" s="240">
        <s:f>AG157</s:f>
        <s:v/>
      </s:c>
      <s:c r="CL157" s="240">
        <s:f>J157</s:f>
        <s:v/>
      </s:c>
      <s:c r="CM157" s="241">
        <s:f>T157</s:f>
        <s:v/>
      </s:c>
      <s:c r="CN157" s="240">
        <s:f>K157</s:f>
        <s:v/>
      </s:c>
      <s:c r="CO157" s="240">
        <s:f>L157</s:f>
        <s:v/>
      </s:c>
      <s:c r="CP157" s="242">
        <s:f>U157</s:f>
        <s:v/>
      </s:c>
      <s:c r="CQ157" s="233">
        <s:f>AT157</s:f>
        <s:v/>
      </s:c>
    </s:row>
    <s:row r="158">
      <s:c r="A158" s="211" t="n">
        <s:v>58</s:v>
      </s:c>
      <s:c r="B158" s="212" t="n">
        <s:v>45901</s:v>
      </s:c>
      <s:c r="C158" s="213" t="n">
        <s:v>45901</s:v>
      </s:c>
      <s:c r="D158" s="214" t="n">
        <s:v>3</s:v>
      </s:c>
      <s:c r="E158" s="215" t="n">
        <s:v>13</s:v>
      </s:c>
      <s:c r="F158" s="216" t="inlineStr">
        <s:is>
          <s:t>VI-236633-2025</s:t>
        </s:is>
      </s:c>
      <s:c r="G158" s="217" t="inlineStr">
        <s:is>
          <s:t>QA25418336</s:t>
        </s:is>
      </s:c>
      <s:c r="H158" s="218" t="n">
        <s:v>16</s:v>
      </s:c>
      <s:c r="I158" s="219" t="n">
        <s:v>0</s:v>
      </s:c>
      <s:c r="J158" s="220" t="n">
        <s:v>19</s:v>
      </s:c>
      <s:c r="K158" s="221" t="n">
        <s:v>7.501</s:v>
      </s:c>
      <s:c r="L158" s="221" t="n">
        <s:v>1.123</s:v>
      </s:c>
      <s:c r="M158" s="222" t="n">
        <s:v>298.31</s:v>
      </s:c>
      <s:c r="N158" s="222" t="n">
        <s:v>399.61</s:v>
      </s:c>
      <s:c r="O158" s="222" t="n">
        <s:v>100.51</s:v>
      </s:c>
      <s:c r="P158" s="223" t="inlineStr">
        <s:is>
          <s:t>2,29,980</s:t>
        </s:is>
      </s:c>
      <s:c r="Q158" s="224" t="inlineStr">
        <s:is>
          <s:t>2</s:t>
        </s:is>
      </s:c>
      <s:c r="R158" s="224" t="inlineStr">
        <s:is>
          <s:t>29,980</s:t>
        </s:is>
      </s:c>
      <s:c r="S158" s="224" t="n">
        <s:v>0.04166111111111111</s:v>
      </s:c>
      <s:c r="T158" s="225" t="n">
        <s:v>2412.561674889986</s:v>
      </s:c>
      <s:c r="U158" s="226" t="n">
        <s:v>0.7859914436374552</s:v>
      </s:c>
      <s:c r="V158" s="220" t="n">
        <s:v>19.1</s:v>
      </s:c>
      <s:c r="W158" s="221" t="n">
        <s:v>1.092</s:v>
      </s:c>
      <s:c r="X158" s="221" t="n">
        <s:v>1.079</s:v>
      </s:c>
      <s:c r="Y158" s="222" t="n">
        <s:v>415.34</s:v>
      </s:c>
      <s:c r="Z158" s="222" t="n">
        <s:v>420.28</s:v>
      </s:c>
      <s:c r="AA158" s="227" t="n">
        <s:v>5.02</s:v>
      </s:c>
      <s:c r="AB158" s="228" t="inlineStr">
        <s:is>
          <s:t>11,25,810</s:t>
        </s:is>
      </s:c>
      <s:c r="AC158" s="224" t="inlineStr">
        <s:is>
          <s:t>11</s:t>
        </s:is>
      </s:c>
      <s:c r="AD158" s="224" t="inlineStr">
        <s:is>
          <s:t>25,810</s:t>
        </s:is>
      </s:c>
      <s:c r="AE158" s="224" t="n">
        <s:v>0.1905027777777778</s:v>
      </s:c>
      <s:c r="AF158" s="225" t="n">
        <s:v>26.35132179466616</s:v>
      </s:c>
      <s:c r="AG158" s="229" t="n">
        <s:v>-1.593625498008005</s:v>
      </s:c>
      <s:c r="AH158" s="220" t="n">
        <s:v>19.2</s:v>
      </s:c>
      <s:c r="AI158" s="221" t="n">
        <s:v>1.093</s:v>
      </s:c>
      <s:c r="AJ158" s="221" t="n">
        <s:v>1.082</s:v>
      </s:c>
      <s:c r="AK158" s="222" t="n">
        <s:v>420.28</s:v>
      </s:c>
      <s:c r="AL158" s="222" t="n">
        <s:v>422.19</s:v>
      </s:c>
      <s:c r="AM158" s="230" t="n">
        <s:v>2.006</s:v>
      </s:c>
      <s:c r="AN158" s="223" t="inlineStr">
        <s:is>
          <s:t>7,23,700</s:t>
        </s:is>
      </s:c>
      <s:c r="AO158" s="224" t="inlineStr">
        <s:is>
          <s:t>7,</s:t>
        </s:is>
      </s:c>
      <s:c r="AP158" s="224" t="inlineStr">
        <s:is>
          <s:t>23,700</s:t>
        </s:is>
      </s:c>
      <s:c r="AQ158" s="224" t="n">
        <s:v>0.12325</s:v>
      </s:c>
      <s:c r="AR158" s="225" t="n">
        <s:v>16.27586206896552</s:v>
      </s:c>
      <s:c r="AS158" s="229" t="n">
        <s:v>-4.78564307078638</s:v>
      </s:c>
      <s:c r="AT158" s="231" t="inlineStr">
        <s:is>
          <s:t>CONFORME</s:t>
        </s:is>
      </s:c>
      <s:c r="AU158" s="232">
        <s:f>B158=C158</s:f>
        <s:v/>
      </s:c>
      <s:c r="AV158" s="233">
        <s:f>MID(G158,1,2)</s:f>
        <s:v/>
      </s:c>
      <s:c r="AW158" s="233">
        <s:f>LEN(G158)</s:f>
        <s:v/>
      </s:c>
      <s:c r="AX158" s="233" t="inlineStr">
        <s:is>
          <s:t>OI-0923-2025</s:t>
        </s:is>
      </s:c>
      <s:c r="AY158" s="233">
        <s:f>N158&lt;Y158</s:f>
        <s:v/>
      </s:c>
      <s:c r="AZ158" s="233">
        <s:f>Z158&lt;=AK158</s:f>
        <s:v/>
      </s:c>
      <s:c r="BA158" s="233">
        <s:f>L158&lt;K158</s:f>
        <s:v/>
      </s:c>
      <s:c r="BB158" s="233">
        <s:f>W158&gt;=X158</s:f>
        <s:v/>
      </s:c>
      <s:c r="BC158" s="233">
        <s:f>AI158&gt;=AJ158</s:f>
        <s:v/>
      </s:c>
      <s:c r="BD158" s="233">
        <s:f>IF(I158&gt;=1,"Qcorrecto",IF(AND(BE158="aceptable",BF158="aceptable",BG158="aceptable"),"Qcorrecto","Qincorrecto"))</s:f>
        <s:v/>
      </s:c>
      <s:c r="BE158" s="232">
        <s:f>IF(AR158&lt;$AH$6,"error",IF(AR158&gt;$AH$6*1.1,"error","aceptable"))</s:f>
        <s:v/>
      </s:c>
      <s:c r="BF158" s="232">
        <s:f>IF(AF158&lt;$V$6,"error",IF(AF158&gt;$V$6*1.1,"error","aceptable"))</s:f>
        <s:v/>
      </s:c>
      <s:c r="BG158" s="232">
        <s:f>IF(T158&lt;$J$6*0.9,"error",IF(T158&gt;$J$6,"error","aceptable"))</s:f>
        <s:v/>
      </s:c>
      <s:c r="BH158" s="234">
        <s:f>(IF(ABS(U158)&lt;1,"CONFORME",IF(ABS(AG158)&lt;1,"CONFORME",IF(ABS(AS158)&lt;2.5,"CONFORME","NO CONFORME"))))</s:f>
        <s:v/>
      </s:c>
      <s:c r="BI158" s="235">
        <s:f>(IF(ABS(U158)&gt;2.044,"NO CONFORME",IF(ABS(AG158)&gt;2.044,"NO CONFORME",IF(ABS(AS158)&gt;5.044,"NO CONFORME","CONFORME"))))</s:f>
        <s:v/>
      </s:c>
      <s:c r="BJ158" s="233">
        <s:f>SIGN(U158)</s:f>
        <s:v/>
      </s:c>
      <s:c r="BK158" s="233">
        <s:f>SIGN(AG158)</s:f>
        <s:v/>
      </s:c>
      <s:c r="BL158" s="233">
        <s:f>SIGN(AS158)</s:f>
        <s:v/>
      </s:c>
      <s:c r="BM158" s="233">
        <s:f>CONCATENATE(BJ158,BK158,BL158)</s:f>
        <s:v/>
      </s:c>
      <s:c r="BN158" s="233">
        <s:f>IF(BM158="111","SI","SD")</s:f>
        <s:v/>
      </s:c>
      <s:c r="BO158" s="233">
        <s:f>IF(BM158="-1-1-1","SI","SD")</s:f>
        <s:v/>
      </s:c>
      <s:c r="BP158" s="233">
        <s:f>OR(BN158="SI",BO158="SI")</s:f>
        <s:v/>
      </s:c>
      <s:c r="BQ158" s="233">
        <s:f>IF(BP158=FALSE,"SIGDIFERENTES","SIGIGUALES")</s:f>
        <s:v/>
      </s:c>
      <s:c r="BR158" s="236">
        <s:f>IF(BI158="NO CONFORME","NO CONFORME",IF(BH158="CONFORME","CONFORME","NO CONFORME"))</s:f>
        <s:v/>
      </s:c>
      <s:c r="BS158" s="233">
        <s:f>F158</s:f>
        <s:v/>
      </s:c>
      <s:c r="BT158" s="237">
        <s:f>G158</s:f>
        <s:v/>
      </s:c>
      <s:c r="BU158" s="233">
        <s:f>"20"&amp;+MID(G158,3,2)</s:f>
        <s:v/>
      </s:c>
      <s:c r="BV158" s="238">
        <s:f>C158</s:f>
        <s:v/>
      </s:c>
      <s:c r="BW158" s="233">
        <s:f>AT158</s:f>
        <s:v/>
      </s:c>
      <s:c r="BX158" s="238">
        <s:f>B158</s:f>
        <s:v/>
      </s:c>
      <s:c r="BY158" s="239">
        <s:f>H158</s:f>
        <s:v/>
      </s:c>
      <s:c r="BZ158" s="233">
        <s:f>IF(I158=0,"CONFORME","NO CONFORME")</s:f>
        <s:v/>
      </s:c>
      <s:c r="CA158" s="238">
        <s:f>C158</s:f>
        <s:v/>
      </s:c>
      <s:c r="CB158" s="240">
        <s:f>AH158</s:f>
        <s:v/>
      </s:c>
      <s:c r="CC158" s="241">
        <s:f>AR158</s:f>
        <s:v/>
      </s:c>
      <s:c r="CD158" s="240">
        <s:f>AI158</s:f>
        <s:v/>
      </s:c>
      <s:c r="CE158" s="240">
        <s:f>AJ158</s:f>
        <s:v/>
      </s:c>
      <s:c r="CF158" s="240">
        <s:f>AS158</s:f>
        <s:v/>
      </s:c>
      <s:c r="CG158" s="240">
        <s:f>V158</s:f>
        <s:v/>
      </s:c>
      <s:c r="CH158" s="241">
        <s:f>AF158</s:f>
        <s:v/>
      </s:c>
      <s:c r="CI158" s="240">
        <s:f>W158</s:f>
        <s:v/>
      </s:c>
      <s:c r="CJ158" s="240">
        <s:f>X158</s:f>
        <s:v/>
      </s:c>
      <s:c r="CK158" s="240">
        <s:f>AG158</s:f>
        <s:v/>
      </s:c>
      <s:c r="CL158" s="240">
        <s:f>J158</s:f>
        <s:v/>
      </s:c>
      <s:c r="CM158" s="241">
        <s:f>T158</s:f>
        <s:v/>
      </s:c>
      <s:c r="CN158" s="240">
        <s:f>K158</s:f>
        <s:v/>
      </s:c>
      <s:c r="CO158" s="240">
        <s:f>L158</s:f>
        <s:v/>
      </s:c>
      <s:c r="CP158" s="242">
        <s:f>U158</s:f>
        <s:v/>
      </s:c>
      <s:c r="CQ158" s="233">
        <s:f>AT158</s:f>
        <s:v/>
      </s:c>
    </s:row>
    <s:row r="159">
      <s:c r="A159" s="211" t="n">
        <s:v>59</s:v>
      </s:c>
      <s:c r="B159" s="212" t="n">
        <s:v>45901</s:v>
      </s:c>
      <s:c r="C159" s="213" t="n">
        <s:v>45901</s:v>
      </s:c>
      <s:c r="D159" s="214" t="n">
        <s:v>3</s:v>
      </s:c>
      <s:c r="E159" s="215" t="n">
        <s:v>13</s:v>
      </s:c>
      <s:c r="F159" s="216" t="inlineStr">
        <s:is>
          <s:t>VI-236634-2025</s:t>
        </s:is>
      </s:c>
      <s:c r="G159" s="217" t="inlineStr">
        <s:is>
          <s:t>QA25418377</s:t>
        </s:is>
      </s:c>
      <s:c r="H159" s="218" t="n">
        <s:v>16</s:v>
      </s:c>
      <s:c r="I159" s="219" t="n">
        <s:v>0</s:v>
      </s:c>
      <s:c r="J159" s="220" t="n">
        <s:v>19</s:v>
      </s:c>
      <s:c r="K159" s="221" t="n">
        <s:v>7.501</s:v>
      </s:c>
      <s:c r="L159" s="221" t="n">
        <s:v>1.123</s:v>
      </s:c>
      <s:c r="M159" s="222" t="n">
        <s:v>317.19</s:v>
      </s:c>
      <s:c r="N159" s="222" t="n">
        <s:v>416.24</s:v>
      </s:c>
      <s:c r="O159" s="222" t="n">
        <s:v>100.51</s:v>
      </s:c>
      <s:c r="P159" s="223" t="inlineStr">
        <s:is>
          <s:t>2,29,980</s:t>
        </s:is>
      </s:c>
      <s:c r="Q159" s="224" t="inlineStr">
        <s:is>
          <s:t>2</s:t>
        </s:is>
      </s:c>
      <s:c r="R159" s="224" t="inlineStr">
        <s:is>
          <s:t>29,980</s:t>
        </s:is>
      </s:c>
      <s:c r="S159" s="224" t="n">
        <s:v>0.04166111111111111</s:v>
      </s:c>
      <s:c r="T159" s="225" t="n">
        <s:v>2412.561674889986</s:v>
      </s:c>
      <s:c r="U159" s="226" t="n">
        <s:v>-1.452591781912241</s:v>
      </s:c>
      <s:c r="V159" s="220" t="n">
        <s:v>19.1</s:v>
      </s:c>
      <s:c r="W159" s="221" t="n">
        <s:v>1.092</s:v>
      </s:c>
      <s:c r="X159" s="221" t="n">
        <s:v>1.079</s:v>
      </s:c>
      <s:c r="Y159" s="222" t="n">
        <s:v>431.66</s:v>
      </s:c>
      <s:c r="Z159" s="222" t="n">
        <s:v>436.73</s:v>
      </s:c>
      <s:c r="AA159" s="227" t="n">
        <s:v>5.02</s:v>
      </s:c>
      <s:c r="AB159" s="228" t="inlineStr">
        <s:is>
          <s:t>11,25,810</s:t>
        </s:is>
      </s:c>
      <s:c r="AC159" s="224" t="inlineStr">
        <s:is>
          <s:t>11</s:t>
        </s:is>
      </s:c>
      <s:c r="AD159" s="224" t="inlineStr">
        <s:is>
          <s:t>25,810</s:t>
        </s:is>
      </s:c>
      <s:c r="AE159" s="224" t="n">
        <s:v>0.1905027777777778</s:v>
      </s:c>
      <s:c r="AF159" s="225" t="n">
        <s:v>26.35132179466616</s:v>
      </s:c>
      <s:c r="AG159" s="229" t="n">
        <s:v>0.9960159362548527</s:v>
      </s:c>
      <s:c r="AH159" s="220" t="n">
        <s:v>19.2</s:v>
      </s:c>
      <s:c r="AI159" s="221" t="n">
        <s:v>1.093</s:v>
      </s:c>
      <s:c r="AJ159" s="221" t="n">
        <s:v>1.082</s:v>
      </s:c>
      <s:c r="AK159" s="222" t="n">
        <s:v>436.73</s:v>
      </s:c>
      <s:c r="AL159" s="222" t="n">
        <s:v>438.75</s:v>
      </s:c>
      <s:c r="AM159" s="230" t="n">
        <s:v>2.006</s:v>
      </s:c>
      <s:c r="AN159" s="223" t="inlineStr">
        <s:is>
          <s:t>7,23,700</s:t>
        </s:is>
      </s:c>
      <s:c r="AO159" s="224" t="inlineStr">
        <s:is>
          <s:t>7,</s:t>
        </s:is>
      </s:c>
      <s:c r="AP159" s="224" t="inlineStr">
        <s:is>
          <s:t>23,700</s:t>
        </s:is>
      </s:c>
      <s:c r="AQ159" s="224" t="n">
        <s:v>0.12325</s:v>
      </s:c>
      <s:c r="AR159" s="225" t="n">
        <s:v>16.27586206896552</s:v>
      </s:c>
      <s:c r="AS159" s="229" t="n">
        <s:v>0.6979062811556345</s:v>
      </s:c>
      <s:c r="AT159" s="231" t="inlineStr">
        <s:is>
          <s:t>CONFORME</s:t>
        </s:is>
      </s:c>
      <s:c r="AU159" s="232">
        <s:f>B159=C159</s:f>
        <s:v/>
      </s:c>
      <s:c r="AV159" s="233">
        <s:f>MID(G159,1,2)</s:f>
        <s:v/>
      </s:c>
      <s:c r="AW159" s="233">
        <s:f>LEN(G159)</s:f>
        <s:v/>
      </s:c>
      <s:c r="AX159" s="233" t="inlineStr">
        <s:is>
          <s:t>OI-0923-2025</s:t>
        </s:is>
      </s:c>
      <s:c r="AY159" s="233">
        <s:f>N159&lt;Y159</s:f>
        <s:v/>
      </s:c>
      <s:c r="AZ159" s="233">
        <s:f>Z159&lt;=AK159</s:f>
        <s:v/>
      </s:c>
      <s:c r="BA159" s="233">
        <s:f>L159&lt;K159</s:f>
        <s:v/>
      </s:c>
      <s:c r="BB159" s="233">
        <s:f>W159&gt;=X159</s:f>
        <s:v/>
      </s:c>
      <s:c r="BC159" s="233">
        <s:f>AI159&gt;=AJ159</s:f>
        <s:v/>
      </s:c>
      <s:c r="BD159" s="233">
        <s:f>IF(I159&gt;=1,"Qcorrecto",IF(AND(BE159="aceptable",BF159="aceptable",BG159="aceptable"),"Qcorrecto","Qincorrecto"))</s:f>
        <s:v/>
      </s:c>
      <s:c r="BE159" s="232">
        <s:f>IF(AR159&lt;$AH$6,"error",IF(AR159&gt;$AH$6*1.1,"error","aceptable"))</s:f>
        <s:v/>
      </s:c>
      <s:c r="BF159" s="232">
        <s:f>IF(AF159&lt;$V$6,"error",IF(AF159&gt;$V$6*1.1,"error","aceptable"))</s:f>
        <s:v/>
      </s:c>
      <s:c r="BG159" s="232">
        <s:f>IF(T159&lt;$J$6*0.9,"error",IF(T159&gt;$J$6,"error","aceptable"))</s:f>
        <s:v/>
      </s:c>
      <s:c r="BH159" s="234">
        <s:f>(IF(ABS(U159)&lt;1,"CONFORME",IF(ABS(AG159)&lt;1,"CONFORME",IF(ABS(AS159)&lt;2.5,"CONFORME","NO CONFORME"))))</s:f>
        <s:v/>
      </s:c>
      <s:c r="BI159" s="235">
        <s:f>(IF(ABS(U159)&gt;2.044,"NO CONFORME",IF(ABS(AG159)&gt;2.044,"NO CONFORME",IF(ABS(AS159)&gt;5.044,"NO CONFORME","CONFORME"))))</s:f>
        <s:v/>
      </s:c>
      <s:c r="BJ159" s="233">
        <s:f>SIGN(U159)</s:f>
        <s:v/>
      </s:c>
      <s:c r="BK159" s="233">
        <s:f>SIGN(AG159)</s:f>
        <s:v/>
      </s:c>
      <s:c r="BL159" s="233">
        <s:f>SIGN(AS159)</s:f>
        <s:v/>
      </s:c>
      <s:c r="BM159" s="233">
        <s:f>CONCATENATE(BJ159,BK159,BL159)</s:f>
        <s:v/>
      </s:c>
      <s:c r="BN159" s="233">
        <s:f>IF(BM159="111","SI","SD")</s:f>
        <s:v/>
      </s:c>
      <s:c r="BO159" s="233">
        <s:f>IF(BM159="-1-1-1","SI","SD")</s:f>
        <s:v/>
      </s:c>
      <s:c r="BP159" s="233">
        <s:f>OR(BN159="SI",BO159="SI")</s:f>
        <s:v/>
      </s:c>
      <s:c r="BQ159" s="233">
        <s:f>IF(BP159=FALSE,"SIGDIFERENTES","SIGIGUALES")</s:f>
        <s:v/>
      </s:c>
      <s:c r="BR159" s="236">
        <s:f>IF(BI159="NO CONFORME","NO CONFORME",IF(BH159="CONFORME","CONFORME","NO CONFORME"))</s:f>
        <s:v/>
      </s:c>
      <s:c r="BS159" s="233">
        <s:f>F159</s:f>
        <s:v/>
      </s:c>
      <s:c r="BT159" s="237">
        <s:f>G159</s:f>
        <s:v/>
      </s:c>
      <s:c r="BU159" s="233">
        <s:f>"20"&amp;+MID(G159,3,2)</s:f>
        <s:v/>
      </s:c>
      <s:c r="BV159" s="238">
        <s:f>C159</s:f>
        <s:v/>
      </s:c>
      <s:c r="BW159" s="233">
        <s:f>AT159</s:f>
        <s:v/>
      </s:c>
      <s:c r="BX159" s="238">
        <s:f>B159</s:f>
        <s:v/>
      </s:c>
      <s:c r="BY159" s="239">
        <s:f>H159</s:f>
        <s:v/>
      </s:c>
      <s:c r="BZ159" s="233">
        <s:f>IF(I159=0,"CONFORME","NO CONFORME")</s:f>
        <s:v/>
      </s:c>
      <s:c r="CA159" s="238">
        <s:f>C159</s:f>
        <s:v/>
      </s:c>
      <s:c r="CB159" s="240">
        <s:f>AH159</s:f>
        <s:v/>
      </s:c>
      <s:c r="CC159" s="241">
        <s:f>AR159</s:f>
        <s:v/>
      </s:c>
      <s:c r="CD159" s="240">
        <s:f>AI159</s:f>
        <s:v/>
      </s:c>
      <s:c r="CE159" s="240">
        <s:f>AJ159</s:f>
        <s:v/>
      </s:c>
      <s:c r="CF159" s="240">
        <s:f>AS159</s:f>
        <s:v/>
      </s:c>
      <s:c r="CG159" s="240">
        <s:f>V159</s:f>
        <s:v/>
      </s:c>
      <s:c r="CH159" s="241">
        <s:f>AF159</s:f>
        <s:v/>
      </s:c>
      <s:c r="CI159" s="240">
        <s:f>W159</s:f>
        <s:v/>
      </s:c>
      <s:c r="CJ159" s="240">
        <s:f>X159</s:f>
        <s:v/>
      </s:c>
      <s:c r="CK159" s="240">
        <s:f>AG159</s:f>
        <s:v/>
      </s:c>
      <s:c r="CL159" s="240">
        <s:f>J159</s:f>
        <s:v/>
      </s:c>
      <s:c r="CM159" s="241">
        <s:f>T159</s:f>
        <s:v/>
      </s:c>
      <s:c r="CN159" s="240">
        <s:f>K159</s:f>
        <s:v/>
      </s:c>
      <s:c r="CO159" s="240">
        <s:f>L159</s:f>
        <s:v/>
      </s:c>
      <s:c r="CP159" s="242">
        <s:f>U159</s:f>
        <s:v/>
      </s:c>
      <s:c r="CQ159" s="233">
        <s:f>AT159</s:f>
        <s:v/>
      </s:c>
    </s:row>
    <s:row r="160">
      <s:c r="A160" s="211" t="n">
        <s:v>60</s:v>
      </s:c>
      <s:c r="B160" s="212" t="n">
        <s:v>45901</s:v>
      </s:c>
      <s:c r="C160" s="213" t="n">
        <s:v>45901</s:v>
      </s:c>
      <s:c r="D160" s="214" t="n">
        <s:v>3</s:v>
      </s:c>
      <s:c r="E160" s="215" t="n">
        <s:v>13</s:v>
      </s:c>
      <s:c r="F160" s="216" t="inlineStr">
        <s:is>
          <s:t>VI-236635-2025</s:t>
        </s:is>
      </s:c>
      <s:c r="G160" s="217" t="inlineStr">
        <s:is>
          <s:t>QA25418384</s:t>
        </s:is>
      </s:c>
      <s:c r="H160" s="218" t="n">
        <s:v>16</s:v>
      </s:c>
      <s:c r="I160" s="219" t="n">
        <s:v>0</s:v>
      </s:c>
      <s:c r="J160" s="220" t="n">
        <s:v>19</s:v>
      </s:c>
      <s:c r="K160" s="221" t="n">
        <s:v>7.501</s:v>
      </s:c>
      <s:c r="L160" s="221" t="n">
        <s:v>1.123</s:v>
      </s:c>
      <s:c r="M160" s="222" t="n">
        <s:v>322.42</s:v>
      </s:c>
      <s:c r="N160" s="222" t="n">
        <s:v>422.94</s:v>
      </s:c>
      <s:c r="O160" s="222" t="n">
        <s:v>100.51</s:v>
      </s:c>
      <s:c r="P160" s="223" t="inlineStr">
        <s:is>
          <s:t>2,29,980</s:t>
        </s:is>
      </s:c>
      <s:c r="Q160" s="224" t="inlineStr">
        <s:is>
          <s:t>2</s:t>
        </s:is>
      </s:c>
      <s:c r="R160" s="224" t="inlineStr">
        <s:is>
          <s:t>29,980</s:t>
        </s:is>
      </s:c>
      <s:c r="S160" s="224" t="n">
        <s:v>0.04166111111111111</s:v>
      </s:c>
      <s:c r="T160" s="225" t="n">
        <s:v>2412.561674889986</s:v>
      </s:c>
      <s:c r="U160" s="226" t="n">
        <s:v>0.009949258780197685</s:v>
      </s:c>
      <s:c r="V160" s="220" t="n">
        <s:v>19.1</s:v>
      </s:c>
      <s:c r="W160" s="221" t="n">
        <s:v>1.092</s:v>
      </s:c>
      <s:c r="X160" s="221" t="n">
        <s:v>1.079</s:v>
      </s:c>
      <s:c r="Y160" s="222" t="n">
        <s:v>438.51</s:v>
      </s:c>
      <s:c r="Z160" s="222" t="n">
        <s:v>443.56</s:v>
      </s:c>
      <s:c r="AA160" s="227" t="n">
        <s:v>5.02</s:v>
      </s:c>
      <s:c r="AB160" s="228" t="inlineStr">
        <s:is>
          <s:t>11,25,810</s:t>
        </s:is>
      </s:c>
      <s:c r="AC160" s="224" t="inlineStr">
        <s:is>
          <s:t>11</s:t>
        </s:is>
      </s:c>
      <s:c r="AD160" s="224" t="inlineStr">
        <s:is>
          <s:t>25,810</s:t>
        </s:is>
      </s:c>
      <s:c r="AE160" s="224" t="n">
        <s:v>0.1905027777777778</s:v>
      </s:c>
      <s:c r="AF160" s="225" t="n">
        <s:v>26.35132179466616</s:v>
      </s:c>
      <s:c r="AG160" s="229" t="n">
        <s:v>0.5976095617532231</s:v>
      </s:c>
      <s:c r="AH160" s="220" t="n">
        <s:v>19.2</s:v>
      </s:c>
      <s:c r="AI160" s="221" t="n">
        <s:v>1.093</s:v>
      </s:c>
      <s:c r="AJ160" s="221" t="n">
        <s:v>1.082</s:v>
      </s:c>
      <s:c r="AK160" s="222" t="n">
        <s:v>443.56</s:v>
      </s:c>
      <s:c r="AL160" s="222" t="n">
        <s:v>445.58</s:v>
      </s:c>
      <s:c r="AM160" s="230" t="n">
        <s:v>2.006</s:v>
      </s:c>
      <s:c r="AN160" s="223" t="inlineStr">
        <s:is>
          <s:t>7,23,700</s:t>
        </s:is>
      </s:c>
      <s:c r="AO160" s="224" t="inlineStr">
        <s:is>
          <s:t>7,</s:t>
        </s:is>
      </s:c>
      <s:c r="AP160" s="224" t="inlineStr">
        <s:is>
          <s:t>23,700</s:t>
        </s:is>
      </s:c>
      <s:c r="AQ160" s="224" t="n">
        <s:v>0.12325</s:v>
      </s:c>
      <s:c r="AR160" s="225" t="n">
        <s:v>16.27586206896552</s:v>
      </s:c>
      <s:c r="AS160" s="229" t="n">
        <s:v>0.6979062811556345</s:v>
      </s:c>
      <s:c r="AT160" s="231" t="inlineStr">
        <s:is>
          <s:t>CONFORME</s:t>
        </s:is>
      </s:c>
      <s:c r="AU160" s="232">
        <s:f>B160=C160</s:f>
        <s:v/>
      </s:c>
      <s:c r="AV160" s="233">
        <s:f>MID(G160,1,2)</s:f>
        <s:v/>
      </s:c>
      <s:c r="AW160" s="233">
        <s:f>LEN(G160)</s:f>
        <s:v/>
      </s:c>
      <s:c r="AX160" s="233" t="inlineStr">
        <s:is>
          <s:t>OI-0923-2025</s:t>
        </s:is>
      </s:c>
      <s:c r="AY160" s="233">
        <s:f>N160&lt;Y160</s:f>
        <s:v/>
      </s:c>
      <s:c r="AZ160" s="233">
        <s:f>Z160&lt;=AK160</s:f>
        <s:v/>
      </s:c>
      <s:c r="BA160" s="233">
        <s:f>L160&lt;K160</s:f>
        <s:v/>
      </s:c>
      <s:c r="BB160" s="233">
        <s:f>W160&gt;=X160</s:f>
        <s:v/>
      </s:c>
      <s:c r="BC160" s="233">
        <s:f>AI160&gt;=AJ160</s:f>
        <s:v/>
      </s:c>
      <s:c r="BD160" s="233">
        <s:f>IF(I160&gt;=1,"Qcorrecto",IF(AND(BE160="aceptable",BF160="aceptable",BG160="aceptable"),"Qcorrecto","Qincorrecto"))</s:f>
        <s:v/>
      </s:c>
      <s:c r="BE160" s="232">
        <s:f>IF(AR160&lt;$AH$6,"error",IF(AR160&gt;$AH$6*1.1,"error","aceptable"))</s:f>
        <s:v/>
      </s:c>
      <s:c r="BF160" s="232">
        <s:f>IF(AF160&lt;$V$6,"error",IF(AF160&gt;$V$6*1.1,"error","aceptable"))</s:f>
        <s:v/>
      </s:c>
      <s:c r="BG160" s="232">
        <s:f>IF(T160&lt;$J$6*0.9,"error",IF(T160&gt;$J$6,"error","aceptable"))</s:f>
        <s:v/>
      </s:c>
      <s:c r="BH160" s="234">
        <s:f>(IF(ABS(U160)&lt;1,"CONFORME",IF(ABS(AG160)&lt;1,"CONFORME",IF(ABS(AS160)&lt;2.5,"CONFORME","NO CONFORME"))))</s:f>
        <s:v/>
      </s:c>
      <s:c r="BI160" s="235">
        <s:f>(IF(ABS(U160)&gt;2.044,"NO CONFORME",IF(ABS(AG160)&gt;2.044,"NO CONFORME",IF(ABS(AS160)&gt;5.044,"NO CONFORME","CONFORME"))))</s:f>
        <s:v/>
      </s:c>
      <s:c r="BJ160" s="233">
        <s:f>SIGN(U160)</s:f>
        <s:v/>
      </s:c>
      <s:c r="BK160" s="233">
        <s:f>SIGN(AG160)</s:f>
        <s:v/>
      </s:c>
      <s:c r="BL160" s="233">
        <s:f>SIGN(AS160)</s:f>
        <s:v/>
      </s:c>
      <s:c r="BM160" s="233">
        <s:f>CONCATENATE(BJ160,BK160,BL160)</s:f>
        <s:v/>
      </s:c>
      <s:c r="BN160" s="233">
        <s:f>IF(BM160="111","SI","SD")</s:f>
        <s:v/>
      </s:c>
      <s:c r="BO160" s="233">
        <s:f>IF(BM160="-1-1-1","SI","SD")</s:f>
        <s:v/>
      </s:c>
      <s:c r="BP160" s="233">
        <s:f>OR(BN160="SI",BO160="SI")</s:f>
        <s:v/>
      </s:c>
      <s:c r="BQ160" s="233">
        <s:f>IF(BP160=FALSE,"SIGDIFERENTES","SIGIGUALES")</s:f>
        <s:v/>
      </s:c>
      <s:c r="BR160" s="236">
        <s:f>IF(BI160="NO CONFORME","NO CONFORME",IF(BH160="CONFORME","CONFORME","NO CONFORME"))</s:f>
        <s:v/>
      </s:c>
      <s:c r="BS160" s="233">
        <s:f>F160</s:f>
        <s:v/>
      </s:c>
      <s:c r="BT160" s="237">
        <s:f>G160</s:f>
        <s:v/>
      </s:c>
      <s:c r="BU160" s="233">
        <s:f>"20"&amp;+MID(G160,3,2)</s:f>
        <s:v/>
      </s:c>
      <s:c r="BV160" s="238">
        <s:f>C160</s:f>
        <s:v/>
      </s:c>
      <s:c r="BW160" s="233">
        <s:f>AT160</s:f>
        <s:v/>
      </s:c>
      <s:c r="BX160" s="238">
        <s:f>B160</s:f>
        <s:v/>
      </s:c>
      <s:c r="BY160" s="239">
        <s:f>H160</s:f>
        <s:v/>
      </s:c>
      <s:c r="BZ160" s="233">
        <s:f>IF(I160=0,"CONFORME","NO CONFORME")</s:f>
        <s:v/>
      </s:c>
      <s:c r="CA160" s="238">
        <s:f>C160</s:f>
        <s:v/>
      </s:c>
      <s:c r="CB160" s="240">
        <s:f>AH160</s:f>
        <s:v/>
      </s:c>
      <s:c r="CC160" s="241">
        <s:f>AR160</s:f>
        <s:v/>
      </s:c>
      <s:c r="CD160" s="240">
        <s:f>AI160</s:f>
        <s:v/>
      </s:c>
      <s:c r="CE160" s="240">
        <s:f>AJ160</s:f>
        <s:v/>
      </s:c>
      <s:c r="CF160" s="240">
        <s:f>AS160</s:f>
        <s:v/>
      </s:c>
      <s:c r="CG160" s="240">
        <s:f>V160</s:f>
        <s:v/>
      </s:c>
      <s:c r="CH160" s="241">
        <s:f>AF160</s:f>
        <s:v/>
      </s:c>
      <s:c r="CI160" s="240">
        <s:f>W160</s:f>
        <s:v/>
      </s:c>
      <s:c r="CJ160" s="240">
        <s:f>X160</s:f>
        <s:v/>
      </s:c>
      <s:c r="CK160" s="240">
        <s:f>AG160</s:f>
        <s:v/>
      </s:c>
      <s:c r="CL160" s="240">
        <s:f>J160</s:f>
        <s:v/>
      </s:c>
      <s:c r="CM160" s="241">
        <s:f>T160</s:f>
        <s:v/>
      </s:c>
      <s:c r="CN160" s="240">
        <s:f>K160</s:f>
        <s:v/>
      </s:c>
      <s:c r="CO160" s="240">
        <s:f>L160</s:f>
        <s:v/>
      </s:c>
      <s:c r="CP160" s="242">
        <s:f>U160</s:f>
        <s:v/>
      </s:c>
      <s:c r="CQ160" s="233">
        <s:f>AT160</s:f>
        <s:v/>
      </s:c>
    </s:row>
    <s:row r="161">
      <s:c r="A161" s="211" t="n">
        <s:v>61</s:v>
      </s:c>
      <s:c r="B161" s="212" t="n">
        <s:v>45901</s:v>
      </s:c>
      <s:c r="C161" s="213" t="n">
        <s:v>45901</s:v>
      </s:c>
      <s:c r="D161" s="214" t="n">
        <s:v>3</s:v>
      </s:c>
      <s:c r="E161" s="215" t="n">
        <s:v>13</s:v>
      </s:c>
      <s:c r="F161" s="216" t="inlineStr">
        <s:is>
          <s:t>VI-236636-2025</s:t>
        </s:is>
      </s:c>
      <s:c r="G161" s="217" t="inlineStr">
        <s:is>
          <s:t>QA25418387</s:t>
        </s:is>
      </s:c>
      <s:c r="H161" s="218" t="n">
        <s:v>16</s:v>
      </s:c>
      <s:c r="I161" s="219" t="n">
        <s:v>0</s:v>
      </s:c>
      <s:c r="J161" s="220" t="n">
        <s:v>19</s:v>
      </s:c>
      <s:c r="K161" s="221" t="n">
        <s:v>7.501</s:v>
      </s:c>
      <s:c r="L161" s="221" t="n">
        <s:v>1.123</s:v>
      </s:c>
      <s:c r="M161" s="222" t="n">
        <s:v>391.76</s:v>
      </s:c>
      <s:c r="N161" s="222" t="n">
        <s:v>490.55</s:v>
      </s:c>
      <s:c r="O161" s="222" t="n">
        <s:v>100.51</s:v>
      </s:c>
      <s:c r="P161" s="223" t="inlineStr">
        <s:is>
          <s:t>2,29,980</s:t>
        </s:is>
      </s:c>
      <s:c r="Q161" s="224" t="inlineStr">
        <s:is>
          <s:t>2</s:t>
        </s:is>
      </s:c>
      <s:c r="R161" s="224" t="inlineStr">
        <s:is>
          <s:t>29,980</s:t>
        </s:is>
      </s:c>
      <s:c r="S161" s="224" t="n">
        <s:v>0.04166111111111111</s:v>
      </s:c>
      <s:c r="T161" s="225" t="n">
        <s:v>2412.561674889986</s:v>
      </s:c>
      <s:c r="U161" s="226" t="n">
        <s:v>-1.711272510197975</s:v>
      </s:c>
      <s:c r="V161" s="220" t="n">
        <s:v>19.1</s:v>
      </s:c>
      <s:c r="W161" s="221" t="n">
        <s:v>1.092</s:v>
      </s:c>
      <s:c r="X161" s="221" t="n">
        <s:v>1.079</s:v>
      </s:c>
      <s:c r="Y161" s="222" t="n">
        <s:v>505.93</s:v>
      </s:c>
      <s:c r="Z161" s="222" t="n">
        <s:v>510.97</s:v>
      </s:c>
      <s:c r="AA161" s="227" t="n">
        <s:v>5.02</s:v>
      </s:c>
      <s:c r="AB161" s="228" t="inlineStr">
        <s:is>
          <s:t>11,25,810</s:t>
        </s:is>
      </s:c>
      <s:c r="AC161" s="224" t="inlineStr">
        <s:is>
          <s:t>11</s:t>
        </s:is>
      </s:c>
      <s:c r="AD161" s="224" t="inlineStr">
        <s:is>
          <s:t>25,810</s:t>
        </s:is>
      </s:c>
      <s:c r="AE161" s="224" t="n">
        <s:v>0.1905027777777778</s:v>
      </s:c>
      <s:c r="AF161" s="225" t="n">
        <s:v>26.35132179466616</s:v>
      </s:c>
      <s:c r="AG161" s="229" t="n">
        <s:v>0.3984063745024082</s:v>
      </s:c>
      <s:c r="AH161" s="220" t="n">
        <s:v>19.2</s:v>
      </s:c>
      <s:c r="AI161" s="221" t="n">
        <s:v>1.093</s:v>
      </s:c>
      <s:c r="AJ161" s="221" t="n">
        <s:v>1.082</s:v>
      </s:c>
      <s:c r="AK161" s="222" t="n">
        <s:v>510.97</s:v>
      </s:c>
      <s:c r="AL161" s="222" t="n">
        <s:v>512.97</s:v>
      </s:c>
      <s:c r="AM161" s="230" t="n">
        <s:v>2.006</s:v>
      </s:c>
      <s:c r="AN161" s="223" t="inlineStr">
        <s:is>
          <s:t>7,23,700</s:t>
        </s:is>
      </s:c>
      <s:c r="AO161" s="224" t="inlineStr">
        <s:is>
          <s:t>7,</s:t>
        </s:is>
      </s:c>
      <s:c r="AP161" s="224" t="inlineStr">
        <s:is>
          <s:t>23,700</s:t>
        </s:is>
      </s:c>
      <s:c r="AQ161" s="224" t="n">
        <s:v>0.12325</s:v>
      </s:c>
      <s:c r="AR161" s="225" t="n">
        <s:v>16.27586206896552</s:v>
      </s:c>
      <s:c r="AS161" s="229" t="n">
        <s:v>-0.2991026919242165</s:v>
      </s:c>
      <s:c r="AT161" s="231" t="inlineStr">
        <s:is>
          <s:t>CONFORME</s:t>
        </s:is>
      </s:c>
      <s:c r="AU161" s="232">
        <s:f>B161=C161</s:f>
        <s:v/>
      </s:c>
      <s:c r="AV161" s="233">
        <s:f>MID(G161,1,2)</s:f>
        <s:v/>
      </s:c>
      <s:c r="AW161" s="233">
        <s:f>LEN(G161)</s:f>
        <s:v/>
      </s:c>
      <s:c r="AX161" s="233" t="inlineStr">
        <s:is>
          <s:t>OI-0923-2025</s:t>
        </s:is>
      </s:c>
      <s:c r="AY161" s="233">
        <s:f>N161&lt;Y161</s:f>
        <s:v/>
      </s:c>
      <s:c r="AZ161" s="233">
        <s:f>Z161&lt;=AK161</s:f>
        <s:v/>
      </s:c>
      <s:c r="BA161" s="233">
        <s:f>L161&lt;K161</s:f>
        <s:v/>
      </s:c>
      <s:c r="BB161" s="233">
        <s:f>W161&gt;=X161</s:f>
        <s:v/>
      </s:c>
      <s:c r="BC161" s="233">
        <s:f>AI161&gt;=AJ161</s:f>
        <s:v/>
      </s:c>
      <s:c r="BD161" s="233">
        <s:f>IF(I161&gt;=1,"Qcorrecto",IF(AND(BE161="aceptable",BF161="aceptable",BG161="aceptable"),"Qcorrecto","Qincorrecto"))</s:f>
        <s:v/>
      </s:c>
      <s:c r="BE161" s="232">
        <s:f>IF(AR161&lt;$AH$6,"error",IF(AR161&gt;$AH$6*1.1,"error","aceptable"))</s:f>
        <s:v/>
      </s:c>
      <s:c r="BF161" s="232">
        <s:f>IF(AF161&lt;$V$6,"error",IF(AF161&gt;$V$6*1.1,"error","aceptable"))</s:f>
        <s:v/>
      </s:c>
      <s:c r="BG161" s="232">
        <s:f>IF(T161&lt;$J$6*0.9,"error",IF(T161&gt;$J$6,"error","aceptable"))</s:f>
        <s:v/>
      </s:c>
      <s:c r="BH161" s="234">
        <s:f>(IF(ABS(U161)&lt;1,"CONFORME",IF(ABS(AG161)&lt;1,"CONFORME",IF(ABS(AS161)&lt;2.5,"CONFORME","NO CONFORME"))))</s:f>
        <s:v/>
      </s:c>
      <s:c r="BI161" s="235">
        <s:f>(IF(ABS(U161)&gt;2.044,"NO CONFORME",IF(ABS(AG161)&gt;2.044,"NO CONFORME",IF(ABS(AS161)&gt;5.044,"NO CONFORME","CONFORME"))))</s:f>
        <s:v/>
      </s:c>
      <s:c r="BJ161" s="233">
        <s:f>SIGN(U161)</s:f>
        <s:v/>
      </s:c>
      <s:c r="BK161" s="233">
        <s:f>SIGN(AG161)</s:f>
        <s:v/>
      </s:c>
      <s:c r="BL161" s="233">
        <s:f>SIGN(AS161)</s:f>
        <s:v/>
      </s:c>
      <s:c r="BM161" s="233">
        <s:f>CONCATENATE(BJ161,BK161,BL161)</s:f>
        <s:v/>
      </s:c>
      <s:c r="BN161" s="233">
        <s:f>IF(BM161="111","SI","SD")</s:f>
        <s:v/>
      </s:c>
      <s:c r="BO161" s="233">
        <s:f>IF(BM161="-1-1-1","SI","SD")</s:f>
        <s:v/>
      </s:c>
      <s:c r="BP161" s="233">
        <s:f>OR(BN161="SI",BO161="SI")</s:f>
        <s:v/>
      </s:c>
      <s:c r="BQ161" s="233">
        <s:f>IF(BP161=FALSE,"SIGDIFERENTES","SIGIGUALES")</s:f>
        <s:v/>
      </s:c>
      <s:c r="BR161" s="236">
        <s:f>IF(BI161="NO CONFORME","NO CONFORME",IF(BH161="CONFORME","CONFORME","NO CONFORME"))</s:f>
        <s:v/>
      </s:c>
      <s:c r="BS161" s="233">
        <s:f>F161</s:f>
        <s:v/>
      </s:c>
      <s:c r="BT161" s="237">
        <s:f>G161</s:f>
        <s:v/>
      </s:c>
      <s:c r="BU161" s="233">
        <s:f>"20"&amp;+MID(G161,3,2)</s:f>
        <s:v/>
      </s:c>
      <s:c r="BV161" s="238">
        <s:f>C161</s:f>
        <s:v/>
      </s:c>
      <s:c r="BW161" s="233">
        <s:f>AT161</s:f>
        <s:v/>
      </s:c>
      <s:c r="BX161" s="238">
        <s:f>B161</s:f>
        <s:v/>
      </s:c>
      <s:c r="BY161" s="239">
        <s:f>H161</s:f>
        <s:v/>
      </s:c>
      <s:c r="BZ161" s="233">
        <s:f>IF(I161=0,"CONFORME","NO CONFORME")</s:f>
        <s:v/>
      </s:c>
      <s:c r="CA161" s="238">
        <s:f>C161</s:f>
        <s:v/>
      </s:c>
      <s:c r="CB161" s="240">
        <s:f>AH161</s:f>
        <s:v/>
      </s:c>
      <s:c r="CC161" s="241">
        <s:f>AR161</s:f>
        <s:v/>
      </s:c>
      <s:c r="CD161" s="240">
        <s:f>AI161</s:f>
        <s:v/>
      </s:c>
      <s:c r="CE161" s="240">
        <s:f>AJ161</s:f>
        <s:v/>
      </s:c>
      <s:c r="CF161" s="240">
        <s:f>AS161</s:f>
        <s:v/>
      </s:c>
      <s:c r="CG161" s="240">
        <s:f>V161</s:f>
        <s:v/>
      </s:c>
      <s:c r="CH161" s="241">
        <s:f>AF161</s:f>
        <s:v/>
      </s:c>
      <s:c r="CI161" s="240">
        <s:f>W161</s:f>
        <s:v/>
      </s:c>
      <s:c r="CJ161" s="240">
        <s:f>X161</s:f>
        <s:v/>
      </s:c>
      <s:c r="CK161" s="240">
        <s:f>AG161</s:f>
        <s:v/>
      </s:c>
      <s:c r="CL161" s="240">
        <s:f>J161</s:f>
        <s:v/>
      </s:c>
      <s:c r="CM161" s="241">
        <s:f>T161</s:f>
        <s:v/>
      </s:c>
      <s:c r="CN161" s="240">
        <s:f>K161</s:f>
        <s:v/>
      </s:c>
      <s:c r="CO161" s="240">
        <s:f>L161</s:f>
        <s:v/>
      </s:c>
      <s:c r="CP161" s="242">
        <s:f>U161</s:f>
        <s:v/>
      </s:c>
      <s:c r="CQ161" s="233">
        <s:f>AT161</s:f>
        <s:v/>
      </s:c>
    </s:row>
    <s:row r="162">
      <s:c r="A162" s="211" t="n">
        <s:v>62</s:v>
      </s:c>
      <s:c r="B162" s="212" t="n">
        <s:v>45901</s:v>
      </s:c>
      <s:c r="C162" s="213" t="n">
        <s:v>45901</s:v>
      </s:c>
      <s:c r="D162" s="214" t="n">
        <s:v>3</s:v>
      </s:c>
      <s:c r="E162" s="215" t="n">
        <s:v>13</s:v>
      </s:c>
      <s:c r="F162" s="216" t="inlineStr">
        <s:is>
          <s:t>VI-236637-2025</s:t>
        </s:is>
      </s:c>
      <s:c r="G162" s="217" t="inlineStr">
        <s:is>
          <s:t>QA25418386</s:t>
        </s:is>
      </s:c>
      <s:c r="H162" s="218" t="n">
        <s:v>16</s:v>
      </s:c>
      <s:c r="I162" s="219" t="n">
        <s:v>0</s:v>
      </s:c>
      <s:c r="J162" s="220" t="n">
        <s:v>19.4</s:v>
      </s:c>
      <s:c r="K162" s="221" t="n">
        <s:v>7.504</s:v>
      </s:c>
      <s:c r="L162" s="221" t="n">
        <s:v>1.242</s:v>
      </s:c>
      <s:c r="M162" s="222" t="n">
        <s:v>375.97</s:v>
      </s:c>
      <s:c r="N162" s="222" t="n">
        <s:v>475.85</s:v>
      </s:c>
      <s:c r="O162" s="222" t="n">
        <s:v>100.39</s:v>
      </s:c>
      <s:c r="P162" s="223" t="inlineStr">
        <s:is>
          <s:t>2,30,740</s:t>
        </s:is>
      </s:c>
      <s:c r="Q162" s="224" t="inlineStr">
        <s:is>
          <s:t>2</s:t>
        </s:is>
      </s:c>
      <s:c r="R162" s="224" t="inlineStr">
        <s:is>
          <s:t>30,740</s:t>
        </s:is>
      </s:c>
      <s:c r="S162" s="224" t="n">
        <s:v>0.04187222222222223</s:v>
      </s:c>
      <s:c r="T162" s="225" t="n">
        <s:v>2397.53217460528</s:v>
      </s:c>
      <s:c r="U162" s="226" t="n">
        <s:v>-0.5080187269648423</s:v>
      </s:c>
      <s:c r="V162" s="220" t="n">
        <s:v>19.2</s:v>
      </s:c>
      <s:c r="W162" s="221" t="n">
        <s:v>1.088</s:v>
      </s:c>
      <s:c r="X162" s="221" t="n">
        <s:v>1.08</s:v>
      </s:c>
      <s:c r="Y162" s="222" t="n">
        <s:v>490.55</s:v>
      </s:c>
      <s:c r="Z162" s="222" t="n">
        <s:v>495.56</s:v>
      </s:c>
      <s:c r="AA162" s="227" t="n">
        <s:v>5.022</s:v>
      </s:c>
      <s:c r="AB162" s="228" t="inlineStr">
        <s:is>
          <s:t>11,23,510</s:t>
        </s:is>
      </s:c>
      <s:c r="AC162" s="224" t="inlineStr">
        <s:is>
          <s:t>11</s:t>
        </s:is>
      </s:c>
      <s:c r="AD162" s="224" t="inlineStr">
        <s:is>
          <s:t>23,510</s:t>
        </s:is>
      </s:c>
      <s:c r="AE162" s="224" t="n">
        <s:v>0.1898638888888889</s:v>
      </s:c>
      <s:c r="AF162" s="225" t="n">
        <s:v>26.45052742461705</s:v>
      </s:c>
      <s:c r="AG162" s="229" t="n">
        <s:v>-0.2389486260455861</s:v>
      </s:c>
      <s:c r="AH162" s="220" t="n">
        <s:v>19.2</s:v>
      </s:c>
      <s:c r="AI162" s="221" t="n">
        <s:v>1.09</s:v>
      </s:c>
      <s:c r="AJ162" s="221" t="n">
        <s:v>1.079</s:v>
      </s:c>
      <s:c r="AK162" s="222" t="n">
        <s:v>495.56</s:v>
      </s:c>
      <s:c r="AL162" s="222" t="n">
        <s:v>497.54</s:v>
      </s:c>
      <s:c r="AM162" s="230" t="n">
        <s:v>2.007</s:v>
      </s:c>
      <s:c r="AN162" s="223" t="inlineStr">
        <s:is>
          <s:t>7,22,510</s:t>
        </s:is>
      </s:c>
      <s:c r="AO162" s="224" t="inlineStr">
        <s:is>
          <s:t>7,</s:t>
        </s:is>
      </s:c>
      <s:c r="AP162" s="224" t="inlineStr">
        <s:is>
          <s:t>22,510</s:t>
        </s:is>
      </s:c>
      <s:c r="AQ162" s="224" t="n">
        <s:v>0.1229194444444444</s:v>
      </s:c>
      <s:c r="AR162" s="225" t="n">
        <s:v>16.32776660414454</s:v>
      </s:c>
      <s:c r="AS162" s="229" t="n">
        <s:v>-1.345291479819727</s:v>
      </s:c>
      <s:c r="AT162" s="231" t="inlineStr">
        <s:is>
          <s:t>CONFORME</s:t>
        </s:is>
      </s:c>
      <s:c r="AU162" s="232">
        <s:f>B162=C162</s:f>
        <s:v/>
      </s:c>
      <s:c r="AV162" s="233">
        <s:f>MID(G162,1,2)</s:f>
        <s:v/>
      </s:c>
      <s:c r="AW162" s="233">
        <s:f>LEN(G162)</s:f>
        <s:v/>
      </s:c>
      <s:c r="AX162" s="233" t="inlineStr">
        <s:is>
          <s:t>OI-0923-2025</s:t>
        </s:is>
      </s:c>
      <s:c r="AY162" s="233">
        <s:f>N162&lt;Y162</s:f>
        <s:v/>
      </s:c>
      <s:c r="AZ162" s="233">
        <s:f>Z162&lt;=AK162</s:f>
        <s:v/>
      </s:c>
      <s:c r="BA162" s="233">
        <s:f>L162&lt;K162</s:f>
        <s:v/>
      </s:c>
      <s:c r="BB162" s="233">
        <s:f>W162&gt;=X162</s:f>
        <s:v/>
      </s:c>
      <s:c r="BC162" s="233">
        <s:f>AI162&gt;=AJ162</s:f>
        <s:v/>
      </s:c>
      <s:c r="BD162" s="233">
        <s:f>IF(I162&gt;=1,"Qcorrecto",IF(AND(BE162="aceptable",BF162="aceptable",BG162="aceptable"),"Qcorrecto","Qincorrecto"))</s:f>
        <s:v/>
      </s:c>
      <s:c r="BE162" s="232">
        <s:f>IF(AR162&lt;$AH$6,"error",IF(AR162&gt;$AH$6*1.1,"error","aceptable"))</s:f>
        <s:v/>
      </s:c>
      <s:c r="BF162" s="232">
        <s:f>IF(AF162&lt;$V$6,"error",IF(AF162&gt;$V$6*1.1,"error","aceptable"))</s:f>
        <s:v/>
      </s:c>
      <s:c r="BG162" s="232">
        <s:f>IF(T162&lt;$J$6*0.9,"error",IF(T162&gt;$J$6,"error","aceptable"))</s:f>
        <s:v/>
      </s:c>
      <s:c r="BH162" s="234">
        <s:f>(IF(ABS(U162)&lt;1,"CONFORME",IF(ABS(AG162)&lt;1,"CONFORME",IF(ABS(AS162)&lt;2.5,"CONFORME","NO CONFORME"))))</s:f>
        <s:v/>
      </s:c>
      <s:c r="BI162" s="235">
        <s:f>(IF(ABS(U162)&gt;2.044,"NO CONFORME",IF(ABS(AG162)&gt;2.044,"NO CONFORME",IF(ABS(AS162)&gt;5.044,"NO CONFORME","CONFORME"))))</s:f>
        <s:v/>
      </s:c>
      <s:c r="BJ162" s="233">
        <s:f>SIGN(U162)</s:f>
        <s:v/>
      </s:c>
      <s:c r="BK162" s="233">
        <s:f>SIGN(AG162)</s:f>
        <s:v/>
      </s:c>
      <s:c r="BL162" s="233">
        <s:f>SIGN(AS162)</s:f>
        <s:v/>
      </s:c>
      <s:c r="BM162" s="233">
        <s:f>CONCATENATE(BJ162,BK162,BL162)</s:f>
        <s:v/>
      </s:c>
      <s:c r="BN162" s="233">
        <s:f>IF(BM162="111","SI","SD")</s:f>
        <s:v/>
      </s:c>
      <s:c r="BO162" s="233">
        <s:f>IF(BM162="-1-1-1","SI","SD")</s:f>
        <s:v/>
      </s:c>
      <s:c r="BP162" s="233">
        <s:f>OR(BN162="SI",BO162="SI")</s:f>
        <s:v/>
      </s:c>
      <s:c r="BQ162" s="233">
        <s:f>IF(BP162=FALSE,"SIGDIFERENTES","SIGIGUALES")</s:f>
        <s:v/>
      </s:c>
      <s:c r="BR162" s="236">
        <s:f>IF(BI162="NO CONFORME","NO CONFORME",IF(BH162="CONFORME","CONFORME","NO CONFORME"))</s:f>
        <s:v/>
      </s:c>
      <s:c r="BS162" s="233">
        <s:f>F162</s:f>
        <s:v/>
      </s:c>
      <s:c r="BT162" s="237">
        <s:f>G162</s:f>
        <s:v/>
      </s:c>
      <s:c r="BU162" s="233">
        <s:f>"20"&amp;+MID(G162,3,2)</s:f>
        <s:v/>
      </s:c>
      <s:c r="BV162" s="238">
        <s:f>C162</s:f>
        <s:v/>
      </s:c>
      <s:c r="BW162" s="233">
        <s:f>AT162</s:f>
        <s:v/>
      </s:c>
      <s:c r="BX162" s="238">
        <s:f>B162</s:f>
        <s:v/>
      </s:c>
      <s:c r="BY162" s="239">
        <s:f>H162</s:f>
        <s:v/>
      </s:c>
      <s:c r="BZ162" s="233">
        <s:f>IF(I162=0,"CONFORME","NO CONFORME")</s:f>
        <s:v/>
      </s:c>
      <s:c r="CA162" s="238">
        <s:f>C162</s:f>
        <s:v/>
      </s:c>
      <s:c r="CB162" s="240">
        <s:f>AH162</s:f>
        <s:v/>
      </s:c>
      <s:c r="CC162" s="241">
        <s:f>AR162</s:f>
        <s:v/>
      </s:c>
      <s:c r="CD162" s="240">
        <s:f>AI162</s:f>
        <s:v/>
      </s:c>
      <s:c r="CE162" s="240">
        <s:f>AJ162</s:f>
        <s:v/>
      </s:c>
      <s:c r="CF162" s="240">
        <s:f>AS162</s:f>
        <s:v/>
      </s:c>
      <s:c r="CG162" s="240">
        <s:f>V162</s:f>
        <s:v/>
      </s:c>
      <s:c r="CH162" s="241">
        <s:f>AF162</s:f>
        <s:v/>
      </s:c>
      <s:c r="CI162" s="240">
        <s:f>W162</s:f>
        <s:v/>
      </s:c>
      <s:c r="CJ162" s="240">
        <s:f>X162</s:f>
        <s:v/>
      </s:c>
      <s:c r="CK162" s="240">
        <s:f>AG162</s:f>
        <s:v/>
      </s:c>
      <s:c r="CL162" s="240">
        <s:f>J162</s:f>
        <s:v/>
      </s:c>
      <s:c r="CM162" s="241">
        <s:f>T162</s:f>
        <s:v/>
      </s:c>
      <s:c r="CN162" s="240">
        <s:f>K162</s:f>
        <s:v/>
      </s:c>
      <s:c r="CO162" s="240">
        <s:f>L162</s:f>
        <s:v/>
      </s:c>
      <s:c r="CP162" s="242">
        <s:f>U162</s:f>
        <s:v/>
      </s:c>
      <s:c r="CQ162" s="233">
        <s:f>AT162</s:f>
        <s:v/>
      </s:c>
    </s:row>
    <s:row r="163">
      <s:c r="A163" s="211" t="n">
        <s:v>63</s:v>
      </s:c>
      <s:c r="B163" s="212" t="n">
        <s:v>45901</s:v>
      </s:c>
      <s:c r="C163" s="213" t="n">
        <s:v>45901</s:v>
      </s:c>
      <s:c r="D163" s="214" t="n">
        <s:v>3</s:v>
      </s:c>
      <s:c r="E163" s="215" t="n">
        <s:v>13</s:v>
      </s:c>
      <s:c r="F163" s="216" t="inlineStr">
        <s:is>
          <s:t>VI-236638-2025</s:t>
        </s:is>
      </s:c>
      <s:c r="G163" s="217" t="inlineStr">
        <s:is>
          <s:t>QA25418252</s:t>
        </s:is>
      </s:c>
      <s:c r="H163" s="218" t="n">
        <s:v>16</s:v>
      </s:c>
      <s:c r="I163" s="219" t="n">
        <s:v>0</s:v>
      </s:c>
      <s:c r="J163" s="220" t="n">
        <s:v>19.4</s:v>
      </s:c>
      <s:c r="K163" s="221" t="n">
        <s:v>7.504</s:v>
      </s:c>
      <s:c r="L163" s="221" t="n">
        <s:v>1.242</s:v>
      </s:c>
      <s:c r="M163" s="222" t="n">
        <s:v>453.94</s:v>
      </s:c>
      <s:c r="N163" s="222" t="n">
        <s:v>553.92</s:v>
      </s:c>
      <s:c r="O163" s="222" t="n">
        <s:v>100.39</s:v>
      </s:c>
      <s:c r="P163" s="223" t="inlineStr">
        <s:is>
          <s:t>2,30,740</s:t>
        </s:is>
      </s:c>
      <s:c r="Q163" s="224" t="inlineStr">
        <s:is>
          <s:t>2</s:t>
        </s:is>
      </s:c>
      <s:c r="R163" s="224" t="inlineStr">
        <s:is>
          <s:t>30,740</s:t>
        </s:is>
      </s:c>
      <s:c r="S163" s="224" t="n">
        <s:v>0.04187222222222223</s:v>
      </s:c>
      <s:c r="T163" s="225" t="n">
        <s:v>2397.53217460528</s:v>
      </s:c>
      <s:c r="U163" s="226" t="n">
        <s:v>-0.4084072118737317</s:v>
      </s:c>
      <s:c r="V163" s="220" t="n">
        <s:v>19.2</s:v>
      </s:c>
      <s:c r="W163" s="221" t="n">
        <s:v>1.088</s:v>
      </s:c>
      <s:c r="X163" s="221" t="n">
        <s:v>1.08</s:v>
      </s:c>
      <s:c r="Y163" s="222" t="n">
        <s:v>568.8099999999999</s:v>
      </s:c>
      <s:c r="Z163" s="222" t="n">
        <s:v>573.85</s:v>
      </s:c>
      <s:c r="AA163" s="227" t="n">
        <s:v>5.022</s:v>
      </s:c>
      <s:c r="AB163" s="228" t="inlineStr">
        <s:is>
          <s:t>11,23,510</s:t>
        </s:is>
      </s:c>
      <s:c r="AC163" s="224" t="inlineStr">
        <s:is>
          <s:t>11</s:t>
        </s:is>
      </s:c>
      <s:c r="AD163" s="224" t="inlineStr">
        <s:is>
          <s:t>23,510</s:t>
        </s:is>
      </s:c>
      <s:c r="AE163" s="224" t="n">
        <s:v>0.1898638888888889</s:v>
      </s:c>
      <s:c r="AF163" s="225" t="n">
        <s:v>26.45052742461705</s:v>
      </s:c>
      <s:c r="AG163" s="229" t="n">
        <s:v>0.3584229390696349</s:v>
      </s:c>
      <s:c r="AH163" s="220" t="n">
        <s:v>19.2</s:v>
      </s:c>
      <s:c r="AI163" s="221" t="n">
        <s:v>1.09</s:v>
      </s:c>
      <s:c r="AJ163" s="221" t="n">
        <s:v>1.079</s:v>
      </s:c>
      <s:c r="AK163" s="222" t="n">
        <s:v>573.85</s:v>
      </s:c>
      <s:c r="AL163" s="222" t="n">
        <s:v>575.83</s:v>
      </s:c>
      <s:c r="AM163" s="230" t="n">
        <s:v>2.007</s:v>
      </s:c>
      <s:c r="AN163" s="223" t="inlineStr">
        <s:is>
          <s:t>7,22,510</s:t>
        </s:is>
      </s:c>
      <s:c r="AO163" s="224" t="inlineStr">
        <s:is>
          <s:t>7,</s:t>
        </s:is>
      </s:c>
      <s:c r="AP163" s="224" t="inlineStr">
        <s:is>
          <s:t>22,510</s:t>
        </s:is>
      </s:c>
      <s:c r="AQ163" s="224" t="n">
        <s:v>0.1229194444444444</s:v>
      </s:c>
      <s:c r="AR163" s="225" t="n">
        <s:v>16.32776660414454</s:v>
      </s:c>
      <s:c r="AS163" s="229" t="n">
        <s:v>-1.345291479819727</s:v>
      </s:c>
      <s:c r="AT163" s="231" t="inlineStr">
        <s:is>
          <s:t>CONFORME</s:t>
        </s:is>
      </s:c>
      <s:c r="AU163" s="232">
        <s:f>B163=C163</s:f>
        <s:v/>
      </s:c>
      <s:c r="AV163" s="233">
        <s:f>MID(G163,1,2)</s:f>
        <s:v/>
      </s:c>
      <s:c r="AW163" s="233">
        <s:f>LEN(G163)</s:f>
        <s:v/>
      </s:c>
      <s:c r="AX163" s="233" t="inlineStr">
        <s:is>
          <s:t>OI-0923-2025</s:t>
        </s:is>
      </s:c>
      <s:c r="AY163" s="233">
        <s:f>N163&lt;Y163</s:f>
        <s:v/>
      </s:c>
      <s:c r="AZ163" s="233">
        <s:f>Z163&lt;=AK163</s:f>
        <s:v/>
      </s:c>
      <s:c r="BA163" s="233">
        <s:f>L163&lt;K163</s:f>
        <s:v/>
      </s:c>
      <s:c r="BB163" s="233">
        <s:f>W163&gt;=X163</s:f>
        <s:v/>
      </s:c>
      <s:c r="BC163" s="233">
        <s:f>AI163&gt;=AJ163</s:f>
        <s:v/>
      </s:c>
      <s:c r="BD163" s="233">
        <s:f>IF(I163&gt;=1,"Qcorrecto",IF(AND(BE163="aceptable",BF163="aceptable",BG163="aceptable"),"Qcorrecto","Qincorrecto"))</s:f>
        <s:v/>
      </s:c>
      <s:c r="BE163" s="232">
        <s:f>IF(AR163&lt;$AH$6,"error",IF(AR163&gt;$AH$6*1.1,"error","aceptable"))</s:f>
        <s:v/>
      </s:c>
      <s:c r="BF163" s="232">
        <s:f>IF(AF163&lt;$V$6,"error",IF(AF163&gt;$V$6*1.1,"error","aceptable"))</s:f>
        <s:v/>
      </s:c>
      <s:c r="BG163" s="232">
        <s:f>IF(T163&lt;$J$6*0.9,"error",IF(T163&gt;$J$6,"error","aceptable"))</s:f>
        <s:v/>
      </s:c>
      <s:c r="BH163" s="234">
        <s:f>(IF(ABS(U163)&lt;1,"CONFORME",IF(ABS(AG163)&lt;1,"CONFORME",IF(ABS(AS163)&lt;2.5,"CONFORME","NO CONFORME"))))</s:f>
        <s:v/>
      </s:c>
      <s:c r="BI163" s="235">
        <s:f>(IF(ABS(U163)&gt;2.044,"NO CONFORME",IF(ABS(AG163)&gt;2.044,"NO CONFORME",IF(ABS(AS163)&gt;5.044,"NO CONFORME","CONFORME"))))</s:f>
        <s:v/>
      </s:c>
      <s:c r="BJ163" s="233">
        <s:f>SIGN(U163)</s:f>
        <s:v/>
      </s:c>
      <s:c r="BK163" s="233">
        <s:f>SIGN(AG163)</s:f>
        <s:v/>
      </s:c>
      <s:c r="BL163" s="233">
        <s:f>SIGN(AS163)</s:f>
        <s:v/>
      </s:c>
      <s:c r="BM163" s="233">
        <s:f>CONCATENATE(BJ163,BK163,BL163)</s:f>
        <s:v/>
      </s:c>
      <s:c r="BN163" s="233">
        <s:f>IF(BM163="111","SI","SD")</s:f>
        <s:v/>
      </s:c>
      <s:c r="BO163" s="233">
        <s:f>IF(BM163="-1-1-1","SI","SD")</s:f>
        <s:v/>
      </s:c>
      <s:c r="BP163" s="233">
        <s:f>OR(BN163="SI",BO163="SI")</s:f>
        <s:v/>
      </s:c>
      <s:c r="BQ163" s="233">
        <s:f>IF(BP163=FALSE,"SIGDIFERENTES","SIGIGUALES")</s:f>
        <s:v/>
      </s:c>
      <s:c r="BR163" s="236">
        <s:f>IF(BI163="NO CONFORME","NO CONFORME",IF(BH163="CONFORME","CONFORME","NO CONFORME"))</s:f>
        <s:v/>
      </s:c>
      <s:c r="BS163" s="233">
        <s:f>F163</s:f>
        <s:v/>
      </s:c>
      <s:c r="BT163" s="237">
        <s:f>G163</s:f>
        <s:v/>
      </s:c>
      <s:c r="BU163" s="233">
        <s:f>"20"&amp;+MID(G163,3,2)</s:f>
        <s:v/>
      </s:c>
      <s:c r="BV163" s="238">
        <s:f>C163</s:f>
        <s:v/>
      </s:c>
      <s:c r="BW163" s="233">
        <s:f>AT163</s:f>
        <s:v/>
      </s:c>
      <s:c r="BX163" s="238">
        <s:f>B163</s:f>
        <s:v/>
      </s:c>
      <s:c r="BY163" s="239">
        <s:f>H163</s:f>
        <s:v/>
      </s:c>
      <s:c r="BZ163" s="233">
        <s:f>IF(I163=0,"CONFORME","NO CONFORME")</s:f>
        <s:v/>
      </s:c>
      <s:c r="CA163" s="238">
        <s:f>C163</s:f>
        <s:v/>
      </s:c>
      <s:c r="CB163" s="240">
        <s:f>AH163</s:f>
        <s:v/>
      </s:c>
      <s:c r="CC163" s="241">
        <s:f>AR163</s:f>
        <s:v/>
      </s:c>
      <s:c r="CD163" s="240">
        <s:f>AI163</s:f>
        <s:v/>
      </s:c>
      <s:c r="CE163" s="240">
        <s:f>AJ163</s:f>
        <s:v/>
      </s:c>
      <s:c r="CF163" s="240">
        <s:f>AS163</s:f>
        <s:v/>
      </s:c>
      <s:c r="CG163" s="240">
        <s:f>V163</s:f>
        <s:v/>
      </s:c>
      <s:c r="CH163" s="241">
        <s:f>AF163</s:f>
        <s:v/>
      </s:c>
      <s:c r="CI163" s="240">
        <s:f>W163</s:f>
        <s:v/>
      </s:c>
      <s:c r="CJ163" s="240">
        <s:f>X163</s:f>
        <s:v/>
      </s:c>
      <s:c r="CK163" s="240">
        <s:f>AG163</s:f>
        <s:v/>
      </s:c>
      <s:c r="CL163" s="240">
        <s:f>J163</s:f>
        <s:v/>
      </s:c>
      <s:c r="CM163" s="241">
        <s:f>T163</s:f>
        <s:v/>
      </s:c>
      <s:c r="CN163" s="240">
        <s:f>K163</s:f>
        <s:v/>
      </s:c>
      <s:c r="CO163" s="240">
        <s:f>L163</s:f>
        <s:v/>
      </s:c>
      <s:c r="CP163" s="242">
        <s:f>U163</s:f>
        <s:v/>
      </s:c>
      <s:c r="CQ163" s="233">
        <s:f>AT163</s:f>
        <s:v/>
      </s:c>
    </s:row>
    <s:row r="164">
      <s:c r="A164" s="211" t="n">
        <s:v>64</s:v>
      </s:c>
      <s:c r="B164" s="212" t="n">
        <s:v>45901</s:v>
      </s:c>
      <s:c r="C164" s="213" t="n">
        <s:v>45901</s:v>
      </s:c>
      <s:c r="D164" s="214" t="n">
        <s:v>3</s:v>
      </s:c>
      <s:c r="E164" s="215" t="n">
        <s:v>13</s:v>
      </s:c>
      <s:c r="F164" s="216" t="inlineStr">
        <s:is>
          <s:t>VI-236639-2025</s:t>
        </s:is>
      </s:c>
      <s:c r="G164" s="217" t="inlineStr">
        <s:is>
          <s:t>QA25418255</s:t>
        </s:is>
      </s:c>
      <s:c r="H164" s="218" t="n">
        <s:v>16</s:v>
      </s:c>
      <s:c r="I164" s="219" t="n">
        <s:v>0</s:v>
      </s:c>
      <s:c r="J164" s="220" t="n">
        <s:v>19.4</s:v>
      </s:c>
      <s:c r="K164" s="221" t="n">
        <s:v>7.504</s:v>
      </s:c>
      <s:c r="L164" s="221" t="n">
        <s:v>1.242</s:v>
      </s:c>
      <s:c r="M164" s="222" t="n">
        <s:v>447.78</s:v>
      </s:c>
      <s:c r="N164" s="222" t="n">
        <s:v>548.39</s:v>
      </s:c>
      <s:c r="O164" s="222" t="n">
        <s:v>100.39</s:v>
      </s:c>
      <s:c r="P164" s="223" t="inlineStr">
        <s:is>
          <s:t>2,30,740</s:t>
        </s:is>
      </s:c>
      <s:c r="Q164" s="224" t="inlineStr">
        <s:is>
          <s:t>2</s:t>
        </s:is>
      </s:c>
      <s:c r="R164" s="224" t="inlineStr">
        <s:is>
          <s:t>30,740</s:t>
        </s:is>
      </s:c>
      <s:c r="S164" s="224" t="n">
        <s:v>0.04187222222222223</s:v>
      </s:c>
      <s:c r="T164" s="225" t="n">
        <s:v>2397.53217460528</s:v>
      </s:c>
      <s:c r="U164" s="226" t="n">
        <s:v>0.219145333200531</s:v>
      </s:c>
      <s:c r="V164" s="220" t="n">
        <s:v>19.2</s:v>
      </s:c>
      <s:c r="W164" s="221" t="n">
        <s:v>1.088</s:v>
      </s:c>
      <s:c r="X164" s="221" t="n">
        <s:v>1.08</s:v>
      </s:c>
      <s:c r="Y164" s="222" t="n">
        <s:v>563.39</s:v>
      </s:c>
      <s:c r="Z164" s="222" t="n">
        <s:v>568.45</s:v>
      </s:c>
      <s:c r="AA164" s="227" t="n">
        <s:v>5.022</s:v>
      </s:c>
      <s:c r="AB164" s="228" t="inlineStr">
        <s:is>
          <s:t>11,23,510</s:t>
        </s:is>
      </s:c>
      <s:c r="AC164" s="224" t="inlineStr">
        <s:is>
          <s:t>11</s:t>
        </s:is>
      </s:c>
      <s:c r="AD164" s="224" t="inlineStr">
        <s:is>
          <s:t>23,510</s:t>
        </s:is>
      </s:c>
      <s:c r="AE164" s="224" t="n">
        <s:v>0.1898638888888889</s:v>
      </s:c>
      <s:c r="AF164" s="225" t="n">
        <s:v>26.45052742461705</s:v>
      </s:c>
      <s:c r="AG164" s="229" t="n">
        <s:v>0.7566706491449398</s:v>
      </s:c>
      <s:c r="AH164" s="220" t="n">
        <s:v>19.2</s:v>
      </s:c>
      <s:c r="AI164" s="221" t="n">
        <s:v>1.09</s:v>
      </s:c>
      <s:c r="AJ164" s="221" t="n">
        <s:v>1.079</s:v>
      </s:c>
      <s:c r="AK164" s="222" t="n">
        <s:v>568.45</s:v>
      </s:c>
      <s:c r="AL164" s="222" t="n">
        <s:v>570.45</s:v>
      </s:c>
      <s:c r="AM164" s="230" t="n">
        <s:v>2.007</s:v>
      </s:c>
      <s:c r="AN164" s="223" t="inlineStr">
        <s:is>
          <s:t>7,22,510</s:t>
        </s:is>
      </s:c>
      <s:c r="AO164" s="224" t="inlineStr">
        <s:is>
          <s:t>7,</s:t>
        </s:is>
      </s:c>
      <s:c r="AP164" s="224" t="inlineStr">
        <s:is>
          <s:t>22,510</s:t>
        </s:is>
      </s:c>
      <s:c r="AQ164" s="224" t="n">
        <s:v>0.1229194444444444</s:v>
      </s:c>
      <s:c r="AR164" s="225" t="n">
        <s:v>16.32776660414454</s:v>
      </s:c>
      <s:c r="AS164" s="229" t="n">
        <s:v>-0.3487792725460945</s:v>
      </s:c>
      <s:c r="AT164" s="231" t="inlineStr">
        <s:is>
          <s:t>CONFORME</s:t>
        </s:is>
      </s:c>
      <s:c r="AU164" s="232">
        <s:f>B164=C164</s:f>
        <s:v/>
      </s:c>
      <s:c r="AV164" s="233">
        <s:f>MID(G164,1,2)</s:f>
        <s:v/>
      </s:c>
      <s:c r="AW164" s="233">
        <s:f>LEN(G164)</s:f>
        <s:v/>
      </s:c>
      <s:c r="AX164" s="233" t="inlineStr">
        <s:is>
          <s:t>OI-0923-2025</s:t>
        </s:is>
      </s:c>
      <s:c r="AY164" s="233">
        <s:f>N164&lt;Y164</s:f>
        <s:v/>
      </s:c>
      <s:c r="AZ164" s="233">
        <s:f>Z164&lt;=AK164</s:f>
        <s:v/>
      </s:c>
      <s:c r="BA164" s="233">
        <s:f>L164&lt;K164</s:f>
        <s:v/>
      </s:c>
      <s:c r="BB164" s="233">
        <s:f>W164&gt;=X164</s:f>
        <s:v/>
      </s:c>
      <s:c r="BC164" s="233">
        <s:f>AI164&gt;=AJ164</s:f>
        <s:v/>
      </s:c>
      <s:c r="BD164" s="233">
        <s:f>IF(I164&gt;=1,"Qcorrecto",IF(AND(BE164="aceptable",BF164="aceptable",BG164="aceptable"),"Qcorrecto","Qincorrecto"))</s:f>
        <s:v/>
      </s:c>
      <s:c r="BE164" s="232">
        <s:f>IF(AR164&lt;$AH$6,"error",IF(AR164&gt;$AH$6*1.1,"error","aceptable"))</s:f>
        <s:v/>
      </s:c>
      <s:c r="BF164" s="232">
        <s:f>IF(AF164&lt;$V$6,"error",IF(AF164&gt;$V$6*1.1,"error","aceptable"))</s:f>
        <s:v/>
      </s:c>
      <s:c r="BG164" s="232">
        <s:f>IF(T164&lt;$J$6*0.9,"error",IF(T164&gt;$J$6,"error","aceptable"))</s:f>
        <s:v/>
      </s:c>
      <s:c r="BH164" s="234">
        <s:f>(IF(ABS(U164)&lt;1,"CONFORME",IF(ABS(AG164)&lt;1,"CONFORME",IF(ABS(AS164)&lt;2.5,"CONFORME","NO CONFORME"))))</s:f>
        <s:v/>
      </s:c>
      <s:c r="BI164" s="235">
        <s:f>(IF(ABS(U164)&gt;2.044,"NO CONFORME",IF(ABS(AG164)&gt;2.044,"NO CONFORME",IF(ABS(AS164)&gt;5.044,"NO CONFORME","CONFORME"))))</s:f>
        <s:v/>
      </s:c>
      <s:c r="BJ164" s="233">
        <s:f>SIGN(U164)</s:f>
        <s:v/>
      </s:c>
      <s:c r="BK164" s="233">
        <s:f>SIGN(AG164)</s:f>
        <s:v/>
      </s:c>
      <s:c r="BL164" s="233">
        <s:f>SIGN(AS164)</s:f>
        <s:v/>
      </s:c>
      <s:c r="BM164" s="233">
        <s:f>CONCATENATE(BJ164,BK164,BL164)</s:f>
        <s:v/>
      </s:c>
      <s:c r="BN164" s="233">
        <s:f>IF(BM164="111","SI","SD")</s:f>
        <s:v/>
      </s:c>
      <s:c r="BO164" s="233">
        <s:f>IF(BM164="-1-1-1","SI","SD")</s:f>
        <s:v/>
      </s:c>
      <s:c r="BP164" s="233">
        <s:f>OR(BN164="SI",BO164="SI")</s:f>
        <s:v/>
      </s:c>
      <s:c r="BQ164" s="233">
        <s:f>IF(BP164=FALSE,"SIGDIFERENTES","SIGIGUALES")</s:f>
        <s:v/>
      </s:c>
      <s:c r="BR164" s="236">
        <s:f>IF(BI164="NO CONFORME","NO CONFORME",IF(BH164="CONFORME","CONFORME","NO CONFORME"))</s:f>
        <s:v/>
      </s:c>
      <s:c r="BS164" s="233">
        <s:f>F164</s:f>
        <s:v/>
      </s:c>
      <s:c r="BT164" s="237">
        <s:f>G164</s:f>
        <s:v/>
      </s:c>
      <s:c r="BU164" s="233">
        <s:f>"20"&amp;+MID(G164,3,2)</s:f>
        <s:v/>
      </s:c>
      <s:c r="BV164" s="238">
        <s:f>C164</s:f>
        <s:v/>
      </s:c>
      <s:c r="BW164" s="233">
        <s:f>AT164</s:f>
        <s:v/>
      </s:c>
      <s:c r="BX164" s="238">
        <s:f>B164</s:f>
        <s:v/>
      </s:c>
      <s:c r="BY164" s="239">
        <s:f>H164</s:f>
        <s:v/>
      </s:c>
      <s:c r="BZ164" s="233">
        <s:f>IF(I164=0,"CONFORME","NO CONFORME")</s:f>
        <s:v/>
      </s:c>
      <s:c r="CA164" s="238">
        <s:f>C164</s:f>
        <s:v/>
      </s:c>
      <s:c r="CB164" s="240">
        <s:f>AH164</s:f>
        <s:v/>
      </s:c>
      <s:c r="CC164" s="241">
        <s:f>AR164</s:f>
        <s:v/>
      </s:c>
      <s:c r="CD164" s="240">
        <s:f>AI164</s:f>
        <s:v/>
      </s:c>
      <s:c r="CE164" s="240">
        <s:f>AJ164</s:f>
        <s:v/>
      </s:c>
      <s:c r="CF164" s="240">
        <s:f>AS164</s:f>
        <s:v/>
      </s:c>
      <s:c r="CG164" s="240">
        <s:f>V164</s:f>
        <s:v/>
      </s:c>
      <s:c r="CH164" s="241">
        <s:f>AF164</s:f>
        <s:v/>
      </s:c>
      <s:c r="CI164" s="240">
        <s:f>W164</s:f>
        <s:v/>
      </s:c>
      <s:c r="CJ164" s="240">
        <s:f>X164</s:f>
        <s:v/>
      </s:c>
      <s:c r="CK164" s="240">
        <s:f>AG164</s:f>
        <s:v/>
      </s:c>
      <s:c r="CL164" s="240">
        <s:f>J164</s:f>
        <s:v/>
      </s:c>
      <s:c r="CM164" s="241">
        <s:f>T164</s:f>
        <s:v/>
      </s:c>
      <s:c r="CN164" s="240">
        <s:f>K164</s:f>
        <s:v/>
      </s:c>
      <s:c r="CO164" s="240">
        <s:f>L164</s:f>
        <s:v/>
      </s:c>
      <s:c r="CP164" s="242">
        <s:f>U164</s:f>
        <s:v/>
      </s:c>
      <s:c r="CQ164" s="233">
        <s:f>AT164</s:f>
        <s:v/>
      </s:c>
    </s:row>
    <s:row r="165">
      <s:c r="A165" s="211" t="n">
        <s:v>65</s:v>
      </s:c>
      <s:c r="B165" s="212" t="n">
        <s:v>45901</s:v>
      </s:c>
      <s:c r="C165" s="213" t="n">
        <s:v>45901</s:v>
      </s:c>
      <s:c r="D165" s="214" t="n">
        <s:v>3</s:v>
      </s:c>
      <s:c r="E165" s="215" t="n">
        <s:v>13</s:v>
      </s:c>
      <s:c r="F165" s="216" t="inlineStr">
        <s:is>
          <s:t>VI-236640-2025</s:t>
        </s:is>
      </s:c>
      <s:c r="G165" s="217" t="inlineStr">
        <s:is>
          <s:t>QA25418495</s:t>
        </s:is>
      </s:c>
      <s:c r="H165" s="218" t="n">
        <s:v>16</s:v>
      </s:c>
      <s:c r="I165" s="219" t="n">
        <s:v>0</s:v>
      </s:c>
      <s:c r="J165" s="220" t="n">
        <s:v>19.4</s:v>
      </s:c>
      <s:c r="K165" s="221" t="n">
        <s:v>7.504</s:v>
      </s:c>
      <s:c r="L165" s="221" t="n">
        <s:v>1.242</s:v>
      </s:c>
      <s:c r="M165" s="222" t="n">
        <s:v>376.92</s:v>
      </s:c>
      <s:c r="N165" s="222" t="n">
        <s:v>477.37</s:v>
      </s:c>
      <s:c r="O165" s="222" t="n">
        <s:v>100.39</s:v>
      </s:c>
      <s:c r="P165" s="223" t="inlineStr">
        <s:is>
          <s:t>2,30,740</s:t>
        </s:is>
      </s:c>
      <s:c r="Q165" s="224" t="inlineStr">
        <s:is>
          <s:t>2</s:t>
        </s:is>
      </s:c>
      <s:c r="R165" s="224" t="inlineStr">
        <s:is>
          <s:t>30,740</s:t>
        </s:is>
      </s:c>
      <s:c r="S165" s="224" t="n">
        <s:v>0.04187222222222223</s:v>
      </s:c>
      <s:c r="T165" s="225" t="n">
        <s:v>2397.53217460528</s:v>
      </s:c>
      <s:c r="U165" s="226" t="n">
        <s:v>0.05976690905467483</s:v>
      </s:c>
      <s:c r="V165" s="220" t="n">
        <s:v>19.2</s:v>
      </s:c>
      <s:c r="W165" s="221" t="n">
        <s:v>1.088</s:v>
      </s:c>
      <s:c r="X165" s="221" t="n">
        <s:v>1.08</s:v>
      </s:c>
      <s:c r="Y165" s="222" t="n">
        <s:v>492.23</s:v>
      </s:c>
      <s:c r="Z165" s="222" t="n">
        <s:v>497.32</s:v>
      </s:c>
      <s:c r="AA165" s="227" t="n">
        <s:v>5.022</s:v>
      </s:c>
      <s:c r="AB165" s="228" t="inlineStr">
        <s:is>
          <s:t>11,23,510</s:t>
        </s:is>
      </s:c>
      <s:c r="AC165" s="224" t="inlineStr">
        <s:is>
          <s:t>11</s:t>
        </s:is>
      </s:c>
      <s:c r="AD165" s="224" t="inlineStr">
        <s:is>
          <s:t>23,510</s:t>
        </s:is>
      </s:c>
      <s:c r="AE165" s="224" t="n">
        <s:v>0.1898638888888889</s:v>
      </s:c>
      <s:c r="AF165" s="225" t="n">
        <s:v>26.45052742461705</s:v>
      </s:c>
      <s:c r="AG165" s="229" t="n">
        <s:v>1.354042214256765</s:v>
      </s:c>
      <s:c r="AH165" s="220" t="n">
        <s:v>19.2</s:v>
      </s:c>
      <s:c r="AI165" s="221" t="n">
        <s:v>1.09</s:v>
      </s:c>
      <s:c r="AJ165" s="221" t="n">
        <s:v>1.079</s:v>
      </s:c>
      <s:c r="AK165" s="222" t="n">
        <s:v>497.32</s:v>
      </s:c>
      <s:c r="AL165" s="222" t="n">
        <s:v>499.33</s:v>
      </s:c>
      <s:c r="AM165" s="230" t="n">
        <s:v>2.007</s:v>
      </s:c>
      <s:c r="AN165" s="223" t="inlineStr">
        <s:is>
          <s:t>7,22,510</s:t>
        </s:is>
      </s:c>
      <s:c r="AO165" s="224" t="inlineStr">
        <s:is>
          <s:t>7,</s:t>
        </s:is>
      </s:c>
      <s:c r="AP165" s="224" t="inlineStr">
        <s:is>
          <s:t>22,510</s:t>
        </s:is>
      </s:c>
      <s:c r="AQ165" s="224" t="n">
        <s:v>0.1229194444444444</s:v>
      </s:c>
      <s:c r="AR165" s="225" t="n">
        <s:v>16.32776660414454</s:v>
      </s:c>
      <s:c r="AS165" s="229" t="n">
        <s:v>0.1494768310907219</s:v>
      </s:c>
      <s:c r="AT165" s="231" t="inlineStr">
        <s:is>
          <s:t>CONFORME</s:t>
        </s:is>
      </s:c>
      <s:c r="AU165" s="232">
        <s:f>B165=C165</s:f>
        <s:v/>
      </s:c>
      <s:c r="AV165" s="233">
        <s:f>MID(G165,1,2)</s:f>
        <s:v/>
      </s:c>
      <s:c r="AW165" s="233">
        <s:f>LEN(G165)</s:f>
        <s:v/>
      </s:c>
      <s:c r="AX165" s="233" t="inlineStr">
        <s:is>
          <s:t>OI-0923-2025</s:t>
        </s:is>
      </s:c>
      <s:c r="AY165" s="233">
        <s:f>N165&lt;Y165</s:f>
        <s:v/>
      </s:c>
      <s:c r="AZ165" s="233">
        <s:f>Z165&lt;=AK165</s:f>
        <s:v/>
      </s:c>
      <s:c r="BA165" s="233">
        <s:f>L165&lt;K165</s:f>
        <s:v/>
      </s:c>
      <s:c r="BB165" s="233">
        <s:f>W165&gt;=X165</s:f>
        <s:v/>
      </s:c>
      <s:c r="BC165" s="233">
        <s:f>AI165&gt;=AJ165</s:f>
        <s:v/>
      </s:c>
      <s:c r="BD165" s="233">
        <s:f>IF(I165&gt;=1,"Qcorrecto",IF(AND(BE165="aceptable",BF165="aceptable",BG165="aceptable"),"Qcorrecto","Qincorrecto"))</s:f>
        <s:v/>
      </s:c>
      <s:c r="BE165" s="232">
        <s:f>IF(AR165&lt;$AH$6,"error",IF(AR165&gt;$AH$6*1.1,"error","aceptable"))</s:f>
        <s:v/>
      </s:c>
      <s:c r="BF165" s="232">
        <s:f>IF(AF165&lt;$V$6,"error",IF(AF165&gt;$V$6*1.1,"error","aceptable"))</s:f>
        <s:v/>
      </s:c>
      <s:c r="BG165" s="232">
        <s:f>IF(T165&lt;$J$6*0.9,"error",IF(T165&gt;$J$6,"error","aceptable"))</s:f>
        <s:v/>
      </s:c>
      <s:c r="BH165" s="234">
        <s:f>(IF(ABS(U165)&lt;1,"CONFORME",IF(ABS(AG165)&lt;1,"CONFORME",IF(ABS(AS165)&lt;2.5,"CONFORME","NO CONFORME"))))</s:f>
        <s:v/>
      </s:c>
      <s:c r="BI165" s="235">
        <s:f>(IF(ABS(U165)&gt;2.044,"NO CONFORME",IF(ABS(AG165)&gt;2.044,"NO CONFORME",IF(ABS(AS165)&gt;5.044,"NO CONFORME","CONFORME"))))</s:f>
        <s:v/>
      </s:c>
      <s:c r="BJ165" s="233">
        <s:f>SIGN(U165)</s:f>
        <s:v/>
      </s:c>
      <s:c r="BK165" s="233">
        <s:f>SIGN(AG165)</s:f>
        <s:v/>
      </s:c>
      <s:c r="BL165" s="233">
        <s:f>SIGN(AS165)</s:f>
        <s:v/>
      </s:c>
      <s:c r="BM165" s="233">
        <s:f>CONCATENATE(BJ165,BK165,BL165)</s:f>
        <s:v/>
      </s:c>
      <s:c r="BN165" s="233">
        <s:f>IF(BM165="111","SI","SD")</s:f>
        <s:v/>
      </s:c>
      <s:c r="BO165" s="233">
        <s:f>IF(BM165="-1-1-1","SI","SD")</s:f>
        <s:v/>
      </s:c>
      <s:c r="BP165" s="233">
        <s:f>OR(BN165="SI",BO165="SI")</s:f>
        <s:v/>
      </s:c>
      <s:c r="BQ165" s="233">
        <s:f>IF(BP165=FALSE,"SIGDIFERENTES","SIGIGUALES")</s:f>
        <s:v/>
      </s:c>
      <s:c r="BR165" s="236">
        <s:f>IF(BI165="NO CONFORME","NO CONFORME",IF(BH165="CONFORME","CONFORME","NO CONFORME"))</s:f>
        <s:v/>
      </s:c>
      <s:c r="BS165" s="233">
        <s:f>F165</s:f>
        <s:v/>
      </s:c>
      <s:c r="BT165" s="237">
        <s:f>G165</s:f>
        <s:v/>
      </s:c>
      <s:c r="BU165" s="233">
        <s:f>"20"&amp;+MID(G165,3,2)</s:f>
        <s:v/>
      </s:c>
      <s:c r="BV165" s="238">
        <s:f>C165</s:f>
        <s:v/>
      </s:c>
      <s:c r="BW165" s="233">
        <s:f>AT165</s:f>
        <s:v/>
      </s:c>
      <s:c r="BX165" s="238">
        <s:f>B165</s:f>
        <s:v/>
      </s:c>
      <s:c r="BY165" s="239">
        <s:f>H165</s:f>
        <s:v/>
      </s:c>
      <s:c r="BZ165" s="233">
        <s:f>IF(I165=0,"CONFORME","NO CONFORME")</s:f>
        <s:v/>
      </s:c>
      <s:c r="CA165" s="238">
        <s:f>C165</s:f>
        <s:v/>
      </s:c>
      <s:c r="CB165" s="240">
        <s:f>AH165</s:f>
        <s:v/>
      </s:c>
      <s:c r="CC165" s="241">
        <s:f>AR165</s:f>
        <s:v/>
      </s:c>
      <s:c r="CD165" s="240">
        <s:f>AI165</s:f>
        <s:v/>
      </s:c>
      <s:c r="CE165" s="240">
        <s:f>AJ165</s:f>
        <s:v/>
      </s:c>
      <s:c r="CF165" s="240">
        <s:f>AS165</s:f>
        <s:v/>
      </s:c>
      <s:c r="CG165" s="240">
        <s:f>V165</s:f>
        <s:v/>
      </s:c>
      <s:c r="CH165" s="241">
        <s:f>AF165</s:f>
        <s:v/>
      </s:c>
      <s:c r="CI165" s="240">
        <s:f>W165</s:f>
        <s:v/>
      </s:c>
      <s:c r="CJ165" s="240">
        <s:f>X165</s:f>
        <s:v/>
      </s:c>
      <s:c r="CK165" s="240">
        <s:f>AG165</s:f>
        <s:v/>
      </s:c>
      <s:c r="CL165" s="240">
        <s:f>J165</s:f>
        <s:v/>
      </s:c>
      <s:c r="CM165" s="241">
        <s:f>T165</s:f>
        <s:v/>
      </s:c>
      <s:c r="CN165" s="240">
        <s:f>K165</s:f>
        <s:v/>
      </s:c>
      <s:c r="CO165" s="240">
        <s:f>L165</s:f>
        <s:v/>
      </s:c>
      <s:c r="CP165" s="242">
        <s:f>U165</s:f>
        <s:v/>
      </s:c>
      <s:c r="CQ165" s="233">
        <s:f>AT165</s:f>
        <s:v/>
      </s:c>
    </s:row>
    <s:row r="166">
      <s:c r="A166" s="211" t="n">
        <s:v>66</s:v>
      </s:c>
      <s:c r="B166" s="212" t="n">
        <s:v>45901</s:v>
      </s:c>
      <s:c r="C166" s="213" t="n">
        <s:v>45901</s:v>
      </s:c>
      <s:c r="D166" s="214" t="n">
        <s:v>3</s:v>
      </s:c>
      <s:c r="E166" s="215" t="n">
        <s:v>13</s:v>
      </s:c>
      <s:c r="F166" s="216" t="inlineStr">
        <s:is>
          <s:t>VI-236641-2025</s:t>
        </s:is>
      </s:c>
      <s:c r="G166" s="217" t="inlineStr">
        <s:is>
          <s:t>QA25418237</s:t>
        </s:is>
      </s:c>
      <s:c r="H166" s="218" t="n">
        <s:v>16</s:v>
      </s:c>
      <s:c r="I166" s="219" t="n">
        <s:v>0</s:v>
      </s:c>
      <s:c r="J166" s="220" t="n">
        <s:v>19.4</s:v>
      </s:c>
      <s:c r="K166" s="221" t="n">
        <s:v>7.504</s:v>
      </s:c>
      <s:c r="L166" s="221" t="n">
        <s:v>1.242</s:v>
      </s:c>
      <s:c r="M166" s="222" t="n">
        <s:v>375.94</s:v>
      </s:c>
      <s:c r="N166" s="222" t="n">
        <s:v>476.46</s:v>
      </s:c>
      <s:c r="O166" s="222" t="n">
        <s:v>100.39</s:v>
      </s:c>
      <s:c r="P166" s="223" t="inlineStr">
        <s:is>
          <s:t>2,30,740</s:t>
        </s:is>
      </s:c>
      <s:c r="Q166" s="224" t="inlineStr">
        <s:is>
          <s:t>2</s:t>
        </s:is>
      </s:c>
      <s:c r="R166" s="224" t="inlineStr">
        <s:is>
          <s:t>30,740</s:t>
        </s:is>
      </s:c>
      <s:c r="S166" s="224" t="n">
        <s:v>0.04187222222222223</s:v>
      </s:c>
      <s:c r="T166" s="225" t="n">
        <s:v>2397.53217460528</s:v>
      </s:c>
      <s:c r="U166" s="226" t="n">
        <s:v>0.1294949696184692</s:v>
      </s:c>
      <s:c r="V166" s="220" t="n">
        <s:v>19.2</s:v>
      </s:c>
      <s:c r="W166" s="221" t="n">
        <s:v>1.088</s:v>
      </s:c>
      <s:c r="X166" s="221" t="n">
        <s:v>1.08</s:v>
      </s:c>
      <s:c r="Y166" s="222" t="n">
        <s:v>491.37</s:v>
      </s:c>
      <s:c r="Z166" s="222" t="n">
        <s:v>496.38</s:v>
      </s:c>
      <s:c r="AA166" s="227" t="n">
        <s:v>5.022</s:v>
      </s:c>
      <s:c r="AB166" s="228" t="inlineStr">
        <s:is>
          <s:t>11,23,510</s:t>
        </s:is>
      </s:c>
      <s:c r="AC166" s="224" t="inlineStr">
        <s:is>
          <s:t>11</s:t>
        </s:is>
      </s:c>
      <s:c r="AD166" s="224" t="inlineStr">
        <s:is>
          <s:t>23,510</s:t>
        </s:is>
      </s:c>
      <s:c r="AE166" s="224" t="n">
        <s:v>0.1898638888888889</s:v>
      </s:c>
      <s:c r="AF166" s="225" t="n">
        <s:v>26.45052742461705</s:v>
      </s:c>
      <s:c r="AG166" s="229" t="n">
        <s:v>-0.2389486260455861</s:v>
      </s:c>
      <s:c r="AH166" s="220" t="n">
        <s:v>19.2</s:v>
      </s:c>
      <s:c r="AI166" s="221" t="n">
        <s:v>1.09</s:v>
      </s:c>
      <s:c r="AJ166" s="221" t="n">
        <s:v>1.079</s:v>
      </s:c>
      <s:c r="AK166" s="222" t="n">
        <s:v>496.38</s:v>
      </s:c>
      <s:c r="AL166" s="222" t="n">
        <s:v>498.35</s:v>
      </s:c>
      <s:c r="AM166" s="230" t="n">
        <s:v>2.007</s:v>
      </s:c>
      <s:c r="AN166" s="223" t="inlineStr">
        <s:is>
          <s:t>7,22,510</s:t>
        </s:is>
      </s:c>
      <s:c r="AO166" s="224" t="inlineStr">
        <s:is>
          <s:t>7,</s:t>
        </s:is>
      </s:c>
      <s:c r="AP166" s="224" t="inlineStr">
        <s:is>
          <s:t>22,510</s:t>
        </s:is>
      </s:c>
      <s:c r="AQ166" s="224" t="n">
        <s:v>0.1229194444444444</s:v>
      </s:c>
      <s:c r="AR166" s="225" t="n">
        <s:v>16.32776660414454</s:v>
      </s:c>
      <s:c r="AS166" s="229" t="n">
        <s:v>-1.843547583456544</s:v>
      </s:c>
      <s:c r="AT166" s="231" t="inlineStr">
        <s:is>
          <s:t>CONFORME</s:t>
        </s:is>
      </s:c>
      <s:c r="AU166" s="232">
        <s:f>B166=C166</s:f>
        <s:v/>
      </s:c>
      <s:c r="AV166" s="233">
        <s:f>MID(G166,1,2)</s:f>
        <s:v/>
      </s:c>
      <s:c r="AW166" s="233">
        <s:f>LEN(G166)</s:f>
        <s:v/>
      </s:c>
      <s:c r="AX166" s="233" t="inlineStr">
        <s:is>
          <s:t>OI-0923-2025</s:t>
        </s:is>
      </s:c>
      <s:c r="AY166" s="233">
        <s:f>N166&lt;Y166</s:f>
        <s:v/>
      </s:c>
      <s:c r="AZ166" s="233">
        <s:f>Z166&lt;=AK166</s:f>
        <s:v/>
      </s:c>
      <s:c r="BA166" s="233">
        <s:f>L166&lt;K166</s:f>
        <s:v/>
      </s:c>
      <s:c r="BB166" s="233">
        <s:f>W166&gt;=X166</s:f>
        <s:v/>
      </s:c>
      <s:c r="BC166" s="233">
        <s:f>AI166&gt;=AJ166</s:f>
        <s:v/>
      </s:c>
      <s:c r="BD166" s="233">
        <s:f>IF(I166&gt;=1,"Qcorrecto",IF(AND(BE166="aceptable",BF166="aceptable",BG166="aceptable"),"Qcorrecto","Qincorrecto"))</s:f>
        <s:v/>
      </s:c>
      <s:c r="BE166" s="232">
        <s:f>IF(AR166&lt;$AH$6,"error",IF(AR166&gt;$AH$6*1.1,"error","aceptable"))</s:f>
        <s:v/>
      </s:c>
      <s:c r="BF166" s="232">
        <s:f>IF(AF166&lt;$V$6,"error",IF(AF166&gt;$V$6*1.1,"error","aceptable"))</s:f>
        <s:v/>
      </s:c>
      <s:c r="BG166" s="232">
        <s:f>IF(T166&lt;$J$6*0.9,"error",IF(T166&gt;$J$6,"error","aceptable"))</s:f>
        <s:v/>
      </s:c>
      <s:c r="BH166" s="234">
        <s:f>(IF(ABS(U166)&lt;1,"CONFORME",IF(ABS(AG166)&lt;1,"CONFORME",IF(ABS(AS166)&lt;2.5,"CONFORME","NO CONFORME"))))</s:f>
        <s:v/>
      </s:c>
      <s:c r="BI166" s="235">
        <s:f>(IF(ABS(U166)&gt;2.044,"NO CONFORME",IF(ABS(AG166)&gt;2.044,"NO CONFORME",IF(ABS(AS166)&gt;5.044,"NO CONFORME","CONFORME"))))</s:f>
        <s:v/>
      </s:c>
      <s:c r="BJ166" s="233">
        <s:f>SIGN(U166)</s:f>
        <s:v/>
      </s:c>
      <s:c r="BK166" s="233">
        <s:f>SIGN(AG166)</s:f>
        <s:v/>
      </s:c>
      <s:c r="BL166" s="233">
        <s:f>SIGN(AS166)</s:f>
        <s:v/>
      </s:c>
      <s:c r="BM166" s="233">
        <s:f>CONCATENATE(BJ166,BK166,BL166)</s:f>
        <s:v/>
      </s:c>
      <s:c r="BN166" s="233">
        <s:f>IF(BM166="111","SI","SD")</s:f>
        <s:v/>
      </s:c>
      <s:c r="BO166" s="233">
        <s:f>IF(BM166="-1-1-1","SI","SD")</s:f>
        <s:v/>
      </s:c>
      <s:c r="BP166" s="233">
        <s:f>OR(BN166="SI",BO166="SI")</s:f>
        <s:v/>
      </s:c>
      <s:c r="BQ166" s="233">
        <s:f>IF(BP166=FALSE,"SIGDIFERENTES","SIGIGUALES")</s:f>
        <s:v/>
      </s:c>
      <s:c r="BR166" s="236">
        <s:f>IF(BI166="NO CONFORME","NO CONFORME",IF(BH166="CONFORME","CONFORME","NO CONFORME"))</s:f>
        <s:v/>
      </s:c>
      <s:c r="BS166" s="233">
        <s:f>F166</s:f>
        <s:v/>
      </s:c>
      <s:c r="BT166" s="237">
        <s:f>G166</s:f>
        <s:v/>
      </s:c>
      <s:c r="BU166" s="233">
        <s:f>"20"&amp;+MID(G166,3,2)</s:f>
        <s:v/>
      </s:c>
      <s:c r="BV166" s="238">
        <s:f>C166</s:f>
        <s:v/>
      </s:c>
      <s:c r="BW166" s="233">
        <s:f>AT166</s:f>
        <s:v/>
      </s:c>
      <s:c r="BX166" s="238">
        <s:f>B166</s:f>
        <s:v/>
      </s:c>
      <s:c r="BY166" s="239">
        <s:f>H166</s:f>
        <s:v/>
      </s:c>
      <s:c r="BZ166" s="233">
        <s:f>IF(I166=0,"CONFORME","NO CONFORME")</s:f>
        <s:v/>
      </s:c>
      <s:c r="CA166" s="238">
        <s:f>C166</s:f>
        <s:v/>
      </s:c>
      <s:c r="CB166" s="240">
        <s:f>AH166</s:f>
        <s:v/>
      </s:c>
      <s:c r="CC166" s="241">
        <s:f>AR166</s:f>
        <s:v/>
      </s:c>
      <s:c r="CD166" s="240">
        <s:f>AI166</s:f>
        <s:v/>
      </s:c>
      <s:c r="CE166" s="240">
        <s:f>AJ166</s:f>
        <s:v/>
      </s:c>
      <s:c r="CF166" s="240">
        <s:f>AS166</s:f>
        <s:v/>
      </s:c>
      <s:c r="CG166" s="240">
        <s:f>V166</s:f>
        <s:v/>
      </s:c>
      <s:c r="CH166" s="241">
        <s:f>AF166</s:f>
        <s:v/>
      </s:c>
      <s:c r="CI166" s="240">
        <s:f>W166</s:f>
        <s:v/>
      </s:c>
      <s:c r="CJ166" s="240">
        <s:f>X166</s:f>
        <s:v/>
      </s:c>
      <s:c r="CK166" s="240">
        <s:f>AG166</s:f>
        <s:v/>
      </s:c>
      <s:c r="CL166" s="240">
        <s:f>J166</s:f>
        <s:v/>
      </s:c>
      <s:c r="CM166" s="241">
        <s:f>T166</s:f>
        <s:v/>
      </s:c>
      <s:c r="CN166" s="240">
        <s:f>K166</s:f>
        <s:v/>
      </s:c>
      <s:c r="CO166" s="240">
        <s:f>L166</s:f>
        <s:v/>
      </s:c>
      <s:c r="CP166" s="242">
        <s:f>U166</s:f>
        <s:v/>
      </s:c>
      <s:c r="CQ166" s="233">
        <s:f>AT166</s:f>
        <s:v/>
      </s:c>
    </s:row>
    <s:row r="167">
      <s:c r="A167" s="211" t="n">
        <s:v>67</s:v>
      </s:c>
      <s:c r="B167" s="212" t="n">
        <s:v>45901</s:v>
      </s:c>
      <s:c r="C167" s="213" t="n">
        <s:v>45901</s:v>
      </s:c>
      <s:c r="D167" s="214" t="n">
        <s:v>3</s:v>
      </s:c>
      <s:c r="E167" s="215" t="n">
        <s:v>13</s:v>
      </s:c>
      <s:c r="F167" s="216" t="inlineStr">
        <s:is>
          <s:t>VI-236642-2025</s:t>
        </s:is>
      </s:c>
      <s:c r="G167" s="217" t="inlineStr">
        <s:is>
          <s:t>QA25418248</s:t>
        </s:is>
      </s:c>
      <s:c r="H167" s="218" t="n">
        <s:v>16</s:v>
      </s:c>
      <s:c r="I167" s="219" t="n">
        <s:v>0</s:v>
      </s:c>
      <s:c r="J167" s="220" t="n">
        <s:v>19.4</s:v>
      </s:c>
      <s:c r="K167" s="221" t="n">
        <s:v>7.504</s:v>
      </s:c>
      <s:c r="L167" s="221" t="n">
        <s:v>1.242</s:v>
      </s:c>
      <s:c r="M167" s="222" t="n">
        <s:v>382.82</s:v>
      </s:c>
      <s:c r="N167" s="222" t="n">
        <s:v>482.97</s:v>
      </s:c>
      <s:c r="O167" s="222" t="n">
        <s:v>100.39</s:v>
      </s:c>
      <s:c r="P167" s="223" t="inlineStr">
        <s:is>
          <s:t>2,30,740</s:t>
        </s:is>
      </s:c>
      <s:c r="Q167" s="224" t="inlineStr">
        <s:is>
          <s:t>2</s:t>
        </s:is>
      </s:c>
      <s:c r="R167" s="224" t="inlineStr">
        <s:is>
          <s:t>30,740</s:t>
        </s:is>
      </s:c>
      <s:c r="S167" s="224" t="n">
        <s:v>0.04187222222222223</s:v>
      </s:c>
      <s:c r="T167" s="225" t="n">
        <s:v>2397.53217460528</s:v>
      </s:c>
      <s:c r="U167" s="226" t="n">
        <s:v>-0.2390676362187135</s:v>
      </s:c>
      <s:c r="V167" s="220" t="n">
        <s:v>19.2</s:v>
      </s:c>
      <s:c r="W167" s="221" t="n">
        <s:v>1.088</s:v>
      </s:c>
      <s:c r="X167" s="221" t="n">
        <s:v>1.08</s:v>
      </s:c>
      <s:c r="Y167" s="222" t="n">
        <s:v>497.84</s:v>
      </s:c>
      <s:c r="Z167" s="222" t="n">
        <s:v>502.86</s:v>
      </s:c>
      <s:c r="AA167" s="227" t="n">
        <s:v>5.022</s:v>
      </s:c>
      <s:c r="AB167" s="228" t="inlineStr">
        <s:is>
          <s:t>11,23,510</s:t>
        </s:is>
      </s:c>
      <s:c r="AC167" s="224" t="inlineStr">
        <s:is>
          <s:t>11</s:t>
        </s:is>
      </s:c>
      <s:c r="AD167" s="224" t="inlineStr">
        <s:is>
          <s:t>23,510</s:t>
        </s:is>
      </s:c>
      <s:c r="AE167" s="224" t="n">
        <s:v>0.1898638888888889</s:v>
      </s:c>
      <s:c r="AF167" s="225" t="n">
        <s:v>26.45052742461705</s:v>
      </s:c>
      <s:c r="AG167" s="229" t="n">
        <s:v>-0.03982477100680183</s:v>
      </s:c>
      <s:c r="AH167" s="220" t="n">
        <s:v>19.2</s:v>
      </s:c>
      <s:c r="AI167" s="221" t="n">
        <s:v>1.09</s:v>
      </s:c>
      <s:c r="AJ167" s="221" t="n">
        <s:v>1.079</s:v>
      </s:c>
      <s:c r="AK167" s="222" t="n">
        <s:v>502.86</s:v>
      </s:c>
      <s:c r="AL167" s="222" t="n">
        <s:v>504.85</s:v>
      </s:c>
      <s:c r="AM167" s="230" t="n">
        <s:v>2.007</s:v>
      </s:c>
      <s:c r="AN167" s="223" t="inlineStr">
        <s:is>
          <s:t>7,22,510</s:t>
        </s:is>
      </s:c>
      <s:c r="AO167" s="224" t="inlineStr">
        <s:is>
          <s:t>7,</s:t>
        </s:is>
      </s:c>
      <s:c r="AP167" s="224" t="inlineStr">
        <s:is>
          <s:t>22,510</s:t>
        </s:is>
      </s:c>
      <s:c r="AQ167" s="224" t="n">
        <s:v>0.1229194444444444</s:v>
      </s:c>
      <s:c r="AR167" s="225" t="n">
        <s:v>16.32776660414454</s:v>
      </s:c>
      <s:c r="AS167" s="229" t="n">
        <s:v>-0.8470353761829108</s:v>
      </s:c>
      <s:c r="AT167" s="231" t="inlineStr">
        <s:is>
          <s:t>CONFORME</s:t>
        </s:is>
      </s:c>
      <s:c r="AU167" s="232">
        <s:f>B167=C167</s:f>
        <s:v/>
      </s:c>
      <s:c r="AV167" s="233">
        <s:f>MID(G167,1,2)</s:f>
        <s:v/>
      </s:c>
      <s:c r="AW167" s="233">
        <s:f>LEN(G167)</s:f>
        <s:v/>
      </s:c>
      <s:c r="AX167" s="233" t="inlineStr">
        <s:is>
          <s:t>OI-0923-2025</s:t>
        </s:is>
      </s:c>
      <s:c r="AY167" s="233">
        <s:f>N167&lt;Y167</s:f>
        <s:v/>
      </s:c>
      <s:c r="AZ167" s="233">
        <s:f>Z167&lt;=AK167</s:f>
        <s:v/>
      </s:c>
      <s:c r="BA167" s="233">
        <s:f>L167&lt;K167</s:f>
        <s:v/>
      </s:c>
      <s:c r="BB167" s="233">
        <s:f>W167&gt;=X167</s:f>
        <s:v/>
      </s:c>
      <s:c r="BC167" s="233">
        <s:f>AI167&gt;=AJ167</s:f>
        <s:v/>
      </s:c>
      <s:c r="BD167" s="233">
        <s:f>IF(I167&gt;=1,"Qcorrecto",IF(AND(BE167="aceptable",BF167="aceptable",BG167="aceptable"),"Qcorrecto","Qincorrecto"))</s:f>
        <s:v/>
      </s:c>
      <s:c r="BE167" s="232">
        <s:f>IF(AR167&lt;$AH$6,"error",IF(AR167&gt;$AH$6*1.1,"error","aceptable"))</s:f>
        <s:v/>
      </s:c>
      <s:c r="BF167" s="232">
        <s:f>IF(AF167&lt;$V$6,"error",IF(AF167&gt;$V$6*1.1,"error","aceptable"))</s:f>
        <s:v/>
      </s:c>
      <s:c r="BG167" s="232">
        <s:f>IF(T167&lt;$J$6*0.9,"error",IF(T167&gt;$J$6,"error","aceptable"))</s:f>
        <s:v/>
      </s:c>
      <s:c r="BH167" s="234">
        <s:f>(IF(ABS(U167)&lt;1,"CONFORME",IF(ABS(AG167)&lt;1,"CONFORME",IF(ABS(AS167)&lt;2.5,"CONFORME","NO CONFORME"))))</s:f>
        <s:v/>
      </s:c>
      <s:c r="BI167" s="235">
        <s:f>(IF(ABS(U167)&gt;2.044,"NO CONFORME",IF(ABS(AG167)&gt;2.044,"NO CONFORME",IF(ABS(AS167)&gt;5.044,"NO CONFORME","CONFORME"))))</s:f>
        <s:v/>
      </s:c>
      <s:c r="BJ167" s="233">
        <s:f>SIGN(U167)</s:f>
        <s:v/>
      </s:c>
      <s:c r="BK167" s="233">
        <s:f>SIGN(AG167)</s:f>
        <s:v/>
      </s:c>
      <s:c r="BL167" s="233">
        <s:f>SIGN(AS167)</s:f>
        <s:v/>
      </s:c>
      <s:c r="BM167" s="233">
        <s:f>CONCATENATE(BJ167,BK167,BL167)</s:f>
        <s:v/>
      </s:c>
      <s:c r="BN167" s="233">
        <s:f>IF(BM167="111","SI","SD")</s:f>
        <s:v/>
      </s:c>
      <s:c r="BO167" s="233">
        <s:f>IF(BM167="-1-1-1","SI","SD")</s:f>
        <s:v/>
      </s:c>
      <s:c r="BP167" s="233">
        <s:f>OR(BN167="SI",BO167="SI")</s:f>
        <s:v/>
      </s:c>
      <s:c r="BQ167" s="233">
        <s:f>IF(BP167=FALSE,"SIGDIFERENTES","SIGIGUALES")</s:f>
        <s:v/>
      </s:c>
      <s:c r="BR167" s="236">
        <s:f>IF(BI167="NO CONFORME","NO CONFORME",IF(BH167="CONFORME","CONFORME","NO CONFORME"))</s:f>
        <s:v/>
      </s:c>
      <s:c r="BS167" s="233">
        <s:f>F167</s:f>
        <s:v/>
      </s:c>
      <s:c r="BT167" s="237">
        <s:f>G167</s:f>
        <s:v/>
      </s:c>
      <s:c r="BU167" s="233">
        <s:f>"20"&amp;+MID(G167,3,2)</s:f>
        <s:v/>
      </s:c>
      <s:c r="BV167" s="238">
        <s:f>C167</s:f>
        <s:v/>
      </s:c>
      <s:c r="BW167" s="233">
        <s:f>AT167</s:f>
        <s:v/>
      </s:c>
      <s:c r="BX167" s="238">
        <s:f>B167</s:f>
        <s:v/>
      </s:c>
      <s:c r="BY167" s="239">
        <s:f>H167</s:f>
        <s:v/>
      </s:c>
      <s:c r="BZ167" s="233">
        <s:f>IF(I167=0,"CONFORME","NO CONFORME")</s:f>
        <s:v/>
      </s:c>
      <s:c r="CA167" s="238">
        <s:f>C167</s:f>
        <s:v/>
      </s:c>
      <s:c r="CB167" s="240">
        <s:f>AH167</s:f>
        <s:v/>
      </s:c>
      <s:c r="CC167" s="241">
        <s:f>AR167</s:f>
        <s:v/>
      </s:c>
      <s:c r="CD167" s="240">
        <s:f>AI167</s:f>
        <s:v/>
      </s:c>
      <s:c r="CE167" s="240">
        <s:f>AJ167</s:f>
        <s:v/>
      </s:c>
      <s:c r="CF167" s="240">
        <s:f>AS167</s:f>
        <s:v/>
      </s:c>
      <s:c r="CG167" s="240">
        <s:f>V167</s:f>
        <s:v/>
      </s:c>
      <s:c r="CH167" s="241">
        <s:f>AF167</s:f>
        <s:v/>
      </s:c>
      <s:c r="CI167" s="240">
        <s:f>W167</s:f>
        <s:v/>
      </s:c>
      <s:c r="CJ167" s="240">
        <s:f>X167</s:f>
        <s:v/>
      </s:c>
      <s:c r="CK167" s="240">
        <s:f>AG167</s:f>
        <s:v/>
      </s:c>
      <s:c r="CL167" s="240">
        <s:f>J167</s:f>
        <s:v/>
      </s:c>
      <s:c r="CM167" s="241">
        <s:f>T167</s:f>
        <s:v/>
      </s:c>
      <s:c r="CN167" s="240">
        <s:f>K167</s:f>
        <s:v/>
      </s:c>
      <s:c r="CO167" s="240">
        <s:f>L167</s:f>
        <s:v/>
      </s:c>
      <s:c r="CP167" s="242">
        <s:f>U167</s:f>
        <s:v/>
      </s:c>
      <s:c r="CQ167" s="233">
        <s:f>AT167</s:f>
        <s:v/>
      </s:c>
    </s:row>
    <s:row r="168">
      <s:c r="A168" s="211" t="n">
        <s:v>68</s:v>
      </s:c>
      <s:c r="B168" s="212" t="n">
        <s:v>45901</s:v>
      </s:c>
      <s:c r="C168" s="213" t="n">
        <s:v>45901</s:v>
      </s:c>
      <s:c r="D168" s="214" t="n">
        <s:v>3</s:v>
      </s:c>
      <s:c r="E168" s="215" t="n">
        <s:v>13</s:v>
      </s:c>
      <s:c r="F168" s="216" t="inlineStr">
        <s:is>
          <s:t>VI-236643-2025</s:t>
        </s:is>
      </s:c>
      <s:c r="G168" s="217" t="inlineStr">
        <s:is>
          <s:t>QA25418249</s:t>
        </s:is>
      </s:c>
      <s:c r="H168" s="218" t="n">
        <s:v>16</s:v>
      </s:c>
      <s:c r="I168" s="219" t="n">
        <s:v>0</s:v>
      </s:c>
      <s:c r="J168" s="220" t="n">
        <s:v>19.4</s:v>
      </s:c>
      <s:c r="K168" s="221" t="n">
        <s:v>7.504</s:v>
      </s:c>
      <s:c r="L168" s="221" t="n">
        <s:v>1.242</s:v>
      </s:c>
      <s:c r="M168" s="222" t="n">
        <s:v>372.36</s:v>
      </s:c>
      <s:c r="N168" s="222" t="n">
        <s:v>471.78</s:v>
      </s:c>
      <s:c r="O168" s="222" t="n">
        <s:v>100.39</s:v>
      </s:c>
      <s:c r="P168" s="223" t="inlineStr">
        <s:is>
          <s:t>2,30,740</s:t>
        </s:is>
      </s:c>
      <s:c r="Q168" s="224" t="inlineStr">
        <s:is>
          <s:t>2</s:t>
        </s:is>
      </s:c>
      <s:c r="R168" s="224" t="inlineStr">
        <s:is>
          <s:t>30,740</s:t>
        </s:is>
      </s:c>
      <s:c r="S168" s="224" t="n">
        <s:v>0.04187222222222223</s:v>
      </s:c>
      <s:c r="T168" s="225" t="n">
        <s:v>2397.53217460528</s:v>
      </s:c>
      <s:c r="U168" s="226" t="n">
        <s:v>-0.9662316963841433</s:v>
      </s:c>
      <s:c r="V168" s="220" t="n">
        <s:v>19.2</s:v>
      </s:c>
      <s:c r="W168" s="221" t="n">
        <s:v>1.088</s:v>
      </s:c>
      <s:c r="X168" s="221" t="n">
        <s:v>1.08</s:v>
      </s:c>
      <s:c r="Y168" s="222" t="n">
        <s:v>486.56</s:v>
      </s:c>
      <s:c r="Z168" s="222" t="n">
        <s:v>491.57</s:v>
      </s:c>
      <s:c r="AA168" s="227" t="n">
        <s:v>5.022</s:v>
      </s:c>
      <s:c r="AB168" s="228" t="inlineStr">
        <s:is>
          <s:t>11,23,510</s:t>
        </s:is>
      </s:c>
      <s:c r="AC168" s="224" t="inlineStr">
        <s:is>
          <s:t>11</s:t>
        </s:is>
      </s:c>
      <s:c r="AD168" s="224" t="inlineStr">
        <s:is>
          <s:t>23,510</s:t>
        </s:is>
      </s:c>
      <s:c r="AE168" s="224" t="n">
        <s:v>0.1898638888888889</s:v>
      </s:c>
      <s:c r="AF168" s="225" t="n">
        <s:v>26.45052742461705</s:v>
      </s:c>
      <s:c r="AG168" s="229" t="n">
        <s:v>-0.2389486260455861</s:v>
      </s:c>
      <s:c r="AH168" s="220" t="n">
        <s:v>19.2</s:v>
      </s:c>
      <s:c r="AI168" s="221" t="n">
        <s:v>1.09</s:v>
      </s:c>
      <s:c r="AJ168" s="221" t="n">
        <s:v>1.079</s:v>
      </s:c>
      <s:c r="AK168" s="222" t="n">
        <s:v>491.57</s:v>
      </s:c>
      <s:c r="AL168" s="222" t="n">
        <s:v>493.56</s:v>
      </s:c>
      <s:c r="AM168" s="230" t="n">
        <s:v>2.007</s:v>
      </s:c>
      <s:c r="AN168" s="223" t="inlineStr">
        <s:is>
          <s:t>7,22,510</s:t>
        </s:is>
      </s:c>
      <s:c r="AO168" s="224" t="inlineStr">
        <s:is>
          <s:t>7,</s:t>
        </s:is>
      </s:c>
      <s:c r="AP168" s="224" t="inlineStr">
        <s:is>
          <s:t>22,510</s:t>
        </s:is>
      </s:c>
      <s:c r="AQ168" s="224" t="n">
        <s:v>0.1229194444444444</s:v>
      </s:c>
      <s:c r="AR168" s="225" t="n">
        <s:v>16.32776660414454</s:v>
      </s:c>
      <s:c r="AS168" s="229" t="n">
        <s:v>-0.8470353761829108</s:v>
      </s:c>
      <s:c r="AT168" s="231" t="inlineStr">
        <s:is>
          <s:t>CONFORME</s:t>
        </s:is>
      </s:c>
      <s:c r="AU168" s="232">
        <s:f>B168=C168</s:f>
        <s:v/>
      </s:c>
      <s:c r="AV168" s="233">
        <s:f>MID(G168,1,2)</s:f>
        <s:v/>
      </s:c>
      <s:c r="AW168" s="233">
        <s:f>LEN(G168)</s:f>
        <s:v/>
      </s:c>
      <s:c r="AX168" s="233" t="inlineStr">
        <s:is>
          <s:t>OI-0923-2025</s:t>
        </s:is>
      </s:c>
      <s:c r="AY168" s="233">
        <s:f>N168&lt;Y168</s:f>
        <s:v/>
      </s:c>
      <s:c r="AZ168" s="233">
        <s:f>Z168&lt;=AK168</s:f>
        <s:v/>
      </s:c>
      <s:c r="BA168" s="233">
        <s:f>L168&lt;K168</s:f>
        <s:v/>
      </s:c>
      <s:c r="BB168" s="233">
        <s:f>W168&gt;=X168</s:f>
        <s:v/>
      </s:c>
      <s:c r="BC168" s="233">
        <s:f>AI168&gt;=AJ168</s:f>
        <s:v/>
      </s:c>
      <s:c r="BD168" s="233">
        <s:f>IF(I168&gt;=1,"Qcorrecto",IF(AND(BE168="aceptable",BF168="aceptable",BG168="aceptable"),"Qcorrecto","Qincorrecto"))</s:f>
        <s:v/>
      </s:c>
      <s:c r="BE168" s="232">
        <s:f>IF(AR168&lt;$AH$6,"error",IF(AR168&gt;$AH$6*1.1,"error","aceptable"))</s:f>
        <s:v/>
      </s:c>
      <s:c r="BF168" s="232">
        <s:f>IF(AF168&lt;$V$6,"error",IF(AF168&gt;$V$6*1.1,"error","aceptable"))</s:f>
        <s:v/>
      </s:c>
      <s:c r="BG168" s="232">
        <s:f>IF(T168&lt;$J$6*0.9,"error",IF(T168&gt;$J$6,"error","aceptable"))</s:f>
        <s:v/>
      </s:c>
      <s:c r="BH168" s="234">
        <s:f>(IF(ABS(U168)&lt;1,"CONFORME",IF(ABS(AG168)&lt;1,"CONFORME",IF(ABS(AS168)&lt;2.5,"CONFORME","NO CONFORME"))))</s:f>
        <s:v/>
      </s:c>
      <s:c r="BI168" s="235">
        <s:f>(IF(ABS(U168)&gt;2.044,"NO CONFORME",IF(ABS(AG168)&gt;2.044,"NO CONFORME",IF(ABS(AS168)&gt;5.044,"NO CONFORME","CONFORME"))))</s:f>
        <s:v/>
      </s:c>
      <s:c r="BJ168" s="233">
        <s:f>SIGN(U168)</s:f>
        <s:v/>
      </s:c>
      <s:c r="BK168" s="233">
        <s:f>SIGN(AG168)</s:f>
        <s:v/>
      </s:c>
      <s:c r="BL168" s="233">
        <s:f>SIGN(AS168)</s:f>
        <s:v/>
      </s:c>
      <s:c r="BM168" s="233">
        <s:f>CONCATENATE(BJ168,BK168,BL168)</s:f>
        <s:v/>
      </s:c>
      <s:c r="BN168" s="233">
        <s:f>IF(BM168="111","SI","SD")</s:f>
        <s:v/>
      </s:c>
      <s:c r="BO168" s="233">
        <s:f>IF(BM168="-1-1-1","SI","SD")</s:f>
        <s:v/>
      </s:c>
      <s:c r="BP168" s="233">
        <s:f>OR(BN168="SI",BO168="SI")</s:f>
        <s:v/>
      </s:c>
      <s:c r="BQ168" s="233">
        <s:f>IF(BP168=FALSE,"SIGDIFERENTES","SIGIGUALES")</s:f>
        <s:v/>
      </s:c>
      <s:c r="BR168" s="236">
        <s:f>IF(BI168="NO CONFORME","NO CONFORME",IF(BH168="CONFORME","CONFORME","NO CONFORME"))</s:f>
        <s:v/>
      </s:c>
      <s:c r="BS168" s="233">
        <s:f>F168</s:f>
        <s:v/>
      </s:c>
      <s:c r="BT168" s="237">
        <s:f>G168</s:f>
        <s:v/>
      </s:c>
      <s:c r="BU168" s="233">
        <s:f>"20"&amp;+MID(G168,3,2)</s:f>
        <s:v/>
      </s:c>
      <s:c r="BV168" s="238">
        <s:f>C168</s:f>
        <s:v/>
      </s:c>
      <s:c r="BW168" s="233">
        <s:f>AT168</s:f>
        <s:v/>
      </s:c>
      <s:c r="BX168" s="238">
        <s:f>B168</s:f>
        <s:v/>
      </s:c>
      <s:c r="BY168" s="239">
        <s:f>H168</s:f>
        <s:v/>
      </s:c>
      <s:c r="BZ168" s="233">
        <s:f>IF(I168=0,"CONFORME","NO CONFORME")</s:f>
        <s:v/>
      </s:c>
      <s:c r="CA168" s="238">
        <s:f>C168</s:f>
        <s:v/>
      </s:c>
      <s:c r="CB168" s="240">
        <s:f>AH168</s:f>
        <s:v/>
      </s:c>
      <s:c r="CC168" s="241">
        <s:f>AR168</s:f>
        <s:v/>
      </s:c>
      <s:c r="CD168" s="240">
        <s:f>AI168</s:f>
        <s:v/>
      </s:c>
      <s:c r="CE168" s="240">
        <s:f>AJ168</s:f>
        <s:v/>
      </s:c>
      <s:c r="CF168" s="240">
        <s:f>AS168</s:f>
        <s:v/>
      </s:c>
      <s:c r="CG168" s="240">
        <s:f>V168</s:f>
        <s:v/>
      </s:c>
      <s:c r="CH168" s="241">
        <s:f>AF168</s:f>
        <s:v/>
      </s:c>
      <s:c r="CI168" s="240">
        <s:f>W168</s:f>
        <s:v/>
      </s:c>
      <s:c r="CJ168" s="240">
        <s:f>X168</s:f>
        <s:v/>
      </s:c>
      <s:c r="CK168" s="240">
        <s:f>AG168</s:f>
        <s:v/>
      </s:c>
      <s:c r="CL168" s="240">
        <s:f>J168</s:f>
        <s:v/>
      </s:c>
      <s:c r="CM168" s="241">
        <s:f>T168</s:f>
        <s:v/>
      </s:c>
      <s:c r="CN168" s="240">
        <s:f>K168</s:f>
        <s:v/>
      </s:c>
      <s:c r="CO168" s="240">
        <s:f>L168</s:f>
        <s:v/>
      </s:c>
      <s:c r="CP168" s="242">
        <s:f>U168</s:f>
        <s:v/>
      </s:c>
      <s:c r="CQ168" s="233">
        <s:f>AT168</s:f>
        <s:v/>
      </s:c>
    </s:row>
    <s:row r="169">
      <s:c r="A169" s="211" t="n">
        <s:v>69</s:v>
      </s:c>
      <s:c r="B169" s="212" t="n">
        <s:v>45901</s:v>
      </s:c>
      <s:c r="C169" s="213" t="n">
        <s:v>45901</s:v>
      </s:c>
      <s:c r="D169" s="214" t="n">
        <s:v>3</s:v>
      </s:c>
      <s:c r="E169" s="215" t="n">
        <s:v>13</s:v>
      </s:c>
      <s:c r="F169" s="216" t="inlineStr">
        <s:is>
          <s:t>VI-236644-2025</s:t>
        </s:is>
      </s:c>
      <s:c r="G169" s="217" t="inlineStr">
        <s:is>
          <s:t>QA25418241</s:t>
        </s:is>
      </s:c>
      <s:c r="H169" s="218" t="n">
        <s:v>16</s:v>
      </s:c>
      <s:c r="I169" s="219" t="n">
        <s:v>0</s:v>
      </s:c>
      <s:c r="J169" s="220" t="n">
        <s:v>19.4</s:v>
      </s:c>
      <s:c r="K169" s="221" t="n">
        <s:v>7.504</s:v>
      </s:c>
      <s:c r="L169" s="221" t="n">
        <s:v>1.242</s:v>
      </s:c>
      <s:c r="M169" s="222" t="n">
        <s:v>516.95</s:v>
      </s:c>
      <s:c r="N169" s="222" t="n">
        <s:v>617.91</s:v>
      </s:c>
      <s:c r="O169" s="222" t="n">
        <s:v>100.39</s:v>
      </s:c>
      <s:c r="P169" s="223" t="inlineStr">
        <s:is>
          <s:t>2,30,740</s:t>
        </s:is>
      </s:c>
      <s:c r="Q169" s="224" t="inlineStr">
        <s:is>
          <s:t>2</s:t>
        </s:is>
      </s:c>
      <s:c r="R169" s="224" t="inlineStr">
        <s:is>
          <s:t>30,740</s:t>
        </s:is>
      </s:c>
      <s:c r="S169" s="224" t="n">
        <s:v>0.04187222222222223</s:v>
      </s:c>
      <s:c r="T169" s="225" t="n">
        <s:v>2397.53217460528</s:v>
      </s:c>
      <s:c r="U169" s="226" t="n">
        <s:v>0.5677856360194463</s:v>
      </s:c>
      <s:c r="V169" s="220" t="n">
        <s:v>19.2</s:v>
      </s:c>
      <s:c r="W169" s="221" t="n">
        <s:v>1.088</s:v>
      </s:c>
      <s:c r="X169" s="221" t="n">
        <s:v>1.08</s:v>
      </s:c>
      <s:c r="Y169" s="222" t="n">
        <s:v>632.92</s:v>
      </s:c>
      <s:c r="Z169" s="222" t="n">
        <s:v>637.96</s:v>
      </s:c>
      <s:c r="AA169" s="227" t="n">
        <s:v>5.022</s:v>
      </s:c>
      <s:c r="AB169" s="228" t="inlineStr">
        <s:is>
          <s:t>11,23,510</s:t>
        </s:is>
      </s:c>
      <s:c r="AC169" s="224" t="inlineStr">
        <s:is>
          <s:t>11</s:t>
        </s:is>
      </s:c>
      <s:c r="AD169" s="224" t="inlineStr">
        <s:is>
          <s:t>23,510</s:t>
        </s:is>
      </s:c>
      <s:c r="AE169" s="224" t="n">
        <s:v>0.1898638888888889</s:v>
      </s:c>
      <s:c r="AF169" s="225" t="n">
        <s:v>26.45052742461705</s:v>
      </s:c>
      <s:c r="AG169" s="229" t="n">
        <s:v>0.3584229390696349</s:v>
      </s:c>
      <s:c r="AH169" s="220" t="n">
        <s:v>19.2</s:v>
      </s:c>
      <s:c r="AI169" s="221" t="n">
        <s:v>1.09</s:v>
      </s:c>
      <s:c r="AJ169" s="221" t="n">
        <s:v>1.079</s:v>
      </s:c>
      <s:c r="AK169" s="222" t="n">
        <s:v>637.96</s:v>
      </s:c>
      <s:c r="AL169" s="222" t="n">
        <s:v>639.98</s:v>
      </s:c>
      <s:c r="AM169" s="230" t="n">
        <s:v>2.007</s:v>
      </s:c>
      <s:c r="AN169" s="223" t="inlineStr">
        <s:is>
          <s:t>7,22,510</s:t>
        </s:is>
      </s:c>
      <s:c r="AO169" s="224" t="inlineStr">
        <s:is>
          <s:t>7,</s:t>
        </s:is>
      </s:c>
      <s:c r="AP169" s="224" t="inlineStr">
        <s:is>
          <s:t>22,510</s:t>
        </s:is>
      </s:c>
      <s:c r="AQ169" s="224" t="n">
        <s:v>0.1229194444444444</s:v>
      </s:c>
      <s:c r="AR169" s="225" t="n">
        <s:v>16.32776660414454</s:v>
      </s:c>
      <s:c r="AS169" s="229" t="n">
        <s:v>0.6477329347275382</s:v>
      </s:c>
      <s:c r="AT169" s="231" t="inlineStr">
        <s:is>
          <s:t>CONFORME</s:t>
        </s:is>
      </s:c>
      <s:c r="AU169" s="232">
        <s:f>B169=C169</s:f>
        <s:v/>
      </s:c>
      <s:c r="AV169" s="233">
        <s:f>MID(G169,1,2)</s:f>
        <s:v/>
      </s:c>
      <s:c r="AW169" s="233">
        <s:f>LEN(G169)</s:f>
        <s:v/>
      </s:c>
      <s:c r="AX169" s="233" t="inlineStr">
        <s:is>
          <s:t>OI-0923-2025</s:t>
        </s:is>
      </s:c>
      <s:c r="AY169" s="233">
        <s:f>N169&lt;Y169</s:f>
        <s:v/>
      </s:c>
      <s:c r="AZ169" s="233">
        <s:f>Z169&lt;=AK169</s:f>
        <s:v/>
      </s:c>
      <s:c r="BA169" s="233">
        <s:f>L169&lt;K169</s:f>
        <s:v/>
      </s:c>
      <s:c r="BB169" s="233">
        <s:f>W169&gt;=X169</s:f>
        <s:v/>
      </s:c>
      <s:c r="BC169" s="233">
        <s:f>AI169&gt;=AJ169</s:f>
        <s:v/>
      </s:c>
      <s:c r="BD169" s="233">
        <s:f>IF(I169&gt;=1,"Qcorrecto",IF(AND(BE169="aceptable",BF169="aceptable",BG169="aceptable"),"Qcorrecto","Qincorrecto"))</s:f>
        <s:v/>
      </s:c>
      <s:c r="BE169" s="232">
        <s:f>IF(AR169&lt;$AH$6,"error",IF(AR169&gt;$AH$6*1.1,"error","aceptable"))</s:f>
        <s:v/>
      </s:c>
      <s:c r="BF169" s="232">
        <s:f>IF(AF169&lt;$V$6,"error",IF(AF169&gt;$V$6*1.1,"error","aceptable"))</s:f>
        <s:v/>
      </s:c>
      <s:c r="BG169" s="232">
        <s:f>IF(T169&lt;$J$6*0.9,"error",IF(T169&gt;$J$6,"error","aceptable"))</s:f>
        <s:v/>
      </s:c>
      <s:c r="BH169" s="234">
        <s:f>(IF(ABS(U169)&lt;1,"CONFORME",IF(ABS(AG169)&lt;1,"CONFORME",IF(ABS(AS169)&lt;2.5,"CONFORME","NO CONFORME"))))</s:f>
        <s:v/>
      </s:c>
      <s:c r="BI169" s="235">
        <s:f>(IF(ABS(U169)&gt;2.044,"NO CONFORME",IF(ABS(AG169)&gt;2.044,"NO CONFORME",IF(ABS(AS169)&gt;5.044,"NO CONFORME","CONFORME"))))</s:f>
        <s:v/>
      </s:c>
      <s:c r="BJ169" s="233">
        <s:f>SIGN(U169)</s:f>
        <s:v/>
      </s:c>
      <s:c r="BK169" s="233">
        <s:f>SIGN(AG169)</s:f>
        <s:v/>
      </s:c>
      <s:c r="BL169" s="233">
        <s:f>SIGN(AS169)</s:f>
        <s:v/>
      </s:c>
      <s:c r="BM169" s="233">
        <s:f>CONCATENATE(BJ169,BK169,BL169)</s:f>
        <s:v/>
      </s:c>
      <s:c r="BN169" s="233">
        <s:f>IF(BM169="111","SI","SD")</s:f>
        <s:v/>
      </s:c>
      <s:c r="BO169" s="233">
        <s:f>IF(BM169="-1-1-1","SI","SD")</s:f>
        <s:v/>
      </s:c>
      <s:c r="BP169" s="233">
        <s:f>OR(BN169="SI",BO169="SI")</s:f>
        <s:v/>
      </s:c>
      <s:c r="BQ169" s="233">
        <s:f>IF(BP169=FALSE,"SIGDIFERENTES","SIGIGUALES")</s:f>
        <s:v/>
      </s:c>
      <s:c r="BR169" s="236">
        <s:f>IF(BI169="NO CONFORME","NO CONFORME",IF(BH169="CONFORME","CONFORME","NO CONFORME"))</s:f>
        <s:v/>
      </s:c>
      <s:c r="BS169" s="233">
        <s:f>F169</s:f>
        <s:v/>
      </s:c>
      <s:c r="BT169" s="237">
        <s:f>G169</s:f>
        <s:v/>
      </s:c>
      <s:c r="BU169" s="233">
        <s:f>"20"&amp;+MID(G169,3,2)</s:f>
        <s:v/>
      </s:c>
      <s:c r="BV169" s="238">
        <s:f>C169</s:f>
        <s:v/>
      </s:c>
      <s:c r="BW169" s="233">
        <s:f>AT169</s:f>
        <s:v/>
      </s:c>
      <s:c r="BX169" s="238">
        <s:f>B169</s:f>
        <s:v/>
      </s:c>
      <s:c r="BY169" s="239">
        <s:f>H169</s:f>
        <s:v/>
      </s:c>
      <s:c r="BZ169" s="233">
        <s:f>IF(I169=0,"CONFORME","NO CONFORME")</s:f>
        <s:v/>
      </s:c>
      <s:c r="CA169" s="238">
        <s:f>C169</s:f>
        <s:v/>
      </s:c>
      <s:c r="CB169" s="240">
        <s:f>AH169</s:f>
        <s:v/>
      </s:c>
      <s:c r="CC169" s="241">
        <s:f>AR169</s:f>
        <s:v/>
      </s:c>
      <s:c r="CD169" s="240">
        <s:f>AI169</s:f>
        <s:v/>
      </s:c>
      <s:c r="CE169" s="240">
        <s:f>AJ169</s:f>
        <s:v/>
      </s:c>
      <s:c r="CF169" s="240">
        <s:f>AS169</s:f>
        <s:v/>
      </s:c>
      <s:c r="CG169" s="240">
        <s:f>V169</s:f>
        <s:v/>
      </s:c>
      <s:c r="CH169" s="241">
        <s:f>AF169</s:f>
        <s:v/>
      </s:c>
      <s:c r="CI169" s="240">
        <s:f>W169</s:f>
        <s:v/>
      </s:c>
      <s:c r="CJ169" s="240">
        <s:f>X169</s:f>
        <s:v/>
      </s:c>
      <s:c r="CK169" s="240">
        <s:f>AG169</s:f>
        <s:v/>
      </s:c>
      <s:c r="CL169" s="240">
        <s:f>J169</s:f>
        <s:v/>
      </s:c>
      <s:c r="CM169" s="241">
        <s:f>T169</s:f>
        <s:v/>
      </s:c>
      <s:c r="CN169" s="240">
        <s:f>K169</s:f>
        <s:v/>
      </s:c>
      <s:c r="CO169" s="240">
        <s:f>L169</s:f>
        <s:v/>
      </s:c>
      <s:c r="CP169" s="242">
        <s:f>U169</s:f>
        <s:v/>
      </s:c>
      <s:c r="CQ169" s="233">
        <s:f>AT169</s:f>
        <s:v/>
      </s:c>
    </s:row>
    <s:row r="170">
      <s:c r="A170" s="211" t="n">
        <s:v>70</s:v>
      </s:c>
      <s:c r="B170" s="212" t="n">
        <s:v>45901</s:v>
      </s:c>
      <s:c r="C170" s="213" t="n">
        <s:v>45901</s:v>
      </s:c>
      <s:c r="D170" s="214" t="n">
        <s:v>3</s:v>
      </s:c>
      <s:c r="E170" s="215" t="n">
        <s:v>13</s:v>
      </s:c>
      <s:c r="F170" s="216" t="inlineStr">
        <s:is>
          <s:t>VI-236645-2025</s:t>
        </s:is>
      </s:c>
      <s:c r="G170" s="217" t="inlineStr">
        <s:is>
          <s:t>QA25418519</s:t>
        </s:is>
      </s:c>
      <s:c r="H170" s="218" t="n">
        <s:v>16</s:v>
      </s:c>
      <s:c r="I170" s="219" t="n">
        <s:v>0</s:v>
      </s:c>
      <s:c r="J170" s="220" t="n">
        <s:v>19.4</s:v>
      </s:c>
      <s:c r="K170" s="221" t="n">
        <s:v>7.504</s:v>
      </s:c>
      <s:c r="L170" s="221" t="n">
        <s:v>1.242</s:v>
      </s:c>
      <s:c r="M170" s="222" t="n">
        <s:v>377.89</s:v>
      </s:c>
      <s:c r="N170" s="222" t="n">
        <s:v>477.66</s:v>
      </s:c>
      <s:c r="O170" s="222" t="n">
        <s:v>100.39</s:v>
      </s:c>
      <s:c r="P170" s="223" t="inlineStr">
        <s:is>
          <s:t>2,30,740</s:t>
        </s:is>
      </s:c>
      <s:c r="Q170" s="224" t="inlineStr">
        <s:is>
          <s:t>2</s:t>
        </s:is>
      </s:c>
      <s:c r="R170" s="224" t="inlineStr">
        <s:is>
          <s:t>30,740</s:t>
        </s:is>
      </s:c>
      <s:c r="S170" s="224" t="n">
        <s:v>0.04187222222222223</s:v>
      </s:c>
      <s:c r="T170" s="225" t="n">
        <s:v>2397.53217460528</s:v>
      </s:c>
      <s:c r="U170" s="226" t="n">
        <s:v>-0.6175913935650582</s:v>
      </s:c>
      <s:c r="V170" s="220" t="n">
        <s:v>19.2</s:v>
      </s:c>
      <s:c r="W170" s="221" t="n">
        <s:v>1.088</s:v>
      </s:c>
      <s:c r="X170" s="221" t="n">
        <s:v>1.08</s:v>
      </s:c>
      <s:c r="Y170" s="222" t="n">
        <s:v>492.55</s:v>
      </s:c>
      <s:c r="Z170" s="222" t="n">
        <s:v>497.54</s:v>
      </s:c>
      <s:c r="AA170" s="227" t="n">
        <s:v>5.022</s:v>
      </s:c>
      <s:c r="AB170" s="228" t="inlineStr">
        <s:is>
          <s:t>11,23,510</s:t>
        </s:is>
      </s:c>
      <s:c r="AC170" s="224" t="inlineStr">
        <s:is>
          <s:t>11</s:t>
        </s:is>
      </s:c>
      <s:c r="AD170" s="224" t="inlineStr">
        <s:is>
          <s:t>23,510</s:t>
        </s:is>
      </s:c>
      <s:c r="AE170" s="224" t="n">
        <s:v>0.1898638888888889</s:v>
      </s:c>
      <s:c r="AF170" s="225" t="n">
        <s:v>26.45052742461705</s:v>
      </s:c>
      <s:c r="AG170" s="229" t="n">
        <s:v>-0.637196336120891</s:v>
      </s:c>
      <s:c r="AH170" s="220" t="n">
        <s:v>19.2</s:v>
      </s:c>
      <s:c r="AI170" s="221" t="n">
        <s:v>1.09</s:v>
      </s:c>
      <s:c r="AJ170" s="221" t="n">
        <s:v>1.079</s:v>
      </s:c>
      <s:c r="AK170" s="222" t="n">
        <s:v>497.54</s:v>
      </s:c>
      <s:c r="AL170" s="222" t="n">
        <s:v>499.49</s:v>
      </s:c>
      <s:c r="AM170" s="230" t="n">
        <s:v>2.007</s:v>
      </s:c>
      <s:c r="AN170" s="223" t="inlineStr">
        <s:is>
          <s:t>7,22,510</s:t>
        </s:is>
      </s:c>
      <s:c r="AO170" s="224" t="inlineStr">
        <s:is>
          <s:t>7,</s:t>
        </s:is>
      </s:c>
      <s:c r="AP170" s="224" t="inlineStr">
        <s:is>
          <s:t>22,510</s:t>
        </s:is>
      </s:c>
      <s:c r="AQ170" s="224" t="n">
        <s:v>0.1229194444444444</s:v>
      </s:c>
      <s:c r="AR170" s="225" t="n">
        <s:v>16.32776660414454</s:v>
      </s:c>
      <s:c r="AS170" s="229" t="n">
        <s:v>-2.840059790733009</s:v>
      </s:c>
      <s:c r="AT170" s="231" t="inlineStr">
        <s:is>
          <s:t>CONFORME</s:t>
        </s:is>
      </s:c>
      <s:c r="AU170" s="232">
        <s:f>B170=C170</s:f>
        <s:v/>
      </s:c>
      <s:c r="AV170" s="233">
        <s:f>MID(G170,1,2)</s:f>
        <s:v/>
      </s:c>
      <s:c r="AW170" s="233">
        <s:f>LEN(G170)</s:f>
        <s:v/>
      </s:c>
      <s:c r="AX170" s="233" t="inlineStr">
        <s:is>
          <s:t>OI-0923-2025</s:t>
        </s:is>
      </s:c>
      <s:c r="AY170" s="233">
        <s:f>N170&lt;Y170</s:f>
        <s:v/>
      </s:c>
      <s:c r="AZ170" s="233">
        <s:f>Z170&lt;=AK170</s:f>
        <s:v/>
      </s:c>
      <s:c r="BA170" s="233">
        <s:f>L170&lt;K170</s:f>
        <s:v/>
      </s:c>
      <s:c r="BB170" s="233">
        <s:f>W170&gt;=X170</s:f>
        <s:v/>
      </s:c>
      <s:c r="BC170" s="233">
        <s:f>AI170&gt;=AJ170</s:f>
        <s:v/>
      </s:c>
      <s:c r="BD170" s="233">
        <s:f>IF(I170&gt;=1,"Qcorrecto",IF(AND(BE170="aceptable",BF170="aceptable",BG170="aceptable"),"Qcorrecto","Qincorrecto"))</s:f>
        <s:v/>
      </s:c>
      <s:c r="BE170" s="232">
        <s:f>IF(AR170&lt;$AH$6,"error",IF(AR170&gt;$AH$6*1.1,"error","aceptable"))</s:f>
        <s:v/>
      </s:c>
      <s:c r="BF170" s="232">
        <s:f>IF(AF170&lt;$V$6,"error",IF(AF170&gt;$V$6*1.1,"error","aceptable"))</s:f>
        <s:v/>
      </s:c>
      <s:c r="BG170" s="232">
        <s:f>IF(T170&lt;$J$6*0.9,"error",IF(T170&gt;$J$6,"error","aceptable"))</s:f>
        <s:v/>
      </s:c>
      <s:c r="BH170" s="234">
        <s:f>(IF(ABS(U170)&lt;1,"CONFORME",IF(ABS(AG170)&lt;1,"CONFORME",IF(ABS(AS170)&lt;2.5,"CONFORME","NO CONFORME"))))</s:f>
        <s:v/>
      </s:c>
      <s:c r="BI170" s="235">
        <s:f>(IF(ABS(U170)&gt;2.044,"NO CONFORME",IF(ABS(AG170)&gt;2.044,"NO CONFORME",IF(ABS(AS170)&gt;5.044,"NO CONFORME","CONFORME"))))</s:f>
        <s:v/>
      </s:c>
      <s:c r="BJ170" s="233">
        <s:f>SIGN(U170)</s:f>
        <s:v/>
      </s:c>
      <s:c r="BK170" s="233">
        <s:f>SIGN(AG170)</s:f>
        <s:v/>
      </s:c>
      <s:c r="BL170" s="233">
        <s:f>SIGN(AS170)</s:f>
        <s:v/>
      </s:c>
      <s:c r="BM170" s="233">
        <s:f>CONCATENATE(BJ170,BK170,BL170)</s:f>
        <s:v/>
      </s:c>
      <s:c r="BN170" s="233">
        <s:f>IF(BM170="111","SI","SD")</s:f>
        <s:v/>
      </s:c>
      <s:c r="BO170" s="233">
        <s:f>IF(BM170="-1-1-1","SI","SD")</s:f>
        <s:v/>
      </s:c>
      <s:c r="BP170" s="233">
        <s:f>OR(BN170="SI",BO170="SI")</s:f>
        <s:v/>
      </s:c>
      <s:c r="BQ170" s="233">
        <s:f>IF(BP170=FALSE,"SIGDIFERENTES","SIGIGUALES")</s:f>
        <s:v/>
      </s:c>
      <s:c r="BR170" s="236">
        <s:f>IF(BI170="NO CONFORME","NO CONFORME",IF(BH170="CONFORME","CONFORME","NO CONFORME"))</s:f>
        <s:v/>
      </s:c>
      <s:c r="BS170" s="233">
        <s:f>F170</s:f>
        <s:v/>
      </s:c>
      <s:c r="BT170" s="237">
        <s:f>G170</s:f>
        <s:v/>
      </s:c>
      <s:c r="BU170" s="233">
        <s:f>"20"&amp;+MID(G170,3,2)</s:f>
        <s:v/>
      </s:c>
      <s:c r="BV170" s="238">
        <s:f>C170</s:f>
        <s:v/>
      </s:c>
      <s:c r="BW170" s="233">
        <s:f>AT170</s:f>
        <s:v/>
      </s:c>
      <s:c r="BX170" s="238">
        <s:f>B170</s:f>
        <s:v/>
      </s:c>
      <s:c r="BY170" s="239">
        <s:f>H170</s:f>
        <s:v/>
      </s:c>
      <s:c r="BZ170" s="233">
        <s:f>IF(I170=0,"CONFORME","NO CONFORME")</s:f>
        <s:v/>
      </s:c>
      <s:c r="CA170" s="238">
        <s:f>C170</s:f>
        <s:v/>
      </s:c>
      <s:c r="CB170" s="240">
        <s:f>AH170</s:f>
        <s:v/>
      </s:c>
      <s:c r="CC170" s="241">
        <s:f>AR170</s:f>
        <s:v/>
      </s:c>
      <s:c r="CD170" s="240">
        <s:f>AI170</s:f>
        <s:v/>
      </s:c>
      <s:c r="CE170" s="240">
        <s:f>AJ170</s:f>
        <s:v/>
      </s:c>
      <s:c r="CF170" s="240">
        <s:f>AS170</s:f>
        <s:v/>
      </s:c>
      <s:c r="CG170" s="240">
        <s:f>V170</s:f>
        <s:v/>
      </s:c>
      <s:c r="CH170" s="241">
        <s:f>AF170</s:f>
        <s:v/>
      </s:c>
      <s:c r="CI170" s="240">
        <s:f>W170</s:f>
        <s:v/>
      </s:c>
      <s:c r="CJ170" s="240">
        <s:f>X170</s:f>
        <s:v/>
      </s:c>
      <s:c r="CK170" s="240">
        <s:f>AG170</s:f>
        <s:v/>
      </s:c>
      <s:c r="CL170" s="240">
        <s:f>J170</s:f>
        <s:v/>
      </s:c>
      <s:c r="CM170" s="241">
        <s:f>T170</s:f>
        <s:v/>
      </s:c>
      <s:c r="CN170" s="240">
        <s:f>K170</s:f>
        <s:v/>
      </s:c>
      <s:c r="CO170" s="240">
        <s:f>L170</s:f>
        <s:v/>
      </s:c>
      <s:c r="CP170" s="242">
        <s:f>U170</s:f>
        <s:v/>
      </s:c>
      <s:c r="CQ170" s="233">
        <s:f>AT170</s:f>
        <s:v/>
      </s:c>
    </s:row>
    <s:row r="171">
      <s:c r="A171" s="211" t="n">
        <s:v>71</s:v>
      </s:c>
      <s:c r="B171" s="212" t="n">
        <s:v>45901</s:v>
      </s:c>
      <s:c r="C171" s="213" t="n">
        <s:v>45901</s:v>
      </s:c>
      <s:c r="D171" s="214" t="n">
        <s:v>3</s:v>
      </s:c>
      <s:c r="E171" s="215" t="n">
        <s:v>13</s:v>
      </s:c>
      <s:c r="F171" s="216" t="inlineStr">
        <s:is>
          <s:t>VI-236646-2025</s:t>
        </s:is>
      </s:c>
      <s:c r="G171" s="217" t="inlineStr">
        <s:is>
          <s:t>QA25418246</s:t>
        </s:is>
      </s:c>
      <s:c r="H171" s="218" t="n">
        <s:v>16</s:v>
      </s:c>
      <s:c r="I171" s="219" t="n">
        <s:v>0</s:v>
      </s:c>
      <s:c r="J171" s="220" t="n">
        <s:v>19.4</s:v>
      </s:c>
      <s:c r="K171" s="221" t="n">
        <s:v>7.504</s:v>
      </s:c>
      <s:c r="L171" s="221" t="n">
        <s:v>1.242</s:v>
      </s:c>
      <s:c r="M171" s="222" t="n">
        <s:v>382.72</s:v>
      </s:c>
      <s:c r="N171" s="222" t="n">
        <s:v>483.56</s:v>
      </s:c>
      <s:c r="O171" s="222" t="n">
        <s:v>100.39</s:v>
      </s:c>
      <s:c r="P171" s="223" t="inlineStr">
        <s:is>
          <s:t>2,30,740</s:t>
        </s:is>
      </s:c>
      <s:c r="Q171" s="224" t="inlineStr">
        <s:is>
          <s:t>2</s:t>
        </s:is>
      </s:c>
      <s:c r="R171" s="224" t="inlineStr">
        <s:is>
          <s:t>30,740</s:t>
        </s:is>
      </s:c>
      <s:c r="S171" s="224" t="n">
        <s:v>0.04187222222222223</s:v>
      </s:c>
      <s:c r="T171" s="225" t="n">
        <s:v>2397.53217460528</s:v>
      </s:c>
      <s:c r="U171" s="226" t="n">
        <s:v>0.4482518179101249</s:v>
      </s:c>
      <s:c r="V171" s="220" t="n">
        <s:v>19.2</s:v>
      </s:c>
      <s:c r="W171" s="221" t="n">
        <s:v>1.088</s:v>
      </s:c>
      <s:c r="X171" s="221" t="n">
        <s:v>1.08</s:v>
      </s:c>
      <s:c r="Y171" s="222" t="n">
        <s:v>498.54</s:v>
      </s:c>
      <s:c r="Z171" s="222" t="n">
        <s:v>503.65</s:v>
      </s:c>
      <s:c r="AA171" s="227" t="n">
        <s:v>5.022</s:v>
      </s:c>
      <s:c r="AB171" s="228" t="inlineStr">
        <s:is>
          <s:t>11,23,510</s:t>
        </s:is>
      </s:c>
      <s:c r="AC171" s="224" t="inlineStr">
        <s:is>
          <s:t>11</s:t>
        </s:is>
      </s:c>
      <s:c r="AD171" s="224" t="inlineStr">
        <s:is>
          <s:t>23,510</s:t>
        </s:is>
      </s:c>
      <s:c r="AE171" s="224" t="n">
        <s:v>0.1898638888888889</s:v>
      </s:c>
      <s:c r="AF171" s="225" t="n">
        <s:v>26.45052742461705</s:v>
      </s:c>
      <s:c r="AG171" s="229" t="n">
        <s:v>1.75228992433207</s:v>
      </s:c>
      <s:c r="AH171" s="220" t="n">
        <s:v>19.2</s:v>
      </s:c>
      <s:c r="AI171" s="221" t="n">
        <s:v>1.09</s:v>
      </s:c>
      <s:c r="AJ171" s="221" t="n">
        <s:v>1.079</s:v>
      </s:c>
      <s:c r="AK171" s="222" t="n">
        <s:v>503.65</s:v>
      </s:c>
      <s:c r="AL171" s="222" t="n">
        <s:v>505.67</s:v>
      </s:c>
      <s:c r="AM171" s="230" t="n">
        <s:v>2.007</s:v>
      </s:c>
      <s:c r="AN171" s="223" t="inlineStr">
        <s:is>
          <s:t>7,22,510</s:t>
        </s:is>
      </s:c>
      <s:c r="AO171" s="224" t="inlineStr">
        <s:is>
          <s:t>7,</s:t>
        </s:is>
      </s:c>
      <s:c r="AP171" s="224" t="inlineStr">
        <s:is>
          <s:t>22,510</s:t>
        </s:is>
      </s:c>
      <s:c r="AQ171" s="224" t="n">
        <s:v>0.1229194444444444</s:v>
      </s:c>
      <s:c r="AR171" s="225" t="n">
        <s:v>16.32776660414454</s:v>
      </s:c>
      <s:c r="AS171" s="229" t="n">
        <s:v>0.6477329347303704</s:v>
      </s:c>
      <s:c r="AT171" s="231" t="inlineStr">
        <s:is>
          <s:t>CONFORME</s:t>
        </s:is>
      </s:c>
      <s:c r="AU171" s="232">
        <s:f>B171=C171</s:f>
        <s:v/>
      </s:c>
      <s:c r="AV171" s="233">
        <s:f>MID(G171,1,2)</s:f>
        <s:v/>
      </s:c>
      <s:c r="AW171" s="233">
        <s:f>LEN(G171)</s:f>
        <s:v/>
      </s:c>
      <s:c r="AX171" s="233" t="inlineStr">
        <s:is>
          <s:t>OI-0923-2025</s:t>
        </s:is>
      </s:c>
      <s:c r="AY171" s="233">
        <s:f>N171&lt;Y171</s:f>
        <s:v/>
      </s:c>
      <s:c r="AZ171" s="233">
        <s:f>Z171&lt;=AK171</s:f>
        <s:v/>
      </s:c>
      <s:c r="BA171" s="233">
        <s:f>L171&lt;K171</s:f>
        <s:v/>
      </s:c>
      <s:c r="BB171" s="233">
        <s:f>W171&gt;=X171</s:f>
        <s:v/>
      </s:c>
      <s:c r="BC171" s="233">
        <s:f>AI171&gt;=AJ171</s:f>
        <s:v/>
      </s:c>
      <s:c r="BD171" s="233">
        <s:f>IF(I171&gt;=1,"Qcorrecto",IF(AND(BE171="aceptable",BF171="aceptable",BG171="aceptable"),"Qcorrecto","Qincorrecto"))</s:f>
        <s:v/>
      </s:c>
      <s:c r="BE171" s="232">
        <s:f>IF(AR171&lt;$AH$6,"error",IF(AR171&gt;$AH$6*1.1,"error","aceptable"))</s:f>
        <s:v/>
      </s:c>
      <s:c r="BF171" s="232">
        <s:f>IF(AF171&lt;$V$6,"error",IF(AF171&gt;$V$6*1.1,"error","aceptable"))</s:f>
        <s:v/>
      </s:c>
      <s:c r="BG171" s="232">
        <s:f>IF(T171&lt;$J$6*0.9,"error",IF(T171&gt;$J$6,"error","aceptable"))</s:f>
        <s:v/>
      </s:c>
      <s:c r="BH171" s="234">
        <s:f>(IF(ABS(U171)&lt;1,"CONFORME",IF(ABS(AG171)&lt;1,"CONFORME",IF(ABS(AS171)&lt;2.5,"CONFORME","NO CONFORME"))))</s:f>
        <s:v/>
      </s:c>
      <s:c r="BI171" s="235">
        <s:f>(IF(ABS(U171)&gt;2.044,"NO CONFORME",IF(ABS(AG171)&gt;2.044,"NO CONFORME",IF(ABS(AS171)&gt;5.044,"NO CONFORME","CONFORME"))))</s:f>
        <s:v/>
      </s:c>
      <s:c r="BJ171" s="233">
        <s:f>SIGN(U171)</s:f>
        <s:v/>
      </s:c>
      <s:c r="BK171" s="233">
        <s:f>SIGN(AG171)</s:f>
        <s:v/>
      </s:c>
      <s:c r="BL171" s="233">
        <s:f>SIGN(AS171)</s:f>
        <s:v/>
      </s:c>
      <s:c r="BM171" s="233">
        <s:f>CONCATENATE(BJ171,BK171,BL171)</s:f>
        <s:v/>
      </s:c>
      <s:c r="BN171" s="233">
        <s:f>IF(BM171="111","SI","SD")</s:f>
        <s:v/>
      </s:c>
      <s:c r="BO171" s="233">
        <s:f>IF(BM171="-1-1-1","SI","SD")</s:f>
        <s:v/>
      </s:c>
      <s:c r="BP171" s="233">
        <s:f>OR(BN171="SI",BO171="SI")</s:f>
        <s:v/>
      </s:c>
      <s:c r="BQ171" s="233">
        <s:f>IF(BP171=FALSE,"SIGDIFERENTES","SIGIGUALES")</s:f>
        <s:v/>
      </s:c>
      <s:c r="BR171" s="236">
        <s:f>IF(BI171="NO CONFORME","NO CONFORME",IF(BH171="CONFORME","CONFORME","NO CONFORME"))</s:f>
        <s:v/>
      </s:c>
      <s:c r="BS171" s="233">
        <s:f>F171</s:f>
        <s:v/>
      </s:c>
      <s:c r="BT171" s="237">
        <s:f>G171</s:f>
        <s:v/>
      </s:c>
      <s:c r="BU171" s="233">
        <s:f>"20"&amp;+MID(G171,3,2)</s:f>
        <s:v/>
      </s:c>
      <s:c r="BV171" s="238">
        <s:f>C171</s:f>
        <s:v/>
      </s:c>
      <s:c r="BW171" s="233">
        <s:f>AT171</s:f>
        <s:v/>
      </s:c>
      <s:c r="BX171" s="238">
        <s:f>B171</s:f>
        <s:v/>
      </s:c>
      <s:c r="BY171" s="239">
        <s:f>H171</s:f>
        <s:v/>
      </s:c>
      <s:c r="BZ171" s="233">
        <s:f>IF(I171=0,"CONFORME","NO CONFORME")</s:f>
        <s:v/>
      </s:c>
      <s:c r="CA171" s="238">
        <s:f>C171</s:f>
        <s:v/>
      </s:c>
      <s:c r="CB171" s="240">
        <s:f>AH171</s:f>
        <s:v/>
      </s:c>
      <s:c r="CC171" s="241">
        <s:f>AR171</s:f>
        <s:v/>
      </s:c>
      <s:c r="CD171" s="240">
        <s:f>AI171</s:f>
        <s:v/>
      </s:c>
      <s:c r="CE171" s="240">
        <s:f>AJ171</s:f>
        <s:v/>
      </s:c>
      <s:c r="CF171" s="240">
        <s:f>AS171</s:f>
        <s:v/>
      </s:c>
      <s:c r="CG171" s="240">
        <s:f>V171</s:f>
        <s:v/>
      </s:c>
      <s:c r="CH171" s="241">
        <s:f>AF171</s:f>
        <s:v/>
      </s:c>
      <s:c r="CI171" s="240">
        <s:f>W171</s:f>
        <s:v/>
      </s:c>
      <s:c r="CJ171" s="240">
        <s:f>X171</s:f>
        <s:v/>
      </s:c>
      <s:c r="CK171" s="240">
        <s:f>AG171</s:f>
        <s:v/>
      </s:c>
      <s:c r="CL171" s="240">
        <s:f>J171</s:f>
        <s:v/>
      </s:c>
      <s:c r="CM171" s="241">
        <s:f>T171</s:f>
        <s:v/>
      </s:c>
      <s:c r="CN171" s="240">
        <s:f>K171</s:f>
        <s:v/>
      </s:c>
      <s:c r="CO171" s="240">
        <s:f>L171</s:f>
        <s:v/>
      </s:c>
      <s:c r="CP171" s="242">
        <s:f>U171</s:f>
        <s:v/>
      </s:c>
      <s:c r="CQ171" s="233">
        <s:f>AT171</s:f>
        <s:v/>
      </s:c>
    </s:row>
    <s:row r="172">
      <s:c r="A172" s="211" t="n">
        <s:v>72</s:v>
      </s:c>
      <s:c r="B172" s="212" t="n">
        <s:v>45901</s:v>
      </s:c>
      <s:c r="C172" s="213" t="n">
        <s:v>45901</s:v>
      </s:c>
      <s:c r="D172" s="214" t="n">
        <s:v>3</s:v>
      </s:c>
      <s:c r="E172" s="215" t="n">
        <s:v>13</s:v>
      </s:c>
      <s:c r="F172" s="216" t="inlineStr">
        <s:is>
          <s:t>VI-236647-2025</s:t>
        </s:is>
      </s:c>
      <s:c r="G172" s="217" t="inlineStr">
        <s:is>
          <s:t>QA25418240</s:t>
        </s:is>
      </s:c>
      <s:c r="H172" s="218" t="n">
        <s:v>16</s:v>
      </s:c>
      <s:c r="I172" s="219" t="n">
        <s:v>0</s:v>
      </s:c>
      <s:c r="J172" s="220" t="n">
        <s:v>19.4</s:v>
      </s:c>
      <s:c r="K172" s="221" t="n">
        <s:v>7.504</s:v>
      </s:c>
      <s:c r="L172" s="221" t="n">
        <s:v>1.242</s:v>
      </s:c>
      <s:c r="M172" s="222" t="n">
        <s:v>379.56</s:v>
      </s:c>
      <s:c r="N172" s="222" t="n">
        <s:v>480.63</s:v>
      </s:c>
      <s:c r="O172" s="222" t="n">
        <s:v>100.39</s:v>
      </s:c>
      <s:c r="P172" s="223" t="inlineStr">
        <s:is>
          <s:t>2,30,740</s:t>
        </s:is>
      </s:c>
      <s:c r="Q172" s="224" t="inlineStr">
        <s:is>
          <s:t>2</s:t>
        </s:is>
      </s:c>
      <s:c r="R172" s="224" t="inlineStr">
        <s:is>
          <s:t>30,740</s:t>
        </s:is>
      </s:c>
      <s:c r="S172" s="224" t="n">
        <s:v>0.04187222222222223</s:v>
      </s:c>
      <s:c r="T172" s="225" t="n">
        <s:v>2397.53217460528</s:v>
      </s:c>
      <s:c r="U172" s="226" t="n">
        <s:v>0.6773583026197755</s:v>
      </s:c>
      <s:c r="V172" s="220" t="n">
        <s:v>19.2</s:v>
      </s:c>
      <s:c r="W172" s="221" t="n">
        <s:v>1.088</s:v>
      </s:c>
      <s:c r="X172" s="221" t="n">
        <s:v>1.08</s:v>
      </s:c>
      <s:c r="Y172" s="222" t="n">
        <s:v>495.63</s:v>
      </s:c>
      <s:c r="Z172" s="222" t="n">
        <s:v>500.73</s:v>
      </s:c>
      <s:c r="AA172" s="227" t="n">
        <s:v>5.022</s:v>
      </s:c>
      <s:c r="AB172" s="228" t="inlineStr">
        <s:is>
          <s:t>11,23,510</s:t>
        </s:is>
      </s:c>
      <s:c r="AC172" s="224" t="inlineStr">
        <s:is>
          <s:t>11</s:t>
        </s:is>
      </s:c>
      <s:c r="AD172" s="224" t="inlineStr">
        <s:is>
          <s:t>23,510</s:t>
        </s:is>
      </s:c>
      <s:c r="AE172" s="224" t="n">
        <s:v>0.1898638888888889</s:v>
      </s:c>
      <s:c r="AF172" s="225" t="n">
        <s:v>26.45052742461705</s:v>
      </s:c>
      <s:c r="AG172" s="229" t="n">
        <s:v>1.553166069295549</s:v>
      </s:c>
      <s:c r="AH172" s="220" t="n">
        <s:v>19.2</s:v>
      </s:c>
      <s:c r="AI172" s="221" t="n">
        <s:v>1.09</s:v>
      </s:c>
      <s:c r="AJ172" s="221" t="n">
        <s:v>1.079</s:v>
      </s:c>
      <s:c r="AK172" s="222" t="n">
        <s:v>500.73</s:v>
      </s:c>
      <s:c r="AL172" s="222" t="n">
        <s:v>502.74</s:v>
      </s:c>
      <s:c r="AM172" s="230" t="n">
        <s:v>2.007</s:v>
      </s:c>
      <s:c r="AN172" s="223" t="inlineStr">
        <s:is>
          <s:t>7,22,510</s:t>
        </s:is>
      </s:c>
      <s:c r="AO172" s="224" t="inlineStr">
        <s:is>
          <s:t>7,</s:t>
        </s:is>
      </s:c>
      <s:c r="AP172" s="224" t="inlineStr">
        <s:is>
          <s:t>22,510</s:t>
        </s:is>
      </s:c>
      <s:c r="AQ172" s="224" t="n">
        <s:v>0.1229194444444444</s:v>
      </s:c>
      <s:c r="AR172" s="225" t="n">
        <s:v>16.32776660414454</s:v>
      </s:c>
      <s:c r="AS172" s="229" t="n">
        <s:v>0.1494768310907219</s:v>
      </s:c>
      <s:c r="AT172" s="231" t="inlineStr">
        <s:is>
          <s:t>CONFORME</s:t>
        </s:is>
      </s:c>
      <s:c r="AU172" s="232">
        <s:f>B172=C172</s:f>
        <s:v/>
      </s:c>
      <s:c r="AV172" s="233">
        <s:f>MID(G172,1,2)</s:f>
        <s:v/>
      </s:c>
      <s:c r="AW172" s="233">
        <s:f>LEN(G172)</s:f>
        <s:v/>
      </s:c>
      <s:c r="AX172" s="233" t="inlineStr">
        <s:is>
          <s:t>OI-0923-2025</s:t>
        </s:is>
      </s:c>
      <s:c r="AY172" s="233">
        <s:f>N172&lt;Y172</s:f>
        <s:v/>
      </s:c>
      <s:c r="AZ172" s="233">
        <s:f>Z172&lt;=AK172</s:f>
        <s:v/>
      </s:c>
      <s:c r="BA172" s="233">
        <s:f>L172&lt;K172</s:f>
        <s:v/>
      </s:c>
      <s:c r="BB172" s="233">
        <s:f>W172&gt;=X172</s:f>
        <s:v/>
      </s:c>
      <s:c r="BC172" s="233">
        <s:f>AI172&gt;=AJ172</s:f>
        <s:v/>
      </s:c>
      <s:c r="BD172" s="233">
        <s:f>IF(I172&gt;=1,"Qcorrecto",IF(AND(BE172="aceptable",BF172="aceptable",BG172="aceptable"),"Qcorrecto","Qincorrecto"))</s:f>
        <s:v/>
      </s:c>
      <s:c r="BE172" s="232">
        <s:f>IF(AR172&lt;$AH$6,"error",IF(AR172&gt;$AH$6*1.1,"error","aceptable"))</s:f>
        <s:v/>
      </s:c>
      <s:c r="BF172" s="232">
        <s:f>IF(AF172&lt;$V$6,"error",IF(AF172&gt;$V$6*1.1,"error","aceptable"))</s:f>
        <s:v/>
      </s:c>
      <s:c r="BG172" s="232">
        <s:f>IF(T172&lt;$J$6*0.9,"error",IF(T172&gt;$J$6,"error","aceptable"))</s:f>
        <s:v/>
      </s:c>
      <s:c r="BH172" s="234">
        <s:f>(IF(ABS(U172)&lt;1,"CONFORME",IF(ABS(AG172)&lt;1,"CONFORME",IF(ABS(AS172)&lt;2.5,"CONFORME","NO CONFORME"))))</s:f>
        <s:v/>
      </s:c>
      <s:c r="BI172" s="235">
        <s:f>(IF(ABS(U172)&gt;2.044,"NO CONFORME",IF(ABS(AG172)&gt;2.044,"NO CONFORME",IF(ABS(AS172)&gt;5.044,"NO CONFORME","CONFORME"))))</s:f>
        <s:v/>
      </s:c>
      <s:c r="BJ172" s="233">
        <s:f>SIGN(U172)</s:f>
        <s:v/>
      </s:c>
      <s:c r="BK172" s="233">
        <s:f>SIGN(AG172)</s:f>
        <s:v/>
      </s:c>
      <s:c r="BL172" s="233">
        <s:f>SIGN(AS172)</s:f>
        <s:v/>
      </s:c>
      <s:c r="BM172" s="233">
        <s:f>CONCATENATE(BJ172,BK172,BL172)</s:f>
        <s:v/>
      </s:c>
      <s:c r="BN172" s="233">
        <s:f>IF(BM172="111","SI","SD")</s:f>
        <s:v/>
      </s:c>
      <s:c r="BO172" s="233">
        <s:f>IF(BM172="-1-1-1","SI","SD")</s:f>
        <s:v/>
      </s:c>
      <s:c r="BP172" s="233">
        <s:f>OR(BN172="SI",BO172="SI")</s:f>
        <s:v/>
      </s:c>
      <s:c r="BQ172" s="233">
        <s:f>IF(BP172=FALSE,"SIGDIFERENTES","SIGIGUALES")</s:f>
        <s:v/>
      </s:c>
      <s:c r="BR172" s="236">
        <s:f>IF(BI172="NO CONFORME","NO CONFORME",IF(BH172="CONFORME","CONFORME","NO CONFORME"))</s:f>
        <s:v/>
      </s:c>
      <s:c r="BS172" s="233">
        <s:f>F172</s:f>
        <s:v/>
      </s:c>
      <s:c r="BT172" s="237">
        <s:f>G172</s:f>
        <s:v/>
      </s:c>
      <s:c r="BU172" s="233">
        <s:f>"20"&amp;+MID(G172,3,2)</s:f>
        <s:v/>
      </s:c>
      <s:c r="BV172" s="238">
        <s:f>C172</s:f>
        <s:v/>
      </s:c>
      <s:c r="BW172" s="233">
        <s:f>AT172</s:f>
        <s:v/>
      </s:c>
      <s:c r="BX172" s="238">
        <s:f>B172</s:f>
        <s:v/>
      </s:c>
      <s:c r="BY172" s="239">
        <s:f>H172</s:f>
        <s:v/>
      </s:c>
      <s:c r="BZ172" s="233">
        <s:f>IF(I172=0,"CONFORME","NO CONFORME")</s:f>
        <s:v/>
      </s:c>
      <s:c r="CA172" s="238">
        <s:f>C172</s:f>
        <s:v/>
      </s:c>
      <s:c r="CB172" s="240">
        <s:f>AH172</s:f>
        <s:v/>
      </s:c>
      <s:c r="CC172" s="241">
        <s:f>AR172</s:f>
        <s:v/>
      </s:c>
      <s:c r="CD172" s="240">
        <s:f>AI172</s:f>
        <s:v/>
      </s:c>
      <s:c r="CE172" s="240">
        <s:f>AJ172</s:f>
        <s:v/>
      </s:c>
      <s:c r="CF172" s="240">
        <s:f>AS172</s:f>
        <s:v/>
      </s:c>
      <s:c r="CG172" s="240">
        <s:f>V172</s:f>
        <s:v/>
      </s:c>
      <s:c r="CH172" s="241">
        <s:f>AF172</s:f>
        <s:v/>
      </s:c>
      <s:c r="CI172" s="240">
        <s:f>W172</s:f>
        <s:v/>
      </s:c>
      <s:c r="CJ172" s="240">
        <s:f>X172</s:f>
        <s:v/>
      </s:c>
      <s:c r="CK172" s="240">
        <s:f>AG172</s:f>
        <s:v/>
      </s:c>
      <s:c r="CL172" s="240">
        <s:f>J172</s:f>
        <s:v/>
      </s:c>
      <s:c r="CM172" s="241">
        <s:f>T172</s:f>
        <s:v/>
      </s:c>
      <s:c r="CN172" s="240">
        <s:f>K172</s:f>
        <s:v/>
      </s:c>
      <s:c r="CO172" s="240">
        <s:f>L172</s:f>
        <s:v/>
      </s:c>
      <s:c r="CP172" s="242">
        <s:f>U172</s:f>
        <s:v/>
      </s:c>
      <s:c r="CQ172" s="233">
        <s:f>AT172</s:f>
        <s:v/>
      </s:c>
    </s:row>
    <s:row r="173">
      <s:c r="A173" s="211" t="n">
        <s:v>73</s:v>
      </s:c>
      <s:c r="B173" s="212" t="n">
        <s:v>45901</s:v>
      </s:c>
      <s:c r="C173" s="213" t="n">
        <s:v>45901</s:v>
      </s:c>
      <s:c r="D173" s="214" t="n">
        <s:v>3</s:v>
      </s:c>
      <s:c r="E173" s="215" t="n">
        <s:v>13</s:v>
      </s:c>
      <s:c r="F173" s="216" t="inlineStr">
        <s:is>
          <s:t>VI-236648-2025</s:t>
        </s:is>
      </s:c>
      <s:c r="G173" s="217" t="inlineStr">
        <s:is>
          <s:t>QA25418494</s:t>
        </s:is>
      </s:c>
      <s:c r="H173" s="218" t="n">
        <s:v>16</s:v>
      </s:c>
      <s:c r="I173" s="219" t="n">
        <s:v>0</s:v>
      </s:c>
      <s:c r="J173" s="220" t="n">
        <s:v>19.4</s:v>
      </s:c>
      <s:c r="K173" s="221" t="n">
        <s:v>7.504</s:v>
      </s:c>
      <s:c r="L173" s="221" t="n">
        <s:v>1.242</s:v>
      </s:c>
      <s:c r="M173" s="222" t="n">
        <s:v>370.64</s:v>
      </s:c>
      <s:c r="N173" s="222" t="n">
        <s:v>469.84</s:v>
      </s:c>
      <s:c r="O173" s="222" t="n">
        <s:v>100.39</s:v>
      </s:c>
      <s:c r="P173" s="223" t="inlineStr">
        <s:is>
          <s:t>2,30,740</s:t>
        </s:is>
      </s:c>
      <s:c r="Q173" s="224" t="inlineStr">
        <s:is>
          <s:t>2</s:t>
        </s:is>
      </s:c>
      <s:c r="R173" s="224" t="inlineStr">
        <s:is>
          <s:t>30,740</s:t>
        </s:is>
      </s:c>
      <s:c r="S173" s="224" t="n">
        <s:v>0.04187222222222223</s:v>
      </s:c>
      <s:c r="T173" s="225" t="n">
        <s:v>2397.53217460528</s:v>
      </s:c>
      <s:c r="U173" s="226" t="n">
        <s:v>-1.185377029584632</s:v>
      </s:c>
      <s:c r="V173" s="220" t="n">
        <s:v>19.2</s:v>
      </s:c>
      <s:c r="W173" s="221" t="n">
        <s:v>1.088</s:v>
      </s:c>
      <s:c r="X173" s="221" t="n">
        <s:v>1.08</s:v>
      </s:c>
      <s:c r="Y173" s="222" t="n">
        <s:v>484.64</s:v>
      </s:c>
      <s:c r="Z173" s="222" t="n">
        <s:v>489.57</s:v>
      </s:c>
      <s:c r="AA173" s="227" t="n">
        <s:v>5.022</s:v>
      </s:c>
      <s:c r="AB173" s="228" t="inlineStr">
        <s:is>
          <s:t>11,23,510</s:t>
        </s:is>
      </s:c>
      <s:c r="AC173" s="224" t="inlineStr">
        <s:is>
          <s:t>11</s:t>
        </s:is>
      </s:c>
      <s:c r="AD173" s="224" t="inlineStr">
        <s:is>
          <s:t>23,510</s:t>
        </s:is>
      </s:c>
      <s:c r="AE173" s="224" t="n">
        <s:v>0.1898638888888889</s:v>
      </s:c>
      <s:c r="AF173" s="225" t="n">
        <s:v>26.45052742461705</s:v>
      </s:c>
      <s:c r="AG173" s="229" t="n">
        <s:v>-1.831939466347938</s:v>
      </s:c>
      <s:c r="AH173" s="220" t="n">
        <s:v>19.2</s:v>
      </s:c>
      <s:c r="AI173" s="221" t="n">
        <s:v>1.09</s:v>
      </s:c>
      <s:c r="AJ173" s="221" t="n">
        <s:v>1.079</s:v>
      </s:c>
      <s:c r="AK173" s="222" t="n">
        <s:v>489.57</s:v>
      </s:c>
      <s:c r="AL173" s="222" t="n">
        <s:v>491.41</s:v>
      </s:c>
      <s:c r="AM173" s="230" t="n">
        <s:v>2.007</s:v>
      </s:c>
      <s:c r="AN173" s="223" t="inlineStr">
        <s:is>
          <s:t>7,22,510</s:t>
        </s:is>
      </s:c>
      <s:c r="AO173" s="224" t="inlineStr">
        <s:is>
          <s:t>7,</s:t>
        </s:is>
      </s:c>
      <s:c r="AP173" s="224" t="inlineStr">
        <s:is>
          <s:t>22,510</s:t>
        </s:is>
      </s:c>
      <s:c r="AQ173" s="224" t="n">
        <s:v>0.1229194444444444</s:v>
      </s:c>
      <s:c r="AR173" s="225" t="n">
        <s:v>16.32776660414454</s:v>
      </s:c>
      <s:c r="AS173" s="229" t="n">
        <s:v>-8.320876930740821</s:v>
      </s:c>
      <s:c r="AT173" s="231" t="inlineStr">
        <s:is>
          <s:t>NO CONFORME</s:t>
        </s:is>
      </s:c>
      <s:c r="AU173" s="232">
        <s:f>B173=C173</s:f>
        <s:v/>
      </s:c>
      <s:c r="AV173" s="233">
        <s:f>MID(G173,1,2)</s:f>
        <s:v/>
      </s:c>
      <s:c r="AW173" s="233">
        <s:f>LEN(G173)</s:f>
        <s:v/>
      </s:c>
      <s:c r="AX173" s="233" t="inlineStr">
        <s:is>
          <s:t>OI-0923-2025</s:t>
        </s:is>
      </s:c>
      <s:c r="AY173" s="233">
        <s:f>N173&lt;Y173</s:f>
        <s:v/>
      </s:c>
      <s:c r="AZ173" s="233">
        <s:f>Z173&lt;=AK173</s:f>
        <s:v/>
      </s:c>
      <s:c r="BA173" s="233">
        <s:f>L173&lt;K173</s:f>
        <s:v/>
      </s:c>
      <s:c r="BB173" s="233">
        <s:f>W173&gt;=X173</s:f>
        <s:v/>
      </s:c>
      <s:c r="BC173" s="233">
        <s:f>AI173&gt;=AJ173</s:f>
        <s:v/>
      </s:c>
      <s:c r="BD173" s="233">
        <s:f>IF(I173&gt;=1,"Qcorrecto",IF(AND(BE173="aceptable",BF173="aceptable",BG173="aceptable"),"Qcorrecto","Qincorrecto"))</s:f>
        <s:v/>
      </s:c>
      <s:c r="BE173" s="232">
        <s:f>IF(AR173&lt;$AH$6,"error",IF(AR173&gt;$AH$6*1.1,"error","aceptable"))</s:f>
        <s:v/>
      </s:c>
      <s:c r="BF173" s="232">
        <s:f>IF(AF173&lt;$V$6,"error",IF(AF173&gt;$V$6*1.1,"error","aceptable"))</s:f>
        <s:v/>
      </s:c>
      <s:c r="BG173" s="232">
        <s:f>IF(T173&lt;$J$6*0.9,"error",IF(T173&gt;$J$6,"error","aceptable"))</s:f>
        <s:v/>
      </s:c>
      <s:c r="BH173" s="234">
        <s:f>(IF(ABS(U173)&lt;1,"CONFORME",IF(ABS(AG173)&lt;1,"CONFORME",IF(ABS(AS173)&lt;2.5,"CONFORME","NO CONFORME"))))</s:f>
        <s:v/>
      </s:c>
      <s:c r="BI173" s="235">
        <s:f>(IF(ABS(U173)&gt;2.044,"NO CONFORME",IF(ABS(AG173)&gt;2.044,"NO CONFORME",IF(ABS(AS173)&gt;5.044,"NO CONFORME","CONFORME"))))</s:f>
        <s:v/>
      </s:c>
      <s:c r="BJ173" s="233">
        <s:f>SIGN(U173)</s:f>
        <s:v/>
      </s:c>
      <s:c r="BK173" s="233">
        <s:f>SIGN(AG173)</s:f>
        <s:v/>
      </s:c>
      <s:c r="BL173" s="233">
        <s:f>SIGN(AS173)</s:f>
        <s:v/>
      </s:c>
      <s:c r="BM173" s="233">
        <s:f>CONCATENATE(BJ173,BK173,BL173)</s:f>
        <s:v/>
      </s:c>
      <s:c r="BN173" s="233">
        <s:f>IF(BM173="111","SI","SD")</s:f>
        <s:v/>
      </s:c>
      <s:c r="BO173" s="233">
        <s:f>IF(BM173="-1-1-1","SI","SD")</s:f>
        <s:v/>
      </s:c>
      <s:c r="BP173" s="233">
        <s:f>OR(BN173="SI",BO173="SI")</s:f>
        <s:v/>
      </s:c>
      <s:c r="BQ173" s="233">
        <s:f>IF(BP173=FALSE,"SIGDIFERENTES","SIGIGUALES")</s:f>
        <s:v/>
      </s:c>
      <s:c r="BR173" s="236">
        <s:f>IF(BI173="NO CONFORME","NO CONFORME",IF(BH173="CONFORME","CONFORME","NO CONFORME"))</s:f>
        <s:v/>
      </s:c>
      <s:c r="BS173" s="233">
        <s:f>F173</s:f>
        <s:v/>
      </s:c>
      <s:c r="BT173" s="237">
        <s:f>G173</s:f>
        <s:v/>
      </s:c>
      <s:c r="BU173" s="233">
        <s:f>"20"&amp;+MID(G173,3,2)</s:f>
        <s:v/>
      </s:c>
      <s:c r="BV173" s="238">
        <s:f>C173</s:f>
        <s:v/>
      </s:c>
      <s:c r="BW173" s="233">
        <s:f>AT173</s:f>
        <s:v/>
      </s:c>
      <s:c r="BX173" s="238">
        <s:f>B173</s:f>
        <s:v/>
      </s:c>
      <s:c r="BY173" s="239">
        <s:f>H173</s:f>
        <s:v/>
      </s:c>
      <s:c r="BZ173" s="233">
        <s:f>IF(I173=0,"CONFORME","NO CONFORME")</s:f>
        <s:v/>
      </s:c>
      <s:c r="CA173" s="238">
        <s:f>C173</s:f>
        <s:v/>
      </s:c>
      <s:c r="CB173" s="240">
        <s:f>AH173</s:f>
        <s:v/>
      </s:c>
      <s:c r="CC173" s="241">
        <s:f>AR173</s:f>
        <s:v/>
      </s:c>
      <s:c r="CD173" s="240">
        <s:f>AI173</s:f>
        <s:v/>
      </s:c>
      <s:c r="CE173" s="240">
        <s:f>AJ173</s:f>
        <s:v/>
      </s:c>
      <s:c r="CF173" s="240">
        <s:f>AS173</s:f>
        <s:v/>
      </s:c>
      <s:c r="CG173" s="240">
        <s:f>V173</s:f>
        <s:v/>
      </s:c>
      <s:c r="CH173" s="241">
        <s:f>AF173</s:f>
        <s:v/>
      </s:c>
      <s:c r="CI173" s="240">
        <s:f>W173</s:f>
        <s:v/>
      </s:c>
      <s:c r="CJ173" s="240">
        <s:f>X173</s:f>
        <s:v/>
      </s:c>
      <s:c r="CK173" s="240">
        <s:f>AG173</s:f>
        <s:v/>
      </s:c>
      <s:c r="CL173" s="240">
        <s:f>J173</s:f>
        <s:v/>
      </s:c>
      <s:c r="CM173" s="241">
        <s:f>T173</s:f>
        <s:v/>
      </s:c>
      <s:c r="CN173" s="240">
        <s:f>K173</s:f>
        <s:v/>
      </s:c>
      <s:c r="CO173" s="240">
        <s:f>L173</s:f>
        <s:v/>
      </s:c>
      <s:c r="CP173" s="242">
        <s:f>U173</s:f>
        <s:v/>
      </s:c>
      <s:c r="CQ173" s="233">
        <s:f>AT173</s:f>
        <s:v/>
      </s:c>
    </s:row>
    <s:row r="174">
      <s:c r="A174" s="211" t="n">
        <s:v>74</s:v>
      </s:c>
      <s:c r="B174" s="212" t="n">
        <s:v>45901</s:v>
      </s:c>
      <s:c r="C174" s="213" t="n">
        <s:v>45901</s:v>
      </s:c>
      <s:c r="D174" s="214" t="n">
        <s:v>3</s:v>
      </s:c>
      <s:c r="E174" s="215" t="n">
        <s:v>13</s:v>
      </s:c>
      <s:c r="F174" s="216" t="inlineStr">
        <s:is>
          <s:t>VI-236649-2025</s:t>
        </s:is>
      </s:c>
      <s:c r="G174" s="217" t="inlineStr">
        <s:is>
          <s:t>QA25418503</s:t>
        </s:is>
      </s:c>
      <s:c r="H174" s="218" t="n">
        <s:v>16</s:v>
      </s:c>
      <s:c r="I174" s="219" t="n">
        <s:v>0</s:v>
      </s:c>
      <s:c r="J174" s="220" t="n">
        <s:v>19.5</s:v>
      </s:c>
      <s:c r="K174" s="221" t="n">
        <s:v>7.511</s:v>
      </s:c>
      <s:c r="L174" s="221" t="n">
        <s:v>1.259</s:v>
      </s:c>
      <s:c r="M174" s="222" t="n">
        <s:v>313.53</s:v>
      </s:c>
      <s:c r="N174" s="222" t="n">
        <s:v>414.26</s:v>
      </s:c>
      <s:c r="O174" s="222" t="n">
        <s:v>100.58</s:v>
      </s:c>
      <s:c r="P174" s="223" t="inlineStr">
        <s:is>
          <s:t>2,31,120</s:t>
        </s:is>
      </s:c>
      <s:c r="Q174" s="224" t="inlineStr">
        <s:is>
          <s:t>2</s:t>
        </s:is>
      </s:c>
      <s:c r="R174" s="224" t="inlineStr">
        <s:is>
          <s:t>31,120</s:t>
        </s:is>
      </s:c>
      <s:c r="S174" s="224" t="n">
        <s:v>0.04197777777777778</s:v>
      </s:c>
      <s:c r="T174" s="225" t="n">
        <s:v>2396.029645314981</s:v>
      </s:c>
      <s:c r="U174" s="226" t="n">
        <s:v>0.1491350169019884</s:v>
      </s:c>
      <s:c r="V174" s="220" t="n">
        <s:v>19.3</s:v>
      </s:c>
      <s:c r="W174" s="221" t="n">
        <s:v>1.092</s:v>
      </s:c>
      <s:c r="X174" s="221" t="n">
        <s:v>1.08</s:v>
      </s:c>
      <s:c r="Y174" s="222" t="n">
        <s:v>426.37</s:v>
      </s:c>
      <s:c r="Z174" s="222" t="n">
        <s:v>431.43</s:v>
      </s:c>
      <s:c r="AA174" s="227" t="n">
        <s:v>5.012</s:v>
      </s:c>
      <s:c r="AB174" s="228" t="inlineStr">
        <s:is>
          <s:t>11,23,220</s:t>
        </s:is>
      </s:c>
      <s:c r="AC174" s="224" t="inlineStr">
        <s:is>
          <s:t>11</s:t>
        </s:is>
      </s:c>
      <s:c r="AD174" s="224" t="inlineStr">
        <s:is>
          <s:t>23,220</s:t>
        </s:is>
      </s:c>
      <s:c r="AE174" s="224" t="n">
        <s:v>0.1897833333333333</s:v>
      </s:c>
      <s:c r="AF174" s="225" t="n">
        <s:v>26.40906296654079</s:v>
      </s:c>
      <s:c r="AG174" s="229" t="n">
        <s:v>0.9577015163607884</s:v>
      </s:c>
      <s:c r="AH174" s="220" t="n">
        <s:v>19.2</s:v>
      </s:c>
      <s:c r="AI174" s="221" t="n">
        <s:v>1.098</s:v>
      </s:c>
      <s:c r="AJ174" s="221" t="n">
        <s:v>1.085</s:v>
      </s:c>
      <s:c r="AK174" s="222" t="n">
        <s:v>431.43</s:v>
      </s:c>
      <s:c r="AL174" s="222" t="n">
        <s:v>433.45</s:v>
      </s:c>
      <s:c r="AM174" s="230" t="n">
        <s:v>2.005</s:v>
      </s:c>
      <s:c r="AN174" s="223" t="inlineStr">
        <s:is>
          <s:t>7,18,600</s:t>
        </s:is>
      </s:c>
      <s:c r="AO174" s="224" t="inlineStr">
        <s:is>
          <s:t>7,</s:t>
        </s:is>
      </s:c>
      <s:c r="AP174" s="224" t="inlineStr">
        <s:is>
          <s:t>18,600</s:t>
        </s:is>
      </s:c>
      <s:c r="AQ174" s="224" t="n">
        <s:v>0.1218333333333333</s:v>
      </s:c>
      <s:c r="AR174" s="225" t="n">
        <s:v>16.45690834473324</s:v>
      </s:c>
      <s:c r="AS174" s="229" t="n">
        <s:v>0.7481296758095719</s:v>
      </s:c>
      <s:c r="AT174" s="231" t="inlineStr">
        <s:is>
          <s:t>CONFORME</s:t>
        </s:is>
      </s:c>
      <s:c r="AU174" s="232">
        <s:f>B174=C174</s:f>
        <s:v/>
      </s:c>
      <s:c r="AV174" s="233">
        <s:f>MID(G174,1,2)</s:f>
        <s:v/>
      </s:c>
      <s:c r="AW174" s="233">
        <s:f>LEN(G174)</s:f>
        <s:v/>
      </s:c>
      <s:c r="AX174" s="233" t="inlineStr">
        <s:is>
          <s:t>OI-0923-2025</s:t>
        </s:is>
      </s:c>
      <s:c r="AY174" s="233">
        <s:f>N174&lt;Y174</s:f>
        <s:v/>
      </s:c>
      <s:c r="AZ174" s="233">
        <s:f>Z174&lt;=AK174</s:f>
        <s:v/>
      </s:c>
      <s:c r="BA174" s="233">
        <s:f>L174&lt;K174</s:f>
        <s:v/>
      </s:c>
      <s:c r="BB174" s="233">
        <s:f>W174&gt;=X174</s:f>
        <s:v/>
      </s:c>
      <s:c r="BC174" s="233">
        <s:f>AI174&gt;=AJ174</s:f>
        <s:v/>
      </s:c>
      <s:c r="BD174" s="233">
        <s:f>IF(I174&gt;=1,"Qcorrecto",IF(AND(BE174="aceptable",BF174="aceptable",BG174="aceptable"),"Qcorrecto","Qincorrecto"))</s:f>
        <s:v/>
      </s:c>
      <s:c r="BE174" s="232">
        <s:f>IF(AR174&lt;$AH$6,"error",IF(AR174&gt;$AH$6*1.1,"error","aceptable"))</s:f>
        <s:v/>
      </s:c>
      <s:c r="BF174" s="232">
        <s:f>IF(AF174&lt;$V$6,"error",IF(AF174&gt;$V$6*1.1,"error","aceptable"))</s:f>
        <s:v/>
      </s:c>
      <s:c r="BG174" s="232">
        <s:f>IF(T174&lt;$J$6*0.9,"error",IF(T174&gt;$J$6,"error","aceptable"))</s:f>
        <s:v/>
      </s:c>
      <s:c r="BH174" s="234">
        <s:f>(IF(ABS(U174)&lt;1,"CONFORME",IF(ABS(AG174)&lt;1,"CONFORME",IF(ABS(AS174)&lt;2.5,"CONFORME","NO CONFORME"))))</s:f>
        <s:v/>
      </s:c>
      <s:c r="BI174" s="235">
        <s:f>(IF(ABS(U174)&gt;2.044,"NO CONFORME",IF(ABS(AG174)&gt;2.044,"NO CONFORME",IF(ABS(AS174)&gt;5.044,"NO CONFORME","CONFORME"))))</s:f>
        <s:v/>
      </s:c>
      <s:c r="BJ174" s="233">
        <s:f>SIGN(U174)</s:f>
        <s:v/>
      </s:c>
      <s:c r="BK174" s="233">
        <s:f>SIGN(AG174)</s:f>
        <s:v/>
      </s:c>
      <s:c r="BL174" s="233">
        <s:f>SIGN(AS174)</s:f>
        <s:v/>
      </s:c>
      <s:c r="BM174" s="233">
        <s:f>CONCATENATE(BJ174,BK174,BL174)</s:f>
        <s:v/>
      </s:c>
      <s:c r="BN174" s="233">
        <s:f>IF(BM174="111","SI","SD")</s:f>
        <s:v/>
      </s:c>
      <s:c r="BO174" s="233">
        <s:f>IF(BM174="-1-1-1","SI","SD")</s:f>
        <s:v/>
      </s:c>
      <s:c r="BP174" s="233">
        <s:f>OR(BN174="SI",BO174="SI")</s:f>
        <s:v/>
      </s:c>
      <s:c r="BQ174" s="233">
        <s:f>IF(BP174=FALSE,"SIGDIFERENTES","SIGIGUALES")</s:f>
        <s:v/>
      </s:c>
      <s:c r="BR174" s="236">
        <s:f>IF(BI174="NO CONFORME","NO CONFORME",IF(BH174="CONFORME","CONFORME","NO CONFORME"))</s:f>
        <s:v/>
      </s:c>
      <s:c r="BS174" s="233">
        <s:f>F174</s:f>
        <s:v/>
      </s:c>
      <s:c r="BT174" s="237">
        <s:f>G174</s:f>
        <s:v/>
      </s:c>
      <s:c r="BU174" s="233">
        <s:f>"20"&amp;+MID(G174,3,2)</s:f>
        <s:v/>
      </s:c>
      <s:c r="BV174" s="238">
        <s:f>C174</s:f>
        <s:v/>
      </s:c>
      <s:c r="BW174" s="233">
        <s:f>AT174</s:f>
        <s:v/>
      </s:c>
      <s:c r="BX174" s="238">
        <s:f>B174</s:f>
        <s:v/>
      </s:c>
      <s:c r="BY174" s="239">
        <s:f>H174</s:f>
        <s:v/>
      </s:c>
      <s:c r="BZ174" s="233">
        <s:f>IF(I174=0,"CONFORME","NO CONFORME")</s:f>
        <s:v/>
      </s:c>
      <s:c r="CA174" s="238">
        <s:f>C174</s:f>
        <s:v/>
      </s:c>
      <s:c r="CB174" s="240">
        <s:f>AH174</s:f>
        <s:v/>
      </s:c>
      <s:c r="CC174" s="241">
        <s:f>AR174</s:f>
        <s:v/>
      </s:c>
      <s:c r="CD174" s="240">
        <s:f>AI174</s:f>
        <s:v/>
      </s:c>
      <s:c r="CE174" s="240">
        <s:f>AJ174</s:f>
        <s:v/>
      </s:c>
      <s:c r="CF174" s="240">
        <s:f>AS174</s:f>
        <s:v/>
      </s:c>
      <s:c r="CG174" s="240">
        <s:f>V174</s:f>
        <s:v/>
      </s:c>
      <s:c r="CH174" s="241">
        <s:f>AF174</s:f>
        <s:v/>
      </s:c>
      <s:c r="CI174" s="240">
        <s:f>W174</s:f>
        <s:v/>
      </s:c>
      <s:c r="CJ174" s="240">
        <s:f>X174</s:f>
        <s:v/>
      </s:c>
      <s:c r="CK174" s="240">
        <s:f>AG174</s:f>
        <s:v/>
      </s:c>
      <s:c r="CL174" s="240">
        <s:f>J174</s:f>
        <s:v/>
      </s:c>
      <s:c r="CM174" s="241">
        <s:f>T174</s:f>
        <s:v/>
      </s:c>
      <s:c r="CN174" s="240">
        <s:f>K174</s:f>
        <s:v/>
      </s:c>
      <s:c r="CO174" s="240">
        <s:f>L174</s:f>
        <s:v/>
      </s:c>
      <s:c r="CP174" s="242">
        <s:f>U174</s:f>
        <s:v/>
      </s:c>
      <s:c r="CQ174" s="233">
        <s:f>AT174</s:f>
        <s:v/>
      </s:c>
    </s:row>
    <s:row r="175">
      <s:c r="A175" s="211" t="n">
        <s:v>75</s:v>
      </s:c>
      <s:c r="B175" s="212" t="n">
        <s:v>45901</s:v>
      </s:c>
      <s:c r="C175" s="213" t="n">
        <s:v>45901</s:v>
      </s:c>
      <s:c r="D175" s="214" t="n">
        <s:v>3</s:v>
      </s:c>
      <s:c r="E175" s="215" t="n">
        <s:v>13</s:v>
      </s:c>
      <s:c r="F175" s="216" t="inlineStr">
        <s:is>
          <s:t>VI-236650-2025</s:t>
        </s:is>
      </s:c>
      <s:c r="G175" s="217" t="inlineStr">
        <s:is>
          <s:t>QA25418500</s:t>
        </s:is>
      </s:c>
      <s:c r="H175" s="218" t="n">
        <s:v>16</s:v>
      </s:c>
      <s:c r="I175" s="219" t="n">
        <s:v>0</s:v>
      </s:c>
      <s:c r="J175" s="220" t="n">
        <s:v>19.5</s:v>
      </s:c>
      <s:c r="K175" s="221" t="n">
        <s:v>7.511</s:v>
      </s:c>
      <s:c r="L175" s="221" t="n">
        <s:v>1.259</s:v>
      </s:c>
      <s:c r="M175" s="222" t="n">
        <s:v>476.09</s:v>
      </s:c>
      <s:c r="N175" s="222" t="n">
        <s:v>576.45</s:v>
      </s:c>
      <s:c r="O175" s="222" t="n">
        <s:v>100.58</s:v>
      </s:c>
      <s:c r="P175" s="223" t="inlineStr">
        <s:is>
          <s:t>2,31,120</s:t>
        </s:is>
      </s:c>
      <s:c r="Q175" s="224" t="inlineStr">
        <s:is>
          <s:t>2</s:t>
        </s:is>
      </s:c>
      <s:c r="R175" s="224" t="inlineStr">
        <s:is>
          <s:t>31,120</s:t>
        </s:is>
      </s:c>
      <s:c r="S175" s="224" t="n">
        <s:v>0.04197777777777778</s:v>
      </s:c>
      <s:c r="T175" s="225" t="n">
        <s:v>2396.029645314981</s:v>
      </s:c>
      <s:c r="U175" s="226" t="n">
        <s:v>-0.2187313581228155</s:v>
      </s:c>
      <s:c r="V175" s="220" t="n">
        <s:v>19.3</s:v>
      </s:c>
      <s:c r="W175" s="221" t="n">
        <s:v>1.092</s:v>
      </s:c>
      <s:c r="X175" s="221" t="n">
        <s:v>1.08</s:v>
      </s:c>
      <s:c r="Y175" s="222" t="n">
        <s:v>588.5700000000001</s:v>
      </s:c>
      <s:c r="Z175" s="222" t="n">
        <s:v>593.62</s:v>
      </s:c>
      <s:c r="AA175" s="227" t="n">
        <s:v>5.012</s:v>
      </s:c>
      <s:c r="AB175" s="228" t="inlineStr">
        <s:is>
          <s:t>11,23,220</s:t>
        </s:is>
      </s:c>
      <s:c r="AC175" s="224" t="inlineStr">
        <s:is>
          <s:t>11</s:t>
        </s:is>
      </s:c>
      <s:c r="AD175" s="224" t="inlineStr">
        <s:is>
          <s:t>23,220</s:t>
        </s:is>
      </s:c>
      <s:c r="AE175" s="224" t="n">
        <s:v>0.1897833333333333</s:v>
      </s:c>
      <s:c r="AF175" s="225" t="n">
        <s:v>26.40906296654079</s:v>
      </s:c>
      <s:c r="AG175" s="229" t="n">
        <s:v>0.758180367118016</s:v>
      </s:c>
      <s:c r="AH175" s="220" t="n">
        <s:v>19.2</s:v>
      </s:c>
      <s:c r="AI175" s="221" t="n">
        <s:v>1.098</s:v>
      </s:c>
      <s:c r="AJ175" s="221" t="n">
        <s:v>1.085</s:v>
      </s:c>
      <s:c r="AK175" s="222" t="n">
        <s:v>593.62</s:v>
      </s:c>
      <s:c r="AL175" s="222" t="n">
        <s:v>595.62</s:v>
      </s:c>
      <s:c r="AM175" s="230" t="n">
        <s:v>2.005</s:v>
      </s:c>
      <s:c r="AN175" s="223" t="inlineStr">
        <s:is>
          <s:t>7,18,600</s:t>
        </s:is>
      </s:c>
      <s:c r="AO175" s="224" t="inlineStr">
        <s:is>
          <s:t>7,</s:t>
        </s:is>
      </s:c>
      <s:c r="AP175" s="224" t="inlineStr">
        <s:is>
          <s:t>18,600</s:t>
        </s:is>
      </s:c>
      <s:c r="AQ175" s="224" t="n">
        <s:v>0.1218333333333333</s:v>
      </s:c>
      <s:c r="AR175" s="225" t="n">
        <s:v>16.45690834473324</s:v>
      </s:c>
      <s:c r="AS175" s="229" t="n">
        <s:v>-0.249376558603486</s:v>
      </s:c>
      <s:c r="AT175" s="231" t="inlineStr">
        <s:is>
          <s:t>CONFORME</s:t>
        </s:is>
      </s:c>
      <s:c r="AU175" s="232">
        <s:f>B175=C175</s:f>
        <s:v/>
      </s:c>
      <s:c r="AV175" s="233">
        <s:f>MID(G175,1,2)</s:f>
        <s:v/>
      </s:c>
      <s:c r="AW175" s="233">
        <s:f>LEN(G175)</s:f>
        <s:v/>
      </s:c>
      <s:c r="AX175" s="233" t="inlineStr">
        <s:is>
          <s:t>OI-0923-2025</s:t>
        </s:is>
      </s:c>
      <s:c r="AY175" s="233">
        <s:f>N175&lt;Y175</s:f>
        <s:v/>
      </s:c>
      <s:c r="AZ175" s="233">
        <s:f>Z175&lt;=AK175</s:f>
        <s:v/>
      </s:c>
      <s:c r="BA175" s="233">
        <s:f>L175&lt;K175</s:f>
        <s:v/>
      </s:c>
      <s:c r="BB175" s="233">
        <s:f>W175&gt;=X175</s:f>
        <s:v/>
      </s:c>
      <s:c r="BC175" s="233">
        <s:f>AI175&gt;=AJ175</s:f>
        <s:v/>
      </s:c>
      <s:c r="BD175" s="233">
        <s:f>IF(I175&gt;=1,"Qcorrecto",IF(AND(BE175="aceptable",BF175="aceptable",BG175="aceptable"),"Qcorrecto","Qincorrecto"))</s:f>
        <s:v/>
      </s:c>
      <s:c r="BE175" s="232">
        <s:f>IF(AR175&lt;$AH$6,"error",IF(AR175&gt;$AH$6*1.1,"error","aceptable"))</s:f>
        <s:v/>
      </s:c>
      <s:c r="BF175" s="232">
        <s:f>IF(AF175&lt;$V$6,"error",IF(AF175&gt;$V$6*1.1,"error","aceptable"))</s:f>
        <s:v/>
      </s:c>
      <s:c r="BG175" s="232">
        <s:f>IF(T175&lt;$J$6*0.9,"error",IF(T175&gt;$J$6,"error","aceptable"))</s:f>
        <s:v/>
      </s:c>
      <s:c r="BH175" s="234">
        <s:f>(IF(ABS(U175)&lt;1,"CONFORME",IF(ABS(AG175)&lt;1,"CONFORME",IF(ABS(AS175)&lt;2.5,"CONFORME","NO CONFORME"))))</s:f>
        <s:v/>
      </s:c>
      <s:c r="BI175" s="235">
        <s:f>(IF(ABS(U175)&gt;2.044,"NO CONFORME",IF(ABS(AG175)&gt;2.044,"NO CONFORME",IF(ABS(AS175)&gt;5.044,"NO CONFORME","CONFORME"))))</s:f>
        <s:v/>
      </s:c>
      <s:c r="BJ175" s="233">
        <s:f>SIGN(U175)</s:f>
        <s:v/>
      </s:c>
      <s:c r="BK175" s="233">
        <s:f>SIGN(AG175)</s:f>
        <s:v/>
      </s:c>
      <s:c r="BL175" s="233">
        <s:f>SIGN(AS175)</s:f>
        <s:v/>
      </s:c>
      <s:c r="BM175" s="233">
        <s:f>CONCATENATE(BJ175,BK175,BL175)</s:f>
        <s:v/>
      </s:c>
      <s:c r="BN175" s="233">
        <s:f>IF(BM175="111","SI","SD")</s:f>
        <s:v/>
      </s:c>
      <s:c r="BO175" s="233">
        <s:f>IF(BM175="-1-1-1","SI","SD")</s:f>
        <s:v/>
      </s:c>
      <s:c r="BP175" s="233">
        <s:f>OR(BN175="SI",BO175="SI")</s:f>
        <s:v/>
      </s:c>
      <s:c r="BQ175" s="233">
        <s:f>IF(BP175=FALSE,"SIGDIFERENTES","SIGIGUALES")</s:f>
        <s:v/>
      </s:c>
      <s:c r="BR175" s="236">
        <s:f>IF(BI175="NO CONFORME","NO CONFORME",IF(BH175="CONFORME","CONFORME","NO CONFORME"))</s:f>
        <s:v/>
      </s:c>
      <s:c r="BS175" s="233">
        <s:f>F175</s:f>
        <s:v/>
      </s:c>
      <s:c r="BT175" s="237">
        <s:f>G175</s:f>
        <s:v/>
      </s:c>
      <s:c r="BU175" s="233">
        <s:f>"20"&amp;+MID(G175,3,2)</s:f>
        <s:v/>
      </s:c>
      <s:c r="BV175" s="238">
        <s:f>C175</s:f>
        <s:v/>
      </s:c>
      <s:c r="BW175" s="233">
        <s:f>AT175</s:f>
        <s:v/>
      </s:c>
      <s:c r="BX175" s="238">
        <s:f>B175</s:f>
        <s:v/>
      </s:c>
      <s:c r="BY175" s="239">
        <s:f>H175</s:f>
        <s:v/>
      </s:c>
      <s:c r="BZ175" s="233">
        <s:f>IF(I175=0,"CONFORME","NO CONFORME")</s:f>
        <s:v/>
      </s:c>
      <s:c r="CA175" s="238">
        <s:f>C175</s:f>
        <s:v/>
      </s:c>
      <s:c r="CB175" s="240">
        <s:f>AH175</s:f>
        <s:v/>
      </s:c>
      <s:c r="CC175" s="241">
        <s:f>AR175</s:f>
        <s:v/>
      </s:c>
      <s:c r="CD175" s="240">
        <s:f>AI175</s:f>
        <s:v/>
      </s:c>
      <s:c r="CE175" s="240">
        <s:f>AJ175</s:f>
        <s:v/>
      </s:c>
      <s:c r="CF175" s="240">
        <s:f>AS175</s:f>
        <s:v/>
      </s:c>
      <s:c r="CG175" s="240">
        <s:f>V175</s:f>
        <s:v/>
      </s:c>
      <s:c r="CH175" s="241">
        <s:f>AF175</s:f>
        <s:v/>
      </s:c>
      <s:c r="CI175" s="240">
        <s:f>W175</s:f>
        <s:v/>
      </s:c>
      <s:c r="CJ175" s="240">
        <s:f>X175</s:f>
        <s:v/>
      </s:c>
      <s:c r="CK175" s="240">
        <s:f>AG175</s:f>
        <s:v/>
      </s:c>
      <s:c r="CL175" s="240">
        <s:f>J175</s:f>
        <s:v/>
      </s:c>
      <s:c r="CM175" s="241">
        <s:f>T175</s:f>
        <s:v/>
      </s:c>
      <s:c r="CN175" s="240">
        <s:f>K175</s:f>
        <s:v/>
      </s:c>
      <s:c r="CO175" s="240">
        <s:f>L175</s:f>
        <s:v/>
      </s:c>
      <s:c r="CP175" s="242">
        <s:f>U175</s:f>
        <s:v/>
      </s:c>
      <s:c r="CQ175" s="233">
        <s:f>AT175</s:f>
        <s:v/>
      </s:c>
    </s:row>
    <s:row r="176">
      <s:c r="A176" s="211" t="n">
        <s:v>76</s:v>
      </s:c>
      <s:c r="B176" s="212" t="n">
        <s:v>45901</s:v>
      </s:c>
      <s:c r="C176" s="213" t="n">
        <s:v>45901</s:v>
      </s:c>
      <s:c r="D176" s="214" t="n">
        <s:v>3</s:v>
      </s:c>
      <s:c r="E176" s="215" t="n">
        <s:v>13</s:v>
      </s:c>
      <s:c r="F176" s="216" t="inlineStr">
        <s:is>
          <s:t>VI-236651-2025</s:t>
        </s:is>
      </s:c>
      <s:c r="G176" s="217" t="inlineStr">
        <s:is>
          <s:t>QA25418511</s:t>
        </s:is>
      </s:c>
      <s:c r="H176" s="218" t="n">
        <s:v>16</s:v>
      </s:c>
      <s:c r="I176" s="219" t="n">
        <s:v>0</s:v>
      </s:c>
      <s:c r="J176" s="220" t="n">
        <s:v>19.5</s:v>
      </s:c>
      <s:c r="K176" s="221" t="n">
        <s:v>7.511</s:v>
      </s:c>
      <s:c r="L176" s="221" t="n">
        <s:v>1.259</s:v>
      </s:c>
      <s:c r="M176" s="222" t="n">
        <s:v>315.07</s:v>
      </s:c>
      <s:c r="N176" s="222" t="n">
        <s:v>415.02</s:v>
      </s:c>
      <s:c r="O176" s="222" t="n">
        <s:v>100.58</s:v>
      </s:c>
      <s:c r="P176" s="223" t="inlineStr">
        <s:is>
          <s:t>2,31,120</s:t>
        </s:is>
      </s:c>
      <s:c r="Q176" s="224" t="inlineStr">
        <s:is>
          <s:t>2</s:t>
        </s:is>
      </s:c>
      <s:c r="R176" s="224" t="inlineStr">
        <s:is>
          <s:t>31,120</s:t>
        </s:is>
      </s:c>
      <s:c r="S176" s="224" t="n">
        <s:v>0.04197777777777778</s:v>
      </s:c>
      <s:c r="T176" s="225" t="n">
        <s:v>2396.029645314981</s:v>
      </s:c>
      <s:c r="U176" s="226" t="n">
        <s:v>-0.6263670709882776</s:v>
      </s:c>
      <s:c r="V176" s="220" t="n">
        <s:v>19.3</s:v>
      </s:c>
      <s:c r="W176" s="221" t="n">
        <s:v>1.092</s:v>
      </s:c>
      <s:c r="X176" s="221" t="n">
        <s:v>1.08</s:v>
      </s:c>
      <s:c r="Y176" s="222" t="n">
        <s:v>427.04</s:v>
      </s:c>
      <s:c r="Z176" s="222" t="n">
        <s:v>432.04</s:v>
      </s:c>
      <s:c r="AA176" s="227" t="n">
        <s:v>5.012</s:v>
      </s:c>
      <s:c r="AB176" s="228" t="inlineStr">
        <s:is>
          <s:t>11,23,220</s:t>
        </s:is>
      </s:c>
      <s:c r="AC176" s="224" t="inlineStr">
        <s:is>
          <s:t>11</s:t>
        </s:is>
      </s:c>
      <s:c r="AD176" s="224" t="inlineStr">
        <s:is>
          <s:t>23,220</s:t>
        </s:is>
      </s:c>
      <s:c r="AE176" s="224" t="n">
        <s:v>0.1897833333333333</s:v>
      </s:c>
      <s:c r="AF176" s="225" t="n">
        <s:v>26.40906296654079</s:v>
      </s:c>
      <s:c r="AG176" s="229" t="n">
        <s:v>-0.2394253790901749</s:v>
      </s:c>
      <s:c r="AH176" s="220" t="n">
        <s:v>19.2</s:v>
      </s:c>
      <s:c r="AI176" s="221" t="n">
        <s:v>1.098</s:v>
      </s:c>
      <s:c r="AJ176" s="221" t="n">
        <s:v>1.085</s:v>
      </s:c>
      <s:c r="AK176" s="222" t="n">
        <s:v>432.04</s:v>
      </s:c>
      <s:c r="AL176" s="222" t="n">
        <s:v>434.02</s:v>
      </s:c>
      <s:c r="AM176" s="230" t="n">
        <s:v>2.005</s:v>
      </s:c>
      <s:c r="AN176" s="223" t="inlineStr">
        <s:is>
          <s:t>7,18,600</s:t>
        </s:is>
      </s:c>
      <s:c r="AO176" s="224" t="inlineStr">
        <s:is>
          <s:t>7,</s:t>
        </s:is>
      </s:c>
      <s:c r="AP176" s="224" t="inlineStr">
        <s:is>
          <s:t>18,600</s:t>
        </s:is>
      </s:c>
      <s:c r="AQ176" s="224" t="n">
        <s:v>0.1218333333333333</s:v>
      </s:c>
      <s:c r="AR176" s="225" t="n">
        <s:v>16.45690834473324</s:v>
      </s:c>
      <s:c r="AS176" s="229" t="n">
        <s:v>-1.246882793019379</s:v>
      </s:c>
      <s:c r="AT176" s="231" t="inlineStr">
        <s:is>
          <s:t>CONFORME</s:t>
        </s:is>
      </s:c>
      <s:c r="AU176" s="232">
        <s:f>B176=C176</s:f>
        <s:v/>
      </s:c>
      <s:c r="AV176" s="233">
        <s:f>MID(G176,1,2)</s:f>
        <s:v/>
      </s:c>
      <s:c r="AW176" s="233">
        <s:f>LEN(G176)</s:f>
        <s:v/>
      </s:c>
      <s:c r="AX176" s="233" t="inlineStr">
        <s:is>
          <s:t>OI-0923-2025</s:t>
        </s:is>
      </s:c>
      <s:c r="AY176" s="233">
        <s:f>N176&lt;Y176</s:f>
        <s:v/>
      </s:c>
      <s:c r="AZ176" s="233">
        <s:f>Z176&lt;=AK176</s:f>
        <s:v/>
      </s:c>
      <s:c r="BA176" s="233">
        <s:f>L176&lt;K176</s:f>
        <s:v/>
      </s:c>
      <s:c r="BB176" s="233">
        <s:f>W176&gt;=X176</s:f>
        <s:v/>
      </s:c>
      <s:c r="BC176" s="233">
        <s:f>AI176&gt;=AJ176</s:f>
        <s:v/>
      </s:c>
      <s:c r="BD176" s="233">
        <s:f>IF(I176&gt;=1,"Qcorrecto",IF(AND(BE176="aceptable",BF176="aceptable",BG176="aceptable"),"Qcorrecto","Qincorrecto"))</s:f>
        <s:v/>
      </s:c>
      <s:c r="BE176" s="232">
        <s:f>IF(AR176&lt;$AH$6,"error",IF(AR176&gt;$AH$6*1.1,"error","aceptable"))</s:f>
        <s:v/>
      </s:c>
      <s:c r="BF176" s="232">
        <s:f>IF(AF176&lt;$V$6,"error",IF(AF176&gt;$V$6*1.1,"error","aceptable"))</s:f>
        <s:v/>
      </s:c>
      <s:c r="BG176" s="232">
        <s:f>IF(T176&lt;$J$6*0.9,"error",IF(T176&gt;$J$6,"error","aceptable"))</s:f>
        <s:v/>
      </s:c>
      <s:c r="BH176" s="234">
        <s:f>(IF(ABS(U176)&lt;1,"CONFORME",IF(ABS(AG176)&lt;1,"CONFORME",IF(ABS(AS176)&lt;2.5,"CONFORME","NO CONFORME"))))</s:f>
        <s:v/>
      </s:c>
      <s:c r="BI176" s="235">
        <s:f>(IF(ABS(U176)&gt;2.044,"NO CONFORME",IF(ABS(AG176)&gt;2.044,"NO CONFORME",IF(ABS(AS176)&gt;5.044,"NO CONFORME","CONFORME"))))</s:f>
        <s:v/>
      </s:c>
      <s:c r="BJ176" s="233">
        <s:f>SIGN(U176)</s:f>
        <s:v/>
      </s:c>
      <s:c r="BK176" s="233">
        <s:f>SIGN(AG176)</s:f>
        <s:v/>
      </s:c>
      <s:c r="BL176" s="233">
        <s:f>SIGN(AS176)</s:f>
        <s:v/>
      </s:c>
      <s:c r="BM176" s="233">
        <s:f>CONCATENATE(BJ176,BK176,BL176)</s:f>
        <s:v/>
      </s:c>
      <s:c r="BN176" s="233">
        <s:f>IF(BM176="111","SI","SD")</s:f>
        <s:v/>
      </s:c>
      <s:c r="BO176" s="233">
        <s:f>IF(BM176="-1-1-1","SI","SD")</s:f>
        <s:v/>
      </s:c>
      <s:c r="BP176" s="233">
        <s:f>OR(BN176="SI",BO176="SI")</s:f>
        <s:v/>
      </s:c>
      <s:c r="BQ176" s="233">
        <s:f>IF(BP176=FALSE,"SIGDIFERENTES","SIGIGUALES")</s:f>
        <s:v/>
      </s:c>
      <s:c r="BR176" s="236">
        <s:f>IF(BI176="NO CONFORME","NO CONFORME",IF(BH176="CONFORME","CONFORME","NO CONFORME"))</s:f>
        <s:v/>
      </s:c>
      <s:c r="BS176" s="233">
        <s:f>F176</s:f>
        <s:v/>
      </s:c>
      <s:c r="BT176" s="237">
        <s:f>G176</s:f>
        <s:v/>
      </s:c>
      <s:c r="BU176" s="233">
        <s:f>"20"&amp;+MID(G176,3,2)</s:f>
        <s:v/>
      </s:c>
      <s:c r="BV176" s="238">
        <s:f>C176</s:f>
        <s:v/>
      </s:c>
      <s:c r="BW176" s="233">
        <s:f>AT176</s:f>
        <s:v/>
      </s:c>
      <s:c r="BX176" s="238">
        <s:f>B176</s:f>
        <s:v/>
      </s:c>
      <s:c r="BY176" s="239">
        <s:f>H176</s:f>
        <s:v/>
      </s:c>
      <s:c r="BZ176" s="233">
        <s:f>IF(I176=0,"CONFORME","NO CONFORME")</s:f>
        <s:v/>
      </s:c>
      <s:c r="CA176" s="238">
        <s:f>C176</s:f>
        <s:v/>
      </s:c>
      <s:c r="CB176" s="240">
        <s:f>AH176</s:f>
        <s:v/>
      </s:c>
      <s:c r="CC176" s="241">
        <s:f>AR176</s:f>
        <s:v/>
      </s:c>
      <s:c r="CD176" s="240">
        <s:f>AI176</s:f>
        <s:v/>
      </s:c>
      <s:c r="CE176" s="240">
        <s:f>AJ176</s:f>
        <s:v/>
      </s:c>
      <s:c r="CF176" s="240">
        <s:f>AS176</s:f>
        <s:v/>
      </s:c>
      <s:c r="CG176" s="240">
        <s:f>V176</s:f>
        <s:v/>
      </s:c>
      <s:c r="CH176" s="241">
        <s:f>AF176</s:f>
        <s:v/>
      </s:c>
      <s:c r="CI176" s="240">
        <s:f>W176</s:f>
        <s:v/>
      </s:c>
      <s:c r="CJ176" s="240">
        <s:f>X176</s:f>
        <s:v/>
      </s:c>
      <s:c r="CK176" s="240">
        <s:f>AG176</s:f>
        <s:v/>
      </s:c>
      <s:c r="CL176" s="240">
        <s:f>J176</s:f>
        <s:v/>
      </s:c>
      <s:c r="CM176" s="241">
        <s:f>T176</s:f>
        <s:v/>
      </s:c>
      <s:c r="CN176" s="240">
        <s:f>K176</s:f>
        <s:v/>
      </s:c>
      <s:c r="CO176" s="240">
        <s:f>L176</s:f>
        <s:v/>
      </s:c>
      <s:c r="CP176" s="242">
        <s:f>U176</s:f>
        <s:v/>
      </s:c>
      <s:c r="CQ176" s="233">
        <s:f>AT176</s:f>
        <s:v/>
      </s:c>
    </s:row>
    <s:row r="177">
      <s:c r="A177" s="211" t="n">
        <s:v>77</s:v>
      </s:c>
      <s:c r="B177" s="212" t="n">
        <s:v>45901</s:v>
      </s:c>
      <s:c r="C177" s="213" t="n">
        <s:v>45901</s:v>
      </s:c>
      <s:c r="D177" s="214" t="n">
        <s:v>3</s:v>
      </s:c>
      <s:c r="E177" s="215" t="n">
        <s:v>13</s:v>
      </s:c>
      <s:c r="F177" s="216" t="inlineStr">
        <s:is>
          <s:t>VI-236652-2025</s:t>
        </s:is>
      </s:c>
      <s:c r="G177" s="217" t="inlineStr">
        <s:is>
          <s:t>QA25418521</s:t>
        </s:is>
      </s:c>
      <s:c r="H177" s="218" t="n">
        <s:v>16</s:v>
      </s:c>
      <s:c r="I177" s="219" t="n">
        <s:v>0</s:v>
      </s:c>
      <s:c r="J177" s="220" t="n">
        <s:v>19.5</s:v>
      </s:c>
      <s:c r="K177" s="221" t="n">
        <s:v>7.511</s:v>
      </s:c>
      <s:c r="L177" s="221" t="n">
        <s:v>1.259</s:v>
      </s:c>
      <s:c r="M177" s="222" t="n">
        <s:v>380.36</s:v>
      </s:c>
      <s:c r="N177" s="222" t="n">
        <s:v>481.19</s:v>
      </s:c>
      <s:c r="O177" s="222" t="n">
        <s:v>100.58</s:v>
      </s:c>
      <s:c r="P177" s="223" t="inlineStr">
        <s:is>
          <s:t>2,31,120</s:t>
        </s:is>
      </s:c>
      <s:c r="Q177" s="224" t="inlineStr">
        <s:is>
          <s:t>2</s:t>
        </s:is>
      </s:c>
      <s:c r="R177" s="224" t="inlineStr">
        <s:is>
          <s:t>31,120</s:t>
        </s:is>
      </s:c>
      <s:c r="S177" s="224" t="n">
        <s:v>0.04197777777777778</s:v>
      </s:c>
      <s:c r="T177" s="225" t="n">
        <s:v>2396.029645314981</s:v>
      </s:c>
      <s:c r="U177" s="226" t="n">
        <s:v>0.2485583615032669</s:v>
      </s:c>
      <s:c r="V177" s="220" t="n">
        <s:v>19.3</s:v>
      </s:c>
      <s:c r="W177" s="221" t="n">
        <s:v>1.092</s:v>
      </s:c>
      <s:c r="X177" s="221" t="n">
        <s:v>1.08</s:v>
      </s:c>
      <s:c r="Y177" s="222" t="n">
        <s:v>493.43</s:v>
      </s:c>
      <s:c r="Z177" s="222" t="n">
        <s:v>498.46</s:v>
      </s:c>
      <s:c r="AA177" s="227" t="n">
        <s:v>5.012</s:v>
      </s:c>
      <s:c r="AB177" s="228" t="inlineStr">
        <s:is>
          <s:t>11,23,220</s:t>
        </s:is>
      </s:c>
      <s:c r="AC177" s="224" t="inlineStr">
        <s:is>
          <s:t>11</s:t>
        </s:is>
      </s:c>
      <s:c r="AD177" s="224" t="inlineStr">
        <s:is>
          <s:t>23,220</s:t>
        </s:is>
      </s:c>
      <s:c r="AE177" s="224" t="n">
        <s:v>0.1897833333333333</s:v>
      </s:c>
      <s:c r="AF177" s="225" t="n">
        <s:v>26.40906296654079</s:v>
      </s:c>
      <s:c r="AG177" s="229" t="n">
        <s:v>0.3591380686347396</s:v>
      </s:c>
      <s:c r="AH177" s="220" t="n">
        <s:v>19.2</s:v>
      </s:c>
      <s:c r="AI177" s="221" t="n">
        <s:v>1.098</s:v>
      </s:c>
      <s:c r="AJ177" s="221" t="n">
        <s:v>1.085</s:v>
      </s:c>
      <s:c r="AK177" s="222" t="n">
        <s:v>498.46</s:v>
      </s:c>
      <s:c r="AL177" s="222" t="n">
        <s:v>500.44</s:v>
      </s:c>
      <s:c r="AM177" s="230" t="n">
        <s:v>2.005</s:v>
      </s:c>
      <s:c r="AN177" s="223" t="inlineStr">
        <s:is>
          <s:t>7,18,600</s:t>
        </s:is>
      </s:c>
      <s:c r="AO177" s="224" t="inlineStr">
        <s:is>
          <s:t>7,</s:t>
        </s:is>
      </s:c>
      <s:c r="AP177" s="224" t="inlineStr">
        <s:is>
          <s:t>18,600</s:t>
        </s:is>
      </s:c>
      <s:c r="AQ177" s="224" t="n">
        <s:v>0.1218333333333333</s:v>
      </s:c>
      <s:c r="AR177" s="225" t="n">
        <s:v>16.45690834473324</s:v>
      </s:c>
      <s:c r="AS177" s="229" t="n">
        <s:v>-1.246882793016544</s:v>
      </s:c>
      <s:c r="AT177" s="231" t="inlineStr">
        <s:is>
          <s:t>CONFORME</s:t>
        </s:is>
      </s:c>
      <s:c r="AU177" s="232">
        <s:f>B177=C177</s:f>
        <s:v/>
      </s:c>
      <s:c r="AV177" s="233">
        <s:f>MID(G177,1,2)</s:f>
        <s:v/>
      </s:c>
      <s:c r="AW177" s="233">
        <s:f>LEN(G177)</s:f>
        <s:v/>
      </s:c>
      <s:c r="AX177" s="233" t="inlineStr">
        <s:is>
          <s:t>OI-0923-2025</s:t>
        </s:is>
      </s:c>
      <s:c r="AY177" s="233">
        <s:f>N177&lt;Y177</s:f>
        <s:v/>
      </s:c>
      <s:c r="AZ177" s="233">
        <s:f>Z177&lt;=AK177</s:f>
        <s:v/>
      </s:c>
      <s:c r="BA177" s="233">
        <s:f>L177&lt;K177</s:f>
        <s:v/>
      </s:c>
      <s:c r="BB177" s="233">
        <s:f>W177&gt;=X177</s:f>
        <s:v/>
      </s:c>
      <s:c r="BC177" s="233">
        <s:f>AI177&gt;=AJ177</s:f>
        <s:v/>
      </s:c>
      <s:c r="BD177" s="233">
        <s:f>IF(I177&gt;=1,"Qcorrecto",IF(AND(BE177="aceptable",BF177="aceptable",BG177="aceptable"),"Qcorrecto","Qincorrecto"))</s:f>
        <s:v/>
      </s:c>
      <s:c r="BE177" s="232">
        <s:f>IF(AR177&lt;$AH$6,"error",IF(AR177&gt;$AH$6*1.1,"error","aceptable"))</s:f>
        <s:v/>
      </s:c>
      <s:c r="BF177" s="232">
        <s:f>IF(AF177&lt;$V$6,"error",IF(AF177&gt;$V$6*1.1,"error","aceptable"))</s:f>
        <s:v/>
      </s:c>
      <s:c r="BG177" s="232">
        <s:f>IF(T177&lt;$J$6*0.9,"error",IF(T177&gt;$J$6,"error","aceptable"))</s:f>
        <s:v/>
      </s:c>
      <s:c r="BH177" s="234">
        <s:f>(IF(ABS(U177)&lt;1,"CONFORME",IF(ABS(AG177)&lt;1,"CONFORME",IF(ABS(AS177)&lt;2.5,"CONFORME","NO CONFORME"))))</s:f>
        <s:v/>
      </s:c>
      <s:c r="BI177" s="235">
        <s:f>(IF(ABS(U177)&gt;2.044,"NO CONFORME",IF(ABS(AG177)&gt;2.044,"NO CONFORME",IF(ABS(AS177)&gt;5.044,"NO CONFORME","CONFORME"))))</s:f>
        <s:v/>
      </s:c>
      <s:c r="BJ177" s="233">
        <s:f>SIGN(U177)</s:f>
        <s:v/>
      </s:c>
      <s:c r="BK177" s="233">
        <s:f>SIGN(AG177)</s:f>
        <s:v/>
      </s:c>
      <s:c r="BL177" s="233">
        <s:f>SIGN(AS177)</s:f>
        <s:v/>
      </s:c>
      <s:c r="BM177" s="233">
        <s:f>CONCATENATE(BJ177,BK177,BL177)</s:f>
        <s:v/>
      </s:c>
      <s:c r="BN177" s="233">
        <s:f>IF(BM177="111","SI","SD")</s:f>
        <s:v/>
      </s:c>
      <s:c r="BO177" s="233">
        <s:f>IF(BM177="-1-1-1","SI","SD")</s:f>
        <s:v/>
      </s:c>
      <s:c r="BP177" s="233">
        <s:f>OR(BN177="SI",BO177="SI")</s:f>
        <s:v/>
      </s:c>
      <s:c r="BQ177" s="233">
        <s:f>IF(BP177=FALSE,"SIGDIFERENTES","SIGIGUALES")</s:f>
        <s:v/>
      </s:c>
      <s:c r="BR177" s="236">
        <s:f>IF(BI177="NO CONFORME","NO CONFORME",IF(BH177="CONFORME","CONFORME","NO CONFORME"))</s:f>
        <s:v/>
      </s:c>
      <s:c r="BS177" s="233">
        <s:f>F177</s:f>
        <s:v/>
      </s:c>
      <s:c r="BT177" s="237">
        <s:f>G177</s:f>
        <s:v/>
      </s:c>
      <s:c r="BU177" s="233">
        <s:f>"20"&amp;+MID(G177,3,2)</s:f>
        <s:v/>
      </s:c>
      <s:c r="BV177" s="238">
        <s:f>C177</s:f>
        <s:v/>
      </s:c>
      <s:c r="BW177" s="233">
        <s:f>AT177</s:f>
        <s:v/>
      </s:c>
      <s:c r="BX177" s="238">
        <s:f>B177</s:f>
        <s:v/>
      </s:c>
      <s:c r="BY177" s="239">
        <s:f>H177</s:f>
        <s:v/>
      </s:c>
      <s:c r="BZ177" s="233">
        <s:f>IF(I177=0,"CONFORME","NO CONFORME")</s:f>
        <s:v/>
      </s:c>
      <s:c r="CA177" s="238">
        <s:f>C177</s:f>
        <s:v/>
      </s:c>
      <s:c r="CB177" s="240">
        <s:f>AH177</s:f>
        <s:v/>
      </s:c>
      <s:c r="CC177" s="241">
        <s:f>AR177</s:f>
        <s:v/>
      </s:c>
      <s:c r="CD177" s="240">
        <s:f>AI177</s:f>
        <s:v/>
      </s:c>
      <s:c r="CE177" s="240">
        <s:f>AJ177</s:f>
        <s:v/>
      </s:c>
      <s:c r="CF177" s="240">
        <s:f>AS177</s:f>
        <s:v/>
      </s:c>
      <s:c r="CG177" s="240">
        <s:f>V177</s:f>
        <s:v/>
      </s:c>
      <s:c r="CH177" s="241">
        <s:f>AF177</s:f>
        <s:v/>
      </s:c>
      <s:c r="CI177" s="240">
        <s:f>W177</s:f>
        <s:v/>
      </s:c>
      <s:c r="CJ177" s="240">
        <s:f>X177</s:f>
        <s:v/>
      </s:c>
      <s:c r="CK177" s="240">
        <s:f>AG177</s:f>
        <s:v/>
      </s:c>
      <s:c r="CL177" s="240">
        <s:f>J177</s:f>
        <s:v/>
      </s:c>
      <s:c r="CM177" s="241">
        <s:f>T177</s:f>
        <s:v/>
      </s:c>
      <s:c r="CN177" s="240">
        <s:f>K177</s:f>
        <s:v/>
      </s:c>
      <s:c r="CO177" s="240">
        <s:f>L177</s:f>
        <s:v/>
      </s:c>
      <s:c r="CP177" s="242">
        <s:f>U177</s:f>
        <s:v/>
      </s:c>
      <s:c r="CQ177" s="233">
        <s:f>AT177</s:f>
        <s:v/>
      </s:c>
    </s:row>
    <s:row r="178">
      <s:c r="A178" s="211" t="n">
        <s:v>78</s:v>
      </s:c>
      <s:c r="B178" s="212" t="n">
        <s:v>45901</s:v>
      </s:c>
      <s:c r="C178" s="213" t="n">
        <s:v>45901</s:v>
      </s:c>
      <s:c r="D178" s="214" t="n">
        <s:v>3</s:v>
      </s:c>
      <s:c r="E178" s="215" t="n">
        <s:v>13</s:v>
      </s:c>
      <s:c r="F178" s="216" t="inlineStr">
        <s:is>
          <s:t>VI-236653-2025</s:t>
        </s:is>
      </s:c>
      <s:c r="G178" s="217" t="inlineStr">
        <s:is>
          <s:t>QA25418497</s:t>
        </s:is>
      </s:c>
      <s:c r="H178" s="218" t="n">
        <s:v>16</s:v>
      </s:c>
      <s:c r="I178" s="219" t="n">
        <s:v>0</s:v>
      </s:c>
      <s:c r="J178" s="220" t="n">
        <s:v>19.5</s:v>
      </s:c>
      <s:c r="K178" s="221" t="n">
        <s:v>7.511</s:v>
      </s:c>
      <s:c r="L178" s="221" t="n">
        <s:v>1.259</s:v>
      </s:c>
      <s:c r="M178" s="222" t="n">
        <s:v>301.3</s:v>
      </s:c>
      <s:c r="N178" s="222" t="n">
        <s:v>401.62</s:v>
      </s:c>
      <s:c r="O178" s="222" t="n">
        <s:v>100.58</s:v>
      </s:c>
      <s:c r="P178" s="223" t="inlineStr">
        <s:is>
          <s:t>2,31,120</s:t>
        </s:is>
      </s:c>
      <s:c r="Q178" s="224" t="inlineStr">
        <s:is>
          <s:t>2</s:t>
        </s:is>
      </s:c>
      <s:c r="R178" s="224" t="inlineStr">
        <s:is>
          <s:t>31,120</s:t>
        </s:is>
      </s:c>
      <s:c r="S178" s="224" t="n">
        <s:v>0.04197777777777778</s:v>
      </s:c>
      <s:c r="T178" s="225" t="n">
        <s:v>2396.029645314981</s:v>
      </s:c>
      <s:c r="U178" s="226" t="n">
        <s:v>-0.2585006959634173</s:v>
      </s:c>
      <s:c r="V178" s="220" t="n">
        <s:v>19.3</s:v>
      </s:c>
      <s:c r="W178" s="221" t="n">
        <s:v>1.092</s:v>
      </s:c>
      <s:c r="X178" s="221" t="n">
        <s:v>1.08</s:v>
      </s:c>
      <s:c r="Y178" s="222" t="n">
        <s:v>413.74</s:v>
      </s:c>
      <s:c r="Z178" s="222" t="n">
        <s:v>418.81</s:v>
      </s:c>
      <s:c r="AA178" s="227" t="n">
        <s:v>5.012</s:v>
      </s:c>
      <s:c r="AB178" s="228" t="inlineStr">
        <s:is>
          <s:t>11,23,220</s:t>
        </s:is>
      </s:c>
      <s:c r="AC178" s="224" t="inlineStr">
        <s:is>
          <s:t>11</s:t>
        </s:is>
      </s:c>
      <s:c r="AD178" s="224" t="inlineStr">
        <s:is>
          <s:t>23,220</s:t>
        </s:is>
      </s:c>
      <s:c r="AE178" s="224" t="n">
        <s:v>0.1897833333333333</s:v>
      </s:c>
      <s:c r="AF178" s="225" t="n">
        <s:v>26.40906296654079</s:v>
      </s:c>
      <s:c r="AG178" s="229" t="n">
        <s:v>1.157222665602426</s:v>
      </s:c>
      <s:c r="AH178" s="220" t="n">
        <s:v>19.2</s:v>
      </s:c>
      <s:c r="AI178" s="221" t="n">
        <s:v>1.098</s:v>
      </s:c>
      <s:c r="AJ178" s="221" t="n">
        <s:v>1.085</s:v>
      </s:c>
      <s:c r="AK178" s="222" t="n">
        <s:v>418.81</s:v>
      </s:c>
      <s:c r="AL178" s="222" t="n">
        <s:v>420.84</s:v>
      </s:c>
      <s:c r="AM178" s="230" t="n">
        <s:v>2.005</s:v>
      </s:c>
      <s:c r="AN178" s="223" t="inlineStr">
        <s:is>
          <s:t>7,18,600</s:t>
        </s:is>
      </s:c>
      <s:c r="AO178" s="224" t="inlineStr">
        <s:is>
          <s:t>7,</s:t>
        </s:is>
      </s:c>
      <s:c r="AP178" s="224" t="inlineStr">
        <s:is>
          <s:t>18,600</s:t>
        </s:is>
      </s:c>
      <s:c r="AQ178" s="224" t="n">
        <s:v>0.1218333333333333</s:v>
      </s:c>
      <s:c r="AR178" s="225" t="n">
        <s:v>16.45690834473324</s:v>
      </s:c>
      <s:c r="AS178" s="229" t="n">
        <s:v>1.246882793016101</s:v>
      </s:c>
      <s:c r="AT178" s="231" t="inlineStr">
        <s:is>
          <s:t>CONFORME</s:t>
        </s:is>
      </s:c>
      <s:c r="AU178" s="232">
        <s:f>B178=C178</s:f>
        <s:v/>
      </s:c>
      <s:c r="AV178" s="233">
        <s:f>MID(G178,1,2)</s:f>
        <s:v/>
      </s:c>
      <s:c r="AW178" s="233">
        <s:f>LEN(G178)</s:f>
        <s:v/>
      </s:c>
      <s:c r="AX178" s="233" t="inlineStr">
        <s:is>
          <s:t>OI-0923-2025</s:t>
        </s:is>
      </s:c>
      <s:c r="AY178" s="233">
        <s:f>N178&lt;Y178</s:f>
        <s:v/>
      </s:c>
      <s:c r="AZ178" s="233">
        <s:f>Z178&lt;=AK178</s:f>
        <s:v/>
      </s:c>
      <s:c r="BA178" s="233">
        <s:f>L178&lt;K178</s:f>
        <s:v/>
      </s:c>
      <s:c r="BB178" s="233">
        <s:f>W178&gt;=X178</s:f>
        <s:v/>
      </s:c>
      <s:c r="BC178" s="233">
        <s:f>AI178&gt;=AJ178</s:f>
        <s:v/>
      </s:c>
      <s:c r="BD178" s="233">
        <s:f>IF(I178&gt;=1,"Qcorrecto",IF(AND(BE178="aceptable",BF178="aceptable",BG178="aceptable"),"Qcorrecto","Qincorrecto"))</s:f>
        <s:v/>
      </s:c>
      <s:c r="BE178" s="232">
        <s:f>IF(AR178&lt;$AH$6,"error",IF(AR178&gt;$AH$6*1.1,"error","aceptable"))</s:f>
        <s:v/>
      </s:c>
      <s:c r="BF178" s="232">
        <s:f>IF(AF178&lt;$V$6,"error",IF(AF178&gt;$V$6*1.1,"error","aceptable"))</s:f>
        <s:v/>
      </s:c>
      <s:c r="BG178" s="232">
        <s:f>IF(T178&lt;$J$6*0.9,"error",IF(T178&gt;$J$6,"error","aceptable"))</s:f>
        <s:v/>
      </s:c>
      <s:c r="BH178" s="234">
        <s:f>(IF(ABS(U178)&lt;1,"CONFORME",IF(ABS(AG178)&lt;1,"CONFORME",IF(ABS(AS178)&lt;2.5,"CONFORME","NO CONFORME"))))</s:f>
        <s:v/>
      </s:c>
      <s:c r="BI178" s="235">
        <s:f>(IF(ABS(U178)&gt;2.044,"NO CONFORME",IF(ABS(AG178)&gt;2.044,"NO CONFORME",IF(ABS(AS178)&gt;5.044,"NO CONFORME","CONFORME"))))</s:f>
        <s:v/>
      </s:c>
      <s:c r="BJ178" s="233">
        <s:f>SIGN(U178)</s:f>
        <s:v/>
      </s:c>
      <s:c r="BK178" s="233">
        <s:f>SIGN(AG178)</s:f>
        <s:v/>
      </s:c>
      <s:c r="BL178" s="233">
        <s:f>SIGN(AS178)</s:f>
        <s:v/>
      </s:c>
      <s:c r="BM178" s="233">
        <s:f>CONCATENATE(BJ178,BK178,BL178)</s:f>
        <s:v/>
      </s:c>
      <s:c r="BN178" s="233">
        <s:f>IF(BM178="111","SI","SD")</s:f>
        <s:v/>
      </s:c>
      <s:c r="BO178" s="233">
        <s:f>IF(BM178="-1-1-1","SI","SD")</s:f>
        <s:v/>
      </s:c>
      <s:c r="BP178" s="233">
        <s:f>OR(BN178="SI",BO178="SI")</s:f>
        <s:v/>
      </s:c>
      <s:c r="BQ178" s="233">
        <s:f>IF(BP178=FALSE,"SIGDIFERENTES","SIGIGUALES")</s:f>
        <s:v/>
      </s:c>
      <s:c r="BR178" s="236">
        <s:f>IF(BI178="NO CONFORME","NO CONFORME",IF(BH178="CONFORME","CONFORME","NO CONFORME"))</s:f>
        <s:v/>
      </s:c>
      <s:c r="BS178" s="233">
        <s:f>F178</s:f>
        <s:v/>
      </s:c>
      <s:c r="BT178" s="237">
        <s:f>G178</s:f>
        <s:v/>
      </s:c>
      <s:c r="BU178" s="233">
        <s:f>"20"&amp;+MID(G178,3,2)</s:f>
        <s:v/>
      </s:c>
      <s:c r="BV178" s="238">
        <s:f>C178</s:f>
        <s:v/>
      </s:c>
      <s:c r="BW178" s="233">
        <s:f>AT178</s:f>
        <s:v/>
      </s:c>
      <s:c r="BX178" s="238">
        <s:f>B178</s:f>
        <s:v/>
      </s:c>
      <s:c r="BY178" s="239">
        <s:f>H178</s:f>
        <s:v/>
      </s:c>
      <s:c r="BZ178" s="233">
        <s:f>IF(I178=0,"CONFORME","NO CONFORME")</s:f>
        <s:v/>
      </s:c>
      <s:c r="CA178" s="238">
        <s:f>C178</s:f>
        <s:v/>
      </s:c>
      <s:c r="CB178" s="240">
        <s:f>AH178</s:f>
        <s:v/>
      </s:c>
      <s:c r="CC178" s="241">
        <s:f>AR178</s:f>
        <s:v/>
      </s:c>
      <s:c r="CD178" s="240">
        <s:f>AI178</s:f>
        <s:v/>
      </s:c>
      <s:c r="CE178" s="240">
        <s:f>AJ178</s:f>
        <s:v/>
      </s:c>
      <s:c r="CF178" s="240">
        <s:f>AS178</s:f>
        <s:v/>
      </s:c>
      <s:c r="CG178" s="240">
        <s:f>V178</s:f>
        <s:v/>
      </s:c>
      <s:c r="CH178" s="241">
        <s:f>AF178</s:f>
        <s:v/>
      </s:c>
      <s:c r="CI178" s="240">
        <s:f>W178</s:f>
        <s:v/>
      </s:c>
      <s:c r="CJ178" s="240">
        <s:f>X178</s:f>
        <s:v/>
      </s:c>
      <s:c r="CK178" s="240">
        <s:f>AG178</s:f>
        <s:v/>
      </s:c>
      <s:c r="CL178" s="240">
        <s:f>J178</s:f>
        <s:v/>
      </s:c>
      <s:c r="CM178" s="241">
        <s:f>T178</s:f>
        <s:v/>
      </s:c>
      <s:c r="CN178" s="240">
        <s:f>K178</s:f>
        <s:v/>
      </s:c>
      <s:c r="CO178" s="240">
        <s:f>L178</s:f>
        <s:v/>
      </s:c>
      <s:c r="CP178" s="242">
        <s:f>U178</s:f>
        <s:v/>
      </s:c>
      <s:c r="CQ178" s="233">
        <s:f>AT178</s:f>
        <s:v/>
      </s:c>
    </s:row>
    <s:row r="179">
      <s:c r="A179" s="211" t="n">
        <s:v>79</s:v>
      </s:c>
      <s:c r="B179" s="212" t="n">
        <s:v>45901</s:v>
      </s:c>
      <s:c r="C179" s="213" t="n">
        <s:v>45901</s:v>
      </s:c>
      <s:c r="D179" s="214" t="n">
        <s:v>3</s:v>
      </s:c>
      <s:c r="E179" s="215" t="n">
        <s:v>13</s:v>
      </s:c>
      <s:c r="F179" s="216" t="inlineStr">
        <s:is>
          <s:t>VI-236654-2025</s:t>
        </s:is>
      </s:c>
      <s:c r="G179" s="217" t="inlineStr">
        <s:is>
          <s:t>QA25418802</s:t>
        </s:is>
      </s:c>
      <s:c r="H179" s="218" t="n">
        <s:v>16</s:v>
      </s:c>
      <s:c r="I179" s="219" t="n">
        <s:v>0</s:v>
      </s:c>
      <s:c r="J179" s="220" t="n">
        <s:v>19.5</s:v>
      </s:c>
      <s:c r="K179" s="221" t="n">
        <s:v>7.511</s:v>
      </s:c>
      <s:c r="L179" s="221" t="n">
        <s:v>1.259</s:v>
      </s:c>
      <s:c r="M179" s="222" t="n">
        <s:v>318.38</s:v>
      </s:c>
      <s:c r="N179" s="222" t="n">
        <s:v>418.24</s:v>
      </s:c>
      <s:c r="O179" s="222" t="n">
        <s:v>100.58</s:v>
      </s:c>
      <s:c r="P179" s="223" t="inlineStr">
        <s:is>
          <s:t>2,31,120</s:t>
        </s:is>
      </s:c>
      <s:c r="Q179" s="224" t="inlineStr">
        <s:is>
          <s:t>2</s:t>
        </s:is>
      </s:c>
      <s:c r="R179" s="224" t="inlineStr">
        <s:is>
          <s:t>31,120</s:t>
        </s:is>
      </s:c>
      <s:c r="S179" s="224" t="n">
        <s:v>0.04197777777777778</s:v>
      </s:c>
      <s:c r="T179" s="225" t="n">
        <s:v>2396.029645314981</s:v>
      </s:c>
      <s:c r="U179" s="226" t="n">
        <s:v>-0.7158480811294339</s:v>
      </s:c>
      <s:c r="V179" s="220" t="n">
        <s:v>19.3</s:v>
      </s:c>
      <s:c r="W179" s="221" t="n">
        <s:v>1.092</s:v>
      </s:c>
      <s:c r="X179" s="221" t="n">
        <s:v>1.08</s:v>
      </s:c>
      <s:c r="Y179" s="222" t="n">
        <s:v>430.18</s:v>
      </s:c>
      <s:c r="Z179" s="222" t="n">
        <s:v>435.18</s:v>
      </s:c>
      <s:c r="AA179" s="227" t="n">
        <s:v>5.012</s:v>
      </s:c>
      <s:c r="AB179" s="228" t="inlineStr">
        <s:is>
          <s:t>11,23,220</s:t>
        </s:is>
      </s:c>
      <s:c r="AC179" s="224" t="inlineStr">
        <s:is>
          <s:t>11</s:t>
        </s:is>
      </s:c>
      <s:c r="AD179" s="224" t="inlineStr">
        <s:is>
          <s:t>23,220</s:t>
        </s:is>
      </s:c>
      <s:c r="AE179" s="224" t="n">
        <s:v>0.1897833333333333</s:v>
      </s:c>
      <s:c r="AF179" s="225" t="n">
        <s:v>26.40906296654079</s:v>
      </s:c>
      <s:c r="AG179" s="229" t="n">
        <s:v>-0.2394253790901749</s:v>
      </s:c>
      <s:c r="AH179" s="220" t="n">
        <s:v>19.2</s:v>
      </s:c>
      <s:c r="AI179" s="221" t="n">
        <s:v>1.098</s:v>
      </s:c>
      <s:c r="AJ179" s="221" t="n">
        <s:v>1.085</s:v>
      </s:c>
      <s:c r="AK179" s="222" t="n">
        <s:v>435.18</s:v>
      </s:c>
      <s:c r="AL179" s="222" t="n">
        <s:v>437.16</s:v>
      </s:c>
      <s:c r="AM179" s="230" t="n">
        <s:v>2.005</s:v>
      </s:c>
      <s:c r="AN179" s="223" t="inlineStr">
        <s:is>
          <s:t>7,18,600</s:t>
        </s:is>
      </s:c>
      <s:c r="AO179" s="224" t="inlineStr">
        <s:is>
          <s:t>7,</s:t>
        </s:is>
      </s:c>
      <s:c r="AP179" s="224" t="inlineStr">
        <s:is>
          <s:t>18,600</s:t>
        </s:is>
      </s:c>
      <s:c r="AQ179" s="224" t="n">
        <s:v>0.1218333333333333</s:v>
      </s:c>
      <s:c r="AR179" s="225" t="n">
        <s:v>16.45690834473324</s:v>
      </s:c>
      <s:c r="AS179" s="229" t="n">
        <s:v>-1.246882793016544</s:v>
      </s:c>
      <s:c r="AT179" s="231" t="inlineStr">
        <s:is>
          <s:t>CONFORME</s:t>
        </s:is>
      </s:c>
      <s:c r="AU179" s="232">
        <s:f>B179=C179</s:f>
        <s:v/>
      </s:c>
      <s:c r="AV179" s="233">
        <s:f>MID(G179,1,2)</s:f>
        <s:v/>
      </s:c>
      <s:c r="AW179" s="233">
        <s:f>LEN(G179)</s:f>
        <s:v/>
      </s:c>
      <s:c r="AX179" s="233" t="inlineStr">
        <s:is>
          <s:t>OI-0923-2025</s:t>
        </s:is>
      </s:c>
      <s:c r="AY179" s="233">
        <s:f>N179&lt;Y179</s:f>
        <s:v/>
      </s:c>
      <s:c r="AZ179" s="233">
        <s:f>Z179&lt;=AK179</s:f>
        <s:v/>
      </s:c>
      <s:c r="BA179" s="233">
        <s:f>L179&lt;K179</s:f>
        <s:v/>
      </s:c>
      <s:c r="BB179" s="233">
        <s:f>W179&gt;=X179</s:f>
        <s:v/>
      </s:c>
      <s:c r="BC179" s="233">
        <s:f>AI179&gt;=AJ179</s:f>
        <s:v/>
      </s:c>
      <s:c r="BD179" s="233">
        <s:f>IF(I179&gt;=1,"Qcorrecto",IF(AND(BE179="aceptable",BF179="aceptable",BG179="aceptable"),"Qcorrecto","Qincorrecto"))</s:f>
        <s:v/>
      </s:c>
      <s:c r="BE179" s="232">
        <s:f>IF(AR179&lt;$AH$6,"error",IF(AR179&gt;$AH$6*1.1,"error","aceptable"))</s:f>
        <s:v/>
      </s:c>
      <s:c r="BF179" s="232">
        <s:f>IF(AF179&lt;$V$6,"error",IF(AF179&gt;$V$6*1.1,"error","aceptable"))</s:f>
        <s:v/>
      </s:c>
      <s:c r="BG179" s="232">
        <s:f>IF(T179&lt;$J$6*0.9,"error",IF(T179&gt;$J$6,"error","aceptable"))</s:f>
        <s:v/>
      </s:c>
      <s:c r="BH179" s="234">
        <s:f>(IF(ABS(U179)&lt;1,"CONFORME",IF(ABS(AG179)&lt;1,"CONFORME",IF(ABS(AS179)&lt;2.5,"CONFORME","NO CONFORME"))))</s:f>
        <s:v/>
      </s:c>
      <s:c r="BI179" s="235">
        <s:f>(IF(ABS(U179)&gt;2.044,"NO CONFORME",IF(ABS(AG179)&gt;2.044,"NO CONFORME",IF(ABS(AS179)&gt;5.044,"NO CONFORME","CONFORME"))))</s:f>
        <s:v/>
      </s:c>
      <s:c r="BJ179" s="233">
        <s:f>SIGN(U179)</s:f>
        <s:v/>
      </s:c>
      <s:c r="BK179" s="233">
        <s:f>SIGN(AG179)</s:f>
        <s:v/>
      </s:c>
      <s:c r="BL179" s="233">
        <s:f>SIGN(AS179)</s:f>
        <s:v/>
      </s:c>
      <s:c r="BM179" s="233">
        <s:f>CONCATENATE(BJ179,BK179,BL179)</s:f>
        <s:v/>
      </s:c>
      <s:c r="BN179" s="233">
        <s:f>IF(BM179="111","SI","SD")</s:f>
        <s:v/>
      </s:c>
      <s:c r="BO179" s="233">
        <s:f>IF(BM179="-1-1-1","SI","SD")</s:f>
        <s:v/>
      </s:c>
      <s:c r="BP179" s="233">
        <s:f>OR(BN179="SI",BO179="SI")</s:f>
        <s:v/>
      </s:c>
      <s:c r="BQ179" s="233">
        <s:f>IF(BP179=FALSE,"SIGDIFERENTES","SIGIGUALES")</s:f>
        <s:v/>
      </s:c>
      <s:c r="BR179" s="236">
        <s:f>IF(BI179="NO CONFORME","NO CONFORME",IF(BH179="CONFORME","CONFORME","NO CONFORME"))</s:f>
        <s:v/>
      </s:c>
      <s:c r="BS179" s="233">
        <s:f>F179</s:f>
        <s:v/>
      </s:c>
      <s:c r="BT179" s="237">
        <s:f>G179</s:f>
        <s:v/>
      </s:c>
      <s:c r="BU179" s="233">
        <s:f>"20"&amp;+MID(G179,3,2)</s:f>
        <s:v/>
      </s:c>
      <s:c r="BV179" s="238">
        <s:f>C179</s:f>
        <s:v/>
      </s:c>
      <s:c r="BW179" s="233">
        <s:f>AT179</s:f>
        <s:v/>
      </s:c>
      <s:c r="BX179" s="238">
        <s:f>B179</s:f>
        <s:v/>
      </s:c>
      <s:c r="BY179" s="239">
        <s:f>H179</s:f>
        <s:v/>
      </s:c>
      <s:c r="BZ179" s="233">
        <s:f>IF(I179=0,"CONFORME","NO CONFORME")</s:f>
        <s:v/>
      </s:c>
      <s:c r="CA179" s="238">
        <s:f>C179</s:f>
        <s:v/>
      </s:c>
      <s:c r="CB179" s="240">
        <s:f>AH179</s:f>
        <s:v/>
      </s:c>
      <s:c r="CC179" s="241">
        <s:f>AR179</s:f>
        <s:v/>
      </s:c>
      <s:c r="CD179" s="240">
        <s:f>AI179</s:f>
        <s:v/>
      </s:c>
      <s:c r="CE179" s="240">
        <s:f>AJ179</s:f>
        <s:v/>
      </s:c>
      <s:c r="CF179" s="240">
        <s:f>AS179</s:f>
        <s:v/>
      </s:c>
      <s:c r="CG179" s="240">
        <s:f>V179</s:f>
        <s:v/>
      </s:c>
      <s:c r="CH179" s="241">
        <s:f>AF179</s:f>
        <s:v/>
      </s:c>
      <s:c r="CI179" s="240">
        <s:f>W179</s:f>
        <s:v/>
      </s:c>
      <s:c r="CJ179" s="240">
        <s:f>X179</s:f>
        <s:v/>
      </s:c>
      <s:c r="CK179" s="240">
        <s:f>AG179</s:f>
        <s:v/>
      </s:c>
      <s:c r="CL179" s="240">
        <s:f>J179</s:f>
        <s:v/>
      </s:c>
      <s:c r="CM179" s="241">
        <s:f>T179</s:f>
        <s:v/>
      </s:c>
      <s:c r="CN179" s="240">
        <s:f>K179</s:f>
        <s:v/>
      </s:c>
      <s:c r="CO179" s="240">
        <s:f>L179</s:f>
        <s:v/>
      </s:c>
      <s:c r="CP179" s="242">
        <s:f>U179</s:f>
        <s:v/>
      </s:c>
      <s:c r="CQ179" s="233">
        <s:f>AT179</s:f>
        <s:v/>
      </s:c>
    </s:row>
    <s:row r="180">
      <s:c r="A180" s="211" t="n">
        <s:v>80</s:v>
      </s:c>
      <s:c r="B180" s="212" t="n">
        <s:v>45901</s:v>
      </s:c>
      <s:c r="C180" s="213" t="n">
        <s:v>45901</s:v>
      </s:c>
      <s:c r="D180" s="214" t="n">
        <s:v>3</s:v>
      </s:c>
      <s:c r="E180" s="215" t="n">
        <s:v>13</s:v>
      </s:c>
      <s:c r="F180" s="216" t="inlineStr">
        <s:is>
          <s:t>VI-236655-2025</s:t>
        </s:is>
      </s:c>
      <s:c r="G180" s="217" t="inlineStr">
        <s:is>
          <s:t>QA25418613</s:t>
        </s:is>
      </s:c>
      <s:c r="H180" s="218" t="n">
        <s:v>16</s:v>
      </s:c>
      <s:c r="I180" s="219" t="n">
        <s:v>0</s:v>
      </s:c>
      <s:c r="J180" s="220" t="n">
        <s:v>19.5</s:v>
      </s:c>
      <s:c r="K180" s="221" t="n">
        <s:v>7.511</s:v>
      </s:c>
      <s:c r="L180" s="221" t="n">
        <s:v>1.259</s:v>
      </s:c>
      <s:c r="M180" s="222" t="n">
        <s:v>349.48</s:v>
      </s:c>
      <s:c r="N180" s="222" t="n">
        <s:v>448.95</s:v>
      </s:c>
      <s:c r="O180" s="222" t="n">
        <s:v>100.58</s:v>
      </s:c>
      <s:c r="P180" s="223" t="inlineStr">
        <s:is>
          <s:t>2,31,120</s:t>
        </s:is>
      </s:c>
      <s:c r="Q180" s="224" t="inlineStr">
        <s:is>
          <s:t>2</s:t>
        </s:is>
      </s:c>
      <s:c r="R180" s="224" t="inlineStr">
        <s:is>
          <s:t>31,120</s:t>
        </s:is>
      </s:c>
      <s:c r="S180" s="224" t="n">
        <s:v>0.04197777777777778</s:v>
      </s:c>
      <s:c r="T180" s="225" t="n">
        <s:v>2396.029645314981</s:v>
      </s:c>
      <s:c r="U180" s="226" t="n">
        <s:v>-1.103599125074595</s:v>
      </s:c>
      <s:c r="V180" s="220" t="n">
        <s:v>19.3</s:v>
      </s:c>
      <s:c r="W180" s="221" t="n">
        <s:v>1.092</s:v>
      </s:c>
      <s:c r="X180" s="221" t="n">
        <s:v>1.08</s:v>
      </s:c>
      <s:c r="Y180" s="222" t="n">
        <s:v>460.93</s:v>
      </s:c>
      <s:c r="Z180" s="222" t="n">
        <s:v>465.94</s:v>
      </s:c>
      <s:c r="AA180" s="227" t="n">
        <s:v>5.012</s:v>
      </s:c>
      <s:c r="AB180" s="228" t="inlineStr">
        <s:is>
          <s:t>11,23,220</s:t>
        </s:is>
      </s:c>
      <s:c r="AC180" s="224" t="inlineStr">
        <s:is>
          <s:t>11</s:t>
        </s:is>
      </s:c>
      <s:c r="AD180" s="224" t="inlineStr">
        <s:is>
          <s:t>23,220</s:t>
        </s:is>
      </s:c>
      <s:c r="AE180" s="224" t="n">
        <s:v>0.1897833333333333</s:v>
      </s:c>
      <s:c r="AF180" s="225" t="n">
        <s:v>26.40906296654079</s:v>
      </s:c>
      <s:c r="AG180" s="229" t="n">
        <s:v>-0.03990422984853675</s:v>
      </s:c>
      <s:c r="AH180" s="220" t="n">
        <s:v>19.2</s:v>
      </s:c>
      <s:c r="AI180" s="221" t="n">
        <s:v>1.098</s:v>
      </s:c>
      <s:c r="AJ180" s="221" t="n">
        <s:v>1.085</s:v>
      </s:c>
      <s:c r="AK180" s="222" t="n">
        <s:v>465.94</s:v>
      </s:c>
      <s:c r="AL180" s="222" t="n">
        <s:v>467.95</s:v>
      </s:c>
      <s:c r="AM180" s="230" t="n">
        <s:v>2.005</s:v>
      </s:c>
      <s:c r="AN180" s="223" t="inlineStr">
        <s:is>
          <s:t>7,18,600</s:t>
        </s:is>
      </s:c>
      <s:c r="AO180" s="224" t="inlineStr">
        <s:is>
          <s:t>7,</s:t>
        </s:is>
      </s:c>
      <s:c r="AP180" s="224" t="inlineStr">
        <s:is>
          <s:t>18,600</s:t>
        </s:is>
      </s:c>
      <s:c r="AQ180" s="224" t="n">
        <s:v>0.1218333333333333</s:v>
      </s:c>
      <s:c r="AR180" s="225" t="n">
        <s:v>16.45690834473324</s:v>
      </s:c>
      <s:c r="AS180" s="229" t="n">
        <s:v>0.249376558603043</s:v>
      </s:c>
      <s:c r="AT180" s="231" t="inlineStr">
        <s:is>
          <s:t>CONFORME</s:t>
        </s:is>
      </s:c>
      <s:c r="AU180" s="232">
        <s:f>B180=C180</s:f>
        <s:v/>
      </s:c>
      <s:c r="AV180" s="233">
        <s:f>MID(G180,1,2)</s:f>
        <s:v/>
      </s:c>
      <s:c r="AW180" s="233">
        <s:f>LEN(G180)</s:f>
        <s:v/>
      </s:c>
      <s:c r="AX180" s="233" t="inlineStr">
        <s:is>
          <s:t>OI-0923-2025</s:t>
        </s:is>
      </s:c>
      <s:c r="AY180" s="233">
        <s:f>N180&lt;Y180</s:f>
        <s:v/>
      </s:c>
      <s:c r="AZ180" s="233">
        <s:f>Z180&lt;=AK180</s:f>
        <s:v/>
      </s:c>
      <s:c r="BA180" s="233">
        <s:f>L180&lt;K180</s:f>
        <s:v/>
      </s:c>
      <s:c r="BB180" s="233">
        <s:f>W180&gt;=X180</s:f>
        <s:v/>
      </s:c>
      <s:c r="BC180" s="233">
        <s:f>AI180&gt;=AJ180</s:f>
        <s:v/>
      </s:c>
      <s:c r="BD180" s="233">
        <s:f>IF(I180&gt;=1,"Qcorrecto",IF(AND(BE180="aceptable",BF180="aceptable",BG180="aceptable"),"Qcorrecto","Qincorrecto"))</s:f>
        <s:v/>
      </s:c>
      <s:c r="BE180" s="232">
        <s:f>IF(AR180&lt;$AH$6,"error",IF(AR180&gt;$AH$6*1.1,"error","aceptable"))</s:f>
        <s:v/>
      </s:c>
      <s:c r="BF180" s="232">
        <s:f>IF(AF180&lt;$V$6,"error",IF(AF180&gt;$V$6*1.1,"error","aceptable"))</s:f>
        <s:v/>
      </s:c>
      <s:c r="BG180" s="232">
        <s:f>IF(T180&lt;$J$6*0.9,"error",IF(T180&gt;$J$6,"error","aceptable"))</s:f>
        <s:v/>
      </s:c>
      <s:c r="BH180" s="234">
        <s:f>(IF(ABS(U180)&lt;1,"CONFORME",IF(ABS(AG180)&lt;1,"CONFORME",IF(ABS(AS180)&lt;2.5,"CONFORME","NO CONFORME"))))</s:f>
        <s:v/>
      </s:c>
      <s:c r="BI180" s="235">
        <s:f>(IF(ABS(U180)&gt;2.044,"NO CONFORME",IF(ABS(AG180)&gt;2.044,"NO CONFORME",IF(ABS(AS180)&gt;5.044,"NO CONFORME","CONFORME"))))</s:f>
        <s:v/>
      </s:c>
      <s:c r="BJ180" s="233">
        <s:f>SIGN(U180)</s:f>
        <s:v/>
      </s:c>
      <s:c r="BK180" s="233">
        <s:f>SIGN(AG180)</s:f>
        <s:v/>
      </s:c>
      <s:c r="BL180" s="233">
        <s:f>SIGN(AS180)</s:f>
        <s:v/>
      </s:c>
      <s:c r="BM180" s="233">
        <s:f>CONCATENATE(BJ180,BK180,BL180)</s:f>
        <s:v/>
      </s:c>
      <s:c r="BN180" s="233">
        <s:f>IF(BM180="111","SI","SD")</s:f>
        <s:v/>
      </s:c>
      <s:c r="BO180" s="233">
        <s:f>IF(BM180="-1-1-1","SI","SD")</s:f>
        <s:v/>
      </s:c>
      <s:c r="BP180" s="233">
        <s:f>OR(BN180="SI",BO180="SI")</s:f>
        <s:v/>
      </s:c>
      <s:c r="BQ180" s="233">
        <s:f>IF(BP180=FALSE,"SIGDIFERENTES","SIGIGUALES")</s:f>
        <s:v/>
      </s:c>
      <s:c r="BR180" s="236">
        <s:f>IF(BI180="NO CONFORME","NO CONFORME",IF(BH180="CONFORME","CONFORME","NO CONFORME"))</s:f>
        <s:v/>
      </s:c>
      <s:c r="BS180" s="233">
        <s:f>F180</s:f>
        <s:v/>
      </s:c>
      <s:c r="BT180" s="237">
        <s:f>G180</s:f>
        <s:v/>
      </s:c>
      <s:c r="BU180" s="233">
        <s:f>"20"&amp;+MID(G180,3,2)</s:f>
        <s:v/>
      </s:c>
      <s:c r="BV180" s="238">
        <s:f>C180</s:f>
        <s:v/>
      </s:c>
      <s:c r="BW180" s="233">
        <s:f>AT180</s:f>
        <s:v/>
      </s:c>
      <s:c r="BX180" s="238">
        <s:f>B180</s:f>
        <s:v/>
      </s:c>
      <s:c r="BY180" s="239">
        <s:f>H180</s:f>
        <s:v/>
      </s:c>
      <s:c r="BZ180" s="233">
        <s:f>IF(I180=0,"CONFORME","NO CONFORME")</s:f>
        <s:v/>
      </s:c>
      <s:c r="CA180" s="238">
        <s:f>C180</s:f>
        <s:v/>
      </s:c>
      <s:c r="CB180" s="240">
        <s:f>AH180</s:f>
        <s:v/>
      </s:c>
      <s:c r="CC180" s="241">
        <s:f>AR180</s:f>
        <s:v/>
      </s:c>
      <s:c r="CD180" s="240">
        <s:f>AI180</s:f>
        <s:v/>
      </s:c>
      <s:c r="CE180" s="240">
        <s:f>AJ180</s:f>
        <s:v/>
      </s:c>
      <s:c r="CF180" s="240">
        <s:f>AS180</s:f>
        <s:v/>
      </s:c>
      <s:c r="CG180" s="240">
        <s:f>V180</s:f>
        <s:v/>
      </s:c>
      <s:c r="CH180" s="241">
        <s:f>AF180</s:f>
        <s:v/>
      </s:c>
      <s:c r="CI180" s="240">
        <s:f>W180</s:f>
        <s:v/>
      </s:c>
      <s:c r="CJ180" s="240">
        <s:f>X180</s:f>
        <s:v/>
      </s:c>
      <s:c r="CK180" s="240">
        <s:f>AG180</s:f>
        <s:v/>
      </s:c>
      <s:c r="CL180" s="240">
        <s:f>J180</s:f>
        <s:v/>
      </s:c>
      <s:c r="CM180" s="241">
        <s:f>T180</s:f>
        <s:v/>
      </s:c>
      <s:c r="CN180" s="240">
        <s:f>K180</s:f>
        <s:v/>
      </s:c>
      <s:c r="CO180" s="240">
        <s:f>L180</s:f>
        <s:v/>
      </s:c>
      <s:c r="CP180" s="242">
        <s:f>U180</s:f>
        <s:v/>
      </s:c>
      <s:c r="CQ180" s="233">
        <s:f>AT180</s:f>
        <s:v/>
      </s:c>
    </s:row>
    <s:row r="181">
      <s:c r="A181" s="211" t="n">
        <s:v>81</s:v>
      </s:c>
      <s:c r="B181" s="212" t="n">
        <s:v>45901</s:v>
      </s:c>
      <s:c r="C181" s="213" t="n">
        <s:v>45901</s:v>
      </s:c>
      <s:c r="D181" s="214" t="n">
        <s:v>3</s:v>
      </s:c>
      <s:c r="E181" s="215" t="n">
        <s:v>13</s:v>
      </s:c>
      <s:c r="F181" s="216" t="inlineStr">
        <s:is>
          <s:t>VI-236656-2025</s:t>
        </s:is>
      </s:c>
      <s:c r="G181" s="217" t="inlineStr">
        <s:is>
          <s:t>QA25418801</s:t>
        </s:is>
      </s:c>
      <s:c r="H181" s="218" t="n">
        <s:v>16</s:v>
      </s:c>
      <s:c r="I181" s="219" t="n">
        <s:v>0</s:v>
      </s:c>
      <s:c r="J181" s="220" t="n">
        <s:v>19.5</s:v>
      </s:c>
      <s:c r="K181" s="221" t="n">
        <s:v>7.511</s:v>
      </s:c>
      <s:c r="L181" s="221" t="n">
        <s:v>1.259</s:v>
      </s:c>
      <s:c r="M181" s="222" t="n">
        <s:v>322.61</s:v>
      </s:c>
      <s:c r="N181" s="222" t="n">
        <s:v>423.31</s:v>
      </s:c>
      <s:c r="O181" s="222" t="n">
        <s:v>100.58</s:v>
      </s:c>
      <s:c r="P181" s="223" t="inlineStr">
        <s:is>
          <s:t>2,31,120</s:t>
        </s:is>
      </s:c>
      <s:c r="Q181" s="224" t="inlineStr">
        <s:is>
          <s:t>2</s:t>
        </s:is>
      </s:c>
      <s:c r="R181" s="224" t="inlineStr">
        <s:is>
          <s:t>31,120</s:t>
        </s:is>
      </s:c>
      <s:c r="S181" s="224" t="n">
        <s:v>0.04197777777777778</s:v>
      </s:c>
      <s:c r="T181" s="225" t="n">
        <s:v>2396.029645314981</s:v>
      </s:c>
      <s:c r="U181" s="226" t="n">
        <s:v>0.1193080135215653</s:v>
      </s:c>
      <s:c r="V181" s="220" t="n">
        <s:v>19.3</s:v>
      </s:c>
      <s:c r="W181" s="221" t="n">
        <s:v>1.092</s:v>
      </s:c>
      <s:c r="X181" s="221" t="n">
        <s:v>1.08</s:v>
      </s:c>
      <s:c r="Y181" s="222" t="n">
        <s:v>435.49</s:v>
      </s:c>
      <s:c r="Z181" s="222" t="n">
        <s:v>440.54</s:v>
      </s:c>
      <s:c r="AA181" s="227" t="n">
        <s:v>5.012</s:v>
      </s:c>
      <s:c r="AB181" s="228" t="inlineStr">
        <s:is>
          <s:t>11,23,220</s:t>
        </s:is>
      </s:c>
      <s:c r="AC181" s="224" t="inlineStr">
        <s:is>
          <s:t>11</s:t>
        </s:is>
      </s:c>
      <s:c r="AD181" s="224" t="inlineStr">
        <s:is>
          <s:t>23,220</s:t>
        </s:is>
      </s:c>
      <s:c r="AE181" s="224" t="n">
        <s:v>0.1897833333333333</s:v>
      </s:c>
      <s:c r="AF181" s="225" t="n">
        <s:v>26.40906296654079</s:v>
      </s:c>
      <s:c r="AG181" s="229" t="n">
        <s:v>0.7581803671191502</s:v>
      </s:c>
      <s:c r="AH181" s="220" t="n">
        <s:v>19.2</s:v>
      </s:c>
      <s:c r="AI181" s="221" t="n">
        <s:v>1.098</s:v>
      </s:c>
      <s:c r="AJ181" s="221" t="n">
        <s:v>1.085</s:v>
      </s:c>
      <s:c r="AK181" s="222" t="n">
        <s:v>440.54</s:v>
      </s:c>
      <s:c r="AL181" s="222" t="n">
        <s:v>442.53</s:v>
      </s:c>
      <s:c r="AM181" s="230" t="n">
        <s:v>2.005</s:v>
      </s:c>
      <s:c r="AN181" s="223" t="inlineStr">
        <s:is>
          <s:t>7,18,600</s:t>
        </s:is>
      </s:c>
      <s:c r="AO181" s="224" t="inlineStr">
        <s:is>
          <s:t>7,</s:t>
        </s:is>
      </s:c>
      <s:c r="AP181" s="224" t="inlineStr">
        <s:is>
          <s:t>18,600</s:t>
        </s:is>
      </s:c>
      <s:c r="AQ181" s="224" t="n">
        <s:v>0.1218333333333333</s:v>
      </s:c>
      <s:c r="AR181" s="225" t="n">
        <s:v>16.45690834473324</s:v>
      </s:c>
      <s:c r="AS181" s="229" t="n">
        <s:v>-0.7481296758128501</s:v>
      </s:c>
      <s:c r="AT181" s="231" t="inlineStr">
        <s:is>
          <s:t>CONFORME</s:t>
        </s:is>
      </s:c>
      <s:c r="AU181" s="232">
        <s:f>B181=C181</s:f>
        <s:v/>
      </s:c>
      <s:c r="AV181" s="233">
        <s:f>MID(G181,1,2)</s:f>
        <s:v/>
      </s:c>
      <s:c r="AW181" s="233">
        <s:f>LEN(G181)</s:f>
        <s:v/>
      </s:c>
      <s:c r="AX181" s="233" t="inlineStr">
        <s:is>
          <s:t>OI-0923-2025</s:t>
        </s:is>
      </s:c>
      <s:c r="AY181" s="233">
        <s:f>N181&lt;Y181</s:f>
        <s:v/>
      </s:c>
      <s:c r="AZ181" s="233">
        <s:f>Z181&lt;=AK181</s:f>
        <s:v/>
      </s:c>
      <s:c r="BA181" s="233">
        <s:f>L181&lt;K181</s:f>
        <s:v/>
      </s:c>
      <s:c r="BB181" s="233">
        <s:f>W181&gt;=X181</s:f>
        <s:v/>
      </s:c>
      <s:c r="BC181" s="233">
        <s:f>AI181&gt;=AJ181</s:f>
        <s:v/>
      </s:c>
      <s:c r="BD181" s="233">
        <s:f>IF(I181&gt;=1,"Qcorrecto",IF(AND(BE181="aceptable",BF181="aceptable",BG181="aceptable"),"Qcorrecto","Qincorrecto"))</s:f>
        <s:v/>
      </s:c>
      <s:c r="BE181" s="232">
        <s:f>IF(AR181&lt;$AH$6,"error",IF(AR181&gt;$AH$6*1.1,"error","aceptable"))</s:f>
        <s:v/>
      </s:c>
      <s:c r="BF181" s="232">
        <s:f>IF(AF181&lt;$V$6,"error",IF(AF181&gt;$V$6*1.1,"error","aceptable"))</s:f>
        <s:v/>
      </s:c>
      <s:c r="BG181" s="232">
        <s:f>IF(T181&lt;$J$6*0.9,"error",IF(T181&gt;$J$6,"error","aceptable"))</s:f>
        <s:v/>
      </s:c>
      <s:c r="BH181" s="234">
        <s:f>(IF(ABS(U181)&lt;1,"CONFORME",IF(ABS(AG181)&lt;1,"CONFORME",IF(ABS(AS181)&lt;2.5,"CONFORME","NO CONFORME"))))</s:f>
        <s:v/>
      </s:c>
      <s:c r="BI181" s="235">
        <s:f>(IF(ABS(U181)&gt;2.044,"NO CONFORME",IF(ABS(AG181)&gt;2.044,"NO CONFORME",IF(ABS(AS181)&gt;5.044,"NO CONFORME","CONFORME"))))</s:f>
        <s:v/>
      </s:c>
      <s:c r="BJ181" s="233">
        <s:f>SIGN(U181)</s:f>
        <s:v/>
      </s:c>
      <s:c r="BK181" s="233">
        <s:f>SIGN(AG181)</s:f>
        <s:v/>
      </s:c>
      <s:c r="BL181" s="233">
        <s:f>SIGN(AS181)</s:f>
        <s:v/>
      </s:c>
      <s:c r="BM181" s="233">
        <s:f>CONCATENATE(BJ181,BK181,BL181)</s:f>
        <s:v/>
      </s:c>
      <s:c r="BN181" s="233">
        <s:f>IF(BM181="111","SI","SD")</s:f>
        <s:v/>
      </s:c>
      <s:c r="BO181" s="233">
        <s:f>IF(BM181="-1-1-1","SI","SD")</s:f>
        <s:v/>
      </s:c>
      <s:c r="BP181" s="233">
        <s:f>OR(BN181="SI",BO181="SI")</s:f>
        <s:v/>
      </s:c>
      <s:c r="BQ181" s="233">
        <s:f>IF(BP181=FALSE,"SIGDIFERENTES","SIGIGUALES")</s:f>
        <s:v/>
      </s:c>
      <s:c r="BR181" s="236">
        <s:f>IF(BI181="NO CONFORME","NO CONFORME",IF(BH181="CONFORME","CONFORME","NO CONFORME"))</s:f>
        <s:v/>
      </s:c>
      <s:c r="BS181" s="233">
        <s:f>F181</s:f>
        <s:v/>
      </s:c>
      <s:c r="BT181" s="237">
        <s:f>G181</s:f>
        <s:v/>
      </s:c>
      <s:c r="BU181" s="233">
        <s:f>"20"&amp;+MID(G181,3,2)</s:f>
        <s:v/>
      </s:c>
      <s:c r="BV181" s="238">
        <s:f>C181</s:f>
        <s:v/>
      </s:c>
      <s:c r="BW181" s="233">
        <s:f>AT181</s:f>
        <s:v/>
      </s:c>
      <s:c r="BX181" s="238">
        <s:f>B181</s:f>
        <s:v/>
      </s:c>
      <s:c r="BY181" s="239">
        <s:f>H181</s:f>
        <s:v/>
      </s:c>
      <s:c r="BZ181" s="233">
        <s:f>IF(I181=0,"CONFORME","NO CONFORME")</s:f>
        <s:v/>
      </s:c>
      <s:c r="CA181" s="238">
        <s:f>C181</s:f>
        <s:v/>
      </s:c>
      <s:c r="CB181" s="240">
        <s:f>AH181</s:f>
        <s:v/>
      </s:c>
      <s:c r="CC181" s="241">
        <s:f>AR181</s:f>
        <s:v/>
      </s:c>
      <s:c r="CD181" s="240">
        <s:f>AI181</s:f>
        <s:v/>
      </s:c>
      <s:c r="CE181" s="240">
        <s:f>AJ181</s:f>
        <s:v/>
      </s:c>
      <s:c r="CF181" s="240">
        <s:f>AS181</s:f>
        <s:v/>
      </s:c>
      <s:c r="CG181" s="240">
        <s:f>V181</s:f>
        <s:v/>
      </s:c>
      <s:c r="CH181" s="241">
        <s:f>AF181</s:f>
        <s:v/>
      </s:c>
      <s:c r="CI181" s="240">
        <s:f>W181</s:f>
        <s:v/>
      </s:c>
      <s:c r="CJ181" s="240">
        <s:f>X181</s:f>
        <s:v/>
      </s:c>
      <s:c r="CK181" s="240">
        <s:f>AG181</s:f>
        <s:v/>
      </s:c>
      <s:c r="CL181" s="240">
        <s:f>J181</s:f>
        <s:v/>
      </s:c>
      <s:c r="CM181" s="241">
        <s:f>T181</s:f>
        <s:v/>
      </s:c>
      <s:c r="CN181" s="240">
        <s:f>K181</s:f>
        <s:v/>
      </s:c>
      <s:c r="CO181" s="240">
        <s:f>L181</s:f>
        <s:v/>
      </s:c>
      <s:c r="CP181" s="242">
        <s:f>U181</s:f>
        <s:v/>
      </s:c>
      <s:c r="CQ181" s="233">
        <s:f>AT181</s:f>
        <s:v/>
      </s:c>
    </s:row>
    <s:row r="182">
      <s:c r="A182" s="211" t="n">
        <s:v>82</s:v>
      </s:c>
      <s:c r="B182" s="212" t="n">
        <s:v>45901</s:v>
      </s:c>
      <s:c r="C182" s="213" t="n">
        <s:v>45901</s:v>
      </s:c>
      <s:c r="D182" s="214" t="n">
        <s:v>3</s:v>
      </s:c>
      <s:c r="E182" s="215" t="n">
        <s:v>13</s:v>
      </s:c>
      <s:c r="F182" s="216" t="inlineStr">
        <s:is>
          <s:t>VI-236657-2025</s:t>
        </s:is>
      </s:c>
      <s:c r="G182" s="217" t="inlineStr">
        <s:is>
          <s:t>QA25418645</s:t>
        </s:is>
      </s:c>
      <s:c r="H182" s="218" t="n">
        <s:v>16</s:v>
      </s:c>
      <s:c r="I182" s="219" t="n">
        <s:v>0</s:v>
      </s:c>
      <s:c r="J182" s="220" t="n">
        <s:v>19.5</s:v>
      </s:c>
      <s:c r="K182" s="221" t="n">
        <s:v>7.511</s:v>
      </s:c>
      <s:c r="L182" s="221" t="n">
        <s:v>1.259</s:v>
      </s:c>
      <s:c r="M182" s="222" t="n">
        <s:v>278.14</s:v>
      </s:c>
      <s:c r="N182" s="222" t="n">
        <s:v>377.46</s:v>
      </s:c>
      <s:c r="O182" s="222" t="n">
        <s:v>100.58</s:v>
      </s:c>
      <s:c r="P182" s="223" t="inlineStr">
        <s:is>
          <s:t>2,31,120</s:t>
        </s:is>
      </s:c>
      <s:c r="Q182" s="224" t="inlineStr">
        <s:is>
          <s:t>2</s:t>
        </s:is>
      </s:c>
      <s:c r="R182" s="224" t="inlineStr">
        <s:is>
          <s:t>31,120</s:t>
        </s:is>
      </s:c>
      <s:c r="S182" s="224" t="n">
        <s:v>0.04197777777777778</s:v>
      </s:c>
      <s:c r="T182" s="225" t="n">
        <s:v>2396.029645314981</s:v>
      </s:c>
      <s:c r="U182" s="226" t="n">
        <s:v>-1.252734141976541</s:v>
      </s:c>
      <s:c r="V182" s="220" t="n">
        <s:v>19.3</s:v>
      </s:c>
      <s:c r="W182" s="221" t="n">
        <s:v>1.092</s:v>
      </s:c>
      <s:c r="X182" s="221" t="n">
        <s:v>1.08</s:v>
      </s:c>
      <s:c r="Y182" s="222" t="n">
        <s:v>389.41</s:v>
      </s:c>
      <s:c r="Z182" s="222" t="n">
        <s:v>394.38</s:v>
      </s:c>
      <s:c r="AA182" s="227" t="n">
        <s:v>5.012</s:v>
      </s:c>
      <s:c r="AB182" s="228" t="inlineStr">
        <s:is>
          <s:t>11,23,220</s:t>
        </s:is>
      </s:c>
      <s:c r="AC182" s="224" t="inlineStr">
        <s:is>
          <s:t>11</s:t>
        </s:is>
      </s:c>
      <s:c r="AD182" s="224" t="inlineStr">
        <s:is>
          <s:t>23,220</s:t>
        </s:is>
      </s:c>
      <s:c r="AE182" s="224" t="n">
        <s:v>0.1897833333333333</s:v>
      </s:c>
      <s:c r="AF182" s="225" t="n">
        <s:v>26.40906296654079</s:v>
      </s:c>
      <s:c r="AG182" s="229" t="n">
        <s:v>-0.8379888268162236</s:v>
      </s:c>
      <s:c r="AH182" s="220" t="n">
        <s:v>19.2</s:v>
      </s:c>
      <s:c r="AI182" s="221" t="n">
        <s:v>1.098</s:v>
      </s:c>
      <s:c r="AJ182" s="221" t="n">
        <s:v>1.085</s:v>
      </s:c>
      <s:c r="AK182" s="222" t="n">
        <s:v>394.38</s:v>
      </s:c>
      <s:c r="AL182" s="222" t="n">
        <s:v>396.38</s:v>
      </s:c>
      <s:c r="AM182" s="230" t="n">
        <s:v>2.005</s:v>
      </s:c>
      <s:c r="AN182" s="223" t="inlineStr">
        <s:is>
          <s:t>7,18,600</s:t>
        </s:is>
      </s:c>
      <s:c r="AO182" s="224" t="inlineStr">
        <s:is>
          <s:t>7,</s:t>
        </s:is>
      </s:c>
      <s:c r="AP182" s="224" t="inlineStr">
        <s:is>
          <s:t>18,600</s:t>
        </s:is>
      </s:c>
      <s:c r="AQ182" s="224" t="n">
        <s:v>0.1218333333333333</s:v>
      </s:c>
      <s:c r="AR182" s="225" t="n">
        <s:v>16.45690834473324</s:v>
      </s:c>
      <s:c r="AS182" s="229" t="n">
        <s:v>-0.249376558603486</s:v>
      </s:c>
      <s:c r="AT182" s="231" t="inlineStr">
        <s:is>
          <s:t>CONFORME</s:t>
        </s:is>
      </s:c>
      <s:c r="AU182" s="232">
        <s:f>B182=C182</s:f>
        <s:v/>
      </s:c>
      <s:c r="AV182" s="233">
        <s:f>MID(G182,1,2)</s:f>
        <s:v/>
      </s:c>
      <s:c r="AW182" s="233">
        <s:f>LEN(G182)</s:f>
        <s:v/>
      </s:c>
      <s:c r="AX182" s="233" t="inlineStr">
        <s:is>
          <s:t>OI-0923-2025</s:t>
        </s:is>
      </s:c>
      <s:c r="AY182" s="233">
        <s:f>N182&lt;Y182</s:f>
        <s:v/>
      </s:c>
      <s:c r="AZ182" s="233">
        <s:f>Z182&lt;=AK182</s:f>
        <s:v/>
      </s:c>
      <s:c r="BA182" s="233">
        <s:f>L182&lt;K182</s:f>
        <s:v/>
      </s:c>
      <s:c r="BB182" s="233">
        <s:f>W182&gt;=X182</s:f>
        <s:v/>
      </s:c>
      <s:c r="BC182" s="233">
        <s:f>AI182&gt;=AJ182</s:f>
        <s:v/>
      </s:c>
      <s:c r="BD182" s="233">
        <s:f>IF(I182&gt;=1,"Qcorrecto",IF(AND(BE182="aceptable",BF182="aceptable",BG182="aceptable"),"Qcorrecto","Qincorrecto"))</s:f>
        <s:v/>
      </s:c>
      <s:c r="BE182" s="232">
        <s:f>IF(AR182&lt;$AH$6,"error",IF(AR182&gt;$AH$6*1.1,"error","aceptable"))</s:f>
        <s:v/>
      </s:c>
      <s:c r="BF182" s="232">
        <s:f>IF(AF182&lt;$V$6,"error",IF(AF182&gt;$V$6*1.1,"error","aceptable"))</s:f>
        <s:v/>
      </s:c>
      <s:c r="BG182" s="232">
        <s:f>IF(T182&lt;$J$6*0.9,"error",IF(T182&gt;$J$6,"error","aceptable"))</s:f>
        <s:v/>
      </s:c>
      <s:c r="BH182" s="234">
        <s:f>(IF(ABS(U182)&lt;1,"CONFORME",IF(ABS(AG182)&lt;1,"CONFORME",IF(ABS(AS182)&lt;2.5,"CONFORME","NO CONFORME"))))</s:f>
        <s:v/>
      </s:c>
      <s:c r="BI182" s="235">
        <s:f>(IF(ABS(U182)&gt;2.044,"NO CONFORME",IF(ABS(AG182)&gt;2.044,"NO CONFORME",IF(ABS(AS182)&gt;5.044,"NO CONFORME","CONFORME"))))</s:f>
        <s:v/>
      </s:c>
      <s:c r="BJ182" s="233">
        <s:f>SIGN(U182)</s:f>
        <s:v/>
      </s:c>
      <s:c r="BK182" s="233">
        <s:f>SIGN(AG182)</s:f>
        <s:v/>
      </s:c>
      <s:c r="BL182" s="233">
        <s:f>SIGN(AS182)</s:f>
        <s:v/>
      </s:c>
      <s:c r="BM182" s="233">
        <s:f>CONCATENATE(BJ182,BK182,BL182)</s:f>
        <s:v/>
      </s:c>
      <s:c r="BN182" s="233">
        <s:f>IF(BM182="111","SI","SD")</s:f>
        <s:v/>
      </s:c>
      <s:c r="BO182" s="233">
        <s:f>IF(BM182="-1-1-1","SI","SD")</s:f>
        <s:v/>
      </s:c>
      <s:c r="BP182" s="233">
        <s:f>OR(BN182="SI",BO182="SI")</s:f>
        <s:v/>
      </s:c>
      <s:c r="BQ182" s="233">
        <s:f>IF(BP182=FALSE,"SIGDIFERENTES","SIGIGUALES")</s:f>
        <s:v/>
      </s:c>
      <s:c r="BR182" s="236">
        <s:f>IF(BI182="NO CONFORME","NO CONFORME",IF(BH182="CONFORME","CONFORME","NO CONFORME"))</s:f>
        <s:v/>
      </s:c>
      <s:c r="BS182" s="233">
        <s:f>F182</s:f>
        <s:v/>
      </s:c>
      <s:c r="BT182" s="237">
        <s:f>G182</s:f>
        <s:v/>
      </s:c>
      <s:c r="BU182" s="233">
        <s:f>"20"&amp;+MID(G182,3,2)</s:f>
        <s:v/>
      </s:c>
      <s:c r="BV182" s="238">
        <s:f>C182</s:f>
        <s:v/>
      </s:c>
      <s:c r="BW182" s="233">
        <s:f>AT182</s:f>
        <s:v/>
      </s:c>
      <s:c r="BX182" s="238">
        <s:f>B182</s:f>
        <s:v/>
      </s:c>
      <s:c r="BY182" s="239">
        <s:f>H182</s:f>
        <s:v/>
      </s:c>
      <s:c r="BZ182" s="233">
        <s:f>IF(I182=0,"CONFORME","NO CONFORME")</s:f>
        <s:v/>
      </s:c>
      <s:c r="CA182" s="238">
        <s:f>C182</s:f>
        <s:v/>
      </s:c>
      <s:c r="CB182" s="240">
        <s:f>AH182</s:f>
        <s:v/>
      </s:c>
      <s:c r="CC182" s="241">
        <s:f>AR182</s:f>
        <s:v/>
      </s:c>
      <s:c r="CD182" s="240">
        <s:f>AI182</s:f>
        <s:v/>
      </s:c>
      <s:c r="CE182" s="240">
        <s:f>AJ182</s:f>
        <s:v/>
      </s:c>
      <s:c r="CF182" s="240">
        <s:f>AS182</s:f>
        <s:v/>
      </s:c>
      <s:c r="CG182" s="240">
        <s:f>V182</s:f>
        <s:v/>
      </s:c>
      <s:c r="CH182" s="241">
        <s:f>AF182</s:f>
        <s:v/>
      </s:c>
      <s:c r="CI182" s="240">
        <s:f>W182</s:f>
        <s:v/>
      </s:c>
      <s:c r="CJ182" s="240">
        <s:f>X182</s:f>
        <s:v/>
      </s:c>
      <s:c r="CK182" s="240">
        <s:f>AG182</s:f>
        <s:v/>
      </s:c>
      <s:c r="CL182" s="240">
        <s:f>J182</s:f>
        <s:v/>
      </s:c>
      <s:c r="CM182" s="241">
        <s:f>T182</s:f>
        <s:v/>
      </s:c>
      <s:c r="CN182" s="240">
        <s:f>K182</s:f>
        <s:v/>
      </s:c>
      <s:c r="CO182" s="240">
        <s:f>L182</s:f>
        <s:v/>
      </s:c>
      <s:c r="CP182" s="242">
        <s:f>U182</s:f>
        <s:v/>
      </s:c>
      <s:c r="CQ182" s="233">
        <s:f>AT182</s:f>
        <s:v/>
      </s:c>
    </s:row>
    <s:row r="183">
      <s:c r="A183" s="211" t="n">
        <s:v>83</s:v>
      </s:c>
      <s:c r="B183" s="212" t="n">
        <s:v>45901</s:v>
      </s:c>
      <s:c r="C183" s="213" t="n">
        <s:v>45901</s:v>
      </s:c>
      <s:c r="D183" s="214" t="n">
        <s:v>3</s:v>
      </s:c>
      <s:c r="E183" s="215" t="n">
        <s:v>13</s:v>
      </s:c>
      <s:c r="F183" s="216" t="inlineStr">
        <s:is>
          <s:t>VI-236658-2025</s:t>
        </s:is>
      </s:c>
      <s:c r="G183" s="217" t="inlineStr">
        <s:is>
          <s:t>QA25418492</s:t>
        </s:is>
      </s:c>
      <s:c r="H183" s="218" t="n">
        <s:v>16</s:v>
      </s:c>
      <s:c r="I183" s="219" t="n">
        <s:v>0</s:v>
      </s:c>
      <s:c r="J183" s="220" t="n">
        <s:v>19.5</s:v>
      </s:c>
      <s:c r="K183" s="221" t="n">
        <s:v>7.511</s:v>
      </s:c>
      <s:c r="L183" s="221" t="n">
        <s:v>1.259</s:v>
      </s:c>
      <s:c r="M183" s="222" t="n">
        <s:v>303</s:v>
      </s:c>
      <s:c r="N183" s="222" t="n">
        <s:v>402.78</s:v>
      </s:c>
      <s:c r="O183" s="222" t="n">
        <s:v>100.58</s:v>
      </s:c>
      <s:c r="P183" s="223" t="inlineStr">
        <s:is>
          <s:t>2,31,120</s:t>
        </s:is>
      </s:c>
      <s:c r="Q183" s="224" t="inlineStr">
        <s:is>
          <s:t>2</s:t>
        </s:is>
      </s:c>
      <s:c r="R183" s="224" t="inlineStr">
        <s:is>
          <s:t>31,120</s:t>
        </s:is>
      </s:c>
      <s:c r="S183" s="224" t="n">
        <s:v>0.04197777777777778</s:v>
      </s:c>
      <s:c r="T183" s="225" t="n">
        <s:v>2396.029645314981</s:v>
      </s:c>
      <s:c r="U183" s="226" t="n">
        <s:v>-0.7953867568105245</s:v>
      </s:c>
      <s:c r="V183" s="220" t="n">
        <s:v>19.3</s:v>
      </s:c>
      <s:c r="W183" s="221" t="n">
        <s:v>1.092</s:v>
      </s:c>
      <s:c r="X183" s="221" t="n">
        <s:v>1.08</s:v>
      </s:c>
      <s:c r="Y183" s="222" t="n">
        <s:v>414.85</s:v>
      </s:c>
      <s:c r="Z183" s="222" t="n">
        <s:v>419.9</s:v>
      </s:c>
      <s:c r="AA183" s="227" t="n">
        <s:v>5.012</s:v>
      </s:c>
      <s:c r="AB183" s="228" t="inlineStr">
        <s:is>
          <s:t>11,23,220</s:t>
        </s:is>
      </s:c>
      <s:c r="AC183" s="224" t="inlineStr">
        <s:is>
          <s:t>11</s:t>
        </s:is>
      </s:c>
      <s:c r="AD183" s="224" t="inlineStr">
        <s:is>
          <s:t>23,220</s:t>
        </s:is>
      </s:c>
      <s:c r="AE183" s="224" t="n">
        <s:v>0.1897833333333333</s:v>
      </s:c>
      <s:c r="AF183" s="225" t="n">
        <s:v>26.40906296654079</s:v>
      </s:c>
      <s:c r="AG183" s="229" t="n">
        <s:v>0.758180367118016</s:v>
      </s:c>
      <s:c r="AH183" s="220" t="n">
        <s:v>19.2</s:v>
      </s:c>
      <s:c r="AI183" s="221" t="n">
        <s:v>1.098</s:v>
      </s:c>
      <s:c r="AJ183" s="221" t="n">
        <s:v>1.085</s:v>
      </s:c>
      <s:c r="AK183" s="222" t="n">
        <s:v>419.9</s:v>
      </s:c>
      <s:c r="AL183" s="222" t="n">
        <s:v>421.92</s:v>
      </s:c>
      <s:c r="AM183" s="230" t="n">
        <s:v>2.005</s:v>
      </s:c>
      <s:c r="AN183" s="223" t="inlineStr">
        <s:is>
          <s:t>7,18,600</s:t>
        </s:is>
      </s:c>
      <s:c r="AO183" s="224" t="inlineStr">
        <s:is>
          <s:t>7,</s:t>
        </s:is>
      </s:c>
      <s:c r="AP183" s="224" t="inlineStr">
        <s:is>
          <s:t>18,600</s:t>
        </s:is>
      </s:c>
      <s:c r="AQ183" s="224" t="n">
        <s:v>0.1218333333333333</s:v>
      </s:c>
      <s:c r="AR183" s="225" t="n">
        <s:v>16.45690834473324</s:v>
      </s:c>
      <s:c r="AS183" s="229" t="n">
        <s:v>0.7481296758124071</s:v>
      </s:c>
      <s:c r="AT183" s="231" t="inlineStr">
        <s:is>
          <s:t>CONFORME</s:t>
        </s:is>
      </s:c>
      <s:c r="AU183" s="232">
        <s:f>B183=C183</s:f>
        <s:v/>
      </s:c>
      <s:c r="AV183" s="233">
        <s:f>MID(G183,1,2)</s:f>
        <s:v/>
      </s:c>
      <s:c r="AW183" s="233">
        <s:f>LEN(G183)</s:f>
        <s:v/>
      </s:c>
      <s:c r="AX183" s="233" t="inlineStr">
        <s:is>
          <s:t>OI-0923-2025</s:t>
        </s:is>
      </s:c>
      <s:c r="AY183" s="233">
        <s:f>N183&lt;Y183</s:f>
        <s:v/>
      </s:c>
      <s:c r="AZ183" s="233">
        <s:f>Z183&lt;=AK183</s:f>
        <s:v/>
      </s:c>
      <s:c r="BA183" s="233">
        <s:f>L183&lt;K183</s:f>
        <s:v/>
      </s:c>
      <s:c r="BB183" s="233">
        <s:f>W183&gt;=X183</s:f>
        <s:v/>
      </s:c>
      <s:c r="BC183" s="233">
        <s:f>AI183&gt;=AJ183</s:f>
        <s:v/>
      </s:c>
      <s:c r="BD183" s="233">
        <s:f>IF(I183&gt;=1,"Qcorrecto",IF(AND(BE183="aceptable",BF183="aceptable",BG183="aceptable"),"Qcorrecto","Qincorrecto"))</s:f>
        <s:v/>
      </s:c>
      <s:c r="BE183" s="232">
        <s:f>IF(AR183&lt;$AH$6,"error",IF(AR183&gt;$AH$6*1.1,"error","aceptable"))</s:f>
        <s:v/>
      </s:c>
      <s:c r="BF183" s="232">
        <s:f>IF(AF183&lt;$V$6,"error",IF(AF183&gt;$V$6*1.1,"error","aceptable"))</s:f>
        <s:v/>
      </s:c>
      <s:c r="BG183" s="232">
        <s:f>IF(T183&lt;$J$6*0.9,"error",IF(T183&gt;$J$6,"error","aceptable"))</s:f>
        <s:v/>
      </s:c>
      <s:c r="BH183" s="234">
        <s:f>(IF(ABS(U183)&lt;1,"CONFORME",IF(ABS(AG183)&lt;1,"CONFORME",IF(ABS(AS183)&lt;2.5,"CONFORME","NO CONFORME"))))</s:f>
        <s:v/>
      </s:c>
      <s:c r="BI183" s="235">
        <s:f>(IF(ABS(U183)&gt;2.044,"NO CONFORME",IF(ABS(AG183)&gt;2.044,"NO CONFORME",IF(ABS(AS183)&gt;5.044,"NO CONFORME","CONFORME"))))</s:f>
        <s:v/>
      </s:c>
      <s:c r="BJ183" s="233">
        <s:f>SIGN(U183)</s:f>
        <s:v/>
      </s:c>
      <s:c r="BK183" s="233">
        <s:f>SIGN(AG183)</s:f>
        <s:v/>
      </s:c>
      <s:c r="BL183" s="233">
        <s:f>SIGN(AS183)</s:f>
        <s:v/>
      </s:c>
      <s:c r="BM183" s="233">
        <s:f>CONCATENATE(BJ183,BK183,BL183)</s:f>
        <s:v/>
      </s:c>
      <s:c r="BN183" s="233">
        <s:f>IF(BM183="111","SI","SD")</s:f>
        <s:v/>
      </s:c>
      <s:c r="BO183" s="233">
        <s:f>IF(BM183="-1-1-1","SI","SD")</s:f>
        <s:v/>
      </s:c>
      <s:c r="BP183" s="233">
        <s:f>OR(BN183="SI",BO183="SI")</s:f>
        <s:v/>
      </s:c>
      <s:c r="BQ183" s="233">
        <s:f>IF(BP183=FALSE,"SIGDIFERENTES","SIGIGUALES")</s:f>
        <s:v/>
      </s:c>
      <s:c r="BR183" s="236">
        <s:f>IF(BI183="NO CONFORME","NO CONFORME",IF(BH183="CONFORME","CONFORME","NO CONFORME"))</s:f>
        <s:v/>
      </s:c>
      <s:c r="BS183" s="233">
        <s:f>F183</s:f>
        <s:v/>
      </s:c>
      <s:c r="BT183" s="237">
        <s:f>G183</s:f>
        <s:v/>
      </s:c>
      <s:c r="BU183" s="233">
        <s:f>"20"&amp;+MID(G183,3,2)</s:f>
        <s:v/>
      </s:c>
      <s:c r="BV183" s="238">
        <s:f>C183</s:f>
        <s:v/>
      </s:c>
      <s:c r="BW183" s="233">
        <s:f>AT183</s:f>
        <s:v/>
      </s:c>
      <s:c r="BX183" s="238">
        <s:f>B183</s:f>
        <s:v/>
      </s:c>
      <s:c r="BY183" s="239">
        <s:f>H183</s:f>
        <s:v/>
      </s:c>
      <s:c r="BZ183" s="233">
        <s:f>IF(I183=0,"CONFORME","NO CONFORME")</s:f>
        <s:v/>
      </s:c>
      <s:c r="CA183" s="238">
        <s:f>C183</s:f>
        <s:v/>
      </s:c>
      <s:c r="CB183" s="240">
        <s:f>AH183</s:f>
        <s:v/>
      </s:c>
      <s:c r="CC183" s="241">
        <s:f>AR183</s:f>
        <s:v/>
      </s:c>
      <s:c r="CD183" s="240">
        <s:f>AI183</s:f>
        <s:v/>
      </s:c>
      <s:c r="CE183" s="240">
        <s:f>AJ183</s:f>
        <s:v/>
      </s:c>
      <s:c r="CF183" s="240">
        <s:f>AS183</s:f>
        <s:v/>
      </s:c>
      <s:c r="CG183" s="240">
        <s:f>V183</s:f>
        <s:v/>
      </s:c>
      <s:c r="CH183" s="241">
        <s:f>AF183</s:f>
        <s:v/>
      </s:c>
      <s:c r="CI183" s="240">
        <s:f>W183</s:f>
        <s:v/>
      </s:c>
      <s:c r="CJ183" s="240">
        <s:f>X183</s:f>
        <s:v/>
      </s:c>
      <s:c r="CK183" s="240">
        <s:f>AG183</s:f>
        <s:v/>
      </s:c>
      <s:c r="CL183" s="240">
        <s:f>J183</s:f>
        <s:v/>
      </s:c>
      <s:c r="CM183" s="241">
        <s:f>T183</s:f>
        <s:v/>
      </s:c>
      <s:c r="CN183" s="240">
        <s:f>K183</s:f>
        <s:v/>
      </s:c>
      <s:c r="CO183" s="240">
        <s:f>L183</s:f>
        <s:v/>
      </s:c>
      <s:c r="CP183" s="242">
        <s:f>U183</s:f>
        <s:v/>
      </s:c>
      <s:c r="CQ183" s="233">
        <s:f>AT183</s:f>
        <s:v/>
      </s:c>
    </s:row>
    <s:row r="184">
      <s:c r="A184" s="211" t="n">
        <s:v>84</s:v>
      </s:c>
      <s:c r="B184" s="212" t="n">
        <s:v>45901</s:v>
      </s:c>
      <s:c r="C184" s="213" t="n">
        <s:v>45901</s:v>
      </s:c>
      <s:c r="D184" s="214" t="n">
        <s:v>3</s:v>
      </s:c>
      <s:c r="E184" s="215" t="n">
        <s:v>13</s:v>
      </s:c>
      <s:c r="F184" s="216" t="inlineStr">
        <s:is>
          <s:t>VI-236659-2025</s:t>
        </s:is>
      </s:c>
      <s:c r="G184" s="217" t="inlineStr">
        <s:is>
          <s:t>QA25418609</s:t>
        </s:is>
      </s:c>
      <s:c r="H184" s="218" t="n">
        <s:v>16</s:v>
      </s:c>
      <s:c r="I184" s="219" t="n">
        <s:v>0</s:v>
      </s:c>
      <s:c r="J184" s="220" t="n">
        <s:v>19.5</s:v>
      </s:c>
      <s:c r="K184" s="221" t="n">
        <s:v>7.511</s:v>
      </s:c>
      <s:c r="L184" s="221" t="n">
        <s:v>1.259</s:v>
      </s:c>
      <s:c r="M184" s="222" t="n">
        <s:v>345.74</s:v>
      </s:c>
      <s:c r="N184" s="222" t="n">
        <s:v>446.04</s:v>
      </s:c>
      <s:c r="O184" s="222" t="n">
        <s:v>100.58</s:v>
      </s:c>
      <s:c r="P184" s="223" t="inlineStr">
        <s:is>
          <s:t>2,31,120</s:t>
        </s:is>
      </s:c>
      <s:c r="Q184" s="224" t="inlineStr">
        <s:is>
          <s:t>2</s:t>
        </s:is>
      </s:c>
      <s:c r="R184" s="224" t="inlineStr">
        <s:is>
          <s:t>31,120</s:t>
        </s:is>
      </s:c>
      <s:c r="S184" s="224" t="n">
        <s:v>0.04197777777777778</s:v>
      </s:c>
      <s:c r="T184" s="225" t="n">
        <s:v>2396.029645314981</s:v>
      </s:c>
      <s:c r="U184" s="226" t="n">
        <s:v>-0.2783853648836617</s:v>
      </s:c>
      <s:c r="V184" s="220" t="n">
        <s:v>19.3</s:v>
      </s:c>
      <s:c r="W184" s="221" t="n">
        <s:v>1.092</s:v>
      </s:c>
      <s:c r="X184" s="221" t="n">
        <s:v>1.08</s:v>
      </s:c>
      <s:c r="Y184" s="222" t="n">
        <s:v>458.08</s:v>
      </s:c>
      <s:c r="Z184" s="222" t="n">
        <s:v>463.1</s:v>
      </s:c>
      <s:c r="AA184" s="227" t="n">
        <s:v>5.012</s:v>
      </s:c>
      <s:c r="AB184" s="228" t="inlineStr">
        <s:is>
          <s:t>11,23,220</s:t>
        </s:is>
      </s:c>
      <s:c r="AC184" s="224" t="inlineStr">
        <s:is>
          <s:t>11</s:t>
        </s:is>
      </s:c>
      <s:c r="AD184" s="224" t="inlineStr">
        <s:is>
          <s:t>23,220</s:t>
        </s:is>
      </s:c>
      <s:c r="AE184" s="224" t="n">
        <s:v>0.1897833333333333</s:v>
      </s:c>
      <s:c r="AF184" s="225" t="n">
        <s:v>26.40906296654079</s:v>
      </s:c>
      <s:c r="AG184" s="229" t="n">
        <s:v>0.1596169193942356</s:v>
      </s:c>
      <s:c r="AH184" s="220" t="n">
        <s:v>19.2</s:v>
      </s:c>
      <s:c r="AI184" s="221" t="n">
        <s:v>1.098</s:v>
      </s:c>
      <s:c r="AJ184" s="221" t="n">
        <s:v>1.085</s:v>
      </s:c>
      <s:c r="AK184" s="222" t="n">
        <s:v>463.1</s:v>
      </s:c>
      <s:c r="AL184" s="222" t="n">
        <s:v>465.11</s:v>
      </s:c>
      <s:c r="AM184" s="230" t="n">
        <s:v>2.005</s:v>
      </s:c>
      <s:c r="AN184" s="223" t="inlineStr">
        <s:is>
          <s:t>7,18,600</s:t>
        </s:is>
      </s:c>
      <s:c r="AO184" s="224" t="inlineStr">
        <s:is>
          <s:t>7,</s:t>
        </s:is>
      </s:c>
      <s:c r="AP184" s="224" t="inlineStr">
        <s:is>
          <s:t>18,600</s:t>
        </s:is>
      </s:c>
      <s:c r="AQ184" s="224" t="n">
        <s:v>0.1218333333333333</s:v>
      </s:c>
      <s:c r="AR184" s="225" t="n">
        <s:v>16.45690834473324</s:v>
      </s:c>
      <s:c r="AS184" s="229" t="n">
        <s:v>0.249376558603043</s:v>
      </s:c>
      <s:c r="AT184" s="231" t="inlineStr">
        <s:is>
          <s:t>CONFORME</s:t>
        </s:is>
      </s:c>
      <s:c r="AU184" s="232">
        <s:f>B184=C184</s:f>
        <s:v/>
      </s:c>
      <s:c r="AV184" s="233">
        <s:f>MID(G184,1,2)</s:f>
        <s:v/>
      </s:c>
      <s:c r="AW184" s="233">
        <s:f>LEN(G184)</s:f>
        <s:v/>
      </s:c>
      <s:c r="AX184" s="233" t="inlineStr">
        <s:is>
          <s:t>OI-0923-2025</s:t>
        </s:is>
      </s:c>
      <s:c r="AY184" s="233">
        <s:f>N184&lt;Y184</s:f>
        <s:v/>
      </s:c>
      <s:c r="AZ184" s="233">
        <s:f>Z184&lt;=AK184</s:f>
        <s:v/>
      </s:c>
      <s:c r="BA184" s="233">
        <s:f>L184&lt;K184</s:f>
        <s:v/>
      </s:c>
      <s:c r="BB184" s="233">
        <s:f>W184&gt;=X184</s:f>
        <s:v/>
      </s:c>
      <s:c r="BC184" s="233">
        <s:f>AI184&gt;=AJ184</s:f>
        <s:v/>
      </s:c>
      <s:c r="BD184" s="233">
        <s:f>IF(I184&gt;=1,"Qcorrecto",IF(AND(BE184="aceptable",BF184="aceptable",BG184="aceptable"),"Qcorrecto","Qincorrecto"))</s:f>
        <s:v/>
      </s:c>
      <s:c r="BE184" s="232">
        <s:f>IF(AR184&lt;$AH$6,"error",IF(AR184&gt;$AH$6*1.1,"error","aceptable"))</s:f>
        <s:v/>
      </s:c>
      <s:c r="BF184" s="232">
        <s:f>IF(AF184&lt;$V$6,"error",IF(AF184&gt;$V$6*1.1,"error","aceptable"))</s:f>
        <s:v/>
      </s:c>
      <s:c r="BG184" s="232">
        <s:f>IF(T184&lt;$J$6*0.9,"error",IF(T184&gt;$J$6,"error","aceptable"))</s:f>
        <s:v/>
      </s:c>
      <s:c r="BH184" s="234">
        <s:f>(IF(ABS(U184)&lt;1,"CONFORME",IF(ABS(AG184)&lt;1,"CONFORME",IF(ABS(AS184)&lt;2.5,"CONFORME","NO CONFORME"))))</s:f>
        <s:v/>
      </s:c>
      <s:c r="BI184" s="235">
        <s:f>(IF(ABS(U184)&gt;2.044,"NO CONFORME",IF(ABS(AG184)&gt;2.044,"NO CONFORME",IF(ABS(AS184)&gt;5.044,"NO CONFORME","CONFORME"))))</s:f>
        <s:v/>
      </s:c>
      <s:c r="BJ184" s="233">
        <s:f>SIGN(U184)</s:f>
        <s:v/>
      </s:c>
      <s:c r="BK184" s="233">
        <s:f>SIGN(AG184)</s:f>
        <s:v/>
      </s:c>
      <s:c r="BL184" s="233">
        <s:f>SIGN(AS184)</s:f>
        <s:v/>
      </s:c>
      <s:c r="BM184" s="233">
        <s:f>CONCATENATE(BJ184,BK184,BL184)</s:f>
        <s:v/>
      </s:c>
      <s:c r="BN184" s="233">
        <s:f>IF(BM184="111","SI","SD")</s:f>
        <s:v/>
      </s:c>
      <s:c r="BO184" s="233">
        <s:f>IF(BM184="-1-1-1","SI","SD")</s:f>
        <s:v/>
      </s:c>
      <s:c r="BP184" s="233">
        <s:f>OR(BN184="SI",BO184="SI")</s:f>
        <s:v/>
      </s:c>
      <s:c r="BQ184" s="233">
        <s:f>IF(BP184=FALSE,"SIGDIFERENTES","SIGIGUALES")</s:f>
        <s:v/>
      </s:c>
      <s:c r="BR184" s="236">
        <s:f>IF(BI184="NO CONFORME","NO CONFORME",IF(BH184="CONFORME","CONFORME","NO CONFORME"))</s:f>
        <s:v/>
      </s:c>
      <s:c r="BS184" s="233">
        <s:f>F184</s:f>
        <s:v/>
      </s:c>
      <s:c r="BT184" s="237">
        <s:f>G184</s:f>
        <s:v/>
      </s:c>
      <s:c r="BU184" s="233">
        <s:f>"20"&amp;+MID(G184,3,2)</s:f>
        <s:v/>
      </s:c>
      <s:c r="BV184" s="238">
        <s:f>C184</s:f>
        <s:v/>
      </s:c>
      <s:c r="BW184" s="233">
        <s:f>AT184</s:f>
        <s:v/>
      </s:c>
      <s:c r="BX184" s="238">
        <s:f>B184</s:f>
        <s:v/>
      </s:c>
      <s:c r="BY184" s="239">
        <s:f>H184</s:f>
        <s:v/>
      </s:c>
      <s:c r="BZ184" s="233">
        <s:f>IF(I184=0,"CONFORME","NO CONFORME")</s:f>
        <s:v/>
      </s:c>
      <s:c r="CA184" s="238">
        <s:f>C184</s:f>
        <s:v/>
      </s:c>
      <s:c r="CB184" s="240">
        <s:f>AH184</s:f>
        <s:v/>
      </s:c>
      <s:c r="CC184" s="241">
        <s:f>AR184</s:f>
        <s:v/>
      </s:c>
      <s:c r="CD184" s="240">
        <s:f>AI184</s:f>
        <s:v/>
      </s:c>
      <s:c r="CE184" s="240">
        <s:f>AJ184</s:f>
        <s:v/>
      </s:c>
      <s:c r="CF184" s="240">
        <s:f>AS184</s:f>
        <s:v/>
      </s:c>
      <s:c r="CG184" s="240">
        <s:f>V184</s:f>
        <s:v/>
      </s:c>
      <s:c r="CH184" s="241">
        <s:f>AF184</s:f>
        <s:v/>
      </s:c>
      <s:c r="CI184" s="240">
        <s:f>W184</s:f>
        <s:v/>
      </s:c>
      <s:c r="CJ184" s="240">
        <s:f>X184</s:f>
        <s:v/>
      </s:c>
      <s:c r="CK184" s="240">
        <s:f>AG184</s:f>
        <s:v/>
      </s:c>
      <s:c r="CL184" s="240">
        <s:f>J184</s:f>
        <s:v/>
      </s:c>
      <s:c r="CM184" s="241">
        <s:f>T184</s:f>
        <s:v/>
      </s:c>
      <s:c r="CN184" s="240">
        <s:f>K184</s:f>
        <s:v/>
      </s:c>
      <s:c r="CO184" s="240">
        <s:f>L184</s:f>
        <s:v/>
      </s:c>
      <s:c r="CP184" s="242">
        <s:f>U184</s:f>
        <s:v/>
      </s:c>
      <s:c r="CQ184" s="233">
        <s:f>AT184</s:f>
        <s:v/>
      </s:c>
    </s:row>
    <s:row r="185">
      <s:c r="A185" s="211" t="n">
        <s:v>85</s:v>
      </s:c>
      <s:c r="B185" s="212" t="n">
        <s:v>45901</s:v>
      </s:c>
      <s:c r="C185" s="213" t="n">
        <s:v>45901</s:v>
      </s:c>
      <s:c r="D185" s="214" t="n">
        <s:v>3</s:v>
      </s:c>
      <s:c r="E185" s="215" t="n">
        <s:v>13</s:v>
      </s:c>
      <s:c r="F185" s="216" t="inlineStr">
        <s:is>
          <s:t>VI-236660-2025</s:t>
        </s:is>
      </s:c>
      <s:c r="G185" s="217" t="inlineStr">
        <s:is>
          <s:t>QA25418721</s:t>
        </s:is>
      </s:c>
      <s:c r="H185" s="218" t="n">
        <s:v>16</s:v>
      </s:c>
      <s:c r="I185" s="219" t="n">
        <s:v>0</s:v>
      </s:c>
      <s:c r="J185" s="220" t="n">
        <s:v>19.5</s:v>
      </s:c>
      <s:c r="K185" s="221" t="n">
        <s:v>7.511</s:v>
      </s:c>
      <s:c r="L185" s="221" t="n">
        <s:v>1.259</s:v>
      </s:c>
      <s:c r="M185" s="222" t="n">
        <s:v>278.73</s:v>
      </s:c>
      <s:c r="N185" s="222" t="n">
        <s:v>378.52</s:v>
      </s:c>
      <s:c r="O185" s="222" t="n">
        <s:v>100.58</s:v>
      </s:c>
      <s:c r="P185" s="223" t="inlineStr">
        <s:is>
          <s:t>2,31,120</s:t>
        </s:is>
      </s:c>
      <s:c r="Q185" s="224" t="inlineStr">
        <s:is>
          <s:t>2</s:t>
        </s:is>
      </s:c>
      <s:c r="R185" s="224" t="inlineStr">
        <s:is>
          <s:t>31,120</s:t>
        </s:is>
      </s:c>
      <s:c r="S185" s="224" t="n">
        <s:v>0.04197777777777778</s:v>
      </s:c>
      <s:c r="T185" s="225" t="n">
        <s:v>2396.029645314981</s:v>
      </s:c>
      <s:c r="U185" s="226" t="n">
        <s:v>-0.7854444223504022</s:v>
      </s:c>
      <s:c r="V185" s="220" t="n">
        <s:v>19.3</s:v>
      </s:c>
      <s:c r="W185" s="221" t="n">
        <s:v>1.092</s:v>
      </s:c>
      <s:c r="X185" s="221" t="n">
        <s:v>1.08</s:v>
      </s:c>
      <s:c r="Y185" s="222" t="n">
        <s:v>390.56</s:v>
      </s:c>
      <s:c r="Z185" s="222" t="n">
        <s:v>395.57</s:v>
      </s:c>
      <s:c r="AA185" s="227" t="n">
        <s:v>5.012</s:v>
      </s:c>
      <s:c r="AB185" s="228" t="inlineStr">
        <s:is>
          <s:t>11,23,220</s:t>
        </s:is>
      </s:c>
      <s:c r="AC185" s="224" t="inlineStr">
        <s:is>
          <s:t>11</s:t>
        </s:is>
      </s:c>
      <s:c r="AD185" s="224" t="inlineStr">
        <s:is>
          <s:t>23,220</s:t>
        </s:is>
      </s:c>
      <s:c r="AE185" s="224" t="n">
        <s:v>0.1897833333333333</s:v>
      </s:c>
      <s:c r="AF185" s="225" t="n">
        <s:v>26.40906296654079</s:v>
      </s:c>
      <s:c r="AG185" s="229" t="n">
        <s:v>-0.03990422984853675</s:v>
      </s:c>
      <s:c r="AH185" s="220" t="n">
        <s:v>19.2</s:v>
      </s:c>
      <s:c r="AI185" s="221" t="n">
        <s:v>1.098</s:v>
      </s:c>
      <s:c r="AJ185" s="221" t="n">
        <s:v>1.085</s:v>
      </s:c>
      <s:c r="AK185" s="222" t="n">
        <s:v>395.57</s:v>
      </s:c>
      <s:c r="AL185" s="222" t="n">
        <s:v>397.55</s:v>
      </s:c>
      <s:c r="AM185" s="230" t="n">
        <s:v>2.005</s:v>
      </s:c>
      <s:c r="AN185" s="223" t="inlineStr">
        <s:is>
          <s:t>7,18,600</s:t>
        </s:is>
      </s:c>
      <s:c r="AO185" s="224" t="inlineStr">
        <s:is>
          <s:t>7,</s:t>
        </s:is>
      </s:c>
      <s:c r="AP185" s="224" t="inlineStr">
        <s:is>
          <s:t>18,600</s:t>
        </s:is>
      </s:c>
      <s:c r="AQ185" s="224" t="n">
        <s:v>0.1218333333333333</s:v>
      </s:c>
      <s:c r="AR185" s="225" t="n">
        <s:v>16.45690834473324</s:v>
      </s:c>
      <s:c r="AS185" s="229" t="n">
        <s:v>-1.246882793016544</s:v>
      </s:c>
      <s:c r="AT185" s="231" t="inlineStr">
        <s:is>
          <s:t>CONFORME</s:t>
        </s:is>
      </s:c>
      <s:c r="AU185" s="232">
        <s:f>B185=C185</s:f>
        <s:v/>
      </s:c>
      <s:c r="AV185" s="233">
        <s:f>MID(G185,1,2)</s:f>
        <s:v/>
      </s:c>
      <s:c r="AW185" s="233">
        <s:f>LEN(G185)</s:f>
        <s:v/>
      </s:c>
      <s:c r="AX185" s="233" t="inlineStr">
        <s:is>
          <s:t>OI-0923-2025</s:t>
        </s:is>
      </s:c>
      <s:c r="AY185" s="233">
        <s:f>N185&lt;Y185</s:f>
        <s:v/>
      </s:c>
      <s:c r="AZ185" s="233">
        <s:f>Z185&lt;=AK185</s:f>
        <s:v/>
      </s:c>
      <s:c r="BA185" s="233">
        <s:f>L185&lt;K185</s:f>
        <s:v/>
      </s:c>
      <s:c r="BB185" s="233">
        <s:f>W185&gt;=X185</s:f>
        <s:v/>
      </s:c>
      <s:c r="BC185" s="233">
        <s:f>AI185&gt;=AJ185</s:f>
        <s:v/>
      </s:c>
      <s:c r="BD185" s="233">
        <s:f>IF(I185&gt;=1,"Qcorrecto",IF(AND(BE185="aceptable",BF185="aceptable",BG185="aceptable"),"Qcorrecto","Qincorrecto"))</s:f>
        <s:v/>
      </s:c>
      <s:c r="BE185" s="232">
        <s:f>IF(AR185&lt;$AH$6,"error",IF(AR185&gt;$AH$6*1.1,"error","aceptable"))</s:f>
        <s:v/>
      </s:c>
      <s:c r="BF185" s="232">
        <s:f>IF(AF185&lt;$V$6,"error",IF(AF185&gt;$V$6*1.1,"error","aceptable"))</s:f>
        <s:v/>
      </s:c>
      <s:c r="BG185" s="232">
        <s:f>IF(T185&lt;$J$6*0.9,"error",IF(T185&gt;$J$6,"error","aceptable"))</s:f>
        <s:v/>
      </s:c>
      <s:c r="BH185" s="234">
        <s:f>(IF(ABS(U185)&lt;1,"CONFORME",IF(ABS(AG185)&lt;1,"CONFORME",IF(ABS(AS185)&lt;2.5,"CONFORME","NO CONFORME"))))</s:f>
        <s:v/>
      </s:c>
      <s:c r="BI185" s="235">
        <s:f>(IF(ABS(U185)&gt;2.044,"NO CONFORME",IF(ABS(AG185)&gt;2.044,"NO CONFORME",IF(ABS(AS185)&gt;5.044,"NO CONFORME","CONFORME"))))</s:f>
        <s:v/>
      </s:c>
      <s:c r="BJ185" s="233">
        <s:f>SIGN(U185)</s:f>
        <s:v/>
      </s:c>
      <s:c r="BK185" s="233">
        <s:f>SIGN(AG185)</s:f>
        <s:v/>
      </s:c>
      <s:c r="BL185" s="233">
        <s:f>SIGN(AS185)</s:f>
        <s:v/>
      </s:c>
      <s:c r="BM185" s="233">
        <s:f>CONCATENATE(BJ185,BK185,BL185)</s:f>
        <s:v/>
      </s:c>
      <s:c r="BN185" s="233">
        <s:f>IF(BM185="111","SI","SD")</s:f>
        <s:v/>
      </s:c>
      <s:c r="BO185" s="233">
        <s:f>IF(BM185="-1-1-1","SI","SD")</s:f>
        <s:v/>
      </s:c>
      <s:c r="BP185" s="233">
        <s:f>OR(BN185="SI",BO185="SI")</s:f>
        <s:v/>
      </s:c>
      <s:c r="BQ185" s="233">
        <s:f>IF(BP185=FALSE,"SIGDIFERENTES","SIGIGUALES")</s:f>
        <s:v/>
      </s:c>
      <s:c r="BR185" s="236">
        <s:f>IF(BI185="NO CONFORME","NO CONFORME",IF(BH185="CONFORME","CONFORME","NO CONFORME"))</s:f>
        <s:v/>
      </s:c>
      <s:c r="BS185" s="233">
        <s:f>F185</s:f>
        <s:v/>
      </s:c>
      <s:c r="BT185" s="237">
        <s:f>G185</s:f>
        <s:v/>
      </s:c>
      <s:c r="BU185" s="233">
        <s:f>"20"&amp;+MID(G185,3,2)</s:f>
        <s:v/>
      </s:c>
      <s:c r="BV185" s="238">
        <s:f>C185</s:f>
        <s:v/>
      </s:c>
      <s:c r="BW185" s="233">
        <s:f>AT185</s:f>
        <s:v/>
      </s:c>
      <s:c r="BX185" s="238">
        <s:f>B185</s:f>
        <s:v/>
      </s:c>
      <s:c r="BY185" s="239">
        <s:f>H185</s:f>
        <s:v/>
      </s:c>
      <s:c r="BZ185" s="233">
        <s:f>IF(I185=0,"CONFORME","NO CONFORME")</s:f>
        <s:v/>
      </s:c>
      <s:c r="CA185" s="238">
        <s:f>C185</s:f>
        <s:v/>
      </s:c>
      <s:c r="CB185" s="240">
        <s:f>AH185</s:f>
        <s:v/>
      </s:c>
      <s:c r="CC185" s="241">
        <s:f>AR185</s:f>
        <s:v/>
      </s:c>
      <s:c r="CD185" s="240">
        <s:f>AI185</s:f>
        <s:v/>
      </s:c>
      <s:c r="CE185" s="240">
        <s:f>AJ185</s:f>
        <s:v/>
      </s:c>
      <s:c r="CF185" s="240">
        <s:f>AS185</s:f>
        <s:v/>
      </s:c>
      <s:c r="CG185" s="240">
        <s:f>V185</s:f>
        <s:v/>
      </s:c>
      <s:c r="CH185" s="241">
        <s:f>AF185</s:f>
        <s:v/>
      </s:c>
      <s:c r="CI185" s="240">
        <s:f>W185</s:f>
        <s:v/>
      </s:c>
      <s:c r="CJ185" s="240">
        <s:f>X185</s:f>
        <s:v/>
      </s:c>
      <s:c r="CK185" s="240">
        <s:f>AG185</s:f>
        <s:v/>
      </s:c>
      <s:c r="CL185" s="240">
        <s:f>J185</s:f>
        <s:v/>
      </s:c>
      <s:c r="CM185" s="241">
        <s:f>T185</s:f>
        <s:v/>
      </s:c>
      <s:c r="CN185" s="240">
        <s:f>K185</s:f>
        <s:v/>
      </s:c>
      <s:c r="CO185" s="240">
        <s:f>L185</s:f>
        <s:v/>
      </s:c>
      <s:c r="CP185" s="242">
        <s:f>U185</s:f>
        <s:v/>
      </s:c>
      <s:c r="CQ185" s="233">
        <s:f>AT185</s:f>
        <s:v/>
      </s:c>
    </s:row>
    <s:row r="186">
      <s:c r="A186" s="211" t="n">
        <s:v>86</s:v>
      </s:c>
      <s:c r="B186" s="212" t="n">
        <s:v>45901</s:v>
      </s:c>
      <s:c r="C186" s="213" t="n">
        <s:v>45901</s:v>
      </s:c>
      <s:c r="D186" s="214" t="n">
        <s:v>3</s:v>
      </s:c>
      <s:c r="E186" s="215" t="n">
        <s:v>13</s:v>
      </s:c>
      <s:c r="F186" s="216" t="inlineStr">
        <s:is>
          <s:t>VI-236661-2025</s:t>
        </s:is>
      </s:c>
      <s:c r="G186" s="217" t="inlineStr">
        <s:is>
          <s:t>QA25418517</s:t>
        </s:is>
      </s:c>
      <s:c r="H186" s="218" t="n">
        <s:v>16</s:v>
      </s:c>
      <s:c r="I186" s="219" t="n">
        <s:v>0</s:v>
      </s:c>
      <s:c r="J186" s="220" t="n">
        <s:v>19.6</s:v>
      </s:c>
      <s:c r="K186" s="221" t="n">
        <s:v>7.496</s:v>
      </s:c>
      <s:c r="L186" s="221" t="n">
        <s:v>1.178</s:v>
      </s:c>
      <s:c r="M186" s="222" t="n">
        <s:v>351.74</s:v>
      </s:c>
      <s:c r="N186" s="222" t="n">
        <s:v>451.82</s:v>
      </s:c>
      <s:c r="O186" s="222" t="n">
        <s:v>100.39</s:v>
      </s:c>
      <s:c r="P186" s="223" t="inlineStr">
        <s:is>
          <s:t>2,29,660</s:t>
        </s:is>
      </s:c>
      <s:c r="Q186" s="224" t="inlineStr">
        <s:is>
          <s:t>2</s:t>
        </s:is>
      </s:c>
      <s:c r="R186" s="224" t="inlineStr">
        <s:is>
          <s:t>29,660</s:t>
        </s:is>
      </s:c>
      <s:c r="S186" s="224" t="n">
        <s:v>0.04157222222222222</s:v>
      </s:c>
      <s:c r="T186" s="225" t="n">
        <s:v>2414.833622878525</s:v>
      </s:c>
      <s:c r="U186" s="226" t="n">
        <s:v>-0.3087956967825645</s:v>
      </s:c>
      <s:c r="V186" s="220" t="n">
        <s:v>19.3</s:v>
      </s:c>
      <s:c r="W186" s="221" t="n">
        <s:v>1.089</s:v>
      </s:c>
      <s:c r="X186" s="221" t="n">
        <s:v>1.078</s:v>
      </s:c>
      <s:c r="Y186" s="222" t="n">
        <s:v>467.53</s:v>
      </s:c>
      <s:c r="Z186" s="222" t="n">
        <s:v>472.58</s:v>
      </s:c>
      <s:c r="AA186" s="227" t="n">
        <s:v>5.017</s:v>
      </s:c>
      <s:c r="AB186" s="228" t="inlineStr">
        <s:is>
          <s:t>11,28,470</s:t>
        </s:is>
      </s:c>
      <s:c r="AC186" s="224" t="inlineStr">
        <s:is>
          <s:t>11</s:t>
        </s:is>
      </s:c>
      <s:c r="AD186" s="224" t="inlineStr">
        <s:is>
          <s:t>28,470</s:t>
        </s:is>
      </s:c>
      <s:c r="AE186" s="224" t="n">
        <s:v>0.1912416666666667</s:v>
      </s:c>
      <s:c r="AF186" s="225" t="n">
        <s:v>26.23382282452394</s:v>
      </s:c>
      <s:c r="AG186" s="229" t="n">
        <s:v>0.6577636037474789</s:v>
      </s:c>
      <s:c r="AH186" s="220" t="n">
        <s:v>19.4</s:v>
      </s:c>
      <s:c r="AI186" s="221" t="n">
        <s:v>1.096</s:v>
      </s:c>
      <s:c r="AJ186" s="221" t="n">
        <s:v>1.086</s:v>
      </s:c>
      <s:c r="AK186" s="222" t="n">
        <s:v>472.58</s:v>
      </s:c>
      <s:c r="AL186" s="222" t="n">
        <s:v>474.6</s:v>
      </s:c>
      <s:c r="AM186" s="230" t="n">
        <s:v>2.009</s:v>
      </s:c>
      <s:c r="AN186" s="223" t="inlineStr">
        <s:is>
          <s:t>7,20,280</s:t>
        </s:is>
      </s:c>
      <s:c r="AO186" s="224" t="inlineStr">
        <s:is>
          <s:t>7,</s:t>
        </s:is>
      </s:c>
      <s:c r="AP186" s="224" t="inlineStr">
        <s:is>
          <s:t>20,280</s:t>
        </s:is>
      </s:c>
      <s:c r="AQ186" s="224" t="n">
        <s:v>0.1223</s:v>
      </s:c>
      <s:c r="AR186" s="225" t="n">
        <s:v>16.42681929681112</s:v>
      </s:c>
      <s:c r="AS186" s="229" t="n">
        <s:v>0.5475360876077031</s:v>
      </s:c>
      <s:c r="AT186" s="231" t="inlineStr">
        <s:is>
          <s:t>CONFORME</s:t>
        </s:is>
      </s:c>
      <s:c r="AU186" s="232">
        <s:f>B186=C186</s:f>
        <s:v/>
      </s:c>
      <s:c r="AV186" s="233">
        <s:f>MID(G186,1,2)</s:f>
        <s:v/>
      </s:c>
      <s:c r="AW186" s="233">
        <s:f>LEN(G186)</s:f>
        <s:v/>
      </s:c>
      <s:c r="AX186" s="233" t="inlineStr">
        <s:is>
          <s:t>OI-0923-2025</s:t>
        </s:is>
      </s:c>
      <s:c r="AY186" s="233">
        <s:f>N186&lt;Y186</s:f>
        <s:v/>
      </s:c>
      <s:c r="AZ186" s="233">
        <s:f>Z186&lt;=AK186</s:f>
        <s:v/>
      </s:c>
      <s:c r="BA186" s="233">
        <s:f>L186&lt;K186</s:f>
        <s:v/>
      </s:c>
      <s:c r="BB186" s="233">
        <s:f>W186&gt;=X186</s:f>
        <s:v/>
      </s:c>
      <s:c r="BC186" s="233">
        <s:f>AI186&gt;=AJ186</s:f>
        <s:v/>
      </s:c>
      <s:c r="BD186" s="233">
        <s:f>IF(I186&gt;=1,"Qcorrecto",IF(AND(BE186="aceptable",BF186="aceptable",BG186="aceptable"),"Qcorrecto","Qincorrecto"))</s:f>
        <s:v/>
      </s:c>
      <s:c r="BE186" s="232">
        <s:f>IF(AR186&lt;$AH$6,"error",IF(AR186&gt;$AH$6*1.1,"error","aceptable"))</s:f>
        <s:v/>
      </s:c>
      <s:c r="BF186" s="232">
        <s:f>IF(AF186&lt;$V$6,"error",IF(AF186&gt;$V$6*1.1,"error","aceptable"))</s:f>
        <s:v/>
      </s:c>
      <s:c r="BG186" s="232">
        <s:f>IF(T186&lt;$J$6*0.9,"error",IF(T186&gt;$J$6,"error","aceptable"))</s:f>
        <s:v/>
      </s:c>
      <s:c r="BH186" s="234">
        <s:f>(IF(ABS(U186)&lt;1,"CONFORME",IF(ABS(AG186)&lt;1,"CONFORME",IF(ABS(AS186)&lt;2.5,"CONFORME","NO CONFORME"))))</s:f>
        <s:v/>
      </s:c>
      <s:c r="BI186" s="235">
        <s:f>(IF(ABS(U186)&gt;2.044,"NO CONFORME",IF(ABS(AG186)&gt;2.044,"NO CONFORME",IF(ABS(AS186)&gt;5.044,"NO CONFORME","CONFORME"))))</s:f>
        <s:v/>
      </s:c>
      <s:c r="BJ186" s="233">
        <s:f>SIGN(U186)</s:f>
        <s:v/>
      </s:c>
      <s:c r="BK186" s="233">
        <s:f>SIGN(AG186)</s:f>
        <s:v/>
      </s:c>
      <s:c r="BL186" s="233">
        <s:f>SIGN(AS186)</s:f>
        <s:v/>
      </s:c>
      <s:c r="BM186" s="233">
        <s:f>CONCATENATE(BJ186,BK186,BL186)</s:f>
        <s:v/>
      </s:c>
      <s:c r="BN186" s="233">
        <s:f>IF(BM186="111","SI","SD")</s:f>
        <s:v/>
      </s:c>
      <s:c r="BO186" s="233">
        <s:f>IF(BM186="-1-1-1","SI","SD")</s:f>
        <s:v/>
      </s:c>
      <s:c r="BP186" s="233">
        <s:f>OR(BN186="SI",BO186="SI")</s:f>
        <s:v/>
      </s:c>
      <s:c r="BQ186" s="233">
        <s:f>IF(BP186=FALSE,"SIGDIFERENTES","SIGIGUALES")</s:f>
        <s:v/>
      </s:c>
      <s:c r="BR186" s="236">
        <s:f>IF(BI186="NO CONFORME","NO CONFORME",IF(BH186="CONFORME","CONFORME","NO CONFORME"))</s:f>
        <s:v/>
      </s:c>
      <s:c r="BS186" s="233">
        <s:f>F186</s:f>
        <s:v/>
      </s:c>
      <s:c r="BT186" s="237">
        <s:f>G186</s:f>
        <s:v/>
      </s:c>
      <s:c r="BU186" s="233">
        <s:f>"20"&amp;+MID(G186,3,2)</s:f>
        <s:v/>
      </s:c>
      <s:c r="BV186" s="238">
        <s:f>C186</s:f>
        <s:v/>
      </s:c>
      <s:c r="BW186" s="233">
        <s:f>AT186</s:f>
        <s:v/>
      </s:c>
      <s:c r="BX186" s="238">
        <s:f>B186</s:f>
        <s:v/>
      </s:c>
      <s:c r="BY186" s="239">
        <s:f>H186</s:f>
        <s:v/>
      </s:c>
      <s:c r="BZ186" s="233">
        <s:f>IF(I186=0,"CONFORME","NO CONFORME")</s:f>
        <s:v/>
      </s:c>
      <s:c r="CA186" s="238">
        <s:f>C186</s:f>
        <s:v/>
      </s:c>
      <s:c r="CB186" s="240">
        <s:f>AH186</s:f>
        <s:v/>
      </s:c>
      <s:c r="CC186" s="241">
        <s:f>AR186</s:f>
        <s:v/>
      </s:c>
      <s:c r="CD186" s="240">
        <s:f>AI186</s:f>
        <s:v/>
      </s:c>
      <s:c r="CE186" s="240">
        <s:f>AJ186</s:f>
        <s:v/>
      </s:c>
      <s:c r="CF186" s="240">
        <s:f>AS186</s:f>
        <s:v/>
      </s:c>
      <s:c r="CG186" s="240">
        <s:f>V186</s:f>
        <s:v/>
      </s:c>
      <s:c r="CH186" s="241">
        <s:f>AF186</s:f>
        <s:v/>
      </s:c>
      <s:c r="CI186" s="240">
        <s:f>W186</s:f>
        <s:v/>
      </s:c>
      <s:c r="CJ186" s="240">
        <s:f>X186</s:f>
        <s:v/>
      </s:c>
      <s:c r="CK186" s="240">
        <s:f>AG186</s:f>
        <s:v/>
      </s:c>
      <s:c r="CL186" s="240">
        <s:f>J186</s:f>
        <s:v/>
      </s:c>
      <s:c r="CM186" s="241">
        <s:f>T186</s:f>
        <s:v/>
      </s:c>
      <s:c r="CN186" s="240">
        <s:f>K186</s:f>
        <s:v/>
      </s:c>
      <s:c r="CO186" s="240">
        <s:f>L186</s:f>
        <s:v/>
      </s:c>
      <s:c r="CP186" s="242">
        <s:f>U186</s:f>
        <s:v/>
      </s:c>
      <s:c r="CQ186" s="233">
        <s:f>AT186</s:f>
        <s:v/>
      </s:c>
    </s:row>
    <s:row r="187">
      <s:c r="A187" s="211" t="n">
        <s:v>87</s:v>
      </s:c>
      <s:c r="B187" s="212" t="n">
        <s:v>45901</s:v>
      </s:c>
      <s:c r="C187" s="213" t="n">
        <s:v>45901</s:v>
      </s:c>
      <s:c r="D187" s="214" t="n">
        <s:v>3</s:v>
      </s:c>
      <s:c r="E187" s="215" t="n">
        <s:v>13</s:v>
      </s:c>
      <s:c r="F187" s="216" t="inlineStr">
        <s:is>
          <s:t>VI-236662-2025</s:t>
        </s:is>
      </s:c>
      <s:c r="G187" s="217" t="inlineStr">
        <s:is>
          <s:t>QA25418646</s:t>
        </s:is>
      </s:c>
      <s:c r="H187" s="218" t="n">
        <s:v>16</s:v>
      </s:c>
      <s:c r="I187" s="219" t="n">
        <s:v>0</s:v>
      </s:c>
      <s:c r="J187" s="220" t="n">
        <s:v>19.6</s:v>
      </s:c>
      <s:c r="K187" s="221" t="n">
        <s:v>7.496</s:v>
      </s:c>
      <s:c r="L187" s="221" t="n">
        <s:v>1.178</s:v>
      </s:c>
      <s:c r="M187" s="222" t="n">
        <s:v>316.47</s:v>
      </s:c>
      <s:c r="N187" s="222" t="n">
        <s:v>415.99</s:v>
      </s:c>
      <s:c r="O187" s="222" t="n">
        <s:v>100.39</s:v>
      </s:c>
      <s:c r="P187" s="223" t="inlineStr">
        <s:is>
          <s:t>2,29,660</s:t>
        </s:is>
      </s:c>
      <s:c r="Q187" s="224" t="inlineStr">
        <s:is>
          <s:t>2</s:t>
        </s:is>
      </s:c>
      <s:c r="R187" s="224" t="inlineStr">
        <s:is>
          <s:t>29,660</s:t>
        </s:is>
      </s:c>
      <s:c r="S187" s="224" t="n">
        <s:v>0.04157222222222222</s:v>
      </s:c>
      <s:c r="T187" s="225" t="n">
        <s:v>2414.833622878525</s:v>
      </s:c>
      <s:c r="U187" s="226" t="n">
        <s:v>-0.8666201812929761</s:v>
      </s:c>
      <s:c r="V187" s="220" t="n">
        <s:v>19.3</s:v>
      </s:c>
      <s:c r="W187" s="221" t="n">
        <s:v>1.089</s:v>
      </s:c>
      <s:c r="X187" s="221" t="n">
        <s:v>1.078</s:v>
      </s:c>
      <s:c r="Y187" s="222" t="n">
        <s:v>431.64</s:v>
      </s:c>
      <s:c r="Z187" s="222" t="n">
        <s:v>436.63</s:v>
      </s:c>
      <s:c r="AA187" s="227" t="n">
        <s:v>5.017</s:v>
      </s:c>
      <s:c r="AB187" s="228" t="inlineStr">
        <s:is>
          <s:t>11,28,470</s:t>
        </s:is>
      </s:c>
      <s:c r="AC187" s="224" t="inlineStr">
        <s:is>
          <s:t>11</s:t>
        </s:is>
      </s:c>
      <s:c r="AD187" s="224" t="inlineStr">
        <s:is>
          <s:t>28,470</s:t>
        </s:is>
      </s:c>
      <s:c r="AE187" s="224" t="n">
        <s:v>0.1912416666666667</s:v>
      </s:c>
      <s:c r="AF187" s="225" t="n">
        <s:v>26.23382282452394</s:v>
      </s:c>
      <s:c r="AG187" s="229" t="n">
        <s:v>-0.5381702212475833</s:v>
      </s:c>
      <s:c r="AH187" s="220" t="n">
        <s:v>19.4</s:v>
      </s:c>
      <s:c r="AI187" s="221" t="n">
        <s:v>1.096</s:v>
      </s:c>
      <s:c r="AJ187" s="221" t="n">
        <s:v>1.086</s:v>
      </s:c>
      <s:c r="AK187" s="222" t="n">
        <s:v>436.63</s:v>
      </s:c>
      <s:c r="AL187" s="222" t="n">
        <s:v>438.62</s:v>
      </s:c>
      <s:c r="AM187" s="230" t="n">
        <s:v>2.009</s:v>
      </s:c>
      <s:c r="AN187" s="223" t="inlineStr">
        <s:is>
          <s:t>7,20,280</s:t>
        </s:is>
      </s:c>
      <s:c r="AO187" s="224" t="inlineStr">
        <s:is>
          <s:t>7,</s:t>
        </s:is>
      </s:c>
      <s:c r="AP187" s="224" t="inlineStr">
        <s:is>
          <s:t>20,280</s:t>
        </s:is>
      </s:c>
      <s:c r="AQ187" s="224" t="n">
        <s:v>0.1223</s:v>
      </s:c>
      <s:c r="AR187" s="225" t="n">
        <s:v>16.42681929681112</s:v>
      </s:c>
      <s:c r="AS187" s="229" t="n">
        <s:v>-0.9457441513186063</s:v>
      </s:c>
      <s:c r="AT187" s="231" t="inlineStr">
        <s:is>
          <s:t>CONFORME</s:t>
        </s:is>
      </s:c>
      <s:c r="AU187" s="232">
        <s:f>B187=C187</s:f>
        <s:v/>
      </s:c>
      <s:c r="AV187" s="233">
        <s:f>MID(G187,1,2)</s:f>
        <s:v/>
      </s:c>
      <s:c r="AW187" s="233">
        <s:f>LEN(G187)</s:f>
        <s:v/>
      </s:c>
      <s:c r="AX187" s="233" t="inlineStr">
        <s:is>
          <s:t>OI-0923-2025</s:t>
        </s:is>
      </s:c>
      <s:c r="AY187" s="233">
        <s:f>N187&lt;Y187</s:f>
        <s:v/>
      </s:c>
      <s:c r="AZ187" s="233">
        <s:f>Z187&lt;=AK187</s:f>
        <s:v/>
      </s:c>
      <s:c r="BA187" s="233">
        <s:f>L187&lt;K187</s:f>
        <s:v/>
      </s:c>
      <s:c r="BB187" s="233">
        <s:f>W187&gt;=X187</s:f>
        <s:v/>
      </s:c>
      <s:c r="BC187" s="233">
        <s:f>AI187&gt;=AJ187</s:f>
        <s:v/>
      </s:c>
      <s:c r="BD187" s="233">
        <s:f>IF(I187&gt;=1,"Qcorrecto",IF(AND(BE187="aceptable",BF187="aceptable",BG187="aceptable"),"Qcorrecto","Qincorrecto"))</s:f>
        <s:v/>
      </s:c>
      <s:c r="BE187" s="232">
        <s:f>IF(AR187&lt;$AH$6,"error",IF(AR187&gt;$AH$6*1.1,"error","aceptable"))</s:f>
        <s:v/>
      </s:c>
      <s:c r="BF187" s="232">
        <s:f>IF(AF187&lt;$V$6,"error",IF(AF187&gt;$V$6*1.1,"error","aceptable"))</s:f>
        <s:v/>
      </s:c>
      <s:c r="BG187" s="232">
        <s:f>IF(T187&lt;$J$6*0.9,"error",IF(T187&gt;$J$6,"error","aceptable"))</s:f>
        <s:v/>
      </s:c>
      <s:c r="BH187" s="234">
        <s:f>(IF(ABS(U187)&lt;1,"CONFORME",IF(ABS(AG187)&lt;1,"CONFORME",IF(ABS(AS187)&lt;2.5,"CONFORME","NO CONFORME"))))</s:f>
        <s:v/>
      </s:c>
      <s:c r="BI187" s="235">
        <s:f>(IF(ABS(U187)&gt;2.044,"NO CONFORME",IF(ABS(AG187)&gt;2.044,"NO CONFORME",IF(ABS(AS187)&gt;5.044,"NO CONFORME","CONFORME"))))</s:f>
        <s:v/>
      </s:c>
      <s:c r="BJ187" s="233">
        <s:f>SIGN(U187)</s:f>
        <s:v/>
      </s:c>
      <s:c r="BK187" s="233">
        <s:f>SIGN(AG187)</s:f>
        <s:v/>
      </s:c>
      <s:c r="BL187" s="233">
        <s:f>SIGN(AS187)</s:f>
        <s:v/>
      </s:c>
      <s:c r="BM187" s="233">
        <s:f>CONCATENATE(BJ187,BK187,BL187)</s:f>
        <s:v/>
      </s:c>
      <s:c r="BN187" s="233">
        <s:f>IF(BM187="111","SI","SD")</s:f>
        <s:v/>
      </s:c>
      <s:c r="BO187" s="233">
        <s:f>IF(BM187="-1-1-1","SI","SD")</s:f>
        <s:v/>
      </s:c>
      <s:c r="BP187" s="233">
        <s:f>OR(BN187="SI",BO187="SI")</s:f>
        <s:v/>
      </s:c>
      <s:c r="BQ187" s="233">
        <s:f>IF(BP187=FALSE,"SIGDIFERENTES","SIGIGUALES")</s:f>
        <s:v/>
      </s:c>
      <s:c r="BR187" s="236">
        <s:f>IF(BI187="NO CONFORME","NO CONFORME",IF(BH187="CONFORME","CONFORME","NO CONFORME"))</s:f>
        <s:v/>
      </s:c>
      <s:c r="BS187" s="233">
        <s:f>F187</s:f>
        <s:v/>
      </s:c>
      <s:c r="BT187" s="237">
        <s:f>G187</s:f>
        <s:v/>
      </s:c>
      <s:c r="BU187" s="233">
        <s:f>"20"&amp;+MID(G187,3,2)</s:f>
        <s:v/>
      </s:c>
      <s:c r="BV187" s="238">
        <s:f>C187</s:f>
        <s:v/>
      </s:c>
      <s:c r="BW187" s="233">
        <s:f>AT187</s:f>
        <s:v/>
      </s:c>
      <s:c r="BX187" s="238">
        <s:f>B187</s:f>
        <s:v/>
      </s:c>
      <s:c r="BY187" s="239">
        <s:f>H187</s:f>
        <s:v/>
      </s:c>
      <s:c r="BZ187" s="233">
        <s:f>IF(I187=0,"CONFORME","NO CONFORME")</s:f>
        <s:v/>
      </s:c>
      <s:c r="CA187" s="238">
        <s:f>C187</s:f>
        <s:v/>
      </s:c>
      <s:c r="CB187" s="240">
        <s:f>AH187</s:f>
        <s:v/>
      </s:c>
      <s:c r="CC187" s="241">
        <s:f>AR187</s:f>
        <s:v/>
      </s:c>
      <s:c r="CD187" s="240">
        <s:f>AI187</s:f>
        <s:v/>
      </s:c>
      <s:c r="CE187" s="240">
        <s:f>AJ187</s:f>
        <s:v/>
      </s:c>
      <s:c r="CF187" s="240">
        <s:f>AS187</s:f>
        <s:v/>
      </s:c>
      <s:c r="CG187" s="240">
        <s:f>V187</s:f>
        <s:v/>
      </s:c>
      <s:c r="CH187" s="241">
        <s:f>AF187</s:f>
        <s:v/>
      </s:c>
      <s:c r="CI187" s="240">
        <s:f>W187</s:f>
        <s:v/>
      </s:c>
      <s:c r="CJ187" s="240">
        <s:f>X187</s:f>
        <s:v/>
      </s:c>
      <s:c r="CK187" s="240">
        <s:f>AG187</s:f>
        <s:v/>
      </s:c>
      <s:c r="CL187" s="240">
        <s:f>J187</s:f>
        <s:v/>
      </s:c>
      <s:c r="CM187" s="241">
        <s:f>T187</s:f>
        <s:v/>
      </s:c>
      <s:c r="CN187" s="240">
        <s:f>K187</s:f>
        <s:v/>
      </s:c>
      <s:c r="CO187" s="240">
        <s:f>L187</s:f>
        <s:v/>
      </s:c>
      <s:c r="CP187" s="242">
        <s:f>U187</s:f>
        <s:v/>
      </s:c>
      <s:c r="CQ187" s="233">
        <s:f>AT187</s:f>
        <s:v/>
      </s:c>
    </s:row>
    <s:row r="188">
      <s:c r="A188" s="211" t="n">
        <s:v>88</s:v>
      </s:c>
      <s:c r="B188" s="212" t="n">
        <s:v>45901</s:v>
      </s:c>
      <s:c r="C188" s="213" t="n">
        <s:v>45901</s:v>
      </s:c>
      <s:c r="D188" s="214" t="n">
        <s:v>3</s:v>
      </s:c>
      <s:c r="E188" s="215" t="n">
        <s:v>13</s:v>
      </s:c>
      <s:c r="F188" s="216" t="inlineStr">
        <s:is>
          <s:t>VI-236663-2025</s:t>
        </s:is>
      </s:c>
      <s:c r="G188" s="217" t="inlineStr">
        <s:is>
          <s:t>QA25418743</s:t>
        </s:is>
      </s:c>
      <s:c r="H188" s="218" t="n">
        <s:v>16</s:v>
      </s:c>
      <s:c r="I188" s="219" t="n">
        <s:v>0</s:v>
      </s:c>
      <s:c r="J188" s="220" t="n">
        <s:v>19.6</s:v>
      </s:c>
      <s:c r="K188" s="221" t="n">
        <s:v>7.496</s:v>
      </s:c>
      <s:c r="L188" s="221" t="n">
        <s:v>1.178</s:v>
      </s:c>
      <s:c r="M188" s="222" t="n">
        <s:v>319.91</s:v>
      </s:c>
      <s:c r="N188" s="222" t="n">
        <s:v>419.52</s:v>
      </s:c>
      <s:c r="O188" s="222" t="n">
        <s:v>100.39</s:v>
      </s:c>
      <s:c r="P188" s="223" t="inlineStr">
        <s:is>
          <s:t>2,29,660</s:t>
        </s:is>
      </s:c>
      <s:c r="Q188" s="224" t="inlineStr">
        <s:is>
          <s:t>2</s:t>
        </s:is>
      </s:c>
      <s:c r="R188" s="224" t="inlineStr">
        <s:is>
          <s:t>29,660</s:t>
        </s:is>
      </s:c>
      <s:c r="S188" s="224" t="n">
        <s:v>0.04157222222222222</s:v>
      </s:c>
      <s:c r="T188" s="225" t="n">
        <s:v>2414.833622878525</s:v>
      </s:c>
      <s:c r="U188" s="226" t="n">
        <s:v>-0.776969817710971</s:v>
      </s:c>
      <s:c r="V188" s="220" t="n">
        <s:v>19.3</s:v>
      </s:c>
      <s:c r="W188" s="221" t="n">
        <s:v>1.089</s:v>
      </s:c>
      <s:c r="X188" s="221" t="n">
        <s:v>1.078</s:v>
      </s:c>
      <s:c r="Y188" s="222" t="n">
        <s:v>435.17</s:v>
      </s:c>
      <s:c r="Z188" s="222" t="n">
        <s:v>440.24</s:v>
      </s:c>
      <s:c r="AA188" s="227" t="n">
        <s:v>5.017</s:v>
      </s:c>
      <s:c r="AB188" s="228" t="inlineStr">
        <s:is>
          <s:t>11,28,470</s:t>
        </s:is>
      </s:c>
      <s:c r="AC188" s="224" t="inlineStr">
        <s:is>
          <s:t>11</s:t>
        </s:is>
      </s:c>
      <s:c r="AD188" s="224" t="inlineStr">
        <s:is>
          <s:t>28,470</s:t>
        </s:is>
      </s:c>
      <s:c r="AE188" s="224" t="n">
        <s:v>0.1912416666666667</s:v>
      </s:c>
      <s:c r="AF188" s="225" t="n">
        <s:v>26.23382282452394</s:v>
      </s:c>
      <s:c r="AG188" s="229" t="n">
        <s:v>1.056408212078789</s:v>
      </s:c>
      <s:c r="AH188" s="220" t="n">
        <s:v>19.4</s:v>
      </s:c>
      <s:c r="AI188" s="221" t="n">
        <s:v>1.096</s:v>
      </s:c>
      <s:c r="AJ188" s="221" t="n">
        <s:v>1.086</s:v>
      </s:c>
      <s:c r="AK188" s="222" t="n">
        <s:v>440.24</s:v>
      </s:c>
      <s:c r="AL188" s="222" t="n">
        <s:v>442.25</s:v>
      </s:c>
      <s:c r="AM188" s="230" t="n">
        <s:v>2.009</s:v>
      </s:c>
      <s:c r="AN188" s="223" t="inlineStr">
        <s:is>
          <s:t>7,20,280</s:t>
        </s:is>
      </s:c>
      <s:c r="AO188" s="224" t="inlineStr">
        <s:is>
          <s:t>7,</s:t>
        </s:is>
      </s:c>
      <s:c r="AP188" s="224" t="inlineStr">
        <s:is>
          <s:t>20,280</s:t>
        </s:is>
      </s:c>
      <s:c r="AQ188" s="224" t="n">
        <s:v>0.1223</s:v>
      </s:c>
      <s:c r="AR188" s="225" t="n">
        <s:v>16.42681929681112</s:v>
      </s:c>
      <s:c r="AS188" s="229" t="n">
        <s:v>0.04977600796371369</s:v>
      </s:c>
      <s:c r="AT188" s="231" t="inlineStr">
        <s:is>
          <s:t>CONFORME</s:t>
        </s:is>
      </s:c>
      <s:c r="AU188" s="232">
        <s:f>B188=C188</s:f>
        <s:v/>
      </s:c>
      <s:c r="AV188" s="233">
        <s:f>MID(G188,1,2)</s:f>
        <s:v/>
      </s:c>
      <s:c r="AW188" s="233">
        <s:f>LEN(G188)</s:f>
        <s:v/>
      </s:c>
      <s:c r="AX188" s="233" t="inlineStr">
        <s:is>
          <s:t>OI-0923-2025</s:t>
        </s:is>
      </s:c>
      <s:c r="AY188" s="233">
        <s:f>N188&lt;Y188</s:f>
        <s:v/>
      </s:c>
      <s:c r="AZ188" s="233">
        <s:f>Z188&lt;=AK188</s:f>
        <s:v/>
      </s:c>
      <s:c r="BA188" s="233">
        <s:f>L188&lt;K188</s:f>
        <s:v/>
      </s:c>
      <s:c r="BB188" s="233">
        <s:f>W188&gt;=X188</s:f>
        <s:v/>
      </s:c>
      <s:c r="BC188" s="233">
        <s:f>AI188&gt;=AJ188</s:f>
        <s:v/>
      </s:c>
      <s:c r="BD188" s="233">
        <s:f>IF(I188&gt;=1,"Qcorrecto",IF(AND(BE188="aceptable",BF188="aceptable",BG188="aceptable"),"Qcorrecto","Qincorrecto"))</s:f>
        <s:v/>
      </s:c>
      <s:c r="BE188" s="232">
        <s:f>IF(AR188&lt;$AH$6,"error",IF(AR188&gt;$AH$6*1.1,"error","aceptable"))</s:f>
        <s:v/>
      </s:c>
      <s:c r="BF188" s="232">
        <s:f>IF(AF188&lt;$V$6,"error",IF(AF188&gt;$V$6*1.1,"error","aceptable"))</s:f>
        <s:v/>
      </s:c>
      <s:c r="BG188" s="232">
        <s:f>IF(T188&lt;$J$6*0.9,"error",IF(T188&gt;$J$6,"error","aceptable"))</s:f>
        <s:v/>
      </s:c>
      <s:c r="BH188" s="234">
        <s:f>(IF(ABS(U188)&lt;1,"CONFORME",IF(ABS(AG188)&lt;1,"CONFORME",IF(ABS(AS188)&lt;2.5,"CONFORME","NO CONFORME"))))</s:f>
        <s:v/>
      </s:c>
      <s:c r="BI188" s="235">
        <s:f>(IF(ABS(U188)&gt;2.044,"NO CONFORME",IF(ABS(AG188)&gt;2.044,"NO CONFORME",IF(ABS(AS188)&gt;5.044,"NO CONFORME","CONFORME"))))</s:f>
        <s:v/>
      </s:c>
      <s:c r="BJ188" s="233">
        <s:f>SIGN(U188)</s:f>
        <s:v/>
      </s:c>
      <s:c r="BK188" s="233">
        <s:f>SIGN(AG188)</s:f>
        <s:v/>
      </s:c>
      <s:c r="BL188" s="233">
        <s:f>SIGN(AS188)</s:f>
        <s:v/>
      </s:c>
      <s:c r="BM188" s="233">
        <s:f>CONCATENATE(BJ188,BK188,BL188)</s:f>
        <s:v/>
      </s:c>
      <s:c r="BN188" s="233">
        <s:f>IF(BM188="111","SI","SD")</s:f>
        <s:v/>
      </s:c>
      <s:c r="BO188" s="233">
        <s:f>IF(BM188="-1-1-1","SI","SD")</s:f>
        <s:v/>
      </s:c>
      <s:c r="BP188" s="233">
        <s:f>OR(BN188="SI",BO188="SI")</s:f>
        <s:v/>
      </s:c>
      <s:c r="BQ188" s="233">
        <s:f>IF(BP188=FALSE,"SIGDIFERENTES","SIGIGUALES")</s:f>
        <s:v/>
      </s:c>
      <s:c r="BR188" s="236">
        <s:f>IF(BI188="NO CONFORME","NO CONFORME",IF(BH188="CONFORME","CONFORME","NO CONFORME"))</s:f>
        <s:v/>
      </s:c>
      <s:c r="BS188" s="233">
        <s:f>F188</s:f>
        <s:v/>
      </s:c>
      <s:c r="BT188" s="237">
        <s:f>G188</s:f>
        <s:v/>
      </s:c>
      <s:c r="BU188" s="233">
        <s:f>"20"&amp;+MID(G188,3,2)</s:f>
        <s:v/>
      </s:c>
      <s:c r="BV188" s="238">
        <s:f>C188</s:f>
        <s:v/>
      </s:c>
      <s:c r="BW188" s="233">
        <s:f>AT188</s:f>
        <s:v/>
      </s:c>
      <s:c r="BX188" s="238">
        <s:f>B188</s:f>
        <s:v/>
      </s:c>
      <s:c r="BY188" s="239">
        <s:f>H188</s:f>
        <s:v/>
      </s:c>
      <s:c r="BZ188" s="233">
        <s:f>IF(I188=0,"CONFORME","NO CONFORME")</s:f>
        <s:v/>
      </s:c>
      <s:c r="CA188" s="238">
        <s:f>C188</s:f>
        <s:v/>
      </s:c>
      <s:c r="CB188" s="240">
        <s:f>AH188</s:f>
        <s:v/>
      </s:c>
      <s:c r="CC188" s="241">
        <s:f>AR188</s:f>
        <s:v/>
      </s:c>
      <s:c r="CD188" s="240">
        <s:f>AI188</s:f>
        <s:v/>
      </s:c>
      <s:c r="CE188" s="240">
        <s:f>AJ188</s:f>
        <s:v/>
      </s:c>
      <s:c r="CF188" s="240">
        <s:f>AS188</s:f>
        <s:v/>
      </s:c>
      <s:c r="CG188" s="240">
        <s:f>V188</s:f>
        <s:v/>
      </s:c>
      <s:c r="CH188" s="241">
        <s:f>AF188</s:f>
        <s:v/>
      </s:c>
      <s:c r="CI188" s="240">
        <s:f>W188</s:f>
        <s:v/>
      </s:c>
      <s:c r="CJ188" s="240">
        <s:f>X188</s:f>
        <s:v/>
      </s:c>
      <s:c r="CK188" s="240">
        <s:f>AG188</s:f>
        <s:v/>
      </s:c>
      <s:c r="CL188" s="240">
        <s:f>J188</s:f>
        <s:v/>
      </s:c>
      <s:c r="CM188" s="241">
        <s:f>T188</s:f>
        <s:v/>
      </s:c>
      <s:c r="CN188" s="240">
        <s:f>K188</s:f>
        <s:v/>
      </s:c>
      <s:c r="CO188" s="240">
        <s:f>L188</s:f>
        <s:v/>
      </s:c>
      <s:c r="CP188" s="242">
        <s:f>U188</s:f>
        <s:v/>
      </s:c>
      <s:c r="CQ188" s="233">
        <s:f>AT188</s:f>
        <s:v/>
      </s:c>
    </s:row>
    <s:row r="189">
      <s:c r="A189" s="211" t="n">
        <s:v>89</s:v>
      </s:c>
      <s:c r="B189" s="212" t="n">
        <s:v>45901</s:v>
      </s:c>
      <s:c r="C189" s="213" t="n">
        <s:v>45901</s:v>
      </s:c>
      <s:c r="D189" s="214" t="n">
        <s:v>3</s:v>
      </s:c>
      <s:c r="E189" s="215" t="n">
        <s:v>13</s:v>
      </s:c>
      <s:c r="F189" s="216" t="inlineStr">
        <s:is>
          <s:t>VI-236664-2025</s:t>
        </s:is>
      </s:c>
      <s:c r="G189" s="217" t="inlineStr">
        <s:is>
          <s:t>QA25418612</s:t>
        </s:is>
      </s:c>
      <s:c r="H189" s="218" t="n">
        <s:v>16</s:v>
      </s:c>
      <s:c r="I189" s="219" t="n">
        <s:v>0</s:v>
      </s:c>
      <s:c r="J189" s="220" t="n">
        <s:v>19.6</s:v>
      </s:c>
      <s:c r="K189" s="221" t="n">
        <s:v>7.496</s:v>
      </s:c>
      <s:c r="L189" s="221" t="n">
        <s:v>1.178</s:v>
      </s:c>
      <s:c r="M189" s="222" t="n">
        <s:v>386.96</s:v>
      </s:c>
      <s:c r="N189" s="222" t="n">
        <s:v>487.71</s:v>
      </s:c>
      <s:c r="O189" s="222" t="n">
        <s:v>100.39</s:v>
      </s:c>
      <s:c r="P189" s="223" t="inlineStr">
        <s:is>
          <s:t>2,29,660</s:t>
        </s:is>
      </s:c>
      <s:c r="Q189" s="224" t="inlineStr">
        <s:is>
          <s:t>2</s:t>
        </s:is>
      </s:c>
      <s:c r="R189" s="224" t="inlineStr">
        <s:is>
          <s:t>29,660</s:t>
        </s:is>
      </s:c>
      <s:c r="S189" s="224" t="n">
        <s:v>0.04157222222222222</s:v>
      </s:c>
      <s:c r="T189" s="225" t="n">
        <s:v>2414.833622878525</s:v>
      </s:c>
      <s:c r="U189" s="226" t="n">
        <s:v>0.3586014543281197</s:v>
      </s:c>
      <s:c r="V189" s="220" t="n">
        <s:v>19.3</s:v>
      </s:c>
      <s:c r="W189" s="221" t="n">
        <s:v>1.089</s:v>
      </s:c>
      <s:c r="X189" s="221" t="n">
        <s:v>1.078</s:v>
      </s:c>
      <s:c r="Y189" s="222" t="n">
        <s:v>503.54</s:v>
      </s:c>
      <s:c r="Z189" s="222" t="n">
        <s:v>508.56</s:v>
      </s:c>
      <s:c r="AA189" s="227" t="n">
        <s:v>5.017</s:v>
      </s:c>
      <s:c r="AB189" s="228" t="inlineStr">
        <s:is>
          <s:t>11,28,470</s:t>
        </s:is>
      </s:c>
      <s:c r="AC189" s="224" t="inlineStr">
        <s:is>
          <s:t>11</s:t>
        </s:is>
      </s:c>
      <s:c r="AD189" s="224" t="inlineStr">
        <s:is>
          <s:t>28,470</s:t>
        </s:is>
      </s:c>
      <s:c r="AE189" s="224" t="n">
        <s:v>0.1912416666666667</s:v>
      </s:c>
      <s:c r="AF189" s="225" t="n">
        <s:v>26.23382282452394</s:v>
      </s:c>
      <s:c r="AG189" s="229" t="n">
        <s:v>0.05979669124938134</s:v>
      </s:c>
      <s:c r="AH189" s="220" t="n">
        <s:v>19.4</s:v>
      </s:c>
      <s:c r="AI189" s="221" t="n">
        <s:v>1.096</s:v>
      </s:c>
      <s:c r="AJ189" s="221" t="n">
        <s:v>1.086</s:v>
      </s:c>
      <s:c r="AK189" s="222" t="n">
        <s:v>508.56</s:v>
      </s:c>
      <s:c r="AL189" s="222" t="n">
        <s:v>510.56</s:v>
      </s:c>
      <s:c r="AM189" s="230" t="n">
        <s:v>2.009</s:v>
      </s:c>
      <s:c r="AN189" s="223" t="inlineStr">
        <s:is>
          <s:t>7,20,280</s:t>
        </s:is>
      </s:c>
      <s:c r="AO189" s="224" t="inlineStr">
        <s:is>
          <s:t>7,</s:t>
        </s:is>
      </s:c>
      <s:c r="AP189" s="224" t="inlineStr">
        <s:is>
          <s:t>20,280</s:t>
        </s:is>
      </s:c>
      <s:c r="AQ189" s="224" t="n">
        <s:v>0.1223</s:v>
      </s:c>
      <s:c r="AR189" s="225" t="n">
        <s:v>16.42681929681112</s:v>
      </s:c>
      <s:c r="AS189" s="229" t="n">
        <s:v>-0.4479840716774463</s:v>
      </s:c>
      <s:c r="AT189" s="231" t="inlineStr">
        <s:is>
          <s:t>CONFORME</s:t>
        </s:is>
      </s:c>
      <s:c r="AU189" s="232">
        <s:f>B189=C189</s:f>
        <s:v/>
      </s:c>
      <s:c r="AV189" s="233">
        <s:f>MID(G189,1,2)</s:f>
        <s:v/>
      </s:c>
      <s:c r="AW189" s="233">
        <s:f>LEN(G189)</s:f>
        <s:v/>
      </s:c>
      <s:c r="AX189" s="233" t="inlineStr">
        <s:is>
          <s:t>OI-0923-2025</s:t>
        </s:is>
      </s:c>
      <s:c r="AY189" s="233">
        <s:f>N189&lt;Y189</s:f>
        <s:v/>
      </s:c>
      <s:c r="AZ189" s="233">
        <s:f>Z189&lt;=AK189</s:f>
        <s:v/>
      </s:c>
      <s:c r="BA189" s="233">
        <s:f>L189&lt;K189</s:f>
        <s:v/>
      </s:c>
      <s:c r="BB189" s="233">
        <s:f>W189&gt;=X189</s:f>
        <s:v/>
      </s:c>
      <s:c r="BC189" s="233">
        <s:f>AI189&gt;=AJ189</s:f>
        <s:v/>
      </s:c>
      <s:c r="BD189" s="233">
        <s:f>IF(I189&gt;=1,"Qcorrecto",IF(AND(BE189="aceptable",BF189="aceptable",BG189="aceptable"),"Qcorrecto","Qincorrecto"))</s:f>
        <s:v/>
      </s:c>
      <s:c r="BE189" s="232">
        <s:f>IF(AR189&lt;$AH$6,"error",IF(AR189&gt;$AH$6*1.1,"error","aceptable"))</s:f>
        <s:v/>
      </s:c>
      <s:c r="BF189" s="232">
        <s:f>IF(AF189&lt;$V$6,"error",IF(AF189&gt;$V$6*1.1,"error","aceptable"))</s:f>
        <s:v/>
      </s:c>
      <s:c r="BG189" s="232">
        <s:f>IF(T189&lt;$J$6*0.9,"error",IF(T189&gt;$J$6,"error","aceptable"))</s:f>
        <s:v/>
      </s:c>
      <s:c r="BH189" s="234">
        <s:f>(IF(ABS(U189)&lt;1,"CONFORME",IF(ABS(AG189)&lt;1,"CONFORME",IF(ABS(AS189)&lt;2.5,"CONFORME","NO CONFORME"))))</s:f>
        <s:v/>
      </s:c>
      <s:c r="BI189" s="235">
        <s:f>(IF(ABS(U189)&gt;2.044,"NO CONFORME",IF(ABS(AG189)&gt;2.044,"NO CONFORME",IF(ABS(AS189)&gt;5.044,"NO CONFORME","CONFORME"))))</s:f>
        <s:v/>
      </s:c>
      <s:c r="BJ189" s="233">
        <s:f>SIGN(U189)</s:f>
        <s:v/>
      </s:c>
      <s:c r="BK189" s="233">
        <s:f>SIGN(AG189)</s:f>
        <s:v/>
      </s:c>
      <s:c r="BL189" s="233">
        <s:f>SIGN(AS189)</s:f>
        <s:v/>
      </s:c>
      <s:c r="BM189" s="233">
        <s:f>CONCATENATE(BJ189,BK189,BL189)</s:f>
        <s:v/>
      </s:c>
      <s:c r="BN189" s="233">
        <s:f>IF(BM189="111","SI","SD")</s:f>
        <s:v/>
      </s:c>
      <s:c r="BO189" s="233">
        <s:f>IF(BM189="-1-1-1","SI","SD")</s:f>
        <s:v/>
      </s:c>
      <s:c r="BP189" s="233">
        <s:f>OR(BN189="SI",BO189="SI")</s:f>
        <s:v/>
      </s:c>
      <s:c r="BQ189" s="233">
        <s:f>IF(BP189=FALSE,"SIGDIFERENTES","SIGIGUALES")</s:f>
        <s:v/>
      </s:c>
      <s:c r="BR189" s="236">
        <s:f>IF(BI189="NO CONFORME","NO CONFORME",IF(BH189="CONFORME","CONFORME","NO CONFORME"))</s:f>
        <s:v/>
      </s:c>
      <s:c r="BS189" s="233">
        <s:f>F189</s:f>
        <s:v/>
      </s:c>
      <s:c r="BT189" s="237">
        <s:f>G189</s:f>
        <s:v/>
      </s:c>
      <s:c r="BU189" s="233">
        <s:f>"20"&amp;+MID(G189,3,2)</s:f>
        <s:v/>
      </s:c>
      <s:c r="BV189" s="238">
        <s:f>C189</s:f>
        <s:v/>
      </s:c>
      <s:c r="BW189" s="233">
        <s:f>AT189</s:f>
        <s:v/>
      </s:c>
      <s:c r="BX189" s="238">
        <s:f>B189</s:f>
        <s:v/>
      </s:c>
      <s:c r="BY189" s="239">
        <s:f>H189</s:f>
        <s:v/>
      </s:c>
      <s:c r="BZ189" s="233">
        <s:f>IF(I189=0,"CONFORME","NO CONFORME")</s:f>
        <s:v/>
      </s:c>
      <s:c r="CA189" s="238">
        <s:f>C189</s:f>
        <s:v/>
      </s:c>
      <s:c r="CB189" s="240">
        <s:f>AH189</s:f>
        <s:v/>
      </s:c>
      <s:c r="CC189" s="241">
        <s:f>AR189</s:f>
        <s:v/>
      </s:c>
      <s:c r="CD189" s="240">
        <s:f>AI189</s:f>
        <s:v/>
      </s:c>
      <s:c r="CE189" s="240">
        <s:f>AJ189</s:f>
        <s:v/>
      </s:c>
      <s:c r="CF189" s="240">
        <s:f>AS189</s:f>
        <s:v/>
      </s:c>
      <s:c r="CG189" s="240">
        <s:f>V189</s:f>
        <s:v/>
      </s:c>
      <s:c r="CH189" s="241">
        <s:f>AF189</s:f>
        <s:v/>
      </s:c>
      <s:c r="CI189" s="240">
        <s:f>W189</s:f>
        <s:v/>
      </s:c>
      <s:c r="CJ189" s="240">
        <s:f>X189</s:f>
        <s:v/>
      </s:c>
      <s:c r="CK189" s="240">
        <s:f>AG189</s:f>
        <s:v/>
      </s:c>
      <s:c r="CL189" s="240">
        <s:f>J189</s:f>
        <s:v/>
      </s:c>
      <s:c r="CM189" s="241">
        <s:f>T189</s:f>
        <s:v/>
      </s:c>
      <s:c r="CN189" s="240">
        <s:f>K189</s:f>
        <s:v/>
      </s:c>
      <s:c r="CO189" s="240">
        <s:f>L189</s:f>
        <s:v/>
      </s:c>
      <s:c r="CP189" s="242">
        <s:f>U189</s:f>
        <s:v/>
      </s:c>
      <s:c r="CQ189" s="233">
        <s:f>AT189</s:f>
        <s:v/>
      </s:c>
    </s:row>
    <s:row r="190">
      <s:c r="A190" s="211" t="n">
        <s:v>90</s:v>
      </s:c>
      <s:c r="B190" s="212" t="n">
        <s:v>45901</s:v>
      </s:c>
      <s:c r="C190" s="213" t="n">
        <s:v>45901</s:v>
      </s:c>
      <s:c r="D190" s="214" t="n">
        <s:v>3</s:v>
      </s:c>
      <s:c r="E190" s="215" t="n">
        <s:v>13</s:v>
      </s:c>
      <s:c r="F190" s="216" t="inlineStr">
        <s:is>
          <s:t>VI-236665-2025</s:t>
        </s:is>
      </s:c>
      <s:c r="G190" s="217" t="inlineStr">
        <s:is>
          <s:t>QA25418775</s:t>
        </s:is>
      </s:c>
      <s:c r="H190" s="218" t="n">
        <s:v>16</s:v>
      </s:c>
      <s:c r="I190" s="219" t="n">
        <s:v>0</s:v>
      </s:c>
      <s:c r="J190" s="220" t="n">
        <s:v>19.6</s:v>
      </s:c>
      <s:c r="K190" s="221" t="n">
        <s:v>7.496</s:v>
      </s:c>
      <s:c r="L190" s="221" t="n">
        <s:v>1.178</s:v>
      </s:c>
      <s:c r="M190" s="222" t="n">
        <s:v>443.4</s:v>
      </s:c>
      <s:c r="N190" s="222" t="n">
        <s:v>542.92</s:v>
      </s:c>
      <s:c r="O190" s="222" t="n">
        <s:v>100.39</s:v>
      </s:c>
      <s:c r="P190" s="223" t="inlineStr">
        <s:is>
          <s:t>2,29,660</s:t>
        </s:is>
      </s:c>
      <s:c r="Q190" s="224" t="inlineStr">
        <s:is>
          <s:t>2</s:t>
        </s:is>
      </s:c>
      <s:c r="R190" s="224" t="inlineStr">
        <s:is>
          <s:t>29,660</s:t>
        </s:is>
      </s:c>
      <s:c r="S190" s="224" t="n">
        <s:v>0.04157222222222222</s:v>
      </s:c>
      <s:c r="T190" s="225" t="n">
        <s:v>2414.833622878525</s:v>
      </s:c>
      <s:c r="U190" s="226" t="n">
        <s:v>-0.8666201812929761</s:v>
      </s:c>
      <s:c r="V190" s="220" t="n">
        <s:v>19.3</s:v>
      </s:c>
      <s:c r="W190" s="221" t="n">
        <s:v>1.089</s:v>
      </s:c>
      <s:c r="X190" s="221" t="n">
        <s:v>1.078</s:v>
      </s:c>
      <s:c r="Y190" s="222" t="n">
        <s:v>558.5700000000001</s:v>
      </s:c>
      <s:c r="Z190" s="222" t="n">
        <s:v>563.6</s:v>
      </s:c>
      <s:c r="AA190" s="227" t="n">
        <s:v>5.017</s:v>
      </s:c>
      <s:c r="AB190" s="228" t="inlineStr">
        <s:is>
          <s:t>11,28,470</s:t>
        </s:is>
      </s:c>
      <s:c r="AC190" s="224" t="inlineStr">
        <s:is>
          <s:t>11</s:t>
        </s:is>
      </s:c>
      <s:c r="AD190" s="224" t="inlineStr">
        <s:is>
          <s:t>28,470</s:t>
        </s:is>
      </s:c>
      <s:c r="AE190" s="224" t="n">
        <s:v>0.1912416666666667</s:v>
      </s:c>
      <s:c r="AF190" s="225" t="n">
        <s:v>26.23382282452394</s:v>
      </s:c>
      <s:c r="AG190" s="229" t="n">
        <s:v>0.2591189954150362</s:v>
      </s:c>
      <s:c r="AH190" s="220" t="n">
        <s:v>19.4</s:v>
      </s:c>
      <s:c r="AI190" s="221" t="n">
        <s:v>1.096</s:v>
      </s:c>
      <s:c r="AJ190" s="221" t="n">
        <s:v>1.086</s:v>
      </s:c>
      <s:c r="AK190" s="222" t="n">
        <s:v>563.6</s:v>
      </s:c>
      <s:c r="AL190" s="222" t="n">
        <s:v>565.62</s:v>
      </s:c>
      <s:c r="AM190" s="230" t="n">
        <s:v>2.009</s:v>
      </s:c>
      <s:c r="AN190" s="223" t="inlineStr">
        <s:is>
          <s:t>7,20,280</s:t>
        </s:is>
      </s:c>
      <s:c r="AO190" s="224" t="inlineStr">
        <s:is>
          <s:t>7,</s:t>
        </s:is>
      </s:c>
      <s:c r="AP190" s="224" t="inlineStr">
        <s:is>
          <s:t>20,280</s:t>
        </s:is>
      </s:c>
      <s:c r="AQ190" s="224" t="n">
        <s:v>0.1223</s:v>
      </s:c>
      <s:c r="AR190" s="225" t="n">
        <s:v>16.42681929681112</s:v>
      </s:c>
      <s:c r="AS190" s="229" t="n">
        <s:v>0.5475360876048737</s:v>
      </s:c>
      <s:c r="AT190" s="231" t="inlineStr">
        <s:is>
          <s:t>CONFORME</s:t>
        </s:is>
      </s:c>
      <s:c r="AU190" s="232">
        <s:f>B190=C190</s:f>
        <s:v/>
      </s:c>
      <s:c r="AV190" s="233">
        <s:f>MID(G190,1,2)</s:f>
        <s:v/>
      </s:c>
      <s:c r="AW190" s="233">
        <s:f>LEN(G190)</s:f>
        <s:v/>
      </s:c>
      <s:c r="AX190" s="233" t="inlineStr">
        <s:is>
          <s:t>OI-0923-2025</s:t>
        </s:is>
      </s:c>
      <s:c r="AY190" s="233">
        <s:f>N190&lt;Y190</s:f>
        <s:v/>
      </s:c>
      <s:c r="AZ190" s="233">
        <s:f>Z190&lt;=AK190</s:f>
        <s:v/>
      </s:c>
      <s:c r="BA190" s="233">
        <s:f>L190&lt;K190</s:f>
        <s:v/>
      </s:c>
      <s:c r="BB190" s="233">
        <s:f>W190&gt;=X190</s:f>
        <s:v/>
      </s:c>
      <s:c r="BC190" s="233">
        <s:f>AI190&gt;=AJ190</s:f>
        <s:v/>
      </s:c>
      <s:c r="BD190" s="233">
        <s:f>IF(I190&gt;=1,"Qcorrecto",IF(AND(BE190="aceptable",BF190="aceptable",BG190="aceptable"),"Qcorrecto","Qincorrecto"))</s:f>
        <s:v/>
      </s:c>
      <s:c r="BE190" s="232">
        <s:f>IF(AR190&lt;$AH$6,"error",IF(AR190&gt;$AH$6*1.1,"error","aceptable"))</s:f>
        <s:v/>
      </s:c>
      <s:c r="BF190" s="232">
        <s:f>IF(AF190&lt;$V$6,"error",IF(AF190&gt;$V$6*1.1,"error","aceptable"))</s:f>
        <s:v/>
      </s:c>
      <s:c r="BG190" s="232">
        <s:f>IF(T190&lt;$J$6*0.9,"error",IF(T190&gt;$J$6,"error","aceptable"))</s:f>
        <s:v/>
      </s:c>
      <s:c r="BH190" s="234">
        <s:f>(IF(ABS(U190)&lt;1,"CONFORME",IF(ABS(AG190)&lt;1,"CONFORME",IF(ABS(AS190)&lt;2.5,"CONFORME","NO CONFORME"))))</s:f>
        <s:v/>
      </s:c>
      <s:c r="BI190" s="235">
        <s:f>(IF(ABS(U190)&gt;2.044,"NO CONFORME",IF(ABS(AG190)&gt;2.044,"NO CONFORME",IF(ABS(AS190)&gt;5.044,"NO CONFORME","CONFORME"))))</s:f>
        <s:v/>
      </s:c>
      <s:c r="BJ190" s="233">
        <s:f>SIGN(U190)</s:f>
        <s:v/>
      </s:c>
      <s:c r="BK190" s="233">
        <s:f>SIGN(AG190)</s:f>
        <s:v/>
      </s:c>
      <s:c r="BL190" s="233">
        <s:f>SIGN(AS190)</s:f>
        <s:v/>
      </s:c>
      <s:c r="BM190" s="233">
        <s:f>CONCATENATE(BJ190,BK190,BL190)</s:f>
        <s:v/>
      </s:c>
      <s:c r="BN190" s="233">
        <s:f>IF(BM190="111","SI","SD")</s:f>
        <s:v/>
      </s:c>
      <s:c r="BO190" s="233">
        <s:f>IF(BM190="-1-1-1","SI","SD")</s:f>
        <s:v/>
      </s:c>
      <s:c r="BP190" s="233">
        <s:f>OR(BN190="SI",BO190="SI")</s:f>
        <s:v/>
      </s:c>
      <s:c r="BQ190" s="233">
        <s:f>IF(BP190=FALSE,"SIGDIFERENTES","SIGIGUALES")</s:f>
        <s:v/>
      </s:c>
      <s:c r="BR190" s="236">
        <s:f>IF(BI190="NO CONFORME","NO CONFORME",IF(BH190="CONFORME","CONFORME","NO CONFORME"))</s:f>
        <s:v/>
      </s:c>
      <s:c r="BS190" s="233">
        <s:f>F190</s:f>
        <s:v/>
      </s:c>
      <s:c r="BT190" s="237">
        <s:f>G190</s:f>
        <s:v/>
      </s:c>
      <s:c r="BU190" s="233">
        <s:f>"20"&amp;+MID(G190,3,2)</s:f>
        <s:v/>
      </s:c>
      <s:c r="BV190" s="238">
        <s:f>C190</s:f>
        <s:v/>
      </s:c>
      <s:c r="BW190" s="233">
        <s:f>AT190</s:f>
        <s:v/>
      </s:c>
      <s:c r="BX190" s="238">
        <s:f>B190</s:f>
        <s:v/>
      </s:c>
      <s:c r="BY190" s="239">
        <s:f>H190</s:f>
        <s:v/>
      </s:c>
      <s:c r="BZ190" s="233">
        <s:f>IF(I190=0,"CONFORME","NO CONFORME")</s:f>
        <s:v/>
      </s:c>
      <s:c r="CA190" s="238">
        <s:f>C190</s:f>
        <s:v/>
      </s:c>
      <s:c r="CB190" s="240">
        <s:f>AH190</s:f>
        <s:v/>
      </s:c>
      <s:c r="CC190" s="241">
        <s:f>AR190</s:f>
        <s:v/>
      </s:c>
      <s:c r="CD190" s="240">
        <s:f>AI190</s:f>
        <s:v/>
      </s:c>
      <s:c r="CE190" s="240">
        <s:f>AJ190</s:f>
        <s:v/>
      </s:c>
      <s:c r="CF190" s="240">
        <s:f>AS190</s:f>
        <s:v/>
      </s:c>
      <s:c r="CG190" s="240">
        <s:f>V190</s:f>
        <s:v/>
      </s:c>
      <s:c r="CH190" s="241">
        <s:f>AF190</s:f>
        <s:v/>
      </s:c>
      <s:c r="CI190" s="240">
        <s:f>W190</s:f>
        <s:v/>
      </s:c>
      <s:c r="CJ190" s="240">
        <s:f>X190</s:f>
        <s:v/>
      </s:c>
      <s:c r="CK190" s="240">
        <s:f>AG190</s:f>
        <s:v/>
      </s:c>
      <s:c r="CL190" s="240">
        <s:f>J190</s:f>
        <s:v/>
      </s:c>
      <s:c r="CM190" s="241">
        <s:f>T190</s:f>
        <s:v/>
      </s:c>
      <s:c r="CN190" s="240">
        <s:f>K190</s:f>
        <s:v/>
      </s:c>
      <s:c r="CO190" s="240">
        <s:f>L190</s:f>
        <s:v/>
      </s:c>
      <s:c r="CP190" s="242">
        <s:f>U190</s:f>
        <s:v/>
      </s:c>
      <s:c r="CQ190" s="233">
        <s:f>AT190</s:f>
        <s:v/>
      </s:c>
    </s:row>
    <s:row r="191">
      <s:c r="A191" s="211" t="n">
        <s:v>91</s:v>
      </s:c>
      <s:c r="B191" s="212" t="n">
        <s:v>45901</s:v>
      </s:c>
      <s:c r="C191" s="213" t="n">
        <s:v>45901</s:v>
      </s:c>
      <s:c r="D191" s="214" t="n">
        <s:v>3</s:v>
      </s:c>
      <s:c r="E191" s="215" t="n">
        <s:v>13</s:v>
      </s:c>
      <s:c r="F191" s="216" t="inlineStr">
        <s:is>
          <s:t>VI-236666-2025</s:t>
        </s:is>
      </s:c>
      <s:c r="G191" s="217" t="inlineStr">
        <s:is>
          <s:t>QA25418719</s:t>
        </s:is>
      </s:c>
      <s:c r="H191" s="218" t="n">
        <s:v>16</s:v>
      </s:c>
      <s:c r="I191" s="219" t="n">
        <s:v>0</s:v>
      </s:c>
      <s:c r="J191" s="220" t="n">
        <s:v>19.6</s:v>
      </s:c>
      <s:c r="K191" s="221" t="n">
        <s:v>7.496</s:v>
      </s:c>
      <s:c r="L191" s="221" t="n">
        <s:v>1.178</s:v>
      </s:c>
      <s:c r="M191" s="222" t="n">
        <s:v>309.17</s:v>
      </s:c>
      <s:c r="N191" s="222" t="n">
        <s:v>408.88</s:v>
      </s:c>
      <s:c r="O191" s="222" t="n">
        <s:v>100.39</s:v>
      </s:c>
      <s:c r="P191" s="223" t="inlineStr">
        <s:is>
          <s:t>2,29,660</s:t>
        </s:is>
      </s:c>
      <s:c r="Q191" s="224" t="inlineStr">
        <s:is>
          <s:t>2</s:t>
        </s:is>
      </s:c>
      <s:c r="R191" s="224" t="inlineStr">
        <s:is>
          <s:t>29,660</s:t>
        </s:is>
      </s:c>
      <s:c r="S191" s="224" t="n">
        <s:v>0.04157222222222222</s:v>
      </s:c>
      <s:c r="T191" s="225" t="n">
        <s:v>2414.833622878525</s:v>
      </s:c>
      <s:c r="U191" s="226" t="n">
        <s:v>-0.6773583026198038</s:v>
      </s:c>
      <s:c r="V191" s="220" t="n">
        <s:v>19.3</s:v>
      </s:c>
      <s:c r="W191" s="221" t="n">
        <s:v>1.089</s:v>
      </s:c>
      <s:c r="X191" s="221" t="n">
        <s:v>1.078</s:v>
      </s:c>
      <s:c r="Y191" s="222" t="n">
        <s:v>424.49</s:v>
      </s:c>
      <s:c r="Z191" s="222" t="n">
        <s:v>429.53</s:v>
      </s:c>
      <s:c r="AA191" s="227" t="n">
        <s:v>5.017</s:v>
      </s:c>
      <s:c r="AB191" s="228" t="inlineStr">
        <s:is>
          <s:t>11,28,470</s:t>
        </s:is>
      </s:c>
      <s:c r="AC191" s="224" t="inlineStr">
        <s:is>
          <s:t>11</s:t>
        </s:is>
      </s:c>
      <s:c r="AD191" s="224" t="inlineStr">
        <s:is>
          <s:t>28,470</s:t>
        </s:is>
      </s:c>
      <s:c r="AE191" s="224" t="n">
        <s:v>0.1912416666666667</s:v>
      </s:c>
      <s:c r="AF191" s="225" t="n">
        <s:v>26.23382282452394</s:v>
      </s:c>
      <s:c r="AG191" s="229" t="n">
        <s:v>0.458441299580691</s:v>
      </s:c>
      <s:c r="AH191" s="220" t="n">
        <s:v>19.4</s:v>
      </s:c>
      <s:c r="AI191" s="221" t="n">
        <s:v>1.096</s:v>
      </s:c>
      <s:c r="AJ191" s="221" t="n">
        <s:v>1.086</s:v>
      </s:c>
      <s:c r="AK191" s="222" t="n">
        <s:v>429.53</s:v>
      </s:c>
      <s:c r="AL191" s="222" t="n">
        <s:v>431.53</s:v>
      </s:c>
      <s:c r="AM191" s="230" t="n">
        <s:v>2.009</s:v>
      </s:c>
      <s:c r="AN191" s="223" t="inlineStr">
        <s:is>
          <s:t>7,20,280</s:t>
        </s:is>
      </s:c>
      <s:c r="AO191" s="224" t="inlineStr">
        <s:is>
          <s:t>7,</s:t>
        </s:is>
      </s:c>
      <s:c r="AP191" s="224" t="inlineStr">
        <s:is>
          <s:t>20,280</s:t>
        </s:is>
      </s:c>
      <s:c r="AQ191" s="224" t="n">
        <s:v>0.1223</s:v>
      </s:c>
      <s:c r="AR191" s="225" t="n">
        <s:v>16.42681929681112</s:v>
      </s:c>
      <s:c r="AS191" s="229" t="n">
        <s:v>-0.4479840716774463</s:v>
      </s:c>
      <s:c r="AT191" s="231" t="inlineStr">
        <s:is>
          <s:t>CONFORME</s:t>
        </s:is>
      </s:c>
      <s:c r="AU191" s="232">
        <s:f>B191=C191</s:f>
        <s:v/>
      </s:c>
      <s:c r="AV191" s="233">
        <s:f>MID(G191,1,2)</s:f>
        <s:v/>
      </s:c>
      <s:c r="AW191" s="233">
        <s:f>LEN(G191)</s:f>
        <s:v/>
      </s:c>
      <s:c r="AX191" s="233" t="inlineStr">
        <s:is>
          <s:t>OI-0923-2025</s:t>
        </s:is>
      </s:c>
      <s:c r="AY191" s="233">
        <s:f>N191&lt;Y191</s:f>
        <s:v/>
      </s:c>
      <s:c r="AZ191" s="233">
        <s:f>Z191&lt;=AK191</s:f>
        <s:v/>
      </s:c>
      <s:c r="BA191" s="233">
        <s:f>L191&lt;K191</s:f>
        <s:v/>
      </s:c>
      <s:c r="BB191" s="233">
        <s:f>W191&gt;=X191</s:f>
        <s:v/>
      </s:c>
      <s:c r="BC191" s="233">
        <s:f>AI191&gt;=AJ191</s:f>
        <s:v/>
      </s:c>
      <s:c r="BD191" s="233">
        <s:f>IF(I191&gt;=1,"Qcorrecto",IF(AND(BE191="aceptable",BF191="aceptable",BG191="aceptable"),"Qcorrecto","Qincorrecto"))</s:f>
        <s:v/>
      </s:c>
      <s:c r="BE191" s="232">
        <s:f>IF(AR191&lt;$AH$6,"error",IF(AR191&gt;$AH$6*1.1,"error","aceptable"))</s:f>
        <s:v/>
      </s:c>
      <s:c r="BF191" s="232">
        <s:f>IF(AF191&lt;$V$6,"error",IF(AF191&gt;$V$6*1.1,"error","aceptable"))</s:f>
        <s:v/>
      </s:c>
      <s:c r="BG191" s="232">
        <s:f>IF(T191&lt;$J$6*0.9,"error",IF(T191&gt;$J$6,"error","aceptable"))</s:f>
        <s:v/>
      </s:c>
      <s:c r="BH191" s="234">
        <s:f>(IF(ABS(U191)&lt;1,"CONFORME",IF(ABS(AG191)&lt;1,"CONFORME",IF(ABS(AS191)&lt;2.5,"CONFORME","NO CONFORME"))))</s:f>
        <s:v/>
      </s:c>
      <s:c r="BI191" s="235">
        <s:f>(IF(ABS(U191)&gt;2.044,"NO CONFORME",IF(ABS(AG191)&gt;2.044,"NO CONFORME",IF(ABS(AS191)&gt;5.044,"NO CONFORME","CONFORME"))))</s:f>
        <s:v/>
      </s:c>
      <s:c r="BJ191" s="233">
        <s:f>SIGN(U191)</s:f>
        <s:v/>
      </s:c>
      <s:c r="BK191" s="233">
        <s:f>SIGN(AG191)</s:f>
        <s:v/>
      </s:c>
      <s:c r="BL191" s="233">
        <s:f>SIGN(AS191)</s:f>
        <s:v/>
      </s:c>
      <s:c r="BM191" s="233">
        <s:f>CONCATENATE(BJ191,BK191,BL191)</s:f>
        <s:v/>
      </s:c>
      <s:c r="BN191" s="233">
        <s:f>IF(BM191="111","SI","SD")</s:f>
        <s:v/>
      </s:c>
      <s:c r="BO191" s="233">
        <s:f>IF(BM191="-1-1-1","SI","SD")</s:f>
        <s:v/>
      </s:c>
      <s:c r="BP191" s="233">
        <s:f>OR(BN191="SI",BO191="SI")</s:f>
        <s:v/>
      </s:c>
      <s:c r="BQ191" s="233">
        <s:f>IF(BP191=FALSE,"SIGDIFERENTES","SIGIGUALES")</s:f>
        <s:v/>
      </s:c>
      <s:c r="BR191" s="236">
        <s:f>IF(BI191="NO CONFORME","NO CONFORME",IF(BH191="CONFORME","CONFORME","NO CONFORME"))</s:f>
        <s:v/>
      </s:c>
      <s:c r="BS191" s="233">
        <s:f>F191</s:f>
        <s:v/>
      </s:c>
      <s:c r="BT191" s="237">
        <s:f>G191</s:f>
        <s:v/>
      </s:c>
      <s:c r="BU191" s="233">
        <s:f>"20"&amp;+MID(G191,3,2)</s:f>
        <s:v/>
      </s:c>
      <s:c r="BV191" s="238">
        <s:f>C191</s:f>
        <s:v/>
      </s:c>
      <s:c r="BW191" s="233">
        <s:f>AT191</s:f>
        <s:v/>
      </s:c>
      <s:c r="BX191" s="238">
        <s:f>B191</s:f>
        <s:v/>
      </s:c>
      <s:c r="BY191" s="239">
        <s:f>H191</s:f>
        <s:v/>
      </s:c>
      <s:c r="BZ191" s="233">
        <s:f>IF(I191=0,"CONFORME","NO CONFORME")</s:f>
        <s:v/>
      </s:c>
      <s:c r="CA191" s="238">
        <s:f>C191</s:f>
        <s:v/>
      </s:c>
      <s:c r="CB191" s="240">
        <s:f>AH191</s:f>
        <s:v/>
      </s:c>
      <s:c r="CC191" s="241">
        <s:f>AR191</s:f>
        <s:v/>
      </s:c>
      <s:c r="CD191" s="240">
        <s:f>AI191</s:f>
        <s:v/>
      </s:c>
      <s:c r="CE191" s="240">
        <s:f>AJ191</s:f>
        <s:v/>
      </s:c>
      <s:c r="CF191" s="240">
        <s:f>AS191</s:f>
        <s:v/>
      </s:c>
      <s:c r="CG191" s="240">
        <s:f>V191</s:f>
        <s:v/>
      </s:c>
      <s:c r="CH191" s="241">
        <s:f>AF191</s:f>
        <s:v/>
      </s:c>
      <s:c r="CI191" s="240">
        <s:f>W191</s:f>
        <s:v/>
      </s:c>
      <s:c r="CJ191" s="240">
        <s:f>X191</s:f>
        <s:v/>
      </s:c>
      <s:c r="CK191" s="240">
        <s:f>AG191</s:f>
        <s:v/>
      </s:c>
      <s:c r="CL191" s="240">
        <s:f>J191</s:f>
        <s:v/>
      </s:c>
      <s:c r="CM191" s="241">
        <s:f>T191</s:f>
        <s:v/>
      </s:c>
      <s:c r="CN191" s="240">
        <s:f>K191</s:f>
        <s:v/>
      </s:c>
      <s:c r="CO191" s="240">
        <s:f>L191</s:f>
        <s:v/>
      </s:c>
      <s:c r="CP191" s="242">
        <s:f>U191</s:f>
        <s:v/>
      </s:c>
      <s:c r="CQ191" s="233">
        <s:f>AT191</s:f>
        <s:v/>
      </s:c>
    </s:row>
    <s:row r="192">
      <s:c r="A192" s="211" t="n">
        <s:v>92</s:v>
      </s:c>
      <s:c r="B192" s="212" t="n">
        <s:v>45901</s:v>
      </s:c>
      <s:c r="C192" s="213" t="n">
        <s:v>45901</s:v>
      </s:c>
      <s:c r="D192" s="214" t="n">
        <s:v>3</s:v>
      </s:c>
      <s:c r="E192" s="215" t="n">
        <s:v>13</s:v>
      </s:c>
      <s:c r="F192" s="216" t="inlineStr">
        <s:is>
          <s:t>VI-236667-2025</s:t>
        </s:is>
      </s:c>
      <s:c r="G192" s="217" t="inlineStr">
        <s:is>
          <s:t>QA25418516</s:t>
        </s:is>
      </s:c>
      <s:c r="H192" s="218" t="n">
        <s:v>16</s:v>
      </s:c>
      <s:c r="I192" s="219" t="n">
        <s:v>0</s:v>
      </s:c>
      <s:c r="J192" s="220" t="n">
        <s:v>19.6</s:v>
      </s:c>
      <s:c r="K192" s="221" t="n">
        <s:v>7.496</s:v>
      </s:c>
      <s:c r="L192" s="221" t="n">
        <s:v>1.178</s:v>
      </s:c>
      <s:c r="M192" s="222" t="n">
        <s:v>346.86</s:v>
      </s:c>
      <s:c r="N192" s="222" t="n">
        <s:v>445.29</s:v>
      </s:c>
      <s:c r="O192" s="222" t="n">
        <s:v>100.39</s:v>
      </s:c>
      <s:c r="P192" s="223" t="inlineStr">
        <s:is>
          <s:t>2,29,660</s:t>
        </s:is>
      </s:c>
      <s:c r="Q192" s="224" t="inlineStr">
        <s:is>
          <s:t>2</s:t>
        </s:is>
      </s:c>
      <s:c r="R192" s="224" t="inlineStr">
        <s:is>
          <s:t>29,660</s:t>
        </s:is>
      </s:c>
      <s:c r="S192" s="224" t="n">
        <s:v>0.04157222222222222</s:v>
      </s:c>
      <s:c r="T192" s="225" t="n">
        <s:v>2414.833622878525</s:v>
      </s:c>
      <s:c r="U192" s="226" t="n">
        <s:v>-1.952385695786427</s:v>
      </s:c>
      <s:c r="V192" s="220" t="n">
        <s:v>19.3</s:v>
      </s:c>
      <s:c r="W192" s="221" t="n">
        <s:v>1.089</s:v>
      </s:c>
      <s:c r="X192" s="221" t="n">
        <s:v>1.078</s:v>
      </s:c>
      <s:c r="Y192" s="222" t="n">
        <s:v>460.71</s:v>
      </s:c>
      <s:c r="Z192" s="222" t="n">
        <s:v>465.54</s:v>
      </s:c>
      <s:c r="AA192" s="227" t="n">
        <s:v>5.017</s:v>
      </s:c>
      <s:c r="AB192" s="228" t="inlineStr">
        <s:is>
          <s:t>11,28,470</s:t>
        </s:is>
      </s:c>
      <s:c r="AC192" s="224" t="inlineStr">
        <s:is>
          <s:t>11</s:t>
        </s:is>
      </s:c>
      <s:c r="AD192" s="224" t="inlineStr">
        <s:is>
          <s:t>28,470</s:t>
        </s:is>
      </s:c>
      <s:c r="AE192" s="224" t="n">
        <s:v>0.1912416666666667</s:v>
      </s:c>
      <s:c r="AF192" s="225" t="n">
        <s:v>26.23382282452394</s:v>
      </s:c>
      <s:c r="AG192" s="229" t="n">
        <s:v>-3.727327087900327</s:v>
      </s:c>
      <s:c r="AH192" s="220" t="n">
        <s:v>19.4</s:v>
      </s:c>
      <s:c r="AI192" s="221" t="n">
        <s:v>1.096</s:v>
      </s:c>
      <s:c r="AJ192" s="221" t="n">
        <s:v>1.086</s:v>
      </s:c>
      <s:c r="AK192" s="222" t="n">
        <s:v>465.54</s:v>
      </s:c>
      <s:c r="AL192" s="222" t="n">
        <s:v>467.37</s:v>
      </s:c>
      <s:c r="AM192" s="230" t="n">
        <s:v>2.009</s:v>
      </s:c>
      <s:c r="AN192" s="223" t="inlineStr">
        <s:is>
          <s:t>7,20,280</s:t>
        </s:is>
      </s:c>
      <s:c r="AO192" s="224" t="inlineStr">
        <s:is>
          <s:t>7,</s:t>
        </s:is>
      </s:c>
      <s:c r="AP192" s="224" t="inlineStr">
        <s:is>
          <s:t>20,280</s:t>
        </s:is>
      </s:c>
      <s:c r="AQ192" s="224" t="n">
        <s:v>0.1223</s:v>
      </s:c>
      <s:c r="AR192" s="225" t="n">
        <s:v>16.42681929681112</s:v>
      </s:c>
      <s:c r="AS192" s="229" t="n">
        <s:v>-8.909905425585656</s:v>
      </s:c>
      <s:c r="AT192" s="231" t="inlineStr">
        <s:is>
          <s:t>NO CONFORME</s:t>
        </s:is>
      </s:c>
      <s:c r="AU192" s="232">
        <s:f>B192=C192</s:f>
        <s:v/>
      </s:c>
      <s:c r="AV192" s="233">
        <s:f>MID(G192,1,2)</s:f>
        <s:v/>
      </s:c>
      <s:c r="AW192" s="233">
        <s:f>LEN(G192)</s:f>
        <s:v/>
      </s:c>
      <s:c r="AX192" s="233" t="inlineStr">
        <s:is>
          <s:t>OI-0923-2025</s:t>
        </s:is>
      </s:c>
      <s:c r="AY192" s="233">
        <s:f>N192&lt;Y192</s:f>
        <s:v/>
      </s:c>
      <s:c r="AZ192" s="233">
        <s:f>Z192&lt;=AK192</s:f>
        <s:v/>
      </s:c>
      <s:c r="BA192" s="233">
        <s:f>L192&lt;K192</s:f>
        <s:v/>
      </s:c>
      <s:c r="BB192" s="233">
        <s:f>W192&gt;=X192</s:f>
        <s:v/>
      </s:c>
      <s:c r="BC192" s="233">
        <s:f>AI192&gt;=AJ192</s:f>
        <s:v/>
      </s:c>
      <s:c r="BD192" s="233">
        <s:f>IF(I192&gt;=1,"Qcorrecto",IF(AND(BE192="aceptable",BF192="aceptable",BG192="aceptable"),"Qcorrecto","Qincorrecto"))</s:f>
        <s:v/>
      </s:c>
      <s:c r="BE192" s="232">
        <s:f>IF(AR192&lt;$AH$6,"error",IF(AR192&gt;$AH$6*1.1,"error","aceptable"))</s:f>
        <s:v/>
      </s:c>
      <s:c r="BF192" s="232">
        <s:f>IF(AF192&lt;$V$6,"error",IF(AF192&gt;$V$6*1.1,"error","aceptable"))</s:f>
        <s:v/>
      </s:c>
      <s:c r="BG192" s="232">
        <s:f>IF(T192&lt;$J$6*0.9,"error",IF(T192&gt;$J$6,"error","aceptable"))</s:f>
        <s:v/>
      </s:c>
      <s:c r="BH192" s="234">
        <s:f>(IF(ABS(U192)&lt;1,"CONFORME",IF(ABS(AG192)&lt;1,"CONFORME",IF(ABS(AS192)&lt;2.5,"CONFORME","NO CONFORME"))))</s:f>
        <s:v/>
      </s:c>
      <s:c r="BI192" s="235">
        <s:f>(IF(ABS(U192)&gt;2.044,"NO CONFORME",IF(ABS(AG192)&gt;2.044,"NO CONFORME",IF(ABS(AS192)&gt;5.044,"NO CONFORME","CONFORME"))))</s:f>
        <s:v/>
      </s:c>
      <s:c r="BJ192" s="233">
        <s:f>SIGN(U192)</s:f>
        <s:v/>
      </s:c>
      <s:c r="BK192" s="233">
        <s:f>SIGN(AG192)</s:f>
        <s:v/>
      </s:c>
      <s:c r="BL192" s="233">
        <s:f>SIGN(AS192)</s:f>
        <s:v/>
      </s:c>
      <s:c r="BM192" s="233">
        <s:f>CONCATENATE(BJ192,BK192,BL192)</s:f>
        <s:v/>
      </s:c>
      <s:c r="BN192" s="233">
        <s:f>IF(BM192="111","SI","SD")</s:f>
        <s:v/>
      </s:c>
      <s:c r="BO192" s="233">
        <s:f>IF(BM192="-1-1-1","SI","SD")</s:f>
        <s:v/>
      </s:c>
      <s:c r="BP192" s="233">
        <s:f>OR(BN192="SI",BO192="SI")</s:f>
        <s:v/>
      </s:c>
      <s:c r="BQ192" s="233">
        <s:f>IF(BP192=FALSE,"SIGDIFERENTES","SIGIGUALES")</s:f>
        <s:v/>
      </s:c>
      <s:c r="BR192" s="236">
        <s:f>IF(BI192="NO CONFORME","NO CONFORME",IF(BH192="CONFORME","CONFORME","NO CONFORME"))</s:f>
        <s:v/>
      </s:c>
      <s:c r="BS192" s="233">
        <s:f>F192</s:f>
        <s:v/>
      </s:c>
      <s:c r="BT192" s="237">
        <s:f>G192</s:f>
        <s:v/>
      </s:c>
      <s:c r="BU192" s="233">
        <s:f>"20"&amp;+MID(G192,3,2)</s:f>
        <s:v/>
      </s:c>
      <s:c r="BV192" s="238">
        <s:f>C192</s:f>
        <s:v/>
      </s:c>
      <s:c r="BW192" s="233">
        <s:f>AT192</s:f>
        <s:v/>
      </s:c>
      <s:c r="BX192" s="238">
        <s:f>B192</s:f>
        <s:v/>
      </s:c>
      <s:c r="BY192" s="239">
        <s:f>H192</s:f>
        <s:v/>
      </s:c>
      <s:c r="BZ192" s="233">
        <s:f>IF(I192=0,"CONFORME","NO CONFORME")</s:f>
        <s:v/>
      </s:c>
      <s:c r="CA192" s="238">
        <s:f>C192</s:f>
        <s:v/>
      </s:c>
      <s:c r="CB192" s="240">
        <s:f>AH192</s:f>
        <s:v/>
      </s:c>
      <s:c r="CC192" s="241">
        <s:f>AR192</s:f>
        <s:v/>
      </s:c>
      <s:c r="CD192" s="240">
        <s:f>AI192</s:f>
        <s:v/>
      </s:c>
      <s:c r="CE192" s="240">
        <s:f>AJ192</s:f>
        <s:v/>
      </s:c>
      <s:c r="CF192" s="240">
        <s:f>AS192</s:f>
        <s:v/>
      </s:c>
      <s:c r="CG192" s="240">
        <s:f>V192</s:f>
        <s:v/>
      </s:c>
      <s:c r="CH192" s="241">
        <s:f>AF192</s:f>
        <s:v/>
      </s:c>
      <s:c r="CI192" s="240">
        <s:f>W192</s:f>
        <s:v/>
      </s:c>
      <s:c r="CJ192" s="240">
        <s:f>X192</s:f>
        <s:v/>
      </s:c>
      <s:c r="CK192" s="240">
        <s:f>AG192</s:f>
        <s:v/>
      </s:c>
      <s:c r="CL192" s="240">
        <s:f>J192</s:f>
        <s:v/>
      </s:c>
      <s:c r="CM192" s="241">
        <s:f>T192</s:f>
        <s:v/>
      </s:c>
      <s:c r="CN192" s="240">
        <s:f>K192</s:f>
        <s:v/>
      </s:c>
      <s:c r="CO192" s="240">
        <s:f>L192</s:f>
        <s:v/>
      </s:c>
      <s:c r="CP192" s="242">
        <s:f>U192</s:f>
        <s:v/>
      </s:c>
      <s:c r="CQ192" s="233">
        <s:f>AT192</s:f>
        <s:v/>
      </s:c>
    </s:row>
    <s:row r="193">
      <s:c r="A193" s="211" t="n">
        <s:v>93</s:v>
      </s:c>
      <s:c r="B193" s="212" t="n">
        <s:v>45901</s:v>
      </s:c>
      <s:c r="C193" s="213" t="n">
        <s:v>45901</s:v>
      </s:c>
      <s:c r="D193" s="214" t="n">
        <s:v>3</s:v>
      </s:c>
      <s:c r="E193" s="215" t="n">
        <s:v>13</s:v>
      </s:c>
      <s:c r="F193" s="216" t="inlineStr">
        <s:is>
          <s:t>VI-236668-2025</s:t>
        </s:is>
      </s:c>
      <s:c r="G193" s="217" t="inlineStr">
        <s:is>
          <s:t>QA25418580</s:t>
        </s:is>
      </s:c>
      <s:c r="H193" s="218" t="n">
        <s:v>16</s:v>
      </s:c>
      <s:c r="I193" s="219" t="n">
        <s:v>0</s:v>
      </s:c>
      <s:c r="J193" s="220" t="n">
        <s:v>19.6</s:v>
      </s:c>
      <s:c r="K193" s="221" t="n">
        <s:v>7.496</s:v>
      </s:c>
      <s:c r="L193" s="221" t="n">
        <s:v>1.178</s:v>
      </s:c>
      <s:c r="M193" s="222" t="n">
        <s:v>565.37</s:v>
      </s:c>
      <s:c r="N193" s="222" t="n">
        <s:v>664.61</s:v>
      </s:c>
      <s:c r="O193" s="222" t="n">
        <s:v>100.39</s:v>
      </s:c>
      <s:c r="P193" s="223" t="inlineStr">
        <s:is>
          <s:t>2,29,660</s:t>
        </s:is>
      </s:c>
      <s:c r="Q193" s="224" t="inlineStr">
        <s:is>
          <s:t>2</s:t>
        </s:is>
      </s:c>
      <s:c r="R193" s="224" t="inlineStr">
        <s:is>
          <s:t>29,660</s:t>
        </s:is>
      </s:c>
      <s:c r="S193" s="224" t="n">
        <s:v>0.04157222222222222</s:v>
      </s:c>
      <s:c r="T193" s="225" t="n">
        <s:v>2414.833622878525</s:v>
      </s:c>
      <s:c r="U193" s="226" t="n">
        <s:v>-1.145532423548154</s:v>
      </s:c>
      <s:c r="V193" s="220" t="n">
        <s:v>19.3</s:v>
      </s:c>
      <s:c r="W193" s="221" t="n">
        <s:v>1.089</s:v>
      </s:c>
      <s:c r="X193" s="221" t="n">
        <s:v>1.078</s:v>
      </s:c>
      <s:c r="Y193" s="222" t="n">
        <s:v>680.13</s:v>
      </s:c>
      <s:c r="Z193" s="222" t="n">
        <s:v>685.15</s:v>
      </s:c>
      <s:c r="AA193" s="227" t="n">
        <s:v>5.017</s:v>
      </s:c>
      <s:c r="AB193" s="228" t="inlineStr">
        <s:is>
          <s:t>11,28,470</s:t>
        </s:is>
      </s:c>
      <s:c r="AC193" s="224" t="inlineStr">
        <s:is>
          <s:t>11</s:t>
        </s:is>
      </s:c>
      <s:c r="AD193" s="224" t="inlineStr">
        <s:is>
          <s:t>28,470</s:t>
        </s:is>
      </s:c>
      <s:c r="AE193" s="224" t="n">
        <s:v>0.1912416666666667</s:v>
      </s:c>
      <s:c r="AF193" s="225" t="n">
        <s:v>26.23382282452394</s:v>
      </s:c>
      <s:c r="AG193" s="229" t="n">
        <s:v>0.05979669124938134</s:v>
      </s:c>
      <s:c r="AH193" s="220" t="n">
        <s:v>19.4</s:v>
      </s:c>
      <s:c r="AI193" s="221" t="n">
        <s:v>1.096</s:v>
      </s:c>
      <s:c r="AJ193" s="221" t="n">
        <s:v>1.086</s:v>
      </s:c>
      <s:c r="AK193" s="222" t="n">
        <s:v>685.15</s:v>
      </s:c>
      <s:c r="AL193" s="222" t="n">
        <s:v>687.14</s:v>
      </s:c>
      <s:c r="AM193" s="230" t="n">
        <s:v>2.009</s:v>
      </s:c>
      <s:c r="AN193" s="223" t="inlineStr">
        <s:is>
          <s:t>7,20,280</s:t>
        </s:is>
      </s:c>
      <s:c r="AO193" s="224" t="inlineStr">
        <s:is>
          <s:t>7,</s:t>
        </s:is>
      </s:c>
      <s:c r="AP193" s="224" t="inlineStr">
        <s:is>
          <s:t>20,280</s:t>
        </s:is>
      </s:c>
      <s:c r="AQ193" s="224" t="n">
        <s:v>0.1223</s:v>
      </s:c>
      <s:c r="AR193" s="225" t="n">
        <s:v>16.42681929681112</s:v>
      </s:c>
      <s:c r="AS193" s="229" t="n">
        <s:v>-0.9457441513186063</s:v>
      </s:c>
      <s:c r="AT193" s="231" t="inlineStr">
        <s:is>
          <s:t>CONFORME</s:t>
        </s:is>
      </s:c>
      <s:c r="AU193" s="232">
        <s:f>B193=C193</s:f>
        <s:v/>
      </s:c>
      <s:c r="AV193" s="233">
        <s:f>MID(G193,1,2)</s:f>
        <s:v/>
      </s:c>
      <s:c r="AW193" s="233">
        <s:f>LEN(G193)</s:f>
        <s:v/>
      </s:c>
      <s:c r="AX193" s="233" t="inlineStr">
        <s:is>
          <s:t>OI-0923-2025</s:t>
        </s:is>
      </s:c>
      <s:c r="AY193" s="233">
        <s:f>N193&lt;Y193</s:f>
        <s:v/>
      </s:c>
      <s:c r="AZ193" s="233">
        <s:f>Z193&lt;=AK193</s:f>
        <s:v/>
      </s:c>
      <s:c r="BA193" s="233">
        <s:f>L193&lt;K193</s:f>
        <s:v/>
      </s:c>
      <s:c r="BB193" s="233">
        <s:f>W193&gt;=X193</s:f>
        <s:v/>
      </s:c>
      <s:c r="BC193" s="233">
        <s:f>AI193&gt;=AJ193</s:f>
        <s:v/>
      </s:c>
      <s:c r="BD193" s="233">
        <s:f>IF(I193&gt;=1,"Qcorrecto",IF(AND(BE193="aceptable",BF193="aceptable",BG193="aceptable"),"Qcorrecto","Qincorrecto"))</s:f>
        <s:v/>
      </s:c>
      <s:c r="BE193" s="232">
        <s:f>IF(AR193&lt;$AH$6,"error",IF(AR193&gt;$AH$6*1.1,"error","aceptable"))</s:f>
        <s:v/>
      </s:c>
      <s:c r="BF193" s="232">
        <s:f>IF(AF193&lt;$V$6,"error",IF(AF193&gt;$V$6*1.1,"error","aceptable"))</s:f>
        <s:v/>
      </s:c>
      <s:c r="BG193" s="232">
        <s:f>IF(T193&lt;$J$6*0.9,"error",IF(T193&gt;$J$6,"error","aceptable"))</s:f>
        <s:v/>
      </s:c>
      <s:c r="BH193" s="234">
        <s:f>(IF(ABS(U193)&lt;1,"CONFORME",IF(ABS(AG193)&lt;1,"CONFORME",IF(ABS(AS193)&lt;2.5,"CONFORME","NO CONFORME"))))</s:f>
        <s:v/>
      </s:c>
      <s:c r="BI193" s="235">
        <s:f>(IF(ABS(U193)&gt;2.044,"NO CONFORME",IF(ABS(AG193)&gt;2.044,"NO CONFORME",IF(ABS(AS193)&gt;5.044,"NO CONFORME","CONFORME"))))</s:f>
        <s:v/>
      </s:c>
      <s:c r="BJ193" s="233">
        <s:f>SIGN(U193)</s:f>
        <s:v/>
      </s:c>
      <s:c r="BK193" s="233">
        <s:f>SIGN(AG193)</s:f>
        <s:v/>
      </s:c>
      <s:c r="BL193" s="233">
        <s:f>SIGN(AS193)</s:f>
        <s:v/>
      </s:c>
      <s:c r="BM193" s="233">
        <s:f>CONCATENATE(BJ193,BK193,BL193)</s:f>
        <s:v/>
      </s:c>
      <s:c r="BN193" s="233">
        <s:f>IF(BM193="111","SI","SD")</s:f>
        <s:v/>
      </s:c>
      <s:c r="BO193" s="233">
        <s:f>IF(BM193="-1-1-1","SI","SD")</s:f>
        <s:v/>
      </s:c>
      <s:c r="BP193" s="233">
        <s:f>OR(BN193="SI",BO193="SI")</s:f>
        <s:v/>
      </s:c>
      <s:c r="BQ193" s="233">
        <s:f>IF(BP193=FALSE,"SIGDIFERENTES","SIGIGUALES")</s:f>
        <s:v/>
      </s:c>
      <s:c r="BR193" s="236">
        <s:f>IF(BI193="NO CONFORME","NO CONFORME",IF(BH193="CONFORME","CONFORME","NO CONFORME"))</s:f>
        <s:v/>
      </s:c>
      <s:c r="BS193" s="233">
        <s:f>F193</s:f>
        <s:v/>
      </s:c>
      <s:c r="BT193" s="237">
        <s:f>G193</s:f>
        <s:v/>
      </s:c>
      <s:c r="BU193" s="233">
        <s:f>"20"&amp;+MID(G193,3,2)</s:f>
        <s:v/>
      </s:c>
      <s:c r="BV193" s="238">
        <s:f>C193</s:f>
        <s:v/>
      </s:c>
      <s:c r="BW193" s="233">
        <s:f>AT193</s:f>
        <s:v/>
      </s:c>
      <s:c r="BX193" s="238">
        <s:f>B193</s:f>
        <s:v/>
      </s:c>
      <s:c r="BY193" s="239">
        <s:f>H193</s:f>
        <s:v/>
      </s:c>
      <s:c r="BZ193" s="233">
        <s:f>IF(I193=0,"CONFORME","NO CONFORME")</s:f>
        <s:v/>
      </s:c>
      <s:c r="CA193" s="238">
        <s:f>C193</s:f>
        <s:v/>
      </s:c>
      <s:c r="CB193" s="240">
        <s:f>AH193</s:f>
        <s:v/>
      </s:c>
      <s:c r="CC193" s="241">
        <s:f>AR193</s:f>
        <s:v/>
      </s:c>
      <s:c r="CD193" s="240">
        <s:f>AI193</s:f>
        <s:v/>
      </s:c>
      <s:c r="CE193" s="240">
        <s:f>AJ193</s:f>
        <s:v/>
      </s:c>
      <s:c r="CF193" s="240">
        <s:f>AS193</s:f>
        <s:v/>
      </s:c>
      <s:c r="CG193" s="240">
        <s:f>V193</s:f>
        <s:v/>
      </s:c>
      <s:c r="CH193" s="241">
        <s:f>AF193</s:f>
        <s:v/>
      </s:c>
      <s:c r="CI193" s="240">
        <s:f>W193</s:f>
        <s:v/>
      </s:c>
      <s:c r="CJ193" s="240">
        <s:f>X193</s:f>
        <s:v/>
      </s:c>
      <s:c r="CK193" s="240">
        <s:f>AG193</s:f>
        <s:v/>
      </s:c>
      <s:c r="CL193" s="240">
        <s:f>J193</s:f>
        <s:v/>
      </s:c>
      <s:c r="CM193" s="241">
        <s:f>T193</s:f>
        <s:v/>
      </s:c>
      <s:c r="CN193" s="240">
        <s:f>K193</s:f>
        <s:v/>
      </s:c>
      <s:c r="CO193" s="240">
        <s:f>L193</s:f>
        <s:v/>
      </s:c>
      <s:c r="CP193" s="242">
        <s:f>U193</s:f>
        <s:v/>
      </s:c>
      <s:c r="CQ193" s="233">
        <s:f>AT193</s:f>
        <s:v/>
      </s:c>
    </s:row>
    <s:row r="194">
      <s:c r="A194" s="211" t="n">
        <s:v>94</s:v>
      </s:c>
      <s:c r="B194" s="212" t="n">
        <s:v>45901</s:v>
      </s:c>
      <s:c r="C194" s="213" t="n">
        <s:v>45901</s:v>
      </s:c>
      <s:c r="D194" s="214" t="n">
        <s:v>3</s:v>
      </s:c>
      <s:c r="E194" s="215" t="n">
        <s:v>13</s:v>
      </s:c>
      <s:c r="F194" s="216" t="inlineStr">
        <s:is>
          <s:t>VI-236669-2025</s:t>
        </s:is>
      </s:c>
      <s:c r="G194" s="217" t="inlineStr">
        <s:is>
          <s:t>QA25418512</s:t>
        </s:is>
      </s:c>
      <s:c r="H194" s="218" t="n">
        <s:v>16</s:v>
      </s:c>
      <s:c r="I194" s="219" t="n">
        <s:v>0</s:v>
      </s:c>
      <s:c r="J194" s="220" t="n">
        <s:v>19.6</s:v>
      </s:c>
      <s:c r="K194" s="221" t="n">
        <s:v>7.496</s:v>
      </s:c>
      <s:c r="L194" s="221" t="n">
        <s:v>1.178</s:v>
      </s:c>
      <s:c r="M194" s="222" t="n">
        <s:v>401.12</s:v>
      </s:c>
      <s:c r="N194" s="222" t="n">
        <s:v>500.83</s:v>
      </s:c>
      <s:c r="O194" s="222" t="n">
        <s:v>100.39</s:v>
      </s:c>
      <s:c r="P194" s="223" t="inlineStr">
        <s:is>
          <s:t>2,29,660</s:t>
        </s:is>
      </s:c>
      <s:c r="Q194" s="224" t="inlineStr">
        <s:is>
          <s:t>2</s:t>
        </s:is>
      </s:c>
      <s:c r="R194" s="224" t="inlineStr">
        <s:is>
          <s:t>29,660</s:t>
        </s:is>
      </s:c>
      <s:c r="S194" s="224" t="n">
        <s:v>0.04157222222222222</s:v>
      </s:c>
      <s:c r="T194" s="225" t="n">
        <s:v>2414.833622878525</s:v>
      </s:c>
      <s:c r="U194" s="226" t="n">
        <s:v>-0.6773583026198038</s:v>
      </s:c>
      <s:c r="V194" s="220" t="n">
        <s:v>19.3</s:v>
      </s:c>
      <s:c r="W194" s="221" t="n">
        <s:v>1.089</s:v>
      </s:c>
      <s:c r="X194" s="221" t="n">
        <s:v>1.078</s:v>
      </s:c>
      <s:c r="Y194" s="222" t="n">
        <s:v>516.47</s:v>
      </s:c>
      <s:c r="Z194" s="222" t="n">
        <s:v>521.5599999999999</s:v>
      </s:c>
      <s:c r="AA194" s="227" t="n">
        <s:v>5.017</s:v>
      </s:c>
      <s:c r="AB194" s="228" t="inlineStr">
        <s:is>
          <s:t>11,28,470</s:t>
        </s:is>
      </s:c>
      <s:c r="AC194" s="224" t="inlineStr">
        <s:is>
          <s:t>11</s:t>
        </s:is>
      </s:c>
      <s:c r="AD194" s="224" t="inlineStr">
        <s:is>
          <s:t>28,470</s:t>
        </s:is>
      </s:c>
      <s:c r="AE194" s="224" t="n">
        <s:v>0.1912416666666667</s:v>
      </s:c>
      <s:c r="AF194" s="225" t="n">
        <s:v>26.23382282452394</s:v>
      </s:c>
      <s:c r="AG194" s="229" t="n">
        <s:v>1.455052820408965</s:v>
      </s:c>
      <s:c r="AH194" s="220" t="n">
        <s:v>19.4</s:v>
      </s:c>
      <s:c r="AI194" s="221" t="n">
        <s:v>1.096</s:v>
      </s:c>
      <s:c r="AJ194" s="221" t="n">
        <s:v>1.086</s:v>
      </s:c>
      <s:c r="AK194" s="222" t="n">
        <s:v>521.5599999999999</s:v>
      </s:c>
      <s:c r="AL194" s="222" t="n">
        <s:v>523.58</s:v>
      </s:c>
      <s:c r="AM194" s="230" t="n">
        <s:v>2.009</s:v>
      </s:c>
      <s:c r="AN194" s="223" t="inlineStr">
        <s:is>
          <s:t>7,20,280</s:t>
        </s:is>
      </s:c>
      <s:c r="AO194" s="224" t="inlineStr">
        <s:is>
          <s:t>7,</s:t>
        </s:is>
      </s:c>
      <s:c r="AP194" s="224" t="inlineStr">
        <s:is>
          <s:t>20,280</s:t>
        </s:is>
      </s:c>
      <s:c r="AQ194" s="224" t="n">
        <s:v>0.1223</s:v>
      </s:c>
      <s:c r="AR194" s="225" t="n">
        <s:v>16.42681929681112</s:v>
      </s:c>
      <s:c r="AS194" s="229" t="n">
        <s:v>0.5475360876105326</s:v>
      </s:c>
      <s:c r="AT194" s="231" t="inlineStr">
        <s:is>
          <s:t>CONFORME</s:t>
        </s:is>
      </s:c>
      <s:c r="AU194" s="232">
        <s:f>B194=C194</s:f>
        <s:v/>
      </s:c>
      <s:c r="AV194" s="233">
        <s:f>MID(G194,1,2)</s:f>
        <s:v/>
      </s:c>
      <s:c r="AW194" s="233">
        <s:f>LEN(G194)</s:f>
        <s:v/>
      </s:c>
      <s:c r="AX194" s="233" t="inlineStr">
        <s:is>
          <s:t>OI-0923-2025</s:t>
        </s:is>
      </s:c>
      <s:c r="AY194" s="233">
        <s:f>N194&lt;Y194</s:f>
        <s:v/>
      </s:c>
      <s:c r="AZ194" s="233">
        <s:f>Z194&lt;=AK194</s:f>
        <s:v/>
      </s:c>
      <s:c r="BA194" s="233">
        <s:f>L194&lt;K194</s:f>
        <s:v/>
      </s:c>
      <s:c r="BB194" s="233">
        <s:f>W194&gt;=X194</s:f>
        <s:v/>
      </s:c>
      <s:c r="BC194" s="233">
        <s:f>AI194&gt;=AJ194</s:f>
        <s:v/>
      </s:c>
      <s:c r="BD194" s="233">
        <s:f>IF(I194&gt;=1,"Qcorrecto",IF(AND(BE194="aceptable",BF194="aceptable",BG194="aceptable"),"Qcorrecto","Qincorrecto"))</s:f>
        <s:v/>
      </s:c>
      <s:c r="BE194" s="232">
        <s:f>IF(AR194&lt;$AH$6,"error",IF(AR194&gt;$AH$6*1.1,"error","aceptable"))</s:f>
        <s:v/>
      </s:c>
      <s:c r="BF194" s="232">
        <s:f>IF(AF194&lt;$V$6,"error",IF(AF194&gt;$V$6*1.1,"error","aceptable"))</s:f>
        <s:v/>
      </s:c>
      <s:c r="BG194" s="232">
        <s:f>IF(T194&lt;$J$6*0.9,"error",IF(T194&gt;$J$6,"error","aceptable"))</s:f>
        <s:v/>
      </s:c>
      <s:c r="BH194" s="234">
        <s:f>(IF(ABS(U194)&lt;1,"CONFORME",IF(ABS(AG194)&lt;1,"CONFORME",IF(ABS(AS194)&lt;2.5,"CONFORME","NO CONFORME"))))</s:f>
        <s:v/>
      </s:c>
      <s:c r="BI194" s="235">
        <s:f>(IF(ABS(U194)&gt;2.044,"NO CONFORME",IF(ABS(AG194)&gt;2.044,"NO CONFORME",IF(ABS(AS194)&gt;5.044,"NO CONFORME","CONFORME"))))</s:f>
        <s:v/>
      </s:c>
      <s:c r="BJ194" s="233">
        <s:f>SIGN(U194)</s:f>
        <s:v/>
      </s:c>
      <s:c r="BK194" s="233">
        <s:f>SIGN(AG194)</s:f>
        <s:v/>
      </s:c>
      <s:c r="BL194" s="233">
        <s:f>SIGN(AS194)</s:f>
        <s:v/>
      </s:c>
      <s:c r="BM194" s="233">
        <s:f>CONCATENATE(BJ194,BK194,BL194)</s:f>
        <s:v/>
      </s:c>
      <s:c r="BN194" s="233">
        <s:f>IF(BM194="111","SI","SD")</s:f>
        <s:v/>
      </s:c>
      <s:c r="BO194" s="233">
        <s:f>IF(BM194="-1-1-1","SI","SD")</s:f>
        <s:v/>
      </s:c>
      <s:c r="BP194" s="233">
        <s:f>OR(BN194="SI",BO194="SI")</s:f>
        <s:v/>
      </s:c>
      <s:c r="BQ194" s="233">
        <s:f>IF(BP194=FALSE,"SIGDIFERENTES","SIGIGUALES")</s:f>
        <s:v/>
      </s:c>
      <s:c r="BR194" s="236">
        <s:f>IF(BI194="NO CONFORME","NO CONFORME",IF(BH194="CONFORME","CONFORME","NO CONFORME"))</s:f>
        <s:v/>
      </s:c>
      <s:c r="BS194" s="233">
        <s:f>F194</s:f>
        <s:v/>
      </s:c>
      <s:c r="BT194" s="237">
        <s:f>G194</s:f>
        <s:v/>
      </s:c>
      <s:c r="BU194" s="233">
        <s:f>"20"&amp;+MID(G194,3,2)</s:f>
        <s:v/>
      </s:c>
      <s:c r="BV194" s="238">
        <s:f>C194</s:f>
        <s:v/>
      </s:c>
      <s:c r="BW194" s="233">
        <s:f>AT194</s:f>
        <s:v/>
      </s:c>
      <s:c r="BX194" s="238">
        <s:f>B194</s:f>
        <s:v/>
      </s:c>
      <s:c r="BY194" s="239">
        <s:f>H194</s:f>
        <s:v/>
      </s:c>
      <s:c r="BZ194" s="233">
        <s:f>IF(I194=0,"CONFORME","NO CONFORME")</s:f>
        <s:v/>
      </s:c>
      <s:c r="CA194" s="238">
        <s:f>C194</s:f>
        <s:v/>
      </s:c>
      <s:c r="CB194" s="240">
        <s:f>AH194</s:f>
        <s:v/>
      </s:c>
      <s:c r="CC194" s="241">
        <s:f>AR194</s:f>
        <s:v/>
      </s:c>
      <s:c r="CD194" s="240">
        <s:f>AI194</s:f>
        <s:v/>
      </s:c>
      <s:c r="CE194" s="240">
        <s:f>AJ194</s:f>
        <s:v/>
      </s:c>
      <s:c r="CF194" s="240">
        <s:f>AS194</s:f>
        <s:v/>
      </s:c>
      <s:c r="CG194" s="240">
        <s:f>V194</s:f>
        <s:v/>
      </s:c>
      <s:c r="CH194" s="241">
        <s:f>AF194</s:f>
        <s:v/>
      </s:c>
      <s:c r="CI194" s="240">
        <s:f>W194</s:f>
        <s:v/>
      </s:c>
      <s:c r="CJ194" s="240">
        <s:f>X194</s:f>
        <s:v/>
      </s:c>
      <s:c r="CK194" s="240">
        <s:f>AG194</s:f>
        <s:v/>
      </s:c>
      <s:c r="CL194" s="240">
        <s:f>J194</s:f>
        <s:v/>
      </s:c>
      <s:c r="CM194" s="241">
        <s:f>T194</s:f>
        <s:v/>
      </s:c>
      <s:c r="CN194" s="240">
        <s:f>K194</s:f>
        <s:v/>
      </s:c>
      <s:c r="CO194" s="240">
        <s:f>L194</s:f>
        <s:v/>
      </s:c>
      <s:c r="CP194" s="242">
        <s:f>U194</s:f>
        <s:v/>
      </s:c>
      <s:c r="CQ194" s="233">
        <s:f>AT194</s:f>
        <s:v/>
      </s:c>
    </s:row>
    <s:row r="195">
      <s:c r="A195" s="211" t="n">
        <s:v>95</s:v>
      </s:c>
      <s:c r="B195" s="212" t="n">
        <s:v>45901</s:v>
      </s:c>
      <s:c r="C195" s="213" t="n">
        <s:v>45901</s:v>
      </s:c>
      <s:c r="D195" s="214" t="n">
        <s:v>3</s:v>
      </s:c>
      <s:c r="E195" s="215" t="n">
        <s:v>13</s:v>
      </s:c>
      <s:c r="F195" s="216" t="inlineStr">
        <s:is>
          <s:t>VI-236670-2025</s:t>
        </s:is>
      </s:c>
      <s:c r="G195" s="217" t="inlineStr">
        <s:is>
          <s:t>QA25418808</s:t>
        </s:is>
      </s:c>
      <s:c r="H195" s="218" t="n">
        <s:v>16</s:v>
      </s:c>
      <s:c r="I195" s="219" t="n">
        <s:v>0</s:v>
      </s:c>
      <s:c r="J195" s="220" t="n">
        <s:v>19.6</s:v>
      </s:c>
      <s:c r="K195" s="221" t="n">
        <s:v>7.496</s:v>
      </s:c>
      <s:c r="L195" s="221" t="n">
        <s:v>1.178</s:v>
      </s:c>
      <s:c r="M195" s="222" t="n">
        <s:v>411.57</s:v>
      </s:c>
      <s:c r="N195" s="222" t="n">
        <s:v>511.76</s:v>
      </s:c>
      <s:c r="O195" s="222" t="n">
        <s:v>100.39</s:v>
      </s:c>
      <s:c r="P195" s="223" t="inlineStr">
        <s:is>
          <s:t>2,29,660</s:t>
        </s:is>
      </s:c>
      <s:c r="Q195" s="224" t="inlineStr">
        <s:is>
          <s:t>2</s:t>
        </s:is>
      </s:c>
      <s:c r="R195" s="224" t="inlineStr">
        <s:is>
          <s:t>29,660</s:t>
        </s:is>
      </s:c>
      <s:c r="S195" s="224" t="n">
        <s:v>0.04157222222222222</s:v>
      </s:c>
      <s:c r="T195" s="225" t="n">
        <s:v>2414.833622878525</s:v>
      </s:c>
      <s:c r="U195" s="226" t="n">
        <s:v>-0.1992230301822919</s:v>
      </s:c>
      <s:c r="V195" s="220" t="n">
        <s:v>19.3</s:v>
      </s:c>
      <s:c r="W195" s="221" t="n">
        <s:v>1.089</s:v>
      </s:c>
      <s:c r="X195" s="221" t="n">
        <s:v>1.078</s:v>
      </s:c>
      <s:c r="Y195" s="222" t="n">
        <s:v>527.47</s:v>
      </s:c>
      <s:c r="Z195" s="222" t="n">
        <s:v>532.55</s:v>
      </s:c>
      <s:c r="AA195" s="227" t="n">
        <s:v>5.017</s:v>
      </s:c>
      <s:c r="AB195" s="228" t="inlineStr">
        <s:is>
          <s:t>11,28,470</s:t>
        </s:is>
      </s:c>
      <s:c r="AC195" s="224" t="inlineStr">
        <s:is>
          <s:t>11</s:t>
        </s:is>
      </s:c>
      <s:c r="AD195" s="224" t="inlineStr">
        <s:is>
          <s:t>28,470</s:t>
        </s:is>
      </s:c>
      <s:c r="AE195" s="224" t="n">
        <s:v>0.1912416666666667</s:v>
      </s:c>
      <s:c r="AF195" s="225" t="n">
        <s:v>26.23382282452394</s:v>
      </s:c>
      <s:c r="AG195" s="229" t="n">
        <s:v>1.255730516243311</s:v>
      </s:c>
      <s:c r="AH195" s="220" t="n">
        <s:v>19.4</s:v>
      </s:c>
      <s:c r="AI195" s="221" t="n">
        <s:v>1.096</s:v>
      </s:c>
      <s:c r="AJ195" s="221" t="n">
        <s:v>1.086</s:v>
      </s:c>
      <s:c r="AK195" s="222" t="n">
        <s:v>532.55</s:v>
      </s:c>
      <s:c r="AL195" s="222" t="n">
        <s:v>534.59</s:v>
      </s:c>
      <s:c r="AM195" s="230" t="n">
        <s:v>2.009</s:v>
      </s:c>
      <s:c r="AN195" s="223" t="inlineStr">
        <s:is>
          <s:t>7,20,280</s:t>
        </s:is>
      </s:c>
      <s:c r="AO195" s="224" t="inlineStr">
        <s:is>
          <s:t>7,</s:t>
        </s:is>
      </s:c>
      <s:c r="AP195" s="224" t="inlineStr">
        <s:is>
          <s:t>20,280</s:t>
        </s:is>
      </s:c>
      <s:c r="AQ195" s="224" t="n">
        <s:v>0.1223</s:v>
      </s:c>
      <s:c r="AR195" s="225" t="n">
        <s:v>16.42681929681112</s:v>
      </s:c>
      <s:c r="AS195" s="229" t="n">
        <s:v>1.543056246892853</s:v>
      </s:c>
      <s:c r="AT195" s="231" t="inlineStr">
        <s:is>
          <s:t>CONFORME</s:t>
        </s:is>
      </s:c>
      <s:c r="AU195" s="232">
        <s:f>B195=C195</s:f>
        <s:v/>
      </s:c>
      <s:c r="AV195" s="233">
        <s:f>MID(G195,1,2)</s:f>
        <s:v/>
      </s:c>
      <s:c r="AW195" s="233">
        <s:f>LEN(G195)</s:f>
        <s:v/>
      </s:c>
      <s:c r="AX195" s="233" t="inlineStr">
        <s:is>
          <s:t>OI-0923-2025</s:t>
        </s:is>
      </s:c>
      <s:c r="AY195" s="233">
        <s:f>N195&lt;Y195</s:f>
        <s:v/>
      </s:c>
      <s:c r="AZ195" s="233">
        <s:f>Z195&lt;=AK195</s:f>
        <s:v/>
      </s:c>
      <s:c r="BA195" s="233">
        <s:f>L195&lt;K195</s:f>
        <s:v/>
      </s:c>
      <s:c r="BB195" s="233">
        <s:f>W195&gt;=X195</s:f>
        <s:v/>
      </s:c>
      <s:c r="BC195" s="233">
        <s:f>AI195&gt;=AJ195</s:f>
        <s:v/>
      </s:c>
      <s:c r="BD195" s="233">
        <s:f>IF(I195&gt;=1,"Qcorrecto",IF(AND(BE195="aceptable",BF195="aceptable",BG195="aceptable"),"Qcorrecto","Qincorrecto"))</s:f>
        <s:v/>
      </s:c>
      <s:c r="BE195" s="232">
        <s:f>IF(AR195&lt;$AH$6,"error",IF(AR195&gt;$AH$6*1.1,"error","aceptable"))</s:f>
        <s:v/>
      </s:c>
      <s:c r="BF195" s="232">
        <s:f>IF(AF195&lt;$V$6,"error",IF(AF195&gt;$V$6*1.1,"error","aceptable"))</s:f>
        <s:v/>
      </s:c>
      <s:c r="BG195" s="232">
        <s:f>IF(T195&lt;$J$6*0.9,"error",IF(T195&gt;$J$6,"error","aceptable"))</s:f>
        <s:v/>
      </s:c>
      <s:c r="BH195" s="234">
        <s:f>(IF(ABS(U195)&lt;1,"CONFORME",IF(ABS(AG195)&lt;1,"CONFORME",IF(ABS(AS195)&lt;2.5,"CONFORME","NO CONFORME"))))</s:f>
        <s:v/>
      </s:c>
      <s:c r="BI195" s="235">
        <s:f>(IF(ABS(U195)&gt;2.044,"NO CONFORME",IF(ABS(AG195)&gt;2.044,"NO CONFORME",IF(ABS(AS195)&gt;5.044,"NO CONFORME","CONFORME"))))</s:f>
        <s:v/>
      </s:c>
      <s:c r="BJ195" s="233">
        <s:f>SIGN(U195)</s:f>
        <s:v/>
      </s:c>
      <s:c r="BK195" s="233">
        <s:f>SIGN(AG195)</s:f>
        <s:v/>
      </s:c>
      <s:c r="BL195" s="233">
        <s:f>SIGN(AS195)</s:f>
        <s:v/>
      </s:c>
      <s:c r="BM195" s="233">
        <s:f>CONCATENATE(BJ195,BK195,BL195)</s:f>
        <s:v/>
      </s:c>
      <s:c r="BN195" s="233">
        <s:f>IF(BM195="111","SI","SD")</s:f>
        <s:v/>
      </s:c>
      <s:c r="BO195" s="233">
        <s:f>IF(BM195="-1-1-1","SI","SD")</s:f>
        <s:v/>
      </s:c>
      <s:c r="BP195" s="233">
        <s:f>OR(BN195="SI",BO195="SI")</s:f>
        <s:v/>
      </s:c>
      <s:c r="BQ195" s="233">
        <s:f>IF(BP195=FALSE,"SIGDIFERENTES","SIGIGUALES")</s:f>
        <s:v/>
      </s:c>
      <s:c r="BR195" s="236">
        <s:f>IF(BI195="NO CONFORME","NO CONFORME",IF(BH195="CONFORME","CONFORME","NO CONFORME"))</s:f>
        <s:v/>
      </s:c>
      <s:c r="BS195" s="233">
        <s:f>F195</s:f>
        <s:v/>
      </s:c>
      <s:c r="BT195" s="237">
        <s:f>G195</s:f>
        <s:v/>
      </s:c>
      <s:c r="BU195" s="233">
        <s:f>"20"&amp;+MID(G195,3,2)</s:f>
        <s:v/>
      </s:c>
      <s:c r="BV195" s="238">
        <s:f>C195</s:f>
        <s:v/>
      </s:c>
      <s:c r="BW195" s="233">
        <s:f>AT195</s:f>
        <s:v/>
      </s:c>
      <s:c r="BX195" s="238">
        <s:f>B195</s:f>
        <s:v/>
      </s:c>
      <s:c r="BY195" s="239">
        <s:f>H195</s:f>
        <s:v/>
      </s:c>
      <s:c r="BZ195" s="233">
        <s:f>IF(I195=0,"CONFORME","NO CONFORME")</s:f>
        <s:v/>
      </s:c>
      <s:c r="CA195" s="238">
        <s:f>C195</s:f>
        <s:v/>
      </s:c>
      <s:c r="CB195" s="240">
        <s:f>AH195</s:f>
        <s:v/>
      </s:c>
      <s:c r="CC195" s="241">
        <s:f>AR195</s:f>
        <s:v/>
      </s:c>
      <s:c r="CD195" s="240">
        <s:f>AI195</s:f>
        <s:v/>
      </s:c>
      <s:c r="CE195" s="240">
        <s:f>AJ195</s:f>
        <s:v/>
      </s:c>
      <s:c r="CF195" s="240">
        <s:f>AS195</s:f>
        <s:v/>
      </s:c>
      <s:c r="CG195" s="240">
        <s:f>V195</s:f>
        <s:v/>
      </s:c>
      <s:c r="CH195" s="241">
        <s:f>AF195</s:f>
        <s:v/>
      </s:c>
      <s:c r="CI195" s="240">
        <s:f>W195</s:f>
        <s:v/>
      </s:c>
      <s:c r="CJ195" s="240">
        <s:f>X195</s:f>
        <s:v/>
      </s:c>
      <s:c r="CK195" s="240">
        <s:f>AG195</s:f>
        <s:v/>
      </s:c>
      <s:c r="CL195" s="240">
        <s:f>J195</s:f>
        <s:v/>
      </s:c>
      <s:c r="CM195" s="241">
        <s:f>T195</s:f>
        <s:v/>
      </s:c>
      <s:c r="CN195" s="240">
        <s:f>K195</s:f>
        <s:v/>
      </s:c>
      <s:c r="CO195" s="240">
        <s:f>L195</s:f>
        <s:v/>
      </s:c>
      <s:c r="CP195" s="242">
        <s:f>U195</s:f>
        <s:v/>
      </s:c>
      <s:c r="CQ195" s="233">
        <s:f>AT195</s:f>
        <s:v/>
      </s:c>
    </s:row>
    <s:row r="196">
      <s:c r="A196" s="211" t="n">
        <s:v>96</s:v>
      </s:c>
      <s:c r="B196" s="212" t="n">
        <s:v>45901</s:v>
      </s:c>
      <s:c r="C196" s="213" t="n">
        <s:v>45901</s:v>
      </s:c>
      <s:c r="D196" s="214" t="n">
        <s:v>3</s:v>
      </s:c>
      <s:c r="E196" s="215" t="n">
        <s:v>13</s:v>
      </s:c>
      <s:c r="F196" s="216" t="inlineStr">
        <s:is>
          <s:t>VI-236671-2025</s:t>
        </s:is>
      </s:c>
      <s:c r="G196" s="217" t="inlineStr">
        <s:is>
          <s:t>QA25418793</s:t>
        </s:is>
      </s:c>
      <s:c r="H196" s="218" t="n">
        <s:v>16</s:v>
      </s:c>
      <s:c r="I196" s="219" t="n">
        <s:v>0</s:v>
      </s:c>
      <s:c r="J196" s="220" t="n">
        <s:v>19.6</s:v>
      </s:c>
      <s:c r="K196" s="221" t="n">
        <s:v>7.496</s:v>
      </s:c>
      <s:c r="L196" s="221" t="n">
        <s:v>1.178</s:v>
      </s:c>
      <s:c r="M196" s="222" t="n">
        <s:v>349.09</s:v>
      </s:c>
      <s:c r="N196" s="222" t="n">
        <s:v>449.52</s:v>
      </s:c>
      <s:c r="O196" s="222" t="n">
        <s:v>100.39</s:v>
      </s:c>
      <s:c r="P196" s="223" t="inlineStr">
        <s:is>
          <s:t>2,29,660</s:t>
        </s:is>
      </s:c>
      <s:c r="Q196" s="224" t="inlineStr">
        <s:is>
          <s:t>2</s:t>
        </s:is>
      </s:c>
      <s:c r="R196" s="224" t="inlineStr">
        <s:is>
          <s:t>29,660</s:t>
        </s:is>
      </s:c>
      <s:c r="S196" s="224" t="n">
        <s:v>0.04157222222222222</s:v>
      </s:c>
      <s:c r="T196" s="225" t="n">
        <s:v>2414.833622878525</s:v>
      </s:c>
      <s:c r="U196" s="226" t="n">
        <s:v>0.03984460603646404</s:v>
      </s:c>
      <s:c r="V196" s="220" t="n">
        <s:v>19.3</s:v>
      </s:c>
      <s:c r="W196" s="221" t="n">
        <s:v>1.089</s:v>
      </s:c>
      <s:c r="X196" s="221" t="n">
        <s:v>1.078</s:v>
      </s:c>
      <s:c r="Y196" s="222" t="n">
        <s:v>465.15</s:v>
      </s:c>
      <s:c r="Z196" s="222" t="n">
        <s:v>470.18</s:v>
      </s:c>
      <s:c r="AA196" s="227" t="n">
        <s:v>5.017</s:v>
      </s:c>
      <s:c r="AB196" s="228" t="inlineStr">
        <s:is>
          <s:t>11,28,470</s:t>
        </s:is>
      </s:c>
      <s:c r="AC196" s="224" t="inlineStr">
        <s:is>
          <s:t>11</s:t>
        </s:is>
      </s:c>
      <s:c r="AD196" s="224" t="inlineStr">
        <s:is>
          <s:t>28,470</s:t>
        </s:is>
      </s:c>
      <s:c r="AE196" s="224" t="n">
        <s:v>0.1912416666666667</s:v>
      </s:c>
      <s:c r="AF196" s="225" t="n">
        <s:v>26.23382282452394</s:v>
      </s:c>
      <s:c r="AG196" s="229" t="n">
        <s:v>0.2591189954161692</s:v>
      </s:c>
      <s:c r="AH196" s="220" t="n">
        <s:v>19.4</s:v>
      </s:c>
      <s:c r="AI196" s="221" t="n">
        <s:v>1.096</s:v>
      </s:c>
      <s:c r="AJ196" s="221" t="n">
        <s:v>1.086</s:v>
      </s:c>
      <s:c r="AK196" s="222" t="n">
        <s:v>470.18</s:v>
      </s:c>
      <s:c r="AL196" s="222" t="n">
        <s:v>472.22</s:v>
      </s:c>
      <s:c r="AM196" s="230" t="n">
        <s:v>2.009</s:v>
      </s:c>
      <s:c r="AN196" s="223" t="inlineStr">
        <s:is>
          <s:t>7,20,280</s:t>
        </s:is>
      </s:c>
      <s:c r="AO196" s="224" t="inlineStr">
        <s:is>
          <s:t>7,</s:t>
        </s:is>
      </s:c>
      <s:c r="AP196" s="224" t="inlineStr">
        <s:is>
          <s:t>20,280</s:t>
        </s:is>
      </s:c>
      <s:c r="AQ196" s="224" t="n">
        <s:v>0.1223</s:v>
      </s:c>
      <s:c r="AR196" s="225" t="n">
        <s:v>16.42681929681112</s:v>
      </s:c>
      <s:c r="AS196" s="229" t="n">
        <s:v>1.543056246890023</s:v>
      </s:c>
      <s:c r="AT196" s="231" t="inlineStr">
        <s:is>
          <s:t>CONFORME</s:t>
        </s:is>
      </s:c>
      <s:c r="AU196" s="232">
        <s:f>B196=C196</s:f>
        <s:v/>
      </s:c>
      <s:c r="AV196" s="233">
        <s:f>MID(G196,1,2)</s:f>
        <s:v/>
      </s:c>
      <s:c r="AW196" s="233">
        <s:f>LEN(G196)</s:f>
        <s:v/>
      </s:c>
      <s:c r="AX196" s="233" t="inlineStr">
        <s:is>
          <s:t>OI-0923-2025</s:t>
        </s:is>
      </s:c>
      <s:c r="AY196" s="233">
        <s:f>N196&lt;Y196</s:f>
        <s:v/>
      </s:c>
      <s:c r="AZ196" s="233">
        <s:f>Z196&lt;=AK196</s:f>
        <s:v/>
      </s:c>
      <s:c r="BA196" s="233">
        <s:f>L196&lt;K196</s:f>
        <s:v/>
      </s:c>
      <s:c r="BB196" s="233">
        <s:f>W196&gt;=X196</s:f>
        <s:v/>
      </s:c>
      <s:c r="BC196" s="233">
        <s:f>AI196&gt;=AJ196</s:f>
        <s:v/>
      </s:c>
      <s:c r="BD196" s="233">
        <s:f>IF(I196&gt;=1,"Qcorrecto",IF(AND(BE196="aceptable",BF196="aceptable",BG196="aceptable"),"Qcorrecto","Qincorrecto"))</s:f>
        <s:v/>
      </s:c>
      <s:c r="BE196" s="232">
        <s:f>IF(AR196&lt;$AH$6,"error",IF(AR196&gt;$AH$6*1.1,"error","aceptable"))</s:f>
        <s:v/>
      </s:c>
      <s:c r="BF196" s="232">
        <s:f>IF(AF196&lt;$V$6,"error",IF(AF196&gt;$V$6*1.1,"error","aceptable"))</s:f>
        <s:v/>
      </s:c>
      <s:c r="BG196" s="232">
        <s:f>IF(T196&lt;$J$6*0.9,"error",IF(T196&gt;$J$6,"error","aceptable"))</s:f>
        <s:v/>
      </s:c>
      <s:c r="BH196" s="234">
        <s:f>(IF(ABS(U196)&lt;1,"CONFORME",IF(ABS(AG196)&lt;1,"CONFORME",IF(ABS(AS196)&lt;2.5,"CONFORME","NO CONFORME"))))</s:f>
        <s:v/>
      </s:c>
      <s:c r="BI196" s="235">
        <s:f>(IF(ABS(U196)&gt;2.044,"NO CONFORME",IF(ABS(AG196)&gt;2.044,"NO CONFORME",IF(ABS(AS196)&gt;5.044,"NO CONFORME","CONFORME"))))</s:f>
        <s:v/>
      </s:c>
      <s:c r="BJ196" s="233">
        <s:f>SIGN(U196)</s:f>
        <s:v/>
      </s:c>
      <s:c r="BK196" s="233">
        <s:f>SIGN(AG196)</s:f>
        <s:v/>
      </s:c>
      <s:c r="BL196" s="233">
        <s:f>SIGN(AS196)</s:f>
        <s:v/>
      </s:c>
      <s:c r="BM196" s="233">
        <s:f>CONCATENATE(BJ196,BK196,BL196)</s:f>
        <s:v/>
      </s:c>
      <s:c r="BN196" s="233">
        <s:f>IF(BM196="111","SI","SD")</s:f>
        <s:v/>
      </s:c>
      <s:c r="BO196" s="233">
        <s:f>IF(BM196="-1-1-1","SI","SD")</s:f>
        <s:v/>
      </s:c>
      <s:c r="BP196" s="233">
        <s:f>OR(BN196="SI",BO196="SI")</s:f>
        <s:v/>
      </s:c>
      <s:c r="BQ196" s="233">
        <s:f>IF(BP196=FALSE,"SIGDIFERENTES","SIGIGUALES")</s:f>
        <s:v/>
      </s:c>
      <s:c r="BR196" s="236">
        <s:f>IF(BI196="NO CONFORME","NO CONFORME",IF(BH196="CONFORME","CONFORME","NO CONFORME"))</s:f>
        <s:v/>
      </s:c>
      <s:c r="BS196" s="233">
        <s:f>F196</s:f>
        <s:v/>
      </s:c>
      <s:c r="BT196" s="237">
        <s:f>G196</s:f>
        <s:v/>
      </s:c>
      <s:c r="BU196" s="233">
        <s:f>"20"&amp;+MID(G196,3,2)</s:f>
        <s:v/>
      </s:c>
      <s:c r="BV196" s="238">
        <s:f>C196</s:f>
        <s:v/>
      </s:c>
      <s:c r="BW196" s="233">
        <s:f>AT196</s:f>
        <s:v/>
      </s:c>
      <s:c r="BX196" s="238">
        <s:f>B196</s:f>
        <s:v/>
      </s:c>
      <s:c r="BY196" s="239">
        <s:f>H196</s:f>
        <s:v/>
      </s:c>
      <s:c r="BZ196" s="233">
        <s:f>IF(I196=0,"CONFORME","NO CONFORME")</s:f>
        <s:v/>
      </s:c>
      <s:c r="CA196" s="238">
        <s:f>C196</s:f>
        <s:v/>
      </s:c>
      <s:c r="CB196" s="240">
        <s:f>AH196</s:f>
        <s:v/>
      </s:c>
      <s:c r="CC196" s="241">
        <s:f>AR196</s:f>
        <s:v/>
      </s:c>
      <s:c r="CD196" s="240">
        <s:f>AI196</s:f>
        <s:v/>
      </s:c>
      <s:c r="CE196" s="240">
        <s:f>AJ196</s:f>
        <s:v/>
      </s:c>
      <s:c r="CF196" s="240">
        <s:f>AS196</s:f>
        <s:v/>
      </s:c>
      <s:c r="CG196" s="240">
        <s:f>V196</s:f>
        <s:v/>
      </s:c>
      <s:c r="CH196" s="241">
        <s:f>AF196</s:f>
        <s:v/>
      </s:c>
      <s:c r="CI196" s="240">
        <s:f>W196</s:f>
        <s:v/>
      </s:c>
      <s:c r="CJ196" s="240">
        <s:f>X196</s:f>
        <s:v/>
      </s:c>
      <s:c r="CK196" s="240">
        <s:f>AG196</s:f>
        <s:v/>
      </s:c>
      <s:c r="CL196" s="240">
        <s:f>J196</s:f>
        <s:v/>
      </s:c>
      <s:c r="CM196" s="241">
        <s:f>T196</s:f>
        <s:v/>
      </s:c>
      <s:c r="CN196" s="240">
        <s:f>K196</s:f>
        <s:v/>
      </s:c>
      <s:c r="CO196" s="240">
        <s:f>L196</s:f>
        <s:v/>
      </s:c>
      <s:c r="CP196" s="242">
        <s:f>U196</s:f>
        <s:v/>
      </s:c>
      <s:c r="CQ196" s="233">
        <s:f>AT196</s:f>
        <s:v/>
      </s:c>
    </s:row>
    <s:row r="197">
      <s:c r="A197" s="211" t="n">
        <s:v>97</s:v>
      </s:c>
      <s:c r="B197" s="212" t="n">
        <s:v>45901</s:v>
      </s:c>
      <s:c r="C197" s="213" t="n">
        <s:v>45901</s:v>
      </s:c>
      <s:c r="D197" s="214" t="n">
        <s:v>3</s:v>
      </s:c>
      <s:c r="E197" s="215" t="n">
        <s:v>13</s:v>
      </s:c>
      <s:c r="F197" s="216" t="inlineStr">
        <s:is>
          <s:t>VI-236672-2025</s:t>
        </s:is>
      </s:c>
      <s:c r="G197" s="217" t="inlineStr">
        <s:is>
          <s:t>QA25418726</s:t>
        </s:is>
      </s:c>
      <s:c r="H197" s="218" t="n">
        <s:v>16</s:v>
      </s:c>
      <s:c r="I197" s="219" t="n">
        <s:v>0</s:v>
      </s:c>
      <s:c r="J197" s="220" t="n">
        <s:v>19.6</s:v>
      </s:c>
      <s:c r="K197" s="221" t="n">
        <s:v>7.496</s:v>
      </s:c>
      <s:c r="L197" s="221" t="n">
        <s:v>1.178</s:v>
      </s:c>
      <s:c r="M197" s="222" t="n">
        <s:v>299.68</s:v>
      </s:c>
      <s:c r="N197" s="222" t="n">
        <s:v>398.06</s:v>
      </s:c>
      <s:c r="O197" s="222" t="n">
        <s:v>100.39</s:v>
      </s:c>
      <s:c r="P197" s="223" t="inlineStr">
        <s:is>
          <s:t>2,29,660</s:t>
        </s:is>
      </s:c>
      <s:c r="Q197" s="224" t="inlineStr">
        <s:is>
          <s:t>2</s:t>
        </s:is>
      </s:c>
      <s:c r="R197" s="224" t="inlineStr">
        <s:is>
          <s:t>29,660</s:t>
        </s:is>
      </s:c>
      <s:c r="S197" s="224" t="n">
        <s:v>0.04157222222222222</s:v>
      </s:c>
      <s:c r="T197" s="225" t="n">
        <s:v>2414.833622878525</s:v>
      </s:c>
      <s:c r="U197" s="226" t="n">
        <s:v>-2.00219145333201</s:v>
      </s:c>
      <s:c r="V197" s="220" t="n">
        <s:v>19.3</s:v>
      </s:c>
      <s:c r="W197" s="221" t="n">
        <s:v>1.089</s:v>
      </s:c>
      <s:c r="X197" s="221" t="n">
        <s:v>1.078</s:v>
      </s:c>
      <s:c r="Y197" s="222" t="n">
        <s:v>413.48</s:v>
      </s:c>
      <s:c r="Z197" s="222" t="n">
        <s:v>418.39</s:v>
      </s:c>
      <s:c r="AA197" s="227" t="n">
        <s:v>5.017</s:v>
      </s:c>
      <s:c r="AB197" s="228" t="inlineStr">
        <s:is>
          <s:t>11,28,470</s:t>
        </s:is>
      </s:c>
      <s:c r="AC197" s="224" t="inlineStr">
        <s:is>
          <s:t>11</s:t>
        </s:is>
      </s:c>
      <s:c r="AD197" s="224" t="inlineStr">
        <s:is>
          <s:t>28,470</s:t>
        </s:is>
      </s:c>
      <s:c r="AE197" s="224" t="n">
        <s:v>0.1912416666666667</s:v>
      </s:c>
      <s:c r="AF197" s="225" t="n">
        <s:v>26.23382282452394</s:v>
      </s:c>
      <s:c r="AG197" s="229" t="n">
        <s:v>-2.132748654575088</s:v>
      </s:c>
      <s:c r="AH197" s="220" t="n">
        <s:v>19.4</s:v>
      </s:c>
      <s:c r="AI197" s="221" t="n">
        <s:v>1.096</s:v>
      </s:c>
      <s:c r="AJ197" s="221" t="n">
        <s:v>1.086</s:v>
      </s:c>
      <s:c r="AK197" s="222" t="n">
        <s:v>418.39</s:v>
      </s:c>
      <s:c r="AL197" s="222" t="n">
        <s:v>420.33</s:v>
      </s:c>
      <s:c r="AM197" s="230" t="n">
        <s:v>2.009</s:v>
      </s:c>
      <s:c r="AN197" s="223" t="inlineStr">
        <s:is>
          <s:t>7,20,280</s:t>
        </s:is>
      </s:c>
      <s:c r="AO197" s="224" t="inlineStr">
        <s:is>
          <s:t>7,</s:t>
        </s:is>
      </s:c>
      <s:c r="AP197" s="224" t="inlineStr">
        <s:is>
          <s:t>20,280</s:t>
        </s:is>
      </s:c>
      <s:c r="AQ197" s="224" t="n">
        <s:v>0.1223</s:v>
      </s:c>
      <s:c r="AR197" s="225" t="n">
        <s:v>16.42681929681112</s:v>
      </s:c>
      <s:c r="AS197" s="229" t="n">
        <s:v>-3.434544549527236</s:v>
      </s:c>
      <s:c r="AT197" s="231" t="inlineStr">
        <s:is>
          <s:t>NO CONFORME</s:t>
        </s:is>
      </s:c>
      <s:c r="AU197" s="232">
        <s:f>B197=C197</s:f>
        <s:v/>
      </s:c>
      <s:c r="AV197" s="233">
        <s:f>MID(G197,1,2)</s:f>
        <s:v/>
      </s:c>
      <s:c r="AW197" s="233">
        <s:f>LEN(G197)</s:f>
        <s:v/>
      </s:c>
      <s:c r="AX197" s="233" t="inlineStr">
        <s:is>
          <s:t>OI-0923-2025</s:t>
        </s:is>
      </s:c>
      <s:c r="AY197" s="233">
        <s:f>N197&lt;Y197</s:f>
        <s:v/>
      </s:c>
      <s:c r="AZ197" s="233">
        <s:f>Z197&lt;=AK197</s:f>
        <s:v/>
      </s:c>
      <s:c r="BA197" s="233">
        <s:f>L197&lt;K197</s:f>
        <s:v/>
      </s:c>
      <s:c r="BB197" s="233">
        <s:f>W197&gt;=X197</s:f>
        <s:v/>
      </s:c>
      <s:c r="BC197" s="233">
        <s:f>AI197&gt;=AJ197</s:f>
        <s:v/>
      </s:c>
      <s:c r="BD197" s="233">
        <s:f>IF(I197&gt;=1,"Qcorrecto",IF(AND(BE197="aceptable",BF197="aceptable",BG197="aceptable"),"Qcorrecto","Qincorrecto"))</s:f>
        <s:v/>
      </s:c>
      <s:c r="BE197" s="232">
        <s:f>IF(AR197&lt;$AH$6,"error",IF(AR197&gt;$AH$6*1.1,"error","aceptable"))</s:f>
        <s:v/>
      </s:c>
      <s:c r="BF197" s="232">
        <s:f>IF(AF197&lt;$V$6,"error",IF(AF197&gt;$V$6*1.1,"error","aceptable"))</s:f>
        <s:v/>
      </s:c>
      <s:c r="BG197" s="232">
        <s:f>IF(T197&lt;$J$6*0.9,"error",IF(T197&gt;$J$6,"error","aceptable"))</s:f>
        <s:v/>
      </s:c>
      <s:c r="BH197" s="234">
        <s:f>(IF(ABS(U197)&lt;1,"CONFORME",IF(ABS(AG197)&lt;1,"CONFORME",IF(ABS(AS197)&lt;2.5,"CONFORME","NO CONFORME"))))</s:f>
        <s:v/>
      </s:c>
      <s:c r="BI197" s="235">
        <s:f>(IF(ABS(U197)&gt;2.044,"NO CONFORME",IF(ABS(AG197)&gt;2.044,"NO CONFORME",IF(ABS(AS197)&gt;5.044,"NO CONFORME","CONFORME"))))</s:f>
        <s:v/>
      </s:c>
      <s:c r="BJ197" s="233">
        <s:f>SIGN(U197)</s:f>
        <s:v/>
      </s:c>
      <s:c r="BK197" s="233">
        <s:f>SIGN(AG197)</s:f>
        <s:v/>
      </s:c>
      <s:c r="BL197" s="233">
        <s:f>SIGN(AS197)</s:f>
        <s:v/>
      </s:c>
      <s:c r="BM197" s="233">
        <s:f>CONCATENATE(BJ197,BK197,BL197)</s:f>
        <s:v/>
      </s:c>
      <s:c r="BN197" s="233">
        <s:f>IF(BM197="111","SI","SD")</s:f>
        <s:v/>
      </s:c>
      <s:c r="BO197" s="233">
        <s:f>IF(BM197="-1-1-1","SI","SD")</s:f>
        <s:v/>
      </s:c>
      <s:c r="BP197" s="233">
        <s:f>OR(BN197="SI",BO197="SI")</s:f>
        <s:v/>
      </s:c>
      <s:c r="BQ197" s="233">
        <s:f>IF(BP197=FALSE,"SIGDIFERENTES","SIGIGUALES")</s:f>
        <s:v/>
      </s:c>
      <s:c r="BR197" s="236">
        <s:f>IF(BI197="NO CONFORME","NO CONFORME",IF(BH197="CONFORME","CONFORME","NO CONFORME"))</s:f>
        <s:v/>
      </s:c>
      <s:c r="BS197" s="233">
        <s:f>F197</s:f>
        <s:v/>
      </s:c>
      <s:c r="BT197" s="237">
        <s:f>G197</s:f>
        <s:v/>
      </s:c>
      <s:c r="BU197" s="233">
        <s:f>"20"&amp;+MID(G197,3,2)</s:f>
        <s:v/>
      </s:c>
      <s:c r="BV197" s="238">
        <s:f>C197</s:f>
        <s:v/>
      </s:c>
      <s:c r="BW197" s="233">
        <s:f>AT197</s:f>
        <s:v/>
      </s:c>
      <s:c r="BX197" s="238">
        <s:f>B197</s:f>
        <s:v/>
      </s:c>
      <s:c r="BY197" s="239">
        <s:f>H197</s:f>
        <s:v/>
      </s:c>
      <s:c r="BZ197" s="233">
        <s:f>IF(I197=0,"CONFORME","NO CONFORME")</s:f>
        <s:v/>
      </s:c>
      <s:c r="CA197" s="238">
        <s:f>C197</s:f>
        <s:v/>
      </s:c>
      <s:c r="CB197" s="240">
        <s:f>AH197</s:f>
        <s:v/>
      </s:c>
      <s:c r="CC197" s="241">
        <s:f>AR197</s:f>
        <s:v/>
      </s:c>
      <s:c r="CD197" s="240">
        <s:f>AI197</s:f>
        <s:v/>
      </s:c>
      <s:c r="CE197" s="240">
        <s:f>AJ197</s:f>
        <s:v/>
      </s:c>
      <s:c r="CF197" s="240">
        <s:f>AS197</s:f>
        <s:v/>
      </s:c>
      <s:c r="CG197" s="240">
        <s:f>V197</s:f>
        <s:v/>
      </s:c>
      <s:c r="CH197" s="241">
        <s:f>AF197</s:f>
        <s:v/>
      </s:c>
      <s:c r="CI197" s="240">
        <s:f>W197</s:f>
        <s:v/>
      </s:c>
      <s:c r="CJ197" s="240">
        <s:f>X197</s:f>
        <s:v/>
      </s:c>
      <s:c r="CK197" s="240">
        <s:f>AG197</s:f>
        <s:v/>
      </s:c>
      <s:c r="CL197" s="240">
        <s:f>J197</s:f>
        <s:v/>
      </s:c>
      <s:c r="CM197" s="241">
        <s:f>T197</s:f>
        <s:v/>
      </s:c>
      <s:c r="CN197" s="240">
        <s:f>K197</s:f>
        <s:v/>
      </s:c>
      <s:c r="CO197" s="240">
        <s:f>L197</s:f>
        <s:v/>
      </s:c>
      <s:c r="CP197" s="242">
        <s:f>U197</s:f>
        <s:v/>
      </s:c>
      <s:c r="CQ197" s="233">
        <s:f>AT197</s:f>
        <s:v/>
      </s:c>
    </s:row>
    <s:row r="198">
      <s:c r="A198" s="211" t="n">
        <s:v>98</s:v>
      </s:c>
      <s:c r="B198" s="212" t="n">
        <s:v>45901</s:v>
      </s:c>
      <s:c r="C198" s="213" t="n">
        <s:v>45901</s:v>
      </s:c>
      <s:c r="D198" s="214" t="n">
        <s:v>3</s:v>
      </s:c>
      <s:c r="E198" s="215" t="n">
        <s:v>13</s:v>
      </s:c>
      <s:c r="F198" s="216" t="inlineStr">
        <s:is>
          <s:t>VI-236673-2025</s:t>
        </s:is>
      </s:c>
      <s:c r="G198" s="217" t="inlineStr">
        <s:is>
          <s:t>QA25418810</s:t>
        </s:is>
      </s:c>
      <s:c r="H198" s="218" t="n">
        <s:v>16</s:v>
      </s:c>
      <s:c r="I198" s="219" t="n">
        <s:v>0</s:v>
      </s:c>
      <s:c r="J198" s="220" t="n">
        <s:v>19.6</s:v>
      </s:c>
      <s:c r="K198" s="221" t="n">
        <s:v>7.512</s:v>
      </s:c>
      <s:c r="L198" s="221" t="n">
        <s:v>1.261</s:v>
      </s:c>
      <s:c r="M198" s="222" t="n">
        <s:v>340.47</s:v>
      </s:c>
      <s:c r="N198" s="222" t="n">
        <s:v>439.56</s:v>
      </s:c>
      <s:c r="O198" s="222" t="n">
        <s:v>100.49</s:v>
      </s:c>
      <s:c r="P198" s="223" t="inlineStr">
        <s:is>
          <s:t>2,31,100</s:t>
        </s:is>
      </s:c>
      <s:c r="Q198" s="224" t="inlineStr">
        <s:is>
          <s:t>2</s:t>
        </s:is>
      </s:c>
      <s:c r="R198" s="224" t="inlineStr">
        <s:is>
          <s:t>31,100</s:t>
        </s:is>
      </s:c>
      <s:c r="S198" s="224" t="n">
        <s:v>0.04197222222222222</s:v>
      </s:c>
      <s:c r="T198" s="225" t="n">
        <s:v>2394.202514890801</s:v>
      </s:c>
      <s:c r="U198" s="226" t="n">
        <s:v>-1.393173450094557</s:v>
      </s:c>
      <s:c r="V198" s="220" t="n">
        <s:v>19.4</s:v>
      </s:c>
      <s:c r="W198" s="221" t="n">
        <s:v>1.091</s:v>
      </s:c>
      <s:c r="X198" s="221" t="n">
        <s:v>1.08</s:v>
      </s:c>
      <s:c r="Y198" s="222" t="n">
        <s:v>456.03</s:v>
      </s:c>
      <s:c r="Z198" s="222" t="n">
        <s:v>461.07</s:v>
      </s:c>
      <s:c r="AA198" s="227" t="n">
        <s:v>5.031</s:v>
      </s:c>
      <s:c r="AB198" s="228" t="inlineStr">
        <s:is>
          <s:t>11,25,820</s:t>
        </s:is>
      </s:c>
      <s:c r="AC198" s="224" t="inlineStr">
        <s:is>
          <s:t>11</s:t>
        </s:is>
      </s:c>
      <s:c r="AD198" s="224" t="inlineStr">
        <s:is>
          <s:t>25,820</s:t>
        </s:is>
      </s:c>
      <s:c r="AE198" s="224" t="n">
        <s:v>0.1905055555555556</s:v>
      </s:c>
      <s:c r="AF198" s="225" t="n">
        <s:v>26.4086786620396</s:v>
      </s:c>
      <s:c r="AG198" s="229" t="n">
        <s:v>0.178890876565708</s:v>
      </s:c>
      <s:c r="AH198" s="220" t="n">
        <s:v>19.4</s:v>
      </s:c>
      <s:c r="AI198" s="221" t="n">
        <s:v>1.095</s:v>
      </s:c>
      <s:c r="AJ198" s="221" t="n">
        <s:v>1.084</s:v>
      </s:c>
      <s:c r="AK198" s="222" t="n">
        <s:v>461.07</s:v>
      </s:c>
      <s:c r="AL198" s="222" t="n">
        <s:v>463.06</s:v>
      </s:c>
      <s:c r="AM198" s="230" t="n">
        <s:v>2.005</s:v>
      </s:c>
      <s:c r="AN198" s="223" t="inlineStr">
        <s:is>
          <s:t>7,19,980</s:t>
        </s:is>
      </s:c>
      <s:c r="AO198" s="224" t="inlineStr">
        <s:is>
          <s:t>7,</s:t>
        </s:is>
      </s:c>
      <s:c r="AP198" s="224" t="inlineStr">
        <s:is>
          <s:t>19,980</s:t>
        </s:is>
      </s:c>
      <s:c r="AQ198" s="224" t="n">
        <s:v>0.1222166666666667</s:v>
      </s:c>
      <s:c r="AR198" s="225" t="n">
        <s:v>16.40529114959771</s:v>
      </s:c>
      <s:c r="AS198" s="229" t="n">
        <s:v>-0.748129675810015</s:v>
      </s:c>
      <s:c r="AT198" s="231" t="inlineStr">
        <s:is>
          <s:t>CONFORME</s:t>
        </s:is>
      </s:c>
      <s:c r="AU198" s="232">
        <s:f>B198=C198</s:f>
        <s:v/>
      </s:c>
      <s:c r="AV198" s="233">
        <s:f>MID(G198,1,2)</s:f>
        <s:v/>
      </s:c>
      <s:c r="AW198" s="233">
        <s:f>LEN(G198)</s:f>
        <s:v/>
      </s:c>
      <s:c r="AX198" s="233" t="inlineStr">
        <s:is>
          <s:t>OI-0923-2025</s:t>
        </s:is>
      </s:c>
      <s:c r="AY198" s="233">
        <s:f>N198&lt;Y198</s:f>
        <s:v/>
      </s:c>
      <s:c r="AZ198" s="233">
        <s:f>Z198&lt;=AK198</s:f>
        <s:v/>
      </s:c>
      <s:c r="BA198" s="233">
        <s:f>L198&lt;K198</s:f>
        <s:v/>
      </s:c>
      <s:c r="BB198" s="233">
        <s:f>W198&gt;=X198</s:f>
        <s:v/>
      </s:c>
      <s:c r="BC198" s="233">
        <s:f>AI198&gt;=AJ198</s:f>
        <s:v/>
      </s:c>
      <s:c r="BD198" s="233">
        <s:f>IF(I198&gt;=1,"Qcorrecto",IF(AND(BE198="aceptable",BF198="aceptable",BG198="aceptable"),"Qcorrecto","Qincorrecto"))</s:f>
        <s:v/>
      </s:c>
      <s:c r="BE198" s="232">
        <s:f>IF(AR198&lt;$AH$6,"error",IF(AR198&gt;$AH$6*1.1,"error","aceptable"))</s:f>
        <s:v/>
      </s:c>
      <s:c r="BF198" s="232">
        <s:f>IF(AF198&lt;$V$6,"error",IF(AF198&gt;$V$6*1.1,"error","aceptable"))</s:f>
        <s:v/>
      </s:c>
      <s:c r="BG198" s="232">
        <s:f>IF(T198&lt;$J$6*0.9,"error",IF(T198&gt;$J$6,"error","aceptable"))</s:f>
        <s:v/>
      </s:c>
      <s:c r="BH198" s="234">
        <s:f>(IF(ABS(U198)&lt;1,"CONFORME",IF(ABS(AG198)&lt;1,"CONFORME",IF(ABS(AS198)&lt;2.5,"CONFORME","NO CONFORME"))))</s:f>
        <s:v/>
      </s:c>
      <s:c r="BI198" s="235">
        <s:f>(IF(ABS(U198)&gt;2.044,"NO CONFORME",IF(ABS(AG198)&gt;2.044,"NO CONFORME",IF(ABS(AS198)&gt;5.044,"NO CONFORME","CONFORME"))))</s:f>
        <s:v/>
      </s:c>
      <s:c r="BJ198" s="233">
        <s:f>SIGN(U198)</s:f>
        <s:v/>
      </s:c>
      <s:c r="BK198" s="233">
        <s:f>SIGN(AG198)</s:f>
        <s:v/>
      </s:c>
      <s:c r="BL198" s="233">
        <s:f>SIGN(AS198)</s:f>
        <s:v/>
      </s:c>
      <s:c r="BM198" s="233">
        <s:f>CONCATENATE(BJ198,BK198,BL198)</s:f>
        <s:v/>
      </s:c>
      <s:c r="BN198" s="233">
        <s:f>IF(BM198="111","SI","SD")</s:f>
        <s:v/>
      </s:c>
      <s:c r="BO198" s="233">
        <s:f>IF(BM198="-1-1-1","SI","SD")</s:f>
        <s:v/>
      </s:c>
      <s:c r="BP198" s="233">
        <s:f>OR(BN198="SI",BO198="SI")</s:f>
        <s:v/>
      </s:c>
      <s:c r="BQ198" s="233">
        <s:f>IF(BP198=FALSE,"SIGDIFERENTES","SIGIGUALES")</s:f>
        <s:v/>
      </s:c>
      <s:c r="BR198" s="236">
        <s:f>IF(BI198="NO CONFORME","NO CONFORME",IF(BH198="CONFORME","CONFORME","NO CONFORME"))</s:f>
        <s:v/>
      </s:c>
      <s:c r="BS198" s="233">
        <s:f>F198</s:f>
        <s:v/>
      </s:c>
      <s:c r="BT198" s="237">
        <s:f>G198</s:f>
        <s:v/>
      </s:c>
      <s:c r="BU198" s="233">
        <s:f>"20"&amp;+MID(G198,3,2)</s:f>
        <s:v/>
      </s:c>
      <s:c r="BV198" s="238">
        <s:f>C198</s:f>
        <s:v/>
      </s:c>
      <s:c r="BW198" s="233">
        <s:f>AT198</s:f>
        <s:v/>
      </s:c>
      <s:c r="BX198" s="238">
        <s:f>B198</s:f>
        <s:v/>
      </s:c>
      <s:c r="BY198" s="239">
        <s:f>H198</s:f>
        <s:v/>
      </s:c>
      <s:c r="BZ198" s="233">
        <s:f>IF(I198=0,"CONFORME","NO CONFORME")</s:f>
        <s:v/>
      </s:c>
      <s:c r="CA198" s="238">
        <s:f>C198</s:f>
        <s:v/>
      </s:c>
      <s:c r="CB198" s="240">
        <s:f>AH198</s:f>
        <s:v/>
      </s:c>
      <s:c r="CC198" s="241">
        <s:f>AR198</s:f>
        <s:v/>
      </s:c>
      <s:c r="CD198" s="240">
        <s:f>AI198</s:f>
        <s:v/>
      </s:c>
      <s:c r="CE198" s="240">
        <s:f>AJ198</s:f>
        <s:v/>
      </s:c>
      <s:c r="CF198" s="240">
        <s:f>AS198</s:f>
        <s:v/>
      </s:c>
      <s:c r="CG198" s="240">
        <s:f>V198</s:f>
        <s:v/>
      </s:c>
      <s:c r="CH198" s="241">
        <s:f>AF198</s:f>
        <s:v/>
      </s:c>
      <s:c r="CI198" s="240">
        <s:f>W198</s:f>
        <s:v/>
      </s:c>
      <s:c r="CJ198" s="240">
        <s:f>X198</s:f>
        <s:v/>
      </s:c>
      <s:c r="CK198" s="240">
        <s:f>AG198</s:f>
        <s:v/>
      </s:c>
      <s:c r="CL198" s="240">
        <s:f>J198</s:f>
        <s:v/>
      </s:c>
      <s:c r="CM198" s="241">
        <s:f>T198</s:f>
        <s:v/>
      </s:c>
      <s:c r="CN198" s="240">
        <s:f>K198</s:f>
        <s:v/>
      </s:c>
      <s:c r="CO198" s="240">
        <s:f>L198</s:f>
        <s:v/>
      </s:c>
      <s:c r="CP198" s="242">
        <s:f>U198</s:f>
        <s:v/>
      </s:c>
      <s:c r="CQ198" s="233">
        <s:f>AT198</s:f>
        <s:v/>
      </s:c>
    </s:row>
    <s:row r="199">
      <s:c r="A199" s="211" t="n">
        <s:v>99</s:v>
      </s:c>
      <s:c r="B199" s="212" t="n">
        <s:v>45901</s:v>
      </s:c>
      <s:c r="C199" s="213" t="n">
        <s:v>45901</s:v>
      </s:c>
      <s:c r="D199" s="214" t="n">
        <s:v>3</s:v>
      </s:c>
      <s:c r="E199" s="215" t="n">
        <s:v>13</s:v>
      </s:c>
      <s:c r="F199" s="216" t="inlineStr">
        <s:is>
          <s:t>VI-236674-2025</s:t>
        </s:is>
      </s:c>
      <s:c r="G199" s="217" t="inlineStr">
        <s:is>
          <s:t>QA25418619</s:t>
        </s:is>
      </s:c>
      <s:c r="H199" s="218" t="n">
        <s:v>16</s:v>
      </s:c>
      <s:c r="I199" s="219" t="n">
        <s:v>0</s:v>
      </s:c>
      <s:c r="J199" s="220" t="n">
        <s:v>19.6</s:v>
      </s:c>
      <s:c r="K199" s="221" t="n">
        <s:v>7.512</s:v>
      </s:c>
      <s:c r="L199" s="221" t="n">
        <s:v>1.261</s:v>
      </s:c>
      <s:c r="M199" s="222" t="n">
        <s:v>334.76</s:v>
      </s:c>
      <s:c r="N199" s="222" t="n">
        <s:v>434.49</s:v>
      </s:c>
      <s:c r="O199" s="222" t="n">
        <s:v>100.49</s:v>
      </s:c>
      <s:c r="P199" s="223" t="inlineStr">
        <s:is>
          <s:t>2,31,100</s:t>
        </s:is>
      </s:c>
      <s:c r="Q199" s="224" t="inlineStr">
        <s:is>
          <s:t>2</s:t>
        </s:is>
      </s:c>
      <s:c r="R199" s="224" t="inlineStr">
        <s:is>
          <s:t>31,100</s:t>
        </s:is>
      </s:c>
      <s:c r="S199" s="224" t="n">
        <s:v>0.04197222222222222</s:v>
      </s:c>
      <s:c r="T199" s="225" t="n">
        <s:v>2394.202514890801</s:v>
      </s:c>
      <s:c r="U199" s="226" t="n">
        <s:v>-0.7562941586227253</s:v>
      </s:c>
      <s:c r="V199" s="220" t="n">
        <s:v>19.4</s:v>
      </s:c>
      <s:c r="W199" s="221" t="n">
        <s:v>1.091</s:v>
      </s:c>
      <s:c r="X199" s="221" t="n">
        <s:v>1.08</s:v>
      </s:c>
      <s:c r="Y199" s="222" t="n">
        <s:v>451.08</s:v>
      </s:c>
      <s:c r="Z199" s="222" t="n">
        <s:v>456.11</s:v>
      </s:c>
      <s:c r="AA199" s="227" t="n">
        <s:v>5.031</s:v>
      </s:c>
      <s:c r="AB199" s="228" t="inlineStr">
        <s:is>
          <s:t>11,25,820</s:t>
        </s:is>
      </s:c>
      <s:c r="AC199" s="224" t="inlineStr">
        <s:is>
          <s:t>11</s:t>
        </s:is>
      </s:c>
      <s:c r="AD199" s="224" t="inlineStr">
        <s:is>
          <s:t>25,820</s:t>
        </s:is>
      </s:c>
      <s:c r="AE199" s="224" t="n">
        <s:v>0.1905055555555556</s:v>
      </s:c>
      <s:c r="AF199" s="225" t="n">
        <s:v>26.4086786620396</s:v>
      </s:c>
      <s:c r="AG199" s="229" t="n">
        <s:v>-0.01987676406221697</s:v>
      </s:c>
      <s:c r="AH199" s="220" t="n">
        <s:v>19.4</s:v>
      </s:c>
      <s:c r="AI199" s="221" t="n">
        <s:v>1.095</s:v>
      </s:c>
      <s:c r="AJ199" s="221" t="n">
        <s:v>1.084</s:v>
      </s:c>
      <s:c r="AK199" s="222" t="n">
        <s:v>456.11</s:v>
      </s:c>
      <s:c r="AL199" s="222" t="n">
        <s:v>458.07</s:v>
      </s:c>
      <s:c r="AM199" s="230" t="n">
        <s:v>2.005</s:v>
      </s:c>
      <s:c r="AN199" s="223" t="inlineStr">
        <s:is>
          <s:t>7,19,980</s:t>
        </s:is>
      </s:c>
      <s:c r="AO199" s="224" t="inlineStr">
        <s:is>
          <s:t>7,</s:t>
        </s:is>
      </s:c>
      <s:c r="AP199" s="224" t="inlineStr">
        <s:is>
          <s:t>19,980</s:t>
        </s:is>
      </s:c>
      <s:c r="AQ199" s="224" t="n">
        <s:v>0.1222166666666667</s:v>
      </s:c>
      <s:c r="AR199" s="225" t="n">
        <s:v>16.40529114959771</s:v>
      </s:c>
      <s:c r="AS199" s="229" t="n">
        <s:v>-2.244389027432437</s:v>
      </s:c>
      <s:c r="AT199" s="231" t="inlineStr">
        <s:is>
          <s:t>CONFORME</s:t>
        </s:is>
      </s:c>
      <s:c r="AU199" s="232">
        <s:f>B199=C199</s:f>
        <s:v/>
      </s:c>
      <s:c r="AV199" s="233">
        <s:f>MID(G199,1,2)</s:f>
        <s:v/>
      </s:c>
      <s:c r="AW199" s="233">
        <s:f>LEN(G199)</s:f>
        <s:v/>
      </s:c>
      <s:c r="AX199" s="233" t="inlineStr">
        <s:is>
          <s:t>OI-0923-2025</s:t>
        </s:is>
      </s:c>
      <s:c r="AY199" s="233">
        <s:f>N199&lt;Y199</s:f>
        <s:v/>
      </s:c>
      <s:c r="AZ199" s="233">
        <s:f>Z199&lt;=AK199</s:f>
        <s:v/>
      </s:c>
      <s:c r="BA199" s="233">
        <s:f>L199&lt;K199</s:f>
        <s:v/>
      </s:c>
      <s:c r="BB199" s="233">
        <s:f>W199&gt;=X199</s:f>
        <s:v/>
      </s:c>
      <s:c r="BC199" s="233">
        <s:f>AI199&gt;=AJ199</s:f>
        <s:v/>
      </s:c>
      <s:c r="BD199" s="233">
        <s:f>IF(I199&gt;=1,"Qcorrecto",IF(AND(BE199="aceptable",BF199="aceptable",BG199="aceptable"),"Qcorrecto","Qincorrecto"))</s:f>
        <s:v/>
      </s:c>
      <s:c r="BE199" s="232">
        <s:f>IF(AR199&lt;$AH$6,"error",IF(AR199&gt;$AH$6*1.1,"error","aceptable"))</s:f>
        <s:v/>
      </s:c>
      <s:c r="BF199" s="232">
        <s:f>IF(AF199&lt;$V$6,"error",IF(AF199&gt;$V$6*1.1,"error","aceptable"))</s:f>
        <s:v/>
      </s:c>
      <s:c r="BG199" s="232">
        <s:f>IF(T199&lt;$J$6*0.9,"error",IF(T199&gt;$J$6,"error","aceptable"))</s:f>
        <s:v/>
      </s:c>
      <s:c r="BH199" s="234">
        <s:f>(IF(ABS(U199)&lt;1,"CONFORME",IF(ABS(AG199)&lt;1,"CONFORME",IF(ABS(AS199)&lt;2.5,"CONFORME","NO CONFORME"))))</s:f>
        <s:v/>
      </s:c>
      <s:c r="BI199" s="235">
        <s:f>(IF(ABS(U199)&gt;2.044,"NO CONFORME",IF(ABS(AG199)&gt;2.044,"NO CONFORME",IF(ABS(AS199)&gt;5.044,"NO CONFORME","CONFORME"))))</s:f>
        <s:v/>
      </s:c>
      <s:c r="BJ199" s="233">
        <s:f>SIGN(U199)</s:f>
        <s:v/>
      </s:c>
      <s:c r="BK199" s="233">
        <s:f>SIGN(AG199)</s:f>
        <s:v/>
      </s:c>
      <s:c r="BL199" s="233">
        <s:f>SIGN(AS199)</s:f>
        <s:v/>
      </s:c>
      <s:c r="BM199" s="233">
        <s:f>CONCATENATE(BJ199,BK199,BL199)</s:f>
        <s:v/>
      </s:c>
      <s:c r="BN199" s="233">
        <s:f>IF(BM199="111","SI","SD")</s:f>
        <s:v/>
      </s:c>
      <s:c r="BO199" s="233">
        <s:f>IF(BM199="-1-1-1","SI","SD")</s:f>
        <s:v/>
      </s:c>
      <s:c r="BP199" s="233">
        <s:f>OR(BN199="SI",BO199="SI")</s:f>
        <s:v/>
      </s:c>
      <s:c r="BQ199" s="233">
        <s:f>IF(BP199=FALSE,"SIGDIFERENTES","SIGIGUALES")</s:f>
        <s:v/>
      </s:c>
      <s:c r="BR199" s="236">
        <s:f>IF(BI199="NO CONFORME","NO CONFORME",IF(BH199="CONFORME","CONFORME","NO CONFORME"))</s:f>
        <s:v/>
      </s:c>
      <s:c r="BS199" s="233">
        <s:f>F199</s:f>
        <s:v/>
      </s:c>
      <s:c r="BT199" s="237">
        <s:f>G199</s:f>
        <s:v/>
      </s:c>
      <s:c r="BU199" s="233">
        <s:f>"20"&amp;+MID(G199,3,2)</s:f>
        <s:v/>
      </s:c>
      <s:c r="BV199" s="238">
        <s:f>C199</s:f>
        <s:v/>
      </s:c>
      <s:c r="BW199" s="233">
        <s:f>AT199</s:f>
        <s:v/>
      </s:c>
      <s:c r="BX199" s="238">
        <s:f>B199</s:f>
        <s:v/>
      </s:c>
      <s:c r="BY199" s="239">
        <s:f>H199</s:f>
        <s:v/>
      </s:c>
      <s:c r="BZ199" s="233">
        <s:f>IF(I199=0,"CONFORME","NO CONFORME")</s:f>
        <s:v/>
      </s:c>
      <s:c r="CA199" s="238">
        <s:f>C199</s:f>
        <s:v/>
      </s:c>
      <s:c r="CB199" s="240">
        <s:f>AH199</s:f>
        <s:v/>
      </s:c>
      <s:c r="CC199" s="241">
        <s:f>AR199</s:f>
        <s:v/>
      </s:c>
      <s:c r="CD199" s="240">
        <s:f>AI199</s:f>
        <s:v/>
      </s:c>
      <s:c r="CE199" s="240">
        <s:f>AJ199</s:f>
        <s:v/>
      </s:c>
      <s:c r="CF199" s="240">
        <s:f>AS199</s:f>
        <s:v/>
      </s:c>
      <s:c r="CG199" s="240">
        <s:f>V199</s:f>
        <s:v/>
      </s:c>
      <s:c r="CH199" s="241">
        <s:f>AF199</s:f>
        <s:v/>
      </s:c>
      <s:c r="CI199" s="240">
        <s:f>W199</s:f>
        <s:v/>
      </s:c>
      <s:c r="CJ199" s="240">
        <s:f>X199</s:f>
        <s:v/>
      </s:c>
      <s:c r="CK199" s="240">
        <s:f>AG199</s:f>
        <s:v/>
      </s:c>
      <s:c r="CL199" s="240">
        <s:f>J199</s:f>
        <s:v/>
      </s:c>
      <s:c r="CM199" s="241">
        <s:f>T199</s:f>
        <s:v/>
      </s:c>
      <s:c r="CN199" s="240">
        <s:f>K199</s:f>
        <s:v/>
      </s:c>
      <s:c r="CO199" s="240">
        <s:f>L199</s:f>
        <s:v/>
      </s:c>
      <s:c r="CP199" s="242">
        <s:f>U199</s:f>
        <s:v/>
      </s:c>
      <s:c r="CQ199" s="233">
        <s:f>AT199</s:f>
        <s:v/>
      </s:c>
    </s:row>
    <s:row r="200">
      <s:c r="A200" s="211" t="n">
        <s:v>100</s:v>
      </s:c>
      <s:c r="B200" s="212" t="n">
        <s:v>45901</s:v>
      </s:c>
      <s:c r="C200" s="213" t="n">
        <s:v>45901</s:v>
      </s:c>
      <s:c r="D200" s="214" t="n">
        <s:v>3</s:v>
      </s:c>
      <s:c r="E200" s="215" t="n">
        <s:v>13</s:v>
      </s:c>
      <s:c r="F200" s="216" t="inlineStr">
        <s:is>
          <s:t>VI-236675-2025</s:t>
        </s:is>
      </s:c>
      <s:c r="G200" s="217" t="inlineStr">
        <s:is>
          <s:t>QA25418661</s:t>
        </s:is>
      </s:c>
      <s:c r="H200" s="218" t="n">
        <s:v>16</s:v>
      </s:c>
      <s:c r="I200" s="219" t="n">
        <s:v>0</s:v>
      </s:c>
      <s:c r="J200" s="220" t="n">
        <s:v>19.6</s:v>
      </s:c>
      <s:c r="K200" s="221" t="n">
        <s:v>7.512</s:v>
      </s:c>
      <s:c r="L200" s="221" t="n">
        <s:v>1.261</s:v>
      </s:c>
      <s:c r="M200" s="222" t="n">
        <s:v>323.96</s:v>
      </s:c>
      <s:c r="N200" s="222" t="n">
        <s:v>423.86</s:v>
      </s:c>
      <s:c r="O200" s="222" t="n">
        <s:v>100.49</s:v>
      </s:c>
      <s:c r="P200" s="223" t="inlineStr">
        <s:is>
          <s:t>2,31,100</s:t>
        </s:is>
      </s:c>
      <s:c r="Q200" s="224" t="inlineStr">
        <s:is>
          <s:t>2</s:t>
        </s:is>
      </s:c>
      <s:c r="R200" s="224" t="inlineStr">
        <s:is>
          <s:t>31,100</s:t>
        </s:is>
      </s:c>
      <s:c r="S200" s="224" t="n">
        <s:v>0.04197222222222222</s:v>
      </s:c>
      <s:c r="T200" s="225" t="n">
        <s:v>2394.202514890801</s:v>
      </s:c>
      <s:c r="U200" s="226" t="n">
        <s:v>-0.5871230968255158</s:v>
      </s:c>
      <s:c r="V200" s="220" t="n">
        <s:v>19.4</s:v>
      </s:c>
      <s:c r="W200" s="221" t="n">
        <s:v>1.091</s:v>
      </s:c>
      <s:c r="X200" s="221" t="n">
        <s:v>1.08</s:v>
      </s:c>
      <s:c r="Y200" s="222" t="n">
        <s:v>440.4</s:v>
      </s:c>
      <s:c r="Z200" s="222" t="n">
        <s:v>445.31</s:v>
      </s:c>
      <s:c r="AA200" s="227" t="n">
        <s:v>5.031</s:v>
      </s:c>
      <s:c r="AB200" s="228" t="inlineStr">
        <s:is>
          <s:t>11,25,820</s:t>
        </s:is>
      </s:c>
      <s:c r="AC200" s="224" t="inlineStr">
        <s:is>
          <s:t>11</s:t>
        </s:is>
      </s:c>
      <s:c r="AD200" s="224" t="inlineStr">
        <s:is>
          <s:t>25,820</s:t>
        </s:is>
      </s:c>
      <s:c r="AE200" s="224" t="n">
        <s:v>0.1905055555555556</s:v>
      </s:c>
      <s:c r="AF200" s="225" t="n">
        <s:v>26.4086786620396</s:v>
      </s:c>
      <s:c r="AG200" s="229" t="n">
        <s:v>-2.405088451599577</s:v>
      </s:c>
      <s:c r="AH200" s="220" t="n">
        <s:v>19.4</s:v>
      </s:c>
      <s:c r="AI200" s="221" t="n">
        <s:v>1.095</s:v>
      </s:c>
      <s:c r="AJ200" s="221" t="n">
        <s:v>1.084</s:v>
      </s:c>
      <s:c r="AK200" s="222" t="n">
        <s:v>445.31</s:v>
      </s:c>
      <s:c r="AL200" s="222" t="n">
        <s:v>447.14</s:v>
      </s:c>
      <s:c r="AM200" s="230" t="n">
        <s:v>2.005</s:v>
      </s:c>
      <s:c r="AN200" s="223" t="inlineStr">
        <s:is>
          <s:t>7,19,980</s:t>
        </s:is>
      </s:c>
      <s:c r="AO200" s="224" t="inlineStr">
        <s:is>
          <s:t>7,</s:t>
        </s:is>
      </s:c>
      <s:c r="AP200" s="224" t="inlineStr">
        <s:is>
          <s:t>19,980</s:t>
        </s:is>
      </s:c>
      <s:c r="AQ200" s="224" t="n">
        <s:v>0.1222166666666667</s:v>
      </s:c>
      <s:c r="AR200" s="225" t="n">
        <s:v>16.40529114959771</s:v>
      </s:c>
      <s:c r="AS200" s="229" t="n">
        <s:v>-8.728179551122983</s:v>
      </s:c>
      <s:c r="AT200" s="231" t="inlineStr">
        <s:is>
          <s:t>NO CONFORME</s:t>
        </s:is>
      </s:c>
      <s:c r="AU200" s="232">
        <s:f>B200=C200</s:f>
        <s:v/>
      </s:c>
      <s:c r="AV200" s="233">
        <s:f>MID(G200,1,2)</s:f>
        <s:v/>
      </s:c>
      <s:c r="AW200" s="233">
        <s:f>LEN(G200)</s:f>
        <s:v/>
      </s:c>
      <s:c r="AX200" s="233" t="inlineStr">
        <s:is>
          <s:t>OI-0923-2025</s:t>
        </s:is>
      </s:c>
      <s:c r="AY200" s="233">
        <s:f>N200&lt;Y200</s:f>
        <s:v/>
      </s:c>
      <s:c r="AZ200" s="233">
        <s:f>Z200&lt;=AK200</s:f>
        <s:v/>
      </s:c>
      <s:c r="BA200" s="233">
        <s:f>L200&lt;K200</s:f>
        <s:v/>
      </s:c>
      <s:c r="BB200" s="233">
        <s:f>W200&gt;=X200</s:f>
        <s:v/>
      </s:c>
      <s:c r="BC200" s="233">
        <s:f>AI200&gt;=AJ200</s:f>
        <s:v/>
      </s:c>
      <s:c r="BD200" s="233">
        <s:f>IF(I200&gt;=1,"Qcorrecto",IF(AND(BE200="aceptable",BF200="aceptable",BG200="aceptable"),"Qcorrecto","Qincorrecto"))</s:f>
        <s:v/>
      </s:c>
      <s:c r="BE200" s="232">
        <s:f>IF(AR200&lt;$AH$6,"error",IF(AR200&gt;$AH$6*1.1,"error","aceptable"))</s:f>
        <s:v/>
      </s:c>
      <s:c r="BF200" s="232">
        <s:f>IF(AF200&lt;$V$6,"error",IF(AF200&gt;$V$6*1.1,"error","aceptable"))</s:f>
        <s:v/>
      </s:c>
      <s:c r="BG200" s="232">
        <s:f>IF(T200&lt;$J$6*0.9,"error",IF(T200&gt;$J$6,"error","aceptable"))</s:f>
        <s:v/>
      </s:c>
      <s:c r="BH200" s="234">
        <s:f>(IF(ABS(U200)&lt;1,"CONFORME",IF(ABS(AG200)&lt;1,"CONFORME",IF(ABS(AS200)&lt;2.5,"CONFORME","NO CONFORME"))))</s:f>
        <s:v/>
      </s:c>
      <s:c r="BI200" s="235">
        <s:f>(IF(ABS(U200)&gt;2.044,"NO CONFORME",IF(ABS(AG200)&gt;2.044,"NO CONFORME",IF(ABS(AS200)&gt;5.044,"NO CONFORME","CONFORME"))))</s:f>
        <s:v/>
      </s:c>
      <s:c r="BJ200" s="233">
        <s:f>SIGN(U200)</s:f>
        <s:v/>
      </s:c>
      <s:c r="BK200" s="233">
        <s:f>SIGN(AG200)</s:f>
        <s:v/>
      </s:c>
      <s:c r="BL200" s="233">
        <s:f>SIGN(AS200)</s:f>
        <s:v/>
      </s:c>
      <s:c r="BM200" s="233">
        <s:f>CONCATENATE(BJ200,BK200,BL200)</s:f>
        <s:v/>
      </s:c>
      <s:c r="BN200" s="233">
        <s:f>IF(BM200="111","SI","SD")</s:f>
        <s:v/>
      </s:c>
      <s:c r="BO200" s="233">
        <s:f>IF(BM200="-1-1-1","SI","SD")</s:f>
        <s:v/>
      </s:c>
      <s:c r="BP200" s="233">
        <s:f>OR(BN200="SI",BO200="SI")</s:f>
        <s:v/>
      </s:c>
      <s:c r="BQ200" s="233">
        <s:f>IF(BP200=FALSE,"SIGDIFERENTES","SIGIGUALES")</s:f>
        <s:v/>
      </s:c>
      <s:c r="BR200" s="236">
        <s:f>IF(BI200="NO CONFORME","NO CONFORME",IF(BH200="CONFORME","CONFORME","NO CONFORME"))</s:f>
        <s:v/>
      </s:c>
      <s:c r="BS200" s="233">
        <s:f>F200</s:f>
        <s:v/>
      </s:c>
      <s:c r="BT200" s="237">
        <s:f>G200</s:f>
        <s:v/>
      </s:c>
      <s:c r="BU200" s="233">
        <s:f>"20"&amp;+MID(G200,3,2)</s:f>
        <s:v/>
      </s:c>
      <s:c r="BV200" s="238">
        <s:f>C200</s:f>
        <s:v/>
      </s:c>
      <s:c r="BW200" s="233">
        <s:f>AT200</s:f>
        <s:v/>
      </s:c>
      <s:c r="BX200" s="238">
        <s:f>B200</s:f>
        <s:v/>
      </s:c>
      <s:c r="BY200" s="239">
        <s:f>H200</s:f>
        <s:v/>
      </s:c>
      <s:c r="BZ200" s="233">
        <s:f>IF(I200=0,"CONFORME","NO CONFORME")</s:f>
        <s:v/>
      </s:c>
      <s:c r="CA200" s="238">
        <s:f>C200</s:f>
        <s:v/>
      </s:c>
      <s:c r="CB200" s="240">
        <s:f>AH200</s:f>
        <s:v/>
      </s:c>
      <s:c r="CC200" s="241">
        <s:f>AR200</s:f>
        <s:v/>
      </s:c>
      <s:c r="CD200" s="240">
        <s:f>AI200</s:f>
        <s:v/>
      </s:c>
      <s:c r="CE200" s="240">
        <s:f>AJ200</s:f>
        <s:v/>
      </s:c>
      <s:c r="CF200" s="240">
        <s:f>AS200</s:f>
        <s:v/>
      </s:c>
      <s:c r="CG200" s="240">
        <s:f>V200</s:f>
        <s:v/>
      </s:c>
      <s:c r="CH200" s="241">
        <s:f>AF200</s:f>
        <s:v/>
      </s:c>
      <s:c r="CI200" s="240">
        <s:f>W200</s:f>
        <s:v/>
      </s:c>
      <s:c r="CJ200" s="240">
        <s:f>X200</s:f>
        <s:v/>
      </s:c>
      <s:c r="CK200" s="240">
        <s:f>AG200</s:f>
        <s:v/>
      </s:c>
      <s:c r="CL200" s="240">
        <s:f>J200</s:f>
        <s:v/>
      </s:c>
      <s:c r="CM200" s="241">
        <s:f>T200</s:f>
        <s:v/>
      </s:c>
      <s:c r="CN200" s="240">
        <s:f>K200</s:f>
        <s:v/>
      </s:c>
      <s:c r="CO200" s="240">
        <s:f>L200</s:f>
        <s:v/>
      </s:c>
      <s:c r="CP200" s="242">
        <s:f>U200</s:f>
        <s:v/>
      </s:c>
      <s:c r="CQ200" s="233">
        <s:f>AT200</s:f>
        <s:v/>
      </s:c>
    </s:row>
    <s:row r="201">
      <s:c r="A201" s="211" t="n">
        <s:v>101</s:v>
      </s:c>
      <s:c r="B201" s="212" t="n">
        <s:v>45901</s:v>
      </s:c>
      <s:c r="C201" s="213" t="n">
        <s:v>45901</s:v>
      </s:c>
      <s:c r="D201" s="214" t="n">
        <s:v>3</s:v>
      </s:c>
      <s:c r="E201" s="215" t="n">
        <s:v>13</s:v>
      </s:c>
      <s:c r="F201" s="216" t="inlineStr">
        <s:is>
          <s:t>VI-236676-2025</s:t>
        </s:is>
      </s:c>
      <s:c r="G201" s="217" t="inlineStr">
        <s:is>
          <s:t>QA25418818</s:t>
        </s:is>
      </s:c>
      <s:c r="H201" s="218" t="n">
        <s:v>16</s:v>
      </s:c>
      <s:c r="I201" s="219" t="n">
        <s:v>0</s:v>
      </s:c>
      <s:c r="J201" s="220" t="n">
        <s:v>19.6</s:v>
      </s:c>
      <s:c r="K201" s="221" t="n">
        <s:v>7.512</s:v>
      </s:c>
      <s:c r="L201" s="221" t="n">
        <s:v>1.261</s:v>
      </s:c>
      <s:c r="M201" s="222" t="n">
        <s:v>330.66</s:v>
      </s:c>
      <s:c r="N201" s="222" t="n">
        <s:v>431.38</s:v>
      </s:c>
      <s:c r="O201" s="222" t="n">
        <s:v>100.49</s:v>
      </s:c>
      <s:c r="P201" s="223" t="inlineStr">
        <s:is>
          <s:t>2,31,100</s:t>
        </s:is>
      </s:c>
      <s:c r="Q201" s="224" t="inlineStr">
        <s:is>
          <s:t>2</s:t>
        </s:is>
      </s:c>
      <s:c r="R201" s="224" t="inlineStr">
        <s:is>
          <s:t>31,100</s:t>
        </s:is>
      </s:c>
      <s:c r="S201" s="224" t="n">
        <s:v>0.04197222222222222</s:v>
      </s:c>
      <s:c r="T201" s="225" t="n">
        <s:v>2394.202514890801</s:v>
      </s:c>
      <s:c r="U201" s="226" t="n">
        <s:v>0.2288784953726496</s:v>
      </s:c>
      <s:c r="V201" s="220" t="n">
        <s:v>19.4</s:v>
      </s:c>
      <s:c r="W201" s="221" t="n">
        <s:v>1.091</s:v>
      </s:c>
      <s:c r="X201" s="221" t="n">
        <s:v>1.08</s:v>
      </s:c>
      <s:c r="Y201" s="222" t="n">
        <s:v>448.02</s:v>
      </s:c>
      <s:c r="Z201" s="222" t="n">
        <s:v>453.09</s:v>
      </s:c>
      <s:c r="AA201" s="227" t="n">
        <s:v>5.031</s:v>
      </s:c>
      <s:c r="AB201" s="228" t="inlineStr">
        <s:is>
          <s:t>11,25,820</s:t>
        </s:is>
      </s:c>
      <s:c r="AC201" s="224" t="inlineStr">
        <s:is>
          <s:t>11</s:t>
        </s:is>
      </s:c>
      <s:c r="AD201" s="224" t="inlineStr">
        <s:is>
          <s:t>25,820</s:t>
        </s:is>
      </s:c>
      <s:c r="AE201" s="224" t="n">
        <s:v>0.1905055555555556</s:v>
      </s:c>
      <s:c r="AF201" s="225" t="n">
        <s:v>26.4086786620396</s:v>
      </s:c>
      <s:c r="AG201" s="229" t="n">
        <s:v>0.775193798449483</s:v>
      </s:c>
      <s:c r="AH201" s="220" t="n">
        <s:v>19.4</s:v>
      </s:c>
      <s:c r="AI201" s="221" t="n">
        <s:v>1.095</s:v>
      </s:c>
      <s:c r="AJ201" s="221" t="n">
        <s:v>1.084</s:v>
      </s:c>
      <s:c r="AK201" s="222" t="n">
        <s:v>453.09</s:v>
      </s:c>
      <s:c r="AL201" s="222" t="n">
        <s:v>455.07</s:v>
      </s:c>
      <s:c r="AM201" s="230" t="n">
        <s:v>2.005</s:v>
      </s:c>
      <s:c r="AN201" s="223" t="inlineStr">
        <s:is>
          <s:t>7,19,980</s:t>
        </s:is>
      </s:c>
      <s:c r="AO201" s="224" t="inlineStr">
        <s:is>
          <s:t>7,</s:t>
        </s:is>
      </s:c>
      <s:c r="AP201" s="224" t="inlineStr">
        <s:is>
          <s:t>19,980</s:t>
        </s:is>
      </s:c>
      <s:c r="AQ201" s="224" t="n">
        <s:v>0.1222166666666667</s:v>
      </s:c>
      <s:c r="AR201" s="225" t="n">
        <s:v>16.40529114959771</s:v>
      </s:c>
      <s:c r="AS201" s="229" t="n">
        <s:v>-1.246882793016544</s:v>
      </s:c>
      <s:c r="AT201" s="231" t="inlineStr">
        <s:is>
          <s:t>CONFORME</s:t>
        </s:is>
      </s:c>
      <s:c r="AU201" s="232">
        <s:f>B201=C201</s:f>
        <s:v/>
      </s:c>
      <s:c r="AV201" s="233">
        <s:f>MID(G201,1,2)</s:f>
        <s:v/>
      </s:c>
      <s:c r="AW201" s="233">
        <s:f>LEN(G201)</s:f>
        <s:v/>
      </s:c>
      <s:c r="AX201" s="233" t="inlineStr">
        <s:is>
          <s:t>OI-0923-2025</s:t>
        </s:is>
      </s:c>
      <s:c r="AY201" s="233">
        <s:f>N201&lt;Y201</s:f>
        <s:v/>
      </s:c>
      <s:c r="AZ201" s="233">
        <s:f>Z201&lt;=AK201</s:f>
        <s:v/>
      </s:c>
      <s:c r="BA201" s="233">
        <s:f>L201&lt;K201</s:f>
        <s:v/>
      </s:c>
      <s:c r="BB201" s="233">
        <s:f>W201&gt;=X201</s:f>
        <s:v/>
      </s:c>
      <s:c r="BC201" s="233">
        <s:f>AI201&gt;=AJ201</s:f>
        <s:v/>
      </s:c>
      <s:c r="BD201" s="233">
        <s:f>IF(I201&gt;=1,"Qcorrecto",IF(AND(BE201="aceptable",BF201="aceptable",BG201="aceptable"),"Qcorrecto","Qincorrecto"))</s:f>
        <s:v/>
      </s:c>
      <s:c r="BE201" s="232">
        <s:f>IF(AR201&lt;$AH$6,"error",IF(AR201&gt;$AH$6*1.1,"error","aceptable"))</s:f>
        <s:v/>
      </s:c>
      <s:c r="BF201" s="232">
        <s:f>IF(AF201&lt;$V$6,"error",IF(AF201&gt;$V$6*1.1,"error","aceptable"))</s:f>
        <s:v/>
      </s:c>
      <s:c r="BG201" s="232">
        <s:f>IF(T201&lt;$J$6*0.9,"error",IF(T201&gt;$J$6,"error","aceptable"))</s:f>
        <s:v/>
      </s:c>
      <s:c r="BH201" s="234">
        <s:f>(IF(ABS(U201)&lt;1,"CONFORME",IF(ABS(AG201)&lt;1,"CONFORME",IF(ABS(AS201)&lt;2.5,"CONFORME","NO CONFORME"))))</s:f>
        <s:v/>
      </s:c>
      <s:c r="BI201" s="235">
        <s:f>(IF(ABS(U201)&gt;2.044,"NO CONFORME",IF(ABS(AG201)&gt;2.044,"NO CONFORME",IF(ABS(AS201)&gt;5.044,"NO CONFORME","CONFORME"))))</s:f>
        <s:v/>
      </s:c>
      <s:c r="BJ201" s="233">
        <s:f>SIGN(U201)</s:f>
        <s:v/>
      </s:c>
      <s:c r="BK201" s="233">
        <s:f>SIGN(AG201)</s:f>
        <s:v/>
      </s:c>
      <s:c r="BL201" s="233">
        <s:f>SIGN(AS201)</s:f>
        <s:v/>
      </s:c>
      <s:c r="BM201" s="233">
        <s:f>CONCATENATE(BJ201,BK201,BL201)</s:f>
        <s:v/>
      </s:c>
      <s:c r="BN201" s="233">
        <s:f>IF(BM201="111","SI","SD")</s:f>
        <s:v/>
      </s:c>
      <s:c r="BO201" s="233">
        <s:f>IF(BM201="-1-1-1","SI","SD")</s:f>
        <s:v/>
      </s:c>
      <s:c r="BP201" s="233">
        <s:f>OR(BN201="SI",BO201="SI")</s:f>
        <s:v/>
      </s:c>
      <s:c r="BQ201" s="233">
        <s:f>IF(BP201=FALSE,"SIGDIFERENTES","SIGIGUALES")</s:f>
        <s:v/>
      </s:c>
      <s:c r="BR201" s="236">
        <s:f>IF(BI201="NO CONFORME","NO CONFORME",IF(BH201="CONFORME","CONFORME","NO CONFORME"))</s:f>
        <s:v/>
      </s:c>
      <s:c r="BS201" s="233">
        <s:f>F201</s:f>
        <s:v/>
      </s:c>
      <s:c r="BT201" s="237">
        <s:f>G201</s:f>
        <s:v/>
      </s:c>
      <s:c r="BU201" s="233">
        <s:f>"20"&amp;+MID(G201,3,2)</s:f>
        <s:v/>
      </s:c>
      <s:c r="BV201" s="238">
        <s:f>C201</s:f>
        <s:v/>
      </s:c>
      <s:c r="BW201" s="233">
        <s:f>AT201</s:f>
        <s:v/>
      </s:c>
      <s:c r="BX201" s="238">
        <s:f>B201</s:f>
        <s:v/>
      </s:c>
      <s:c r="BY201" s="239">
        <s:f>H201</s:f>
        <s:v/>
      </s:c>
      <s:c r="BZ201" s="233">
        <s:f>IF(I201=0,"CONFORME","NO CONFORME")</s:f>
        <s:v/>
      </s:c>
      <s:c r="CA201" s="238">
        <s:f>C201</s:f>
        <s:v/>
      </s:c>
      <s:c r="CB201" s="240">
        <s:f>AH201</s:f>
        <s:v/>
      </s:c>
      <s:c r="CC201" s="241">
        <s:f>AR201</s:f>
        <s:v/>
      </s:c>
      <s:c r="CD201" s="240">
        <s:f>AI201</s:f>
        <s:v/>
      </s:c>
      <s:c r="CE201" s="240">
        <s:f>AJ201</s:f>
        <s:v/>
      </s:c>
      <s:c r="CF201" s="240">
        <s:f>AS201</s:f>
        <s:v/>
      </s:c>
      <s:c r="CG201" s="240">
        <s:f>V201</s:f>
        <s:v/>
      </s:c>
      <s:c r="CH201" s="241">
        <s:f>AF201</s:f>
        <s:v/>
      </s:c>
      <s:c r="CI201" s="240">
        <s:f>W201</s:f>
        <s:v/>
      </s:c>
      <s:c r="CJ201" s="240">
        <s:f>X201</s:f>
        <s:v/>
      </s:c>
      <s:c r="CK201" s="240">
        <s:f>AG201</s:f>
        <s:v/>
      </s:c>
      <s:c r="CL201" s="240">
        <s:f>J201</s:f>
        <s:v/>
      </s:c>
      <s:c r="CM201" s="241">
        <s:f>T201</s:f>
        <s:v/>
      </s:c>
      <s:c r="CN201" s="240">
        <s:f>K201</s:f>
        <s:v/>
      </s:c>
      <s:c r="CO201" s="240">
        <s:f>L201</s:f>
        <s:v/>
      </s:c>
      <s:c r="CP201" s="242">
        <s:f>U201</s:f>
        <s:v/>
      </s:c>
      <s:c r="CQ201" s="233">
        <s:f>AT201</s:f>
        <s:v/>
      </s:c>
    </s:row>
    <s:row r="202">
      <s:c r="A202" s="211" t="n">
        <s:v>102</s:v>
      </s:c>
      <s:c r="B202" s="212" t="n">
        <s:v>45901</s:v>
      </s:c>
      <s:c r="C202" s="213" t="n">
        <s:v>45901</s:v>
      </s:c>
      <s:c r="D202" s="214" t="n">
        <s:v>3</s:v>
      </s:c>
      <s:c r="E202" s="215" t="n">
        <s:v>13</s:v>
      </s:c>
      <s:c r="F202" s="216" t="inlineStr">
        <s:is>
          <s:t>VI-236677-2025</s:t>
        </s:is>
      </s:c>
      <s:c r="G202" s="217" t="inlineStr">
        <s:is>
          <s:t>QA25418334</s:t>
        </s:is>
      </s:c>
      <s:c r="H202" s="218" t="n">
        <s:v>16</s:v>
      </s:c>
      <s:c r="I202" s="219" t="n">
        <s:v>0</s:v>
      </s:c>
      <s:c r="J202" s="220" t="n">
        <s:v>19.6</s:v>
      </s:c>
      <s:c r="K202" s="221" t="n">
        <s:v>7.512</s:v>
      </s:c>
      <s:c r="L202" s="221" t="n">
        <s:v>1.261</s:v>
      </s:c>
      <s:c r="M202" s="222" t="n">
        <s:v>315.76</s:v>
      </s:c>
      <s:c r="N202" s="222" t="n">
        <s:v>415.41</s:v>
      </s:c>
      <s:c r="O202" s="222" t="n">
        <s:v>100.49</s:v>
      </s:c>
      <s:c r="P202" s="223" t="inlineStr">
        <s:is>
          <s:t>2,31,100</s:t>
        </s:is>
      </s:c>
      <s:c r="Q202" s="224" t="inlineStr">
        <s:is>
          <s:t>2</s:t>
        </s:is>
      </s:c>
      <s:c r="R202" s="224" t="inlineStr">
        <s:is>
          <s:t>31,100</s:t>
        </s:is>
      </s:c>
      <s:c r="S202" s="224" t="n">
        <s:v>0.04197222222222222</s:v>
      </s:c>
      <s:c r="T202" s="225" t="n">
        <s:v>2394.202514890801</s:v>
      </s:c>
      <s:c r="U202" s="226" t="n">
        <s:v>-0.835904070056683</s:v>
      </s:c>
      <s:c r="V202" s="220" t="n">
        <s:v>19.4</s:v>
      </s:c>
      <s:c r="W202" s="221" t="n">
        <s:v>1.091</s:v>
      </s:c>
      <s:c r="X202" s="221" t="n">
        <s:v>1.08</s:v>
      </s:c>
      <s:c r="Y202" s="222" t="n">
        <s:v>431.9</s:v>
      </s:c>
      <s:c r="Z202" s="222" t="n">
        <s:v>436.93</s:v>
      </s:c>
      <s:c r="AA202" s="227" t="n">
        <s:v>5.031</s:v>
      </s:c>
      <s:c r="AB202" s="228" t="inlineStr">
        <s:is>
          <s:t>11,25,820</s:t>
        </s:is>
      </s:c>
      <s:c r="AC202" s="224" t="inlineStr">
        <s:is>
          <s:t>11</s:t>
        </s:is>
      </s:c>
      <s:c r="AD202" s="224" t="inlineStr">
        <s:is>
          <s:t>25,820</s:t>
        </s:is>
      </s:c>
      <s:c r="AE202" s="224" t="n">
        <s:v>0.1905055555555556</s:v>
      </s:c>
      <s:c r="AF202" s="225" t="n">
        <s:v>26.4086786620396</s:v>
      </s:c>
      <s:c r="AG202" s="229" t="n">
        <s:v>-0.01987676406221697</s:v>
      </s:c>
      <s:c r="AH202" s="220" t="n">
        <s:v>19.4</s:v>
      </s:c>
      <s:c r="AI202" s="221" t="n">
        <s:v>1.095</s:v>
      </s:c>
      <s:c r="AJ202" s="221" t="n">
        <s:v>1.084</s:v>
      </s:c>
      <s:c r="AK202" s="222" t="n">
        <s:v>436.93</s:v>
      </s:c>
      <s:c r="AL202" s="222" t="n">
        <s:v>438.91</s:v>
      </s:c>
      <s:c r="AM202" s="230" t="n">
        <s:v>2.005</s:v>
      </s:c>
      <s:c r="AN202" s="223" t="inlineStr">
        <s:is>
          <s:t>7,19,980</s:t>
        </s:is>
      </s:c>
      <s:c r="AO202" s="224" t="inlineStr">
        <s:is>
          <s:t>7,</s:t>
        </s:is>
      </s:c>
      <s:c r="AP202" s="224" t="inlineStr">
        <s:is>
          <s:t>19,980</s:t>
        </s:is>
      </s:c>
      <s:c r="AQ202" s="224" t="n">
        <s:v>0.1222166666666667</s:v>
      </s:c>
      <s:c r="AR202" s="225" t="n">
        <s:v>16.40529114959771</s:v>
      </s:c>
      <s:c r="AS202" s="229" t="n">
        <s:v>-1.246882793016544</s:v>
      </s:c>
      <s:c r="AT202" s="231" t="inlineStr">
        <s:is>
          <s:t>CONFORME</s:t>
        </s:is>
      </s:c>
      <s:c r="AU202" s="232">
        <s:f>B202=C202</s:f>
        <s:v/>
      </s:c>
      <s:c r="AV202" s="233">
        <s:f>MID(G202,1,2)</s:f>
        <s:v/>
      </s:c>
      <s:c r="AW202" s="233">
        <s:f>LEN(G202)</s:f>
        <s:v/>
      </s:c>
      <s:c r="AX202" s="233" t="inlineStr">
        <s:is>
          <s:t>OI-0923-2025</s:t>
        </s:is>
      </s:c>
      <s:c r="AY202" s="233">
        <s:f>N202&lt;Y202</s:f>
        <s:v/>
      </s:c>
      <s:c r="AZ202" s="233">
        <s:f>Z202&lt;=AK202</s:f>
        <s:v/>
      </s:c>
      <s:c r="BA202" s="233">
        <s:f>L202&lt;K202</s:f>
        <s:v/>
      </s:c>
      <s:c r="BB202" s="233">
        <s:f>W202&gt;=X202</s:f>
        <s:v/>
      </s:c>
      <s:c r="BC202" s="233">
        <s:f>AI202&gt;=AJ202</s:f>
        <s:v/>
      </s:c>
      <s:c r="BD202" s="233">
        <s:f>IF(I202&gt;=1,"Qcorrecto",IF(AND(BE202="aceptable",BF202="aceptable",BG202="aceptable"),"Qcorrecto","Qincorrecto"))</s:f>
        <s:v/>
      </s:c>
      <s:c r="BE202" s="232">
        <s:f>IF(AR202&lt;$AH$6,"error",IF(AR202&gt;$AH$6*1.1,"error","aceptable"))</s:f>
        <s:v/>
      </s:c>
      <s:c r="BF202" s="232">
        <s:f>IF(AF202&lt;$V$6,"error",IF(AF202&gt;$V$6*1.1,"error","aceptable"))</s:f>
        <s:v/>
      </s:c>
      <s:c r="BG202" s="232">
        <s:f>IF(T202&lt;$J$6*0.9,"error",IF(T202&gt;$J$6,"error","aceptable"))</s:f>
        <s:v/>
      </s:c>
      <s:c r="BH202" s="234">
        <s:f>(IF(ABS(U202)&lt;1,"CONFORME",IF(ABS(AG202)&lt;1,"CONFORME",IF(ABS(AS202)&lt;2.5,"CONFORME","NO CONFORME"))))</s:f>
        <s:v/>
      </s:c>
      <s:c r="BI202" s="235">
        <s:f>(IF(ABS(U202)&gt;2.044,"NO CONFORME",IF(ABS(AG202)&gt;2.044,"NO CONFORME",IF(ABS(AS202)&gt;5.044,"NO CONFORME","CONFORME"))))</s:f>
        <s:v/>
      </s:c>
      <s:c r="BJ202" s="233">
        <s:f>SIGN(U202)</s:f>
        <s:v/>
      </s:c>
      <s:c r="BK202" s="233">
        <s:f>SIGN(AG202)</s:f>
        <s:v/>
      </s:c>
      <s:c r="BL202" s="233">
        <s:f>SIGN(AS202)</s:f>
        <s:v/>
      </s:c>
      <s:c r="BM202" s="233">
        <s:f>CONCATENATE(BJ202,BK202,BL202)</s:f>
        <s:v/>
      </s:c>
      <s:c r="BN202" s="233">
        <s:f>IF(BM202="111","SI","SD")</s:f>
        <s:v/>
      </s:c>
      <s:c r="BO202" s="233">
        <s:f>IF(BM202="-1-1-1","SI","SD")</s:f>
        <s:v/>
      </s:c>
      <s:c r="BP202" s="233">
        <s:f>OR(BN202="SI",BO202="SI")</s:f>
        <s:v/>
      </s:c>
      <s:c r="BQ202" s="233">
        <s:f>IF(BP202=FALSE,"SIGDIFERENTES","SIGIGUALES")</s:f>
        <s:v/>
      </s:c>
      <s:c r="BR202" s="236">
        <s:f>IF(BI202="NO CONFORME","NO CONFORME",IF(BH202="CONFORME","CONFORME","NO CONFORME"))</s:f>
        <s:v/>
      </s:c>
      <s:c r="BS202" s="233">
        <s:f>F202</s:f>
        <s:v/>
      </s:c>
      <s:c r="BT202" s="237">
        <s:f>G202</s:f>
        <s:v/>
      </s:c>
      <s:c r="BU202" s="233">
        <s:f>"20"&amp;+MID(G202,3,2)</s:f>
        <s:v/>
      </s:c>
      <s:c r="BV202" s="238">
        <s:f>C202</s:f>
        <s:v/>
      </s:c>
      <s:c r="BW202" s="233">
        <s:f>AT202</s:f>
        <s:v/>
      </s:c>
      <s:c r="BX202" s="238">
        <s:f>B202</s:f>
        <s:v/>
      </s:c>
      <s:c r="BY202" s="239">
        <s:f>H202</s:f>
        <s:v/>
      </s:c>
      <s:c r="BZ202" s="233">
        <s:f>IF(I202=0,"CONFORME","NO CONFORME")</s:f>
        <s:v/>
      </s:c>
      <s:c r="CA202" s="238">
        <s:f>C202</s:f>
        <s:v/>
      </s:c>
      <s:c r="CB202" s="240">
        <s:f>AH202</s:f>
        <s:v/>
      </s:c>
      <s:c r="CC202" s="241">
        <s:f>AR202</s:f>
        <s:v/>
      </s:c>
      <s:c r="CD202" s="240">
        <s:f>AI202</s:f>
        <s:v/>
      </s:c>
      <s:c r="CE202" s="240">
        <s:f>AJ202</s:f>
        <s:v/>
      </s:c>
      <s:c r="CF202" s="240">
        <s:f>AS202</s:f>
        <s:v/>
      </s:c>
      <s:c r="CG202" s="240">
        <s:f>V202</s:f>
        <s:v/>
      </s:c>
      <s:c r="CH202" s="241">
        <s:f>AF202</s:f>
        <s:v/>
      </s:c>
      <s:c r="CI202" s="240">
        <s:f>W202</s:f>
        <s:v/>
      </s:c>
      <s:c r="CJ202" s="240">
        <s:f>X202</s:f>
        <s:v/>
      </s:c>
      <s:c r="CK202" s="240">
        <s:f>AG202</s:f>
        <s:v/>
      </s:c>
      <s:c r="CL202" s="240">
        <s:f>J202</s:f>
        <s:v/>
      </s:c>
      <s:c r="CM202" s="241">
        <s:f>T202</s:f>
        <s:v/>
      </s:c>
      <s:c r="CN202" s="240">
        <s:f>K202</s:f>
        <s:v/>
      </s:c>
      <s:c r="CO202" s="240">
        <s:f>L202</s:f>
        <s:v/>
      </s:c>
      <s:c r="CP202" s="242">
        <s:f>U202</s:f>
        <s:v/>
      </s:c>
      <s:c r="CQ202" s="233">
        <s:f>AT202</s:f>
        <s:v/>
      </s:c>
    </s:row>
    <s:row r="203">
      <s:c r="A203" s="211" t="n">
        <s:v>103</s:v>
      </s:c>
      <s:c r="B203" s="212" t="n">
        <s:v>45901</s:v>
      </s:c>
      <s:c r="C203" s="213" t="n">
        <s:v>45901</s:v>
      </s:c>
      <s:c r="D203" s="214" t="n">
        <s:v>3</s:v>
      </s:c>
      <s:c r="E203" s="215" t="n">
        <s:v>13</s:v>
      </s:c>
      <s:c r="F203" s="216" t="inlineStr">
        <s:is>
          <s:t>VI-236678-2025</s:t>
        </s:is>
      </s:c>
      <s:c r="G203" s="217" t="inlineStr">
        <s:is>
          <s:t>QA25418698</s:t>
        </s:is>
      </s:c>
      <s:c r="H203" s="218" t="n">
        <s:v>16</s:v>
      </s:c>
      <s:c r="I203" s="219" t="n">
        <s:v>0</s:v>
      </s:c>
      <s:c r="J203" s="220" t="n">
        <s:v>19.6</s:v>
      </s:c>
      <s:c r="K203" s="221" t="n">
        <s:v>7.512</s:v>
      </s:c>
      <s:c r="L203" s="221" t="n">
        <s:v>1.261</s:v>
      </s:c>
      <s:c r="M203" s="222" t="n">
        <s:v>308.37</s:v>
      </s:c>
      <s:c r="N203" s="222" t="n">
        <s:v>408.45</s:v>
      </s:c>
      <s:c r="O203" s="222" t="n">
        <s:v>100.49</s:v>
      </s:c>
      <s:c r="P203" s="223" t="inlineStr">
        <s:is>
          <s:t>2,31,100</s:t>
        </s:is>
      </s:c>
      <s:c r="Q203" s="224" t="inlineStr">
        <s:is>
          <s:t>2</s:t>
        </s:is>
      </s:c>
      <s:c r="R203" s="224" t="inlineStr">
        <s:is>
          <s:t>31,100</s:t>
        </s:is>
      </s:c>
      <s:c r="S203" s="224" t="n">
        <s:v>0.04197222222222222</s:v>
      </s:c>
      <s:c r="T203" s="225" t="n">
        <s:v>2394.202514890801</s:v>
      </s:c>
      <s:c r="U203" s="226" t="n">
        <s:v>-0.4080007960991251</s:v>
      </s:c>
      <s:c r="V203" s="220" t="n">
        <s:v>19.4</s:v>
      </s:c>
      <s:c r="W203" s="221" t="n">
        <s:v>1.091</s:v>
      </s:c>
      <s:c r="X203" s="221" t="n">
        <s:v>1.08</s:v>
      </s:c>
      <s:c r="Y203" s="222" t="n">
        <s:v>425</s:v>
      </s:c>
      <s:c r="Z203" s="222" t="n">
        <s:v>430.01</s:v>
      </s:c>
      <s:c r="AA203" s="227" t="n">
        <s:v>5.031</s:v>
      </s:c>
      <s:c r="AB203" s="228" t="inlineStr">
        <s:is>
          <s:t>11,25,820</s:t>
        </s:is>
      </s:c>
      <s:c r="AC203" s="224" t="inlineStr">
        <s:is>
          <s:t>11</s:t>
        </s:is>
      </s:c>
      <s:c r="AD203" s="224" t="inlineStr">
        <s:is>
          <s:t>25,820</s:t>
        </s:is>
      </s:c>
      <s:c r="AE203" s="224" t="n">
        <s:v>0.1905055555555556</s:v>
      </s:c>
      <s:c r="AF203" s="225" t="n">
        <s:v>26.4086786620396</s:v>
      </s:c>
      <s:c r="AG203" s="229" t="n">
        <s:v>-0.4174120453191968</s:v>
      </s:c>
      <s:c r="AH203" s="220" t="n">
        <s:v>19.4</s:v>
      </s:c>
      <s:c r="AI203" s="221" t="n">
        <s:v>1.095</s:v>
      </s:c>
      <s:c r="AJ203" s="221" t="n">
        <s:v>1.084</s:v>
      </s:c>
      <s:c r="AK203" s="222" t="n">
        <s:v>430.01</s:v>
      </s:c>
      <s:c r="AL203" s="222" t="n">
        <s:v>431.95</s:v>
      </s:c>
      <s:c r="AM203" s="230" t="n">
        <s:v>2.005</s:v>
      </s:c>
      <s:c r="AN203" s="223" t="inlineStr">
        <s:is>
          <s:t>7,19,980</s:t>
        </s:is>
      </s:c>
      <s:c r="AO203" s="224" t="inlineStr">
        <s:is>
          <s:t>7,</s:t>
        </s:is>
      </s:c>
      <s:c r="AP203" s="224" t="inlineStr">
        <s:is>
          <s:t>19,980</s:t>
        </s:is>
      </s:c>
      <s:c r="AQ203" s="224" t="n">
        <s:v>0.1222166666666667</s:v>
      </s:c>
      <s:c r="AR203" s="225" t="n">
        <s:v>16.40529114959771</s:v>
      </s:c>
      <s:c r="AS203" s="229" t="n">
        <s:v>-3.241895261845495</s:v>
      </s:c>
      <s:c r="AT203" s="231" t="inlineStr">
        <s:is>
          <s:t>CONFORME</s:t>
        </s:is>
      </s:c>
      <s:c r="AU203" s="232">
        <s:f>B203=C203</s:f>
        <s:v/>
      </s:c>
      <s:c r="AV203" s="233">
        <s:f>MID(G203,1,2)</s:f>
        <s:v/>
      </s:c>
      <s:c r="AW203" s="233">
        <s:f>LEN(G203)</s:f>
        <s:v/>
      </s:c>
      <s:c r="AX203" s="233" t="inlineStr">
        <s:is>
          <s:t>OI-0923-2025</s:t>
        </s:is>
      </s:c>
      <s:c r="AY203" s="233">
        <s:f>N203&lt;Y203</s:f>
        <s:v/>
      </s:c>
      <s:c r="AZ203" s="233">
        <s:f>Z203&lt;=AK203</s:f>
        <s:v/>
      </s:c>
      <s:c r="BA203" s="233">
        <s:f>L203&lt;K203</s:f>
        <s:v/>
      </s:c>
      <s:c r="BB203" s="233">
        <s:f>W203&gt;=X203</s:f>
        <s:v/>
      </s:c>
      <s:c r="BC203" s="233">
        <s:f>AI203&gt;=AJ203</s:f>
        <s:v/>
      </s:c>
      <s:c r="BD203" s="233">
        <s:f>IF(I203&gt;=1,"Qcorrecto",IF(AND(BE203="aceptable",BF203="aceptable",BG203="aceptable"),"Qcorrecto","Qincorrecto"))</s:f>
        <s:v/>
      </s:c>
      <s:c r="BE203" s="232">
        <s:f>IF(AR203&lt;$AH$6,"error",IF(AR203&gt;$AH$6*1.1,"error","aceptable"))</s:f>
        <s:v/>
      </s:c>
      <s:c r="BF203" s="232">
        <s:f>IF(AF203&lt;$V$6,"error",IF(AF203&gt;$V$6*1.1,"error","aceptable"))</s:f>
        <s:v/>
      </s:c>
      <s:c r="BG203" s="232">
        <s:f>IF(T203&lt;$J$6*0.9,"error",IF(T203&gt;$J$6,"error","aceptable"))</s:f>
        <s:v/>
      </s:c>
      <s:c r="BH203" s="234">
        <s:f>(IF(ABS(U203)&lt;1,"CONFORME",IF(ABS(AG203)&lt;1,"CONFORME",IF(ABS(AS203)&lt;2.5,"CONFORME","NO CONFORME"))))</s:f>
        <s:v/>
      </s:c>
      <s:c r="BI203" s="235">
        <s:f>(IF(ABS(U203)&gt;2.044,"NO CONFORME",IF(ABS(AG203)&gt;2.044,"NO CONFORME",IF(ABS(AS203)&gt;5.044,"NO CONFORME","CONFORME"))))</s:f>
        <s:v/>
      </s:c>
      <s:c r="BJ203" s="233">
        <s:f>SIGN(U203)</s:f>
        <s:v/>
      </s:c>
      <s:c r="BK203" s="233">
        <s:f>SIGN(AG203)</s:f>
        <s:v/>
      </s:c>
      <s:c r="BL203" s="233">
        <s:f>SIGN(AS203)</s:f>
        <s:v/>
      </s:c>
      <s:c r="BM203" s="233">
        <s:f>CONCATENATE(BJ203,BK203,BL203)</s:f>
        <s:v/>
      </s:c>
      <s:c r="BN203" s="233">
        <s:f>IF(BM203="111","SI","SD")</s:f>
        <s:v/>
      </s:c>
      <s:c r="BO203" s="233">
        <s:f>IF(BM203="-1-1-1","SI","SD")</s:f>
        <s:v/>
      </s:c>
      <s:c r="BP203" s="233">
        <s:f>OR(BN203="SI",BO203="SI")</s:f>
        <s:v/>
      </s:c>
      <s:c r="BQ203" s="233">
        <s:f>IF(BP203=FALSE,"SIGDIFERENTES","SIGIGUALES")</s:f>
        <s:v/>
      </s:c>
      <s:c r="BR203" s="236">
        <s:f>IF(BI203="NO CONFORME","NO CONFORME",IF(BH203="CONFORME","CONFORME","NO CONFORME"))</s:f>
        <s:v/>
      </s:c>
      <s:c r="BS203" s="233">
        <s:f>F203</s:f>
        <s:v/>
      </s:c>
      <s:c r="BT203" s="237">
        <s:f>G203</s:f>
        <s:v/>
      </s:c>
      <s:c r="BU203" s="233">
        <s:f>"20"&amp;+MID(G203,3,2)</s:f>
        <s:v/>
      </s:c>
      <s:c r="BV203" s="238">
        <s:f>C203</s:f>
        <s:v/>
      </s:c>
      <s:c r="BW203" s="233">
        <s:f>AT203</s:f>
        <s:v/>
      </s:c>
      <s:c r="BX203" s="238">
        <s:f>B203</s:f>
        <s:v/>
      </s:c>
      <s:c r="BY203" s="239">
        <s:f>H203</s:f>
        <s:v/>
      </s:c>
      <s:c r="BZ203" s="233">
        <s:f>IF(I203=0,"CONFORME","NO CONFORME")</s:f>
        <s:v/>
      </s:c>
      <s:c r="CA203" s="238">
        <s:f>C203</s:f>
        <s:v/>
      </s:c>
      <s:c r="CB203" s="240">
        <s:f>AH203</s:f>
        <s:v/>
      </s:c>
      <s:c r="CC203" s="241">
        <s:f>AR203</s:f>
        <s:v/>
      </s:c>
      <s:c r="CD203" s="240">
        <s:f>AI203</s:f>
        <s:v/>
      </s:c>
      <s:c r="CE203" s="240">
        <s:f>AJ203</s:f>
        <s:v/>
      </s:c>
      <s:c r="CF203" s="240">
        <s:f>AS203</s:f>
        <s:v/>
      </s:c>
      <s:c r="CG203" s="240">
        <s:f>V203</s:f>
        <s:v/>
      </s:c>
      <s:c r="CH203" s="241">
        <s:f>AF203</s:f>
        <s:v/>
      </s:c>
      <s:c r="CI203" s="240">
        <s:f>W203</s:f>
        <s:v/>
      </s:c>
      <s:c r="CJ203" s="240">
        <s:f>X203</s:f>
        <s:v/>
      </s:c>
      <s:c r="CK203" s="240">
        <s:f>AG203</s:f>
        <s:v/>
      </s:c>
      <s:c r="CL203" s="240">
        <s:f>J203</s:f>
        <s:v/>
      </s:c>
      <s:c r="CM203" s="241">
        <s:f>T203</s:f>
        <s:v/>
      </s:c>
      <s:c r="CN203" s="240">
        <s:f>K203</s:f>
        <s:v/>
      </s:c>
      <s:c r="CO203" s="240">
        <s:f>L203</s:f>
        <s:v/>
      </s:c>
      <s:c r="CP203" s="242">
        <s:f>U203</s:f>
        <s:v/>
      </s:c>
      <s:c r="CQ203" s="233">
        <s:f>AT203</s:f>
        <s:v/>
      </s:c>
    </s:row>
    <s:row r="204">
      <s:c r="A204" s="211" t="n">
        <s:v>104</s:v>
      </s:c>
      <s:c r="B204" s="212" t="n">
        <s:v>45901</s:v>
      </s:c>
      <s:c r="C204" s="213" t="n">
        <s:v>45901</s:v>
      </s:c>
      <s:c r="D204" s="214" t="n">
        <s:v>3</s:v>
      </s:c>
      <s:c r="E204" s="215" t="n">
        <s:v>13</s:v>
      </s:c>
      <s:c r="F204" s="216" t="inlineStr">
        <s:is>
          <s:t>VI-236679-2025</s:t>
        </s:is>
      </s:c>
      <s:c r="G204" s="217" t="inlineStr">
        <s:is>
          <s:t>QA25418760</s:t>
        </s:is>
      </s:c>
      <s:c r="H204" s="218" t="n">
        <s:v>16</s:v>
      </s:c>
      <s:c r="I204" s="219" t="n">
        <s:v>0</s:v>
      </s:c>
      <s:c r="J204" s="220" t="n">
        <s:v>19.6</s:v>
      </s:c>
      <s:c r="K204" s="221" t="n">
        <s:v>7.512</s:v>
      </s:c>
      <s:c r="L204" s="221" t="n">
        <s:v>1.261</s:v>
      </s:c>
      <s:c r="M204" s="222" t="n">
        <s:v>485.84</s:v>
      </s:c>
      <s:c r="N204" s="222" t="n">
        <s:v>586.86</s:v>
      </s:c>
      <s:c r="O204" s="222" t="n">
        <s:v>100.49</s:v>
      </s:c>
      <s:c r="P204" s="223" t="inlineStr">
        <s:is>
          <s:t>2,31,100</s:t>
        </s:is>
      </s:c>
      <s:c r="Q204" s="224" t="inlineStr">
        <s:is>
          <s:t>2</s:t>
        </s:is>
      </s:c>
      <s:c r="R204" s="224" t="inlineStr">
        <s:is>
          <s:t>31,100</s:t>
        </s:is>
      </s:c>
      <s:c r="S204" s="224" t="n">
        <s:v>0.04197222222222222</s:v>
      </s:c>
      <s:c r="T204" s="225" t="n">
        <s:v>2394.202514890801</s:v>
      </s:c>
      <s:c r="U204" s="226" t="n">
        <s:v>0.5274156632501182</s:v>
      </s:c>
      <s:c r="V204" s="220" t="n">
        <s:v>19.4</s:v>
      </s:c>
      <s:c r="W204" s="221" t="n">
        <s:v>1.091</s:v>
      </s:c>
      <s:c r="X204" s="221" t="n">
        <s:v>1.08</s:v>
      </s:c>
      <s:c r="Y204" s="222" t="n">
        <s:v>603.61</s:v>
      </s:c>
      <s:c r="Z204" s="222" t="n">
        <s:v>608.63</s:v>
      </s:c>
      <s:c r="AA204" s="227" t="n">
        <s:v>5.031</s:v>
      </s:c>
      <s:c r="AB204" s="228" t="inlineStr">
        <s:is>
          <s:t>11,25,820</s:t>
        </s:is>
      </s:c>
      <s:c r="AC204" s="224" t="inlineStr">
        <s:is>
          <s:t>11</s:t>
        </s:is>
      </s:c>
      <s:c r="AD204" s="224" t="inlineStr">
        <s:is>
          <s:t>25,820</s:t>
        </s:is>
      </s:c>
      <s:c r="AE204" s="224" t="n">
        <s:v>0.1905055555555556</s:v>
      </s:c>
      <s:c r="AF204" s="225" t="n">
        <s:v>26.4086786620396</s:v>
      </s:c>
      <s:c r="AG204" s="229" t="n">
        <s:v>-0.2186444046912718</s:v>
      </s:c>
      <s:c r="AH204" s="220" t="n">
        <s:v>19.4</s:v>
      </s:c>
      <s:c r="AI204" s="221" t="n">
        <s:v>1.095</s:v>
      </s:c>
      <s:c r="AJ204" s="221" t="n">
        <s:v>1.084</s:v>
      </s:c>
      <s:c r="AK204" s="222" t="n">
        <s:v>608.63</s:v>
      </s:c>
      <s:c r="AL204" s="222" t="n">
        <s:v>610.6</s:v>
      </s:c>
      <s:c r="AM204" s="230" t="n">
        <s:v>2.005</s:v>
      </s:c>
      <s:c r="AN204" s="223" t="inlineStr">
        <s:is>
          <s:t>7,19,980</s:t>
        </s:is>
      </s:c>
      <s:c r="AO204" s="224" t="inlineStr">
        <s:is>
          <s:t>7,</s:t>
        </s:is>
      </s:c>
      <s:c r="AP204" s="224" t="inlineStr">
        <s:is>
          <s:t>19,980</s:t>
        </s:is>
      </s:c>
      <s:c r="AQ204" s="224" t="n">
        <s:v>0.1222166666666667</s:v>
      </s:c>
      <s:c r="AR204" s="225" t="n">
        <s:v>16.40529114959771</s:v>
      </s:c>
      <s:c r="AS204" s="229" t="n">
        <s:v>-1.745635910223073</s:v>
      </s:c>
      <s:c r="AT204" s="231" t="inlineStr">
        <s:is>
          <s:t>CONFORME</s:t>
        </s:is>
      </s:c>
      <s:c r="AU204" s="232">
        <s:f>B204=C204</s:f>
        <s:v/>
      </s:c>
      <s:c r="AV204" s="233">
        <s:f>MID(G204,1,2)</s:f>
        <s:v/>
      </s:c>
      <s:c r="AW204" s="233">
        <s:f>LEN(G204)</s:f>
        <s:v/>
      </s:c>
      <s:c r="AX204" s="233" t="inlineStr">
        <s:is>
          <s:t>OI-0923-2025</s:t>
        </s:is>
      </s:c>
      <s:c r="AY204" s="233">
        <s:f>N204&lt;Y204</s:f>
        <s:v/>
      </s:c>
      <s:c r="AZ204" s="233">
        <s:f>Z204&lt;=AK204</s:f>
        <s:v/>
      </s:c>
      <s:c r="BA204" s="233">
        <s:f>L204&lt;K204</s:f>
        <s:v/>
      </s:c>
      <s:c r="BB204" s="233">
        <s:f>W204&gt;=X204</s:f>
        <s:v/>
      </s:c>
      <s:c r="BC204" s="233">
        <s:f>AI204&gt;=AJ204</s:f>
        <s:v/>
      </s:c>
      <s:c r="BD204" s="233">
        <s:f>IF(I204&gt;=1,"Qcorrecto",IF(AND(BE204="aceptable",BF204="aceptable",BG204="aceptable"),"Qcorrecto","Qincorrecto"))</s:f>
        <s:v/>
      </s:c>
      <s:c r="BE204" s="232">
        <s:f>IF(AR204&lt;$AH$6,"error",IF(AR204&gt;$AH$6*1.1,"error","aceptable"))</s:f>
        <s:v/>
      </s:c>
      <s:c r="BF204" s="232">
        <s:f>IF(AF204&lt;$V$6,"error",IF(AF204&gt;$V$6*1.1,"error","aceptable"))</s:f>
        <s:v/>
      </s:c>
      <s:c r="BG204" s="232">
        <s:f>IF(T204&lt;$J$6*0.9,"error",IF(T204&gt;$J$6,"error","aceptable"))</s:f>
        <s:v/>
      </s:c>
      <s:c r="BH204" s="234">
        <s:f>(IF(ABS(U204)&lt;1,"CONFORME",IF(ABS(AG204)&lt;1,"CONFORME",IF(ABS(AS204)&lt;2.5,"CONFORME","NO CONFORME"))))</s:f>
        <s:v/>
      </s:c>
      <s:c r="BI204" s="235">
        <s:f>(IF(ABS(U204)&gt;2.044,"NO CONFORME",IF(ABS(AG204)&gt;2.044,"NO CONFORME",IF(ABS(AS204)&gt;5.044,"NO CONFORME","CONFORME"))))</s:f>
        <s:v/>
      </s:c>
      <s:c r="BJ204" s="233">
        <s:f>SIGN(U204)</s:f>
        <s:v/>
      </s:c>
      <s:c r="BK204" s="233">
        <s:f>SIGN(AG204)</s:f>
        <s:v/>
      </s:c>
      <s:c r="BL204" s="233">
        <s:f>SIGN(AS204)</s:f>
        <s:v/>
      </s:c>
      <s:c r="BM204" s="233">
        <s:f>CONCATENATE(BJ204,BK204,BL204)</s:f>
        <s:v/>
      </s:c>
      <s:c r="BN204" s="233">
        <s:f>IF(BM204="111","SI","SD")</s:f>
        <s:v/>
      </s:c>
      <s:c r="BO204" s="233">
        <s:f>IF(BM204="-1-1-1","SI","SD")</s:f>
        <s:v/>
      </s:c>
      <s:c r="BP204" s="233">
        <s:f>OR(BN204="SI",BO204="SI")</s:f>
        <s:v/>
      </s:c>
      <s:c r="BQ204" s="233">
        <s:f>IF(BP204=FALSE,"SIGDIFERENTES","SIGIGUALES")</s:f>
        <s:v/>
      </s:c>
      <s:c r="BR204" s="236">
        <s:f>IF(BI204="NO CONFORME","NO CONFORME",IF(BH204="CONFORME","CONFORME","NO CONFORME"))</s:f>
        <s:v/>
      </s:c>
      <s:c r="BS204" s="233">
        <s:f>F204</s:f>
        <s:v/>
      </s:c>
      <s:c r="BT204" s="237">
        <s:f>G204</s:f>
        <s:v/>
      </s:c>
      <s:c r="BU204" s="233">
        <s:f>"20"&amp;+MID(G204,3,2)</s:f>
        <s:v/>
      </s:c>
      <s:c r="BV204" s="238">
        <s:f>C204</s:f>
        <s:v/>
      </s:c>
      <s:c r="BW204" s="233">
        <s:f>AT204</s:f>
        <s:v/>
      </s:c>
      <s:c r="BX204" s="238">
        <s:f>B204</s:f>
        <s:v/>
      </s:c>
      <s:c r="BY204" s="239">
        <s:f>H204</s:f>
        <s:v/>
      </s:c>
      <s:c r="BZ204" s="233">
        <s:f>IF(I204=0,"CONFORME","NO CONFORME")</s:f>
        <s:v/>
      </s:c>
      <s:c r="CA204" s="238">
        <s:f>C204</s:f>
        <s:v/>
      </s:c>
      <s:c r="CB204" s="240">
        <s:f>AH204</s:f>
        <s:v/>
      </s:c>
      <s:c r="CC204" s="241">
        <s:f>AR204</s:f>
        <s:v/>
      </s:c>
      <s:c r="CD204" s="240">
        <s:f>AI204</s:f>
        <s:v/>
      </s:c>
      <s:c r="CE204" s="240">
        <s:f>AJ204</s:f>
        <s:v/>
      </s:c>
      <s:c r="CF204" s="240">
        <s:f>AS204</s:f>
        <s:v/>
      </s:c>
      <s:c r="CG204" s="240">
        <s:f>V204</s:f>
        <s:v/>
      </s:c>
      <s:c r="CH204" s="241">
        <s:f>AF204</s:f>
        <s:v/>
      </s:c>
      <s:c r="CI204" s="240">
        <s:f>W204</s:f>
        <s:v/>
      </s:c>
      <s:c r="CJ204" s="240">
        <s:f>X204</s:f>
        <s:v/>
      </s:c>
      <s:c r="CK204" s="240">
        <s:f>AG204</s:f>
        <s:v/>
      </s:c>
      <s:c r="CL204" s="240">
        <s:f>J204</s:f>
        <s:v/>
      </s:c>
      <s:c r="CM204" s="241">
        <s:f>T204</s:f>
        <s:v/>
      </s:c>
      <s:c r="CN204" s="240">
        <s:f>K204</s:f>
        <s:v/>
      </s:c>
      <s:c r="CO204" s="240">
        <s:f>L204</s:f>
        <s:v/>
      </s:c>
      <s:c r="CP204" s="242">
        <s:f>U204</s:f>
        <s:v/>
      </s:c>
      <s:c r="CQ204" s="233">
        <s:f>AT204</s:f>
        <s:v/>
      </s:c>
    </s:row>
    <s:row r="205">
      <s:c r="A205" s="211" t="n">
        <s:v>105</s:v>
      </s:c>
      <s:c r="B205" s="212" t="n">
        <s:v>45901</s:v>
      </s:c>
      <s:c r="C205" s="213" t="n">
        <s:v>45901</s:v>
      </s:c>
      <s:c r="D205" s="214" t="n">
        <s:v>3</s:v>
      </s:c>
      <s:c r="E205" s="215" t="n">
        <s:v>13</s:v>
      </s:c>
      <s:c r="F205" s="216" t="inlineStr">
        <s:is>
          <s:t>VI-236680-2025</s:t>
        </s:is>
      </s:c>
      <s:c r="G205" s="217" t="inlineStr">
        <s:is>
          <s:t>QA25418617</s:t>
        </s:is>
      </s:c>
      <s:c r="H205" s="218" t="n">
        <s:v>16</s:v>
      </s:c>
      <s:c r="I205" s="219" t="n">
        <s:v>0</s:v>
      </s:c>
      <s:c r="J205" s="220" t="n">
        <s:v>19.6</s:v>
      </s:c>
      <s:c r="K205" s="221" t="n">
        <s:v>7.512</s:v>
      </s:c>
      <s:c r="L205" s="221" t="n">
        <s:v>1.261</s:v>
      </s:c>
      <s:c r="M205" s="222" t="n">
        <s:v>365.77</s:v>
      </s:c>
      <s:c r="N205" s="222" t="n">
        <s:v>464.54</s:v>
      </s:c>
      <s:c r="O205" s="222" t="n">
        <s:v>100.49</s:v>
      </s:c>
      <s:c r="P205" s="223" t="inlineStr">
        <s:is>
          <s:t>2,31,100</s:t>
        </s:is>
      </s:c>
      <s:c r="Q205" s="224" t="inlineStr">
        <s:is>
          <s:t>2</s:t>
        </s:is>
      </s:c>
      <s:c r="R205" s="224" t="inlineStr">
        <s:is>
          <s:t>31,100</s:t>
        </s:is>
      </s:c>
      <s:c r="S205" s="224" t="n">
        <s:v>0.04197222222222222</s:v>
      </s:c>
      <s:c r="T205" s="225" t="n">
        <s:v>2394.202514890801</s:v>
      </s:c>
      <s:c r="U205" s="226" t="n">
        <s:v>-1.711613095830387</s:v>
      </s:c>
      <s:c r="V205" s="220" t="n">
        <s:v>19.4</s:v>
      </s:c>
      <s:c r="W205" s="221" t="n">
        <s:v>1.091</s:v>
      </s:c>
      <s:c r="X205" s="221" t="n">
        <s:v>1.08</s:v>
      </s:c>
      <s:c r="Y205" s="222" t="n">
        <s:v>480.95</s:v>
      </s:c>
      <s:c r="Z205" s="222" t="n">
        <s:v>486</s:v>
      </s:c>
      <s:c r="AA205" s="227" t="n">
        <s:v>5.031</s:v>
      </s:c>
      <s:c r="AB205" s="228" t="inlineStr">
        <s:is>
          <s:t>11,25,820</s:t>
        </s:is>
      </s:c>
      <s:c r="AC205" s="224" t="inlineStr">
        <s:is>
          <s:t>11</s:t>
        </s:is>
      </s:c>
      <s:c r="AD205" s="224" t="inlineStr">
        <s:is>
          <s:t>25,820</s:t>
        </s:is>
      </s:c>
      <s:c r="AE205" s="224" t="n">
        <s:v>0.1905055555555556</s:v>
      </s:c>
      <s:c r="AF205" s="225" t="n">
        <s:v>26.4086786620396</s:v>
      </s:c>
      <s:c r="AG205" s="229" t="n">
        <s:v>0.377658517193633</s:v>
      </s:c>
      <s:c r="AH205" s="220" t="n">
        <s:v>19.4</s:v>
      </s:c>
      <s:c r="AI205" s="221" t="n">
        <s:v>1.095</s:v>
      </s:c>
      <s:c r="AJ205" s="221" t="n">
        <s:v>1.084</s:v>
      </s:c>
      <s:c r="AK205" s="222" t="n">
        <s:v>486</s:v>
      </s:c>
      <s:c r="AL205" s="222" t="n">
        <s:v>488</s:v>
      </s:c>
      <s:c r="AM205" s="230" t="n">
        <s:v>2.005</s:v>
      </s:c>
      <s:c r="AN205" s="223" t="inlineStr">
        <s:is>
          <s:t>7,19,980</s:t>
        </s:is>
      </s:c>
      <s:c r="AO205" s="224" t="inlineStr">
        <s:is>
          <s:t>7,</s:t>
        </s:is>
      </s:c>
      <s:c r="AP205" s="224" t="inlineStr">
        <s:is>
          <s:t>19,980</s:t>
        </s:is>
      </s:c>
      <s:c r="AQ205" s="224" t="n">
        <s:v>0.1222166666666667</s:v>
      </s:c>
      <s:c r="AR205" s="225" t="n">
        <s:v>16.40529114959771</s:v>
      </s:c>
      <s:c r="AS205" s="229" t="n">
        <s:v>-0.249376558603486</s:v>
      </s:c>
      <s:c r="AT205" s="231" t="inlineStr">
        <s:is>
          <s:t>CONFORME</s:t>
        </s:is>
      </s:c>
      <s:c r="AU205" s="232">
        <s:f>B205=C205</s:f>
        <s:v/>
      </s:c>
      <s:c r="AV205" s="233">
        <s:f>MID(G205,1,2)</s:f>
        <s:v/>
      </s:c>
      <s:c r="AW205" s="233">
        <s:f>LEN(G205)</s:f>
        <s:v/>
      </s:c>
      <s:c r="AX205" s="233" t="inlineStr">
        <s:is>
          <s:t>OI-0923-2025</s:t>
        </s:is>
      </s:c>
      <s:c r="AY205" s="233">
        <s:f>N205&lt;Y205</s:f>
        <s:v/>
      </s:c>
      <s:c r="AZ205" s="233">
        <s:f>Z205&lt;=AK205</s:f>
        <s:v/>
      </s:c>
      <s:c r="BA205" s="233">
        <s:f>L205&lt;K205</s:f>
        <s:v/>
      </s:c>
      <s:c r="BB205" s="233">
        <s:f>W205&gt;=X205</s:f>
        <s:v/>
      </s:c>
      <s:c r="BC205" s="233">
        <s:f>AI205&gt;=AJ205</s:f>
        <s:v/>
      </s:c>
      <s:c r="BD205" s="233">
        <s:f>IF(I205&gt;=1,"Qcorrecto",IF(AND(BE205="aceptable",BF205="aceptable",BG205="aceptable"),"Qcorrecto","Qincorrecto"))</s:f>
        <s:v/>
      </s:c>
      <s:c r="BE205" s="232">
        <s:f>IF(AR205&lt;$AH$6,"error",IF(AR205&gt;$AH$6*1.1,"error","aceptable"))</s:f>
        <s:v/>
      </s:c>
      <s:c r="BF205" s="232">
        <s:f>IF(AF205&lt;$V$6,"error",IF(AF205&gt;$V$6*1.1,"error","aceptable"))</s:f>
        <s:v/>
      </s:c>
      <s:c r="BG205" s="232">
        <s:f>IF(T205&lt;$J$6*0.9,"error",IF(T205&gt;$J$6,"error","aceptable"))</s:f>
        <s:v/>
      </s:c>
      <s:c r="BH205" s="234">
        <s:f>(IF(ABS(U205)&lt;1,"CONFORME",IF(ABS(AG205)&lt;1,"CONFORME",IF(ABS(AS205)&lt;2.5,"CONFORME","NO CONFORME"))))</s:f>
        <s:v/>
      </s:c>
      <s:c r="BI205" s="235">
        <s:f>(IF(ABS(U205)&gt;2.044,"NO CONFORME",IF(ABS(AG205)&gt;2.044,"NO CONFORME",IF(ABS(AS205)&gt;5.044,"NO CONFORME","CONFORME"))))</s:f>
        <s:v/>
      </s:c>
      <s:c r="BJ205" s="233">
        <s:f>SIGN(U205)</s:f>
        <s:v/>
      </s:c>
      <s:c r="BK205" s="233">
        <s:f>SIGN(AG205)</s:f>
        <s:v/>
      </s:c>
      <s:c r="BL205" s="233">
        <s:f>SIGN(AS205)</s:f>
        <s:v/>
      </s:c>
      <s:c r="BM205" s="233">
        <s:f>CONCATENATE(BJ205,BK205,BL205)</s:f>
        <s:v/>
      </s:c>
      <s:c r="BN205" s="233">
        <s:f>IF(BM205="111","SI","SD")</s:f>
        <s:v/>
      </s:c>
      <s:c r="BO205" s="233">
        <s:f>IF(BM205="-1-1-1","SI","SD")</s:f>
        <s:v/>
      </s:c>
      <s:c r="BP205" s="233">
        <s:f>OR(BN205="SI",BO205="SI")</s:f>
        <s:v/>
      </s:c>
      <s:c r="BQ205" s="233">
        <s:f>IF(BP205=FALSE,"SIGDIFERENTES","SIGIGUALES")</s:f>
        <s:v/>
      </s:c>
      <s:c r="BR205" s="236">
        <s:f>IF(BI205="NO CONFORME","NO CONFORME",IF(BH205="CONFORME","CONFORME","NO CONFORME"))</s:f>
        <s:v/>
      </s:c>
      <s:c r="BS205" s="233">
        <s:f>F205</s:f>
        <s:v/>
      </s:c>
      <s:c r="BT205" s="237">
        <s:f>G205</s:f>
        <s:v/>
      </s:c>
      <s:c r="BU205" s="233">
        <s:f>"20"&amp;+MID(G205,3,2)</s:f>
        <s:v/>
      </s:c>
      <s:c r="BV205" s="238">
        <s:f>C205</s:f>
        <s:v/>
      </s:c>
      <s:c r="BW205" s="233">
        <s:f>AT205</s:f>
        <s:v/>
      </s:c>
      <s:c r="BX205" s="238">
        <s:f>B205</s:f>
        <s:v/>
      </s:c>
      <s:c r="BY205" s="239">
        <s:f>H205</s:f>
        <s:v/>
      </s:c>
      <s:c r="BZ205" s="233">
        <s:f>IF(I205=0,"CONFORME","NO CONFORME")</s:f>
        <s:v/>
      </s:c>
      <s:c r="CA205" s="238">
        <s:f>C205</s:f>
        <s:v/>
      </s:c>
      <s:c r="CB205" s="240">
        <s:f>AH205</s:f>
        <s:v/>
      </s:c>
      <s:c r="CC205" s="241">
        <s:f>AR205</s:f>
        <s:v/>
      </s:c>
      <s:c r="CD205" s="240">
        <s:f>AI205</s:f>
        <s:v/>
      </s:c>
      <s:c r="CE205" s="240">
        <s:f>AJ205</s:f>
        <s:v/>
      </s:c>
      <s:c r="CF205" s="240">
        <s:f>AS205</s:f>
        <s:v/>
      </s:c>
      <s:c r="CG205" s="240">
        <s:f>V205</s:f>
        <s:v/>
      </s:c>
      <s:c r="CH205" s="241">
        <s:f>AF205</s:f>
        <s:v/>
      </s:c>
      <s:c r="CI205" s="240">
        <s:f>W205</s:f>
        <s:v/>
      </s:c>
      <s:c r="CJ205" s="240">
        <s:f>X205</s:f>
        <s:v/>
      </s:c>
      <s:c r="CK205" s="240">
        <s:f>AG205</s:f>
        <s:v/>
      </s:c>
      <s:c r="CL205" s="240">
        <s:f>J205</s:f>
        <s:v/>
      </s:c>
      <s:c r="CM205" s="241">
        <s:f>T205</s:f>
        <s:v/>
      </s:c>
      <s:c r="CN205" s="240">
        <s:f>K205</s:f>
        <s:v/>
      </s:c>
      <s:c r="CO205" s="240">
        <s:f>L205</s:f>
        <s:v/>
      </s:c>
      <s:c r="CP205" s="242">
        <s:f>U205</s:f>
        <s:v/>
      </s:c>
      <s:c r="CQ205" s="233">
        <s:f>AT205</s:f>
        <s:v/>
      </s:c>
    </s:row>
    <s:row r="206">
      <s:c r="A206" s="211" t="n">
        <s:v>106</s:v>
      </s:c>
      <s:c r="B206" s="212" t="n">
        <s:v>45901</s:v>
      </s:c>
      <s:c r="C206" s="213" t="n">
        <s:v>45901</s:v>
      </s:c>
      <s:c r="D206" s="214" t="n">
        <s:v>3</s:v>
      </s:c>
      <s:c r="E206" s="215" t="n">
        <s:v>13</s:v>
      </s:c>
      <s:c r="F206" s="216" t="inlineStr">
        <s:is>
          <s:t>VI-236681-2025</s:t>
        </s:is>
      </s:c>
      <s:c r="G206" s="217" t="inlineStr">
        <s:is>
          <s:t>QA25418714</s:t>
        </s:is>
      </s:c>
      <s:c r="H206" s="218" t="n">
        <s:v>16</s:v>
      </s:c>
      <s:c r="I206" s="219" t="n">
        <s:v>0</s:v>
      </s:c>
      <s:c r="J206" s="220" t="n">
        <s:v>19.6</s:v>
      </s:c>
      <s:c r="K206" s="221" t="n">
        <s:v>7.512</s:v>
      </s:c>
      <s:c r="L206" s="221" t="n">
        <s:v>1.261</s:v>
      </s:c>
      <s:c r="M206" s="222" t="n">
        <s:v>320.53</s:v>
      </s:c>
      <s:c r="N206" s="222" t="n">
        <s:v>419.66</s:v>
      </s:c>
      <s:c r="O206" s="222" t="n">
        <s:v>100.49</s:v>
      </s:c>
      <s:c r="P206" s="223" t="inlineStr">
        <s:is>
          <s:t>2,31,100</s:t>
        </s:is>
      </s:c>
      <s:c r="Q206" s="224" t="inlineStr">
        <s:is>
          <s:t>2</s:t>
        </s:is>
      </s:c>
      <s:c r="R206" s="224" t="inlineStr">
        <s:is>
          <s:t>31,100</s:t>
        </s:is>
      </s:c>
      <s:c r="S206" s="224" t="n">
        <s:v>0.04197222222222222</s:v>
      </s:c>
      <s:c r="T206" s="225" t="n">
        <s:v>2394.202514890801</s:v>
      </s:c>
      <s:c r="U206" s="226" t="n">
        <s:v>-1.353368494377493</s:v>
      </s:c>
      <s:c r="V206" s="220" t="n">
        <s:v>19.4</s:v>
      </s:c>
      <s:c r="W206" s="221" t="n">
        <s:v>1.091</s:v>
      </s:c>
      <s:c r="X206" s="221" t="n">
        <s:v>1.08</s:v>
      </s:c>
      <s:c r="Y206" s="222" t="n">
        <s:v>436.1</s:v>
      </s:c>
      <s:c r="Z206" s="222" t="n">
        <s:v>441.13</s:v>
      </s:c>
      <s:c r="AA206" s="227" t="n">
        <s:v>5.031</s:v>
      </s:c>
      <s:c r="AB206" s="228" t="inlineStr">
        <s:is>
          <s:t>11,25,820</s:t>
        </s:is>
      </s:c>
      <s:c r="AC206" s="224" t="inlineStr">
        <s:is>
          <s:t>11</s:t>
        </s:is>
      </s:c>
      <s:c r="AD206" s="224" t="inlineStr">
        <s:is>
          <s:t>25,820</s:t>
        </s:is>
      </s:c>
      <s:c r="AE206" s="224" t="n">
        <s:v>0.1905055555555556</s:v>
      </s:c>
      <s:c r="AF206" s="225" t="n">
        <s:v>26.4086786620396</s:v>
      </s:c>
      <s:c r="AG206" s="229" t="n">
        <s:v>-0.01987676406334684</s:v>
      </s:c>
      <s:c r="AH206" s="220" t="n">
        <s:v>19.4</s:v>
      </s:c>
      <s:c r="AI206" s="221" t="n">
        <s:v>1.095</s:v>
      </s:c>
      <s:c r="AJ206" s="221" t="n">
        <s:v>1.084</s:v>
      </s:c>
      <s:c r="AK206" s="222" t="n">
        <s:v>441.13</s:v>
      </s:c>
      <s:c r="AL206" s="222" t="n">
        <s:v>443.07</s:v>
      </s:c>
      <s:c r="AM206" s="230" t="n">
        <s:v>2.005</s:v>
      </s:c>
      <s:c r="AN206" s="223" t="inlineStr">
        <s:is>
          <s:t>7,19,980</s:t>
        </s:is>
      </s:c>
      <s:c r="AO206" s="224" t="inlineStr">
        <s:is>
          <s:t>7,</s:t>
        </s:is>
      </s:c>
      <s:c r="AP206" s="224" t="inlineStr">
        <s:is>
          <s:t>19,980</s:t>
        </s:is>
      </s:c>
      <s:c r="AQ206" s="224" t="n">
        <s:v>0.1222166666666667</s:v>
      </s:c>
      <s:c r="AR206" s="225" t="n">
        <s:v>16.40529114959771</s:v>
      </s:c>
      <s:c r="AS206" s="229" t="n">
        <s:v>-3.241895261845495</s:v>
      </s:c>
      <s:c r="AT206" s="231" t="inlineStr">
        <s:is>
          <s:t>CONFORME</s:t>
        </s:is>
      </s:c>
      <s:c r="AU206" s="232">
        <s:f>B206=C206</s:f>
        <s:v/>
      </s:c>
      <s:c r="AV206" s="233">
        <s:f>MID(G206,1,2)</s:f>
        <s:v/>
      </s:c>
      <s:c r="AW206" s="233">
        <s:f>LEN(G206)</s:f>
        <s:v/>
      </s:c>
      <s:c r="AX206" s="233" t="inlineStr">
        <s:is>
          <s:t>OI-0923-2025</s:t>
        </s:is>
      </s:c>
      <s:c r="AY206" s="233">
        <s:f>N206&lt;Y206</s:f>
        <s:v/>
      </s:c>
      <s:c r="AZ206" s="233">
        <s:f>Z206&lt;=AK206</s:f>
        <s:v/>
      </s:c>
      <s:c r="BA206" s="233">
        <s:f>L206&lt;K206</s:f>
        <s:v/>
      </s:c>
      <s:c r="BB206" s="233">
        <s:f>W206&gt;=X206</s:f>
        <s:v/>
      </s:c>
      <s:c r="BC206" s="233">
        <s:f>AI206&gt;=AJ206</s:f>
        <s:v/>
      </s:c>
      <s:c r="BD206" s="233">
        <s:f>IF(I206&gt;=1,"Qcorrecto",IF(AND(BE206="aceptable",BF206="aceptable",BG206="aceptable"),"Qcorrecto","Qincorrecto"))</s:f>
        <s:v/>
      </s:c>
      <s:c r="BE206" s="232">
        <s:f>IF(AR206&lt;$AH$6,"error",IF(AR206&gt;$AH$6*1.1,"error","aceptable"))</s:f>
        <s:v/>
      </s:c>
      <s:c r="BF206" s="232">
        <s:f>IF(AF206&lt;$V$6,"error",IF(AF206&gt;$V$6*1.1,"error","aceptable"))</s:f>
        <s:v/>
      </s:c>
      <s:c r="BG206" s="232">
        <s:f>IF(T206&lt;$J$6*0.9,"error",IF(T206&gt;$J$6,"error","aceptable"))</s:f>
        <s:v/>
      </s:c>
      <s:c r="BH206" s="234">
        <s:f>(IF(ABS(U206)&lt;1,"CONFORME",IF(ABS(AG206)&lt;1,"CONFORME",IF(ABS(AS206)&lt;2.5,"CONFORME","NO CONFORME"))))</s:f>
        <s:v/>
      </s:c>
      <s:c r="BI206" s="235">
        <s:f>(IF(ABS(U206)&gt;2.044,"NO CONFORME",IF(ABS(AG206)&gt;2.044,"NO CONFORME",IF(ABS(AS206)&gt;5.044,"NO CONFORME","CONFORME"))))</s:f>
        <s:v/>
      </s:c>
      <s:c r="BJ206" s="233">
        <s:f>SIGN(U206)</s:f>
        <s:v/>
      </s:c>
      <s:c r="BK206" s="233">
        <s:f>SIGN(AG206)</s:f>
        <s:v/>
      </s:c>
      <s:c r="BL206" s="233">
        <s:f>SIGN(AS206)</s:f>
        <s:v/>
      </s:c>
      <s:c r="BM206" s="233">
        <s:f>CONCATENATE(BJ206,BK206,BL206)</s:f>
        <s:v/>
      </s:c>
      <s:c r="BN206" s="233">
        <s:f>IF(BM206="111","SI","SD")</s:f>
        <s:v/>
      </s:c>
      <s:c r="BO206" s="233">
        <s:f>IF(BM206="-1-1-1","SI","SD")</s:f>
        <s:v/>
      </s:c>
      <s:c r="BP206" s="233">
        <s:f>OR(BN206="SI",BO206="SI")</s:f>
        <s:v/>
      </s:c>
      <s:c r="BQ206" s="233">
        <s:f>IF(BP206=FALSE,"SIGDIFERENTES","SIGIGUALES")</s:f>
        <s:v/>
      </s:c>
      <s:c r="BR206" s="236">
        <s:f>IF(BI206="NO CONFORME","NO CONFORME",IF(BH206="CONFORME","CONFORME","NO CONFORME"))</s:f>
        <s:v/>
      </s:c>
      <s:c r="BS206" s="233">
        <s:f>F206</s:f>
        <s:v/>
      </s:c>
      <s:c r="BT206" s="237">
        <s:f>G206</s:f>
        <s:v/>
      </s:c>
      <s:c r="BU206" s="233">
        <s:f>"20"&amp;+MID(G206,3,2)</s:f>
        <s:v/>
      </s:c>
      <s:c r="BV206" s="238">
        <s:f>C206</s:f>
        <s:v/>
      </s:c>
      <s:c r="BW206" s="233">
        <s:f>AT206</s:f>
        <s:v/>
      </s:c>
      <s:c r="BX206" s="238">
        <s:f>B206</s:f>
        <s:v/>
      </s:c>
      <s:c r="BY206" s="239">
        <s:f>H206</s:f>
        <s:v/>
      </s:c>
      <s:c r="BZ206" s="233">
        <s:f>IF(I206=0,"CONFORME","NO CONFORME")</s:f>
        <s:v/>
      </s:c>
      <s:c r="CA206" s="238">
        <s:f>C206</s:f>
        <s:v/>
      </s:c>
      <s:c r="CB206" s="240">
        <s:f>AH206</s:f>
        <s:v/>
      </s:c>
      <s:c r="CC206" s="241">
        <s:f>AR206</s:f>
        <s:v/>
      </s:c>
      <s:c r="CD206" s="240">
        <s:f>AI206</s:f>
        <s:v/>
      </s:c>
      <s:c r="CE206" s="240">
        <s:f>AJ206</s:f>
        <s:v/>
      </s:c>
      <s:c r="CF206" s="240">
        <s:f>AS206</s:f>
        <s:v/>
      </s:c>
      <s:c r="CG206" s="240">
        <s:f>V206</s:f>
        <s:v/>
      </s:c>
      <s:c r="CH206" s="241">
        <s:f>AF206</s:f>
        <s:v/>
      </s:c>
      <s:c r="CI206" s="240">
        <s:f>W206</s:f>
        <s:v/>
      </s:c>
      <s:c r="CJ206" s="240">
        <s:f>X206</s:f>
        <s:v/>
      </s:c>
      <s:c r="CK206" s="240">
        <s:f>AG206</s:f>
        <s:v/>
      </s:c>
      <s:c r="CL206" s="240">
        <s:f>J206</s:f>
        <s:v/>
      </s:c>
      <s:c r="CM206" s="241">
        <s:f>T206</s:f>
        <s:v/>
      </s:c>
      <s:c r="CN206" s="240">
        <s:f>K206</s:f>
        <s:v/>
      </s:c>
      <s:c r="CO206" s="240">
        <s:f>L206</s:f>
        <s:v/>
      </s:c>
      <s:c r="CP206" s="242">
        <s:f>U206</s:f>
        <s:v/>
      </s:c>
      <s:c r="CQ206" s="233">
        <s:f>AT206</s:f>
        <s:v/>
      </s:c>
    </s:row>
    <s:row r="207">
      <s:c r="A207" s="211" t="n">
        <s:v>107</s:v>
      </s:c>
      <s:c r="B207" s="212" t="n">
        <s:v>45901</s:v>
      </s:c>
      <s:c r="C207" s="213" t="n">
        <s:v>45901</s:v>
      </s:c>
      <s:c r="D207" s="214" t="n">
        <s:v>3</s:v>
      </s:c>
      <s:c r="E207" s="215" t="n">
        <s:v>13</s:v>
      </s:c>
      <s:c r="F207" s="216" t="inlineStr">
        <s:is>
          <s:t>VI-236682-2025</s:t>
        </s:is>
      </s:c>
      <s:c r="G207" s="217" t="inlineStr">
        <s:is>
          <s:t>QA25418816</s:t>
        </s:is>
      </s:c>
      <s:c r="H207" s="218" t="n">
        <s:v>16</s:v>
      </s:c>
      <s:c r="I207" s="219" t="n">
        <s:v>0</s:v>
      </s:c>
      <s:c r="J207" s="220" t="n">
        <s:v>19.6</s:v>
      </s:c>
      <s:c r="K207" s="221" t="n">
        <s:v>7.512</s:v>
      </s:c>
      <s:c r="L207" s="221" t="n">
        <s:v>1.261</s:v>
      </s:c>
      <s:c r="M207" s="222" t="n">
        <s:v>333.66</s:v>
      </s:c>
      <s:c r="N207" s="222" t="n">
        <s:v>434.58</s:v>
      </s:c>
      <s:c r="O207" s="222" t="n">
        <s:v>100.49</s:v>
      </s:c>
      <s:c r="P207" s="223" t="inlineStr">
        <s:is>
          <s:t>2,31,100</s:t>
        </s:is>
      </s:c>
      <s:c r="Q207" s="224" t="inlineStr">
        <s:is>
          <s:t>2</s:t>
        </s:is>
      </s:c>
      <s:c r="R207" s="224" t="inlineStr">
        <s:is>
          <s:t>31,100</s:t>
        </s:is>
      </s:c>
      <s:c r="S207" s="224" t="n">
        <s:v>0.04197222222222222</s:v>
      </s:c>
      <s:c r="T207" s="225" t="n">
        <s:v>2394.202514890801</s:v>
      </s:c>
      <s:c r="U207" s="226" t="n">
        <s:v>0.4279032739575721</s:v>
      </s:c>
      <s:c r="V207" s="220" t="n">
        <s:v>19.4</s:v>
      </s:c>
      <s:c r="W207" s="221" t="n">
        <s:v>1.091</s:v>
      </s:c>
      <s:c r="X207" s="221" t="n">
        <s:v>1.08</s:v>
      </s:c>
      <s:c r="Y207" s="222" t="n">
        <s:v>451.42</s:v>
      </s:c>
      <s:c r="Z207" s="222" t="n">
        <s:v>456.43</s:v>
      </s:c>
      <s:c r="AA207" s="227" t="n">
        <s:v>5.031</s:v>
      </s:c>
      <s:c r="AB207" s="228" t="inlineStr">
        <s:is>
          <s:t>11,25,820</s:t>
        </s:is>
      </s:c>
      <s:c r="AC207" s="224" t="inlineStr">
        <s:is>
          <s:t>11</s:t>
        </s:is>
      </s:c>
      <s:c r="AD207" s="224" t="inlineStr">
        <s:is>
          <s:t>25,820</s:t>
        </s:is>
      </s:c>
      <s:c r="AE207" s="224" t="n">
        <s:v>0.1905055555555556</s:v>
      </s:c>
      <s:c r="AF207" s="225" t="n">
        <s:v>26.4086786620396</s:v>
      </s:c>
      <s:c r="AG207" s="229" t="n">
        <s:v>-0.4174120453191968</s:v>
      </s:c>
      <s:c r="AH207" s="220" t="n">
        <s:v>19.4</s:v>
      </s:c>
      <s:c r="AI207" s="221" t="n">
        <s:v>1.095</s:v>
      </s:c>
      <s:c r="AJ207" s="221" t="n">
        <s:v>1.084</s:v>
      </s:c>
      <s:c r="AK207" s="222" t="n">
        <s:v>456.43</s:v>
      </s:c>
      <s:c r="AL207" s="222" t="n">
        <s:v>458.35</s:v>
      </s:c>
      <s:c r="AM207" s="230" t="n">
        <s:v>2.005</s:v>
      </s:c>
      <s:c r="AN207" s="223" t="inlineStr">
        <s:is>
          <s:t>7,19,980</s:t>
        </s:is>
      </s:c>
      <s:c r="AO207" s="224" t="inlineStr">
        <s:is>
          <s:t>7,</s:t>
        </s:is>
      </s:c>
      <s:c r="AP207" s="224" t="inlineStr">
        <s:is>
          <s:t>19,980</s:t>
        </s:is>
      </s:c>
      <s:c r="AQ207" s="224" t="n">
        <s:v>0.1222166666666667</s:v>
      </s:c>
      <s:c r="AR207" s="225" t="n">
        <s:v>16.40529114959771</s:v>
      </s:c>
      <s:c r="AS207" s="229" t="n">
        <s:v>-4.239401496258552</s:v>
      </s:c>
      <s:c r="AT207" s="231" t="inlineStr">
        <s:is>
          <s:t>CONFORME</s:t>
        </s:is>
      </s:c>
      <s:c r="AU207" s="232">
        <s:f>B207=C207</s:f>
        <s:v/>
      </s:c>
      <s:c r="AV207" s="233">
        <s:f>MID(G207,1,2)</s:f>
        <s:v/>
      </s:c>
      <s:c r="AW207" s="233">
        <s:f>LEN(G207)</s:f>
        <s:v/>
      </s:c>
      <s:c r="AX207" s="233" t="inlineStr">
        <s:is>
          <s:t>OI-0923-2025</s:t>
        </s:is>
      </s:c>
      <s:c r="AY207" s="233">
        <s:f>N207&lt;Y207</s:f>
        <s:v/>
      </s:c>
      <s:c r="AZ207" s="233">
        <s:f>Z207&lt;=AK207</s:f>
        <s:v/>
      </s:c>
      <s:c r="BA207" s="233">
        <s:f>L207&lt;K207</s:f>
        <s:v/>
      </s:c>
      <s:c r="BB207" s="233">
        <s:f>W207&gt;=X207</s:f>
        <s:v/>
      </s:c>
      <s:c r="BC207" s="233">
        <s:f>AI207&gt;=AJ207</s:f>
        <s:v/>
      </s:c>
      <s:c r="BD207" s="233">
        <s:f>IF(I207&gt;=1,"Qcorrecto",IF(AND(BE207="aceptable",BF207="aceptable",BG207="aceptable"),"Qcorrecto","Qincorrecto"))</s:f>
        <s:v/>
      </s:c>
      <s:c r="BE207" s="232">
        <s:f>IF(AR207&lt;$AH$6,"error",IF(AR207&gt;$AH$6*1.1,"error","aceptable"))</s:f>
        <s:v/>
      </s:c>
      <s:c r="BF207" s="232">
        <s:f>IF(AF207&lt;$V$6,"error",IF(AF207&gt;$V$6*1.1,"error","aceptable"))</s:f>
        <s:v/>
      </s:c>
      <s:c r="BG207" s="232">
        <s:f>IF(T207&lt;$J$6*0.9,"error",IF(T207&gt;$J$6,"error","aceptable"))</s:f>
        <s:v/>
      </s:c>
      <s:c r="BH207" s="234">
        <s:f>(IF(ABS(U207)&lt;1,"CONFORME",IF(ABS(AG207)&lt;1,"CONFORME",IF(ABS(AS207)&lt;2.5,"CONFORME","NO CONFORME"))))</s:f>
        <s:v/>
      </s:c>
      <s:c r="BI207" s="235">
        <s:f>(IF(ABS(U207)&gt;2.044,"NO CONFORME",IF(ABS(AG207)&gt;2.044,"NO CONFORME",IF(ABS(AS207)&gt;5.044,"NO CONFORME","CONFORME"))))</s:f>
        <s:v/>
      </s:c>
      <s:c r="BJ207" s="233">
        <s:f>SIGN(U207)</s:f>
        <s:v/>
      </s:c>
      <s:c r="BK207" s="233">
        <s:f>SIGN(AG207)</s:f>
        <s:v/>
      </s:c>
      <s:c r="BL207" s="233">
        <s:f>SIGN(AS207)</s:f>
        <s:v/>
      </s:c>
      <s:c r="BM207" s="233">
        <s:f>CONCATENATE(BJ207,BK207,BL207)</s:f>
        <s:v/>
      </s:c>
      <s:c r="BN207" s="233">
        <s:f>IF(BM207="111","SI","SD")</s:f>
        <s:v/>
      </s:c>
      <s:c r="BO207" s="233">
        <s:f>IF(BM207="-1-1-1","SI","SD")</s:f>
        <s:v/>
      </s:c>
      <s:c r="BP207" s="233">
        <s:f>OR(BN207="SI",BO207="SI")</s:f>
        <s:v/>
      </s:c>
      <s:c r="BQ207" s="233">
        <s:f>IF(BP207=FALSE,"SIGDIFERENTES","SIGIGUALES")</s:f>
        <s:v/>
      </s:c>
      <s:c r="BR207" s="236">
        <s:f>IF(BI207="NO CONFORME","NO CONFORME",IF(BH207="CONFORME","CONFORME","NO CONFORME"))</s:f>
        <s:v/>
      </s:c>
      <s:c r="BS207" s="233">
        <s:f>F207</s:f>
        <s:v/>
      </s:c>
      <s:c r="BT207" s="237">
        <s:f>G207</s:f>
        <s:v/>
      </s:c>
      <s:c r="BU207" s="233">
        <s:f>"20"&amp;+MID(G207,3,2)</s:f>
        <s:v/>
      </s:c>
      <s:c r="BV207" s="238">
        <s:f>C207</s:f>
        <s:v/>
      </s:c>
      <s:c r="BW207" s="233">
        <s:f>AT207</s:f>
        <s:v/>
      </s:c>
      <s:c r="BX207" s="238">
        <s:f>B207</s:f>
        <s:v/>
      </s:c>
      <s:c r="BY207" s="239">
        <s:f>H207</s:f>
        <s:v/>
      </s:c>
      <s:c r="BZ207" s="233">
        <s:f>IF(I207=0,"CONFORME","NO CONFORME")</s:f>
        <s:v/>
      </s:c>
      <s:c r="CA207" s="238">
        <s:f>C207</s:f>
        <s:v/>
      </s:c>
      <s:c r="CB207" s="240">
        <s:f>AH207</s:f>
        <s:v/>
      </s:c>
      <s:c r="CC207" s="241">
        <s:f>AR207</s:f>
        <s:v/>
      </s:c>
      <s:c r="CD207" s="240">
        <s:f>AI207</s:f>
        <s:v/>
      </s:c>
      <s:c r="CE207" s="240">
        <s:f>AJ207</s:f>
        <s:v/>
      </s:c>
      <s:c r="CF207" s="240">
        <s:f>AS207</s:f>
        <s:v/>
      </s:c>
      <s:c r="CG207" s="240">
        <s:f>V207</s:f>
        <s:v/>
      </s:c>
      <s:c r="CH207" s="241">
        <s:f>AF207</s:f>
        <s:v/>
      </s:c>
      <s:c r="CI207" s="240">
        <s:f>W207</s:f>
        <s:v/>
      </s:c>
      <s:c r="CJ207" s="240">
        <s:f>X207</s:f>
        <s:v/>
      </s:c>
      <s:c r="CK207" s="240">
        <s:f>AG207</s:f>
        <s:v/>
      </s:c>
      <s:c r="CL207" s="240">
        <s:f>J207</s:f>
        <s:v/>
      </s:c>
      <s:c r="CM207" s="241">
        <s:f>T207</s:f>
        <s:v/>
      </s:c>
      <s:c r="CN207" s="240">
        <s:f>K207</s:f>
        <s:v/>
      </s:c>
      <s:c r="CO207" s="240">
        <s:f>L207</s:f>
        <s:v/>
      </s:c>
      <s:c r="CP207" s="242">
        <s:f>U207</s:f>
        <s:v/>
      </s:c>
      <s:c r="CQ207" s="233">
        <s:f>AT207</s:f>
        <s:v/>
      </s:c>
    </s:row>
    <s:row r="208">
      <s:c r="A208" s="211" t="n">
        <s:v>108</s:v>
      </s:c>
      <s:c r="B208" s="212" t="n">
        <s:v>45901</s:v>
      </s:c>
      <s:c r="C208" s="213" t="n">
        <s:v>45901</s:v>
      </s:c>
      <s:c r="D208" s="214" t="n">
        <s:v>3</s:v>
      </s:c>
      <s:c r="E208" s="215" t="n">
        <s:v>13</s:v>
      </s:c>
      <s:c r="F208" s="216" t="inlineStr">
        <s:is>
          <s:t>VI-236683-2025</s:t>
        </s:is>
      </s:c>
      <s:c r="G208" s="217" t="inlineStr">
        <s:is>
          <s:t>QA25418807</s:t>
        </s:is>
      </s:c>
      <s:c r="H208" s="218" t="n">
        <s:v>16</s:v>
      </s:c>
      <s:c r="I208" s="219" t="n">
        <s:v>0</s:v>
      </s:c>
      <s:c r="J208" s="220" t="n">
        <s:v>19.6</s:v>
      </s:c>
      <s:c r="K208" s="221" t="n">
        <s:v>7.512</s:v>
      </s:c>
      <s:c r="L208" s="221" t="n">
        <s:v>1.261</s:v>
      </s:c>
      <s:c r="M208" s="222" t="n">
        <s:v>337.55</s:v>
      </s:c>
      <s:c r="N208" s="222" t="n">
        <s:v>437.05</s:v>
      </s:c>
      <s:c r="O208" s="222" t="n">
        <s:v>100.49</s:v>
      </s:c>
      <s:c r="P208" s="223" t="inlineStr">
        <s:is>
          <s:t>2,31,100</s:t>
        </s:is>
      </s:c>
      <s:c r="Q208" s="224" t="inlineStr">
        <s:is>
          <s:t>2</s:t>
        </s:is>
      </s:c>
      <s:c r="R208" s="224" t="inlineStr">
        <s:is>
          <s:t>31,100</s:t>
        </s:is>
      </s:c>
      <s:c r="S208" s="224" t="n">
        <s:v>0.04197222222222222</s:v>
      </s:c>
      <s:c r="T208" s="225" t="n">
        <s:v>2394.202514890801</s:v>
      </s:c>
      <s:c r="U208" s="226" t="n">
        <s:v>-0.9851726539954173</s:v>
      </s:c>
      <s:c r="V208" s="220" t="n">
        <s:v>19.4</s:v>
      </s:c>
      <s:c r="W208" s="221" t="n">
        <s:v>1.091</s:v>
      </s:c>
      <s:c r="X208" s="221" t="n">
        <s:v>1.08</s:v>
      </s:c>
      <s:c r="Y208" s="222" t="n">
        <s:v>453.62</s:v>
      </s:c>
      <s:c r="Z208" s="222" t="n">
        <s:v>458.66</s:v>
      </s:c>
      <s:c r="AA208" s="227" t="n">
        <s:v>5.031</s:v>
      </s:c>
      <s:c r="AB208" s="228" t="inlineStr">
        <s:is>
          <s:t>11,25,820</s:t>
        </s:is>
      </s:c>
      <s:c r="AC208" s="224" t="inlineStr">
        <s:is>
          <s:t>11</s:t>
        </s:is>
      </s:c>
      <s:c r="AD208" s="224" t="inlineStr">
        <s:is>
          <s:t>25,820</s:t>
        </s:is>
      </s:c>
      <s:c r="AE208" s="224" t="n">
        <s:v>0.1905055555555556</s:v>
      </s:c>
      <s:c r="AF208" s="225" t="n">
        <s:v>26.4086786620396</s:v>
      </s:c>
      <s:c r="AG208" s="229" t="n">
        <s:v>0.178890876565708</s:v>
      </s:c>
      <s:c r="AH208" s="220" t="n">
        <s:v>19.4</s:v>
      </s:c>
      <s:c r="AI208" s="221" t="n">
        <s:v>1.095</s:v>
      </s:c>
      <s:c r="AJ208" s="221" t="n">
        <s:v>1.084</s:v>
      </s:c>
      <s:c r="AK208" s="222" t="n">
        <s:v>458.66</s:v>
      </s:c>
      <s:c r="AL208" s="222" t="n">
        <s:v>460.66</s:v>
      </s:c>
      <s:c r="AM208" s="230" t="n">
        <s:v>2.005</s:v>
      </s:c>
      <s:c r="AN208" s="223" t="inlineStr">
        <s:is>
          <s:t>7,19,980</s:t>
        </s:is>
      </s:c>
      <s:c r="AO208" s="224" t="inlineStr">
        <s:is>
          <s:t>7,</s:t>
        </s:is>
      </s:c>
      <s:c r="AP208" s="224" t="inlineStr">
        <s:is>
          <s:t>19,980</s:t>
        </s:is>
      </s:c>
      <s:c r="AQ208" s="224" t="n">
        <s:v>0.1222166666666667</s:v>
      </s:c>
      <s:c r="AR208" s="225" t="n">
        <s:v>16.40529114959771</s:v>
      </s:c>
      <s:c r="AS208" s="229" t="n">
        <s:v>-0.249376558603486</s:v>
      </s:c>
      <s:c r="AT208" s="231" t="inlineStr">
        <s:is>
          <s:t>CONFORME</s:t>
        </s:is>
      </s:c>
      <s:c r="AU208" s="232">
        <s:f>B208=C208</s:f>
        <s:v/>
      </s:c>
      <s:c r="AV208" s="233">
        <s:f>MID(G208,1,2)</s:f>
        <s:v/>
      </s:c>
      <s:c r="AW208" s="233">
        <s:f>LEN(G208)</s:f>
        <s:v/>
      </s:c>
      <s:c r="AX208" s="233" t="inlineStr">
        <s:is>
          <s:t>OI-0923-2025</s:t>
        </s:is>
      </s:c>
      <s:c r="AY208" s="233">
        <s:f>N208&lt;Y208</s:f>
        <s:v/>
      </s:c>
      <s:c r="AZ208" s="233">
        <s:f>Z208&lt;=AK208</s:f>
        <s:v/>
      </s:c>
      <s:c r="BA208" s="233">
        <s:f>L208&lt;K208</s:f>
        <s:v/>
      </s:c>
      <s:c r="BB208" s="233">
        <s:f>W208&gt;=X208</s:f>
        <s:v/>
      </s:c>
      <s:c r="BC208" s="233">
        <s:f>AI208&gt;=AJ208</s:f>
        <s:v/>
      </s:c>
      <s:c r="BD208" s="233">
        <s:f>IF(I208&gt;=1,"Qcorrecto",IF(AND(BE208="aceptable",BF208="aceptable",BG208="aceptable"),"Qcorrecto","Qincorrecto"))</s:f>
        <s:v/>
      </s:c>
      <s:c r="BE208" s="232">
        <s:f>IF(AR208&lt;$AH$6,"error",IF(AR208&gt;$AH$6*1.1,"error","aceptable"))</s:f>
        <s:v/>
      </s:c>
      <s:c r="BF208" s="232">
        <s:f>IF(AF208&lt;$V$6,"error",IF(AF208&gt;$V$6*1.1,"error","aceptable"))</s:f>
        <s:v/>
      </s:c>
      <s:c r="BG208" s="232">
        <s:f>IF(T208&lt;$J$6*0.9,"error",IF(T208&gt;$J$6,"error","aceptable"))</s:f>
        <s:v/>
      </s:c>
      <s:c r="BH208" s="234">
        <s:f>(IF(ABS(U208)&lt;1,"CONFORME",IF(ABS(AG208)&lt;1,"CONFORME",IF(ABS(AS208)&lt;2.5,"CONFORME","NO CONFORME"))))</s:f>
        <s:v/>
      </s:c>
      <s:c r="BI208" s="235">
        <s:f>(IF(ABS(U208)&gt;2.044,"NO CONFORME",IF(ABS(AG208)&gt;2.044,"NO CONFORME",IF(ABS(AS208)&gt;5.044,"NO CONFORME","CONFORME"))))</s:f>
        <s:v/>
      </s:c>
      <s:c r="BJ208" s="233">
        <s:f>SIGN(U208)</s:f>
        <s:v/>
      </s:c>
      <s:c r="BK208" s="233">
        <s:f>SIGN(AG208)</s:f>
        <s:v/>
      </s:c>
      <s:c r="BL208" s="233">
        <s:f>SIGN(AS208)</s:f>
        <s:v/>
      </s:c>
      <s:c r="BM208" s="233">
        <s:f>CONCATENATE(BJ208,BK208,BL208)</s:f>
        <s:v/>
      </s:c>
      <s:c r="BN208" s="233">
        <s:f>IF(BM208="111","SI","SD")</s:f>
        <s:v/>
      </s:c>
      <s:c r="BO208" s="233">
        <s:f>IF(BM208="-1-1-1","SI","SD")</s:f>
        <s:v/>
      </s:c>
      <s:c r="BP208" s="233">
        <s:f>OR(BN208="SI",BO208="SI")</s:f>
        <s:v/>
      </s:c>
      <s:c r="BQ208" s="233">
        <s:f>IF(BP208=FALSE,"SIGDIFERENTES","SIGIGUALES")</s:f>
        <s:v/>
      </s:c>
      <s:c r="BR208" s="236">
        <s:f>IF(BI208="NO CONFORME","NO CONFORME",IF(BH208="CONFORME","CONFORME","NO CONFORME"))</s:f>
        <s:v/>
      </s:c>
      <s:c r="BS208" s="233">
        <s:f>F208</s:f>
        <s:v/>
      </s:c>
      <s:c r="BT208" s="237">
        <s:f>G208</s:f>
        <s:v/>
      </s:c>
      <s:c r="BU208" s="233">
        <s:f>"20"&amp;+MID(G208,3,2)</s:f>
        <s:v/>
      </s:c>
      <s:c r="BV208" s="238">
        <s:f>C208</s:f>
        <s:v/>
      </s:c>
      <s:c r="BW208" s="233">
        <s:f>AT208</s:f>
        <s:v/>
      </s:c>
      <s:c r="BX208" s="238">
        <s:f>B208</s:f>
        <s:v/>
      </s:c>
      <s:c r="BY208" s="239">
        <s:f>H208</s:f>
        <s:v/>
      </s:c>
      <s:c r="BZ208" s="233">
        <s:f>IF(I208=0,"CONFORME","NO CONFORME")</s:f>
        <s:v/>
      </s:c>
      <s:c r="CA208" s="238">
        <s:f>C208</s:f>
        <s:v/>
      </s:c>
      <s:c r="CB208" s="240">
        <s:f>AH208</s:f>
        <s:v/>
      </s:c>
      <s:c r="CC208" s="241">
        <s:f>AR208</s:f>
        <s:v/>
      </s:c>
      <s:c r="CD208" s="240">
        <s:f>AI208</s:f>
        <s:v/>
      </s:c>
      <s:c r="CE208" s="240">
        <s:f>AJ208</s:f>
        <s:v/>
      </s:c>
      <s:c r="CF208" s="240">
        <s:f>AS208</s:f>
        <s:v/>
      </s:c>
      <s:c r="CG208" s="240">
        <s:f>V208</s:f>
        <s:v/>
      </s:c>
      <s:c r="CH208" s="241">
        <s:f>AF208</s:f>
        <s:v/>
      </s:c>
      <s:c r="CI208" s="240">
        <s:f>W208</s:f>
        <s:v/>
      </s:c>
      <s:c r="CJ208" s="240">
        <s:f>X208</s:f>
        <s:v/>
      </s:c>
      <s:c r="CK208" s="240">
        <s:f>AG208</s:f>
        <s:v/>
      </s:c>
      <s:c r="CL208" s="240">
        <s:f>J208</s:f>
        <s:v/>
      </s:c>
      <s:c r="CM208" s="241">
        <s:f>T208</s:f>
        <s:v/>
      </s:c>
      <s:c r="CN208" s="240">
        <s:f>K208</s:f>
        <s:v/>
      </s:c>
      <s:c r="CO208" s="240">
        <s:f>L208</s:f>
        <s:v/>
      </s:c>
      <s:c r="CP208" s="242">
        <s:f>U208</s:f>
        <s:v/>
      </s:c>
      <s:c r="CQ208" s="233">
        <s:f>AT208</s:f>
        <s:v/>
      </s:c>
    </s:row>
  </s:sheetData>
  <s:autoFilter ref="A8:CQ8">
    <s:filterColumn colId="15" hiddenButton="0" showButton="0"/>
    <s:filterColumn colId="16" hiddenButton="0" showButton="0"/>
    <s:filterColumn colId="17" hiddenButton="0" showButton="0"/>
    <s:filterColumn colId="27" hiddenButton="0" showButton="0"/>
    <s:filterColumn colId="28" hiddenButton="0" showButton="0"/>
    <s:filterColumn colId="29" hiddenButton="0" showButton="0"/>
    <s:filterColumn colId="39" hiddenButton="0" showButton="0"/>
    <s:filterColumn colId="40" hiddenButton="0" showButton="0"/>
    <s:filterColumn colId="41" hiddenButton="0" showButton="0"/>
    <s:filterColumn colId="59" hiddenButton="0" showButton="0"/>
    <s:filterColumn colId="60" hiddenButton="0" showButton="0"/>
    <s:filterColumn colId="61" hiddenButton="0" showButton="0"/>
    <s:filterColumn colId="62" hiddenButton="0" showButton="0"/>
    <s:filterColumn colId="63" hiddenButton="0" showButton="0"/>
    <s:filterColumn colId="64" hiddenButton="0" showButton="0"/>
    <s:filterColumn colId="65" hiddenButton="0" showButton="0"/>
    <s:filterColumn colId="66" hiddenButton="0" showButton="0"/>
    <s:filterColumn colId="67" hiddenButton="0" showButton="0"/>
    <s:filterColumn colId="68" hiddenButton="0" showButton="0"/>
  </s:autoFilter>
  <s:mergeCells count="39">
    <s:mergeCell ref="AB8:AE8"/>
    <s:mergeCell ref="AC5:AE5"/>
    <s:mergeCell ref="J6:U6"/>
    <s:mergeCell ref="AP3:AT3"/>
    <s:mergeCell ref="A4:D4"/>
    <s:mergeCell ref="AN8:AQ8"/>
    <s:mergeCell ref="AC4:AE4"/>
    <s:mergeCell ref="V6:AG6"/>
    <s:mergeCell ref="AH6:AS6"/>
    <s:mergeCell ref="J7:U7"/>
    <s:mergeCell ref="AF5:AH5"/>
    <s:mergeCell ref="E4:I4"/>
    <s:mergeCell ref="AA5:AB5"/>
    <s:mergeCell ref="AP1:AT1"/>
    <s:mergeCell ref="C6:C8"/>
    <s:mergeCell ref="AA4:AB4"/>
    <s:mergeCell ref="D6:D8"/>
    <s:mergeCell ref="AT6:AT8"/>
    <s:mergeCell ref="V7:AG7"/>
    <s:mergeCell ref="BX7:BZ7"/>
    <s:mergeCell ref="F6:F8"/>
    <s:mergeCell ref="J4:N4"/>
    <s:mergeCell ref="AH7:AS7"/>
    <s:mergeCell ref="BH8:BR8"/>
    <s:mergeCell ref="B6:B8"/>
    <s:mergeCell ref="AP2:AT2"/>
    <s:mergeCell ref="E2:AO3"/>
    <s:mergeCell ref="CA7:CQ7"/>
    <s:mergeCell ref="P8:S8"/>
    <s:mergeCell ref="A6:A8"/>
    <s:mergeCell ref="BD7:BF7"/>
    <s:mergeCell ref="E6:E8"/>
    <s:mergeCell ref="A5:Z5"/>
    <s:mergeCell ref="O4:R4"/>
    <s:mergeCell ref="H6:I7"/>
    <s:mergeCell ref="E1:AO1"/>
    <s:mergeCell ref="G6:G8"/>
    <s:mergeCell ref="AF4:AH4"/>
    <s:mergeCell ref="S4:Z4"/>
  </s:mergeCells>
  <s:conditionalFormatting sqref="AU8:BC8">
    <s:cfRule type="cellIs" priority="1097" operator="equal" dxfId="0">
      <s:formula>"NO CONFORME"</s:formula>
    </s:cfRule>
  </s:conditionalFormatting>
  <s:conditionalFormatting sqref="AS9:AS208">
    <s:cfRule type="cellIs" priority="11" operator="between" dxfId="1">
      <s:formula>100.01</s:formula>
      <s:formula>100000000</s:formula>
    </s:cfRule>
    <s:cfRule type="cellIs" priority="12" operator="lessThanOrEqual" dxfId="2">
      <s:formula>-100.01</s:formula>
    </s:cfRule>
    <s:cfRule type="cellIs" priority="13" operator="between" dxfId="3">
      <s:formula>-5.044</s:formula>
      <s:formula>-100</s:formula>
    </s:cfRule>
    <s:cfRule type="cellIs" priority="14" operator="between" dxfId="3">
      <s:formula>5.044</s:formula>
      <s:formula>100</s:formula>
    </s:cfRule>
  </s:conditionalFormatting>
  <s:conditionalFormatting sqref="U9:U208">
    <s:cfRule type="cellIs" priority="11" operator="between" dxfId="1">
      <s:formula>100.01</s:formula>
      <s:formula>100000000</s:formula>
    </s:cfRule>
    <s:cfRule type="cellIs" priority="12" operator="lessThanOrEqual" dxfId="2">
      <s:formula>-100.01</s:formula>
    </s:cfRule>
    <s:cfRule type="cellIs" priority="9" operator="between" dxfId="3">
      <s:formula>-2.044</s:formula>
      <s:formula>-100</s:formula>
    </s:cfRule>
    <s:cfRule type="cellIs" priority="10" operator="between" dxfId="3">
      <s:formula>2.044</s:formula>
      <s:formula>100</s:formula>
    </s:cfRule>
  </s:conditionalFormatting>
  <s:conditionalFormatting sqref="AG9:AG208">
    <s:cfRule type="cellIs" priority="11" operator="between" dxfId="1">
      <s:formula>100.01</s:formula>
      <s:formula>100000000</s:formula>
    </s:cfRule>
    <s:cfRule type="cellIs" priority="12" operator="lessThanOrEqual" dxfId="2">
      <s:formula>-100.01</s:formula>
    </s:cfRule>
    <s:cfRule type="cellIs" priority="9" operator="between" dxfId="3">
      <s:formula>-2.044</s:formula>
      <s:formula>-100</s:formula>
    </s:cfRule>
    <s:cfRule type="cellIs" priority="10" operator="between" dxfId="3">
      <s:formula>2.044</s:formula>
      <s:formula>100</s:formula>
    </s:cfRule>
  </s:conditionalFormatting>
  <s:conditionalFormatting sqref="AT9:AT208">
    <s:cfRule type="cellIs" priority="15" operator="equal" dxfId="0">
      <s:formula>"NO CONFORME"</s:formula>
    </s:cfRule>
  </s:conditionalFormatting>
  <s:conditionalFormatting sqref="AW9:AW208">
    <s:cfRule type="cellIs" priority="3" operator="equal" dxfId="0">
      <s:formula>"NO CONFORME"</s:formula>
    </s:cfRule>
  </s:conditionalFormatting>
  <s:conditionalFormatting sqref="AX9:AX208">
    <s:cfRule type="cellIs" priority="3" operator="equal" dxfId="0">
      <s:formula>"NO CONFORME"</s:formula>
    </s:cfRule>
  </s:conditionalFormatting>
  <s:conditionalFormatting sqref="AY9:AY208">
    <s:cfRule type="cellIs" priority="3" operator="equal" dxfId="0">
      <s:formula>"NO CONFORME"</s:formula>
    </s:cfRule>
  </s:conditionalFormatting>
  <s:conditionalFormatting sqref="AZ9:AZ208">
    <s:cfRule type="cellIs" priority="3" operator="equal" dxfId="0">
      <s:formula>"NO CONFORME"</s:formula>
    </s:cfRule>
  </s:conditionalFormatting>
  <s:conditionalFormatting sqref="BA9:BA208">
    <s:cfRule type="cellIs" priority="3" operator="equal" dxfId="0">
      <s:formula>"NO CONFORME"</s:formula>
    </s:cfRule>
  </s:conditionalFormatting>
  <s:conditionalFormatting sqref="BB9:BB208">
    <s:cfRule type="cellIs" priority="3" operator="equal" dxfId="0">
      <s:formula>"NO CONFORME"</s:formula>
    </s:cfRule>
  </s:conditionalFormatting>
  <s:conditionalFormatting sqref="BC9:BC208">
    <s:cfRule type="cellIs" priority="3" operator="equal" dxfId="0">
      <s:formula>"NO CONFORME"</s:formula>
    </s:cfRule>
  </s:conditionalFormatting>
  <s:conditionalFormatting sqref="BD9:BD208">
    <s:cfRule type="cellIs" priority="3" operator="equal" dxfId="0">
      <s:formula>"NO CONFORME"</s:formula>
    </s:cfRule>
    <s:cfRule type="expression" priority="5" dxfId="4">
      <s:formula>BD9="Qincorrecto"</s:formula>
    </s:cfRule>
    <s:cfRule type="expression" priority="6" dxfId="5">
      <s:formula>BD9="Qcorrecto"</s:formula>
    </s:cfRule>
  </s:conditionalFormatting>
  <s:conditionalFormatting sqref="BE9:BE208">
    <s:cfRule type="cellIs" priority="2" operator="equal" dxfId="6">
      <s:formula>"error"</s:formula>
    </s:cfRule>
    <s:cfRule type="cellIs" priority="7" operator="equal" dxfId="7">
      <s:formula>#REF!</s:formula>
    </s:cfRule>
    <s:cfRule type="cellIs" priority="8" operator="equal" dxfId="6">
      <s:formula>"error"</s:formula>
    </s:cfRule>
  </s:conditionalFormatting>
  <s:conditionalFormatting sqref="BF9:BF208">
    <s:cfRule type="cellIs" priority="2" operator="equal" dxfId="6">
      <s:formula>"error"</s:formula>
    </s:cfRule>
    <s:cfRule type="cellIs" priority="7" operator="equal" dxfId="7">
      <s:formula>#REF!</s:formula>
    </s:cfRule>
    <s:cfRule type="cellIs" priority="8" operator="equal" dxfId="6">
      <s:formula>"error"</s:formula>
    </s:cfRule>
  </s:conditionalFormatting>
  <s:conditionalFormatting sqref="BG9:BG208">
    <s:cfRule type="cellIs" priority="2" operator="equal" dxfId="6">
      <s:formula>"error"</s:formula>
    </s:cfRule>
    <s:cfRule type="cellIs" priority="7" operator="equal" dxfId="7">
      <s:formula>#REF!</s:formula>
    </s:cfRule>
    <s:cfRule type="cellIs" priority="8" operator="equal" dxfId="6">
      <s:formula>"error"</s:formula>
    </s:cfRule>
  </s:conditionalFormatting>
  <s:conditionalFormatting sqref="BH9:BH208">
    <s:cfRule type="cellIs" priority="1" operator="notBetween" dxfId="8" stopIfTrue="1">
      <s:formula>"APROBADO"</s:formula>
      <s:formula>"APROBADO"</s:formula>
    </s:cfRule>
  </s:conditionalFormatting>
  <s:conditionalFormatting sqref="BI9:BI208">
    <s:cfRule type="cellIs" priority="1" operator="notBetween" dxfId="8" stopIfTrue="1">
      <s:formula>"APROBADO"</s:formula>
      <s:formula>"APROBADO"</s:formula>
    </s:cfRule>
  </s:conditionalFormatting>
  <s:conditionalFormatting sqref="BQ9:BQ208">
    <s:cfRule type="cellIs" priority="4" operator="equal" dxfId="0">
      <s:formula>"NO CONFORME"</s:formula>
    </s:cfRule>
  </s:conditionalFormatting>
  <s:conditionalFormatting sqref="BN9:BN208">
    <s:cfRule type="cellIs" priority="4" operator="equal" dxfId="0">
      <s:formula>"NO CONFORME"</s:formula>
    </s:cfRule>
  </s:conditionalFormatting>
  <s:conditionalFormatting sqref="BJ9:BJ208">
    <s:cfRule type="cellIs" priority="4" operator="equal" dxfId="0">
      <s:formula>"NO CONFORME"</s:formula>
    </s:cfRule>
  </s:conditionalFormatting>
  <s:conditionalFormatting sqref="BK9:BK208">
    <s:cfRule type="cellIs" priority="4" operator="equal" dxfId="0">
      <s:formula>"NO CONFORME"</s:formula>
    </s:cfRule>
  </s:conditionalFormatting>
  <s:conditionalFormatting sqref="BL9:BL208">
    <s:cfRule type="cellIs" priority="4" operator="equal" dxfId="0">
      <s:formula>"NO CONFORME"</s:formula>
    </s:cfRule>
  </s:conditionalFormatting>
  <s:dataValidations count="2">
    <s:dataValidation sqref="E4:I4" showDropDown="0" showInputMessage="1" showErrorMessage="1" allowBlank="1" type="list">
      <s:formula1>$AW$2:$AW$5</s:formula1>
    </s:dataValidation>
    <s:dataValidation sqref="O4:R4" showDropDown="0" showInputMessage="1" showErrorMessage="1" allowBlank="1" type="list">
      <s:formula1>$AV$2:$AV$5</s:formula1>
    </s:dataValidation>
  </s:dataValidations>
  <s:pageMargins left="0.7" right="0.7" top="0.37" bottom="0.28" header="0.26" footer="0.17"/>
  <s:pageSetup orientation="portrait" paperSize="9"/>
  <s:drawing r:id="rId2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2026-01-14T20:41:05Z</dcterms:modified>
  <cp:lastModifiedBy>medileser SAC</cp:lastModifiedBy>
  <cp:lastPrinted>2021-09-30T13:17:10Z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