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top style="thick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60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1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2" applyAlignment="1" pivotButton="0" quotePrefix="0" xfId="3">
      <alignment horizontal="center" vertical="center" shrinkToFit="1"/>
    </xf>
    <xf numFmtId="0" fontId="19" fillId="7" borderId="62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168" fontId="15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4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5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><f>B9</f><v /></c><c r="D9" s="353" t="n"><v>4</v></c><c r="E9" s="354" t="n"><v>3</v></c><c r="F9" s="58" t="n" /><c r="G9" s="300" t="inlineStr"><is><t>PA25517413</t></is></c><c r="H9" s="301" t="n"><v>25.6</v></c><c r="I9" s="232" t="n"><v>0</v></c><c r="J9" s="302" t="n"><v>19.8</v></c><c r="K9" s="303" t="n"><v>8.311</v></c><c r="L9" s="303" t="n"><v>0.524</v></c><c r="M9" s="355" t="n"><v>143.41</v></c><c r="N9" s="355" t="n"><v>243.74</v></c><c r="O9" s="356" t="n"><v>101.06</v></c><c r="P9" s="357" t="inlineStr"><is><t>2,30,960</t></is></c><c r="Q9" s="358"><f>LEFT(P9,1)</f><v /></c><c r="R9" s="358"><f>RIGHT(P9,6)</f><v /></c><c r="S9" s="358"><f>+(Q9*60+R9)/(60*60)</f><v /></c><c r="T9" s="359"><f>+O9/S9</f><v /></c><c r="U9" s="360"><f>+(((N9-M9-O9)/O9)*100)</f><v /></c><c r="V9" s="306" t="n"><v>19.7</v></c><c r="W9" s="303" t="n"><v>1.105</v></c><c r="X9" s="303" t="n"><v>1.102</v></c><c r="Y9" s="355" t="n"><v>253.88</v></c><c r="Z9" s="355" t="n"><v>263.8</v></c><c r="AA9" s="308" t="n"><v>10.022</v></c><c r="AB9" s="357" t="inlineStr"><is><t>22,56,360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19.9</v></c><c r="AI9" s="303" t="n"><v>1.107</v></c><c r="AJ9" s="303" t="n"><v>1.1</v></c><c r="AK9" s="355"><f>Z9</f><v /></c><c r="AL9" s="355" t="n"><v>268.81</v></c><c r="AM9" s="362" t="n"><v>5.014</v></c><c r="AN9" s="357" t="inlineStr"><is><t>18,31,150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PA25517414</t></is></c><c r="H10" s="313"><f>H9</f><v /></c><c r="I10" s="38"><f>I9</f><v /></c><c r="J10" s="314"><f>J9</f><v /></c><c r="K10" s="372"><f>K9</f><v /></c><c r="L10" s="372"><f>L9</f><v /></c><c r="M10" s="373" t="n"><v>143.29</v></c><c r="N10" s="373" t="n"><v>243.16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2"><f>W9</f><v /></c><c r="X10" s="372"><f>X9</f><v /></c><c r="Y10" s="373" t="n"><v>253.25</v></c><c r="Z10" s="373" t="n"><v>263.16</v></c><c r="AA10" s="379"><f>AA9</f><v /></c><c r="AB10" s="380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2"><f>AI9</f><v /></c><c r="AJ10" s="372"><f>AJ9</f><v /></c><c r="AK10" s="373"><f>Z10</f><v /></c><c r="AL10" s="373" t="n"><v>268.2</v></c><c r="AM10" s="381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2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PA25517415</t></is></c><c r="H11" s="313"><f>H10</f><v /></c><c r="I11" s="38"><f>I10</f><v /></c><c r="J11" s="314"><f>J10</f><v /></c><c r="K11" s="372"><f>K10</f><v /></c><c r="L11" s="372"><f>L10</f><v /></c><c r="M11" s="373" t="n"><v>143.26</v></c><c r="N11" s="373" t="n"><v>243.99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2"><f>W10</f><v /></c><c r="X11" s="372"><f>X10</f><v /></c><c r="Y11" s="373" t="n"><v>254.14</v></c><c r="Z11" s="373" t="n"><v>264.17</v></c><c r="AA11" s="379"><f>AA10</f><v /></c><c r="AB11" s="380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2"><f>AI10</f><v /></c><c r="AJ11" s="372"><f>AJ10</f><v /></c><c r="AK11" s="373"><f>Z11</f><v /></c><c r="AL11" s="373" t="n"><v>269.27</v></c><c r="AM11" s="381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2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PA25517416</t></is></c><c r="H12" s="313"><f>H11</f><v /></c><c r="I12" s="38"><f>I11</f><v /></c><c r="J12" s="314"><f>J11</f><v /></c><c r="K12" s="372"><f>K11</f><v /></c><c r="L12" s="372"><f>L11</f><v /></c><c r="M12" s="373" t="n"><v>143.82</v></c><c r="N12" s="373" t="n"><v>244.53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2"><f>W11</f><v /></c><c r="X12" s="372"><f>X11</f><v /></c><c r="Y12" s="373" t="n"><v>254.66</v></c><c r="Z12" s="373" t="n"><v>264.7</v></c><c r="AA12" s="379"><f>AA11</f><v /></c><c r="AB12" s="380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2"><f>AI11</f><v /></c><c r="AJ12" s="372"><f>AJ11</f><v /></c><c r="AK12" s="373"><f>Z12</f><v /></c><c r="AL12" s="373" t="n"><v>269.8</v></c><c r="AM12" s="381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2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PA25517417</t></is></c><c r="H13" s="313"><f>H12</f><v /></c><c r="I13" s="38"><f>I12</f><v /></c><c r="J13" s="314"><f>J12</f><v /></c><c r="K13" s="372"><f>K12</f><v /></c><c r="L13" s="372"><f>L12</f><v /></c><c r="M13" s="373" t="n"><v>143.34</v></c><c r="N13" s="373" t="n"><v>243.79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2"><f>W12</f><v /></c><c r="X13" s="372"><f>X12</f><v /></c><c r="Y13" s="373" t="n"><v>253.91</v></c><c r="Z13" s="373" t="n"><v>263.93</v></c><c r="AA13" s="379"><f>AA12</f><v /></c><c r="AB13" s="380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2"><f>AI12</f><v /></c><c r="AJ13" s="372"><f>AJ12</f><v /></c><c r="AK13" s="373"><f>Z13</f><v /></c><c r="AL13" s="373" t="n"><v>269</v></c><c r="AM13" s="381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2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PA25517418</t></is></c><c r="H14" s="313"><f>H13</f><v /></c><c r="I14" s="38"><f>I13</f><v /></c><c r="J14" s="314"><f>J13</f><v /></c><c r="K14" s="372"><f>K13</f><v /></c><c r="L14" s="372"><f>L13</f><v /></c><c r="M14" s="373" t="n"><v>143.36</v></c><c r="N14" s="373" t="n"><v>243.95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2"><f>W13</f><v /></c><c r="X14" s="372"><f>X13</f><v /></c><c r="Y14" s="373" t="n"><v>254.13</v></c><c r="Z14" s="373" t="n"><v>264.13</v></c><c r="AA14" s="379"><f>AA13</f><v /></c><c r="AB14" s="380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2"><f>AI13</f><v /></c><c r="AJ14" s="372"><f>AJ13</f><v /></c><c r="AK14" s="373"><f>Z14</f><v /></c><c r="AL14" s="373" t="n"><v>269.16</v></c><c r="AM14" s="381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2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PA25517419</t></is></c><c r="H15" s="313"><f>H14</f><v /></c><c r="I15" s="38"><f>I14</f><v /></c><c r="J15" s="314"><f>J14</f><v /></c><c r="K15" s="372"><f>K14</f><v /></c><c r="L15" s="372"><f>L14</f><v /></c><c r="M15" s="373" t="n"><v>142.64</v></c><c r="N15" s="373" t="n"><v>243.36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2"><f>W14</f><v /></c><c r="X15" s="372"><f>X14</f><v /></c><c r="Y15" s="373" t="n"><v>253.51</v></c><c r="Z15" s="373" t="n"><v>263.58</v></c><c r="AA15" s="379"><f>AA14</f><v /></c><c r="AB15" s="380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2"><f>AI14</f><v /></c><c r="AJ15" s="372"><f>AJ14</f><v /></c><c r="AK15" s="373"><f>Z15</f><v /></c><c r="AL15" s="373" t="n"><v>268.72</v></c><c r="AM15" s="381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2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68" t="n"><v>8</v></c><c r="B16" s="369"><f>B15</f><v /></c><c r="C16" s="369"><f>C15</f><v /></c><c r="D16" s="370"><f>D15</f><v /></c><c r="E16" s="371"><f>E15</f><v /></c><c r="F16" s="13" t="n" /><c r="G16" s="300" t="inlineStr"><is><t>PA25517420</t></is></c><c r="H16" s="313"><f>H15</f><v /></c><c r="I16" s="38"><f>I15</f><v /></c><c r="J16" s="314"><f>J15</f><v /></c><c r="K16" s="372"><f>K15</f><v /></c><c r="L16" s="372"><f>L15</f><v /></c><c r="M16" s="373" t="n"><v>142.41</v></c><c r="N16" s="373" t="n"><v>242.92</v></c><c r="O16" s="374"><f>O15</f><v /></c><c r="P16" s="375"><f>P15</f><v /></c><c r="Q16" s="376"><f>LEFT(P16,1)</f><v /></c><c r="R16" s="376"><f>RIGHT(P16,6)</f><v /></c><c r="S16" s="376"><f>+(Q16*60+R16)/(60*60)</f><v /></c><c r="T16" s="377"><f>+O16/S16</f><v /></c><c r="U16" s="378"><f>+(((N16-M16-O16)/O16)*100)</f><v /></c><c r="V16" s="317"><f>V15</f><v /></c><c r="W16" s="372"><f>W15</f><v /></c><c r="X16" s="372"><f>X15</f><v /></c><c r="Y16" s="373" t="n"><v>253.06</v></c><c r="Z16" s="373" t="n"><v>263.11</v></c><c r="AA16" s="379"><f>AA15</f><v /></c><c r="AB16" s="380"><f>AB15</f><v /></c><c r="AC16" s="376"><f>LEFT(AB16,2)</f><v /></c><c r="AD16" s="376"><f>RIGHT(AB16,6)</f><v /></c><c r="AE16" s="376"><f>+(AC16*60+AD16)/(60*60)</f><v /></c><c r="AF16" s="377"><f>+AA16/AE16</f><v /></c><c r="AG16" s="321"><f>+(((Z16-Y16-AA16)/AA16)*100)</f><v /></c><c r="AH16" s="317"><f>AH15</f><v /></c><c r="AI16" s="372"><f>AI15</f><v /></c><c r="AJ16" s="372"><f>AJ15</f><v /></c><c r="AK16" s="373"><f>Z16</f><v /></c><c r="AL16" s="373" t="n"><v>268.2</v></c><c r="AM16" s="381"><f>AM15</f><v /></c><c r="AN16" s="375"><f>AN15</f><v /></c><c r="AO16" s="376"><f>LEFT(AN16,2)</f><v /></c><c r="AP16" s="376"><f>RIGHT(AN16,6)</f><v /></c><c r="AQ16" s="376"><f>+(AO16*60+AP16)/(60*60)</f><v /></c><c r="AR16" s="377"><f>+AM16/AQ16</f><v /></c><c r="AS16" s="321"><f>+(((AL16-AK16-AM16)/AM16)*100)</f><v /></c><c r="AT16" s="382"><f>IF(I16&gt;=1,"NO CONFORME",IF(BK16="SIGDIFERENTES",BC16,BL16))</f><v /></c><c r="AU16" s="364"><f>B16=C16</f><v /></c><c r="AV16" s="364"><f>N16&lt;Y16</f><v /></c><c r="AW16" s="364"><f>Z16&lt;=AK16</f><v /></c><c r="AX16" s="364"><f>IF(I16&gt;=1,"Qcorrecto",IF(AND(AY16="aceptable",AZ16="aceptable",BA16="aceptable"),"Qcorrecto","Qincorrecto"))</f><v /></c><c r="AY16" s="365"><f>IF(AR16&lt;$AH$6,"error",IF(AR16&gt;$AH$6*1.1,"error","aceptable"))</f><v /></c><c r="AZ16" s="365"><f>IF(AF16&lt;$V$6,"error",IF(AF16&gt;$V$6*1.1,"error","aceptable"))</f><v /></c><c r="BA16" s="365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66"><f>SIGN(U16)</f><v /></c><c r="BE16" s="366"><f>SIGN(AG16)</f><v /></c><c r="BF16" s="366"><f>SIGN(AS16)</f><v /></c><c r="BG16" s="366"><f>CONCATENATE(BD16,BE16,BF16)</f><v /></c><c r="BH16" s="366"><f>IF(BG16="111","SI","SD")</f><v /></c><c r="BI16" s="366"><f>IF(BG16="-1-1-1","SI","SD")</f><v /></c><c r="BJ16" s="366"><f>OR(BH16="SI",BI16="SI")</f><v /></c><c r="BK16" s="366"><f>IF(BJ16=FALSE,"SIGDIFERENTES","SIGIGUALES")</f><v /></c><c r="BL16" s="365"><f>IF(BC16="NO CONFORME","NO CONFORME",IF(BB16="CONFORME","CONFORME","NO CONFORME"))</f><v /></c></row><row r="17" ht="15" customHeight="1"><c r="A17" s="351" t="n"><v>9</v></c><c r="B17" s="352" t="n"><v>45920</v></c><c r="C17" s="352"><f>C16</f><v /></c><c r="D17" s="353" t="n"><v>4</v></c><c r="E17" s="354" t="n"><v>9</v></c><c r="F17" s="58" t="n" /><c r="G17" s="300" t="inlineStr"><is><t>PA25517421</t></is></c><c r="H17" s="301" t="n"><v>25.6</v></c><c r="I17" s="232" t="n"><v>0</v></c><c r="J17" s="302" t="n"><v>20.7</v></c><c r="K17" s="303" t="n"><v>8.324999999999999</v></c><c r="L17" s="303" t="n"><v>0.525</v></c><c r="M17" s="355" t="n"><v>110.79</v></c><c r="N17" s="355" t="n"><v>210.78</v></c><c r="O17" s="356" t="n"><v>100.68</v></c><c r="P17" s="357" t="inlineStr"><is><t>2,31,120</t></is></c><c r="Q17" s="358"><f>LEFT(P17,1)</f><v /></c><c r="R17" s="358"><f>RIGHT(P17,6)</f><v /></c><c r="S17" s="358"><f>+(Q17*60+R17)/(60*60)</f><v /></c><c r="T17" s="359"><f>+O17/S17</f><v /></c><c r="U17" s="360"><f>+(((N17-M17-O17)/O17)*100)</f><v /></c><c r="V17" s="306" t="n"><v>20.7</v></c><c r="W17" s="303" t="n"><v>1.393</v></c><c r="X17" s="303" t="n"><v>1.392</v></c><c r="Y17" s="355" t="n"><v>213.39</v></c><c r="Z17" s="355" t="n"><v>223.4</v></c><c r="AA17" s="308" t="n"><v>10.02</v></c><c r="AB17" s="357" t="inlineStr"><is><t>22,39,500</t></is></c><c r="AC17" s="358"><f>LEFT(AB17,2)</f><v /></c><c r="AD17" s="358"><f>RIGHT(AB17,6)</f><v /></c><c r="AE17" s="358"><f>+(AC17*60+AD17)/(60*60)</f><v /></c><c r="AF17" s="359"><f>+AA17/AE17</f><v /></c><c r="AG17" s="361"><f>+(((Z17-Y17-AA17)/AA17)*100)</f><v /></c><c r="AH17" s="306" t="n"><v>20.7</v></c><c r="AI17" s="303" t="n"><v>1.399</v></c><c r="AJ17" s="303" t="n"><v>1.392</v></c><c r="AK17" s="355"><f>Z17</f><v /></c><c r="AL17" s="355" t="n"><v>228.48</v></c><c r="AM17" s="362" t="n"><v>5.014</v></c><c r="AN17" s="357" t="inlineStr"><is><t>18,13,850</t></is></c><c r="AO17" s="358"><f>LEFT(AN17,2)</f><v /></c><c r="AP17" s="358"><f>RIGHT(AN17,6)</f><v /></c><c r="AQ17" s="358"><f>+(AO17*60+AP17)/(60*60)</f><v /></c><c r="AR17" s="359"><f>+AM17/AQ17</f><v /></c><c r="AS17" s="361"><f>+(((AL17-AK17-AM17)/AM17)*100)</f><v /></c><c r="AT17" s="363"><f>IF(I17&gt;=1,"NO CONFORME",IF(BK17="SIGDIFERENTES",BC17,BL17))</f><v /></c><c r="AU17" s="364"><f>B17=C17</f><v /></c><c r="AV17" s="364"><f>N17&lt;Y17</f><v /></c><c r="AW17" s="364"><f>Z17&lt;=AK17</f><v /></c><c r="AX17" s="364"><f>IF(I17&gt;=1,"Qcorrecto",IF(AND(AY17="aceptable",AZ17="aceptable",BA17="aceptable"),"Qcorrecto","Qincorrecto"))</f><v /></c><c r="AY17" s="365"><f>IF(AR17&lt;$AH$6,"error",IF(AR17&gt;$AH$6*1.1,"error","aceptable"))</f><v /></c><c r="AZ17" s="365"><f>IF(AF17&lt;$V$6,"error",IF(AF17&gt;$V$6*1.1,"error","aceptable"))</f><v /></c><c r="BA17" s="365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66"><f>SIGN(U17)</f><v /></c><c r="BE17" s="366"><f>SIGN(AG17)</f><v /></c><c r="BF17" s="366"><f>SIGN(AS17)</f><v /></c><c r="BG17" s="366"><f>CONCATENATE(BD17,BE17,BF17)</f><v /></c><c r="BH17" s="366"><f>IF(BG17="111","SI","SD")</f><v /></c><c r="BI17" s="366"><f>IF(BG17="-1-1-1","SI","SD")</f><v /></c><c r="BJ17" s="366"><f>OR(BH17="SI",BI17="SI")</f><v /></c><c r="BK17" s="366"><f>IF(BJ17=FALSE,"SIGDIFERENTES","SIGIGUALES")</f><v /></c><c r="BL17" s="367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PA25517422</t></is></c><c r="H18" s="313"><f>H17</f><v /></c><c r="I18" s="38"><f>I17</f><v /></c><c r="J18" s="314"><f>J17</f><v /></c><c r="K18" s="372"><f>K17</f><v /></c><c r="L18" s="372"><f>L17</f><v /></c><c r="M18" s="373" t="n"><v>111.14</v></c><c r="N18" s="373" t="n"><v>211.49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2"><f>W17</f><v /></c><c r="X18" s="372"><f>X17</f><v /></c><c r="Y18" s="373" t="n"><v>214.05</v></c><c r="Z18" s="373" t="n"><v>224.06</v></c><c r="AA18" s="379"><f>AA17</f><v /></c><c r="AB18" s="380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2"><f>AI17</f><v /></c><c r="AJ18" s="372"><f>AJ17</f><v /></c><c r="AK18" s="373"><f>Z18</f><v /></c><c r="AL18" s="373" t="n"><v>229.15</v></c><c r="AM18" s="381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2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PA25517423</t></is></c><c r="H19" s="313"><f>H18</f><v /></c><c r="I19" s="38"><f>I18</f><v /></c><c r="J19" s="314"><f>J18</f><v /></c><c r="K19" s="372"><f>K18</f><v /></c><c r="L19" s="372"><f>L18</f><v /></c><c r="M19" s="373" t="n"><v>111.71</v></c><c r="N19" s="373" t="n"><v>211.75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2"><f>W18</f><v /></c><c r="X19" s="372"><f>X18</f><v /></c><c r="Y19" s="373" t="n"><v>214.36</v></c><c r="Z19" s="373" t="n"><v>224.39</v></c><c r="AA19" s="379"><f>AA18</f><v /></c><c r="AB19" s="380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2"><f>AI18</f><v /></c><c r="AJ19" s="372"><f>AJ18</f><v /></c><c r="AK19" s="373"><f>Z19</f><v /></c><c r="AL19" s="373" t="n"><v>229.48</v></c><c r="AM19" s="381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2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PA25517424</t></is></c><c r="H20" s="313"><f>H19</f><v /></c><c r="I20" s="38"><f>I19</f><v /></c><c r="J20" s="314"><f>J19</f><v /></c><c r="K20" s="372"><f>K19</f><v /></c><c r="L20" s="372"><f>L19</f><v /></c><c r="M20" s="373" t="n"><v>111.62</v></c><c r="N20" s="373" t="n"><v>212.24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2"><f>W19</f><v /></c><c r="X20" s="372"><f>X19</f><v /></c><c r="Y20" s="373" t="n"><v>214.81</v></c><c r="Z20" s="373" t="n"><v>224.82</v></c><c r="AA20" s="379"><f>AA19</f><v /></c><c r="AB20" s="380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2"><f>AI19</f><v /></c><c r="AJ20" s="372"><f>AJ19</f><v /></c><c r="AK20" s="373"><f>Z20</f><v /></c><c r="AL20" s="373" t="n"><v>229.89</v></c><c r="AM20" s="381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2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PA25517425</t></is></c><c r="H21" s="313"><f>H20</f><v /></c><c r="I21" s="38"><f>I20</f><v /></c><c r="J21" s="314"><f>J20</f><v /></c><c r="K21" s="372"><f>K20</f><v /></c><c r="L21" s="372"><f>L20</f><v /></c><c r="M21" s="373" t="n"><v>110.74</v></c><c r="N21" s="373" t="n"><v>210.44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2"><f>W20</f><v /></c><c r="X21" s="372"><f>X20</f><v /></c><c r="Y21" s="373" t="n"><v>212.99</v></c><c r="Z21" s="373" t="n"><v>222.97</v></c><c r="AA21" s="379"><f>AA20</f><v /></c><c r="AB21" s="380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2"><f>AI20</f><v /></c><c r="AJ21" s="372"><f>AJ20</f><v /></c><c r="AK21" s="373"><f>Z21</f><v /></c><c r="AL21" s="373" t="n"><v>228.04</v></c><c r="AM21" s="381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2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PA25517426</t></is></c><c r="H22" s="313"><f>H21</f><v /></c><c r="I22" s="38"><f>I21</f><v /></c><c r="J22" s="314"><f>J21</f><v /></c><c r="K22" s="372"><f>K21</f><v /></c><c r="L22" s="372"><f>L21</f><v /></c><c r="M22" s="373" t="n"><v>110.92</v></c><c r="N22" s="373" t="n"><v>210.94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2"><f>W21</f><v /></c><c r="X22" s="372"><f>X21</f><v /></c><c r="Y22" s="373" t="n"><v>213.54</v></c><c r="Z22" s="373" t="n"><v>223.55</v></c><c r="AA22" s="379"><f>AA21</f><v /></c><c r="AB22" s="380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2"><f>AI21</f><v /></c><c r="AJ22" s="372"><f>AJ21</f><v /></c><c r="AK22" s="373"><f>Z22</f><v /></c><c r="AL22" s="373" t="n"><v>228.63</v></c><c r="AM22" s="381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2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PA25517427</t></is></c><c r="H23" s="313"><f>H22</f><v /></c><c r="I23" s="38"><f>I22</f><v /></c><c r="J23" s="314"><f>J22</f><v /></c><c r="K23" s="372"><f>K22</f><v /></c><c r="L23" s="372"><f>L22</f><v /></c><c r="M23" s="373" t="n"><v>112.09</v></c><c r="N23" s="373" t="n"><v>212.74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2"><f>W22</f><v /></c><c r="X23" s="372"><f>X22</f><v /></c><c r="Y23" s="373" t="n"><v>215.35</v></c><c r="Z23" s="373" t="n"><v>225.36</v></c><c r="AA23" s="379"><f>AA22</f><v /></c><c r="AB23" s="380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2"><f>AI22</f><v /></c><c r="AJ23" s="372"><f>AJ22</f><v /></c><c r="AK23" s="373"><f>Z23</f><v /></c><c r="AL23" s="373" t="n"><v>230.44</v></c><c r="AM23" s="381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2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PA25517428</t></is></c><c r="H24" s="313"><f>H23</f><v /></c><c r="I24" s="38"><f>I23</f><v /></c><c r="J24" s="314"><f>J23</f><v /></c><c r="K24" s="372"><f>K23</f><v /></c><c r="L24" s="372"><f>L23</f><v /></c><c r="M24" s="373" t="n"><v>110.69</v></c><c r="N24" s="373" t="n"><v>210.71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2"><f>W23</f><v /></c><c r="X24" s="372"><f>X23</f><v /></c><c r="Y24" s="373" t="n"><v>213.31</v></c><c r="Z24" s="373" t="n"><v>223.32</v></c><c r="AA24" s="379"><f>AA23</f><v /></c><c r="AB24" s="380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2"><f>AI23</f><v /></c><c r="AJ24" s="372"><f>AJ23</f><v /></c><c r="AK24" s="373"><f>Z24</f><v /></c><c r="AL24" s="373" t="n"><v>228.38</v></c><c r="AM24" s="381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2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PA25517429</t></is></c><c r="H25" s="313"><f>H24</f><v /></c><c r="I25" s="38"><f>I24</f><v /></c><c r="J25" s="314"><f>J24</f><v /></c><c r="K25" s="372"><f>K24</f><v /></c><c r="L25" s="372"><f>L24</f><v /></c><c r="M25" s="373" t="n"><v>111.86</v></c><c r="N25" s="373" t="n"><v>212.05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2"><f>W24</f><v /></c><c r="X25" s="372"><f>X24</f><v /></c><c r="Y25" s="373" t="n"><v>214.64</v></c><c r="Z25" s="373" t="n"><v>224.64</v></c><c r="AA25" s="379"><f>AA24</f><v /></c><c r="AB25" s="380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2"><f>AI24</f><v /></c><c r="AJ25" s="372"><f>AJ24</f><v /></c><c r="AK25" s="373"><f>Z25</f><v /></c><c r="AL25" s="373" t="n"><v>229.7</v></c><c r="AM25" s="381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2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PA25517430</t></is></c><c r="H26" s="313"><f>H25</f><v /></c><c r="I26" s="38"><f>I25</f><v /></c><c r="J26" s="314"><f>J25</f><v /></c><c r="K26" s="372"><f>K25</f><v /></c><c r="L26" s="372"><f>L25</f><v /></c><c r="M26" s="373" t="n"><v>112.1</v></c><c r="N26" s="373" t="n"><v>211.65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2"><f>W25</f><v /></c><c r="X26" s="372"><f>X25</f><v /></c><c r="Y26" s="373" t="n"><v>214.21</v></c><c r="Z26" s="373" t="n"><v>224.14</v></c><c r="AA26" s="379"><f>AA25</f><v /></c><c r="AB26" s="380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2"><f>AI25</f><v /></c><c r="AJ26" s="372"><f>AJ25</f><v /></c><c r="AK26" s="373"><f>Z26</f><v /></c><c r="AL26" s="373" t="n"><v>229.08</v></c><c r="AM26" s="381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2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.7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PA25517431</t></is></c><c r="H27" s="313"><f>H26</f><v /></c><c r="I27" s="38"><f>I26</f><v /></c><c r="J27" s="314"><f>J26</f><v /></c><c r="K27" s="372"><f>K26</f><v /></c><c r="L27" s="372"><f>L26</f><v /></c><c r="M27" s="373" t="n"><v>112.96</v></c><c r="N27" s="373" t="n"><v>213.24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2"><f>W26</f><v /></c><c r="X27" s="372"><f>X26</f><v /></c><c r="Y27" s="373" t="n"><v>215.79</v></c><c r="Z27" s="373" t="n"><v>225.8</v></c><c r="AA27" s="379"><f>AA26</f><v /></c><c r="AB27" s="380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2"><f>AI26</f><v /></c><c r="AJ27" s="372"><f>AJ26</f><v /></c><c r="AK27" s="373"><f>Z27</f><v /></c><c r="AL27" s="373" t="n"><v>230.85</v></c><c r="AM27" s="381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2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PA25517432</t></is></c><c r="H28" s="313"><f>H27</f><v /></c><c r="I28" s="38"><f>I27</f><v /></c><c r="J28" s="314"><f>J27</f><v /></c><c r="K28" s="372"><f>K27</f><v /></c><c r="L28" s="372"><f>L27</f><v /></c><c r="M28" s="373" t="n"><v>112.36</v></c><c r="N28" s="373" t="n"><v>212.64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2"><f>W27</f><v /></c><c r="X28" s="372"><f>X27</f><v /></c><c r="Y28" s="373" t="n"><v>215.25</v></c><c r="Z28" s="373" t="n"><v>225.28</v></c><c r="AA28" s="379"><f>AA27</f><v /></c><c r="AB28" s="380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2"><f>AI27</f><v /></c><c r="AJ28" s="372"><f>AJ27</f><v /></c><c r="AK28" s="373"><f>Z28</f><v /></c><c r="AL28" s="373" t="n"><v>230.32</v></c><c r="AM28" s="381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2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PA25517433</t></is></c><c r="H29" s="313"><f>H28</f><v /></c><c r="I29" s="38"><f>I28</f><v /></c><c r="J29" s="314"><f>J28</f><v /></c><c r="K29" s="372"><f>K28</f><v /></c><c r="L29" s="372"><f>L28</f><v /></c><c r="M29" s="373" t="n"><v>113.25</v></c><c r="N29" s="373" t="n"><v>213.7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2"><f>W28</f><v /></c><c r="X29" s="372"><f>X28</f><v /></c><c r="Y29" s="373" t="n"><v>216.3</v></c><c r="Z29" s="373" t="n"><v>226.34</v></c><c r="AA29" s="379"><f>AA28</f><v /></c><c r="AB29" s="380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2"><f>AI28</f><v /></c><c r="AJ29" s="372"><f>AJ28</f><v /></c><c r="AK29" s="373"><f>Z29</f><v /></c><c r="AL29" s="373" t="n"><v>231.41</v></c><c r="AM29" s="381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2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.7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PA25517434</t></is></c><c r="H30" s="313"><f>H29</f><v /></c><c r="I30" s="38"><f>I29</f><v /></c><c r="J30" s="314"><f>J29</f><v /></c><c r="K30" s="372"><f>K29</f><v /></c><c r="L30" s="372"><f>L29</f><v /></c><c r="M30" s="373" t="n"><v>112.31</v></c><c r="N30" s="373" t="n"><v>212.19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2"><f>W29</f><v /></c><c r="X30" s="372"><f>X29</f><v /></c><c r="Y30" s="373" t="n"><v>214.75</v></c><c r="Z30" s="373" t="n"><v>224.8</v></c><c r="AA30" s="379"><f>AA29</f><v /></c><c r="AB30" s="380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2"><f>AI29</f><v /></c><c r="AJ30" s="372"><f>AJ29</f><v /></c><c r="AK30" s="373"><f>Z30</f><v /></c><c r="AL30" s="373" t="n"><v>229.9</v></c><c r="AM30" s="381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2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PA25517435</t></is></c><c r="H31" s="313"><f>H30</f><v /></c><c r="I31" s="38"><f>I30</f><v /></c><c r="J31" s="314"><f>J30</f><v /></c><c r="K31" s="372"><f>K30</f><v /></c><c r="L31" s="372"><f>L30</f><v /></c><c r="M31" s="373" t="n"><v>113.71</v></c><c r="N31" s="373" t="n"><v>214.26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2"><f>W30</f><v /></c><c r="X31" s="372"><f>X30</f><v /></c><c r="Y31" s="373" t="n"><v>216.84</v></c><c r="Z31" s="373" t="n"><v>226.85</v></c><c r="AA31" s="379"><f>AA30</f><v /></c><c r="AB31" s="380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2"><f>AI30</f><v /></c><c r="AJ31" s="372"><f>AJ30</f><v /></c><c r="AK31" s="373"><f>Z31</f><v /></c><c r="AL31" s="373" t="n"><v>231.9</v></c><c r="AM31" s="381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2"><f>IF(I31&gt;=1,"NO CONFORME",IF(BK31="SIGDIFERENTES",BC31,BL31))</f><v /></c><c r="AU31" s="364"><f>B31=C31</f><v /></c><c r="AV31" s="364"><f>N31&lt;Y31</f><v /></c><c r="AW31" s="364"><f>Z31&lt;=AK31</f><v /></c><c r="AX31" s="364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366"><f>SIGN(U31)</f><v /></c><c r="BE31" s="366"><f>SIGN(AG31)</f><v /></c><c r="BF31" s="366"><f>SIGN(AS31)</f><v /></c><c r="BG31" s="366"><f>CONCATENATE(BD31,BE31,BF31)</f><v /></c><c r="BH31" s="366"><f>IF(BG31="111","SI","SD")</f><v /></c><c r="BI31" s="366"><f>IF(BG31="-1-1-1","SI","SD")</f><v /></c><c r="BJ31" s="366"><f>OR(BH31="SI",BI31="SI")</f><v /></c><c r="BK31" s="366"><f>IF(BJ31=FALSE,"SIGDIFERENTES","SIGIGUALES")</f><v /></c><c r="BL31" s="365"><f>IF(BC31="NO CONFORME","NO CONFORME",IF(BB31="CONFORME","CONFORME","NO CONFORME"))</f><v /></c></row><row r="32" ht="15" customHeight="1" thickBot="1"><c r="A32" s="383" t="n"><v>24</v></c><c r="B32" s="384"><f>B31</f><v /></c><c r="C32" s="384"><f>C31</f><v /></c><c r="D32" s="385"><f>D31</f><v /></c><c r="E32" s="386"><f>E31</f><v /></c><c r="F32" s="52" t="n" /><c r="G32" s="337" t="inlineStr"><is><t>PA25517436</t></is></c><c r="H32" s="326"><f>H31</f><v /></c><c r="I32" s="98"><f>I31</f><v /></c><c r="J32" s="327"><f>J31</f><v /></c><c r="K32" s="387"><f>K31</f><v /></c><c r="L32" s="387"><f>L31</f><v /></c><c r="M32" s="388" t="n"><v>112.91</v></c><c r="N32" s="388" t="n"><v>212.9</v></c><c r="O32" s="389"><f>O31</f><v /></c><c r="P32" s="390"><f>P31</f><v /></c><c r="Q32" s="391"><f>LEFT(P32,1)</f><v /></c><c r="R32" s="391"><f>RIGHT(P32,6)</f><v /></c><c r="S32" s="391"><f>+(Q32*60+R32)/(60*60)</f><v /></c><c r="T32" s="392"><f>+O32/S32</f><v /></c><c r="U32" s="393"><f>+(((N32-M32-O32)/O32)*100)</f><v /></c><c r="V32" s="329"><f>V31</f><v /></c><c r="W32" s="387"><f>W31</f><v /></c><c r="X32" s="387"><f>X31</f><v /></c><c r="Y32" s="388" t="n"><v>215.5</v></c><c r="Z32" s="388" t="n"><v>225.58</v></c><c r="AA32" s="394"><f>AA31</f><v /></c><c r="AB32" s="395"><f>AB31</f><v /></c><c r="AC32" s="391"><f>LEFT(AB32,2)</f><v /></c><c r="AD32" s="391"><f>RIGHT(AB32,6)</f><v /></c><c r="AE32" s="391"><f>+(AC32*60+AD32)/(60*60)</f><v /></c><c r="AF32" s="392"><f>+AA32/AE32</f><v /></c><c r="AG32" s="396"><f>+(((Z32-Y32-AA32)/AA32)*100)</f><v /></c><c r="AH32" s="329"><f>AH31</f><v /></c><c r="AI32" s="387"><f>AI31</f><v /></c><c r="AJ32" s="387"><f>AJ31</f><v /></c><c r="AK32" s="388"><f>Z32</f><v /></c><c r="AL32" s="388" t="n"><v>230.68</v></c><c r="AM32" s="397"><f>AM31</f><v /></c><c r="AN32" s="390"><f>AN31</f><v /></c><c r="AO32" s="391"><f>LEFT(AN32,2)</f><v /></c><c r="AP32" s="391"><f>RIGHT(AN32,6)</f><v /></c><c r="AQ32" s="391"><f>+(AO32*60+AP32)/(60*60)</f><v /></c><c r="AR32" s="392"><f>+AM32/AQ32</f><v /></c><c r="AS32" s="396"><f>+(((AL32-AK32-AM32)/AM32)*100)</f><v /></c><c r="AT32" s="398"><f>IF(I32&gt;=1,"NO CONFORME",IF(BK32="SIGDIFERENTES",BC32,BL32))</f><v /></c><c r="AU32" s="399"><f>B32=C32</f><v /></c><c r="AV32" s="399"><f>N32&lt;Y32</f><v /></c><c r="AW32" s="399"><f>Z32&lt;=AK32</f><v /></c><c r="AX32" s="399"><f>IF(I32&gt;=1,"Qcorrecto",IF(AND(AY32="aceptable",AZ32="aceptable",BA32="aceptable"),"Qcorrecto","Qincorrecto"))</f><v /></c><c r="AY32" s="400"><f>IF(AR32&lt;$AH$6,"error",IF(AR32&gt;$AH$6*1.1,"error","aceptable"))</f><v /></c><c r="AZ32" s="400"><f>IF(AF32&lt;$V$6,"error",IF(AF32&gt;$V$6*1.1,"error","aceptable"))</f><v /></c><c r="BA32" s="400"><f>IF(T32&lt;$J$6*0.9,"error",IF(T32&gt;$J$6,"error","aceptable"))</f><v /></c><c r="BB32" s="401"><f>(IF(ABS(U32)&lt;1.05,"CONFORME",IF(ABS(AG32)&lt;1.05,"CONFORME",IF(ABS(AS32)&lt;2.55,"CONFORME","NO CONFORME"))))</f><v /></c><c r="BC32" s="402"><f>(IF(ABS(U32)&gt;2.05,"NO CONFORME",IF(ABS(AG32)&gt;2.05,"NO CONFORME",IF(ABS(AS32)&gt;5.05,"NO CONFORME","CONFORME"))))</f><v /></c><c r="BD32" s="403"><f>SIGN(U32)</f><v /></c><c r="BE32" s="403"><f>SIGN(AG32)</f><v /></c><c r="BF32" s="403"><f>SIGN(AS32)</f><v /></c><c r="BG32" s="403"><f>CONCATENATE(BD32,BE32,BF32)</f><v /></c><c r="BH32" s="403"><f>IF(BG32="111","SI","SD")</f><v /></c><c r="BI32" s="403"><f>IF(BG32="-1-1-1","SI","SD")</f><v /></c><c r="BJ32" s="403"><f>OR(BH32="SI",BI32="SI")</f><v /></c><c r="BK32" s="403"><f>IF(BJ32=FALSE,"SIGDIFERENTES","SIGIGUALES")</f><v /></c><c r="BL32" s="400"><f>IF(BC32="NO CONFORME","NO CONFORME",IF(BB32="CONFORME","CONFORME","NO CONFORME"))</f><v /></c></row><row r="33" ht="15" customHeight="1" thickBot="1"><c r="A33" s="351" t="n"><v>25</v></c><c r="B33" s="404"><f>B32</f><v /></c><c r="C33" s="404"><f>C32</f><v /></c><c r="D33" s="405"><f>D32</f><v /></c><c r="E33" s="406"><f>E32</f><v /></c><c r="F33" s="58" t="n" /><c r="G33" s="300" t="inlineStr"><is><t>PA25517437</t></is></c><c r="H33" s="407"><f>H32</f><v /></c><c r="I33" s="232"><f>I32</f><v /></c><c r="J33" s="408" t="n"><v>20.7</v></c><c r="K33" s="409" t="n"><v>8.329000000000001</v></c><c r="L33" s="409" t="n"><v>0.517</v></c><c r="M33" s="355" t="n"><v>111.42</v></c><c r="N33" s="355" t="n"><v>211.79</v></c><c r="O33" s="410" t="n"><v>100.69</v></c><c r="P33" s="411" t="inlineStr"><is><t>2,30,690</t></is></c><c r="Q33" s="358"><f>LEFT(P33,1)</f><v /></c><c r="R33" s="358"><f>RIGHT(P33,6)</f><v /></c><c r="S33" s="358"><f>+(Q33*60+R33)/(60*60)</f><v /></c><c r="T33" s="359"><f>+O33/S33</f><v /></c><c r="U33" s="360"><f>+(((N33-M33-O33)/O33)*100)</f><v /></c><c r="V33" s="412" t="n"><v>20.6</v></c><c r="W33" s="409" t="n"><v>1.392</v></c><c r="X33" s="409" t="n"><v>1.386</v></c><c r="Y33" s="355" t="n"><v>214.31</v></c><c r="Z33" s="355" t="n"><v>224.35</v></c><c r="AA33" s="413" t="n"><v>10.021</v></c><c r="AB33" s="414" t="inlineStr"><is><t>22,40,600</t></is></c><c r="AC33" s="358"><f>LEFT(AB33,2)</f><v /></c><c r="AD33" s="358"><f>RIGHT(AB33,6)</f><v /></c><c r="AE33" s="358"><f>+(AC33*60+AD33)/(60*60)</f><v /></c><c r="AF33" s="359"><f>+AA33/AE33</f><v /></c><c r="AG33" s="361"><f>+(((Z33-Y33-AA33)/AA33)*100)</f><v /></c><c r="AH33" s="412" t="n"><v>20.8</v></c><c r="AI33" s="409" t="n"><v>1.394</v></c><c r="AJ33" s="409" t="n"><v>1.398</v></c><c r="AK33" s="355"><f>Z33</f><v /></c><c r="AL33" s="355" t="n"><v>229.45</v></c><c r="AM33" s="415" t="n"><v>5.014</v></c><c r="AN33" s="411" t="inlineStr"><is><t>18,15,110</t></is></c><c r="AO33" s="358"><f>LEFT(AN33,2)</f><v /></c><c r="AP33" s="358"><f>RIGHT(AN33,6)</f><v /></c><c r="AQ33" s="358"><f>+(AO33*60+AP33)/(60*60)</f><v /></c><c r="AR33" s="359"><f>+AM33/AQ33</f><v /></c><c r="AS33" s="361"><f>+(((AL33-AK33-AM33)/AM33)*100)</f><v /></c><c r="AT33" s="363"><f>IF(I33&gt;=1,"NO CONFORME",IF(BK33="SIGDIFERENTES",BC33,BL33))</f><v /></c><c r="AU33" s="364"><f>B33=C33</f><v /></c><c r="AV33" s="364"><f>N33&lt;Y33</f><v /></c><c r="AW33" s="364"><f>Z33&lt;=AK33</f><v /></c><c r="AX33" s="364"><f>IF(I33&gt;=1,"Qcorrecto",IF(AND(AY33="aceptable",AZ33="aceptable",BA33="aceptable"),"Qcorrecto","Qincorrecto"))</f><v /></c><c r="AY33" s="367"><f>IF(AR33&lt;$AH$6,"error",IF(AR33&gt;$AH$6*1.1,"error","aceptable"))</f><v /></c><c r="AZ33" s="367"><f>IF(AF33&lt;$V$6,"error",IF(AF33&gt;$V$6*1.1,"error","aceptable"))</f><v /></c><c r="BA33" s="367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66"><f>SIGN(U33)</f><v /></c><c r="BE33" s="366"><f>SIGN(AG33)</f><v /></c><c r="BF33" s="366"><f>SIGN(AS33)</f><v /></c><c r="BG33" s="366"><f>CONCATENATE(BD33,BE33,BF33)</f><v /></c><c r="BH33" s="366"><f>IF(BG33="111","SI","SD")</f><v /></c><c r="BI33" s="366"><f>IF(BG33="-1-1-1","SI","SD")</f><v /></c><c r="BJ33" s="366"><f>OR(BH33="SI",BI33="SI")</f><v /></c><c r="BK33" s="366"><f>IF(BJ33=FALSE,"SIGDIFERENTES","SIGIGUALES")</f><v /></c><c r="BL33" s="367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PA25517438</t></is></c><c r="H34" s="313"><f>H33</f><v /></c><c r="I34" s="38"><f>I33</f><v /></c><c r="J34" s="314"><f>J33</f><v /></c><c r="K34" s="372"><f>K33</f><v /></c><c r="L34" s="372"><f>L33</f><v /></c><c r="M34" s="373" t="n"><v>111.89</v></c><c r="N34" s="373" t="n"><v>212.35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2"><f>W33</f><v /></c><c r="X34" s="372"><f>X33</f><v /></c><c r="Y34" s="373" t="n"><v>214.81</v></c><c r="Z34" s="373" t="n"><v>224.81</v></c><c r="AA34" s="379"><f>AA33</f><v /></c><c r="AB34" s="380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2"><f>AI33</f><v /></c><c r="AJ34" s="372"><f>AJ33</f><v /></c><c r="AK34" s="373"><f>Z34</f><v /></c><c r="AL34" s="373" t="n"><v>229.85</v></c><c r="AM34" s="381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2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PA25517439</t></is></c><c r="H35" s="313"><f>H34</f><v /></c><c r="I35" s="38"><f>I34</f><v /></c><c r="J35" s="314"><f>J34</f><v /></c><c r="K35" s="372"><f>K34</f><v /></c><c r="L35" s="372"><f>L34</f><v /></c><c r="M35" s="373" t="n"><v>111.78</v></c><c r="N35" s="373" t="n"><v>211.86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2"><f>W34</f><v /></c><c r="X35" s="372"><f>X34</f><v /></c><c r="Y35" s="373" t="n"><v>214.39</v></c><c r="Z35" s="373" t="n"><v>224.38</v></c><c r="AA35" s="379"><f>AA34</f><v /></c><c r="AB35" s="380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2"><f>AI34</f><v /></c><c r="AJ35" s="372"><f>AJ34</f><v /></c><c r="AK35" s="373"><f>Z35</f><v /></c><c r="AL35" s="373" t="n"><v>229.44</v></c><c r="AM35" s="381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2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PA25517440</t></is></c><c r="H36" s="313"><f>H35</f><v /></c><c r="I36" s="38"><f>I35</f><v /></c><c r="J36" s="314"><f>J35</f><v /></c><c r="K36" s="372"><f>K35</f><v /></c><c r="L36" s="372"><f>L35</f><v /></c><c r="M36" s="373" t="n"><v>111.81</v></c><c r="N36" s="373" t="n"><v>211.98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2"><f>W35</f><v /></c><c r="X36" s="372"><f>X35</f><v /></c><c r="Y36" s="373" t="n"><v>214.48</v></c><c r="Z36" s="373" t="n"><v>224.48</v></c><c r="AA36" s="379"><f>AA35</f><v /></c><c r="AB36" s="380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2"><f>AI35</f><v /></c><c r="AJ36" s="372"><f>AJ35</f><v /></c><c r="AK36" s="373"><f>Z36</f><v /></c><c r="AL36" s="373" t="n"><v>229.54</v></c><c r="AM36" s="381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2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5.75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PA25517441</t></is></c><c r="H37" s="313"><f>H36</f><v /></c><c r="I37" s="38"><f>I36</f><v /></c><c r="J37" s="314"><f>J36</f><v /></c><c r="K37" s="372"><f>K36</f><v /></c><c r="L37" s="372"><f>L36</f><v /></c><c r="M37" s="373" t="n"><v>110.85</v></c><c r="N37" s="373" t="n"><v>211.04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2"><f>W36</f><v /></c><c r="X37" s="372"><f>X36</f><v /></c><c r="Y37" s="373" t="n"><v>213.55</v></c><c r="Z37" s="373" t="n"><v>223.57</v></c><c r="AA37" s="379"><f>AA36</f><v /></c><c r="AB37" s="380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2"><f>AI36</f><v /></c><c r="AJ37" s="372"><f>AJ36</f><v /></c><c r="AK37" s="373"><f>Z37</f><v /></c><c r="AL37" s="373" t="n"><v>228.64</v></c><c r="AM37" s="381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2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5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PA25517442</t></is></c><c r="H38" s="313"><f>H37</f><v /></c><c r="I38" s="38"><f>I37</f><v /></c><c r="J38" s="314"><f>J37</f><v /></c><c r="K38" s="372"><f>K37</f><v /></c><c r="L38" s="372"><f>L37</f><v /></c><c r="M38" s="373" t="n"><v>110</v></c><c r="N38" s="373" t="n"><v>209.82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2"><f>W37</f><v /></c><c r="X38" s="372"><f>X37</f><v /></c><c r="Y38" s="373" t="n"><v>212.31</v></c><c r="Z38" s="373" t="n"><v>222.29</v></c><c r="AA38" s="379"><f>AA37</f><v /></c><c r="AB38" s="380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2"><f>AI37</f><v /></c><c r="AJ38" s="372"><f>AJ37</f><v /></c><c r="AK38" s="373"><f>Z38</f><v /></c><c r="AL38" s="373" t="n"><v>227.3</v></c><c r="AM38" s="381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2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5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PA25517443</t></is></c><c r="H39" s="313"><f>H38</f><v /></c><c r="I39" s="38"><f>I38</f><v /></c><c r="J39" s="314"><f>J38</f><v /></c><c r="K39" s="372"><f>K38</f><v /></c><c r="L39" s="372"><f>L38</f><v /></c><c r="M39" s="373" t="n"><v>110.11</v></c><c r="N39" s="373" t="n"><v>210.01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2"><f>W38</f><v /></c><c r="X39" s="372"><f>X38</f><v /></c><c r="Y39" s="373" t="n"><v>212.5</v></c><c r="Z39" s="373" t="n"><v>222.5</v></c><c r="AA39" s="379"><f>AA38</f><v /></c><c r="AB39" s="380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2"><f>AI38</f><v /></c><c r="AJ39" s="372"><f>AJ38</f><v /></c><c r="AK39" s="373"><f>Z39</f><v /></c><c r="AL39" s="373" t="n"><v>227.55</v></c><c r="AM39" s="381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2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5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PA25517444</t></is></c><c r="H40" s="313"><f>H39</f><v /></c><c r="I40" s="38"><f>I39</f><v /></c><c r="J40" s="314"><f>J39</f><v /></c><c r="K40" s="372"><f>K39</f><v /></c><c r="L40" s="372"><f>L39</f><v /></c><c r="M40" s="373" t="n"><v>111.18</v></c><c r="N40" s="373" t="n"><v>211.51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2"><f>W39</f><v /></c><c r="X40" s="372"><f>X39</f><v /></c><c r="Y40" s="373" t="n"><v>214</v></c><c r="Z40" s="373" t="n"><v>224.07</v></c><c r="AA40" s="379"><f>AA39</f><v /></c><c r="AB40" s="380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2"><f>AI39</f><v /></c><c r="AJ40" s="372"><f>AJ39</f><v /></c><c r="AK40" s="373"><f>Z40</f><v /></c><c r="AL40" s="373" t="n"><v>229.18</v></c><c r="AM40" s="381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2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5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PA25517445</t></is></c><c r="H41" s="313"><f>H40</f><v /></c><c r="I41" s="38"><f>I40</f><v /></c><c r="J41" s="314"><f>J40</f><v /></c><c r="K41" s="372"><f>K40</f><v /></c><c r="L41" s="372"><f>L40</f><v /></c><c r="M41" s="373" t="n"><v>109.64</v></c><c r="N41" s="373" t="n"><v>209.6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2"><f>W40</f><v /></c><c r="X41" s="372"><f>X40</f><v /></c><c r="Y41" s="373" t="n"><v>212.09</v></c><c r="Z41" s="373" t="n"><v>222.1</v></c><c r="AA41" s="379"><f>AA40</f><v /></c><c r="AB41" s="380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2"><f>AI40</f><v /></c><c r="AJ41" s="372"><f>AJ40</f><v /></c><c r="AK41" s="373"><f>Z41</f><v /></c><c r="AL41" s="373" t="n"><v>227.16</v></c><c r="AM41" s="381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2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5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PA25517446</t></is></c><c r="H42" s="313"><f>H41</f><v /></c><c r="I42" s="38"><f>I41</f><v /></c><c r="J42" s="314"><f>J41</f><v /></c><c r="K42" s="372"><f>K41</f><v /></c><c r="L42" s="372"><f>L41</f><v /></c><c r="M42" s="373" t="n"><v>108.4</v></c><c r="N42" s="373" t="n"><v>207.62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2"><f>W41</f><v /></c><c r="X42" s="372"><f>X41</f><v /></c><c r="Y42" s="373" t="n"><v>210.1</v></c><c r="Z42" s="373" t="n"><v>220</v></c><c r="AA42" s="379"><f>AA41</f><v /></c><c r="AB42" s="380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2"><f>AI41</f><v /></c><c r="AJ42" s="372"><f>AJ41</f><v /></c><c r="AK42" s="373"><f>Z42</f><v /></c><c r="AL42" s="373" t="n"><v>224.98</v></c><c r="AM42" s="381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2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5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PA25517447</t></is></c><c r="H43" s="313"><f>H42</f><v /></c><c r="I43" s="38"><f>I42</f><v /></c><c r="J43" s="314"><f>J42</f><v /></c><c r="K43" s="372"><f>K42</f><v /></c><c r="L43" s="372"><f>L42</f><v /></c><c r="M43" s="373" t="n"><v>110.61</v></c><c r="N43" s="373" t="n"><v>211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2"><f>W42</f><v /></c><c r="X43" s="372"><f>X42</f><v /></c><c r="Y43" s="373" t="n"><v>213.5</v></c><c r="Z43" s="373" t="n"><v>223.52</v></c><c r="AA43" s="379"><f>AA42</f><v /></c><c r="AB43" s="380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2"><f>AI42</f><v /></c><c r="AJ43" s="372"><f>AJ42</f><v /></c><c r="AK43" s="373"><f>Z43</f><v /></c><c r="AL43" s="373" t="n"><v>228.58</v></c><c r="AM43" s="381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2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5.75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PA25517448</t></is></c><c r="H44" s="313"><f>H43</f><v /></c><c r="I44" s="38"><f>I43</f><v /></c><c r="J44" s="314"><f>J43</f><v /></c><c r="K44" s="372"><f>K43</f><v /></c><c r="L44" s="372"><f>L43</f><v /></c><c r="M44" s="373" t="n"><v>110.87</v></c><c r="N44" s="373" t="n"><v>211.25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2"><f>W43</f><v /></c><c r="X44" s="372"><f>X43</f><v /></c><c r="Y44" s="373" t="n"><v>213.74</v></c><c r="Z44" s="373" t="n"><v>223.75</v></c><c r="AA44" s="379"><f>AA43</f><v /></c><c r="AB44" s="380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2"><f>AI43</f><v /></c><c r="AJ44" s="372"><f>AJ43</f><v /></c><c r="AK44" s="373"><f>Z44</f><v /></c><c r="AL44" s="373" t="n"><v>228.81</v></c><c r="AM44" s="381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2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PA25517449</t></is></c><c r="H45" s="313"><f>H44</f><v /></c><c r="I45" s="38"><f>I44</f><v /></c><c r="J45" s="314"><f>J44</f><v /></c><c r="K45" s="372"><f>K44</f><v /></c><c r="L45" s="372"><f>L44</f><v /></c><c r="M45" s="373" t="n"><v>111.23</v></c><c r="N45" s="373" t="n"><v>211.78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2"><f>W44</f><v /></c><c r="X45" s="372"><f>X44</f><v /></c><c r="Y45" s="373" t="n"><v>214.3</v></c><c r="Z45" s="373" t="n"><v>224.35</v></c><c r="AA45" s="379"><f>AA44</f><v /></c><c r="AB45" s="380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2"><f>AI44</f><v /></c><c r="AJ45" s="372"><f>AJ44</f><v /></c><c r="AK45" s="373"><f>Z45</f><v /></c><c r="AL45" s="373" t="n"><v>229.44</v></c><c r="AM45" s="381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2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PA25517450</t></is></c><c r="H46" s="313"><f>H45</f><v /></c><c r="I46" s="38"><f>I45</f><v /></c><c r="J46" s="314"><f>J45</f><v /></c><c r="K46" s="372"><f>K45</f><v /></c><c r="L46" s="372"><f>L45</f><v /></c><c r="M46" s="373" t="n"><v>110.9</v></c><c r="N46" s="373" t="n"><v>211.39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2"><f>W45</f><v /></c><c r="X46" s="372"><f>X45</f><v /></c><c r="Y46" s="373" t="n"><v>213.86</v></c><c r="Z46" s="373" t="n"><v>223.86</v></c><c r="AA46" s="379"><f>AA45</f><v /></c><c r="AB46" s="380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2"><f>AI45</f><v /></c><c r="AJ46" s="372"><f>AJ45</f><v /></c><c r="AK46" s="373"><f>Z46</f><v /></c><c r="AL46" s="373" t="n"><v>228.93</v></c><c r="AM46" s="381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2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PA25517451</t></is></c><c r="H47" s="313"><f>H46</f><v /></c><c r="I47" s="38"><f>I46</f><v /></c><c r="J47" s="314"><f>J46</f><v /></c><c r="K47" s="372"><f>K46</f><v /></c><c r="L47" s="372"><f>L46</f><v /></c><c r="M47" s="373" t="n"><v>110.39</v></c><c r="N47" s="373" t="n"><v>210.37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2"><f>W46</f><v /></c><c r="X47" s="372"><f>X46</f><v /></c><c r="Y47" s="373" t="n"><v>212.82</v></c><c r="Z47" s="373" t="n"><v>222.85</v></c><c r="AA47" s="379"><f>AA46</f><v /></c><c r="AB47" s="380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2"><f>AI46</f><v /></c><c r="AJ47" s="372"><f>AJ46</f><v /></c><c r="AK47" s="373"><f>Z47</f><v /></c><c r="AL47" s="373" t="n"><v>227.91</v></c><c r="AM47" s="381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2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3" t="n"><v>40</v></c><c r="B48" s="384"><f>B47</f><v /></c><c r="C48" s="384"><f>C47</f><v /></c><c r="D48" s="385"><f>D47</f><v /></c><c r="E48" s="386"><f>E47</f><v /></c><c r="F48" s="52" t="n" /><c r="G48" s="337" t="inlineStr"><is><t>PA25517452</t></is></c><c r="H48" s="326"><f>H47</f><v /></c><c r="I48" s="98"><f>I47</f><v /></c><c r="J48" s="327"><f>J47</f><v /></c><c r="K48" s="387"><f>K47</f><v /></c><c r="L48" s="387"><f>L47</f><v /></c><c r="M48" s="388" t="n"><v>111.17</v></c><c r="N48" s="388" t="n"><v>211.55</v></c><c r="O48" s="389"><f>O47</f><v /></c><c r="P48" s="390"><f>P47</f><v /></c><c r="Q48" s="391"><f>LEFT(P48,1)</f><v /></c><c r="R48" s="391"><f>RIGHT(P48,6)</f><v /></c><c r="S48" s="391"><f>+(Q48*60+R48)/(60*60)</f><v /></c><c r="T48" s="392"><f>+O48/S48</f><v /></c><c r="U48" s="393"><f>+(((N48-M48-O48)/O48)*100)</f><v /></c><c r="V48" s="329"><f>V47</f><v /></c><c r="W48" s="387"><f>W47</f><v /></c><c r="X48" s="387"><f>X47</f><v /></c><c r="Y48" s="388" t="n"><v>214.05</v></c><c r="Z48" s="388" t="n"><v>224.15</v></c><c r="AA48" s="394"><f>AA47</f><v /></c><c r="AB48" s="395"><f>AB47</f><v /></c><c r="AC48" s="391"><f>LEFT(AB48,2)</f><v /></c><c r="AD48" s="391"><f>RIGHT(AB48,6)</f><v /></c><c r="AE48" s="391"><f>+(AC48*60+AD48)/(60*60)</f><v /></c><c r="AF48" s="392"><f>+AA48/AE48</f><v /></c><c r="AG48" s="396"><f>+(((Z48-Y48-AA48)/AA48)*100)</f><v /></c><c r="AH48" s="329"><f>AH47</f><v /></c><c r="AI48" s="387"><f>AI47</f><v /></c><c r="AJ48" s="387"><f>AJ47</f><v /></c><c r="AK48" s="388"><f>Z48</f><v /></c><c r="AL48" s="388" t="n"><v>229.22</v></c><c r="AM48" s="397"><f>AM47</f><v /></c><c r="AN48" s="390"><f>AN47</f><v /></c><c r="AO48" s="391"><f>LEFT(AN48,2)</f><v /></c><c r="AP48" s="391"><f>RIGHT(AN48,6)</f><v /></c><c r="AQ48" s="391"><f>+(AO48*60+AP48)/(60*60)</f><v /></c><c r="AR48" s="392"><f>+AM48/AQ48</f><v /></c><c r="AS48" s="396"><f>+(((AL48-AK48-AM48)/AM48)*100)</f><v /></c><c r="AT48" s="398"><f>IF(I48&gt;=1,"NO CONFORME",IF(BK48="SIGDIFERENTES",BC48,BL48))</f><v /></c><c r="AU48" s="399"><f>B48=C48</f><v /></c><c r="AV48" s="399"><f>N48&lt;Y48</f><v /></c><c r="AW48" s="399"><f>Z48&lt;=AK48</f><v /></c><c r="AX48" s="399"><f>IF(I48&gt;=1,"Qcorrecto",IF(AND(AY48="aceptable",AZ48="aceptable",BA48="aceptable"),"Qcorrecto","Qincorrecto"))</f><v /></c><c r="AY48" s="400"><f>IF(AR48&lt;$AH$6,"error",IF(AR48&gt;$AH$6*1.1,"error","aceptable"))</f><v /></c><c r="AZ48" s="400"><f>IF(AF48&lt;$V$6,"error",IF(AF48&gt;$V$6*1.1,"error","aceptable"))</f><v /></c><c r="BA48" s="400"><f>IF(T48&lt;$J$6*0.9,"error",IF(T48&gt;$J$6,"error","aceptable"))</f><v /></c><c r="BB48" s="401"><f>(IF(ABS(U48)&lt;1.05,"CONFORME",IF(ABS(AG48)&lt;1.05,"CONFORME",IF(ABS(AS48)&lt;2.55,"CONFORME","NO CONFORME"))))</f><v /></c><c r="BC48" s="402"><f>(IF(ABS(U48)&gt;2.05,"NO CONFORME",IF(ABS(AG48)&gt;2.05,"NO CONFORME",IF(ABS(AS48)&gt;5.05,"NO CONFORME","CONFORME"))))</f><v /></c><c r="BD48" s="403"><f>SIGN(U48)</f><v /></c><c r="BE48" s="403"><f>SIGN(AG48)</f><v /></c><c r="BF48" s="403"><f>SIGN(AS48)</f><v /></c><c r="BG48" s="403"><f>CONCATENATE(BD48,BE48,BF48)</f><v /></c><c r="BH48" s="403"><f>IF(BG48="111","SI","SD")</f><v /></c><c r="BI48" s="403"><f>IF(BG48="-1-1-1","SI","SD")</f><v /></c><c r="BJ48" s="403"><f>OR(BH48="SI",BI48="SI")</f><v /></c><c r="BK48" s="403"><f>IF(BJ48=FALSE,"SIGDIFERENTES","SIGIGUALES")</f><v /></c><c r="BL48" s="400"><f>IF(BC48="NO CONFORME","NO CONFORME",IF(BB48="CONFORME","CONFORME","NO CONFORME"))</f><v /></c></row><row r="49" ht="14.4" customHeight="1" thickBot="1"><c r="A49" s="351" t="n"><v>41</v></c><c r="B49" s="404"><f>B48</f><v /></c><c r="C49" s="404"><f>C48</f><v /></c><c r="D49" s="405"><f>D48</f><v /></c><c r="E49" s="406"><f>E48</f><v /></c><c r="F49" s="58" t="n" /><c r="G49" s="300" t="inlineStr"><is><t>PA25517453</t></is></c><c r="H49" s="407"><f>H48</f><v /></c><c r="I49" s="232"><f>I48</f><v /></c><c r="J49" s="408" t="n"><v>20.6</v></c><c r="K49" s="409" t="n"><v>8.33</v></c><c r="L49" s="409" t="n"><v>0.535</v></c><c r="M49" s="355" t="n"><v>102.51</v></c><c r="N49" s="355" t="n"><v>203.34</v></c><c r="O49" s="410" t="n"><v>100.59</v></c><c r="P49" s="411" t="inlineStr"><is><t>2,30,740</t></is></c><c r="Q49" s="358"><f>LEFT(P49,1)</f><v /></c><c r="R49" s="358"><f>RIGHT(P49,6)</f><v /></c><c r="S49" s="358"><f>+(Q49*60+R49)/(60*60)</f><v /></c><c r="T49" s="359"><f>+O49/S49</f><v /></c><c r="U49" s="360"><f>+(((N49-M49-O49)/O49)*100)</f><v /></c><c r="V49" s="412" t="n"><v>20.6</v></c><c r="W49" s="409" t="n"><v>1.391</v></c><c r="X49" s="409" t="n"><v>1.388</v></c><c r="Y49" s="355" t="n"><v>205.91</v></c><c r="Z49" s="355" t="n"><v>216.02</v></c><c r="AA49" s="413" t="n"><v>10.02</v></c><c r="AB49" s="414" t="inlineStr"><is><t>22,41,280</t></is></c><c r="AC49" s="358"><f>LEFT(AB49,2)</f><v /></c><c r="AD49" s="358"><f>RIGHT(AB49,6)</f><v /></c><c r="AE49" s="358"><f>+(AC49*60+AD49)/(60*60)</f><v /></c><c r="AF49" s="359"><f>+AA49/AE49</f><v /></c><c r="AG49" s="361"><f>+(((Z49-Y49-AA49)/AA49)*100)</f><v /></c><c r="AH49" s="412" t="n"><v>20.8</v></c><c r="AI49" s="409" t="n"><v>1.399</v></c><c r="AJ49" s="409" t="n"><v>1.394</v></c><c r="AK49" s="355"><f>Z49</f><v /></c><c r="AL49" s="355" t="n"><v>221.15</v></c><c r="AM49" s="415" t="n"><v>5.014</v></c><c r="AN49" s="411" t="inlineStr"><is><t>18,13,400</t></is></c><c r="AO49" s="358"><f>LEFT(AN49,2)</f><v /></c><c r="AP49" s="358"><f>RIGHT(AN49,6)</f><v /></c><c r="AQ49" s="358"><f>+(AO49*60+AP49)/(60*60)</f><v /></c><c r="AR49" s="359"><f>+AM49/AQ49</f><v /></c><c r="AS49" s="361"><f>+(((AL49-AK49-AM49)/AM49)*100)</f><v /></c><c r="AT49" s="363"><f>IF(I49&gt;=1,"NO CONFORME",IF(BK49="SIGDIFERENTES",BC49,BL49))</f><v /></c><c r="AU49" s="364"><f>B49=C49</f><v /></c><c r="AV49" s="364"><f>N49&lt;Y49</f><v /></c><c r="AW49" s="364"><f>Z49&lt;=AK49</f><v /></c><c r="AX49" s="364"><f>IF(I49&gt;=1,"Qcorrecto",IF(AND(AY49="aceptable",AZ49="aceptable",BA49="aceptable"),"Qcorrecto","Qincorrecto"))</f><v /></c><c r="AY49" s="367"><f>IF(AR49&lt;$AH$6,"error",IF(AR49&gt;$AH$6*1.1,"error","aceptable"))</f><v /></c><c r="AZ49" s="367"><f>IF(AF49&lt;$V$6,"error",IF(AF49&gt;$V$6*1.1,"error","aceptable"))</f><v /></c><c r="BA49" s="367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66"><f>SIGN(U49)</f><v /></c><c r="BE49" s="366"><f>SIGN(AG49)</f><v /></c><c r="BF49" s="366"><f>SIGN(AS49)</f><v /></c><c r="BG49" s="366"><f>CONCATENATE(BD49,BE49,BF49)</f><v /></c><c r="BH49" s="366"><f>IF(BG49="111","SI","SD")</f><v /></c><c r="BI49" s="366"><f>IF(BG49="-1-1-1","SI","SD")</f><v /></c><c r="BJ49" s="366"><f>OR(BH49="SI",BI49="SI")</f><v /></c><c r="BK49" s="366"><f>IF(BJ49=FALSE,"SIGDIFERENTES","SIGIGUALES")</f><v /></c><c r="BL49" s="367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PA25517454</t></is></c><c r="H50" s="313"><f>H49</f><v /></c><c r="I50" s="38"><f>I49</f><v /></c><c r="J50" s="314"><f>J49</f><v /></c><c r="K50" s="372"><f>K49</f><v /></c><c r="L50" s="372"><f>L49</f><v /></c><c r="M50" s="373" t="n"><v>103.55</v></c><c r="N50" s="373" t="n"><v>203.54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2"><f>W49</f><v /></c><c r="X50" s="372"><f>X49</f><v /></c><c r="Y50" s="373" t="n"><v>206.11</v></c><c r="Z50" s="373" t="n"><v>216.15</v></c><c r="AA50" s="379"><f>AA49</f><v /></c><c r="AB50" s="380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2"><f>AI49</f><v /></c><c r="AJ50" s="372"><f>AJ49</f><v /></c><c r="AK50" s="373"><f>Z50</f><v /></c><c r="AL50" s="373" t="n"><v>221.25</v></c><c r="AM50" s="381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2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PA25517455</t></is></c><c r="H51" s="313"><f>H50</f><v /></c><c r="I51" s="38"><f>I50</f><v /></c><c r="J51" s="314"><f>J50</f><v /></c><c r="K51" s="372"><f>K50</f><v /></c><c r="L51" s="372"><f>L50</f><v /></c><c r="M51" s="373" t="n"><v>101.48</v></c><c r="N51" s="373" t="n"><v>201.24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2"><f>W50</f><v /></c><c r="X51" s="372"><f>X50</f><v /></c><c r="Y51" s="373" t="n"><v>203.8</v></c><c r="Z51" s="373" t="n"><v>213.81</v></c><c r="AA51" s="379"><f>AA50</f><v /></c><c r="AB51" s="380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2"><f>AI50</f><v /></c><c r="AJ51" s="372"><f>AJ50</f><v /></c><c r="AK51" s="373"><f>Z51</f><v /></c><c r="AL51" s="373" t="n"><v>218.89</v></c><c r="AM51" s="381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2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PA25517456</t></is></c><c r="H52" s="313"><f>H51</f><v /></c><c r="I52" s="38"><f>I51</f><v /></c><c r="J52" s="314"><f>J51</f><v /></c><c r="K52" s="372"><f>K51</f><v /></c><c r="L52" s="372"><f>L51</f><v /></c><c r="M52" s="373" t="n"><v>101.26</v></c><c r="N52" s="373" t="n"><v>199.96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2"><f>W51</f><v /></c><c r="X52" s="372"><f>X51</f><v /></c><c r="Y52" s="373" t="n"><v>202.05</v></c><c r="Z52" s="373" t="n"><v>212.04</v></c><c r="AA52" s="379"><f>AA51</f><v /></c><c r="AB52" s="380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2"><f>AI51</f><v /></c><c r="AJ52" s="372"><f>AJ51</f><v /></c><c r="AK52" s="373"><f>Z52</f><v /></c><c r="AL52" s="373" t="n"><v>217.09</v></c><c r="AM52" s="381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2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PA25517457</t></is></c><c r="H53" s="313"><f>H52</f><v /></c><c r="I53" s="38"><f>I52</f><v /></c><c r="J53" s="314"><f>J52</f><v /></c><c r="K53" s="372"><f>K52</f><v /></c><c r="L53" s="372"><f>L52</f><v /></c><c r="M53" s="373" t="n"><v>103.41</v></c><c r="N53" s="373" t="n"><v>203.44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2"><f>W52</f><v /></c><c r="X53" s="372"><f>X52</f><v /></c><c r="Y53" s="373" t="n"><v>206</v></c><c r="Z53" s="373" t="n"><v>216.03</v></c><c r="AA53" s="379"><f>AA52</f><v /></c><c r="AB53" s="380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2"><f>AI52</f><v /></c><c r="AJ53" s="372"><f>AJ52</f><v /></c><c r="AK53" s="373"><f>Z53</f><v /></c><c r="AL53" s="373" t="n"><v>221.09</v></c><c r="AM53" s="381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2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PA25517458</t></is></c><c r="H54" s="313"><f>H53</f><v /></c><c r="I54" s="38"><f>I53</f><v /></c><c r="J54" s="314"><f>J53</f><v /></c><c r="K54" s="372"><f>K53</f><v /></c><c r="L54" s="372"><f>L53</f><v /></c><c r="M54" s="373" t="n"><v>103</v></c><c r="N54" s="373" t="n"><v>203.16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2"><f>W53</f><v /></c><c r="X54" s="372"><f>X53</f><v /></c><c r="Y54" s="373" t="n"><v>205.72</v></c><c r="Z54" s="373" t="n"><v>215.72</v></c><c r="AA54" s="379"><f>AA53</f><v /></c><c r="AB54" s="380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2"><f>AI53</f><v /></c><c r="AJ54" s="372"><f>AJ53</f><v /></c><c r="AK54" s="373"><f>Z54</f><v /></c><c r="AL54" s="373" t="n"><v>220.74</v></c><c r="AM54" s="381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2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PA25517459</t></is></c><c r="H55" s="313"><f>H54</f><v /></c><c r="I55" s="38"><f>I54</f><v /></c><c r="J55" s="314"><f>J54</f><v /></c><c r="K55" s="372"><f>K54</f><v /></c><c r="L55" s="372"><f>L54</f><v /></c><c r="M55" s="373" t="n"><v>102.6</v></c><c r="N55" s="373" t="n"><v>202.78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2"><f>W54</f><v /></c><c r="X55" s="372"><f>X54</f><v /></c><c r="Y55" s="373" t="n"><v>205.4</v></c><c r="Z55" s="373" t="n"><v>215.4</v></c><c r="AA55" s="379"><f>AA54</f><v /></c><c r="AB55" s="380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2"><f>AI54</f><v /></c><c r="AJ55" s="372"><f>AJ54</f><v /></c><c r="AK55" s="373"><f>Z55</f><v /></c><c r="AL55" s="373" t="n"><v>220.44</v></c><c r="AM55" s="381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2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PA25517460</t></is></c><c r="H56" s="313"><f>H55</f><v /></c><c r="I56" s="38"><f>I55</f><v /></c><c r="J56" s="314"><f>J55</f><v /></c><c r="K56" s="372"><f>K55</f><v /></c><c r="L56" s="372"><f>L55</f><v /></c><c r="M56" s="373" t="n"><v>102.28</v></c><c r="N56" s="373" t="n"><v>201.65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2"><f>W55</f><v /></c><c r="X56" s="372"><f>X55</f><v /></c><c r="Y56" s="373" t="n"><v>204.25</v></c><c r="Z56" s="373" t="n"><v>214.2</v></c><c r="AA56" s="379"><f>AA55</f><v /></c><c r="AB56" s="380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2"><f>AI55</f><v /></c><c r="AJ56" s="372"><f>AJ55</f><v /></c><c r="AK56" s="373"><f>Z56</f><v /></c><c r="AL56" s="373" t="n"><v>219.24</v></c><c r="AM56" s="381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2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PA25517461</t></is></c><c r="H57" s="313"><f>H56</f><v /></c><c r="I57" s="38"><f>I56</f><v /></c><c r="J57" s="314"><f>J56</f><v /></c><c r="K57" s="372"><f>K56</f><v /></c><c r="L57" s="372"><f>L56</f><v /></c><c r="M57" s="373" t="n"><v>103.03</v></c><c r="N57" s="373" t="n"><v>203.09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2"><f>W56</f><v /></c><c r="X57" s="372"><f>X56</f><v /></c><c r="Y57" s="373" t="n"><v>205.65</v></c><c r="Z57" s="373" t="n"><v>215.67</v></c><c r="AA57" s="379"><f>AA56</f><v /></c><c r="AB57" s="380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2"><f>AI56</f><v /></c><c r="AJ57" s="372"><f>AJ56</f><v /></c><c r="AK57" s="373"><f>Z57</f><v /></c><c r="AL57" s="373" t="n"><v>220.72</v></c><c r="AM57" s="381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2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PA25517462</t></is></c><c r="H58" s="313"><f>H57</f><v /></c><c r="I58" s="38"><f>I57</f><v /></c><c r="J58" s="314"><f>J57</f><v /></c><c r="K58" s="372"><f>K57</f><v /></c><c r="L58" s="372"><f>L57</f><v /></c><c r="M58" s="373" t="n"><v>102.79</v></c><c r="N58" s="373" t="n"><v>202.95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2"><f>W57</f><v /></c><c r="X58" s="372"><f>X57</f><v /></c><c r="Y58" s="373" t="n"><v>205.55</v></c><c r="Z58" s="373" t="n"><v>215.58</v></c><c r="AA58" s="379"><f>AA57</f><v /></c><c r="AB58" s="380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2"><f>AI57</f><v /></c><c r="AJ58" s="372"><f>AJ57</f><v /></c><c r="AK58" s="373"><f>Z58</f><v /></c><c r="AL58" s="373" t="n"><v>220.65</v></c><c r="AM58" s="381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2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PA25517463</t></is></c><c r="H59" s="313"><f>H58</f><v /></c><c r="I59" s="38"><f>I58</f><v /></c><c r="J59" s="314"><f>J58</f><v /></c><c r="K59" s="372"><f>K58</f><v /></c><c r="L59" s="372"><f>L58</f><v /></c><c r="M59" s="373" t="n"><v>102.61</v></c><c r="N59" s="373" t="n"><v>202.5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2"><f>W58</f><v /></c><c r="X59" s="372"><f>X58</f><v /></c><c r="Y59" s="373" t="n"><v>205.09</v></c><c r="Z59" s="373" t="n"><v>215.08</v></c><c r="AA59" s="379"><f>AA58</f><v /></c><c r="AB59" s="380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2"><f>AI58</f><v /></c><c r="AJ59" s="372"><f>AJ58</f><v /></c><c r="AK59" s="373"><f>Z59</f><v /></c><c r="AL59" s="373" t="n"><v>220.11</v></c><c r="AM59" s="381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2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PA25517464</t></is></c><c r="H60" s="313"><f>H59</f><v /></c><c r="I60" s="38"><f>I59</f><v /></c><c r="J60" s="314"><f>J59</f><v /></c><c r="K60" s="372"><f>K59</f><v /></c><c r="L60" s="372"><f>L59</f><v /></c><c r="M60" s="373" t="n"><v>102.69</v></c><c r="N60" s="373" t="n"><v>202.95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2"><f>W59</f><v /></c><c r="X60" s="372"><f>X59</f><v /></c><c r="Y60" s="373" t="n"><v>205.55</v></c><c r="Z60" s="373" t="n"><v>215.54</v></c><c r="AA60" s="379"><f>AA59</f><v /></c><c r="AB60" s="380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2"><f>AI59</f><v /></c><c r="AJ60" s="372"><f>AJ59</f><v /></c><c r="AK60" s="373"><f>Z60</f><v /></c><c r="AL60" s="373" t="n"><v>220.55</v></c><c r="AM60" s="381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2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PA25517465</t></is></c><c r="H61" s="313"><f>H60</f><v /></c><c r="I61" s="38"><f>I60</f><v /></c><c r="J61" s="314"><f>J60</f><v /></c><c r="K61" s="372"><f>K60</f><v /></c><c r="L61" s="372"><f>L60</f><v /></c><c r="M61" s="373" t="n"><v>102.82</v></c><c r="N61" s="373" t="n"><v>203.2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2"><f>W60</f><v /></c><c r="X61" s="372"><f>X60</f><v /></c><c r="Y61" s="373" t="n"><v>205.77</v></c><c r="Z61" s="373" t="n"><v>215.82</v></c><c r="AA61" s="379"><f>AA60</f><v /></c><c r="AB61" s="380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2"><f>AI60</f><v /></c><c r="AJ61" s="372"><f>AJ60</f><v /></c><c r="AK61" s="373"><f>Z61</f><v /></c><c r="AL61" s="373" t="n"><v>220.89</v></c><c r="AM61" s="381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2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PA25517466</t></is></c><c r="H62" s="313"><f>H61</f><v /></c><c r="I62" s="38"><f>I61</f><v /></c><c r="J62" s="314"><f>J61</f><v /></c><c r="K62" s="372"><f>K61</f><v /></c><c r="L62" s="372"><f>L61</f><v /></c><c r="M62" s="373" t="n"><v>104.64</v></c><c r="N62" s="373" t="n"><v>205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2"><f>W61</f><v /></c><c r="X62" s="372"><f>X61</f><v /></c><c r="Y62" s="373" t="n"><v>207.56</v></c><c r="Z62" s="373" t="n"><v>217.55</v></c><c r="AA62" s="379"><f>AA61</f><v /></c><c r="AB62" s="380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2"><f>AI61</f><v /></c><c r="AJ62" s="372"><f>AJ61</f><v /></c><c r="AK62" s="373"><f>Z62</f><v /></c><c r="AL62" s="373" t="n"><v>222.57</v></c><c r="AM62" s="381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2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PA25517467</t></is></c><c r="H63" s="313"><f>H62</f><v /></c><c r="I63" s="38"><f>I62</f><v /></c><c r="J63" s="314"><f>J62</f><v /></c><c r="K63" s="372"><f>K62</f><v /></c><c r="L63" s="372"><f>L62</f><v /></c><c r="M63" s="373" t="n"><v>102</v></c><c r="N63" s="373" t="n"><v>201.49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2"><f>W62</f><v /></c><c r="X63" s="372"><f>X62</f><v /></c><c r="Y63" s="373" t="n"><v>203.55</v></c><c r="Z63" s="373" t="n"><v>213.51</v></c><c r="AA63" s="379"><f>AA62</f><v /></c><c r="AB63" s="380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2"><f>AI62</f><v /></c><c r="AJ63" s="372"><f>AJ62</f><v /></c><c r="AK63" s="373"><f>Z63</f><v /></c><c r="AL63" s="373" t="n"><v>218.52</v></c><c r="AM63" s="381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2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3" t="n"><v>56</v></c><c r="B64" s="384"><f>B63</f><v /></c><c r="C64" s="384"><f>C63</f><v /></c><c r="D64" s="385"><f>D63</f><v /></c><c r="E64" s="386"><f>E63</f><v /></c><c r="F64" s="52" t="n" /><c r="G64" s="337" t="inlineStr"><is><t>PA25517468</t></is></c><c r="H64" s="326"><f>H63</f><v /></c><c r="I64" s="98"><f>I63</f><v /></c><c r="J64" s="327"><f>J63</f><v /></c><c r="K64" s="387"><f>K63</f><v /></c><c r="L64" s="387"><f>L63</f><v /></c><c r="M64" s="388" t="n"><v>103.75</v></c><c r="N64" s="388" t="n"><v>204.35</v></c><c r="O64" s="389"><f>O63</f><v /></c><c r="P64" s="390"><f>P63</f><v /></c><c r="Q64" s="391"><f>LEFT(P64,1)</f><v /></c><c r="R64" s="391"><f>RIGHT(P64,6)</f><v /></c><c r="S64" s="391"><f>+(Q64*60+R64)/(60*60)</f><v /></c><c r="T64" s="392"><f>+O64/S64</f><v /></c><c r="U64" s="393"><f>+(((N64-M64-O64)/O64)*100)</f><v /></c><c r="V64" s="329"><f>V63</f><v /></c><c r="W64" s="387"><f>W63</f><v /></c><c r="X64" s="387"><f>X63</f><v /></c><c r="Y64" s="388" t="n"><v>206.92</v></c><c r="Z64" s="388" t="n"><v>217</v></c><c r="AA64" s="394"><f>AA63</f><v /></c><c r="AB64" s="395"><f>AB63</f><v /></c><c r="AC64" s="391"><f>LEFT(AB64,2)</f><v /></c><c r="AD64" s="391"><f>RIGHT(AB64,6)</f><v /></c><c r="AE64" s="391"><f>+(AC64*60+AD64)/(60*60)</f><v /></c><c r="AF64" s="392"><f>+AA64/AE64</f><v /></c><c r="AG64" s="396"><f>+(((Z64-Y64-AA64)/AA64)*100)</f><v /></c><c r="AH64" s="329"><f>AH63</f><v /></c><c r="AI64" s="387"><f>AI63</f><v /></c><c r="AJ64" s="387"><f>AJ63</f><v /></c><c r="AK64" s="388"><f>Z64</f><v /></c><c r="AL64" s="388" t="n"><v>222.06</v></c><c r="AM64" s="397"><f>AM63</f><v /></c><c r="AN64" s="390"><f>AN63</f><v /></c><c r="AO64" s="391"><f>LEFT(AN64,2)</f><v /></c><c r="AP64" s="391"><f>RIGHT(AN64,6)</f><v /></c><c r="AQ64" s="391"><f>+(AO64*60+AP64)/(60*60)</f><v /></c><c r="AR64" s="392"><f>+AM64/AQ64</f><v /></c><c r="AS64" s="396"><f>+(((AL64-AK64-AM64)/AM64)*100)</f><v /></c><c r="AT64" s="398"><f>IF(I64&gt;=1,"NO CONFORME",IF(BK64="SIGDIFERENTES",BC64,BL64))</f><v /></c><c r="AU64" s="399"><f>B64=C64</f><v /></c><c r="AV64" s="399"><f>N64&lt;Y64</f><v /></c><c r="AW64" s="399"><f>Z64&lt;=AK64</f><v /></c><c r="AX64" s="399"><f>IF(I64&gt;=1,"Qcorrecto",IF(AND(AY64="aceptable",AZ64="aceptable",BA64="aceptable"),"Qcorrecto","Qincorrecto"))</f><v /></c><c r="AY64" s="400"><f>IF(AR64&lt;$AH$6,"error",IF(AR64&gt;$AH$6*1.1,"error","aceptable"))</f><v /></c><c r="AZ64" s="400"><f>IF(AF64&lt;$V$6,"error",IF(AF64&gt;$V$6*1.1,"error","aceptable"))</f><v /></c><c r="BA64" s="400"><f>IF(T64&lt;$J$6*0.9,"error",IF(T64&gt;$J$6,"error","aceptable"))</f><v /></c><c r="BB64" s="401"><f>(IF(ABS(U64)&lt;1.05,"CONFORME",IF(ABS(AG64)&lt;1.05,"CONFORME",IF(ABS(AS64)&lt;2.55,"CONFORME","NO CONFORME"))))</f><v /></c><c r="BC64" s="402"><f>(IF(ABS(U64)&gt;2.05,"NO CONFORME",IF(ABS(AG64)&gt;2.05,"NO CONFORME",IF(ABS(AS64)&gt;5.05,"NO CONFORME","CONFORME"))))</f><v /></c><c r="BD64" s="403"><f>SIGN(U64)</f><v /></c><c r="BE64" s="403"><f>SIGN(AG64)</f><v /></c><c r="BF64" s="403"><f>SIGN(AS64)</f><v /></c><c r="BG64" s="403"><f>CONCATENATE(BD64,BE64,BF64)</f><v /></c><c r="BH64" s="403"><f>IF(BG64="111","SI","SD")</f><v /></c><c r="BI64" s="403"><f>IF(BG64="-1-1-1","SI","SD")</f><v /></c><c r="BJ64" s="403"><f>OR(BH64="SI",BI64="SI")</f><v /></c><c r="BK64" s="403"><f>IF(BJ64=FALSE,"SIGDIFERENTES","SIGIGUALES")</f><v /></c><c r="BL64" s="400"><f>IF(BC64="NO CONFORME","NO CONFORME",IF(BB64="CONFORME","CONFORME","NO CONFORME"))</f><v /></c></row><row r="65" ht="14.4" customHeight="1" thickBot="1"><c r="A65" s="351" t="n"><v>57</v></c><c r="B65" s="404"><f>B64</f><v /></c><c r="C65" s="404"><f>C64</f><v /></c><c r="D65" s="405"><f>D64</f><v /></c><c r="E65" s="406"><f>E64</f><v /></c><c r="F65" s="58" t="n" /><c r="G65" s="300" t="inlineStr"><is><t>PA25517469</t></is></c><c r="H65" s="407"><f>H64</f><v /></c><c r="I65" s="232"><f>I64</f><v /></c><c r="J65" s="408" t="n"><v>20.6</v></c><c r="K65" s="409" t="n"><v>8.346</v></c><c r="L65" s="409" t="n"><v>0.541</v></c><c r="M65" s="355" t="n"><v>102.68</v></c><c r="N65" s="355" t="n"><v>202.24</v></c><c r="O65" s="410" t="n"><v>100.68</v></c><c r="P65" s="411" t="inlineStr"><is><t>2,30,840</t></is></c><c r="Q65" s="358"><f>LEFT(P65,1)</f><v /></c><c r="R65" s="358"><f>RIGHT(P65,6)</f><v /></c><c r="S65" s="358"><f>+(Q65*60+R65)/(60*60)</f><v /></c><c r="T65" s="359"><f>+O65/S65</f><v /></c><c r="U65" s="360"><f>+(((N65-M65-O65)/O65)*100)</f><v /></c><c r="V65" s="412" t="n"><v>20.6</v></c><c r="W65" s="409" t="n"><v>1.392</v></c><c r="X65" s="409" t="n"><v>1.389</v></c><c r="Y65" s="355" t="n"><v>204.26</v></c><c r="Z65" s="355" t="n"><v>214.24</v></c><c r="AA65" s="413" t="n"><v>10.021</v></c><c r="AB65" s="414" t="inlineStr"><is><t>22,39,300</t></is></c><c r="AC65" s="358"><f>LEFT(AB65,2)</f><v /></c><c r="AD65" s="358"><f>RIGHT(AB65,6)</f><v /></c><c r="AE65" s="358"><f>+(AC65*60+AD65)/(60*60)</f><v /></c><c r="AF65" s="359"><f>+AA65/AE65</f><v /></c><c r="AG65" s="361"><f>+(((Z65-Y65-AA65)/AA65)*100)</f><v /></c><c r="AH65" s="412" t="n"><v>20.9</v></c><c r="AI65" s="409" t="n"><v>1.397</v></c><c r="AJ65" s="409" t="n"><v>1.396</v></c><c r="AK65" s="355"><f>Z65</f><v /></c><c r="AL65" s="355" t="n"><v>219.28</v></c><c r="AM65" s="415" t="n"><v>5.016</v></c><c r="AN65" s="411" t="inlineStr"><is><t>18,14,110</t></is></c><c r="AO65" s="358"><f>LEFT(AN65,2)</f><v /></c><c r="AP65" s="358"><f>RIGHT(AN65,6)</f><v /></c><c r="AQ65" s="358"><f>+(AO65*60+AP65)/(60*60)</f><v /></c><c r="AR65" s="359"><f>+AM65/AQ65</f><v /></c><c r="AS65" s="361"><f>+(((AL65-AK65-AM65)/AM65)*100)</f><v /></c><c r="AT65" s="363"><f>IF(I65&gt;=1,"NO CONFORME",IF(BK65="SIGDIFERENTES",BC65,BL65))</f><v /></c><c r="AU65" s="364"><f>B65=C65</f><v /></c><c r="AV65" s="364"><f>N65&lt;Y65</f><v /></c><c r="AW65" s="364"><f>Z65&lt;=AK65</f><v /></c><c r="AX65" s="364"><f>IF(I65&gt;=1,"Qcorrecto",IF(AND(AY65="aceptable",AZ65="aceptable",BA65="aceptable"),"Qcorrecto","Qincorrecto"))</f><v /></c><c r="AY65" s="367"><f>IF(AR65&lt;$AH$6,"error",IF(AR65&gt;$AH$6*1.1,"error","aceptable"))</f><v /></c><c r="AZ65" s="367"><f>IF(AF65&lt;$V$6,"error",IF(AF65&gt;$V$6*1.1,"error","aceptable"))</f><v /></c><c r="BA65" s="367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366"><f>SIGN(U65)</f><v /></c><c r="BE65" s="366"><f>SIGN(AG65)</f><v /></c><c r="BF65" s="366"><f>SIGN(AS65)</f><v /></c><c r="BG65" s="366"><f>CONCATENATE(BD65,BE65,BF65)</f><v /></c><c r="BH65" s="366"><f>IF(BG65="111","SI","SD")</f><v /></c><c r="BI65" s="366"><f>IF(BG65="-1-1-1","SI","SD")</f><v /></c><c r="BJ65" s="366"><f>OR(BH65="SI",BI65="SI")</f><v /></c><c r="BK65" s="366"><f>IF(BJ65=FALSE,"SIGDIFERENTES","SIGIGUALES")</f><v /></c><c r="BL65" s="367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PA25517470</t></is></c><c r="H66" s="313"><f>H65</f><v /></c><c r="I66" s="38"><f>I65</f><v /></c><c r="J66" s="314"><f>J65</f><v /></c><c r="K66" s="372"><f>K65</f><v /></c><c r="L66" s="372"><f>L65</f><v /></c><c r="M66" s="373" t="n"><v>102.92</v></c><c r="N66" s="373" t="n"><v>203.05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2"><f>W65</f><v /></c><c r="X66" s="372"><f>X65</f><v /></c><c r="Y66" s="373" t="n"><v>205.31</v></c><c r="Z66" s="373" t="n"><v>215.32</v></c><c r="AA66" s="379"><f>AA65</f><v /></c><c r="AB66" s="380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2"><f>AI65</f><v /></c><c r="AJ66" s="372"><f>AJ65</f><v /></c><c r="AK66" s="373"><f>Z66</f><v /></c><c r="AL66" s="373" t="n"><v>220.39</v></c><c r="AM66" s="381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2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PA25517471</t></is></c><c r="H67" s="313"><f>H66</f><v /></c><c r="I67" s="38"><f>I66</f><v /></c><c r="J67" s="314"><f>J66</f><v /></c><c r="K67" s="372"><f>K66</f><v /></c><c r="L67" s="372"><f>L66</f><v /></c><c r="M67" s="373" t="n"><v>101.4</v></c><c r="N67" s="373" t="n"><v>201.38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2"><f>W66</f><v /></c><c r="X67" s="372"><f>X66</f><v /></c><c r="Y67" s="373" t="n"><v>203.59</v></c><c r="Z67" s="373" t="n"><v>213.59</v></c><c r="AA67" s="379"><f>AA66</f><v /></c><c r="AB67" s="380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2"><f>AI66</f><v /></c><c r="AJ67" s="372"><f>AJ66</f><v /></c><c r="AK67" s="373"><f>Z67</f><v /></c><c r="AL67" s="373" t="n"><v>218.64</v></c><c r="AM67" s="381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2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PA25517472</t></is></c><c r="H68" s="313"><f>H67</f><v /></c><c r="I68" s="38"><f>I67</f><v /></c><c r="J68" s="314"><f>J67</f><v /></c><c r="K68" s="372"><f>K67</f><v /></c><c r="L68" s="372"><f>L67</f><v /></c><c r="M68" s="373" t="n"><v>100.79</v></c><c r="N68" s="373" t="n"><v>200.4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2"><f>W67</f><v /></c><c r="X68" s="372"><f>X67</f><v /></c><c r="Y68" s="373" t="n"><v>202.6</v></c><c r="Z68" s="373" t="n"><v>212.59</v></c><c r="AA68" s="379"><f>AA67</f><v /></c><c r="AB68" s="380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2"><f>AI67</f><v /></c><c r="AJ68" s="372"><f>AJ67</f><v /></c><c r="AK68" s="373"><f>Z68</f><v /></c><c r="AL68" s="373" t="n"><v>217.64</v></c><c r="AM68" s="381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2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PA25517473</t></is></c><c r="H69" s="313"><f>H68</f><v /></c><c r="I69" s="38"><f>I68</f><v /></c><c r="J69" s="314"><f>J68</f><v /></c><c r="K69" s="372"><f>K68</f><v /></c><c r="L69" s="372"><f>L68</f><v /></c><c r="M69" s="373" t="n"><v>102.55</v></c><c r="N69" s="373" t="n"><v>202.61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2"><f>W68</f><v /></c><c r="X69" s="372"><f>X68</f><v /></c><c r="Y69" s="373" t="n"><v>204.84</v></c><c r="Z69" s="373" t="n"><v>214.89</v></c><c r="AA69" s="379"><f>AA68</f><v /></c><c r="AB69" s="380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2"><f>AI68</f><v /></c><c r="AJ69" s="372"><f>AJ68</f><v /></c><c r="AK69" s="373"><f>Z69</f><v /></c><c r="AL69" s="373" t="n"><v>220</v></c><c r="AM69" s="381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2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PA25517474</t></is></c><c r="H70" s="313"><f>H69</f><v /></c><c r="I70" s="38"><f>I69</f><v /></c><c r="J70" s="314"><f>J69</f><v /></c><c r="K70" s="372"><f>K69</f><v /></c><c r="L70" s="372"><f>L69</f><v /></c><c r="M70" s="373" t="n"><v>103.95</v></c><c r="N70" s="373" t="n"><v>204.49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2"><f>W69</f><v /></c><c r="X70" s="372"><f>X69</f><v /></c><c r="Y70" s="373" t="n"><v>206.71</v></c><c r="Z70" s="373" t="n"><v>216.72</v></c><c r="AA70" s="379"><f>AA69</f><v /></c><c r="AB70" s="380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2"><f>AI69</f><v /></c><c r="AJ70" s="372"><f>AJ69</f><v /></c><c r="AK70" s="373"><f>Z70</f><v /></c><c r="AL70" s="373" t="n"><v>221.76</v></c><c r="AM70" s="381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2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PA25517475</t></is></c><c r="H71" s="313"><f>H70</f><v /></c><c r="I71" s="38"><f>I70</f><v /></c><c r="J71" s="314"><f>J70</f><v /></c><c r="K71" s="372"><f>K70</f><v /></c><c r="L71" s="372"><f>L70</f><v /></c><c r="M71" s="373" t="n"><v>103.26</v></c><c r="N71" s="373" t="n"><v>203.29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2"><f>W70</f><v /></c><c r="X71" s="372"><f>X70</f><v /></c><c r="Y71" s="373" t="n"><v>205.5</v></c><c r="Z71" s="373" t="n"><v>215.54</v></c><c r="AA71" s="379"><f>AA70</f><v /></c><c r="AB71" s="380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2"><f>AI70</f><v /></c><c r="AJ71" s="372"><f>AJ70</f><v /></c><c r="AK71" s="373"><f>Z71</f><v /></c><c r="AL71" s="373" t="n"><v>220.6</v></c><c r="AM71" s="381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2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PA25517476</t></is></c><c r="H72" s="313"><f>H71</f><v /></c><c r="I72" s="38"><f>I71</f><v /></c><c r="J72" s="314"><f>J71</f><v /></c><c r="K72" s="372"><f>K71</f><v /></c><c r="L72" s="372"><f>L71</f><v /></c><c r="M72" s="373" t="n"><v>102.25</v></c><c r="N72" s="373" t="n"><v>201.6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2"><f>W71</f><v /></c><c r="X72" s="372"><f>X71</f><v /></c><c r="Y72" s="373" t="n"><v>203.8</v></c><c r="Z72" s="373" t="n"><v>213.74</v></c><c r="AA72" s="379"><f>AA71</f><v /></c><c r="AB72" s="380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2"><f>AI71</f><v /></c><c r="AJ72" s="372"><f>AJ71</f><v /></c><c r="AK72" s="373"><f>Z72</f><v /></c><c r="AL72" s="373" t="n"><v>218.74</v></c><c r="AM72" s="381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2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PA25517477</t></is></c><c r="H73" s="313"><f>H72</f><v /></c><c r="I73" s="38"><f>I72</f><v /></c><c r="J73" s="314"><f>J72</f><v /></c><c r="K73" s="372"><f>K72</f><v /></c><c r="L73" s="372"><f>L72</f><v /></c><c r="M73" s="373" t="n"><v>103.1</v></c><c r="N73" s="373" t="n"><v>203.34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2"><f>W72</f><v /></c><c r="X73" s="372"><f>X72</f><v /></c><c r="Y73" s="373" t="n"><v>205.55</v></c><c r="Z73" s="373" t="n"><v>215.55</v></c><c r="AA73" s="379"><f>AA72</f><v /></c><c r="AB73" s="380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2"><f>AI72</f><v /></c><c r="AJ73" s="372"><f>AJ72</f><v /></c><c r="AK73" s="373"><f>Z73</f><v /></c><c r="AL73" s="373" t="n"><v>220.59</v></c><c r="AM73" s="381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2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PA25517478</t></is></c><c r="H74" s="313"><f>H73</f><v /></c><c r="I74" s="38"><f>I73</f><v /></c><c r="J74" s="314"><f>J73</f><v /></c><c r="K74" s="372"><f>K73</f><v /></c><c r="L74" s="372"><f>L73</f><v /></c><c r="M74" s="373" t="n"><v>102.15</v></c><c r="N74" s="373" t="n"><v>202.25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2"><f>W73</f><v /></c><c r="X74" s="372"><f>X73</f><v /></c><c r="Y74" s="373" t="n"><v>204.46</v></c><c r="Z74" s="373" t="n"><v>214.46</v></c><c r="AA74" s="379"><f>AA73</f><v /></c><c r="AB74" s="380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2"><f>AI73</f><v /></c><c r="AJ74" s="372"><f>AJ73</f><v /></c><c r="AK74" s="373"><f>Z74</f><v /></c><c r="AL74" s="373" t="n"><v>219.48</v></c><c r="AM74" s="381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2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PA25517479</t></is></c><c r="H75" s="313"><f>H74</f><v /></c><c r="I75" s="38"><f>I74</f><v /></c><c r="J75" s="314"><f>J74</f><v /></c><c r="K75" s="372"><f>K74</f><v /></c><c r="L75" s="372"><f>L74</f><v /></c><c r="M75" s="373" t="n"><v>102.06</v></c><c r="N75" s="373" t="n"><v>202.38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2"><f>W74</f><v /></c><c r="X75" s="372"><f>X74</f><v /></c><c r="Y75" s="373" t="n"><v>204.59</v></c><c r="Z75" s="373" t="n"><v>214.53</v></c><c r="AA75" s="379"><f>AA74</f><v /></c><c r="AB75" s="380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2"><f>AI74</f><v /></c><c r="AJ75" s="372"><f>AJ74</f><v /></c><c r="AK75" s="373"><f>Z75</f><v /></c><c r="AL75" s="373" t="n"><v>219.5</v></c><c r="AM75" s="381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2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PA25517480</t></is></c><c r="H76" s="313"><f>H75</f><v /></c><c r="I76" s="38"><f>I75</f><v /></c><c r="J76" s="314"><f>J75</f><v /></c><c r="K76" s="372"><f>K75</f><v /></c><c r="L76" s="372"><f>L75</f><v /></c><c r="M76" s="373" t="n"><v>105.03</v></c><c r="N76" s="373" t="n"><v>205.15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2"><f>W75</f><v /></c><c r="X76" s="372"><f>X75</f><v /></c><c r="Y76" s="373" t="n"><v>207.38</v></c><c r="Z76" s="373" t="n"><v>217.41</v></c><c r="AA76" s="379"><f>AA75</f><v /></c><c r="AB76" s="380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2"><f>AI75</f><v /></c><c r="AJ76" s="372"><f>AJ75</f><v /></c><c r="AK76" s="373"><f>Z76</f><v /></c><c r="AL76" s="373" t="n"><v>222.45</v></c><c r="AM76" s="381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2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PA25517481</t></is></c><c r="H77" s="313"><f>H76</f><v /></c><c r="I77" s="38"><f>I76</f><v /></c><c r="J77" s="314"><f>J76</f><v /></c><c r="K77" s="372"><f>K76</f><v /></c><c r="L77" s="372"><f>L76</f><v /></c><c r="M77" s="373" t="n"><v>105.4</v></c><c r="N77" s="373" t="n"><v>205.79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2"><f>W76</f><v /></c><c r="X77" s="372"><f>X76</f><v /></c><c r="Y77" s="373" t="n"><v>208.05</v></c><c r="Z77" s="373" t="n"><v>218.08</v></c><c r="AA77" s="379"><f>AA76</f><v /></c><c r="AB77" s="380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2"><f>AI76</f><v /></c><c r="AJ77" s="372"><f>AJ76</f><v /></c><c r="AK77" s="373"><f>Z77</f><v /></c><c r="AL77" s="373" t="n"><v>223.15</v></c><c r="AM77" s="381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2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PA25517482</t></is></c><c r="H78" s="313"><f>H77</f><v /></c><c r="I78" s="38"><f>I77</f><v /></c><c r="J78" s="314"><f>J77</f><v /></c><c r="K78" s="372"><f>K77</f><v /></c><c r="L78" s="372"><f>L77</f><v /></c><c r="M78" s="373" t="n"><v>105.23</v></c><c r="N78" s="373" t="n"><v>205.6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2"><f>W77</f><v /></c><c r="X78" s="372"><f>X77</f><v /></c><c r="Y78" s="373" t="n"><v>207.84</v></c><c r="Z78" s="373" t="n"><v>217.82</v></c><c r="AA78" s="379"><f>AA77</f><v /></c><c r="AB78" s="380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2"><f>AI77</f><v /></c><c r="AJ78" s="372"><f>AJ77</f><v /></c><c r="AK78" s="373"><f>Z78</f><v /></c><c r="AL78" s="373" t="n"><v>222.82</v></c><c r="AM78" s="381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2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PA25517483</t></is></c><c r="H79" s="313"><f>H78</f><v /></c><c r="I79" s="38"><f>I78</f><v /></c><c r="J79" s="314"><f>J78</f><v /></c><c r="K79" s="372"><f>K78</f><v /></c><c r="L79" s="372"><f>L78</f><v /></c><c r="M79" s="373" t="n"><v>105.48</v></c><c r="N79" s="373" t="n"><v>205.91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2"><f>W78</f><v /></c><c r="X79" s="372"><f>X78</f><v /></c><c r="Y79" s="373" t="n"><v>208.18</v></c><c r="Z79" s="373" t="n"><v>218.25</v></c><c r="AA79" s="379"><f>AA78</f><v /></c><c r="AB79" s="380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2"><f>AI78</f><v /></c><c r="AJ79" s="372"><f>AJ78</f><v /></c><c r="AK79" s="373"><f>Z79</f><v /></c><c r="AL79" s="373" t="n"><v>223.35</v></c><c r="AM79" s="381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2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3" t="n"><v>72</v></c><c r="B80" s="384"><f>B79</f><v /></c><c r="C80" s="384"><f>C79</f><v /></c><c r="D80" s="385"><f>D79</f><v /></c><c r="E80" s="386"><f>E79</f><v /></c><c r="F80" s="52" t="n" /><c r="G80" s="337" t="inlineStr"><is><t>PA25517484</t></is></c><c r="H80" s="326"><f>H79</f><v /></c><c r="I80" s="98"><f>I79</f><v /></c><c r="J80" s="327"><f>J79</f><v /></c><c r="K80" s="387"><f>K79</f><v /></c><c r="L80" s="387"><f>L79</f><v /></c><c r="M80" s="388" t="n"><v>102.46</v></c><c r="N80" s="388" t="n"><v>202.3</v></c><c r="O80" s="389"><f>O79</f><v /></c><c r="P80" s="390"><f>P79</f><v /></c><c r="Q80" s="391"><f>LEFT(P80,1)</f><v /></c><c r="R80" s="391"><f>RIGHT(P80,6)</f><v /></c><c r="S80" s="391"><f>+(Q80*60+R80)/(60*60)</f><v /></c><c r="T80" s="392"><f>+O80/S80</f><v /></c><c r="U80" s="393"><f>+(((N80-M80-O80)/O80)*100)</f><v /></c><c r="V80" s="329"><f>V79</f><v /></c><c r="W80" s="387"><f>W79</f><v /></c><c r="X80" s="387"><f>X79</f><v /></c><c r="Y80" s="388" t="n"><v>204.51</v></c><c r="Z80" s="388" t="n"><v>214.58</v></c><c r="AA80" s="394"><f>AA79</f><v /></c><c r="AB80" s="395"><f>AB79</f><v /></c><c r="AC80" s="391"><f>LEFT(AB80,2)</f><v /></c><c r="AD80" s="391"><f>RIGHT(AB80,6)</f><v /></c><c r="AE80" s="391"><f>+(AC80*60+AD80)/(60*60)</f><v /></c><c r="AF80" s="392"><f>+AA80/AE80</f><v /></c><c r="AG80" s="396"><f>+(((Z80-Y80-AA80)/AA80)*100)</f><v /></c><c r="AH80" s="329"><f>AH79</f><v /></c><c r="AI80" s="387"><f>AI79</f><v /></c><c r="AJ80" s="387"><f>AJ79</f><v /></c><c r="AK80" s="388"><f>Z80</f><v /></c><c r="AL80" s="388" t="n"><v>219.65</v></c><c r="AM80" s="397"><f>AM79</f><v /></c><c r="AN80" s="390"><f>AN79</f><v /></c><c r="AO80" s="391"><f>LEFT(AN80,2)</f><v /></c><c r="AP80" s="391"><f>RIGHT(AN80,6)</f><v /></c><c r="AQ80" s="391"><f>+(AO80*60+AP80)/(60*60)</f><v /></c><c r="AR80" s="392"><f>+AM80/AQ80</f><v /></c><c r="AS80" s="396"><f>+(((AL80-AK80-AM80)/AM80)*100)</f><v /></c><c r="AT80" s="398"><f>IF(I80&gt;=1,"NO CONFORME",IF(BK80="SIGDIFERENTES",BC80,BL80))</f><v /></c><c r="AU80" s="399"><f>B80=C80</f><v /></c><c r="AV80" s="399"><f>N80&lt;Y80</f><v /></c><c r="AW80" s="399"><f>Z80&lt;=AK80</f><v /></c><c r="AX80" s="399"><f>IF(I80&gt;=1,"Qcorrecto",IF(AND(AY80="aceptable",AZ80="aceptable",BA80="aceptable"),"Qcorrecto","Qincorrecto"))</f><v /></c><c r="AY80" s="400"><f>IF(AR80&lt;$AH$6,"error",IF(AR80&gt;$AH$6*1.1,"error","aceptable"))</f><v /></c><c r="AZ80" s="400"><f>IF(AF80&lt;$V$6,"error",IF(AF80&gt;$V$6*1.1,"error","aceptable"))</f><v /></c><c r="BA80" s="400"><f>IF(T80&lt;$J$6*0.9,"error",IF(T80&gt;$J$6,"error","aceptable"))</f><v /></c><c r="BB80" s="401"><f>(IF(ABS(U80)&lt;1.05,"CONFORME",IF(ABS(AG80)&lt;1.05,"CONFORME",IF(ABS(AS80)&lt;2.55,"CONFORME","NO CONFORME"))))</f><v /></c><c r="BC80" s="402"><f>(IF(ABS(U80)&gt;2.05,"NO CONFORME",IF(ABS(AG80)&gt;2.05,"NO CONFORME",IF(ABS(AS80)&gt;5.05,"NO CONFORME","CONFORME"))))</f><v /></c><c r="BD80" s="403"><f>SIGN(U80)</f><v /></c><c r="BE80" s="403"><f>SIGN(AG80)</f><v /></c><c r="BF80" s="403"><f>SIGN(AS80)</f><v /></c><c r="BG80" s="403"><f>CONCATENATE(BD80,BE80,BF80)</f><v /></c><c r="BH80" s="403"><f>IF(BG80="111","SI","SD")</f><v /></c><c r="BI80" s="403"><f>IF(BG80="-1-1-1","SI","SD")</f><v /></c><c r="BJ80" s="403"><f>OR(BH80="SI",BI80="SI")</f><v /></c><c r="BK80" s="403"><f>IF(BJ80=FALSE,"SIGDIFERENTES","SIGIGUALES")</f><v /></c><c r="BL80" s="400"><f>IF(BC80="NO CONFORME","NO CONFORME",IF(BB80="CONFORME","CONFORME","NO CONFORME"))</f><v /></c></row><row r="81" ht="14.4" customHeight="1" thickBot="1"><c r="A81" s="351" t="n"><v>73</v></c><c r="B81" s="404"><f>B80</f><v /></c><c r="C81" s="404"><f>C80</f><v /></c><c r="D81" s="405"><f>D80</f><v /></c><c r="E81" s="406"><f>E80</f><v /></c><c r="F81" s="58" t="n" /><c r="G81" s="300" t="inlineStr"><is><t>PA25517485</t></is></c><c r="H81" s="407"><f>H80</f><v /></c><c r="I81" s="232"><f>I80</f><v /></c><c r="J81" s="408" t="n"><v>20.7</v></c><c r="K81" s="409" t="n"><v>8.352</v></c><c r="L81" s="409" t="n"><v>0.549</v></c><c r="M81" s="355" t="n"><v>93.94</v></c><c r="N81" s="355" t="n"><v>194.02</v></c><c r="O81" s="410" t="n"><v>100.6</v></c><c r="P81" s="411" t="inlineStr"><is><t>2,31,120</t></is></c><c r="Q81" s="358"><f>LEFT(P81,1)</f><v /></c><c r="R81" s="358"><f>RIGHT(P81,6)</f><v /></c><c r="S81" s="358"><f>+(Q81*60+R81)/(60*60)</f><v /></c><c r="T81" s="359"><f>+O81/S81</f><v /></c><c r="U81" s="360"><f>+(((N81-M81-O81)/O81)*100)</f><v /></c><c r="V81" s="412" t="n"><v>20.7</v></c><c r="W81" s="409" t="n"><v>1.395</v></c><c r="X81" s="409" t="n"><v>1.386</v></c><c r="Y81" s="355" t="n"><v>196.44</v></c><c r="Z81" s="355" t="n"><v>206.51</v></c><c r="AA81" s="413" t="n"><v>10.022</v></c><c r="AB81" s="414" t="inlineStr"><is><t>22,42,010</t></is></c><c r="AC81" s="358"><f>LEFT(AB81,2)</f><v /></c><c r="AD81" s="358"><f>RIGHT(AB81,6)</f><v /></c><c r="AE81" s="358"><f>+(AC81*60+AD81)/(60*60)</f><v /></c><c r="AF81" s="359"><f>+AA81/AE81</f><v /></c><c r="AG81" s="361"><f>+(((Z81-Y81-AA81)/AA81)*100)</f><v /></c><c r="AH81" s="412" t="n"><v>21.1</v></c><c r="AI81" s="409" t="n"><v>1.395</v></c><c r="AJ81" s="409" t="n"><v>1.396</v></c><c r="AK81" s="355"><f>Z81</f><v /></c><c r="AL81" s="355" t="n"><v>211.62</v></c><c r="AM81" s="415" t="n"><v>5.017</v></c><c r="AN81" s="411" t="inlineStr"><is><t>18,15,110</t></is></c><c r="AO81" s="358"><f>LEFT(AN81,2)</f><v /></c><c r="AP81" s="358"><f>RIGHT(AN81,6)</f><v /></c><c r="AQ81" s="358"><f>+(AO81*60+AP81)/(60*60)</f><v /></c><c r="AR81" s="359"><f>+AM81/AQ81</f><v /></c><c r="AS81" s="361"><f>+(((AL81-AK81-AM81)/AM81)*100)</f><v /></c><c r="AT81" s="363"><f>IF(I81&gt;=1,"NO CONFORME",IF(BK81="SIGDIFERENTES",BC81,BL81))</f><v /></c><c r="AU81" s="364"><f>B81=C81</f><v /></c><c r="AV81" s="364"><f>N81&lt;Y81</f><v /></c><c r="AW81" s="364"><f>Z81&lt;=AK81</f><v /></c><c r="AX81" s="364"><f>IF(I81&gt;=1,"Qcorrecto",IF(AND(AY81="aceptable",AZ81="aceptable",BA81="aceptable"),"Qcorrecto","Qincorrecto"))</f><v /></c><c r="AY81" s="367"><f>IF(AR81&lt;$AH$6,"error",IF(AR81&gt;$AH$6*1.1,"error","aceptable"))</f><v /></c><c r="AZ81" s="367"><f>IF(AF81&lt;$V$6,"error",IF(AF81&gt;$V$6*1.1,"error","aceptable"))</f><v /></c><c r="BA81" s="367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66"><f>SIGN(U81)</f><v /></c><c r="BE81" s="366"><f>SIGN(AG81)</f><v /></c><c r="BF81" s="366"><f>SIGN(AS81)</f><v /></c><c r="BG81" s="366"><f>CONCATENATE(BD81,BE81,BF81)</f><v /></c><c r="BH81" s="366"><f>IF(BG81="111","SI","SD")</f><v /></c><c r="BI81" s="366"><f>IF(BG81="-1-1-1","SI","SD")</f><v /></c><c r="BJ81" s="366"><f>OR(BH81="SI",BI81="SI")</f><v /></c><c r="BK81" s="366"><f>IF(BJ81=FALSE,"SIGDIFERENTES","SIGIGUALES")</f><v /></c><c r="BL81" s="367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PA25517486</t></is></c><c r="H82" s="313"><f>H81</f><v /></c><c r="I82" s="38"><f>I81</f><v /></c><c r="J82" s="314"><f>J81</f><v /></c><c r="K82" s="372"><f>K81</f><v /></c><c r="L82" s="372"><f>L81</f><v /></c><c r="M82" s="373" t="n"><v>95.2</v></c><c r="N82" s="373" t="n"><v>195.15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2"><f>W81</f><v /></c><c r="X82" s="372"><f>X81</f><v /></c><c r="Y82" s="373" t="n"><v>197.56</v></c><c r="Z82" s="373" t="n"><v>207.56</v></c><c r="AA82" s="379"><f>AA81</f><v /></c><c r="AB82" s="380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2"><f>AI81</f><v /></c><c r="AJ82" s="372"><f>AJ81</f><v /></c><c r="AK82" s="373"><f>Z82</f><v /></c><c r="AL82" s="373" t="n"><v>212.64</v></c><c r="AM82" s="381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2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PA25517487</t></is></c><c r="H83" s="313"><f>H82</f><v /></c><c r="I83" s="38"><f>I82</f><v /></c><c r="J83" s="314"><f>J82</f><v /></c><c r="K83" s="372"><f>K82</f><v /></c><c r="L83" s="372"><f>L82</f><v /></c><c r="M83" s="373" t="n"><v>94.39</v></c><c r="N83" s="373" t="n"><v>194.67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2"><f>W82</f><v /></c><c r="X83" s="372"><f>X82</f><v /></c><c r="Y83" s="373" t="n"><v>197.1</v></c><c r="Z83" s="373" t="n"><v>207.09</v></c><c r="AA83" s="379"><f>AA82</f><v /></c><c r="AB83" s="380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2"><f>AI82</f><v /></c><c r="AJ83" s="372"><f>AJ82</f><v /></c><c r="AK83" s="373"><f>Z83</f><v /></c><c r="AL83" s="373" t="n"><v>212.12</v></c><c r="AM83" s="381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2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PA25517488</t></is></c><c r="H84" s="313"><f>H83</f><v /></c><c r="I84" s="38"><f>I83</f><v /></c><c r="J84" s="314"><f>J83</f><v /></c><c r="K84" s="372"><f>K83</f><v /></c><c r="L84" s="372"><f>L83</f><v /></c><c r="M84" s="373" t="n"><v>90.05</v></c><c r="N84" s="373" t="n"><v>190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2"><f>W83</f><v /></c><c r="X84" s="372"><f>X83</f><v /></c><c r="Y84" s="373" t="n"><v>192.44</v></c><c r="Z84" s="373" t="n"><v>202.44</v></c><c r="AA84" s="379"><f>AA83</f><v /></c><c r="AB84" s="380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2"><f>AI83</f><v /></c><c r="AJ84" s="372"><f>AJ83</f><v /></c><c r="AK84" s="373"><f>Z84</f><v /></c><c r="AL84" s="373" t="n"><v>207.45</v></c><c r="AM84" s="381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2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PA25517489</t></is></c><c r="H85" s="313"><f>H84</f><v /></c><c r="I85" s="38"><f>I84</f><v /></c><c r="J85" s="314"><f>J84</f><v /></c><c r="K85" s="372"><f>K84</f><v /></c><c r="L85" s="372"><f>L84</f><v /></c><c r="M85" s="373" t="n"><v>91.11</v></c><c r="N85" s="373" t="n"><v>191.49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2"><f>W84</f><v /></c><c r="X85" s="372"><f>X84</f><v /></c><c r="Y85" s="373" t="n"><v>193.89</v></c><c r="Z85" s="373" t="n"><v>203.94</v></c><c r="AA85" s="379"><f>AA84</f><v /></c><c r="AB85" s="380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2"><f>AI84</f><v /></c><c r="AJ85" s="372"><f>AJ84</f><v /></c><c r="AK85" s="373"><f>Z85</f><v /></c><c r="AL85" s="373" t="n"><v>209.02</v></c><c r="AM85" s="381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2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PA25517490</t></is></c><c r="H86" s="313"><f>H85</f><v /></c><c r="I86" s="38"><f>I85</f><v /></c><c r="J86" s="314"><f>J85</f><v /></c><c r="K86" s="372"><f>K85</f><v /></c><c r="L86" s="372"><f>L85</f><v /></c><c r="M86" s="373" t="n"><v>89.79000000000001</v></c><c r="N86" s="373" t="n"><v>189.7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2"><f>W85</f><v /></c><c r="X86" s="372"><f>X85</f><v /></c><c r="Y86" s="373" t="n"><v>192.14</v></c><c r="Z86" s="373" t="n"><v>202.15</v></c><c r="AA86" s="379"><f>AA85</f><v /></c><c r="AB86" s="380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2"><f>AI85</f><v /></c><c r="AJ86" s="372"><f>AJ85</f><v /></c><c r="AK86" s="373"><f>Z86</f><v /></c><c r="AL86" s="373" t="n"><v>207.21</v></c><c r="AM86" s="381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2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PA25517491</t></is></c><c r="H87" s="313"><f>H86</f><v /></c><c r="I87" s="38"><f>I86</f><v /></c><c r="J87" s="314"><f>J86</f><v /></c><c r="K87" s="372"><f>K86</f><v /></c><c r="L87" s="372"><f>L86</f><v /></c><c r="M87" s="373" t="n"><v>91.17</v></c><c r="N87" s="373" t="n"><v>191.23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2"><f>W86</f><v /></c><c r="X87" s="372"><f>X86</f><v /></c><c r="Y87" s="373" t="n"><v>193.64</v></c><c r="Z87" s="373" t="n"><v>203.69</v></c><c r="AA87" s="379"><f>AA86</f><v /></c><c r="AB87" s="380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2"><f>AI86</f><v /></c><c r="AJ87" s="372"><f>AJ86</f><v /></c><c r="AK87" s="373"><f>Z87</f><v /></c><c r="AL87" s="373" t="n"><v>208.75</v></c><c r="AM87" s="381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2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PA25517492</t></is></c><c r="H88" s="313"><f>H87</f><v /></c><c r="I88" s="38"><f>I87</f><v /></c><c r="J88" s="314"><f>J87</f><v /></c><c r="K88" s="372"><f>K87</f><v /></c><c r="L88" s="372"><f>L87</f><v /></c><c r="M88" s="373" t="n"><v>91.43000000000001</v></c><c r="N88" s="373" t="n"><v>192.15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2"><f>W87</f><v /></c><c r="X88" s="372"><f>X87</f><v /></c><c r="Y88" s="373" t="n"><v>194.59</v></c><c r="Z88" s="373" t="n"><v>204.6</v></c><c r="AA88" s="379"><f>AA87</f><v /></c><c r="AB88" s="380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2"><f>AI87</f><v /></c><c r="AJ88" s="372"><f>AJ87</f><v /></c><c r="AK88" s="373"><f>Z88</f><v /></c><c r="AL88" s="373" t="n"><v>209.64</v></c><c r="AM88" s="381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2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PA25517493</t></is></c><c r="H89" s="313"><f>H88</f><v /></c><c r="I89" s="38"><f>I88</f><v /></c><c r="J89" s="314"><f>J88</f><v /></c><c r="K89" s="372"><f>K88</f><v /></c><c r="L89" s="372"><f>L88</f><v /></c><c r="M89" s="373" t="n"><v>95.92</v></c><c r="N89" s="373" t="n"><v>196.15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2"><f>W88</f><v /></c><c r="X89" s="372"><f>X88</f><v /></c><c r="Y89" s="373" t="n"><v>198.55</v></c><c r="Z89" s="373" t="n"><v>208.59</v></c><c r="AA89" s="379"><f>AA88</f><v /></c><c r="AB89" s="380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2"><f>AI88</f><v /></c><c r="AJ89" s="372"><f>AJ88</f><v /></c><c r="AK89" s="373"><f>Z89</f><v /></c><c r="AL89" s="373" t="n"><v>213.64</v></c><c r="AM89" s="381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2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PA25517494</t></is></c><c r="H90" s="313"><f>H89</f><v /></c><c r="I90" s="38"><f>I89</f><v /></c><c r="J90" s="314"><f>J89</f><v /></c><c r="K90" s="372"><f>K89</f><v /></c><c r="L90" s="372"><f>L89</f><v /></c><c r="M90" s="373" t="n"><v>96.34</v></c><c r="N90" s="373" t="n"><v>196.58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2"><f>W89</f><v /></c><c r="X90" s="372"><f>X89</f><v /></c><c r="Y90" s="373" t="n"><v>199</v></c><c r="Z90" s="373" t="n"><v>209.09</v></c><c r="AA90" s="379"><f>AA89</f><v /></c><c r="AB90" s="380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2"><f>AI89</f><v /></c><c r="AJ90" s="372"><f>AJ89</f><v /></c><c r="AK90" s="373"><f>Z90</f><v /></c><c r="AL90" s="373" t="n"><v>214.21</v></c><c r="AM90" s="381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2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PA25517495</t></is></c><c r="H91" s="313"><f>H90</f><v /></c><c r="I91" s="38"><f>I90</f><v /></c><c r="J91" s="314"><f>J90</f><v /></c><c r="K91" s="372"><f>K90</f><v /></c><c r="L91" s="372"><f>L90</f><v /></c><c r="M91" s="373" t="n"><v>96.69</v></c><c r="N91" s="373" t="n"><v>196.81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2"><f>W90</f><v /></c><c r="X91" s="372"><f>X90</f><v /></c><c r="Y91" s="373" t="n"><v>199.25</v></c><c r="Z91" s="373" t="n"><v>209.34</v></c><c r="AA91" s="379"><f>AA90</f><v /></c><c r="AB91" s="380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2"><f>AI90</f><v /></c><c r="AJ91" s="372"><f>AJ90</f><v /></c><c r="AK91" s="373"><f>Z91</f><v /></c><c r="AL91" s="373" t="n"><v>214.45</v></c><c r="AM91" s="381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2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PA25517496</t></is></c><c r="H92" s="313"><f>H91</f><v /></c><c r="I92" s="38"><f>I91</f><v /></c><c r="J92" s="314"><f>J91</f><v /></c><c r="K92" s="372"><f>K91</f><v /></c><c r="L92" s="372"><f>L91</f><v /></c><c r="M92" s="373" t="n"><v>97.09999999999999</v></c><c r="N92" s="373" t="n"><v>197.12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2"><f>W91</f><v /></c><c r="X92" s="372"><f>X91</f><v /></c><c r="Y92" s="373" t="n"><v>199.55</v></c><c r="Z92" s="373" t="n"><v>209.59</v></c><c r="AA92" s="379"><f>AA91</f><v /></c><c r="AB92" s="380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2"><f>AI91</f><v /></c><c r="AJ92" s="372"><f>AJ91</f><v /></c><c r="AK92" s="373"><f>Z92</f><v /></c><c r="AL92" s="373" t="n"><v>214.67</v></c><c r="AM92" s="381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2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PA25517497</t></is></c><c r="H93" s="313"><f>H92</f><v /></c><c r="I93" s="38"><f>I92</f><v /></c><c r="J93" s="314"><f>J92</f><v /></c><c r="K93" s="372"><f>K92</f><v /></c><c r="L93" s="372"><f>L92</f><v /></c><c r="M93" s="373" t="n"><v>133.7</v></c><c r="N93" s="373" t="n"><v>234.04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2"><f>W92</f><v /></c><c r="X93" s="372"><f>X92</f><v /></c><c r="Y93" s="373" t="n"><v>236.49</v></c><c r="Z93" s="373" t="n"><v>246.59</v></c><c r="AA93" s="379"><f>AA92</f><v /></c><c r="AB93" s="380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2"><f>AI92</f><v /></c><c r="AJ93" s="372"><f>AJ92</f><v /></c><c r="AK93" s="373"><f>Z93</f><v /></c><c r="AL93" s="373" t="n"><v>251.7</v></c><c r="AM93" s="381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2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PA25517498</t></is></c><c r="H94" s="313"><f>H93</f><v /></c><c r="I94" s="38"><f>I93</f><v /></c><c r="J94" s="314"><f>J93</f><v /></c><c r="K94" s="372"><f>K93</f><v /></c><c r="L94" s="372"><f>L93</f><v /></c><c r="M94" s="373" t="n"><v>91.81999999999999</v></c><c r="N94" s="373" t="n"><v>192.1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2"><f>W93</f><v /></c><c r="X94" s="372"><f>X93</f><v /></c><c r="Y94" s="373" t="n"><v>194.54</v></c><c r="Z94" s="373" t="n"><v>204.58</v></c><c r="AA94" s="379"><f>AA93</f><v /></c><c r="AB94" s="380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2"><f>AI93</f><v /></c><c r="AJ94" s="372"><f>AJ93</f><v /></c><c r="AK94" s="373"><f>Z94</f><v /></c><c r="AL94" s="373" t="n"><v>209.65</v></c><c r="AM94" s="381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2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PA25517499</t></is></c><c r="H95" s="313"><f>H94</f><v /></c><c r="I95" s="38"><f>I94</f><v /></c><c r="J95" s="314"><f>J94</f><v /></c><c r="K95" s="372"><f>K94</f><v /></c><c r="L95" s="372"><f>L94</f><v /></c><c r="M95" s="373" t="n"><v>91.20999999999999</v></c><c r="N95" s="373" t="n"><v>190.78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2"><f>W94</f><v /></c><c r="X95" s="372"><f>X94</f><v /></c><c r="Y95" s="373" t="n"><v>193.22</v></c><c r="Z95" s="373" t="n"><v>203.27</v></c><c r="AA95" s="379"><f>AA94</f><v /></c><c r="AB95" s="380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2"><f>AI94</f><v /></c><c r="AJ95" s="372"><f>AJ94</f><v /></c><c r="AK95" s="373"><f>Z95</f><v /></c><c r="AL95" s="373" t="n"><v>208.38</v></c><c r="AM95" s="381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2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3" t="n"><v>88</v></c><c r="B96" s="384"><f>B95</f><v /></c><c r="C96" s="384"><f>C95</f><v /></c><c r="D96" s="385"><f>D95</f><v /></c><c r="E96" s="386"><f>E95</f><v /></c><c r="F96" s="52" t="n" /><c r="G96" s="337" t="inlineStr"><is><t>PA25517500</t></is></c><c r="H96" s="326"><f>H95</f><v /></c><c r="I96" s="98"><f>I95</f><v /></c><c r="J96" s="327"><f>J95</f><v /></c><c r="K96" s="387"><f>K95</f><v /></c><c r="L96" s="387"><f>L95</f><v /></c><c r="M96" s="388" t="n"><v>91.95</v></c><c r="N96" s="388" t="n"><v>191.95</v></c><c r="O96" s="389"><f>O95</f><v /></c><c r="P96" s="390"><f>P95</f><v /></c><c r="Q96" s="391"><f>LEFT(P96,1)</f><v /></c><c r="R96" s="391"><f>RIGHT(P96,6)</f><v /></c><c r="S96" s="391"><f>+(Q96*60+R96)/(60*60)</f><v /></c><c r="T96" s="392"><f>+O96/S96</f><v /></c><c r="U96" s="393"><f>+(((N96-M96-O96)/O96)*100)</f><v /></c><c r="V96" s="329"><f>V95</f><v /></c><c r="W96" s="387"><f>W95</f><v /></c><c r="X96" s="387"><f>X95</f><v /></c><c r="Y96" s="388" t="n"><v>194.4</v></c><c r="Z96" s="388" t="n"><v>204.5</v></c><c r="AA96" s="394"><f>AA95</f><v /></c><c r="AB96" s="395"><f>AB95</f><v /></c><c r="AC96" s="391"><f>LEFT(AB96,2)</f><v /></c><c r="AD96" s="391"><f>RIGHT(AB96,6)</f><v /></c><c r="AE96" s="391"><f>+(AC96*60+AD96)/(60*60)</f><v /></c><c r="AF96" s="392"><f>+AA96/AE96</f><v /></c><c r="AG96" s="396"><f>+(((Z96-Y96-AA96)/AA96)*100)</f><v /></c><c r="AH96" s="329"><f>AH95</f><v /></c><c r="AI96" s="387"><f>AI95</f><v /></c><c r="AJ96" s="387"><f>AJ95</f><v /></c><c r="AK96" s="388"><f>Z96</f><v /></c><c r="AL96" s="388" t="n"><v>209.61</v></c><c r="AM96" s="397"><f>AM95</f><v /></c><c r="AN96" s="390"><f>AN95</f><v /></c><c r="AO96" s="391"><f>LEFT(AN96,2)</f><v /></c><c r="AP96" s="391"><f>RIGHT(AN96,6)</f><v /></c><c r="AQ96" s="391"><f>+(AO96*60+AP96)/(60*60)</f><v /></c><c r="AR96" s="392"><f>+AM96/AQ96</f><v /></c><c r="AS96" s="396"><f>+(((AL96-AK96-AM96)/AM96)*100)</f><v /></c><c r="AT96" s="398"><f>IF(I96&gt;=1,"NO CONFORME",IF(BK96="SIGDIFERENTES",BC96,BL96))</f><v /></c><c r="AU96" s="399"><f>B96=C96</f><v /></c><c r="AV96" s="399"><f>N96&lt;Y96</f><v /></c><c r="AW96" s="399"><f>Z96&lt;=AK96</f><v /></c><c r="AX96" s="399"><f>IF(I96&gt;=1,"Qcorrecto",IF(AND(AY96="aceptable",AZ96="aceptable",BA96="aceptable"),"Qcorrecto","Qincorrecto"))</f><v /></c><c r="AY96" s="400"><f>IF(AR96&lt;$AH$6,"error",IF(AR96&gt;$AH$6*1.1,"error","aceptable"))</f><v /></c><c r="AZ96" s="400"><f>IF(AF96&lt;$V$6,"error",IF(AF96&gt;$V$6*1.1,"error","aceptable"))</f><v /></c><c r="BA96" s="400"><f>IF(T96&lt;$J$6*0.9,"error",IF(T96&gt;$J$6,"error","aceptable"))</f><v /></c><c r="BB96" s="401"><f>(IF(ABS(U96)&lt;1.05,"CONFORME",IF(ABS(AG96)&lt;1.05,"CONFORME",IF(ABS(AS96)&lt;2.55,"CONFORME","NO CONFORME"))))</f><v /></c><c r="BC96" s="402"><f>(IF(ABS(U96)&gt;2.05,"NO CONFORME",IF(ABS(AG96)&gt;2.05,"NO CONFORME",IF(ABS(AS96)&gt;5.05,"NO CONFORME","CONFORME"))))</f><v /></c><c r="BD96" s="403"><f>SIGN(U96)</f><v /></c><c r="BE96" s="403"><f>SIGN(AG96)</f><v /></c><c r="BF96" s="403"><f>SIGN(AS96)</f><v /></c><c r="BG96" s="403"><f>CONCATENATE(BD96,BE96,BF96)</f><v /></c><c r="BH96" s="403"><f>IF(BG96="111","SI","SD")</f><v /></c><c r="BI96" s="403"><f>IF(BG96="-1-1-1","SI","SD")</f><v /></c><c r="BJ96" s="403"><f>OR(BH96="SI",BI96="SI")</f><v /></c><c r="BK96" s="403"><f>IF(BJ96=FALSE,"SIGDIFERENTES","SIGIGUALES")</f><v /></c><c r="BL96" s="400"><f>IF(BC96="NO CONFORME","NO CONFORME",IF(BB96="CONFORME","CONFORME","NO CONFORME"))</f><v /></c></row><row r="97" ht="14.4" customHeight="1" thickBot="1"><c r="A97" s="351" t="n"><v>89</v></c><c r="B97" s="404"><f>B96</f><v /></c><c r="C97" s="404"><f>C96</f><v /></c><c r="D97" s="405"><f>D96</f><v /></c><c r="E97" s="406"><f>E96</f><v /></c><c r="F97" s="58" t="n" /><c r="G97" s="300" t="inlineStr"><is><t>PA25517501</t></is></c><c r="H97" s="407"><f>H96</f><v /></c><c r="I97" s="232"><f>I96</f><v /></c><c r="J97" s="408" t="n"><v>20.8</v></c><c r="K97" s="409" t="n"><v>8.339</v></c><c r="L97" s="409" t="n"><v>0.548</v></c><c r="M97" s="355" t="n"><v>95.7</v></c><c r="N97" s="355" t="n"><v>195.69</v></c><c r="O97" s="410" t="n"><v>100.68</v></c><c r="P97" s="411" t="inlineStr"><is><t>2,30,960</t></is></c><c r="Q97" s="358"><f>LEFT(P97,1)</f><v /></c><c r="R97" s="358"><f>RIGHT(P97,6)</f><v /></c><c r="S97" s="358"><f>+(Q97*60+R97)/(60*60)</f><v /></c><c r="T97" s="359"><f>+O97/S97</f><v /></c><c r="U97" s="360"><f>+(((N97-M97-O97)/O97)*100)</f><v /></c><c r="V97" s="412" t="n"><v>20.8</v></c><c r="W97" s="409" t="n"><v>1.392</v></c><c r="X97" s="409" t="n"><v>1.387</v></c><c r="Y97" s="355" t="n"><v>198.01</v></c><c r="Z97" s="355" t="n"><v>208</v></c><c r="AA97" s="413" t="n"><v>10.021</v></c><c r="AB97" s="414" t="inlineStr"><is><t>22,40,090</t></is></c><c r="AC97" s="358"><f>LEFT(AB97,2)</f><v /></c><c r="AD97" s="358"><f>RIGHT(AB97,6)</f><v /></c><c r="AE97" s="358"><f>+(AC97*60+AD97)/(60*60)</f><v /></c><c r="AF97" s="359"><f>+AA97/AE97</f><v /></c><c r="AG97" s="361"><f>+(((Z97-Y97-AA97)/AA97)*100)</f><v /></c><c r="AH97" s="412" t="n"><v>21.1</v></c><c r="AI97" s="409" t="n"><v>1.397</v></c><c r="AJ97" s="409" t="n"><v>1.395</v></c><c r="AK97" s="355"><f>Z97</f><v /></c><c r="AL97" s="355" t="n"><v>213.11</v></c><c r="AM97" s="415" t="n"><v>5.015</v></c><c r="AN97" s="411" t="inlineStr"><is><t>18,18,340</t></is></c><c r="AO97" s="358"><f>LEFT(AN97,2)</f><v /></c><c r="AP97" s="358"><f>RIGHT(AN97,6)</f><v /></c><c r="AQ97" s="358"><f>+(AO97*60+AP97)/(60*60)</f><v /></c><c r="AR97" s="359"><f>+AM97/AQ97</f><v /></c><c r="AS97" s="361"><f>+(((AL97-AK97-AM97)/AM97)*100)</f><v /></c><c r="AT97" s="363"><f>IF(I97&gt;=1,"NO CONFORME",IF(BK97="SIGDIFERENTES",BC97,BL97))</f><v /></c><c r="AU97" s="364"><f>B97=C97</f><v /></c><c r="AV97" s="364"><f>N97&lt;Y97</f><v /></c><c r="AW97" s="364"><f>Z97&lt;=AK97</f><v /></c><c r="AX97" s="364"><f>IF(I97&gt;=1,"Qcorrecto",IF(AND(AY97="aceptable",AZ97="aceptable",BA97="aceptable"),"Qcorrecto","Qincorrecto"))</f><v /></c><c r="AY97" s="367"><f>IF(AR97&lt;$AH$6,"error",IF(AR97&gt;$AH$6*1.1,"error","aceptable"))</f><v /></c><c r="AZ97" s="367"><f>IF(AF97&lt;$V$6,"error",IF(AF97&gt;$V$6*1.1,"error","aceptable"))</f><v /></c><c r="BA97" s="367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66"><f>SIGN(U97)</f><v /></c><c r="BE97" s="366"><f>SIGN(AG97)</f><v /></c><c r="BF97" s="366"><f>SIGN(AS97)</f><v /></c><c r="BG97" s="366"><f>CONCATENATE(BD97,BE97,BF97)</f><v /></c><c r="BH97" s="366"><f>IF(BG97="111","SI","SD")</f><v /></c><c r="BI97" s="366"><f>IF(BG97="-1-1-1","SI","SD")</f><v /></c><c r="BJ97" s="366"><f>OR(BH97="SI",BI97="SI")</f><v /></c><c r="BK97" s="366"><f>IF(BJ97=FALSE,"SIGDIFERENTES","SIGIGUALES")</f><v /></c><c r="BL97" s="367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PA25517502</t></is></c><c r="H98" s="313"><f>H97</f><v /></c><c r="I98" s="38"><f>I97</f><v /></c><c r="J98" s="314"><f>J97</f><v /></c><c r="K98" s="372"><f>K97</f><v /></c><c r="L98" s="372"><f>L97</f><v /></c><c r="M98" s="373" t="n"><v>134.94</v></c><c r="N98" s="373" t="n"><v>235.01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2"><f>W97</f><v /></c><c r="X98" s="372"><f>X97</f><v /></c><c r="Y98" s="373" t="n"><v>237.35</v></c><c r="Z98" s="373" t="n"><v>247.35</v></c><c r="AA98" s="379"><f>AA97</f><v /></c><c r="AB98" s="380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2"><f>AI97</f><v /></c><c r="AJ98" s="372"><f>AJ97</f><v /></c><c r="AK98" s="373"><f>Z98</f><v /></c><c r="AL98" s="373" t="n"><v>252.39</v></c><c r="AM98" s="381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2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PA25517503</t></is></c><c r="H99" s="313"><f>H98</f><v /></c><c r="I99" s="38"><f>I98</f><v /></c><c r="J99" s="314"><f>J98</f><v /></c><c r="K99" s="372"><f>K98</f><v /></c><c r="L99" s="372"><f>L98</f><v /></c><c r="M99" s="373" t="n"><v>95.59</v></c><c r="N99" s="373" t="n"><v>195.56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2"><f>W98</f><v /></c><c r="X99" s="372"><f>X98</f><v /></c><c r="Y99" s="373" t="n"><v>197.88</v></c><c r="Z99" s="373" t="n"><v>207.92</v></c><c r="AA99" s="379"><f>AA98</f><v /></c><c r="AB99" s="380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2"><f>AI98</f><v /></c><c r="AJ99" s="372"><f>AJ98</f><v /></c><c r="AK99" s="373"><f>Z99</f><v /></c><c r="AL99" s="373" t="n"><v>213.01</v></c><c r="AM99" s="381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2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PA25517504</t></is></c><c r="H100" s="313"><f>H99</f><v /></c><c r="I100" s="38"><f>I99</f><v /></c><c r="J100" s="314"><f>J99</f><v /></c><c r="K100" s="372"><f>K99</f><v /></c><c r="L100" s="372"><f>L99</f><v /></c><c r="M100" s="373" t="n"><v>91.56</v></c><c r="N100" s="373" t="n"><v>191.25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2"><f>W99</f><v /></c><c r="X100" s="372"><f>X99</f><v /></c><c r="Y100" s="373" t="n"><v>193.55</v></c><c r="Z100" s="373" t="n"><v>203.6</v></c><c r="AA100" s="379"><f>AA99</f><v /></c><c r="AB100" s="380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2"><f>AI99</f><v /></c><c r="AJ100" s="372"><f>AJ99</f><v /></c><c r="AK100" s="373"><f>Z100</f><v /></c><c r="AL100" s="373" t="n"><v>208.67</v></c><c r="AM100" s="381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2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PA25517505</t></is></c><c r="H101" s="313"><f>H100</f><v /></c><c r="I101" s="38"><f>I100</f><v /></c><c r="J101" s="314"><f>J100</f><v /></c><c r="K101" s="372"><f>K100</f><v /></c><c r="L101" s="372"><f>L100</f><v /></c><c r="M101" s="373" t="n"><v>131.95</v></c><c r="N101" s="373" t="n"><v>231.79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2"><f>W100</f><v /></c><c r="X101" s="372"><f>X100</f><v /></c><c r="Y101" s="373" t="n"><v>234.14</v></c><c r="Z101" s="373" t="n"><v>244.19</v></c><c r="AA101" s="379"><f>AA100</f><v /></c><c r="AB101" s="380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2"><f>AI100</f><v /></c><c r="AJ101" s="372"><f>AJ100</f><v /></c><c r="AK101" s="373"><f>Z101</f><v /></c><c r="AL101" s="373" t="n"><v>249.28</v></c><c r="AM101" s="381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2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PA25517506</t></is></c><c r="H102" s="313"><f>H101</f><v /></c><c r="I102" s="38"><f>I101</f><v /></c><c r="J102" s="314"><f>J101</f><v /></c><c r="K102" s="372"><f>K101</f><v /></c><c r="L102" s="372"><f>L101</f><v /></c><c r="M102" s="373" t="n"><v>92.36</v></c><c r="N102" s="373" t="n"><v>192.31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2"><f>W101</f><v /></c><c r="X102" s="372"><f>X101</f><v /></c><c r="Y102" s="373" t="n"><v>194.62</v></c><c r="Z102" s="373" t="n"><v>204.65</v></c><c r="AA102" s="379"><f>AA101</f><v /></c><c r="AB102" s="380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2"><f>AI101</f><v /></c><c r="AJ102" s="372"><f>AJ101</f><v /></c><c r="AK102" s="373"><f>Z102</f><v /></c><c r="AL102" s="373" t="n"><v>209.74</v></c><c r="AM102" s="381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2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PA25517507</t></is></c><c r="H103" s="313"><f>H102</f><v /></c><c r="I103" s="38"><f>I102</f><v /></c><c r="J103" s="314"><f>J102</f><v /></c><c r="K103" s="372"><f>K102</f><v /></c><c r="L103" s="372"><f>L102</f><v /></c><c r="M103" s="373" t="n"><v>91.73999999999999</v></c><c r="N103" s="373" t="n"><v>191.95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2"><f>W102</f><v /></c><c r="X103" s="372"><f>X102</f><v /></c><c r="Y103" s="373" t="n"><v>194.31</v></c><c r="Z103" s="373" t="n"><v>204.34</v></c><c r="AA103" s="379"><f>AA102</f><v /></c><c r="AB103" s="380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2"><f>AI102</f><v /></c><c r="AJ103" s="372"><f>AJ102</f><v /></c><c r="AK103" s="373"><f>Z103</f><v /></c><c r="AL103" s="373" t="n"><v>209.41</v></c><c r="AM103" s="381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2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PA25517508</t></is></c><c r="H104" s="313"><f>H103</f><v /></c><c r="I104" s="38"><f>I103</f><v /></c><c r="J104" s="314"><f>J103</f><v /></c><c r="K104" s="372"><f>K103</f><v /></c><c r="L104" s="372"><f>L103</f><v /></c><c r="M104" s="373" t="n"><v>135.19</v></c><c r="N104" s="373" t="n"><v>235.11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2"><f>W103</f><v /></c><c r="X104" s="372"><f>X103</f><v /></c><c r="Y104" s="373" t="n"><v>237.44</v></c><c r="Z104" s="373" t="n"><v>247.5</v></c><c r="AA104" s="379"><f>AA103</f><v /></c><c r="AB104" s="380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2"><f>AI103</f><v /></c><c r="AJ104" s="372"><f>AJ103</f><v /></c><c r="AK104" s="373"><f>Z104</f><v /></c><c r="AL104" s="373" t="n"><v>252.59</v></c><c r="AM104" s="381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2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PA25517509</t></is></c><c r="H105" s="313"><f>H104</f><v /></c><c r="I105" s="38"><f>I104</f><v /></c><c r="J105" s="314"><f>J104</f><v /></c><c r="K105" s="372"><f>K104</f><v /></c><c r="L105" s="372"><f>L104</f><v /></c><c r="M105" s="373" t="n"><v>96.12</v></c><c r="N105" s="373" t="n"><v>195.96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2"><f>W104</f><v /></c><c r="X105" s="372"><f>X104</f><v /></c><c r="Y105" s="373" t="n"><v>198.31</v></c><c r="Z105" s="373" t="n"><v>208.38</v></c><c r="AA105" s="379"><f>AA104</f><v /></c><c r="AB105" s="380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2"><f>AI104</f><v /></c><c r="AJ105" s="372"><f>AJ104</f><v /></c><c r="AK105" s="373"><f>Z105</f><v /></c><c r="AL105" s="373" t="n"><v>213.43</v></c><c r="AM105" s="381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2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PA25517510</t></is></c><c r="H106" s="313"><f>H105</f><v /></c><c r="I106" s="38"><f>I105</f><v /></c><c r="J106" s="314"><f>J105</f><v /></c><c r="K106" s="372"><f>K105</f><v /></c><c r="L106" s="372"><f>L105</f><v /></c><c r="M106" s="373" t="n"><v>92.45</v></c><c r="N106" s="373" t="n"><v>192.49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2"><f>W105</f><v /></c><c r="X106" s="372"><f>X105</f><v /></c><c r="Y106" s="373" t="n"><v>194.8</v></c><c r="Z106" s="373" t="n"><v>204.86</v></c><c r="AA106" s="379"><f>AA105</f><v /></c><c r="AB106" s="380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2"><f>AI105</f><v /></c><c r="AJ106" s="372"><f>AJ105</f><v /></c><c r="AK106" s="373"><f>Z106</f><v /></c><c r="AL106" s="373" t="n"><v>209.98</v></c><c r="AM106" s="381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2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PA25517511</t></is></c><c r="H107" s="313"><f>H106</f><v /></c><c r="I107" s="38"><f>I106</f><v /></c><c r="J107" s="314"><f>J106</f><v /></c><c r="K107" s="372"><f>K106</f><v /></c><c r="L107" s="372"><f>L106</f><v /></c><c r="M107" s="373" t="n"><v>92.34</v></c><c r="N107" s="373" t="n"><v>191.55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2"><f>W106</f><v /></c><c r="X107" s="372"><f>X106</f><v /></c><c r="Y107" s="373" t="n"><v>193.84</v></c><c r="Z107" s="373" t="n"><v>203.8</v></c><c r="AA107" s="379"><f>AA106</f><v /></c><c r="AB107" s="380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2"><f>AI106</f><v /></c><c r="AJ107" s="372"><f>AJ106</f><v /></c><c r="AK107" s="373"><f>Z107</f><v /></c><c r="AL107" s="373" t="n"><v>208.88</v></c><c r="AM107" s="381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2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4.4" customHeight="1" thickBot="1"><c r="A108" s="368" t="n"><v>100</v></c><c r="B108" s="369"><f>B107</f><v /></c><c r="C108" s="369"><f>C107</f><v /></c><c r="D108" s="370"><f>D107</f><v /></c><c r="E108" s="371"><f>E107</f><v /></c><c r="F108" s="13" t="n" /><c r="G108" s="300" t="inlineStr"><is><t>PA25517512</t></is></c><c r="H108" s="313"><f>H107</f><v /></c><c r="I108" s="38"><f>I107</f><v /></c><c r="J108" s="314"><f>J107</f><v /></c><c r="K108" s="372"><f>K107</f><v /></c><c r="L108" s="372"><f>L107</f><v /></c><c r="M108" s="373" t="n"><v>92.95</v></c><c r="N108" s="373" t="n"><v>193.44</v></c><c r="O108" s="374"><f>O107</f><v /></c><c r="P108" s="375"><f>P107</f><v /></c><c r="Q108" s="376"><f>LEFT(P108,1)</f><v /></c><c r="R108" s="376"><f>RIGHT(P108,6)</f><v /></c><c r="S108" s="376"><f>+(Q108*60+R108)/(60*60)</f><v /></c><c r="T108" s="377"><f>+O108/S108</f><v /></c><c r="U108" s="378"><f>+(((N108-M108-O108)/O108)*100)</f><v /></c><c r="V108" s="317"><f>V107</f><v /></c><c r="W108" s="372"><f>W107</f><v /></c><c r="X108" s="372"><f>X107</f><v /></c><c r="Y108" s="373" t="n"><v>195.74</v></c><c r="Z108" s="373" t="n"><v>205.79</v></c><c r="AA108" s="379"><f>AA107</f><v /></c><c r="AB108" s="380"><f>AB107</f><v /></c><c r="AC108" s="376"><f>LEFT(AB108,2)</f><v /></c><c r="AD108" s="376"><f>RIGHT(AB108,6)</f><v /></c><c r="AE108" s="376"><f>+(AC108*60+AD108)/(60*60)</f><v /></c><c r="AF108" s="377"><f>+AA108/AE108</f><v /></c><c r="AG108" s="321"><f>+(((Z108-Y108-AA108)/AA108)*100)</f><v /></c><c r="AH108" s="317"><f>AH107</f><v /></c><c r="AI108" s="372"><f>AI107</f><v /></c><c r="AJ108" s="372"><f>AJ107</f><v /></c><c r="AK108" s="373"><f>Z108</f><v /></c><c r="AL108" s="373" t="n"><v>210.85</v></c><c r="AM108" s="381"><f>AM107</f><v /></c><c r="AN108" s="375"><f>AN107</f><v /></c><c r="AO108" s="376"><f>LEFT(AN108,2)</f><v /></c><c r="AP108" s="376"><f>RIGHT(AN108,6)</f><v /></c><c r="AQ108" s="376"><f>+(AO108*60+AP108)/(60*60)</f><v /></c><c r="AR108" s="377"><f>+AM108/AQ108</f><v /></c><c r="AS108" s="321"><f>+(((AL108-AK108-AM108)/AM108)*100)</f><v /></c><c r="AT108" s="382"><f>IF(I108&gt;=1,"NO CONFORME",IF(BK108="SIGDIFERENTES",BC108,BL108))</f><v /></c><c r="AU108" s="364"><f>B108=C108</f><v /></c><c r="AV108" s="364"><f>N108&lt;Y108</f><v /></c><c r="AW108" s="364"><f>Z108&lt;=AK108</f><v /></c><c r="AX108" s="364"><f>IF(I108&gt;=1,"Qcorrecto",IF(AND(AY108="aceptable",AZ108="aceptable",BA108="aceptable"),"Qcorrecto","Qincorrecto"))</f><v /></c><c r="AY108" s="365"><f>IF(AR108&lt;$AH$6,"error",IF(AR108&gt;$AH$6*1.1,"error","aceptable"))</f><v /></c><c r="AZ108" s="365"><f>IF(AF108&lt;$V$6,"error",IF(AF108&gt;$V$6*1.1,"error","aceptable"))</f><v /></c><c r="BA108" s="365"><f>IF(T108&lt;$J$6*0.9,"error",IF(T108&gt;$J$6,"error","aceptable"))</f><v /></c><c r="BB108" s="25"><f>(IF(ABS(U108)&lt;1.05,"CONFORME",IF(ABS(AG108)&lt;1.05,"CONFORME",IF(ABS(AS108)&lt;2.55,"CONFORME","NO CONFORME"))))</f><v /></c><c r="BC108" s="5"><f>(IF(ABS(U108)&gt;2.05,"NO CONFORME",IF(ABS(AG108)&gt;2.05,"NO CONFORME",IF(ABS(AS108)&gt;5.05,"NO CONFORME","CONFORME"))))</f><v /></c><c r="BD108" s="366"><f>SIGN(U108)</f><v /></c><c r="BE108" s="366"><f>SIGN(AG108)</f><v /></c><c r="BF108" s="366"><f>SIGN(AS108)</f><v /></c><c r="BG108" s="366"><f>CONCATENATE(BD108,BE108,BF108)</f><v /></c><c r="BH108" s="366"><f>IF(BG108="111","SI","SD")</f><v /></c><c r="BI108" s="366"><f>IF(BG108="-1-1-1","SI","SD")</f><v /></c><c r="BJ108" s="366"><f>OR(BH108="SI",BI108="SI")</f><v /></c><c r="BK108" s="366"><f>IF(BJ108=FALSE,"SIGDIFERENTES","SIGIGUALES")</f><v /></c><c r="BL108" s="365"><f>IF(BC108="NO CONFORME","NO CONFORME",IF(BB108="CONFORME","CONFORME","NO CONFORME"))</f><v /></c></row><row r="109" ht="14.4" customHeight="1" thickBot="1"><c r="A109" s="368" t="n"><v>101</v></c><c r="B109" s="369"><f>B108</f><v /></c><c r="C109" s="369"><f>C108</f><v /></c><c r="D109" s="370"><f>D108</f><v /></c><c r="E109" s="371"><f>E108</f><v /></c><c r="F109" s="13" t="n" /><c r="G109" s="300" t="inlineStr"><is><t>PA25517513</t></is></c><c r="H109" s="313"><f>H108</f><v /></c><c r="I109" s="38"><f>I108</f><v /></c><c r="J109" s="314"><f>J108</f><v /></c><c r="K109" s="372"><f>K108</f><v /></c><c r="L109" s="372"><f>L108</f><v /></c><c r="M109" s="373" t="n"><v>92.34999999999999</v></c><c r="N109" s="373" t="n"><v>192.31</v></c><c r="O109" s="374"><f>O108</f><v /></c><c r="P109" s="375"><f>P108</f><v /></c><c r="Q109" s="376"><f>LEFT(P109,1)</f><v /></c><c r="R109" s="376"><f>RIGHT(P109,6)</f><v /></c><c r="S109" s="376"><f>+(Q109*60+R109)/(60*60)</f><v /></c><c r="T109" s="377"><f>+O109/S109</f><v /></c><c r="U109" s="378"><f>+(((N109-M109-O109)/O109)*100)</f><v /></c><c r="V109" s="317"><f>V108</f><v /></c><c r="W109" s="372"><f>W108</f><v /></c><c r="X109" s="372"><f>X108</f><v /></c><c r="Y109" s="373" t="n"><v>194.62</v></c><c r="Z109" s="373" t="n"><v>204.65</v></c><c r="AA109" s="379"><f>AA108</f><v /></c><c r="AB109" s="380"><f>AB108</f><v /></c><c r="AC109" s="376"><f>LEFT(AB109,2)</f><v /></c><c r="AD109" s="376"><f>RIGHT(AB109,6)</f><v /></c><c r="AE109" s="376"><f>+(AC109*60+AD109)/(60*60)</f><v /></c><c r="AF109" s="377"><f>+AA109/AE109</f><v /></c><c r="AG109" s="321"><f>+(((Z109-Y109-AA109)/AA109)*100)</f><v /></c><c r="AH109" s="317"><f>AH108</f><v /></c><c r="AI109" s="372"><f>AI108</f><v /></c><c r="AJ109" s="372"><f>AJ108</f><v /></c><c r="AK109" s="373"><f>Z109</f><v /></c><c r="AL109" s="373" t="n"><v>209.75</v></c><c r="AM109" s="381"><f>AM108</f><v /></c><c r="AN109" s="375"><f>AN108</f><v /></c><c r="AO109" s="376"><f>LEFT(AN109,2)</f><v /></c><c r="AP109" s="376"><f>RIGHT(AN109,6)</f><v /></c><c r="AQ109" s="376"><f>+(AO109*60+AP109)/(60*60)</f><v /></c><c r="AR109" s="377"><f>+AM109/AQ109</f><v /></c><c r="AS109" s="321"><f>+(((AL109-AK109-AM109)/AM109)*100)</f><v /></c><c r="AT109" s="382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5"><f>IF(AR109&lt;$AH$6,"error",IF(AR109&gt;$AH$6*1.1,"error","aceptable"))</f><v /></c><c r="AZ109" s="365"><f>IF(AF109&lt;$V$6,"error",IF(AF109&gt;$V$6*1.1,"error","aceptable"))</f><v /></c><c r="BA109" s="365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5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PA25517514</t></is></c><c r="H110" s="313"><f>H109</f><v /></c><c r="I110" s="38"><f>I109</f><v /></c><c r="J110" s="314"><f>J109</f><v /></c><c r="K110" s="372"><f>K109</f><v /></c><c r="L110" s="372"><f>L109</f><v /></c><c r="M110" s="373" t="n"><v>130.21</v></c><c r="N110" s="373" t="n"><v>229.55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231.85</v></c><c r="Z110" s="373" t="n"><v>241.89</v></c><c r="AA110" s="379"><f>AA109</f><v /></c><c r="AB110" s="380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246.94</v></c><c r="AM110" s="381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2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PA25517515</t></is></c><c r="H111" s="313"><f>H110</f><v /></c><c r="I111" s="38"><f>I110</f><v /></c><c r="J111" s="314"><f>J110</f><v /></c><c r="K111" s="372"><f>K110</f><v /></c><c r="L111" s="372"><f>L110</f><v /></c><c r="M111" s="373" t="n"><v>93.59</v></c><c r="N111" s="373" t="n"><v>194.45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196.76</v></c><c r="Z111" s="373" t="n"><v>206.82</v></c><c r="AA111" s="379"><f>AA110</f><v /></c><c r="AB111" s="380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211.89</v></c><c r="AM111" s="381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2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5" customHeight="1" thickBot="1"><c r="A112" s="383" t="n"><v>104</v></c><c r="B112" s="384"><f>B111</f><v /></c><c r="C112" s="384"><f>C111</f><v /></c><c r="D112" s="385"><f>D111</f><v /></c><c r="E112" s="386"><f>E111</f><v /></c><c r="F112" s="52" t="n" /><c r="G112" s="337" t="inlineStr"><is><t>PA25517516</t></is></c><c r="H112" s="326"><f>H111</f><v /></c><c r="I112" s="98"><f>I111</f><v /></c><c r="J112" s="327"><f>J111</f><v /></c><c r="K112" s="387"><f>K111</f><v /></c><c r="L112" s="387"><f>L111</f><v /></c><c r="M112" s="388" t="n"><v>92.54000000000001</v></c><c r="N112" s="388" t="n"><v>192.31</v></c><c r="O112" s="389"><f>O111</f><v /></c><c r="P112" s="390"><f>P111</f><v /></c><c r="Q112" s="391"><f>LEFT(P112,1)</f><v /></c><c r="R112" s="391"><f>RIGHT(P112,6)</f><v /></c><c r="S112" s="391"><f>+(Q112*60+R112)/(60*60)</f><v /></c><c r="T112" s="392"><f>+O112/S112</f><v /></c><c r="U112" s="393"><f>+(((N112-M112-O112)/O112)*100)</f><v /></c><c r="V112" s="329"><f>V111</f><v /></c><c r="W112" s="387"><f>W111</f><v /></c><c r="X112" s="387"><f>X111</f><v /></c><c r="Y112" s="388" t="n"><v>194.62</v></c><c r="Z112" s="388" t="n"><v>204.71</v></c><c r="AA112" s="394"><f>AA111</f><v /></c><c r="AB112" s="395"><f>AB111</f><v /></c><c r="AC112" s="391"><f>LEFT(AB112,2)</f><v /></c><c r="AD112" s="391"><f>RIGHT(AB112,6)</f><v /></c><c r="AE112" s="391"><f>+(AC112*60+AD112)/(60*60)</f><v /></c><c r="AF112" s="392"><f>+AA112/AE112</f><v /></c><c r="AG112" s="396"><f>+(((Z112-Y112-AA112)/AA112)*100)</f><v /></c><c r="AH112" s="329"><f>AH111</f><v /></c><c r="AI112" s="387"><f>AI111</f><v /></c><c r="AJ112" s="387"><f>AJ111</f><v /></c><c r="AK112" s="388"><f>Z112</f><v /></c><c r="AL112" s="388" t="n"><v>209.83</v></c><c r="AM112" s="397"><f>AM111</f><v /></c><c r="AN112" s="390"><f>AN111</f><v /></c><c r="AO112" s="391"><f>LEFT(AN112,2)</f><v /></c><c r="AP112" s="391"><f>RIGHT(AN112,6)</f><v /></c><c r="AQ112" s="391"><f>+(AO112*60+AP112)/(60*60)</f><v /></c><c r="AR112" s="392"><f>+AM112/AQ112</f><v /></c><c r="AS112" s="396"><f>+(((AL112-AK112-AM112)/AM112)*100)</f><v /></c><c r="AT112" s="398"><f>IF(I112&gt;=1,"NO CONFORME",IF(BK112="SIGDIFERENTES",BC112,BL112))</f><v /></c><c r="AU112" s="399"><f>B112=C112</f><v /></c><c r="AV112" s="399"><f>N112&lt;Y112</f><v /></c><c r="AW112" s="399"><f>Z112&lt;=AK112</f><v /></c><c r="AX112" s="399"><f>IF(I112&gt;=1,"Qcorrecto",IF(AND(AY112="aceptable",AZ112="aceptable",BA112="aceptable"),"Qcorrecto","Qincorrecto"))</f><v /></c><c r="AY112" s="400"><f>IF(AR112&lt;$AH$6,"error",IF(AR112&gt;$AH$6*1.1,"error","aceptable"))</f><v /></c><c r="AZ112" s="400"><f>IF(AF112&lt;$V$6,"error",IF(AF112&gt;$V$6*1.1,"error","aceptable"))</f><v /></c><c r="BA112" s="400"><f>IF(T112&lt;$J$6*0.9,"error",IF(T112&gt;$J$6,"error","aceptable"))</f><v /></c><c r="BB112" s="401"><f>(IF(ABS(U112)&lt;1.05,"CONFORME",IF(ABS(AG112)&lt;1.05,"CONFORME",IF(ABS(AS112)&lt;2.55,"CONFORME","NO CONFORME"))))</f><v /></c><c r="BC112" s="402"><f>(IF(ABS(U112)&gt;2.05,"NO CONFORME",IF(ABS(AG112)&gt;2.05,"NO CONFORME",IF(ABS(AS112)&gt;5.05,"NO CONFORME","CONFORME"))))</f><v /></c><c r="BD112" s="403"><f>SIGN(U112)</f><v /></c><c r="BE112" s="403"><f>SIGN(AG112)</f><v /></c><c r="BF112" s="403"><f>SIGN(AS112)</f><v /></c><c r="BG112" s="403"><f>CONCATENATE(BD112,BE112,BF112)</f><v /></c><c r="BH112" s="403"><f>IF(BG112="111","SI","SD")</f><v /></c><c r="BI112" s="403"><f>IF(BG112="-1-1-1","SI","SD")</f><v /></c><c r="BJ112" s="403"><f>OR(BH112="SI",BI112="SI")</f><v /></c><c r="BK112" s="403"><f>IF(BJ112=FALSE,"SIGDIFERENTES","SIGIGUALES")</f><v /></c><c r="BL112" s="400"><f>IF(BC112="NO CONFORME","NO CONFORME",IF(BB112="CONFORME","CONFORME","NO CONFORME"))</f><v /></c></row><row r="113" ht="14.4" customHeight="1" thickBot="1"><c r="A113" s="351" t="n"><v>105</v></c><c r="B113" s="404"><f>B112</f><v /></c><c r="C113" s="404"><f>C112</f><v /></c><c r="D113" s="405"><f>D112</f><v /></c><c r="E113" s="406"><f>E112</f><v /></c><c r="F113" s="58" t="n" /><c r="G113" s="300" t="inlineStr"><is><t>PA25517517</t></is></c><c r="H113" s="407"><f>H112</f><v /></c><c r="I113" s="232"><f>I112</f><v /></c><c r="J113" s="408" t="n"><v>20.9</v></c><c r="K113" s="409" t="n"><v>8.308</v></c><c r="L113" s="409" t="n"><v>0.52</v></c><c r="M113" s="355" t="n"><v>181.3</v></c><c r="N113" s="355" t="n"><v>281.2</v></c><c r="O113" s="410" t="n"><v>100.7</v></c><c r="P113" s="411" t="inlineStr"><is><t>2,31,150</t></is></c><c r="Q113" s="358"><f>LEFT(P113,1)</f><v /></c><c r="R113" s="358"><f>RIGHT(P113,6)</f><v /></c><c r="S113" s="358"><f>+(Q113*60+R113)/(60*60)</f><v /></c><c r="T113" s="359"><f>+O113/S113</f><v /></c><c r="U113" s="360"><f>+(((N113-M113-O113)/O113)*100)</f><v /></c><c r="V113" s="412" t="n"><v>20.9</v></c><c r="W113" s="409" t="n"><v>1.399</v></c><c r="X113" s="409" t="n"><v>1.394</v></c><c r="Y113" s="355" t="n"><v>283.71</v></c><c r="Z113" s="355" t="n"><v>293.74</v></c><c r="AA113" s="413" t="n"><v>10.019</v></c><c r="AB113" s="414" t="inlineStr"><is><t>22,40,450</t></is></c><c r="AC113" s="358"><f>LEFT(AB113,2)</f><v /></c><c r="AD113" s="358"><f>RIGHT(AB113,6)</f><v /></c><c r="AE113" s="358"><f>+(AC113*60+AD113)/(60*60)</f><v /></c><c r="AF113" s="359"><f>+AA113/AE113</f><v /></c><c r="AG113" s="361"><f>+(((Z113-Y113-AA113)/AA113)*100)</f><v /></c><c r="AH113" s="412" t="n"><v>21.5</v></c><c r="AI113" s="409" t="n"><v>1.402</v></c><c r="AJ113" s="409" t="n"><v>1.396</v></c><c r="AK113" s="355"><f>Z113</f><v /></c><c r="AL113" s="355" t="n"><v>298.77</v></c><c r="AM113" s="415" t="n"><v>5.014</v></c><c r="AN113" s="411" t="inlineStr"><is><t>18,17,910</t></is></c><c r="AO113" s="358"><f>LEFT(AN113,2)</f><v /></c><c r="AP113" s="358"><f>RIGHT(AN113,6)</f><v /></c><c r="AQ113" s="358"><f>+(AO113*60+AP113)/(60*60)</f><v /></c><c r="AR113" s="359"><f>+AM113/AQ113</f><v /></c><c r="AS113" s="361"><f>+(((AL113-AK113-AM113)/AM113)*100)</f><v /></c><c r="AT113" s="36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7"><f>IF(AR113&lt;$AH$6,"error",IF(AR113&gt;$AH$6*1.1,"error","aceptable"))</f><v /></c><c r="AZ113" s="367"><f>IF(AF113&lt;$V$6,"error",IF(AF113&gt;$V$6*1.1,"error","aceptable"))</f><v /></c><c r="BA113" s="367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7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PA25517518</t></is></c><c r="H114" s="313"><f>H113</f><v /></c><c r="I114" s="38"><f>I113</f><v /></c><c r="J114" s="314"><f>J113</f><v /></c><c r="K114" s="372"><f>K113</f><v /></c><c r="L114" s="372"><f>L113</f><v /></c><c r="M114" s="373" t="n"><v>102.34</v></c><c r="N114" s="373" t="n"><v>202.3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204.83</v></c><c r="Z114" s="373" t="n"><v>214.86</v></c><c r="AA114" s="379"><f>AA113</f><v /></c><c r="AB114" s="380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219.95</v></c><c r="AM114" s="381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2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PA25517519</t></is></c><c r="H115" s="313"><f>H114</f><v /></c><c r="I115" s="38"><f>I114</f><v /></c><c r="J115" s="314"><f>J114</f><v /></c><c r="K115" s="372"><f>K114</f><v /></c><c r="L115" s="372"><f>L114</f><v /></c><c r="M115" s="373" t="n"><v>101.35</v></c><c r="N115" s="373" t="n"><v>201.31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203.84</v></c><c r="Z115" s="373" t="n"><v>213.86</v></c><c r="AA115" s="379"><f>AA114</f><v /></c><c r="AB115" s="380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218.91</v></c><c r="AM115" s="381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2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PA25517520</t></is></c><c r="H116" s="313"><f>H115</f><v /></c><c r="I116" s="38"><f>I115</f><v /></c><c r="J116" s="314"><f>J115</f><v /></c><c r="K116" s="372"><f>K115</f><v /></c><c r="L116" s="372"><f>L115</f><v /></c><c r="M116" s="373" t="n"><v>103.34</v></c><c r="N116" s="373" t="n"><v>204.62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207.21</v></c><c r="Z116" s="373" t="n"><v>217.3</v></c><c r="AA116" s="379"><f>AA115</f><v /></c><c r="AB116" s="380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222.4</v></c><c r="AM116" s="381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2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PA25517521</t></is></c><c r="H117" s="313"><f>H116</f><v /></c><c r="I117" s="38"><f>I116</f><v /></c><c r="J117" s="314"><f>J116</f><v /></c><c r="K117" s="372"><f>K116</f><v /></c><c r="L117" s="372"><f>L116</f><v /></c><c r="M117" s="373" t="n"><v>103.05</v></c><c r="N117" s="373" t="n"><v>203.57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206.14</v></c><c r="Z117" s="373" t="n"><v>216.28</v></c><c r="AA117" s="379"><f>AA116</f><v /></c><c r="AB117" s="380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221.38</v></c><c r="AM117" s="381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2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PA25517522</t></is></c><c r="H118" s="313"><f>H117</f><v /></c><c r="I118" s="38"><f>I117</f><v /></c><c r="J118" s="314"><f>J117</f><v /></c><c r="K118" s="372"><f>K117</f><v /></c><c r="L118" s="372"><f>L117</f><v /></c><c r="M118" s="373" t="n"><v>104.41</v></c><c r="N118" s="373" t="n"><v>204.78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207.35</v></c><c r="Z118" s="373" t="n"><v>217.39</v></c><c r="AA118" s="379"><f>AA117</f><v /></c><c r="AB118" s="380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222.44</v></c><c r="AM118" s="381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2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PA25517523</t></is></c><c r="H119" s="313"><f>H118</f><v /></c><c r="I119" s="38"><f>I118</f><v /></c><c r="J119" s="314"><f>J118</f><v /></c><c r="K119" s="372"><f>K118</f><v /></c><c r="L119" s="372"><f>L118</f><v /></c><c r="M119" s="373" t="n"><v>139.94</v></c><c r="N119" s="373" t="n"><v>239.71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242.29</v></c><c r="Z119" s="373" t="n"><v>252.29</v></c><c r="AA119" s="379"><f>AA118</f><v /></c><c r="AB119" s="380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257.31</v></c><c r="AM119" s="381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2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4.4" customHeight="1" thickBot="1"><c r="A120" s="368" t="n"><v>112</v></c><c r="B120" s="369"><f>B119</f><v /></c><c r="C120" s="369"><f>C119</f><v /></c><c r="D120" s="370"><f>D119</f><v /></c><c r="E120" s="371"><f>E119</f><v /></c><c r="F120" s="13" t="n" /><c r="G120" s="300" t="inlineStr"><is><t>PA25517524</t></is></c><c r="H120" s="313"><f>H119</f><v /></c><c r="I120" s="38"><f>I119</f><v /></c><c r="J120" s="314"><f>J119</f><v /></c><c r="K120" s="372"><f>K119</f><v /></c><c r="L120" s="372"><f>L119</f><v /></c><c r="M120" s="373" t="n"><v>103.06</v></c><c r="N120" s="373" t="n"><v>204.1</v></c><c r="O120" s="374"><f>O119</f><v /></c><c r="P120" s="375"><f>P119</f><v /></c><c r="Q120" s="376"><f>LEFT(P120,1)</f><v /></c><c r="R120" s="376"><f>RIGHT(P120,6)</f><v /></c><c r="S120" s="376"><f>+(Q120*60+R120)/(60*60)</f><v /></c><c r="T120" s="377"><f>+O120/S120</f><v /></c><c r="U120" s="378"><f>+(((N120-M120-O120)/O120)*100)</f><v /></c><c r="V120" s="317"><f>V119</f><v /></c><c r="W120" s="372"><f>W119</f><v /></c><c r="X120" s="372"><f>X119</f><v /></c><c r="Y120" s="373" t="n"><v>206.65</v></c><c r="Z120" s="373" t="n"><v>216.71</v></c><c r="AA120" s="379"><f>AA119</f><v /></c><c r="AB120" s="380"><f>AB119</f><v /></c><c r="AC120" s="376"><f>LEFT(AB120,2)</f><v /></c><c r="AD120" s="376"><f>RIGHT(AB120,6)</f><v /></c><c r="AE120" s="376"><f>+(AC120*60+AD120)/(60*60)</f><v /></c><c r="AF120" s="377"><f>+AA120/AE120</f><v /></c><c r="AG120" s="321"><f>+(((Z120-Y120-AA120)/AA120)*100)</f><v /></c><c r="AH120" s="317"><f>AH119</f><v /></c><c r="AI120" s="372"><f>AI119</f><v /></c><c r="AJ120" s="372"><f>AJ119</f><v /></c><c r="AK120" s="373"><f>Z120</f><v /></c><c r="AL120" s="373" t="n"><v>221.79</v></c><c r="AM120" s="381"><f>AM119</f><v /></c><c r="AN120" s="375"><f>AN119</f><v /></c><c r="AO120" s="376"><f>LEFT(AN120,2)</f><v /></c><c r="AP120" s="376"><f>RIGHT(AN120,6)</f><v /></c><c r="AQ120" s="376"><f>+(AO120*60+AP120)/(60*60)</f><v /></c><c r="AR120" s="377"><f>+AM120/AQ120</f><v /></c><c r="AS120" s="321"><f>+(((AL120-AK120-AM120)/AM120)*100)</f><v /></c><c r="AT120" s="382"><f>IF(I120&gt;=1,"NO CONFORME",IF(BK120="SIGDIFERENTES",BC120,BL120))</f><v /></c><c r="AU120" s="364"><f>B120=C120</f><v /></c><c r="AV120" s="364"><f>N120&lt;Y120</f><v /></c><c r="AW120" s="364"><f>Z120&lt;=AK120</f><v /></c><c r="AX120" s="364"><f>IF(I120&gt;=1,"Qcorrecto",IF(AND(AY120="aceptable",AZ120="aceptable",BA120="aceptable"),"Qcorrecto","Qincorrecto"))</f><v /></c><c r="AY120" s="365"><f>IF(AR120&lt;$AH$6,"error",IF(AR120&gt;$AH$6*1.1,"error","aceptable"))</f><v /></c><c r="AZ120" s="365"><f>IF(AF120&lt;$V$6,"error",IF(AF120&gt;$V$6*1.1,"error","aceptable"))</f><v /></c><c r="BA120" s="365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66"><f>SIGN(U120)</f><v /></c><c r="BE120" s="366"><f>SIGN(AG120)</f><v /></c><c r="BF120" s="366"><f>SIGN(AS120)</f><v /></c><c r="BG120" s="366"><f>CONCATENATE(BD120,BE120,BF120)</f><v /></c><c r="BH120" s="366"><f>IF(BG120="111","SI","SD")</f><v /></c><c r="BI120" s="366"><f>IF(BG120="-1-1-1","SI","SD")</f><v /></c><c r="BJ120" s="366"><f>OR(BH120="SI",BI120="SI")</f><v /></c><c r="BK120" s="366"><f>IF(BJ120=FALSE,"SIGDIFERENTES","SIGIGUALES")</f><v /></c><c r="BL120" s="365"><f>IF(BC120="NO CONFORME","NO CONFORME",IF(BB120="CONFORME","CONFORME","NO CONFORME"))</f><v /></c></row><row r="121" ht="14.4" customHeight="1" thickBot="1"><c r="A121" s="368" t="n"><v>113</v></c><c r="B121" s="369"><f>B120</f><v /></c><c r="C121" s="369"><f>C120</f><v /></c><c r="D121" s="370"><f>D120</f><v /></c><c r="E121" s="371"><f>E120</f><v /></c><c r="F121" s="13" t="n" /><c r="G121" s="300" t="inlineStr"><is><t>PA25517525</t></is></c><c r="H121" s="313"><f>H120</f><v /></c><c r="I121" s="38"><f>I120</f><v /></c><c r="J121" s="314"><f>J120</f><v /></c><c r="K121" s="372"><f>K120</f><v /></c><c r="L121" s="372"><f>L120</f><v /></c><c r="M121" s="373" t="n"><v>137.34</v></c><c r="N121" s="373" t="n"><v>237.86</v></c><c r="O121" s="374"><f>O120</f><v /></c><c r="P121" s="375"><f>P120</f><v /></c><c r="Q121" s="376"><f>LEFT(P121,1)</f><v /></c><c r="R121" s="376"><f>RIGHT(P121,6)</f><v /></c><c r="S121" s="376"><f>+(Q121*60+R121)/(60*60)</f><v /></c><c r="T121" s="377"><f>+O121/S121</f><v /></c><c r="U121" s="378"><f>+(((N121-M121-O121)/O121)*100)</f><v /></c><c r="V121" s="317"><f>V120</f><v /></c><c r="W121" s="372"><f>W120</f><v /></c><c r="X121" s="372"><f>X120</f><v /></c><c r="Y121" s="373" t="n"><v>240.44</v></c><c r="Z121" s="373" t="n"><v>250.54</v></c><c r="AA121" s="379"><f>AA120</f><v /></c><c r="AB121" s="380"><f>AB120</f><v /></c><c r="AC121" s="376"><f>LEFT(AB121,2)</f><v /></c><c r="AD121" s="376"><f>RIGHT(AB121,6)</f><v /></c><c r="AE121" s="376"><f>+(AC121*60+AD121)/(60*60)</f><v /></c><c r="AF121" s="377"><f>+AA121/AE121</f><v /></c><c r="AG121" s="321"><f>+(((Z121-Y121-AA121)/AA121)*100)</f><v /></c><c r="AH121" s="317"><f>AH120</f><v /></c><c r="AI121" s="372"><f>AI120</f><v /></c><c r="AJ121" s="372"><f>AJ120</f><v /></c><c r="AK121" s="373"><f>Z121</f><v /></c><c r="AL121" s="373" t="n"><v>255.67</v></c><c r="AM121" s="381"><f>AM120</f><v /></c><c r="AN121" s="375"><f>AN120</f><v /></c><c r="AO121" s="376"><f>LEFT(AN121,2)</f><v /></c><c r="AP121" s="376"><f>RIGHT(AN121,6)</f><v /></c><c r="AQ121" s="376"><f>+(AO121*60+AP121)/(60*60)</f><v /></c><c r="AR121" s="377"><f>+AM121/AQ121</f><v /></c><c r="AS121" s="321"><f>+(((AL121-AK121-AM121)/AM121)*100)</f><v /></c><c r="AT121" s="382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5"><f>IF(BC121="NO CONFORME","NO CONFORME",IF(BB121="CONFORME","CONFORME","NO CONFORME"))</f><v /></c></row><row r="122" ht="14.4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PA25517526</t></is></c><c r="H122" s="313"><f>H121</f><v /></c><c r="I122" s="38"><f>I121</f><v /></c><c r="J122" s="314"><f>J121</f><v /></c><c r="K122" s="372"><f>K121</f><v /></c><c r="L122" s="372"><f>L121</f><v /></c><c r="M122" s="373" t="n"><v>103.15</v></c><c r="N122" s="373" t="n"><v>203.76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206.35</v></c><c r="Z122" s="373" t="n"><v>216.4</v></c><c r="AA122" s="379"><f>AA121</f><v /></c><c r="AB122" s="380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221.46</v></c><c r="AM122" s="381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2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4.4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PA25517527</t></is></c><c r="H123" s="313"><f>H122</f><v /></c><c r="I123" s="38"><f>I122</f><v /></c><c r="J123" s="314"><f>J122</f><v /></c><c r="K123" s="372"><f>K122</f><v /></c><c r="L123" s="372"><f>L122</f><v /></c><c r="M123" s="373" t="n"><v>101.68</v></c><c r="N123" s="373" t="n"><v>202.55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205.11</v></c><c r="Z123" s="373" t="n"><v>215.13</v></c><c r="AA123" s="379"><f>AA122</f><v /></c><c r="AB123" s="380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220.15</v></c><c r="AM123" s="381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2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4.4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PA25517528</t></is></c><c r="H124" s="313"><f>H123</f><v /></c><c r="I124" s="38"><f>I123</f><v /></c><c r="J124" s="314"><f>J123</f><v /></c><c r="K124" s="372"><f>K123</f><v /></c><c r="L124" s="372"><f>L123</f><v /></c><c r="M124" s="373" t="n"><v>144.94</v></c><c r="N124" s="373" t="n"><v>244.99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247.53</v></c><c r="Z124" s="373" t="n"><v>257.56</v></c><c r="AA124" s="379"><f>AA123</f><v /></c><c r="AB124" s="380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262.58</v></c><c r="AM124" s="381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2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4.4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PA25517529</t></is></c><c r="H125" s="313"><f>H124</f><v /></c><c r="I125" s="38"><f>I124</f><v /></c><c r="J125" s="314"><f>J124</f><v /></c><c r="K125" s="372"><f>K124</f><v /></c><c r="L125" s="372"><f>L124</f><v /></c><c r="M125" s="373" t="n"><v>103.75</v></c><c r="N125" s="373" t="n"><v>203.89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206.45</v></c><c r="Z125" s="373" t="n"><v>216.51</v></c><c r="AA125" s="379"><f>AA124</f><v /></c><c r="AB125" s="380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221.56</v></c><c r="AM125" s="381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2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4.4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PA25517530</t></is></c><c r="H126" s="313"><f>H125</f><v /></c><c r="I126" s="38"><f>I125</f><v /></c><c r="J126" s="314"><f>J125</f><v /></c><c r="K126" s="372"><f>K125</f><v /></c><c r="L126" s="372"><f>L125</f><v /></c><c r="M126" s="373" t="n"><v>145.84</v></c><c r="N126" s="373" t="n"><v>246.15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248.68</v></c><c r="Z126" s="373" t="n"><v>258.67</v></c><c r="AA126" s="379"><f>AA125</f><v /></c><c r="AB126" s="380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263.7</v></c><c r="AM126" s="381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2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4.4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PA25517531</t></is></c><c r="H127" s="313"><f>H126</f><v /></c><c r="I127" s="38"><f>I126</f><v /></c><c r="J127" s="314"><f>J126</f><v /></c><c r="K127" s="372"><f>K126</f><v /></c><c r="L127" s="372"><f>L126</f><v /></c><c r="M127" s="373" t="n"><v>143.61</v></c><c r="N127" s="373" t="n"><v>243.9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246.45</v></c><c r="Z127" s="373" t="n"><v>256.5</v></c><c r="AA127" s="379"><f>AA126</f><v /></c><c r="AB127" s="380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261.55</v></c><c r="AM127" s="381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2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83" t="n"><v>120</v></c><c r="B128" s="384"><f>B127</f><v /></c><c r="C128" s="384"><f>C127</f><v /></c><c r="D128" s="385"><f>D127</f><v /></c><c r="E128" s="386"><f>E127</f><v /></c><c r="F128" s="52" t="n" /><c r="G128" s="337" t="inlineStr"><is><t>PA25517532</t></is></c><c r="H128" s="326"><f>H127</f><v /></c><c r="I128" s="98"><f>I127</f><v /></c><c r="J128" s="327"><f>J127</f><v /></c><c r="K128" s="387"><f>K127</f><v /></c><c r="L128" s="387"><f>L127</f><v /></c><c r="M128" s="388" t="n"><v>141.19</v></c><c r="N128" s="388" t="n"><v>241.02</v></c><c r="O128" s="389"><f>O127</f><v /></c><c r="P128" s="390"><f>P127</f><v /></c><c r="Q128" s="391"><f>LEFT(P128,1)</f><v /></c><c r="R128" s="391"><f>RIGHT(P128,6)</f><v /></c><c r="S128" s="391"><f>+(Q128*60+R128)/(60*60)</f><v /></c><c r="T128" s="392"><f>+O128/S128</f><v /></c><c r="U128" s="393"><f>+(((N128-M128-O128)/O128)*100)</f><v /></c><c r="V128" s="329"><f>V127</f><v /></c><c r="W128" s="387"><f>W127</f><v /></c><c r="X128" s="387"><f>X127</f><v /></c><c r="Y128" s="388" t="n"><v>243.56</v></c><c r="Z128" s="388" t="n"><v>253.58</v></c><c r="AA128" s="394"><f>AA127</f><v /></c><c r="AB128" s="395"><f>AB127</f><v /></c><c r="AC128" s="391"><f>LEFT(AB128,2)</f><v /></c><c r="AD128" s="391"><f>RIGHT(AB128,6)</f><v /></c><c r="AE128" s="391"><f>+(AC128*60+AD128)/(60*60)</f><v /></c><c r="AF128" s="392"><f>+AA128/AE128</f><v /></c><c r="AG128" s="396"><f>+(((Z128-Y128-AA128)/AA128)*100)</f><v /></c><c r="AH128" s="329"><f>AH127</f><v /></c><c r="AI128" s="387"><f>AI127</f><v /></c><c r="AJ128" s="387"><f>AJ127</f><v /></c><c r="AK128" s="388"><f>Z128</f><v /></c><c r="AL128" s="388" t="n"><v>258.64</v></c><c r="AM128" s="397"><f>AM127</f><v /></c><c r="AN128" s="390"><f>AN127</f><v /></c><c r="AO128" s="391"><f>LEFT(AN128,2)</f><v /></c><c r="AP128" s="391"><f>RIGHT(AN128,6)</f><v /></c><c r="AQ128" s="391"><f>+(AO128*60+AP128)/(60*60)</f><v /></c><c r="AR128" s="392"><f>+AM128/AQ128</f><v /></c><c r="AS128" s="396"><f>+(((AL128-AK128-AM128)/AM128)*100)</f><v /></c><c r="AT128" s="398"><f>IF(I128&gt;=1,"NO CONFORME",IF(BK128="SIGDIFERENTES",BC128,BL128))</f><v /></c><c r="AU128" s="399"><f>B128=C128</f><v /></c><c r="AV128" s="399"><f>N128&lt;Y128</f><v /></c><c r="AW128" s="399"><f>Z128&lt;=AK128</f><v /></c><c r="AX128" s="399"><f>IF(I128&gt;=1,"Qcorrecto",IF(AND(AY128="aceptable",AZ128="aceptable",BA128="aceptable"),"Qcorrecto","Qincorrecto"))</f><v /></c><c r="AY128" s="400"><f>IF(AR128&lt;$AH$6,"error",IF(AR128&gt;$AH$6*1.1,"error","aceptable"))</f><v /></c><c r="AZ128" s="400"><f>IF(AF128&lt;$V$6,"error",IF(AF128&gt;$V$6*1.1,"error","aceptable"))</f><v /></c><c r="BA128" s="400"><f>IF(T128&lt;$J$6*0.9,"error",IF(T128&gt;$J$6,"error","aceptable"))</f><v /></c><c r="BB128" s="401"><f>(IF(ABS(U128)&lt;1.05,"CONFORME",IF(ABS(AG128)&lt;1.05,"CONFORME",IF(ABS(AS128)&lt;2.55,"CONFORME","NO CONFORME"))))</f><v /></c><c r="BC128" s="402"><f>(IF(ABS(U128)&gt;2.05,"NO CONFORME",IF(ABS(AG128)&gt;2.05,"NO CONFORME",IF(ABS(AS128)&gt;5.05,"NO CONFORME","CONFORME"))))</f><v /></c><c r="BD128" s="403"><f>SIGN(U128)</f><v /></c><c r="BE128" s="403"><f>SIGN(AG128)</f><v /></c><c r="BF128" s="403"><f>SIGN(AS128)</f><v /></c><c r="BG128" s="403"><f>CONCATENATE(BD128,BE128,BF128)</f><v /></c><c r="BH128" s="403"><f>IF(BG128="111","SI","SD")</f><v /></c><c r="BI128" s="403"><f>IF(BG128="-1-1-1","SI","SD")</f><v /></c><c r="BJ128" s="403"><f>OR(BH128="SI",BI128="SI")</f><v /></c><c r="BK128" s="403"><f>IF(BJ128=FALSE,"SIGDIFERENTES","SIGIGUALES")</f><v /></c><c r="BL128" s="400"><f>IF(BC128="NO CONFORME","NO CONFORME",IF(BB128="CONFORME","CONFORME","NO CONFORME"))</f><v /></c></row><row r="129" ht="14.4" customHeight="1" thickBot="1"><c r="A129" s="351" t="n"><v>121</v></c><c r="B129" s="404"><f>B128</f><v /></c><c r="C129" s="404"><f>C128</f><v /></c><c r="D129" s="405"><f>D128</f><v /></c><c r="E129" s="406"><f>E128</f><v /></c><c r="F129" s="58" t="n" /><c r="G129" s="300" t="inlineStr"><is><t>PA25517533</t></is></c><c r="H129" s="407"><f>H128</f><v /></c><c r="I129" s="232"><f>I128</f><v /></c><c r="J129" s="408" t="n"><v>21.1</v></c><c r="K129" s="409" t="n"><v>8.323</v></c><c r="L129" s="409" t="n"><v>0.532</v></c><c r="M129" s="355" t="n"><v>140.09</v></c><c r="N129" s="355" t="n"><v>239.84</v></c><c r="O129" s="410" t="n"><v>100.68</v></c><c r="P129" s="411" t="inlineStr"><is><t>2,30,850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412" t="n"><v>21.1</v></c><c r="W129" s="409" t="n"><v>1.39</v></c><c r="X129" s="409" t="n"><v>1.383</v></c><c r="Y129" s="355" t="n"><v>243.29</v></c><c r="Z129" s="355" t="n"><v>253.31</v></c><c r="AA129" s="413" t="n"><v>10.025</v></c><c r="AB129" s="414" t="inlineStr"><is><t>22,36,150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412" t="n"><v>21.3</v></c><c r="AI129" s="409" t="n"><v>1.403</v></c><c r="AJ129" s="409" t="n"><v>1.396</v></c><c r="AK129" s="355"><f>Z129</f><v /></c><c r="AL129" s="355" t="n"><v>258.34</v></c><c r="AM129" s="415" t="n"><v>5.015</v></c><c r="AN129" s="411" t="inlineStr"><is><t>18,15,050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7"><f>IF(AR129&lt;$AH$6,"error",IF(AR129&gt;$AH$6*1.1,"error","aceptable"))</f><v /></c><c r="AZ129" s="367"><f>IF(AF129&lt;$V$6,"error",IF(AF129&gt;$V$6*1.1,"error","aceptable"))</f><v /></c><c r="BA129" s="367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4.4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PA25517534</t></is></c><c r="H130" s="313"><f>H129</f><v /></c><c r="I130" s="38"><f>I129</f><v /></c><c r="J130" s="314"><f>J129</f><v /></c><c r="K130" s="372"><f>K129</f><v /></c><c r="L130" s="372"><f>L129</f><v /></c><c r="M130" s="373" t="n"><v>99.56</v></c><c r="N130" s="373" t="n"><v>198.77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202.19</v></c><c r="Z130" s="373" t="n"><v>212.09</v></c><c r="AA130" s="379"><f>AA129</f><v /></c><c r="AB130" s="380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216.99</v></c><c r="AM130" s="381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2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4.4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PA25517535</t></is></c><c r="H131" s="313"><f>H130</f><v /></c><c r="I131" s="38"><f>I130</f><v /></c><c r="J131" s="314"><f>J130</f><v /></c><c r="K131" s="372"><f>K130</f><v /></c><c r="L131" s="372"><f>L130</f><v /></c><c r="M131" s="373" t="n"><v>99.76000000000001</v></c><c r="N131" s="373" t="n"><v>199.84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203.3</v></c><c r="Z131" s="373" t="n"><v>213.31</v></c><c r="AA131" s="379"><f>AA130</f><v /></c><c r="AB131" s="380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218.35</v></c><c r="AM131" s="381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2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4.4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PA25517536</t></is></c><c r="H132" s="313"><f>H131</f><v /></c><c r="I132" s="38"><f>I131</f><v /></c><c r="J132" s="314"><f>J131</f><v /></c><c r="K132" s="372"><f>K131</f><v /></c><c r="L132" s="372"><f>L131</f><v /></c><c r="M132" s="373" t="n"><v>97.01000000000001</v></c><c r="N132" s="373" t="n"><v>197.09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200.54</v></c><c r="Z132" s="373" t="n"><v>210.58</v></c><c r="AA132" s="379"><f>AA131</f><v /></c><c r="AB132" s="380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215.6</v></c><c r="AM132" s="381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2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4.4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PA25517537</t></is></c><c r="H133" s="313"><f>H132</f><v /></c><c r="I133" s="38"><f>I132</f><v /></c><c r="J133" s="314"><f>J132</f><v /></c><c r="K133" s="372"><f>K132</f><v /></c><c r="L133" s="372"><f>L132</f><v /></c><c r="M133" s="373" t="n"><v>101.14</v></c><c r="N133" s="373" t="n"><v>201.23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204.64</v></c><c r="Z133" s="373" t="n"><v>214.66</v></c><c r="AA133" s="379"><f>AA132</f><v /></c><c r="AB133" s="380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219.65</v></c><c r="AM133" s="381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2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4.4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PA25517538</t></is></c><c r="H134" s="313"><f>H133</f><v /></c><c r="I134" s="38"><f>I133</f><v /></c><c r="J134" s="314"><f>J133</f><v /></c><c r="K134" s="372"><f>K133</f><v /></c><c r="L134" s="372"><f>L133</f><v /></c><c r="M134" s="373" t="n"><v>97.39</v></c><c r="N134" s="373" t="n"><v>198.24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201.68</v></c><c r="Z134" s="373" t="n"><v>211.74</v></c><c r="AA134" s="379"><f>AA133</f><v /></c><c r="AB134" s="380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216.81</v></c><c r="AM134" s="381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2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4.4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PA25517539</t></is></c><c r="H135" s="313"><f>H134</f><v /></c><c r="I135" s="38"><f>I134</f><v /></c><c r="J135" s="314"><f>J134</f><v /></c><c r="K135" s="372"><f>K134</f><v /></c><c r="L135" s="372"><f>L134</f><v /></c><c r="M135" s="373" t="n"><v>101.54</v></c><c r="N135" s="373" t="n"><v>201.41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204.82</v></c><c r="Z135" s="373" t="n"><v>214.88</v></c><c r="AA135" s="379"><f>AA134</f><v /></c><c r="AB135" s="380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219.95</v></c><c r="AM135" s="381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2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4.4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PA25517540</t></is></c><c r="H136" s="313"><f>H135</f><v /></c><c r="I136" s="38"><f>I135</f><v /></c><c r="J136" s="314"><f>J135</f><v /></c><c r="K136" s="372"><f>K135</f><v /></c><c r="L136" s="372"><f>L135</f><v /></c><c r="M136" s="373" t="n"><v>98.92</v></c><c r="N136" s="373" t="n"><v>198.55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201.97</v></c><c r="Z136" s="373" t="n"><v>211.94</v></c><c r="AA136" s="379"><f>AA135</f><v /></c><c r="AB136" s="380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216.96</v></c><c r="AM136" s="381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2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4.4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PA25517541</t></is></c><c r="H137" s="313"><f>H136</f><v /></c><c r="I137" s="38"><f>I136</f><v /></c><c r="J137" s="314"><f>J136</f><v /></c><c r="K137" s="372"><f>K136</f><v /></c><c r="L137" s="372"><f>L136</f><v /></c><c r="M137" s="373" t="n"><v>100.7</v></c><c r="N137" s="373" t="n"><v>201.21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204.65</v></c><c r="Z137" s="373" t="n"><v>214.71</v></c><c r="AA137" s="379"><f>AA136</f><v /></c><c r="AB137" s="380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219.8</v></c><c r="AM137" s="381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2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4.4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PA25517542</t></is></c><c r="H138" s="313"><f>H137</f><v /></c><c r="I138" s="38"><f>I137</f><v /></c><c r="J138" s="314"><f>J137</f><v /></c><c r="K138" s="372"><f>K137</f><v /></c><c r="L138" s="372"><f>L137</f><v /></c><c r="M138" s="373" t="n"><v>98.48999999999999</v></c><c r="N138" s="373" t="n"><v>198.51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201.92</v></c><c r="Z138" s="373" t="n"><v>211.93</v></c><c r="AA138" s="379"><f>AA137</f><v /></c><c r="AB138" s="380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216.94</v></c><c r="AM138" s="381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2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4.4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PA25517543</t></is></c><c r="H139" s="313"><f>H138</f><v /></c><c r="I139" s="38"><f>I138</f><v /></c><c r="J139" s="314"><f>J138</f><v /></c><c r="K139" s="372"><f>K138</f><v /></c><c r="L139" s="372"><f>L138</f><v /></c><c r="M139" s="373" t="n"><v>100.75</v></c><c r="N139" s="373" t="n"><v>200.8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204.27</v></c><c r="Z139" s="373" t="n"><v>214.31</v></c><c r="AA139" s="379"><f>AA138</f><v /></c><c r="AB139" s="380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219.39</v></c><c r="AM139" s="381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2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4.4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PA25517544</t></is></c><c r="H140" s="313"><f>H139</f><v /></c><c r="I140" s="38"><f>I139</f><v /></c><c r="J140" s="314"><f>J139</f><v /></c><c r="K140" s="372"><f>K139</f><v /></c><c r="L140" s="372"><f>L139</f><v /></c><c r="M140" s="373" t="n"><v>102.56</v></c><c r="N140" s="373" t="n"><v>202.49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205.89</v></c><c r="Z140" s="373" t="n"><v>215.91</v></c><c r="AA140" s="379"><f>AA139</f><v /></c><c r="AB140" s="380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220.95</v></c><c r="AM140" s="381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2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4.4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PA25517545</t></is></c><c r="H141" s="313"><f>H140</f><v /></c><c r="I141" s="38"><f>I140</f><v /></c><c r="J141" s="314"><f>J140</f><v /></c><c r="K141" s="372"><f>K140</f><v /></c><c r="L141" s="372"><f>L140</f><v /></c><c r="M141" s="373" t="n"><v>101.91</v></c><c r="N141" s="373" t="n"><v>201.49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204.88</v></c><c r="Z141" s="373" t="n"><v>214.93</v></c><c r="AA141" s="379"><f>AA140</f><v /></c><c r="AB141" s="380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219.99</v></c><c r="AM141" s="381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2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4.4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PA25517546</t></is></c><c r="H142" s="313"><f>H141</f><v /></c><c r="I142" s="38"><f>I141</f><v /></c><c r="J142" s="314"><f>J141</f><v /></c><c r="K142" s="372"><f>K141</f><v /></c><c r="L142" s="372"><f>L141</f><v /></c><c r="M142" s="373" t="n"><v>100.7</v></c><c r="N142" s="373" t="n"><v>200.71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204.16</v></c><c r="Z142" s="373" t="n"><v>214.21</v></c><c r="AA142" s="379"><f>AA141</f><v /></c><c r="AB142" s="380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219.29</v></c><c r="AM142" s="381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2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4.4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PA25517547</t></is></c><c r="H143" s="313"><f>H142</f><v /></c><c r="I143" s="38"><f>I142</f><v /></c><c r="J143" s="314"><f>J142</f><v /></c><c r="K143" s="372"><f>K142</f><v /></c><c r="L143" s="372"><f>L142</f><v /></c><c r="M143" s="373" t="n"><v>101.45</v></c><c r="N143" s="373" t="n"><v>201.59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205.01</v></c><c r="Z143" s="373" t="n"><v>215.05</v></c><c r="AA143" s="379"><f>AA142</f><v /></c><c r="AB143" s="380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220.09</v></c><c r="AM143" s="381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2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3" t="n"><v>136</v></c><c r="B144" s="384"><f>B143</f><v /></c><c r="C144" s="384"><f>C143</f><v /></c><c r="D144" s="385"><f>D143</f><v /></c><c r="E144" s="386"><f>E143</f><v /></c><c r="F144" s="52" t="n" /><c r="G144" s="416" t="inlineStr"><is><t>PA25517548</t></is></c><c r="H144" s="326"><f>H143</f><v /></c><c r="I144" s="98"><f>I143</f><v /></c><c r="J144" s="327"><f>J143</f><v /></c><c r="K144" s="387"><f>K143</f><v /></c><c r="L144" s="387"><f>L143</f><v /></c><c r="M144" s="388" t="n"><v>103.62</v></c><c r="N144" s="388" t="n"><v>204.25</v></c><c r="O144" s="389"><f>O143</f><v /></c><c r="P144" s="390"><f>P143</f><v /></c><c r="Q144" s="391"><f>LEFT(P144,1)</f><v /></c><c r="R144" s="391"><f>RIGHT(P144,6)</f><v /></c><c r="S144" s="391"><f>+(Q144*60+R144)/(60*60)</f><v /></c><c r="T144" s="392"><f>+O144/S144</f><v /></c><c r="U144" s="393"><f>+(((N144-M144-O144)/O144)*100)</f><v /></c><c r="V144" s="329"><f>V143</f><v /></c><c r="W144" s="387"><f>W143</f><v /></c><c r="X144" s="387"><f>X143</f><v /></c><c r="Y144" s="388" t="n"><v>207.7</v></c><c r="Z144" s="388" t="n"><v>217.82</v></c><c r="AA144" s="394"><f>AA143</f><v /></c><c r="AB144" s="395"><f>AB143</f><v /></c><c r="AC144" s="391"><f>LEFT(AB144,2)</f><v /></c><c r="AD144" s="391"><f>RIGHT(AB144,6)</f><v /></c><c r="AE144" s="391"><f>+(AC144*60+AD144)/(60*60)</f><v /></c><c r="AF144" s="392"><f>+AA144/AE144</f><v /></c><c r="AG144" s="396"><f>+(((Z144-Y144-AA144)/AA144)*100)</f><v /></c><c r="AH144" s="329"><f>AH143</f><v /></c><c r="AI144" s="387"><f>AI143</f><v /></c><c r="AJ144" s="387"><f>AJ143</f><v /></c><c r="AK144" s="388"><f>Z144</f><v /></c><c r="AL144" s="388" t="n"><v>222.93</v></c><c r="AM144" s="397"><f>AM143</f><v /></c><c r="AN144" s="390"><f>AN143</f><v /></c><c r="AO144" s="391"><f>LEFT(AN144,2)</f><v /></c><c r="AP144" s="391"><f>RIGHT(AN144,6)</f><v /></c><c r="AQ144" s="391"><f>+(AO144*60+AP144)/(60*60)</f><v /></c><c r="AR144" s="392"><f>+AM144/AQ144</f><v /></c><c r="AS144" s="396"><f>+(((AL144-AK144-AM144)/AM144)*100)</f><v /></c><c r="AT144" s="398"><f>IF(I144&gt;=1,"NO CONFORME",IF(BK144="SIGDIFERENTES",BC144,BL144))</f><v /></c><c r="AU144" s="399"><f>B144=C144</f><v /></c><c r="AV144" s="399"><f>N144&lt;Y144</f><v /></c><c r="AW144" s="399"><f>Z144&lt;=AK144</f><v /></c><c r="AX144" s="399"><f>IF(I144&gt;=1,"Qcorrecto",IF(AND(AY144="aceptable",AZ144="aceptable",BA144="aceptable"),"Qcorrecto","Qincorrecto"))</f><v /></c><c r="AY144" s="400"><f>IF(AR144&lt;$AH$6,"error",IF(AR144&gt;$AH$6*1.1,"error","aceptable"))</f><v /></c><c r="AZ144" s="400"><f>IF(AF144&lt;$V$6,"error",IF(AF144&gt;$V$6*1.1,"error","aceptable"))</f><v /></c><c r="BA144" s="400"><f>IF(T144&lt;$J$6*0.9,"error",IF(T144&gt;$J$6,"error","aceptable"))</f><v /></c><c r="BB144" s="401"><f>(IF(ABS(U144)&lt;1.05,"CONFORME",IF(ABS(AG144)&lt;1.05,"CONFORME",IF(ABS(AS144)&lt;2.55,"CONFORME","NO CONFORME"))))</f><v /></c><c r="BC144" s="402"><f>(IF(ABS(U144)&gt;2.05,"NO CONFORME",IF(ABS(AG144)&gt;2.05,"NO CONFORME",IF(ABS(AS144)&gt;5.05,"NO CONFORME","CONFORME"))))</f><v /></c><c r="BD144" s="403"><f>SIGN(U144)</f><v /></c><c r="BE144" s="403"><f>SIGN(AG144)</f><v /></c><c r="BF144" s="403"><f>SIGN(AS144)</f><v /></c><c r="BG144" s="403"><f>CONCATENATE(BD144,BE144,BF144)</f><v /></c><c r="BH144" s="403"><f>IF(BG144="111","SI","SD")</f><v /></c><c r="BI144" s="403"><f>IF(BG144="-1-1-1","SI","SD")</f><v /></c><c r="BJ144" s="403"><f>OR(BH144="SI",BI144="SI")</f><v /></c><c r="BK144" s="403"><f>IF(BJ144=FALSE,"SIGDIFERENTES","SIGIGUALES")</f><v /></c><c r="BL144" s="400"><f>IF(BC144="NO CONFORME","NO CONFORME",IF(BB144="CONFORME","CONFORME","NO CONFORME"))</f><v /></c></row><row r="145" ht="14.4" customHeight="1" thickBot="1"><c r="A145" s="351" t="n"><v>137</v></c><c r="B145" s="404"><f>B144</f><v /></c><c r="C145" s="404"><f>C144</f><v /></c><c r="D145" s="405"><f>D144</f><v /></c><c r="E145" s="406"><f>E144</f><v /></c><c r="F145" s="58" t="n" /><c r="G145" s="300" t="inlineStr"><is><t>PA25517549</t></is></c><c r="H145" s="407"><f>H144</f><v /></c><c r="I145" s="232"><f>I144</f><v /></c><c r="J145" s="408" t="n"><v>21.4</v></c><c r="K145" s="409" t="n"><v>8.337999999999999</v></c><c r="L145" s="409" t="n"><v>0.548</v></c><c r="M145" s="355" t="n"><v>97.84</v></c><c r="N145" s="355" t="n"><v>197.87</v></c><c r="O145" s="410" t="n"><v>100.6</v></c><c r="P145" s="411" t="inlineStr"><is><t>2,31,100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12" t="n"><v>21.3</v></c><c r="W145" s="409" t="n"><v>1.392</v></c><c r="X145" s="409" t="n"><v>1.388</v></c><c r="Y145" s="355" t="n"><v>200.12</v></c><c r="Z145" s="355" t="n"><v>210.19</v></c><c r="AA145" s="413" t="n"><v>10.021</v></c><c r="AB145" s="414" t="inlineStr"><is><t>22,39,720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12" t="n"><v>21.3</v></c><c r="AI145" s="409" t="n"><v>1.392</v></c><c r="AJ145" s="409" t="n"><v>1.388</v></c><c r="AK145" s="355"><f>Z145</f><v /></c><c r="AL145" s="355" t="n"><v>215.25</v></c><c r="AM145" s="415" t="n"><v>5.02</v></c><c r="AN145" s="411" t="inlineStr"><is><t>18,13,550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4.4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PA25517550</t></is></c><c r="H146" s="313"><f>H145</f><v /></c><c r="I146" s="38"><f>I145</f><v /></c><c r="J146" s="314"><f>J145</f><v /></c><c r="K146" s="372"><f>K145</f><v /></c><c r="L146" s="372"><f>L145</f><v /></c><c r="M146" s="373" t="n"><v>96.26000000000001</v></c><c r="N146" s="373" t="n"><v>195.7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197.91</v></c><c r="Z146" s="373" t="n"><v>207.94</v></c><c r="AA146" s="379"><f>AA145</f><v /></c><c r="AB146" s="380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212.95</v></c><c r="AM146" s="381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2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4.4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PA25517551</t></is></c><c r="H147" s="313"><f>H146</f><v /></c><c r="I147" s="38"><f>I146</f><v /></c><c r="J147" s="314"><f>J146</f><v /></c><c r="K147" s="372"><f>K146</f><v /></c><c r="L147" s="372"><f>L146</f><v /></c><c r="M147" s="373" t="n"><v>97.16</v></c><c r="N147" s="373" t="n"><v>198.24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200.49</v></c><c r="Z147" s="373" t="n"><v>210.55</v></c><c r="AA147" s="379"><f>AA146</f><v /></c><c r="AB147" s="380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215.6</v></c><c r="AM147" s="381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2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4.4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PA25517552</t></is></c><c r="H148" s="313"><f>H147</f><v /></c><c r="I148" s="38"><f>I147</f><v /></c><c r="J148" s="314"><f>J147</f><v /></c><c r="K148" s="372"><f>K147</f><v /></c><c r="L148" s="372"><f>L147</f><v /></c><c r="M148" s="373" t="n"><v>94.29000000000001</v></c><c r="N148" s="373" t="n"><v>194.58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196.8</v></c><c r="Z148" s="373" t="n"><v>206.76</v></c><c r="AA148" s="379"><f>AA147</f><v /></c><c r="AB148" s="380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211.76</v></c><c r="AM148" s="381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2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4.4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PA25517553</t></is></c><c r="H149" s="313"><f>H148</f><v /></c><c r="I149" s="38"><f>I148</f><v /></c><c r="J149" s="314"><f>J148</f><v /></c><c r="K149" s="372"><f>K148</f><v /></c><c r="L149" s="372"><f>L148</f><v /></c><c r="M149" s="373" t="n"><v>96.06999999999999</v></c><c r="N149" s="373" t="n"><v>196.53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198.76</v></c><c r="Z149" s="373" t="n"><v>208.82</v></c><c r="AA149" s="379"><f>AA148</f><v /></c><c r="AB149" s="380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213.87</v></c><c r="AM149" s="381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2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4.4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PA25517554</t></is></c><c r="H150" s="313"><f>H149</f><v /></c><c r="I150" s="38"><f>I149</f><v /></c><c r="J150" s="314"><f>J149</f><v /></c><c r="K150" s="372"><f>K149</f><v /></c><c r="L150" s="372"><f>L149</f><v /></c><c r="M150" s="373" t="n"><v>97.40000000000001</v></c><c r="N150" s="373" t="n"><v>198.14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200.39</v></c><c r="Z150" s="373" t="n"><v>210.39</v></c><c r="AA150" s="379"><f>AA149</f><v /></c><c r="AB150" s="380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215.4</v></c><c r="AM150" s="381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2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4.4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PA25517555</t></is></c><c r="H151" s="313"><f>H150</f><v /></c><c r="I151" s="38"><f>I150</f><v /></c><c r="J151" s="314"><f>J150</f><v /></c><c r="K151" s="372"><f>K150</f><v /></c><c r="L151" s="372"><f>L150</f><v /></c><c r="M151" s="373" t="n"><v>135.24</v></c><c r="N151" s="373" t="n"><v>235.85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238.11</v></c><c r="Z151" s="373" t="n"><v>248.19</v></c><c r="AA151" s="379"><f>AA150</f><v /></c><c r="AB151" s="380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253.24</v></c><c r="AM151" s="381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2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4.4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PA25517556</t></is></c><c r="H152" s="313"><f>H151</f><v /></c><c r="I152" s="38"><f>I151</f><v /></c><c r="J152" s="314"><f>J151</f><v /></c><c r="K152" s="372"><f>K151</f><v /></c><c r="L152" s="372"><f>L151</f><v /></c><c r="M152" s="373" t="n"><v>97.65000000000001</v></c><c r="N152" s="373" t="n"><v>197.7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199.91</v></c><c r="Z152" s="373" t="n"><v>210</v></c><c r="AA152" s="379"><f>AA151</f><v /></c><c r="AB152" s="380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215.05</v></c><c r="AM152" s="381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2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4.4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PA25517557</t></is></c><c r="H153" s="313"><f>H152</f><v /></c><c r="I153" s="38"><f>I152</f><v /></c><c r="J153" s="314"><f>J152</f><v /></c><c r="K153" s="372"><f>K152</f><v /></c><c r="L153" s="372"><f>L152</f><v /></c><c r="M153" s="373" t="n"><v>95.36</v></c><c r="N153" s="373" t="n"><v>195.01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197.25</v></c><c r="Z153" s="373" t="n"><v>207.29</v></c><c r="AA153" s="379"><f>AA152</f><v /></c><c r="AB153" s="380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212.31</v></c><c r="AM153" s="381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2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4.4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PA25517558</t></is></c><c r="H154" s="313"><f>H153</f><v /></c><c r="I154" s="38"><f>I153</f><v /></c><c r="J154" s="314"><f>J153</f><v /></c><c r="K154" s="372"><f>K153</f><v /></c><c r="L154" s="372"><f>L153</f><v /></c><c r="M154" s="373" t="n"><v>134.03</v></c><c r="N154" s="373" t="n"><v>234.62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236.85</v></c><c r="Z154" s="373" t="n"><v>246.89</v></c><c r="AA154" s="379"><f>AA153</f><v /></c><c r="AB154" s="380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251.93</v></c><c r="AM154" s="381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2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4.4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PA25517559</t></is></c><c r="H155" s="313"><f>H154</f><v /></c><c r="I155" s="38"><f>I154</f><v /></c><c r="J155" s="314"><f>J154</f><v /></c><c r="K155" s="372"><f>K154</f><v /></c><c r="L155" s="372"><f>L154</f><v /></c><c r="M155" s="373" t="n"><v>96.45</v></c><c r="N155" s="373" t="n"><v>196.19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198.41</v></c><c r="Z155" s="373" t="n"><v>208.49</v></c><c r="AA155" s="379"><f>AA154</f><v /></c><c r="AB155" s="380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213.53</v></c><c r="AM155" s="381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2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4.4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PA25517560</t></is></c><c r="H156" s="313"><f>H155</f><v /></c><c r="I156" s="38"><f>I155</f><v /></c><c r="J156" s="314"><f>J155</f><v /></c><c r="K156" s="372"><f>K155</f><v /></c><c r="L156" s="372"><f>L155</f><v /></c><c r="M156" s="373" t="n"><v>96.55</v></c><c r="N156" s="373" t="n"><v>196.76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199</v></c><c r="Z156" s="373" t="n"><v>209.05</v></c><c r="AA156" s="379"><f>AA155</f><v /></c><c r="AB156" s="380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214.1</v></c><c r="AM156" s="381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2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PA25517561</t></is></c><c r="H157" s="313"><f>H156</f><v /></c><c r="I157" s="38"><f>I156</f><v /></c><c r="J157" s="314"><f>J156</f><v /></c><c r="K157" s="372"><f>K156</f><v /></c><c r="L157" s="372"><f>L156</f><v /></c><c r="M157" s="373" t="n"><v>98.84999999999999</v></c><c r="N157" s="373" t="n"><v>198.76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201.01</v></c><c r="Z157" s="373" t="n"><v>211.06</v></c><c r="AA157" s="379"><f>AA156</f><v /></c><c r="AB157" s="380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216.11</v></c><c r="AM157" s="381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2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PA25517562</t></is></c><c r="H158" s="313"><f>H157</f><v /></c><c r="I158" s="38"><f>I157</f><v /></c><c r="J158" s="314"><f>J157</f><v /></c><c r="K158" s="372"><f>K157</f><v /></c><c r="L158" s="372"><f>L157</f><v /></c><c r="M158" s="373" t="n"><v>94.76000000000001</v></c><c r="N158" s="373" t="n"><v>194.51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196.74</v></c><c r="Z158" s="373" t="n"><v>206.79</v></c><c r="AA158" s="379"><f>AA157</f><v /></c><c r="AB158" s="380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211.83</v></c><c r="AM158" s="381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2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PA25517563</t></is></c><c r="H159" s="313"><f>H158</f><v /></c><c r="I159" s="38"><f>I158</f><v /></c><c r="J159" s="314"><f>J158</f><v /></c><c r="K159" s="372"><f>K158</f><v /></c><c r="L159" s="372"><f>L158</f><v /></c><c r="M159" s="373" t="n"><v>98.26000000000001</v></c><c r="N159" s="373" t="n"><v>198.54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200.76</v></c><c r="Z159" s="373" t="n"><v>210.85</v></c><c r="AA159" s="379"><f>AA158</f><v /></c><c r="AB159" s="380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215.92</v></c><c r="AM159" s="381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2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3" t="n"><v>152</v></c><c r="B160" s="384"><f>B159</f><v /></c><c r="C160" s="384"><f>C159</f><v /></c><c r="D160" s="385"><f>D159</f><v /></c><c r="E160" s="386"><f>E159</f><v /></c><c r="F160" s="52" t="n" /><c r="G160" s="337" t="inlineStr"><is><t>PA25517564</t></is></c><c r="H160" s="326"><f>H159</f><v /></c><c r="I160" s="98"><f>I159</f><v /></c><c r="J160" s="327"><f>J159</f><v /></c><c r="K160" s="387"><f>K159</f><v /></c><c r="L160" s="387"><f>L159</f><v /></c><c r="M160" s="388" t="n"><v>96.20999999999999</v></c><c r="N160" s="388" t="n"><v>196.21</v></c><c r="O160" s="389"><f>O159</f><v /></c><c r="P160" s="390"><f>P159</f><v /></c><c r="Q160" s="391"><f>LEFT(P160,1)</f><v /></c><c r="R160" s="391"><f>RIGHT(P160,6)</f><v /></c><c r="S160" s="391"><f>+(Q160*60+R160)/(60*60)</f><v /></c><c r="T160" s="392"><f>+O160/S160</f><v /></c><c r="U160" s="393"><f>+(((N160-M160-O160)/O160)*100)</f><v /></c><c r="V160" s="329"><f>V159</f><v /></c><c r="W160" s="387"><f>W159</f><v /></c><c r="X160" s="387"><f>X159</f><v /></c><c r="Y160" s="388" t="n"><v>198.45</v></c><c r="Z160" s="388" t="n"><v>208.54</v></c><c r="AA160" s="394"><f>AA159</f><v /></c><c r="AB160" s="395"><f>AB159</f><v /></c><c r="AC160" s="391"><f>LEFT(AB160,2)</f><v /></c><c r="AD160" s="391"><f>RIGHT(AB160,6)</f><v /></c><c r="AE160" s="391"><f>+(AC160*60+AD160)/(60*60)</f><v /></c><c r="AF160" s="392"><f>+AA160/AE160</f><v /></c><c r="AG160" s="396"><f>+(((Z160-Y160-AA160)/AA160)*100)</f><v /></c><c r="AH160" s="329"><f>AH159</f><v /></c><c r="AI160" s="387"><f>AI159</f><v /></c><c r="AJ160" s="387"><f>AJ159</f><v /></c><c r="AK160" s="388"><f>Z160</f><v /></c><c r="AL160" s="388" t="n"><v>213.61</v></c><c r="AM160" s="397"><f>AM159</f><v /></c><c r="AN160" s="390"><f>AN159</f><v /></c><c r="AO160" s="391"><f>LEFT(AN160,2)</f><v /></c><c r="AP160" s="391"><f>RIGHT(AN160,6)</f><v /></c><c r="AQ160" s="391"><f>+(AO160*60+AP160)/(60*60)</f><v /></c><c r="AR160" s="392"><f>+AM160/AQ160</f><v /></c><c r="AS160" s="396"><f>+(((AL160-AK160-AM160)/AM160)*100)</f><v /></c><c r="AT160" s="398"><f>IF(I160&gt;=1,"NO CONFORME",IF(BK160="SIGDIFERENTES",BC160,BL160))</f><v /></c><c r="AU160" s="399"><f>B160=C160</f><v /></c><c r="AV160" s="399"><f>N160&lt;Y160</f><v /></c><c r="AW160" s="399"><f>Z160&lt;=AK160</f><v /></c><c r="AX160" s="399"><f>IF(I160&gt;=1,"Qcorrecto",IF(AND(AY160="aceptable",AZ160="aceptable",BA160="aceptable"),"Qcorrecto","Qincorrecto"))</f><v /></c><c r="AY160" s="400"><f>IF(AR160&lt;$AH$6,"error",IF(AR160&gt;$AH$6*1.1,"error","aceptable"))</f><v /></c><c r="AZ160" s="400"><f>IF(AF160&lt;$V$6,"error",IF(AF160&gt;$V$6*1.1,"error","aceptable"))</f><v /></c><c r="BA160" s="400"><f>IF(T160&lt;$J$6*0.9,"error",IF(T160&gt;$J$6,"error","aceptable"))</f><v /></c><c r="BB160" s="401"><f>(IF(ABS(U160)&lt;1.05,"CONFORME",IF(ABS(AG160)&lt;1.05,"CONFORME",IF(ABS(AS160)&lt;2.55,"CONFORME","NO CONFORME"))))</f><v /></c><c r="BC160" s="402"><f>(IF(ABS(U160)&gt;2.05,"NO CONFORME",IF(ABS(AG160)&gt;2.05,"NO CONFORME",IF(ABS(AS160)&gt;5.05,"NO CONFORME","CONFORME"))))</f><v /></c><c r="BD160" s="403"><f>SIGN(U160)</f><v /></c><c r="BE160" s="403"><f>SIGN(AG160)</f><v /></c><c r="BF160" s="403"><f>SIGN(AS160)</f><v /></c><c r="BG160" s="403"><f>CONCATENATE(BD160,BE160,BF160)</f><v /></c><c r="BH160" s="403"><f>IF(BG160="111","SI","SD")</f><v /></c><c r="BI160" s="403"><f>IF(BG160="-1-1-1","SI","SD")</f><v /></c><c r="BJ160" s="403"><f>OR(BH160="SI",BI160="SI")</f><v /></c><c r="BK160" s="403"><f>IF(BJ160=FALSE,"SIGDIFERENTES","SIGIGUALES")</f><v /></c><c r="BL160" s="400"><f>IF(BC160="NO CONFORME","NO CONFORME",IF(BB160="CONFORME","CONFORME","NO CONFORME"))</f><v /></c></row><row r="161" ht="14.4" customHeight="1" thickBot="1"><c r="A161" s="351" t="n"><v>153</v></c><c r="B161" s="404"><f>B160</f><v /></c><c r="C161" s="404"><f>C160</f><v /></c><c r="D161" s="405"><f>D160</f><v /></c><c r="E161" s="406"><f>E160</f><v /></c><c r="F161" s="58" t="n" /><c r="G161" s="300" t="inlineStr"><is><t>PA25517565</t></is></c><c r="H161" s="407"><f>H160</f><v /></c><c r="I161" s="232"><f>I160</f><v /></c><c r="J161" s="408" t="n"><v>21.5</v></c><c r="K161" s="409" t="n"><v>8.324999999999999</v></c><c r="L161" s="409" t="n"><v>0.537</v></c><c r="M161" s="355" t="n"><v>96.05</v></c><c r="N161" s="355" t="n"><v>195.46</v></c><c r="O161" s="410" t="n"><v>100.67</v></c><c r="P161" s="411" t="inlineStr"><is><t>2,30,860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12" t="n"><v>21.5</v></c><c r="W161" s="409" t="n"><v>1.389</v></c><c r="X161" s="409" t="n"><v>1.374</v></c><c r="Y161" s="355" t="n"><v>198</v></c><c r="Z161" s="355" t="n"><v>208</v></c><c r="AA161" s="413" t="n"><v>10.02</v></c><c r="AB161" s="414" t="inlineStr"><is><t>22,40,360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12" t="n"><v>21.5</v></c><c r="AI161" s="409" t="n"><v>1.398</v></c><c r="AJ161" s="409" t="n"><v>1.392</v></c><c r="AK161" s="355"><f>Z161</f><v /></c><c r="AL161" s="355" t="n"><v>213.06</v></c><c r="AM161" s="415" t="n"><v>5.015</v></c><c r="AN161" s="411" t="inlineStr"><is><t>18,14,130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PA25517566</t></is></c><c r="H162" s="313"><f>H161</f><v /></c><c r="I162" s="38"><f>I161</f><v /></c><c r="J162" s="314"><f>J161</f><v /></c><c r="K162" s="372"><f>K161</f><v /></c><c r="L162" s="372"><f>L161</f><v /></c><c r="M162" s="373" t="n"><v>96.29000000000001</v></c><c r="N162" s="373" t="n"><v>196.26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198.8</v></c><c r="Z162" s="373" t="n"><v>208.89</v></c><c r="AA162" s="379"><f>AA161</f><v /></c><c r="AB162" s="380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214.04</v></c><c r="AM162" s="381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2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PA25517567</t></is></c><c r="H163" s="313"><f>H162</f><v /></c><c r="I163" s="38"><f>I162</f><v /></c><c r="J163" s="314"><f>J162</f><v /></c><c r="K163" s="372"><f>K162</f><v /></c><c r="L163" s="372"><f>L162</f><v /></c><c r="M163" s="373" t="n"><v>95.33</v></c><c r="N163" s="373" t="n"><v>195.19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197.75</v></c><c r="Z163" s="373" t="n"><v>207.81</v></c><c r="AA163" s="379"><f>AA162</f><v /></c><c r="AB163" s="380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212.9</v></c><c r="AM163" s="381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2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PA25517568</t></is></c><c r="H164" s="313"><f>H163</f><v /></c><c r="I164" s="38"><f>I163</f><v /></c><c r="J164" s="314"><f>J163</f><v /></c><c r="K164" s="372"><f>K163</f><v /></c><c r="L164" s="372"><f>L163</f><v /></c><c r="M164" s="373" t="n"><v>95.19</v></c><c r="N164" s="373" t="n"><v>195.1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197.65</v></c><c r="Z164" s="373" t="n"><v>207.71</v></c><c r="AA164" s="379"><f>AA163</f><v /></c><c r="AB164" s="380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212.8</v></c><c r="AM164" s="381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2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PA25517569</t></is></c><c r="H165" s="313"><f>H164</f><v /></c><c r="I165" s="38"><f>I164</f><v /></c><c r="J165" s="314"><f>J164</f><v /></c><c r="K165" s="372"><f>K164</f><v /></c><c r="L165" s="372"><f>L164</f><v /></c><c r="M165" s="373" t="n"><v>96.01000000000001</v></c><c r="N165" s="373" t="n"><v>195.72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198.31</v></c><c r="Z165" s="373" t="n"><v>208.4</v></c><c r="AA165" s="379"><f>AA164</f><v /></c><c r="AB165" s="380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213.5</v></c><c r="AM165" s="381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2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PA25517570</t></is></c><c r="H166" s="313"><f>H165</f><v /></c><c r="I166" s="38"><f>I165</f><v /></c><c r="J166" s="314"><f>J165</f><v /></c><c r="K166" s="372"><f>K165</f><v /></c><c r="L166" s="372"><f>L165</f><v /></c><c r="M166" s="373" t="n"><v>96.23999999999999</v></c><c r="N166" s="373" t="n"><v>196.06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198.64</v></c><c r="Z166" s="373" t="n"><v>208.7</v></c><c r="AA166" s="379"><f>AA165</f><v /></c><c r="AB166" s="380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213.8</v></c><c r="AM166" s="381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2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PA25517571</t></is></c><c r="H167" s="313"><f>H166</f><v /></c><c r="I167" s="38"><f>I166</f><v /></c><c r="J167" s="314"><f>J166</f><v /></c><c r="K167" s="372"><f>K166</f><v /></c><c r="L167" s="372"><f>L166</f><v /></c><c r="M167" s="373" t="n"><v>93.84</v></c><c r="N167" s="373" t="n"><v>193.45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195.97</v></c><c r="Z167" s="373" t="n"><v>205.88</v></c><c r="AA167" s="379"><f>AA166</f><v /></c><c r="AB167" s="380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210.8</v></c><c r="AM167" s="381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2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PA25517572</t></is></c><c r="H168" s="313"><f>H167</f><v /></c><c r="I168" s="38"><f>I167</f><v /></c><c r="J168" s="314"><f>J167</f><v /></c><c r="K168" s="372"><f>K167</f><v /></c><c r="L168" s="372"><f>L167</f><v /></c><c r="M168" s="373" t="n"><v>96.39</v></c><c r="N168" s="373" t="n"><v>196.89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199.49</v></c><c r="Z168" s="373" t="n"><v>209.55</v></c><c r="AA168" s="379"><f>AA167</f><v /></c><c r="AB168" s="380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214.63</v></c><c r="AM168" s="381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2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PA25517573</t></is></c><c r="H169" s="313"><f>H168</f><v /></c><c r="I169" s="38"><f>I168</f><v /></c><c r="J169" s="314"><f>J168</f><v /></c><c r="K169" s="372"><f>K168</f><v /></c><c r="L169" s="372"><f>L168</f><v /></c><c r="M169" s="373" t="n"><v>96.73999999999999</v></c><c r="N169" s="373" t="n"><v>196.78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199.36</v></c><c r="Z169" s="373" t="n"><v>209.46</v></c><c r="AA169" s="379"><f>AA168</f><v /></c><c r="AB169" s="380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214.55</v></c><c r="AM169" s="381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2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PA25517574</t></is></c><c r="H170" s="313"><f>H169</f><v /></c><c r="I170" s="38"><f>I169</f><v /></c><c r="J170" s="314"><f>J169</f><v /></c><c r="K170" s="372"><f>K169</f><v /></c><c r="L170" s="372"><f>L169</f><v /></c><c r="M170" s="373" t="n"><v>95.01000000000001</v></c><c r="N170" s="373" t="n"><v>195.06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197.64</v></c><c r="Z170" s="373" t="n"><v>207.7</v></c><c r="AA170" s="379"><f>AA169</f><v /></c><c r="AB170" s="380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212.79</v></c><c r="AM170" s="381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2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PA25517575</t></is></c><c r="H171" s="313"><f>H170</f><v /></c><c r="I171" s="38"><f>I170</f><v /></c><c r="J171" s="314"><f>J170</f><v /></c><c r="K171" s="372"><f>K170</f><v /></c><c r="L171" s="372"><f>L170</f><v /></c><c r="M171" s="373" t="n"><v>133.98</v></c><c r="N171" s="373" t="n"><v>233.66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236.24</v></c><c r="Z171" s="373" t="n"><v>246.25</v></c><c r="AA171" s="379"><f>AA170</f><v /></c><c r="AB171" s="380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251.3</v></c><c r="AM171" s="381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2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PA25517576</t></is></c><c r="H172" s="313"><f>H171</f><v /></c><c r="I172" s="38"><f>I171</f><v /></c><c r="J172" s="314"><f>J171</f><v /></c><c r="K172" s="372"><f>K171</f><v /></c><c r="L172" s="372"><f>L171</f><v /></c><c r="M172" s="373" t="n"><v>94.41</v></c><c r="N172" s="373" t="n"><v>193.76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196.36</v></c><c r="Z172" s="373" t="n"><v>206.42</v></c><c r="AA172" s="379"><f>AA171</f><v /></c><c r="AB172" s="380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211.53</v></c><c r="AM172" s="381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2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PA25517577</t></is></c><c r="H173" s="313"><f>H172</f><v /></c><c r="I173" s="38"><f>I172</f><v /></c><c r="J173" s="314"><f>J172</f><v /></c><c r="K173" s="372"><f>K172</f><v /></c><c r="L173" s="372"><f>L172</f><v /></c><c r="M173" s="373" t="n"><v>95.8</v></c><c r="N173" s="373" t="n"><v>195.16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197.69</v></c><c r="Z173" s="373" t="n"><v>207.69</v></c><c r="AA173" s="379"><f>AA172</f><v /></c><c r="AB173" s="380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212.71</v></c><c r="AM173" s="381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2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PA25517578</t></is></c><c r="H174" s="313"><f>H173</f><v /></c><c r="I174" s="38"><f>I173</f><v /></c><c r="J174" s="314"><f>J173</f><v /></c><c r="K174" s="372"><f>K173</f><v /></c><c r="L174" s="372"><f>L173</f><v /></c><c r="M174" s="373" t="n"><v>96.77</v></c><c r="N174" s="373" t="n"><v>196.74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199.31</v></c><c r="Z174" s="373" t="n"><v>209.41</v></c><c r="AA174" s="379"><f>AA173</f><v /></c><c r="AB174" s="380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214.51</v></c><c r="AM174" s="381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2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PA25517579</t></is></c><c r="H175" s="313"><f>H174</f><v /></c><c r="I175" s="38"><f>I174</f><v /></c><c r="J175" s="314"><f>J174</f><v /></c><c r="K175" s="372"><f>K174</f><v /></c><c r="L175" s="372"><f>L174</f><v /></c><c r="M175" s="373" t="n"><v>94.25</v></c><c r="N175" s="373" t="n"><v>194.31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196.85</v></c><c r="Z175" s="373" t="n"><v>206.95</v></c><c r="AA175" s="379"><f>AA174</f><v /></c><c r="AB175" s="380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212.05</v></c><c r="AM175" s="381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2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3" t="n"><v>168</v></c><c r="B176" s="384"><f>B175</f><v /></c><c r="C176" s="384"><f>C175</f><v /></c><c r="D176" s="385"><f>D175</f><v /></c><c r="E176" s="386"><f>E175</f><v /></c><c r="F176" s="52" t="n" /><c r="G176" s="337" t="inlineStr"><is><t>PA25517580</t></is></c><c r="H176" s="326"><f>H175</f><v /></c><c r="I176" s="98"><f>I175</f><v /></c><c r="J176" s="327"><f>J175</f><v /></c><c r="K176" s="387"><f>K175</f><v /></c><c r="L176" s="387"><f>L175</f><v /></c><c r="M176" s="388" t="n"><v>96.09999999999999</v></c><c r="N176" s="388" t="n"><v>196.2</v></c><c r="O176" s="389"><f>O175</f><v /></c><c r="P176" s="390"><f>P175</f><v /></c><c r="Q176" s="391"><f>LEFT(P176,1)</f><v /></c><c r="R176" s="391"><f>RIGHT(P176,6)</f><v /></c><c r="S176" s="391"><f>+(Q176*60+R176)/(60*60)</f><v /></c><c r="T176" s="392"><f>+O176/S176</f><v /></c><c r="U176" s="393"><f>+(((N176-M176-O176)/O176)*100)</f><v /></c><c r="V176" s="329"><f>V175</f><v /></c><c r="W176" s="387"><f>W175</f><v /></c><c r="X176" s="387"><f>X175</f><v /></c><c r="Y176" s="388" t="n"><v>198.75</v></c><c r="Z176" s="388" t="n"><v>208.87</v></c><c r="AA176" s="394"><f>AA175</f><v /></c><c r="AB176" s="395"><f>AB175</f><v /></c><c r="AC176" s="391"><f>LEFT(AB176,2)</f><v /></c><c r="AD176" s="391"><f>RIGHT(AB176,6)</f><v /></c><c r="AE176" s="391"><f>+(AC176*60+AD176)/(60*60)</f><v /></c><c r="AF176" s="392"><f>+AA176/AE176</f><v /></c><c r="AG176" s="396"><f>+(((Z176-Y176-AA176)/AA176)*100)</f><v /></c><c r="AH176" s="329"><f>AH175</f><v /></c><c r="AI176" s="387"><f>AI175</f><v /></c><c r="AJ176" s="387"><f>AJ175</f><v /></c><c r="AK176" s="388"><f>Z176</f><v /></c><c r="AL176" s="388" t="n"><v>214</v></c><c r="AM176" s="397"><f>AM175</f><v /></c><c r="AN176" s="390"><f>AN175</f><v /></c><c r="AO176" s="391"><f>LEFT(AN176,2)</f><v /></c><c r="AP176" s="391"><f>RIGHT(AN176,6)</f><v /></c><c r="AQ176" s="391"><f>+(AO176*60+AP176)/(60*60)</f><v /></c><c r="AR176" s="392"><f>+AM176/AQ176</f><v /></c><c r="AS176" s="396"><f>+(((AL176-AK176-AM176)/AM176)*100)</f><v /></c><c r="AT176" s="398"><f>IF(I176&gt;=1,"NO CONFORME",IF(BK176="SIGDIFERENTES",BC176,BL176))</f><v /></c><c r="AU176" s="399"><f>B176=C176</f><v /></c><c r="AV176" s="399"><f>N176&lt;Y176</f><v /></c><c r="AW176" s="399"><f>Z176&lt;=AK176</f><v /></c><c r="AX176" s="399"><f>IF(I176&gt;=1,"Qcorrecto",IF(AND(AY176="aceptable",AZ176="aceptable",BA176="aceptable"),"Qcorrecto","Qincorrecto"))</f><v /></c><c r="AY176" s="400"><f>IF(AR176&lt;$AH$6,"error",IF(AR176&gt;$AH$6*1.1,"error","aceptable"))</f><v /></c><c r="AZ176" s="400"><f>IF(AF176&lt;$V$6,"error",IF(AF176&gt;$V$6*1.1,"error","aceptable"))</f><v /></c><c r="BA176" s="400"><f>IF(T176&lt;$J$6*0.9,"error",IF(T176&gt;$J$6,"error","aceptable"))</f><v /></c><c r="BB176" s="401"><f>(IF(ABS(U176)&lt;1.05,"CONFORME",IF(ABS(AG176)&lt;1.05,"CONFORME",IF(ABS(AS176)&lt;2.55,"CONFORME","NO CONFORME"))))</f><v /></c><c r="BC176" s="402"><f>(IF(ABS(U176)&gt;2.05,"NO CONFORME",IF(ABS(AG176)&gt;2.05,"NO CONFORME",IF(ABS(AS176)&gt;5.05,"NO CONFORME","CONFORME"))))</f><v /></c><c r="BD176" s="403"><f>SIGN(U176)</f><v /></c><c r="BE176" s="403"><f>SIGN(AG176)</f><v /></c><c r="BF176" s="403"><f>SIGN(AS176)</f><v /></c><c r="BG176" s="403"><f>CONCATENATE(BD176,BE176,BF176)</f><v /></c><c r="BH176" s="403"><f>IF(BG176="111","SI","SD")</f><v /></c><c r="BI176" s="403"><f>IF(BG176="-1-1-1","SI","SD")</f><v /></c><c r="BJ176" s="403"><f>OR(BH176="SI",BI176="SI")</f><v /></c><c r="BK176" s="403"><f>IF(BJ176=FALSE,"SIGDIFERENTES","SIGIGUALES")</f><v /></c><c r="BL176" s="400"><f>IF(BC176="NO CONFORME","NO CONFORME",IF(BB176="CONFORME","CONFORME","NO CONFORME"))</f><v /></c></row><row r="177" ht="14.4" customHeight="1" thickBot="1"><c r="A177" s="351" t="n"><v>169</v></c><c r="B177" s="404"><f>B176</f><v /></c><c r="C177" s="404"><f>C176</f><v /></c><c r="D177" s="405"><f>D176</f><v /></c><c r="E177" s="406"><f>E176</f><v /></c><c r="F177" s="58" t="n" /><c r="G177" s="300" t="inlineStr"><is><t>PA25517581</t></is></c><c r="H177" s="407"><f>H176</f><v /></c><c r="I177" s="232"><f>I176</f><v /></c><c r="J177" s="408" t="n"><v>21.6</v></c><c r="K177" s="409" t="n"><v>8.34</v></c><c r="L177" s="409" t="n"><v>0.528</v></c><c r="M177" s="355" t="n"><v>94.86</v></c><c r="N177" s="355" t="n"><v>194.96</v></c><c r="O177" s="410" t="n"><v>101.01</v></c><c r="P177" s="411" t="inlineStr"><is><t>2,31,490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12" t="n"><v>21.5</v></c><c r="W177" s="409" t="n"><v>1.392</v></c><c r="X177" s="409" t="n"><v>1.385</v></c><c r="Y177" s="355" t="n"><v>197.8</v></c><c r="Z177" s="355" t="n"><v>207.84</v></c><c r="AA177" s="413" t="n"><v>10.02</v></c><c r="AB177" s="414" t="inlineStr"><is><t>22,40,010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12" t="n"><v>21.8</v></c><c r="AI177" s="409" t="n"><v>1.39</v></c><c r="AJ177" s="409" t="n"><v>1.385</v></c><c r="AK177" s="355"><f>Z177</f><v /></c><c r="AL177" s="355" t="n"><v>212.86</v></c><c r="AM177" s="415" t="n"><v>5.01</v></c><c r="AN177" s="411" t="inlineStr"><is><t>18,17,090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PA25517582</t></is></c><c r="H178" s="313"><f>H177</f><v /></c><c r="I178" s="38"><f>I177</f><v /></c><c r="J178" s="314"><f>J177</f><v /></c><c r="K178" s="372"><f>K177</f><v /></c><c r="L178" s="372"><f>L177</f><v /></c><c r="M178" s="373" t="n"><v>94.36</v></c><c r="N178" s="373" t="n"><v>194.05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196.9</v></c><c r="Z178" s="373" t="n"><v>206.98</v></c><c r="AA178" s="379"><f>AA177</f><v /></c><c r="AB178" s="380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212.01</v></c><c r="AM178" s="381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2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PA25517583</t></is></c><c r="H179" s="313"><f>H178</f><v /></c><c r="I179" s="38"><f>I178</f><v /></c><c r="J179" s="314"><f>J178</f><v /></c><c r="K179" s="372"><f>K178</f><v /></c><c r="L179" s="372"><f>L178</f><v /></c><c r="M179" s="373" t="n"><v>132.19</v></c><c r="N179" s="373" t="n"><v>232.35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235.18</v></c><c r="Z179" s="373" t="n"><v>245.26</v></c><c r="AA179" s="379"><f>AA178</f><v /></c><c r="AB179" s="380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250.3</v></c><c r="AM179" s="381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2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PA25517584</t></is></c><c r="H180" s="313"><f>H179</f><v /></c><c r="I180" s="38"><f>I179</f><v /></c><c r="J180" s="314"><f>J179</f><v /></c><c r="K180" s="372"><f>K179</f><v /></c><c r="L180" s="372"><f>L179</f><v /></c><c r="M180" s="373" t="n"><v>93.20999999999999</v></c><c r="N180" s="373" t="n"><v>193.44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196.29</v></c><c r="Z180" s="373" t="n"><v>206.31</v></c><c r="AA180" s="379"><f>AA179</f><v /></c><c r="AB180" s="380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211.32</v></c><c r="AM180" s="381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2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PA25517585</t></is></c><c r="H181" s="313"><f>H180</f><v /></c><c r="I181" s="38"><f>I180</f><v /></c><c r="J181" s="314"><f>J180</f><v /></c><c r="K181" s="372"><f>K180</f><v /></c><c r="L181" s="372"><f>L180</f><v /></c><c r="M181" s="373" t="n"><v>130</v></c><c r="N181" s="373" t="n"><v>230.15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232.96</v></c><c r="Z181" s="373" t="n"><v>242.98</v></c><c r="AA181" s="379"><f>AA180</f><v /></c><c r="AB181" s="380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247.98</v></c><c r="AM181" s="381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2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PA25517586</t></is></c><c r="H182" s="313"><f>H181</f><v /></c><c r="I182" s="38"><f>I181</f><v /></c><c r="J182" s="314"><f>J181</f><v /></c><c r="K182" s="372"><f>K181</f><v /></c><c r="L182" s="372"><f>L181</f><v /></c><c r="M182" s="373" t="n"><v>95.05</v></c><c r="N182" s="373" t="n"><v>195.09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197.91</v></c><c r="Z182" s="373" t="n"><v>207.93</v></c><c r="AA182" s="379"><f>AA181</f><v /></c><c r="AB182" s="380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212.94</v></c><c r="AM182" s="381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2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PA25517587</t></is></c><c r="H183" s="313"><f>H182</f><v /></c><c r="I183" s="38"><f>I182</f><v /></c><c r="J183" s="314"><f>J182</f><v /></c><c r="K183" s="372"><f>K182</f><v /></c><c r="L183" s="372"><f>L182</f><v /></c><c r="M183" s="373" t="n"><v>95.90000000000001</v></c><c r="N183" s="373" t="n"><v>196.7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199.59</v></c><c r="Z183" s="373" t="n"><v>209.69</v></c><c r="AA183" s="379"><f>AA182</f><v /></c><c r="AB183" s="380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214.75</v></c><c r="AM183" s="381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2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PA25517588</t></is></c><c r="H184" s="313"><f>H183</f><v /></c><c r="I184" s="38"><f>I183</f><v /></c><c r="J184" s="314"><f>J183</f><v /></c><c r="K184" s="372"><f>K183</f><v /></c><c r="L184" s="372"><f>L183</f><v /></c><c r="M184" s="373" t="n"><v>131.21</v></c><c r="N184" s="373" t="n"><v>231.56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234.41</v></c><c r="Z184" s="373" t="n"><v>244.41</v></c><c r="AA184" s="379"><f>AA183</f><v /></c><c r="AB184" s="380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249.43</v></c><c r="AM184" s="381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2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PA25517589</t></is></c><c r="H185" s="313"><f>H184</f><v /></c><c r="I185" s="38"><f>I184</f><v /></c><c r="J185" s="314"><f>J184</f><v /></c><c r="K185" s="372"><f>K184</f><v /></c><c r="L185" s="372"><f>L184</f><v /></c><c r="M185" s="373" t="n"><v>94.65000000000001</v></c><c r="N185" s="373" t="n"><v>195.51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198.4</v></c><c r="Z185" s="373" t="n"><v>208.46</v></c><c r="AA185" s="379"><f>AA184</f><v /></c><c r="AB185" s="380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213.52</v></c><c r="AM185" s="381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2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PA25517590</t></is></c><c r="H186" s="313"><f>H185</f><v /></c><c r="I186" s="38"><f>I185</f><v /></c><c r="J186" s="314"><f>J185</f><v /></c><c r="K186" s="372"><f>K185</f><v /></c><c r="L186" s="372"><f>L185</f><v /></c><c r="M186" s="373" t="n"><v>95.89</v></c><c r="N186" s="373" t="n"><v>195.92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198.76</v></c><c r="Z186" s="373" t="n"><v>208.74</v></c><c r="AA186" s="379"><f>AA185</f><v /></c><c r="AB186" s="380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213.72</v></c><c r="AM186" s="381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2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PA25517591</t></is></c><c r="H187" s="313"><f>H186</f><v /></c><c r="I187" s="38"><f>I186</f><v /></c><c r="J187" s="314"><f>J186</f><v /></c><c r="K187" s="372"><f>K186</f><v /></c><c r="L187" s="372"><f>L186</f><v /></c><c r="M187" s="373" t="n"><v>95.44</v></c><c r="N187" s="373" t="n"><v>196.84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199.71</v></c><c r="Z187" s="373" t="n"><v>209.82</v></c><c r="AA187" s="379"><f>AA186</f><v /></c><c r="AB187" s="380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214.88</v></c><c r="AM187" s="381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2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PA25517592</t></is></c><c r="H188" s="313"><f>H187</f><v /></c><c r="I188" s="38"><f>I187</f><v /></c><c r="J188" s="314"><f>J187</f><v /></c><c r="K188" s="372"><f>K187</f><v /></c><c r="L188" s="372"><f>L187</f><v /></c><c r="M188" s="373" t="n"><v>128.66</v></c><c r="N188" s="373" t="n"><v>229.21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232.05</v></c><c r="Z188" s="373" t="n"><v>242.15</v></c><c r="AA188" s="379"><f>AA187</f><v /></c><c r="AB188" s="380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247.21</v></c><c r="AM188" s="381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2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PA25517593</t></is></c><c r="H189" s="313"><f>H188</f><v /></c><c r="I189" s="38"><f>I188</f><v /></c><c r="J189" s="314"><f>J188</f><v /></c><c r="K189" s="372"><f>K188</f><v /></c><c r="L189" s="372"><f>L188</f><v /></c><c r="M189" s="373" t="n"><v>93.84999999999999</v></c><c r="N189" s="373" t="n"><v>194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196.81</v></c><c r="Z189" s="373" t="n"><v>206.83</v></c><c r="AA189" s="379"><f>AA188</f><v /></c><c r="AB189" s="380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211.85</v></c><c r="AM189" s="381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2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PA25517594</t></is></c><c r="H190" s="313"><f>H189</f><v /></c><c r="I190" s="38"><f>I189</f><v /></c><c r="J190" s="314"><f>J189</f><v /></c><c r="K190" s="372"><f>K189</f><v /></c><c r="L190" s="372"><f>L189</f><v /></c><c r="M190" s="373" t="n"><v>96</v></c><c r="N190" s="373" t="n"><v>196.49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199.34</v></c><c r="Z190" s="373" t="n"><v>209.34</v></c><c r="AA190" s="379"><f>AA189</f><v /></c><c r="AB190" s="380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214.34</v></c><c r="AM190" s="381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2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PA25517595</t></is></c><c r="H191" s="313"><f>H190</f><v /></c><c r="I191" s="38"><f>I190</f><v /></c><c r="J191" s="314"><f>J190</f><v /></c><c r="K191" s="372"><f>K190</f><v /></c><c r="L191" s="372"><f>L190</f><v /></c><c r="M191" s="373" t="n"><v>94.95</v></c><c r="N191" s="373" t="n"><v>195.17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198.01</v></c><c r="Z191" s="373" t="n"><v>208.05</v></c><c r="AA191" s="379"><f>AA190</f><v /></c><c r="AB191" s="380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213.09</v></c><c r="AM191" s="381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2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3" t="n"><v>184</v></c><c r="B192" s="384"><f>B191</f><v /></c><c r="C192" s="384"><f>C191</f><v /></c><c r="D192" s="385"><f>D191</f><v /></c><c r="E192" s="386"><f>E191</f><v /></c><c r="F192" s="52" t="n" /><c r="G192" s="337" t="inlineStr"><is><t>PA25517596</t></is></c><c r="H192" s="326"><f>H191</f><v /></c><c r="I192" s="98"><f>I191</f><v /></c><c r="J192" s="327"><f>J191</f><v /></c><c r="K192" s="387"><f>K191</f><v /></c><c r="L192" s="387"><f>L191</f><v /></c><c r="M192" s="388" t="n"><v>95.19</v></c><c r="N192" s="388" t="n"><v>196.49</v></c><c r="O192" s="389"><f>O191</f><v /></c><c r="P192" s="390"><f>P191</f><v /></c><c r="Q192" s="391"><f>LEFT(P192,1)</f><v /></c><c r="R192" s="391"><f>RIGHT(P192,6)</f><v /></c><c r="S192" s="391"><f>+(Q192*60+R192)/(60*60)</f><v /></c><c r="T192" s="392"><f>+O192/S192</f><v /></c><c r="U192" s="393"><f>+(((N192-M192-O192)/O192)*100)</f><v /></c><c r="V192" s="329"><f>V191</f><v /></c><c r="W192" s="387"><f>W191</f><v /></c><c r="X192" s="387"><f>X191</f><v /></c><c r="Y192" s="388" t="n"><v>199.35</v></c><c r="Z192" s="388" t="n"><v>209.4</v></c><c r="AA192" s="394"><f>AA191</f><v /></c><c r="AB192" s="395"><f>AB191</f><v /></c><c r="AC192" s="391"><f>LEFT(AB192,2)</f><v /></c><c r="AD192" s="391"><f>RIGHT(AB192,6)</f><v /></c><c r="AE192" s="391"><f>+(AC192*60+AD192)/(60*60)</f><v /></c><c r="AF192" s="392"><f>+AA192/AE192</f><v /></c><c r="AG192" s="396"><f>+(((Z192-Y192-AA192)/AA192)*100)</f><v /></c><c r="AH192" s="329"><f>AH191</f><v /></c><c r="AI192" s="387"><f>AI191</f><v /></c><c r="AJ192" s="387"><f>AJ191</f><v /></c><c r="AK192" s="388"><f>Z192</f><v /></c><c r="AL192" s="388" t="n"><v>214.51</v></c><c r="AM192" s="397"><f>AM191</f><v /></c><c r="AN192" s="390"><f>AN191</f><v /></c><c r="AO192" s="391"><f>LEFT(AN192,2)</f><v /></c><c r="AP192" s="391"><f>RIGHT(AN192,6)</f><v /></c><c r="AQ192" s="391"><f>+(AO192*60+AP192)/(60*60)</f><v /></c><c r="AR192" s="392"><f>+AM192/AQ192</f><v /></c><c r="AS192" s="396"><f>+(((AL192-AK192-AM192)/AM192)*100)</f><v /></c><c r="AT192" s="398"><f>IF(I192&gt;=1,"NO CONFORME",IF(BK192="SIGDIFERENTES",BC192,BL192))</f><v /></c><c r="AU192" s="399"><f>B192=C192</f><v /></c><c r="AV192" s="399"><f>N192&lt;Y192</f><v /></c><c r="AW192" s="399"><f>Z192&lt;=AK192</f><v /></c><c r="AX192" s="399"><f>IF(I192&gt;=1,"Qcorrecto",IF(AND(AY192="aceptable",AZ192="aceptable",BA192="aceptable"),"Qcorrecto","Qincorrecto"))</f><v /></c><c r="AY192" s="400"><f>IF(AR192&lt;$AH$6,"error",IF(AR192&gt;$AH$6*1.1,"error","aceptable"))</f><v /></c><c r="AZ192" s="400"><f>IF(AF192&lt;$V$6,"error",IF(AF192&gt;$V$6*1.1,"error","aceptable"))</f><v /></c><c r="BA192" s="400"><f>IF(T192&lt;$J$6*0.9,"error",IF(T192&gt;$J$6,"error","aceptable"))</f><v /></c><c r="BB192" s="401"><f>(IF(ABS(U192)&lt;1.05,"CONFORME",IF(ABS(AG192)&lt;1.05,"CONFORME",IF(ABS(AS192)&lt;2.55,"CONFORME","NO CONFORME"))))</f><v /></c><c r="BC192" s="402"><f>(IF(ABS(U192)&gt;2.05,"NO CONFORME",IF(ABS(AG192)&gt;2.05,"NO CONFORME",IF(ABS(AS192)&gt;5.05,"NO CONFORME","CONFORME"))))</f><v /></c><c r="BD192" s="403"><f>SIGN(U192)</f><v /></c><c r="BE192" s="403"><f>SIGN(AG192)</f><v /></c><c r="BF192" s="403"><f>SIGN(AS192)</f><v /></c><c r="BG192" s="403"><f>CONCATENATE(BD192,BE192,BF192)</f><v /></c><c r="BH192" s="403"><f>IF(BG192="111","SI","SD")</f><v /></c><c r="BI192" s="403"><f>IF(BG192="-1-1-1","SI","SD")</f><v /></c><c r="BJ192" s="403"><f>OR(BH192="SI",BI192="SI")</f><v /></c><c r="BK192" s="403"><f>IF(BJ192=FALSE,"SIGDIFERENTES","SIGIGUALES")</f><v /></c><c r="BL192" s="400"><f>IF(BC192="NO CONFORME","NO CONFORME",IF(BB192="CONFORME","CONFORME","NO CONFORME"))</f><v /></c></row><row r="193" ht="14.4" customHeight="1" thickBot="1"><c r="A193" s="351" t="n"><v>185</v></c><c r="B193" s="404"><f>B192</f><v /></c><c r="C193" s="404"><f>C192</f><v /></c><c r="D193" s="405"><f>D192</f><v /></c><c r="E193" s="406"><f>E192</f><v /></c><c r="F193" s="58" t="n" /><c r="G193" s="300" t="inlineStr"><is><t>PA25517597</t></is></c><c r="H193" s="407"><f>H192</f><v /></c><c r="I193" s="232"><f>I192</f><v /></c><c r="J193" s="408" t="n"><v>21.6</v></c><c r="K193" s="409" t="n"><v>8.340999999999999</v></c><c r="L193" s="409" t="n"><v>0.522</v></c><c r="M193" s="355" t="n"><v>92.90000000000001</v></c><c r="N193" s="355" t="n"><v>192.45</v></c><c r="O193" s="410" t="n"><v>100.69</v></c><c r="P193" s="411" t="inlineStr"><is><t>2,30,820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12" t="n"><v>21.6</v></c><c r="W193" s="409" t="n"><v>1.395</v></c><c r="X193" s="409" t="n"><v>1.386</v></c><c r="Y193" s="355" t="n"><v>194.65</v></c><c r="Z193" s="355" t="n"><v>204.59</v></c><c r="AA193" s="413" t="n"><v>10.02</v></c><c r="AB193" s="414" t="inlineStr"><is><t>22,39,360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12" t="n"><v>21.7</v></c><c r="AI193" s="409" t="n"><v>1.401</v></c><c r="AJ193" s="409" t="n"><v>1.388</v></c><c r="AK193" s="355"><f>Z193</f><v /></c><c r="AL193" s="355" t="n"><v>209.55</v></c><c r="AM193" s="415" t="n"><v>5.011</v></c><c r="AN193" s="411" t="inlineStr"><is><t>18,12,010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PA25517598</t></is></c><c r="H194" s="313"><f>H193</f><v /></c><c r="I194" s="38"><f>I193</f><v /></c><c r="J194" s="314"><f>J193</f><v /></c><c r="K194" s="372"><f>K193</f><v /></c><c r="L194" s="372"><f>L193</f><v /></c><c r="M194" s="373" t="n"><v>92.51000000000001</v></c><c r="N194" s="373" t="n"><v>192.46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194.69</v></c><c r="Z194" s="373" t="n"><v>204.65</v></c><c r="AA194" s="379"><f>AA193</f><v /></c><c r="AB194" s="380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209.64</v></c><c r="AM194" s="381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2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PA25517599</t></is></c><c r="H195" s="313"><f>H194</f><v /></c><c r="I195" s="38"><f>I194</f><v /></c><c r="J195" s="314"><f>J194</f><v /></c><c r="K195" s="372"><f>K194</f><v /></c><c r="L195" s="372"><f>L194</f><v /></c><c r="M195" s="373" t="n"><v>92.90000000000001</v></c><c r="N195" s="373" t="n"><v>192.64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194.86</v></c><c r="Z195" s="373" t="n"><v>204.85</v></c><c r="AA195" s="379"><f>AA194</f><v /></c><c r="AB195" s="380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209.86</v></c><c r="AM195" s="381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2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PA25517600</t></is></c><c r="H196" s="313"><f>H195</f><v /></c><c r="I196" s="38"><f>I195</f><v /></c><c r="J196" s="314"><f>J195</f><v /></c><c r="K196" s="372"><f>K195</f><v /></c><c r="L196" s="372"><f>L195</f><v /></c><c r="M196" s="373" t="n"><v>92.63</v></c><c r="N196" s="373" t="n"><v>192.55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194.79</v></c><c r="Z196" s="373" t="n"><v>204.8</v></c><c r="AA196" s="379"><f>AA195</f><v /></c><c r="AB196" s="380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209.81</v></c><c r="AM196" s="381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2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51" t="n"><v>189</v></c><c r="B197" s="404"><f>B196</f><v /></c><c r="C197" s="404"><f>C196</f><v /></c><c r="D197" s="405"><f>D196</f><v /></c><c r="E197" s="406"><f>E196</f><v /></c><c r="F197" s="58" t="n" /><c r="G197" s="300" t="inlineStr"><is><t>PA25517401</t></is></c><c r="H197" s="407"><f>H196</f><v /></c><c r="I197" s="232"><f>I196</f><v /></c><c r="J197" s="408"><f>J196</f><v /></c><c r="K197" s="409"><f>K196</f><v /></c><c r="L197" s="409"><f>L196</f><v /></c><c r="M197" s="355" t="n"><v>94.05</v></c><c r="N197" s="355" t="n"><v>194.09</v></c><c r="O197" s="410"><f>O196</f><v /></c><c r="P197" s="411"><f>P196</f><v /></c><c r="Q197" s="358"><f>LEFT(P197,1)</f><v /></c><c r="R197" s="358"><f>RIGHT(P197,6)</f><v /></c><c r="S197" s="358"><f>+(Q197*60+R197)/(60*60)</f><v /></c><c r="T197" s="359"><f>+O197/S197</f><v /></c><c r="U197" s="360"><f>+(((N197-M197-O197)/O197)*100)</f><v /></c><c r="V197" s="412"><f>V196</f><v /></c><c r="W197" s="409"><f>W196</f><v /></c><c r="X197" s="409"><f>X196</f><v /></c><c r="Y197" s="355" t="n"><v>196.32</v></c><c r="Z197" s="355" t="n"><v>206.3</v></c><c r="AA197" s="413"><f>AA196</f><v /></c><c r="AB197" s="414"><f>AB196</f><v /></c><c r="AC197" s="358"><f>LEFT(AB197,2)</f><v /></c><c r="AD197" s="358"><f>RIGHT(AB197,6)</f><v /></c><c r="AE197" s="358"><f>+(AC197*60+AD197)/(60*60)</f><v /></c><c r="AF197" s="359"><f>+AA197/AE197</f><v /></c><c r="AG197" s="361"><f>+(((Z197-Y197-AA197)/AA197)*100)</f><v /></c><c r="AH197" s="412"><f>AH196</f><v /></c><c r="AI197" s="409"><f>AI196</f><v /></c><c r="AJ197" s="409"><f>AJ196</f><v /></c><c r="AK197" s="355"><f>Z197</f><v /></c><c r="AL197" s="355" t="n"><v>211.3</v></c><c r="AM197" s="415"><f>AM196</f><v /></c><c r="AN197" s="411"><f>AN196</f><v /></c><c r="AO197" s="358"><f>LEFT(AN197,2)</f><v /></c><c r="AP197" s="358"><f>RIGHT(AN197,6)</f><v /></c><c r="AQ197" s="358"><f>+(AO197*60+AP197)/(60*60)</f><v /></c><c r="AR197" s="359"><f>+AM197/AQ197</f><v /></c><c r="AS197" s="361"><f>+(((AL197-AK197-AM197)/AM197)*100)</f><v /></c><c r="AT197" s="36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7"><f>IF(AR197&lt;$AH$6,"error",IF(AR197&gt;$AH$6*1.1,"error","aceptable"))</f><v /></c><c r="AZ197" s="367"><f>IF(AF197&lt;$V$6,"error",IF(AF197&gt;$V$6*1.1,"error","aceptable"))</f><v /></c><c r="BA197" s="367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7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PA25517402</t></is></c><c r="H198" s="313"><f>H197</f><v /></c><c r="I198" s="38"><f>I197</f><v /></c><c r="J198" s="314"><f>J197</f><v /></c><c r="K198" s="372"><f>K197</f><v /></c><c r="L198" s="372"><f>L197</f><v /></c><c r="M198" s="373" t="n"><v>93.20999999999999</v></c><c r="N198" s="373" t="n"><v>193.1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195.35</v></c><c r="Z198" s="373" t="n"><v>205.32</v></c><c r="AA198" s="379"><f>AA197</f><v /></c><c r="AB198" s="380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210.34</v></c><c r="AM198" s="381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2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PA25517403</t></is></c><c r="H199" s="313"><f>H198</f><v /></c><c r="I199" s="38"><f>I198</f><v /></c><c r="J199" s="314"><f>J198</f><v /></c><c r="K199" s="372"><f>K198</f><v /></c><c r="L199" s="372"><f>L198</f><v /></c><c r="M199" s="373" t="n"><v>94.54000000000001</v></c><c r="N199" s="373" t="n"><v>194.95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197.21</v></c><c r="Z199" s="373" t="n"><v>207.2</v></c><c r="AA199" s="379"><f>AA198</f><v /></c><c r="AB199" s="380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212.2</v></c><c r="AM199" s="381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2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PA25517404</t></is></c><c r="H200" s="313"><f>H199</f><v /></c><c r="I200" s="38"><f>I199</f><v /></c><c r="J200" s="314"><f>J199</f><v /></c><c r="K200" s="372"><f>K199</f><v /></c><c r="L200" s="372"><f>L199</f><v /></c><c r="M200" s="373" t="n"><v>94.8</v></c><c r="N200" s="373" t="n"><v>194.91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197.15</v></c><c r="Z200" s="373" t="n"><v>207.13</v></c><c r="AA200" s="379"><f>AA199</f><v /></c><c r="AB200" s="380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212.06</v></c><c r="AM200" s="381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2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PA25517405</t></is></c><c r="H201" s="313"><f>H200</f><v /></c><c r="I201" s="38"><f>I200</f><v /></c><c r="J201" s="314"><f>J200</f><v /></c><c r="K201" s="372"><f>K200</f><v /></c><c r="L201" s="372"><f>L200</f><v /></c><c r="M201" s="373" t="n"><v>94.91</v></c><c r="N201" s="373" t="n"><v>194.45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196.66</v></c><c r="Z201" s="373" t="n"><v>206.6</v></c><c r="AA201" s="379"><f>AA200</f><v /></c><c r="AB201" s="380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211.55</v></c><c r="AM201" s="381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2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PA25517406</t></is></c><c r="H202" s="313"><f>H201</f><v /></c><c r="I202" s="38"><f>I201</f><v /></c><c r="J202" s="314"><f>J201</f><v /></c><c r="K202" s="372"><f>K201</f><v /></c><c r="L202" s="372"><f>L201</f><v /></c><c r="M202" s="373" t="n"><v>94</v></c><c r="N202" s="373" t="n"><v>194.05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196.29</v></c><c r="Z202" s="373" t="n"><v>206.3</v></c><c r="AA202" s="379"><f>AA201</f><v /></c><c r="AB202" s="380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211.31</v></c><c r="AM202" s="381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2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PA25517407</t></is></c><c r="H203" s="313"><f>H202</f><v /></c><c r="I203" s="38"><f>I202</f><v /></c><c r="J203" s="314"><f>J202</f><v /></c><c r="K203" s="372"><f>K202</f><v /></c><c r="L203" s="372"><f>L202</f><v /></c><c r="M203" s="373" t="n"><v>93.58</v></c><c r="N203" s="373" t="n"><v>193.75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196</v></c><c r="Z203" s="373" t="n"><v>206.01</v></c><c r="AA203" s="379"><f>AA202</f><v /></c><c r="AB203" s="380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211.05</v></c><c r="AM203" s="381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2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PA25517408</t></is></c><c r="H204" s="313"><f>H203</f><v /></c><c r="I204" s="38"><f>I203</f><v /></c><c r="J204" s="314"><f>J203</f><v /></c><c r="K204" s="372"><f>K203</f><v /></c><c r="L204" s="372"><f>L203</f><v /></c><c r="M204" s="373" t="n"><v>94.5</v></c><c r="N204" s="373" t="n"><v>195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197.25</v></c><c r="Z204" s="373" t="n"><v>207.27</v></c><c r="AA204" s="379"><f>AA203</f><v /></c><c r="AB204" s="380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212.29</v></c><c r="AM204" s="381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2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PA25517409</t></is></c><c r="H205" s="313"><f>H204</f><v /></c><c r="I205" s="38"><f>I204</f><v /></c><c r="J205" s="314"><f>J204</f><v /></c><c r="K205" s="372"><f>K204</f><v /></c><c r="L205" s="372"><f>L204</f><v /></c><c r="M205" s="373" t="n"><v>93.48</v></c><c r="N205" s="373" t="n"><v>193.25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195.49</v></c><c r="Z205" s="373" t="n"><v>205.44</v></c><c r="AA205" s="379"><f>AA204</f><v /></c><c r="AB205" s="380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210.41</v></c><c r="AM205" s="381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2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PA25517410</t></is></c><c r="H206" s="313"><f>H205</f><v /></c><c r="I206" s="38"><f>I205</f><v /></c><c r="J206" s="314"><f>J205</f><v /></c><c r="K206" s="372"><f>K205</f><v /></c><c r="L206" s="372"><f>L205</f><v /></c><c r="M206" s="373" t="n"><v>94.95</v></c><c r="N206" s="373" t="n"><v>195.59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197.83</v></c><c r="Z206" s="373" t="n"><v>207.86</v></c><c r="AA206" s="379"><f>AA205</f><v /></c><c r="AB206" s="380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212.89</v></c><c r="AM206" s="381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2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PA25517411</t></is></c><c r="H207" s="313"><f>H206</f><v /></c><c r="I207" s="38"><f>I206</f><v /></c><c r="J207" s="314"><f>J206</f><v /></c><c r="K207" s="372"><f>K206</f><v /></c><c r="L207" s="372"><f>L206</f><v /></c><c r="M207" s="373" t="n"><v>93.84999999999999</v></c><c r="N207" s="373" t="n"><v>194.77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197.03</v></c><c r="Z207" s="373" t="n"><v>207.12</v></c><c r="AA207" s="379"><f>AA206</f><v /></c><c r="AB207" s="380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212.18</v></c><c r="AM207" s="381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2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3" t="n"><v>200</v></c><c r="B208" s="384"><f>B207</f><v /></c><c r="C208" s="384"><f>C207</f><v /></c><c r="D208" s="385"><f>D207</f><v /></c><c r="E208" s="386"><f>E207</f><v /></c><c r="F208" s="52" t="n" /><c r="G208" s="337" t="inlineStr"><is><t>PA25517412</t></is></c><c r="H208" s="326"><f>H207</f><v /></c><c r="I208" s="98"><f>I207</f><v /></c><c r="J208" s="327"><f>J207</f><v /></c><c r="K208" s="387"><f>K207</f><v /></c><c r="L208" s="387"><f>L207</f><v /></c><c r="M208" s="388" t="n"><v>93.40000000000001</v></c><c r="N208" s="388" t="n"><v>192.94</v></c><c r="O208" s="389"><f>O207</f><v /></c><c r="P208" s="390"><f>P207</f><v /></c><c r="Q208" s="391"><f>LEFT(P208,1)</f><v /></c><c r="R208" s="391"><f>RIGHT(P208,6)</f><v /></c><c r="S208" s="391"><f>+(Q208*60+R208)/(60*60)</f><v /></c><c r="T208" s="392"><f>+O208/S208</f><v /></c><c r="U208" s="393"><f>+(((N208-M208-O208)/O208)*100)</f><v /></c><c r="V208" s="329"><f>V207</f><v /></c><c r="W208" s="387"><f>W207</f><v /></c><c r="X208" s="387"><f>X207</f><v /></c><c r="Y208" s="388" t="n"><v>195.17</v></c><c r="Z208" s="388" t="n"><v>205.14</v></c><c r="AA208" s="394"><f>AA207</f><v /></c><c r="AB208" s="395"><f>AB207</f><v /></c><c r="AC208" s="391"><f>LEFT(AB208,2)</f><v /></c><c r="AD208" s="391"><f>RIGHT(AB208,6)</f><v /></c><c r="AE208" s="391"><f>+(AC208*60+AD208)/(60*60)</f><v /></c><c r="AF208" s="392"><f>+AA208/AE208</f><v /></c><c r="AG208" s="396"><f>+(((Z208-Y208-AA208)/AA208)*100)</f><v /></c><c r="AH208" s="329"><f>AH207</f><v /></c><c r="AI208" s="387"><f>AI207</f><v /></c><c r="AJ208" s="387"><f>AJ207</f><v /></c><c r="AK208" s="388"><f>Z208</f><v /></c><c r="AL208" s="388" t="n"><v>210.13</v></c><c r="AM208" s="397"><f>AM207</f><v /></c><c r="AN208" s="390"><f>AN207</f><v /></c><c r="AO208" s="391"><f>LEFT(AN208,2)</f><v /></c><c r="AP208" s="391"><f>RIGHT(AN208,6)</f><v /></c><c r="AQ208" s="391"><f>+(AO208*60+AP208)/(60*60)</f><v /></c><c r="AR208" s="392"><f>+AM208/AQ208</f><v /></c><c r="AS208" s="396"><f>+(((AL208-AK208-AM208)/AM208)*100)</f><v /></c><c r="AT208" s="398"><f>IF(I208&gt;=1,"NO CONFORME",IF(BK208="SIGDIFERENTES",BC208,BL208))</f><v /></c><c r="AU208" s="399"><f>B208=C208</f><v /></c><c r="AV208" s="399"><f>N208&lt;Y208</f><v /></c><c r="AW208" s="399"><f>Z208&lt;=AK208</f><v /></c><c r="AX208" s="399"><f>IF(I208&gt;=1,"Qcorrecto",IF(AND(AY208="aceptable",AZ208="aceptable",BA208="aceptable"),"Qcorrecto","Qincorrecto"))</f><v /></c><c r="AY208" s="400"><f>IF(AR208&lt;$AH$6,"error",IF(AR208&gt;$AH$6*1.1,"error","aceptable"))</f><v /></c><c r="AZ208" s="400"><f>IF(AF208&lt;$V$6,"error",IF(AF208&gt;$V$6*1.1,"error","aceptable"))</f><v /></c><c r="BA208" s="400"><f>IF(T208&lt;$J$6*0.9,"error",IF(T208&gt;$J$6,"error","aceptable"))</f><v /></c><c r="BB208" s="401"><f>(IF(ABS(U208)&lt;1.05,"CONFORME",IF(ABS(AG208)&lt;1.05,"CONFORME",IF(ABS(AS208)&lt;2.55,"CONFORME","NO CONFORME"))))</f><v /></c><c r="BC208" s="402"><f>(IF(ABS(U208)&gt;2.05,"NO CONFORME",IF(ABS(AG208)&gt;2.05,"NO CONFORME",IF(ABS(AS208)&gt;5.05,"NO CONFORME","CONFORME"))))</f><v /></c><c r="BD208" s="403"><f>SIGN(U208)</f><v /></c><c r="BE208" s="403"><f>SIGN(AG208)</f><v /></c><c r="BF208" s="403"><f>SIGN(AS208)</f><v /></c><c r="BG208" s="403"><f>CONCATENATE(BD208,BE208,BF208)</f><v /></c><c r="BH208" s="403"><f>IF(BG208="111","SI","SD")</f><v /></c><c r="BI208" s="403"><f>IF(BG208="-1-1-1","SI","SD")</f><v /></c><c r="BJ208" s="403"><f>OR(BH208="SI",BI208="SI")</f><v /></c><c r="BK208" s="403"><f>IF(BJ208=FALSE,"SIGDIFERENTES","SIGIGUALES")</f><v /></c><c r="BL208" s="400"><f>IF(BC208="NO CONFORME","NO CONFORME",IF(BB208="CONFORME","CONFORME","NO CONFORME"))</f><v /></c></row><row r="209" ht="15" customHeight="1" thickBot="1"><c r="A209" s="351" t="n"><v>201</v></c><c r="B209" s="352" t="n"><v>45920</v></c><c r="C209" s="352" t="n"><v>45920</v></c><c r="D209" s="353" t="n"><v>5</v></c><c r="E209" s="354" t="n"><v>0</v></c><c r="F209" s="58" t="n" /><c r="G209" s="300" t="inlineStr"><is><t>PA25517736</t></is></c><c r="H209" s="301" t="n"><v>25.6</v></c><c r="I209" s="232" t="n"><v>0</v></c><c r="J209" s="302" t="n"><v>22.23</v></c><c r="K209" s="303" t="n"><v>7.648</v></c><c r="L209" s="303" t="n"><v>0.539</v></c><c r="M209" s="355" t="n"><v>528.15</v></c><c r="N209" s="355" t="n"><v>628.64</v></c><c r="O209" s="356" t="n"><v>100.9</v></c><c r="P209" s="357" t="inlineStr"><is><t>2,32,832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306" t="n"><v>20.83</v></c><c r="W209" s="307" t="n"><v>1.513</v></c><c r="X209" s="307" t="n"><v>1.513</v></c><c r="Y209" s="355" t="n"><v>669.38</v></c><c r="Z209" s="355" t="n"><v>679.38</v></c><c r="AA209" s="308" t="n"><v>10.019</v></c><c r="AB209" s="357" t="inlineStr"><is><t>22,45,010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306" t="n"><v>21.58</v></c><c r="AI209" s="307" t="n"><v>1.516</v></c><c r="AJ209" s="307" t="n"><v>1.515</v></c><c r="AK209" s="355"><f>Z209</f><v /></c><c r="AL209" s="355" t="n"><v>684.4</v></c><c r="AM209" s="362" t="n"><v>5.013</v></c><c r="AN209" s="357" t="inlineStr"><is><t>18,30,200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5"><f>IF(AR209&lt;$AH$6,"error",IF(AR209&gt;$AH$6*1.1,"error","aceptable"))</f><v /></c><c r="AZ209" s="365"><f>IF(AF209&lt;$V$6,"error",IF(AF209&gt;$V$6*1.1,"error","aceptable"))</f><v /></c><c r="BA209" s="365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5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PA25517737</t></is></c><c r="H210" s="313"><f>H209</f><v /></c><c r="I210" s="38"><f>I209</f><v /></c><c r="J210" s="314"><f>J209</f><v /></c><c r="K210" s="372"><f>K209</f><v /></c><c r="L210" s="372"><f>L209</f><v /></c><c r="M210" s="373" t="n"><v>523.89</v></c><c r="N210" s="373" t="n"><v>623.5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417"><f>W209</f><v /></c><c r="X210" s="417"><f>X209</f><v /></c><c r="Y210" s="373" t="n"><v>663.9400000000001</v></c><c r="Z210" s="373" t="n"><v>673.9</v></c><c r="AA210" s="379"><f>AA209</f><v /></c><c r="AB210" s="380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417"><f>AI209</f><v /></c><c r="AJ210" s="417"><f>AJ209</f><v /></c><c r="AK210" s="373"><f>Z210</f><v /></c><c r="AL210" s="373" t="n"><v>678.95</v></c><c r="AM210" s="381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2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5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PA25517738</t></is></c><c r="H211" s="313"><f>H210</f><v /></c><c r="I211" s="38"><f>I210</f><v /></c><c r="J211" s="314"><f>J210</f><v /></c><c r="K211" s="372"><f>K210</f><v /></c><c r="L211" s="372"><f>L210</f><v /></c><c r="M211" s="373" t="n"><v>521.74</v></c><c r="N211" s="373" t="n"><v>621.17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417"><f>W210</f><v /></c><c r="X211" s="417"><f>X210</f><v /></c><c r="Y211" s="373" t="n"><v>661.61</v></c><c r="Z211" s="373" t="n"><v>671.65</v></c><c r="AA211" s="379"><f>AA210</f><v /></c><c r="AB211" s="380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417"><f>AI210</f><v /></c><c r="AJ211" s="417"><f>AJ210</f><v /></c><c r="AK211" s="373"><f>Z211</f><v /></c><c r="AL211" s="373" t="n"><v>676.76</v></c><c r="AM211" s="381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2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5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PA25517739</t></is></c><c r="H212" s="313"><f>H211</f><v /></c><c r="I212" s="38"><f>I211</f><v /></c><c r="J212" s="314"><f>J211</f><v /></c><c r="K212" s="372"><f>K211</f><v /></c><c r="L212" s="372"><f>L211</f><v /></c><c r="M212" s="373" t="n"><v>526.74</v></c><c r="N212" s="373" t="n"><v>626.91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417"><f>W211</f><v /></c><c r="X212" s="417"><f>X211</f><v /></c><c r="Y212" s="373" t="n"><v>667.52</v></c><c r="Z212" s="373" t="n"><v>677.45</v></c><c r="AA212" s="379"><f>AA211</f><v /></c><c r="AB212" s="380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417"><f>AI211</f><v /></c><c r="AJ212" s="417"><f>AJ211</f><v /></c><c r="AK212" s="373"><f>Z212</f><v /></c><c r="AL212" s="373" t="n"><v>682.45</v></c><c r="AM212" s="381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2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5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PA25517740</t></is></c><c r="H213" s="313"><f>H212</f><v /></c><c r="I213" s="38"><f>I212</f><v /></c><c r="J213" s="314"><f>J212</f><v /></c><c r="K213" s="372"><f>K212</f><v /></c><c r="L213" s="372"><f>L212</f><v /></c><c r="M213" s="373" t="n"><v>524.54</v></c><c r="N213" s="373" t="n"><v>624.35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417"><f>W212</f><v /></c><c r="X213" s="417"><f>X212</f><v /></c><c r="Y213" s="373" t="n"><v>664.76</v></c><c r="Z213" s="373" t="n"><v>674.7</v></c><c r="AA213" s="379"><f>AA212</f><v /></c><c r="AB213" s="380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417"><f>AI212</f><v /></c><c r="AJ213" s="417"><f>AJ212</f><v /></c><c r="AK213" s="373"><f>Z213</f><v /></c><c r="AL213" s="373" t="n"><v>679.74</v></c><c r="AM213" s="381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2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5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PA25517741</t></is></c><c r="H214" s="313"><f>H213</f><v /></c><c r="I214" s="38"><f>I213</f><v /></c><c r="J214" s="314"><f>J213</f><v /></c><c r="K214" s="372"><f>K213</f><v /></c><c r="L214" s="372"><f>L213</f><v /></c><c r="M214" s="373" t="n"><v>525.1</v></c><c r="N214" s="373" t="n"><v>625.2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417"><f>W213</f><v /></c><c r="X214" s="417"><f>X213</f><v /></c><c r="Y214" s="373" t="n"><v>665.6900000000001</v></c><c r="Z214" s="373" t="n"><v>675.61</v></c><c r="AA214" s="379"><f>AA213</f><v /></c><c r="AB214" s="380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417"><f>AI213</f><v /></c><c r="AJ214" s="417"><f>AJ213</f><v /></c><c r="AK214" s="373"><f>Z214</f><v /></c><c r="AL214" s="373" t="n"><v>680.64</v></c><c r="AM214" s="381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2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5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PA25517742</t></is></c><c r="H215" s="313"><f>H214</f><v /></c><c r="I215" s="38"><f>I214</f><v /></c><c r="J215" s="314"><f>J214</f><v /></c><c r="K215" s="372"><f>K214</f><v /></c><c r="L215" s="372"><f>L214</f><v /></c><c r="M215" s="373" t="n"><v>524.66</v></c><c r="N215" s="373" t="n"><v>624.16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417"><f>W214</f><v /></c><c r="X215" s="417"><f>X214</f><v /></c><c r="Y215" s="373" t="n"><v>664.51</v></c><c r="Z215" s="373" t="n"><v>674.46</v></c><c r="AA215" s="379"><f>AA214</f><v /></c><c r="AB215" s="380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417"><f>AI214</f><v /></c><c r="AJ215" s="417"><f>AJ214</f><v /></c><c r="AK215" s="373"><f>Z215</f><v /></c><c r="AL215" s="373" t="n"><v>679.5</v></c><c r="AM215" s="381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2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5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PA25517743</t></is></c><c r="H216" s="313"><f>H215</f><v /></c><c r="I216" s="38"><f>I215</f><v /></c><c r="J216" s="314"><f>J215</f><v /></c><c r="K216" s="372"><f>K215</f><v /></c><c r="L216" s="372"><f>L215</f><v /></c><c r="M216" s="373" t="n"><v>526.4400000000001</v></c><c r="N216" s="373" t="n"><v>626.47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417"><f>W215</f><v /></c><c r="X216" s="417"><f>X215</f><v /></c><c r="Y216" s="373" t="n"><v>667.01</v></c><c r="Z216" s="373" t="n"><v>677.02</v></c><c r="AA216" s="379"><f>AA215</f><v /></c><c r="AB216" s="380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417"><f>AI215</f><v /></c><c r="AJ216" s="417"><f>AJ215</f><v /></c><c r="AK216" s="373"><f>Z216</f><v /></c><c r="AL216" s="373" t="n"><v>682.1</v></c><c r="AM216" s="381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2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5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PA25517744</t></is></c><c r="H217" s="313"><f>H216</f><v /></c><c r="I217" s="38"><f>I216</f><v /></c><c r="J217" s="314"><f>J216</f><v /></c><c r="K217" s="372"><f>K216</f><v /></c><c r="L217" s="372"><f>L216</f><v /></c><c r="M217" s="373" t="n"><v>528.1</v></c><c r="N217" s="373" t="n"><v>628.6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417"><f>W216</f><v /></c><c r="X217" s="417"><f>X216</f><v /></c><c r="Y217" s="373" t="n"><v>669.24</v></c><c r="Z217" s="373" t="n"><v>679.25</v></c><c r="AA217" s="379"><f>AA216</f><v /></c><c r="AB217" s="380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417"><f>AI216</f><v /></c><c r="AJ217" s="417"><f>AJ216</f><v /></c><c r="AK217" s="373"><f>Z217</f><v /></c><c r="AL217" s="373" t="n"><v>684.3</v></c><c r="AM217" s="381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2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5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PA25517745</t></is></c><c r="H218" s="313"><f>H217</f><v /></c><c r="I218" s="38"><f>I217</f><v /></c><c r="J218" s="314"><f>J217</f><v /></c><c r="K218" s="372"><f>K217</f><v /></c><c r="L218" s="372"><f>L217</f><v /></c><c r="M218" s="373" t="n"><v>523.86</v></c><c r="N218" s="373" t="n"><v>623.53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417"><f>W217</f><v /></c><c r="X218" s="417"><f>X217</f><v /></c><c r="Y218" s="373" t="n"><v>663.9</v></c><c r="Z218" s="373" t="n"><v>673.9</v></c><c r="AA218" s="379"><f>AA217</f><v /></c><c r="AB218" s="380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417"><f>AI217</f><v /></c><c r="AJ218" s="417"><f>AJ217</f><v /></c><c r="AK218" s="373"><f>Z218</f><v /></c><c r="AL218" s="373" t="n"><v>678.95</v></c><c r="AM218" s="381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2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5.75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PA25517746</t></is></c><c r="H219" s="313"><f>H218</f><v /></c><c r="I219" s="38"><f>I218</f><v /></c><c r="J219" s="314"><f>J218</f><v /></c><c r="K219" s="372"><f>K218</f><v /></c><c r="L219" s="372"><f>L218</f><v /></c><c r="M219" s="373" t="n"><v>525.15</v></c><c r="N219" s="373" t="n"><v>624.98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417"><f>W218</f><v /></c><c r="X219" s="417"><f>X218</f><v /></c><c r="Y219" s="373" t="n"><v>665.4</v></c><c r="Z219" s="373" t="n"><v>675.37</v></c><c r="AA219" s="379"><f>AA218</f><v /></c><c r="AB219" s="380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417"><f>AI218</f><v /></c><c r="AJ219" s="417"><f>AJ218</f><v /></c><c r="AK219" s="373"><f>Z219</f><v /></c><c r="AL219" s="373" t="n"><v>680.4</v></c><c r="AM219" s="381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2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5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PA25517747</t></is></c><c r="H220" s="313"><f>H219</f><v /></c><c r="I220" s="38"><f>I219</f><v /></c><c r="J220" s="314"><f>J219</f><v /></c><c r="K220" s="372"><f>K219</f><v /></c><c r="L220" s="372"><f>L219</f><v /></c><c r="M220" s="373" t="n"><v>526.1</v></c><c r="N220" s="373" t="n"><v>625.8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417"><f>W219</f><v /></c><c r="X220" s="417"><f>X219</f><v /></c><c r="Y220" s="373" t="n"><v>666.34</v></c><c r="Z220" s="373" t="n"><v>676.3200000000001</v></c><c r="AA220" s="379"><f>AA219</f><v /></c><c r="AB220" s="380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417"><f>AI219</f><v /></c><c r="AJ220" s="417"><f>AJ219</f><v /></c><c r="AK220" s="373"><f>Z220</f><v /></c><c r="AL220" s="373" t="n"><v>681.36</v></c><c r="AM220" s="381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2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5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PA25517748</t></is></c><c r="H221" s="313"><f>H220</f><v /></c><c r="I221" s="38"><f>I220</f><v /></c><c r="J221" s="314"><f>J220</f><v /></c><c r="K221" s="372"><f>K220</f><v /></c><c r="L221" s="372"><f>L220</f><v /></c><c r="M221" s="373" t="n"><v>532.27</v></c><c r="N221" s="373" t="n"><v>633.04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417"><f>W220</f><v /></c><c r="X221" s="417"><f>X220</f><v /></c><c r="Y221" s="373" t="n"><v>673.9</v></c><c r="Z221" s="373" t="n"><v>683.95</v></c><c r="AA221" s="379"><f>AA220</f><v /></c><c r="AB221" s="380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417"><f>AI220</f><v /></c><c r="AJ221" s="417"><f>AJ220</f><v /></c><c r="AK221" s="373"><f>Z221</f><v /></c><c r="AL221" s="373" t="n"><v>689.02</v></c><c r="AM221" s="381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2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5.75" customHeight="1" thickBot="1"><c r="A222" s="418" t="n"><v>214</v></c><c r="B222" s="419"><f>B221</f><v /></c><c r="C222" s="419"><f>C221</f><v /></c><c r="D222" s="420"><f>D221</f><v /></c><c r="E222" s="421"><f>E221</f><v /></c><c r="F222" s="56" t="n" /><c r="G222" s="422" t="inlineStr"><is><t>PA25517749</t></is></c><c r="H222" s="423"><f>H221</f><v /></c><c r="I222" s="424"><f>I221</f><v /></c><c r="J222" s="425"><f>J221</f><v /></c><c r="K222" s="426"><f>K221</f><v /></c><c r="L222" s="426"><f>L221</f><v /></c><c r="M222" s="427" t="n"><v>525.9</v></c><c r="N222" s="427" t="n"><v>625.66</v></c><c r="O222" s="428"><f>O221</f><v /></c><c r="P222" s="429"><f>P221</f><v /></c><c r="Q222" s="430"><f>LEFT(P222,1)</f><v /></c><c r="R222" s="430"><f>RIGHT(P222,6)</f><v /></c><c r="S222" s="430"><f>+(Q222*60+R222)/(60*60)</f><v /></c><c r="T222" s="431"><f>+O222/S222</f><v /></c><c r="U222" s="432"><f>+(((N222-M222-O222)/O222)*100)</f><v /></c><c r="V222" s="433"><f>V221</f><v /></c><c r="W222" s="434"><f>W221</f><v /></c><c r="X222" s="434"><f>X221</f><v /></c><c r="Y222" s="427" t="n"><v>666.03</v></c><c r="Z222" s="427" t="n"><v>675.96</v></c><c r="AA222" s="435"><f>AA221</f><v /></c><c r="AB222" s="436"><f>AB221</f><v /></c><c r="AC222" s="430"><f>LEFT(AB222,2)</f><v /></c><c r="AD222" s="430"><f>RIGHT(AB222,6)</f><v /></c><c r="AE222" s="430"><f>+(AC222*60+AD222)/(60*60)</f><v /></c><c r="AF222" s="431"><f>+AA222/AE222</f><v /></c><c r="AG222" s="437"><f>+(((Z222-Y222-AA222)/AA222)*100)</f><v /></c><c r="AH222" s="433"><f>AH221</f><v /></c><c r="AI222" s="434"><f>AI221</f><v /></c><c r="AJ222" s="434"><f>AJ221</f><v /></c><c r="AK222" s="427"><f>Z222</f><v /></c><c r="AL222" s="427" t="n"><v>680.95</v></c><c r="AM222" s="438"><f>AM221</f><v /></c><c r="AN222" s="429"><f>AN221</f><v /></c><c r="AO222" s="430"><f>LEFT(AN222,2)</f><v /></c><c r="AP222" s="430"><f>RIGHT(AN222,6)</f><v /></c><c r="AQ222" s="430"><f>+(AO222*60+AP222)/(60*60)</f><v /></c><c r="AR222" s="431"><f>+AM222/AQ222</f><v /></c><c r="AS222" s="437"><f>+(((AL222-AK222-AM222)/AM222)*100)</f><v /></c><c r="AT222" s="439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440"><f>IF(AR222&lt;$AH$6,"error",IF(AR222&gt;$AH$6*1.1,"error","aceptable"))</f><v /></c><c r="AZ222" s="440"><f>IF(AF222&lt;$V$6,"error",IF(AF222&gt;$V$6*1.1,"error","aceptable"))</f><v /></c><c r="BA222" s="440"><f>IF(T222&lt;$J$6*0.9,"error",IF(T222&gt;$J$6,"error","aceptable"))</f><v /></c><c r="BB222" s="441"><f>(IF(ABS(U222)&lt;1.05,"CONFORME",IF(ABS(AG222)&lt;1.05,"CONFORME",IF(ABS(AS222)&lt;2.55,"CONFORME","NO CONFORME"))))</f><v /></c><c r="BC222" s="442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440"><f>IF(BC222="NO CONFORME","NO CONFORME",IF(BB222="CONFORME","CONFORME","NO CONFORME"))</f><v /></c></row><row r="223" ht="15" customHeight="1" thickBot="1"><c r="A223" s="383" t="n"><v>215</v></c><c r="B223" s="384"><f>B222</f><v /></c><c r="C223" s="384"><f>C222</f><v /></c><c r="D223" s="385"><f>D222</f><v /></c><c r="E223" s="386"><f>E222</f><v /></c><c r="F223" s="52" t="n" /><c r="G223" s="325" t="inlineStr"><is><t>PA25517750</t></is></c><c r="H223" s="326"><f>H222</f><v /></c><c r="I223" s="98"><f>I222</f><v /></c><c r="J223" s="327"><f>J222</f><v /></c><c r="K223" s="387"><f>K222</f><v /></c><c r="L223" s="387"><f>L222</f><v /></c><c r="M223" s="388" t="n"><v>527.61</v></c><c r="N223" s="388" t="n"><v>628.5700000000001</v></c><c r="O223" s="389"><f>O222</f><v /></c><c r="P223" s="390"><f>P222</f><v /></c><c r="Q223" s="391"><f>LEFT(P223,1)</f><v /></c><c r="R223" s="391"><f>RIGHT(P223,6)</f><v /></c><c r="S223" s="391"><f>+(Q223*60+R223)/(60*60)</f><v /></c><c r="T223" s="392"><f>+O223/S223</f><v /></c><c r="U223" s="393"><f>+(((N223-M223-O223)/O223)*100)</f><v /></c><c r="V223" s="329"><f>V222</f><v /></c><c r="W223" s="443"><f>W222</f><v /></c><c r="X223" s="443"><f>X222</f><v /></c><c r="Y223" s="388" t="n"><v>669.54</v></c><c r="Z223" s="388" t="n"><v>679.64</v></c><c r="AA223" s="394"><f>AA222</f><v /></c><c r="AB223" s="395"><f>AB222</f><v /></c><c r="AC223" s="391"><f>LEFT(AB223,2)</f><v /></c><c r="AD223" s="391"><f>RIGHT(AB223,6)</f><v /></c><c r="AE223" s="391"><f>+(AC223*60+AD223)/(60*60)</f><v /></c><c r="AF223" s="392"><f>+AA223/AE223</f><v /></c><c r="AG223" s="396"><f>+(((Z223-Y223-AA223)/AA223)*100)</f><v /></c><c r="AH223" s="329"><f>AH222</f><v /></c><c r="AI223" s="443"><f>AI222</f><v /></c><c r="AJ223" s="443"><f>AJ222</f><v /></c><c r="AK223" s="388"><f>Z223</f><v /></c><c r="AL223" s="388" t="n"><v>684.71</v></c><c r="AM223" s="397"><f>AM222</f><v /></c><c r="AN223" s="390"><f>AN222</f><v /></c><c r="AO223" s="391"><f>LEFT(AN223,2)</f><v /></c><c r="AP223" s="391"><f>RIGHT(AN223,6)</f><v /></c><c r="AQ223" s="391"><f>+(AO223*60+AP223)/(60*60)</f><v /></c><c r="AR223" s="392"><f>+AM223/AQ223</f><v /></c><c r="AS223" s="396"><f>+(((AL223-AK223-AM223)/AM223)*100)</f><v /></c><c r="AT223" s="398"><f>IF(I223&gt;=1,"NO CONFORME",IF(BK223="SIGDIFERENTES",BC223,BL223))</f><v /></c><c r="AU223" s="444"><f>B223=C223</f><v /></c><c r="AV223" s="444"><f>N223&lt;Y223</f><v /></c><c r="AW223" s="444"><f>Z223&lt;=AK223</f><v /></c><c r="AX223" s="444"><f>IF(I223&gt;=1,"Qcorrecto",IF(AND(AY223="aceptable",AZ223="aceptable",BA223="aceptable"),"Qcorrecto","Qincorrecto"))</f><v /></c><c r="AY223" s="400"><f>IF(AR223&lt;$AH$6,"error",IF(AR223&gt;$AH$6*1.1,"error","aceptable"))</f><v /></c><c r="AZ223" s="400"><f>IF(AF223&lt;$V$6,"error",IF(AF223&gt;$V$6*1.1,"error","aceptable"))</f><v /></c><c r="BA223" s="400"><f>IF(T223&lt;$J$6*0.9,"error",IF(T223&gt;$J$6,"error","aceptable"))</f><v /></c><c r="BB223" s="445"><f>(IF(ABS(U223)&lt;1.05,"CONFORME",IF(ABS(AG223)&lt;1.05,"CONFORME",IF(ABS(AS223)&lt;2.55,"CONFORME","NO CONFORME"))))</f><v /></c><c r="BC223" s="446"><f>(IF(ABS(U223)&gt;2.05,"NO CONFORME",IF(ABS(AG223)&gt;2.05,"NO CONFORME",IF(ABS(AS223)&gt;5.05,"NO CONFORME","CONFORME"))))</f><v /></c><c r="BD223" s="447"><f>SIGN(U223)</f><v /></c><c r="BE223" s="447"><f>SIGN(AG223)</f><v /></c><c r="BF223" s="447"><f>SIGN(AS223)</f><v /></c><c r="BG223" s="447"><f>CONCATENATE(BD223,BE223,BF223)</f><v /></c><c r="BH223" s="447"><f>IF(BG223="111","SI","SD")</f><v /></c><c r="BI223" s="447"><f>IF(BG223="-1-1-1","SI","SD")</f><v /></c><c r="BJ223" s="447"><f>OR(BH223="SI",BI223="SI")</f><v /></c><c r="BK223" s="447"><f>IF(BJ223=FALSE,"SIGDIFERENTES","SIGIGUALES")</f><v /></c><c r="BL223" s="400"><f>IF(BC223="NO CONFORME","NO CONFORME",IF(BB223="CONFORME","CONFORME","NO CONFORME"))</f><v /></c></row><row r="224" ht="15" customHeight="1" thickBot="1"><c r="A224" s="351" t="n"><v>216</v></c><c r="B224" s="404"><f>B223</f><v /></c><c r="C224" s="404"><f>C223</f><v /></c><c r="D224" s="405"><f>D223</f><v /></c><c r="E224" s="406"><f>E223</f><v /></c><c r="F224" s="58" t="n" /><c r="G224" s="337" t="inlineStr"><is><t>PA25517751</t></is></c><c r="H224" s="407"><f>H223</f><v /></c><c r="I224" s="232"><f>I223</f><v /></c><c r="J224" s="408" t="n"><v>21.75</v></c><c r="K224" s="409" t="n"><v>7.643</v></c><c r="L224" s="409" t="n"><v>0.517</v></c><c r="M224" s="355" t="n"><v>298.05</v></c><c r="N224" s="355" t="n"><v>398.6</v></c><c r="O224" s="410" t="n"><v>100.4</v></c><c r="P224" s="411" t="inlineStr"><is><t>2,31,960</t></is></c><c r="Q224" s="358"><f>LEFT(P224,1)</f><v /></c><c r="R224" s="358"><f>RIGHT(P224,6)</f><v /></c><c r="S224" s="358"><f>+(Q224*60+R224)/(60*60)</f><v /></c><c r="T224" s="359"><f>+O224/S224</f><v /></c><c r="U224" s="360"><f>+(((N224-M224-O224)/O224)*100)</f><v /></c><c r="V224" s="412" t="n"><v>21.85</v></c><c r="W224" s="448" t="n"><v>1.512</v></c><c r="X224" s="448" t="n"><v>1.507</v></c><c r="Y224" s="355" t="n"><v>435.91</v></c><c r="Z224" s="355" t="n"><v>445.95</v></c><c r="AA224" s="413" t="n"><v>10.02</v></c><c r="AB224" s="414" t="inlineStr"><is><t>22,43,730</t></is></c><c r="AC224" s="358"><f>LEFT(AB224,2)</f><v /></c><c r="AD224" s="358"><f>RIGHT(AB224,6)</f><v /></c><c r="AE224" s="358"><f>+(AC224*60+AD224)/(60*60)</f><v /></c><c r="AF224" s="359"><f>+AA224/AE224</f><v /></c><c r="AG224" s="361"><f>+(((Z224-Y224-AA224)/AA224)*100)</f><v /></c><c r="AH224" s="412" t="n"><v>22.43</v></c><c r="AI224" s="448" t="n"><v>1.514</v></c><c r="AJ224" s="448" t="n"><v>1.511</v></c><c r="AK224" s="355"><f>Z224</f><v /></c><c r="AL224" s="355" t="n"><v>451.02</v></c><c r="AM224" s="415" t="n"><v>5.015</v></c><c r="AN224" s="411" t="inlineStr"><is><t>18,20,640</t></is></c><c r="AO224" s="358"><f>LEFT(AN224,2)</f><v /></c><c r="AP224" s="358"><f>RIGHT(AN224,6)</f><v /></c><c r="AQ224" s="358"><f>+(AO224*60+AP224)/(60*60)</f><v /></c><c r="AR224" s="359"><f>+AM224/AQ224</f><v /></c><c r="AS224" s="361"><f>+(((AL224-AK224-AM224)/AM224)*100)</f><v /></c><c r="AT224" s="363"><f>IF(I224&gt;=1,"NO CONFORME",IF(BK224="SIGDIFERENTES",BC224,BL224))</f><v /></c><c r="AU224" s="364"><f>B224=C224</f><v /></c><c r="AV224" s="364"><f>N224&lt;Y224</f><v /></c><c r="AW224" s="364"><f>Z224&lt;=AK224</f><v /></c><c r="AX224" s="364"><f>IF(I224&gt;=1,"Qcorrecto",IF(AND(AY224="aceptable",AZ224="aceptable",BA224="aceptable"),"Qcorrecto","Qincorrecto"))</f><v /></c><c r="AY224" s="367"><f>IF(AR224&lt;$AH$6,"error",IF(AR224&gt;$AH$6*1.1,"error","aceptable"))</f><v /></c><c r="AZ224" s="367"><f>IF(AF224&lt;$V$6,"error",IF(AF224&gt;$V$6*1.1,"error","aceptable"))</f><v /></c><c r="BA224" s="367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66"><f>SIGN(U224)</f><v /></c><c r="BE224" s="366"><f>SIGN(AG224)</f><v /></c><c r="BF224" s="366"><f>SIGN(AS224)</f><v /></c><c r="BG224" s="366"><f>CONCATENATE(BD224,BE224,BF224)</f><v /></c><c r="BH224" s="366"><f>IF(BG224="111","SI","SD")</f><v /></c><c r="BI224" s="366"><f>IF(BG224="-1-1-1","SI","SD")</f><v /></c><c r="BJ224" s="366"><f>OR(BH224="SI",BI224="SI")</f><v /></c><c r="BK224" s="366"><f>IF(BJ224=FALSE,"SIGDIFERENTES","SIGIGUALES")</f><v /></c><c r="BL224" s="367"><f>IF(BC224="NO CONFORME","NO CONFORME",IF(BB224="CONFORME","CONFORME","NO CONFORME"))</f><v /></c></row><row r="225" ht="15" customHeight="1" thickBot="1"><c r="A225" s="368" t="n"><v>217</v></c><c r="B225" s="369"><f>B224</f><v /></c><c r="C225" s="369"><f>C224</f><v /></c><c r="D225" s="370"><f>D224</f><v /></c><c r="E225" s="371"><f>E224</f><v /></c><c r="F225" s="13" t="n" /><c r="G225" s="325" t="inlineStr"><is><t>PA25517752</t></is></c><c r="H225" s="313"><f>H224</f><v /></c><c r="I225" s="38"><f>I224</f><v /></c><c r="J225" s="314"><f>J224</f><v /></c><c r="K225" s="372"><f>K224</f><v /></c><c r="L225" s="372"><f>L224</f><v /></c><c r="M225" s="373" t="n"><v>295.73</v></c><c r="N225" s="373" t="n"><v>396.06</v></c><c r="O225" s="374"><f>O224</f><v /></c><c r="P225" s="375"><f>P224</f><v /></c><c r="Q225" s="376"><f>LEFT(P225,1)</f><v /></c><c r="R225" s="376"><f>RIGHT(P225,6)</f><v /></c><c r="S225" s="376"><f>+(Q225*60+R225)/(60*60)</f><v /></c><c r="T225" s="377"><f>+O225/S225</f><v /></c><c r="U225" s="378"><f>+(((N225-M225-O225)/O225)*100)</f><v /></c><c r="V225" s="317"><f>V224</f><v /></c><c r="W225" s="417"><f>W224</f><v /></c><c r="X225" s="417"><f>X224</f><v /></c><c r="Y225" s="373" t="n"><v>433.3</v></c><c r="Z225" s="373" t="n"><v>443.3</v></c><c r="AA225" s="379"><f>AA224</f><v /></c><c r="AB225" s="380"><f>AB224</f><v /></c><c r="AC225" s="376"><f>LEFT(AB225,2)</f><v /></c><c r="AD225" s="376"><f>RIGHT(AB225,6)</f><v /></c><c r="AE225" s="376"><f>+(AC225*60+AD225)/(60*60)</f><v /></c><c r="AF225" s="377"><f>+AA225/AE225</f><v /></c><c r="AG225" s="321"><f>+(((Z225-Y225-AA225)/AA225)*100)</f><v /></c><c r="AH225" s="317"><f>AH224</f><v /></c><c r="AI225" s="417"><f>AI224</f><v /></c><c r="AJ225" s="417"><f>AJ224</f><v /></c><c r="AK225" s="373"><f>Z225</f><v /></c><c r="AL225" s="373" t="n"><v>448.35</v></c><c r="AM225" s="381"><f>AM224</f><v /></c><c r="AN225" s="375"><f>AN224</f><v /></c><c r="AO225" s="376"><f>LEFT(AN225,2)</f><v /></c><c r="AP225" s="376"><f>RIGHT(AN225,6)</f><v /></c><c r="AQ225" s="376"><f>+(AO225*60+AP225)/(60*60)</f><v /></c><c r="AR225" s="377"><f>+AM225/AQ225</f><v /></c><c r="AS225" s="321"><f>+(((AL225-AK225-AM225)/AM225)*100)</f><v /></c><c r="AT225" s="382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5"><f>IF(AR225&lt;$AH$6,"error",IF(AR225&gt;$AH$6*1.1,"error","aceptable"))</f><v /></c><c r="AZ225" s="365"><f>IF(AF225&lt;$V$6,"error",IF(AF225&gt;$V$6*1.1,"error","aceptable"))</f><v /></c><c r="BA225" s="365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5"><f>IF(BC225="NO CONFORME","NO CONFORME",IF(BB225="CONFORME","CONFORME","NO CONFORME"))</f><v /></c></row><row r="226" ht="15" customHeight="1" thickBot="1"><c r="A226" s="368" t="n"><v>218</v></c><c r="B226" s="369"><f>B225</f><v /></c><c r="C226" s="369"><f>C225</f><v /></c><c r="D226" s="370"><f>D225</f><v /></c><c r="E226" s="371"><f>E225</f><v /></c><c r="F226" s="13" t="n" /><c r="G226" s="325" t="inlineStr"><is><t>PA25517753</t></is></c><c r="H226" s="313"><f>H225</f><v /></c><c r="I226" s="38"><f>I225</f><v /></c><c r="J226" s="314"><f>J225</f><v /></c><c r="K226" s="372"><f>K225</f><v /></c><c r="L226" s="372"><f>L225</f><v /></c><c r="M226" s="373" t="n"><v>294.21</v></c><c r="N226" s="373" t="n"><v>394.1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417"><f>W225</f><v /></c><c r="X226" s="417"><f>X225</f><v /></c><c r="Y226" s="373" t="n"><v>431.44</v></c><c r="Z226" s="373" t="n"><v>441.45</v></c><c r="AA226" s="379"><f>AA225</f><v /></c><c r="AB226" s="380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417"><f>AI225</f><v /></c><c r="AJ226" s="417"><f>AJ225</f><v /></c><c r="AK226" s="373"><f>Z226</f><v /></c><c r="AL226" s="373" t="n"><v>446.5</v></c><c r="AM226" s="381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2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5" customHeight="1" thickBot="1"><c r="A227" s="368" t="n"><v>219</v></c><c r="B227" s="369"><f>B226</f><v /></c><c r="C227" s="369"><f>C226</f><v /></c><c r="D227" s="370"><f>D226</f><v /></c><c r="E227" s="371"><f>E226</f><v /></c><c r="F227" s="13" t="n" /><c r="G227" s="325" t="inlineStr"><is><t>PA25517754</t></is></c><c r="H227" s="313"><f>H226</f><v /></c><c r="I227" s="38"><f>I226</f><v /></c><c r="J227" s="314"><f>J226</f><v /></c><c r="K227" s="372"><f>K226</f><v /></c><c r="L227" s="372"><f>L226</f><v /></c><c r="M227" s="373" t="n"><v>294.35</v></c><c r="N227" s="373" t="n"><v>394.6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417"><f>W226</f><v /></c><c r="X227" s="417"><f>X226</f><v /></c><c r="Y227" s="373" t="n"><v>431.81</v></c><c r="Z227" s="373" t="n"><v>441.77</v></c><c r="AA227" s="379"><f>AA226</f><v /></c><c r="AB227" s="380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417"><f>AI226</f><v /></c><c r="AJ227" s="417"><f>AJ226</f><v /></c><c r="AK227" s="373"><f>Z227</f><v /></c><c r="AL227" s="373" t="n"><v>446.8</v></c><c r="AM227" s="381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2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5" customHeight="1" thickBot="1"><c r="A228" s="368" t="n"><v>220</v></c><c r="B228" s="369"><f>B227</f><v /></c><c r="C228" s="369"><f>C227</f><v /></c><c r="D228" s="370"><f>D227</f><v /></c><c r="E228" s="371"><f>E227</f><v /></c><c r="F228" s="13" t="n" /><c r="G228" s="325" t="inlineStr"><is><t>PA25517755</t></is></c><c r="H228" s="313"><f>H227</f><v /></c><c r="I228" s="38"><f>I227</f><v /></c><c r="J228" s="314"><f>J227</f><v /></c><c r="K228" s="372"><f>K227</f><v /></c><c r="L228" s="372"><f>L227</f><v /></c><c r="M228" s="373" t="n"><v>298.26</v></c><c r="N228" s="373" t="n"><v>399.1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417"><f>W227</f><v /></c><c r="X228" s="417"><f>X227</f><v /></c><c r="Y228" s="373" t="n"><v>436.41</v></c><c r="Z228" s="373" t="n"><v>446.45</v></c><c r="AA228" s="379"><f>AA227</f><v /></c><c r="AB228" s="380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417"><f>AI227</f><v /></c><c r="AJ228" s="417"><f>AJ227</f><v /></c><c r="AK228" s="373"><f>Z228</f><v /></c><c r="AL228" s="373" t="n"><v>451.55</v></c><c r="AM228" s="381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2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5.75" customHeight="1" thickBot="1"><c r="A229" s="368" t="n"><v>221</v></c><c r="B229" s="369"><f>B228</f><v /></c><c r="C229" s="369"><f>C228</f><v /></c><c r="D229" s="370"><f>D228</f><v /></c><c r="E229" s="371"><f>E228</f><v /></c><c r="F229" s="13" t="n" /><c r="G229" s="325" t="inlineStr"><is><t>PA25517756</t></is></c><c r="H229" s="313"><f>H228</f><v /></c><c r="I229" s="38"><f>I228</f><v /></c><c r="J229" s="314"><f>J228</f><v /></c><c r="K229" s="372"><f>K228</f><v /></c><c r="L229" s="372"><f>L228</f><v /></c><c r="M229" s="373" t="n"><v>298.84</v></c><c r="N229" s="373" t="n"><v>399.25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417"><f>W228</f><v /></c><c r="X229" s="417"><f>X228</f><v /></c><c r="Y229" s="373" t="n"><v>436.41</v></c><c r="Z229" s="373" t="n"><v>446.4</v></c><c r="AA229" s="379"><f>AA228</f><v /></c><c r="AB229" s="380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417"><f>AI228</f><v /></c><c r="AJ229" s="417"><f>AJ228</f><v /></c><c r="AK229" s="373"><f>Z229</f><v /></c><c r="AL229" s="373" t="n"><v>451.41</v></c><c r="AM229" s="381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2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5" customHeight="1" thickBot="1"><c r="A230" s="368" t="n"><v>222</v></c><c r="B230" s="369"><f>B229</f><v /></c><c r="C230" s="369"><f>C229</f><v /></c><c r="D230" s="370"><f>D229</f><v /></c><c r="E230" s="371"><f>E229</f><v /></c><c r="F230" s="13" t="n" /><c r="G230" s="325" t="inlineStr"><is><t>PA25517757</t></is></c><c r="H230" s="313"><f>H229</f><v /></c><c r="I230" s="38"><f>I229</f><v /></c><c r="J230" s="314"><f>J229</f><v /></c><c r="K230" s="372"><f>K229</f><v /></c><c r="L230" s="372"><f>L229</f><v /></c><c r="M230" s="373" t="n"><v>291.8</v></c><c r="N230" s="373" t="n"><v>390.75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417"><f>W229</f><v /></c><c r="X230" s="417"><f>X229</f><v /></c><c r="Y230" s="373" t="n"><v>427.44</v></c><c r="Z230" s="373" t="n"><v>437.36</v></c><c r="AA230" s="379"><f>AA229</f><v /></c><c r="AB230" s="380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417"><f>AI229</f><v /></c><c r="AJ230" s="417"><f>AJ229</f><v /></c><c r="AK230" s="373"><f>Z230</f><v /></c><c r="AL230" s="373" t="n"><v>442.38</v></c><c r="AM230" s="381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2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5" customHeight="1" thickBot="1"><c r="A231" s="368" t="n"><v>223</v></c><c r="B231" s="369"><f>B230</f><v /></c><c r="C231" s="369"><f>C230</f><v /></c><c r="D231" s="370"><f>D230</f><v /></c><c r="E231" s="371"><f>E230</f><v /></c><c r="F231" s="13" t="n" /><c r="G231" s="325" t="inlineStr"><is><t>PA25517758</t></is></c><c r="H231" s="313"><f>H230</f><v /></c><c r="I231" s="38"><f>I230</f><v /></c><c r="J231" s="314"><f>J230</f><v /></c><c r="K231" s="372"><f>K230</f><v /></c><c r="L231" s="372"><f>L230</f><v /></c><c r="M231" s="373" t="n"><v>295.25</v></c><c r="N231" s="373" t="n"><v>394.8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417"><f>W230</f><v /></c><c r="X231" s="417"><f>X230</f><v /></c><c r="Y231" s="373" t="n"><v>431.8</v></c><c r="Z231" s="373" t="n"><v>441.79</v></c><c r="AA231" s="379"><f>AA230</f><v /></c><c r="AB231" s="380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417"><f>AI230</f><v /></c><c r="AJ231" s="417"><f>AJ230</f><v /></c><c r="AK231" s="373"><f>Z231</f><v /></c><c r="AL231" s="373" t="n"><v>446.84</v></c><c r="AM231" s="381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2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5" customHeight="1" thickBot="1"><c r="A232" s="368" t="n"><v>224</v></c><c r="B232" s="369"><f>B231</f><v /></c><c r="C232" s="369"><f>C231</f><v /></c><c r="D232" s="370"><f>D231</f><v /></c><c r="E232" s="371"><f>E231</f><v /></c><c r="F232" s="13" t="n" /><c r="G232" s="325" t="inlineStr"><is><t>PA25517759</t></is></c><c r="H232" s="313"><f>H231</f><v /></c><c r="I232" s="38"><f>I231</f><v /></c><c r="J232" s="314"><f>J231</f><v /></c><c r="K232" s="372"><f>K231</f><v /></c><c r="L232" s="372"><f>L231</f><v /></c><c r="M232" s="373" t="n"><v>296.38</v></c><c r="N232" s="373" t="n"><v>396.58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417"><f>W231</f><v /></c><c r="X232" s="417"><f>X231</f><v /></c><c r="Y232" s="373" t="n"><v>433.71</v></c><c r="Z232" s="373" t="n"><v>443.65</v></c><c r="AA232" s="379"><f>AA231</f><v /></c><c r="AB232" s="380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417"><f>AI231</f><v /></c><c r="AJ232" s="417"><f>AJ231</f><v /></c><c r="AK232" s="373"><f>Z232</f><v /></c><c r="AL232" s="373" t="n"><v>448.66</v></c><c r="AM232" s="381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2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5" customHeight="1" thickBot="1"><c r="A233" s="368" t="n"><v>225</v></c><c r="B233" s="369"><f>B232</f><v /></c><c r="C233" s="369"><f>C232</f><v /></c><c r="D233" s="370"><f>D232</f><v /></c><c r="E233" s="371"><f>E232</f><v /></c><c r="F233" s="13" t="n" /><c r="G233" s="325" t="inlineStr"><is><t>PA25517760</t></is></c><c r="H233" s="313"><f>H232</f><v /></c><c r="I233" s="38"><f>I232</f><v /></c><c r="J233" s="314"><f>J232</f><v /></c><c r="K233" s="372"><f>K232</f><v /></c><c r="L233" s="372"><f>L232</f><v /></c><c r="M233" s="373" t="n"><v>296.69</v></c><c r="N233" s="373" t="n"><v>397.23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417"><f>W232</f><v /></c><c r="X233" s="417"><f>X232</f><v /></c><c r="Y233" s="373" t="n"><v>434.35</v></c><c r="Z233" s="373" t="n"><v>444.34</v></c><c r="AA233" s="379"><f>AA232</f><v /></c><c r="AB233" s="380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417"><f>AI232</f><v /></c><c r="AJ233" s="417"><f>AJ232</f><v /></c><c r="AK233" s="373"><f>Z233</f><v /></c><c r="AL233" s="373" t="n"><v>449.4</v></c><c r="AM233" s="381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2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5" customHeight="1" thickBot="1"><c r="A234" s="368" t="n"><v>226</v></c><c r="B234" s="369"><f>B233</f><v /></c><c r="C234" s="369"><f>C233</f><v /></c><c r="D234" s="370"><f>D233</f><v /></c><c r="E234" s="371"><f>E233</f><v /></c><c r="F234" s="13" t="n" /><c r="G234" s="325" t="inlineStr"><is><t>PA25517761</t></is></c><c r="H234" s="313"><f>H233</f><v /></c><c r="I234" s="38"><f>I233</f><v /></c><c r="J234" s="314"><f>J233</f><v /></c><c r="K234" s="372"><f>K233</f><v /></c><c r="L234" s="372"><f>L233</f><v /></c><c r="M234" s="373" t="n"><v>293.3</v></c><c r="N234" s="373" t="n"><v>393.74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417"><f>W233</f><v /></c><c r="X234" s="417"><f>X233</f><v /></c><c r="Y234" s="373" t="n"><v>430.91</v></c><c r="Z234" s="373" t="n"><v>440.95</v></c><c r="AA234" s="379"><f>AA233</f><v /></c><c r="AB234" s="380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417"><f>AI233</f><v /></c><c r="AJ234" s="417"><f>AJ233</f><v /></c><c r="AK234" s="373"><f>Z234</f><v /></c><c r="AL234" s="373" t="n"><v>446.03</v></c><c r="AM234" s="381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2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5" customHeight="1" thickBot="1"><c r="A235" s="368" t="n"><v>227</v></c><c r="B235" s="369"><f>B234</f><v /></c><c r="C235" s="369"><f>C234</f><v /></c><c r="D235" s="370"><f>D234</f><v /></c><c r="E235" s="371"><f>E234</f><v /></c><c r="F235" s="13" t="n" /><c r="G235" s="325" t="inlineStr"><is><t>PA25517762</t></is></c><c r="H235" s="313"><f>H234</f><v /></c><c r="I235" s="38"><f>I234</f><v /></c><c r="J235" s="314"><f>J234</f><v /></c><c r="K235" s="372"><f>K234</f><v /></c><c r="L235" s="372"><f>L234</f><v /></c><c r="M235" s="373" t="n"><v>298.77</v></c><c r="N235" s="373" t="n"><v>399.58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417"><f>W234</f><v /></c><c r="X235" s="417"><f>X234</f><v /></c><c r="Y235" s="373" t="n"><v>436.9</v></c><c r="Z235" s="373" t="n"><v>446.91</v></c><c r="AA235" s="379"><f>AA234</f><v /></c><c r="AB235" s="380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417"><f>AI234</f><v /></c><c r="AJ235" s="417"><f>AJ234</f><v /></c><c r="AK235" s="373"><f>Z235</f><v /></c><c r="AL235" s="373" t="n"><v>451.98</v></c><c r="AM235" s="381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2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5.75" customHeight="1" thickBot="1"><c r="A236" s="368" t="n"><v>228</v></c><c r="B236" s="369"><f>B235</f><v /></c><c r="C236" s="369"><f>C235</f><v /></c><c r="D236" s="370"><f>D235</f><v /></c><c r="E236" s="371"><f>E235</f><v /></c><c r="F236" s="13" t="n" /><c r="G236" s="325" t="inlineStr"><is><t>PA25517763</t></is></c><c r="H236" s="313"><f>H235</f><v /></c><c r="I236" s="38"><f>I235</f><v /></c><c r="J236" s="314"><f>J235</f><v /></c><c r="K236" s="372"><f>K235</f><v /></c><c r="L236" s="372"><f>L235</f><v /></c><c r="M236" s="373" t="n"><v>297.25</v></c><c r="N236" s="373" t="n"><v>397.6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417"><f>W235</f><v /></c><c r="X236" s="417"><f>X235</f><v /></c><c r="Y236" s="373" t="n"><v>434.71</v></c><c r="Z236" s="373" t="n"><v>444.75</v></c><c r="AA236" s="379"><f>AA235</f><v /></c><c r="AB236" s="380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417"><f>AI235</f><v /></c><c r="AJ236" s="417"><f>AJ235</f><v /></c><c r="AK236" s="373"><f>Z236</f><v /></c><c r="AL236" s="373" t="n"><v>449.81</v></c><c r="AM236" s="381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2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5" customHeight="1" thickBot="1"><c r="A237" s="368" t="n"><v>229</v></c><c r="B237" s="369"><f>B236</f><v /></c><c r="C237" s="369"><f>C236</f><v /></c><c r="D237" s="370"><f>D236</f><v /></c><c r="E237" s="371"><f>E236</f><v /></c><c r="F237" s="13" t="n" /><c r="G237" s="325" t="inlineStr"><is><t>PA25517764</t></is></c><c r="H237" s="313"><f>H236</f><v /></c><c r="I237" s="38"><f>I236</f><v /></c><c r="J237" s="314"><f>J236</f><v /></c><c r="K237" s="372"><f>K236</f><v /></c><c r="L237" s="372"><f>L236</f><v /></c><c r="M237" s="373" t="n"><v>295.1</v></c><c r="N237" s="373" t="n"><v>395.25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417"><f>W236</f><v /></c><c r="X237" s="417"><f>X236</f><v /></c><c r="Y237" s="373" t="n"><v>432.46</v></c><c r="Z237" s="373" t="n"><v>442.53</v></c><c r="AA237" s="379"><f>AA236</f><v /></c><c r="AB237" s="380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417"><f>AI236</f><v /></c><c r="AJ237" s="417"><f>AJ236</f><v /></c><c r="AK237" s="373"><f>Z237</f><v /></c><c r="AL237" s="373" t="n"><v>447.6</v></c><c r="AM237" s="381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2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5" customHeight="1" thickBot="1"><c r="A238" s="383" t="n"><v>230</v></c><c r="B238" s="384"><f>B237</f><v /></c><c r="C238" s="384"><f>C237</f><v /></c><c r="D238" s="385"><f>D237</f><v /></c><c r="E238" s="386"><f>E237</f><v /></c><c r="F238" s="52" t="n" /><c r="G238" s="325" t="inlineStr"><is><t>PA25517765</t></is></c><c r="H238" s="326"><f>H237</f><v /></c><c r="I238" s="98"><f>I237</f><v /></c><c r="J238" s="327"><f>J237</f><v /></c><c r="K238" s="387"><f>K237</f><v /></c><c r="L238" s="387"><f>L237</f><v /></c><c r="M238" s="388" t="n"><v>146.22</v></c><c r="N238" s="388" t="n"><v>246.66</v></c><c r="O238" s="389"><f>O237</f><v /></c><c r="P238" s="390"><f>P237</f><v /></c><c r="Q238" s="391"><f>LEFT(P238,1)</f><v /></c><c r="R238" s="391"><f>RIGHT(P238,6)</f><v /></c><c r="S238" s="391"><f>+(Q238*60+R238)/(60*60)</f><v /></c><c r="T238" s="392"><f>+O238/S238</f><v /></c><c r="U238" s="393"><f>+(((N238-M238-O238)/O238)*100)</f><v /></c><c r="V238" s="329"><f>V237</f><v /></c><c r="W238" s="443"><f>W237</f><v /></c><c r="X238" s="443"><f>X237</f><v /></c><c r="Y238" s="388" t="n"><v>283.88</v></c><c r="Z238" s="388" t="n"><v>293.92</v></c><c r="AA238" s="394"><f>AA237</f><v /></c><c r="AB238" s="395"><f>AB237</f><v /></c><c r="AC238" s="391"><f>LEFT(AB238,2)</f><v /></c><c r="AD238" s="391"><f>RIGHT(AB238,6)</f><v /></c><c r="AE238" s="391"><f>+(AC238*60+AD238)/(60*60)</f><v /></c><c r="AF238" s="392"><f>+AA238/AE238</f><v /></c><c r="AG238" s="396"><f>+(((Z238-Y238-AA238)/AA238)*100)</f><v /></c><c r="AH238" s="329"><f>AH237</f><v /></c><c r="AI238" s="443"><f>AI237</f><v /></c><c r="AJ238" s="443"><f>AJ237</f><v /></c><c r="AK238" s="388"><f>Z238</f><v /></c><c r="AL238" s="388" t="n"><v>299.01</v></c><c r="AM238" s="397"><f>AM237</f><v /></c><c r="AN238" s="390"><f>AN237</f><v /></c><c r="AO238" s="391"><f>LEFT(AN238,2)</f><v /></c><c r="AP238" s="391"><f>RIGHT(AN238,6)</f><v /></c><c r="AQ238" s="391"><f>+(AO238*60+AP238)/(60*60)</f><v /></c><c r="AR238" s="392"><f>+AM238/AQ238</f><v /></c><c r="AS238" s="396"><f>+(((AL238-AK238-AM238)/AM238)*100)</f><v /></c><c r="AT238" s="398"><f>IF(I238&gt;=1,"NO CONFORME",IF(BK238="SIGDIFERENTES",BC238,BL238))</f><v /></c><c r="AU238" s="399"><f>B238=C238</f><v /></c><c r="AV238" s="399"><f>N238&lt;Y238</f><v /></c><c r="AW238" s="399"><f>Z238&lt;=AK238</f><v /></c><c r="AX238" s="399"><f>IF(I238&gt;=1,"Qcorrecto",IF(AND(AY238="aceptable",AZ238="aceptable",BA238="aceptable"),"Qcorrecto","Qincorrecto"))</f><v /></c><c r="AY238" s="400"><f>IF(AR238&lt;$AH$6,"error",IF(AR238&gt;$AH$6*1.1,"error","aceptable"))</f><v /></c><c r="AZ238" s="400"><f>IF(AF238&lt;$V$6,"error",IF(AF238&gt;$V$6*1.1,"error","aceptable"))</f><v /></c><c r="BA238" s="400"><f>IF(T238&lt;$J$6*0.9,"error",IF(T238&gt;$J$6,"error","aceptable"))</f><v /></c><c r="BB238" s="401"><f>(IF(ABS(U238)&lt;1.05,"CONFORME",IF(ABS(AG238)&lt;1.05,"CONFORME",IF(ABS(AS238)&lt;2.55,"CONFORME","NO CONFORME"))))</f><v /></c><c r="BC238" s="402"><f>(IF(ABS(U238)&gt;2.05,"NO CONFORME",IF(ABS(AG238)&gt;2.05,"NO CONFORME",IF(ABS(AS238)&gt;5.05,"NO CONFORME","CONFORME"))))</f><v /></c><c r="BD238" s="403"><f>SIGN(U238)</f><v /></c><c r="BE238" s="403"><f>SIGN(AG238)</f><v /></c><c r="BF238" s="403"><f>SIGN(AS238)</f><v /></c><c r="BG238" s="403"><f>CONCATENATE(BD238,BE238,BF238)</f><v /></c><c r="BH238" s="403"><f>IF(BG238="111","SI","SD")</f><v /></c><c r="BI238" s="403"><f>IF(BG238="-1-1-1","SI","SD")</f><v /></c><c r="BJ238" s="403"><f>OR(BH238="SI",BI238="SI")</f><v /></c><c r="BK238" s="403"><f>IF(BJ238=FALSE,"SIGDIFERENTES","SIGIGUALES")</f><v /></c><c r="BL238" s="400"><f>IF(BC238="NO CONFORME","NO CONFORME",IF(BB238="CONFORME","CONFORME","NO CONFORME"))</f><v /></c></row><row r="239" ht="15" customHeight="1" thickBot="1"><c r="A239" s="351" t="n"><v>231</v></c><c r="B239" s="352" t="n"><v>45920</v></c><c r="C239" s="352"><f>C238</f><v /></c><c r="D239" s="353" t="n"><v>5</v></c><c r="E239" s="354" t="n"><v>10</v></c><c r="F239" s="58" t="n" /><c r="G239" s="300" t="inlineStr"><is><t>PA25517601</t></is></c><c r="H239" s="301" t="n"><v>25.6</v></c><c r="I239" s="232" t="n"><v>0</v></c><c r="J239" s="302" t="n"><v>21.1</v></c><c r="K239" s="303" t="n"><v>8.087</v></c><c r="L239" s="303" t="n"><v>0.583</v></c><c r="M239" s="355" t="n"><v>132.58</v></c><c r="N239" s="355" t="n"><v>232.65</v></c><c r="O239" s="356" t="n"><v>100.57</v></c><c r="P239" s="357" t="inlineStr"><is><t>2,27,860</t></is></c><c r="Q239" s="358"><f>LEFT(P239,1)</f><v /></c><c r="R239" s="358"><f>RIGHT(P239,6)</f><v /></c><c r="S239" s="358"><f>+(Q239*60+R239)/(60*60)</f><v /></c><c r="T239" s="359"><f>+O239/S239</f><v /></c><c r="U239" s="360"><f>+(((N239-M239-O239)/O239)*100)</f><v /></c><c r="V239" s="306" t="n"><v>20.8</v></c><c r="W239" s="307" t="n"><v>1.51</v></c><c r="X239" s="307" t="n"><v>1.505</v></c><c r="Y239" s="355" t="n"><v>251</v></c><c r="Z239" s="355" t="n"><v>261</v></c><c r="AA239" s="308" t="n"><v>10.05</v></c><c r="AB239" s="357" t="inlineStr"><is><t>22,43,410</t></is></c><c r="AC239" s="358"><f>LEFT(AB239,2)</f><v /></c><c r="AD239" s="358"><f>RIGHT(AB239,6)</f><v /></c><c r="AE239" s="358"><f>+(AC239*60+AD239)/(60*60)</f><v /></c><c r="AF239" s="359"><f>+AA239/AE239</f><v /></c><c r="AG239" s="361"><f>+(((Z239-Y239-AA239)/AA239)*100)</f><v /></c><c r="AH239" s="306" t="n"><v>20.7</v></c><c r="AI239" s="307" t="n"><v>1.51</v></c><c r="AJ239" s="307" t="n"><v>1.505</v></c><c r="AK239" s="355"><f>Z239</f><v /></c><c r="AL239" s="355" t="n"><v>266.09</v></c><c r="AM239" s="362" t="n"><v>5.031</v></c><c r="AN239" s="357" t="inlineStr"><is><t>18,21,790</t></is></c><c r="AO239" s="358"><f>LEFT(AN239,2)</f><v /></c><c r="AP239" s="358"><f>RIGHT(AN239,6)</f><v /></c><c r="AQ239" s="358"><f>+(AO239*60+AP239)/(60*60)</f><v /></c><c r="AR239" s="359"><f>+AM239/AQ239</f><v /></c><c r="AS239" s="361"><f>+(((AL239-AK239-AM239)/AM239)*100)</f><v /></c><c r="AT239" s="36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7"><f>IF(BC239="NO CONFORME","NO CONFORME",IF(BB239="CONFORME","CONFORME","NO CONFORME"))</f><v /></c></row><row r="240" ht="15" customHeight="1" thickBot="1"><c r="A240" s="368" t="n"><v>232</v></c><c r="B240" s="369"><f>B239</f><v /></c><c r="C240" s="369"><f>C239</f><v /></c><c r="D240" s="370"><f>D239</f><v /></c><c r="E240" s="371"><f>E239</f><v /></c><c r="F240" s="13" t="n" /><c r="G240" s="300" t="inlineStr"><is><t>PA25517602</t></is></c><c r="H240" s="313"><f>H239</f><v /></c><c r="I240" s="38"><f>I239</f><v /></c><c r="J240" s="314"><f>J239</f><v /></c><c r="K240" s="372"><f>K239</f><v /></c><c r="L240" s="372"><f>L239</f><v /></c><c r="M240" s="373" t="n"><v>132</v></c><c r="N240" s="373" t="n"><v>231.95</v></c><c r="O240" s="374"><f>O239</f><v /></c><c r="P240" s="375"><f>P239</f><v /></c><c r="Q240" s="376"><f>LEFT(P240,1)</f><v /></c><c r="R240" s="376"><f>RIGHT(P240,6)</f><v /></c><c r="S240" s="376"><f>+(Q240*60+R240)/(60*60)</f><v /></c><c r="T240" s="377"><f>+O240/S240</f><v /></c><c r="U240" s="378"><f>+(((N240-M240-O240)/O240)*100)</f><v /></c><c r="V240" s="317"><f>V239</f><v /></c><c r="W240" s="417"><f>W239</f><v /></c><c r="X240" s="417"><f>X239</f><v /></c><c r="Y240" s="373" t="n"><v>250.23</v></c><c r="Z240" s="373" t="n"><v>260.16</v></c><c r="AA240" s="379"><f>AA239</f><v /></c><c r="AB240" s="380"><f>AB239</f><v /></c><c r="AC240" s="376"><f>LEFT(AB240,2)</f><v /></c><c r="AD240" s="376"><f>RIGHT(AB240,6)</f><v /></c><c r="AE240" s="376"><f>+(AC240*60+AD240)/(60*60)</f><v /></c><c r="AF240" s="377"><f>+AA240/AE240</f><v /></c><c r="AG240" s="321"><f>+(((Z240-Y240-AA240)/AA240)*100)</f><v /></c><c r="AH240" s="317"><f>AH239</f><v /></c><c r="AI240" s="417"><f>AI239</f><v /></c><c r="AJ240" s="417"><f>AJ239</f><v /></c><c r="AK240" s="373"><f>Z240</f><v /></c><c r="AL240" s="373" t="n"><v>265.17</v></c><c r="AM240" s="381"><f>AM239</f><v /></c><c r="AN240" s="375"><f>AN239</f><v /></c><c r="AO240" s="376"><f>LEFT(AN240,2)</f><v /></c><c r="AP240" s="376"><f>RIGHT(AN240,6)</f><v /></c><c r="AQ240" s="376"><f>+(AO240*60+AP240)/(60*60)</f><v /></c><c r="AR240" s="377"><f>+AM240/AQ240</f><v /></c><c r="AS240" s="321"><f>+(((AL240-AK240-AM240)/AM240)*100)</f><v /></c><c r="AT240" s="382"><f>IF(I240&gt;=1,"NO CONFORME",IF(BK240="SIGDIFERENTES",BC240,BL240))</f><v /></c><c r="AU240" s="364"><f>B240=C240</f><v /></c><c r="AV240" s="364"><f>N240&lt;Y240</f><v /></c><c r="AW240" s="364"><f>Z240&lt;=AK240</f><v /></c><c r="AX240" s="364"><f>IF(I240&gt;=1,"Qcorrecto",IF(AND(AY240="aceptable",AZ240="aceptable",BA240="aceptable"),"Qcorrecto","Qincorrecto"))</f><v /></c><c r="AY240" s="365"><f>IF(AR240&lt;$AH$6,"error",IF(AR240&gt;$AH$6*1.1,"error","aceptable"))</f><v /></c><c r="AZ240" s="365"><f>IF(AF240&lt;$V$6,"error",IF(AF240&gt;$V$6*1.1,"error","aceptable"))</f><v /></c><c r="BA240" s="365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66"><f>SIGN(U240)</f><v /></c><c r="BE240" s="366"><f>SIGN(AG240)</f><v /></c><c r="BF240" s="366"><f>SIGN(AS240)</f><v /></c><c r="BG240" s="366"><f>CONCATENATE(BD240,BE240,BF240)</f><v /></c><c r="BH240" s="366"><f>IF(BG240="111","SI","SD")</f><v /></c><c r="BI240" s="366"><f>IF(BG240="-1-1-1","SI","SD")</f><v /></c><c r="BJ240" s="366"><f>OR(BH240="SI",BI240="SI")</f><v /></c><c r="BK240" s="366"><f>IF(BJ240=FALSE,"SIGDIFERENTES","SIGIGUALES")</f><v /></c><c r="BL240" s="365"><f>IF(BC240="NO CONFORME","NO CONFORME",IF(BB240="CONFORME","CONFORME","NO CONFORME"))</f><v /></c></row><row r="241" ht="15" customHeight="1" thickBot="1"><c r="A241" s="368" t="n"><v>233</v></c><c r="B241" s="369"><f>B240</f><v /></c><c r="C241" s="369"><f>C240</f><v /></c><c r="D241" s="370"><f>D240</f><v /></c><c r="E241" s="371"><f>E240</f><v /></c><c r="F241" s="13" t="n" /><c r="G241" s="300" t="inlineStr"><is><t>PA25517603</t></is></c><c r="H241" s="313"><f>H240</f><v /></c><c r="I241" s="38"><f>I240</f><v /></c><c r="J241" s="314"><f>J240</f><v /></c><c r="K241" s="372"><f>K240</f><v /></c><c r="L241" s="372"><f>L240</f><v /></c><c r="M241" s="373" t="n"><v>133.6</v></c><c r="N241" s="373" t="n"><v>234.2</v></c><c r="O241" s="374"><f>O240</f><v /></c><c r="P241" s="375"><f>P240</f><v /></c><c r="Q241" s="376"><f>LEFT(P241,1)</f><v /></c><c r="R241" s="376"><f>RIGHT(P241,6)</f><v /></c><c r="S241" s="376"><f>+(Q241*60+R241)/(60*60)</f><v /></c><c r="T241" s="377"><f>+O241/S241</f><v /></c><c r="U241" s="378"><f>+(((N241-M241-O241)/O241)*100)</f><v /></c><c r="V241" s="317"><f>V240</f><v /></c><c r="W241" s="417"><f>W240</f><v /></c><c r="X241" s="417"><f>X240</f><v /></c><c r="Y241" s="373" t="n"><v>252.6</v></c><c r="Z241" s="373" t="n"><v>262.63</v></c><c r="AA241" s="379"><f>AA240</f><v /></c><c r="AB241" s="380"><f>AB240</f><v /></c><c r="AC241" s="376"><f>LEFT(AB241,2)</f><v /></c><c r="AD241" s="376"><f>RIGHT(AB241,6)</f><v /></c><c r="AE241" s="376"><f>+(AC241*60+AD241)/(60*60)</f><v /></c><c r="AF241" s="377"><f>+AA241/AE241</f><v /></c><c r="AG241" s="321"><f>+(((Z241-Y241-AA241)/AA241)*100)</f><v /></c><c r="AH241" s="317"><f>AH240</f><v /></c><c r="AI241" s="417"><f>AI240</f><v /></c><c r="AJ241" s="417"><f>AJ240</f><v /></c><c r="AK241" s="373"><f>Z241</f><v /></c><c r="AL241" s="373" t="n"><v>267.69</v></c><c r="AM241" s="381"><f>AM240</f><v /></c><c r="AN241" s="375"><f>AN240</f><v /></c><c r="AO241" s="376"><f>LEFT(AN241,2)</f><v /></c><c r="AP241" s="376"><f>RIGHT(AN241,6)</f><v /></c><c r="AQ241" s="376"><f>+(AO241*60+AP241)/(60*60)</f><v /></c><c r="AR241" s="377"><f>+AM241/AQ241</f><v /></c><c r="AS241" s="321"><f>+(((AL241-AK241-AM241)/AM241)*100)</f><v /></c><c r="AT241" s="382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5"><f>IF(AR241&lt;$AH$6,"error",IF(AR241&gt;$AH$6*1.1,"error","aceptable"))</f><v /></c><c r="AZ241" s="365"><f>IF(AF241&lt;$V$6,"error",IF(AF241&gt;$V$6*1.1,"error","aceptable"))</f><v /></c><c r="BA241" s="365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5"><f>IF(BC241="NO CONFORME","NO CONFORME",IF(BB241="CONFORME","CONFORME","NO CONFORME"))</f><v /></c></row><row r="242" ht="15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PA25517604</t></is></c><c r="H242" s="313"><f>H241</f><v /></c><c r="I242" s="38"><f>I241</f><v /></c><c r="J242" s="314"><f>J241</f><v /></c><c r="K242" s="372"><f>K241</f><v /></c><c r="L242" s="372"><f>L241</f><v /></c><c r="M242" s="373" t="n"><v>133.04</v></c><c r="N242" s="373" t="n"><v>233.27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417"><f>W241</f><v /></c><c r="X242" s="417"><f>X241</f><v /></c><c r="Y242" s="373" t="n"><v>251.69</v></c><c r="Z242" s="373" t="n"><v>261.69</v></c><c r="AA242" s="379"><f>AA241</f><v /></c><c r="AB242" s="380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417"><f>AI241</f><v /></c><c r="AJ242" s="417"><f>AJ241</f><v /></c><c r="AK242" s="373"><f>Z242</f><v /></c><c r="AL242" s="373" t="n"><v>266.72</v></c><c r="AM242" s="381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2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5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PA25517605</t></is></c><c r="H243" s="313"><f>H242</f><v /></c><c r="I243" s="38"><f>I242</f><v /></c><c r="J243" s="314"><f>J242</f><v /></c><c r="K243" s="372"><f>K242</f><v /></c><c r="L243" s="372"><f>L242</f><v /></c><c r="M243" s="373" t="n"><v>132</v></c><c r="N243" s="373" t="n"><v>232.14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417"><f>W242</f><v /></c><c r="X243" s="417"><f>X242</f><v /></c><c r="Y243" s="373" t="n"><v>250.47</v></c><c r="Z243" s="373" t="n"><v>260.45</v></c><c r="AA243" s="379"><f>AA242</f><v /></c><c r="AB243" s="380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417"><f>AI242</f><v /></c><c r="AJ243" s="417"><f>AJ242</f><v /></c><c r="AK243" s="373"><f>Z243</f><v /></c><c r="AL243" s="373" t="n"><v>265.5</v></c><c r="AM243" s="381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2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5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PA25517606</t></is></c><c r="H244" s="313"><f>H243</f><v /></c><c r="I244" s="38"><f>I243</f><v /></c><c r="J244" s="314"><f>J243</f><v /></c><c r="K244" s="372"><f>K243</f><v /></c><c r="L244" s="372"><f>L243</f><v /></c><c r="M244" s="373" t="n"><v>132.62</v></c><c r="N244" s="373" t="n"><v>232.75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417"><f>W243</f><v /></c><c r="X244" s="417"><f>X243</f><v /></c><c r="Y244" s="373" t="n"><v>251.1</v></c><c r="Z244" s="373" t="n"><v>261.1</v></c><c r="AA244" s="379"><f>AA243</f><v /></c><c r="AB244" s="380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417"><f>AI243</f><v /></c><c r="AJ244" s="417"><f>AJ243</f><v /></c><c r="AK244" s="373"><f>Z244</f><v /></c><c r="AL244" s="373" t="n"><v>266.15</v></c><c r="AM244" s="381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2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5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PA25517607</t></is></c><c r="H245" s="313"><f>H244</f><v /></c><c r="I245" s="38"><f>I244</f><v /></c><c r="J245" s="314"><f>J244</f><v /></c><c r="K245" s="372"><f>K244</f><v /></c><c r="L245" s="372"><f>L244</f><v /></c><c r="M245" s="373" t="n"><v>132.3</v></c><c r="N245" s="373" t="n"><v>232.71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417"><f>W244</f><v /></c><c r="X245" s="417"><f>X244</f><v /></c><c r="Y245" s="373" t="n"><v>251.05</v></c><c r="Z245" s="373" t="n"><v>261.05</v></c><c r="AA245" s="379"><f>AA244</f><v /></c><c r="AB245" s="380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417"><f>AI244</f><v /></c><c r="AJ245" s="417"><f>AJ244</f><v /></c><c r="AK245" s="373"><f>Z245</f><v /></c><c r="AL245" s="373" t="n"><v>266.1</v></c><c r="AM245" s="381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2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5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PA25517608</t></is></c><c r="H246" s="313"><f>H245</f><v /></c><c r="I246" s="38"><f>I245</f><v /></c><c r="J246" s="314"><f>J245</f><v /></c><c r="K246" s="372"><f>K245</f><v /></c><c r="L246" s="372"><f>L245</f><v /></c><c r="M246" s="373" t="n"><v>132</v></c><c r="N246" s="373" t="n"><v>232.09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417"><f>W245</f><v /></c><c r="X246" s="417"><f>X245</f><v /></c><c r="Y246" s="373" t="n"><v>250.4</v></c><c r="Z246" s="373" t="n"><v>260.37</v></c><c r="AA246" s="379"><f>AA245</f><v /></c><c r="AB246" s="380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417"><f>AI245</f><v /></c><c r="AJ246" s="417"><f>AJ245</f><v /></c><c r="AK246" s="373"><f>Z246</f><v /></c><c r="AL246" s="373" t="n"><v>265.4</v></c><c r="AM246" s="381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2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5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PA25517609</t></is></c><c r="H247" s="313"><f>H246</f><v /></c><c r="I247" s="38"><f>I246</f><v /></c><c r="J247" s="314"><f>J246</f><v /></c><c r="K247" s="372"><f>K246</f><v /></c><c r="L247" s="372"><f>L246</f><v /></c><c r="M247" s="373" t="n"><v>132.55</v></c><c r="N247" s="373" t="n"><v>232.55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417"><f>W246</f><v /></c><c r="X247" s="417"><f>X246</f><v /></c><c r="Y247" s="373" t="n"><v>250.88</v></c><c r="Z247" s="373" t="n"><v>260.8</v></c><c r="AA247" s="379"><f>AA246</f><v /></c><c r="AB247" s="380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417"><f>AI246</f><v /></c><c r="AJ247" s="417"><f>AJ246</f><v /></c><c r="AK247" s="373"><f>Z247</f><v /></c><c r="AL247" s="373" t="n"><v>265.75</v></c><c r="AM247" s="381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2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5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PA25517610</t></is></c><c r="H248" s="313"><f>H247</f><v /></c><c r="I248" s="38"><f>I247</f><v /></c><c r="J248" s="314"><f>J247</f><v /></c><c r="K248" s="372"><f>K247</f><v /></c><c r="L248" s="372"><f>L247</f><v /></c><c r="M248" s="373" t="n"><v>133.9</v></c><c r="N248" s="373" t="n"><v>234.47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417"><f>W247</f><v /></c><c r="X248" s="417"><f>X247</f><v /></c><c r="Y248" s="373" t="n"><v>252.85</v></c><c r="Z248" s="373" t="n"><v>262.77</v></c><c r="AA248" s="379"><f>AA247</f><v /></c><c r="AB248" s="380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417"><f>AI247</f><v /></c><c r="AJ248" s="417"><f>AJ247</f><v /></c><c r="AK248" s="373"><f>Z248</f><v /></c><c r="AL248" s="373" t="n"><v>267.8</v></c><c r="AM248" s="381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2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5.75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PA25517611</t></is></c><c r="H249" s="313"><f>H248</f><v /></c><c r="I249" s="38"><f>I248</f><v /></c><c r="J249" s="314"><f>J248</f><v /></c><c r="K249" s="372"><f>K248</f><v /></c><c r="L249" s="372"><f>L248</f><v /></c><c r="M249" s="373" t="n"><v>121.7</v></c><c r="N249" s="373" t="n"><v>221.3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417"><f>W248</f><v /></c><c r="X249" s="417"><f>X248</f><v /></c><c r="Y249" s="373" t="n"><v>239.55</v></c><c r="Z249" s="373" t="n"><v>249.5</v></c><c r="AA249" s="379"><f>AA248</f><v /></c><c r="AB249" s="380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417"><f>AI248</f><v /></c><c r="AJ249" s="417"><f>AJ248</f><v /></c><c r="AK249" s="373"><f>Z249</f><v /></c><c r="AL249" s="373" t="n"><v>254.33</v></c><c r="AM249" s="381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2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5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PA25517612</t></is></c><c r="H250" s="313"><f>H249</f><v /></c><c r="I250" s="38"><f>I249</f><v /></c><c r="J250" s="314"><f>J249</f><v /></c><c r="K250" s="372"><f>K249</f><v /></c><c r="L250" s="372"><f>L249</f><v /></c><c r="M250" s="373" t="n"><v>122</v></c><c r="N250" s="373" t="n"><v>222.3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417"><f>W249</f><v /></c><c r="X250" s="417"><f>X249</f><v /></c><c r="Y250" s="373" t="n"><v>240.64</v></c><c r="Z250" s="373" t="n"><v>250.65</v></c><c r="AA250" s="379"><f>AA249</f><v /></c><c r="AB250" s="380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417"><f>AI249</f><v /></c><c r="AJ250" s="417"><f>AJ249</f><v /></c><c r="AK250" s="373"><f>Z250</f><v /></c><c r="AL250" s="373" t="n"><v>255.75</v></c><c r="AM250" s="381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2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5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PA25517613</t></is></c><c r="H251" s="313"><f>H250</f><v /></c><c r="I251" s="38"><f>I250</f><v /></c><c r="J251" s="314"><f>J250</f><v /></c><c r="K251" s="372"><f>K250</f><v /></c><c r="L251" s="372"><f>L250</f><v /></c><c r="M251" s="373" t="n"><v>119.17</v></c><c r="N251" s="373" t="n"><v>218.9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417"><f>W250</f><v /></c><c r="X251" s="417"><f>X250</f><v /></c><c r="Y251" s="373" t="n"><v>237.16</v></c><c r="Z251" s="373" t="n"><v>247.2</v></c><c r="AA251" s="379"><f>AA250</f><v /></c><c r="AB251" s="380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417"><f>AI250</f><v /></c><c r="AJ251" s="417"><f>AJ250</f><v /></c><c r="AK251" s="373"><f>Z251</f><v /></c><c r="AL251" s="373" t="n"><v>252.25</v></c><c r="AM251" s="381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2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5.75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PA25517614</t></is></c><c r="H252" s="313"><f>H251</f><v /></c><c r="I252" s="38"><f>I251</f><v /></c><c r="J252" s="314"><f>J251</f><v /></c><c r="K252" s="372"><f>K251</f><v /></c><c r="L252" s="372"><f>L251</f><v /></c><c r="M252" s="373" t="n"><v>122.9</v></c><c r="N252" s="373" t="n"><v>223.4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417"><f>W251</f><v /></c><c r="X252" s="417"><f>X251</f><v /></c><c r="Y252" s="373" t="n"><v>241.7</v></c><c r="Z252" s="373" t="n"><v>251.7</v></c><c r="AA252" s="379"><f>AA251</f><v /></c><c r="AB252" s="380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417"><f>AI251</f><v /></c><c r="AJ252" s="417"><f>AJ251</f><v /></c><c r="AK252" s="373"><f>Z252</f><v /></c><c r="AL252" s="373" t="n"><v>256.76</v></c><c r="AM252" s="381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2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5" customHeight="1" thickBot="1"><c r="A253" s="368" t="n"><v>245</v></c><c r="B253" s="369"><f>B252</f><v /></c><c r="C253" s="369"><f>C252</f><v /></c><c r="D253" s="370"><f>D252</f><v /></c><c r="E253" s="371"><f>E252</f><v /></c><c r="F253" s="13" t="n" /><c r="G253" s="337" t="inlineStr"><is><t>PA25517615</t></is></c><c r="H253" s="326"><f>H252</f><v /></c><c r="I253" s="98"><f>I252</f><v /></c><c r="J253" s="327"><f>J252</f><v /></c><c r="K253" s="387"><f>K252</f><v /></c><c r="L253" s="387"><f>L252</f><v /></c><c r="M253" s="388" t="n"><v>122.49</v></c><c r="N253" s="388" t="n"><v>222.7</v></c><c r="O253" s="389"><f>O252</f><v /></c><c r="P253" s="390"><f>P252</f><v /></c><c r="Q253" s="391"><f>LEFT(P253,1)</f><v /></c><c r="R253" s="391"><f>RIGHT(P253,6)</f><v /></c><c r="S253" s="391"><f>+(Q253*60+R253)/(60*60)</f><v /></c><c r="T253" s="392"><f>+O253/S253</f><v /></c><c r="U253" s="393"><f>+(((N253-M253-O253)/O253)*100)</f><v /></c><c r="V253" s="329"><f>V252</f><v /></c><c r="W253" s="443"><f>W252</f><v /></c><c r="X253" s="443"><f>X252</f><v /></c><c r="Y253" s="388" t="n"><v>241.09</v></c><c r="Z253" s="388" t="n"><v>251.13</v></c><c r="AA253" s="394"><f>AA252</f><v /></c><c r="AB253" s="395"><f>AB252</f><v /></c><c r="AC253" s="391"><f>LEFT(AB253,2)</f><v /></c><c r="AD253" s="391"><f>RIGHT(AB253,6)</f><v /></c><c r="AE253" s="391"><f>+(AC253*60+AD253)/(60*60)</f><v /></c><c r="AF253" s="392"><f>+AA253/AE253</f><v /></c><c r="AG253" s="396"><f>+(((Z253-Y253-AA253)/AA253)*100)</f><v /></c><c r="AH253" s="329"><f>AH252</f><v /></c><c r="AI253" s="443"><f>AI252</f><v /></c><c r="AJ253" s="443"><f>AJ252</f><v /></c><c r="AK253" s="388"><f>Z253</f><v /></c><c r="AL253" s="388" t="n"><v>256.15</v></c><c r="AM253" s="397"><f>AM252</f><v /></c><c r="AN253" s="390"><f>AN252</f><v /></c><c r="AO253" s="391"><f>LEFT(AN253,2)</f><v /></c><c r="AP253" s="391"><f>RIGHT(AN253,6)</f><v /></c><c r="AQ253" s="391"><f>+(AO253*60+AP253)/(60*60)</f><v /></c><c r="AR253" s="392"><f>+AM253/AQ253</f><v /></c><c r="AS253" s="396"><f>+(((AL253-AK253-AM253)/AM253)*100)</f><v /></c><c r="AT253" s="398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5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PA25517616</t></is></c><c r="H254" s="301"><f>H253</f><v /></c><c r="I254" s="232"><f>I253</f><v /></c><c r="J254" s="302" t="n"><v>21.1</v></c><c r="K254" s="303" t="n"><v>8.08</v></c><c r="L254" s="303" t="n"><v>0.553</v></c><c r="M254" s="355" t="n"><v>165.75</v></c><c r="N254" s="355" t="n"><v>265.45</v></c><c r="O254" s="356" t="n"><v>100.46</v></c><c r="P254" s="357" t="inlineStr"><is><t>2,27,590</t></is></c><c r="Q254" s="358"><f>LEFT(P254,1)</f><v /></c><c r="R254" s="358"><f>RIGHT(P254,6)</f><v /></c><c r="S254" s="358"><f>+(Q254*60+R254)/(60*60)</f><v /></c><c r="T254" s="359"><f>+O254/S254</f><v /></c><c r="U254" s="360"><f>+(((N254-M254-O254)/O254)*100)</f><v /></c><c r="V254" s="306" t="n"><v>21.6</v></c><c r="W254" s="307" t="n"><v>1.503</v></c><c r="X254" s="307" t="n"><v>1.505</v></c><c r="Y254" s="355" t="n"><v>276.23</v></c><c r="Z254" s="355" t="n"><v>286.15</v></c><c r="AA254" s="308" t="n"><v>10.04</v></c><c r="AB254" s="357" t="inlineStr"><is><t>23,03,190</t></is></c><c r="AC254" s="358"><f>LEFT(AB254,2)</f><v /></c><c r="AD254" s="358"><f>RIGHT(AB254,6)</f><v /></c><c r="AE254" s="358"><f>+(AC254*60+AD254)/(60*60)</f><v /></c><c r="AF254" s="359"><f>+AA254/AE254</f><v /></c><c r="AG254" s="361"><f>+(((Z254-Y254-AA254)/AA254)*100)</f><v /></c><c r="AH254" s="306" t="n"><v>21.5</v></c><c r="AI254" s="307" t="n"><v>1.506</v></c><c r="AJ254" s="307" t="n"><v>1.504</v></c><c r="AK254" s="355"><f>Z254</f><v /></c><c r="AL254" s="355" t="n"><v>291.25</v></c><c r="AM254" s="362" t="n"><v>5.063</v></c><c r="AN254" s="357" t="inlineStr"><is><t>18,22,580</t></is></c><c r="AO254" s="358"><f>LEFT(AN254,2)</f><v /></c><c r="AP254" s="358"><f>RIGHT(AN254,6)</f><v /></c><c r="AQ254" s="358"><f>+(AO254*60+AP254)/(60*60)</f><v /></c><c r="AR254" s="359"><f>+AM254/AQ254</f><v /></c><c r="AS254" s="361"><f>+(((AL254-AK254-AM254)/AM254)*100)</f><v /></c><c r="AT254" s="36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5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PA25517617</t></is></c><c r="H255" s="313"><f>H254</f><v /></c><c r="I255" s="38"><f>I254</f><v /></c><c r="J255" s="314"><f>J254</f><v /></c><c r="K255" s="372"><f>K254</f><v /></c><c r="L255" s="372"><f>L254</f><v /></c><c r="M255" s="373" t="n"><v>165.9</v></c><c r="N255" s="373" t="n"><v>265.75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417"><f>W254</f><v /></c><c r="X255" s="417"><f>X254</f><v /></c><c r="Y255" s="373" t="n"><v>276.55</v></c><c r="Z255" s="373" t="n"><v>286.45</v></c><c r="AA255" s="379"><f>AA254</f><v /></c><c r="AB255" s="380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417"><f>AI254</f><v /></c><c r="AJ255" s="417"><f>AJ254</f><v /></c><c r="AK255" s="373"><f>Z255</f><v /></c><c r="AL255" s="373" t="n"><v>291.5</v></c><c r="AM255" s="381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2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68" t="n"><v>248</v></c><c r="B256" s="369"><f>B255</f><v /></c><c r="C256" s="369"><f>C255</f><v /></c><c r="D256" s="370"><f>D255</f><v /></c><c r="E256" s="371"><f>E255</f><v /></c><c r="F256" s="13" t="n" /><c r="G256" s="300" t="inlineStr"><is><t>PA25517618</t></is></c><c r="H256" s="313"><f>H255</f><v /></c><c r="I256" s="38"><f>I255</f><v /></c><c r="J256" s="314"><f>J255</f><v /></c><c r="K256" s="372"><f>K255</f><v /></c><c r="L256" s="372"><f>L255</f><v /></c><c r="M256" s="373" t="n"><v>163.5</v></c><c r="N256" s="373" t="n"><v>263.2</v></c><c r="O256" s="374"><f>O255</f><v /></c><c r="P256" s="375"><f>P255</f><v /></c><c r="Q256" s="376"><f>LEFT(P256,1)</f><v /></c><c r="R256" s="376"><f>RIGHT(P256,6)</f><v /></c><c r="S256" s="376"><f>+(Q256*60+R256)/(60*60)</f><v /></c><c r="T256" s="377"><f>+O256/S256</f><v /></c><c r="U256" s="378"><f>+(((N256-M256-O256)/O256)*100)</f><v /></c><c r="V256" s="317"><f>V255</f><v /></c><c r="W256" s="417"><f>W255</f><v /></c><c r="X256" s="417"><f>X255</f><v /></c><c r="Y256" s="373" t="n"><v>273.99</v></c><c r="Z256" s="373" t="n"><v>283.88</v></c><c r="AA256" s="379"><f>AA255</f><v /></c><c r="AB256" s="380"><f>AB255</f><v /></c><c r="AC256" s="376"><f>LEFT(AB256,2)</f><v /></c><c r="AD256" s="376"><f>RIGHT(AB256,6)</f><v /></c><c r="AE256" s="376"><f>+(AC256*60+AD256)/(60*60)</f><v /></c><c r="AF256" s="377"><f>+AA256/AE256</f><v /></c><c r="AG256" s="321"><f>+(((Z256-Y256-AA256)/AA256)*100)</f><v /></c><c r="AH256" s="317"><f>AH255</f><v /></c><c r="AI256" s="417"><f>AI255</f><v /></c><c r="AJ256" s="417"><f>AJ255</f><v /></c><c r="AK256" s="373"><f>Z256</f><v /></c><c r="AL256" s="373" t="n"><v>288.9</v></c><c r="AM256" s="381"><f>AM255</f><v /></c><c r="AN256" s="375"><f>AN255</f><v /></c><c r="AO256" s="376"><f>LEFT(AN256,2)</f><v /></c><c r="AP256" s="376"><f>RIGHT(AN256,6)</f><v /></c><c r="AQ256" s="376"><f>+(AO256*60+AP256)/(60*60)</f><v /></c><c r="AR256" s="377"><f>+AM256/AQ256</f><v /></c><c r="AS256" s="321"><f>+(((AL256-AK256-AM256)/AM256)*100)</f><v /></c><c r="AT256" s="382"><f>IF(I256&gt;=1,"NO CONFORME",IF(BK256="SIGDIFERENTES",BC256,BL256))</f><v /></c><c r="AU256" s="364"><f>B256=C256</f><v /></c><c r="AV256" s="364"><f>N256&lt;Y256</f><v /></c><c r="AW256" s="364"><f>Z256&lt;=AK256</f><v /></c><c r="AX256" s="364"><f>IF(I256&gt;=1,"Qcorrecto",IF(AND(AY256="aceptable",AZ256="aceptable",BA256="aceptable"),"Qcorrecto","Qincorrecto"))</f><v /></c><c r="AY256" s="365"><f>IF(AR256&lt;$AH$6,"error",IF(AR256&gt;$AH$6*1.1,"error","aceptable"))</f><v /></c><c r="AZ256" s="365"><f>IF(AF256&lt;$V$6,"error",IF(AF256&gt;$V$6*1.1,"error","aceptable"))</f><v /></c><c r="BA256" s="365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66"><f>SIGN(U256)</f><v /></c><c r="BE256" s="366"><f>SIGN(AG256)</f><v /></c><c r="BF256" s="366"><f>SIGN(AS256)</f><v /></c><c r="BG256" s="366"><f>CONCATENATE(BD256,BE256,BF256)</f><v /></c><c r="BH256" s="366"><f>IF(BG256="111","SI","SD")</f><v /></c><c r="BI256" s="366"><f>IF(BG256="-1-1-1","SI","SD")</f><v /></c><c r="BJ256" s="366"><f>OR(BH256="SI",BI256="SI")</f><v /></c><c r="BK256" s="366"><f>IF(BJ256=FALSE,"SIGDIFERENTES","SIGIGUALES")</f><v /></c><c r="BL256" s="365"><f>IF(BC256="NO CONFORME","NO CONFORME",IF(BB256="CONFORME","CONFORME","NO CONFORME"))</f><v /></c></row><row r="257" ht="15" customHeight="1" thickBot="1"><c r="A257" s="368" t="n"><v>249</v></c><c r="B257" s="369"><f>B256</f><v /></c><c r="C257" s="369"><f>C256</f><v /></c><c r="D257" s="370"><f>D256</f><v /></c><c r="E257" s="371"><f>E256</f><v /></c><c r="F257" s="13" t="n" /><c r="G257" s="300" t="inlineStr"><is><t>PA25517619</t></is></c><c r="H257" s="313"><f>H256</f><v /></c><c r="I257" s="38"><f>I256</f><v /></c><c r="J257" s="314"><f>J256</f><v /></c><c r="K257" s="372"><f>K256</f><v /></c><c r="L257" s="372"><f>L256</f><v /></c><c r="M257" s="373" t="n"><v>166.86</v></c><c r="N257" s="373" t="n"><v>267.03</v></c><c r="O257" s="374"><f>O256</f><v /></c><c r="P257" s="375"><f>P256</f><v /></c><c r="Q257" s="376"><f>LEFT(P257,1)</f><v /></c><c r="R257" s="376"><f>RIGHT(P257,6)</f><v /></c><c r="S257" s="376"><f>+(Q257*60+R257)/(60*60)</f><v /></c><c r="T257" s="377"><f>+O257/S257</f><v /></c><c r="U257" s="378"><f>+(((N257-M257-O257)/O257)*100)</f><v /></c><c r="V257" s="317"><f>V256</f><v /></c><c r="W257" s="417"><f>W256</f><v /></c><c r="X257" s="417"><f>X256</f><v /></c><c r="Y257" s="373" t="n"><v>277.85</v></c><c r="Z257" s="373" t="n"><v>287.77</v></c><c r="AA257" s="379"><f>AA256</f><v /></c><c r="AB257" s="380"><f>AB256</f><v /></c><c r="AC257" s="376"><f>LEFT(AB257,2)</f><v /></c><c r="AD257" s="376"><f>RIGHT(AB257,6)</f><v /></c><c r="AE257" s="376"><f>+(AC257*60+AD257)/(60*60)</f><v /></c><c r="AF257" s="377"><f>+AA257/AE257</f><v /></c><c r="AG257" s="321"><f>+(((Z257-Y257-AA257)/AA257)*100)</f><v /></c><c r="AH257" s="317"><f>AH256</f><v /></c><c r="AI257" s="417"><f>AI256</f><v /></c><c r="AJ257" s="417"><f>AJ256</f><v /></c><c r="AK257" s="373"><f>Z257</f><v /></c><c r="AL257" s="373" t="n"><v>292.83</v></c><c r="AM257" s="381"><f>AM256</f><v /></c><c r="AN257" s="375"><f>AN256</f><v /></c><c r="AO257" s="376"><f>LEFT(AN257,2)</f><v /></c><c r="AP257" s="376"><f>RIGHT(AN257,6)</f><v /></c><c r="AQ257" s="376"><f>+(AO257*60+AP257)/(60*60)</f><v /></c><c r="AR257" s="377"><f>+AM257/AQ257</f><v /></c><c r="AS257" s="321"><f>+(((AL257-AK257-AM257)/AM257)*100)</f><v /></c><c r="AT257" s="382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5"><f>IF(AR257&lt;$AH$6,"error",IF(AR257&gt;$AH$6*1.1,"error","aceptable"))</f><v /></c><c r="AZ257" s="365"><f>IF(AF257&lt;$V$6,"error",IF(AF257&gt;$V$6*1.1,"error","aceptable"))</f><v /></c><c r="BA257" s="365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5"><f>IF(BC257="NO CONFORME","NO CONFORME",IF(BB257="CONFORME","CONFORME","NO CONFORME"))</f><v /></c></row><row r="258" ht="15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PA25517620</t></is></c><c r="H258" s="313"><f>H257</f><v /></c><c r="I258" s="38"><f>I257</f><v /></c><c r="J258" s="314"><f>J257</f><v /></c><c r="K258" s="372"><f>K257</f><v /></c><c r="L258" s="372"><f>L257</f><v /></c><c r="M258" s="373" t="n"><v>165.85</v></c><c r="N258" s="373" t="n"><v>265.51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417"><f>W257</f><v /></c><c r="X258" s="417"><f>X257</f><v /></c><c r="Y258" s="373" t="n"><v>276.3</v></c><c r="Z258" s="373" t="n"><v>286.22</v></c><c r="AA258" s="379"><f>AA257</f><v /></c><c r="AB258" s="380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417"><f>AI257</f><v /></c><c r="AJ258" s="417"><f>AJ257</f><v /></c><c r="AK258" s="373"><f>Z258</f><v /></c><c r="AL258" s="373" t="n"><v>291.3</v></c><c r="AM258" s="381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2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5.75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PA25517621</t></is></c><c r="H259" s="313"><f>H258</f><v /></c><c r="I259" s="38"><f>I258</f><v /></c><c r="J259" s="314"><f>J258</f><v /></c><c r="K259" s="372"><f>K258</f><v /></c><c r="L259" s="372"><f>L258</f><v /></c><c r="M259" s="373" t="n"><v>164.57</v></c><c r="N259" s="373" t="n"><v>264.66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417"><f>W258</f><v /></c><c r="X259" s="417"><f>X258</f><v /></c><c r="Y259" s="373" t="n"><v>275.48</v></c><c r="Z259" s="373" t="n"><v>285.41</v></c><c r="AA259" s="379"><f>AA258</f><v /></c><c r="AB259" s="380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417"><f>AI258</f><v /></c><c r="AJ259" s="417"><f>AJ258</f><v /></c><c r="AK259" s="373"><f>Z259</f><v /></c><c r="AL259" s="373" t="n"><v>290.44</v></c><c r="AM259" s="381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2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5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PA25517622</t></is></c><c r="H260" s="313"><f>H259</f><v /></c><c r="I260" s="38"><f>I259</f><v /></c><c r="J260" s="314"><f>J259</f><v /></c><c r="K260" s="372"><f>K259</f><v /></c><c r="L260" s="372"><f>L259</f><v /></c><c r="M260" s="373" t="n"><v>166.18</v></c><c r="N260" s="373" t="n"><v>265.51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417"><f>W259</f><v /></c><c r="X260" s="417"><f>X259</f><v /></c><c r="Y260" s="373" t="n"><v>276.26</v></c><c r="Z260" s="373" t="n"><v>286.22</v></c><c r="AA260" s="379"><f>AA259</f><v /></c><c r="AB260" s="380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417"><f>AI259</f><v /></c><c r="AJ260" s="417"><f>AJ259</f><v /></c><c r="AK260" s="373"><f>Z260</f><v /></c><c r="AL260" s="373" t="n"><v>291.35</v></c><c r="AM260" s="381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2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5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PA25517623</t></is></c><c r="H261" s="313"><f>H260</f><v /></c><c r="I261" s="38"><f>I260</f><v /></c><c r="J261" s="314"><f>J260</f><v /></c><c r="K261" s="372"><f>K260</f><v /></c><c r="L261" s="372"><f>L260</f><v /></c><c r="M261" s="373" t="n"><v>160.5</v></c><c r="N261" s="373" t="n"><v>259.85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417"><f>W260</f><v /></c><c r="X261" s="417"><f>X260</f><v /></c><c r="Y261" s="373" t="n"><v>270.61</v></c><c r="Z261" s="373" t="n"><v>280.58</v></c><c r="AA261" s="379"><f>AA260</f><v /></c><c r="AB261" s="380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417"><f>AI260</f><v /></c><c r="AJ261" s="417"><f>AJ260</f><v /></c><c r="AK261" s="373"><f>Z261</f><v /></c><c r="AL261" s="373" t="n"><v>285.65</v></c><c r="AM261" s="381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2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5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PA25517624</t></is></c><c r="H262" s="313"><f>H261</f><v /></c><c r="I262" s="38"><f>I261</f><v /></c><c r="J262" s="314"><f>J261</f><v /></c><c r="K262" s="372"><f>K261</f><v /></c><c r="L262" s="372"><f>L261</f><v /></c><c r="M262" s="373" t="n"><v>162.4</v></c><c r="N262" s="373" t="n"><v>262.15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417"><f>W261</f><v /></c><c r="X262" s="417"><f>X261</f><v /></c><c r="Y262" s="373" t="n"><v>272.9</v></c><c r="Z262" s="373" t="n"><v>282.85</v></c><c r="AA262" s="379"><f>AA261</f><v /></c><c r="AB262" s="380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417"><f>AI261</f><v /></c><c r="AJ262" s="417"><f>AJ261</f><v /></c><c r="AK262" s="373"><f>Z262</f><v /></c><c r="AL262" s="373" t="n"><v>287.94</v></c><c r="AM262" s="381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2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5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PA25517625</t></is></c><c r="H263" s="313"><f>H262</f><v /></c><c r="I263" s="38"><f>I262</f><v /></c><c r="J263" s="314"><f>J262</f><v /></c><c r="K263" s="372"><f>K262</f><v /></c><c r="L263" s="372"><f>L262</f><v /></c><c r="M263" s="373" t="n"><v>161.6</v></c><c r="N263" s="373" t="n"><v>261.5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417"><f>W262</f><v /></c><c r="X263" s="417"><f>X262</f><v /></c><c r="Y263" s="373" t="n"><v>272.3</v></c><c r="Z263" s="373" t="n"><v>282.25</v></c><c r="AA263" s="379"><f>AA262</f><v /></c><c r="AB263" s="380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417"><f>AI262</f><v /></c><c r="AJ263" s="417"><f>AJ262</f><v /></c><c r="AK263" s="373"><f>Z263</f><v /></c><c r="AL263" s="373" t="n"><v>287.3</v></c><c r="AM263" s="381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2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5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PA25517626</t></is></c><c r="H264" s="313"><f>H263</f><v /></c><c r="I264" s="38"><f>I263</f><v /></c><c r="J264" s="314"><f>J263</f><v /></c><c r="K264" s="372"><f>K263</f><v /></c><c r="L264" s="372"><f>L263</f><v /></c><c r="M264" s="373" t="n"><v>163.09</v></c><c r="N264" s="373" t="n"><v>263.45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417"><f>W263</f><v /></c><c r="X264" s="417"><f>X263</f><v /></c><c r="Y264" s="373" t="n"><v>274.33</v></c><c r="Z264" s="373" t="n"><v>284.25</v></c><c r="AA264" s="379"><f>AA263</f><v /></c><c r="AB264" s="380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417"><f>AI263</f><v /></c><c r="AJ264" s="417"><f>AJ263</f><v /></c><c r="AK264" s="373"><f>Z264</f><v /></c><c r="AL264" s="373" t="n"><v>289.35</v></c><c r="AM264" s="381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2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5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PA25517627</t></is></c><c r="H265" s="313"><f>H264</f><v /></c><c r="I265" s="38"><f>I264</f><v /></c><c r="J265" s="314"><f>J264</f><v /></c><c r="K265" s="372"><f>K264</f><v /></c><c r="L265" s="372"><f>L264</f><v /></c><c r="M265" s="373" t="n"><v>162.35</v></c><c r="N265" s="373" t="n"><v>261.85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417"><f>W264</f><v /></c><c r="X265" s="417"><f>X264</f><v /></c><c r="Y265" s="373" t="n"><v>272.65</v></c><c r="Z265" s="373" t="n"><v>282.65</v></c><c r="AA265" s="379"><f>AA264</f><v /></c><c r="AB265" s="380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417"><f>AI264</f><v /></c><c r="AJ265" s="417"><f>AJ264</f><v /></c><c r="AK265" s="373"><f>Z265</f><v /></c><c r="AL265" s="373" t="n"><v>287.73</v></c><c r="AM265" s="381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2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5.75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PA25517628</t></is></c><c r="H266" s="313"><f>H265</f><v /></c><c r="I266" s="38"><f>I265</f><v /></c><c r="J266" s="314"><f>J265</f><v /></c><c r="K266" s="372"><f>K265</f><v /></c><c r="L266" s="372"><f>L265</f><v /></c><c r="M266" s="373" t="n"><v>162.5</v></c><c r="N266" s="373" t="n"><v>262.49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417"><f>W265</f><v /></c><c r="X266" s="417"><f>X265</f><v /></c><c r="Y266" s="373" t="n"><v>273.31</v></c><c r="Z266" s="373" t="n"><v>283.24</v></c><c r="AA266" s="379"><f>AA265</f><v /></c><c r="AB266" s="380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417"><f>AI265</f><v /></c><c r="AJ266" s="417"><f>AJ265</f><v /></c><c r="AK266" s="373"><f>Z266</f><v /></c><c r="AL266" s="373" t="n"><v>288.3</v></c><c r="AM266" s="381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2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PA25517629</t></is></c><c r="H267" s="313"><f>H266</f><v /></c><c r="I267" s="38"><f>I266</f><v /></c><c r="J267" s="314"><f>J266</f><v /></c><c r="K267" s="372"><f>K266</f><v /></c><c r="L267" s="372"><f>L266</f><v /></c><c r="M267" s="373" t="n"><v>165.59</v></c><c r="N267" s="373" t="n"><v>266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417"><f>W266</f><v /></c><c r="X267" s="417"><f>X266</f><v /></c><c r="Y267" s="373" t="n"><v>276.85</v></c><c r="Z267" s="373" t="n"><v>286.88</v></c><c r="AA267" s="379"><f>AA266</f><v /></c><c r="AB267" s="380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417"><f>AI266</f><v /></c><c r="AJ267" s="417"><f>AJ266</f><v /></c><c r="AK267" s="373"><f>Z267</f><v /></c><c r="AL267" s="373" t="n"><v>291.99</v></c><c r="AM267" s="381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2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5" customHeight="1" thickBot="1"><c r="A268" s="368" t="n"><v>260</v></c><c r="B268" s="369"><f>B267</f><v /></c><c r="C268" s="369"><f>C267</f><v /></c><c r="D268" s="370"><f>D267</f><v /></c><c r="E268" s="371"><f>E267</f><v /></c><c r="F268" s="13" t="n" /><c r="G268" s="337" t="inlineStr"><is><t>PA25517630</t></is></c><c r="H268" s="326"><f>H267</f><v /></c><c r="I268" s="98"><f>I267</f><v /></c><c r="J268" s="327"><f>J267</f><v /></c><c r="K268" s="387"><f>K267</f><v /></c><c r="L268" s="387"><f>L267</f><v /></c><c r="M268" s="388" t="n"><v>161.4</v></c><c r="N268" s="388" t="n"><v>260.87</v></c><c r="O268" s="389"><f>O267</f><v /></c><c r="P268" s="390"><f>P267</f><v /></c><c r="Q268" s="391"><f>LEFT(P268,1)</f><v /></c><c r="R268" s="391"><f>RIGHT(P268,6)</f><v /></c><c r="S268" s="391"><f>+(Q268*60+R268)/(60*60)</f><v /></c><c r="T268" s="392"><f>+O268/S268</f><v /></c><c r="U268" s="393"><f>+(((N268-M268-O268)/O268)*100)</f><v /></c><c r="V268" s="329"><f>V267</f><v /></c><c r="W268" s="443"><f>W267</f><v /></c><c r="X268" s="443"><f>X267</f><v /></c><c r="Y268" s="388" t="n"><v>271.65</v></c><c r="Z268" s="388" t="n"><v>281.85</v></c><c r="AA268" s="394"><f>AA267</f><v /></c><c r="AB268" s="395"><f>AB267</f><v /></c><c r="AC268" s="391"><f>LEFT(AB268,2)</f><v /></c><c r="AD268" s="391"><f>RIGHT(AB268,6)</f><v /></c><c r="AE268" s="391"><f>+(AC268*60+AD268)/(60*60)</f><v /></c><c r="AF268" s="392"><f>+AA268/AE268</f><v /></c><c r="AG268" s="396"><f>+(((Z268-Y268-AA268)/AA268)*100)</f><v /></c><c r="AH268" s="329"><f>AH267</f><v /></c><c r="AI268" s="443"><f>AI267</f><v /></c><c r="AJ268" s="443"><f>AJ267</f><v /></c><c r="AK268" s="388"><f>Z268</f><v /></c><c r="AL268" s="388" t="n"><v>286.76</v></c><c r="AM268" s="397"><f>AM267</f><v /></c><c r="AN268" s="390"><f>AN267</f><v /></c><c r="AO268" s="391"><f>LEFT(AN268,2)</f><v /></c><c r="AP268" s="391"><f>RIGHT(AN268,6)</f><v /></c><c r="AQ268" s="391"><f>+(AO268*60+AP268)/(60*60)</f><v /></c><c r="AR268" s="392"><f>+AM268/AQ268</f><v /></c><c r="AS268" s="396"><f>+(((AL268-AK268-AM268)/AM268)*100)</f><v /></c><c r="AT268" s="398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PA25517631</t></is></c><c r="H269" s="301"><f>H268</f><v /></c><c r="I269" s="232"><f>I268</f><v /></c><c r="J269" s="302" t="n"><v>21.1</v></c><c r="K269" s="303" t="n"><v>8.074999999999999</v></c><c r="L269" s="303" t="n"><v>0.601</v></c><c r="M269" s="355" t="n"><v>156.44</v></c><c r="N269" s="355" t="n"><v>256.58</v></c><c r="O269" s="356" t="n"><v>100.44</v></c><c r="P269" s="357" t="inlineStr"><is><t>2,28,140</t></is></c><c r="Q269" s="358"><f>LEFT(P269,1)</f><v /></c><c r="R269" s="358"><f>RIGHT(P269,6)</f><v /></c><c r="S269" s="358"><f>+(Q269*60+R269)/(60*60)</f><v /></c><c r="T269" s="359"><f>+O269/S269</f><v /></c><c r="U269" s="360"><f>+(((N269-M269-O269)/O269)*100)</f><v /></c><c r="V269" s="306" t="n"><v>21.5</v></c><c r="W269" s="307" t="n"><v>1.51</v></c><c r="X269" s="307" t="n"><v>1.508</v></c><c r="Y269" s="355" t="n"><v>267.8</v></c><c r="Z269" s="355" t="n"><v>277.7</v></c><c r="AA269" s="308" t="n"><v>10.062</v></c><c r="AB269" s="357" t="inlineStr"><is><t>22,39,370</t></is></c><c r="AC269" s="358"><f>LEFT(AB269,2)</f><v /></c><c r="AD269" s="358"><f>RIGHT(AB269,6)</f><v /></c><c r="AE269" s="358"><f>+(AC269*60+AD269)/(60*60)</f><v /></c><c r="AF269" s="359"><f>+AA269/AE269</f><v /></c><c r="AG269" s="361"><f>+(((Z269-Y269-AA269)/AA269)*100)</f><v /></c><c r="AH269" s="306" t="n"><v>21.2</v></c><c r="AI269" s="307" t="n"><v>1.508</v></c><c r="AJ269" s="307" t="n"><v>1.504</v></c><c r="AK269" s="355"><f>Z269</f><v /></c><c r="AL269" s="355" t="n"><v>282.63</v></c><c r="AM269" s="362" t="n"><v>5.024</v></c><c r="AN269" s="357" t="inlineStr"><is><t>18,30,710</t></is></c><c r="AO269" s="358"><f>LEFT(AN269,2)</f><v /></c><c r="AP269" s="358"><f>RIGHT(AN269,6)</f><v /></c><c r="AQ269" s="358"><f>+(AO269*60+AP269)/(60*60)</f><v /></c><c r="AR269" s="359"><f>+AM269/AQ269</f><v /></c><c r="AS269" s="361"><f>+(((AL269-AK269-AM269)/AM269)*100)</f><v /></c><c r="AT269" s="36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PA25517632</t></is></c><c r="H270" s="313"><f>H269</f><v /></c><c r="I270" s="38"><f>I269</f><v /></c><c r="J270" s="314"><f>J269</f><v /></c><c r="K270" s="372"><f>K269</f><v /></c><c r="L270" s="372"><f>L269</f><v /></c><c r="M270" s="373" t="n"><v>154.91</v></c><c r="N270" s="373" t="n"><v>254.25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417"><f>W269</f><v /></c><c r="X270" s="417"><f>X269</f><v /></c><c r="Y270" s="373" t="n"><v>265.4</v></c><c r="Z270" s="373" t="n"><v>275.26</v></c><c r="AA270" s="379"><f>AA269</f><v /></c><c r="AB270" s="380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417"><f>AI269</f><v /></c><c r="AJ270" s="417"><f>AJ269</f><v /></c><c r="AK270" s="373"><f>Z270</f><v /></c><c r="AL270" s="373" t="n"><v>280.2</v></c><c r="AM270" s="381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2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PA25517633</t></is></c><c r="H271" s="313"><f>H270</f><v /></c><c r="I271" s="38"><f>I270</f><v /></c><c r="J271" s="314"><f>J270</f><v /></c><c r="K271" s="372"><f>K270</f><v /></c><c r="L271" s="372"><f>L270</f><v /></c><c r="M271" s="373" t="n"><v>156.05</v></c><c r="N271" s="373" t="n"><v>255.65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417"><f>W270</f><v /></c><c r="X271" s="417"><f>X270</f><v /></c><c r="Y271" s="373" t="n"><v>266.88</v></c><c r="Z271" s="373" t="n"><v>276.85</v></c><c r="AA271" s="379"><f>AA270</f><v /></c><c r="AB271" s="380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417"><f>AI270</f><v /></c><c r="AJ271" s="417"><f>AJ270</f><v /></c><c r="AK271" s="373"><f>Z271</f><v /></c><c r="AL271" s="373" t="n"><v>281.88</v></c><c r="AM271" s="381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2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4.4" customHeight="1" thickBot="1"><c r="A272" s="368" t="n"><v>264</v></c><c r="B272" s="369"><f>B271</f><v /></c><c r="C272" s="369"><f>C271</f><v /></c><c r="D272" s="370"><f>D271</f><v /></c><c r="E272" s="371"><f>E271</f><v /></c><c r="F272" s="13" t="n" /><c r="G272" s="300" t="inlineStr"><is><t>PA25517634</t></is></c><c r="H272" s="313"><f>H271</f><v /></c><c r="I272" s="38"><f>I271</f><v /></c><c r="J272" s="314"><f>J271</f><v /></c><c r="K272" s="372"><f>K271</f><v /></c><c r="L272" s="372"><f>L271</f><v /></c><c r="M272" s="373" t="n"><v>155.95</v></c><c r="N272" s="373" t="n"><v>255.25</v></c><c r="O272" s="374"><f>O271</f><v /></c><c r="P272" s="375"><f>P271</f><v /></c><c r="Q272" s="376"><f>LEFT(P272,1)</f><v /></c><c r="R272" s="376"><f>RIGHT(P272,6)</f><v /></c><c r="S272" s="376"><f>+(Q272*60+R272)/(60*60)</f><v /></c><c r="T272" s="377"><f>+O272/S272</f><v /></c><c r="U272" s="378"><f>+(((N272-M272-O272)/O272)*100)</f><v /></c><c r="V272" s="317"><f>V271</f><v /></c><c r="W272" s="417"><f>W271</f><v /></c><c r="X272" s="417"><f>X271</f><v /></c><c r="Y272" s="373" t="n"><v>266.47</v></c><c r="Z272" s="373" t="n"><v>276.45</v></c><c r="AA272" s="379"><f>AA271</f><v /></c><c r="AB272" s="380"><f>AB271</f><v /></c><c r="AC272" s="376"><f>LEFT(AB272,2)</f><v /></c><c r="AD272" s="376"><f>RIGHT(AB272,6)</f><v /></c><c r="AE272" s="376"><f>+(AC272*60+AD272)/(60*60)</f><v /></c><c r="AF272" s="377"><f>+AA272/AE272</f><v /></c><c r="AG272" s="321"><f>+(((Z272-Y272-AA272)/AA272)*100)</f><v /></c><c r="AH272" s="317"><f>AH271</f><v /></c><c r="AI272" s="417"><f>AI271</f><v /></c><c r="AJ272" s="417"><f>AJ271</f><v /></c><c r="AK272" s="373"><f>Z272</f><v /></c><c r="AL272" s="373" t="n"><v>281.45</v></c><c r="AM272" s="381"><f>AM271</f><v /></c><c r="AN272" s="375"><f>AN271</f><v /></c><c r="AO272" s="376"><f>LEFT(AN272,2)</f><v /></c><c r="AP272" s="376"><f>RIGHT(AN272,6)</f><v /></c><c r="AQ272" s="376"><f>+(AO272*60+AP272)/(60*60)</f><v /></c><c r="AR272" s="377"><f>+AM272/AQ272</f><v /></c><c r="AS272" s="321"><f>+(((AL272-AK272-AM272)/AM272)*100)</f><v /></c><c r="AT272" s="382"><f>IF(I272&gt;=1,"NO CONFORME",IF(BK272="SIGDIFERENTES",BC272,BL272))</f><v /></c><c r="AU272" s="364"><f>B272=C272</f><v /></c><c r="AV272" s="364"><f>N272&lt;Y272</f><v /></c><c r="AW272" s="364"><f>Z272&lt;=AK272</f><v /></c><c r="AX272" s="364"><f>IF(I272&gt;=1,"Qcorrecto",IF(AND(AY272="aceptable",AZ272="aceptable",BA272="aceptable"),"Qcorrecto","Qincorrecto"))</f><v /></c><c r="AY272" s="365"><f>IF(AR272&lt;$AH$6,"error",IF(AR272&gt;$AH$6*1.1,"error","aceptable"))</f><v /></c><c r="AZ272" s="365"><f>IF(AF272&lt;$V$6,"error",IF(AF272&gt;$V$6*1.1,"error","aceptable"))</f><v /></c><c r="BA272" s="365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66"><f>SIGN(U272)</f><v /></c><c r="BE272" s="366"><f>SIGN(AG272)</f><v /></c><c r="BF272" s="366"><f>SIGN(AS272)</f><v /></c><c r="BG272" s="366"><f>CONCATENATE(BD272,BE272,BF272)</f><v /></c><c r="BH272" s="366"><f>IF(BG272="111","SI","SD")</f><v /></c><c r="BI272" s="366"><f>IF(BG272="-1-1-1","SI","SD")</f><v /></c><c r="BJ272" s="366"><f>OR(BH272="SI",BI272="SI")</f><v /></c><c r="BK272" s="366"><f>IF(BJ272=FALSE,"SIGDIFERENTES","SIGIGUALES")</f><v /></c><c r="BL272" s="365"><f>IF(BC272="NO CONFORME","NO CONFORME",IF(BB272="CONFORME","CONFORME","NO CONFORME"))</f><v /></c></row><row r="273" ht="14.4" customHeight="1" thickBot="1"><c r="A273" s="368" t="n"><v>265</v></c><c r="B273" s="369"><f>B272</f><v /></c><c r="C273" s="369"><f>C272</f><v /></c><c r="D273" s="370"><f>D272</f><v /></c><c r="E273" s="371"><f>E272</f><v /></c><c r="F273" s="13" t="n" /><c r="G273" s="300" t="inlineStr"><is><t>PA25517635</t></is></c><c r="H273" s="313"><f>H272</f><v /></c><c r="I273" s="38"><f>I272</f><v /></c><c r="J273" s="314"><f>J272</f><v /></c><c r="K273" s="372"><f>K272</f><v /></c><c r="L273" s="372"><f>L272</f><v /></c><c r="M273" s="373" t="n"><v>155.8</v></c><c r="N273" s="373" t="n"><v>255</v></c><c r="O273" s="374"><f>O272</f><v /></c><c r="P273" s="375"><f>P272</f><v /></c><c r="Q273" s="376"><f>LEFT(P273,1)</f><v /></c><c r="R273" s="376"><f>RIGHT(P273,6)</f><v /></c><c r="S273" s="376"><f>+(Q273*60+R273)/(60*60)</f><v /></c><c r="T273" s="377"><f>+O273/S273</f><v /></c><c r="U273" s="378"><f>+(((N273-M273-O273)/O273)*100)</f><v /></c><c r="V273" s="317"><f>V272</f><v /></c><c r="W273" s="417"><f>W272</f><v /></c><c r="X273" s="417"><f>X272</f><v /></c><c r="Y273" s="373" t="n"><v>266.15</v></c><c r="Z273" s="373" t="n"><v>276.05</v></c><c r="AA273" s="379"><f>AA272</f><v /></c><c r="AB273" s="380"><f>AB272</f><v /></c><c r="AC273" s="376"><f>LEFT(AB273,2)</f><v /></c><c r="AD273" s="376"><f>RIGHT(AB273,6)</f><v /></c><c r="AE273" s="376"><f>+(AC273*60+AD273)/(60*60)</f><v /></c><c r="AF273" s="377"><f>+AA273/AE273</f><v /></c><c r="AG273" s="321"><f>+(((Z273-Y273-AA273)/AA273)*100)</f><v /></c><c r="AH273" s="317"><f>AH272</f><v /></c><c r="AI273" s="417"><f>AI272</f><v /></c><c r="AJ273" s="417"><f>AJ272</f><v /></c><c r="AK273" s="373"><f>Z273</f><v /></c><c r="AL273" s="373" t="n"><v>281.05</v></c><c r="AM273" s="381"><f>AM272</f><v /></c><c r="AN273" s="375"><f>AN272</f><v /></c><c r="AO273" s="376"><f>LEFT(AN273,2)</f><v /></c><c r="AP273" s="376"><f>RIGHT(AN273,6)</f><v /></c><c r="AQ273" s="376"><f>+(AO273*60+AP273)/(60*60)</f><v /></c><c r="AR273" s="377"><f>+AM273/AQ273</f><v /></c><c r="AS273" s="321"><f>+(((AL273-AK273-AM273)/AM273)*100)</f><v /></c><c r="AT273" s="382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5"><f>IF(AR273&lt;$AH$6,"error",IF(AR273&gt;$AH$6*1.1,"error","aceptable"))</f><v /></c><c r="AZ273" s="365"><f>IF(AF273&lt;$V$6,"error",IF(AF273&gt;$V$6*1.1,"error","aceptable"))</f><v /></c><c r="BA273" s="365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5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PA25517636</t></is></c><c r="H274" s="313"><f>H273</f><v /></c><c r="I274" s="38"><f>I273</f><v /></c><c r="J274" s="314"><f>J273</f><v /></c><c r="K274" s="372"><f>K273</f><v /></c><c r="L274" s="372"><f>L273</f><v /></c><c r="M274" s="373" t="n"><v>157.35</v></c><c r="N274" s="373" t="n"><v>257.67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417"><f>W273</f><v /></c><c r="X274" s="417"><f>X273</f><v /></c><c r="Y274" s="373" t="n"><v>268.96</v></c><c r="Z274" s="373" t="n"><v>278.95</v></c><c r="AA274" s="379"><f>AA273</f><v /></c><c r="AB274" s="380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417"><f>AI273</f><v /></c><c r="AJ274" s="417"><f>AJ273</f><v /></c><c r="AK274" s="373"><f>Z274</f><v /></c><c r="AL274" s="373" t="n"><v>283.95</v></c><c r="AM274" s="381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2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PA25517637</t></is></c><c r="H275" s="313"><f>H274</f><v /></c><c r="I275" s="38"><f>I274</f><v /></c><c r="J275" s="314"><f>J274</f><v /></c><c r="K275" s="372"><f>K274</f><v /></c><c r="L275" s="372"><f>L274</f><v /></c><c r="M275" s="373" t="n"><v>156.99</v></c><c r="N275" s="373" t="n"><v>256.99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417"><f>W274</f><v /></c><c r="X275" s="417"><f>X274</f><v /></c><c r="Y275" s="373" t="n"><v>268.25</v></c><c r="Z275" s="373" t="n"><v>278.22</v></c><c r="AA275" s="379"><f>AA274</f><v /></c><c r="AB275" s="380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417"><f>AI274</f><v /></c><c r="AJ275" s="417"><f>AJ274</f><v /></c><c r="AK275" s="373"><f>Z275</f><v /></c><c r="AL275" s="373" t="n"><v>283.29</v></c><c r="AM275" s="381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2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PA25517638</t></is></c><c r="H276" s="313"><f>H275</f><v /></c><c r="I276" s="38"><f>I275</f><v /></c><c r="J276" s="314"><f>J275</f><v /></c><c r="K276" s="372"><f>K275</f><v /></c><c r="L276" s="372"><f>L275</f><v /></c><c r="M276" s="373" t="n"><v>157.1</v></c><c r="N276" s="373" t="n"><v>257.47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417"><f>W275</f><v /></c><c r="X276" s="417"><f>X275</f><v /></c><c r="Y276" s="373" t="n"><v>268.75</v></c><c r="Z276" s="373" t="n"><v>278.75</v></c><c r="AA276" s="379"><f>AA275</f><v /></c><c r="AB276" s="380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417"><f>AI275</f><v /></c><c r="AJ276" s="417"><f>AJ275</f><v /></c><c r="AK276" s="373"><f>Z276</f><v /></c><c r="AL276" s="373" t="n"><v>283.7</v></c><c r="AM276" s="381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2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PA25517639</t></is></c><c r="H277" s="313"><f>H276</f><v /></c><c r="I277" s="38"><f>I276</f><v /></c><c r="J277" s="314"><f>J276</f><v /></c><c r="K277" s="372"><f>K276</f><v /></c><c r="L277" s="372"><f>L276</f><v /></c><c r="M277" s="373" t="n"><v>155.96</v></c><c r="N277" s="373" t="n"><v>255.47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417"><f>W276</f><v /></c><c r="X277" s="417"><f>X276</f><v /></c><c r="Y277" s="373" t="n"><v>266.7</v></c><c r="Z277" s="373" t="n"><v>276.7</v></c><c r="AA277" s="379"><f>AA276</f><v /></c><c r="AB277" s="380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417"><f>AI276</f><v /></c><c r="AJ277" s="417"><f>AJ276</f><v /></c><c r="AK277" s="373"><f>Z277</f><v /></c><c r="AL277" s="373" t="n"><v>281.7</v></c><c r="AM277" s="381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2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PA25517640</t></is></c><c r="H278" s="313"><f>H277</f><v /></c><c r="I278" s="38"><f>I277</f><v /></c><c r="J278" s="314"><f>J277</f><v /></c><c r="K278" s="372"><f>K277</f><v /></c><c r="L278" s="372"><f>L277</f><v /></c><c r="M278" s="373" t="n"><v>159.15</v></c><c r="N278" s="373" t="n"><v>259.39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417"><f>W277</f><v /></c><c r="X278" s="417"><f>X277</f><v /></c><c r="Y278" s="373" t="n"><v>270.8</v></c><c r="Z278" s="373" t="n"><v>280.82</v></c><c r="AA278" s="379"><f>AA277</f><v /></c><c r="AB278" s="380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417"><f>AI277</f><v /></c><c r="AJ278" s="417"><f>AJ277</f><v /></c><c r="AK278" s="373"><f>Z278</f><v /></c><c r="AL278" s="373" t="n"><v>285.86</v></c><c r="AM278" s="381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2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PA25517641</t></is></c><c r="H279" s="313"><f>H278</f><v /></c><c r="I279" s="38"><f>I278</f><v /></c><c r="J279" s="314"><f>J278</f><v /></c><c r="K279" s="372"><f>K278</f><v /></c><c r="L279" s="372"><f>L278</f><v /></c><c r="M279" s="373" t="n"><v>156.89</v></c><c r="N279" s="373" t="n"><v>256.8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417"><f>W278</f><v /></c><c r="X279" s="417"><f>X278</f><v /></c><c r="Y279" s="373" t="n"><v>268.05</v></c><c r="Z279" s="373" t="n"><v>278.03</v></c><c r="AA279" s="379"><f>AA278</f><v /></c><c r="AB279" s="380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417"><f>AI278</f><v /></c><c r="AJ279" s="417"><f>AJ278</f><v /></c><c r="AK279" s="373"><f>Z279</f><v /></c><c r="AL279" s="373" t="n"><v>283.05</v></c><c r="AM279" s="381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2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PA25517642</t></is></c><c r="H280" s="313"><f>H279</f><v /></c><c r="I280" s="38"><f>I279</f><v /></c><c r="J280" s="314"><f>J279</f><v /></c><c r="K280" s="372"><f>K279</f><v /></c><c r="L280" s="372"><f>L279</f><v /></c><c r="M280" s="373" t="n"><v>158.4</v></c><c r="N280" s="373" t="n"><v>258.2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417"><f>W279</f><v /></c><c r="X280" s="417"><f>X279</f><v /></c><c r="Y280" s="373" t="n"><v>269.45</v></c><c r="Z280" s="373" t="n"><v>279.4</v></c><c r="AA280" s="379"><f>AA279</f><v /></c><c r="AB280" s="380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417"><f>AI279</f><v /></c><c r="AJ280" s="417"><f>AJ279</f><v /></c><c r="AK280" s="373"><f>Z280</f><v /></c><c r="AL280" s="373" t="n"><v>284.43</v></c><c r="AM280" s="381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2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PA25517643</t></is></c><c r="H281" s="313"><f>H280</f><v /></c><c r="I281" s="38"><f>I280</f><v /></c><c r="J281" s="314"><f>J280</f><v /></c><c r="K281" s="372"><f>K280</f><v /></c><c r="L281" s="372"><f>L280</f><v /></c><c r="M281" s="373" t="n"><v>158.1</v></c><c r="N281" s="373" t="n"><v>257.57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417"><f>W280</f><v /></c><c r="X281" s="417"><f>X280</f><v /></c><c r="Y281" s="373" t="n"><v>268.76</v></c><c r="Z281" s="373" t="n"><v>278.68</v></c><c r="AA281" s="379"><f>AA280</f><v /></c><c r="AB281" s="380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417"><f>AI280</f><v /></c><c r="AJ281" s="417"><f>AJ280</f><v /></c><c r="AK281" s="373"><f>Z281</f><v /></c><c r="AL281" s="373" t="n"><v>283.65</v></c><c r="AM281" s="381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2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PA25517644</t></is></c><c r="H282" s="313"><f>H281</f><v /></c><c r="I282" s="38"><f>I281</f><v /></c><c r="J282" s="314"><f>J281</f><v /></c><c r="K282" s="372"><f>K281</f><v /></c><c r="L282" s="372"><f>L281</f><v /></c><c r="M282" s="373" t="n"><v>158.7</v></c><c r="N282" s="373" t="n"><v>258.73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417"><f>W281</f><v /></c><c r="X282" s="417"><f>X281</f><v /></c><c r="Y282" s="373" t="n"><v>269.99</v></c><c r="Z282" s="373" t="n"><v>280.05</v></c><c r="AA282" s="379"><f>AA281</f><v /></c><c r="AB282" s="380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417"><f>AI281</f><v /></c><c r="AJ282" s="417"><f>AJ281</f><v /></c><c r="AK282" s="373"><f>Z282</f><v /></c><c r="AL282" s="373" t="n"><v>285.15</v></c><c r="AM282" s="381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2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5" customHeight="1" thickBot="1"><c r="A283" s="368" t="n"><v>275</v></c><c r="B283" s="369"><f>B282</f><v /></c><c r="C283" s="369"><f>C282</f><v /></c><c r="D283" s="370"><f>D282</f><v /></c><c r="E283" s="371"><f>E282</f><v /></c><c r="F283" s="13" t="n" /><c r="G283" s="337" t="inlineStr"><is><t>PA25517645</t></is></c><c r="H283" s="326"><f>H282</f><v /></c><c r="I283" s="98"><f>I282</f><v /></c><c r="J283" s="327"><f>J282</f><v /></c><c r="K283" s="387"><f>K282</f><v /></c><c r="L283" s="387"><f>L282</f><v /></c><c r="M283" s="388" t="n"><v>157.45</v></c><c r="N283" s="388" t="n"><v>257.5</v></c><c r="O283" s="389"><f>O282</f><v /></c><c r="P283" s="390"><f>P282</f><v /></c><c r="Q283" s="391"><f>LEFT(P283,1)</f><v /></c><c r="R283" s="391"><f>RIGHT(P283,6)</f><v /></c><c r="S283" s="391"><f>+(Q283*60+R283)/(60*60)</f><v /></c><c r="T283" s="392"><f>+O283/S283</f><v /></c><c r="U283" s="393"><f>+(((N283-M283-O283)/O283)*100)</f><v /></c><c r="V283" s="329"><f>V282</f><v /></c><c r="W283" s="443"><f>W282</f><v /></c><c r="X283" s="443"><f>X282</f><v /></c><c r="Y283" s="388" t="n"><v>268.74</v></c><c r="Z283" s="388" t="n"><v>278.8</v></c><c r="AA283" s="394"><f>AA282</f><v /></c><c r="AB283" s="395"><f>AB282</f><v /></c><c r="AC283" s="391"><f>LEFT(AB283,2)</f><v /></c><c r="AD283" s="391"><f>RIGHT(AB283,6)</f><v /></c><c r="AE283" s="391"><f>+(AC283*60+AD283)/(60*60)</f><v /></c><c r="AF283" s="392"><f>+AA283/AE283</f><v /></c><c r="AG283" s="396"><f>+(((Z283-Y283-AA283)/AA283)*100)</f><v /></c><c r="AH283" s="329"><f>AH282</f><v /></c><c r="AI283" s="443"><f>AI282</f><v /></c><c r="AJ283" s="443"><f>AJ282</f><v /></c><c r="AK283" s="388"><f>Z283</f><v /></c><c r="AL283" s="388" t="n"><v>283.9</v></c><c r="AM283" s="397"><f>AM282</f><v /></c><c r="AN283" s="390"><f>AN282</f><v /></c><c r="AO283" s="391"><f>LEFT(AN283,2)</f><v /></c><c r="AP283" s="391"><f>RIGHT(AN283,6)</f><v /></c><c r="AQ283" s="391"><f>+(AO283*60+AP283)/(60*60)</f><v /></c><c r="AR283" s="392"><f>+AM283/AQ283</f><v /></c><c r="AS283" s="396"><f>+(((AL283-AK283-AM283)/AM283)*100)</f><v /></c><c r="AT283" s="398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PA25517646</t></is></c><c r="H284" s="301"><f>H283</f><v /></c><c r="I284" s="232"><f>I283</f><v /></c><c r="J284" s="302" t="n"><v>21.2</v></c><c r="K284" s="303" t="n"><v>8.085000000000001</v></c><c r="L284" s="303" t="n"><v>0.585</v></c><c r="M284" s="355" t="n"><v>170.05</v></c><c r="N284" s="355" t="n"><v>270.3</v></c><c r="O284" s="356" t="n"><v>100.44</v></c><c r="P284" s="357" t="inlineStr"><is><t>2,27,960</t></is></c><c r="Q284" s="358"><f>LEFT(P284,1)</f><v /></c><c r="R284" s="358"><f>RIGHT(P284,6)</f><v /></c><c r="S284" s="358"><f>+(Q284*60+R284)/(60*60)</f><v /></c><c r="T284" s="359"><f>+O284/S284</f><v /></c><c r="U284" s="360"><f>+(((N284-M284-O284)/O284)*100)</f><v /></c><c r="V284" s="306" t="n"><v>21.4</v></c><c r="W284" s="307" t="n"><v>1.506</v></c><c r="X284" s="307" t="n"><v>1.506</v></c><c r="Y284" s="355" t="n"><v>284</v></c><c r="Z284" s="355" t="n"><v>293.96</v></c><c r="AA284" s="308" t="n"><v>10.079</v></c><c r="AB284" s="357" t="inlineStr"><is><t>23,12,360</t></is></c><c r="AC284" s="358"><f>LEFT(AB284,2)</f><v /></c><c r="AD284" s="358"><f>RIGHT(AB284,6)</f><v /></c><c r="AE284" s="358"><f>+(AC284*60+AD284)/(60*60)</f><v /></c><c r="AF284" s="359"><f>+AA284/AE284</f><v /></c><c r="AG284" s="361"><f>+(((Z284-Y284-AA284)/AA284)*100)</f><v /></c><c r="AH284" s="306" t="n"><v>21.3</v></c><c r="AI284" s="307" t="n"><v>1.507</v></c><c r="AJ284" s="307" t="n"><v>1.505</v></c><c r="AK284" s="355"><f>Z284</f><v /></c><c r="AL284" s="355" t="n"><v>299</v></c><c r="AM284" s="362" t="n"><v>5.02</v></c><c r="AN284" s="357" t="inlineStr"><is><t>18,13,280</t></is></c><c r="AO284" s="358"><f>LEFT(AN284,2)</f><v /></c><c r="AP284" s="358"><f>RIGHT(AN284,6)</f><v /></c><c r="AQ284" s="358"><f>+(AO284*60+AP284)/(60*60)</f><v /></c><c r="AR284" s="359"><f>+AM284/AQ284</f><v /></c><c r="AS284" s="361"><f>+(((AL284-AK284-AM284)/AM284)*100)</f><v /></c><c r="AT284" s="36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PA25517647</t></is></c><c r="H285" s="313"><f>H284</f><v /></c><c r="I285" s="38"><f>I284</f><v /></c><c r="J285" s="314"><f>J284</f><v /></c><c r="K285" s="372"><f>K284</f><v /></c><c r="L285" s="372"><f>L284</f><v /></c><c r="M285" s="373" t="n"><v>168.34</v></c><c r="N285" s="373" t="n"><v>268.05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417"><f>W284</f><v /></c><c r="X285" s="417"><f>X284</f><v /></c><c r="Y285" s="373" t="n"><v>281.75</v></c><c r="Z285" s="373" t="n"><v>291.69</v></c><c r="AA285" s="379"><f>AA284</f><v /></c><c r="AB285" s="380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417"><f>AI284</f><v /></c><c r="AJ285" s="417"><f>AJ284</f><v /></c><c r="AK285" s="373"><f>Z285</f><v /></c><c r="AL285" s="373" t="n"><v>296.7</v></c><c r="AM285" s="381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2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PA25517648</t></is></c><c r="H286" s="313"><f>H285</f><v /></c><c r="I286" s="38"><f>I285</f><v /></c><c r="J286" s="314"><f>J285</f><v /></c><c r="K286" s="372"><f>K285</f><v /></c><c r="L286" s="372"><f>L285</f><v /></c><c r="M286" s="373" t="n"><v>167.9</v></c><c r="N286" s="373" t="n"><v>267.78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417"><f>W285</f><v /></c><c r="X286" s="417"><f>X285</f><v /></c><c r="Y286" s="373" t="n"><v>281.47</v></c><c r="Z286" s="373" t="n"><v>291.45</v></c><c r="AA286" s="379"><f>AA285</f><v /></c><c r="AB286" s="380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417"><f>AI285</f><v /></c><c r="AJ286" s="417"><f>AJ285</f><v /></c><c r="AK286" s="373"><f>Z286</f><v /></c><c r="AL286" s="373" t="n"><v>296.46</v></c><c r="AM286" s="381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2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PA25517649</t></is></c><c r="H287" s="313"><f>H286</f><v /></c><c r="I287" s="38"><f>I286</f><v /></c><c r="J287" s="314"><f>J286</f><v /></c><c r="K287" s="372"><f>K286</f><v /></c><c r="L287" s="372"><f>L286</f><v /></c><c r="M287" s="373" t="n"><v>168.3</v></c><c r="N287" s="373" t="n"><v>267.78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417"><f>W286</f><v /></c><c r="X287" s="417"><f>X286</f><v /></c><c r="Y287" s="373" t="n"><v>281.45</v></c><c r="Z287" s="373" t="n"><v>291.4</v></c><c r="AA287" s="379"><f>AA286</f><v /></c><c r="AB287" s="380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417"><f>AI286</f><v /></c><c r="AJ287" s="417"><f>AJ286</f><v /></c><c r="AK287" s="373"><f>Z287</f><v /></c><c r="AL287" s="373" t="n"><v>296.39</v></c><c r="AM287" s="381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2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4.4" customHeight="1" thickBot="1"><c r="A288" s="368" t="n"><v>280</v></c><c r="B288" s="369"><f>B287</f><v /></c><c r="C288" s="369"><f>C287</f><v /></c><c r="D288" s="370"><f>D287</f><v /></c><c r="E288" s="371"><f>E287</f><v /></c><c r="F288" s="13" t="n" /><c r="G288" s="300" t="inlineStr"><is><t>PA25517650</t></is></c><c r="H288" s="313"><f>H287</f><v /></c><c r="I288" s="38"><f>I287</f><v /></c><c r="J288" s="314"><f>J287</f><v /></c><c r="K288" s="372"><f>K287</f><v /></c><c r="L288" s="372"><f>L287</f><v /></c><c r="M288" s="373" t="n"><v>168.05</v></c><c r="N288" s="373" t="n"><v>267.47</v></c><c r="O288" s="374"><f>O287</f><v /></c><c r="P288" s="375"><f>P287</f><v /></c><c r="Q288" s="376"><f>LEFT(P288,1)</f><v /></c><c r="R288" s="376"><f>RIGHT(P288,6)</f><v /></c><c r="S288" s="376"><f>+(Q288*60+R288)/(60*60)</f><v /></c><c r="T288" s="377"><f>+O288/S288</f><v /></c><c r="U288" s="378"><f>+(((N288-M288-O288)/O288)*100)</f><v /></c><c r="V288" s="317"><f>V287</f><v /></c><c r="W288" s="417"><f>W287</f><v /></c><c r="X288" s="417"><f>X287</f><v /></c><c r="Y288" s="373" t="n"><v>281.2</v></c><c r="Z288" s="373" t="n"><v>291.15</v></c><c r="AA288" s="379"><f>AA287</f><v /></c><c r="AB288" s="380"><f>AB287</f><v /></c><c r="AC288" s="376"><f>LEFT(AB288,2)</f><v /></c><c r="AD288" s="376"><f>RIGHT(AB288,6)</f><v /></c><c r="AE288" s="376"><f>+(AC288*60+AD288)/(60*60)</f><v /></c><c r="AF288" s="377"><f>+AA288/AE288</f><v /></c><c r="AG288" s="321"><f>+(((Z288-Y288-AA288)/AA288)*100)</f><v /></c><c r="AH288" s="317"><f>AH287</f><v /></c><c r="AI288" s="417"><f>AI287</f><v /></c><c r="AJ288" s="417"><f>AJ287</f><v /></c><c r="AK288" s="373"><f>Z288</f><v /></c><c r="AL288" s="373" t="n"><v>296.15</v></c><c r="AM288" s="381"><f>AM287</f><v /></c><c r="AN288" s="375"><f>AN287</f><v /></c><c r="AO288" s="376"><f>LEFT(AN288,2)</f><v /></c><c r="AP288" s="376"><f>RIGHT(AN288,6)</f><v /></c><c r="AQ288" s="376"><f>+(AO288*60+AP288)/(60*60)</f><v /></c><c r="AR288" s="377"><f>+AM288/AQ288</f><v /></c><c r="AS288" s="321"><f>+(((AL288-AK288-AM288)/AM288)*100)</f><v /></c><c r="AT288" s="382"><f>IF(I288&gt;=1,"NO CONFORME",IF(BK288="SIGDIFERENTES",BC288,BL288))</f><v /></c><c r="AU288" s="364"><f>B288=C288</f><v /></c><c r="AV288" s="364"><f>N288&lt;Y288</f><v /></c><c r="AW288" s="364"><f>Z288&lt;=AK288</f><v /></c><c r="AX288" s="364"><f>IF(I288&gt;=1,"Qcorrecto",IF(AND(AY288="aceptable",AZ288="aceptable",BA288="aceptable"),"Qcorrecto","Qincorrecto"))</f><v /></c><c r="AY288" s="365"><f>IF(AR288&lt;$AH$6,"error",IF(AR288&gt;$AH$6*1.1,"error","aceptable"))</f><v /></c><c r="AZ288" s="365"><f>IF(AF288&lt;$V$6,"error",IF(AF288&gt;$V$6*1.1,"error","aceptable"))</f><v /></c><c r="BA288" s="365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66"><f>SIGN(U288)</f><v /></c><c r="BE288" s="366"><f>SIGN(AG288)</f><v /></c><c r="BF288" s="366"><f>SIGN(AS288)</f><v /></c><c r="BG288" s="366"><f>CONCATENATE(BD288,BE288,BF288)</f><v /></c><c r="BH288" s="366"><f>IF(BG288="111","SI","SD")</f><v /></c><c r="BI288" s="366"><f>IF(BG288="-1-1-1","SI","SD")</f><v /></c><c r="BJ288" s="366"><f>OR(BH288="SI",BI288="SI")</f><v /></c><c r="BK288" s="366"><f>IF(BJ288=FALSE,"SIGDIFERENTES","SIGIGUALES")</f><v /></c><c r="BL288" s="365"><f>IF(BC288="NO CONFORME","NO CONFORME",IF(BB288="CONFORME","CONFORME","NO CONFORME"))</f><v /></c></row><row r="289" ht="14.4" customHeight="1" thickBot="1"><c r="A289" s="368" t="n"><v>281</v></c><c r="B289" s="369"><f>B288</f><v /></c><c r="C289" s="369"><f>C288</f><v /></c><c r="D289" s="370"><f>D288</f><v /></c><c r="E289" s="371"><f>E288</f><v /></c><c r="F289" s="13" t="n" /><c r="G289" s="300" t="inlineStr"><is><t>PA25517651</t></is></c><c r="H289" s="313"><f>H288</f><v /></c><c r="I289" s="38"><f>I288</f><v /></c><c r="J289" s="314"><f>J288</f><v /></c><c r="K289" s="372"><f>K288</f><v /></c><c r="L289" s="372"><f>L288</f><v /></c><c r="M289" s="373" t="n"><v>168.58</v></c><c r="N289" s="373" t="n"><v>268.15</v></c><c r="O289" s="374"><f>O288</f><v /></c><c r="P289" s="375"><f>P288</f><v /></c><c r="Q289" s="376"><f>LEFT(P289,1)</f><v /></c><c r="R289" s="376"><f>RIGHT(P289,6)</f><v /></c><c r="S289" s="376"><f>+(Q289*60+R289)/(60*60)</f><v /></c><c r="T289" s="377"><f>+O289/S289</f><v /></c><c r="U289" s="378"><f>+(((N289-M289-O289)/O289)*100)</f><v /></c><c r="V289" s="317"><f>V288</f><v /></c><c r="W289" s="417"><f>W288</f><v /></c><c r="X289" s="417"><f>X288</f><v /></c><c r="Y289" s="373" t="n"><v>281.84</v></c><c r="Z289" s="373" t="n"><v>291.71</v></c><c r="AA289" s="379"><f>AA288</f><v /></c><c r="AB289" s="380"><f>AB288</f><v /></c><c r="AC289" s="376"><f>LEFT(AB289,2)</f><v /></c><c r="AD289" s="376"><f>RIGHT(AB289,6)</f><v /></c><c r="AE289" s="376"><f>+(AC289*60+AD289)/(60*60)</f><v /></c><c r="AF289" s="377"><f>+AA289/AE289</f><v /></c><c r="AG289" s="321"><f>+(((Z289-Y289-AA289)/AA289)*100)</f><v /></c><c r="AH289" s="317"><f>AH288</f><v /></c><c r="AI289" s="417"><f>AI288</f><v /></c><c r="AJ289" s="417"><f>AJ288</f><v /></c><c r="AK289" s="373"><f>Z289</f><v /></c><c r="AL289" s="373" t="n"><v>296.7</v></c><c r="AM289" s="381"><f>AM288</f><v /></c><c r="AN289" s="375"><f>AN288</f><v /></c><c r="AO289" s="376"><f>LEFT(AN289,2)</f><v /></c><c r="AP289" s="376"><f>RIGHT(AN289,6)</f><v /></c><c r="AQ289" s="376"><f>+(AO289*60+AP289)/(60*60)</f><v /></c><c r="AR289" s="377"><f>+AM289/AQ289</f><v /></c><c r="AS289" s="321"><f>+(((AL289-AK289-AM289)/AM289)*100)</f><v /></c><c r="AT289" s="382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5"><f>IF(AR289&lt;$AH$6,"error",IF(AR289&gt;$AH$6*1.1,"error","aceptable"))</f><v /></c><c r="AZ289" s="365"><f>IF(AF289&lt;$V$6,"error",IF(AF289&gt;$V$6*1.1,"error","aceptable"))</f><v /></c><c r="BA289" s="365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5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PA25517652</t></is></c><c r="H290" s="313"><f>H289</f><v /></c><c r="I290" s="38"><f>I289</f><v /></c><c r="J290" s="314"><f>J289</f><v /></c><c r="K290" s="372"><f>K289</f><v /></c><c r="L290" s="372"><f>L289</f><v /></c><c r="M290" s="373" t="n"><v>168.65</v></c><c r="N290" s="373" t="n"><v>268.3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417"><f>W289</f><v /></c><c r="X290" s="417"><f>X289</f><v /></c><c r="Y290" s="373" t="n"><v>282</v></c><c r="Z290" s="373" t="n"><v>291.95</v></c><c r="AA290" s="379"><f>AA289</f><v /></c><c r="AB290" s="380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417"><f>AI289</f><v /></c><c r="AJ290" s="417"><f>AJ289</f><v /></c><c r="AK290" s="373"><f>Z290</f><v /></c><c r="AL290" s="373" t="n"><v>296.95</v></c><c r="AM290" s="381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2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PA25517653</t></is></c><c r="H291" s="313"><f>H290</f><v /></c><c r="I291" s="38"><f>I290</f><v /></c><c r="J291" s="314"><f>J290</f><v /></c><c r="K291" s="372"><f>K290</f><v /></c><c r="L291" s="372"><f>L290</f><v /></c><c r="M291" s="373" t="n"><v>169.54</v></c><c r="N291" s="373" t="n"><v>269.09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417"><f>W290</f><v /></c><c r="X291" s="417"><f>X290</f><v /></c><c r="Y291" s="373" t="n"><v>282.8</v></c><c r="Z291" s="373" t="n"><v>292.77</v></c><c r="AA291" s="379"><f>AA290</f><v /></c><c r="AB291" s="380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417"><f>AI290</f><v /></c><c r="AJ291" s="417"><f>AJ290</f><v /></c><c r="AK291" s="373"><f>Z291</f><v /></c><c r="AL291" s="373" t="n"><v>297.83</v></c><c r="AM291" s="381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2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PA25517654</t></is></c><c r="H292" s="313"><f>H291</f><v /></c><c r="I292" s="38"><f>I291</f><v /></c><c r="J292" s="314"><f>J291</f><v /></c><c r="K292" s="372"><f>K291</f><v /></c><c r="L292" s="372"><f>L291</f><v /></c><c r="M292" s="373" t="n"><v>168.99</v></c><c r="N292" s="373" t="n"><v>268.8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417"><f>W291</f><v /></c><c r="X292" s="417"><f>X291</f><v /></c><c r="Y292" s="373" t="n"><v>282.53</v></c><c r="Z292" s="373" t="n"><v>292.5</v></c><c r="AA292" s="379"><f>AA291</f><v /></c><c r="AB292" s="380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417"><f>AI291</f><v /></c><c r="AJ292" s="417"><f>AJ291</f><v /></c><c r="AK292" s="373"><f>Z292</f><v /></c><c r="AL292" s="373" t="n"><v>297.53</v></c><c r="AM292" s="381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2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PA25517655</t></is></c><c r="H293" s="313"><f>H292</f><v /></c><c r="I293" s="38"><f>I292</f><v /></c><c r="J293" s="314"><f>J292</f><v /></c><c r="K293" s="372"><f>K292</f><v /></c><c r="L293" s="372"><f>L292</f><v /></c><c r="M293" s="373" t="n"><v>167.8</v></c><c r="N293" s="373" t="n"><v>267.5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417"><f>W292</f><v /></c><c r="X293" s="417"><f>X292</f><v /></c><c r="Y293" s="373" t="n"><v>281.2</v></c><c r="Z293" s="373" t="n"><v>291.09</v></c><c r="AA293" s="379"><f>AA292</f><v /></c><c r="AB293" s="380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417"><f>AI292</f><v /></c><c r="AJ293" s="417"><f>AJ292</f><v /></c><c r="AK293" s="373"><f>Z293</f><v /></c><c r="AL293" s="373" t="n"><v>296.1</v></c><c r="AM293" s="381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2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PA25517656</t></is></c><c r="H294" s="313"><f>H293</f><v /></c><c r="I294" s="38"><f>I293</f><v /></c><c r="J294" s="314"><f>J293</f><v /></c><c r="K294" s="372"><f>K293</f><v /></c><c r="L294" s="372"><f>L293</f><v /></c><c r="M294" s="373" t="n"><v>169.17</v></c><c r="N294" s="373" t="n"><v>269.15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417"><f>W293</f><v /></c><c r="X294" s="417"><f>X293</f><v /></c><c r="Y294" s="373" t="n"><v>282.89</v></c><c r="Z294" s="373" t="n"><v>292.85</v></c><c r="AA294" s="379"><f>AA293</f><v /></c><c r="AB294" s="380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417"><f>AI293</f><v /></c><c r="AJ294" s="417"><f>AJ293</f><v /></c><c r="AK294" s="373"><f>Z294</f><v /></c><c r="AL294" s="373" t="n"><v>297.91</v></c><c r="AM294" s="381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2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PA25517657</t></is></c><c r="H295" s="313"><f>H294</f><v /></c><c r="I295" s="38"><f>I294</f><v /></c><c r="J295" s="314"><f>J294</f><v /></c><c r="K295" s="372"><f>K294</f><v /></c><c r="L295" s="372"><f>L294</f><v /></c><c r="M295" s="373" t="n"><v>169.33</v></c><c r="N295" s="373" t="n"><v>270.04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417"><f>W294</f><v /></c><c r="X295" s="417"><f>X294</f><v /></c><c r="Y295" s="373" t="n"><v>283.76</v></c><c r="Z295" s="373" t="n"><v>293.75</v></c><c r="AA295" s="379"><f>AA294</f><v /></c><c r="AB295" s="380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417"><f>AI294</f><v /></c><c r="AJ295" s="417"><f>AJ294</f><v /></c><c r="AK295" s="373"><f>Z295</f><v /></c><c r="AL295" s="373" t="n"><v>298.76</v></c><c r="AM295" s="381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2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PA25517658</t></is></c><c r="H296" s="313"><f>H295</f><v /></c><c r="I296" s="38"><f>I295</f><v /></c><c r="J296" s="314"><f>J295</f><v /></c><c r="K296" s="372"><f>K295</f><v /></c><c r="L296" s="372"><f>L295</f><v /></c><c r="M296" s="373" t="n"><v>169.85</v></c><c r="N296" s="373" t="n"><v>270.16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417"><f>W295</f><v /></c><c r="X296" s="417"><f>X295</f><v /></c><c r="Y296" s="373" t="n"><v>283.9</v></c><c r="Z296" s="373" t="n"><v>293.78</v></c><c r="AA296" s="379"><f>AA295</f><v /></c><c r="AB296" s="380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417"><f>AI295</f><v /></c><c r="AJ296" s="417"><f>AJ295</f><v /></c><c r="AK296" s="373"><f>Z296</f><v /></c><c r="AL296" s="373" t="n"><v>298.74</v></c><c r="AM296" s="381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2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PA25517659</t></is></c><c r="H297" s="313"><f>H296</f><v /></c><c r="I297" s="38"><f>I296</f><v /></c><c r="J297" s="314"><f>J296</f><v /></c><c r="K297" s="372"><f>K296</f><v /></c><c r="L297" s="372"><f>L296</f><v /></c><c r="M297" s="373" t="n"><v>169.76</v></c><c r="N297" s="373" t="n"><v>269.98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417"><f>W296</f><v /></c><c r="X297" s="417"><f>X296</f><v /></c><c r="Y297" s="373" t="n"><v>283.65</v></c><c r="Z297" s="373" t="n"><v>293.66</v></c><c r="AA297" s="379"><f>AA296</f><v /></c><c r="AB297" s="380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417"><f>AI296</f><v /></c><c r="AJ297" s="417"><f>AJ296</f><v /></c><c r="AK297" s="373"><f>Z297</f><v /></c><c r="AL297" s="373" t="n"><v>298.7</v></c><c r="AM297" s="381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2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5" customHeight="1" thickBot="1"><c r="A298" s="368" t="n"><v>290</v></c><c r="B298" s="369"><f>B297</f><v /></c><c r="C298" s="369"><f>C297</f><v /></c><c r="D298" s="370"><f>D297</f><v /></c><c r="E298" s="371"><f>E297</f><v /></c><c r="F298" s="13" t="n" /><c r="G298" s="337" t="inlineStr"><is><t>PA25517660</t></is></c><c r="H298" s="326"><f>H297</f><v /></c><c r="I298" s="98"><f>I297</f><v /></c><c r="J298" s="327"><f>J297</f><v /></c><c r="K298" s="387"><f>K297</f><v /></c><c r="L298" s="387"><f>L297</f><v /></c><c r="M298" s="388" t="n"><v>171.05</v></c><c r="N298" s="388" t="n"><v>271.41</v></c><c r="O298" s="389"><f>O297</f><v /></c><c r="P298" s="390"><f>P297</f><v /></c><c r="Q298" s="391"><f>LEFT(P298,1)</f><v /></c><c r="R298" s="391"><f>RIGHT(P298,6)</f><v /></c><c r="S298" s="391"><f>+(Q298*60+R298)/(60*60)</f><v /></c><c r="T298" s="392"><f>+O298/S298</f><v /></c><c r="U298" s="393"><f>+(((N298-M298-O298)/O298)*100)</f><v /></c><c r="V298" s="329"><f>V297</f><v /></c><c r="W298" s="443"><f>W297</f><v /></c><c r="X298" s="443"><f>X297</f><v /></c><c r="Y298" s="388" t="n"><v>285.15</v></c><c r="Z298" s="388" t="n"><v>295.18</v></c><c r="AA298" s="394"><f>AA297</f><v /></c><c r="AB298" s="395"><f>AB297</f><v /></c><c r="AC298" s="391"><f>LEFT(AB298,2)</f><v /></c><c r="AD298" s="391"><f>RIGHT(AB298,6)</f><v /></c><c r="AE298" s="391"><f>+(AC298*60+AD298)/(60*60)</f><v /></c><c r="AF298" s="392"><f>+AA298/AE298</f><v /></c><c r="AG298" s="396"><f>+(((Z298-Y298-AA298)/AA298)*100)</f><v /></c><c r="AH298" s="329"><f>AH297</f><v /></c><c r="AI298" s="443"><f>AI297</f><v /></c><c r="AJ298" s="443"><f>AJ297</f><v /></c><c r="AK298" s="388"><f>Z298</f><v /></c><c r="AL298" s="388" t="n"><v>300.2</v></c><c r="AM298" s="397"><f>AM297</f><v /></c><c r="AN298" s="390"><f>AN297</f><v /></c><c r="AO298" s="391"><f>LEFT(AN298,2)</f><v /></c><c r="AP298" s="391"><f>RIGHT(AN298,6)</f><v /></c><c r="AQ298" s="391"><f>+(AO298*60+AP298)/(60*60)</f><v /></c><c r="AR298" s="392"><f>+AM298/AQ298</f><v /></c><c r="AS298" s="396"><f>+(((AL298-AK298-AM298)/AM298)*100)</f><v /></c><c r="AT298" s="398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PA25517661</t></is></c><c r="H299" s="301"><f>H298</f><v /></c><c r="I299" s="232"><f>I298</f><v /></c><c r="J299" s="302" t="n"><v>21.2</v></c><c r="K299" s="303" t="n"><v>8.077</v></c><c r="L299" s="303" t="n"><v>0.5620000000000001</v></c><c r="M299" s="355" t="n"><v>147.97</v></c><c r="N299" s="355" t="n"><v>248.35</v></c><c r="O299" s="356" t="n"><v>100.77</v></c><c r="P299" s="357" t="inlineStr"><is><t>2,28,180</t></is></c><c r="Q299" s="358"><f>LEFT(P299,1)</f><v /></c><c r="R299" s="358"><f>RIGHT(P299,6)</f><v /></c><c r="S299" s="358"><f>+(Q299*60+R299)/(60*60)</f><v /></c><c r="T299" s="359"><f>+O299/S299</f><v /></c><c r="U299" s="360"><f>+(((N299-M299-O299)/O299)*100)</f><v /></c><c r="V299" s="306" t="n"><v>21.7</v></c><c r="W299" s="307" t="n"><v>1.509</v></c><c r="X299" s="307" t="n"><v>1.507</v></c><c r="Y299" s="355" t="n"><v>257.99</v></c><c r="Z299" s="355" t="n"><v>267.93</v></c><c r="AA299" s="308" t="n"><v>10.019</v></c><c r="AB299" s="357" t="inlineStr"><is><t>22,40,500</t></is></c><c r="AC299" s="358"><f>LEFT(AB299,2)</f><v /></c><c r="AD299" s="358"><f>RIGHT(AB299,6)</f><v /></c><c r="AE299" s="358"><f>+(AC299*60+AD299)/(60*60)</f><v /></c><c r="AF299" s="359"><f>+AA299/AE299</f><v /></c><c r="AG299" s="361"><f>+(((Z299-Y299-AA299)/AA299)*100)</f><v /></c><c r="AH299" s="306" t="n"><v>21.3</v></c><c r="AI299" s="307" t="n"><v>1.507</v></c><c r="AJ299" s="307" t="n"><v>1.505</v></c><c r="AK299" s="355"><f>Z299</f><v /></c><c r="AL299" s="355" t="n"><v>272.91</v></c><c r="AM299" s="362" t="n"><v>5.015</v></c><c r="AN299" s="357" t="inlineStr"><is><t>18,21,840</t></is></c><c r="AO299" s="358"><f>LEFT(AN299,2)</f><v /></c><c r="AP299" s="358"><f>RIGHT(AN299,6)</f><v /></c><c r="AQ299" s="358"><f>+(AO299*60+AP299)/(60*60)</f><v /></c><c r="AR299" s="359"><f>+AM299/AQ299</f><v /></c><c r="AS299" s="361"><f>+(((AL299-AK299-AM299)/AM299)*100)</f><v /></c><c r="AT299" s="36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PA25517662</t></is></c><c r="H300" s="313"><f>H299</f><v /></c><c r="I300" s="38"><f>I299</f><v /></c><c r="J300" s="314"><f>J299</f><v /></c><c r="K300" s="372"><f>K299</f><v /></c><c r="L300" s="372"><f>L299</f><v /></c><c r="M300" s="373" t="n"><v>145.49</v></c><c r="N300" s="373" t="n"><v>245.25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417"><f>W299</f><v /></c><c r="X300" s="417"><f>X299</f><v /></c><c r="Y300" s="373" t="n"><v>254.8</v></c><c r="Z300" s="373" t="n"><v>264.67</v></c><c r="AA300" s="379"><f>AA299</f><v /></c><c r="AB300" s="380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417"><f>AI299</f><v /></c><c r="AJ300" s="417"><f>AJ299</f><v /></c><c r="AK300" s="373"><f>Z300</f><v /></c><c r="AL300" s="373" t="n"><v>269.6</v></c><c r="AM300" s="381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2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PA25517663</t></is></c><c r="H301" s="313"><f>H300</f><v /></c><c r="I301" s="38"><f>I300</f><v /></c><c r="J301" s="314"><f>J300</f><v /></c><c r="K301" s="372"><f>K300</f><v /></c><c r="L301" s="372"><f>L300</f><v /></c><c r="M301" s="373" t="n"><v>148.3</v></c><c r="N301" s="373" t="n"><v>248.81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417"><f>W300</f><v /></c><c r="X301" s="417"><f>X300</f><v /></c><c r="Y301" s="373" t="n"><v>258.45</v></c><c r="Z301" s="373" t="n"><v>268.35</v></c><c r="AA301" s="379"><f>AA300</f><v /></c><c r="AB301" s="380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417"><f>AI300</f><v /></c><c r="AJ301" s="417"><f>AJ300</f><v /></c><c r="AK301" s="373"><f>Z301</f><v /></c><c r="AL301" s="373" t="n"><v>273.35</v></c><c r="AM301" s="381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2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PA25517664</t></is></c><c r="H302" s="313"><f>H301</f><v /></c><c r="I302" s="38"><f>I301</f><v /></c><c r="J302" s="314"><f>J301</f><v /></c><c r="K302" s="372"><f>K301</f><v /></c><c r="L302" s="372"><f>L301</f><v /></c><c r="M302" s="373" t="n"><v>149.43</v></c><c r="N302" s="373" t="n"><v>249.6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417"><f>W301</f><v /></c><c r="X302" s="417"><f>X301</f><v /></c><c r="Y302" s="373" t="n"><v>259.2</v></c><c r="Z302" s="373" t="n"><v>269.07</v></c><c r="AA302" s="379"><f>AA301</f><v /></c><c r="AB302" s="380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417"><f>AI301</f><v /></c><c r="AJ302" s="417"><f>AJ301</f><v /></c><c r="AK302" s="373"><f>Z302</f><v /></c><c r="AL302" s="373" t="n"><v>274.05</v></c><c r="AM302" s="381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2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PA25517665</t></is></c><c r="H303" s="313"><f>H302</f><v /></c><c r="I303" s="38"><f>I302</f><v /></c><c r="J303" s="314"><f>J302</f><v /></c><c r="K303" s="372"><f>K302</f><v /></c><c r="L303" s="372"><f>L302</f><v /></c><c r="M303" s="373" t="n"><v>146.39</v></c><c r="N303" s="373" t="n"><v>246.51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417"><f>W302</f><v /></c><c r="X303" s="417"><f>X302</f><v /></c><c r="Y303" s="373" t="n"><v>256.1</v></c><c r="Z303" s="373" t="n"><v>265.99</v></c><c r="AA303" s="379"><f>AA302</f><v /></c><c r="AB303" s="380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417"><f>AI302</f><v /></c><c r="AJ303" s="417"><f>AJ302</f><v /></c><c r="AK303" s="373"><f>Z303</f><v /></c><c r="AL303" s="373" t="n"><v>270.97</v></c><c r="AM303" s="381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2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4.4" customHeight="1" thickBot="1"><c r="A304" s="368" t="n"><v>296</v></c><c r="B304" s="369"><f>B303</f><v /></c><c r="C304" s="369"><f>C303</f><v /></c><c r="D304" s="370"><f>D303</f><v /></c><c r="E304" s="371"><f>E303</f><v /></c><c r="F304" s="13" t="n" /><c r="G304" s="300" t="inlineStr"><is><t>PA25517666</t></is></c><c r="H304" s="313"><f>H303</f><v /></c><c r="I304" s="38"><f>I303</f><v /></c><c r="J304" s="314"><f>J303</f><v /></c><c r="K304" s="372"><f>K303</f><v /></c><c r="L304" s="372"><f>L303</f><v /></c><c r="M304" s="373" t="n"><v>146.75</v></c><c r="N304" s="373" t="n"><v>247.15</v></c><c r="O304" s="374"><f>O303</f><v /></c><c r="P304" s="375"><f>P303</f><v /></c><c r="Q304" s="376"><f>LEFT(P304,1)</f><v /></c><c r="R304" s="376"><f>RIGHT(P304,6)</f><v /></c><c r="S304" s="376"><f>+(Q304*60+R304)/(60*60)</f><v /></c><c r="T304" s="377"><f>+O304/S304</f><v /></c><c r="U304" s="378"><f>+(((N304-M304-O304)/O304)*100)</f><v /></c><c r="V304" s="317"><f>V303</f><v /></c><c r="W304" s="417"><f>W303</f><v /></c><c r="X304" s="417"><f>X303</f><v /></c><c r="Y304" s="373" t="n"><v>256.75</v></c><c r="Z304" s="373" t="n"><v>266.68</v></c><c r="AA304" s="379"><f>AA303</f><v /></c><c r="AB304" s="380"><f>AB303</f><v /></c><c r="AC304" s="376"><f>LEFT(AB304,2)</f><v /></c><c r="AD304" s="376"><f>RIGHT(AB304,6)</f><v /></c><c r="AE304" s="376"><f>+(AC304*60+AD304)/(60*60)</f><v /></c><c r="AF304" s="377"><f>+AA304/AE304</f><v /></c><c r="AG304" s="321"><f>+(((Z304-Y304-AA304)/AA304)*100)</f><v /></c><c r="AH304" s="317"><f>AH303</f><v /></c><c r="AI304" s="417"><f>AI303</f><v /></c><c r="AJ304" s="417"><f>AJ303</f><v /></c><c r="AK304" s="373"><f>Z304</f><v /></c><c r="AL304" s="373" t="n"><v>271.69</v></c><c r="AM304" s="381"><f>AM303</f><v /></c><c r="AN304" s="375"><f>AN303</f><v /></c><c r="AO304" s="376"><f>LEFT(AN304,2)</f><v /></c><c r="AP304" s="376"><f>RIGHT(AN304,6)</f><v /></c><c r="AQ304" s="376"><f>+(AO304*60+AP304)/(60*60)</f><v /></c><c r="AR304" s="377"><f>+AM304/AQ304</f><v /></c><c r="AS304" s="321"><f>+(((AL304-AK304-AM304)/AM304)*100)</f><v /></c><c r="AT304" s="382"><f>IF(I304&gt;=1,"NO CONFORME",IF(BK304="SIGDIFERENTES",BC304,BL304))</f><v /></c><c r="AU304" s="364"><f>B304=C304</f><v /></c><c r="AV304" s="364"><f>N304&lt;Y304</f><v /></c><c r="AW304" s="364"><f>Z304&lt;=AK304</f><v /></c><c r="AX304" s="364"><f>IF(I304&gt;=1,"Qcorrecto",IF(AND(AY304="aceptable",AZ304="aceptable",BA304="aceptable"),"Qcorrecto","Qincorrecto"))</f><v /></c><c r="AY304" s="365"><f>IF(AR304&lt;$AH$6,"error",IF(AR304&gt;$AH$6*1.1,"error","aceptable"))</f><v /></c><c r="AZ304" s="365"><f>IF(AF304&lt;$V$6,"error",IF(AF304&gt;$V$6*1.1,"error","aceptable"))</f><v /></c><c r="BA304" s="365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66"><f>SIGN(U304)</f><v /></c><c r="BE304" s="366"><f>SIGN(AG304)</f><v /></c><c r="BF304" s="366"><f>SIGN(AS304)</f><v /></c><c r="BG304" s="366"><f>CONCATENATE(BD304,BE304,BF304)</f><v /></c><c r="BH304" s="366"><f>IF(BG304="111","SI","SD")</f><v /></c><c r="BI304" s="366"><f>IF(BG304="-1-1-1","SI","SD")</f><v /></c><c r="BJ304" s="366"><f>OR(BH304="SI",BI304="SI")</f><v /></c><c r="BK304" s="366"><f>IF(BJ304=FALSE,"SIGDIFERENTES","SIGIGUALES")</f><v /></c><c r="BL304" s="365"><f>IF(BC304="NO CONFORME","NO CONFORME",IF(BB304="CONFORME","CONFORME","NO CONFORME"))</f><v /></c></row><row r="305" ht="14.4" customHeight="1" thickBot="1"><c r="A305" s="368" t="n"><v>297</v></c><c r="B305" s="369"><f>B304</f><v /></c><c r="C305" s="369"><f>C304</f><v /></c><c r="D305" s="370"><f>D304</f><v /></c><c r="E305" s="371"><f>E304</f><v /></c><c r="F305" s="13" t="n" /><c r="G305" s="300" t="inlineStr"><is><t>PA25517667</t></is></c><c r="H305" s="313"><f>H304</f><v /></c><c r="I305" s="38"><f>I304</f><v /></c><c r="J305" s="314"><f>J304</f><v /></c><c r="K305" s="372"><f>K304</f><v /></c><c r="L305" s="372"><f>L304</f><v /></c><c r="M305" s="373" t="n"><v>150</v></c><c r="N305" s="373" t="n"><v>249.95</v></c><c r="O305" s="374"><f>O304</f><v /></c><c r="P305" s="375"><f>P304</f><v /></c><c r="Q305" s="376"><f>LEFT(P305,1)</f><v /></c><c r="R305" s="376"><f>RIGHT(P305,6)</f><v /></c><c r="S305" s="376"><f>+(Q305*60+R305)/(60*60)</f><v /></c><c r="T305" s="377"><f>+O305/S305</f><v /></c><c r="U305" s="378"><f>+(((N305-M305-O305)/O305)*100)</f><v /></c><c r="V305" s="317"><f>V304</f><v /></c><c r="W305" s="417"><f>W304</f><v /></c><c r="X305" s="417"><f>X304</f><v /></c><c r="Y305" s="373" t="n"><v>259.52</v></c><c r="Z305" s="373" t="n"><v>269.44</v></c><c r="AA305" s="379"><f>AA304</f><v /></c><c r="AB305" s="380"><f>AB304</f><v /></c><c r="AC305" s="376"><f>LEFT(AB305,2)</f><v /></c><c r="AD305" s="376"><f>RIGHT(AB305,6)</f><v /></c><c r="AE305" s="376"><f>+(AC305*60+AD305)/(60*60)</f><v /></c><c r="AF305" s="377"><f>+AA305/AE305</f><v /></c><c r="AG305" s="321"><f>+(((Z305-Y305-AA305)/AA305)*100)</f><v /></c><c r="AH305" s="317"><f>AH304</f><v /></c><c r="AI305" s="417"><f>AI304</f><v /></c><c r="AJ305" s="417"><f>AJ304</f><v /></c><c r="AK305" s="373"><f>Z305</f><v /></c><c r="AL305" s="373" t="n"><v>274.45</v></c><c r="AM305" s="381"><f>AM304</f><v /></c><c r="AN305" s="375"><f>AN304</f><v /></c><c r="AO305" s="376"><f>LEFT(AN305,2)</f><v /></c><c r="AP305" s="376"><f>RIGHT(AN305,6)</f><v /></c><c r="AQ305" s="376"><f>+(AO305*60+AP305)/(60*60)</f><v /></c><c r="AR305" s="377"><f>+AM305/AQ305</f><v /></c><c r="AS305" s="321"><f>+(((AL305-AK305-AM305)/AM305)*100)</f><v /></c><c r="AT305" s="382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5"><f>IF(AR305&lt;$AH$6,"error",IF(AR305&gt;$AH$6*1.1,"error","aceptable"))</f><v /></c><c r="AZ305" s="365"><f>IF(AF305&lt;$V$6,"error",IF(AF305&gt;$V$6*1.1,"error","aceptable"))</f><v /></c><c r="BA305" s="365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5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PA25517668</t></is></c><c r="H306" s="313"><f>H305</f><v /></c><c r="I306" s="38"><f>I305</f><v /></c><c r="J306" s="314"><f>J305</f><v /></c><c r="K306" s="372"><f>K305</f><v /></c><c r="L306" s="372"><f>L305</f><v /></c><c r="M306" s="373" t="n"><v>149.6</v></c><c r="N306" s="373" t="n"><v>250.39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417"><f>W305</f><v /></c><c r="X306" s="417"><f>X305</f><v /></c><c r="Y306" s="373" t="n"><v>260.01</v></c><c r="Z306" s="373" t="n"><v>269.95</v></c><c r="AA306" s="379"><f>AA305</f><v /></c><c r="AB306" s="380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417"><f>AI305</f><v /></c><c r="AJ306" s="417"><f>AJ305</f><v /></c><c r="AK306" s="373"><f>Z306</f><v /></c><c r="AL306" s="373" t="n"><v>275</v></c><c r="AM306" s="381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2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PA25517669</t></is></c><c r="H307" s="313"><f>H306</f><v /></c><c r="I307" s="38"><f>I306</f><v /></c><c r="J307" s="314"><f>J306</f><v /></c><c r="K307" s="372"><f>K306</f><v /></c><c r="L307" s="372"><f>L306</f><v /></c><c r="M307" s="373" t="n"><v>147.35</v></c><c r="N307" s="373" t="n"><v>247.59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417"><f>W306</f><v /></c><c r="X307" s="417"><f>X306</f><v /></c><c r="Y307" s="373" t="n"><v>257.19</v></c><c r="Z307" s="373" t="n"><v>267.06</v></c><c r="AA307" s="379"><f>AA306</f><v /></c><c r="AB307" s="380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417"><f>AI306</f><v /></c><c r="AJ307" s="417"><f>AJ306</f><v /></c><c r="AK307" s="373"><f>Z307</f><v /></c><c r="AL307" s="373" t="n"><v>272</v></c><c r="AM307" s="381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2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PA25517670</t></is></c><c r="H308" s="313"><f>H307</f><v /></c><c r="I308" s="38"><f>I307</f><v /></c><c r="J308" s="314"><f>J307</f><v /></c><c r="K308" s="372"><f>K307</f><v /></c><c r="L308" s="372"><f>L307</f><v /></c><c r="M308" s="373" t="n"><v>147.8</v></c><c r="N308" s="373" t="n"><v>247.85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417"><f>W307</f><v /></c><c r="X308" s="417"><f>X307</f><v /></c><c r="Y308" s="373" t="n"><v>257.46</v></c><c r="Z308" s="373" t="n"><v>267.35</v></c><c r="AA308" s="379"><f>AA307</f><v /></c><c r="AB308" s="380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417"><f>AI307</f><v /></c><c r="AJ308" s="417"><f>AJ307</f><v /></c><c r="AK308" s="373"><f>Z308</f><v /></c><c r="AL308" s="373" t="n"><v>272.3</v></c><c r="AM308" s="381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2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4.4" customHeight="1" thickBot="1"><c r="A309" s="368" t="n"><v>301</v></c><c r="B309" s="369"><f>B308</f><v /></c><c r="C309" s="369"><f>C308</f><v /></c><c r="D309" s="370"><f>D308</f><v /></c><c r="E309" s="371"><f>E308</f><v /></c><c r="F309" s="13" t="n" /><c r="G309" s="300" t="inlineStr"><is><t>PA25517671</t></is></c><c r="H309" s="313"><f>H308</f><v /></c><c r="I309" s="38"><f>I308</f><v /></c><c r="J309" s="314"><f>J308</f><v /></c><c r="K309" s="372"><f>K308</f><v /></c><c r="L309" s="372"><f>L308</f><v /></c><c r="M309" s="373" t="n"><v>147.11</v></c><c r="N309" s="373" t="n"><v>247.25</v></c><c r="O309" s="374"><f>O308</f><v /></c><c r="P309" s="375"><f>P308</f><v /></c><c r="Q309" s="376"><f>LEFT(P309,1)</f><v /></c><c r="R309" s="376"><f>RIGHT(P309,6)</f><v /></c><c r="S309" s="376"><f>+(Q309*60+R309)/(60*60)</f><v /></c><c r="T309" s="377"><f>+O309/S309</f><v /></c><c r="U309" s="378"><f>+(((N309-M309-O309)/O309)*100)</f><v /></c><c r="V309" s="317"><f>V308</f><v /></c><c r="W309" s="417"><f>W308</f><v /></c><c r="X309" s="417"><f>X308</f><v /></c><c r="Y309" s="373" t="n"><v>256.85</v></c><c r="Z309" s="373" t="n"><v>266.7</v></c><c r="AA309" s="379"><f>AA308</f><v /></c><c r="AB309" s="380"><f>AB308</f><v /></c><c r="AC309" s="376"><f>LEFT(AB309,2)</f><v /></c><c r="AD309" s="376"><f>RIGHT(AB309,6)</f><v /></c><c r="AE309" s="376"><f>+(AC309*60+AD309)/(60*60)</f><v /></c><c r="AF309" s="377"><f>+AA309/AE309</f><v /></c><c r="AG309" s="321"><f>+(((Z309-Y309-AA309)/AA309)*100)</f><v /></c><c r="AH309" s="317"><f>AH308</f><v /></c><c r="AI309" s="417"><f>AI308</f><v /></c><c r="AJ309" s="417"><f>AJ308</f><v /></c><c r="AK309" s="373"><f>Z309</f><v /></c><c r="AL309" s="373" t="n"><v>271.67</v></c><c r="AM309" s="381"><f>AM308</f><v /></c><c r="AN309" s="375"><f>AN308</f><v /></c><c r="AO309" s="376"><f>LEFT(AN309,2)</f><v /></c><c r="AP309" s="376"><f>RIGHT(AN309,6)</f><v /></c><c r="AQ309" s="376"><f>+(AO309*60+AP309)/(60*60)</f><v /></c><c r="AR309" s="377"><f>+AM309/AQ309</f><v /></c><c r="AS309" s="321"><f>+(((AL309-AK309-AM309)/AM309)*100)</f><v /></c><c r="AT309" s="382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5"><f>IF(BC309="NO CONFORME","NO CONFORME",IF(BB309="CONFORME","CONFORME","NO CONFORME"))</f><v /></c></row><row r="310" ht="14.4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PA25517672</t></is></c><c r="H310" s="313"><f>H309</f><v /></c><c r="I310" s="38"><f>I309</f><v /></c><c r="J310" s="314"><f>J309</f><v /></c><c r="K310" s="372"><f>K309</f><v /></c><c r="L310" s="372"><f>L309</f><v /></c><c r="M310" s="373" t="n"><v>149.85</v></c><c r="N310" s="373" t="n"><v>251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417"><f>W309</f><v /></c><c r="X310" s="417"><f>X309</f><v /></c><c r="Y310" s="373" t="n"><v>260.7</v></c><c r="Z310" s="373" t="n"><v>270.7</v></c><c r="AA310" s="379"><f>AA309</f><v /></c><c r="AB310" s="380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417"><f>AI309</f><v /></c><c r="AJ310" s="417"><f>AJ309</f><v /></c><c r="AK310" s="373"><f>Z310</f><v /></c><c r="AL310" s="373" t="n"><v>275.76</v></c><c r="AM310" s="381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2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4.4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PA25517673</t></is></c><c r="H311" s="313"><f>H310</f><v /></c><c r="I311" s="38"><f>I310</f><v /></c><c r="J311" s="314"><f>J310</f><v /></c><c r="K311" s="372"><f>K310</f><v /></c><c r="L311" s="372"><f>L310</f><v /></c><c r="M311" s="373" t="n"><v>148.13</v></c><c r="N311" s="373" t="n"><v>248.2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417"><f>W310</f><v /></c><c r="X311" s="417"><f>X310</f><v /></c><c r="Y311" s="373" t="n"><v>257.8</v></c><c r="Z311" s="373" t="n"><v>267.67</v></c><c r="AA311" s="379"><f>AA310</f><v /></c><c r="AB311" s="380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417"><f>AI310</f><v /></c><c r="AJ311" s="417"><f>AJ310</f><v /></c><c r="AK311" s="373"><f>Z311</f><v /></c><c r="AL311" s="373" t="n"><v>272.65</v></c><c r="AM311" s="381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2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4.4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PA25517674</t></is></c><c r="H312" s="313"><f>H311</f><v /></c><c r="I312" s="38"><f>I311</f><v /></c><c r="J312" s="314"><f>J311</f><v /></c><c r="K312" s="372"><f>K311</f><v /></c><c r="L312" s="372"><f>L311</f><v /></c><c r="M312" s="373" t="n"><v>149.5</v></c><c r="N312" s="373" t="n"><v>249.63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417"><f>W311</f><v /></c><c r="X312" s="417"><f>X311</f><v /></c><c r="Y312" s="373" t="n"><v>259.21</v></c><c r="Z312" s="373" t="n"><v>269.13</v></c><c r="AA312" s="379"><f>AA311</f><v /></c><c r="AB312" s="380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417"><f>AI311</f><v /></c><c r="AJ312" s="417"><f>AJ311</f><v /></c><c r="AK312" s="373"><f>Z312</f><v /></c><c r="AL312" s="373" t="n"><v>274.15</v></c><c r="AM312" s="381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2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37" t="inlineStr"><is><t>PA25517675</t></is></c><c r="H313" s="326"><f>H312</f><v /></c><c r="I313" s="98"><f>I312</f><v /></c><c r="J313" s="327"><f>J312</f><v /></c><c r="K313" s="387"><f>K312</f><v /></c><c r="L313" s="387"><f>L312</f><v /></c><c r="M313" s="388" t="n"><v>146.1</v></c><c r="N313" s="388" t="n"><v>245.95</v></c><c r="O313" s="389"><f>O312</f><v /></c><c r="P313" s="390"><f>P312</f><v /></c><c r="Q313" s="391"><f>LEFT(P313,1)</f><v /></c><c r="R313" s="391"><f>RIGHT(P313,6)</f><v /></c><c r="S313" s="391"><f>+(Q313*60+R313)/(60*60)</f><v /></c><c r="T313" s="392"><f>+O313/S313</f><v /></c><c r="U313" s="393"><f>+(((N313-M313-O313)/O313)*100)</f><v /></c><c r="V313" s="329"><f>V312</f><v /></c><c r="W313" s="443"><f>W312</f><v /></c><c r="X313" s="443"><f>X312</f><v /></c><c r="Y313" s="388" t="n"><v>255.5</v></c><c r="Z313" s="388" t="n"><v>265.45</v></c><c r="AA313" s="394"><f>AA312</f><v /></c><c r="AB313" s="395"><f>AB312</f><v /></c><c r="AC313" s="391"><f>LEFT(AB313,2)</f><v /></c><c r="AD313" s="391"><f>RIGHT(AB313,6)</f><v /></c><c r="AE313" s="391"><f>+(AC313*60+AD313)/(60*60)</f><v /></c><c r="AF313" s="392"><f>+AA313/AE313</f><v /></c><c r="AG313" s="396"><f>+(((Z313-Y313-AA313)/AA313)*100)</f><v /></c><c r="AH313" s="329"><f>AH312</f><v /></c><c r="AI313" s="443"><f>AI312</f><v /></c><c r="AJ313" s="443"><f>AJ312</f><v /></c><c r="AK313" s="388"><f>Z313</f><v /></c><c r="AL313" s="388" t="n"><v>270.49</v></c><c r="AM313" s="397"><f>AM312</f><v /></c><c r="AN313" s="390"><f>AN312</f><v /></c><c r="AO313" s="391"><f>LEFT(AN313,2)</f><v /></c><c r="AP313" s="391"><f>RIGHT(AN313,6)</f><v /></c><c r="AQ313" s="391"><f>+(AO313*60+AP313)/(60*60)</f><v /></c><c r="AR313" s="392"><f>+AM313/AQ313</f><v /></c><c r="AS313" s="396"><f>+(((AL313-AK313-AM313)/AM313)*100)</f><v /></c><c r="AT313" s="398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4.4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PA25517676</t></is></c><c r="H314" s="301"><f>H313</f><v /></c><c r="I314" s="232"><f>I313</f><v /></c><c r="J314" s="302" t="n"><v>21.2</v></c><c r="K314" s="303" t="n"><v>8.095000000000001</v></c><c r="L314" s="303" t="n"><v>0.524</v></c><c r="M314" s="355" t="n"><v>139</v></c><c r="N314" s="355" t="n"><v>238.55</v></c><c r="O314" s="356" t="n"><v>100.5</v></c><c r="P314" s="357" t="inlineStr"><is><t>2,27,250</t></is></c><c r="Q314" s="358"><f>LEFT(P314,1)</f><v /></c><c r="R314" s="358"><f>RIGHT(P314,6)</f><v /></c><c r="S314" s="358"><f>+(Q314*60+R314)/(60*60)</f><v /></c><c r="T314" s="359"><f>+O314/S314</f><v /></c><c r="U314" s="360"><f>+(((N314-M314-O314)/O314)*100)</f><v /></c><c r="V314" s="306" t="n"><v>21.2</v></c><c r="W314" s="307" t="n"><v>1.507</v></c><c r="X314" s="307" t="n"><v>1.508</v></c><c r="Y314" s="355" t="n"><v>245.85</v></c><c r="Z314" s="355" t="n"><v>255.9</v></c><c r="AA314" s="308" t="n"><v>10.033</v></c><c r="AB314" s="357" t="inlineStr"><is><t>23,07,200</t></is></c><c r="AC314" s="358"><f>LEFT(AB314,2)</f><v /></c><c r="AD314" s="358"><f>RIGHT(AB314,6)</f><v /></c><c r="AE314" s="358"><f>+(AC314*60+AD314)/(60*60)</f><v /></c><c r="AF314" s="359"><f>+AA314/AE314</f><v /></c><c r="AG314" s="361"><f>+(((Z314-Y314-AA314)/AA314)*100)</f><v /></c><c r="AH314" s="306" t="n"><v>21.3</v></c><c r="AI314" s="307" t="n"><v>1.51</v></c><c r="AJ314" s="307" t="n"><v>1.507</v></c><c r="AK314" s="355"><f>Z314</f><v /></c><c r="AL314" s="355" t="n"><v>261</v></c><c r="AM314" s="362" t="n"><v>5.023</v></c><c r="AN314" s="357" t="inlineStr"><is><t>18,25,290</t></is></c><c r="AO314" s="358"><f>LEFT(AN314,2)</f><v /></c><c r="AP314" s="358"><f>RIGHT(AN314,6)</f><v /></c><c r="AQ314" s="358"><f>+(AO314*60+AP314)/(60*60)</f><v /></c><c r="AR314" s="359"><f>+AM314/AQ314</f><v /></c><c r="AS314" s="361"><f>+(((AL314-AK314-AM314)/AM314)*100)</f><v /></c><c r="AT314" s="36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4.4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PA25517677</t></is></c><c r="H315" s="313"><f>H314</f><v /></c><c r="I315" s="38"><f>I314</f><v /></c><c r="J315" s="314"><f>J314</f><v /></c><c r="K315" s="372"><f>K314</f><v /></c><c r="L315" s="372"><f>L314</f><v /></c><c r="M315" s="373" t="n"><v>139.1</v></c><c r="N315" s="373" t="n"><v>239.15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417"><f>W314</f><v /></c><c r="X315" s="417"><f>X314</f><v /></c><c r="Y315" s="373" t="n"><v>246.49</v></c><c r="Z315" s="373" t="n"><v>256.47</v></c><c r="AA315" s="379"><f>AA314</f><v /></c><c r="AB315" s="380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417"><f>AI314</f><v /></c><c r="AJ315" s="417"><f>AJ314</f><v /></c><c r="AK315" s="373"><f>Z315</f><v /></c><c r="AL315" s="373" t="n"><v>261.5</v></c><c r="AM315" s="381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2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4.4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PA25517678</t></is></c><c r="H316" s="313"><f>H315</f><v /></c><c r="I316" s="38"><f>I315</f><v /></c><c r="J316" s="314"><f>J315</f><v /></c><c r="K316" s="372"><f>K315</f><v /></c><c r="L316" s="372"><f>L315</f><v /></c><c r="M316" s="373" t="n"><v>136.35</v></c><c r="N316" s="373" t="n"><v>236.2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417"><f>W315</f><v /></c><c r="X316" s="417"><f>X315</f><v /></c><c r="Y316" s="373" t="n"><v>243.47</v></c><c r="Z316" s="373" t="n"><v>253.4</v></c><c r="AA316" s="379"><f>AA315</f><v /></c><c r="AB316" s="380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417"><f>AI315</f><v /></c><c r="AJ316" s="417"><f>AJ315</f><v /></c><c r="AK316" s="373"><f>Z316</f><v /></c><c r="AL316" s="373" t="n"><v>258.42</v></c><c r="AM316" s="381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2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4.4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PA25517679</t></is></c><c r="H317" s="313"><f>H316</f><v /></c><c r="I317" s="38"><f>I316</f><v /></c><c r="J317" s="314"><f>J316</f><v /></c><c r="K317" s="372"><f>K316</f><v /></c><c r="L317" s="372"><f>L316</f><v /></c><c r="M317" s="373" t="n"><v>139.85</v></c><c r="N317" s="373" t="n"><v>239.68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417"><f>W316</f><v /></c><c r="X317" s="417"><f>X316</f><v /></c><c r="Y317" s="373" t="n"><v>247</v></c><c r="Z317" s="373" t="n"><v>256.94</v></c><c r="AA317" s="379"><f>AA316</f><v /></c><c r="AB317" s="380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417"><f>AI316</f><v /></c><c r="AJ317" s="417"><f>AJ316</f><v /></c><c r="AK317" s="373"><f>Z317</f><v /></c><c r="AL317" s="373" t="n"><v>261.97</v></c><c r="AM317" s="381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2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4.4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PA25517680</t></is></c><c r="H318" s="313"><f>H317</f><v /></c><c r="I318" s="38"><f>I317</f><v /></c><c r="J318" s="314"><f>J317</f><v /></c><c r="K318" s="372"><f>K317</f><v /></c><c r="L318" s="372"><f>L317</f><v /></c><c r="M318" s="373" t="n"><v>139.35</v></c><c r="N318" s="373" t="n"><v>238.8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417"><f>W317</f><v /></c><c r="X318" s="417"><f>X317</f><v /></c><c r="Y318" s="373" t="n"><v>246.07</v></c><c r="Z318" s="373" t="n"><v>255.97</v></c><c r="AA318" s="379"><f>AA317</f><v /></c><c r="AB318" s="380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417"><f>AI317</f><v /></c><c r="AJ318" s="417"><f>AJ317</f><v /></c><c r="AK318" s="373"><f>Z318</f><v /></c><c r="AL318" s="373" t="n"><v>260.99</v></c><c r="AM318" s="381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2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4.4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PA25517681</t></is></c><c r="H319" s="313"><f>H318</f><v /></c><c r="I319" s="38"><f>I318</f><v /></c><c r="J319" s="314"><f>J318</f><v /></c><c r="K319" s="372"><f>K318</f><v /></c><c r="L319" s="372"><f>L318</f><v /></c><c r="M319" s="373" t="n"><v>138.35</v></c><c r="N319" s="373" t="n"><v>238.89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417"><f>W318</f><v /></c><c r="X319" s="417"><f>X318</f><v /></c><c r="Y319" s="373" t="n"><v>246.25</v></c><c r="Z319" s="373" t="n"><v>256.24</v></c><c r="AA319" s="379"><f>AA318</f><v /></c><c r="AB319" s="380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417"><f>AI318</f><v /></c><c r="AJ319" s="417"><f>AJ318</f><v /></c><c r="AK319" s="373"><f>Z319</f><v /></c><c r="AL319" s="373" t="n"><v>261.31</v></c><c r="AM319" s="381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2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4.4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PA25517682</t></is></c><c r="H320" s="313"><f>H319</f><v /></c><c r="I320" s="38"><f>I319</f><v /></c><c r="J320" s="314"><f>J319</f><v /></c><c r="K320" s="372"><f>K319</f><v /></c><c r="L320" s="372"><f>L319</f><v /></c><c r="M320" s="373" t="n"><v>137.75</v></c><c r="N320" s="373" t="n"><v>237.15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417"><f>W319</f><v /></c><c r="X320" s="417"><f>X319</f><v /></c><c r="Y320" s="373" t="n"><v>244.42</v></c><c r="Z320" s="373" t="n"><v>254.35</v></c><c r="AA320" s="379"><f>AA319</f><v /></c><c r="AB320" s="380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417"><f>AI319</f><v /></c><c r="AJ320" s="417"><f>AJ319</f><v /></c><c r="AK320" s="373"><f>Z320</f><v /></c><c r="AL320" s="373" t="n"><v>259.35</v></c><c r="AM320" s="381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2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4.4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PA25517683</t></is></c><c r="H321" s="313"><f>H320</f><v /></c><c r="I321" s="38"><f>I320</f><v /></c><c r="J321" s="314"><f>J320</f><v /></c><c r="K321" s="372"><f>K320</f><v /></c><c r="L321" s="372"><f>L320</f><v /></c><c r="M321" s="373" t="n"><v>136.4</v></c><c r="N321" s="373" t="n"><v>235.89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417"><f>W320</f><v /></c><c r="X321" s="417"><f>X320</f><v /></c><c r="Y321" s="373" t="n"><v>243.15</v></c><c r="Z321" s="373" t="n"><v>253.05</v></c><c r="AA321" s="379"><f>AA320</f><v /></c><c r="AB321" s="380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417"><f>AI320</f><v /></c><c r="AJ321" s="417"><f>AJ320</f><v /></c><c r="AK321" s="373"><f>Z321</f><v /></c><c r="AL321" s="373" t="n"><v>258.07</v></c><c r="AM321" s="381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2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4.4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PA25517684</t></is></c><c r="H322" s="313"><f>H321</f><v /></c><c r="I322" s="38"><f>I321</f><v /></c><c r="J322" s="314"><f>J321</f><v /></c><c r="K322" s="372"><f>K321</f><v /></c><c r="L322" s="372"><f>L321</f><v /></c><c r="M322" s="373" t="n"><v>138.35</v></c><c r="N322" s="373" t="n"><v>238.35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417"><f>W321</f><v /></c><c r="X322" s="417"><f>X321</f><v /></c><c r="Y322" s="373" t="n"><v>245.63</v></c><c r="Z322" s="373" t="n"><v>255.6</v></c><c r="AA322" s="379"><f>AA321</f><v /></c><c r="AB322" s="380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417"><f>AI321</f><v /></c><c r="AJ322" s="417"><f>AJ321</f><v /></c><c r="AK322" s="373"><f>Z322</f><v /></c><c r="AL322" s="373" t="n"><v>260.6</v></c><c r="AM322" s="381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2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4.4" customHeight="1" thickBot="1"><c r="A323" s="368" t="n"><v>315</v></c><c r="B323" s="369"><f>B322</f><v /></c><c r="C323" s="369"><f>C322</f><v /></c><c r="D323" s="370"><f>D322</f><v /></c><c r="E323" s="371"><f>E322</f><v /></c><c r="F323" s="13" t="n" /><c r="G323" s="300" t="inlineStr"><is><t>PA25517685</t></is></c><c r="H323" s="313"><f>H322</f><v /></c><c r="I323" s="38"><f>I322</f><v /></c><c r="J323" s="314"><f>J322</f><v /></c><c r="K323" s="372"><f>K322</f><v /></c><c r="L323" s="372"><f>L322</f><v /></c><c r="M323" s="373" t="n"><v>137.98</v></c><c r="N323" s="373" t="n"><v>237.3</v></c><c r="O323" s="374"><f>O322</f><v /></c><c r="P323" s="375"><f>P322</f><v /></c><c r="Q323" s="376"><f>LEFT(P323,1)</f><v /></c><c r="R323" s="376"><f>RIGHT(P323,6)</f><v /></c><c r="S323" s="376"><f>+(Q323*60+R323)/(60*60)</f><v /></c><c r="T323" s="377"><f>+O323/S323</f><v /></c><c r="U323" s="378"><f>+(((N323-M323-O323)/O323)*100)</f><v /></c><c r="V323" s="317"><f>V322</f><v /></c><c r="W323" s="417"><f>W322</f><v /></c><c r="X323" s="417"><f>X322</f><v /></c><c r="Y323" s="373" t="n"><v>244.58</v></c><c r="Z323" s="373" t="n"><v>254.58</v></c><c r="AA323" s="379"><f>AA322</f><v /></c><c r="AB323" s="380"><f>AB322</f><v /></c><c r="AC323" s="376"><f>LEFT(AB323,2)</f><v /></c><c r="AD323" s="376"><f>RIGHT(AB323,6)</f><v /></c><c r="AE323" s="376"><f>+(AC323*60+AD323)/(60*60)</f><v /></c><c r="AF323" s="377"><f>+AA323/AE323</f><v /></c><c r="AG323" s="321"><f>+(((Z323-Y323-AA323)/AA323)*100)</f><v /></c><c r="AH323" s="317"><f>AH322</f><v /></c><c r="AI323" s="417"><f>AI322</f><v /></c><c r="AJ323" s="417"><f>AJ322</f><v /></c><c r="AK323" s="373"><f>Z323</f><v /></c><c r="AL323" s="373" t="n"><v>259.64</v></c><c r="AM323" s="381"><f>AM322</f><v /></c><c r="AN323" s="375"><f>AN322</f><v /></c><c r="AO323" s="376"><f>LEFT(AN323,2)</f><v /></c><c r="AP323" s="376"><f>RIGHT(AN323,6)</f><v /></c><c r="AQ323" s="376"><f>+(AO323*60+AP323)/(60*60)</f><v /></c><c r="AR323" s="377"><f>+AM323/AQ323</f><v /></c><c r="AS323" s="321"><f>+(((AL323-AK323-AM323)/AM323)*100)</f><v /></c><c r="AT323" s="382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4.4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PA25517686</t></is></c><c r="H324" s="313"><f>H323</f><v /></c><c r="I324" s="38"><f>I323</f><v /></c><c r="J324" s="314"><f>J323</f><v /></c><c r="K324" s="372"><f>K323</f><v /></c><c r="L324" s="372"><f>L323</f><v /></c><c r="M324" s="373" t="n"><v>139</v></c><c r="N324" s="373" t="n"><v>239.09</v></c><c r="O324" s="374"><f>O323</f><v /></c><c r="P324" s="375"><f>P323</f><v /></c><c r="Q324" s="376"><f>LEFT(P324,1)</f><v /></c><c r="R324" s="376"><f>RIGHT(P324,6)</f><v /></c><c r="S324" s="376"><f>+(Q324*60+R324)/(60*60)</f><v /></c><c r="T324" s="377"><f>+O324/S324</f><v /></c><c r="U324" s="378"><f>+(((N324-M324-O324)/O324)*100)</f><v /></c><c r="V324" s="317"><f>V323</f><v /></c><c r="W324" s="417"><f>W323</f><v /></c><c r="X324" s="417"><f>X323</f><v /></c><c r="Y324" s="373" t="n"><v>246.4</v></c><c r="Z324" s="373" t="n"><v>256.36</v></c><c r="AA324" s="379"><f>AA323</f><v /></c><c r="AB324" s="380"><f>AB323</f><v /></c><c r="AC324" s="376"><f>LEFT(AB324,2)</f><v /></c><c r="AD324" s="376"><f>RIGHT(AB324,6)</f><v /></c><c r="AE324" s="376"><f>+(AC324*60+AD324)/(60*60)</f><v /></c><c r="AF324" s="377"><f>+AA324/AE324</f><v /></c><c r="AG324" s="321"><f>+(((Z324-Y324-AA324)/AA324)*100)</f><v /></c><c r="AH324" s="317"><f>AH323</f><v /></c><c r="AI324" s="417"><f>AI323</f><v /></c><c r="AJ324" s="417"><f>AJ323</f><v /></c><c r="AK324" s="373"><f>Z324</f><v /></c><c r="AL324" s="373" t="n"><v>261.4</v></c><c r="AM324" s="381"><f>AM323</f><v /></c><c r="AN324" s="375"><f>AN323</f><v /></c><c r="AO324" s="376"><f>LEFT(AN324,2)</f><v /></c><c r="AP324" s="376"><f>RIGHT(AN324,6)</f><v /></c><c r="AQ324" s="376"><f>+(AO324*60+AP324)/(60*60)</f><v /></c><c r="AR324" s="377"><f>+AM324/AQ324</f><v /></c><c r="AS324" s="321"><f>+(((AL324-AK324-AM324)/AM324)*100)</f><v /></c><c r="AT324" s="382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4.4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PA25517687</t></is></c><c r="H325" s="313"><f>H324</f><v /></c><c r="I325" s="38"><f>I324</f><v /></c><c r="J325" s="314"><f>J324</f><v /></c><c r="K325" s="372"><f>K324</f><v /></c><c r="L325" s="372"><f>L324</f><v /></c><c r="M325" s="373" t="n"><v>138</v></c><c r="N325" s="373" t="n"><v>238.1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417"><f>W324</f><v /></c><c r="X325" s="417"><f>X324</f><v /></c><c r="Y325" s="373" t="n"><v>245.4</v></c><c r="Z325" s="373" t="n"><v>255.25</v></c><c r="AA325" s="379"><f>AA324</f><v /></c><c r="AB325" s="380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417"><f>AI324</f><v /></c><c r="AJ325" s="417"><f>AJ324</f><v /></c><c r="AK325" s="373"><f>Z325</f><v /></c><c r="AL325" s="373" t="n"><v>260.2</v></c><c r="AM325" s="381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2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4.4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PA25517688</t></is></c><c r="H326" s="313"><f>H325</f><v /></c><c r="I326" s="38"><f>I325</f><v /></c><c r="J326" s="314"><f>J325</f><v /></c><c r="K326" s="372"><f>K325</f><v /></c><c r="L326" s="372"><f>L325</f><v /></c><c r="M326" s="373" t="n"><v>138</v></c><c r="N326" s="373" t="n"><v>237.08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417"><f>W325</f><v /></c><c r="X326" s="417"><f>X325</f><v /></c><c r="Y326" s="373" t="n"><v>244.34</v></c><c r="Z326" s="373" t="n"><v>254.15</v></c><c r="AA326" s="379"><f>AA325</f><v /></c><c r="AB326" s="380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417"><f>AI325</f><v /></c><c r="AJ326" s="417"><f>AJ325</f><v /></c><c r="AK326" s="373"><f>Z326</f><v /></c><c r="AL326" s="373" t="n"><v>259.1</v></c><c r="AM326" s="381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2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4.4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PA25517689</t></is></c><c r="H327" s="313"><f>H326</f><v /></c><c r="I327" s="38"><f>I326</f><v /></c><c r="J327" s="314"><f>J326</f><v /></c><c r="K327" s="372"><f>K326</f><v /></c><c r="L327" s="372"><f>L326</f><v /></c><c r="M327" s="373" t="n"><v>138.85</v></c><c r="N327" s="373" t="n"><v>238.73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417"><f>W326</f><v /></c><c r="X327" s="417"><f>X326</f><v /></c><c r="Y327" s="373" t="n"><v>246.04</v></c><c r="Z327" s="373" t="n"><v>255.96</v></c><c r="AA327" s="379"><f>AA326</f><v /></c><c r="AB327" s="380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417"><f>AI326</f><v /></c><c r="AJ327" s="417"><f>AJ326</f><v /></c><c r="AK327" s="373"><f>Z327</f><v /></c><c r="AL327" s="373" t="n"><v>261</v></c><c r="AM327" s="381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2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37" t="inlineStr"><is><t>PA25517690</t></is></c><c r="H328" s="326"><f>H327</f><v /></c><c r="I328" s="98"><f>I327</f><v /></c><c r="J328" s="327"><f>J327</f><v /></c><c r="K328" s="387"><f>K327</f><v /></c><c r="L328" s="387"><f>L327</f><v /></c><c r="M328" s="388" t="n"><v>138.65</v></c><c r="N328" s="388" t="n"><v>238.4</v></c><c r="O328" s="389"><f>O327</f><v /></c><c r="P328" s="390"><f>P327</f><v /></c><c r="Q328" s="391"><f>LEFT(P328,1)</f><v /></c><c r="R328" s="391"><f>RIGHT(P328,6)</f><v /></c><c r="S328" s="391"><f>+(Q328*60+R328)/(60*60)</f><v /></c><c r="T328" s="392"><f>+O328/S328</f><v /></c><c r="U328" s="393"><f>+(((N328-M328-O328)/O328)*100)</f><v /></c><c r="V328" s="329"><f>V327</f><v /></c><c r="W328" s="443"><f>W327</f><v /></c><c r="X328" s="443"><f>X327</f><v /></c><c r="Y328" s="388" t="n"><v>245.66</v></c><c r="Z328" s="388" t="n"><v>255.6</v></c><c r="AA328" s="394"><f>AA327</f><v /></c><c r="AB328" s="395"><f>AB327</f><v /></c><c r="AC328" s="391"><f>LEFT(AB328,2)</f><v /></c><c r="AD328" s="391"><f>RIGHT(AB328,6)</f><v /></c><c r="AE328" s="391"><f>+(AC328*60+AD328)/(60*60)</f><v /></c><c r="AF328" s="392"><f>+AA328/AE328</f><v /></c><c r="AG328" s="396"><f>+(((Z328-Y328-AA328)/AA328)*100)</f><v /></c><c r="AH328" s="329"><f>AH327</f><v /></c><c r="AI328" s="443"><f>AI327</f><v /></c><c r="AJ328" s="443"><f>AJ327</f><v /></c><c r="AK328" s="388"><f>Z328</f><v /></c><c r="AL328" s="388" t="n"><v>260.65</v></c><c r="AM328" s="397"><f>AM327</f><v /></c><c r="AN328" s="390"><f>AN327</f><v /></c><c r="AO328" s="391"><f>LEFT(AN328,2)</f><v /></c><c r="AP328" s="391"><f>RIGHT(AN328,6)</f><v /></c><c r="AQ328" s="391"><f>+(AO328*60+AP328)/(60*60)</f><v /></c><c r="AR328" s="392"><f>+AM328/AQ328</f><v /></c><c r="AS328" s="396"><f>+(((AL328-AK328-AM328)/AM328)*100)</f><v /></c><c r="AT328" s="398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4.4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PA25517691</t></is></c><c r="H329" s="301"><f>H328</f><v /></c><c r="I329" s="232"><f>I328</f><v /></c><c r="J329" s="302" t="n"><v>21.3</v></c><c r="K329" s="303" t="n"><v>8.093999999999999</v></c><c r="L329" s="303" t="n"><v>0.6840000000000001</v></c><c r="M329" s="355" t="n"><v>149.71</v></c><c r="N329" s="355" t="n"><v>249.46</v></c><c r="O329" s="356" t="n"><v>100.58</v></c><c r="P329" s="357" t="inlineStr"><is><t>2,28,850</t></is></c><c r="Q329" s="358"><f>LEFT(P329,1)</f><v /></c><c r="R329" s="358"><f>RIGHT(P329,6)</f><v /></c><c r="S329" s="358"><f>+(Q329*60+R329)/(60*60)</f><v /></c><c r="T329" s="359"><f>+O329/S329</f><v /></c><c r="U329" s="360"><f>+(((N329-M329-O329)/O329)*100)</f><v /></c><c r="V329" s="306" t="n"><v>21.3</v></c><c r="W329" s="307" t="n"><v>1.508</v></c><c r="X329" s="307" t="n"><v>1.502</v></c><c r="Y329" s="355" t="n"><v>258.61</v></c><c r="Z329" s="355" t="n"><v>268.55</v></c><c r="AA329" s="308" t="n"><v>10.02</v></c><c r="AB329" s="357" t="inlineStr"><is><t>23,00,100</t></is></c><c r="AC329" s="358"><f>LEFT(AB329,2)</f><v /></c><c r="AD329" s="358"><f>RIGHT(AB329,6)</f><v /></c><c r="AE329" s="358"><f>+(AC329*60+AD329)/(60*60)</f><v /></c><c r="AF329" s="359"><f>+AA329/AE329</f><v /></c><c r="AG329" s="361"><f>+(((Z329-Y329-AA329)/AA329)*100)</f><v /></c><c r="AH329" s="306" t="n"><v>20.9</v></c><c r="AI329" s="307" t="n"><v>1.508</v></c><c r="AJ329" s="307" t="n"><v>1.505</v></c><c r="AK329" s="355"><f>Z329</f><v /></c><c r="AL329" s="355" t="n"><v>273.55</v></c><c r="AM329" s="362" t="n"><v>5.042</v></c><c r="AN329" s="357" t="inlineStr"><is><t>18,24,310</t></is></c><c r="AO329" s="358"><f>LEFT(AN329,2)</f><v /></c><c r="AP329" s="358"><f>RIGHT(AN329,6)</f><v /></c><c r="AQ329" s="358"><f>+(AO329*60+AP329)/(60*60)</f><v /></c><c r="AR329" s="359"><f>+AM329/AQ329</f><v /></c><c r="AS329" s="361"><f>+(((AL329-AK329-AM329)/AM329)*100)</f><v /></c><c r="AT329" s="36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4.4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PA25517692</t></is></c><c r="H330" s="313"><f>H329</f><v /></c><c r="I330" s="38"><f>I329</f><v /></c><c r="J330" s="314"><f>J329</f><v /></c><c r="K330" s="372"><f>K329</f><v /></c><c r="L330" s="372"><f>L329</f><v /></c><c r="M330" s="373" t="n"><v>149.65</v></c><c r="N330" s="373" t="n"><v>249.27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417"><f>W329</f><v /></c><c r="X330" s="417"><f>X329</f><v /></c><c r="Y330" s="373" t="n"><v>258.36</v></c><c r="Z330" s="373" t="n"><v>268.2</v></c><c r="AA330" s="379"><f>AA329</f><v /></c><c r="AB330" s="380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417"><f>AI329</f><v /></c><c r="AJ330" s="417"><f>AJ329</f><v /></c><c r="AK330" s="373"><f>Z330</f><v /></c><c r="AL330" s="373" t="n"><v>273.2</v></c><c r="AM330" s="381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2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4.4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PA25517693</t></is></c><c r="H331" s="313"><f>H330</f><v /></c><c r="I331" s="38"><f>I330</f><v /></c><c r="J331" s="314"><f>J330</f><v /></c><c r="K331" s="372"><f>K330</f><v /></c><c r="L331" s="372"><f>L330</f><v /></c><c r="M331" s="373" t="n"><v>145.94</v></c><c r="N331" s="373" t="n"><v>244.8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417"><f>W330</f><v /></c><c r="X331" s="417"><f>X330</f><v /></c><c r="Y331" s="373" t="n"><v>253.85</v></c><c r="Z331" s="373" t="n"><v>263.7</v></c><c r="AA331" s="379"><f>AA330</f><v /></c><c r="AB331" s="380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417"><f>AI330</f><v /></c><c r="AJ331" s="417"><f>AJ330</f><v /></c><c r="AK331" s="373"><f>Z331</f><v /></c><c r="AL331" s="373" t="n"><v>268.7</v></c><c r="AM331" s="381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2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4.4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PA25517694</t></is></c><c r="H332" s="313"><f>H331</f><v /></c><c r="I332" s="38"><f>I331</f><v /></c><c r="J332" s="314"><f>J331</f><v /></c><c r="K332" s="372"><f>K331</f><v /></c><c r="L332" s="372"><f>L331</f><v /></c><c r="M332" s="373" t="n"><v>147.6</v></c><c r="N332" s="373" t="n"><v>247.37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417"><f>W331</f><v /></c><c r="X332" s="417"><f>X331</f><v /></c><c r="Y332" s="373" t="n"><v>256.5</v></c><c r="Z332" s="373" t="n"><v>266.51</v></c><c r="AA332" s="379"><f>AA331</f><v /></c><c r="AB332" s="380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417"><f>AI331</f><v /></c><c r="AJ332" s="417"><f>AJ331</f><v /></c><c r="AK332" s="373"><f>Z332</f><v /></c><c r="AL332" s="373" t="n"><v>271.63</v></c><c r="AM332" s="381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2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4.4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PA25517695</t></is></c><c r="H333" s="313"><f>H332</f><v /></c><c r="I333" s="38"><f>I332</f><v /></c><c r="J333" s="314"><f>J332</f><v /></c><c r="K333" s="372"><f>K332</f><v /></c><c r="L333" s="372"><f>L332</f><v /></c><c r="M333" s="373" t="n"><v>147.29</v></c><c r="N333" s="373" t="n"><v>246.8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417"><f>W332</f><v /></c><c r="X333" s="417"><f>X332</f><v /></c><c r="Y333" s="373" t="n"><v>255.94</v></c><c r="Z333" s="373" t="n"><v>265.82</v></c><c r="AA333" s="379"><f>AA332</f><v /></c><c r="AB333" s="380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417"><f>AI332</f><v /></c><c r="AJ333" s="417"><f>AJ332</f><v /></c><c r="AK333" s="373"><f>Z333</f><v /></c><c r="AL333" s="373" t="n"><v>270.87</v></c><c r="AM333" s="381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2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4.4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PA25517696</t></is></c><c r="H334" s="313"><f>H333</f><v /></c><c r="I334" s="38"><f>I333</f><v /></c><c r="J334" s="314"><f>J333</f><v /></c><c r="K334" s="372"><f>K333</f><v /></c><c r="L334" s="372"><f>L333</f><v /></c><c r="M334" s="373" t="n"><v>147.88</v></c><c r="N334" s="373" t="n"><v>247.8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417"><f>W333</f><v /></c><c r="X334" s="417"><f>X333</f><v /></c><c r="Y334" s="373" t="n"><v>256.91</v></c><c r="Z334" s="373" t="n"><v>266.84</v></c><c r="AA334" s="379"><f>AA333</f><v /></c><c r="AB334" s="380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417"><f>AI333</f><v /></c><c r="AJ334" s="417"><f>AJ333</f><v /></c><c r="AK334" s="373"><f>Z334</f><v /></c><c r="AL334" s="373" t="n"><v>271.89</v></c><c r="AM334" s="381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2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4.4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PA25517697</t></is></c><c r="H335" s="313"><f>H334</f><v /></c><c r="I335" s="38"><f>I334</f><v /></c><c r="J335" s="314"><f>J334</f><v /></c><c r="K335" s="372"><f>K334</f><v /></c><c r="L335" s="372"><f>L334</f><v /></c><c r="M335" s="373" t="n"><v>147.27</v></c><c r="N335" s="373" t="n"><v>247.29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417"><f>W334</f><v /></c><c r="X335" s="417"><f>X334</f><v /></c><c r="Y335" s="373" t="n"><v>256.5</v></c><c r="Z335" s="373" t="n"><v>266.45</v></c><c r="AA335" s="379"><f>AA334</f><v /></c><c r="AB335" s="380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417"><f>AI334</f><v /></c><c r="AJ335" s="417"><f>AJ334</f><v /></c><c r="AK335" s="373"><f>Z335</f><v /></c><c r="AL335" s="373" t="n"><v>271.53</v></c><c r="AM335" s="381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2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4.4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PA25517698</t></is></c><c r="H336" s="313"><f>H335</f><v /></c><c r="I336" s="38"><f>I335</f><v /></c><c r="J336" s="314"><f>J335</f><v /></c><c r="K336" s="372"><f>K335</f><v /></c><c r="L336" s="372"><f>L335</f><v /></c><c r="M336" s="373" t="n"><v>148.14</v></c><c r="N336" s="373" t="n"><v>248.2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417"><f>W335</f><v /></c><c r="X336" s="417"><f>X335</f><v /></c><c r="Y336" s="373" t="n"><v>257.35</v></c><c r="Z336" s="373" t="n"><v>267.22</v></c><c r="AA336" s="379"><f>AA335</f><v /></c><c r="AB336" s="380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417"><f>AI335</f><v /></c><c r="AJ336" s="417"><f>AJ335</f><v /></c><c r="AK336" s="373"><f>Z336</f><v /></c><c r="AL336" s="373" t="n"><v>272.25</v></c><c r="AM336" s="381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2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PA25517699</t></is></c><c r="H337" s="313"><f>H336</f><v /></c><c r="I337" s="38"><f>I336</f><v /></c><c r="J337" s="314"><f>J336</f><v /></c><c r="K337" s="372"><f>K336</f><v /></c><c r="L337" s="372"><f>L336</f><v /></c><c r="M337" s="373" t="n"><v>149.25</v></c><c r="N337" s="373" t="n"><v>249.6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417"><f>W336</f><v /></c><c r="X337" s="417"><f>X336</f><v /></c><c r="Y337" s="373" t="n"><v>258.8</v></c><c r="Z337" s="373" t="n"><v>268.8</v></c><c r="AA337" s="379"><f>AA336</f><v /></c><c r="AB337" s="380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417"><f>AI336</f><v /></c><c r="AJ337" s="417"><f>AJ336</f><v /></c><c r="AK337" s="373"><f>Z337</f><v /></c><c r="AL337" s="373" t="n"><v>273.9</v></c><c r="AM337" s="381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2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4.4" customHeight="1" thickBot="1"><c r="A338" s="368" t="n"><v>330</v></c><c r="B338" s="369"><f>B337</f><v /></c><c r="C338" s="369"><f>C337</f><v /></c><c r="D338" s="370"><f>D337</f><v /></c><c r="E338" s="371"><f>E337</f><v /></c><c r="F338" s="13" t="n" /><c r="G338" s="300" t="inlineStr"><is><t>PA25517700</t></is></c><c r="H338" s="313"><f>H337</f><v /></c><c r="I338" s="38"><f>I337</f><v /></c><c r="J338" s="314"><f>J337</f><v /></c><c r="K338" s="372"><f>K337</f><v /></c><c r="L338" s="372"><f>L337</f><v /></c><c r="M338" s="373" t="n"><v>150.1</v></c><c r="N338" s="373" t="n"><v>250.27</v></c><c r="O338" s="374"><f>O337</f><v /></c><c r="P338" s="375"><f>P337</f><v /></c><c r="Q338" s="376"><f>LEFT(P338,1)</f><v /></c><c r="R338" s="376"><f>RIGHT(P338,6)</f><v /></c><c r="S338" s="376"><f>+(Q338*60+R338)/(60*60)</f><v /></c><c r="T338" s="377"><f>+O338/S338</f><v /></c><c r="U338" s="378"><f>+(((N338-M338-O338)/O338)*100)</f><v /></c><c r="V338" s="317"><f>V337</f><v /></c><c r="W338" s="417"><f>W337</f><v /></c><c r="X338" s="417"><f>X337</f><v /></c><c r="Y338" s="373" t="n"><v>259.41</v></c><c r="Z338" s="373" t="n"><v>269.34</v></c><c r="AA338" s="379"><f>AA337</f><v /></c><c r="AB338" s="380"><f>AB337</f><v /></c><c r="AC338" s="376"><f>LEFT(AB338,2)</f><v /></c><c r="AD338" s="376"><f>RIGHT(AB338,6)</f><v /></c><c r="AE338" s="376"><f>+(AC338*60+AD338)/(60*60)</f><v /></c><c r="AF338" s="377"><f>+AA338/AE338</f><v /></c><c r="AG338" s="321"><f>+(((Z338-Y338-AA338)/AA338)*100)</f><v /></c><c r="AH338" s="317"><f>AH337</f><v /></c><c r="AI338" s="417"><f>AI337</f><v /></c><c r="AJ338" s="417"><f>AJ337</f><v /></c><c r="AK338" s="373"><f>Z338</f><v /></c><c r="AL338" s="373" t="n"><v>274.36</v></c><c r="AM338" s="381"><f>AM337</f><v /></c><c r="AN338" s="375"><f>AN337</f><v /></c><c r="AO338" s="376"><f>LEFT(AN338,2)</f><v /></c><c r="AP338" s="376"><f>RIGHT(AN338,6)</f><v /></c><c r="AQ338" s="376"><f>+(AO338*60+AP338)/(60*60)</f><v /></c><c r="AR338" s="377"><f>+AM338/AQ338</f><v /></c><c r="AS338" s="321"><f>+(((AL338-AK338-AM338)/AM338)*100)</f><v /></c><c r="AT338" s="382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PA25517701</t></is></c><c r="H339" s="313"><f>H338</f><v /></c><c r="I339" s="38"><f>I338</f><v /></c><c r="J339" s="314"><f>J338</f><v /></c><c r="K339" s="372"><f>K338</f><v /></c><c r="L339" s="372"><f>L338</f><v /></c><c r="M339" s="373" t="n"><v>150.95</v></c><c r="N339" s="373" t="n"><v>250.94</v></c><c r="O339" s="374"><f>O338</f><v /></c><c r="P339" s="375"><f>P338</f><v /></c><c r="Q339" s="376"><f>LEFT(P339,1)</f><v /></c><c r="R339" s="376"><f>RIGHT(P339,6)</f><v /></c><c r="S339" s="376"><f>+(Q339*60+R339)/(60*60)</f><v /></c><c r="T339" s="377"><f>+O339/S339</f><v /></c><c r="U339" s="378"><f>+(((N339-M339-O339)/O339)*100)</f><v /></c><c r="V339" s="317"><f>V338</f><v /></c><c r="W339" s="417"><f>W338</f><v /></c><c r="X339" s="417"><f>X338</f><v /></c><c r="Y339" s="373" t="n"><v>260.1</v></c><c r="Z339" s="373" t="n"><v>270</v></c><c r="AA339" s="379"><f>AA338</f><v /></c><c r="AB339" s="380"><f>AB338</f><v /></c><c r="AC339" s="376"><f>LEFT(AB339,2)</f><v /></c><c r="AD339" s="376"><f>RIGHT(AB339,6)</f><v /></c><c r="AE339" s="376"><f>+(AC339*60+AD339)/(60*60)</f><v /></c><c r="AF339" s="377"><f>+AA339/AE339</f><v /></c><c r="AG339" s="321"><f>+(((Z339-Y339-AA339)/AA339)*100)</f><v /></c><c r="AH339" s="317"><f>AH338</f><v /></c><c r="AI339" s="417"><f>AI338</f><v /></c><c r="AJ339" s="417"><f>AJ338</f><v /></c><c r="AK339" s="373"><f>Z339</f><v /></c><c r="AL339" s="373" t="n"><v>275.04</v></c><c r="AM339" s="381"><f>AM338</f><v /></c><c r="AN339" s="375"><f>AN338</f><v /></c><c r="AO339" s="376"><f>LEFT(AN339,2)</f><v /></c><c r="AP339" s="376"><f>RIGHT(AN339,6)</f><v /></c><c r="AQ339" s="376"><f>+(AO339*60+AP339)/(60*60)</f><v /></c><c r="AR339" s="377"><f>+AM339/AQ339</f><v /></c><c r="AS339" s="321"><f>+(((AL339-AK339-AM339)/AM339)*100)</f><v /></c><c r="AT339" s="382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PA25517702</t></is></c><c r="H340" s="313"><f>H339</f><v /></c><c r="I340" s="38"><f>I339</f><v /></c><c r="J340" s="314"><f>J339</f><v /></c><c r="K340" s="372"><f>K339</f><v /></c><c r="L340" s="372"><f>L339</f><v /></c><c r="M340" s="373" t="n"><v>148.9</v></c><c r="N340" s="373" t="n"><v>248.79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417"><f>W339</f><v /></c><c r="X340" s="417"><f>X339</f><v /></c><c r="Y340" s="373" t="n"><v>257.92</v></c><c r="Z340" s="373" t="n"><v>267.85</v></c><c r="AA340" s="379"><f>AA339</f><v /></c><c r="AB340" s="380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417"><f>AI339</f><v /></c><c r="AJ340" s="417"><f>AJ339</f><v /></c><c r="AK340" s="373"><f>Z340</f><v /></c><c r="AL340" s="373" t="n"><v>272.9</v></c><c r="AM340" s="381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2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PA25517703</t></is></c><c r="H341" s="313"><f>H340</f><v /></c><c r="I341" s="38"><f>I340</f><v /></c><c r="J341" s="314"><f>J340</f><v /></c><c r="K341" s="372"><f>K340</f><v /></c><c r="L341" s="372"><f>L340</f><v /></c><c r="M341" s="373" t="n"><v>148.95</v></c><c r="N341" s="373" t="n"><v>248.95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417"><f>W340</f><v /></c><c r="X341" s="417"><f>X340</f><v /></c><c r="Y341" s="373" t="n"><v>258.14</v></c><c r="Z341" s="373" t="n"><v>268.04</v></c><c r="AA341" s="379"><f>AA340</f><v /></c><c r="AB341" s="380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417"><f>AI340</f><v /></c><c r="AJ341" s="417"><f>AJ340</f><v /></c><c r="AK341" s="373"><f>Z341</f><v /></c><c r="AL341" s="373" t="n"><v>273.05</v></c><c r="AM341" s="381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2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PA25517704</t></is></c><c r="H342" s="313"><f>H341</f><v /></c><c r="I342" s="38"><f>I341</f><v /></c><c r="J342" s="314"><f>J341</f><v /></c><c r="K342" s="372"><f>K341</f><v /></c><c r="L342" s="372"><f>L341</f><v /></c><c r="M342" s="373" t="n"><v>150.73</v></c><c r="N342" s="373" t="n"><v>250.8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417"><f>W341</f><v /></c><c r="X342" s="417"><f>X341</f><v /></c><c r="Y342" s="373" t="n"><v>260</v></c><c r="Z342" s="373" t="n"><v>269.9</v></c><c r="AA342" s="379"><f>AA341</f><v /></c><c r="AB342" s="380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417"><f>AI341</f><v /></c><c r="AJ342" s="417"><f>AJ341</f><v /></c><c r="AK342" s="373"><f>Z342</f><v /></c><c r="AL342" s="373" t="n"><v>274.95</v></c><c r="AM342" s="381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2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5" customHeight="1" thickBot="1"><c r="A343" s="368" t="n"><v>335</v></c><c r="B343" s="369"><f>B342</f><v /></c><c r="C343" s="369"><f>C342</f><v /></c><c r="D343" s="370"><f>D342</f><v /></c><c r="E343" s="371"><f>E342</f><v /></c><c r="F343" s="13" t="n" /><c r="G343" s="337" t="inlineStr"><is><t>PA25517705</t></is></c><c r="H343" s="326"><f>H342</f><v /></c><c r="I343" s="98"><f>I342</f><v /></c><c r="J343" s="327"><f>J342</f><v /></c><c r="K343" s="387"><f>K342</f><v /></c><c r="L343" s="387"><f>L342</f><v /></c><c r="M343" s="388" t="n"><v>150.09</v></c><c r="N343" s="388" t="n"><v>251</v></c><c r="O343" s="389"><f>O342</f><v /></c><c r="P343" s="390"><f>P342</f><v /></c><c r="Q343" s="391"><f>LEFT(P343,1)</f><v /></c><c r="R343" s="391"><f>RIGHT(P343,6)</f><v /></c><c r="S343" s="391"><f>+(Q343*60+R343)/(60*60)</f><v /></c><c r="T343" s="392"><f>+O343/S343</f><v /></c><c r="U343" s="393"><f>+(((N343-M343-O343)/O343)*100)</f><v /></c><c r="V343" s="329"><f>V342</f><v /></c><c r="W343" s="443"><f>W342</f><v /></c><c r="X343" s="443"><f>X342</f><v /></c><c r="Y343" s="388" t="n"><v>260.16</v></c><c r="Z343" s="388" t="n"><v>270.15</v></c><c r="AA343" s="394"><f>AA342</f><v /></c><c r="AB343" s="395"><f>AB342</f><v /></c><c r="AC343" s="391"><f>LEFT(AB343,2)</f><v /></c><c r="AD343" s="391"><f>RIGHT(AB343,6)</f><v /></c><c r="AE343" s="391"><f>+(AC343*60+AD343)/(60*60)</f><v /></c><c r="AF343" s="392"><f>+AA343/AE343</f><v /></c><c r="AG343" s="396"><f>+(((Z343-Y343-AA343)/AA343)*100)</f><v /></c><c r="AH343" s="329"><f>AH342</f><v /></c><c r="AI343" s="443"><f>AI342</f><v /></c><c r="AJ343" s="443"><f>AJ342</f><v /></c><c r="AK343" s="388"><f>Z343</f><v /></c><c r="AL343" s="388" t="n"><v>275.25</v></c><c r="AM343" s="397"><f>AM342</f><v /></c><c r="AN343" s="390"><f>AN342</f><v /></c><c r="AO343" s="391"><f>LEFT(AN343,2)</f><v /></c><c r="AP343" s="391"><f>RIGHT(AN343,6)</f><v /></c><c r="AQ343" s="391"><f>+(AO343*60+AP343)/(60*60)</f><v /></c><c r="AR343" s="392"><f>+AM343/AQ343</f><v /></c><c r="AS343" s="396"><f>+(((AL343-AK343-AM343)/AM343)*100)</f><v /></c><c r="AT343" s="398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PA25517706</t></is></c><c r="H344" s="301"><f>H343</f><v /></c><c r="I344" s="232"><f>I343</f><v /></c><c r="J344" s="302" t="n"><v>21.2</v></c><c r="K344" s="303" t="n"><v>8.074999999999999</v></c><c r="L344" s="303" t="n"><v>0.65</v></c><c r="M344" s="355" t="n"><v>120.08</v></c><c r="N344" s="355" t="n"><v>220.15</v></c><c r="O344" s="356" t="n"><v>100.49</v></c><c r="P344" s="357" t="inlineStr"><is><t>2,28,470</t></is></c><c r="Q344" s="358"><f>LEFT(P344,1)</f><v /></c><c r="R344" s="358"><f>RIGHT(P344,6)</f><v /></c><c r="S344" s="358"><f>+(Q344*60+R344)/(60*60)</f><v /></c><c r="T344" s="359"><f>+O344/S344</f><v /></c><c r="U344" s="360"><f>+(((N344-M344-O344)/O344)*100)</f><v /></c><c r="V344" s="306" t="n"><v>21.1</v></c><c r="W344" s="307" t="n"><v>1.505</v></c><c r="X344" s="307" t="n"><v>1.502</v></c><c r="Y344" s="355" t="n"><v>226.25</v></c><c r="Z344" s="355" t="n"><v>236.2</v></c><c r="AA344" s="308" t="n"><v>10.035</v></c><c r="AB344" s="357" t="inlineStr"><is><t>22,38,890</t></is></c><c r="AC344" s="358"><f>LEFT(AB344,2)</f><v /></c><c r="AD344" s="358"><f>RIGHT(AB344,6)</f><v /></c><c r="AE344" s="358"><f>+(AC344*60+AD344)/(60*60)</f><v /></c><c r="AF344" s="359"><f>+AA344/AE344</f><v /></c><c r="AG344" s="361"><f>+(((Z344-Y344-AA344)/AA344)*100)</f><v /></c><c r="AH344" s="306" t="n"><v>20.9</v></c><c r="AI344" s="307" t="n"><v>1.51</v></c><c r="AJ344" s="307" t="n"><v>1.503</v></c><c r="AK344" s="355"><f>Z344</f><v /></c><c r="AL344" s="355" t="n"><v>241.2</v></c><c r="AM344" s="362" t="n"><v>5.031</v></c><c r="AN344" s="357" t="inlineStr"><is><t>18,24,320</t></is></c><c r="AO344" s="358"><f>LEFT(AN344,2)</f><v /></c><c r="AP344" s="358"><f>RIGHT(AN344,6)</f><v /></c><c r="AQ344" s="358"><f>+(AO344*60+AP344)/(60*60)</f><v /></c><c r="AR344" s="359"><f>+AM344/AQ344</f><v /></c><c r="AS344" s="361"><f>+(((AL344-AK344-AM344)/AM344)*100)</f><v /></c><c r="AT344" s="36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PA25517707</t></is></c><c r="H345" s="313"><f>H344</f><v /></c><c r="I345" s="38"><f>I344</f><v /></c><c r="J345" s="314"><f>J344</f><v /></c><c r="K345" s="372"><f>K344</f><v /></c><c r="L345" s="372"><f>L344</f><v /></c><c r="M345" s="373" t="n"><v>117.65</v></c><c r="N345" s="373" t="n"><v>217.2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417"><f>W344</f><v /></c><c r="X345" s="417"><f>X344</f><v /></c><c r="Y345" s="373" t="n"><v>223.27</v></c><c r="Z345" s="373" t="n"><v>233.2</v></c><c r="AA345" s="379"><f>AA344</f><v /></c><c r="AB345" s="380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417"><f>AI344</f><v /></c><c r="AJ345" s="417"><f>AJ344</f><v /></c><c r="AK345" s="373"><f>Z345</f><v /></c><c r="AL345" s="373" t="n"><v>238.2</v></c><c r="AM345" s="381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2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PA25517708</t></is></c><c r="H346" s="313"><f>H345</f><v /></c><c r="I346" s="38"><f>I345</f><v /></c><c r="J346" s="314"><f>J345</f><v /></c><c r="K346" s="372"><f>K345</f><v /></c><c r="L346" s="372"><f>L345</f><v /></c><c r="M346" s="373" t="n"><v>118.05</v></c><c r="N346" s="373" t="n"><v>218.07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417"><f>W345</f><v /></c><c r="X346" s="417"><f>X345</f><v /></c><c r="Y346" s="373" t="n"><v>224.18</v></c><c r="Z346" s="373" t="n"><v>234.15</v></c><c r="AA346" s="379"><f>AA345</f><v /></c><c r="AB346" s="380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417"><f>AI345</f><v /></c><c r="AJ346" s="417"><f>AJ345</f><v /></c><c r="AK346" s="373"><f>Z346</f><v /></c><c r="AL346" s="373" t="n"><v>239.2</v></c><c r="AM346" s="381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2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PA25517709</t></is></c><c r="H347" s="313"><f>H346</f><v /></c><c r="I347" s="38"><f>I346</f><v /></c><c r="J347" s="314"><f>J346</f><v /></c><c r="K347" s="372"><f>K346</f><v /></c><c r="L347" s="372"><f>L346</f><v /></c><c r="M347" s="373" t="n"><v>115.36</v></c><c r="N347" s="373" t="n"><v>214.99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417"><f>W346</f><v /></c><c r="X347" s="417"><f>X346</f><v /></c><c r="Y347" s="373" t="n"><v>221.05</v></c><c r="Z347" s="373" t="n"><v>231</v></c><c r="AA347" s="379"><f>AA346</f><v /></c><c r="AB347" s="380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417"><f>AI346</f><v /></c><c r="AJ347" s="417"><f>AJ346</f><v /></c><c r="AK347" s="373"><f>Z347</f><v /></c><c r="AL347" s="373" t="n"><v>236.02</v></c><c r="AM347" s="381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2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PA25517710</t></is></c><c r="H348" s="313"><f>H347</f><v /></c><c r="I348" s="38"><f>I347</f><v /></c><c r="J348" s="314"><f>J347</f><v /></c><c r="K348" s="372"><f>K347</f><v /></c><c r="L348" s="372"><f>L347</f><v /></c><c r="M348" s="373" t="n"><v>114.65</v></c><c r="N348" s="373" t="n"><v>213.7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417"><f>W347</f><v /></c><c r="X348" s="417"><f>X347</f><v /></c><c r="Y348" s="373" t="n"><v>219.76</v></c><c r="Z348" s="373" t="n"><v>229.7</v></c><c r="AA348" s="379"><f>AA347</f><v /></c><c r="AB348" s="380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417"><f>AI347</f><v /></c><c r="AJ348" s="417"><f>AJ347</f><v /></c><c r="AK348" s="373"><f>Z348</f><v /></c><c r="AL348" s="373" t="n"><v>234.75</v></c><c r="AM348" s="381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2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PA25517711</t></is></c><c r="H349" s="313"><f>H348</f><v /></c><c r="I349" s="38"><f>I348</f><v /></c><c r="J349" s="314"><f>J348</f><v /></c><c r="K349" s="372"><f>K348</f><v /></c><c r="L349" s="372"><f>L348</f><v /></c><c r="M349" s="373" t="n"><v>118.82</v></c><c r="N349" s="373" t="n"><v>218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417"><f>W348</f><v /></c><c r="X349" s="417"><f>X348</f><v /></c><c r="Y349" s="373" t="n"><v>224.05</v></c><c r="Z349" s="373" t="n"><v>234</v></c><c r="AA349" s="379"><f>AA348</f><v /></c><c r="AB349" s="380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417"><f>AI348</f><v /></c><c r="AJ349" s="417"><f>AJ348</f><v /></c><c r="AK349" s="373"><f>Z349</f><v /></c><c r="AL349" s="373" t="n"><v>239</v></c><c r="AM349" s="381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2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PA25517712</t></is></c><c r="H350" s="313"><f>H349</f><v /></c><c r="I350" s="38"><f>I349</f><v /></c><c r="J350" s="314"><f>J349</f><v /></c><c r="K350" s="372"><f>K349</f><v /></c><c r="L350" s="372"><f>L349</f><v /></c><c r="M350" s="373" t="n"><v>116.47</v></c><c r="N350" s="373" t="n"><v>216.4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417"><f>W349</f><v /></c><c r="X350" s="417"><f>X349</f><v /></c><c r="Y350" s="373" t="n"><v>222.5</v></c><c r="Z350" s="373" t="n"><v>232.45</v></c><c r="AA350" s="379"><f>AA349</f><v /></c><c r="AB350" s="380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417"><f>AI349</f><v /></c><c r="AJ350" s="417"><f>AJ349</f><v /></c><c r="AK350" s="373"><f>Z350</f><v /></c><c r="AL350" s="373" t="n"><v>237.47</v></c><c r="AM350" s="381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2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PA25517713</t></is></c><c r="H351" s="313"><f>H350</f><v /></c><c r="I351" s="38"><f>I350</f><v /></c><c r="J351" s="314"><f>J350</f><v /></c><c r="K351" s="372"><f>K350</f><v /></c><c r="L351" s="372"><f>L350</f><v /></c><c r="M351" s="373" t="n"><v>116</v></c><c r="N351" s="373" t="n"><v>215.4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417"><f>W350</f><v /></c><c r="X351" s="417"><f>X350</f><v /></c><c r="Y351" s="373" t="n"><v>221.49</v></c><c r="Z351" s="373" t="n"><v>231.45</v></c><c r="AA351" s="379"><f>AA350</f><v /></c><c r="AB351" s="380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417"><f>AI350</f><v /></c><c r="AJ351" s="417"><f>AJ350</f><v /></c><c r="AK351" s="373"><f>Z351</f><v /></c><c r="AL351" s="373" t="n"><v>236.48</v></c><c r="AM351" s="381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2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PA25517714</t></is></c><c r="H352" s="313"><f>H351</f><v /></c><c r="I352" s="38"><f>I351</f><v /></c><c r="J352" s="314"><f>J351</f><v /></c><c r="K352" s="372"><f>K351</f><v /></c><c r="L352" s="372"><f>L351</f><v /></c><c r="M352" s="373" t="n"><v>116.95</v></c><c r="N352" s="373" t="n"><v>217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417"><f>W351</f><v /></c><c r="X352" s="417"><f>X351</f><v /></c><c r="Y352" s="373" t="n"><v>223.09</v></c><c r="Z352" s="373" t="n"><v>233.02</v></c><c r="AA352" s="379"><f>AA351</f><v /></c><c r="AB352" s="380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417"><f>AI351</f><v /></c><c r="AJ352" s="417"><f>AJ351</f><v /></c><c r="AK352" s="373"><f>Z352</f><v /></c><c r="AL352" s="373" t="n"><v>238.07</v></c><c r="AM352" s="381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2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4.4" customHeight="1" thickBot="1"><c r="A353" s="368" t="n"><v>345</v></c><c r="B353" s="369"><f>B352</f><v /></c><c r="C353" s="369"><f>C352</f><v /></c><c r="D353" s="370"><f>D352</f><v /></c><c r="E353" s="371"><f>E352</f><v /></c><c r="F353" s="13" t="n" /><c r="G353" s="300" t="inlineStr"><is><t>PA25517715</t></is></c><c r="H353" s="313"><f>H352</f><v /></c><c r="I353" s="38"><f>I352</f><v /></c><c r="J353" s="314"><f>J352</f><v /></c><c r="K353" s="372"><f>K352</f><v /></c><c r="L353" s="372"><f>L352</f><v /></c><c r="M353" s="373" t="n"><v>117.1</v></c><c r="N353" s="373" t="n"><v>217.35</v></c><c r="O353" s="374"><f>O352</f><v /></c><c r="P353" s="375"><f>P352</f><v /></c><c r="Q353" s="376"><f>LEFT(P353,1)</f><v /></c><c r="R353" s="376"><f>RIGHT(P353,6)</f><v /></c><c r="S353" s="376"><f>+(Q353*60+R353)/(60*60)</f><v /></c><c r="T353" s="377"><f>+O353/S353</f><v /></c><c r="U353" s="378"><f>+(((N353-M353-O353)/O353)*100)</f><v /></c><c r="V353" s="317"><f>V352</f><v /></c><c r="W353" s="417"><f>W352</f><v /></c><c r="X353" s="417"><f>X352</f><v /></c><c r="Y353" s="373" t="n"><v>223.45</v></c><c r="Z353" s="373" t="n"><v>233.4</v></c><c r="AA353" s="379"><f>AA352</f><v /></c><c r="AB353" s="380"><f>AB352</f><v /></c><c r="AC353" s="376"><f>LEFT(AB353,2)</f><v /></c><c r="AD353" s="376"><f>RIGHT(AB353,6)</f><v /></c><c r="AE353" s="376"><f>+(AC353*60+AD353)/(60*60)</f><v /></c><c r="AF353" s="377"><f>+AA353/AE353</f><v /></c><c r="AG353" s="321"><f>+(((Z353-Y353-AA353)/AA353)*100)</f><v /></c><c r="AH353" s="317"><f>AH352</f><v /></c><c r="AI353" s="417"><f>AI352</f><v /></c><c r="AJ353" s="417"><f>AJ352</f><v /></c><c r="AK353" s="373"><f>Z353</f><v /></c><c r="AL353" s="373" t="n"><v>238.45</v></c><c r="AM353" s="381"><f>AM352</f><v /></c><c r="AN353" s="375"><f>AN352</f><v /></c><c r="AO353" s="376"><f>LEFT(AN353,2)</f><v /></c><c r="AP353" s="376"><f>RIGHT(AN353,6)</f><v /></c><c r="AQ353" s="376"><f>+(AO353*60+AP353)/(60*60)</f><v /></c><c r="AR353" s="377"><f>+AM353/AQ353</f><v /></c><c r="AS353" s="321"><f>+(((AL353-AK353-AM353)/AM353)*100)</f><v /></c><c r="AT353" s="382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PA25517716</t></is></c><c r="H354" s="313"><f>H353</f><v /></c><c r="I354" s="38"><f>I353</f><v /></c><c r="J354" s="314"><f>J353</f><v /></c><c r="K354" s="372"><f>K353</f><v /></c><c r="L354" s="372"><f>L353</f><v /></c><c r="M354" s="373" t="n"><v>117.3</v></c><c r="N354" s="373" t="n"><v>217.2</v></c><c r="O354" s="374"><f>O353</f><v /></c><c r="P354" s="375"><f>P353</f><v /></c><c r="Q354" s="376"><f>LEFT(P354,1)</f><v /></c><c r="R354" s="376"><f>RIGHT(P354,6)</f><v /></c><c r="S354" s="376"><f>+(Q354*60+R354)/(60*60)</f><v /></c><c r="T354" s="377"><f>+O354/S354</f><v /></c><c r="U354" s="378"><f>+(((N354-M354-O354)/O354)*100)</f><v /></c><c r="V354" s="317"><f>V353</f><v /></c><c r="W354" s="417"><f>W353</f><v /></c><c r="X354" s="417"><f>X353</f><v /></c><c r="Y354" s="373" t="n"><v>223.3</v></c><c r="Z354" s="373" t="n"><v>233.26</v></c><c r="AA354" s="379"><f>AA353</f><v /></c><c r="AB354" s="380"><f>AB353</f><v /></c><c r="AC354" s="376"><f>LEFT(AB354,2)</f><v /></c><c r="AD354" s="376"><f>RIGHT(AB354,6)</f><v /></c><c r="AE354" s="376"><f>+(AC354*60+AD354)/(60*60)</f><v /></c><c r="AF354" s="377"><f>+AA354/AE354</f><v /></c><c r="AG354" s="321"><f>+(((Z354-Y354-AA354)/AA354)*100)</f><v /></c><c r="AH354" s="317"><f>AH353</f><v /></c><c r="AI354" s="417"><f>AI353</f><v /></c><c r="AJ354" s="417"><f>AJ353</f><v /></c><c r="AK354" s="373"><f>Z354</f><v /></c><c r="AL354" s="373" t="n"><v>238.3</v></c><c r="AM354" s="381"><f>AM353</f><v /></c><c r="AN354" s="375"><f>AN353</f><v /></c><c r="AO354" s="376"><f>LEFT(AN354,2)</f><v /></c><c r="AP354" s="376"><f>RIGHT(AN354,6)</f><v /></c><c r="AQ354" s="376"><f>+(AO354*60+AP354)/(60*60)</f><v /></c><c r="AR354" s="377"><f>+AM354/AQ354</f><v /></c><c r="AS354" s="321"><f>+(((AL354-AK354-AM354)/AM354)*100)</f><v /></c><c r="AT354" s="382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PA25517717</t></is></c><c r="H355" s="313"><f>H354</f><v /></c><c r="I355" s="38"><f>I354</f><v /></c><c r="J355" s="314"><f>J354</f><v /></c><c r="K355" s="372"><f>K354</f><v /></c><c r="L355" s="372"><f>L354</f><v /></c><c r="M355" s="373" t="n"><v>117.09</v></c><c r="N355" s="373" t="n"><v>216.85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417"><f>W354</f><v /></c><c r="X355" s="417"><f>X354</f><v /></c><c r="Y355" s="373" t="n"><v>222.95</v></c><c r="Z355" s="373" t="n"><v>232.91</v></c><c r="AA355" s="379"><f>AA354</f><v /></c><c r="AB355" s="380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417"><f>AI354</f><v /></c><c r="AJ355" s="417"><f>AJ354</f><v /></c><c r="AK355" s="373"><f>Z355</f><v /></c><c r="AL355" s="373" t="n"><v>237.98</v></c><c r="AM355" s="381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2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PA25517718</t></is></c><c r="H356" s="313"><f>H355</f><v /></c><c r="I356" s="38"><f>I355</f><v /></c><c r="J356" s="314"><f>J355</f><v /></c><c r="K356" s="372"><f>K355</f><v /></c><c r="L356" s="372"><f>L355</f><v /></c><c r="M356" s="373" t="n"><v>116.33</v></c><c r="N356" s="373" t="n"><v>216.3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417"><f>W355</f><v /></c><c r="X356" s="417"><f>X355</f><v /></c><c r="Y356" s="373" t="n"><v>222.4</v></c><c r="Z356" s="373" t="n"><v>232.35</v></c><c r="AA356" s="379"><f>AA355</f><v /></c><c r="AB356" s="380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417"><f>AI355</f><v /></c><c r="AJ356" s="417"><f>AJ355</f><v /></c><c r="AK356" s="373"><f>Z356</f><v /></c><c r="AL356" s="373" t="n"><v>237.4</v></c><c r="AM356" s="381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2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PA25517719</t></is></c><c r="H357" s="313"><f>H356</f><v /></c><c r="I357" s="38"><f>I356</f><v /></c><c r="J357" s="314"><f>J356</f><v /></c><c r="K357" s="372"><f>K356</f><v /></c><c r="L357" s="372"><f>L356</f><v /></c><c r="M357" s="373" t="n"><v>116.7</v></c><c r="N357" s="373" t="n"><v>215.95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417"><f>W356</f><v /></c><c r="X357" s="417"><f>X356</f><v /></c><c r="Y357" s="373" t="n"><v>222.02</v></c><c r="Z357" s="373" t="n"><v>231.95</v></c><c r="AA357" s="379"><f>AA356</f><v /></c><c r="AB357" s="380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417"><f>AI356</f><v /></c><c r="AJ357" s="417"><f>AJ356</f><v /></c><c r="AK357" s="373"><f>Z357</f><v /></c><c r="AL357" s="373" t="n"><v>237</v></c><c r="AM357" s="381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2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5" customHeight="1" thickBot="1"><c r="A358" s="368" t="n"><v>350</v></c><c r="B358" s="369"><f>B357</f><v /></c><c r="C358" s="369"><f>C357</f><v /></c><c r="D358" s="370"><f>D357</f><v /></c><c r="E358" s="371"><f>E357</f><v /></c><c r="F358" s="13" t="n" /><c r="G358" s="337" t="inlineStr"><is><t>PA25517720</t></is></c><c r="H358" s="326"><f>H357</f><v /></c><c r="I358" s="98"><f>I357</f><v /></c><c r="J358" s="327"><f>J357</f><v /></c><c r="K358" s="387"><f>K357</f><v /></c><c r="L358" s="387"><f>L357</f><v /></c><c r="M358" s="388" t="n"><v>115.65</v></c><c r="N358" s="388" t="n"><v>215.85</v></c><c r="O358" s="389"><f>O357</f><v /></c><c r="P358" s="390"><f>P357</f><v /></c><c r="Q358" s="391"><f>LEFT(P358,1)</f><v /></c><c r="R358" s="391"><f>RIGHT(P358,6)</f><v /></c><c r="S358" s="391"><f>+(Q358*60+R358)/(60*60)</f><v /></c><c r="T358" s="392"><f>+O358/S358</f><v /></c><c r="U358" s="393"><f>+(((N358-M358-O358)/O358)*100)</f><v /></c><c r="V358" s="329"><f>V357</f><v /></c><c r="W358" s="443"><f>W357</f><v /></c><c r="X358" s="443"><f>X357</f><v /></c><c r="Y358" s="388" t="n"><v>221.95</v></c><c r="Z358" s="388" t="n"><v>231.97</v></c><c r="AA358" s="394"><f>AA357</f><v /></c><c r="AB358" s="395"><f>AB357</f><v /></c><c r="AC358" s="391"><f>LEFT(AB358,2)</f><v /></c><c r="AD358" s="391"><f>RIGHT(AB358,6)</f><v /></c><c r="AE358" s="391"><f>+(AC358*60+AD358)/(60*60)</f><v /></c><c r="AF358" s="392"><f>+AA358/AE358</f><v /></c><c r="AG358" s="396"><f>+(((Z358-Y358-AA358)/AA358)*100)</f><v /></c><c r="AH358" s="329"><f>AH357</f><v /></c><c r="AI358" s="443"><f>AI357</f><v /></c><c r="AJ358" s="443"><f>AJ357</f><v /></c><c r="AK358" s="388"><f>Z358</f><v /></c><c r="AL358" s="388" t="n"><v>237.05</v></c><c r="AM358" s="397"><f>AM357</f><v /></c><c r="AN358" s="390"><f>AN357</f><v /></c><c r="AO358" s="391"><f>LEFT(AN358,2)</f><v /></c><c r="AP358" s="391"><f>RIGHT(AN358,6)</f><v /></c><c r="AQ358" s="391"><f>+(AO358*60+AP358)/(60*60)</f><v /></c><c r="AR358" s="392"><f>+AM358/AQ358</f><v /></c><c r="AS358" s="396"><f>+(((AL358-AK358-AM358)/AM358)*100)</f><v /></c><c r="AT358" s="398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PA25517721</t></is></c><c r="H359" s="301"><f>H358</f><v /></c><c r="I359" s="232"><f>I358</f><v /></c><c r="J359" s="302" t="n"><v>20</v></c><c r="K359" s="303" t="n"><v>7.91</v></c><c r="L359" s="303" t="n"><v>0.554</v></c><c r="M359" s="355" t="n"><v>110.15</v></c><c r="N359" s="355" t="n"><v>210.5</v></c><c r="O359" s="356" t="n"><v>100.74</v></c><c r="P359" s="357" t="inlineStr"><is><t>2,29,820</t></is></c><c r="Q359" s="358"><f>LEFT(P359,1)</f><v /></c><c r="R359" s="358"><f>RIGHT(P359,6)</f><v /></c><c r="S359" s="358"><f>+(Q359*60+R359)/(60*60)</f><v /></c><c r="T359" s="359"><f>+O359/S359</f><v /></c><c r="U359" s="360"><f>+(((N359-M359-O359)/O359)*100)</f><v /></c><c r="V359" s="306" t="n"><v>19.9</v></c><c r="W359" s="307" t="n"><v>1.498</v></c><c r="X359" s="307" t="n"><v>1.493</v></c><c r="Y359" s="355" t="n"><v>216.25</v></c><c r="Z359" s="355" t="n"><v>226.21</v></c><c r="AA359" s="308" t="n"><v>10.009</v></c><c r="AB359" s="357" t="inlineStr"><is><t>22,43,470</t></is></c><c r="AC359" s="358"><f>LEFT(AB359,2)</f><v /></c><c r="AD359" s="358"><f>RIGHT(AB359,6)</f><v /></c><c r="AE359" s="358"><f>+(AC359*60+AD359)/(60*60)</f><v /></c><c r="AF359" s="359"><f>+AA359/AE359</f><v /></c><c r="AG359" s="361"><f>+(((Z359-Y359-AA359)/AA359)*100)</f><v /></c><c r="AH359" s="306" t="n"><v>19.4</v></c><c r="AI359" s="307" t="n"><v>1.499</v></c><c r="AJ359" s="307" t="n"><v>1.497</v></c><c r="AK359" s="355"><f>Z359</f><v /></c><c r="AL359" s="355" t="n"><v>231.3</v></c><c r="AM359" s="362" t="n"><v>5.021</v></c><c r="AN359" s="357" t="inlineStr"><is><t>18,35,460</t></is></c><c r="AO359" s="358"><f>LEFT(AN359,2)</f><v /></c><c r="AP359" s="358"><f>RIGHT(AN359,6)</f><v /></c><c r="AQ359" s="358"><f>+(AO359*60+AP359)/(60*60)</f><v /></c><c r="AR359" s="359"><f>+AM359/AQ359</f><v /></c><c r="AS359" s="361"><f>+(((AL359-AK359-AM359)/AM359)*100)</f><v /></c><c r="AT359" s="36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PA25517722</t></is></c><c r="H360" s="313"><f>H359</f><v /></c><c r="I360" s="38"><f>I359</f><v /></c><c r="J360" s="314"><f>J359</f><v /></c><c r="K360" s="372"><f>K359</f><v /></c><c r="L360" s="372"><f>L359</f><v /></c><c r="M360" s="373" t="n"><v>110.2</v></c><c r="N360" s="373" t="n"><v>209.85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417"><f>W359</f><v /></c><c r="X360" s="417"><f>X359</f><v /></c><c r="Y360" s="373" t="n"><v>215.55</v></c><c r="Z360" s="373" t="n"><v>225.45</v></c><c r="AA360" s="379"><f>AA359</f><v /></c><c r="AB360" s="380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417"><f>AI359</f><v /></c><c r="AJ360" s="417"><f>AJ359</f><v /></c><c r="AK360" s="373"><f>Z360</f><v /></c><c r="AL360" s="373" t="n"><v>230.5</v></c><c r="AM360" s="381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2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PA25517723</t></is></c><c r="H361" s="313"><f>H360</f><v /></c><c r="I361" s="38"><f>I360</f><v /></c><c r="J361" s="314"><f>J360</f><v /></c><c r="K361" s="372"><f>K360</f><v /></c><c r="L361" s="372"><f>L360</f><v /></c><c r="M361" s="373" t="n"><v>111.3</v></c><c r="N361" s="373" t="n"><v>211.65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417"><f>W360</f><v /></c><c r="X361" s="417"><f>X360</f><v /></c><c r="Y361" s="373" t="n"><v>217.38</v></c><c r="Z361" s="373" t="n"><v>227.38</v></c><c r="AA361" s="379"><f>AA360</f><v /></c><c r="AB361" s="380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417"><f>AI360</f><v /></c><c r="AJ361" s="417"><f>AJ360</f><v /></c><c r="AK361" s="373"><f>Z361</f><v /></c><c r="AL361" s="373" t="n"><v>232.45</v></c><c r="AM361" s="381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2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PA25517724</t></is></c><c r="H362" s="313"><f>H361</f><v /></c><c r="I362" s="38"><f>I361</f><v /></c><c r="J362" s="314"><f>J361</f><v /></c><c r="K362" s="372"><f>K361</f><v /></c><c r="L362" s="372"><f>L361</f><v /></c><c r="M362" s="373" t="n"><v>111.95</v></c><c r="N362" s="373" t="n"><v>213.15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417"><f>W361</f><v /></c><c r="X362" s="417"><f>X361</f><v /></c><c r="Y362" s="373" t="n"><v>218.9</v></c><c r="Z362" s="373" t="n"><v>228.96</v></c><c r="AA362" s="379"><f>AA361</f><v /></c><c r="AB362" s="380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417"><f>AI361</f><v /></c><c r="AJ362" s="417"><f>AJ361</f><v /></c><c r="AK362" s="373"><f>Z362</f><v /></c><c r="AL362" s="373" t="n"><v>234.09</v></c><c r="AM362" s="381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2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PA25517725</t></is></c><c r="H363" s="313"><f>H362</f><v /></c><c r="I363" s="38"><f>I362</f><v /></c><c r="J363" s="314"><f>J362</f><v /></c><c r="K363" s="372"><f>K362</f><v /></c><c r="L363" s="372"><f>L362</f><v /></c><c r="M363" s="373" t="n"><v>111.3</v></c><c r="N363" s="373" t="n"><v>211.86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417"><f>W362</f><v /></c><c r="X363" s="417"><f>X362</f><v /></c><c r="Y363" s="373" t="n"><v>217.6</v></c><c r="Z363" s="373" t="n"><v>227.55</v></c><c r="AA363" s="379"><f>AA362</f><v /></c><c r="AB363" s="380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417"><f>AI362</f><v /></c><c r="AJ363" s="417"><f>AJ362</f><v /></c><c r="AK363" s="373"><f>Z363</f><v /></c><c r="AL363" s="373" t="n"><v>232.6</v></c><c r="AM363" s="381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2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PA25517726</t></is></c><c r="H364" s="313"><f>H363</f><v /></c><c r="I364" s="38"><f>I363</f><v /></c><c r="J364" s="314"><f>J363</f><v /></c><c r="K364" s="372"><f>K363</f><v /></c><c r="L364" s="372"><f>L363</f><v /></c><c r="M364" s="373" t="n"><v>111.45</v></c><c r="N364" s="373" t="n"><v>211.46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417"><f>W363</f><v /></c><c r="X364" s="417"><f>X363</f><v /></c><c r="Y364" s="373" t="n"><v>217.2</v></c><c r="Z364" s="373" t="n"><v>227.2</v></c><c r="AA364" s="379"><f>AA363</f><v /></c><c r="AB364" s="380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417"><f>AI363</f><v /></c><c r="AJ364" s="417"><f>AJ363</f><v /></c><c r="AK364" s="373"><f>Z364</f><v /></c><c r="AL364" s="373" t="n"><v>232.25</v></c><c r="AM364" s="381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2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PA25517727</t></is></c><c r="H365" s="313"><f>H364</f><v /></c><c r="I365" s="38"><f>I364</f><v /></c><c r="J365" s="314"><f>J364</f><v /></c><c r="K365" s="372"><f>K364</f><v /></c><c r="L365" s="372"><f>L364</f><v /></c><c r="M365" s="373" t="n"><v>111.31</v></c><c r="N365" s="373" t="n"><v>211.45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417"><f>W364</f><v /></c><c r="X365" s="417"><f>X364</f><v /></c><c r="Y365" s="373" t="n"><v>217.2</v></c><c r="Z365" s="373" t="n"><v>227.15</v></c><c r="AA365" s="379"><f>AA364</f><v /></c><c r="AB365" s="380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417"><f>AI364</f><v /></c><c r="AJ365" s="417"><f>AJ364</f><v /></c><c r="AK365" s="373"><f>Z365</f><v /></c><c r="AL365" s="373" t="n"><v>232.2</v></c><c r="AM365" s="381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2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PA25517728</t></is></c><c r="H366" s="313"><f>H365</f><v /></c><c r="I366" s="38"><f>I365</f><v /></c><c r="J366" s="314"><f>J365</f><v /></c><c r="K366" s="372"><f>K365</f><v /></c><c r="L366" s="372"><f>L365</f><v /></c><c r="M366" s="373" t="n"><v>111.55</v></c><c r="N366" s="373" t="n"><v>211.98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417"><f>W365</f><v /></c><c r="X366" s="417"><f>X365</f><v /></c><c r="Y366" s="373" t="n"><v>217.7</v></c><c r="Z366" s="373" t="n"><v>227.65</v></c><c r="AA366" s="379"><f>AA365</f><v /></c><c r="AB366" s="380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417"><f>AI365</f><v /></c><c r="AJ366" s="417"><f>AJ365</f><v /></c><c r="AK366" s="373"><f>Z366</f><v /></c><c r="AL366" s="373" t="n"><v>232.69</v></c><c r="AM366" s="381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2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PA25517729</t></is></c><c r="H367" s="313"><f>H366</f><v /></c><c r="I367" s="38"><f>I366</f><v /></c><c r="J367" s="314"><f>J366</f><v /></c><c r="K367" s="372"><f>K366</f><v /></c><c r="L367" s="372"><f>L366</f><v /></c><c r="M367" s="373" t="n"><v>111.5</v></c><c r="N367" s="373" t="n"><v>211.5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417"><f>W366</f><v /></c><c r="X367" s="417"><f>X366</f><v /></c><c r="Y367" s="373" t="n"><v>217.24</v></c><c r="Z367" s="373" t="n"><v>227.24</v></c><c r="AA367" s="379"><f>AA366</f><v /></c><c r="AB367" s="380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417"><f>AI366</f><v /></c><c r="AJ367" s="417"><f>AJ366</f><v /></c><c r="AK367" s="373"><f>Z367</f><v /></c><c r="AL367" s="373" t="n"><v>232.3</v></c><c r="AM367" s="381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2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4.4" customHeight="1" thickBot="1"><c r="A368" s="368" t="n"><v>360</v></c><c r="B368" s="369"><f>B367</f><v /></c><c r="C368" s="369"><f>C367</f><v /></c><c r="D368" s="370"><f>D367</f><v /></c><c r="E368" s="371"><f>E367</f><v /></c><c r="F368" s="13" t="n" /><c r="G368" s="300" t="inlineStr"><is><t>PA25517730</t></is></c><c r="H368" s="313"><f>H367</f><v /></c><c r="I368" s="38"><f>I367</f><v /></c><c r="J368" s="314"><f>J367</f><v /></c><c r="K368" s="372"><f>K367</f><v /></c><c r="L368" s="372"><f>L367</f><v /></c><c r="M368" s="373" t="n"><v>111.21</v></c><c r="N368" s="373" t="n"><v>211.7</v></c><c r="O368" s="374"><f>O367</f><v /></c><c r="P368" s="375"><f>P367</f><v /></c><c r="Q368" s="376"><f>LEFT(P368,1)</f><v /></c><c r="R368" s="376"><f>RIGHT(P368,6)</f><v /></c><c r="S368" s="376"><f>+(Q368*60+R368)/(60*60)</f><v /></c><c r="T368" s="377"><f>+O368/S368</f><v /></c><c r="U368" s="378"><f>+(((N368-M368-O368)/O368)*100)</f><v /></c><c r="V368" s="317"><f>V367</f><v /></c><c r="W368" s="417"><f>W367</f><v /></c><c r="X368" s="417"><f>X367</f><v /></c><c r="Y368" s="373" t="n"><v>217.45</v></c><c r="Z368" s="373" t="n"><v>227.39</v></c><c r="AA368" s="379"><f>AA367</f><v /></c><c r="AB368" s="380"><f>AB367</f><v /></c><c r="AC368" s="376"><f>LEFT(AB368,2)</f><v /></c><c r="AD368" s="376"><f>RIGHT(AB368,6)</f><v /></c><c r="AE368" s="376"><f>+(AC368*60+AD368)/(60*60)</f><v /></c><c r="AF368" s="377"><f>+AA368/AE368</f><v /></c><c r="AG368" s="321"><f>+(((Z368-Y368-AA368)/AA368)*100)</f><v /></c><c r="AH368" s="317"><f>AH367</f><v /></c><c r="AI368" s="417"><f>AI367</f><v /></c><c r="AJ368" s="417"><f>AJ367</f><v /></c><c r="AK368" s="373"><f>Z368</f><v /></c><c r="AL368" s="373" t="n"><v>232.4</v></c><c r="AM368" s="381"><f>AM367</f><v /></c><c r="AN368" s="375"><f>AN367</f><v /></c><c r="AO368" s="376"><f>LEFT(AN368,2)</f><v /></c><c r="AP368" s="376"><f>RIGHT(AN368,6)</f><v /></c><c r="AQ368" s="376"><f>+(AO368*60+AP368)/(60*60)</f><v /></c><c r="AR368" s="377"><f>+AM368/AQ368</f><v /></c><c r="AS368" s="321"><f>+(((AL368-AK368-AM368)/AM368)*100)</f><v /></c><c r="AT368" s="382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PA25517731</t></is></c><c r="H369" s="313"><f>H368</f><v /></c><c r="I369" s="38"><f>I368</f><v /></c><c r="J369" s="314"><f>J368</f><v /></c><c r="K369" s="372"><f>K368</f><v /></c><c r="L369" s="372"><f>L368</f><v /></c><c r="M369" s="373" t="n"><v>111.05</v></c><c r="N369" s="373" t="n"><v>210.75</v></c><c r="O369" s="374"><f>O368</f><v /></c><c r="P369" s="375"><f>P368</f><v /></c><c r="Q369" s="376"><f>LEFT(P369,1)</f><v /></c><c r="R369" s="376"><f>RIGHT(P369,6)</f><v /></c><c r="S369" s="376"><f>+(Q369*60+R369)/(60*60)</f><v /></c><c r="T369" s="377"><f>+O369/S369</f><v /></c><c r="U369" s="378"><f>+(((N369-M369-O369)/O369)*100)</f><v /></c><c r="V369" s="317"><f>V368</f><v /></c><c r="W369" s="417"><f>W368</f><v /></c><c r="X369" s="417"><f>X368</f><v /></c><c r="Y369" s="373" t="n"><v>216.48</v></c><c r="Z369" s="373" t="n"><v>226.41</v></c><c r="AA369" s="379"><f>AA368</f><v /></c><c r="AB369" s="380"><f>AB368</f><v /></c><c r="AC369" s="376"><f>LEFT(AB369,2)</f><v /></c><c r="AD369" s="376"><f>RIGHT(AB369,6)</f><v /></c><c r="AE369" s="376"><f>+(AC369*60+AD369)/(60*60)</f><v /></c><c r="AF369" s="377"><f>+AA369/AE369</f><v /></c><c r="AG369" s="321"><f>+(((Z369-Y369-AA369)/AA369)*100)</f><v /></c><c r="AH369" s="317"><f>AH368</f><v /></c><c r="AI369" s="417"><f>AI368</f><v /></c><c r="AJ369" s="417"><f>AJ368</f><v /></c><c r="AK369" s="373"><f>Z369</f><v /></c><c r="AL369" s="373" t="n"><v>231.45</v></c><c r="AM369" s="381"><f>AM368</f><v /></c><c r="AN369" s="375"><f>AN368</f><v /></c><c r="AO369" s="376"><f>LEFT(AN369,2)</f><v /></c><c r="AP369" s="376"><f>RIGHT(AN369,6)</f><v /></c><c r="AQ369" s="376"><f>+(AO369*60+AP369)/(60*60)</f><v /></c><c r="AR369" s="377"><f>+AM369/AQ369</f><v /></c><c r="AS369" s="321"><f>+(((AL369-AK369-AM369)/AM369)*100)</f><v /></c><c r="AT369" s="382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PA25517732</t></is></c><c r="H370" s="313"><f>H369</f><v /></c><c r="I370" s="38"><f>I369</f><v /></c><c r="J370" s="314"><f>J369</f><v /></c><c r="K370" s="372"><f>K369</f><v /></c><c r="L370" s="372"><f>L369</f><v /></c><c r="M370" s="373" t="n"><v>110.6</v></c><c r="N370" s="373" t="n"><v>210.75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417"><f>W369</f><v /></c><c r="X370" s="417"><f>X369</f><v /></c><c r="Y370" s="373" t="n"><v>216.5</v></c><c r="Z370" s="373" t="n"><v>226.4</v></c><c r="AA370" s="379"><f>AA369</f><v /></c><c r="AB370" s="380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417"><f>AI369</f><v /></c><c r="AJ370" s="417"><f>AJ369</f><v /></c><c r="AK370" s="373"><f>Z370</f><v /></c><c r="AL370" s="373" t="n"><v>231.45</v></c><c r="AM370" s="381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2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PA25517733</t></is></c><c r="H371" s="313"><f>H370</f><v /></c><c r="I371" s="38"><f>I370</f><v /></c><c r="J371" s="314"><f>J370</f><v /></c><c r="K371" s="372"><f>K370</f><v /></c><c r="L371" s="372"><f>L370</f><v /></c><c r="M371" s="373" t="n"><v>111.6</v></c><c r="N371" s="373" t="n"><v>211.9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417"><f>W370</f><v /></c><c r="X371" s="417"><f>X370</f><v /></c><c r="Y371" s="373" t="n"><v>217.64</v></c><c r="Z371" s="373" t="n"><v>227.51</v></c><c r="AA371" s="379"><f>AA370</f><v /></c><c r="AB371" s="380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417"><f>AI370</f><v /></c><c r="AJ371" s="417"><f>AJ370</f><v /></c><c r="AK371" s="373"><f>Z371</f><v /></c><c r="AL371" s="373" t="n"><v>232.5</v></c><c r="AM371" s="381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2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PA25517734</t></is></c><c r="H372" s="313"><f>H371</f><v /></c><c r="I372" s="38"><f>I371</f><v /></c><c r="J372" s="314"><f>J371</f><v /></c><c r="K372" s="372"><f>K371</f><v /></c><c r="L372" s="372"><f>L371</f><v /></c><c r="M372" s="373" t="n"><v>111.9</v></c><c r="N372" s="373" t="n"><v>212.45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417"><f>W371</f><v /></c><c r="X372" s="417"><f>X371</f><v /></c><c r="Y372" s="373" t="n"><v>218.2</v></c><c r="Z372" s="373" t="n"><v>228.2</v></c><c r="AA372" s="379"><f>AA371</f><v /></c><c r="AB372" s="380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417"><f>AI371</f><v /></c><c r="AJ372" s="417"><f>AJ371</f><v /></c><c r="AK372" s="373"><f>Z372</f><v /></c><c r="AL372" s="373" t="n"><v>233.25</v></c><c r="AM372" s="381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2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5" customHeight="1" thickBot="1"><c r="A373" s="368" t="n"><v>365</v></c><c r="B373" s="369"><f>B372</f><v /></c><c r="C373" s="369"><f>C372</f><v /></c><c r="D373" s="370"><f>D372</f><v /></c><c r="E373" s="371"><f>E372</f><v /></c><c r="F373" s="13" t="n" /><c r="G373" s="337" t="inlineStr"><is><t>PA25517735</t></is></c><c r="H373" s="326"><f>H372</f><v /></c><c r="I373" s="98"><f>I372</f><v /></c><c r="J373" s="327"><f>J372</f><v /></c><c r="K373" s="387"><f>K372</f><v /></c><c r="L373" s="387"><f>L372</f><v /></c><c r="M373" s="388" t="n"><v>111.45</v></c><c r="N373" s="388" t="n"><v>211.81</v></c><c r="O373" s="389"><f>O372</f><v /></c><c r="P373" s="390"><f>P372</f><v /></c><c r="Q373" s="391"><f>LEFT(P373,1)</f><v /></c><c r="R373" s="391"><f>RIGHT(P373,6)</f><v /></c><c r="S373" s="391"><f>+(Q373*60+R373)/(60*60)</f><v /></c><c r="T373" s="392"><f>+O373/S373</f><v /></c><c r="U373" s="393"><f>+(((N373-M373-O373)/O373)*100)</f><v /></c><c r="V373" s="329"><f>V372</f><v /></c><c r="W373" s="443"><f>W372</f><v /></c><c r="X373" s="443"><f>X372</f><v /></c><c r="Y373" s="388" t="n"><v>217.56</v></c><c r="Z373" s="388" t="n"><v>227.6</v></c><c r="AA373" s="394"><f>AA372</f><v /></c><c r="AB373" s="395"><f>AB372</f><v /></c><c r="AC373" s="391"><f>LEFT(AB373,2)</f><v /></c><c r="AD373" s="391"><f>RIGHT(AB373,6)</f><v /></c><c r="AE373" s="391"><f>+(AC373*60+AD373)/(60*60)</f><v /></c><c r="AF373" s="392"><f>+AA373/AE373</f><v /></c><c r="AG373" s="396"><f>+(((Z373-Y373-AA373)/AA373)*100)</f><v /></c><c r="AH373" s="329"><f>AH372</f><v /></c><c r="AI373" s="443"><f>AI372</f><v /></c><c r="AJ373" s="443"><f>AJ372</f><v /></c><c r="AK373" s="388"><f>Z373</f><v /></c><c r="AL373" s="388" t="n"><v>232.7</v></c><c r="AM373" s="397"><f>AM372</f><v /></c><c r="AN373" s="390"><f>AN372</f><v /></c><c r="AO373" s="391"><f>LEFT(AN373,2)</f><v /></c><c r="AP373" s="391"><f>RIGHT(AN373,6)</f><v /></c><c r="AQ373" s="391"><f>+(AO373*60+AP373)/(60*60)</f><v /></c><c r="AR373" s="392"><f>+AM373/AQ373</f><v /></c><c r="AS373" s="396"><f>+(((AL373-AK373-AM373)/AM373)*100)</f><v /></c><c r="AT373" s="398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5" customHeight="1" thickBot="1"><c r="A374" s="351" t="n"><v>366</v></c><c r="B374" s="352" t="n"><v>45922</v></c><c r="C374" s="352" t="n"><v>45922</v></c><c r="D374" s="353" t="n"><v>3</v></c><c r="E374" s="354" t="n"><v>8</v></c><c r="F374" s="58" t="n" /><c r="G374" s="300" t="inlineStr"><is><t>PA25517301</t></is></c><c r="H374" s="301" t="n"><v>25.6</v></c><c r="I374" s="232" t="n"><v>0</v></c><c r="J374" s="302" t="n"><v>20</v></c><c r="K374" s="303" t="n"><v>8.512</v></c><c r="L374" s="303" t="n"><v>0.847</v></c><c r="M374" s="355" t="n"><v>143.25</v></c><c r="N374" s="355" t="n"><v>243.57</v></c><c r="O374" s="356" t="n"><v>100.69</v></c><c r="P374" s="357" t="inlineStr"><is><t>2,31,971</t></is></c><c r="Q374" s="358"><f>LEFT(P374,1)</f><v /></c><c r="R374" s="358"><f>RIGHT(P374,6)</f><v /></c><c r="S374" s="358"><f>+(Q374*60+R374)/(60*60)</f><v /></c><c r="T374" s="359"><f>+O374/S374</f><v /></c><c r="U374" s="360"><f>+(((N374-M374-O374)/O374)*100)</f><v /></c><c r="V374" s="306" t="n"><v>20</v></c><c r="W374" s="307" t="n"><v>1.107</v></c><c r="X374" s="307" t="n"><v>1.103</v></c><c r="Y374" s="355" t="n"><v>247.29</v></c><c r="Z374" s="355" t="n"><v>257.29</v></c><c r="AA374" s="308" t="n"><v>10.009</v></c><c r="AB374" s="357" t="inlineStr"><is><t>22,53,131</t></is></c><c r="AC374" s="358"><f>LEFT(AB374,2)</f><v /></c><c r="AD374" s="358"><f>RIGHT(AB374,6)</f><v /></c><c r="AE374" s="358"><f>+(AC374*60+AD374)/(60*60)</f><v /></c><c r="AF374" s="359"><f>+AA374/AE374</f><v /></c><c r="AG374" s="361"><f>+(((Z374-Y374-AA374)/AA374)*100)</f><v /></c><c r="AH374" s="306" t="n"><v>20.2</v></c><c r="AI374" s="307" t="n"><v>1.103</v></c><c r="AJ374" s="307" t="n"><v>1.098</v></c><c r="AK374" s="355"><f>Z374</f><v /></c><c r="AL374" s="355" t="n"><v>262.29</v></c><c r="AM374" s="362" t="n"><v>5.006</v></c><c r="AN374" s="357" t="inlineStr"><is><t>18,15,171</t></is></c><c r="AO374" s="358"><f>LEFT(AN374,2)</f><v /></c><c r="AP374" s="358"><f>RIGHT(AN374,6)</f><v /></c><c r="AQ374" s="358"><f>+(AO374*60+AP374)/(60*60)</f><v /></c><c r="AR374" s="359"><f>+AM374/AQ374</f><v /></c><c r="AS374" s="361"><f>+(((AL374-AK374-AM374)/AM374)*100)</f><v /></c><c r="AT374" s="36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7"><f>IF(BC374="NO CONFORME","NO CONFORME",IF(BB374="CONFORME","CONFORME","NO CONFORME"))</f><v /></c></row><row r="375" ht="15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PA25517302</t></is></c><c r="H375" s="313"><f>H374</f><v /></c><c r="I375" s="38"><f>I374</f><v /></c><c r="J375" s="314"><f>J374</f><v /></c><c r="K375" s="372"><f>K374</f><v /></c><c r="L375" s="372"><f>L374</f><v /></c><c r="M375" s="373" t="n"><v>144.08</v></c><c r="N375" s="373" t="n"><v>243.97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417"><f>W374</f><v /></c><c r="X375" s="417"><f>X374</f><v /></c><c r="Y375" s="373" t="n"><v>247.63</v></c><c r="Z375" s="373" t="n"><v>257.78</v></c><c r="AA375" s="379"><f>AA374</f><v /></c><c r="AB375" s="380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417"><f>AI374</f><v /></c><c r="AJ375" s="417"><f>AJ374</f><v /></c><c r="AK375" s="373"><f>Z375</f><v /></c><c r="AL375" s="373" t="n"><v>262.9</v></c><c r="AM375" s="381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2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5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PA25517303</t></is></c><c r="H376" s="313"><f>H375</f><v /></c><c r="I376" s="38"><f>I375</f><v /></c><c r="J376" s="314"><f>J375</f><v /></c><c r="K376" s="372"><f>K375</f><v /></c><c r="L376" s="372"><f>L375</f><v /></c><c r="M376" s="373" t="n"><v>144.38</v></c><c r="N376" s="373" t="n"><v>245.15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417"><f>W375</f><v /></c><c r="X376" s="417"><f>X375</f><v /></c><c r="Y376" s="373" t="n"><v>248.8</v></c><c r="Z376" s="373" t="n"><v>258.91</v></c><c r="AA376" s="379"><f>AA375</f><v /></c><c r="AB376" s="380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417"><f>AI375</f><v /></c><c r="AJ376" s="417"><f>AJ375</f><v /></c><c r="AK376" s="373"><f>Z376</f><v /></c><c r="AL376" s="373" t="n"><v>264</v></c><c r="AM376" s="381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2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5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PA25517304</t></is></c><c r="H377" s="313"><f>H376</f><v /></c><c r="I377" s="38"><f>I376</f><v /></c><c r="J377" s="314"><f>J376</f><v /></c><c r="K377" s="372"><f>K376</f><v /></c><c r="L377" s="372"><f>L376</f><v /></c><c r="M377" s="373" t="n"><v>146.3</v></c><c r="N377" s="373" t="n"><v>246.1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417"><f>W376</f><v /></c><c r="X377" s="417"><f>X376</f><v /></c><c r="Y377" s="373" t="n"><v>249.74</v></c><c r="Z377" s="373" t="n"><v>259.61</v></c><c r="AA377" s="379"><f>AA376</f><v /></c><c r="AB377" s="380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417"><f>AI376</f><v /></c><c r="AJ377" s="417"><f>AJ376</f><v /></c><c r="AK377" s="373"><f>Z377</f><v /></c><c r="AL377" s="373" t="n"><v>264.6</v></c><c r="AM377" s="381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2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5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PA25517305</t></is></c><c r="H378" s="313"><f>H377</f><v /></c><c r="I378" s="38"><f>I377</f><v /></c><c r="J378" s="314"><f>J377</f><v /></c><c r="K378" s="372"><f>K377</f><v /></c><c r="L378" s="372"><f>L377</f><v /></c><c r="M378" s="373" t="n"><v>148.19</v></c><c r="N378" s="373" t="n"><v>248.3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417"><f>W377</f><v /></c><c r="X378" s="417"><f>X377</f><v /></c><c r="Y378" s="373" t="n"><v>251.91</v></c><c r="Z378" s="373" t="n"><v>261.96</v></c><c r="AA378" s="379"><f>AA377</f><v /></c><c r="AB378" s="380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417"><f>AI377</f><v /></c><c r="AJ378" s="417"><f>AJ377</f><v /></c><c r="AK378" s="373"><f>Z378</f><v /></c><c r="AL378" s="373" t="n"><v>266.98</v></c><c r="AM378" s="381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2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5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PA25517306</t></is></c><c r="H379" s="313"><f>H378</f><v /></c><c r="I379" s="38"><f>I378</f><v /></c><c r="J379" s="314"><f>J378</f><v /></c><c r="K379" s="372"><f>K378</f><v /></c><c r="L379" s="372"><f>L378</f><v /></c><c r="M379" s="373" t="n"><v>145.55</v></c><c r="N379" s="373" t="n"><v>245.55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417"><f>W378</f><v /></c><c r="X379" s="417"><f>X378</f><v /></c><c r="Y379" s="373" t="n"><v>249.25</v></c><c r="Z379" s="373" t="n"><v>259.25</v></c><c r="AA379" s="379"><f>AA378</f><v /></c><c r="AB379" s="380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417"><f>AI378</f><v /></c><c r="AJ379" s="417"><f>AJ378</f><v /></c><c r="AK379" s="373"><f>Z379</f><v /></c><c r="AL379" s="373" t="n"><v>264.29</v></c><c r="AM379" s="381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2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5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PA25517307</t></is></c><c r="H380" s="313"><f>H379</f><v /></c><c r="I380" s="38"><f>I379</f><v /></c><c r="J380" s="314"><f>J379</f><v /></c><c r="K380" s="372"><f>K379</f><v /></c><c r="L380" s="372"><f>L379</f><v /></c><c r="M380" s="373" t="n"><v>145.82</v></c><c r="N380" s="373" t="n"><v>246.4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417"><f>W379</f><v /></c><c r="X380" s="417"><f>X379</f><v /></c><c r="Y380" s="373" t="n"><v>250.04</v></c><c r="Z380" s="373" t="n"><v>260.03</v></c><c r="AA380" s="379"><f>AA379</f><v /></c><c r="AB380" s="380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417"><f>AI379</f><v /></c><c r="AJ380" s="417"><f>AJ379</f><v /></c><c r="AK380" s="373"><f>Z380</f><v /></c><c r="AL380" s="373" t="n"><v>265.08</v></c><c r="AM380" s="381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2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5" customHeight="1" thickBot="1"><c r="A381" s="383" t="n"><v>373</v></c><c r="B381" s="384"><f>B380</f><v /></c><c r="C381" s="384"><f>C380</f><v /></c><c r="D381" s="385"><f>D380</f><v /></c><c r="E381" s="386"><f>E380</f><v /></c><c r="F381" s="52" t="n" /><c r="G381" s="337" t="inlineStr"><is><t>PA25517308</t></is></c><c r="H381" s="326"><f>H380</f><v /></c><c r="I381" s="98"><f>I380</f><v /></c><c r="J381" s="327"><f>J380</f><v /></c><c r="K381" s="387"><f>K380</f><v /></c><c r="L381" s="387"><f>L380</f><v /></c><c r="M381" s="388" t="n"><v>143.8</v></c><c r="N381" s="388" t="n"><v>243.89</v></c><c r="O381" s="389"><f>O380</f><v /></c><c r="P381" s="390"><f>P380</f><v /></c><c r="Q381" s="391"><f>LEFT(P381,1)</f><v /></c><c r="R381" s="391"><f>RIGHT(P381,6)</f><v /></c><c r="S381" s="391"><f>+(Q381*60+R381)/(60*60)</f><v /></c><c r="T381" s="392"><f>+O381/S381</f><v /></c><c r="U381" s="393"><f>+(((N381-M381-O381)/O381)*100)</f><v /></c><c r="V381" s="329"><f>V380</f><v /></c><c r="W381" s="443"><f>W380</f><v /></c><c r="X381" s="443"><f>X380</f><v /></c><c r="Y381" s="388" t="n"><v>247.54</v></c><c r="Z381" s="388" t="n"><v>257.54</v></c><c r="AA381" s="394"><f>AA380</f><v /></c><c r="AB381" s="395"><f>AB380</f><v /></c><c r="AC381" s="391"><f>LEFT(AB381,2)</f><v /></c><c r="AD381" s="391"><f>RIGHT(AB381,6)</f><v /></c><c r="AE381" s="391"><f>+(AC381*60+AD381)/(60*60)</f><v /></c><c r="AF381" s="392"><f>+AA381/AE381</f><v /></c><c r="AG381" s="396"><f>+(((Z381-Y381-AA381)/AA381)*100)</f><v /></c><c r="AH381" s="329"><f>AH380</f><v /></c><c r="AI381" s="443"><f>AI380</f><v /></c><c r="AJ381" s="443"><f>AJ380</f><v /></c><c r="AK381" s="388"><f>Z381</f><v /></c><c r="AL381" s="388" t="n"><v>262.58</v></c><c r="AM381" s="397"><f>AM380</f><v /></c><c r="AN381" s="390"><f>AN380</f><v /></c><c r="AO381" s="391"><f>LEFT(AN381,2)</f><v /></c><c r="AP381" s="391"><f>RIGHT(AN381,6)</f><v /></c><c r="AQ381" s="391"><f>+(AO381*60+AP381)/(60*60)</f><v /></c><c r="AR381" s="392"><f>+AM381/AQ381</f><v /></c><c r="AS381" s="396"><f>+(((AL381-AK381-AM381)/AM381)*100)</f><v /></c><c r="AT381" s="398"><f>IF(I381&gt;=1,"NO CONFORME",IF(BK381="SIGDIFERENTES",BC381,BL381))</f><v /></c><c r="AU381" s="399"><f>B381=C381</f><v /></c><c r="AV381" s="399"><f>N381&lt;Y381</f><v /></c><c r="AW381" s="399"><f>Z381&lt;=AK381</f><v /></c><c r="AX381" s="399"><f>IF(I381&gt;=1,"Qcorrecto",IF(AND(AY381="aceptable",AZ381="aceptable",BA381="aceptable"),"Qcorrecto","Qincorrecto"))</f><v /></c><c r="AY381" s="400"><f>IF(AR381&lt;$AH$6,"error",IF(AR381&gt;$AH$6*1.1,"error","aceptable"))</f><v /></c><c r="AZ381" s="400"><f>IF(AF381&lt;$V$6,"error",IF(AF381&gt;$V$6*1.1,"error","aceptable"))</f><v /></c><c r="BA381" s="400"><f>IF(T381&lt;$J$6*0.9,"error",IF(T381&gt;$J$6,"error","aceptable"))</f><v /></c><c r="BB381" s="401"><f>(IF(ABS(U381)&lt;1.05,"CONFORME",IF(ABS(AG381)&lt;1.05,"CONFORME",IF(ABS(AS381)&lt;2.55,"CONFORME","NO CONFORME"))))</f><v /></c><c r="BC381" s="402"><f>(IF(ABS(U381)&gt;2.05,"NO CONFORME",IF(ABS(AG381)&gt;2.05,"NO CONFORME",IF(ABS(AS381)&gt;5.05,"NO CONFORME","CONFORME"))))</f><v /></c><c r="BD381" s="403"><f>SIGN(U381)</f><v /></c><c r="BE381" s="403"><f>SIGN(AG381)</f><v /></c><c r="BF381" s="403"><f>SIGN(AS381)</f><v /></c><c r="BG381" s="403"><f>CONCATENATE(BD381,BE381,BF381)</f><v /></c><c r="BH381" s="403"><f>IF(BG381="111","SI","SD")</f><v /></c><c r="BI381" s="403"><f>IF(BG381="-1-1-1","SI","SD")</f><v /></c><c r="BJ381" s="403"><f>OR(BH381="SI",BI381="SI")</f><v /></c><c r="BK381" s="403"><f>IF(BJ381=FALSE,"SIGDIFERENTES","SIGIGUALES")</f><v /></c><c r="BL381" s="400"><f>IF(BC381="NO CONFORME","NO CONFORME",IF(BB381="CONFORME","CONFORME","NO CONFORME"))</f><v /></c></row><row r="382" ht="15" customHeight="1" thickBot="1"><c r="A382" s="449" t="n"><v>374</v></c><c r="B382" s="450"><f>B381</f><v /></c><c r="C382" s="450"><f>C381</f><v /></c><c r="D382" s="451"><f>D381</f><v /></c><c r="E382" s="452"><f>E381</f><v /></c><c r="F382" s="46" t="n" /><c r="G382" s="335" t="inlineStr"><is><t>PA25517309</t></is></c><c r="H382" s="453"><f>H381</f><v /></c><c r="I382" s="454"><f>I381</f><v /></c><c r="J382" s="455" t="n"><v>20.2</v></c><c r="K382" s="456" t="n"><v>8.509</v></c><c r="L382" s="456" t="n"><v>0.849</v></c><c r="M382" s="457" t="n"><v>89.56999999999999</v></c><c r="N382" s="457" t="n"><v>189.9</v></c><c r="O382" s="458" t="n"><v>100.65</v></c><c r="P382" s="459" t="inlineStr"><is><t>2,32,441</t></is></c><c r="Q382" s="460"><f>LEFT(P382,1)</f><v /></c><c r="R382" s="460"><f>RIGHT(P382,6)</f><v /></c><c r="S382" s="460"><f>+(Q382*60+R382)/(60*60)</f><v /></c><c r="T382" s="461"><f>+O382/S382</f><v /></c><c r="U382" s="462"><f>+(((N382-M382-O382)/O382)*100)</f><v /></c><c r="V382" s="463" t="n"><v>20.4</v></c><c r="W382" s="464" t="n"><v>1.098</v></c><c r="X382" s="464" t="n"><v>1.088</v></c><c r="Y382" s="457" t="n"><v>195.56</v></c><c r="Z382" s="457" t="n"><v>205.55</v></c><c r="AA382" s="465" t="n"><v>10.008</v></c><c r="AB382" s="465" t="inlineStr"><is><t>22,55,141</t></is></c><c r="AC382" s="460"><f>LEFT(AB382,2)</f><v /></c><c r="AD382" s="460"><f>RIGHT(AB382,6)</f><v /></c><c r="AE382" s="460"><f>+(AC382*60+AD382)/(60*60)</f><v /></c><c r="AF382" s="461"><f>+AA382/AE382</f><v /></c><c r="AG382" s="309"><f>+(((Z382-Y382-AA382)/AA382)*100)</f><v /></c><c r="AH382" s="463" t="n"><v>20.5</v></c><c r="AI382" s="464" t="n"><v>1.096</v></c><c r="AJ382" s="464" t="n"><v>1.086</v></c><c r="AK382" s="457"><f>Z382</f><v /></c><c r="AL382" s="457" t="n"><v>210.55</v></c><c r="AM382" s="466" t="n"><v>5.004</v></c><c r="AN382" s="459" t="inlineStr"><is><t>18,16,151</t></is></c><c r="AO382" s="460"><f>LEFT(AN382,2)</f><v /></c><c r="AP382" s="460"><f>RIGHT(AN382,6)</f><v /></c><c r="AQ382" s="460"><f>+(AO382*60+AP382)/(60*60)</f><v /></c><c r="AR382" s="461"><f>+AM382/AQ382</f><v /></c><c r="AS382" s="309"><f>+(((AL382-AK382-AM382)/AM382)*100)</f><v /></c><c r="AT382" s="467"><f>IF(I382&gt;=1,"NO CONFORME",IF(BK382="SIGDIFERENTES",BC382,BL382))</f><v /></c><c r="AU382" s="468"><f>B382=C382</f><v /></c><c r="AV382" s="468"><f>N382&lt;Y382</f><v /></c><c r="AW382" s="468"><f>Z382&lt;=AK382</f><v /></c><c r="AX382" s="468"><f>IF(I382&gt;=1,"Qcorrecto",IF(AND(AY382="aceptable",AZ382="aceptable",BA382="aceptable"),"Qcorrecto","Qincorrecto"))</f><v /></c><c r="AY382" s="469"><f>IF(AR382&lt;$AH$6,"error",IF(AR382&gt;$AH$6*1.1,"error","aceptable"))</f><v /></c><c r="AZ382" s="469"><f>IF(AF382&lt;$V$6,"error",IF(AF382&gt;$V$6*1.1,"error","aceptable"))</f><v /></c><c r="BA382" s="469"><f>IF(T382&lt;$J$6*0.9,"error",IF(T382&gt;$J$6,"error","aceptable"))</f><v /></c><c r="BB382" s="470"><f>(IF(ABS(U382)&lt;1.05,"CONFORME",IF(ABS(AG382)&lt;1.05,"CONFORME",IF(ABS(AS382)&lt;2.55,"CONFORME","NO CONFORME"))))</f><v /></c><c r="BC382" s="471"><f>(IF(ABS(U382)&gt;2.05,"NO CONFORME",IF(ABS(AG382)&gt;2.05,"NO CONFORME",IF(ABS(AS382)&gt;5.05,"NO CONFORME","CONFORME"))))</f><v /></c><c r="BD382" s="472"><f>SIGN(U382)</f><v /></c><c r="BE382" s="472"><f>SIGN(AG382)</f><v /></c><c r="BF382" s="472"><f>SIGN(AS382)</f><v /></c><c r="BG382" s="472"><f>CONCATENATE(BD382,BE382,BF382)</f><v /></c><c r="BH382" s="472"><f>IF(BG382="111","SI","SD")</f><v /></c><c r="BI382" s="472"><f>IF(BG382="-1-1-1","SI","SD")</f><v /></c><c r="BJ382" s="472"><f>OR(BH382="SI",BI382="SI")</f><v /></c><c r="BK382" s="472"><f>IF(BJ382=FALSE,"SIGDIFERENTES","SIGIGUALES")</f><v /></c><c r="BL382" s="469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00" t="inlineStr"><is><t>PA25517310</t></is></c><c r="H383" s="313"><f>H382</f><v /></c><c r="I383" s="38"><f>I382</f><v /></c><c r="J383" s="314"><f>J382</f><v /></c><c r="K383" s="372"><f>K382</f><v /></c><c r="L383" s="372"><f>L382</f><v /></c><c r="M383" s="373" t="n"><v>89.40000000000001</v></c><c r="N383" s="373" t="n"><v>190.2</v></c><c r="O383" s="374"><f>O382</f><v /></c><c r="P383" s="375"><f>P382</f><v /></c><c r="Q383" s="376"><f>LEFT(P383,1)</f><v /></c><c r="R383" s="376"><f>RIGHT(P383,6)</f><v /></c><c r="S383" s="376"><f>+(Q383*60+R383)/(60*60)</f><v /></c><c r="T383" s="377"><f>+O383/S383</f><v /></c><c r="U383" s="378"><f>+(((N383-M383-O383)/O383)*100)</f><v /></c><c r="V383" s="317"><f>V382</f><v /></c><c r="W383" s="417"><f>W382</f><v /></c><c r="X383" s="417"><f>X382</f><v /></c><c r="Y383" s="373" t="n"><v>195.88</v></c><c r="Z383" s="373" t="n"><v>205.9</v></c><c r="AA383" s="379"><f>AA382</f><v /></c><c r="AB383" s="380"><f>AB382</f><v /></c><c r="AC383" s="376"><f>LEFT(AB383,2)</f><v /></c><c r="AD383" s="376"><f>RIGHT(AB383,6)</f><v /></c><c r="AE383" s="376"><f>+(AC383*60+AD383)/(60*60)</f><v /></c><c r="AF383" s="377"><f>+AA383/AE383</f><v /></c><c r="AG383" s="321"><f>+(((Z383-Y383-AA383)/AA383)*100)</f><v /></c><c r="AH383" s="317"><f>AH382</f><v /></c><c r="AI383" s="417"><f>AI382</f><v /></c><c r="AJ383" s="417"><f>AJ382</f><v /></c><c r="AK383" s="373"><f>Z383</f><v /></c><c r="AL383" s="373" t="n"><v>210.94</v></c><c r="AM383" s="381"><f>AM382</f><v /></c><c r="AN383" s="375"><f>AN382</f><v /></c><c r="AO383" s="376"><f>LEFT(AN383,2)</f><v /></c><c r="AP383" s="376"><f>RIGHT(AN383,6)</f><v /></c><c r="AQ383" s="376"><f>+(AO383*60+AP383)/(60*60)</f><v /></c><c r="AR383" s="377"><f>+AM383/AQ383</f><v /></c><c r="AS383" s="321"><f>+(((AL383-AK383-AM383)/AM383)*100)</f><v /></c><c r="AT383" s="382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5.75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PA25517311</t></is></c><c r="H384" s="313"><f>H383</f><v /></c><c r="I384" s="38"><f>I383</f><v /></c><c r="J384" s="314"><f>J383</f><v /></c><c r="K384" s="372"><f>K383</f><v /></c><c r="L384" s="372"><f>L383</f><v /></c><c r="M384" s="373" t="n"><v>89.94</v></c><c r="N384" s="373" t="n"><v>189.74</v></c><c r="O384" s="374"><f>O383</f><v /></c><c r="P384" s="375"><f>P383</f><v /></c><c r="Q384" s="376"><f>LEFT(P384,1)</f><v /></c><c r="R384" s="376"><f>RIGHT(P384,6)</f><v /></c><c r="S384" s="376"><f>+(Q384*60+R384)/(60*60)</f><v /></c><c r="T384" s="377"><f>+O384/S384</f><v /></c><c r="U384" s="378"><f>+(((N384-M384-O384)/O384)*100)</f><v /></c><c r="V384" s="317"><f>V383</f><v /></c><c r="W384" s="417"><f>W383</f><v /></c><c r="X384" s="417"><f>X383</f><v /></c><c r="Y384" s="373" t="n"><v>195.43</v></c><c r="Z384" s="373" t="n"><v>205.4</v></c><c r="AA384" s="379"><f>AA383</f><v /></c><c r="AB384" s="380"><f>AB383</f><v /></c><c r="AC384" s="376"><f>LEFT(AB384,2)</f><v /></c><c r="AD384" s="376"><f>RIGHT(AB384,6)</f><v /></c><c r="AE384" s="376"><f>+(AC384*60+AD384)/(60*60)</f><v /></c><c r="AF384" s="377"><f>+AA384/AE384</f><v /></c><c r="AG384" s="321"><f>+(((Z384-Y384-AA384)/AA384)*100)</f><v /></c><c r="AH384" s="317"><f>AH383</f><v /></c><c r="AI384" s="417"><f>AI383</f><v /></c><c r="AJ384" s="417"><f>AJ383</f><v /></c><c r="AK384" s="373"><f>Z384</f><v /></c><c r="AL384" s="373" t="n"><v>210.4</v></c><c r="AM384" s="381"><f>AM383</f><v /></c><c r="AN384" s="375"><f>AN383</f><v /></c><c r="AO384" s="376"><f>LEFT(AN384,2)</f><v /></c><c r="AP384" s="376"><f>RIGHT(AN384,6)</f><v /></c><c r="AQ384" s="376"><f>+(AO384*60+AP384)/(60*60)</f><v /></c><c r="AR384" s="377"><f>+AM384/AQ384</f><v /></c><c r="AS384" s="321"><f>+(((AL384-AK384-AM384)/AM384)*100)</f><v /></c><c r="AT384" s="382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5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PA25517312</t></is></c><c r="H385" s="313"><f>H384</f><v /></c><c r="I385" s="38"><f>I384</f><v /></c><c r="J385" s="314"><f>J384</f><v /></c><c r="K385" s="372"><f>K384</f><v /></c><c r="L385" s="372"><f>L384</f><v /></c><c r="M385" s="373" t="n"><v>168.75</v></c><c r="N385" s="373" t="n"><v>268.84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417"><f>W384</f><v /></c><c r="X385" s="417"><f>X384</f><v /></c><c r="Y385" s="373" t="n"><v>274.51</v></c><c r="Z385" s="373" t="n"><v>284.49</v></c><c r="AA385" s="379"><f>AA384</f><v /></c><c r="AB385" s="380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417"><f>AI384</f><v /></c><c r="AJ385" s="417"><f>AJ384</f><v /></c><c r="AK385" s="373"><f>Z385</f><v /></c><c r="AL385" s="373" t="n"><v>289.49</v></c><c r="AM385" s="381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2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5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PA25517313</t></is></c><c r="H386" s="313"><f>H385</f><v /></c><c r="I386" s="38"><f>I385</f><v /></c><c r="J386" s="314"><f>J385</f><v /></c><c r="K386" s="372"><f>K385</f><v /></c><c r="L386" s="372"><f>L385</f><v /></c><c r="M386" s="373" t="n"><v>131.41</v></c><c r="N386" s="373" t="n"><v>231.75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417"><f>W385</f><v /></c><c r="X386" s="417"><f>X385</f><v /></c><c r="Y386" s="373" t="n"><v>237.45</v></c><c r="Z386" s="373" t="n"><v>247.41</v></c><c r="AA386" s="379"><f>AA385</f><v /></c><c r="AB386" s="380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417"><f>AI385</f><v /></c><c r="AJ386" s="417"><f>AJ385</f><v /></c><c r="AK386" s="373"><f>Z386</f><v /></c><c r="AL386" s="373" t="n"><v>252.4</v></c><c r="AM386" s="381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2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5.75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PA25517314</t></is></c><c r="H387" s="313"><f>H386</f><v /></c><c r="I387" s="38"><f>I386</f><v /></c><c r="J387" s="314"><f>J386</f><v /></c><c r="K387" s="372"><f>K386</f><v /></c><c r="L387" s="372"><f>L386</f><v /></c><c r="M387" s="373" t="n"><v>126.03</v></c><c r="N387" s="373" t="n"><v>225.53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417"><f>W386</f><v /></c><c r="X387" s="417"><f>X386</f><v /></c><c r="Y387" s="373" t="n"><v>231.15</v></c><c r="Z387" s="373" t="n"><v>241.01</v></c><c r="AA387" s="379"><f>AA386</f><v /></c><c r="AB387" s="380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417"><f>AI386</f><v /></c><c r="AJ387" s="417"><f>AJ386</f><v /></c><c r="AK387" s="373"><f>Z387</f><v /></c><c r="AL387" s="373" t="n"><v>245.95</v></c><c r="AM387" s="381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2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5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PA25517315</t></is></c><c r="H388" s="313"><f>H387</f><v /></c><c r="I388" s="38"><f>I387</f><v /></c><c r="J388" s="314"><f>J387</f><v /></c><c r="K388" s="372"><f>K387</f><v /></c><c r="L388" s="372"><f>L387</f><v /></c><c r="M388" s="373" t="n"><v>127.75</v></c><c r="N388" s="373" t="n"><v>227.55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417"><f>W387</f><v /></c><c r="X388" s="417"><f>X387</f><v /></c><c r="Y388" s="373" t="n"><v>233.2</v></c><c r="Z388" s="373" t="n"><v>243.12</v></c><c r="AA388" s="379"><f>AA387</f><v /></c><c r="AB388" s="380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417"><f>AI387</f><v /></c><c r="AJ388" s="417"><f>AJ387</f><v /></c><c r="AK388" s="373"><f>Z388</f><v /></c><c r="AL388" s="373" t="n"><v>248.11</v></c><c r="AM388" s="381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2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5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PA25517316</t></is></c><c r="H389" s="313"><f>H388</f><v /></c><c r="I389" s="38"><f>I388</f><v /></c><c r="J389" s="314"><f>J388</f><v /></c><c r="K389" s="372"><f>K388</f><v /></c><c r="L389" s="372"><f>L388</f><v /></c><c r="M389" s="373" t="n"><v>128.38</v></c><c r="N389" s="373" t="n"><v>228.7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417"><f>W388</f><v /></c><c r="X389" s="417"><f>X388</f><v /></c><c r="Y389" s="373" t="n"><v>234.39</v></c><c r="Z389" s="373" t="n"><v>244.37</v></c><c r="AA389" s="379"><f>AA388</f><v /></c><c r="AB389" s="380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417"><f>AI388</f><v /></c><c r="AJ389" s="417"><f>AJ388</f><v /></c><c r="AK389" s="373"><f>Z389</f><v /></c><c r="AL389" s="373" t="n"><v>249.37</v></c><c r="AM389" s="381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2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5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PA25517317</t></is></c><c r="H390" s="313"><f>H389</f><v /></c><c r="I390" s="38"><f>I389</f><v /></c><c r="J390" s="314"><f>J389</f><v /></c><c r="K390" s="372"><f>K389</f><v /></c><c r="L390" s="372"><f>L389</f><v /></c><c r="M390" s="373" t="n"><v>126.75</v></c><c r="N390" s="373" t="n"><v>226.64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417"><f>W389</f><v /></c><c r="X390" s="417"><f>X389</f><v /></c><c r="Y390" s="373" t="n"><v>232.31</v></c><c r="Z390" s="373" t="n"><v>242.3</v></c><c r="AA390" s="379"><f>AA389</f><v /></c><c r="AB390" s="380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417"><f>AI389</f><v /></c><c r="AJ390" s="417"><f>AJ389</f><v /></c><c r="AK390" s="373"><f>Z390</f><v /></c><c r="AL390" s="373" t="n"><v>247.35</v></c><c r="AM390" s="381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2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5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PA25517318</t></is></c><c r="H391" s="313"><f>H390</f><v /></c><c r="I391" s="38"><f>I390</f><v /></c><c r="J391" s="314"><f>J390</f><v /></c><c r="K391" s="372"><f>K390</f><v /></c><c r="L391" s="372"><f>L390</f><v /></c><c r="M391" s="373" t="n"><v>130.4</v></c><c r="N391" s="373" t="n"><v>230.79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417"><f>W390</f><v /></c><c r="X391" s="417"><f>X390</f><v /></c><c r="Y391" s="373" t="n"><v>236.49</v></c><c r="Z391" s="373" t="n"><v>246.45</v></c><c r="AA391" s="379"><f>AA390</f><v /></c><c r="AB391" s="380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417"><f>AI390</f><v /></c><c r="AJ391" s="417"><f>AJ390</f><v /></c><c r="AK391" s="373"><f>Z391</f><v /></c><c r="AL391" s="373" t="n"><v>251.44</v></c><c r="AM391" s="381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2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5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PA25517319</t></is></c><c r="H392" s="313"><f>H391</f><v /></c><c r="I392" s="38"><f>I391</f><v /></c><c r="J392" s="314"><f>J391</f><v /></c><c r="K392" s="372"><f>K391</f><v /></c><c r="L392" s="372"><f>L391</f><v /></c><c r="M392" s="373" t="n"><v>129.43</v></c><c r="N392" s="373" t="n"><v>229.04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417"><f>W391</f><v /></c><c r="X392" s="417"><f>X391</f><v /></c><c r="Y392" s="373" t="n"><v>234.66</v></c><c r="Z392" s="373" t="n"><v>244.65</v></c><c r="AA392" s="379"><f>AA391</f><v /></c><c r="AB392" s="380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417"><f>AI391</f><v /></c><c r="AJ392" s="417"><f>AJ391</f><v /></c><c r="AK392" s="373"><f>Z392</f><v /></c><c r="AL392" s="373" t="n"><v>249.66</v></c><c r="AM392" s="381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2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5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PA25517320</t></is></c><c r="H393" s="313"><f>H392</f><v /></c><c r="I393" s="38"><f>I392</f><v /></c><c r="J393" s="314"><f>J392</f><v /></c><c r="K393" s="372"><f>K392</f><v /></c><c r="L393" s="372"><f>L392</f><v /></c><c r="M393" s="373" t="n"><v>93.81999999999999</v></c><c r="N393" s="373" t="n"><v>193.87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417"><f>W392</f><v /></c><c r="X393" s="417"><f>X392</f><v /></c><c r="Y393" s="373" t="n"><v>199.51</v></c><c r="Z393" s="373" t="n"><v>209.45</v></c><c r="AA393" s="379"><f>AA392</f><v /></c><c r="AB393" s="380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417"><f>AI392</f><v /></c><c r="AJ393" s="417"><f>AJ392</f><v /></c><c r="AK393" s="373"><f>Z393</f><v /></c><c r="AL393" s="373" t="n"><v>214.45</v></c><c r="AM393" s="381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2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5.75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PA25517321</t></is></c><c r="H394" s="313"><f>H393</f><v /></c><c r="I394" s="38"><f>I393</f><v /></c><c r="J394" s="314"><f>J393</f><v /></c><c r="K394" s="372"><f>K393</f><v /></c><c r="L394" s="372"><f>L393</f><v /></c><c r="M394" s="373" t="n"><v>92.81999999999999</v></c><c r="N394" s="373" t="n"><v>193.06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417"><f>W393</f><v /></c><c r="X394" s="417"><f>X393</f><v /></c><c r="Y394" s="373" t="n"><v>198.69</v></c><c r="Z394" s="373" t="n"><v>208.69</v></c><c r="AA394" s="379"><f>AA393</f><v /></c><c r="AB394" s="380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417"><f>AI393</f><v /></c><c r="AJ394" s="417"><f>AJ393</f><v /></c><c r="AK394" s="373"><f>Z394</f><v /></c><c r="AL394" s="373" t="n"><v>213.69</v></c><c r="AM394" s="381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2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5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PA25517322</t></is></c><c r="H395" s="313"><f>H394</f><v /></c><c r="I395" s="38"><f>I394</f><v /></c><c r="J395" s="314"><f>J394</f><v /></c><c r="K395" s="372"><f>K394</f><v /></c><c r="L395" s="372"><f>L394</f><v /></c><c r="M395" s="373" t="n"><v>94.51000000000001</v></c><c r="N395" s="373" t="n"><v>195.36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417"><f>W394</f><v /></c><c r="X395" s="417"><f>X394</f><v /></c><c r="Y395" s="373" t="n"><v>201.01</v></c><c r="Z395" s="373" t="n"><v>211.02</v></c><c r="AA395" s="379"><f>AA394</f><v /></c><c r="AB395" s="380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417"><f>AI394</f><v /></c><c r="AJ395" s="417"><f>AJ394</f><v /></c><c r="AK395" s="373"><f>Z395</f><v /></c><c r="AL395" s="373" t="n"><v>216.05</v></c><c r="AM395" s="381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2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5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PA25517323</t></is></c><c r="H396" s="313"><f>H395</f><v /></c><c r="I396" s="38"><f>I395</f><v /></c><c r="J396" s="314"><f>J395</f><v /></c><c r="K396" s="372"><f>K395</f><v /></c><c r="L396" s="372"><f>L395</f><v /></c><c r="M396" s="373" t="n"><v>95.89</v></c><c r="N396" s="373" t="n"><v>195.95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417"><f>W395</f><v /></c><c r="X396" s="417"><f>X395</f><v /></c><c r="Y396" s="373" t="n"><v>201.58</v></c><c r="Z396" s="373" t="n"><v>211.55</v></c><c r="AA396" s="379"><f>AA395</f><v /></c><c r="AB396" s="380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417"><f>AI395</f><v /></c><c r="AJ396" s="417"><f>AJ395</f><v /></c><c r="AK396" s="373"><f>Z396</f><v /></c><c r="AL396" s="373" t="n"><v>216.55</v></c><c r="AM396" s="381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2"><f>IF(I396&gt;=1,"NO CONFORME",IF(BK396="SIGDIFERENTES",BC396,BL396))</f><v /></c><c r="AU396" s="473"><f>B396=C396</f><v /></c><c r="AV396" s="473"><f>N396&lt;Y396</f><v /></c><c r="AW396" s="473"><f>Z396&lt;=AK396</f><v /></c><c r="AX396" s="473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474"><f>SIGN(U396)</f><v /></c><c r="BE396" s="474"><f>SIGN(AG396)</f><v /></c><c r="BF396" s="474"><f>SIGN(AS396)</f><v /></c><c r="BG396" s="474"><f>CONCATENATE(BD396,BE396,BF396)</f><v /></c><c r="BH396" s="474"><f>IF(BG396="111","SI","SD")</f><v /></c><c r="BI396" s="474"><f>IF(BG396="-1-1-1","SI","SD")</f><v /></c><c r="BJ396" s="474"><f>OR(BH396="SI",BI396="SI")</f><v /></c><c r="BK396" s="474"><f>IF(BJ396=FALSE,"SIGDIFERENTES","SIGIGUALES")</f><v /></c><c r="BL396" s="365"><f>IF(BC396="NO CONFORME","NO CONFORME",IF(BB396="CONFORME","CONFORME","NO CONFORME"))</f><v /></c></row><row r="397" ht="15" customHeight="1" thickBot="1"><c r="A397" s="475" t="n"><v>389</v></c><c r="B397" s="476"><f>B396</f><v /></c><c r="C397" s="476"><f>C396</f><v /></c><c r="D397" s="477"><f>D396</f><v /></c><c r="E397" s="478"><f>E396</f><v /></c><c r="F397" s="479" t="n" /><c r="G397" s="337" t="inlineStr"><is><t>PA25517324</t></is></c><c r="H397" s="480"><f>H396</f><v /></c><c r="I397" s="481"><f>I396</f><v /></c><c r="J397" s="482"><f>J396</f><v /></c><c r="K397" s="483"><f>K396</f><v /></c><c r="L397" s="483"><f>L396</f><v /></c><c r="M397" s="484" t="n"><v>94.18000000000001</v></c><c r="N397" s="484" t="n"><v>195.24</v></c><c r="O397" s="485"><f>O396</f><v /></c><c r="P397" s="486"><f>P396</f><v /></c><c r="Q397" s="487"><f>LEFT(P397,1)</f><v /></c><c r="R397" s="487"><f>RIGHT(P397,6)</f><v /></c><c r="S397" s="487"><f>+(Q397*60+R397)/(60*60)</f><v /></c><c r="T397" s="488"><f>+O397/S397</f><v /></c><c r="U397" s="489"><f>+(((N397-M397-O397)/O397)*100)</f><v /></c><c r="V397" s="490"><f>V396</f><v /></c><c r="W397" s="491"><f>W396</f><v /></c><c r="X397" s="491"><f>X396</f><v /></c><c r="Y397" s="484" t="n"><v>200.89</v></c><c r="Z397" s="484" t="n"><v>210.92</v></c><c r="AA397" s="492"><f>AA396</f><v /></c><c r="AB397" s="493"><f>AB396</f><v /></c><c r="AC397" s="487"><f>LEFT(AB397,2)</f><v /></c><c r="AD397" s="487"><f>RIGHT(AB397,6)</f><v /></c><c r="AE397" s="487"><f>+(AC397*60+AD397)/(60*60)</f><v /></c><c r="AF397" s="488"><f>+AA397/AE397</f><v /></c><c r="AG397" s="494"><f>+(((Z397-Y397-AA397)/AA397)*100)</f><v /></c><c r="AH397" s="490"><f>AH396</f><v /></c><c r="AI397" s="491"><f>AI396</f><v /></c><c r="AJ397" s="491"><f>AJ396</f><v /></c><c r="AK397" s="484"><f>Z397</f><v /></c><c r="AL397" s="484" t="n"><v>215.95</v></c><c r="AM397" s="495"><f>AM396</f><v /></c><c r="AN397" s="486"><f>AN396</f><v /></c><c r="AO397" s="487"><f>LEFT(AN397,2)</f><v /></c><c r="AP397" s="487"><f>RIGHT(AN397,6)</f><v /></c><c r="AQ397" s="487"><f>+(AO397*60+AP397)/(60*60)</f><v /></c><c r="AR397" s="488"><f>+AM397/AQ397</f><v /></c><c r="AS397" s="494"><f>+(((AL397-AK397-AM397)/AM397)*100)</f><v /></c><c r="AT397" s="496"><f>IF(I397&gt;=1,"NO CONFORME",IF(BK397="SIGDIFERENTES",BC397,BL397))</f><v /></c><c r="AU397" s="399"><f>B397=C397</f><v /></c><c r="AV397" s="399"><f>N397&lt;Y397</f><v /></c><c r="AW397" s="399"><f>Z397&lt;=AK397</f><v /></c><c r="AX397" s="399"><f>IF(I397&gt;=1,"Qcorrecto",IF(AND(AY397="aceptable",AZ397="aceptable",BA397="aceptable"),"Qcorrecto","Qincorrecto"))</f><v /></c><c r="AY397" s="497"><f>IF(AR397&lt;$AH$6,"error",IF(AR397&gt;$AH$6*1.1,"error","aceptable"))</f><v /></c><c r="AZ397" s="497"><f>IF(AF397&lt;$V$6,"error",IF(AF397&gt;$V$6*1.1,"error","aceptable"))</f><v /></c><c r="BA397" s="497"><f>IF(T397&lt;$J$6*0.9,"error",IF(T397&gt;$J$6,"error","aceptable"))</f><v /></c><c r="BB397" s="401"><f>(IF(ABS(U397)&lt;1.05,"CONFORME",IF(ABS(AG397)&lt;1.05,"CONFORME",IF(ABS(AS397)&lt;2.55,"CONFORME","NO CONFORME"))))</f><v /></c><c r="BC397" s="402"><f>(IF(ABS(U397)&gt;2.05,"NO CONFORME",IF(ABS(AG397)&gt;2.05,"NO CONFORME",IF(ABS(AS397)&gt;5.05,"NO CONFORME","CONFORME"))))</f><v /></c><c r="BD397" s="403"><f>SIGN(U397)</f><v /></c><c r="BE397" s="403"><f>SIGN(AG397)</f><v /></c><c r="BF397" s="403"><f>SIGN(AS397)</f><v /></c><c r="BG397" s="403"><f>CONCATENATE(BD397,BE397,BF397)</f><v /></c><c r="BH397" s="403"><f>IF(BG397="111","SI","SD")</f><v /></c><c r="BI397" s="403"><f>IF(BG397="-1-1-1","SI","SD")</f><v /></c><c r="BJ397" s="403"><f>OR(BH397="SI",BI397="SI")</f><v /></c><c r="BK397" s="403"><f>IF(BJ397=FALSE,"SIGDIFERENTES","SIGIGUALES")</f><v /></c><c r="BL397" s="497"><f>IF(BC397="NO CONFORME","NO CONFORME",IF(BB397="CONFORME","CONFORME","NO CONFORME"))</f><v /></c></row><row r="398" ht="15" customHeight="1" thickBot="1"><c r="A398" s="449" t="n"><v>390</v></c><c r="B398" s="450"><f>B397</f><v /></c><c r="C398" s="450"><f>C397</f><v /></c><c r="D398" s="451"><f>D397</f><v /></c><c r="E398" s="452"><f>E397</f><v /></c><c r="F398" s="46" t="n" /><c r="G398" s="335" t="inlineStr"><is><t>PA25517325</t></is></c><c r="H398" s="453"><f>H397</f><v /></c><c r="I398" s="454"><f>I397</f><v /></c><c r="J398" s="455" t="n"><v>20.1</v></c><c r="K398" s="456" t="n"><v>8.510999999999999</v></c><c r="L398" s="456" t="n"><v>0.837</v></c><c r="M398" s="457" t="n"><v>89.05</v></c><c r="N398" s="457" t="n"><v>188.68</v></c><c r="O398" s="458" t="n"><v>100.61</v></c><c r="P398" s="459" t="inlineStr"><is><t>2,31,961</t></is></c><c r="Q398" s="460"><f>LEFT(P398,1)</f><v /></c><c r="R398" s="460"><f>RIGHT(P398,6)</f><v /></c><c r="S398" s="460"><f>+(Q398*60+R398)/(60*60)</f><v /></c><c r="T398" s="461"><f>+O398/S398</f><v /></c><c r="U398" s="462"><f>+(((N398-M398-O398)/O398)*100)</f><v /></c><c r="V398" s="463" t="n"><v>20.5</v></c><c r="W398" s="464" t="n"><v>1.096</v></c><c r="X398" s="464" t="n"><v>1.086</v></c><c r="Y398" s="457" t="n"><v>192.85</v></c><c r="Z398" s="457" t="n"><v>202.74</v></c><c r="AA398" s="465" t="n"><v>10.014</v></c><c r="AB398" s="465" t="inlineStr"><is><t>22,51,911</t></is></c><c r="AC398" s="460"><f>LEFT(AB398,2)</f><v /></c><c r="AD398" s="460"><f>RIGHT(AB398,6)</f><v /></c><c r="AE398" s="460"><f>+(AC398*60+AD398)/(60*60)</f><v /></c><c r="AF398" s="461"><f>+AA398/AE398</f><v /></c><c r="AG398" s="309"><f>+(((Z398-Y398-AA398)/AA398)*100)</f><v /></c><c r="AH398" s="463" t="n"><v>20.6</v></c><c r="AI398" s="464" t="n"><v>1.097</v></c><c r="AJ398" s="464" t="n"><v>1.092</v></c><c r="AK398" s="457"><f>Z398</f><v /></c><c r="AL398" s="457" t="n"><v>207.73</v></c><c r="AM398" s="466" t="n"><v>5.007</v></c><c r="AN398" s="459" t="inlineStr"><is><t>18,14,491</t></is></c><c r="AO398" s="460"><f>LEFT(AN398,2)</f><v /></c><c r="AP398" s="460"><f>RIGHT(AN398,6)</f><v /></c><c r="AQ398" s="460"><f>+(AO398*60+AP398)/(60*60)</f><v /></c><c r="AR398" s="461"><f>+AM398/AQ398</f><v /></c><c r="AS398" s="309"><f>+(((AL398-AK398-AM398)/AM398)*100)</f><v /></c><c r="AT398" s="467"><f>IF(I398&gt;=1,"NO CONFORME",IF(BK398="SIGDIFERENTES",BC398,BL398))</f><v /></c><c r="AU398" s="468"><f>B398=C398</f><v /></c><c r="AV398" s="468"><f>N398&lt;Y398</f><v /></c><c r="AW398" s="468"><f>Z398&lt;=AK398</f><v /></c><c r="AX398" s="468"><f>IF(I398&gt;=1,"Qcorrecto",IF(AND(AY398="aceptable",AZ398="aceptable",BA398="aceptable"),"Qcorrecto","Qincorrecto"))</f><v /></c><c r="AY398" s="469"><f>IF(AR398&lt;$AH$6,"error",IF(AR398&gt;$AH$6*1.1,"error","aceptable"))</f><v /></c><c r="AZ398" s="469"><f>IF(AF398&lt;$V$6,"error",IF(AF398&gt;$V$6*1.1,"error","aceptable"))</f><v /></c><c r="BA398" s="469"><f>IF(T398&lt;$J$6*0.9,"error",IF(T398&gt;$J$6,"error","aceptable"))</f><v /></c><c r="BB398" s="470"><f>(IF(ABS(U398)&lt;1.05,"CONFORME",IF(ABS(AG398)&lt;1.05,"CONFORME",IF(ABS(AS398)&lt;2.55,"CONFORME","NO CONFORME"))))</f><v /></c><c r="BC398" s="471"><f>(IF(ABS(U398)&gt;2.05,"NO CONFORME",IF(ABS(AG398)&gt;2.05,"NO CONFORME",IF(ABS(AS398)&gt;5.05,"NO CONFORME","CONFORME"))))</f><v /></c><c r="BD398" s="472"><f>SIGN(U398)</f><v /></c><c r="BE398" s="472"><f>SIGN(AG398)</f><v /></c><c r="BF398" s="472"><f>SIGN(AS398)</f><v /></c><c r="BG398" s="472"><f>CONCATENATE(BD398,BE398,BF398)</f><v /></c><c r="BH398" s="472"><f>IF(BG398="111","SI","SD")</f><v /></c><c r="BI398" s="472"><f>IF(BG398="-1-1-1","SI","SD")</f><v /></c><c r="BJ398" s="472"><f>OR(BH398="SI",BI398="SI")</f><v /></c><c r="BK398" s="472"><f>IF(BJ398=FALSE,"SIGDIFERENTES","SIGIGUALES")</f><v /></c><c r="BL398" s="469"><f>IF(BC398="NO CONFORME","NO CONFORME",IF(BB398="CONFORME","CONFORME","NO CONFORME"))</f><v /></c></row><row r="399" ht="15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PA25517326</t></is></c><c r="H399" s="313"><f>H398</f><v /></c><c r="I399" s="38"><f>I398</f><v /></c><c r="J399" s="314"><f>J398</f><v /></c><c r="K399" s="372"><f>K398</f><v /></c><c r="L399" s="372"><f>L398</f><v /></c><c r="M399" s="373" t="n"><v>87.55</v></c><c r="N399" s="373" t="n"><v>187.5</v></c><c r="O399" s="374"><f>O398</f><v /></c><c r="P399" s="375"><f>P398</f><v /></c><c r="Q399" s="376"><f>LEFT(P399,1)</f><v /></c><c r="R399" s="376"><f>RIGHT(P399,6)</f><v /></c><c r="S399" s="376"><f>+(Q399*60+R399)/(60*60)</f><v /></c><c r="T399" s="377"><f>+O399/S399</f><v /></c><c r="U399" s="378"><f>+(((N399-M399-O399)/O399)*100)</f><v /></c><c r="V399" s="317"><f>V398</f><v /></c><c r="W399" s="417"><f>W398</f><v /></c><c r="X399" s="417"><f>X398</f><v /></c><c r="Y399" s="373" t="n"><v>191.66</v></c><c r="Z399" s="373" t="n"><v>201.64</v></c><c r="AA399" s="379"><f>AA398</f><v /></c><c r="AB399" s="380"><f>AB398</f><v /></c><c r="AC399" s="376"><f>LEFT(AB399,2)</f><v /></c><c r="AD399" s="376"><f>RIGHT(AB399,6)</f><v /></c><c r="AE399" s="376"><f>+(AC399*60+AD399)/(60*60)</f><v /></c><c r="AF399" s="377"><f>+AA399/AE399</f><v /></c><c r="AG399" s="321"><f>+(((Z399-Y399-AA399)/AA399)*100)</f><v /></c><c r="AH399" s="317"><f>AH398</f><v /></c><c r="AI399" s="417"><f>AI398</f><v /></c><c r="AJ399" s="417"><f>AJ398</f><v /></c><c r="AK399" s="373"><f>Z399</f><v /></c><c r="AL399" s="373" t="n"><v>206.68</v></c><c r="AM399" s="381"><f>AM398</f><v /></c><c r="AN399" s="375"><f>AN398</f><v /></c><c r="AO399" s="376"><f>LEFT(AN399,2)</f><v /></c><c r="AP399" s="376"><f>RIGHT(AN399,6)</f><v /></c><c r="AQ399" s="376"><f>+(AO399*60+AP399)/(60*60)</f><v /></c><c r="AR399" s="377"><f>+AM399/AQ399</f><v /></c><c r="AS399" s="321"><f>+(((AL399-AK399-AM399)/AM399)*100)</f><v /></c><c r="AT399" s="382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5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PA25517327</t></is></c><c r="H400" s="313"><f>H399</f><v /></c><c r="I400" s="38"><f>I399</f><v /></c><c r="J400" s="314"><f>J399</f><v /></c><c r="K400" s="372"><f>K399</f><v /></c><c r="L400" s="372"><f>L399</f><v /></c><c r="M400" s="373" t="n"><v>87.38</v></c><c r="N400" s="373" t="n"><v>187.43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417"><f>W399</f><v /></c><c r="X400" s="417"><f>X399</f><v /></c><c r="Y400" s="373" t="n"><v>191.59</v></c><c r="Z400" s="373" t="n"><v>201.56</v></c><c r="AA400" s="379"><f>AA399</f><v /></c><c r="AB400" s="380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417"><f>AI399</f><v /></c><c r="AJ400" s="417"><f>AJ399</f><v /></c><c r="AK400" s="373"><f>Z400</f><v /></c><c r="AL400" s="373" t="n"><v>206.58</v></c><c r="AM400" s="381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2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5.75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PA25517328</t></is></c><c r="H401" s="313"><f>H400</f><v /></c><c r="I401" s="38"><f>I400</f><v /></c><c r="J401" s="314"><f>J400</f><v /></c><c r="K401" s="372"><f>K400</f><v /></c><c r="L401" s="372"><f>L400</f><v /></c><c r="M401" s="373" t="n"><v>87.66</v></c><c r="N401" s="373" t="n"><v>188.16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417"><f>W400</f><v /></c><c r="X401" s="417"><f>X400</f><v /></c><c r="Y401" s="373" t="n"><v>192.35</v></c><c r="Z401" s="373" t="n"><v>202.28</v></c><c r="AA401" s="379"><f>AA400</f><v /></c><c r="AB401" s="380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417"><f>AI400</f><v /></c><c r="AJ401" s="417"><f>AJ400</f><v /></c><c r="AK401" s="373"><f>Z401</f><v /></c><c r="AL401" s="373" t="n"><v>207.28</v></c><c r="AM401" s="381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2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PA25517329</t></is></c><c r="H402" s="313"><f>H401</f><v /></c><c r="I402" s="38"><f>I401</f><v /></c><c r="J402" s="314"><f>J401</f><v /></c><c r="K402" s="372"><f>K401</f><v /></c><c r="L402" s="372"><f>L401</f><v /></c><c r="M402" s="373" t="n"><v>87.16</v></c><c r="N402" s="373" t="n"><v>186.84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417"><f>W401</f><v /></c><c r="X402" s="417"><f>X401</f><v /></c><c r="Y402" s="373" t="n"><v>191.01</v></c><c r="Z402" s="373" t="n"><v>201.01</v></c><c r="AA402" s="379"><f>AA401</f><v /></c><c r="AB402" s="380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417"><f>AI401</f><v /></c><c r="AJ402" s="417"><f>AJ401</f><v /></c><c r="AK402" s="373"><f>Z402</f><v /></c><c r="AL402" s="373" t="n"><v>206.07</v></c><c r="AM402" s="381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2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PA25517330</t></is></c><c r="H403" s="313"><f>H402</f><v /></c><c r="I403" s="38"><f>I402</f><v /></c><c r="J403" s="314"><f>J402</f><v /></c><c r="K403" s="372"><f>K402</f><v /></c><c r="L403" s="372"><f>L402</f><v /></c><c r="M403" s="373" t="n"><v>88.40000000000001</v></c><c r="N403" s="373" t="n"><v>188.92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417"><f>W402</f><v /></c><c r="X403" s="417"><f>X402</f><v /></c><c r="Y403" s="373" t="n"><v>193.13</v></c><c r="Z403" s="373" t="n"><v>203.1</v></c><c r="AA403" s="379"><f>AA402</f><v /></c><c r="AB403" s="380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417"><f>AI402</f><v /></c><c r="AJ403" s="417"><f>AJ402</f><v /></c><c r="AK403" s="373"><f>Z403</f><v /></c><c r="AL403" s="373" t="n"><v>208.14</v></c><c r="AM403" s="381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2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PA25517331</t></is></c><c r="H404" s="313"><f>H403</f><v /></c><c r="I404" s="38"><f>I403</f><v /></c><c r="J404" s="314"><f>J403</f><v /></c><c r="K404" s="372"><f>K403</f><v /></c><c r="L404" s="372"><f>L403</f><v /></c><c r="M404" s="373" t="n"><v>90.13</v></c><c r="N404" s="373" t="n"><v>190.82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417"><f>W403</f><v /></c><c r="X404" s="417"><f>X403</f><v /></c><c r="Y404" s="373" t="n"><v>195.04</v></c><c r="Z404" s="373" t="n"><v>205</v></c><c r="AA404" s="379"><f>AA403</f><v /></c><c r="AB404" s="380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417"><f>AI403</f><v /></c><c r="AJ404" s="417"><f>AJ403</f><v /></c><c r="AK404" s="373"><f>Z404</f><v /></c><c r="AL404" s="373" t="n"><v>210</v></c><c r="AM404" s="381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2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PA25517332</t></is></c><c r="H405" s="313"><f>H404</f><v /></c><c r="I405" s="38"><f>I404</f><v /></c><c r="J405" s="314"><f>J404</f><v /></c><c r="K405" s="372"><f>K404</f><v /></c><c r="L405" s="372"><f>L404</f><v /></c><c r="M405" s="373" t="n"><v>88.95999999999999</v></c><c r="N405" s="373" t="n"><v>189.12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417"><f>W404</f><v /></c><c r="X405" s="417"><f>X404</f><v /></c><c r="Y405" s="373" t="n"><v>193.3</v></c><c r="Z405" s="373" t="n"><v>203.28</v></c><c r="AA405" s="379"><f>AA404</f><v /></c><c r="AB405" s="380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417"><f>AI404</f><v /></c><c r="AJ405" s="417"><f>AJ404</f><v /></c><c r="AK405" s="373"><f>Z405</f><v /></c><c r="AL405" s="373" t="n"><v>208.28</v></c><c r="AM405" s="381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2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PA25517333</t></is></c><c r="H406" s="313"><f>H405</f><v /></c><c r="I406" s="38"><f>I405</f><v /></c><c r="J406" s="314"><f>J405</f><v /></c><c r="K406" s="372"><f>K405</f><v /></c><c r="L406" s="372"><f>L405</f><v /></c><c r="M406" s="373" t="n"><v>87.26000000000001</v></c><c r="N406" s="373" t="n"><v>187.69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417"><f>W405</f><v /></c><c r="X406" s="417"><f>X405</f><v /></c><c r="Y406" s="373" t="n"><v>191.89</v></c><c r="Z406" s="373" t="n"><v>201.86</v></c><c r="AA406" s="379"><f>AA405</f><v /></c><c r="AB406" s="380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417"><f>AI405</f><v /></c><c r="AJ406" s="417"><f>AJ405</f><v /></c><c r="AK406" s="373"><f>Z406</f><v /></c><c r="AL406" s="373" t="n"><v>206.93</v></c><c r="AM406" s="381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2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PA25517334</t></is></c><c r="H407" s="313"><f>H406</f><v /></c><c r="I407" s="38"><f>I406</f><v /></c><c r="J407" s="314"><f>J406</f><v /></c><c r="K407" s="372"><f>K406</f><v /></c><c r="L407" s="372"><f>L406</f><v /></c><c r="M407" s="373" t="n"><v>89.09999999999999</v></c><c r="N407" s="373" t="n"><v>188.85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417"><f>W406</f><v /></c><c r="X407" s="417"><f>X406</f><v /></c><c r="Y407" s="373" t="n"><v>193.03</v></c><c r="Z407" s="373" t="n"><v>202.95</v></c><c r="AA407" s="379"><f>AA406</f><v /></c><c r="AB407" s="380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417"><f>AI406</f><v /></c><c r="AJ407" s="417"><f>AJ406</f><v /></c><c r="AK407" s="373"><f>Z407</f><v /></c><c r="AL407" s="373" t="n"><v>207.92</v></c><c r="AM407" s="381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2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PA25517335</t></is></c><c r="H408" s="313"><f>H407</f><v /></c><c r="I408" s="38"><f>I407</f><v /></c><c r="J408" s="314"><f>J407</f><v /></c><c r="K408" s="372"><f>K407</f><v /></c><c r="L408" s="372"><f>L407</f><v /></c><c r="M408" s="373" t="n"><v>92.02</v></c><c r="N408" s="373" t="n"><v>192.56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417"><f>W407</f><v /></c><c r="X408" s="417"><f>X407</f><v /></c><c r="Y408" s="373" t="n"><v>196.75</v></c><c r="Z408" s="373" t="n"><v>206.72</v></c><c r="AA408" s="379"><f>AA407</f><v /></c><c r="AB408" s="380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417"><f>AI407</f><v /></c><c r="AJ408" s="417"><f>AJ407</f><v /></c><c r="AK408" s="373"><f>Z408</f><v /></c><c r="AL408" s="373" t="n"><v>211.73</v></c><c r="AM408" s="381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2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PA25517336</t></is></c><c r="H409" s="313"><f>H408</f><v /></c><c r="I409" s="38"><f>I408</f><v /></c><c r="J409" s="314"><f>J408</f><v /></c><c r="K409" s="372"><f>K408</f><v /></c><c r="L409" s="372"><f>L408</f><v /></c><c r="M409" s="373" t="n"><v>91.03</v></c><c r="N409" s="373" t="n"><v>190.58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417"><f>W408</f><v /></c><c r="X409" s="417"><f>X408</f><v /></c><c r="Y409" s="373" t="n"><v>194.72</v></c><c r="Z409" s="373" t="n"><v>204.65</v></c><c r="AA409" s="379"><f>AA408</f><v /></c><c r="AB409" s="380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417"><f>AI408</f><v /></c><c r="AJ409" s="417"><f>AJ408</f><v /></c><c r="AK409" s="373"><f>Z409</f><v /></c><c r="AL409" s="373" t="n"><v>209.62</v></c><c r="AM409" s="381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2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PA25517337</t></is></c><c r="H410" s="313"><f>H409</f><v /></c><c r="I410" s="38"><f>I409</f><v /></c><c r="J410" s="314"><f>J409</f><v /></c><c r="K410" s="372"><f>K409</f><v /></c><c r="L410" s="372"><f>L409</f><v /></c><c r="M410" s="373" t="n"><v>90.86</v></c><c r="N410" s="373" t="n"><v>191.35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417"><f>W409</f><v /></c><c r="X410" s="417"><f>X409</f><v /></c><c r="Y410" s="373" t="n"><v>195.53</v></c><c r="Z410" s="373" t="n"><v>205.5</v></c><c r="AA410" s="379"><f>AA409</f><v /></c><c r="AB410" s="380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417"><f>AI409</f><v /></c><c r="AJ410" s="417"><f>AJ409</f><v /></c><c r="AK410" s="373"><f>Z410</f><v /></c><c r="AL410" s="373" t="n"><v>210.53</v></c><c r="AM410" s="381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2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PA25517338</t></is></c><c r="H411" s="313"><f>H410</f><v /></c><c r="I411" s="38"><f>I410</f><v /></c><c r="J411" s="314"><f>J410</f><v /></c><c r="K411" s="372"><f>K410</f><v /></c><c r="L411" s="372"><f>L410</f><v /></c><c r="M411" s="373" t="n"><v>89.75</v></c><c r="N411" s="373" t="n"><v>190.28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417"><f>W410</f><v /></c><c r="X411" s="417"><f>X410</f><v /></c><c r="Y411" s="373" t="n"><v>194.45</v></c><c r="Z411" s="373" t="n"><v>204.43</v></c><c r="AA411" s="379"><f>AA410</f><v /></c><c r="AB411" s="380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417"><f>AI410</f><v /></c><c r="AJ411" s="417"><f>AJ410</f><v /></c><c r="AK411" s="373"><f>Z411</f><v /></c><c r="AL411" s="373" t="n"><v>209.44</v></c><c r="AM411" s="381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2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PA25517339</t></is></c><c r="H412" s="313"><f>H411</f><v /></c><c r="I412" s="38"><f>I411</f><v /></c><c r="J412" s="314"><f>J411</f><v /></c><c r="K412" s="372"><f>K411</f><v /></c><c r="L412" s="372"><f>L411</f><v /></c><c r="M412" s="373" t="n"><v>88.7</v></c><c r="N412" s="373" t="n"><v>188.55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417"><f>W411</f><v /></c><c r="X412" s="417"><f>X411</f><v /></c><c r="Y412" s="373" t="n"><v>192.7</v></c><c r="Z412" s="373" t="n"><v>202.65</v></c><c r="AA412" s="379"><f>AA411</f><v /></c><c r="AB412" s="380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417"><f>AI411</f><v /></c><c r="AJ412" s="417"><f>AJ411</f><v /></c><c r="AK412" s="373"><f>Z412</f><v /></c><c r="AL412" s="373" t="n"><v>207.62</v></c><c r="AM412" s="381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2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83" t="n"><v>405</v></c><c r="B413" s="384"><f>B412</f><v /></c><c r="C413" s="384"><f>C412</f><v /></c><c r="D413" s="385"><f>D412</f><v /></c><c r="E413" s="386"><f>E412</f><v /></c><c r="F413" s="52" t="n" /><c r="G413" s="337" t="inlineStr"><is><t>PA25517340</t></is></c><c r="H413" s="326"><f>H412</f><v /></c><c r="I413" s="98"><f>I412</f><v /></c><c r="J413" s="327"><f>J412</f><v /></c><c r="K413" s="387"><f>K412</f><v /></c><c r="L413" s="387"><f>L412</f><v /></c><c r="M413" s="388" t="n"><v>89.05</v></c><c r="N413" s="388" t="n"><v>189.17</v></c><c r="O413" s="389"><f>O412</f><v /></c><c r="P413" s="390"><f>P412</f><v /></c><c r="Q413" s="391"><f>LEFT(P413,1)</f><v /></c><c r="R413" s="391"><f>RIGHT(P413,6)</f><v /></c><c r="S413" s="391"><f>+(Q413*60+R413)/(60*60)</f><v /></c><c r="T413" s="392"><f>+O413/S413</f><v /></c><c r="U413" s="393"><f>+(((N413-M413-O413)/O413)*100)</f><v /></c><c r="V413" s="329"><f>V412</f><v /></c><c r="W413" s="443"><f>W412</f><v /></c><c r="X413" s="443"><f>X412</f><v /></c><c r="Y413" s="388" t="n"><v>193.35</v></c><c r="Z413" s="388" t="n"><v>203.31</v></c><c r="AA413" s="394"><f>AA412</f><v /></c><c r="AB413" s="395"><f>AB412</f><v /></c><c r="AC413" s="391"><f>LEFT(AB413,2)</f><v /></c><c r="AD413" s="391"><f>RIGHT(AB413,6)</f><v /></c><c r="AE413" s="391"><f>+(AC413*60+AD413)/(60*60)</f><v /></c><c r="AF413" s="392"><f>+AA413/AE413</f><v /></c><c r="AG413" s="396"><f>+(((Z413-Y413-AA413)/AA413)*100)</f><v /></c><c r="AH413" s="329"><f>AH412</f><v /></c><c r="AI413" s="443"><f>AI412</f><v /></c><c r="AJ413" s="443"><f>AJ412</f><v /></c><c r="AK413" s="388"><f>Z413</f><v /></c><c r="AL413" s="388" t="n"><v>208.3</v></c><c r="AM413" s="397"><f>AM412</f><v /></c><c r="AN413" s="390"><f>AN412</f><v /></c><c r="AO413" s="391"><f>LEFT(AN413,2)</f><v /></c><c r="AP413" s="391"><f>RIGHT(AN413,6)</f><v /></c><c r="AQ413" s="391"><f>+(AO413*60+AP413)/(60*60)</f><v /></c><c r="AR413" s="392"><f>+AM413/AQ413</f><v /></c><c r="AS413" s="396"><f>+(((AL413-AK413-AM413)/AM413)*100)</f><v /></c><c r="AT413" s="398"><f>IF(I413&gt;=1,"NO CONFORME",IF(BK413="SIGDIFERENTES",BC413,BL413))</f><v /></c><c r="AU413" s="399"><f>B413=C413</f><v /></c><c r="AV413" s="399"><f>N413&lt;Y413</f><v /></c><c r="AW413" s="399"><f>Z413&lt;=AK413</f><v /></c><c r="AX413" s="399"><f>IF(I413&gt;=1,"Qcorrecto",IF(AND(AY413="aceptable",AZ413="aceptable",BA413="aceptable"),"Qcorrecto","Qincorrecto"))</f><v /></c><c r="AY413" s="400"><f>IF(AR413&lt;$AH$6,"error",IF(AR413&gt;$AH$6*1.1,"error","aceptable"))</f><v /></c><c r="AZ413" s="400"><f>IF(AF413&lt;$V$6,"error",IF(AF413&gt;$V$6*1.1,"error","aceptable"))</f><v /></c><c r="BA413" s="400"><f>IF(T413&lt;$J$6*0.9,"error",IF(T413&gt;$J$6,"error","aceptable"))</f><v /></c><c r="BB413" s="401"><f>(IF(ABS(U413)&lt;1.05,"CONFORME",IF(ABS(AG413)&lt;1.05,"CONFORME",IF(ABS(AS413)&lt;2.55,"CONFORME","NO CONFORME"))))</f><v /></c><c r="BC413" s="402"><f>(IF(ABS(U413)&gt;2.05,"NO CONFORME",IF(ABS(AG413)&gt;2.05,"NO CONFORME",IF(ABS(AS413)&gt;5.05,"NO CONFORME","CONFORME"))))</f><v /></c><c r="BD413" s="403"><f>SIGN(U413)</f><v /></c><c r="BE413" s="403"><f>SIGN(AG413)</f><v /></c><c r="BF413" s="403"><f>SIGN(AS413)</f><v /></c><c r="BG413" s="403"><f>CONCATENATE(BD413,BE413,BF413)</f><v /></c><c r="BH413" s="403"><f>IF(BG413="111","SI","SD")</f><v /></c><c r="BI413" s="403"><f>IF(BG413="-1-1-1","SI","SD")</f><v /></c><c r="BJ413" s="403"><f>OR(BH413="SI",BI413="SI")</f><v /></c><c r="BK413" s="403"><f>IF(BJ413=FALSE,"SIGDIFERENTES","SIGIGUALES")</f><v /></c><c r="BL413" s="400"><f>IF(BC413="NO CONFORME","NO CONFORME",IF(BB413="CONFORME","CONFORME","NO CONFORME"))</f><v /></c></row><row r="414" ht="14.4" customHeight="1" thickBot="1"><c r="A414" s="449" t="n"><v>406</v></c><c r="B414" s="450"><f>B413</f><v /></c><c r="C414" s="450"><f>C413</f><v /></c><c r="D414" s="451"><f>D413</f><v /></c><c r="E414" s="452"><f>E413</f><v /></c><c r="F414" s="46" t="n" /><c r="G414" s="335" t="inlineStr"><is><t>PA25517341</t></is></c><c r="H414" s="453"><f>H413</f><v /></c><c r="I414" s="454"><f>I413</f><v /></c><c r="J414" s="455" t="n"><v>20.3</v></c><c r="K414" s="456" t="n"><v>8.513</v></c><c r="L414" s="456" t="n"><v>0.847</v></c><c r="M414" s="457" t="n"><v>237.36</v></c><c r="N414" s="457" t="n"><v>336.77</v></c><c r="O414" s="458" t="n"><v>100.7</v></c><c r="P414" s="459" t="inlineStr"><is><t>2,32,201</t></is></c><c r="Q414" s="460"><f>LEFT(P414,1)</f><v /></c><c r="R414" s="460"><f>RIGHT(P414,6)</f><v /></c><c r="S414" s="460"><f>+(Q414*60+R414)/(60*60)</f><v /></c><c r="T414" s="461"><f>+O414/S414</f><v /></c><c r="U414" s="462"><f>+(((N414-M414-O414)/O414)*100)</f><v /></c><c r="V414" s="463" t="n"><v>20.8</v></c><c r="W414" s="464" t="n"><v>1.099</v></c><c r="X414" s="464" t="n"><v>1.09</v></c><c r="Y414" s="457" t="n"><v>340.54</v></c><c r="Z414" s="457" t="n"><v>350.43</v></c><c r="AA414" s="465" t="n"><v>10.009</v></c><c r="AB414" s="465" t="inlineStr"><is><t>22,53,121</t></is></c><c r="AC414" s="460"><f>LEFT(AB414,2)</f><v /></c><c r="AD414" s="460"><f>RIGHT(AB414,6)</f><v /></c><c r="AE414" s="460"><f>+(AC414*60+AD414)/(60*60)</f><v /></c><c r="AF414" s="461"><f>+AA414/AE414</f><v /></c><c r="AG414" s="309"><f>+(((Z414-Y414-AA414)/AA414)*100)</f><v /></c><c r="AH414" s="463" t="n"><v>20.8</v></c><c r="AI414" s="464" t="n"><v>1.095</v></c><c r="AJ414" s="464" t="n"><v>1.086</v></c><c r="AK414" s="457"><f>Z414</f><v /></c><c r="AL414" s="457" t="n"><v>355.36</v></c><c r="AM414" s="466" t="n"><v>5.005</v></c><c r="AN414" s="459" t="inlineStr"><is><t>18,16,161</t></is></c><c r="AO414" s="460"><f>LEFT(AN414,2)</f><v /></c><c r="AP414" s="460"><f>RIGHT(AN414,6)</f><v /></c><c r="AQ414" s="460"><f>+(AO414*60+AP414)/(60*60)</f><v /></c><c r="AR414" s="461"><f>+AM414/AQ414</f><v /></c><c r="AS414" s="309"><f>+(((AL414-AK414-AM414)/AM414)*100)</f><v /></c><c r="AT414" s="467"><f>IF(I414&gt;=1,"NO CONFORME",IF(BK414="SIGDIFERENTES",BC414,BL414))</f><v /></c><c r="AU414" s="468"><f>B414=C414</f><v /></c><c r="AV414" s="468"><f>N414&lt;Y414</f><v /></c><c r="AW414" s="468"><f>Z414&lt;=AK414</f><v /></c><c r="AX414" s="468"><f>IF(I414&gt;=1,"Qcorrecto",IF(AND(AY414="aceptable",AZ414="aceptable",BA414="aceptable"),"Qcorrecto","Qincorrecto"))</f><v /></c><c r="AY414" s="469"><f>IF(AR414&lt;$AH$6,"error",IF(AR414&gt;$AH$6*1.1,"error","aceptable"))</f><v /></c><c r="AZ414" s="469"><f>IF(AF414&lt;$V$6,"error",IF(AF414&gt;$V$6*1.1,"error","aceptable"))</f><v /></c><c r="BA414" s="469"><f>IF(T414&lt;$J$6*0.9,"error",IF(T414&gt;$J$6,"error","aceptable"))</f><v /></c><c r="BB414" s="470"><f>(IF(ABS(U414)&lt;1.05,"CONFORME",IF(ABS(AG414)&lt;1.05,"CONFORME",IF(ABS(AS414)&lt;2.55,"CONFORME","NO CONFORME"))))</f><v /></c><c r="BC414" s="471"><f>(IF(ABS(U414)&gt;2.05,"NO CONFORME",IF(ABS(AG414)&gt;2.05,"NO CONFORME",IF(ABS(AS414)&gt;5.05,"NO CONFORME","CONFORME"))))</f><v /></c><c r="BD414" s="472"><f>SIGN(U414)</f><v /></c><c r="BE414" s="472"><f>SIGN(AG414)</f><v /></c><c r="BF414" s="472"><f>SIGN(AS414)</f><v /></c><c r="BG414" s="472"><f>CONCATENATE(BD414,BE414,BF414)</f><v /></c><c r="BH414" s="472"><f>IF(BG414="111","SI","SD")</f><v /></c><c r="BI414" s="472"><f>IF(BG414="-1-1-1","SI","SD")</f><v /></c><c r="BJ414" s="472"><f>OR(BH414="SI",BI414="SI")</f><v /></c><c r="BK414" s="472"><f>IF(BJ414=FALSE,"SIGDIFERENTES","SIGIGUALES")</f><v /></c><c r="BL414" s="469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PA25517342</t></is></c><c r="H415" s="313"><f>H414</f><v /></c><c r="I415" s="38"><f>I414</f><v /></c><c r="J415" s="314"><f>J414</f><v /></c><c r="K415" s="372"><f>K414</f><v /></c><c r="L415" s="372"><f>L414</f><v /></c><c r="M415" s="373" t="n"><v>239.1</v></c><c r="N415" s="373" t="n"><v>339.29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417"><f>W414</f><v /></c><c r="X415" s="417"><f>X414</f><v /></c><c r="Y415" s="373" t="n"><v>343.05</v></c><c r="Z415" s="373" t="n"><v>352.93</v></c><c r="AA415" s="379"><f>AA414</f><v /></c><c r="AB415" s="380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417"><f>AI414</f><v /></c><c r="AJ415" s="417"><f>AJ414</f><v /></c><c r="AK415" s="373"><f>Z415</f><v /></c><c r="AL415" s="373" t="n"><v>357.89</v></c><c r="AM415" s="381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2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PA25517343</t></is></c><c r="H416" s="313"><f>H415</f><v /></c><c r="I416" s="38"><f>I415</f><v /></c><c r="J416" s="314"><f>J415</f><v /></c><c r="K416" s="372"><f>K415</f><v /></c><c r="L416" s="372"><f>L415</f><v /></c><c r="M416" s="373" t="n"><v>239.49</v></c><c r="N416" s="373" t="n"><v>339.66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417"><f>W415</f><v /></c><c r="X416" s="417"><f>X415</f><v /></c><c r="Y416" s="373" t="n"><v>343.48</v></c><c r="Z416" s="373" t="n"><v>353.43</v></c><c r="AA416" s="379"><f>AA415</f><v /></c><c r="AB416" s="380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417"><f>AI415</f><v /></c><c r="AJ416" s="417"><f>AJ415</f><v /></c><c r="AK416" s="373"><f>Z416</f><v /></c><c r="AL416" s="373" t="n"><v>358.43</v></c><c r="AM416" s="381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2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PA25517344</t></is></c><c r="H417" s="313"><f>H416</f><v /></c><c r="I417" s="38"><f>I416</f><v /></c><c r="J417" s="314"><f>J416</f><v /></c><c r="K417" s="372"><f>K416</f><v /></c><c r="L417" s="372"><f>L416</f><v /></c><c r="M417" s="373" t="n"><v>242.4</v></c><c r="N417" s="373" t="n"><v>343.05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417"><f>W416</f><v /></c><c r="X417" s="417"><f>X416</f><v /></c><c r="Y417" s="373" t="n"><v>346.85</v></c><c r="Z417" s="373" t="n"><v>356.86</v></c><c r="AA417" s="379"><f>AA416</f><v /></c><c r="AB417" s="380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417"><f>AI416</f><v /></c><c r="AJ417" s="417"><f>AJ416</f><v /></c><c r="AK417" s="373"><f>Z417</f><v /></c><c r="AL417" s="373" t="n"><v>361.86</v></c><c r="AM417" s="381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2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PA25517345</t></is></c><c r="H418" s="313"><f>H417</f><v /></c><c r="I418" s="38"><f>I417</f><v /></c><c r="J418" s="314"><f>J417</f><v /></c><c r="K418" s="372"><f>K417</f><v /></c><c r="L418" s="372"><f>L417</f><v /></c><c r="M418" s="373" t="n"><v>240.92</v></c><c r="N418" s="373" t="n"><v>341.44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417"><f>W417</f><v /></c><c r="X418" s="417"><f>X417</f><v /></c><c r="Y418" s="373" t="n"><v>345.2</v></c><c r="Z418" s="373" t="n"><v>355.2</v></c><c r="AA418" s="379"><f>AA417</f><v /></c><c r="AB418" s="380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417"><f>AI417</f><v /></c><c r="AJ418" s="417"><f>AJ417</f><v /></c><c r="AK418" s="373"><f>Z418</f><v /></c><c r="AL418" s="373" t="n"><v>360.25</v></c><c r="AM418" s="381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2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PA25517346</t></is></c><c r="H419" s="313"><f>H418</f><v /></c><c r="I419" s="38"><f>I418</f><v /></c><c r="J419" s="314"><f>J418</f><v /></c><c r="K419" s="372"><f>K418</f><v /></c><c r="L419" s="372"><f>L418</f><v /></c><c r="M419" s="373" t="n"><v>239.65</v></c><c r="N419" s="373" t="n"><v>339.5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417"><f>W418</f><v /></c><c r="X419" s="417"><f>X418</f><v /></c><c r="Y419" s="373" t="n"><v>343.26</v></c><c r="Z419" s="373" t="n"><v>353.17</v></c><c r="AA419" s="379"><f>AA418</f><v /></c><c r="AB419" s="380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417"><f>AI418</f><v /></c><c r="AJ419" s="417"><f>AJ418</f><v /></c><c r="AK419" s="373"><f>Z419</f><v /></c><c r="AL419" s="373" t="n"><v>358.17</v></c><c r="AM419" s="381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2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PA25517347</t></is></c><c r="H420" s="313"><f>H419</f><v /></c><c r="I420" s="38"><f>I419</f><v /></c><c r="J420" s="314"><f>J419</f><v /></c><c r="K420" s="372"><f>K419</f><v /></c><c r="L420" s="372"><f>L419</f><v /></c><c r="M420" s="373" t="n"><v>240.75</v></c><c r="N420" s="373" t="n"><v>340.76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417"><f>W419</f><v /></c><c r="X420" s="417"><f>X419</f><v /></c><c r="Y420" s="373" t="n"><v>344.55</v></c><c r="Z420" s="373" t="n"><v>354.54</v></c><c r="AA420" s="379"><f>AA419</f><v /></c><c r="AB420" s="380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417"><f>AI419</f><v /></c><c r="AJ420" s="417"><f>AJ419</f><v /></c><c r="AK420" s="373"><f>Z420</f><v /></c><c r="AL420" s="373" t="n"><v>359.55</v></c><c r="AM420" s="381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2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PA25517348</t></is></c><c r="H421" s="313"><f>H420</f><v /></c><c r="I421" s="38"><f>I420</f><v /></c><c r="J421" s="314"><f>J420</f><v /></c><c r="K421" s="372"><f>K420</f><v /></c><c r="L421" s="372"><f>L420</f><v /></c><c r="M421" s="373" t="n"><v>240.87</v></c><c r="N421" s="373" t="n"><v>340.8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417"><f>W420</f><v /></c><c r="X421" s="417"><f>X420</f><v /></c><c r="Y421" s="373" t="n"><v>344.59</v></c><c r="Z421" s="373" t="n"><v>354.58</v></c><c r="AA421" s="379"><f>AA420</f><v /></c><c r="AB421" s="380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417"><f>AI420</f><v /></c><c r="AJ421" s="417"><f>AJ420</f><v /></c><c r="AK421" s="373"><f>Z421</f><v /></c><c r="AL421" s="373" t="n"><v>359.6</v></c><c r="AM421" s="381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2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PA25517349</t></is></c><c r="H422" s="313"><f>H421</f><v /></c><c r="I422" s="38"><f>I421</f><v /></c><c r="J422" s="314"><f>J421</f><v /></c><c r="K422" s="372"><f>K421</f><v /></c><c r="L422" s="372"><f>L421</f><v /></c><c r="M422" s="373" t="n"><v>238.51</v></c><c r="N422" s="373" t="n"><v>339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417"><f>W421</f><v /></c><c r="X422" s="417"><f>X421</f><v /></c><c r="Y422" s="373" t="n"><v>342.75</v></c><c r="Z422" s="373" t="n"><v>352.68</v></c><c r="AA422" s="379"><f>AA421</f><v /></c><c r="AB422" s="380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417"><f>AI421</f><v /></c><c r="AJ422" s="417"><f>AJ421</f><v /></c><c r="AK422" s="373"><f>Z422</f><v /></c><c r="AL422" s="373" t="n"><v>357.69</v></c><c r="AM422" s="381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2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PA25517350</t></is></c><c r="H423" s="313"><f>H422</f><v /></c><c r="I423" s="38"><f>I422</f><v /></c><c r="J423" s="314"><f>J422</f><v /></c><c r="K423" s="372"><f>K422</f><v /></c><c r="L423" s="372"><f>L422</f><v /></c><c r="M423" s="373" t="n"><v>238.95</v></c><c r="N423" s="373" t="n"><v>338.4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417"><f>W422</f><v /></c><c r="X423" s="417"><f>X422</f><v /></c><c r="Y423" s="373" t="n"><v>342.11</v></c><c r="Z423" s="373" t="n"><v>351.97</v></c><c r="AA423" s="379"><f>AA422</f><v /></c><c r="AB423" s="380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417"><f>AI422</f><v /></c><c r="AJ423" s="417"><f>AJ422</f><v /></c><c r="AK423" s="373"><f>Z423</f><v /></c><c r="AL423" s="373" t="n"><v>356.9</v></c><c r="AM423" s="381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2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PA25517351</t></is></c><c r="H424" s="313"><f>H423</f><v /></c><c r="I424" s="38"><f>I423</f><v /></c><c r="J424" s="314"><f>J423</f><v /></c><c r="K424" s="372"><f>K423</f><v /></c><c r="L424" s="372"><f>L423</f><v /></c><c r="M424" s="373" t="n"><v>239.1</v></c><c r="N424" s="373" t="n"><v>339.69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417"><f>W423</f><v /></c><c r="X424" s="417"><f>X423</f><v /></c><c r="Y424" s="373" t="n"><v>343.48</v></c><c r="Z424" s="373" t="n"><v>353.36</v></c><c r="AA424" s="379"><f>AA423</f><v /></c><c r="AB424" s="380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417"><f>AI423</f><v /></c><c r="AJ424" s="417"><f>AJ423</f><v /></c><c r="AK424" s="373"><f>Z424</f><v /></c><c r="AL424" s="373" t="n"><v>358.2</v></c><c r="AM424" s="381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2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PA25517352</t></is></c><c r="H425" s="313"><f>H424</f><v /></c><c r="I425" s="38"><f>I424</f><v /></c><c r="J425" s="314"><f>J424</f><v /></c><c r="K425" s="372"><f>K424</f><v /></c><c r="L425" s="372"><f>L424</f><v /></c><c r="M425" s="373" t="n"><v>236.44</v></c><c r="N425" s="373" t="n"><v>336.02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417"><f>W424</f><v /></c><c r="X425" s="417"><f>X424</f><v /></c><c r="Y425" s="373" t="n"><v>339.76</v></c><c r="Z425" s="373" t="n"><v>349.74</v></c><c r="AA425" s="379"><f>AA424</f><v /></c><c r="AB425" s="380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417"><f>AI424</f><v /></c><c r="AJ425" s="417"><f>AJ424</f><v /></c><c r="AK425" s="373"><f>Z425</f><v /></c><c r="AL425" s="373" t="n"><v>354.74</v></c><c r="AM425" s="381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2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PA25517353</t></is></c><c r="H426" s="313"><f>H425</f><v /></c><c r="I426" s="38"><f>I425</f><v /></c><c r="J426" s="314"><f>J425</f><v /></c><c r="K426" s="372"><f>K425</f><v /></c><c r="L426" s="372"><f>L425</f><v /></c><c r="M426" s="373" t="n"><v>239.1</v></c><c r="N426" s="373" t="n"><v>338.83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417"><f>W425</f><v /></c><c r="X426" s="417"><f>X425</f><v /></c><c r="Y426" s="373" t="n"><v>342.6</v></c><c r="Z426" s="373" t="n"><v>352.53</v></c><c r="AA426" s="379"><f>AA425</f><v /></c><c r="AB426" s="380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417"><f>AI425</f><v /></c><c r="AJ426" s="417"><f>AJ425</f><v /></c><c r="AK426" s="373"><f>Z426</f><v /></c><c r="AL426" s="373" t="n"><v>357.52</v></c><c r="AM426" s="381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2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PA25517354</t></is></c><c r="H427" s="313"><f>H426</f><v /></c><c r="I427" s="38"><f>I426</f><v /></c><c r="J427" s="314"><f>J426</f><v /></c><c r="K427" s="372"><f>K426</f><v /></c><c r="L427" s="372"><f>L426</f><v /></c><c r="M427" s="373" t="n"><v>239.85</v></c><c r="N427" s="373" t="n"><v>339.6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417"><f>W426</f><v /></c><c r="X427" s="417"><f>X426</f><v /></c><c r="Y427" s="373" t="n"><v>343.38</v></c><c r="Z427" s="373" t="n"><v>353.36</v></c><c r="AA427" s="379"><f>AA426</f><v /></c><c r="AB427" s="380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417"><f>AI426</f><v /></c><c r="AJ427" s="417"><f>AJ426</f><v /></c><c r="AK427" s="373"><f>Z427</f><v /></c><c r="AL427" s="373" t="n"><v>358.4</v></c><c r="AM427" s="381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2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4.4" customHeight="1" thickBot="1"><c r="A428" s="368" t="n"><v>420</v></c><c r="B428" s="369"><f>B427</f><v /></c><c r="C428" s="369"><f>C427</f><v /></c><c r="D428" s="370"><f>D427</f><v /></c><c r="E428" s="371"><f>E427</f><v /></c><c r="F428" s="13" t="n" /><c r="G428" s="300" t="inlineStr"><is><t>PA25517355</t></is></c><c r="H428" s="313"><f>H427</f><v /></c><c r="I428" s="38"><f>I427</f><v /></c><c r="J428" s="314"><f>J427</f><v /></c><c r="K428" s="372"><f>K427</f><v /></c><c r="L428" s="372"><f>L427</f><v /></c><c r="M428" s="373" t="n"><v>235.36</v></c><c r="N428" s="373" t="n"><v>334.38</v></c><c r="O428" s="374"><f>O427</f><v /></c><c r="P428" s="375"><f>P427</f><v /></c><c r="Q428" s="376"><f>LEFT(P428,1)</f><v /></c><c r="R428" s="376"><f>RIGHT(P428,6)</f><v /></c><c r="S428" s="376"><f>+(Q428*60+R428)/(60*60)</f><v /></c><c r="T428" s="377"><f>+O428/S428</f><v /></c><c r="U428" s="378"><f>+(((N428-M428-O428)/O428)*100)</f><v /></c><c r="V428" s="317"><f>V427</f><v /></c><c r="W428" s="417"><f>W427</f><v /></c><c r="X428" s="417"><f>X427</f><v /></c><c r="Y428" s="373" t="n"><v>338.1</v></c><c r="Z428" s="373" t="n"><v>348.04</v></c><c r="AA428" s="379"><f>AA427</f><v /></c><c r="AB428" s="380"><f>AB427</f><v /></c><c r="AC428" s="376"><f>LEFT(AB428,2)</f><v /></c><c r="AD428" s="376"><f>RIGHT(AB428,6)</f><v /></c><c r="AE428" s="376"><f>+(AC428*60+AD428)/(60*60)</f><v /></c><c r="AF428" s="377"><f>+AA428/AE428</f><v /></c><c r="AG428" s="321"><f>+(((Z428-Y428-AA428)/AA428)*100)</f><v /></c><c r="AH428" s="317"><f>AH427</f><v /></c><c r="AI428" s="417"><f>AI427</f><v /></c><c r="AJ428" s="417"><f>AJ427</f><v /></c><c r="AK428" s="373"><f>Z428</f><v /></c><c r="AL428" s="373" t="n"><v>353.04</v></c><c r="AM428" s="381"><f>AM427</f><v /></c><c r="AN428" s="375"><f>AN427</f><v /></c><c r="AO428" s="376"><f>LEFT(AN428,2)</f><v /></c><c r="AP428" s="376"><f>RIGHT(AN428,6)</f><v /></c><c r="AQ428" s="376"><f>+(AO428*60+AP428)/(60*60)</f><v /></c><c r="AR428" s="377"><f>+AM428/AQ428</f><v /></c><c r="AS428" s="321"><f>+(((AL428-AK428-AM428)/AM428)*100)</f><v /></c><c r="AT428" s="382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5" customHeight="1" thickBot="1"><c r="A429" s="383" t="n"><v>421</v></c><c r="B429" s="384"><f>B428</f><v /></c><c r="C429" s="384"><f>C428</f><v /></c><c r="D429" s="385"><f>D428</f><v /></c><c r="E429" s="386"><f>E428</f><v /></c><c r="F429" s="52" t="n" /><c r="G429" s="337" t="inlineStr"><is><t>PA25517356</t></is></c><c r="H429" s="326"><f>H428</f><v /></c><c r="I429" s="98"><f>I428</f><v /></c><c r="J429" s="327"><f>J428</f><v /></c><c r="K429" s="387"><f>K428</f><v /></c><c r="L429" s="387"><f>L428</f><v /></c><c r="M429" s="388" t="n"><v>283.29</v></c><c r="N429" s="388" t="n"><v>383.69</v></c><c r="O429" s="389"><f>O428</f><v /></c><c r="P429" s="390"><f>P428</f><v /></c><c r="Q429" s="391"><f>LEFT(P429,1)</f><v /></c><c r="R429" s="391"><f>RIGHT(P429,6)</f><v /></c><c r="S429" s="391"><f>+(Q429*60+R429)/(60*60)</f><v /></c><c r="T429" s="392"><f>+O429/S429</f><v /></c><c r="U429" s="393"><f>+(((N429-M429-O429)/O429)*100)</f><v /></c><c r="V429" s="329"><f>V428</f><v /></c><c r="W429" s="443"><f>W428</f><v /></c><c r="X429" s="443"><f>X428</f><v /></c><c r="Y429" s="388" t="n"><v>387.49</v></c><c r="Z429" s="388" t="n"><v>397.45</v></c><c r="AA429" s="394"><f>AA428</f><v /></c><c r="AB429" s="395"><f>AB428</f><v /></c><c r="AC429" s="391"><f>LEFT(AB429,2)</f><v /></c><c r="AD429" s="391"><f>RIGHT(AB429,6)</f><v /></c><c r="AE429" s="391"><f>+(AC429*60+AD429)/(60*60)</f><v /></c><c r="AF429" s="392"><f>+AA429/AE429</f><v /></c><c r="AG429" s="396"><f>+(((Z429-Y429-AA429)/AA429)*100)</f><v /></c><c r="AH429" s="329"><f>AH428</f><v /></c><c r="AI429" s="443"><f>AI428</f><v /></c><c r="AJ429" s="443"><f>AJ428</f><v /></c><c r="AK429" s="388"><f>Z429</f><v /></c><c r="AL429" s="388" t="n"><v>402.45</v></c><c r="AM429" s="397"><f>AM428</f><v /></c><c r="AN429" s="390"><f>AN428</f><v /></c><c r="AO429" s="391"><f>LEFT(AN429,2)</f><v /></c><c r="AP429" s="391"><f>RIGHT(AN429,6)</f><v /></c><c r="AQ429" s="391"><f>+(AO429*60+AP429)/(60*60)</f><v /></c><c r="AR429" s="392"><f>+AM429/AQ429</f><v /></c><c r="AS429" s="396"><f>+(((AL429-AK429-AM429)/AM429)*100)</f><v /></c><c r="AT429" s="398"><f>IF(I429&gt;=1,"NO CONFORME",IF(BK429="SIGDIFERENTES",BC429,BL429))</f><v /></c><c r="AU429" s="399"><f>B429=C429</f><v /></c><c r="AV429" s="399"><f>N429&lt;Y429</f><v /></c><c r="AW429" s="399"><f>Z429&lt;=AK429</f><v /></c><c r="AX429" s="399"><f>IF(I429&gt;=1,"Qcorrecto",IF(AND(AY429="aceptable",AZ429="aceptable",BA429="aceptable"),"Qcorrecto","Qincorrecto"))</f><v /></c><c r="AY429" s="400"><f>IF(AR429&lt;$AH$6,"error",IF(AR429&gt;$AH$6*1.1,"error","aceptable"))</f><v /></c><c r="AZ429" s="400"><f>IF(AF429&lt;$V$6,"error",IF(AF429&gt;$V$6*1.1,"error","aceptable"))</f><v /></c><c r="BA429" s="400"><f>IF(T429&lt;$J$6*0.9,"error",IF(T429&gt;$J$6,"error","aceptable"))</f><v /></c><c r="BB429" s="401"><f>(IF(ABS(U429)&lt;1.05,"CONFORME",IF(ABS(AG429)&lt;1.05,"CONFORME",IF(ABS(AS429)&lt;2.55,"CONFORME","NO CONFORME"))))</f><v /></c><c r="BC429" s="402"><f>(IF(ABS(U429)&gt;2.05,"NO CONFORME",IF(ABS(AG429)&gt;2.05,"NO CONFORME",IF(ABS(AS429)&gt;5.05,"NO CONFORME","CONFORME"))))</f><v /></c><c r="BD429" s="403"><f>SIGN(U429)</f><v /></c><c r="BE429" s="403"><f>SIGN(AG429)</f><v /></c><c r="BF429" s="403"><f>SIGN(AS429)</f><v /></c><c r="BG429" s="403"><f>CONCATENATE(BD429,BE429,BF429)</f><v /></c><c r="BH429" s="403"><f>IF(BG429="111","SI","SD")</f><v /></c><c r="BI429" s="403"><f>IF(BG429="-1-1-1","SI","SD")</f><v /></c><c r="BJ429" s="403"><f>OR(BH429="SI",BI429="SI")</f><v /></c><c r="BK429" s="403"><f>IF(BJ429=FALSE,"SIGDIFERENTES","SIGIGUALES")</f><v /></c><c r="BL429" s="400"><f>IF(BC429="NO CONFORME","NO CONFORME",IF(BB429="CONFORME","CONFORME","NO CONFORME"))</f><v /></c></row><row r="430" ht="14.4" customHeight="1" thickBot="1"><c r="A430" s="449" t="n"><v>422</v></c><c r="B430" s="450"><f>B429</f><v /></c><c r="C430" s="450"><f>C429</f><v /></c><c r="D430" s="451"><f>D429</f><v /></c><c r="E430" s="452"><f>E429</f><v /></c><c r="F430" s="46" t="n" /><c r="G430" s="335" t="inlineStr"><is><t>PA25517357</t></is></c><c r="H430" s="453"><f>H429</f><v /></c><c r="I430" s="454"><f>I429</f><v /></c><c r="J430" s="455" t="n"><v>20.3</v></c><c r="K430" s="456" t="n"><v>8.51</v></c><c r="L430" s="456" t="n"><v>0.851</v></c><c r="M430" s="457" t="n"><v>127.39</v></c><c r="N430" s="457" t="n"><v>227.25</v></c><c r="O430" s="458" t="n"><v>100.77</v></c><c r="P430" s="459" t="inlineStr"><is><t>2,32,017</t></is></c><c r="Q430" s="460"><f>LEFT(P430,1)</f><v /></c><c r="R430" s="460"><f>RIGHT(P430,6)</f><v /></c><c r="S430" s="460"><f>+(Q430*60+R430)/(60*60)</f><v /></c><c r="T430" s="461"><f>+O430/S430</f><v /></c><c r="U430" s="462"><f>+(((N430-M430-O430)/O430)*100)</f><v /></c><c r="V430" s="463" t="n"><v>20.4</v></c><c r="W430" s="464" t="n"><v>1.097</v></c><c r="X430" s="464" t="n"><v>1.088</v></c><c r="Y430" s="457" t="n"><v>232.8</v></c><c r="Z430" s="457" t="n"><v>242.7</v></c><c r="AA430" s="465" t="n"><v>10.01</v></c><c r="AB430" s="465" t="inlineStr"><is><t>22,50,961</t></is></c><c r="AC430" s="460"><f>LEFT(AB430,2)</f><v /></c><c r="AD430" s="460"><f>RIGHT(AB430,6)</f><v /></c><c r="AE430" s="460"><f>+(AC430*60+AD430)/(60*60)</f><v /></c><c r="AF430" s="461"><f>+AA430/AE430</f><v /></c><c r="AG430" s="309"><f>+(((Z430-Y430-AA430)/AA430)*100)</f><v /></c><c r="AH430" s="463" t="n"><v>20.6</v></c><c r="AI430" s="464" t="n"><v>1.098</v></c><c r="AJ430" s="464" t="n"><v>1.089</v></c><c r="AK430" s="457"><f>Z430</f><v /></c><c r="AL430" s="457" t="n"><v>247.68</v></c><c r="AM430" s="466" t="n"><v>5.006</v></c><c r="AN430" s="459" t="inlineStr"><is><t>18,15,171</t></is></c><c r="AO430" s="460"><f>LEFT(AN430,2)</f><v /></c><c r="AP430" s="460"><f>RIGHT(AN430,6)</f><v /></c><c r="AQ430" s="460"><f>+(AO430*60+AP430)/(60*60)</f><v /></c><c r="AR430" s="461"><f>+AM430/AQ430</f><v /></c><c r="AS430" s="309"><f>+(((AL430-AK430-AM430)/AM430)*100)</f><v /></c><c r="AT430" s="467"><f>IF(I430&gt;=1,"NO CONFORME",IF(BK430="SIGDIFERENTES",BC430,BL430))</f><v /></c><c r="AU430" s="468"><f>B430=C430</f><v /></c><c r="AV430" s="468"><f>N430&lt;Y430</f><v /></c><c r="AW430" s="468"><f>Z430&lt;=AK430</f><v /></c><c r="AX430" s="468"><f>IF(I430&gt;=1,"Qcorrecto",IF(AND(AY430="aceptable",AZ430="aceptable",BA430="aceptable"),"Qcorrecto","Qincorrecto"))</f><v /></c><c r="AY430" s="469"><f>IF(AR430&lt;$AH$6,"error",IF(AR430&gt;$AH$6*1.1,"error","aceptable"))</f><v /></c><c r="AZ430" s="469"><f>IF(AF430&lt;$V$6,"error",IF(AF430&gt;$V$6*1.1,"error","aceptable"))</f><v /></c><c r="BA430" s="469"><f>IF(T430&lt;$J$6*0.9,"error",IF(T430&gt;$J$6,"error","aceptable"))</f><v /></c><c r="BB430" s="470"><f>(IF(ABS(U430)&lt;1.05,"CONFORME",IF(ABS(AG430)&lt;1.05,"CONFORME",IF(ABS(AS430)&lt;2.55,"CONFORME","NO CONFORME"))))</f><v /></c><c r="BC430" s="471"><f>(IF(ABS(U430)&gt;2.05,"NO CONFORME",IF(ABS(AG430)&gt;2.05,"NO CONFORME",IF(ABS(AS430)&gt;5.05,"NO CONFORME","CONFORME"))))</f><v /></c><c r="BD430" s="472"><f>SIGN(U430)</f><v /></c><c r="BE430" s="472"><f>SIGN(AG430)</f><v /></c><c r="BF430" s="472"><f>SIGN(AS430)</f><v /></c><c r="BG430" s="472"><f>CONCATENATE(BD430,BE430,BF430)</f><v /></c><c r="BH430" s="472"><f>IF(BG430="111","SI","SD")</f><v /></c><c r="BI430" s="472"><f>IF(BG430="-1-1-1","SI","SD")</f><v /></c><c r="BJ430" s="472"><f>OR(BH430="SI",BI430="SI")</f><v /></c><c r="BK430" s="472"><f>IF(BJ430=FALSE,"SIGDIFERENTES","SIGIGUALES")</f><v /></c><c r="BL430" s="469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PA25517358</t></is></c><c r="H431" s="313"><f>H430</f><v /></c><c r="I431" s="38"><f>I430</f><v /></c><c r="J431" s="314"><f>J430</f><v /></c><c r="K431" s="372"><f>K430</f><v /></c><c r="L431" s="372"><f>L430</f><v /></c><c r="M431" s="373" t="n"><v>130.55</v></c><c r="N431" s="373" t="n"><v>229.88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417"><f>W430</f><v /></c><c r="X431" s="417"><f>X430</f><v /></c><c r="Y431" s="373" t="n"><v>235.45</v></c><c r="Z431" s="373" t="n"><v>245.35</v></c><c r="AA431" s="379"><f>AA430</f><v /></c><c r="AB431" s="380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417"><f>AI430</f><v /></c><c r="AJ431" s="417"><f>AJ430</f><v /></c><c r="AK431" s="373"><f>Z431</f><v /></c><c r="AL431" s="373" t="n"><v>250.26</v></c><c r="AM431" s="381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2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PA25517359</t></is></c><c r="H432" s="313"><f>H431</f><v /></c><c r="I432" s="38"><f>I431</f><v /></c><c r="J432" s="314"><f>J431</f><v /></c><c r="K432" s="372"><f>K431</f><v /></c><c r="L432" s="372"><f>L431</f><v /></c><c r="M432" s="373" t="n"><v>129.24</v></c><c r="N432" s="373" t="n"><v>229.35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417"><f>W431</f><v /></c><c r="X432" s="417"><f>X431</f><v /></c><c r="Y432" s="373" t="n"><v>234.93</v></c><c r="Z432" s="373" t="n"><v>244.8</v></c><c r="AA432" s="379"><f>AA431</f><v /></c><c r="AB432" s="380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417"><f>AI431</f><v /></c><c r="AJ432" s="417"><f>AJ431</f><v /></c><c r="AK432" s="373"><f>Z432</f><v /></c><c r="AL432" s="373" t="n"><v>249.79</v></c><c r="AM432" s="381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2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PA25517360</t></is></c><c r="H433" s="313"><f>H432</f><v /></c><c r="I433" s="38"><f>I432</f><v /></c><c r="J433" s="314"><f>J432</f><v /></c><c r="K433" s="372"><f>K432</f><v /></c><c r="L433" s="372"><f>L432</f><v /></c><c r="M433" s="373" t="n"><v>131.34</v></c><c r="N433" s="373" t="n"><v>231.28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417"><f>W432</f><v /></c><c r="X433" s="417"><f>X432</f><v /></c><c r="Y433" s="373" t="n"><v>236.85</v></c><c r="Z433" s="373" t="n"><v>246.87</v></c><c r="AA433" s="379"><f>AA432</f><v /></c><c r="AB433" s="380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417"><f>AI432</f><v /></c><c r="AJ433" s="417"><f>AJ432</f><v /></c><c r="AK433" s="373"><f>Z433</f><v /></c><c r="AL433" s="373" t="n"><v>251.95</v></c><c r="AM433" s="381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2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PA25517361</t></is></c><c r="H434" s="313"><f>H433</f><v /></c><c r="I434" s="38"><f>I433</f><v /></c><c r="J434" s="314"><f>J433</f><v /></c><c r="K434" s="372"><f>K433</f><v /></c><c r="L434" s="372"><f>L433</f><v /></c><c r="M434" s="373" t="n"><v>133.15</v></c><c r="N434" s="373" t="n"><v>233.4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417"><f>W433</f><v /></c><c r="X434" s="417"><f>X433</f><v /></c><c r="Y434" s="373" t="n"><v>239</v></c><c r="Z434" s="373" t="n"><v>248.93</v></c><c r="AA434" s="379"><f>AA433</f><v /></c><c r="AB434" s="380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417"><f>AI433</f><v /></c><c r="AJ434" s="417"><f>AJ433</f><v /></c><c r="AK434" s="373"><f>Z434</f><v /></c><c r="AL434" s="373" t="n"><v>253.94</v></c><c r="AM434" s="381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2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PA25517362</t></is></c><c r="H435" s="313"><f>H434</f><v /></c><c r="I435" s="38"><f>I434</f><v /></c><c r="J435" s="314"><f>J434</f><v /></c><c r="K435" s="372"><f>K434</f><v /></c><c r="L435" s="372"><f>L434</f><v /></c><c r="M435" s="373" t="n"><v>86.55</v></c><c r="N435" s="373" t="n"><v>186.5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417"><f>W434</f><v /></c><c r="X435" s="417"><f>X434</f><v /></c><c r="Y435" s="373" t="n"><v>192.1</v></c><c r="Z435" s="373" t="n"><v>202</v></c><c r="AA435" s="379"><f>AA434</f><v /></c><c r="AB435" s="380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417"><f>AI434</f><v /></c><c r="AJ435" s="417"><f>AJ434</f><v /></c><c r="AK435" s="373"><f>Z435</f><v /></c><c r="AL435" s="373" t="n"><v>206.98</v></c><c r="AM435" s="381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2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PA25517363</t></is></c><c r="H436" s="313"><f>H435</f><v /></c><c r="I436" s="38"><f>I435</f><v /></c><c r="J436" s="314"><f>J435</f><v /></c><c r="K436" s="372"><f>K435</f><v /></c><c r="L436" s="372"><f>L435</f><v /></c><c r="M436" s="373" t="n"><v>87.59</v></c><c r="N436" s="373" t="n"><v>187.94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417"><f>W435</f><v /></c><c r="X436" s="417"><f>X435</f><v /></c><c r="Y436" s="373" t="n"><v>193.56</v></c><c r="Z436" s="373" t="n"><v>203.55</v></c><c r="AA436" s="379"><f>AA435</f><v /></c><c r="AB436" s="380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417"><f>AI435</f><v /></c><c r="AJ436" s="417"><f>AJ435</f><v /></c><c r="AK436" s="373"><f>Z436</f><v /></c><c r="AL436" s="373" t="n"><v>208.6</v></c><c r="AM436" s="381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2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PA25517364</t></is></c><c r="H437" s="313"><f>H436</f><v /></c><c r="I437" s="38"><f>I436</f><v /></c><c r="J437" s="314"><f>J436</f><v /></c><c r="K437" s="372"><f>K436</f><v /></c><c r="L437" s="372"><f>L436</f><v /></c><c r="M437" s="373" t="n"><v>86.23999999999999</v></c><c r="N437" s="373" t="n"><v>186.65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417"><f>W436</f><v /></c><c r="X437" s="417"><f>X436</f><v /></c><c r="Y437" s="373" t="n"><v>192.3</v></c><c r="Z437" s="373" t="n"><v>202.25</v></c><c r="AA437" s="379"><f>AA436</f><v /></c><c r="AB437" s="380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417"><f>AI436</f><v /></c><c r="AJ437" s="417"><f>AJ436</f><v /></c><c r="AK437" s="373"><f>Z437</f><v /></c><c r="AL437" s="373" t="n"><v>207.25</v></c><c r="AM437" s="381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2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PA25517365</t></is></c><c r="H438" s="313"><f>H437</f><v /></c><c r="I438" s="38"><f>I437</f><v /></c><c r="J438" s="314"><f>J437</f><v /></c><c r="K438" s="372"><f>K437</f><v /></c><c r="L438" s="372"><f>L437</f><v /></c><c r="M438" s="373" t="n"><v>86.40000000000001</v></c><c r="N438" s="373" t="n"><v>186.65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417"><f>W437</f><v /></c><c r="X438" s="417"><f>X437</f><v /></c><c r="Y438" s="373" t="n"><v>192.29</v></c><c r="Z438" s="373" t="n"><v>202.23</v></c><c r="AA438" s="379"><f>AA437</f><v /></c><c r="AB438" s="380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417"><f>AI437</f><v /></c><c r="AJ438" s="417"><f>AJ437</f><v /></c><c r="AK438" s="373"><f>Z438</f><v /></c><c r="AL438" s="373" t="n"><v>207.24</v></c><c r="AM438" s="381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2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PA25517366</t></is></c><c r="H439" s="313"><f>H438</f><v /></c><c r="I439" s="38"><f>I438</f><v /></c><c r="J439" s="314"><f>J438</f><v /></c><c r="K439" s="372"><f>K438</f><v /></c><c r="L439" s="372"><f>L438</f><v /></c><c r="M439" s="373" t="n"><v>127.44</v></c><c r="N439" s="373" t="n"><v>227.89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417"><f>W438</f><v /></c><c r="X439" s="417"><f>X438</f><v /></c><c r="Y439" s="373" t="n"><v>233.51</v></c><c r="Z439" s="373" t="n"><v>243.49</v></c><c r="AA439" s="379"><f>AA438</f><v /></c><c r="AB439" s="380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417"><f>AI438</f><v /></c><c r="AJ439" s="417"><f>AJ438</f><v /></c><c r="AK439" s="373"><f>Z439</f><v /></c><c r="AL439" s="373" t="n"><v>248.49</v></c><c r="AM439" s="381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2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PA25517367</t></is></c><c r="H440" s="313"><f>H439</f><v /></c><c r="I440" s="38"><f>I439</f><v /></c><c r="J440" s="314"><f>J439</f><v /></c><c r="K440" s="372"><f>K439</f><v /></c><c r="L440" s="372"><f>L439</f><v /></c><c r="M440" s="373" t="n"><v>89.63</v></c><c r="N440" s="373" t="n"><v>190.05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417"><f>W439</f><v /></c><c r="X440" s="417"><f>X439</f><v /></c><c r="Y440" s="373" t="n"><v>195.65</v></c><c r="Z440" s="373" t="n"><v>205.58</v></c><c r="AA440" s="379"><f>AA439</f><v /></c><c r="AB440" s="380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417"><f>AI439</f><v /></c><c r="AJ440" s="417"><f>AJ439</f><v /></c><c r="AK440" s="373"><f>Z440</f><v /></c><c r="AL440" s="373" t="n"><v>210.57</v></c><c r="AM440" s="381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2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PA25517368</t></is></c><c r="H441" s="313"><f>H440</f><v /></c><c r="I441" s="38"><f>I440</f><v /></c><c r="J441" s="314"><f>J440</f><v /></c><c r="K441" s="372"><f>K440</f><v /></c><c r="L441" s="372"><f>L440</f><v /></c><c r="M441" s="373" t="n"><v>86.48999999999999</v></c><c r="N441" s="373" t="n"><v>186.05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417"><f>W440</f><v /></c><c r="X441" s="417"><f>X440</f><v /></c><c r="Y441" s="373" t="n"><v>191.6</v></c><c r="Z441" s="373" t="n"><v>201.52</v></c><c r="AA441" s="379"><f>AA440</f><v /></c><c r="AB441" s="380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417"><f>AI440</f><v /></c><c r="AJ441" s="417"><f>AJ440</f><v /></c><c r="AK441" s="373"><f>Z441</f><v /></c><c r="AL441" s="373" t="n"><v>206.55</v></c><c r="AM441" s="381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2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PA25517369</t></is></c><c r="H442" s="313"><f>H441</f><v /></c><c r="I442" s="38"><f>I441</f><v /></c><c r="J442" s="314"><f>J441</f><v /></c><c r="K442" s="372"><f>K441</f><v /></c><c r="L442" s="372"><f>L441</f><v /></c><c r="M442" s="373" t="n"><v>87.38</v></c><c r="N442" s="373" t="n"><v>187.97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417"><f>W441</f><v /></c><c r="X442" s="417"><f>X441</f><v /></c><c r="Y442" s="373" t="n"><v>193.6</v></c><c r="Z442" s="373" t="n"><v>203.55</v></c><c r="AA442" s="379"><f>AA441</f><v /></c><c r="AB442" s="380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417"><f>AI441</f><v /></c><c r="AJ442" s="417"><f>AJ441</f><v /></c><c r="AK442" s="373"><f>Z442</f><v /></c><c r="AL442" s="373" t="n"><v>208.55</v></c><c r="AM442" s="381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2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4.4" customHeight="1" thickBot="1"><c r="A443" s="368" t="n"><v>435</v></c><c r="B443" s="369"><f>B442</f><v /></c><c r="C443" s="369"><f>C442</f><v /></c><c r="D443" s="370"><f>D442</f><v /></c><c r="E443" s="371"><f>E442</f><v /></c><c r="F443" s="13" t="n" /><c r="G443" s="300" t="inlineStr"><is><t>PA25517370</t></is></c><c r="H443" s="313"><f>H442</f><v /></c><c r="I443" s="38"><f>I442</f><v /></c><c r="J443" s="314"><f>J442</f><v /></c><c r="K443" s="372"><f>K442</f><v /></c><c r="L443" s="372"><f>L442</f><v /></c><c r="M443" s="373" t="n"><v>86.05</v></c><c r="N443" s="373" t="n"><v>185.41</v></c><c r="O443" s="374"><f>O442</f><v /></c><c r="P443" s="375"><f>P442</f><v /></c><c r="Q443" s="376"><f>LEFT(P443,1)</f><v /></c><c r="R443" s="376"><f>RIGHT(P443,6)</f><v /></c><c r="S443" s="376"><f>+(Q443*60+R443)/(60*60)</f><v /></c><c r="T443" s="377"><f>+O443/S443</f><v /></c><c r="U443" s="378"><f>+(((N443-M443-O443)/O443)*100)</f><v /></c><c r="V443" s="317"><f>V442</f><v /></c><c r="W443" s="417"><f>W442</f><v /></c><c r="X443" s="417"><f>X442</f><v /></c><c r="Y443" s="373" t="n"><v>190.95</v></c><c r="Z443" s="373" t="n"><v>200.85</v></c><c r="AA443" s="379"><f>AA442</f><v /></c><c r="AB443" s="380"><f>AB442</f><v /></c><c r="AC443" s="376"><f>LEFT(AB443,2)</f><v /></c><c r="AD443" s="376"><f>RIGHT(AB443,6)</f><v /></c><c r="AE443" s="376"><f>+(AC443*60+AD443)/(60*60)</f><v /></c><c r="AF443" s="377"><f>+AA443/AE443</f><v /></c><c r="AG443" s="321"><f>+(((Z443-Y443-AA443)/AA443)*100)</f><v /></c><c r="AH443" s="317"><f>AH442</f><v /></c><c r="AI443" s="417"><f>AI442</f><v /></c><c r="AJ443" s="417"><f>AJ442</f><v /></c><c r="AK443" s="373"><f>Z443</f><v /></c><c r="AL443" s="373" t="n"><v>205.81</v></c><c r="AM443" s="381"><f>AM442</f><v /></c><c r="AN443" s="375"><f>AN442</f><v /></c><c r="AO443" s="376"><f>LEFT(AN443,2)</f><v /></c><c r="AP443" s="376"><f>RIGHT(AN443,6)</f><v /></c><c r="AQ443" s="376"><f>+(AO443*60+AP443)/(60*60)</f><v /></c><c r="AR443" s="377"><f>+AM443/AQ443</f><v /></c><c r="AS443" s="321"><f>+(((AL443-AK443-AM443)/AM443)*100)</f><v /></c><c r="AT443" s="382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4.4" customHeight="1" thickBot="1"><c r="A444" s="368" t="n"><v>436</v></c><c r="B444" s="369"><f>B443</f><v /></c><c r="C444" s="369"><f>C443</f><v /></c><c r="D444" s="370"><f>D443</f><v /></c><c r="E444" s="371"><f>E443</f><v /></c><c r="F444" s="13" t="n" /><c r="G444" s="300" t="inlineStr"><is><t>PA25517371</t></is></c><c r="H444" s="313"><f>H443</f><v /></c><c r="I444" s="38"><f>I443</f><v /></c><c r="J444" s="314"><f>J443</f><v /></c><c r="K444" s="372"><f>K443</f><v /></c><c r="L444" s="372"><f>L443</f><v /></c><c r="M444" s="373" t="n"><v>87.45</v></c><c r="N444" s="373" t="n"><v>187.58</v></c><c r="O444" s="374"><f>O443</f><v /></c><c r="P444" s="375"><f>P443</f><v /></c><c r="Q444" s="376"><f>LEFT(P444,1)</f><v /></c><c r="R444" s="376"><f>RIGHT(P444,6)</f><v /></c><c r="S444" s="376"><f>+(Q444*60+R444)/(60*60)</f><v /></c><c r="T444" s="377"><f>+O444/S444</f><v /></c><c r="U444" s="378"><f>+(((N444-M444-O444)/O444)*100)</f><v /></c><c r="V444" s="317"><f>V443</f><v /></c><c r="W444" s="417"><f>W443</f><v /></c><c r="X444" s="417"><f>X443</f><v /></c><c r="Y444" s="373" t="n"><v>193.2</v></c><c r="Z444" s="373" t="n"><v>203.15</v></c><c r="AA444" s="379"><f>AA443</f><v /></c><c r="AB444" s="380"><f>AB443</f><v /></c><c r="AC444" s="376"><f>LEFT(AB444,2)</f><v /></c><c r="AD444" s="376"><f>RIGHT(AB444,6)</f><v /></c><c r="AE444" s="376"><f>+(AC444*60+AD444)/(60*60)</f><v /></c><c r="AF444" s="377"><f>+AA444/AE444</f><v /></c><c r="AG444" s="321"><f>+(((Z444-Y444-AA444)/AA444)*100)</f><v /></c><c r="AH444" s="317"><f>AH443</f><v /></c><c r="AI444" s="417"><f>AI443</f><v /></c><c r="AJ444" s="417"><f>AJ443</f><v /></c><c r="AK444" s="373"><f>Z444</f><v /></c><c r="AL444" s="373" t="n"><v>208.15</v></c><c r="AM444" s="381"><f>AM443</f><v /></c><c r="AN444" s="375"><f>AN443</f><v /></c><c r="AO444" s="376"><f>LEFT(AN444,2)</f><v /></c><c r="AP444" s="376"><f>RIGHT(AN444,6)</f><v /></c><c r="AQ444" s="376"><f>+(AO444*60+AP444)/(60*60)</f><v /></c><c r="AR444" s="377"><f>+AM444/AQ444</f><v /></c><c r="AS444" s="321"><f>+(((AL444-AK444-AM444)/AM444)*100)</f><v /></c><c r="AT444" s="382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5"><f>IF(BC444="NO CONFORME","NO CONFORME",IF(BB444="CONFORME","CONFORME","NO CONFORME"))</f><v /></c></row><row r="445" ht="15" customHeight="1" thickBot="1"><c r="A445" s="383" t="n"><v>437</v></c><c r="B445" s="384"><f>B444</f><v /></c><c r="C445" s="384"><f>C444</f><v /></c><c r="D445" s="385"><f>D444</f><v /></c><c r="E445" s="386"><f>E444</f><v /></c><c r="F445" s="52" t="n" /><c r="G445" s="337" t="inlineStr"><is><t>PA25517372</t></is></c><c r="H445" s="326"><f>H444</f><v /></c><c r="I445" s="98"><f>I444</f><v /></c><c r="J445" s="327"><f>J444</f><v /></c><c r="K445" s="387"><f>K444</f><v /></c><c r="L445" s="387"><f>L444</f><v /></c><c r="M445" s="388" t="n"><v>86.90000000000001</v></c><c r="N445" s="388" t="n"><v>187.24</v></c><c r="O445" s="389"><f>O444</f><v /></c><c r="P445" s="390"><f>P444</f><v /></c><c r="Q445" s="391"><f>LEFT(P445,1)</f><v /></c><c r="R445" s="391"><f>RIGHT(P445,6)</f><v /></c><c r="S445" s="391"><f>+(Q445*60+R445)/(60*60)</f><v /></c><c r="T445" s="392"><f>+O445/S445</f><v /></c><c r="U445" s="393"><f>+(((N445-M445-O445)/O445)*100)</f><v /></c><c r="V445" s="329"><f>V444</f><v /></c><c r="W445" s="443"><f>W444</f><v /></c><c r="X445" s="443"><f>X444</f><v /></c><c r="Y445" s="388" t="n"><v>192.84</v></c><c r="Z445" s="388" t="n"><v>202.77</v></c><c r="AA445" s="394"><f>AA444</f><v /></c><c r="AB445" s="395"><f>AB444</f><v /></c><c r="AC445" s="391"><f>LEFT(AB445,2)</f><v /></c><c r="AD445" s="391"><f>RIGHT(AB445,6)</f><v /></c><c r="AE445" s="391"><f>+(AC445*60+AD445)/(60*60)</f><v /></c><c r="AF445" s="392"><f>+AA445/AE445</f><v /></c><c r="AG445" s="396"><f>+(((Z445-Y445-AA445)/AA445)*100)</f><v /></c><c r="AH445" s="329"><f>AH444</f><v /></c><c r="AI445" s="443"><f>AI444</f><v /></c><c r="AJ445" s="443"><f>AJ444</f><v /></c><c r="AK445" s="388"><f>Z445</f><v /></c><c r="AL445" s="388" t="n"><v>207.79</v></c><c r="AM445" s="397"><f>AM444</f><v /></c><c r="AN445" s="390"><f>AN444</f><v /></c><c r="AO445" s="391"><f>LEFT(AN445,2)</f><v /></c><c r="AP445" s="391"><f>RIGHT(AN445,6)</f><v /></c><c r="AQ445" s="391"><f>+(AO445*60+AP445)/(60*60)</f><v /></c><c r="AR445" s="392"><f>+AM445/AQ445</f><v /></c><c r="AS445" s="396"><f>+(((AL445-AK445-AM445)/AM445)*100)</f><v /></c><c r="AT445" s="398"><f>IF(I445&gt;=1,"NO CONFORME",IF(BK445="SIGDIFERENTES",BC445,BL445))</f><v /></c><c r="AU445" s="399"><f>B445=C445</f><v /></c><c r="AV445" s="399"><f>N445&lt;Y445</f><v /></c><c r="AW445" s="399"><f>Z445&lt;=AK445</f><v /></c><c r="AX445" s="399"><f>IF(I445&gt;=1,"Qcorrecto",IF(AND(AY445="aceptable",AZ445="aceptable",BA445="aceptable"),"Qcorrecto","Qincorrecto"))</f><v /></c><c r="AY445" s="400"><f>IF(AR445&lt;$AH$6,"error",IF(AR445&gt;$AH$6*1.1,"error","aceptable"))</f><v /></c><c r="AZ445" s="400"><f>IF(AF445&lt;$V$6,"error",IF(AF445&gt;$V$6*1.1,"error","aceptable"))</f><v /></c><c r="BA445" s="400"><f>IF(T445&lt;$J$6*0.9,"error",IF(T445&gt;$J$6,"error","aceptable"))</f><v /></c><c r="BB445" s="401"><f>(IF(ABS(U445)&lt;1.05,"CONFORME",IF(ABS(AG445)&lt;1.05,"CONFORME",IF(ABS(AS445)&lt;2.55,"CONFORME","NO CONFORME"))))</f><v /></c><c r="BC445" s="402"><f>(IF(ABS(U445)&gt;2.05,"NO CONFORME",IF(ABS(AG445)&gt;2.05,"NO CONFORME",IF(ABS(AS445)&gt;5.05,"NO CONFORME","CONFORME"))))</f><v /></c><c r="BD445" s="403"><f>SIGN(U445)</f><v /></c><c r="BE445" s="403"><f>SIGN(AG445)</f><v /></c><c r="BF445" s="403"><f>SIGN(AS445)</f><v /></c><c r="BG445" s="403"><f>CONCATENATE(BD445,BE445,BF445)</f><v /></c><c r="BH445" s="403"><f>IF(BG445="111","SI","SD")</f><v /></c><c r="BI445" s="403"><f>IF(BG445="-1-1-1","SI","SD")</f><v /></c><c r="BJ445" s="403"><f>OR(BH445="SI",BI445="SI")</f><v /></c><c r="BK445" s="403"><f>IF(BJ445=FALSE,"SIGDIFERENTES","SIGIGUALES")</f><v /></c><c r="BL445" s="400"><f>IF(BC445="NO CONFORME","NO CONFORME",IF(BB445="CONFORME","CONFORME","NO CONFORME"))</f><v /></c></row><row r="446" ht="14.4" customHeight="1" thickBot="1"><c r="A446" s="449" t="n"><v>438</v></c><c r="B446" s="450"><f>B445</f><v /></c><c r="C446" s="450"><f>C445</f><v /></c><c r="D446" s="451"><f>D445</f><v /></c><c r="E446" s="452"><f>E445</f><v /></c><c r="F446" s="46" t="n" /><c r="G446" s="335" t="inlineStr"><is><t>PA25517373</t></is></c><c r="H446" s="453"><f>H445</f><v /></c><c r="I446" s="454"><f>I445</f><v /></c><c r="J446" s="455" t="n"><v>20.4</v></c><c r="K446" s="456" t="n"><v>8.512</v></c><c r="L446" s="456" t="n"><v>0.841</v></c><c r="M446" s="457" t="n"><v>82.09999999999999</v></c><c r="N446" s="457" t="n"><v>181.99</v></c><c r="O446" s="458" t="n"><v>100.64</v></c><c r="P446" s="459" t="inlineStr"><is><t>2,32,371</t></is></c><c r="Q446" s="460"><f>LEFT(P446,1)</f><v /></c><c r="R446" s="460"><f>RIGHT(P446,6)</f><v /></c><c r="S446" s="460"><f>+(Q446*60+R446)/(60*60)</f><v /></c><c r="T446" s="461"><f>+O446/S446</f><v /></c><c r="U446" s="462"><f>+(((N446-M446-O446)/O446)*100)</f><v /></c><c r="V446" s="463" t="n"><v>20.7</v></c><c r="W446" s="464" t="n"><v>1.095</v></c><c r="X446" s="464" t="n"><v>1.086</v></c><c r="Y446" s="457" t="n"><v>186.02</v></c><c r="Z446" s="457" t="n"><v>195.97</v></c><c r="AA446" s="465" t="n"><v>10.009</v></c><c r="AB446" s="465" t="inlineStr"><is><t>22,54,120</t></is></c><c r="AC446" s="460"><f>LEFT(AB446,2)</f><v /></c><c r="AD446" s="460"><f>RIGHT(AB446,6)</f><v /></c><c r="AE446" s="460"><f>+(AC446*60+AD446)/(60*60)</f><v /></c><c r="AF446" s="461"><f>+AA446/AE446</f><v /></c><c r="AG446" s="309"><f>+(((Z446-Y446-AA446)/AA446)*100)</f><v /></c><c r="AH446" s="463" t="n"><v>20.7</v></c><c r="AI446" s="464" t="n"><v>1.096</v></c><c r="AJ446" s="464" t="n"><v>1.087</v></c><c r="AK446" s="457"><f>Z446</f><v /></c><c r="AL446" s="457" t="n"><v>200.96</v></c><c r="AM446" s="466" t="n"><v>5.004</v></c><c r="AN446" s="459" t="inlineStr"><is><t>18,15,991</t></is></c><c r="AO446" s="460"><f>LEFT(AN446,2)</f><v /></c><c r="AP446" s="460"><f>RIGHT(AN446,6)</f><v /></c><c r="AQ446" s="460"><f>+(AO446*60+AP446)/(60*60)</f><v /></c><c r="AR446" s="461"><f>+AM446/AQ446</f><v /></c><c r="AS446" s="309"><f>+(((AL446-AK446-AM446)/AM446)*100)</f><v /></c><c r="AT446" s="467"><f>IF(I446&gt;=1,"NO CONFORME",IF(BK446="SIGDIFERENTES",BC446,BL446))</f><v /></c><c r="AU446" s="468"><f>B446=C446</f><v /></c><c r="AV446" s="468"><f>N446&lt;Y446</f><v /></c><c r="AW446" s="468"><f>Z446&lt;=AK446</f><v /></c><c r="AX446" s="468"><f>IF(I446&gt;=1,"Qcorrecto",IF(AND(AY446="aceptable",AZ446="aceptable",BA446="aceptable"),"Qcorrecto","Qincorrecto"))</f><v /></c><c r="AY446" s="469"><f>IF(AR446&lt;$AH$6,"error",IF(AR446&gt;$AH$6*1.1,"error","aceptable"))</f><v /></c><c r="AZ446" s="469"><f>IF(AF446&lt;$V$6,"error",IF(AF446&gt;$V$6*1.1,"error","aceptable"))</f><v /></c><c r="BA446" s="469"><f>IF(T446&lt;$J$6*0.9,"error",IF(T446&gt;$J$6,"error","aceptable"))</f><v /></c><c r="BB446" s="470"><f>(IF(ABS(U446)&lt;1.05,"CONFORME",IF(ABS(AG446)&lt;1.05,"CONFORME",IF(ABS(AS446)&lt;2.55,"CONFORME","NO CONFORME"))))</f><v /></c><c r="BC446" s="471"><f>(IF(ABS(U446)&gt;2.05,"NO CONFORME",IF(ABS(AG446)&gt;2.05,"NO CONFORME",IF(ABS(AS446)&gt;5.05,"NO CONFORME","CONFORME"))))</f><v /></c><c r="BD446" s="472"><f>SIGN(U446)</f><v /></c><c r="BE446" s="472"><f>SIGN(AG446)</f><v /></c><c r="BF446" s="472"><f>SIGN(AS446)</f><v /></c><c r="BG446" s="472"><f>CONCATENATE(BD446,BE446,BF446)</f><v /></c><c r="BH446" s="472"><f>IF(BG446="111","SI","SD")</f><v /></c><c r="BI446" s="472"><f>IF(BG446="-1-1-1","SI","SD")</f><v /></c><c r="BJ446" s="472"><f>OR(BH446="SI",BI446="SI")</f><v /></c><c r="BK446" s="472"><f>IF(BJ446=FALSE,"SIGDIFERENTES","SIGIGUALES")</f><v /></c><c r="BL446" s="469"><f>IF(BC446="NO CONFORME","NO CONFORME",IF(BB446="CONFORME","CONFORME","NO CONFORME"))</f><v /></c></row><row r="447" ht="14.4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PA25517374</t></is></c><c r="H447" s="313"><f>H446</f><v /></c><c r="I447" s="38"><f>I446</f><v /></c><c r="J447" s="314"><f>J446</f><v /></c><c r="K447" s="372"><f>K446</f><v /></c><c r="L447" s="372"><f>L446</f><v /></c><c r="M447" s="373" t="n"><v>84.03</v></c><c r="N447" s="373" t="n"><v>184.39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417"><f>W446</f><v /></c><c r="X447" s="417"><f>X446</f><v /></c><c r="Y447" s="373" t="n"><v>188.44</v></c><c r="Z447" s="373" t="n"><v>198.37</v></c><c r="AA447" s="379"><f>AA446</f><v /></c><c r="AB447" s="380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417"><f>AI446</f><v /></c><c r="AJ447" s="417"><f>AJ446</f><v /></c><c r="AK447" s="373"><f>Z447</f><v /></c><c r="AL447" s="373" t="n"><v>203.37</v></c><c r="AM447" s="381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2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4.4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PA25517375</t></is></c><c r="H448" s="313"><f>H447</f><v /></c><c r="I448" s="38"><f>I447</f><v /></c><c r="J448" s="314"><f>J447</f><v /></c><c r="K448" s="372"><f>K447</f><v /></c><c r="L448" s="372"><f>L447</f><v /></c><c r="M448" s="373" t="n"><v>83.84</v></c><c r="N448" s="373" t="n"><v>183.84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417"><f>W447</f><v /></c><c r="X448" s="417"><f>X447</f><v /></c><c r="Y448" s="373" t="n"><v>187.85</v></c><c r="Z448" s="373" t="n"><v>197.76</v></c><c r="AA448" s="379"><f>AA447</f><v /></c><c r="AB448" s="380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417"><f>AI447</f><v /></c><c r="AJ448" s="417"><f>AJ447</f><v /></c><c r="AK448" s="373"><f>Z448</f><v /></c><c r="AL448" s="373" t="n"><v>202.73</v></c><c r="AM448" s="381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2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4.4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PA25517376</t></is></c><c r="H449" s="313"><f>H448</f><v /></c><c r="I449" s="38"><f>I448</f><v /></c><c r="J449" s="314"><f>J448</f><v /></c><c r="K449" s="372"><f>K448</f><v /></c><c r="L449" s="372"><f>L448</f><v /></c><c r="M449" s="373" t="n"><v>83.5</v></c><c r="N449" s="373" t="n"><v>183.08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417"><f>W448</f><v /></c><c r="X449" s="417"><f>X448</f><v /></c><c r="Y449" s="373" t="n"><v>187.09</v></c><c r="Z449" s="373" t="n"><v>197.01</v></c><c r="AA449" s="379"><f>AA448</f><v /></c><c r="AB449" s="380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417"><f>AI448</f><v /></c><c r="AJ449" s="417"><f>AJ448</f><v /></c><c r="AK449" s="373"><f>Z449</f><v /></c><c r="AL449" s="373" t="n"><v>202</v></c><c r="AM449" s="381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2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4.4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PA25517377</t></is></c><c r="H450" s="313"><f>H449</f><v /></c><c r="I450" s="38"><f>I449</f><v /></c><c r="J450" s="314"><f>J449</f><v /></c><c r="K450" s="372"><f>K449</f><v /></c><c r="L450" s="372"><f>L449</f><v /></c><c r="M450" s="373" t="n"><v>83.29000000000001</v></c><c r="N450" s="373" t="n"><v>182.96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417"><f>W449</f><v /></c><c r="X450" s="417"><f>X449</f><v /></c><c r="Y450" s="373" t="n"><v>187</v></c><c r="Z450" s="373" t="n"><v>196.94</v></c><c r="AA450" s="379"><f>AA449</f><v /></c><c r="AB450" s="380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417"><f>AI449</f><v /></c><c r="AJ450" s="417"><f>AJ449</f><v /></c><c r="AK450" s="373"><f>Z450</f><v /></c><c r="AL450" s="373" t="n"><v>201.92</v></c><c r="AM450" s="381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2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4.4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PA25517378</t></is></c><c r="H451" s="313"><f>H450</f><v /></c><c r="I451" s="38"><f>I450</f><v /></c><c r="J451" s="314"><f>J450</f><v /></c><c r="K451" s="372"><f>K450</f><v /></c><c r="L451" s="372"><f>L450</f><v /></c><c r="M451" s="373" t="n"><v>83.34999999999999</v></c><c r="N451" s="373" t="n"><v>183.35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417"><f>W450</f><v /></c><c r="X451" s="417"><f>X450</f><v /></c><c r="Y451" s="373" t="n"><v>187.38</v></c><c r="Z451" s="373" t="n"><v>197.34</v></c><c r="AA451" s="379"><f>AA450</f><v /></c><c r="AB451" s="380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417"><f>AI450</f><v /></c><c r="AJ451" s="417"><f>AJ450</f><v /></c><c r="AK451" s="373"><f>Z451</f><v /></c><c r="AL451" s="373" t="n"><v>202.32</v></c><c r="AM451" s="381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2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4.4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PA25517379</t></is></c><c r="H452" s="313"><f>H451</f><v /></c><c r="I452" s="38"><f>I451</f><v /></c><c r="J452" s="314"><f>J451</f><v /></c><c r="K452" s="372"><f>K451</f><v /></c><c r="L452" s="372"><f>L451</f><v /></c><c r="M452" s="373" t="n"><v>83.76000000000001</v></c><c r="N452" s="373" t="n"><v>183.45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417"><f>W451</f><v /></c><c r="X452" s="417"><f>X451</f><v /></c><c r="Y452" s="373" t="n"><v>187.46</v></c><c r="Z452" s="373" t="n"><v>197.37</v></c><c r="AA452" s="379"><f>AA451</f><v /></c><c r="AB452" s="380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417"><f>AI451</f><v /></c><c r="AJ452" s="417"><f>AJ451</f><v /></c><c r="AK452" s="373"><f>Z452</f><v /></c><c r="AL452" s="373" t="n"><v>202.34</v></c><c r="AM452" s="381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2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4.4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PA25517380</t></is></c><c r="H453" s="313"><f>H452</f><v /></c><c r="I453" s="38"><f>I452</f><v /></c><c r="J453" s="314"><f>J452</f><v /></c><c r="K453" s="372"><f>K452</f><v /></c><c r="L453" s="372"><f>L452</f><v /></c><c r="M453" s="373" t="n"><v>84.31</v></c><c r="N453" s="373" t="n"><v>184.1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417"><f>W452</f><v /></c><c r="X453" s="417"><f>X452</f><v /></c><c r="Y453" s="373" t="n"><v>188.1</v></c><c r="Z453" s="373" t="n"><v>198.01</v></c><c r="AA453" s="379"><f>AA452</f><v /></c><c r="AB453" s="380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417"><f>AI452</f><v /></c><c r="AJ453" s="417"><f>AJ452</f><v /></c><c r="AK453" s="373"><f>Z453</f><v /></c><c r="AL453" s="373" t="n"><v>202.98</v></c><c r="AM453" s="381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2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4.4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PA25517381</t></is></c><c r="H454" s="313"><f>H453</f><v /></c><c r="I454" s="38"><f>I453</f><v /></c><c r="J454" s="314"><f>J453</f><v /></c><c r="K454" s="372"><f>K453</f><v /></c><c r="L454" s="372"><f>L453</f><v /></c><c r="M454" s="373" t="n"><v>83.70999999999999</v></c><c r="N454" s="373" t="n"><v>183.97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417"><f>W453</f><v /></c><c r="X454" s="417"><f>X453</f><v /></c><c r="Y454" s="373" t="n"><v>188.01</v></c><c r="Z454" s="373" t="n"><v>197.94</v></c><c r="AA454" s="379"><f>AA453</f><v /></c><c r="AB454" s="380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417"><f>AI453</f><v /></c><c r="AJ454" s="417"><f>AJ453</f><v /></c><c r="AK454" s="373"><f>Z454</f><v /></c><c r="AL454" s="373" t="n"><v>202.95</v></c><c r="AM454" s="381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2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4.4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PA25517382</t></is></c><c r="H455" s="313"><f>H454</f><v /></c><c r="I455" s="38"><f>I454</f><v /></c><c r="J455" s="314"><f>J454</f><v /></c><c r="K455" s="372"><f>K454</f><v /></c><c r="L455" s="372"><f>L454</f><v /></c><c r="M455" s="373" t="n"><v>83.55</v></c><c r="N455" s="373" t="n"><v>183.55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417"><f>W454</f><v /></c><c r="X455" s="417"><f>X454</f><v /></c><c r="Y455" s="373" t="n"><v>187.55</v></c><c r="Z455" s="373" t="n"><v>197.49</v></c><c r="AA455" s="379"><f>AA454</f><v /></c><c r="AB455" s="380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417"><f>AI454</f><v /></c><c r="AJ455" s="417"><f>AJ454</f><v /></c><c r="AK455" s="373"><f>Z455</f><v /></c><c r="AL455" s="373" t="n"><v>202.48</v></c><c r="AM455" s="381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2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4.4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PA25517383</t></is></c><c r="H456" s="313"><f>H455</f><v /></c><c r="I456" s="38"><f>I455</f><v /></c><c r="J456" s="314"><f>J455</f><v /></c><c r="K456" s="372"><f>K455</f><v /></c><c r="L456" s="372"><f>L455</f><v /></c><c r="M456" s="373" t="n"><v>84.8</v></c><c r="N456" s="373" t="n"><v>184.98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417"><f>W455</f><v /></c><c r="X456" s="417"><f>X455</f><v /></c><c r="Y456" s="373" t="n"><v>189.02</v></c><c r="Z456" s="373" t="n"><v>198.94</v></c><c r="AA456" s="379"><f>AA455</f><v /></c><c r="AB456" s="380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417"><f>AI455</f><v /></c><c r="AJ456" s="417"><f>AJ455</f><v /></c><c r="AK456" s="373"><f>Z456</f><v /></c><c r="AL456" s="373" t="n"><v>203.92</v></c><c r="AM456" s="381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2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4.4" customHeight="1" thickBot="1"><c r="A457" s="368" t="n"><v>449</v></c><c r="B457" s="369"><f>B456</f><v /></c><c r="C457" s="369"><f>C456</f><v /></c><c r="D457" s="370"><f>D456</f><v /></c><c r="E457" s="371"><f>E456</f><v /></c><c r="F457" s="13" t="n" /><c r="G457" s="300" t="inlineStr"><is><t>PA25517384</t></is></c><c r="H457" s="313"><f>H456</f><v /></c><c r="I457" s="38"><f>I456</f><v /></c><c r="J457" s="314"><f>J456</f><v /></c><c r="K457" s="372"><f>K456</f><v /></c><c r="L457" s="372"><f>L456</f><v /></c><c r="M457" s="373" t="n"><v>84.73999999999999</v></c><c r="N457" s="373" t="n"><v>185.24</v></c><c r="O457" s="374"><f>O456</f><v /></c><c r="P457" s="375"><f>P456</f><v /></c><c r="Q457" s="376"><f>LEFT(P457,1)</f><v /></c><c r="R457" s="376"><f>RIGHT(P457,6)</f><v /></c><c r="S457" s="376"><f>+(Q457*60+R457)/(60*60)</f><v /></c><c r="T457" s="377"><f>+O457/S457</f><v /></c><c r="U457" s="378"><f>+(((N457-M457-O457)/O457)*100)</f><v /></c><c r="V457" s="317"><f>V456</f><v /></c><c r="W457" s="417"><f>W456</f><v /></c><c r="X457" s="417"><f>X456</f><v /></c><c r="Y457" s="373" t="n"><v>189.26</v></c><c r="Z457" s="373" t="n"><v>199.23</v></c><c r="AA457" s="379"><f>AA456</f><v /></c><c r="AB457" s="380"><f>AB456</f><v /></c><c r="AC457" s="376"><f>LEFT(AB457,2)</f><v /></c><c r="AD457" s="376"><f>RIGHT(AB457,6)</f><v /></c><c r="AE457" s="376"><f>+(AC457*60+AD457)/(60*60)</f><v /></c><c r="AF457" s="377"><f>+AA457/AE457</f><v /></c><c r="AG457" s="321"><f>+(((Z457-Y457-AA457)/AA457)*100)</f><v /></c><c r="AH457" s="317"><f>AH456</f><v /></c><c r="AI457" s="417"><f>AI456</f><v /></c><c r="AJ457" s="417"><f>AJ456</f><v /></c><c r="AK457" s="373"><f>Z457</f><v /></c><c r="AL457" s="373" t="n"><v>204.24</v></c><c r="AM457" s="381"><f>AM456</f><v /></c><c r="AN457" s="375"><f>AN456</f><v /></c><c r="AO457" s="376"><f>LEFT(AN457,2)</f><v /></c><c r="AP457" s="376"><f>RIGHT(AN457,6)</f><v /></c><c r="AQ457" s="376"><f>+(AO457*60+AP457)/(60*60)</f><v /></c><c r="AR457" s="377"><f>+AM457/AQ457</f><v /></c><c r="AS457" s="321"><f>+(((AL457-AK457-AM457)/AM457)*100)</f><v /></c><c r="AT457" s="382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365"><f>IF(AR457&lt;$AH$6,"error",IF(AR457&gt;$AH$6*1.1,"error","aceptable"))</f><v /></c><c r="AZ457" s="365"><f>IF(AF457&lt;$V$6,"error",IF(AF457&gt;$V$6*1.1,"error","aceptable"))</f><v /></c><c r="BA457" s="365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365"><f>IF(BC457="NO CONFORME","NO CONFORME",IF(BB457="CONFORME","CONFORME","NO CONFORME"))</f><v /></c></row><row r="458" ht="14.4" customHeight="1" thickBot="1"><c r="A458" s="368" t="n"><v>450</v></c><c r="B458" s="369"><f>B457</f><v /></c><c r="C458" s="369"><f>C457</f><v /></c><c r="D458" s="370"><f>D457</f><v /></c><c r="E458" s="371"><f>E457</f><v /></c><c r="F458" s="13" t="n" /><c r="G458" s="300" t="inlineStr"><is><t>PA25517385</t></is></c><c r="H458" s="313"><f>H457</f><v /></c><c r="I458" s="38"><f>I457</f><v /></c><c r="J458" s="314"><f>J457</f><v /></c><c r="K458" s="372"><f>K457</f><v /></c><c r="L458" s="372"><f>L457</f><v /></c><c r="M458" s="373" t="n"><v>83.2</v></c><c r="N458" s="373" t="n"><v>183.05</v></c><c r="O458" s="374"><f>O457</f><v /></c><c r="P458" s="375"><f>P457</f><v /></c><c r="Q458" s="376"><f>LEFT(P458,1)</f><v /></c><c r="R458" s="376"><f>RIGHT(P458,6)</f><v /></c><c r="S458" s="376"><f>+(Q458*60+R458)/(60*60)</f><v /></c><c r="T458" s="377"><f>+O458/S458</f><v /></c><c r="U458" s="378"><f>+(((N458-M458-O458)/O458)*100)</f><v /></c><c r="V458" s="317"><f>V457</f><v /></c><c r="W458" s="417"><f>W457</f><v /></c><c r="X458" s="417"><f>X457</f><v /></c><c r="Y458" s="373" t="n"><v>187.07</v></c><c r="Z458" s="373" t="n"><v>196.97</v></c><c r="AA458" s="379"><f>AA457</f><v /></c><c r="AB458" s="380"><f>AB457</f><v /></c><c r="AC458" s="376"><f>LEFT(AB458,2)</f><v /></c><c r="AD458" s="376"><f>RIGHT(AB458,6)</f><v /></c><c r="AE458" s="376"><f>+(AC458*60+AD458)/(60*60)</f><v /></c><c r="AF458" s="377"><f>+AA458/AE458</f><v /></c><c r="AG458" s="321"><f>+(((Z458-Y458-AA458)/AA458)*100)</f><v /></c><c r="AH458" s="317"><f>AH457</f><v /></c><c r="AI458" s="417"><f>AI457</f><v /></c><c r="AJ458" s="417"><f>AJ457</f><v /></c><c r="AK458" s="373"><f>Z458</f><v /></c><c r="AL458" s="373" t="n"><v>201.91</v></c><c r="AM458" s="381"><f>AM457</f><v /></c><c r="AN458" s="375"><f>AN457</f><v /></c><c r="AO458" s="376"><f>LEFT(AN458,2)</f><v /></c><c r="AP458" s="376"><f>RIGHT(AN458,6)</f><v /></c><c r="AQ458" s="376"><f>+(AO458*60+AP458)/(60*60)</f><v /></c><c r="AR458" s="377"><f>+AM458/AQ458</f><v /></c><c r="AS458" s="321"><f>+(((AL458-AK458-AM458)/AM458)*100)</f><v /></c><c r="AT458" s="382"><f>IF(I458&gt;=1,"NO CONFORME",IF(BK458="SIGDIFERENTES",BC458,BL458))</f><v /></c><c r="AU458" s="364"><f>B458=C458</f><v /></c><c r="AV458" s="364"><f>N458&lt;Y458</f><v /></c><c r="AW458" s="364"><f>Z458&lt;=AK458</f><v /></c><c r="AX458" s="364"><f>IF(I458&gt;=1,"Qcorrecto",IF(AND(AY458="aceptable",AZ458="aceptable",BA458="aceptable"),"Qcorrecto","Qincorrecto"))</f><v /></c><c r="AY458" s="365"><f>IF(AR458&lt;$AH$6,"error",IF(AR458&gt;$AH$6*1.1,"error","aceptable"))</f><v /></c><c r="AZ458" s="365"><f>IF(AF458&lt;$V$6,"error",IF(AF458&gt;$V$6*1.1,"error","aceptable"))</f><v /></c><c r="BA458" s="365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66"><f>SIGN(U458)</f><v /></c><c r="BE458" s="366"><f>SIGN(AG458)</f><v /></c><c r="BF458" s="366"><f>SIGN(AS458)</f><v /></c><c r="BG458" s="366"><f>CONCATENATE(BD458,BE458,BF458)</f><v /></c><c r="BH458" s="366"><f>IF(BG458="111","SI","SD")</f><v /></c><c r="BI458" s="366"><f>IF(BG458="-1-1-1","SI","SD")</f><v /></c><c r="BJ458" s="366"><f>OR(BH458="SI",BI458="SI")</f><v /></c><c r="BK458" s="366"><f>IF(BJ458=FALSE,"SIGDIFERENTES","SIGIGUALES")</f><v /></c><c r="BL458" s="365"><f>IF(BC458="NO CONFORME","NO CONFORME",IF(BB458="CONFORME","CONFORME","NO CONFORME"))</f><v /></c></row><row r="459" ht="14.4" customHeight="1" thickBot="1"><c r="A459" s="368" t="n"><v>451</v></c><c r="B459" s="369"><f>B458</f><v /></c><c r="C459" s="369"><f>C458</f><v /></c><c r="D459" s="370"><f>D458</f><v /></c><c r="E459" s="371"><f>E458</f><v /></c><c r="F459" s="13" t="n" /><c r="G459" s="300" t="inlineStr"><is><t>PA25517386</t></is></c><c r="H459" s="313"><f>H458</f><v /></c><c r="I459" s="38"><f>I458</f><v /></c><c r="J459" s="314"><f>J458</f><v /></c><c r="K459" s="372"><f>K458</f><v /></c><c r="L459" s="372"><f>L458</f><v /></c><c r="M459" s="373" t="n"><v>85.19</v></c><c r="N459" s="373" t="n"><v>185.74</v></c><c r="O459" s="374"><f>O458</f><v /></c><c r="P459" s="375"><f>P458</f><v /></c><c r="Q459" s="376"><f>LEFT(P459,1)</f><v /></c><c r="R459" s="376"><f>RIGHT(P459,6)</f><v /></c><c r="S459" s="376"><f>+(Q459*60+R459)/(60*60)</f><v /></c><c r="T459" s="377"><f>+O459/S459</f><v /></c><c r="U459" s="378"><f>+(((N459-M459-O459)/O459)*100)</f><v /></c><c r="V459" s="317"><f>V458</f><v /></c><c r="W459" s="417"><f>W458</f><v /></c><c r="X459" s="417"><f>X458</f><v /></c><c r="Y459" s="373" t="n"><v>189.79</v></c><c r="Z459" s="373" t="n"><v>199.75</v></c><c r="AA459" s="379"><f>AA458</f><v /></c><c r="AB459" s="380"><f>AB458</f><v /></c><c r="AC459" s="376"><f>LEFT(AB459,2)</f><v /></c><c r="AD459" s="376"><f>RIGHT(AB459,6)</f><v /></c><c r="AE459" s="376"><f>+(AC459*60+AD459)/(60*60)</f><v /></c><c r="AF459" s="377"><f>+AA459/AE459</f><v /></c><c r="AG459" s="321"><f>+(((Z459-Y459-AA459)/AA459)*100)</f><v /></c><c r="AH459" s="317"><f>AH458</f><v /></c><c r="AI459" s="417"><f>AI458</f><v /></c><c r="AJ459" s="417"><f>AJ458</f><v /></c><c r="AK459" s="373"><f>Z459</f><v /></c><c r="AL459" s="373" t="n"><v>204.74</v></c><c r="AM459" s="381"><f>AM458</f><v /></c><c r="AN459" s="375"><f>AN458</f><v /></c><c r="AO459" s="376"><f>LEFT(AN459,2)</f><v /></c><c r="AP459" s="376"><f>RIGHT(AN459,6)</f><v /></c><c r="AQ459" s="376"><f>+(AO459*60+AP459)/(60*60)</f><v /></c><c r="AR459" s="377"><f>+AM459/AQ459</f><v /></c><c r="AS459" s="321"><f>+(((AL459-AK459-AM459)/AM459)*100)</f><v /></c><c r="AT459" s="382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5"><f>IF(AR459&lt;$AH$6,"error",IF(AR459&gt;$AH$6*1.1,"error","aceptable"))</f><v /></c><c r="AZ459" s="365"><f>IF(AF459&lt;$V$6,"error",IF(AF459&gt;$V$6*1.1,"error","aceptable"))</f><v /></c><c r="BA459" s="365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5"><f>IF(BC459="NO CONFORME","NO CONFORME",IF(BB459="CONFORME","CONFORME","NO CONFORME"))</f><v /></c></row><row r="460" ht="14.4" customHeight="1" thickBot="1"><c r="A460" s="368" t="n"><v>452</v></c><c r="B460" s="369"><f>B459</f><v /></c><c r="C460" s="369"><f>C459</f><v /></c><c r="D460" s="370"><f>D459</f><v /></c><c r="E460" s="371"><f>E459</f><v /></c><c r="F460" s="13" t="n" /><c r="G460" s="300" t="inlineStr"><is><t>PA25517387</t></is></c><c r="H460" s="313"><f>H459</f><v /></c><c r="I460" s="38"><f>I459</f><v /></c><c r="J460" s="314"><f>J459</f><v /></c><c r="K460" s="372"><f>K459</f><v /></c><c r="L460" s="372"><f>L459</f><v /></c><c r="M460" s="373" t="n"><v>85.54000000000001</v></c><c r="N460" s="373" t="n"><v>186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417"><f>W459</f><v /></c><c r="X460" s="417"><f>X459</f><v /></c><c r="Y460" s="373" t="n"><v>190.05</v></c><c r="Z460" s="373" t="n"><v>200.01</v></c><c r="AA460" s="379"><f>AA459</f><v /></c><c r="AB460" s="380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417"><f>AI459</f><v /></c><c r="AJ460" s="417"><f>AJ459</f><v /></c><c r="AK460" s="373"><f>Z460</f><v /></c><c r="AL460" s="373" t="n"><v>205</v></c><c r="AM460" s="381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2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83" t="n"><v>453</v></c><c r="B461" s="384"><f>B460</f><v /></c><c r="C461" s="384"><f>C460</f><v /></c><c r="D461" s="385"><f>D460</f><v /></c><c r="E461" s="386"><f>E460</f><v /></c><c r="F461" s="52" t="n" /><c r="G461" s="337" t="inlineStr"><is><t>PA25517388</t></is></c><c r="H461" s="326"><f>H460</f><v /></c><c r="I461" s="98"><f>I460</f><v /></c><c r="J461" s="327"><f>J460</f><v /></c><c r="K461" s="387"><f>K460</f><v /></c><c r="L461" s="387"><f>L460</f><v /></c><c r="M461" s="388" t="n"><v>83.63</v></c><c r="N461" s="388" t="n"><v>183.64</v></c><c r="O461" s="389"><f>O460</f><v /></c><c r="P461" s="390"><f>P460</f><v /></c><c r="Q461" s="391"><f>LEFT(P461,1)</f><v /></c><c r="R461" s="391"><f>RIGHT(P461,6)</f><v /></c><c r="S461" s="391"><f>+(Q461*60+R461)/(60*60)</f><v /></c><c r="T461" s="392"><f>+O461/S461</f><v /></c><c r="U461" s="393"><f>+(((N461-M461-O461)/O461)*100)</f><v /></c><c r="V461" s="329"><f>V460</f><v /></c><c r="W461" s="443"><f>W460</f><v /></c><c r="X461" s="443"><f>X460</f><v /></c><c r="Y461" s="388" t="n"><v>187.67</v></c><c r="Z461" s="388" t="n"><v>197.64</v></c><c r="AA461" s="394"><f>AA460</f><v /></c><c r="AB461" s="395"><f>AB460</f><v /></c><c r="AC461" s="391"><f>LEFT(AB461,2)</f><v /></c><c r="AD461" s="391"><f>RIGHT(AB461,6)</f><v /></c><c r="AE461" s="391"><f>+(AC461*60+AD461)/(60*60)</f><v /></c><c r="AF461" s="392"><f>+AA461/AE461</f><v /></c><c r="AG461" s="396"><f>+(((Z461-Y461-AA461)/AA461)*100)</f><v /></c><c r="AH461" s="329"><f>AH460</f><v /></c><c r="AI461" s="443"><f>AI460</f><v /></c><c r="AJ461" s="443"><f>AJ460</f><v /></c><c r="AK461" s="388"><f>Z461</f><v /></c><c r="AL461" s="388" t="n"><v>202.64</v></c><c r="AM461" s="397"><f>AM460</f><v /></c><c r="AN461" s="390"><f>AN460</f><v /></c><c r="AO461" s="391"><f>LEFT(AN461,2)</f><v /></c><c r="AP461" s="391"><f>RIGHT(AN461,6)</f><v /></c><c r="AQ461" s="391"><f>+(AO461*60+AP461)/(60*60)</f><v /></c><c r="AR461" s="392"><f>+AM461/AQ461</f><v /></c><c r="AS461" s="396"><f>+(((AL461-AK461-AM461)/AM461)*100)</f><v /></c><c r="AT461" s="398"><f>IF(I461&gt;=1,"NO CONFORME",IF(BK461="SIGDIFERENTES",BC461,BL461))</f><v /></c><c r="AU461" s="399"><f>B461=C461</f><v /></c><c r="AV461" s="399"><f>N461&lt;Y461</f><v /></c><c r="AW461" s="399"><f>Z461&lt;=AK461</f><v /></c><c r="AX461" s="399"><f>IF(I461&gt;=1,"Qcorrecto",IF(AND(AY461="aceptable",AZ461="aceptable",BA461="aceptable"),"Qcorrecto","Qincorrecto"))</f><v /></c><c r="AY461" s="400"><f>IF(AR461&lt;$AH$6,"error",IF(AR461&gt;$AH$6*1.1,"error","aceptable"))</f><v /></c><c r="AZ461" s="400"><f>IF(AF461&lt;$V$6,"error",IF(AF461&gt;$V$6*1.1,"error","aceptable"))</f><v /></c><c r="BA461" s="400"><f>IF(T461&lt;$J$6*0.9,"error",IF(T461&gt;$J$6,"error","aceptable"))</f><v /></c><c r="BB461" s="401"><f>(IF(ABS(U461)&lt;1.05,"CONFORME",IF(ABS(AG461)&lt;1.05,"CONFORME",IF(ABS(AS461)&lt;2.55,"CONFORME","NO CONFORME"))))</f><v /></c><c r="BC461" s="402"><f>(IF(ABS(U461)&gt;2.05,"NO CONFORME",IF(ABS(AG461)&gt;2.05,"NO CONFORME",IF(ABS(AS461)&gt;5.05,"NO CONFORME","CONFORME"))))</f><v /></c><c r="BD461" s="403"><f>SIGN(U461)</f><v /></c><c r="BE461" s="403"><f>SIGN(AG461)</f><v /></c><c r="BF461" s="403"><f>SIGN(AS461)</f><v /></c><c r="BG461" s="403"><f>CONCATENATE(BD461,BE461,BF461)</f><v /></c><c r="BH461" s="403"><f>IF(BG461="111","SI","SD")</f><v /></c><c r="BI461" s="403"><f>IF(BG461="-1-1-1","SI","SD")</f><v /></c><c r="BJ461" s="403"><f>OR(BH461="SI",BI461="SI")</f><v /></c><c r="BK461" s="403"><f>IF(BJ461=FALSE,"SIGDIFERENTES","SIGIGUALES")</f><v /></c><c r="BL461" s="400"><f>IF(BC461="NO CONFORME","NO CONFORME",IF(BB461="CONFORME","CONFORME","NO CONFORME"))</f><v /></c></row><row r="462" ht="14.4" customHeight="1" thickBot="1"><c r="A462" s="449" t="n"><v>454</v></c><c r="B462" s="450"><f>B461</f><v /></c><c r="C462" s="450"><f>C461</f><v /></c><c r="D462" s="451"><f>D461</f><v /></c><c r="E462" s="452"><f>E461</f><v /></c><c r="F462" s="46" t="n" /><c r="G462" s="335" t="inlineStr"><is><t>PA25517389</t></is></c><c r="H462" s="453"><f>H461</f><v /></c><c r="I462" s="454"><f>I461</f><v /></c><c r="J462" s="455" t="n"><v>20.4</v></c><c r="K462" s="456" t="n"><v>8.515000000000001</v></c><c r="L462" s="456" t="n"><v>0.846</v></c><c r="M462" s="457" t="n"><v>98.41</v></c><c r="N462" s="457" t="n"><v>198.2</v></c><c r="O462" s="458" t="n"><v>100.62</v></c><c r="P462" s="459" t="inlineStr"><is><t>2,31,891</t></is></c><c r="Q462" s="460"><f>LEFT(P462,1)</f><v /></c><c r="R462" s="460"><f>RIGHT(P462,6)</f><v /></c><c r="S462" s="460"><f>+(Q462*60+R462)/(60*60)</f><v /></c><c r="T462" s="461"><f>+O462/S462</f><v /></c><c r="U462" s="462"><f>+(((N462-M462-O462)/O462)*100)</f><v /></c><c r="V462" s="463" t="n"><v>20.4</v></c><c r="W462" s="464" t="n"><v>1.098</v></c><c r="X462" s="464" t="n"><v>1.089</v></c><c r="Y462" s="457" t="n"><v>202.65</v></c><c r="Z462" s="457" t="n"><v>212.55</v></c><c r="AA462" s="465" t="n"><v>10.008</v></c><c r="AB462" s="465" t="inlineStr"><is><t>22,51,021</t></is></c><c r="AC462" s="460"><f>LEFT(AB462,2)</f><v /></c><c r="AD462" s="460"><f>RIGHT(AB462,6)</f><v /></c><c r="AE462" s="460"><f>+(AC462*60+AD462)/(60*60)</f><v /></c><c r="AF462" s="461"><f>+AA462/AE462</f><v /></c><c r="AG462" s="309"><f>+(((Z462-Y462-AA462)/AA462)*100)</f><v /></c><c r="AH462" s="463" t="n"><v>20.5</v></c><c r="AI462" s="464" t="n"><v>1.099</v></c><c r="AJ462" s="464" t="n"><v>1.09</v></c><c r="AK462" s="457"><f>Z462</f><v /></c><c r="AL462" s="457" t="n"><v>217.52</v></c><c r="AM462" s="466" t="n"><v>5.005</v></c><c r="AN462" s="459" t="inlineStr"><is><t>18,14,801</t></is></c><c r="AO462" s="460"><f>LEFT(AN462,2)</f><v /></c><c r="AP462" s="460"><f>RIGHT(AN462,6)</f><v /></c><c r="AQ462" s="460"><f>+(AO462*60+AP462)/(60*60)</f><v /></c><c r="AR462" s="461"><f>+AM462/AQ462</f><v /></c><c r="AS462" s="309"><f>+(((AL462-AK462-AM462)/AM462)*100)</f><v /></c><c r="AT462" s="467"><f>IF(I462&gt;=1,"NO CONFORME",IF(BK462="SIGDIFERENTES",BC462,BL462))</f><v /></c><c r="AU462" s="468"><f>B462=C462</f><v /></c><c r="AV462" s="468"><f>N462&lt;Y462</f><v /></c><c r="AW462" s="468"><f>Z462&lt;=AK462</f><v /></c><c r="AX462" s="468"><f>IF(I462&gt;=1,"Qcorrecto",IF(AND(AY462="aceptable",AZ462="aceptable",BA462="aceptable"),"Qcorrecto","Qincorrecto"))</f><v /></c><c r="AY462" s="469"><f>IF(AR462&lt;$AH$6,"error",IF(AR462&gt;$AH$6*1.1,"error","aceptable"))</f><v /></c><c r="AZ462" s="469"><f>IF(AF462&lt;$V$6,"error",IF(AF462&gt;$V$6*1.1,"error","aceptable"))</f><v /></c><c r="BA462" s="469"><f>IF(T462&lt;$J$6*0.9,"error",IF(T462&gt;$J$6,"error","aceptable"))</f><v /></c><c r="BB462" s="470"><f>(IF(ABS(U462)&lt;1.05,"CONFORME",IF(ABS(AG462)&lt;1.05,"CONFORME",IF(ABS(AS462)&lt;2.55,"CONFORME","NO CONFORME"))))</f><v /></c><c r="BC462" s="471"><f>(IF(ABS(U462)&gt;2.05,"NO CONFORME",IF(ABS(AG462)&gt;2.05,"NO CONFORME",IF(ABS(AS462)&gt;5.05,"NO CONFORME","CONFORME"))))</f><v /></c><c r="BD462" s="472"><f>SIGN(U462)</f><v /></c><c r="BE462" s="472"><f>SIGN(AG462)</f><v /></c><c r="BF462" s="472"><f>SIGN(AS462)</f><v /></c><c r="BG462" s="472"><f>CONCATENATE(BD462,BE462,BF462)</f><v /></c><c r="BH462" s="472"><f>IF(BG462="111","SI","SD")</f><v /></c><c r="BI462" s="472"><f>IF(BG462="-1-1-1","SI","SD")</f><v /></c><c r="BJ462" s="472"><f>OR(BH462="SI",BI462="SI")</f><v /></c><c r="BK462" s="472"><f>IF(BJ462=FALSE,"SIGDIFERENTES","SIGIGUALES")</f><v /></c><c r="BL462" s="469"><f>IF(BC462="NO CONFORME","NO CONFORME",IF(BB462="CONFORME","CONFORME","NO CONFORME"))</f><v /></c></row><row r="463" ht="14.4" customHeight="1" thickBot="1"><c r="A463" s="368" t="n"><v>455</v></c><c r="B463" s="369"><f>B462</f><v /></c><c r="C463" s="369"><f>C462</f><v /></c><c r="D463" s="370"><f>D462</f><v /></c><c r="E463" s="371"><f>E462</f><v /></c><c r="F463" s="13" t="n" /><c r="G463" s="300" t="inlineStr"><is><t>PA25517390</t></is></c><c r="H463" s="313"><f>H462</f><v /></c><c r="I463" s="38"><f>I462</f><v /></c><c r="J463" s="314"><f>J462</f><v /></c><c r="K463" s="372"><f>K462</f><v /></c><c r="L463" s="372"><f>L462</f><v /></c><c r="M463" s="373" t="n"><v>98.05</v></c><c r="N463" s="373" t="n"><v>198.1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417"><f>W462</f><v /></c><c r="X463" s="417"><f>X462</f><v /></c><c r="Y463" s="373" t="n"><v>202.56</v></c><c r="Z463" s="373" t="n"><v>212.55</v></c><c r="AA463" s="379"><f>AA462</f><v /></c><c r="AB463" s="380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417"><f>AI462</f><v /></c><c r="AJ463" s="417"><f>AJ462</f><v /></c><c r="AK463" s="373"><f>Z463</f><v /></c><c r="AL463" s="373" t="n"><v>217.58</v></c><c r="AM463" s="381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2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4.4" customHeight="1" thickBot="1"><c r="A464" s="368" t="n"><v>456</v></c><c r="B464" s="369"><f>B463</f><v /></c><c r="C464" s="369"><f>C463</f><v /></c><c r="D464" s="370"><f>D463</f><v /></c><c r="E464" s="371"><f>E463</f><v /></c><c r="F464" s="13" t="n" /><c r="G464" s="300" t="inlineStr"><is><t>PA25517391</t></is></c><c r="H464" s="313"><f>H463</f><v /></c><c r="I464" s="38"><f>I463</f><v /></c><c r="J464" s="314"><f>J463</f><v /></c><c r="K464" s="372"><f>K463</f><v /></c><c r="L464" s="372"><f>L463</f><v /></c><c r="M464" s="373" t="n"><v>97.55</v></c><c r="N464" s="373" t="n"><v>197.51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417"><f>W463</f><v /></c><c r="X464" s="417"><f>X463</f><v /></c><c r="Y464" s="373" t="n"><v>202</v></c><c r="Z464" s="373" t="n"><v>211.95</v></c><c r="AA464" s="379"><f>AA463</f><v /></c><c r="AB464" s="380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417"><f>AI463</f><v /></c><c r="AJ464" s="417"><f>AJ463</f><v /></c><c r="AK464" s="373"><f>Z464</f><v /></c><c r="AL464" s="373" t="n"><v>216.98</v></c><c r="AM464" s="381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2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4.4" customHeight="1" thickBot="1"><c r="A465" s="368" t="n"><v>457</v></c><c r="B465" s="369"><f>B464</f><v /></c><c r="C465" s="369"><f>C464</f><v /></c><c r="D465" s="370"><f>D464</f><v /></c><c r="E465" s="371"><f>E464</f><v /></c><c r="F465" s="13" t="n" /><c r="G465" s="300" t="inlineStr"><is><t>PA25517392</t></is></c><c r="H465" s="313"><f>H464</f><v /></c><c r="I465" s="38"><f>I464</f><v /></c><c r="J465" s="314"><f>J464</f><v /></c><c r="K465" s="372"><f>K464</f><v /></c><c r="L465" s="372"><f>L464</f><v /></c><c r="M465" s="373" t="n"><v>98.44</v></c><c r="N465" s="373" t="n"><v>198.57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417"><f>W464</f><v /></c><c r="X465" s="417"><f>X464</f><v /></c><c r="Y465" s="373" t="n"><v>203.06</v></c><c r="Z465" s="373" t="n"><v>213</v></c><c r="AA465" s="379"><f>AA464</f><v /></c><c r="AB465" s="380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417"><f>AI464</f><v /></c><c r="AJ465" s="417"><f>AJ464</f><v /></c><c r="AK465" s="373"><f>Z465</f><v /></c><c r="AL465" s="373" t="n"><v>217.96</v></c><c r="AM465" s="381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2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4.4" customHeight="1" thickBot="1"><c r="A466" s="368" t="n"><v>458</v></c><c r="B466" s="369"><f>B465</f><v /></c><c r="C466" s="369"><f>C465</f><v /></c><c r="D466" s="370"><f>D465</f><v /></c><c r="E466" s="371"><f>E465</f><v /></c><c r="F466" s="13" t="n" /><c r="G466" s="300" t="inlineStr"><is><t>PA25517393</t></is></c><c r="H466" s="313"><f>H465</f><v /></c><c r="I466" s="38"><f>I465</f><v /></c><c r="J466" s="314"><f>J465</f><v /></c><c r="K466" s="372"><f>K465</f><v /></c><c r="L466" s="372"><f>L465</f><v /></c><c r="M466" s="373" t="n"><v>97.48999999999999</v></c><c r="N466" s="373" t="n"><v>197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417"><f>W465</f><v /></c><c r="X466" s="417"><f>X465</f><v /></c><c r="Y466" s="373" t="n"><v>201.46</v></c><c r="Z466" s="373" t="n"><v>211.38</v></c><c r="AA466" s="379"><f>AA465</f><v /></c><c r="AB466" s="380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417"><f>AI465</f><v /></c><c r="AJ466" s="417"><f>AJ465</f><v /></c><c r="AK466" s="373"><f>Z466</f><v /></c><c r="AL466" s="373" t="n"><v>216.36</v></c><c r="AM466" s="381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2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4.4" customHeight="1" thickBot="1"><c r="A467" s="368" t="n"><v>459</v></c><c r="B467" s="369"><f>B466</f><v /></c><c r="C467" s="369"><f>C466</f><v /></c><c r="D467" s="370"><f>D466</f><v /></c><c r="E467" s="371"><f>E466</f><v /></c><c r="F467" s="13" t="n" /><c r="G467" s="300" t="inlineStr"><is><t>PA25517394</t></is></c><c r="H467" s="313"><f>H466</f><v /></c><c r="I467" s="38"><f>I466</f><v /></c><c r="J467" s="314"><f>J466</f><v /></c><c r="K467" s="372"><f>K466</f><v /></c><c r="L467" s="372"><f>L466</f><v /></c><c r="M467" s="373" t="n"><v>99.39</v></c><c r="N467" s="373" t="n"><v>199.08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417"><f>W466</f><v /></c><c r="X467" s="417"><f>X466</f><v /></c><c r="Y467" s="373" t="n"><v>203.55</v></c><c r="Z467" s="373" t="n"><v>213.48</v></c><c r="AA467" s="379"><f>AA466</f><v /></c><c r="AB467" s="380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417"><f>AI466</f><v /></c><c r="AJ467" s="417"><f>AJ466</f><v /></c><c r="AK467" s="373"><f>Z467</f><v /></c><c r="AL467" s="373" t="n"><v>218.48</v></c><c r="AM467" s="381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2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4.4" customHeight="1" thickBot="1"><c r="A468" s="368" t="n"><v>460</v></c><c r="B468" s="369"><f>B467</f><v /></c><c r="C468" s="369"><f>C467</f><v /></c><c r="D468" s="370"><f>D467</f><v /></c><c r="E468" s="371"><f>E467</f><v /></c><c r="F468" s="13" t="n" /><c r="G468" s="300" t="inlineStr"><is><t>PA25517395</t></is></c><c r="H468" s="313"><f>H467</f><v /></c><c r="I468" s="38"><f>I467</f><v /></c><c r="J468" s="314"><f>J467</f><v /></c><c r="K468" s="372"><f>K467</f><v /></c><c r="L468" s="372"><f>L467</f><v /></c><c r="M468" s="373" t="n"><v>99.7</v></c><c r="N468" s="373" t="n"><v>200.44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417"><f>W467</f><v /></c><c r="X468" s="417"><f>X467</f><v /></c><c r="Y468" s="373" t="n"><v>204.88</v></c><c r="Z468" s="373" t="n"><v>214.84</v></c><c r="AA468" s="379"><f>AA467</f><v /></c><c r="AB468" s="380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417"><f>AI467</f><v /></c><c r="AJ468" s="417"><f>AJ467</f><v /></c><c r="AK468" s="373"><f>Z468</f><v /></c><c r="AL468" s="373" t="n"><v>219.88</v></c><c r="AM468" s="381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2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4.4" customHeight="1" thickBot="1"><c r="A469" s="368" t="n"><v>461</v></c><c r="B469" s="369"><f>B468</f><v /></c><c r="C469" s="369"><f>C468</f><v /></c><c r="D469" s="370"><f>D468</f><v /></c><c r="E469" s="371"><f>E468</f><v /></c><c r="F469" s="13" t="n" /><c r="G469" s="300" t="inlineStr"><is><t>PA25517396</t></is></c><c r="H469" s="313"><f>H468</f><v /></c><c r="I469" s="38"><f>I468</f><v /></c><c r="J469" s="314"><f>J468</f><v /></c><c r="K469" s="372"><f>K468</f><v /></c><c r="L469" s="372"><f>L468</f><v /></c><c r="M469" s="373" t="n"><v>97.84999999999999</v></c><c r="N469" s="373" t="n"><v>198.03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417"><f>W468</f><v /></c><c r="X469" s="417"><f>X468</f><v /></c><c r="Y469" s="373" t="n"><v>202.5</v></c><c r="Z469" s="373" t="n"><v>212.45</v></c><c r="AA469" s="379"><f>AA468</f><v /></c><c r="AB469" s="380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417"><f>AI468</f><v /></c><c r="AJ469" s="417"><f>AJ468</f><v /></c><c r="AK469" s="373"><f>Z469</f><v /></c><c r="AL469" s="373" t="n"><v>217.44</v></c><c r="AM469" s="381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2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4.4" customHeight="1" thickBot="1"><c r="A470" s="368" t="n"><v>462</v></c><c r="B470" s="369"><f>B469</f><v /></c><c r="C470" s="369"><f>C469</f><v /></c><c r="D470" s="370"><f>D469</f><v /></c><c r="E470" s="371"><f>E469</f><v /></c><c r="F470" s="13" t="n" /><c r="G470" s="300" t="inlineStr"><is><t>PA25517397</t></is></c><c r="H470" s="313"><f>H469</f><v /></c><c r="I470" s="38"><f>I469</f><v /></c><c r="J470" s="314"><f>J469</f><v /></c><c r="K470" s="372"><f>K469</f><v /></c><c r="L470" s="372"><f>L469</f><v /></c><c r="M470" s="373" t="n"><v>100.31</v></c><c r="N470" s="373" t="n"><v>199.94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417"><f>W469</f><v /></c><c r="X470" s="417"><f>X469</f><v /></c><c r="Y470" s="373" t="n"><v>204.42</v></c><c r="Z470" s="373" t="n"><v>214.35</v></c><c r="AA470" s="379"><f>AA469</f><v /></c><c r="AB470" s="380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417"><f>AI469</f><v /></c><c r="AJ470" s="417"><f>AJ469</f><v /></c><c r="AK470" s="373"><f>Z470</f><v /></c><c r="AL470" s="373" t="n"><v>219.34</v></c><c r="AM470" s="381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2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4.4" customHeight="1" thickBot="1"><c r="A471" s="368" t="n"><v>463</v></c><c r="B471" s="369"><f>B470</f><v /></c><c r="C471" s="369"><f>C470</f><v /></c><c r="D471" s="370"><f>D470</f><v /></c><c r="E471" s="371"><f>E470</f><v /></c><c r="F471" s="13" t="n" /><c r="G471" s="300" t="inlineStr"><is><t>PA25517398</t></is></c><c r="H471" s="313"><f>H470</f><v /></c><c r="I471" s="38"><f>I470</f><v /></c><c r="J471" s="314"><f>J470</f><v /></c><c r="K471" s="372"><f>K470</f><v /></c><c r="L471" s="372"><f>L470</f><v /></c><c r="M471" s="373" t="n"><v>100.5</v></c><c r="N471" s="373" t="n"><v>200.89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417"><f>W470</f><v /></c><c r="X471" s="417"><f>X470</f><v /></c><c r="Y471" s="373" t="n"><v>205.37</v></c><c r="Z471" s="373" t="n"><v>215.32</v></c><c r="AA471" s="379"><f>AA470</f><v /></c><c r="AB471" s="380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417"><f>AI470</f><v /></c><c r="AJ471" s="417"><f>AJ470</f><v /></c><c r="AK471" s="373"><f>Z471</f><v /></c><c r="AL471" s="373" t="n"><v>220.33</v></c><c r="AM471" s="381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2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4.4" customHeight="1" thickBot="1"><c r="A472" s="368" t="n"><v>464</v></c><c r="B472" s="369"><f>B471</f><v /></c><c r="C472" s="369"><f>C471</f><v /></c><c r="D472" s="370"><f>D471</f><v /></c><c r="E472" s="371"><f>E471</f><v /></c><c r="F472" s="13" t="n" /><c r="G472" s="300" t="inlineStr"><is><t>PA25517399</t></is></c><c r="H472" s="313"><f>H471</f><v /></c><c r="I472" s="38"><f>I471</f><v /></c><c r="J472" s="314"><f>J471</f><v /></c><c r="K472" s="372"><f>K471</f><v /></c><c r="L472" s="372"><f>L471</f><v /></c><c r="M472" s="373" t="n"><v>99.64</v></c><c r="N472" s="373" t="n"><v>200.14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417"><f>W471</f><v /></c><c r="X472" s="417"><f>X471</f><v /></c><c r="Y472" s="373" t="n"><v>204.6</v></c><c r="Z472" s="373" t="n"><v>214.55</v></c><c r="AA472" s="379"><f>AA471</f><v /></c><c r="AB472" s="380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417"><f>AI471</f><v /></c><c r="AJ472" s="417"><f>AJ471</f><v /></c><c r="AK472" s="373"><f>Z472</f><v /></c><c r="AL472" s="373" t="n"><v>219.55</v></c><c r="AM472" s="381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2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3" t="n"><v>465</v></c><c r="B473" s="384"><f>B472</f><v /></c><c r="C473" s="384"><f>C472</f><v /></c><c r="D473" s="385"><f>D472</f><v /></c><c r="E473" s="386"><f>E472</f><v /></c><c r="F473" s="52" t="n" /><c r="G473" s="337" t="inlineStr"><is><t>PA25517400</t></is></c><c r="H473" s="326"><f>H472</f><v /></c><c r="I473" s="98"><f>I472</f><v /></c><c r="J473" s="327"><f>J472</f><v /></c><c r="K473" s="387"><f>K472</f><v /></c><c r="L473" s="387"><f>L472</f><v /></c><c r="M473" s="388" t="n"><v>100.38</v></c><c r="N473" s="388" t="n"><v>200.59</v></c><c r="O473" s="389"><f>O472</f><v /></c><c r="P473" s="390"><f>P472</f><v /></c><c r="Q473" s="391"><f>LEFT(P473,1)</f><v /></c><c r="R473" s="391"><f>RIGHT(P473,6)</f><v /></c><c r="S473" s="391"><f>+(Q473*60+R473)/(60*60)</f><v /></c><c r="T473" s="392"><f>+O473/S473</f><v /></c><c r="U473" s="393"><f>+(((N473-M473-O473)/O473)*100)</f><v /></c><c r="V473" s="329"><f>V472</f><v /></c><c r="W473" s="443"><f>W472</f><v /></c><c r="X473" s="443"><f>X472</f><v /></c><c r="Y473" s="388" t="n"><v>205.1</v></c><c r="Z473" s="388" t="n"><v>215.02</v></c><c r="AA473" s="394"><f>AA472</f><v /></c><c r="AB473" s="395"><f>AB472</f><v /></c><c r="AC473" s="391"><f>LEFT(AB473,2)</f><v /></c><c r="AD473" s="391"><f>RIGHT(AB473,6)</f><v /></c><c r="AE473" s="391"><f>+(AC473*60+AD473)/(60*60)</f><v /></c><c r="AF473" s="392"><f>+AA473/AE473</f><v /></c><c r="AG473" s="396"><f>+(((Z473-Y473-AA473)/AA473)*100)</f><v /></c><c r="AH473" s="329"><f>AH472</f><v /></c><c r="AI473" s="443"><f>AI472</f><v /></c><c r="AJ473" s="443"><f>AJ472</f><v /></c><c r="AK473" s="388"><f>Z473</f><v /></c><c r="AL473" s="388" t="n"><v>220.02</v></c><c r="AM473" s="397"><f>AM472</f><v /></c><c r="AN473" s="390"><f>AN472</f><v /></c><c r="AO473" s="391"><f>LEFT(AN473,2)</f><v /></c><c r="AP473" s="391"><f>RIGHT(AN473,6)</f><v /></c><c r="AQ473" s="391"><f>+(AO473*60+AP473)/(60*60)</f><v /></c><c r="AR473" s="392"><f>+AM473/AQ473</f><v /></c><c r="AS473" s="396"><f>+(((AL473-AK473-AM473)/AM473)*100)</f><v /></c><c r="AT473" s="398"><f>IF(I473&gt;=1,"NO CONFORME",IF(BK473="SIGDIFERENTES",BC473,BL473))</f><v /></c><c r="AU473" s="399"><f>B473=C473</f><v /></c><c r="AV473" s="399"><f>N473&lt;Y473</f><v /></c><c r="AW473" s="399"><f>Z473&lt;=AK473</f><v /></c><c r="AX473" s="399"><f>IF(I473&gt;=1,"Qcorrecto",IF(AND(AY473="aceptable",AZ473="aceptable",BA473="aceptable"),"Qcorrecto","Qincorrecto"))</f><v /></c><c r="AY473" s="400"><f>IF(AR473&lt;$AH$6,"error",IF(AR473&gt;$AH$6*1.1,"error","aceptable"))</f><v /></c><c r="AZ473" s="400"><f>IF(AF473&lt;$V$6,"error",IF(AF473&gt;$V$6*1.1,"error","aceptable"))</f><v /></c><c r="BA473" s="400"><f>IF(T473&lt;$J$6*0.9,"error",IF(T473&gt;$J$6,"error","aceptable"))</f><v /></c><c r="BB473" s="401"><f>(IF(ABS(U473)&lt;1.05,"CONFORME",IF(ABS(AG473)&lt;1.05,"CONFORME",IF(ABS(AS473)&lt;2.55,"CONFORME","NO CONFORME"))))</f><v /></c><c r="BC473" s="402"><f>(IF(ABS(U473)&gt;2.05,"NO CONFORME",IF(ABS(AG473)&gt;2.05,"NO CONFORME",IF(ABS(AS473)&gt;5.05,"NO CONFORME","CONFORME"))))</f><v /></c><c r="BD473" s="403"><f>SIGN(U473)</f><v /></c><c r="BE473" s="403"><f>SIGN(AG473)</f><v /></c><c r="BF473" s="403"><f>SIGN(AS473)</f><v /></c><c r="BG473" s="403"><f>CONCATENATE(BD473,BE473,BF473)</f><v /></c><c r="BH473" s="403"><f>IF(BG473="111","SI","SD")</f><v /></c><c r="BI473" s="403"><f>IF(BG473="-1-1-1","SI","SD")</f><v /></c><c r="BJ473" s="403"><f>OR(BH473="SI",BI473="SI")</f><v /></c><c r="BK473" s="403"><f>IF(BJ473=FALSE,"SIGDIFERENTES","SIGIGUALES")</f><v /></c><c r="BL473" s="400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2025-12-16T20:14:17Z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