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53" firstSheet="0" activeTab="0" autoFilterDateGrouping="1"/>
  </bookViews>
  <sheets>
    <sheet name="ERROR FINAL" sheetId="1" state="visible" r:id="rId1"/>
    <sheet name="Hoja1" sheetId="2" state="visible" r:id="rId2"/>
    <sheet name="Hoja2 (2)" sheetId="3" state="visible" r:id="rId3"/>
    <sheet name="Hoja2" sheetId="4" state="visible" r:id="rId4"/>
    <sheet name="Historial de cambios" sheetId="5" state="visible" r:id="rId5"/>
  </sheets>
  <definedNames>
    <definedName name="_xlnm._FilterDatabase" localSheetId="0" hidden="1">'ERROR FINAL'!$A$8:$BL$728</definedName>
    <definedName name="_xlnm._FilterDatabase" localSheetId="1" hidden="1">'Hoja1'!$B$3:$H$3</definedName>
    <definedName name="_xlnm._FilterDatabase" localSheetId="2" hidden="1">'Hoja2 (2)'!$A$3:$I$725</definedName>
    <definedName name="_xlnm.Print_Titles" localSheetId="3">'Hoja2'!$1:$5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0000"/>
    <numFmt numFmtId="165" formatCode="yyyy\-mm\-dd"/>
    <numFmt numFmtId="166" formatCode="0.0"/>
    <numFmt numFmtId="167" formatCode="h:mm:ss;@"/>
    <numFmt numFmtId="168" formatCode="#,##0.000"/>
    <numFmt numFmtId="169" formatCode="#,##0.0"/>
    <numFmt numFmtId="170" formatCode="yyyy\-mm\-dd;@"/>
    <numFmt numFmtId="171" formatCode="_ * #,##0.00_ ;_ * \-#,##0.00_ ;_ * &quot;-&quot;??_ ;_ @_ "/>
  </numFmts>
  <fonts count="32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indexed="12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color indexed="8"/>
      <sz val="10"/>
    </font>
    <font>
      <name val="Arial"/>
      <family val="2"/>
      <color indexed="10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vertAlign val="superscript"/>
      <scheme val="minor"/>
    </font>
    <font>
      <name val="Arial"/>
      <family val="2"/>
      <color theme="3"/>
      <sz val="10"/>
    </font>
    <font>
      <name val="Arial"/>
      <family val="2"/>
      <b val="1"/>
      <color rgb="FFFF0000"/>
      <sz val="10"/>
    </font>
    <font>
      <name val="Arial"/>
      <family val="2"/>
      <sz val="12"/>
    </font>
    <font>
      <name val="Arial"/>
      <family val="2"/>
      <color rgb="FFFF0000"/>
      <sz val="10"/>
    </font>
    <font>
      <name val="Arial"/>
      <family val="2"/>
      <sz val="8"/>
    </font>
    <font>
      <name val="Arial"/>
      <family val="2"/>
      <b val="1"/>
      <color theme="1"/>
      <sz val="11"/>
    </font>
    <font>
      <name val="Arial"/>
      <family val="2"/>
      <b val="1"/>
      <sz val="12"/>
    </font>
    <font>
      <name val="Arial"/>
      <family val="2"/>
      <b val="1"/>
      <i val="1"/>
      <sz val="10"/>
      <u val="single"/>
    </font>
    <font>
      <name val="Arial"/>
      <family val="2"/>
      <b val="1"/>
      <sz val="10"/>
      <u val="single"/>
    </font>
    <font>
      <name val="Arial"/>
      <family val="2"/>
      <b val="1"/>
      <sz val="16"/>
    </font>
    <font>
      <name val="Arial"/>
      <family val="2"/>
      <sz val="10"/>
    </font>
    <font>
      <name val="Arial"/>
      <family val="2"/>
      <color theme="0"/>
      <sz val="22"/>
    </font>
    <font>
      <name val="Calibri"/>
      <family val="2"/>
      <color rgb="FF000000"/>
      <sz val="11"/>
    </font>
  </fonts>
  <fills count="1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top style="thick"/>
    </border>
  </borders>
  <cellStyleXfs count="40">
    <xf numFmtId="0" fontId="0" fillId="0" borderId="0"/>
    <xf numFmtId="0" fontId="29" fillId="0" borderId="0"/>
    <xf numFmtId="0" fontId="8" fillId="0" borderId="0"/>
    <xf numFmtId="0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</cellStyleXfs>
  <cellXfs count="483">
    <xf numFmtId="0" fontId="0" fillId="0" borderId="0" pivotButton="0" quotePrefix="0" xfId="0"/>
    <xf numFmtId="0" fontId="8" fillId="0" borderId="0" pivotButton="0" quotePrefix="0" xfId="2"/>
    <xf numFmtId="0" fontId="9" fillId="0" borderId="0" applyAlignment="1" pivotButton="0" quotePrefix="0" xfId="2">
      <alignment horizontal="left" vertical="center"/>
    </xf>
    <xf numFmtId="0" fontId="9" fillId="0" borderId="0" applyAlignment="1" pivotButton="0" quotePrefix="0" xfId="2">
      <alignment shrinkToFit="1"/>
    </xf>
    <xf numFmtId="0" fontId="10" fillId="0" borderId="0" applyAlignment="1" pivotButton="0" quotePrefix="0" xfId="2">
      <alignment textRotation="90" shrinkToFit="1"/>
    </xf>
    <xf numFmtId="0" fontId="19" fillId="7" borderId="2" applyAlignment="1" pivotButton="0" quotePrefix="0" xfId="3">
      <alignment horizontal="center" vertical="center" shrinkToFit="1"/>
    </xf>
    <xf numFmtId="0" fontId="7" fillId="0" borderId="0" pivotButton="0" quotePrefix="0" xfId="4"/>
    <xf numFmtId="0" fontId="9" fillId="0" borderId="0" applyAlignment="1" pivotButton="0" quotePrefix="0" xfId="4">
      <alignment shrinkToFit="1"/>
    </xf>
    <xf numFmtId="0" fontId="9" fillId="0" borderId="0" applyAlignment="1" pivotButton="0" quotePrefix="0" xfId="4">
      <alignment horizontal="center" shrinkToFit="1"/>
    </xf>
    <xf numFmtId="0" fontId="11" fillId="0" borderId="0" applyAlignment="1" pivotButton="0" quotePrefix="0" xfId="4">
      <alignment shrinkToFit="1"/>
    </xf>
    <xf numFmtId="1" fontId="9" fillId="3" borderId="1" applyAlignment="1" pivotButton="0" quotePrefix="0" xfId="2">
      <alignment horizontal="center" shrinkToFit="1"/>
    </xf>
    <xf numFmtId="4" fontId="9" fillId="4" borderId="1" applyAlignment="1" pivotButton="0" quotePrefix="0" xfId="2">
      <alignment horizontal="center" shrinkToFit="1"/>
    </xf>
    <xf numFmtId="1" fontId="9" fillId="11" borderId="1" applyAlignment="1" pivotButton="0" quotePrefix="0" xfId="4">
      <alignment horizontal="center" vertical="center" shrinkToFit="1"/>
    </xf>
    <xf numFmtId="0" fontId="0" fillId="11" borderId="1" applyAlignment="1" pivotButton="0" quotePrefix="0" xfId="0">
      <alignment horizontal="center"/>
    </xf>
    <xf numFmtId="4" fontId="9" fillId="10" borderId="1" applyAlignment="1" pivotButton="0" quotePrefix="0" xfId="2">
      <alignment horizontal="center" shrinkToFit="1"/>
    </xf>
    <xf numFmtId="0" fontId="9" fillId="0" borderId="0" applyAlignment="1" pivotButton="0" quotePrefix="0" xfId="2">
      <alignment horizontal="center" shrinkToFit="1"/>
    </xf>
    <xf numFmtId="1" fontId="9" fillId="0" borderId="0" applyAlignment="1" pivotButton="0" quotePrefix="0" xfId="2">
      <alignment vertical="center" shrinkToFit="1"/>
    </xf>
    <xf numFmtId="1" fontId="9" fillId="0" borderId="0" applyAlignment="1" pivotButton="0" quotePrefix="0" xfId="2">
      <alignment shrinkToFit="1"/>
    </xf>
    <xf numFmtId="164" fontId="9" fillId="0" borderId="0" applyAlignment="1" pivotButton="0" quotePrefix="0" xfId="2">
      <alignment shrinkToFit="1"/>
    </xf>
    <xf numFmtId="4" fontId="9" fillId="0" borderId="0" applyAlignment="1" pivotButton="0" quotePrefix="0" xfId="2">
      <alignment shrinkToFit="1"/>
    </xf>
    <xf numFmtId="2" fontId="9" fillId="0" borderId="0" applyAlignment="1" pivotButton="0" quotePrefix="0" xfId="2">
      <alignment shrinkToFit="1"/>
    </xf>
    <xf numFmtId="0" fontId="11" fillId="0" borderId="0" applyAlignment="1" pivotButton="0" quotePrefix="0" xfId="2">
      <alignment shrinkToFit="1"/>
    </xf>
    <xf numFmtId="0" fontId="9" fillId="0" borderId="1" applyAlignment="1" pivotButton="0" quotePrefix="0" xfId="4">
      <alignment horizontal="center" shrinkToFit="1"/>
    </xf>
    <xf numFmtId="0" fontId="7" fillId="0" borderId="0" applyAlignment="1" pivotButton="0" quotePrefix="0" xfId="4">
      <alignment horizontal="center"/>
    </xf>
    <xf numFmtId="0" fontId="8" fillId="0" borderId="0" applyAlignment="1" pivotButton="0" quotePrefix="0" xfId="2">
      <alignment horizontal="center"/>
    </xf>
    <xf numFmtId="0" fontId="11" fillId="7" borderId="2" applyAlignment="1" pivotButton="0" quotePrefix="0" xfId="3">
      <alignment horizontal="center" vertical="center" shrinkToFit="1"/>
    </xf>
    <xf numFmtId="0" fontId="9" fillId="0" borderId="23" applyAlignment="1" pivotButton="0" quotePrefix="0" xfId="4">
      <alignment horizontal="center" shrinkToFit="1"/>
    </xf>
    <xf numFmtId="164" fontId="10" fillId="13" borderId="1" applyAlignment="1" pivotButton="0" quotePrefix="0" xfId="4">
      <alignment horizontal="center" vertical="center" shrinkToFit="1"/>
    </xf>
    <xf numFmtId="165" fontId="9" fillId="11" borderId="1" applyAlignment="1" pivotButton="0" quotePrefix="0" xfId="2">
      <alignment horizontal="center" shrinkToFit="1"/>
    </xf>
    <xf numFmtId="0" fontId="10" fillId="13" borderId="1" applyAlignment="1" pivotButton="0" quotePrefix="0" xfId="4">
      <alignment horizontal="center" shrinkToFit="1"/>
    </xf>
    <xf numFmtId="166" fontId="9" fillId="0" borderId="0" applyAlignment="1" pivotButton="0" quotePrefix="0" xfId="2">
      <alignment horizontal="center" shrinkToFit="1"/>
    </xf>
    <xf numFmtId="4" fontId="9" fillId="0" borderId="0" applyAlignment="1" pivotButton="0" quotePrefix="0" xfId="2">
      <alignment horizontal="center" shrinkToFit="1"/>
    </xf>
    <xf numFmtId="4" fontId="9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8" fontId="9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" fontId="9" fillId="3" borderId="7" applyAlignment="1" pivotButton="0" quotePrefix="0" xfId="2">
      <alignment horizontal="center" shrinkToFit="1"/>
    </xf>
    <xf numFmtId="1" fontId="9" fillId="3" borderId="3" applyAlignment="1" pivotButton="0" quotePrefix="0" xfId="2">
      <alignment horizontal="center" shrinkToFit="1"/>
    </xf>
    <xf numFmtId="1" fontId="22" fillId="3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0" fontId="9" fillId="0" borderId="8" applyAlignment="1" pivotButton="0" quotePrefix="0" xfId="2">
      <alignment horizontal="center" shrinkToFit="1"/>
    </xf>
    <xf numFmtId="0" fontId="9" fillId="0" borderId="4" applyAlignment="1" pivotButton="0" quotePrefix="0" xfId="2">
      <alignment horizontal="center" shrinkToFit="1"/>
    </xf>
    <xf numFmtId="0" fontId="26" fillId="0" borderId="0" applyAlignment="1" pivotButton="0" quotePrefix="0" xfId="2">
      <alignment horizontal="left" vertical="center"/>
    </xf>
    <xf numFmtId="4" fontId="9" fillId="3" borderId="1" applyAlignment="1" pivotButton="0" quotePrefix="0" xfId="3">
      <alignment horizontal="center" shrinkToFit="1"/>
    </xf>
    <xf numFmtId="0" fontId="0" fillId="11" borderId="6" applyAlignment="1" pivotButton="0" quotePrefix="0" xfId="0">
      <alignment horizontal="center"/>
    </xf>
    <xf numFmtId="4" fontId="9" fillId="3" borderId="6" applyAlignment="1" pivotButton="0" quotePrefix="0" xfId="3">
      <alignment horizontal="center" shrinkToFit="1"/>
    </xf>
    <xf numFmtId="4" fontId="9" fillId="4" borderId="6" applyAlignment="1" pivotButton="0" quotePrefix="0" xfId="2">
      <alignment horizontal="center" shrinkToFit="1"/>
    </xf>
    <xf numFmtId="4" fontId="9" fillId="10" borderId="6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0" fontId="0" fillId="11" borderId="42" applyAlignment="1" pivotButton="0" quotePrefix="0" xfId="0">
      <alignment horizontal="center"/>
    </xf>
    <xf numFmtId="4" fontId="9" fillId="3" borderId="42" applyAlignment="1" pivotButton="0" quotePrefix="0" xfId="3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0" fontId="0" fillId="11" borderId="35" applyAlignment="1" pivotButton="0" quotePrefix="0" xfId="0">
      <alignment horizontal="center"/>
    </xf>
    <xf numFmtId="4" fontId="9" fillId="3" borderId="35" applyAlignment="1" pivotButton="0" quotePrefix="0" xfId="3">
      <alignment horizontal="center" shrinkToFit="1"/>
    </xf>
    <xf numFmtId="0" fontId="0" fillId="11" borderId="23" applyAlignment="1" pivotButton="0" quotePrefix="0" xfId="0">
      <alignment horizontal="center"/>
    </xf>
    <xf numFmtId="4" fontId="9" fillId="3" borderId="23" applyAlignment="1" pivotButton="0" quotePrefix="0" xfId="3">
      <alignment horizontal="center" shrinkToFit="1"/>
    </xf>
    <xf numFmtId="164" fontId="10" fillId="12" borderId="42" applyAlignment="1" pivotButton="0" quotePrefix="0" xfId="2">
      <alignment horizontal="center" shrinkToFit="1"/>
    </xf>
    <xf numFmtId="0" fontId="9" fillId="0" borderId="0" pivotButton="0" quotePrefix="0" xfId="0"/>
    <xf numFmtId="0" fontId="7" fillId="0" borderId="17" applyAlignment="1" pivotButton="0" quotePrefix="0" xfId="4">
      <alignment vertical="center"/>
    </xf>
    <xf numFmtId="0" fontId="7" fillId="0" borderId="10" applyAlignment="1" pivotButton="0" quotePrefix="0" xfId="4">
      <alignment vertical="center"/>
    </xf>
    <xf numFmtId="0" fontId="7" fillId="0" borderId="18" applyAlignment="1" pivotButton="0" quotePrefix="0" xfId="4">
      <alignment vertical="center"/>
    </xf>
    <xf numFmtId="0" fontId="7" fillId="0" borderId="20" applyAlignment="1" pivotButton="0" quotePrefix="0" xfId="4">
      <alignment vertical="center"/>
    </xf>
    <xf numFmtId="0" fontId="7" fillId="0" borderId="0" applyAlignment="1" pivotButton="0" quotePrefix="0" xfId="4">
      <alignment vertical="center"/>
    </xf>
    <xf numFmtId="0" fontId="7" fillId="0" borderId="19" applyAlignment="1" pivotButton="0" quotePrefix="0" xfId="4">
      <alignment vertical="center"/>
    </xf>
    <xf numFmtId="0" fontId="7" fillId="0" borderId="21" applyAlignment="1" pivotButton="0" quotePrefix="0" xfId="4">
      <alignment vertical="center"/>
    </xf>
    <xf numFmtId="0" fontId="7" fillId="0" borderId="16" applyAlignment="1" pivotButton="0" quotePrefix="0" xfId="4">
      <alignment vertical="center"/>
    </xf>
    <xf numFmtId="0" fontId="7" fillId="0" borderId="22" applyAlignment="1" pivotButton="0" quotePrefix="0" xfId="4">
      <alignment vertical="center"/>
    </xf>
    <xf numFmtId="164" fontId="10" fillId="5" borderId="35" applyAlignment="1" pivotButton="0" quotePrefix="0" xfId="4">
      <alignment horizontal="center" vertical="center" textRotation="90" shrinkToFit="1"/>
    </xf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30" fillId="15" borderId="0" applyAlignment="1" pivotButton="0" quotePrefix="0" xfId="2">
      <alignment shrinkToFit="1"/>
    </xf>
    <xf numFmtId="9" fontId="30" fillId="15" borderId="0" applyAlignment="1" pivotButton="0" quotePrefix="0" xfId="19">
      <alignment shrinkToFit="1"/>
    </xf>
    <xf numFmtId="0" fontId="4" fillId="0" borderId="0" applyAlignment="1" pivotButton="0" quotePrefix="0" xfId="4">
      <alignment horizontal="center"/>
    </xf>
    <xf numFmtId="1" fontId="0" fillId="0" borderId="1" applyAlignment="1" pivotButton="0" quotePrefix="0" xfId="0">
      <alignment horizontal="center"/>
    </xf>
    <xf numFmtId="1" fontId="9" fillId="0" borderId="1" applyAlignment="1" pivotButton="0" quotePrefix="0" xfId="21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" fontId="22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0" fontId="9" fillId="0" borderId="1" applyAlignment="1" pivotButton="0" quotePrefix="0" xfId="20">
      <alignment horizontal="center" shrinkToFit="1"/>
    </xf>
    <xf numFmtId="0" fontId="0" fillId="0" borderId="1" applyAlignment="1" pivotButton="0" quotePrefix="0" xfId="0">
      <alignment horizontal="center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" fontId="9" fillId="11" borderId="42" applyAlignment="1" pivotButton="0" quotePrefix="0" xfId="4">
      <alignment horizontal="center" vertical="center" shrinkToFit="1"/>
    </xf>
    <xf numFmtId="1" fontId="9" fillId="3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4" fontId="9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0" fontId="31" fillId="17" borderId="1" pivotButton="0" quotePrefix="0" xfId="0"/>
    <xf numFmtId="0" fontId="31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1" fontId="9" fillId="0" borderId="6" applyAlignment="1" pivotButton="0" quotePrefix="0" xfId="21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" fontId="22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0" fontId="9" fillId="0" borderId="6" applyAlignment="1" pivotButton="0" quotePrefix="0" xfId="20">
      <alignment horizontal="center" vertical="center" shrinkToFit="1"/>
    </xf>
    <xf numFmtId="0" fontId="0" fillId="0" borderId="8" applyAlignment="1" pivotButton="0" quotePrefix="0" xfId="0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" applyAlignment="1" pivotButton="0" quotePrefix="0" xfId="3">
      <alignment horizontal="center"/>
    </xf>
    <xf numFmtId="0" fontId="9" fillId="0" borderId="0" pivotButton="0" quotePrefix="0" xfId="3"/>
    <xf numFmtId="170" fontId="9" fillId="0" borderId="1" applyAlignment="1" pivotButton="0" quotePrefix="0" xfId="3">
      <alignment horizontal="center"/>
    </xf>
    <xf numFmtId="0" fontId="25" fillId="12" borderId="13" applyAlignment="1" pivotButton="0" quotePrefix="0" xfId="0">
      <alignment horizontal="center" vertical="center"/>
    </xf>
    <xf numFmtId="0" fontId="7" fillId="0" borderId="1" applyAlignment="1" pivotButton="0" quotePrefix="0" xfId="4">
      <alignment horizontal="center"/>
    </xf>
    <xf numFmtId="166" fontId="7" fillId="0" borderId="1" applyAlignment="1" pivotButton="0" quotePrefix="0" xfId="4">
      <alignment horizontal="center"/>
    </xf>
    <xf numFmtId="0" fontId="0" fillId="0" borderId="0" applyAlignment="1" pivotButton="0" quotePrefix="0" xfId="0">
      <alignment horizontal="center" vertical="center"/>
    </xf>
    <xf numFmtId="4" fontId="26" fillId="10" borderId="13" applyAlignment="1" pivotButton="0" quotePrefix="0" xfId="24">
      <alignment horizontal="center" vertical="center" shrinkToFit="1"/>
    </xf>
    <xf numFmtId="4" fontId="26" fillId="10" borderId="14" applyAlignment="1" pivotButton="0" quotePrefix="0" xfId="24">
      <alignment horizontal="center" vertical="center" shrinkToFit="1"/>
    </xf>
    <xf numFmtId="0" fontId="9" fillId="0" borderId="17" applyAlignment="1" pivotButton="0" quotePrefix="0" xfId="23">
      <alignment horizontal="center" vertical="center"/>
    </xf>
    <xf numFmtId="0" fontId="9" fillId="0" borderId="18" applyAlignment="1" pivotButton="0" quotePrefix="0" xfId="23">
      <alignment horizontal="center" vertical="center"/>
    </xf>
    <xf numFmtId="0" fontId="9" fillId="0" borderId="13" applyAlignment="1" pivotButton="0" quotePrefix="0" xfId="23">
      <alignment horizontal="center" vertical="center"/>
    </xf>
    <xf numFmtId="0" fontId="9" fillId="0" borderId="14" applyAlignment="1" pivotButton="0" quotePrefix="0" xfId="23">
      <alignment horizontal="center" vertical="center"/>
    </xf>
    <xf numFmtId="0" fontId="10" fillId="10" borderId="15" applyAlignment="1" pivotButton="0" quotePrefix="0" xfId="4">
      <alignment horizontal="left" vertical="center"/>
    </xf>
    <xf numFmtId="166" fontId="21" fillId="0" borderId="15" applyAlignment="1" pivotButton="0" quotePrefix="0" xfId="4">
      <alignment horizontal="left" vertical="center"/>
    </xf>
    <xf numFmtId="0" fontId="10" fillId="10" borderId="13" applyAlignment="1" pivotButton="0" quotePrefix="0" xfId="4">
      <alignment horizontal="left" vertical="center"/>
    </xf>
    <xf numFmtId="0" fontId="10" fillId="10" borderId="9" applyAlignment="1" pivotButton="0" quotePrefix="0" xfId="4">
      <alignment horizontal="left" vertical="center"/>
    </xf>
    <xf numFmtId="0" fontId="10" fillId="10" borderId="14" applyAlignment="1" pivotButton="0" quotePrefix="0" xfId="4">
      <alignment horizontal="left" vertical="center"/>
    </xf>
    <xf numFmtId="0" fontId="21" fillId="0" borderId="28" applyAlignment="1" pivotButton="0" quotePrefix="0" xfId="4">
      <alignment horizontal="left" vertical="center"/>
    </xf>
    <xf numFmtId="0" fontId="24" fillId="0" borderId="13" applyAlignment="1" pivotButton="0" quotePrefix="0" xfId="4">
      <alignment horizontal="center" vertical="center" wrapText="1"/>
    </xf>
    <xf numFmtId="0" fontId="24" fillId="0" borderId="9" applyAlignment="1" pivotButton="0" quotePrefix="0" xfId="4">
      <alignment horizontal="center" vertical="center" wrapText="1"/>
    </xf>
    <xf numFmtId="0" fontId="24" fillId="0" borderId="14" applyAlignment="1" pivotButton="0" quotePrefix="0" xfId="4">
      <alignment horizontal="center" vertical="center" wrapText="1"/>
    </xf>
    <xf numFmtId="4" fontId="10" fillId="10" borderId="28" applyAlignment="1" pivotButton="0" quotePrefix="0" xfId="4">
      <alignment horizontal="center" vertical="center" shrinkToFit="1"/>
    </xf>
    <xf numFmtId="4" fontId="10" fillId="10" borderId="21" applyAlignment="1" pivotButton="0" quotePrefix="0" xfId="4">
      <alignment horizontal="left" vertical="center" shrinkToFit="1"/>
    </xf>
    <xf numFmtId="4" fontId="10" fillId="10" borderId="16" applyAlignment="1" pivotButton="0" quotePrefix="0" xfId="4">
      <alignment horizontal="left" vertical="center" shrinkToFit="1"/>
    </xf>
    <xf numFmtId="4" fontId="10" fillId="10" borderId="22" applyAlignment="1" pivotButton="0" quotePrefix="0" xfId="4">
      <alignment horizontal="left" vertical="center" shrinkToFit="1"/>
    </xf>
    <xf numFmtId="4" fontId="10" fillId="10" borderId="13" applyAlignment="1" pivotButton="0" quotePrefix="0" xfId="4">
      <alignment horizontal="center" vertical="center" shrinkToFit="1"/>
    </xf>
    <xf numFmtId="4" fontId="10" fillId="10" borderId="9" applyAlignment="1" pivotButton="0" quotePrefix="0" xfId="4">
      <alignment horizontal="center" vertical="center" shrinkToFit="1"/>
    </xf>
    <xf numFmtId="4" fontId="10" fillId="10" borderId="14" applyAlignment="1" pivotButton="0" quotePrefix="0" xfId="4">
      <alignment horizontal="center" vertical="center" shrinkToFit="1"/>
    </xf>
    <xf numFmtId="0" fontId="24" fillId="0" borderId="17" applyAlignment="1" pivotButton="0" quotePrefix="0" xfId="4">
      <alignment horizontal="center" vertical="center" wrapText="1"/>
    </xf>
    <xf numFmtId="0" fontId="24" fillId="0" borderId="10" applyAlignment="1" pivotButton="0" quotePrefix="0" xfId="4">
      <alignment horizontal="center" vertical="center" wrapText="1"/>
    </xf>
    <xf numFmtId="0" fontId="24" fillId="0" borderId="18" applyAlignment="1" pivotButton="0" quotePrefix="0" xfId="4">
      <alignment horizontal="center" vertical="center" wrapText="1"/>
    </xf>
    <xf numFmtId="0" fontId="16" fillId="0" borderId="13" applyAlignment="1" pivotButton="0" quotePrefix="0" xfId="4">
      <alignment horizontal="center" vertical="center" wrapText="1"/>
    </xf>
    <xf numFmtId="0" fontId="16" fillId="0" borderId="9" applyAlignment="1" pivotButton="0" quotePrefix="0" xfId="4">
      <alignment horizontal="center" vertical="center" wrapText="1"/>
    </xf>
    <xf numFmtId="0" fontId="16" fillId="0" borderId="14" applyAlignment="1" pivotButton="0" quotePrefix="0" xfId="4">
      <alignment horizontal="center" vertical="center" wrapText="1"/>
    </xf>
    <xf numFmtId="0" fontId="17" fillId="0" borderId="17" applyAlignment="1" pivotButton="0" quotePrefix="0" xfId="4">
      <alignment horizontal="center" vertical="center" wrapText="1"/>
    </xf>
    <xf numFmtId="0" fontId="17" fillId="0" borderId="10" applyAlignment="1" pivotButton="0" quotePrefix="0" xfId="4">
      <alignment horizontal="center" vertical="center" wrapText="1"/>
    </xf>
    <xf numFmtId="0" fontId="17" fillId="0" borderId="18" applyAlignment="1" pivotButton="0" quotePrefix="0" xfId="4">
      <alignment horizontal="center" vertical="center" wrapText="1"/>
    </xf>
    <xf numFmtId="0" fontId="17" fillId="0" borderId="21" applyAlignment="1" pivotButton="0" quotePrefix="0" xfId="4">
      <alignment horizontal="center" vertical="center" wrapText="1"/>
    </xf>
    <xf numFmtId="0" fontId="17" fillId="0" borderId="16" applyAlignment="1" pivotButton="0" quotePrefix="0" xfId="4">
      <alignment horizontal="center" vertical="center" wrapText="1"/>
    </xf>
    <xf numFmtId="0" fontId="17" fillId="0" borderId="22" applyAlignment="1" pivotButton="0" quotePrefix="0" xfId="4">
      <alignment horizontal="center" vertical="center" wrapText="1"/>
    </xf>
    <xf numFmtId="164" fontId="10" fillId="4" borderId="1" applyAlignment="1" pivotButton="0" quotePrefix="0" xfId="4">
      <alignment horizontal="center" vertical="center" shrinkToFit="1"/>
    </xf>
    <xf numFmtId="164" fontId="10" fillId="5" borderId="32" applyAlignment="1" pivotButton="0" quotePrefix="0" xfId="4">
      <alignment horizontal="center" vertical="center" shrinkToFit="1"/>
    </xf>
    <xf numFmtId="164" fontId="10" fillId="5" borderId="33" applyAlignment="1" pivotButton="0" quotePrefix="0" xfId="4">
      <alignment horizontal="center" vertical="center" shrinkToFit="1"/>
    </xf>
    <xf numFmtId="164" fontId="10" fillId="5" borderId="37" applyAlignment="1" pivotButton="0" quotePrefix="0" xfId="4">
      <alignment horizontal="center" vertical="center" shrinkToFit="1"/>
    </xf>
    <xf numFmtId="0" fontId="20" fillId="12" borderId="23" applyAlignment="1" pivotButton="0" quotePrefix="0" xfId="4">
      <alignment horizontal="center" shrinkToFit="1"/>
    </xf>
    <xf numFmtId="0" fontId="20" fillId="12" borderId="1" applyAlignment="1" pivotButton="0" quotePrefix="0" xfId="4">
      <alignment horizontal="center" shrinkToFit="1"/>
    </xf>
    <xf numFmtId="4" fontId="21" fillId="0" borderId="15" applyAlignment="1" pivotButton="0" quotePrefix="0" xfId="4">
      <alignment horizontal="center" vertical="center" shrinkToFit="1"/>
    </xf>
    <xf numFmtId="4" fontId="21" fillId="0" borderId="13" applyAlignment="1" pivotButton="0" quotePrefix="0" xfId="4">
      <alignment horizontal="center" vertical="center" shrinkToFit="1"/>
    </xf>
    <xf numFmtId="4" fontId="21" fillId="0" borderId="9" applyAlignment="1" pivotButton="0" quotePrefix="0" xfId="4">
      <alignment horizontal="center" vertical="center" shrinkToFit="1"/>
    </xf>
    <xf numFmtId="4" fontId="21" fillId="0" borderId="14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textRotation="1" shrinkToFit="1"/>
    </xf>
    <xf numFmtId="3" fontId="13" fillId="6" borderId="7" applyAlignment="1" pivotButton="0" quotePrefix="0" xfId="4">
      <alignment horizontal="center" vertical="center"/>
    </xf>
    <xf numFmtId="3" fontId="13" fillId="6" borderId="6" applyAlignment="1" pivotButton="0" quotePrefix="0" xfId="4">
      <alignment horizontal="center" vertical="center"/>
    </xf>
    <xf numFmtId="3" fontId="13" fillId="6" borderId="8" applyAlignment="1" pivotButton="0" quotePrefix="0" xfId="4">
      <alignment horizontal="center" vertical="center"/>
    </xf>
    <xf numFmtId="164" fontId="10" fillId="10" borderId="40" applyAlignment="1" pivotButton="0" quotePrefix="0" xfId="4">
      <alignment horizontal="center" vertical="center" textRotation="1" shrinkToFit="1"/>
    </xf>
    <xf numFmtId="164" fontId="10" fillId="10" borderId="41" applyAlignment="1" pivotButton="0" quotePrefix="0" xfId="4">
      <alignment horizontal="center" vertical="center" textRotation="1" shrinkToFit="1"/>
    </xf>
    <xf numFmtId="164" fontId="10" fillId="10" borderId="39" applyAlignment="1" pivotButton="0" quotePrefix="0" xfId="4">
      <alignment horizontal="center" vertical="center" textRotation="1" shrinkToFit="1"/>
    </xf>
    <xf numFmtId="3" fontId="13" fillId="6" borderId="3" applyAlignment="1" pivotButton="0" quotePrefix="0" xfId="4">
      <alignment horizontal="center" vertical="center"/>
    </xf>
    <xf numFmtId="3" fontId="13" fillId="6" borderId="1" applyAlignment="1" pivotButton="0" quotePrefix="0" xfId="4">
      <alignment horizontal="center" vertical="center"/>
    </xf>
    <xf numFmtId="3" fontId="13" fillId="6" borderId="4" applyAlignment="1" pivotButton="0" quotePrefix="0" xfId="4">
      <alignment horizontal="center" vertical="center"/>
    </xf>
    <xf numFmtId="0" fontId="10" fillId="0" borderId="9" applyAlignment="1" pivotButton="0" quotePrefix="0" xfId="4">
      <alignment horizontal="left" vertical="center"/>
    </xf>
    <xf numFmtId="0" fontId="10" fillId="0" borderId="14" applyAlignment="1" pivotButton="0" quotePrefix="0" xfId="4">
      <alignment horizontal="left" vertical="center"/>
    </xf>
    <xf numFmtId="1" fontId="10" fillId="9" borderId="31" applyAlignment="1" pivotButton="0" quotePrefix="0" xfId="4">
      <alignment horizontal="center" vertical="center" textRotation="90" shrinkToFit="1"/>
    </xf>
    <xf numFmtId="1" fontId="10" fillId="9" borderId="5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10" fillId="5" borderId="4" applyAlignment="1" pivotButton="0" quotePrefix="0" xfId="4">
      <alignment horizontal="center" vertical="center" textRotation="90" shrinkToFit="1"/>
    </xf>
    <xf numFmtId="164" fontId="10" fillId="5" borderId="36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30" applyAlignment="1" pivotButton="0" quotePrefix="0" xfId="4">
      <alignment horizontal="center" vertical="center" textRotation="90" wrapText="1" shrinkToFit="1"/>
    </xf>
    <xf numFmtId="164" fontId="10" fillId="5" borderId="11" applyAlignment="1" pivotButton="0" quotePrefix="0" xfId="4">
      <alignment horizontal="center" vertical="center" textRotation="90" shrinkToFit="1"/>
    </xf>
    <xf numFmtId="164" fontId="10" fillId="5" borderId="12" applyAlignment="1" pivotButton="0" quotePrefix="0" xfId="4">
      <alignment horizontal="center" vertical="center" textRotation="90" shrinkToFit="1"/>
    </xf>
    <xf numFmtId="164" fontId="10" fillId="5" borderId="38" applyAlignment="1" pivotButton="0" quotePrefix="0" xfId="4">
      <alignment horizontal="center" vertical="center" textRotation="90" shrinkToFit="1"/>
    </xf>
    <xf numFmtId="1" fontId="10" fillId="9" borderId="26" applyAlignment="1" pivotButton="0" quotePrefix="0" xfId="4">
      <alignment horizontal="center" vertical="center" textRotation="90" wrapText="1" shrinkToFit="1"/>
    </xf>
    <xf numFmtId="1" fontId="10" fillId="9" borderId="27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9" borderId="25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1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textRotation="90" shrinkToFit="1"/>
    </xf>
    <xf numFmtId="3" fontId="13" fillId="6" borderId="7" applyAlignment="1" pivotButton="0" quotePrefix="0" xfId="4">
      <alignment horizontal="center" vertical="center" wrapText="1"/>
    </xf>
    <xf numFmtId="3" fontId="13" fillId="6" borderId="6" applyAlignment="1" pivotButton="0" quotePrefix="0" xfId="4">
      <alignment horizontal="center" vertical="center" wrapText="1"/>
    </xf>
    <xf numFmtId="3" fontId="13" fillId="6" borderId="8" applyAlignment="1" pivotButton="0" quotePrefix="0" xfId="4">
      <alignment horizontal="center" vertical="center" wrapText="1"/>
    </xf>
    <xf numFmtId="3" fontId="13" fillId="6" borderId="3" applyAlignment="1" pivotButton="0" quotePrefix="0" xfId="4">
      <alignment horizontal="center" vertical="center" wrapText="1"/>
    </xf>
    <xf numFmtId="3" fontId="13" fillId="6" borderId="1" applyAlignment="1" pivotButton="0" quotePrefix="0" xfId="4">
      <alignment horizontal="center" vertical="center" wrapText="1"/>
    </xf>
    <xf numFmtId="3" fontId="13" fillId="6" borderId="4" applyAlignment="1" pivotButton="0" quotePrefix="0" xfId="4">
      <alignment horizontal="center" vertical="center" wrapText="1"/>
    </xf>
    <xf numFmtId="164" fontId="9" fillId="5" borderId="7" applyAlignment="1" pivotButton="0" quotePrefix="0" xfId="4">
      <alignment horizontal="center" wrapText="1" shrinkToFit="1"/>
    </xf>
    <xf numFmtId="164" fontId="9" fillId="5" borderId="8" applyAlignment="1" pivotButton="0" quotePrefix="0" xfId="4">
      <alignment horizontal="center" wrapText="1" shrinkToFit="1"/>
    </xf>
    <xf numFmtId="164" fontId="9" fillId="5" borderId="3" applyAlignment="1" pivotButton="0" quotePrefix="0" xfId="4">
      <alignment horizontal="center" wrapText="1" shrinkToFit="1"/>
    </xf>
    <xf numFmtId="164" fontId="9" fillId="5" borderId="4" applyAlignment="1" pivotButton="0" quotePrefix="0" xfId="4">
      <alignment horizontal="center" wrapText="1" shrinkToFit="1"/>
    </xf>
    <xf numFmtId="3" fontId="13" fillId="0" borderId="29" applyAlignment="1" pivotButton="0" quotePrefix="0" xfId="22">
      <alignment horizontal="center" vertical="center" wrapText="1"/>
    </xf>
    <xf numFmtId="3" fontId="13" fillId="0" borderId="30" applyAlignment="1" pivotButton="0" quotePrefix="0" xfId="22">
      <alignment horizontal="center" vertical="center" wrapText="1"/>
    </xf>
    <xf numFmtId="164" fontId="10" fillId="0" borderId="29" applyAlignment="1" pivotButton="0" quotePrefix="0" xfId="22">
      <alignment horizontal="center" vertical="center" shrinkToFit="1"/>
    </xf>
    <xf numFmtId="164" fontId="10" fillId="0" borderId="30" applyAlignment="1" pivotButton="0" quotePrefix="0" xfId="22">
      <alignment horizontal="center" vertical="center" shrinkToFit="1"/>
    </xf>
    <xf numFmtId="0" fontId="28" fillId="0" borderId="0" applyAlignment="1" pivotButton="0" quotePrefix="0" xfId="0">
      <alignment horizontal="center" vertical="center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30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5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7" applyAlignment="1" pivotButton="0" quotePrefix="0" xfId="22">
      <alignment horizontal="center" vertical="center" textRotation="90" shrinkToFit="1"/>
    </xf>
    <xf numFmtId="3" fontId="10" fillId="0" borderId="29" applyAlignment="1" pivotButton="0" quotePrefix="0" xfId="22">
      <alignment horizontal="center" vertical="center" wrapText="1"/>
    </xf>
    <xf numFmtId="3" fontId="10" fillId="0" borderId="30" applyAlignment="1" pivotButton="0" quotePrefix="0" xfId="22">
      <alignment horizontal="center" vertical="center"/>
    </xf>
    <xf numFmtId="165" fontId="9" fillId="11" borderId="5" applyAlignment="1" pivotButton="0" quotePrefix="0" xfId="2">
      <alignment horizontal="center" shrinkToFit="1"/>
    </xf>
    <xf numFmtId="1" fontId="9" fillId="11" borderId="5" applyAlignment="1" pivotButton="0" quotePrefix="0" xfId="4">
      <alignment horizontal="center" vertical="center" shrinkToFit="1"/>
    </xf>
    <xf numFmtId="1" fontId="9" fillId="3" borderId="5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" fontId="22" fillId="3" borderId="23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4" fontId="9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8" fontId="9" fillId="14" borderId="23" applyAlignment="1" pivotButton="0" quotePrefix="0" xfId="2">
      <alignment horizontal="center" shrinkToFit="1"/>
    </xf>
    <xf numFmtId="164" fontId="9" fillId="0" borderId="0" applyAlignment="1" pivotButton="0" quotePrefix="0" xfId="2">
      <alignment shrinkToFit="1"/>
    </xf>
    <xf numFmtId="166" fontId="9" fillId="0" borderId="0" applyAlignment="1" pivotButton="0" quotePrefix="0" xfId="2">
      <alignment horizontal="center" shrinkToFit="1"/>
    </xf>
    <xf numFmtId="0" fontId="16" fillId="0" borderId="15" applyAlignment="1" pivotButton="0" quotePrefix="0" xfId="4">
      <alignment horizontal="center" vertical="center" wrapText="1"/>
    </xf>
    <xf numFmtId="0" fontId="0" fillId="0" borderId="9" pivotButton="0" quotePrefix="0" xfId="0"/>
    <xf numFmtId="0" fontId="0" fillId="0" borderId="14" pivotButton="0" quotePrefix="0" xfId="0"/>
    <xf numFmtId="0" fontId="24" fillId="0" borderId="29" applyAlignment="1" pivotButton="0" quotePrefix="0" xfId="4">
      <alignment horizontal="center" vertical="center" wrapText="1"/>
    </xf>
    <xf numFmtId="0" fontId="0" fillId="0" borderId="10" pivotButton="0" quotePrefix="0" xfId="0"/>
    <xf numFmtId="0" fontId="0" fillId="0" borderId="18" pivotButton="0" quotePrefix="0" xfId="0"/>
    <xf numFmtId="0" fontId="17" fillId="0" borderId="15" applyAlignment="1" pivotButton="0" quotePrefix="0" xfId="4">
      <alignment horizontal="center" vertical="center" wrapText="1"/>
    </xf>
    <xf numFmtId="0" fontId="24" fillId="0" borderId="15" applyAlignment="1" pivotButton="0" quotePrefix="0" xfId="4">
      <alignment horizontal="center" vertical="center" wrapText="1"/>
    </xf>
    <xf numFmtId="166" fontId="7" fillId="0" borderId="1" applyAlignment="1" pivotButton="0" quotePrefix="0" xfId="4">
      <alignment horizontal="center"/>
    </xf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166" fontId="21" fillId="0" borderId="15" applyAlignment="1" pivotButton="0" quotePrefix="0" xfId="4">
      <alignment horizontal="left" vertical="center"/>
    </xf>
    <xf numFmtId="4" fontId="10" fillId="10" borderId="28" applyAlignment="1" pivotButton="0" quotePrefix="0" xfId="4">
      <alignment horizontal="left" vertical="center" shrinkToFit="1"/>
    </xf>
    <xf numFmtId="4" fontId="10" fillId="10" borderId="15" applyAlignment="1" pivotButton="0" quotePrefix="0" xfId="4">
      <alignment horizontal="center" vertical="center" shrinkToFit="1"/>
    </xf>
    <xf numFmtId="4" fontId="26" fillId="10" borderId="15" applyAlignment="1" pivotButton="0" quotePrefix="0" xfId="24">
      <alignment horizontal="center" vertical="center" shrinkToFit="1"/>
    </xf>
    <xf numFmtId="0" fontId="9" fillId="0" borderId="29" applyAlignment="1" pivotButton="0" quotePrefix="0" xfId="23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5" applyAlignment="1" pivotButton="0" quotePrefix="0" xfId="23">
      <alignment horizontal="center" vertical="center"/>
    </xf>
    <xf numFmtId="164" fontId="10" fillId="5" borderId="11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9" fillId="5" borderId="7" applyAlignment="1" pivotButton="0" quotePrefix="0" xfId="4">
      <alignment horizontal="center" wrapText="1" shrinkToFit="1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64" fontId="10" fillId="5" borderId="32" applyAlignment="1" pivotButton="0" quotePrefix="0" xfId="4">
      <alignment horizontal="center" vertical="center" shrinkToFit="1"/>
    </xf>
    <xf numFmtId="0" fontId="0" fillId="0" borderId="20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5" pivotButton="0" quotePrefix="0" xfId="0"/>
    <xf numFmtId="0" fontId="0" fillId="0" borderId="51" pivotButton="0" quotePrefix="0" xfId="0"/>
    <xf numFmtId="0" fontId="0" fillId="0" borderId="2" pivotButton="0" quotePrefix="0" xfId="0"/>
    <xf numFmtId="0" fontId="0" fillId="0" borderId="52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57" pivotButton="0" quotePrefix="0" xfId="0"/>
    <xf numFmtId="0" fontId="0" fillId="0" borderId="23" pivotButton="0" quotePrefix="0" xfId="0"/>
    <xf numFmtId="0" fontId="0" fillId="0" borderId="50" pivotButton="0" quotePrefix="0" xfId="0"/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5" borderId="35" applyAlignment="1" pivotButton="0" quotePrefix="0" xfId="4">
      <alignment horizontal="center" vertical="center" textRotation="90" shrinkToFit="1"/>
    </xf>
    <xf numFmtId="164" fontId="10" fillId="10" borderId="35" applyAlignment="1" pivotButton="0" quotePrefix="0" xfId="4">
      <alignment horizontal="center" vertical="center" textRotation="1" shrinkToFit="1"/>
    </xf>
    <xf numFmtId="0" fontId="0" fillId="0" borderId="41" pivotButton="0" quotePrefix="0" xfId="0"/>
    <xf numFmtId="0" fontId="0" fillId="0" borderId="39" pivotButton="0" quotePrefix="0" xfId="0"/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0" fillId="0" borderId="56" pivotButton="0" quotePrefix="0" xfId="0"/>
    <xf numFmtId="164" fontId="10" fillId="13" borderId="1" applyAlignment="1" pivotButton="0" quotePrefix="0" xfId="4">
      <alignment horizontal="center" vertical="center" shrinkToFit="1"/>
    </xf>
    <xf numFmtId="164" fontId="10" fillId="4" borderId="1" applyAlignment="1" pivotButton="0" quotePrefix="0" xfId="4">
      <alignment horizontal="center" vertical="center" shrinkToFit="1"/>
    </xf>
    <xf numFmtId="165" fontId="9" fillId="11" borderId="5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168" fontId="9" fillId="14" borderId="23" applyAlignment="1" pivotButton="0" quotePrefix="0" xfId="2">
      <alignment horizontal="center" shrinkToFit="1"/>
    </xf>
    <xf numFmtId="165" fontId="9" fillId="11" borderId="1" applyAlignment="1" pivotButton="0" quotePrefix="0" xfId="2">
      <alignment horizontal="center" shrinkToFit="1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168" fontId="9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12" borderId="42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9" applyAlignment="1" pivotButton="0" quotePrefix="0" xfId="22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170" fontId="9" fillId="0" borderId="1" applyAlignment="1" pivotButton="0" quotePrefix="0" xfId="3">
      <alignment horizontal="center"/>
    </xf>
    <xf numFmtId="1" fontId="29" fillId="3" borderId="58" applyAlignment="1" pivotButton="0" quotePrefix="0" xfId="2">
      <alignment horizontal="center" shrinkToFit="1"/>
    </xf>
    <xf numFmtId="165" fontId="29" fillId="11" borderId="23" applyAlignment="1" pivotButton="0" quotePrefix="0" xfId="2">
      <alignment horizontal="center" shrinkToFit="1"/>
    </xf>
    <xf numFmtId="1" fontId="29" fillId="11" borderId="23" applyAlignment="1" pivotButton="0" quotePrefix="0" xfId="4">
      <alignment horizontal="center" vertical="center" shrinkToFit="1"/>
    </xf>
    <xf numFmtId="1" fontId="29" fillId="3" borderId="23" applyAlignment="1" pivotButton="0" quotePrefix="0" xfId="2">
      <alignment horizontal="center" shrinkToFit="1"/>
    </xf>
    <xf numFmtId="164" fontId="10" fillId="3" borderId="23" applyAlignment="1" pivotButton="0" quotePrefix="0" xfId="2">
      <alignment horizontal="center" shrinkToFit="1"/>
    </xf>
    <xf numFmtId="166" fontId="22" fillId="3" borderId="23" applyAlignment="1" pivotButton="0" quotePrefix="0" xfId="2">
      <alignment horizontal="center" shrinkToFit="1"/>
    </xf>
    <xf numFmtId="169" fontId="22" fillId="3" borderId="23" applyAlignment="1" pivotButton="0" quotePrefix="0" xfId="2">
      <alignment horizontal="center" shrinkToFit="1"/>
    </xf>
    <xf numFmtId="168" fontId="22" fillId="3" borderId="23" applyAlignment="1" pivotButton="0" quotePrefix="0" xfId="2">
      <alignment horizontal="center" shrinkToFit="1"/>
    </xf>
    <xf numFmtId="4" fontId="29" fillId="3" borderId="23" applyAlignment="1" pivotButton="0" quotePrefix="0" xfId="3">
      <alignment horizontal="center" shrinkToFit="1"/>
    </xf>
    <xf numFmtId="4" fontId="29" fillId="3" borderId="23" applyAlignment="1" pivotButton="0" quotePrefix="0" xfId="2">
      <alignment horizontal="center" shrinkToFit="1"/>
    </xf>
    <xf numFmtId="167" fontId="29" fillId="8" borderId="23" applyAlignment="1" pivotButton="0" quotePrefix="0" xfId="2">
      <alignment horizontal="center" shrinkToFit="1"/>
    </xf>
    <xf numFmtId="4" fontId="29" fillId="4" borderId="23" applyAlignment="1" pivotButton="0" quotePrefix="0" xfId="2">
      <alignment horizontal="center" shrinkToFit="1"/>
    </xf>
    <xf numFmtId="4" fontId="29" fillId="10" borderId="23" applyAlignment="1" pivotButton="0" quotePrefix="0" xfId="2">
      <alignment horizontal="center" shrinkToFit="1"/>
    </xf>
    <xf numFmtId="166" fontId="29" fillId="2" borderId="23" applyAlignment="1" pivotButton="0" quotePrefix="0" xfId="2">
      <alignment horizontal="center" shrinkToFit="1"/>
    </xf>
    <xf numFmtId="169" fontId="15" fillId="3" borderId="23" applyAlignment="1" pivotButton="0" quotePrefix="0" xfId="2">
      <alignment horizontal="center" shrinkToFit="1"/>
    </xf>
    <xf numFmtId="168" fontId="15" fillId="3" borderId="23" applyAlignment="1" pivotButton="0" quotePrefix="0" xfId="2">
      <alignment horizontal="center" shrinkToFit="1"/>
    </xf>
    <xf numFmtId="168" fontId="8" fillId="3" borderId="23" applyAlignment="1" pivotButton="0" quotePrefix="0" xfId="2">
      <alignment horizontal="center" shrinkToFit="1"/>
    </xf>
    <xf numFmtId="168" fontId="8" fillId="8" borderId="23" applyAlignment="1" pivotButton="0" quotePrefix="0" xfId="2">
      <alignment horizontal="center" shrinkToFit="1"/>
    </xf>
    <xf numFmtId="169" fontId="14" fillId="2" borderId="23" applyAlignment="1" pivotButton="0" quotePrefix="0" xfId="2">
      <alignment horizontal="center" vertical="center" shrinkToFit="1"/>
    </xf>
    <xf numFmtId="168" fontId="29" fillId="3" borderId="23" applyAlignment="1" pivotButton="0" quotePrefix="0" xfId="2">
      <alignment horizontal="center" shrinkToFit="1"/>
    </xf>
    <xf numFmtId="0" fontId="29" fillId="0" borderId="50" applyAlignment="1" pivotButton="0" quotePrefix="0" xfId="2">
      <alignment horizontal="center" shrinkToFit="1"/>
    </xf>
    <xf numFmtId="0" fontId="29" fillId="0" borderId="0" applyAlignment="1" pivotButton="0" quotePrefix="0" xfId="4">
      <alignment horizontal="center" shrinkToFit="1"/>
    </xf>
    <xf numFmtId="0" fontId="29" fillId="0" borderId="23" applyAlignment="1" pivotButton="0" quotePrefix="0" xfId="4">
      <alignment horizontal="center" shrinkToFit="1"/>
    </xf>
    <xf numFmtId="0" fontId="29" fillId="0" borderId="0" applyAlignment="1" pivotButton="0" quotePrefix="0" xfId="2">
      <alignment horizontal="center" shrinkToFit="1"/>
    </xf>
    <xf numFmtId="165" fontId="29" fillId="11" borderId="1" applyAlignment="1" pivotButton="0" quotePrefix="0" xfId="2">
      <alignment horizontal="center" shrinkToFit="1"/>
    </xf>
    <xf numFmtId="1" fontId="29" fillId="11" borderId="1" applyAlignment="1" pivotButton="0" quotePrefix="0" xfId="4">
      <alignment horizontal="center" vertical="center" shrinkToFit="1"/>
    </xf>
    <xf numFmtId="1" fontId="29" fillId="3" borderId="1" applyAlignment="1" pivotButton="0" quotePrefix="0" xfId="2">
      <alignment horizontal="center" shrinkToFit="1"/>
    </xf>
    <xf numFmtId="168" fontId="22" fillId="3" borderId="1" applyAlignment="1" pivotButton="0" quotePrefix="0" xfId="2">
      <alignment horizontal="center" shrinkToFit="1"/>
    </xf>
    <xf numFmtId="4" fontId="29" fillId="3" borderId="1" applyAlignment="1" pivotButton="0" quotePrefix="0" xfId="3">
      <alignment horizontal="center" shrinkToFit="1"/>
    </xf>
    <xf numFmtId="4" fontId="29" fillId="3" borderId="1" applyAlignment="1" pivotButton="0" quotePrefix="0" xfId="2">
      <alignment horizontal="center" shrinkToFit="1"/>
    </xf>
    <xf numFmtId="167" fontId="29" fillId="8" borderId="1" applyAlignment="1" pivotButton="0" quotePrefix="0" xfId="2">
      <alignment horizontal="center" shrinkToFit="1"/>
    </xf>
    <xf numFmtId="4" fontId="29" fillId="4" borderId="1" applyAlignment="1" pivotButton="0" quotePrefix="0" xfId="2">
      <alignment horizontal="center" shrinkToFit="1"/>
    </xf>
    <xf numFmtId="4" fontId="29" fillId="10" borderId="1" applyAlignment="1" pivotButton="0" quotePrefix="0" xfId="2">
      <alignment horizontal="center" shrinkToFit="1"/>
    </xf>
    <xf numFmtId="166" fontId="29" fillId="2" borderId="1" applyAlignment="1" pivotButton="0" quotePrefix="0" xfId="2">
      <alignment horizontal="center" shrinkToFit="1"/>
    </xf>
    <xf numFmtId="168" fontId="15" fillId="3" borderId="1" applyAlignment="1" pivotButton="0" quotePrefix="0" xfId="2">
      <alignment horizontal="center" shrinkToFit="1"/>
    </xf>
    <xf numFmtId="168" fontId="8" fillId="3" borderId="1" applyAlignment="1" pivotButton="0" quotePrefix="0" xfId="2">
      <alignment horizontal="center" shrinkToFit="1"/>
    </xf>
    <xf numFmtId="168" fontId="8" fillId="8" borderId="1" applyAlignment="1" pivotButton="0" quotePrefix="0" xfId="2">
      <alignment horizontal="center" shrinkToFit="1"/>
    </xf>
    <xf numFmtId="168" fontId="29" fillId="3" borderId="1" applyAlignment="1" pivotButton="0" quotePrefix="0" xfId="2">
      <alignment horizontal="center" shrinkToFit="1"/>
    </xf>
    <xf numFmtId="0" fontId="29" fillId="0" borderId="4" applyAlignment="1" pivotButton="0" quotePrefix="0" xfId="2">
      <alignment horizontal="center" shrinkToFit="1"/>
    </xf>
    <xf numFmtId="0" fontId="29" fillId="0" borderId="1" applyAlignment="1" pivotButton="0" quotePrefix="0" xfId="4">
      <alignment horizontal="center" shrinkToFit="1"/>
    </xf>
    <xf numFmtId="1" fontId="29" fillId="3" borderId="59" applyAlignment="1" pivotButton="0" quotePrefix="0" xfId="2">
      <alignment horizontal="center" shrinkToFit="1"/>
    </xf>
    <xf numFmtId="165" fontId="29" fillId="11" borderId="42" applyAlignment="1" pivotButton="0" quotePrefix="0" xfId="2">
      <alignment horizontal="center" shrinkToFit="1"/>
    </xf>
    <xf numFmtId="1" fontId="29" fillId="11" borderId="42" applyAlignment="1" pivotButton="0" quotePrefix="0" xfId="4">
      <alignment horizontal="center" vertical="center" shrinkToFit="1"/>
    </xf>
    <xf numFmtId="1" fontId="29" fillId="3" borderId="42" applyAlignment="1" pivotButton="0" quotePrefix="0" xfId="2">
      <alignment horizontal="center" shrinkToFit="1"/>
    </xf>
    <xf numFmtId="164" fontId="10" fillId="3" borderId="43" applyAlignment="1" pivotButton="0" quotePrefix="0" xfId="2">
      <alignment horizontal="center" shrinkToFit="1"/>
    </xf>
    <xf numFmtId="168" fontId="22" fillId="3" borderId="42" applyAlignment="1" pivotButton="0" quotePrefix="0" xfId="2">
      <alignment horizontal="center" shrinkToFit="1"/>
    </xf>
    <xf numFmtId="4" fontId="29" fillId="3" borderId="42" applyAlignment="1" pivotButton="0" quotePrefix="0" xfId="3">
      <alignment horizontal="center" shrinkToFit="1"/>
    </xf>
    <xf numFmtId="4" fontId="29" fillId="3" borderId="42" applyAlignment="1" pivotButton="0" quotePrefix="0" xfId="2">
      <alignment horizontal="center" shrinkToFit="1"/>
    </xf>
    <xf numFmtId="167" fontId="29" fillId="8" borderId="42" applyAlignment="1" pivotButton="0" quotePrefix="0" xfId="2">
      <alignment horizontal="center" shrinkToFit="1"/>
    </xf>
    <xf numFmtId="4" fontId="29" fillId="4" borderId="42" applyAlignment="1" pivotButton="0" quotePrefix="0" xfId="2">
      <alignment horizontal="center" shrinkToFit="1"/>
    </xf>
    <xf numFmtId="4" fontId="29" fillId="10" borderId="42" applyAlignment="1" pivotButton="0" quotePrefix="0" xfId="2">
      <alignment horizontal="center" shrinkToFit="1"/>
    </xf>
    <xf numFmtId="166" fontId="29" fillId="2" borderId="42" applyAlignment="1" pivotButton="0" quotePrefix="0" xfId="2">
      <alignment horizontal="center" shrinkToFit="1"/>
    </xf>
    <xf numFmtId="168" fontId="15" fillId="3" borderId="42" applyAlignment="1" pivotButton="0" quotePrefix="0" xfId="2">
      <alignment horizontal="center" shrinkToFit="1"/>
    </xf>
    <xf numFmtId="168" fontId="8" fillId="3" borderId="42" applyAlignment="1" pivotButton="0" quotePrefix="0" xfId="2">
      <alignment horizontal="center" shrinkToFit="1"/>
    </xf>
    <xf numFmtId="168" fontId="8" fillId="8" borderId="42" applyAlignment="1" pivotButton="0" quotePrefix="0" xfId="2">
      <alignment horizontal="center" shrinkToFit="1"/>
    </xf>
    <xf numFmtId="169" fontId="14" fillId="2" borderId="42" applyAlignment="1" pivotButton="0" quotePrefix="0" xfId="2">
      <alignment horizontal="center" vertical="center" shrinkToFit="1"/>
    </xf>
    <xf numFmtId="168" fontId="29" fillId="3" borderId="42" applyAlignment="1" pivotButton="0" quotePrefix="0" xfId="2">
      <alignment horizontal="center" shrinkToFit="1"/>
    </xf>
    <xf numFmtId="0" fontId="29" fillId="0" borderId="60" applyAlignment="1" pivotButton="0" quotePrefix="0" xfId="2">
      <alignment horizontal="center" shrinkToFit="1"/>
    </xf>
    <xf numFmtId="0" fontId="29" fillId="0" borderId="16" applyAlignment="1" pivotButton="0" quotePrefix="0" xfId="4">
      <alignment horizontal="center" shrinkToFit="1"/>
    </xf>
    <xf numFmtId="0" fontId="29" fillId="0" borderId="42" applyAlignment="1" pivotButton="0" quotePrefix="0" xfId="4">
      <alignment horizontal="center" shrinkToFit="1"/>
    </xf>
    <xf numFmtId="0" fontId="11" fillId="7" borderId="61" applyAlignment="1" pivotButton="0" quotePrefix="0" xfId="3">
      <alignment horizontal="center" vertical="center" shrinkToFit="1"/>
    </xf>
    <xf numFmtId="0" fontId="19" fillId="7" borderId="61" applyAlignment="1" pivotButton="0" quotePrefix="0" xfId="3">
      <alignment horizontal="center" vertical="center" shrinkToFit="1"/>
    </xf>
    <xf numFmtId="0" fontId="29" fillId="0" borderId="16" applyAlignment="1" pivotButton="0" quotePrefix="0" xfId="2">
      <alignment horizontal="center" shrinkToFit="1"/>
    </xf>
    <xf numFmtId="1" fontId="29" fillId="3" borderId="25" applyAlignment="1" pivotButton="0" quotePrefix="0" xfId="2">
      <alignment horizontal="center" shrinkToFit="1"/>
    </xf>
    <xf numFmtId="165" fontId="29" fillId="11" borderId="35" applyAlignment="1" pivotButton="0" quotePrefix="0" xfId="2">
      <alignment horizontal="center" shrinkToFit="1"/>
    </xf>
    <xf numFmtId="1" fontId="29" fillId="11" borderId="35" applyAlignment="1" pivotButton="0" quotePrefix="0" xfId="4">
      <alignment horizontal="center" vertical="center" shrinkToFit="1"/>
    </xf>
    <xf numFmtId="1" fontId="29" fillId="3" borderId="35" applyAlignment="1" pivotButton="0" quotePrefix="0" xfId="2">
      <alignment horizontal="center" shrinkToFit="1"/>
    </xf>
    <xf numFmtId="166" fontId="22" fillId="3" borderId="35" applyAlignment="1" pivotButton="0" quotePrefix="0" xfId="2">
      <alignment horizontal="center" shrinkToFit="1"/>
    </xf>
    <xf numFmtId="1" fontId="22" fillId="3" borderId="35" applyAlignment="1" pivotButton="0" quotePrefix="0" xfId="2">
      <alignment horizontal="center" shrinkToFit="1"/>
    </xf>
    <xf numFmtId="169" fontId="22" fillId="3" borderId="35" applyAlignment="1" pivotButton="0" quotePrefix="0" xfId="2">
      <alignment horizontal="center" shrinkToFit="1"/>
    </xf>
    <xf numFmtId="168" fontId="22" fillId="3" borderId="35" applyAlignment="1" pivotButton="0" quotePrefix="0" xfId="2">
      <alignment horizontal="center" shrinkToFit="1"/>
    </xf>
    <xf numFmtId="4" fontId="29" fillId="3" borderId="35" applyAlignment="1" pivotButton="0" quotePrefix="0" xfId="3">
      <alignment horizontal="center" shrinkToFit="1"/>
    </xf>
    <xf numFmtId="4" fontId="29" fillId="3" borderId="35" applyAlignment="1" pivotButton="0" quotePrefix="0" xfId="2">
      <alignment horizontal="center" shrinkToFit="1"/>
    </xf>
    <xf numFmtId="167" fontId="29" fillId="8" borderId="35" applyAlignment="1" pivotButton="0" quotePrefix="0" xfId="2">
      <alignment horizontal="center" shrinkToFit="1"/>
    </xf>
    <xf numFmtId="4" fontId="29" fillId="4" borderId="35" applyAlignment="1" pivotButton="0" quotePrefix="0" xfId="2">
      <alignment horizontal="center" shrinkToFit="1"/>
    </xf>
    <xf numFmtId="4" fontId="29" fillId="10" borderId="35" applyAlignment="1" pivotButton="0" quotePrefix="0" xfId="2">
      <alignment horizontal="center" shrinkToFit="1"/>
    </xf>
    <xf numFmtId="166" fontId="29" fillId="2" borderId="35" applyAlignment="1" pivotButton="0" quotePrefix="0" xfId="2">
      <alignment horizontal="center" shrinkToFit="1"/>
    </xf>
    <xf numFmtId="169" fontId="15" fillId="3" borderId="35" applyAlignment="1" pivotButton="0" quotePrefix="0" xfId="2">
      <alignment horizontal="center" shrinkToFit="1"/>
    </xf>
    <xf numFmtId="168" fontId="15" fillId="3" borderId="35" applyAlignment="1" pivotButton="0" quotePrefix="0" xfId="2">
      <alignment horizontal="center" shrinkToFit="1"/>
    </xf>
    <xf numFmtId="168" fontId="8" fillId="3" borderId="35" applyAlignment="1" pivotButton="0" quotePrefix="0" xfId="2">
      <alignment horizontal="center" shrinkToFit="1"/>
    </xf>
    <xf numFmtId="168" fontId="8" fillId="8" borderId="35" applyAlignment="1" pivotButton="0" quotePrefix="0" xfId="2">
      <alignment horizontal="center" shrinkToFit="1"/>
    </xf>
    <xf numFmtId="169" fontId="14" fillId="2" borderId="35" applyAlignment="1" pivotButton="0" quotePrefix="0" xfId="2">
      <alignment horizontal="center" vertical="center" shrinkToFit="1"/>
    </xf>
    <xf numFmtId="168" fontId="29" fillId="3" borderId="35" applyAlignment="1" pivotButton="0" quotePrefix="0" xfId="2">
      <alignment horizontal="center" shrinkToFit="1"/>
    </xf>
    <xf numFmtId="0" fontId="29" fillId="0" borderId="36" applyAlignment="1" pivotButton="0" quotePrefix="0" xfId="2">
      <alignment horizontal="center" shrinkToFit="1"/>
    </xf>
    <xf numFmtId="0" fontId="29" fillId="0" borderId="35" applyAlignment="1" pivotButton="0" quotePrefix="0" xfId="4">
      <alignment horizontal="center" shrinkToFit="1"/>
    </xf>
    <xf numFmtId="0" fontId="11" fillId="7" borderId="48" applyAlignment="1" pivotButton="0" quotePrefix="0" xfId="3">
      <alignment horizontal="center" vertical="center" shrinkToFit="1"/>
    </xf>
    <xf numFmtId="0" fontId="19" fillId="7" borderId="48" applyAlignment="1" pivotButton="0" quotePrefix="0" xfId="3">
      <alignment horizontal="center" vertical="center" shrinkToFit="1"/>
    </xf>
    <xf numFmtId="0" fontId="29" fillId="0" borderId="52" applyAlignment="1" pivotButton="0" quotePrefix="0" xfId="4">
      <alignment horizontal="center" shrinkToFit="1"/>
    </xf>
    <xf numFmtId="0" fontId="11" fillId="7" borderId="45" applyAlignment="1" pivotButton="0" quotePrefix="0" xfId="3">
      <alignment horizontal="center" vertical="center" shrinkToFit="1"/>
    </xf>
    <xf numFmtId="0" fontId="19" fillId="7" borderId="45" applyAlignment="1" pivotButton="0" quotePrefix="0" xfId="3">
      <alignment horizontal="center" vertical="center" shrinkToFit="1"/>
    </xf>
    <xf numFmtId="0" fontId="29" fillId="0" borderId="52" applyAlignment="1" pivotButton="0" quotePrefix="0" xfId="2">
      <alignment horizontal="center" shrinkToFit="1"/>
    </xf>
    <xf numFmtId="164" fontId="10" fillId="12" borderId="23" applyAlignment="1" pivotButton="0" quotePrefix="0" xfId="2">
      <alignment horizontal="center" shrinkToFit="1"/>
    </xf>
    <xf numFmtId="1" fontId="29" fillId="3" borderId="3" applyAlignment="1" pivotButton="0" quotePrefix="0" xfId="2">
      <alignment horizontal="center" shrinkToFit="1"/>
    </xf>
    <xf numFmtId="164" fontId="10" fillId="3" borderId="1" applyAlignment="1" pivotButton="0" quotePrefix="0" xfId="2">
      <alignment horizontal="center" shrinkToFit="1"/>
    </xf>
    <xf numFmtId="1" fontId="29" fillId="3" borderId="62" applyAlignment="1" pivotButton="0" quotePrefix="0" xfId="2">
      <alignment horizontal="center" shrinkToFit="1"/>
    </xf>
    <xf numFmtId="164" fontId="10" fillId="3" borderId="42" applyAlignment="1" pivotButton="0" quotePrefix="0" xfId="2">
      <alignment horizontal="center" shrinkToFit="1"/>
    </xf>
    <xf numFmtId="0" fontId="29" fillId="0" borderId="63" applyAlignment="1" pivotButton="0" quotePrefix="0" xfId="4">
      <alignment horizontal="center" shrinkToFit="1"/>
    </xf>
    <xf numFmtId="0" fontId="11" fillId="7" borderId="47" applyAlignment="1" pivotButton="0" quotePrefix="0" xfId="3">
      <alignment horizontal="center" vertical="center" shrinkToFit="1"/>
    </xf>
    <xf numFmtId="0" fontId="19" fillId="7" borderId="47" applyAlignment="1" pivotButton="0" quotePrefix="0" xfId="3">
      <alignment horizontal="center" vertical="center" shrinkToFit="1"/>
    </xf>
    <xf numFmtId="0" fontId="29" fillId="0" borderId="63" applyAlignment="1" pivotButton="0" quotePrefix="0" xfId="2">
      <alignment horizontal="center" shrinkToFit="1"/>
    </xf>
    <xf numFmtId="0" fontId="29" fillId="0" borderId="57" applyAlignment="1" pivotButton="0" quotePrefix="0" xfId="4">
      <alignment horizontal="center" shrinkToFit="1"/>
    </xf>
    <xf numFmtId="0" fontId="29" fillId="0" borderId="57" applyAlignment="1" pivotButton="0" quotePrefix="0" xfId="2">
      <alignment horizontal="center" shrinkToFit="1"/>
    </xf>
    <xf numFmtId="164" fontId="10" fillId="3" borderId="35" applyAlignment="1" pivotButton="0" quotePrefix="0" xfId="2">
      <alignment horizontal="center" shrinkToFit="1"/>
    </xf>
    <xf numFmtId="165" fontId="29" fillId="11" borderId="5" applyAlignment="1" pivotButton="0" quotePrefix="0" xfId="2">
      <alignment horizontal="center" shrinkToFit="1"/>
    </xf>
    <xf numFmtId="1" fontId="29" fillId="11" borderId="5" applyAlignment="1" pivotButton="0" quotePrefix="0" xfId="4">
      <alignment horizontal="center" vertical="center" shrinkToFit="1"/>
    </xf>
    <xf numFmtId="1" fontId="29" fillId="3" borderId="5" applyAlignment="1" pivotButton="0" quotePrefix="0" xfId="2">
      <alignment horizontal="center" shrinkToFit="1"/>
    </xf>
    <xf numFmtId="4" fontId="29" fillId="14" borderId="23" applyAlignment="1" pivotButton="0" quotePrefix="0" xfId="2">
      <alignment horizontal="center" shrinkToFit="1"/>
    </xf>
    <xf numFmtId="167" fontId="29" fillId="14" borderId="23" applyAlignment="1" pivotButton="0" quotePrefix="0" xfId="2">
      <alignment horizontal="center" shrinkToFit="1"/>
    </xf>
    <xf numFmtId="168" fontId="29" fillId="14" borderId="23" applyAlignment="1" pivotButton="0" quotePrefix="0" xfId="2">
      <alignment horizontal="center" shrinkToFit="1"/>
    </xf>
    <xf numFmtId="164" fontId="10" fillId="3" borderId="5" applyAlignment="1" pivotButton="0" quotePrefix="0" xfId="2">
      <alignment horizontal="center" shrinkToFit="1"/>
    </xf>
    <xf numFmtId="1" fontId="29" fillId="3" borderId="7" applyAlignment="1" pivotButton="0" quotePrefix="0" xfId="2">
      <alignment horizontal="center" shrinkToFit="1"/>
    </xf>
    <xf numFmtId="165" fontId="29" fillId="11" borderId="6" applyAlignment="1" pivotButton="0" quotePrefix="0" xfId="2">
      <alignment horizontal="center" shrinkToFit="1"/>
    </xf>
    <xf numFmtId="1" fontId="29" fillId="11" borderId="6" applyAlignment="1" pivotButton="0" quotePrefix="0" xfId="4">
      <alignment horizontal="center" vertical="center" shrinkToFit="1"/>
    </xf>
    <xf numFmtId="164" fontId="10" fillId="3" borderId="6" applyAlignment="1" pivotButton="0" quotePrefix="0" xfId="2">
      <alignment horizontal="center" shrinkToFit="1"/>
    </xf>
    <xf numFmtId="166" fontId="22" fillId="3" borderId="6" applyAlignment="1" pivotButton="0" quotePrefix="0" xfId="2">
      <alignment horizontal="center" shrinkToFit="1"/>
    </xf>
    <xf numFmtId="1" fontId="22" fillId="3" borderId="6" applyAlignment="1" pivotButton="0" quotePrefix="0" xfId="2">
      <alignment horizontal="center" shrinkToFit="1"/>
    </xf>
    <xf numFmtId="169" fontId="22" fillId="14" borderId="6" applyAlignment="1" pivotButton="0" quotePrefix="0" xfId="2">
      <alignment horizontal="center" shrinkToFit="1"/>
    </xf>
    <xf numFmtId="168" fontId="22" fillId="14" borderId="6" applyAlignment="1" pivotButton="0" quotePrefix="0" xfId="2">
      <alignment horizontal="center" shrinkToFit="1"/>
    </xf>
    <xf numFmtId="4" fontId="29" fillId="3" borderId="6" applyAlignment="1" pivotButton="0" quotePrefix="0" xfId="3">
      <alignment horizontal="center" shrinkToFit="1"/>
    </xf>
    <xf numFmtId="4" fontId="29" fillId="14" borderId="6" applyAlignment="1" pivotButton="0" quotePrefix="0" xfId="2">
      <alignment horizontal="center" shrinkToFit="1"/>
    </xf>
    <xf numFmtId="167" fontId="29" fillId="14" borderId="31" applyAlignment="1" pivotButton="0" quotePrefix="0" xfId="2">
      <alignment horizontal="center" shrinkToFit="1"/>
    </xf>
    <xf numFmtId="4" fontId="29" fillId="4" borderId="6" applyAlignment="1" pivotButton="0" quotePrefix="0" xfId="2">
      <alignment horizontal="center" shrinkToFit="1"/>
    </xf>
    <xf numFmtId="4" fontId="29" fillId="10" borderId="6" applyAlignment="1" pivotButton="0" quotePrefix="0" xfId="2">
      <alignment horizontal="center" shrinkToFit="1"/>
    </xf>
    <xf numFmtId="166" fontId="29" fillId="2" borderId="6" applyAlignment="1" pivotButton="0" quotePrefix="0" xfId="2">
      <alignment horizontal="center" shrinkToFit="1"/>
    </xf>
    <xf numFmtId="169" fontId="15" fillId="14" borderId="6" applyAlignment="1" pivotButton="0" quotePrefix="0" xfId="2">
      <alignment horizontal="center" shrinkToFit="1"/>
    </xf>
    <xf numFmtId="168" fontId="15" fillId="3" borderId="6" applyAlignment="1" pivotButton="0" quotePrefix="0" xfId="2">
      <alignment horizontal="center" shrinkToFit="1"/>
    </xf>
    <xf numFmtId="168" fontId="8" fillId="14" borderId="6" applyAlignment="1" pivotButton="0" quotePrefix="0" xfId="2">
      <alignment horizontal="center" shrinkToFit="1"/>
    </xf>
    <xf numFmtId="168" fontId="29" fillId="14" borderId="6" applyAlignment="1" pivotButton="0" quotePrefix="0" xfId="2">
      <alignment horizontal="center" shrinkToFit="1"/>
    </xf>
    <xf numFmtId="167" fontId="29" fillId="14" borderId="6" applyAlignment="1" pivotButton="0" quotePrefix="0" xfId="2">
      <alignment horizontal="center" shrinkToFit="1"/>
    </xf>
    <xf numFmtId="0" fontId="29" fillId="0" borderId="8" applyAlignment="1" pivotButton="0" quotePrefix="0" xfId="2">
      <alignment horizontal="center" shrinkToFit="1"/>
    </xf>
    <xf numFmtId="1" fontId="29" fillId="3" borderId="6" applyAlignment="1" pivotButton="0" quotePrefix="0" xfId="2">
      <alignment horizontal="center" shrinkToFit="1"/>
    </xf>
    <xf numFmtId="167" fontId="29" fillId="14" borderId="5" applyAlignment="1" pivotButton="0" quotePrefix="0" xfId="2">
      <alignment horizontal="center" shrinkToFit="1"/>
    </xf>
  </cellXfs>
  <cellStyles count="40">
    <cellStyle name="Normal" xfId="0" builtinId="0"/>
    <cellStyle name="Normal 2" xfId="1"/>
    <cellStyle name="Normal 3" xfId="2"/>
    <cellStyle name="Normal 2 2" xfId="3"/>
    <cellStyle name="Normal 3 2" xfId="4"/>
    <cellStyle name="Normal 3 6" xfId="5"/>
    <cellStyle name="Normal 4" xfId="6"/>
    <cellStyle name="Normal 3 2 5" xfId="7"/>
    <cellStyle name="Millares 4" xfId="8"/>
    <cellStyle name="Normal 3 3" xfId="9"/>
    <cellStyle name="Normal 3 2 2" xfId="10"/>
    <cellStyle name="Millares 2" xfId="11"/>
    <cellStyle name="Normal 3 4" xfId="12"/>
    <cellStyle name="Normal 3 2 3" xfId="13"/>
    <cellStyle name="Millares 3" xfId="14"/>
    <cellStyle name="Normal 5" xfId="15"/>
    <cellStyle name="Normal 3 5" xfId="16"/>
    <cellStyle name="Normal 3 2 4" xfId="17"/>
    <cellStyle name="Normal 3 2 2 2" xfId="18"/>
    <cellStyle name="Porcentaje" xfId="19" builtinId="5"/>
    <cellStyle name="Normal 3 7" xfId="20"/>
    <cellStyle name="Normal 3 2 6" xfId="21"/>
    <cellStyle name="Normal 3 2 2 2 2" xfId="22"/>
    <cellStyle name="Normal 3 8" xfId="23"/>
    <cellStyle name="Normal 3 2 7" xfId="24"/>
    <cellStyle name="Normal 3 6 2" xfId="25"/>
    <cellStyle name="Normal 4 2" xfId="26"/>
    <cellStyle name="Normal 3 2 5 2" xfId="27"/>
    <cellStyle name="Normal 3 3 2" xfId="28"/>
    <cellStyle name="Normal 3 2 2 3" xfId="29"/>
    <cellStyle name="Normal 3 4 2" xfId="30"/>
    <cellStyle name="Normal 3 2 3 2" xfId="31"/>
    <cellStyle name="Normal 5 2" xfId="32"/>
    <cellStyle name="Normal 3 5 2" xfId="33"/>
    <cellStyle name="Normal 3 2 4 2" xfId="34"/>
    <cellStyle name="Normal 3 2 2 2 3" xfId="35"/>
    <cellStyle name="Porcentaje 2" xfId="36"/>
    <cellStyle name="Normal 3 7 2" xfId="37"/>
    <cellStyle name="Normal 3 2 6 2" xfId="38"/>
    <cellStyle name="Normal 3 2 2 2 2 2" xfId="39"/>
  </cellStyles>
  <dxfs count="27"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ndense val="0"/>
        <color indexed="10"/>
        <extend val="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</font>
    </dxf>
    <dxf>
      <font>
        <b val="1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
  <Relationship Id="rId2" Type="http://schemas.openxmlformats.org/officeDocument/2006/relationships/drawing" Target="../drawings/drawing1.xml"/>
</Relationships>

</file>

<file path=xl/worksheets/sheet1.xml><?xml version='1.0' encoding='utf-8'?>
<worksheet xmlns="http://schemas.openxmlformats.org/spreadsheetml/2006/main" xmlns:ns1="http://www.w3.org/2000/xmlns/" xmlns:r="http://schemas.openxmlformats.org/officeDocument/2006/relationships" ns1:r="http://schemas.openxmlformats.org/officeDocument/2006/relationships"><sheetPr codeName="Hoja1"><outlinePr summaryBelow="1" summaryRight="1" /><pageSetUpPr /></sheetPr><dimension ref="A1:BL731" /><sheetViews><sheetView tabSelected="1" zoomScale="65" zoomScaleNormal="65" workbookViewId="0"><selection activeCell="AK9" sqref="AK9" /></sheetView></sheetViews><sheetFormatPr baseColWidth="10" defaultColWidth="7.140625" defaultRowHeight="12.75" /><cols><col width="3.5703125" customWidth="1" style="15" min="1" max="1" /><col width="10.85546875" customWidth="1" style="3" min="2" max="2" /><col width="11" customWidth="1" style="16" min="3" max="3" /><col width="4.28515625" customWidth="1" style="17" min="4" max="4" /><col width="3.85546875" customWidth="1" style="3" min="5" max="5" /><col width="12.7109375" customWidth="1" style="241" min="6" max="6" /><col width="15.28515625" customWidth="1" style="241" min="7" max="7" /><col width="4.5703125" customWidth="1" style="241" min="8" max="8" /><col width="4.7109375" customWidth="1" style="241" min="9" max="9" /><col width="4.5703125" customWidth="1" style="242" min="10" max="10" /><col width="3.7109375" customWidth="1" style="31" min="11" max="11" /><col width="3.28515625" customWidth="1" style="31" min="12" max="12" /><col width="9.85546875" customWidth="1" style="19" min="13" max="13" /><col width="9.5703125" customWidth="1" style="19" min="14" max="14" /><col width="6.28515625" customWidth="1" style="19" min="15" max="15" /><col width="8.28515625" customWidth="1" style="19" min="16" max="16" /><col width="4" customWidth="1" style="19" min="17" max="17" /><col width="5.7109375" customWidth="1" style="19" min="18" max="18" /><col width="6.42578125" customWidth="1" style="20" min="19" max="19" /><col width="8.85546875" customWidth="1" style="20" min="20" max="20" /><col width="6.5703125" customWidth="1" style="20" min="21" max="21" /><col width="5.42578125" customWidth="1" style="19" min="22" max="22" /><col width="3.5703125" customWidth="1" style="19" min="23" max="23" /><col width="4" customWidth="1" style="19" min="24" max="24" /><col width="9.7109375" customWidth="1" style="19" min="25" max="25" /><col width="9.42578125" customWidth="1" style="19" min="26" max="26" /><col width="7.7109375" customWidth="1" style="19" min="27" max="27" /><col width="9.42578125" customWidth="1" style="19" min="28" max="28" /><col width="4.28515625" customWidth="1" style="19" min="29" max="29" /><col width="7" customWidth="1" style="19" min="30" max="30" /><col width="4.42578125" customWidth="1" style="19" min="31" max="31" /><col width="6.140625" customWidth="1" style="19" min="32" max="32" /><col width="6" customWidth="1" style="19" min="33" max="33" /><col width="5.140625" customWidth="1" style="19" min="34" max="34" /><col width="4.42578125" customWidth="1" style="19" min="35" max="36" /><col width="9.85546875" customWidth="1" style="19" min="37" max="37" /><col width="9.140625" customWidth="1" style="19" min="38" max="38" /><col width="6.7109375" customWidth="1" style="19" min="39" max="39" /><col width="8.42578125" customWidth="1" style="19" min="40" max="40" /><col width="5.7109375" customWidth="1" style="19" min="41" max="41" /><col width="8.85546875" customWidth="1" style="21" min="42" max="42" /><col width="4.5703125" customWidth="1" style="9" min="43" max="43" /><col width="6.140625" customWidth="1" style="7" min="44" max="44" /><col width="6.7109375" customWidth="1" style="3" min="45" max="45" /><col width="15.140625" customWidth="1" style="3" min="46" max="46" /><col width="11.85546875" customWidth="1" style="3" min="47" max="49" /><col width="15.42578125" customWidth="1" style="3" min="50" max="50" /><col width="15" customWidth="1" style="15" min="51" max="51" /><col width="16" customWidth="1" style="15" min="52" max="53" /><col width="15" bestFit="1" customWidth="1" style="15" min="54" max="54" /><col width="15.140625" customWidth="1" style="15" min="55" max="55" /><col width="4.42578125" customWidth="1" style="15" min="56" max="56" /><col width="5.5703125" customWidth="1" style="15" min="57" max="57" /><col width="4.28515625" customWidth="1" style="15" min="58" max="58" /><col width="18.28515625" customWidth="1" style="15" min="59" max="59" /><col width="7.140625" customWidth="1" style="15" min="60" max="60" /><col width="6.85546875" customWidth="1" style="15" min="61" max="61" /><col width="9" customWidth="1" style="15" min="62" max="62" /><col width="11" customWidth="1" style="15" min="63" max="63" /><col width="13.140625" customWidth="1" style="15" min="64" max="64" /><col width="7.140625" customWidth="1" style="3" min="65" max="16384" /></cols><sheetData><row r="1" ht="26.25" customFormat="1" customHeight="1" s="1" thickBot="1"><c r="A1" s="62" t="n" /><c r="B1" s="63" t="n" /><c r="C1" s="63" t="n" /><c r="D1" s="64" t="n" /><c r="E1" s="243" t="inlineStr"><is><t>FORMATO</t></is></c><c r="F1" s="244" t="n" /><c r="G1" s="244" t="n" /><c r="H1" s="244" t="n" /><c r="I1" s="244" t="n" /><c r="J1" s="244" t="n" /><c r="K1" s="244" t="n" /><c r="L1" s="244" t="n" /><c r="M1" s="244" t="n" /><c r="N1" s="244" t="n" /><c r="O1" s="244" t="n" /><c r="P1" s="244" t="n" /><c r="Q1" s="244" t="n" /><c r="R1" s="244" t="n" /><c r="S1" s="244" t="n" /><c r="T1" s="244" t="n" /><c r="U1" s="244" t="n" /><c r="V1" s="244" t="n" /><c r="W1" s="244" t="n" /><c r="X1" s="244" t="n" /><c r="Y1" s="244" t="n" /><c r="Z1" s="244" t="n" /><c r="AA1" s="244" t="n" /><c r="AB1" s="244" t="n" /><c r="AC1" s="244" t="n" /><c r="AD1" s="244" t="n" /><c r="AE1" s="244" t="n" /><c r="AF1" s="244" t="n" /><c r="AG1" s="244" t="n" /><c r="AH1" s="244" t="n" /><c r="AI1" s="244" t="n" /><c r="AJ1" s="244" t="n" /><c r="AK1" s="244" t="n" /><c r="AL1" s="244" t="n" /><c r="AM1" s="244" t="n" /><c r="AN1" s="244" t="n" /><c r="AO1" s="245" t="n" /><c r="AP1" s="246" t="inlineStr"><is><t>Código: F05-GA-PR-01</t></is></c><c r="AQ1" s="247" t="n" /><c r="AR1" s="247" t="n" /><c r="AS1" s="247" t="n" /><c r="AT1" s="248" t="n" /><c r="AU1" s="6" t="n" /><c r="AV1" s="6" t="n" /><c r="AW1" s="6" t="n" /><c r="AX1" s="128" t="inlineStr"><is><t>Q3/Q1</t></is></c><c r="AY1" s="129" t="n"><v>100</v></c><c r="AZ1" s="129" t="n"><v>125</v></c><c r="BA1" s="129" t="n"><v>160</v></c><c r="BB1" s="129" t="n"><v>200</v></c><c r="BC1" s="129" t="n"><v>400</v></c><c r="BD1" s="129" t="n"><v>500</v></c><c r="BE1" s="23" t="n" /><c r="BF1" s="23" t="n" /><c r="BG1" s="23" t="n" /><c r="BH1" s="23" t="n" /><c r="BI1" s="23" t="n" /><c r="BJ1" s="24" t="n" /><c r="BK1" s="24" t="n" /><c r="BL1" s="24" t="n" /></row><row r="2" ht="21.75" customFormat="1" customHeight="1" s="1" thickBot="1"><c r="A2" s="65" t="n" /><c r="B2" s="66" t="n" /><c r="C2" s="66" t="n" /><c r="D2" s="67" t="n" /><c r="E2" s="249" t="inlineStr"><is><t xml:space="preserve">  INGRESO DE DATOS DE LA VERIFICACIÓN INICIAL DE MEDIDORES EN LA COMPUTADORA</t></is></c><c r="F2" s="247" t="n" /><c r="G2" s="247" t="n" /><c r="H2" s="247" t="n" /><c r="I2" s="247" t="n" /><c r="J2" s="247" t="n" /><c r="K2" s="247" t="n" /><c r="L2" s="247" t="n" /><c r="M2" s="247" t="n" /><c r="N2" s="247" t="n" /><c r="O2" s="247" t="n" /><c r="P2" s="247" t="n" /><c r="Q2" s="247" t="n" /><c r="R2" s="247" t="n" /><c r="S2" s="247" t="n" /><c r="T2" s="247" t="n" /><c r="U2" s="247" t="n" /><c r="V2" s="247" t="n" /><c r="W2" s="247" t="n" /><c r="X2" s="247" t="n" /><c r="Y2" s="247" t="n" /><c r="Z2" s="247" t="n" /><c r="AA2" s="247" t="n" /><c r="AB2" s="247" t="n" /><c r="AC2" s="247" t="n" /><c r="AD2" s="247" t="n" /><c r="AE2" s="247" t="n" /><c r="AF2" s="247" t="n" /><c r="AG2" s="247" t="n" /><c r="AH2" s="247" t="n" /><c r="AI2" s="247" t="n" /><c r="AJ2" s="247" t="n" /><c r="AK2" s="247" t="n" /><c r="AL2" s="247" t="n" /><c r="AM2" s="247" t="n" /><c r="AN2" s="247" t="n" /><c r="AO2" s="248" t="n" /><c r="AP2" s="250" t="inlineStr"><is><t>Versión: 08</t></is></c><c r="AQ2" s="244" t="n" /><c r="AR2" s="244" t="n" /><c r="AS2" s="244" t="n" /><c r="AT2" s="245" t="n" /><c r="AU2" s="6" t="n" /><c r="AV2" s="6" t="n" /><c r="AW2" s="6" t="n" /><c r="AX2" s="128" t="inlineStr"><is><t>Q3 (m3/h):</t></is></c><c r="AY2" s="129" t="n"><v>1.6</v></c><c r="AZ2" s="129" t="n"><v>2.5</v></c><c r="BA2" s="251" t="n"><v>4</v></c><c r="BB2" s="129" t="n"><v>6.3</v></c><c r="BC2" s="129" t="n" /><c r="BD2" s="129" t="n" /><c r="BE2" s="23" t="n" /><c r="BF2" s="81" t="n" /><c r="BG2" s="23" t="n" /><c r="BH2" s="23" t="n" /><c r="BI2" s="23" t="n" /><c r="BJ2" s="24" t="n" /><c r="BK2" s="24" t="n" /><c r="BL2" s="24" t="n" /></row><row r="3" ht="26.25" customFormat="1" customHeight="1" s="1" thickBot="1"><c r="A3" s="68" t="n" /><c r="B3" s="69" t="n" /><c r="C3" s="69" t="n" /><c r="D3" s="70" t="n" /><c r="E3" s="252" t="n" /><c r="F3" s="253" t="n" /><c r="G3" s="253" t="n" /><c r="H3" s="253" t="n" /><c r="I3" s="253" t="n" /><c r="J3" s="253" t="n" /><c r="K3" s="253" t="n" /><c r="L3" s="253" t="n" /><c r="M3" s="253" t="n" /><c r="N3" s="253" t="n" /><c r="O3" s="253" t="n" /><c r="P3" s="253" t="n" /><c r="Q3" s="253" t="n" /><c r="R3" s="253" t="n" /><c r="S3" s="253" t="n" /><c r="T3" s="253" t="n" /><c r="U3" s="253" t="n" /><c r="V3" s="253" t="n" /><c r="W3" s="253" t="n" /><c r="X3" s="253" t="n" /><c r="Y3" s="253" t="n" /><c r="Z3" s="253" t="n" /><c r="AA3" s="253" t="n" /><c r="AB3" s="253" t="n" /><c r="AC3" s="253" t="n" /><c r="AD3" s="253" t="n" /><c r="AE3" s="253" t="n" /><c r="AF3" s="253" t="n" /><c r="AG3" s="253" t="n" /><c r="AH3" s="253" t="n" /><c r="AI3" s="253" t="n" /><c r="AJ3" s="253" t="n" /><c r="AK3" s="253" t="n" /><c r="AL3" s="253" t="n" /><c r="AM3" s="253" t="n" /><c r="AN3" s="253" t="n" /><c r="AO3" s="254" t="n" /><c r="AP3" s="250" t="inlineStr"><is><t>Fecha de Vigencia:  2024-05-14</t></is></c><c r="AQ3" s="244" t="n" /><c r="AR3" s="244" t="n" /><c r="AS3" s="244" t="n" /><c r="AT3" s="245" t="n" /><c r="AU3" s="6" t="n" /><c r="AV3" s="6" t="n" /><c r="AW3" s="6" t="n" /><c r="AY3" s="23" t="n" /><c r="AZ3" s="23" t="n" /><c r="BA3" s="23" t="n" /><c r="BB3" s="23" t="n" /><c r="BC3" s="23" t="n" /><c r="BD3" s="23" t="n" /><c r="BE3" s="23" t="n" /><c r="BF3" s="81" t="n" /><c r="BG3" s="23" t="n" /><c r="BH3" s="23" t="n" /><c r="BI3" s="23" t="n" /><c r="BJ3" s="24" t="n" /><c r="BK3" s="24" t="n" /><c r="BL3" s="24" t="n" /></row><row r="4" ht="24.75" customFormat="1" customHeight="1" s="1" thickBot="1"><c r="A4" s="138" t="inlineStr"><is><t>Q3 (m3/h):</t></is></c><c r="B4" s="244" t="n" /><c r="C4" s="244" t="n" /><c r="D4" s="245" t="n" /><c r="E4" s="255" t="n"><v>2.5</v></c><c r="F4" s="244" t="n" /><c r="G4" s="244" t="n" /><c r="H4" s="244" t="n" /><c r="I4" s="245" t="n" /><c r="J4" s="138" t="inlineStr"><is><t>Alcance Q3/Q1:</t></is></c><c r="K4" s="244" t="n" /><c r="L4" s="244" t="n" /><c r="M4" s="244" t="n" /><c r="N4" s="245" t="n" /><c r="O4" s="143" t="n"><v>160</v></c><c r="P4" s="253" t="n" /><c r="Q4" s="253" t="n" /><c r="R4" s="254" t="n" /><c r="S4" s="256" t="inlineStr"><is><t>MAXIMO ERROR PERMISIBLE (EMP):</t></is></c><c r="T4" s="253" t="n" /><c r="U4" s="253" t="n" /><c r="V4" s="253" t="n" /><c r="W4" s="253" t="n" /><c r="X4" s="253" t="n" /><c r="Y4" s="253" t="n" /><c r="Z4" s="254" t="n" /><c r="AA4" s="147" t="inlineStr"><is><t>Q3</t></is></c><c r="AB4" s="254" t="n" /><c r="AC4" s="257" t="inlineStr"><is><t>Q2</t></is></c><c r="AD4" s="244" t="n" /><c r="AE4" s="245" t="n" /><c r="AF4" s="257" t="inlineStr"><is><t>Q1</t></is></c><c r="AG4" s="244" t="n" /><c r="AH4" s="245" t="n" /><c r="AI4" s="2" t="n" /><c r="AJ4" s="44" t="n" /><c r="AK4" s="2" t="n" /><c r="AL4" s="2" t="n" /><c r="AM4" s="2" t="n" /><c r="AN4" s="258" t="inlineStr"><is><t>Revisado por:</t></is></c><c r="AO4" s="245" t="n" /><c r="AP4" s="259" t="inlineStr"><is><t>Luisa Valdivia</t></is></c><c r="AQ4" s="248" t="n" /><c r="AR4" s="258" t="inlineStr"><is><t>Fecha:</t></is></c><c r="AS4" s="245" t="n" /><c r="AT4" s="260" t="n" /><c r="AU4" s="6" t="n" /><c r="AV4" s="6" t="n" /><c r="AW4" s="6" t="n" /><c r="AY4" s="23" t="n" /><c r="AZ4" s="23" t="n" /><c r="BA4" s="23" t="n" /><c r="BB4" s="23" t="n" /><c r="BC4" s="23" t="n" /><c r="BD4" s="23" t="n" /><c r="BE4" s="23" t="n" /><c r="BF4" s="23" t="n" /><c r="BG4" s="23" t="n" /><c r="BH4" s="23" t="n" /><c r="BI4" s="23" t="n" /><c r="BJ4" s="24" t="n" /><c r="BK4" s="24" t="n" /><c r="BL4" s="24" t="n" /></row><row r="5" ht="27" customFormat="1" customHeight="1" s="2" thickBot="1"><c r="A5" s="187" t="inlineStr"><is><t>Presión Estática    0=conforme; 1 = Daño Físico;   2 = Fuga (-) ;  3 = Picado; 4 = Desfasado; 5 = Paralizado</t></is></c><c r="B5" s="244" t="n" /><c r="C5" s="244" t="n" /><c r="D5" s="244" t="n" /><c r="E5" s="244" t="n" /><c r="F5" s="244" t="n" /><c r="G5" s="244" t="n" /><c r="H5" s="244" t="n" /><c r="I5" s="244" t="n" /><c r="J5" s="244" t="n" /><c r="K5" s="244" t="n" /><c r="L5" s="244" t="n" /><c r="M5" s="244" t="n" /><c r="N5" s="244" t="n" /><c r="O5" s="244" t="n" /><c r="P5" s="244" t="n" /><c r="Q5" s="244" t="n" /><c r="R5" s="244" t="n" /><c r="S5" s="244" t="n" /><c r="T5" s="244" t="n" /><c r="U5" s="244" t="n" /><c r="V5" s="244" t="n" /><c r="W5" s="244" t="n" /><c r="X5" s="244" t="n" /><c r="Y5" s="244" t="n" /><c r="Z5" s="245" t="n" /><c r="AA5" s="172" t="inlineStr"><is><t xml:space="preserve">(±) 2% </t></is></c><c r="AB5" s="245" t="n" /><c r="AC5" s="172" t="inlineStr"><is><t>(±) 2%</t></is></c><c r="AD5" s="244" t="n" /><c r="AE5" s="245" t="n" /><c r="AF5" s="172" t="inlineStr"><is><t>(±) 5%</t></is></c><c r="AG5" s="244" t="n" /><c r="AH5" s="245" t="n" /><c r="AN5" s="258" t="inlineStr"><is><t>Aprobado por:</t></is></c><c r="AO5" s="245" t="n" /><c r="AP5" s="261" t="inlineStr"><is><t>John Oyola</t></is></c><c r="AQ5" s="245" t="n" /><c r="AR5" s="258" t="inlineStr"><is><t>Fecha:</t></is></c><c r="AS5" s="245" t="n" /><c r="AT5" s="260" t="n" /><c r="AU5" s="6" t="n" /><c r="AV5" s="6" t="n" /><c r="AW5" s="6" t="n" /><c r="AY5" s="23" t="n" /><c r="AZ5" s="23" t="n" /><c r="BA5" s="23" t="n" /><c r="BB5" s="23" t="n" /><c r="BC5" s="23" t="n" /><c r="BD5" s="23" t="n" /><c r="BE5" s="23" t="n" /><c r="BF5" s="23" t="n" /><c r="BG5" s="23" t="n" /><c r="BH5" s="23" t="n" /><c r="BI5" s="23" t="n" /><c r="BJ5" s="24" t="n" /><c r="BK5" s="24" t="n" /><c r="BL5" s="24" t="n" /></row><row r="6" ht="18.75" customHeight="1"><c r="A6" s="262" t="inlineStr"><is><t>Item</t></is></c><c r="B6" s="198" t="inlineStr"><is><t xml:space="preserve">Fecha de Ensayo presion estatica </t></is></c><c r="C6" s="263" t="inlineStr"><is><t>Fecha de Ensayo errores de indicacion</t></is></c><c r="D6" s="264" t="inlineStr"><is><t>N° de banco de ensayo</t></is></c><c r="E6" s="188" t="inlineStr"><is><t>1' Técnico</t></is></c><c r="F6" s="265" t="inlineStr"><is><t>Nro de ceritificado</t></is></c><c r="G6" s="266" t="inlineStr"><is><t># Medidor</t></is></c><c r="H6" s="267" t="inlineStr"><is><t>Presión Estática</t></is></c><c r="I6" s="268" t="n" /><c r="J6" s="205"><f>+E4*1000</f><v /></c><c r="K6" s="269" t="n" /><c r="L6" s="269" t="n" /><c r="M6" s="269" t="n" /><c r="N6" s="269" t="n" /><c r="O6" s="269" t="n" /><c r="P6" s="269" t="n" /><c r="Q6" s="269" t="n" /><c r="R6" s="269" t="n" /><c r="S6" s="269" t="n" /><c r="T6" s="269" t="n" /><c r="U6" s="270" t="n" /><c r="V6" s="177"><f>AH6*1.6</f><v /></c><c r="W6" s="269" t="n" /><c r="X6" s="269" t="n" /><c r="Y6" s="269" t="n" /><c r="Z6" s="269" t="n" /><c r="AA6" s="269" t="n" /><c r="AB6" s="269" t="n" /><c r="AC6" s="269" t="n" /><c r="AD6" s="269" t="n" /><c r="AE6" s="269" t="n" /><c r="AF6" s="269" t="n" /><c r="AG6" s="270" t="n" /><c r="AH6" s="177"><f>J6/O4</f><v /></c><c r="AI6" s="269" t="n" /><c r="AJ6" s="269" t="n" /><c r="AK6" s="269" t="n" /><c r="AL6" s="269" t="n" /><c r="AM6" s="269" t="n" /><c r="AN6" s="269" t="n" /><c r="AO6" s="269" t="n" /><c r="AP6" s="269" t="n" /><c r="AQ6" s="269" t="n" /><c r="AR6" s="269" t="n" /><c r="AS6" s="270" t="n" /><c r="AT6" s="271" t="inlineStr"><is><t>Estado</t></is></c><c r="AU6" s="7" t="n" /><c r="AV6" s="7" t="n" /><c r="AW6" s="7" t="n" /><c r="AY6" s="23" t="n" /><c r="AZ6" s="23" t="n" /><c r="BA6" s="23" t="n" /><c r="BB6" s="8" t="n" /><c r="BC6" s="8" t="n" /><c r="BD6" s="8" t="n" /><c r="BE6" s="8" t="n" /><c r="BF6" s="8" t="n" /><c r="BG6" s="8" t="n" /><c r="BH6" s="8" t="n" /><c r="BI6" s="8" t="n" /><c r="BJ6" s="8" t="n" /></row><row r="7" ht="25.5" customHeight="1"><c r="A7" s="272" t="n" /><c r="B7" s="273" t="n" /><c r="C7" s="274" t="n" /><c r="D7" s="275" t="n" /><c r="E7" s="276" t="n" /><c r="F7" s="276" t="n" /><c r="G7" s="273" t="n" /><c r="H7" s="277" t="n" /><c r="I7" s="278" t="n" /><c r="J7" s="208" t="inlineStr"><is><t>Q3</t></is></c><c r="K7" s="279" t="n" /><c r="L7" s="279" t="n" /><c r="M7" s="279" t="n" /><c r="N7" s="279" t="n" /><c r="O7" s="279" t="n" /><c r="P7" s="279" t="n" /><c r="Q7" s="279" t="n" /><c r="R7" s="279" t="n" /><c r="S7" s="279" t="n" /><c r="T7" s="279" t="n" /><c r="U7" s="280" t="n" /><c r="V7" s="183" t="inlineStr"><is><t>Q2</t></is></c><c r="W7" s="279" t="n" /><c r="X7" s="279" t="n" /><c r="Y7" s="279" t="n" /><c r="Z7" s="279" t="n" /><c r="AA7" s="279" t="n" /><c r="AB7" s="279" t="n" /><c r="AC7" s="279" t="n" /><c r="AD7" s="279" t="n" /><c r="AE7" s="279" t="n" /><c r="AF7" s="279" t="n" /><c r="AG7" s="280" t="n" /><c r="AH7" s="183" t="inlineStr"><is><t>Q1</t></is></c><c r="AI7" s="279" t="n" /><c r="AJ7" s="279" t="n" /><c r="AK7" s="279" t="n" /><c r="AL7" s="279" t="n" /><c r="AM7" s="279" t="n" /><c r="AN7" s="279" t="n" /><c r="AO7" s="279" t="n" /><c r="AP7" s="279" t="n" /><c r="AQ7" s="279" t="n" /><c r="AR7" s="279" t="n" /><c r="AS7" s="280" t="n" /><c r="AT7" s="281" t="n" /><c r="AU7" s="7" t="n" /><c r="AV7" s="7" t="n" /><c r="AW7" s="7" t="n" /><c r="AX7" s="7" t="n" /><c r="AY7" s="170" t="inlineStr"><is><t>RANGOS ACEPTABLES DE CAUDAL</t></is></c><c r="AZ7" s="282" t="n" /><c r="BA7" s="278" t="n" /><c r="BB7" s="8" t="n" /><c r="BC7" s="8" t="n" /><c r="BD7" s="8" t="n" /><c r="BE7" s="8" t="n" /><c r="BF7" s="8" t="n" /><c r="BG7" s="8" t="n" /><c r="BH7" s="8" t="n" /><c r="BI7" s="8" t="n" /><c r="BJ7" s="8" t="n" /></row><row r="8" ht="83.25" customFormat="1" customHeight="1" s="4" thickBot="1"><c r="A8" s="277" t="n" /><c r="B8" s="273" t="n" /><c r="C8" s="274" t="n" /><c r="D8" s="275" t="n" /><c r="E8" s="276" t="n" /><c r="F8" s="283" t="n" /><c r="G8" s="284" t="n" /><c r="H8" s="285" t="inlineStr"><is><t>Presión (bar)</t></is></c><c r="I8" s="286" t="inlineStr"><is><t>Estado</t></is></c><c r="J8" s="287" t="inlineStr"><is><t>Temperatura</t></is></c><c r="K8" s="288" t="inlineStr"><is><t>Presión Entrada</t></is></c><c r="L8" s="288" t="inlineStr"><is><t>Presión Salida</t></is></c><c r="M8" s="289" t="inlineStr"><is><t>L.I.</t></is></c><c r="N8" s="289" t="inlineStr"><is><t>L.F.</t></is></c><c r="O8" s="290" t="inlineStr"><is><t>Vol. P</t></is></c><c r="P8" s="291" t="inlineStr"><is><t>Tiempo</t></is></c><c r="Q8" s="292" t="n" /><c r="R8" s="292" t="n" /><c r="S8" s="293" t="n" /><c r="T8" s="294" t="inlineStr"><is><t>Q3</t></is></c><c r="U8" s="295" t="inlineStr"><is><t>E %</t></is></c><c r="V8" s="287" t="inlineStr"><is><t>Temperatura</t></is></c><c r="W8" s="288" t="inlineStr"><is><t>Presión Entrada</t></is></c><c r="X8" s="288" t="inlineStr"><is><t>Presión Salida</t></is></c><c r="Y8" s="289" t="inlineStr"><is><t>L.I.</t></is></c><c r="Z8" s="289" t="inlineStr"><is><t>L.F.</t></is></c><c r="AA8" s="290" t="inlineStr"><is><t>Vol. P</t></is></c><c r="AB8" s="291" t="inlineStr"><is><t>Tiempo</t></is></c><c r="AC8" s="292" t="n" /><c r="AD8" s="292" t="n" /><c r="AE8" s="293" t="n" /><c r="AF8" s="294" t="inlineStr"><is><t>Q2</t></is></c><c r="AG8" s="295" t="inlineStr"><is><t>E %</t></is></c><c r="AH8" s="287" t="inlineStr"><is><t>Temperatura</t></is></c><c r="AI8" s="288" t="inlineStr"><is><t>Presión Entrada</t></is></c><c r="AJ8" s="288" t="inlineStr"><is><t>Presión Salida</t></is></c><c r="AK8" s="289" t="inlineStr"><is><t>L.I.</t></is></c><c r="AL8" s="289" t="inlineStr"><is><t>L.F.</t></is></c><c r="AM8" s="290" t="inlineStr"><is><t>Vol. P</t></is></c><c r="AN8" s="291" t="inlineStr"><is><t>Tiempo</t></is></c><c r="AO8" s="292" t="n" /><c r="AP8" s="292" t="n" /><c r="AQ8" s="293" t="n" /><c r="AR8" s="294" t="inlineStr"><is><t>Q1</t></is></c><c r="AS8" s="295" t="inlineStr"><is><t>E %</t></is></c><c r="AT8" s="296" t="n" /><c r="AU8" s="8" t="n" /><c r="AV8" s="8" t="n" /><c r="AW8" s="8" t="n" /><c r="AX8" s="297" t="inlineStr"><is><t>Caudal</t></is></c><c r="AY8" s="29" t="inlineStr"><is><t>Q1</t></is></c><c r="AZ8" s="29" t="inlineStr"><is><t>Q2</t></is></c><c r="BA8" s="29" t="inlineStr"><is><t>Q3</t></is></c><c r="BB8" s="298" t="inlineStr"><is><t>Ley Signos y Errores</t></is></c><c r="BC8" s="279" t="n" /><c r="BD8" s="279" t="n" /><c r="BE8" s="279" t="n" /><c r="BF8" s="279" t="n" /><c r="BG8" s="279" t="n" /><c r="BH8" s="279" t="n" /><c r="BI8" s="279" t="n" /><c r="BJ8" s="279" t="n" /><c r="BK8" s="279" t="n" /><c r="BL8" s="280" t="n" /></row><row r="9" ht="15" customHeight="1"><c r="A9" s="351" t="n"><v>1</v></c><c r="B9" s="352"><f>B7</f><v /></c><c r="C9" s="352"><f>B9</f><v /></c><c r="D9" s="353"><f>D7</f><v /></c><c r="E9" s="354"><f>E7</f><v /></c><c r="F9" s="58" t="n" /><c r="G9" s="355" t="inlineStr"><is><t>PA25516701</t></is></c><c r="H9" s="356" t="n"><v>25.6</v></c><c r="I9" s="232"><f>I7</f><v /></c><c r="J9" s="357" t="n"><v>22.4</v></c><c r="K9" s="358" t="n"><v>8.209</v></c><c r="L9" s="358" t="n"><v>0.588</v></c><c r="M9" s="359" t="n"><v>107.85</v></c><c r="N9" s="359" t="n"><v>207.88</v></c><c r="O9" s="360" t="n"><v>100.55</v></c><c r="P9" s="361" t="inlineStr"><is><t>2,32,330</t></is></c><c r="Q9" s="362"><f>LEFT(P9,1)</f><v /></c><c r="R9" s="362"><f>RIGHT(P9,6)</f><v /></c><c r="S9" s="362"><f>+(Q9*60+R9)/(60*60)</f><v /></c><c r="T9" s="363"><f>+O9/S9</f><v /></c><c r="U9" s="364"><f>+(((N9-M9-O9)/O9)*100)</f><v /></c><c r="V9" s="365" t="n"><v>21.4</v></c><c r="W9" s="366" t="n"><v>1.092</v></c><c r="X9" s="366" t="n"><v>1.084</v></c><c r="Y9" s="359" t="n"><v>215.8</v></c><c r="Z9" s="359" t="n"><v>225.85</v></c><c r="AA9" s="367" t="n"><v>10.025</v></c><c r="AB9" s="368" t="inlineStr"><is><t>22,23,380</t></is></c><c r="AC9" s="362"><f>LEFT(AB9,2)</f><v /></c><c r="AD9" s="362"><f>RIGHT(AB9,6)</f><v /></c><c r="AE9" s="362"><f>+(AC9*60+AD9)/(60*60)</f><v /></c><c r="AF9" s="363"><f>+AA9/AE9</f><v /></c><c r="AG9" s="369"><f>+(((Z9-Y9-AA9)/AA9)*100)</f><v /></c><c r="AH9" s="365" t="n"><v>21.1</v></c><c r="AI9" s="366" t="n"><v>1.076</v></c><c r="AJ9" s="366" t="n"><v>1.066</v></c><c r="AK9" s="359"><f>Z9</f><v /></c><c r="AL9" s="359" t="n"><v>230.9</v></c><c r="AM9" s="370" t="n"><v>5.01</v></c><c r="AN9" s="361" t="inlineStr"><is><t>18,28,500</t></is></c><c r="AO9" s="362"><f>LEFT(AN9,2)</f><v /></c><c r="AP9" s="362"><f>RIGHT(AN9,6)</f><v /></c><c r="AQ9" s="362"><f>+(AO9*60+AP9)/(60*60)</f><v /></c><c r="AR9" s="363"><f>+AM9/AQ9</f><v /></c><c r="AS9" s="369"><f>+(((AL9-AK9-AM9)/AM9)*100)</f><v /></c><c r="AT9" s="371"><f>IF(I9&gt;=1,"NO CONFORME",IF(BK9="SIGDIFERENTES",BC9,BL9))</f><v /></c><c r="AU9" s="372"><f>B9=C9</f><v /></c><c r="AV9" s="372"><f>N9&lt;Y9</f><v /></c><c r="AW9" s="372"><f>Z9&lt;=AK9</f><v /></c><c r="AX9" s="372"><f>IF(I9&gt;=1,"Qcorrecto",IF(AND(AY9="aceptable",AZ9="aceptable",BA9="aceptable"),"Qcorrecto","Qincorrecto"))</f><v /></c><c r="AY9" s="373"><f>IF(AR9&lt;$AH$6,"error",IF(AR9&gt;$AH$6*1.1,"error","aceptable"))</f><v /></c><c r="AZ9" s="373"><f>IF(AF9&lt;$V$6,"error",IF(AF9&gt;$V$6*1.1,"error","aceptable"))</f><v /></c><c r="BA9" s="373"><f>IF(T9&lt;$J$6*0.9,"error",IF(T9&gt;$J$6,"error","aceptable"))</f><v /></c><c r="BB9" s="25"><f>(IF(ABS(U9)&lt;1.05,"CONFORME",IF(ABS(AG9)&lt;1.05,"CONFORME",IF(ABS(AS9)&lt;2.55,"CONFORME","NO CONFORME"))))</f><v /></c><c r="BC9" s="5"><f>(IF(ABS(U9)&gt;2.05,"NO CONFORME",IF(ABS(AG9)&gt;2.05,"NO CONFORME",IF(ABS(AS9)&gt;5.05,"NO CONFORME","CONFORME"))))</f><v /></c><c r="BD9" s="374"><f>SIGN(U9)</f><v /></c><c r="BE9" s="374"><f>SIGN(AG9)</f><v /></c><c r="BF9" s="374"><f>SIGN(AS9)</f><v /></c><c r="BG9" s="374"><f>CONCATENATE(BD9,BE9,BF9)</f><v /></c><c r="BH9" s="374"><f>IF(BG9="111","SI","SD")</f><v /></c><c r="BI9" s="374"><f>IF(BG9="-1-1-1","SI","SD")</f><v /></c><c r="BJ9" s="374"><f>OR(BH9="SI",BI9="SI")</f><v /></c><c r="BK9" s="374"><f>IF(BJ9=FALSE,"SIGDIFERENTES","SIGIGUALES")</f><v /></c><c r="BL9" s="373"><f>IF(BC9="NO CONFORME","NO CONFORME",IF(BB9="CONFORME","CONFORME","NO CONFORME"))</f><v /></c></row><row r="10" ht="15.75" customHeight="1"><c r="A10" s="351" t="n"><v>2</v></c><c r="B10" s="375"><f>B9</f><v /></c><c r="C10" s="375"><f>C9</f><v /></c><c r="D10" s="376"><f>D9</f><v /></c><c r="E10" s="377"><f>E9</f><v /></c><c r="F10" s="13" t="n" /><c r="G10" s="355" t="inlineStr"><is><t>PA25516702</t></is></c><c r="H10" s="313"><f>H9</f><v /></c><c r="I10" s="38"><f>I9</f><v /></c><c r="J10" s="314"><f>J9</f><v /></c><c r="K10" s="378"><f>K9</f><v /></c><c r="L10" s="378"><f>L9</f><v /></c><c r="M10" s="379" t="n"><v>105</v></c><c r="N10" s="379" t="n"><v>204.71</v></c><c r="O10" s="380"><f>O9</f><v /></c><c r="P10" s="381"><f>P9</f><v /></c><c r="Q10" s="382"><f>LEFT(P10,1)</f><v /></c><c r="R10" s="382"><f>RIGHT(P10,6)</f><v /></c><c r="S10" s="382"><f>+(Q10*60+R10)/(60*60)</f><v /></c><c r="T10" s="383"><f>+O10/S10</f><v /></c><c r="U10" s="384"><f>+(((N10-M10-O10)/O10)*100)</f><v /></c><c r="V10" s="317"><f>V9</f><v /></c><c r="W10" s="385"><f>W9</f><v /></c><c r="X10" s="385"><f>X9</f><v /></c><c r="Y10" s="379" t="n"><v>212.55</v></c><c r="Z10" s="379" t="n"><v>222.55</v></c><c r="AA10" s="386"><f>AA9</f><v /></c><c r="AB10" s="387"><f>AB9</f><v /></c><c r="AC10" s="382"><f>LEFT(AB10,2)</f><v /></c><c r="AD10" s="382"><f>RIGHT(AB10,6)</f><v /></c><c r="AE10" s="382"><f>+(AC10*60+AD10)/(60*60)</f><v /></c><c r="AF10" s="383"><f>+AA10/AE10</f><v /></c><c r="AG10" s="321"><f>+(((Z10-Y10-AA10)/AA10)*100)</f><v /></c><c r="AH10" s="317"><f>AH9</f><v /></c><c r="AI10" s="385"><f>AI9</f><v /></c><c r="AJ10" s="385"><f>AJ9</f><v /></c><c r="AK10" s="379"><f>Z10</f><v /></c><c r="AL10" s="379" t="n"><v>227.58</v></c><c r="AM10" s="388"><f>AM9</f><v /></c><c r="AN10" s="381"><f>AN9</f><v /></c><c r="AO10" s="382"><f>LEFT(AN10,2)</f><v /></c><c r="AP10" s="382"><f>RIGHT(AN10,6)</f><v /></c><c r="AQ10" s="382"><f>+(AO10*60+AP10)/(60*60)</f><v /></c><c r="AR10" s="383"><f>+AM10/AQ10</f><v /></c><c r="AS10" s="321"><f>+(((AL10-AK10-AM10)/AM10)*100)</f><v /></c><c r="AT10" s="389"><f>IF(I10&gt;=1,"NO CONFORME",IF(BK10="SIGDIFERENTES",BC10,BL10))</f><v /></c><c r="AU10" s="372"><f>B10=C10</f><v /></c><c r="AV10" s="372"><f>N10&lt;Y10</f><v /></c><c r="AW10" s="372"><f>Z10&lt;=AK10</f><v /></c><c r="AX10" s="372"><f>IF(I10&gt;=1,"Qcorrecto",IF(AND(AY10="aceptable",AZ10="aceptable",BA10="aceptable"),"Qcorrecto","Qincorrecto"))</f><v /></c><c r="AY10" s="390"><f>IF(AR10&lt;$AH$6,"error",IF(AR10&gt;$AH$6*1.1,"error","aceptable"))</f><v /></c><c r="AZ10" s="390"><f>IF(AF10&lt;$V$6,"error",IF(AF10&gt;$V$6*1.1,"error","aceptable"))</f><v /></c><c r="BA10" s="390"><f>IF(T10&lt;$J$6*0.9,"error",IF(T10&gt;$J$6,"error","aceptable"))</f><v /></c><c r="BB10" s="25"><f>(IF(ABS(U10)&lt;1.05,"CONFORME",IF(ABS(AG10)&lt;1.05,"CONFORME",IF(ABS(AS10)&lt;2.55,"CONFORME","NO CONFORME"))))</f><v /></c><c r="BC10" s="5"><f>(IF(ABS(U10)&gt;2.05,"NO CONFORME",IF(ABS(AG10)&gt;2.05,"NO CONFORME",IF(ABS(AS10)&gt;5.05,"NO CONFORME","CONFORME"))))</f><v /></c><c r="BD10" s="374"><f>SIGN(U10)</f><v /></c><c r="BE10" s="374"><f>SIGN(AG10)</f><v /></c><c r="BF10" s="374"><f>SIGN(AS10)</f><v /></c><c r="BG10" s="374"><f>CONCATENATE(BD10,BE10,BF10)</f><v /></c><c r="BH10" s="374"><f>IF(BG10="111","SI","SD")</f><v /></c><c r="BI10" s="374"><f>IF(BG10="-1-1-1","SI","SD")</f><v /></c><c r="BJ10" s="374"><f>OR(BH10="SI",BI10="SI")</f><v /></c><c r="BK10" s="374"><f>IF(BJ10=FALSE,"SIGDIFERENTES","SIGIGUALES")</f><v /></c><c r="BL10" s="390"><f>IF(BC10="NO CONFORME","NO CONFORME",IF(BB10="CONFORME","CONFORME","NO CONFORME"))</f><v /></c></row><row r="11" ht="15" customHeight="1"><c r="A11" s="351" t="n"><v>3</v></c><c r="B11" s="375"><f>B10</f><v /></c><c r="C11" s="375"><f>C10</f><v /></c><c r="D11" s="376"><f>D10</f><v /></c><c r="E11" s="377"><f>E10</f><v /></c><c r="F11" s="13" t="n" /><c r="G11" s="355" t="inlineStr"><is><t>PA25516703</t></is></c><c r="H11" s="313"><f>H10</f><v /></c><c r="I11" s="38"><f>I10</f><v /></c><c r="J11" s="314"><f>J10</f><v /></c><c r="K11" s="378"><f>K10</f><v /></c><c r="L11" s="378"><f>L10</f><v /></c><c r="M11" s="379" t="n"><v>106.34</v></c><c r="N11" s="379" t="n"><v>205.84</v></c><c r="O11" s="380"><f>O10</f><v /></c><c r="P11" s="381"><f>P10</f><v /></c><c r="Q11" s="382"><f>LEFT(P11,1)</f><v /></c><c r="R11" s="382"><f>RIGHT(P11,6)</f><v /></c><c r="S11" s="382"><f>+(Q11*60+R11)/(60*60)</f><v /></c><c r="T11" s="383"><f>+O11/S11</f><v /></c><c r="U11" s="384"><f>+(((N11-M11-O11)/O11)*100)</f><v /></c><c r="V11" s="317"><f>V10</f><v /></c><c r="W11" s="385"><f>W10</f><v /></c><c r="X11" s="385"><f>X10</f><v /></c><c r="Y11" s="379" t="n"><v>213.74</v></c><c r="Z11" s="379" t="n"><v>223.75</v></c><c r="AA11" s="386"><f>AA10</f><v /></c><c r="AB11" s="387"><f>AB10</f><v /></c><c r="AC11" s="382"><f>LEFT(AB11,2)</f><v /></c><c r="AD11" s="382"><f>RIGHT(AB11,6)</f><v /></c><c r="AE11" s="382"><f>+(AC11*60+AD11)/(60*60)</f><v /></c><c r="AF11" s="383"><f>+AA11/AE11</f><v /></c><c r="AG11" s="321"><f>+(((Z11-Y11-AA11)/AA11)*100)</f><v /></c><c r="AH11" s="317"><f>AH10</f><v /></c><c r="AI11" s="385"><f>AI10</f><v /></c><c r="AJ11" s="385"><f>AJ10</f><v /></c><c r="AK11" s="379"><f>Z11</f><v /></c><c r="AL11" s="379" t="n"><v>228.82</v></c><c r="AM11" s="388"><f>AM10</f><v /></c><c r="AN11" s="381"><f>AN10</f><v /></c><c r="AO11" s="382"><f>LEFT(AN11,2)</f><v /></c><c r="AP11" s="382"><f>RIGHT(AN11,6)</f><v /></c><c r="AQ11" s="382"><f>+(AO11*60+AP11)/(60*60)</f><v /></c><c r="AR11" s="383"><f>+AM11/AQ11</f><v /></c><c r="AS11" s="321"><f>+(((AL11-AK11-AM11)/AM11)*100)</f><v /></c><c r="AT11" s="389"><f>IF(I11&gt;=1,"NO CONFORME",IF(BK11="SIGDIFERENTES",BC11,BL11))</f><v /></c><c r="AU11" s="372"><f>B11=C11</f><v /></c><c r="AV11" s="372"><f>N11&lt;Y11</f><v /></c><c r="AW11" s="372"><f>Z11&lt;=AK11</f><v /></c><c r="AX11" s="372"><f>IF(I11&gt;=1,"Qcorrecto",IF(AND(AY11="aceptable",AZ11="aceptable",BA11="aceptable"),"Qcorrecto","Qincorrecto"))</f><v /></c><c r="AY11" s="390"><f>IF(AR11&lt;$AH$6,"error",IF(AR11&gt;$AH$6*1.1,"error","aceptable"))</f><v /></c><c r="AZ11" s="390"><f>IF(AF11&lt;$V$6,"error",IF(AF11&gt;$V$6*1.1,"error","aceptable"))</f><v /></c><c r="BA11" s="390"><f>IF(T11&lt;$J$6*0.9,"error",IF(T11&gt;$J$6,"error","aceptable"))</f><v /></c><c r="BB11" s="25"><f>(IF(ABS(U11)&lt;1.05,"CONFORME",IF(ABS(AG11)&lt;1.05,"CONFORME",IF(ABS(AS11)&lt;2.55,"CONFORME","NO CONFORME"))))</f><v /></c><c r="BC11" s="5"><f>(IF(ABS(U11)&gt;2.05,"NO CONFORME",IF(ABS(AG11)&gt;2.05,"NO CONFORME",IF(ABS(AS11)&gt;5.05,"NO CONFORME","CONFORME"))))</f><v /></c><c r="BD11" s="374"><f>SIGN(U11)</f><v /></c><c r="BE11" s="374"><f>SIGN(AG11)</f><v /></c><c r="BF11" s="374"><f>SIGN(AS11)</f><v /></c><c r="BG11" s="374"><f>CONCATENATE(BD11,BE11,BF11)</f><v /></c><c r="BH11" s="374"><f>IF(BG11="111","SI","SD")</f><v /></c><c r="BI11" s="374"><f>IF(BG11="-1-1-1","SI","SD")</f><v /></c><c r="BJ11" s="374"><f>OR(BH11="SI",BI11="SI")</f><v /></c><c r="BK11" s="374"><f>IF(BJ11=FALSE,"SIGDIFERENTES","SIGIGUALES")</f><v /></c><c r="BL11" s="390"><f>IF(BC11="NO CONFORME","NO CONFORME",IF(BB11="CONFORME","CONFORME","NO CONFORME"))</f><v /></c></row><row r="12" ht="15" customHeight="1"><c r="A12" s="391" t="n"><v>4</v></c><c r="B12" s="392"><f>B11</f><v /></c><c r="C12" s="392"><f>C11</f><v /></c><c r="D12" s="393"><f>D11</f><v /></c><c r="E12" s="394"><f>E11</f><v /></c><c r="F12" s="52" t="n" /><c r="G12" s="395" t="inlineStr"><is><t>PA25516704</t></is></c><c r="H12" s="326"><f>H11</f><v /></c><c r="I12" s="98"><f>I11</f><v /></c><c r="J12" s="327"><f>J11</f><v /></c><c r="K12" s="396"><f>K11</f><v /></c><c r="L12" s="396"><f>L11</f><v /></c><c r="M12" s="397" t="n"><v>106.29</v></c><c r="N12" s="397" t="n"><v>206.1</v></c><c r="O12" s="398"><f>O11</f><v /></c><c r="P12" s="399"><f>P11</f><v /></c><c r="Q12" s="400"><f>LEFT(P12,1)</f><v /></c><c r="R12" s="400"><f>RIGHT(P12,6)</f><v /></c><c r="S12" s="400"><f>+(Q12*60+R12)/(60*60)</f><v /></c><c r="T12" s="401"><f>+O12/S12</f><v /></c><c r="U12" s="402"><f>+(((N12-M12-O12)/O12)*100)</f><v /></c><c r="V12" s="329"><f>V11</f><v /></c><c r="W12" s="403"><f>W11</f><v /></c><c r="X12" s="403"><f>X11</f><v /></c><c r="Y12" s="397" t="n"><v>214</v></c><c r="Z12" s="397" t="n"><v>224.08</v></c><c r="AA12" s="404"><f>AA11</f><v /></c><c r="AB12" s="405"><f>AB11</f><v /></c><c r="AC12" s="400"><f>LEFT(AB12,2)</f><v /></c><c r="AD12" s="400"><f>RIGHT(AB12,6)</f><v /></c><c r="AE12" s="400"><f>+(AC12*60+AD12)/(60*60)</f><v /></c><c r="AF12" s="401"><f>+AA12/AE12</f><v /></c><c r="AG12" s="406"><f>+(((Z12-Y12-AA12)/AA12)*100)</f><v /></c><c r="AH12" s="329"><f>AH11</f><v /></c><c r="AI12" s="403"><f>AI11</f><v /></c><c r="AJ12" s="403"><f>AJ11</f><v /></c><c r="AK12" s="397"><f>Z12</f><v /></c><c r="AL12" s="397" t="n"><v>229.15</v></c><c r="AM12" s="407"><f>AM11</f><v /></c><c r="AN12" s="399"><f>AN11</f><v /></c><c r="AO12" s="400"><f>LEFT(AN12,2)</f><v /></c><c r="AP12" s="400"><f>RIGHT(AN12,6)</f><v /></c><c r="AQ12" s="400"><f>+(AO12*60+AP12)/(60*60)</f><v /></c><c r="AR12" s="401"><f>+AM12/AQ12</f><v /></c><c r="AS12" s="406"><f>+(((AL12-AK12-AM12)/AM12)*100)</f><v /></c><c r="AT12" s="408"><f>IF(I12&gt;=1,"NO CONFORME",IF(BK12="SIGDIFERENTES",BC12,BL12))</f><v /></c><c r="AU12" s="409"><f>B12=C12</f><v /></c><c r="AV12" s="409"><f>N12&lt;Y12</f><v /></c><c r="AW12" s="409"><f>Z12&lt;=AK12</f><v /></c><c r="AX12" s="409"><f>IF(I12&gt;=1,"Qcorrecto",IF(AND(AY12="aceptable",AZ12="aceptable",BA12="aceptable"),"Qcorrecto","Qincorrecto"))</f><v /></c><c r="AY12" s="410"><f>IF(AR12&lt;$AH$6,"error",IF(AR12&gt;$AH$6*1.1,"error","aceptable"))</f><v /></c><c r="AZ12" s="410"><f>IF(AF12&lt;$V$6,"error",IF(AF12&gt;$V$6*1.1,"error","aceptable"))</f><v /></c><c r="BA12" s="410"><f>IF(T12&lt;$J$6*0.9,"error",IF(T12&gt;$J$6,"error","aceptable"))</f><v /></c><c r="BB12" s="411"><f>(IF(ABS(U12)&lt;1.05,"CONFORME",IF(ABS(AG12)&lt;1.05,"CONFORME",IF(ABS(AS12)&lt;2.55,"CONFORME","NO CONFORME"))))</f><v /></c><c r="BC12" s="412"><f>(IF(ABS(U12)&gt;2.05,"NO CONFORME",IF(ABS(AG12)&gt;2.05,"NO CONFORME",IF(ABS(AS12)&gt;5.05,"NO CONFORME","CONFORME"))))</f><v /></c><c r="BD12" s="413"><f>SIGN(U12)</f><v /></c><c r="BE12" s="413"><f>SIGN(AG12)</f><v /></c><c r="BF12" s="413"><f>SIGN(AS12)</f><v /></c><c r="BG12" s="413"><f>CONCATENATE(BD12,BE12,BF12)</f><v /></c><c r="BH12" s="413"><f>IF(BG12="111","SI","SD")</f><v /></c><c r="BI12" s="413"><f>IF(BG12="-1-1-1","SI","SD")</f><v /></c><c r="BJ12" s="413"><f>OR(BH12="SI",BI12="SI")</f><v /></c><c r="BK12" s="413"><f>IF(BJ12=FALSE,"SIGDIFERENTES","SIGIGUALES")</f><v /></c><c r="BL12" s="410"><f>IF(BC12="NO CONFORME","NO CONFORME",IF(BB12="CONFORME","CONFORME","NO CONFORME"))</f><v /></c></row><row r="13" ht="15" customHeight="1"><c r="A13" s="351" t="n"><v>5</v></c><c r="B13" s="352"><f>B12</f><v /></c><c r="C13" s="352"><f>C12</f><v /></c><c r="D13" s="353"><f>D12</f><v /></c><c r="E13" s="354"><f>E12</f><v /></c><c r="F13" s="58" t="n" /><c r="G13" s="355" t="inlineStr"><is><t>PA25516705</t></is></c><c r="H13" s="356"><f>H12</f><v /></c><c r="I13" s="232"><f>I12</f><v /></c><c r="J13" s="357" t="n"><v>21.1</v></c><c r="K13" s="358" t="n"><v>8.215</v></c><c r="L13" s="358" t="n"><v>0.618</v></c><c r="M13" s="359" t="n"><v>172.95</v></c><c r="N13" s="359" t="n"><v>272.85</v></c><c r="O13" s="360" t="n"><v>100.59</v></c><c r="P13" s="361" t="inlineStr"><is><t>2,32,840</t></is></c><c r="Q13" s="362"><f>LEFT(P13,1)</f><v /></c><c r="R13" s="362"><f>RIGHT(P13,6)</f><v /></c><c r="S13" s="362"><f>+(Q13*60+R13)/(60*60)</f><v /></c><c r="T13" s="363"><f>+O13/S13</f><v /></c><c r="U13" s="364"><f>+(((N13-M13-O13)/O13)*100)</f><v /></c><c r="V13" s="365" t="n"><v>21.3</v></c><c r="W13" s="366" t="n"><v>1.073</v></c><c r="X13" s="366" t="n"><v>1.062</v></c><c r="Y13" s="359" t="n"><v>278.4</v></c><c r="Z13" s="359" t="n"><v>288.36</v></c><c r="AA13" s="367" t="n"><v>10.001</v></c><c r="AB13" s="368" t="inlineStr"><is><t>22,22,750</t></is></c><c r="AC13" s="362"><f>LEFT(AB13,2)</f><v /></c><c r="AD13" s="362"><f>RIGHT(AB13,6)</f><v /></c><c r="AE13" s="362"><f>+(AC13*60+AD13)/(60*60)</f><v /></c><c r="AF13" s="363"><f>+AA13/AE13</f><v /></c><c r="AG13" s="369"><f>+(((Z13-Y13-AA13)/AA13)*100)</f><v /></c><c r="AH13" s="365" t="n"><v>21.3</v></c><c r="AI13" s="366" t="n"><v>1.073</v></c><c r="AJ13" s="366" t="n"><v>1.065</v></c><c r="AK13" s="359"><f>Z13</f><v /></c><c r="AL13" s="359" t="n"><v>293.31</v></c><c r="AM13" s="370" t="n"><v>5.005</v></c><c r="AN13" s="361" t="inlineStr"><is><t>18,27,050</t></is></c><c r="AO13" s="362"><f>LEFT(AN13,2)</f><v /></c><c r="AP13" s="362"><f>RIGHT(AN13,6)</f><v /></c><c r="AQ13" s="362"><f>+(AO13*60+AP13)/(60*60)</f><v /></c><c r="AR13" s="363"><f>+AM13/AQ13</f><v /></c><c r="AS13" s="369"><f>+(((AL13-AK13-AM13)/AM13)*100)</f><v /></c><c r="AT13" s="371"><f>IF(I13&gt;=1,"NO CONFORME",IF(BK13="SIGDIFERENTES",BC13,BL13))</f><v /></c><c r="AU13" s="372"><f>B13=C13</f><v /></c><c r="AV13" s="372"><f>N13&lt;Y13</f><v /></c><c r="AW13" s="372"><f>Z13&lt;=AK13</f><v /></c><c r="AX13" s="372"><f>IF(I13&gt;=1,"Qcorrecto",IF(AND(AY13="aceptable",AZ13="aceptable",BA13="aceptable"),"Qcorrecto","Qincorrecto"))</f><v /></c><c r="AY13" s="373"><f>IF(AR13&lt;$AH$6,"error",IF(AR13&gt;$AH$6*1.1,"error","aceptable"))</f><v /></c><c r="AZ13" s="373"><f>IF(AF13&lt;$V$6,"error",IF(AF13&gt;$V$6*1.1,"error","aceptable"))</f><v /></c><c r="BA13" s="373"><f>IF(T13&lt;$J$6*0.9,"error",IF(T13&gt;$J$6,"error","aceptable"))</f><v /></c><c r="BB13" s="25"><f>(IF(ABS(U13)&lt;1.05,"CONFORME",IF(ABS(AG13)&lt;1.05,"CONFORME",IF(ABS(AS13)&lt;2.55,"CONFORME","NO CONFORME"))))</f><v /></c><c r="BC13" s="5"><f>(IF(ABS(U13)&gt;2.05,"NO CONFORME",IF(ABS(AG13)&gt;2.05,"NO CONFORME",IF(ABS(AS13)&gt;5.05,"NO CONFORME","CONFORME"))))</f><v /></c><c r="BD13" s="374"><f>SIGN(U13)</f><v /></c><c r="BE13" s="374"><f>SIGN(AG13)</f><v /></c><c r="BF13" s="374"><f>SIGN(AS13)</f><v /></c><c r="BG13" s="374"><f>CONCATENATE(BD13,BE13,BF13)</f><v /></c><c r="BH13" s="374"><f>IF(BG13="111","SI","SD")</f><v /></c><c r="BI13" s="374"><f>IF(BG13="-1-1-1","SI","SD")</f><v /></c><c r="BJ13" s="374"><f>OR(BH13="SI",BI13="SI")</f><v /></c><c r="BK13" s="374"><f>IF(BJ13=FALSE,"SIGDIFERENTES","SIGIGUALES")</f><v /></c><c r="BL13" s="373"><f>IF(BC13="NO CONFORME","NO CONFORME",IF(BB13="CONFORME","CONFORME","NO CONFORME"))</f><v /></c></row><row r="14" ht="15" customHeight="1"><c r="A14" s="351" t="n"><v>6</v></c><c r="B14" s="375"><f>B13</f><v /></c><c r="C14" s="375"><f>C13</f><v /></c><c r="D14" s="376"><f>D13</f><v /></c><c r="E14" s="377"><f>E13</f><v /></c><c r="F14" s="13" t="n" /><c r="G14" s="355" t="inlineStr"><is><t>PA25516706</t></is></c><c r="H14" s="313"><f>H13</f><v /></c><c r="I14" s="38"><f>I13</f><v /></c><c r="J14" s="314"><f>J13</f><v /></c><c r="K14" s="378"><f>K13</f><v /></c><c r="L14" s="378"><f>L13</f><v /></c><c r="M14" s="379" t="n"><v>170.69</v></c><c r="N14" s="379" t="n"><v>269.9</v></c><c r="O14" s="380"><f>O13</f><v /></c><c r="P14" s="381"><f>P13</f><v /></c><c r="Q14" s="382"><f>LEFT(P14,1)</f><v /></c><c r="R14" s="382"><f>RIGHT(P14,6)</f><v /></c><c r="S14" s="382"><f>+(Q14*60+R14)/(60*60)</f><v /></c><c r="T14" s="383"><f>+O14/S14</f><v /></c><c r="U14" s="384"><f>+(((N14-M14-O14)/O14)*100)</f><v /></c><c r="V14" s="317"><f>V13</f><v /></c><c r="W14" s="385"><f>W13</f><v /></c><c r="X14" s="385"><f>X13</f><v /></c><c r="Y14" s="379" t="n"><v>275.4</v></c><c r="Z14" s="379" t="n"><v>285.35</v></c><c r="AA14" s="386"><f>AA13</f><v /></c><c r="AB14" s="387"><f>AB13</f><v /></c><c r="AC14" s="382"><f>LEFT(AB14,2)</f><v /></c><c r="AD14" s="382"><f>RIGHT(AB14,6)</f><v /></c><c r="AE14" s="382"><f>+(AC14*60+AD14)/(60*60)</f><v /></c><c r="AF14" s="383"><f>+AA14/AE14</f><v /></c><c r="AG14" s="321"><f>+(((Z14-Y14-AA14)/AA14)*100)</f><v /></c><c r="AH14" s="317"><f>AH13</f><v /></c><c r="AI14" s="385"><f>AI13</f><v /></c><c r="AJ14" s="385"><f>AJ13</f><v /></c><c r="AK14" s="379"><f>Z14</f><v /></c><c r="AL14" s="379" t="n"><v>290.36</v></c><c r="AM14" s="388"><f>AM13</f><v /></c><c r="AN14" s="381"><f>AN13</f><v /></c><c r="AO14" s="382"><f>LEFT(AN14,2)</f><v /></c><c r="AP14" s="382"><f>RIGHT(AN14,6)</f><v /></c><c r="AQ14" s="382"><f>+(AO14*60+AP14)/(60*60)</f><v /></c><c r="AR14" s="383"><f>+AM14/AQ14</f><v /></c><c r="AS14" s="321"><f>+(((AL14-AK14-AM14)/AM14)*100)</f><v /></c><c r="AT14" s="389"><f>IF(I14&gt;=1,"NO CONFORME",IF(BK14="SIGDIFERENTES",BC14,BL14))</f><v /></c><c r="AU14" s="372"><f>B14=C14</f><v /></c><c r="AV14" s="372"><f>N14&lt;Y14</f><v /></c><c r="AW14" s="372"><f>Z14&lt;=AK14</f><v /></c><c r="AX14" s="372"><f>IF(I14&gt;=1,"Qcorrecto",IF(AND(AY14="aceptable",AZ14="aceptable",BA14="aceptable"),"Qcorrecto","Qincorrecto"))</f><v /></c><c r="AY14" s="390"><f>IF(AR14&lt;$AH$6,"error",IF(AR14&gt;$AH$6*1.1,"error","aceptable"))</f><v /></c><c r="AZ14" s="390"><f>IF(AF14&lt;$V$6,"error",IF(AF14&gt;$V$6*1.1,"error","aceptable"))</f><v /></c><c r="BA14" s="390"><f>IF(T14&lt;$J$6*0.9,"error",IF(T14&gt;$J$6,"error","aceptable"))</f><v /></c><c r="BB14" s="25"><f>(IF(ABS(U14)&lt;1.05,"CONFORME",IF(ABS(AG14)&lt;1.05,"CONFORME",IF(ABS(AS14)&lt;2.55,"CONFORME","NO CONFORME"))))</f><v /></c><c r="BC14" s="5"><f>(IF(ABS(U14)&gt;2.05,"NO CONFORME",IF(ABS(AG14)&gt;2.05,"NO CONFORME",IF(ABS(AS14)&gt;5.05,"NO CONFORME","CONFORME"))))</f><v /></c><c r="BD14" s="374"><f>SIGN(U14)</f><v /></c><c r="BE14" s="374"><f>SIGN(AG14)</f><v /></c><c r="BF14" s="374"><f>SIGN(AS14)</f><v /></c><c r="BG14" s="374"><f>CONCATENATE(BD14,BE14,BF14)</f><v /></c><c r="BH14" s="374"><f>IF(BG14="111","SI","SD")</f><v /></c><c r="BI14" s="374"><f>IF(BG14="-1-1-1","SI","SD")</f><v /></c><c r="BJ14" s="374"><f>OR(BH14="SI",BI14="SI")</f><v /></c><c r="BK14" s="374"><f>IF(BJ14=FALSE,"SIGDIFERENTES","SIGIGUALES")</f><v /></c><c r="BL14" s="390"><f>IF(BC14="NO CONFORME","NO CONFORME",IF(BB14="CONFORME","CONFORME","NO CONFORME"))</f><v /></c></row><row r="15" ht="15" customHeight="1"><c r="A15" s="351" t="n"><v>7</v></c><c r="B15" s="375"><f>B14</f><v /></c><c r="C15" s="375"><f>C14</f><v /></c><c r="D15" s="376"><f>D14</f><v /></c><c r="E15" s="377"><f>E14</f><v /></c><c r="F15" s="13" t="n" /><c r="G15" s="355" t="inlineStr"><is><t>PA25516707</t></is></c><c r="H15" s="313"><f>H14</f><v /></c><c r="I15" s="38"><f>I14</f><v /></c><c r="J15" s="314"><f>J14</f><v /></c><c r="K15" s="378"><f>K14</f><v /></c><c r="L15" s="378"><f>L14</f><v /></c><c r="M15" s="379" t="n"><v>172.61</v></c><c r="N15" s="379" t="n"><v>271.92</v></c><c r="O15" s="380"><f>O14</f><v /></c><c r="P15" s="381"><f>P14</f><v /></c><c r="Q15" s="382"><f>LEFT(P15,1)</f><v /></c><c r="R15" s="382"><f>RIGHT(P15,6)</f><v /></c><c r="S15" s="382"><f>+(Q15*60+R15)/(60*60)</f><v /></c><c r="T15" s="383"><f>+O15/S15</f><v /></c><c r="U15" s="384"><f>+(((N15-M15-O15)/O15)*100)</f><v /></c><c r="V15" s="317"><f>V14</f><v /></c><c r="W15" s="385"><f>W14</f><v /></c><c r="X15" s="385"><f>X14</f><v /></c><c r="Y15" s="379" t="n"><v>277.36</v></c><c r="Z15" s="379" t="n"><v>287.29</v></c><c r="AA15" s="386"><f>AA14</f><v /></c><c r="AB15" s="387"><f>AB14</f><v /></c><c r="AC15" s="382"><f>LEFT(AB15,2)</f><v /></c><c r="AD15" s="382"><f>RIGHT(AB15,6)</f><v /></c><c r="AE15" s="382"><f>+(AC15*60+AD15)/(60*60)</f><v /></c><c r="AF15" s="383"><f>+AA15/AE15</f><v /></c><c r="AG15" s="321"><f>+(((Z15-Y15-AA15)/AA15)*100)</f><v /></c><c r="AH15" s="317"><f>AH14</f><v /></c><c r="AI15" s="385"><f>AI14</f><v /></c><c r="AJ15" s="385"><f>AJ14</f><v /></c><c r="AK15" s="379"><f>Z15</f><v /></c><c r="AL15" s="379" t="n"><v>292.22</v></c><c r="AM15" s="388"><f>AM14</f><v /></c><c r="AN15" s="381"><f>AN14</f><v /></c><c r="AO15" s="382"><f>LEFT(AN15,2)</f><v /></c><c r="AP15" s="382"><f>RIGHT(AN15,6)</f><v /></c><c r="AQ15" s="382"><f>+(AO15*60+AP15)/(60*60)</f><v /></c><c r="AR15" s="383"><f>+AM15/AQ15</f><v /></c><c r="AS15" s="321"><f>+(((AL15-AK15-AM15)/AM15)*100)</f><v /></c><c r="AT15" s="389"><f>IF(I15&gt;=1,"NO CONFORME",IF(BK15="SIGDIFERENTES",BC15,BL15))</f><v /></c><c r="AU15" s="372"><f>B15=C15</f><v /></c><c r="AV15" s="372"><f>N15&lt;Y15</f><v /></c><c r="AW15" s="372"><f>Z15&lt;=AK15</f><v /></c><c r="AX15" s="372"><f>IF(I15&gt;=1,"Qcorrecto",IF(AND(AY15="aceptable",AZ15="aceptable",BA15="aceptable"),"Qcorrecto","Qincorrecto"))</f><v /></c><c r="AY15" s="390"><f>IF(AR15&lt;$AH$6,"error",IF(AR15&gt;$AH$6*1.1,"error","aceptable"))</f><v /></c><c r="AZ15" s="390"><f>IF(AF15&lt;$V$6,"error",IF(AF15&gt;$V$6*1.1,"error","aceptable"))</f><v /></c><c r="BA15" s="390"><f>IF(T15&lt;$J$6*0.9,"error",IF(T15&gt;$J$6,"error","aceptable"))</f><v /></c><c r="BB15" s="25"><f>(IF(ABS(U15)&lt;1.05,"CONFORME",IF(ABS(AG15)&lt;1.05,"CONFORME",IF(ABS(AS15)&lt;2.55,"CONFORME","NO CONFORME"))))</f><v /></c><c r="BC15" s="5"><f>(IF(ABS(U15)&gt;2.05,"NO CONFORME",IF(ABS(AG15)&gt;2.05,"NO CONFORME",IF(ABS(AS15)&gt;5.05,"NO CONFORME","CONFORME"))))</f><v /></c><c r="BD15" s="374"><f>SIGN(U15)</f><v /></c><c r="BE15" s="374"><f>SIGN(AG15)</f><v /></c><c r="BF15" s="374"><f>SIGN(AS15)</f><v /></c><c r="BG15" s="374"><f>CONCATENATE(BD15,BE15,BF15)</f><v /></c><c r="BH15" s="374"><f>IF(BG15="111","SI","SD")</f><v /></c><c r="BI15" s="374"><f>IF(BG15="-1-1-1","SI","SD")</f><v /></c><c r="BJ15" s="374"><f>OR(BH15="SI",BI15="SI")</f><v /></c><c r="BK15" s="374"><f>IF(BJ15=FALSE,"SIGDIFERENTES","SIGIGUALES")</f><v /></c><c r="BL15" s="390"><f>IF(BC15="NO CONFORME","NO CONFORME",IF(BB15="CONFORME","CONFORME","NO CONFORME"))</f><v /></c></row><row r="16" ht="15" customHeight="1"><c r="A16" s="351" t="n"><v>8</v></c><c r="B16" s="375"><f>B15</f><v /></c><c r="C16" s="375"><f>C15</f><v /></c><c r="D16" s="376"><f>D15</f><v /></c><c r="E16" s="377"><f>E15</f><v /></c><c r="F16" s="13" t="n" /><c r="G16" s="355" t="inlineStr"><is><t>PA25516708</t></is></c><c r="H16" s="313"><f>H15</f><v /></c><c r="I16" s="38"><f>I15</f><v /></c><c r="J16" s="314"><f>J15</f><v /></c><c r="K16" s="378"><f>K15</f><v /></c><c r="L16" s="378"><f>L15</f><v /></c><c r="M16" s="379" t="n"><v>173.05</v></c><c r="N16" s="379" t="n"><v>272.84</v></c><c r="O16" s="380"><f>O15</f><v /></c><c r="P16" s="381"><f>P15</f><v /></c><c r="Q16" s="382"><f>LEFT(P16,1)</f><v /></c><c r="R16" s="382"><f>RIGHT(P16,6)</f><v /></c><c r="S16" s="382"><f>+(Q16*60+R16)/(60*60)</f><v /></c><c r="T16" s="383"><f>+O16/S16</f><v /></c><c r="U16" s="384"><f>+(((N16-M16-O16)/O16)*100)</f><v /></c><c r="V16" s="317"><f>V15</f><v /></c><c r="W16" s="385"><f>W15</f><v /></c><c r="X16" s="385"><f>X15</f><v /></c><c r="Y16" s="379" t="n"><v>278.36</v></c><c r="Z16" s="379" t="n"><v>288.32</v></c><c r="AA16" s="386"><f>AA15</f><v /></c><c r="AB16" s="387"><f>AB15</f><v /></c><c r="AC16" s="382"><f>LEFT(AB16,2)</f><v /></c><c r="AD16" s="382"><f>RIGHT(AB16,6)</f><v /></c><c r="AE16" s="382"><f>+(AC16*60+AD16)/(60*60)</f><v /></c><c r="AF16" s="383"><f>+AA16/AE16</f><v /></c><c r="AG16" s="321"><f>+(((Z16-Y16-AA16)/AA16)*100)</f><v /></c><c r="AH16" s="317"><f>AH15</f><v /></c><c r="AI16" s="385"><f>AI15</f><v /></c><c r="AJ16" s="385"><f>AJ15</f><v /></c><c r="AK16" s="379"><f>Z16</f><v /></c><c r="AL16" s="379" t="n"><v>293.3</v></c><c r="AM16" s="388"><f>AM15</f><v /></c><c r="AN16" s="381"><f>AN15</f><v /></c><c r="AO16" s="382"><f>LEFT(AN16,2)</f><v /></c><c r="AP16" s="382"><f>RIGHT(AN16,6)</f><v /></c><c r="AQ16" s="382"><f>+(AO16*60+AP16)/(60*60)</f><v /></c><c r="AR16" s="383"><f>+AM16/AQ16</f><v /></c><c r="AS16" s="321"><f>+(((AL16-AK16-AM16)/AM16)*100)</f><v /></c><c r="AT16" s="389"><f>IF(I16&gt;=1,"NO CONFORME",IF(BK16="SIGDIFERENTES",BC16,BL16))</f><v /></c><c r="AU16" s="372"><f>B16=C16</f><v /></c><c r="AV16" s="372"><f>N16&lt;Y16</f><v /></c><c r="AW16" s="372"><f>Z16&lt;=AK16</f><v /></c><c r="AX16" s="372"><f>IF(I16&gt;=1,"Qcorrecto",IF(AND(AY16="aceptable",AZ16="aceptable",BA16="aceptable"),"Qcorrecto","Qincorrecto"))</f><v /></c><c r="AY16" s="390"><f>IF(AR16&lt;$AH$6,"error",IF(AR16&gt;$AH$6*1.1,"error","aceptable"))</f><v /></c><c r="AZ16" s="390"><f>IF(AF16&lt;$V$6,"error",IF(AF16&gt;$V$6*1.1,"error","aceptable"))</f><v /></c><c r="BA16" s="390"><f>IF(T16&lt;$J$6*0.9,"error",IF(T16&gt;$J$6,"error","aceptable"))</f><v /></c><c r="BB16" s="25"><f>(IF(ABS(U16)&lt;1.05,"CONFORME",IF(ABS(AG16)&lt;1.05,"CONFORME",IF(ABS(AS16)&lt;2.55,"CONFORME","NO CONFORME"))))</f><v /></c><c r="BC16" s="5"><f>(IF(ABS(U16)&gt;2.05,"NO CONFORME",IF(ABS(AG16)&gt;2.05,"NO CONFORME",IF(ABS(AS16)&gt;5.05,"NO CONFORME","CONFORME"))))</f><v /></c><c r="BD16" s="374"><f>SIGN(U16)</f><v /></c><c r="BE16" s="374"><f>SIGN(AG16)</f><v /></c><c r="BF16" s="374"><f>SIGN(AS16)</f><v /></c><c r="BG16" s="374"><f>CONCATENATE(BD16,BE16,BF16)</f><v /></c><c r="BH16" s="374"><f>IF(BG16="111","SI","SD")</f><v /></c><c r="BI16" s="374"><f>IF(BG16="-1-1-1","SI","SD")</f><v /></c><c r="BJ16" s="374"><f>OR(BH16="SI",BI16="SI")</f><v /></c><c r="BK16" s="374"><f>IF(BJ16=FALSE,"SIGDIFERENTES","SIGIGUALES")</f><v /></c><c r="BL16" s="390"><f>IF(BC16="NO CONFORME","NO CONFORME",IF(BB16="CONFORME","CONFORME","NO CONFORME"))</f><v /></c></row><row r="17" ht="15.75" customHeight="1"><c r="A17" s="351" t="n"><v>9</v></c><c r="B17" s="375"><f>B16</f><v /></c><c r="C17" s="375"><f>C16</f><v /></c><c r="D17" s="376"><f>D16</f><v /></c><c r="E17" s="377"><f>E16</f><v /></c><c r="F17" s="13" t="n" /><c r="G17" s="355" t="inlineStr"><is><t>PA25516709</t></is></c><c r="H17" s="313"><f>H16</f><v /></c><c r="I17" s="38"><f>I16</f><v /></c><c r="J17" s="314"><f>J16</f><v /></c><c r="K17" s="378"><f>K16</f><v /></c><c r="L17" s="378"><f>L16</f><v /></c><c r="M17" s="379" t="n"><v>173.06</v></c><c r="N17" s="379" t="n"><v>272.64</v></c><c r="O17" s="380"><f>O16</f><v /></c><c r="P17" s="381"><f>P16</f><v /></c><c r="Q17" s="382"><f>LEFT(P17,1)</f><v /></c><c r="R17" s="382"><f>RIGHT(P17,6)</f><v /></c><c r="S17" s="382"><f>+(Q17*60+R17)/(60*60)</f><v /></c><c r="T17" s="383"><f>+O17/S17</f><v /></c><c r="U17" s="384"><f>+(((N17-M17-O17)/O17)*100)</f><v /></c><c r="V17" s="317"><f>V16</f><v /></c><c r="W17" s="385"><f>W16</f><v /></c><c r="X17" s="385"><f>X16</f><v /></c><c r="Y17" s="379" t="n"><v>278.15</v></c><c r="Z17" s="379" t="n"><v>288.12</v></c><c r="AA17" s="386"><f>AA16</f><v /></c><c r="AB17" s="387"><f>AB16</f><v /></c><c r="AC17" s="382"><f>LEFT(AB17,2)</f><v /></c><c r="AD17" s="382"><f>RIGHT(AB17,6)</f><v /></c><c r="AE17" s="382"><f>+(AC17*60+AD17)/(60*60)</f><v /></c><c r="AF17" s="383"><f>+AA17/AE17</f><v /></c><c r="AG17" s="321"><f>+(((Z17-Y17-AA17)/AA17)*100)</f><v /></c><c r="AH17" s="317"><f>AH16</f><v /></c><c r="AI17" s="385"><f>AI16</f><v /></c><c r="AJ17" s="385"><f>AJ16</f><v /></c><c r="AK17" s="379"><f>Z17</f><v /></c><c r="AL17" s="379" t="n"><v>293.15</v></c><c r="AM17" s="388"><f>AM16</f><v /></c><c r="AN17" s="381"><f>AN16</f><v /></c><c r="AO17" s="382"><f>LEFT(AN17,2)</f><v /></c><c r="AP17" s="382"><f>RIGHT(AN17,6)</f><v /></c><c r="AQ17" s="382"><f>+(AO17*60+AP17)/(60*60)</f><v /></c><c r="AR17" s="383"><f>+AM17/AQ17</f><v /></c><c r="AS17" s="321"><f>+(((AL17-AK17-AM17)/AM17)*100)</f><v /></c><c r="AT17" s="389"><f>IF(I17&gt;=1,"NO CONFORME",IF(BK17="SIGDIFERENTES",BC17,BL17))</f><v /></c><c r="AU17" s="372"><f>B17=C17</f><v /></c><c r="AV17" s="372"><f>N17&lt;Y17</f><v /></c><c r="AW17" s="372"><f>Z17&lt;=AK17</f><v /></c><c r="AX17" s="372"><f>IF(I17&gt;=1,"Qcorrecto",IF(AND(AY17="aceptable",AZ17="aceptable",BA17="aceptable"),"Qcorrecto","Qincorrecto"))</f><v /></c><c r="AY17" s="390"><f>IF(AR17&lt;$AH$6,"error",IF(AR17&gt;$AH$6*1.1,"error","aceptable"))</f><v /></c><c r="AZ17" s="390"><f>IF(AF17&lt;$V$6,"error",IF(AF17&gt;$V$6*1.1,"error","aceptable"))</f><v /></c><c r="BA17" s="390"><f>IF(T17&lt;$J$6*0.9,"error",IF(T17&gt;$J$6,"error","aceptable"))</f><v /></c><c r="BB17" s="25"><f>(IF(ABS(U17)&lt;1.05,"CONFORME",IF(ABS(AG17)&lt;1.05,"CONFORME",IF(ABS(AS17)&lt;2.55,"CONFORME","NO CONFORME"))))</f><v /></c><c r="BC17" s="5"><f>(IF(ABS(U17)&gt;2.05,"NO CONFORME",IF(ABS(AG17)&gt;2.05,"NO CONFORME",IF(ABS(AS17)&gt;5.05,"NO CONFORME","CONFORME"))))</f><v /></c><c r="BD17" s="374"><f>SIGN(U17)</f><v /></c><c r="BE17" s="374"><f>SIGN(AG17)</f><v /></c><c r="BF17" s="374"><f>SIGN(AS17)</f><v /></c><c r="BG17" s="374"><f>CONCATENATE(BD17,BE17,BF17)</f><v /></c><c r="BH17" s="374"><f>IF(BG17="111","SI","SD")</f><v /></c><c r="BI17" s="374"><f>IF(BG17="-1-1-1","SI","SD")</f><v /></c><c r="BJ17" s="374"><f>OR(BH17="SI",BI17="SI")</f><v /></c><c r="BK17" s="374"><f>IF(BJ17=FALSE,"SIGDIFERENTES","SIGIGUALES")</f><v /></c><c r="BL17" s="390"><f>IF(BC17="NO CONFORME","NO CONFORME",IF(BB17="CONFORME","CONFORME","NO CONFORME"))</f><v /></c></row><row r="18" ht="15" customHeight="1" thickBot="1"><c r="A18" s="351" t="n"><v>10</v></c><c r="B18" s="375"><f>B17</f><v /></c><c r="C18" s="375"><f>C17</f><v /></c><c r="D18" s="376"><f>D17</f><v /></c><c r="E18" s="377"><f>E17</f><v /></c><c r="F18" s="13" t="n" /><c r="G18" s="355" t="inlineStr"><is><t>PA25516710</t></is></c><c r="H18" s="313"><f>H17</f><v /></c><c r="I18" s="38"><f>I17</f><v /></c><c r="J18" s="314"><f>J17</f><v /></c><c r="K18" s="378"><f>K17</f><v /></c><c r="L18" s="378"><f>L17</f><v /></c><c r="M18" s="379" t="n"><v>172.75</v></c><c r="N18" s="379" t="n"><v>272.38</v></c><c r="O18" s="380"><f>O17</f><v /></c><c r="P18" s="381"><f>P17</f><v /></c><c r="Q18" s="382"><f>LEFT(P18,1)</f><v /></c><c r="R18" s="382"><f>RIGHT(P18,6)</f><v /></c><c r="S18" s="382"><f>+(Q18*60+R18)/(60*60)</f><v /></c><c r="T18" s="383"><f>+O18/S18</f><v /></c><c r="U18" s="384"><f>+(((N18-M18-O18)/O18)*100)</f><v /></c><c r="V18" s="317"><f>V17</f><v /></c><c r="W18" s="385"><f>W17</f><v /></c><c r="X18" s="385"><f>X17</f><v /></c><c r="Y18" s="379" t="n"><v>277.87</v></c><c r="Z18" s="379" t="n"><v>287.9</v></c><c r="AA18" s="386"><f>AA17</f><v /></c><c r="AB18" s="387"><f>AB17</f><v /></c><c r="AC18" s="382"><f>LEFT(AB18,2)</f><v /></c><c r="AD18" s="382"><f>RIGHT(AB18,6)</f><v /></c><c r="AE18" s="382"><f>+(AC18*60+AD18)/(60*60)</f><v /></c><c r="AF18" s="383"><f>+AA18/AE18</f><v /></c><c r="AG18" s="321"><f>+(((Z18-Y18-AA18)/AA18)*100)</f><v /></c><c r="AH18" s="317"><f>AH17</f><v /></c><c r="AI18" s="385"><f>AI17</f><v /></c><c r="AJ18" s="385"><f>AJ17</f><v /></c><c r="AK18" s="379"><f>Z18</f><v /></c><c r="AL18" s="379" t="n"><v>292.92</v></c><c r="AM18" s="388"><f>AM17</f><v /></c><c r="AN18" s="381"><f>AN17</f><v /></c><c r="AO18" s="382"><f>LEFT(AN18,2)</f><v /></c><c r="AP18" s="382"><f>RIGHT(AN18,6)</f><v /></c><c r="AQ18" s="382"><f>+(AO18*60+AP18)/(60*60)</f><v /></c><c r="AR18" s="383"><f>+AM18/AQ18</f><v /></c><c r="AS18" s="321"><f>+(((AL18-AK18-AM18)/AM18)*100)</f><v /></c><c r="AT18" s="389"><f>IF(I18&gt;=1,"NO CONFORME",IF(BK18="SIGDIFERENTES",BC18,BL18))</f><v /></c><c r="AU18" s="372"><f>B18=C18</f><v /></c><c r="AV18" s="372"><f>N18&lt;Y18</f><v /></c><c r="AW18" s="372"><f>Z18&lt;=AK18</f><v /></c><c r="AX18" s="372"><f>IF(I18&gt;=1,"Qcorrecto",IF(AND(AY18="aceptable",AZ18="aceptable",BA18="aceptable"),"Qcorrecto","Qincorrecto"))</f><v /></c><c r="AY18" s="390"><f>IF(AR18&lt;$AH$6,"error",IF(AR18&gt;$AH$6*1.1,"error","aceptable"))</f><v /></c><c r="AZ18" s="390"><f>IF(AF18&lt;$V$6,"error",IF(AF18&gt;$V$6*1.1,"error","aceptable"))</f><v /></c><c r="BA18" s="390"><f>IF(T18&lt;$J$6*0.9,"error",IF(T18&gt;$J$6,"error","aceptable"))</f><v /></c><c r="BB18" s="25"><f>(IF(ABS(U18)&lt;1.05,"CONFORME",IF(ABS(AG18)&lt;1.05,"CONFORME",IF(ABS(AS18)&lt;2.55,"CONFORME","NO CONFORME"))))</f><v /></c><c r="BC18" s="5"><f>(IF(ABS(U18)&gt;2.05,"NO CONFORME",IF(ABS(AG18)&gt;2.05,"NO CONFORME",IF(ABS(AS18)&gt;5.05,"NO CONFORME","CONFORME"))))</f><v /></c><c r="BD18" s="374"><f>SIGN(U18)</f><v /></c><c r="BE18" s="374"><f>SIGN(AG18)</f><v /></c><c r="BF18" s="374"><f>SIGN(AS18)</f><v /></c><c r="BG18" s="374"><f>CONCATENATE(BD18,BE18,BF18)</f><v /></c><c r="BH18" s="374"><f>IF(BG18="111","SI","SD")</f><v /></c><c r="BI18" s="374"><f>IF(BG18="-1-1-1","SI","SD")</f><v /></c><c r="BJ18" s="374"><f>OR(BH18="SI",BI18="SI")</f><v /></c><c r="BK18" s="374"><f>IF(BJ18=FALSE,"SIGDIFERENTES","SIGIGUALES")</f><v /></c><c r="BL18" s="390"><f>IF(BC18="NO CONFORME","NO CONFORME",IF(BB18="CONFORME","CONFORME","NO CONFORME"))</f><v /></c></row><row r="19" ht="15" customHeight="1" thickBot="1"><c r="A19" s="414" t="n"><v>11</v></c><c r="B19" s="415"><f>B18</f><v /></c><c r="C19" s="415"><f>C18</f><v /></c><c r="D19" s="416"><f>D18</f><v /></c><c r="E19" s="417"><f>E18</f><v /></c><c r="F19" s="56" t="n" /><c r="G19" s="355" t="inlineStr"><is><t>PA25516711</t></is></c><c r="H19" s="418"><f>H18</f><v /></c><c r="I19" s="419"><f>I18</f><v /></c><c r="J19" s="420"><f>J18</f><v /></c><c r="K19" s="421"><f>K18</f><v /></c><c r="L19" s="421"><f>L18</f><v /></c><c r="M19" s="422" t="n"><v>281.36</v></c><c r="N19" s="422" t="n"><v>381.44</v></c><c r="O19" s="423"><f>O18</f><v /></c><c r="P19" s="424"><f>P18</f><v /></c><c r="Q19" s="425"><f>LEFT(P19,1)</f><v /></c><c r="R19" s="425"><f>RIGHT(P19,6)</f><v /></c><c r="S19" s="425"><f>+(Q19*60+R19)/(60*60)</f><v /></c><c r="T19" s="426"><f>+O19/S19</f><v /></c><c r="U19" s="427"><f>+(((N19-M19-O19)/O19)*100)</f><v /></c><c r="V19" s="428"><f>V18</f><v /></c><c r="W19" s="429"><f>W18</f><v /></c><c r="X19" s="429"><f>X18</f><v /></c><c r="Y19" s="422" t="n"><v>386.95</v></c><c r="Z19" s="422" t="n"><v>396.92</v></c><c r="AA19" s="430"><f>AA18</f><v /></c><c r="AB19" s="431"><f>AB18</f><v /></c><c r="AC19" s="425"><f>LEFT(AB19,2)</f><v /></c><c r="AD19" s="425"><f>RIGHT(AB19,6)</f><v /></c><c r="AE19" s="425"><f>+(AC19*60+AD19)/(60*60)</f><v /></c><c r="AF19" s="426"><f>+AA19/AE19</f><v /></c><c r="AG19" s="432"><f>+(((Z19-Y19-AA19)/AA19)*100)</f><v /></c><c r="AH19" s="428"><f>AH18</f><v /></c><c r="AI19" s="429"><f>AI18</f><v /></c><c r="AJ19" s="429"><f>AJ18</f><v /></c><c r="AK19" s="422"><f>Z19</f><v /></c><c r="AL19" s="422" t="n"><v>401.9</v></c><c r="AM19" s="433"><f>AM18</f><v /></c><c r="AN19" s="424"><f>AN18</f><v /></c><c r="AO19" s="425"><f>LEFT(AN19,2)</f><v /></c><c r="AP19" s="425"><f>RIGHT(AN19,6)</f><v /></c><c r="AQ19" s="425"><f>+(AO19*60+AP19)/(60*60)</f><v /></c><c r="AR19" s="426"><f>+AM19/AQ19</f><v /></c><c r="AS19" s="432"><f>+(((AL19-AK19-AM19)/AM19)*100)</f><v /></c><c r="AT19" s="434"><f>IF(I19&gt;=1,"NO CONFORME",IF(BK19="SIGDIFERENTES",BC19,BL19))</f><v /></c><c r="AU19" s="372"><f>B19=C19</f><v /></c><c r="AV19" s="372"><f>N19&lt;Y19</f><v /></c><c r="AW19" s="372"><f>Z19&lt;=AK19</f><v /></c><c r="AX19" s="372"><f>IF(I19&gt;=1,"Qcorrecto",IF(AND(AY19="aceptable",AZ19="aceptable",BA19="aceptable"),"Qcorrecto","Qincorrecto"))</f><v /></c><c r="AY19" s="435"><f>IF(AR19&lt;$AH$6,"error",IF(AR19&gt;$AH$6*1.1,"error","aceptable"))</f><v /></c><c r="AZ19" s="435"><f>IF(AF19&lt;$V$6,"error",IF(AF19&gt;$V$6*1.1,"error","aceptable"))</f><v /></c><c r="BA19" s="435"><f>IF(T19&lt;$J$6*0.9,"error",IF(T19&gt;$J$6,"error","aceptable"))</f><v /></c><c r="BB19" s="436"><f>(IF(ABS(U19)&lt;1.05,"CONFORME",IF(ABS(AG19)&lt;1.05,"CONFORME",IF(ABS(AS19)&lt;2.55,"CONFORME","NO CONFORME"))))</f><v /></c><c r="BC19" s="437"><f>(IF(ABS(U19)&gt;2.05,"NO CONFORME",IF(ABS(AG19)&gt;2.05,"NO CONFORME",IF(ABS(AS19)&gt;5.05,"NO CONFORME","CONFORME"))))</f><v /></c><c r="BD19" s="374"><f>SIGN(U19)</f><v /></c><c r="BE19" s="374"><f>SIGN(AG19)</f><v /></c><c r="BF19" s="374"><f>SIGN(AS19)</f><v /></c><c r="BG19" s="374"><f>CONCATENATE(BD19,BE19,BF19)</f><v /></c><c r="BH19" s="374"><f>IF(BG19="111","SI","SD")</f><v /></c><c r="BI19" s="374"><f>IF(BG19="-1-1-1","SI","SD")</f><v /></c><c r="BJ19" s="374"><f>OR(BH19="SI",BI19="SI")</f><v /></c><c r="BK19" s="374"><f>IF(BJ19=FALSE,"SIGDIFERENTES","SIGIGUALES")</f><v /></c><c r="BL19" s="435"><f>IF(BC19="NO CONFORME","NO CONFORME",IF(BB19="CONFORME","CONFORME","NO CONFORME"))</f><v /></c></row><row r="20" ht="15" customHeight="1" thickBot="1"><c r="A20" s="377" t="n"><v>12</v></c><c r="B20" s="375"><f>B19</f><v /></c><c r="C20" s="375"><f>C19</f><v /></c><c r="D20" s="376"><f>D19</f><v /></c><c r="E20" s="377"><f>E19</f><v /></c><c r="F20" s="13" t="n" /><c r="G20" s="355" t="inlineStr"><is><t>PA25516712</t></is></c><c r="H20" s="313"><f>H19</f><v /></c><c r="I20" s="38"><f>I19</f><v /></c><c r="J20" s="314"><f>J19</f><v /></c><c r="K20" s="378"><f>K19</f><v /></c><c r="L20" s="378"><f>L19</f><v /></c><c r="M20" s="379" t="n"><v>283.25</v></c><c r="N20" s="379" t="n"><v>382.85</v></c><c r="O20" s="380"><f>O19</f><v /></c><c r="P20" s="381"><f>P19</f><v /></c><c r="Q20" s="382"><f>LEFT(P20,1)</f><v /></c><c r="R20" s="382"><f>RIGHT(P20,6)</f><v /></c><c r="S20" s="382"><f>+(Q20*60+R20)/(60*60)</f><v /></c><c r="T20" s="383"><f>+O20/S20</f><v /></c><c r="U20" s="384"><f>+(((N20-M20-O20)/O20)*100)</f><v /></c><c r="V20" s="317"><f>V19</f><v /></c><c r="W20" s="385"><f>W19</f><v /></c><c r="X20" s="385"><f>X19</f><v /></c><c r="Y20" s="379" t="n"><v>388.36</v></c><c r="Z20" s="379" t="n"><v>398.26</v></c><c r="AA20" s="386"><f>AA19</f><v /></c><c r="AB20" s="387"><f>AB19</f><v /></c><c r="AC20" s="382"><f>LEFT(AB20,2)</f><v /></c><c r="AD20" s="382"><f>RIGHT(AB20,6)</f><v /></c><c r="AE20" s="382"><f>+(AC20*60+AD20)/(60*60)</f><v /></c><c r="AF20" s="383"><f>+AA20/AE20</f><v /></c><c r="AG20" s="321"><f>+(((Z20-Y20-AA20)/AA20)*100)</f><v /></c><c r="AH20" s="317"><f>AH19</f><v /></c><c r="AI20" s="385"><f>AI19</f><v /></c><c r="AJ20" s="385"><f>AJ19</f><v /></c><c r="AK20" s="379"><f>Z20</f><v /></c><c r="AL20" s="379" t="n"><v>403.3</v></c><c r="AM20" s="388"><f>AM19</f><v /></c><c r="AN20" s="381"><f>AN19</f><v /></c><c r="AO20" s="382"><f>LEFT(AN20,2)</f><v /></c><c r="AP20" s="382"><f>RIGHT(AN20,6)</f><v /></c><c r="AQ20" s="382"><f>+(AO20*60+AP20)/(60*60)</f><v /></c><c r="AR20" s="383"><f>+AM20/AQ20</f><v /></c><c r="AS20" s="321"><f>+(((AL20-AK20-AM20)/AM20)*100)</f><v /></c><c r="AT20" s="389"><f>IF(I20&gt;=1,"NO CONFORME",IF(BK20="SIGDIFERENTES",BC20,BL20))</f><v /></c><c r="AU20" s="438"><f>B20=C20</f><v /></c><c r="AV20" s="438"><f>N20&lt;Y20</f><v /></c><c r="AW20" s="438"><f>Z20&lt;=AK20</f><v /></c><c r="AX20" s="438"><f>IF(I20&gt;=1,"Qcorrecto",IF(AND(AY20="aceptable",AZ20="aceptable",BA20="aceptable"),"Qcorrecto","Qincorrecto"))</f><v /></c><c r="AY20" s="390"><f>IF(AR20&lt;$AH$6,"error",IF(AR20&gt;$AH$6*1.1,"error","aceptable"))</f><v /></c><c r="AZ20" s="390"><f>IF(AF20&lt;$V$6,"error",IF(AF20&gt;$V$6*1.1,"error","aceptable"))</f><v /></c><c r="BA20" s="390"><f>IF(T20&lt;$J$6*0.9,"error",IF(T20&gt;$J$6,"error","aceptable"))</f><v /></c><c r="BB20" s="439"><f>(IF(ABS(U20)&lt;1.05,"CONFORME",IF(ABS(AG20)&lt;1.05,"CONFORME",IF(ABS(AS20)&lt;2.55,"CONFORME","NO CONFORME"))))</f><v /></c><c r="BC20" s="440"><f>(IF(ABS(U20)&gt;2.05,"NO CONFORME",IF(ABS(AG20)&gt;2.05,"NO CONFORME",IF(ABS(AS20)&gt;5.05,"NO CONFORME","CONFORME"))))</f><v /></c><c r="BD20" s="441"><f>SIGN(U20)</f><v /></c><c r="BE20" s="441"><f>SIGN(AG20)</f><v /></c><c r="BF20" s="441"><f>SIGN(AS20)</f><v /></c><c r="BG20" s="441"><f>CONCATENATE(BD20,BE20,BF20)</f><v /></c><c r="BH20" s="441"><f>IF(BG20="111","SI","SD")</f><v /></c><c r="BI20" s="441"><f>IF(BG20="-1-1-1","SI","SD")</f><v /></c><c r="BJ20" s="441"><f>OR(BH20="SI",BI20="SI")</f><v /></c><c r="BK20" s="441"><f>IF(BJ20=FALSE,"SIGDIFERENTES","SIGIGUALES")</f><v /></c><c r="BL20" s="390"><f>IF(BC20="NO CONFORME","NO CONFORME",IF(BB20="CONFORME","CONFORME","NO CONFORME"))</f><v /></c></row><row r="21" ht="15" customHeight="1" thickBot="1"><c r="A21" s="351" t="n"><v>13</v></c><c r="B21" s="352"><f>B20</f><v /></c><c r="C21" s="352"><f>C20</f><v /></c><c r="D21" s="353"><f>D20</f><v /></c><c r="E21" s="354"><f>E20</f><v /></c><c r="F21" s="58" t="n" /><c r="G21" s="355" t="inlineStr"><is><t>PA25516713</t></is></c><c r="H21" s="356"><f>H20</f><v /></c><c r="I21" s="232"><f>I20</f><v /></c><c r="J21" s="357" t="n"><v>21.1</v></c><c r="K21" s="378"><f>K20</f><v /></c><c r="L21" s="378"><f>L20</f><v /></c><c r="M21" s="359" t="n"><v>171.19</v></c><c r="N21" s="359" t="n"><v>271.44</v></c><c r="O21" s="380"><f>O20</f><v /></c><c r="P21" s="381"><f>P20</f><v /></c><c r="Q21" s="362"><f>LEFT(P21,1)</f><v /></c><c r="R21" s="362"><f>RIGHT(P21,6)</f><v /></c><c r="S21" s="362"><f>+(Q21*60+R21)/(60*60)</f><v /></c><c r="T21" s="363"><f>+O21/S21</f><v /></c><c r="U21" s="364"><f>+(((N21-M21-O21)/O21)*100)</f><v /></c><c r="V21" s="317"><f>V20</f><v /></c><c r="W21" s="385"><f>W20</f><v /></c><c r="X21" s="385"><f>X20</f><v /></c><c r="Y21" s="359" t="n"><v>276.96</v></c><c r="Z21" s="359" t="n"><v>286.99</v></c><c r="AA21" s="386"><f>AA20</f><v /></c><c r="AB21" s="387"><f>AB20</f><v /></c><c r="AC21" s="362"><f>LEFT(AB21,2)</f><v /></c><c r="AD21" s="362"><f>RIGHT(AB21,6)</f><v /></c><c r="AE21" s="362"><f>+(AC21*60+AD21)/(60*60)</f><v /></c><c r="AF21" s="363"><f>+AA21/AE21</f><v /></c><c r="AG21" s="369"><f>+(((Z21-Y21-AA21)/AA21)*100)</f><v /></c><c r="AH21" s="317"><f>AH20</f><v /></c><c r="AI21" s="385"><f>AI20</f><v /></c><c r="AJ21" s="385"><f>AJ20</f><v /></c><c r="AK21" s="359"><f>Z21</f><v /></c><c r="AL21" s="359" t="n"><v>291.95</v></c><c r="AM21" s="388"><f>AM20</f><v /></c><c r="AN21" s="381"><f>AN20</f><v /></c><c r="AO21" s="362"><f>LEFT(AN21,2)</f><v /></c><c r="AP21" s="362"><f>RIGHT(AN21,6)</f><v /></c><c r="AQ21" s="362"><f>+(AO21*60+AP21)/(60*60)</f><v /></c><c r="AR21" s="363"><f>+AM21/AQ21</f><v /></c><c r="AS21" s="369"><f>+(((AL21-AK21-AM21)/AM21)*100)</f><v /></c><c r="AT21" s="371"><f>IF(I21&gt;=1,"NO CONFORME",IF(BK21="SIGDIFERENTES",BC21,BL21))</f><v /></c><c r="AU21" s="372"><f>B21=C21</f><v /></c><c r="AV21" s="372"><f>N21&lt;Y21</f><v /></c><c r="AW21" s="372"><f>Z21&lt;=AK21</f><v /></c><c r="AX21" s="372"><f>IF(I21&gt;=1,"Qcorrecto",IF(AND(AY21="aceptable",AZ21="aceptable",BA21="aceptable"),"Qcorrecto","Qincorrecto"))</f><v /></c><c r="AY21" s="373"><f>IF(AR21&lt;$AH$6,"error",IF(AR21&gt;$AH$6*1.1,"error","aceptable"))</f><v /></c><c r="AZ21" s="373"><f>IF(AF21&lt;$V$6,"error",IF(AF21&gt;$V$6*1.1,"error","aceptable"))</f><v /></c><c r="BA21" s="373"><f>IF(T21&lt;$J$6*0.9,"error",IF(T21&gt;$J$6,"error","aceptable"))</f><v /></c><c r="BB21" s="25"><f>(IF(ABS(U21)&lt;1.05,"CONFORME",IF(ABS(AG21)&lt;1.05,"CONFORME",IF(ABS(AS21)&lt;2.55,"CONFORME","NO CONFORME"))))</f><v /></c><c r="BC21" s="5"><f>(IF(ABS(U21)&gt;2.05,"NO CONFORME",IF(ABS(AG21)&gt;2.05,"NO CONFORME",IF(ABS(AS21)&gt;5.05,"NO CONFORME","CONFORME"))))</f><v /></c><c r="BD21" s="374"><f>SIGN(U21)</f><v /></c><c r="BE21" s="374"><f>SIGN(AG21)</f><v /></c><c r="BF21" s="374"><f>SIGN(AS21)</f><v /></c><c r="BG21" s="374"><f>CONCATENATE(BD21,BE21,BF21)</f><v /></c><c r="BH21" s="374"><f>IF(BG21="111","SI","SD")</f><v /></c><c r="BI21" s="374"><f>IF(BG21="-1-1-1","SI","SD")</f><v /></c><c r="BJ21" s="374"><f>OR(BH21="SI",BI21="SI")</f><v /></c><c r="BK21" s="374"><f>IF(BJ21=FALSE,"SIGDIFERENTES","SIGIGUALES")</f><v /></c><c r="BL21" s="373"><f>IF(BC21="NO CONFORME","NO CONFORME",IF(BB21="CONFORME","CONFORME","NO CONFORME"))</f><v /></c></row><row r="22" ht="15" customHeight="1" thickBot="1"><c r="A22" s="351" t="n"><v>14</v></c><c r="B22" s="375"><f>B21</f><v /></c><c r="C22" s="375"><f>C21</f><v /></c><c r="D22" s="376"><f>D21</f><v /></c><c r="E22" s="377"><f>E21</f><v /></c><c r="F22" s="13" t="n" /><c r="G22" s="442" t="inlineStr"><is><t>PA25516714</t></is></c><c r="H22" s="313"><f>H21</f><v /></c><c r="I22" s="38"><f>I21</f><v /></c><c r="J22" s="314"><f>J21</f><v /></c><c r="K22" s="378"><f>K21</f><v /></c><c r="L22" s="378"><f>L21</f><v /></c><c r="M22" s="379" t="n"><v>168.24</v></c><c r="N22" s="379" t="n"><v>266.91</v></c><c r="O22" s="380"><f>O21</f><v /></c><c r="P22" s="381"><f>P21</f><v /></c><c r="Q22" s="382"><f>LEFT(P22,1)</f><v /></c><c r="R22" s="382"><f>RIGHT(P22,6)</f><v /></c><c r="S22" s="382"><f>+(Q22*60+R22)/(60*60)</f><v /></c><c r="T22" s="383"><f>+O22/S22</f><v /></c><c r="U22" s="384"><f>+(((N22-M22-O22)/O22)*100)</f><v /></c><c r="V22" s="317"><f>V21</f><v /></c><c r="W22" s="385"><f>W21</f><v /></c><c r="X22" s="385"><f>X21</f><v /></c><c r="Y22" s="379" t="n"><v>272.35</v></c><c r="Z22" s="379" t="n"><v>281.85</v></c><c r="AA22" s="386"><f>AA21</f><v /></c><c r="AB22" s="387"><f>AB21</f><v /></c><c r="AC22" s="382"><f>LEFT(AB22,2)</f><v /></c><c r="AD22" s="382"><f>RIGHT(AB22,6)</f><v /></c><c r="AE22" s="382"><f>+(AC22*60+AD22)/(60*60)</f><v /></c><c r="AF22" s="383"><f>+AA22/AE22</f><v /></c><c r="AG22" s="321"><f>+(((Z22-Y22-AA22)/AA22)*100)</f><v /></c><c r="AH22" s="317"><f>AH21</f><v /></c><c r="AI22" s="385"><f>AI21</f><v /></c><c r="AJ22" s="385"><f>AJ21</f><v /></c><c r="AK22" s="379"><f>Z22</f><v /></c><c r="AL22" s="379" t="n"><v>286.29</v></c><c r="AM22" s="388"><f>AM21</f><v /></c><c r="AN22" s="381"><f>AN21</f><v /></c><c r="AO22" s="382"><f>LEFT(AN22,2)</f><v /></c><c r="AP22" s="382"><f>RIGHT(AN22,6)</f><v /></c><c r="AQ22" s="382"><f>+(AO22*60+AP22)/(60*60)</f><v /></c><c r="AR22" s="383"><f>+AM22/AQ22</f><v /></c><c r="AS22" s="321"><f>+(((AL22-AK22-AM22)/AM22)*100)</f><v /></c><c r="AT22" s="389"><f>IF(I22&gt;=1,"NO CONFORME",IF(BK22="SIGDIFERENTES",BC22,BL22))</f><v /></c><c r="AU22" s="372"><f>B22=C22</f><v /></c><c r="AV22" s="372"><f>N22&lt;Y22</f><v /></c><c r="AW22" s="372"><f>Z22&lt;=AK22</f><v /></c><c r="AX22" s="372"><f>IF(I22&gt;=1,"Qcorrecto",IF(AND(AY22="aceptable",AZ22="aceptable",BA22="aceptable"),"Qcorrecto","Qincorrecto"))</f><v /></c><c r="AY22" s="390"><f>IF(AR22&lt;$AH$6,"error",IF(AR22&gt;$AH$6*1.1,"error","aceptable"))</f><v /></c><c r="AZ22" s="390"><f>IF(AF22&lt;$V$6,"error",IF(AF22&gt;$V$6*1.1,"error","aceptable"))</f><v /></c><c r="BA22" s="390"><f>IF(T22&lt;$J$6*0.9,"error",IF(T22&gt;$J$6,"error","aceptable"))</f><v /></c><c r="BB22" s="25"><f>(IF(ABS(U22)&lt;1.05,"CONFORME",IF(ABS(AG22)&lt;1.05,"CONFORME",IF(ABS(AS22)&lt;2.55,"CONFORME","NO CONFORME"))))</f><v /></c><c r="BC22" s="5"><f>(IF(ABS(U22)&gt;2.05,"NO CONFORME",IF(ABS(AG22)&gt;2.05,"NO CONFORME",IF(ABS(AS22)&gt;5.05,"NO CONFORME","CONFORME"))))</f><v /></c><c r="BD22" s="374"><f>SIGN(U22)</f><v /></c><c r="BE22" s="374"><f>SIGN(AG22)</f><v /></c><c r="BF22" s="374"><f>SIGN(AS22)</f><v /></c><c r="BG22" s="374"><f>CONCATENATE(BD22,BE22,BF22)</f><v /></c><c r="BH22" s="374"><f>IF(BG22="111","SI","SD")</f><v /></c><c r="BI22" s="374"><f>IF(BG22="-1-1-1","SI","SD")</f><v /></c><c r="BJ22" s="374"><f>OR(BH22="SI",BI22="SI")</f><v /></c><c r="BK22" s="374"><f>IF(BJ22=FALSE,"SIGDIFERENTES","SIGIGUALES")</f><v /></c><c r="BL22" s="390"><f>IF(BC22="NO CONFORME","NO CONFORME",IF(BB22="CONFORME","CONFORME","NO CONFORME"))</f><v /></c></row><row r="23" ht="15" customHeight="1" thickBot="1"><c r="A23" s="351" t="n"><v>15</v></c><c r="B23" s="375"><f>B22</f><v /></c><c r="C23" s="375"><f>C22</f><v /></c><c r="D23" s="376"><f>D22</f><v /></c><c r="E23" s="377"><f>E22</f><v /></c><c r="F23" s="13" t="n" /><c r="G23" s="355" t="inlineStr"><is><t>PA25516715</t></is></c><c r="H23" s="313"><f>H22</f><v /></c><c r="I23" s="38"><f>I22</f><v /></c><c r="J23" s="314"><f>J22</f><v /></c><c r="K23" s="378"><f>K22</f><v /></c><c r="L23" s="378"><f>L22</f><v /></c><c r="M23" s="379" t="n"><v>173.86</v></c><c r="N23" s="379" t="n"><v>274.15</v></c><c r="O23" s="380"><f>O22</f><v /></c><c r="P23" s="381"><f>P22</f><v /></c><c r="Q23" s="382"><f>LEFT(P23,1)</f><v /></c><c r="R23" s="382"><f>RIGHT(P23,6)</f><v /></c><c r="S23" s="382"><f>+(Q23*60+R23)/(60*60)</f><v /></c><c r="T23" s="383"><f>+O23/S23</f><v /></c><c r="U23" s="384"><f>+(((N23-M23-O23)/O23)*100)</f><v /></c><c r="V23" s="317"><f>V22</f><v /></c><c r="W23" s="385"><f>W22</f><v /></c><c r="X23" s="385"><f>X22</f><v /></c><c r="Y23" s="379" t="n"><v>279.71</v></c><c r="Z23" s="379" t="n"><v>289.71</v></c><c r="AA23" s="386"><f>AA22</f><v /></c><c r="AB23" s="387"><f>AB22</f><v /></c><c r="AC23" s="382"><f>LEFT(AB23,2)</f><v /></c><c r="AD23" s="382"><f>RIGHT(AB23,6)</f><v /></c><c r="AE23" s="382"><f>+(AC23*60+AD23)/(60*60)</f><v /></c><c r="AF23" s="383"><f>+AA23/AE23</f><v /></c><c r="AG23" s="321"><f>+(((Z23-Y23-AA23)/AA23)*100)</f><v /></c><c r="AH23" s="317"><f>AH22</f><v /></c><c r="AI23" s="385"><f>AI22</f><v /></c><c r="AJ23" s="385"><f>AJ22</f><v /></c><c r="AK23" s="379"><f>Z23</f><v /></c><c r="AL23" s="379" t="n"><v>294.71</v></c><c r="AM23" s="388"><f>AM22</f><v /></c><c r="AN23" s="381"><f>AN22</f><v /></c><c r="AO23" s="382"><f>LEFT(AN23,2)</f><v /></c><c r="AP23" s="382"><f>RIGHT(AN23,6)</f><v /></c><c r="AQ23" s="382"><f>+(AO23*60+AP23)/(60*60)</f><v /></c><c r="AR23" s="383"><f>+AM23/AQ23</f><v /></c><c r="AS23" s="321"><f>+(((AL23-AK23-AM23)/AM23)*100)</f><v /></c><c r="AT23" s="389"><f>IF(I23&gt;=1,"NO CONFORME",IF(BK23="SIGDIFERENTES",BC23,BL23))</f><v /></c><c r="AU23" s="372"><f>B23=C23</f><v /></c><c r="AV23" s="372"><f>N23&lt;Y23</f><v /></c><c r="AW23" s="372"><f>Z23&lt;=AK23</f><v /></c><c r="AX23" s="372"><f>IF(I23&gt;=1,"Qcorrecto",IF(AND(AY23="aceptable",AZ23="aceptable",BA23="aceptable"),"Qcorrecto","Qincorrecto"))</f><v /></c><c r="AY23" s="390"><f>IF(AR23&lt;$AH$6,"error",IF(AR23&gt;$AH$6*1.1,"error","aceptable"))</f><v /></c><c r="AZ23" s="390"><f>IF(AF23&lt;$V$6,"error",IF(AF23&gt;$V$6*1.1,"error","aceptable"))</f><v /></c><c r="BA23" s="390"><f>IF(T23&lt;$J$6*0.9,"error",IF(T23&gt;$J$6,"error","aceptable"))</f><v /></c><c r="BB23" s="25"><f>(IF(ABS(U23)&lt;1.05,"CONFORME",IF(ABS(AG23)&lt;1.05,"CONFORME",IF(ABS(AS23)&lt;2.55,"CONFORME","NO CONFORME"))))</f><v /></c><c r="BC23" s="5"><f>(IF(ABS(U23)&gt;2.05,"NO CONFORME",IF(ABS(AG23)&gt;2.05,"NO CONFORME",IF(ABS(AS23)&gt;5.05,"NO CONFORME","CONFORME"))))</f><v /></c><c r="BD23" s="374"><f>SIGN(U23)</f><v /></c><c r="BE23" s="374"><f>SIGN(AG23)</f><v /></c><c r="BF23" s="374"><f>SIGN(AS23)</f><v /></c><c r="BG23" s="374"><f>CONCATENATE(BD23,BE23,BF23)</f><v /></c><c r="BH23" s="374"><f>IF(BG23="111","SI","SD")</f><v /></c><c r="BI23" s="374"><f>IF(BG23="-1-1-1","SI","SD")</f><v /></c><c r="BJ23" s="374"><f>OR(BH23="SI",BI23="SI")</f><v /></c><c r="BK23" s="374"><f>IF(BJ23=FALSE,"SIGDIFERENTES","SIGIGUALES")</f><v /></c><c r="BL23" s="390"><f>IF(BC23="NO CONFORME","NO CONFORME",IF(BB23="CONFORME","CONFORME","NO CONFORME"))</f><v /></c></row><row r="24" ht="15.75" customHeight="1" thickBot="1"><c r="A24" s="351" t="n"><v>16</v></c><c r="B24" s="375"><f>B23</f><v /></c><c r="C24" s="375"><f>C23</f><v /></c><c r="D24" s="376"><f>D23</f><v /></c><c r="E24" s="377"><f>E23</f><v /></c><c r="F24" s="13" t="n" /><c r="G24" s="355" t="inlineStr"><is><t>PA25516716</t></is></c><c r="H24" s="313"><f>H23</f><v /></c><c r="I24" s="38"><f>I23</f><v /></c><c r="J24" s="314"><f>J23</f><v /></c><c r="K24" s="378"><f>K23</f><v /></c><c r="L24" s="378"><f>L23</f><v /></c><c r="M24" s="379" t="n"><v>171.25</v></c><c r="N24" s="379" t="n"><v>271.34</v></c><c r="O24" s="380"><f>O23</f><v /></c><c r="P24" s="381"><f>P23</f><v /></c><c r="Q24" s="382"><f>LEFT(P24,1)</f><v /></c><c r="R24" s="382"><f>RIGHT(P24,6)</f><v /></c><c r="S24" s="382"><f>+(Q24*60+R24)/(60*60)</f><v /></c><c r="T24" s="383"><f>+O24/S24</f><v /></c><c r="U24" s="384"><f>+(((N24-M24-O24)/O24)*100)</f><v /></c><c r="V24" s="317"><f>V23</f><v /></c><c r="W24" s="385"><f>W23</f><v /></c><c r="X24" s="385"><f>X23</f><v /></c><c r="Y24" s="379" t="n"><v>276.86</v></c><c r="Z24" s="379" t="n"><v>286.85</v></c><c r="AA24" s="386"><f>AA23</f><v /></c><c r="AB24" s="387"><f>AB23</f><v /></c><c r="AC24" s="382"><f>LEFT(AB24,2)</f><v /></c><c r="AD24" s="382"><f>RIGHT(AB24,6)</f><v /></c><c r="AE24" s="382"><f>+(AC24*60+AD24)/(60*60)</f><v /></c><c r="AF24" s="383"><f>+AA24/AE24</f><v /></c><c r="AG24" s="321"><f>+(((Z24-Y24-AA24)/AA24)*100)</f><v /></c><c r="AH24" s="317"><f>AH23</f><v /></c><c r="AI24" s="385"><f>AI23</f><v /></c><c r="AJ24" s="385"><f>AJ23</f><v /></c><c r="AK24" s="379"><f>Z24</f><v /></c><c r="AL24" s="379" t="n"><v>291.89</v></c><c r="AM24" s="388"><f>AM23</f><v /></c><c r="AN24" s="381"><f>AN23</f><v /></c><c r="AO24" s="382"><f>LEFT(AN24,2)</f><v /></c><c r="AP24" s="382"><f>RIGHT(AN24,6)</f><v /></c><c r="AQ24" s="382"><f>+(AO24*60+AP24)/(60*60)</f><v /></c><c r="AR24" s="383"><f>+AM24/AQ24</f><v /></c><c r="AS24" s="321"><f>+(((AL24-AK24-AM24)/AM24)*100)</f><v /></c><c r="AT24" s="389"><f>IF(I24&gt;=1,"NO CONFORME",IF(BK24="SIGDIFERENTES",BC24,BL24))</f><v /></c><c r="AU24" s="372"><f>B24=C24</f><v /></c><c r="AV24" s="372"><f>N24&lt;Y24</f><v /></c><c r="AW24" s="372"><f>Z24&lt;=AK24</f><v /></c><c r="AX24" s="372"><f>IF(I24&gt;=1,"Qcorrecto",IF(AND(AY24="aceptable",AZ24="aceptable",BA24="aceptable"),"Qcorrecto","Qincorrecto"))</f><v /></c><c r="AY24" s="390"><f>IF(AR24&lt;$AH$6,"error",IF(AR24&gt;$AH$6*1.1,"error","aceptable"))</f><v /></c><c r="AZ24" s="390"><f>IF(AF24&lt;$V$6,"error",IF(AF24&gt;$V$6*1.1,"error","aceptable"))</f><v /></c><c r="BA24" s="390"><f>IF(T24&lt;$J$6*0.9,"error",IF(T24&gt;$J$6,"error","aceptable"))</f><v /></c><c r="BB24" s="25"><f>(IF(ABS(U24)&lt;1.05,"CONFORME",IF(ABS(AG24)&lt;1.05,"CONFORME",IF(ABS(AS24)&lt;2.55,"CONFORME","NO CONFORME"))))</f><v /></c><c r="BC24" s="5"><f>(IF(ABS(U24)&gt;2.05,"NO CONFORME",IF(ABS(AG24)&gt;2.05,"NO CONFORME",IF(ABS(AS24)&gt;5.05,"NO CONFORME","CONFORME"))))</f><v /></c><c r="BD24" s="374"><f>SIGN(U24)</f><v /></c><c r="BE24" s="374"><f>SIGN(AG24)</f><v /></c><c r="BF24" s="374"><f>SIGN(AS24)</f><v /></c><c r="BG24" s="374"><f>CONCATENATE(BD24,BE24,BF24)</f><v /></c><c r="BH24" s="374"><f>IF(BG24="111","SI","SD")</f><v /></c><c r="BI24" s="374"><f>IF(BG24="-1-1-1","SI","SD")</f><v /></c><c r="BJ24" s="374"><f>OR(BH24="SI",BI24="SI")</f><v /></c><c r="BK24" s="374"><f>IF(BJ24=FALSE,"SIGDIFERENTES","SIGIGUALES")</f><v /></c><c r="BL24" s="390"><f>IF(BC24="NO CONFORME","NO CONFORME",IF(BB24="CONFORME","CONFORME","NO CONFORME"))</f><v /></c></row><row r="25" ht="14.4" customHeight="1" thickBot="1"><c r="A25" s="351" t="n"><v>17</v></c><c r="B25" s="375"><f>B24</f><v /></c><c r="C25" s="375"><f>C24</f><v /></c><c r="D25" s="376"><f>D24</f><v /></c><c r="E25" s="377"><f>E24</f><v /></c><c r="F25" s="13" t="n" /><c r="G25" s="355" t="inlineStr"><is><t>PA25516717</t></is></c><c r="H25" s="313"><f>H24</f><v /></c><c r="I25" s="38"><f>I24</f><v /></c><c r="J25" s="314"><f>J24</f><v /></c><c r="K25" s="378"><f>K24</f><v /></c><c r="L25" s="378"><f>L24</f><v /></c><c r="M25" s="379" t="n"><v>175.36</v></c><c r="N25" s="379" t="n"><v>275.73</v></c><c r="O25" s="380"><f>O24</f><v /></c><c r="P25" s="381"><f>P24</f><v /></c><c r="Q25" s="382"><f>LEFT(P25,1)</f><v /></c><c r="R25" s="382"><f>RIGHT(P25,6)</f><v /></c><c r="S25" s="382"><f>+(Q25*60+R25)/(60*60)</f><v /></c><c r="T25" s="383"><f>+O25/S25</f><v /></c><c r="U25" s="384"><f>+(((N25-M25-O25)/O25)*100)</f><v /></c><c r="V25" s="317"><f>V24</f><v /></c><c r="W25" s="385"><f>W24</f><v /></c><c r="X25" s="385"><f>X24</f><v /></c><c r="Y25" s="379" t="n"><v>281.26</v></c><c r="Z25" s="379" t="n"><v>291.25</v></c><c r="AA25" s="386"><f>AA24</f><v /></c><c r="AB25" s="387"><f>AB24</f><v /></c><c r="AC25" s="382"><f>LEFT(AB25,2)</f><v /></c><c r="AD25" s="382"><f>RIGHT(AB25,6)</f><v /></c><c r="AE25" s="382"><f>+(AC25*60+AD25)/(60*60)</f><v /></c><c r="AF25" s="383"><f>+AA25/AE25</f><v /></c><c r="AG25" s="321"><f>+(((Z25-Y25-AA25)/AA25)*100)</f><v /></c><c r="AH25" s="317"><f>AH24</f><v /></c><c r="AI25" s="385"><f>AI24</f><v /></c><c r="AJ25" s="385"><f>AJ24</f><v /></c><c r="AK25" s="379"><f>Z25</f><v /></c><c r="AL25" s="379" t="n"><v>296.28</v></c><c r="AM25" s="388"><f>AM24</f><v /></c><c r="AN25" s="381"><f>AN24</f><v /></c><c r="AO25" s="382"><f>LEFT(AN25,2)</f><v /></c><c r="AP25" s="382"><f>RIGHT(AN25,6)</f><v /></c><c r="AQ25" s="382"><f>+(AO25*60+AP25)/(60*60)</f><v /></c><c r="AR25" s="383"><f>+AM25/AQ25</f><v /></c><c r="AS25" s="321"><f>+(((AL25-AK25-AM25)/AM25)*100)</f><v /></c><c r="AT25" s="389"><f>IF(I25&gt;=1,"NO CONFORME",IF(BK25="SIGDIFERENTES",BC25,BL25))</f><v /></c><c r="AU25" s="372"><f>B25=C25</f><v /></c><c r="AV25" s="372"><f>N25&lt;Y25</f><v /></c><c r="AW25" s="372"><f>Z25&lt;=AK25</f><v /></c><c r="AX25" s="372"><f>IF(I25&gt;=1,"Qcorrecto",IF(AND(AY25="aceptable",AZ25="aceptable",BA25="aceptable"),"Qcorrecto","Qincorrecto"))</f><v /></c><c r="AY25" s="390"><f>IF(AR25&lt;$AH$6,"error",IF(AR25&gt;$AH$6*1.1,"error","aceptable"))</f><v /></c><c r="AZ25" s="390"><f>IF(AF25&lt;$V$6,"error",IF(AF25&gt;$V$6*1.1,"error","aceptable"))</f><v /></c><c r="BA25" s="390"><f>IF(T25&lt;$J$6*0.9,"error",IF(T25&gt;$J$6,"error","aceptable"))</f><v /></c><c r="BB25" s="25"><f>(IF(ABS(U25)&lt;1.05,"CONFORME",IF(ABS(AG25)&lt;1.05,"CONFORME",IF(ABS(AS25)&lt;2.55,"CONFORME","NO CONFORME"))))</f><v /></c><c r="BC25" s="5"><f>(IF(ABS(U25)&gt;2.05,"NO CONFORME",IF(ABS(AG25)&gt;2.05,"NO CONFORME",IF(ABS(AS25)&gt;5.05,"NO CONFORME","CONFORME"))))</f><v /></c><c r="BD25" s="374"><f>SIGN(U25)</f><v /></c><c r="BE25" s="374"><f>SIGN(AG25)</f><v /></c><c r="BF25" s="374"><f>SIGN(AS25)</f><v /></c><c r="BG25" s="374"><f>CONCATENATE(BD25,BE25,BF25)</f><v /></c><c r="BH25" s="374"><f>IF(BG25="111","SI","SD")</f><v /></c><c r="BI25" s="374"><f>IF(BG25="-1-1-1","SI","SD")</f><v /></c><c r="BJ25" s="374"><f>OR(BH25="SI",BI25="SI")</f><v /></c><c r="BK25" s="374"><f>IF(BJ25=FALSE,"SIGDIFERENTES","SIGIGUALES")</f><v /></c><c r="BL25" s="390"><f>IF(BC25="NO CONFORME","NO CONFORME",IF(BB25="CONFORME","CONFORME","NO CONFORME"))</f><v /></c></row><row r="26" ht="14.4" customHeight="1" thickBot="1"><c r="A26" s="351" t="n"><v>18</v></c><c r="B26" s="375"><f>B25</f><v /></c><c r="C26" s="375"><f>C25</f><v /></c><c r="D26" s="376"><f>D25</f><v /></c><c r="E26" s="377"><f>E25</f><v /></c><c r="F26" s="13" t="n" /><c r="G26" s="355" t="inlineStr"><is><t>PA25516718</t></is></c><c r="H26" s="313"><f>H25</f><v /></c><c r="I26" s="38"><f>I25</f><v /></c><c r="J26" s="314"><f>J25</f><v /></c><c r="K26" s="378"><f>K25</f><v /></c><c r="L26" s="378"><f>L25</f><v /></c><c r="M26" s="379" t="n"><v>171.66</v></c><c r="N26" s="379" t="n"><v>271.35</v></c><c r="O26" s="380"><f>O25</f><v /></c><c r="P26" s="381"><f>P25</f><v /></c><c r="Q26" s="382"><f>LEFT(P26,1)</f><v /></c><c r="R26" s="382"><f>RIGHT(P26,6)</f><v /></c><c r="S26" s="382"><f>+(Q26*60+R26)/(60*60)</f><v /></c><c r="T26" s="383"><f>+O26/S26</f><v /></c><c r="U26" s="384"><f>+(((N26-M26-O26)/O26)*100)</f><v /></c><c r="V26" s="317"><f>V25</f><v /></c><c r="W26" s="385"><f>W25</f><v /></c><c r="X26" s="385"><f>X25</f><v /></c><c r="Y26" s="379" t="n"><v>276.86</v></c><c r="Z26" s="379" t="n"><v>286.82</v></c><c r="AA26" s="386"><f>AA25</f><v /></c><c r="AB26" s="387"><f>AB25</f><v /></c><c r="AC26" s="382"><f>LEFT(AB26,2)</f><v /></c><c r="AD26" s="382"><f>RIGHT(AB26,6)</f><v /></c><c r="AE26" s="382"><f>+(AC26*60+AD26)/(60*60)</f><v /></c><c r="AF26" s="383"><f>+AA26/AE26</f><v /></c><c r="AG26" s="321"><f>+(((Z26-Y26-AA26)/AA26)*100)</f><v /></c><c r="AH26" s="317"><f>AH25</f><v /></c><c r="AI26" s="385"><f>AI25</f><v /></c><c r="AJ26" s="385"><f>AJ25</f><v /></c><c r="AK26" s="379"><f>Z26</f><v /></c><c r="AL26" s="379" t="n"><v>291.81</v></c><c r="AM26" s="388"><f>AM25</f><v /></c><c r="AN26" s="381"><f>AN25</f><v /></c><c r="AO26" s="382"><f>LEFT(AN26,2)</f><v /></c><c r="AP26" s="382"><f>RIGHT(AN26,6)</f><v /></c><c r="AQ26" s="382"><f>+(AO26*60+AP26)/(60*60)</f><v /></c><c r="AR26" s="383"><f>+AM26/AQ26</f><v /></c><c r="AS26" s="321"><f>+(((AL26-AK26-AM26)/AM26)*100)</f><v /></c><c r="AT26" s="389"><f>IF(I26&gt;=1,"NO CONFORME",IF(BK26="SIGDIFERENTES",BC26,BL26))</f><v /></c><c r="AU26" s="372"><f>B26=C26</f><v /></c><c r="AV26" s="372"><f>N26&lt;Y26</f><v /></c><c r="AW26" s="372"><f>Z26&lt;=AK26</f><v /></c><c r="AX26" s="372"><f>IF(I26&gt;=1,"Qcorrecto",IF(AND(AY26="aceptable",AZ26="aceptable",BA26="aceptable"),"Qcorrecto","Qincorrecto"))</f><v /></c><c r="AY26" s="390"><f>IF(AR26&lt;$AH$6,"error",IF(AR26&gt;$AH$6*1.1,"error","aceptable"))</f><v /></c><c r="AZ26" s="390"><f>IF(AF26&lt;$V$6,"error",IF(AF26&gt;$V$6*1.1,"error","aceptable"))</f><v /></c><c r="BA26" s="390"><f>IF(T26&lt;$J$6*0.9,"error",IF(T26&gt;$J$6,"error","aceptable"))</f><v /></c><c r="BB26" s="25"><f>(IF(ABS(U26)&lt;1.05,"CONFORME",IF(ABS(AG26)&lt;1.05,"CONFORME",IF(ABS(AS26)&lt;2.55,"CONFORME","NO CONFORME"))))</f><v /></c><c r="BC26" s="5"><f>(IF(ABS(U26)&gt;2.05,"NO CONFORME",IF(ABS(AG26)&gt;2.05,"NO CONFORME",IF(ABS(AS26)&gt;5.05,"NO CONFORME","CONFORME"))))</f><v /></c><c r="BD26" s="374"><f>SIGN(U26)</f><v /></c><c r="BE26" s="374"><f>SIGN(AG26)</f><v /></c><c r="BF26" s="374"><f>SIGN(AS26)</f><v /></c><c r="BG26" s="374"><f>CONCATENATE(BD26,BE26,BF26)</f><v /></c><c r="BH26" s="374"><f>IF(BG26="111","SI","SD")</f><v /></c><c r="BI26" s="374"><f>IF(BG26="-1-1-1","SI","SD")</f><v /></c><c r="BJ26" s="374"><f>OR(BH26="SI",BI26="SI")</f><v /></c><c r="BK26" s="374"><f>IF(BJ26=FALSE,"SIGDIFERENTES","SIGIGUALES")</f><v /></c><c r="BL26" s="390"><f>IF(BC26="NO CONFORME","NO CONFORME",IF(BB26="CONFORME","CONFORME","NO CONFORME"))</f><v /></c></row><row r="27" ht="14.4" customHeight="1" thickBot="1"><c r="A27" s="351" t="n"><v>19</v></c><c r="B27" s="375"><f>B26</f><v /></c><c r="C27" s="375"><f>C26</f><v /></c><c r="D27" s="376"><f>D26</f><v /></c><c r="E27" s="377"><f>E26</f><v /></c><c r="F27" s="13" t="n" /><c r="G27" s="355" t="inlineStr"><is><t>PA25516719</t></is></c><c r="H27" s="313"><f>H26</f><v /></c><c r="I27" s="38"><f>I26</f><v /></c><c r="J27" s="314"><f>J26</f><v /></c><c r="K27" s="378"><f>K26</f><v /></c><c r="L27" s="378"><f>L26</f><v /></c><c r="M27" s="379" t="n"><v>171.78</v></c><c r="N27" s="379" t="n"><v>271.84</v></c><c r="O27" s="380"><f>O26</f><v /></c><c r="P27" s="381"><f>P26</f><v /></c><c r="Q27" s="382"><f>LEFT(P27,1)</f><v /></c><c r="R27" s="382"><f>RIGHT(P27,6)</f><v /></c><c r="S27" s="382"><f>+(Q27*60+R27)/(60*60)</f><v /></c><c r="T27" s="383"><f>+O27/S27</f><v /></c><c r="U27" s="384"><f>+(((N27-M27-O27)/O27)*100)</f><v /></c><c r="V27" s="317"><f>V26</f><v /></c><c r="W27" s="385"><f>W26</f><v /></c><c r="X27" s="385"><f>X26</f><v /></c><c r="Y27" s="379" t="n"><v>277.35</v></c><c r="Z27" s="379" t="n"><v>287.33</v></c><c r="AA27" s="386"><f>AA26</f><v /></c><c r="AB27" s="387"><f>AB26</f><v /></c><c r="AC27" s="382"><f>LEFT(AB27,2)</f><v /></c><c r="AD27" s="382"><f>RIGHT(AB27,6)</f><v /></c><c r="AE27" s="382"><f>+(AC27*60+AD27)/(60*60)</f><v /></c><c r="AF27" s="383"><f>+AA27/AE27</f><v /></c><c r="AG27" s="321"><f>+(((Z27-Y27-AA27)/AA27)*100)</f><v /></c><c r="AH27" s="317"><f>AH26</f><v /></c><c r="AI27" s="385"><f>AI26</f><v /></c><c r="AJ27" s="385"><f>AJ26</f><v /></c><c r="AK27" s="379"><f>Z27</f><v /></c><c r="AL27" s="379" t="n"><v>292.35</v></c><c r="AM27" s="388"><f>AM26</f><v /></c><c r="AN27" s="381"><f>AN26</f><v /></c><c r="AO27" s="382"><f>LEFT(AN27,2)</f><v /></c><c r="AP27" s="382"><f>RIGHT(AN27,6)</f><v /></c><c r="AQ27" s="382"><f>+(AO27*60+AP27)/(60*60)</f><v /></c><c r="AR27" s="383"><f>+AM27/AQ27</f><v /></c><c r="AS27" s="321"><f>+(((AL27-AK27-AM27)/AM27)*100)</f><v /></c><c r="AT27" s="389"><f>IF(I27&gt;=1,"NO CONFORME",IF(BK27="SIGDIFERENTES",BC27,BL27))</f><v /></c><c r="AU27" s="372"><f>B27=C27</f><v /></c><c r="AV27" s="372"><f>N27&lt;Y27</f><v /></c><c r="AW27" s="372"><f>Z27&lt;=AK27</f><v /></c><c r="AX27" s="372"><f>IF(I27&gt;=1,"Qcorrecto",IF(AND(AY27="aceptable",AZ27="aceptable",BA27="aceptable"),"Qcorrecto","Qincorrecto"))</f><v /></c><c r="AY27" s="390"><f>IF(AR27&lt;$AH$6,"error",IF(AR27&gt;$AH$6*1.1,"error","aceptable"))</f><v /></c><c r="AZ27" s="390"><f>IF(AF27&lt;$V$6,"error",IF(AF27&gt;$V$6*1.1,"error","aceptable"))</f><v /></c><c r="BA27" s="390"><f>IF(T27&lt;$J$6*0.9,"error",IF(T27&gt;$J$6,"error","aceptable"))</f><v /></c><c r="BB27" s="25"><f>(IF(ABS(U27)&lt;1.05,"CONFORME",IF(ABS(AG27)&lt;1.05,"CONFORME",IF(ABS(AS27)&lt;2.55,"CONFORME","NO CONFORME"))))</f><v /></c><c r="BC27" s="5"><f>(IF(ABS(U27)&gt;2.05,"NO CONFORME",IF(ABS(AG27)&gt;2.05,"NO CONFORME",IF(ABS(AS27)&gt;5.05,"NO CONFORME","CONFORME"))))</f><v /></c><c r="BD27" s="374"><f>SIGN(U27)</f><v /></c><c r="BE27" s="374"><f>SIGN(AG27)</f><v /></c><c r="BF27" s="374"><f>SIGN(AS27)</f><v /></c><c r="BG27" s="374"><f>CONCATENATE(BD27,BE27,BF27)</f><v /></c><c r="BH27" s="374"><f>IF(BG27="111","SI","SD")</f><v /></c><c r="BI27" s="374"><f>IF(BG27="-1-1-1","SI","SD")</f><v /></c><c r="BJ27" s="374"><f>OR(BH27="SI",BI27="SI")</f><v /></c><c r="BK27" s="374"><f>IF(BJ27=FALSE,"SIGDIFERENTES","SIGIGUALES")</f><v /></c><c r="BL27" s="390"><f>IF(BC27="NO CONFORME","NO CONFORME",IF(BB27="CONFORME","CONFORME","NO CONFORME"))</f><v /></c></row><row r="28" ht="15" customHeight="1" thickBot="1"><c r="A28" s="391" t="n"><v>20</v></c><c r="B28" s="392"><f>B27</f><v /></c><c r="C28" s="392"><f>C27</f><v /></c><c r="D28" s="393"><f>D27</f><v /></c><c r="E28" s="394"><f>E27</f><v /></c><c r="F28" s="52" t="n" /><c r="G28" s="395" t="inlineStr"><is><t>PA25516720</t></is></c><c r="H28" s="326"><f>H27</f><v /></c><c r="I28" s="98"><f>I27</f><v /></c><c r="J28" s="327"><f>J27</f><v /></c><c r="K28" s="396"><f>K27</f><v /></c><c r="L28" s="396"><f>L27</f><v /></c><c r="M28" s="397" t="n"><v>170.8</v></c><c r="N28" s="397" t="n"><v>270.76</v></c><c r="O28" s="398"><f>O27</f><v /></c><c r="P28" s="399"><f>P27</f><v /></c><c r="Q28" s="400"><f>LEFT(P28,1)</f><v /></c><c r="R28" s="400"><f>RIGHT(P28,6)</f><v /></c><c r="S28" s="400"><f>+(Q28*60+R28)/(60*60)</f><v /></c><c r="T28" s="401"><f>+O28/S28</f><v /></c><c r="U28" s="402"><f>+(((N28-M28-O28)/O28)*100)</f><v /></c><c r="V28" s="329"><f>V27</f><v /></c><c r="W28" s="403"><f>W27</f><v /></c><c r="X28" s="403"><f>X27</f><v /></c><c r="Y28" s="397" t="n"><v>276.3</v></c><c r="Z28" s="397" t="n"><v>286.29</v></c><c r="AA28" s="404"><f>AA27</f><v /></c><c r="AB28" s="405"><f>AB27</f><v /></c><c r="AC28" s="400"><f>LEFT(AB28,2)</f><v /></c><c r="AD28" s="400"><f>RIGHT(AB28,6)</f><v /></c><c r="AE28" s="400"><f>+(AC28*60+AD28)/(60*60)</f><v /></c><c r="AF28" s="401"><f>+AA28/AE28</f><v /></c><c r="AG28" s="406"><f>+(((Z28-Y28-AA28)/AA28)*100)</f><v /></c><c r="AH28" s="329"><f>AH27</f><v /></c><c r="AI28" s="403"><f>AI27</f><v /></c><c r="AJ28" s="403"><f>AJ27</f><v /></c><c r="AK28" s="397"><f>Z28</f><v /></c><c r="AL28" s="397" t="n"><v>291.3</v></c><c r="AM28" s="407"><f>AM27</f><v /></c><c r="AN28" s="399"><f>AN27</f><v /></c><c r="AO28" s="400"><f>LEFT(AN28,2)</f><v /></c><c r="AP28" s="400"><f>RIGHT(AN28,6)</f><v /></c><c r="AQ28" s="400"><f>+(AO28*60+AP28)/(60*60)</f><v /></c><c r="AR28" s="401"><f>+AM28/AQ28</f><v /></c><c r="AS28" s="406"><f>+(((AL28-AK28-AM28)/AM28)*100)</f><v /></c><c r="AT28" s="408"><f>IF(I28&gt;=1,"NO CONFORME",IF(BK28="SIGDIFERENTES",BC28,BL28))</f><v /></c><c r="AU28" s="409"><f>B28=C28</f><v /></c><c r="AV28" s="409"><f>N28&lt;Y28</f><v /></c><c r="AW28" s="409"><f>Z28&lt;=AK28</f><v /></c><c r="AX28" s="409"><f>IF(I28&gt;=1,"Qcorrecto",IF(AND(AY28="aceptable",AZ28="aceptable",BA28="aceptable"),"Qcorrecto","Qincorrecto"))</f><v /></c><c r="AY28" s="410"><f>IF(AR28&lt;$AH$6,"error",IF(AR28&gt;$AH$6*1.1,"error","aceptable"))</f><v /></c><c r="AZ28" s="410"><f>IF(AF28&lt;$V$6,"error",IF(AF28&gt;$V$6*1.1,"error","aceptable"))</f><v /></c><c r="BA28" s="410"><f>IF(T28&lt;$J$6*0.9,"error",IF(T28&gt;$J$6,"error","aceptable"))</f><v /></c><c r="BB28" s="411"><f>(IF(ABS(U28)&lt;1.05,"CONFORME",IF(ABS(AG28)&lt;1.05,"CONFORME",IF(ABS(AS28)&lt;2.55,"CONFORME","NO CONFORME"))))</f><v /></c><c r="BC28" s="412"><f>(IF(ABS(U28)&gt;2.05,"NO CONFORME",IF(ABS(AG28)&gt;2.05,"NO CONFORME",IF(ABS(AS28)&gt;5.05,"NO CONFORME","CONFORME"))))</f><v /></c><c r="BD28" s="413"><f>SIGN(U28)</f><v /></c><c r="BE28" s="413"><f>SIGN(AG28)</f><v /></c><c r="BF28" s="413"><f>SIGN(AS28)</f><v /></c><c r="BG28" s="413"><f>CONCATENATE(BD28,BE28,BF28)</f><v /></c><c r="BH28" s="413"><f>IF(BG28="111","SI","SD")</f><v /></c><c r="BI28" s="413"><f>IF(BG28="-1-1-1","SI","SD")</f><v /></c><c r="BJ28" s="413"><f>OR(BH28="SI",BI28="SI")</f><v /></c><c r="BK28" s="413"><f>IF(BJ28=FALSE,"SIGDIFERENTES","SIGIGUALES")</f><v /></c><c r="BL28" s="410"><f>IF(BC28="NO CONFORME","NO CONFORME",IF(BB28="CONFORME","CONFORME","NO CONFORME"))</f><v /></c></row><row r="29" ht="14.4" customHeight="1" thickBot="1"><c r="A29" s="351" t="n"><v>21</v></c><c r="B29" s="352"><f>B28</f><v /></c><c r="C29" s="352"><f>C28</f><v /></c><c r="D29" s="353"><f>D28</f><v /></c><c r="E29" s="354"><f>E28</f><v /></c><c r="F29" s="58" t="n" /><c r="G29" s="355" t="inlineStr"><is><t>PA25516721</t></is></c><c r="H29" s="356"><f>H28</f><v /></c><c r="I29" s="232"><f>I28</f><v /></c><c r="J29" s="357" t="n"><v>21.5</v></c><c r="K29" s="358" t="n"><v>8.209</v></c><c r="L29" s="358" t="n"><v>0.5610000000000001</v></c><c r="M29" s="359" t="n"><v>82.68000000000001</v></c><c r="N29" s="359" t="n"><v>182.04</v></c><c r="O29" s="360" t="n"><v>100.55</v></c><c r="P29" s="361" t="inlineStr"><is><t>2,32,090</t></is></c><c r="Q29" s="362"><f>LEFT(P29,1)</f><v /></c><c r="R29" s="362"><f>RIGHT(P29,6)</f><v /></c><c r="S29" s="362"><f>+(Q29*60+R29)/(60*60)</f><v /></c><c r="T29" s="363"><f>+O29/S29</f><v /></c><c r="U29" s="364"><f>+(((N29-M29-O29)/O29)*100)</f><v /></c><c r="V29" s="365" t="n"><v>21.5</v></c><c r="W29" s="366" t="n"><v>1.071</v></c><c r="X29" s="366" t="n"><v>1.061</v></c><c r="Y29" s="359" t="n"><v>188.35</v></c><c r="Z29" s="359" t="n"><v>198.35</v></c><c r="AA29" s="367" t="n"><v>10.04</v></c><c r="AB29" s="368" t="inlineStr"><is><t>22,29,940</t></is></c><c r="AC29" s="362"><f>LEFT(AB29,2)</f><v /></c><c r="AD29" s="362"><f>RIGHT(AB29,6)</f><v /></c><c r="AE29" s="362"><f>+(AC29*60+AD29)/(60*60)</f><v /></c><c r="AF29" s="363"><f>+AA29/AE29</f><v /></c><c r="AG29" s="369"><f>+(((Z29-Y29-AA29)/AA29)*100)</f><v /></c><c r="AH29" s="365" t="n"><v>21.3</v></c><c r="AI29" s="366" t="n"><v>1.071</v></c><c r="AJ29" s="366" t="n"><v>1.062</v></c><c r="AK29" s="359"><f>Z29</f><v /></c><c r="AL29" s="359" t="n"><v>203.35</v></c><c r="AM29" s="370" t="n"><v>5.001</v></c><c r="AN29" s="361" t="inlineStr"><is><t>18,26,550</t></is></c><c r="AO29" s="362"><f>LEFT(AN29,2)</f><v /></c><c r="AP29" s="362"><f>RIGHT(AN29,6)</f><v /></c><c r="AQ29" s="362"><f>+(AO29*60+AP29)/(60*60)</f><v /></c><c r="AR29" s="363"><f>+AM29/AQ29</f><v /></c><c r="AS29" s="369"><f>+(((AL29-AK29-AM29)/AM29)*100)</f><v /></c><c r="AT29" s="371"><f>IF(I29&gt;=1,"NO CONFORME",IF(BK29="SIGDIFERENTES",BC29,BL29))</f><v /></c><c r="AU29" s="372"><f>B29=C29</f><v /></c><c r="AV29" s="372"><f>N29&lt;Y29</f><v /></c><c r="AW29" s="372"><f>Z29&lt;=AK29</f><v /></c><c r="AX29" s="372"><f>IF(I29&gt;=1,"Qcorrecto",IF(AND(AY29="aceptable",AZ29="aceptable",BA29="aceptable"),"Qcorrecto","Qincorrecto"))</f><v /></c><c r="AY29" s="373"><f>IF(AR29&lt;$AH$6,"error",IF(AR29&gt;$AH$6*1.1,"error","aceptable"))</f><v /></c><c r="AZ29" s="373"><f>IF(AF29&lt;$V$6,"error",IF(AF29&gt;$V$6*1.1,"error","aceptable"))</f><v /></c><c r="BA29" s="373"><f>IF(T29&lt;$J$6*0.9,"error",IF(T29&gt;$J$6,"error","aceptable"))</f><v /></c><c r="BB29" s="25"><f>(IF(ABS(U29)&lt;1.05,"CONFORME",IF(ABS(AG29)&lt;1.05,"CONFORME",IF(ABS(AS29)&lt;2.55,"CONFORME","NO CONFORME"))))</f><v /></c><c r="BC29" s="5"><f>(IF(ABS(U29)&gt;2.05,"NO CONFORME",IF(ABS(AG29)&gt;2.05,"NO CONFORME",IF(ABS(AS29)&gt;5.05,"NO CONFORME","CONFORME"))))</f><v /></c><c r="BD29" s="374"><f>SIGN(U29)</f><v /></c><c r="BE29" s="374"><f>SIGN(AG29)</f><v /></c><c r="BF29" s="374"><f>SIGN(AS29)</f><v /></c><c r="BG29" s="374"><f>CONCATENATE(BD29,BE29,BF29)</f><v /></c><c r="BH29" s="374"><f>IF(BG29="111","SI","SD")</f><v /></c><c r="BI29" s="374"><f>IF(BG29="-1-1-1","SI","SD")</f><v /></c><c r="BJ29" s="374"><f>OR(BH29="SI",BI29="SI")</f><v /></c><c r="BK29" s="374"><f>IF(BJ29=FALSE,"SIGDIFERENTES","SIGIGUALES")</f><v /></c><c r="BL29" s="373"><f>IF(BC29="NO CONFORME","NO CONFORME",IF(BB29="CONFORME","CONFORME","NO CONFORME"))</f><v /></c></row><row r="30" ht="14.4" customHeight="1" thickBot="1"><c r="A30" s="351" t="n"><v>22</v></c><c r="B30" s="375"><f>B29</f><v /></c><c r="C30" s="375"><f>C29</f><v /></c><c r="D30" s="376"><f>D29</f><v /></c><c r="E30" s="377"><f>E29</f><v /></c><c r="F30" s="13" t="n" /><c r="G30" s="355" t="inlineStr"><is><t>PA25516722</t></is></c><c r="H30" s="313"><f>H29</f><v /></c><c r="I30" s="38"><f>I29</f><v /></c><c r="J30" s="314"><f>J29</f><v /></c><c r="K30" s="378"><f>K29</f><v /></c><c r="L30" s="378"><f>L29</f><v /></c><c r="M30" s="379" t="n"><v>123.65</v></c><c r="N30" s="379" t="n"><v>223.7</v></c><c r="O30" s="380"><f>O29</f><v /></c><c r="P30" s="381"><f>P29</f><v /></c><c r="Q30" s="382"><f>LEFT(P30,1)</f><v /></c><c r="R30" s="382"><f>RIGHT(P30,6)</f><v /></c><c r="S30" s="382"><f>+(Q30*60+R30)/(60*60)</f><v /></c><c r="T30" s="383"><f>+O30/S30</f><v /></c><c r="U30" s="384"><f>+(((N30-M30-O30)/O30)*100)</f><v /></c><c r="V30" s="317"><f>V29</f><v /></c><c r="W30" s="385"><f>W29</f><v /></c><c r="X30" s="385"><f>X29</f><v /></c><c r="Y30" s="379" t="n"><v>230.06</v></c><c r="Z30" s="379" t="n"><v>240.06</v></c><c r="AA30" s="386"><f>AA29</f><v /></c><c r="AB30" s="387"><f>AB29</f><v /></c><c r="AC30" s="382"><f>LEFT(AB30,2)</f><v /></c><c r="AD30" s="382"><f>RIGHT(AB30,6)</f><v /></c><c r="AE30" s="382"><f>+(AC30*60+AD30)/(60*60)</f><v /></c><c r="AF30" s="383"><f>+AA30/AE30</f><v /></c><c r="AG30" s="321"><f>+(((Z30-Y30-AA30)/AA30)*100)</f><v /></c><c r="AH30" s="317"><f>AH29</f><v /></c><c r="AI30" s="385"><f>AI29</f><v /></c><c r="AJ30" s="385"><f>AJ29</f><v /></c><c r="AK30" s="379"><f>Z30</f><v /></c><c r="AL30" s="379" t="n"><v>245.06</v></c><c r="AM30" s="388"><f>AM29</f><v /></c><c r="AN30" s="381"><f>AN29</f><v /></c><c r="AO30" s="382"><f>LEFT(AN30,2)</f><v /></c><c r="AP30" s="382"><f>RIGHT(AN30,6)</f><v /></c><c r="AQ30" s="382"><f>+(AO30*60+AP30)/(60*60)</f><v /></c><c r="AR30" s="383"><f>+AM30/AQ30</f><v /></c><c r="AS30" s="321"><f>+(((AL30-AK30-AM30)/AM30)*100)</f><v /></c><c r="AT30" s="389"><f>IF(I30&gt;=1,"NO CONFORME",IF(BK30="SIGDIFERENTES",BC30,BL30))</f><v /></c><c r="AU30" s="372"><f>B30=C30</f><v /></c><c r="AV30" s="372"><f>N30&lt;Y30</f><v /></c><c r="AW30" s="372"><f>Z30&lt;=AK30</f><v /></c><c r="AX30" s="372"><f>IF(I30&gt;=1,"Qcorrecto",IF(AND(AY30="aceptable",AZ30="aceptable",BA30="aceptable"),"Qcorrecto","Qincorrecto"))</f><v /></c><c r="AY30" s="390"><f>IF(AR30&lt;$AH$6,"error",IF(AR30&gt;$AH$6*1.1,"error","aceptable"))</f><v /></c><c r="AZ30" s="390"><f>IF(AF30&lt;$V$6,"error",IF(AF30&gt;$V$6*1.1,"error","aceptable"))</f><v /></c><c r="BA30" s="390"><f>IF(T30&lt;$J$6*0.9,"error",IF(T30&gt;$J$6,"error","aceptable"))</f><v /></c><c r="BB30" s="25"><f>(IF(ABS(U30)&lt;1.05,"CONFORME",IF(ABS(AG30)&lt;1.05,"CONFORME",IF(ABS(AS30)&lt;2.55,"CONFORME","NO CONFORME"))))</f><v /></c><c r="BC30" s="5"><f>(IF(ABS(U30)&gt;2.05,"NO CONFORME",IF(ABS(AG30)&gt;2.05,"NO CONFORME",IF(ABS(AS30)&gt;5.05,"NO CONFORME","CONFORME"))))</f><v /></c><c r="BD30" s="374"><f>SIGN(U30)</f><v /></c><c r="BE30" s="374"><f>SIGN(AG30)</f><v /></c><c r="BF30" s="374"><f>SIGN(AS30)</f><v /></c><c r="BG30" s="374"><f>CONCATENATE(BD30,BE30,BF30)</f><v /></c><c r="BH30" s="374"><f>IF(BG30="111","SI","SD")</f><v /></c><c r="BI30" s="374"><f>IF(BG30="-1-1-1","SI","SD")</f><v /></c><c r="BJ30" s="374"><f>OR(BH30="SI",BI30="SI")</f><v /></c><c r="BK30" s="374"><f>IF(BJ30=FALSE,"SIGDIFERENTES","SIGIGUALES")</f><v /></c><c r="BL30" s="390"><f>IF(BC30="NO CONFORME","NO CONFORME",IF(BB30="CONFORME","CONFORME","NO CONFORME"))</f><v /></c></row><row r="31" ht="14.4" customHeight="1" thickBot="1"><c r="A31" s="414" t="n"><v>23</v></c><c r="B31" s="415"><f>B30</f><v /></c><c r="C31" s="415"><f>C30</f><v /></c><c r="D31" s="416"><f>D30</f><v /></c><c r="E31" s="417"><f>E30</f><v /></c><c r="F31" s="56" t="n" /><c r="G31" s="355" t="inlineStr"><is><t>PA25516723</t></is></c><c r="H31" s="418"><f>H30</f><v /></c><c r="I31" s="419"><f>I30</f><v /></c><c r="J31" s="420"><f>J30</f><v /></c><c r="K31" s="421"><f>K30</f><v /></c><c r="L31" s="421"><f>L30</f><v /></c><c r="M31" s="422" t="n"><v>82.8</v></c><c r="N31" s="422" t="n"><v>182.44</v></c><c r="O31" s="423"><f>O30</f><v /></c><c r="P31" s="424"><f>P30</f><v /></c><c r="Q31" s="425"><f>LEFT(P31,1)</f><v /></c><c r="R31" s="425"><f>RIGHT(P31,6)</f><v /></c><c r="S31" s="425"><f>+(Q31*60+R31)/(60*60)</f><v /></c><c r="T31" s="426"><f>+O31/S31</f><v /></c><c r="U31" s="427"><f>+(((N31-M31-O31)/O31)*100)</f><v /></c><c r="V31" s="428"><f>V30</f><v /></c><c r="W31" s="429"><f>W30</f><v /></c><c r="X31" s="429"><f>X30</f><v /></c><c r="Y31" s="422" t="n"><v>188.71</v></c><c r="Z31" s="422" t="n"><v>198.56</v></c><c r="AA31" s="430"><f>AA30</f><v /></c><c r="AB31" s="431"><f>AB30</f><v /></c><c r="AC31" s="425"><f>LEFT(AB31,2)</f><v /></c><c r="AD31" s="425"><f>RIGHT(AB31,6)</f><v /></c><c r="AE31" s="425"><f>+(AC31*60+AD31)/(60*60)</f><v /></c><c r="AF31" s="426"><f>+AA31/AE31</f><v /></c><c r="AG31" s="432"><f>+(((Z31-Y31-AA31)/AA31)*100)</f><v /></c><c r="AH31" s="428"><f>AH30</f><v /></c><c r="AI31" s="429"><f>AI30</f><v /></c><c r="AJ31" s="429"><f>AJ30</f><v /></c><c r="AK31" s="422"><f>Z31</f><v /></c><c r="AL31" s="422" t="n"><v>203.54</v></c><c r="AM31" s="433"><f>AM30</f><v /></c><c r="AN31" s="424"><f>AN30</f><v /></c><c r="AO31" s="425"><f>LEFT(AN31,2)</f><v /></c><c r="AP31" s="425"><f>RIGHT(AN31,6)</f><v /></c><c r="AQ31" s="425"><f>+(AO31*60+AP31)/(60*60)</f><v /></c><c r="AR31" s="426"><f>+AM31/AQ31</f><v /></c><c r="AS31" s="432"><f>+(((AL31-AK31-AM31)/AM31)*100)</f><v /></c><c r="AT31" s="434"><f>IF(I31&gt;=1,"NO CONFORME",IF(BK31="SIGDIFERENTES",BC31,BL31))</f><v /></c><c r="AU31" s="372"><f>B31=C31</f><v /></c><c r="AV31" s="372"><f>N31&lt;Y31</f><v /></c><c r="AW31" s="372"><f>Z31&lt;=AK31</f><v /></c><c r="AX31" s="372"><f>IF(I31&gt;=1,"Qcorrecto",IF(AND(AY31="aceptable",AZ31="aceptable",BA31="aceptable"),"Qcorrecto","Qincorrecto"))</f><v /></c><c r="AY31" s="435"><f>IF(AR31&lt;$AH$6,"error",IF(AR31&gt;$AH$6*1.1,"error","aceptable"))</f><v /></c><c r="AZ31" s="435"><f>IF(AF31&lt;$V$6,"error",IF(AF31&gt;$V$6*1.1,"error","aceptable"))</f><v /></c><c r="BA31" s="435"><f>IF(T31&lt;$J$6*0.9,"error",IF(T31&gt;$J$6,"error","aceptable"))</f><v /></c><c r="BB31" s="436"><f>(IF(ABS(U31)&lt;1.05,"CONFORME",IF(ABS(AG31)&lt;1.05,"CONFORME",IF(ABS(AS31)&lt;2.55,"CONFORME","NO CONFORME"))))</f><v /></c><c r="BC31" s="437"><f>(IF(ABS(U31)&gt;2.05,"NO CONFORME",IF(ABS(AG31)&gt;2.05,"NO CONFORME",IF(ABS(AS31)&gt;5.05,"NO CONFORME","CONFORME"))))</f><v /></c><c r="BD31" s="374"><f>SIGN(U31)</f><v /></c><c r="BE31" s="374"><f>SIGN(AG31)</f><v /></c><c r="BF31" s="374"><f>SIGN(AS31)</f><v /></c><c r="BG31" s="374"><f>CONCATENATE(BD31,BE31,BF31)</f><v /></c><c r="BH31" s="374"><f>IF(BG31="111","SI","SD")</f><v /></c><c r="BI31" s="374"><f>IF(BG31="-1-1-1","SI","SD")</f><v /></c><c r="BJ31" s="374"><f>OR(BH31="SI",BI31="SI")</f><v /></c><c r="BK31" s="374"><f>IF(BJ31=FALSE,"SIGDIFERENTES","SIGIGUALES")</f><v /></c><c r="BL31" s="435"><f>IF(BC31="NO CONFORME","NO CONFORME",IF(BB31="CONFORME","CONFORME","NO CONFORME"))</f><v /></c></row><row r="32" ht="14.4" customHeight="1" thickBot="1"><c r="A32" s="377" t="n"><v>24</v></c><c r="B32" s="375"><f>B31</f><v /></c><c r="C32" s="375"><f>C31</f><v /></c><c r="D32" s="376"><f>D31</f><v /></c><c r="E32" s="377"><f>E31</f><v /></c><c r="F32" s="13" t="n" /><c r="G32" s="355" t="inlineStr"><is><t>PA25516724</t></is></c><c r="H32" s="313"><f>H31</f><v /></c><c r="I32" s="38"><f>I31</f><v /></c><c r="J32" s="314"><f>J31</f><v /></c><c r="K32" s="378"><f>K31</f><v /></c><c r="L32" s="378"><f>L31</f><v /></c><c r="M32" s="379" t="n"><v>83.95</v></c><c r="N32" s="379" t="n"><v>184.4</v></c><c r="O32" s="380"><f>O31</f><v /></c><c r="P32" s="381"><f>P31</f><v /></c><c r="Q32" s="382"><f>LEFT(P32,1)</f><v /></c><c r="R32" s="382"><f>RIGHT(P32,6)</f><v /></c><c r="S32" s="382"><f>+(Q32*60+R32)/(60*60)</f><v /></c><c r="T32" s="383"><f>+O32/S32</f><v /></c><c r="U32" s="384"><f>+(((N32-M32-O32)/O32)*100)</f><v /></c><c r="V32" s="317"><f>V31</f><v /></c><c r="W32" s="385"><f>W31</f><v /></c><c r="X32" s="385"><f>X31</f><v /></c><c r="Y32" s="379" t="n"><v>190.75</v></c><c r="Z32" s="379" t="n"><v>200.8</v></c><c r="AA32" s="386"><f>AA31</f><v /></c><c r="AB32" s="387"><f>AB31</f><v /></c><c r="AC32" s="382"><f>LEFT(AB32,2)</f><v /></c><c r="AD32" s="382"><f>RIGHT(AB32,6)</f><v /></c><c r="AE32" s="382"><f>+(AC32*60+AD32)/(60*60)</f><v /></c><c r="AF32" s="383"><f>+AA32/AE32</f><v /></c><c r="AG32" s="321"><f>+(((Z32-Y32-AA32)/AA32)*100)</f><v /></c><c r="AH32" s="317"><f>AH31</f><v /></c><c r="AI32" s="385"><f>AI31</f><v /></c><c r="AJ32" s="385"><f>AJ31</f><v /></c><c r="AK32" s="379"><f>Z32</f><v /></c><c r="AL32" s="379" t="n"><v>205.82</v></c><c r="AM32" s="388"><f>AM31</f><v /></c><c r="AN32" s="381"><f>AN31</f><v /></c><c r="AO32" s="382"><f>LEFT(AN32,2)</f><v /></c><c r="AP32" s="382"><f>RIGHT(AN32,6)</f><v /></c><c r="AQ32" s="382"><f>+(AO32*60+AP32)/(60*60)</f><v /></c><c r="AR32" s="383"><f>+AM32/AQ32</f><v /></c><c r="AS32" s="321"><f>+(((AL32-AK32-AM32)/AM32)*100)</f><v /></c><c r="AT32" s="389"><f>IF(I32&gt;=1,"NO CONFORME",IF(BK32="SIGDIFERENTES",BC32,BL32))</f><v /></c><c r="AU32" s="438"><f>B32=C32</f><v /></c><c r="AV32" s="438"><f>N32&lt;Y32</f><v /></c><c r="AW32" s="438"><f>Z32&lt;=AK32</f><v /></c><c r="AX32" s="438"><f>IF(I32&gt;=1,"Qcorrecto",IF(AND(AY32="aceptable",AZ32="aceptable",BA32="aceptable"),"Qcorrecto","Qincorrecto"))</f><v /></c><c r="AY32" s="390"><f>IF(AR32&lt;$AH$6,"error",IF(AR32&gt;$AH$6*1.1,"error","aceptable"))</f><v /></c><c r="AZ32" s="390"><f>IF(AF32&lt;$V$6,"error",IF(AF32&gt;$V$6*1.1,"error","aceptable"))</f><v /></c><c r="BA32" s="390"><f>IF(T32&lt;$J$6*0.9,"error",IF(T32&gt;$J$6,"error","aceptable"))</f><v /></c><c r="BB32" s="439"><f>(IF(ABS(U32)&lt;1.05,"CONFORME",IF(ABS(AG32)&lt;1.05,"CONFORME",IF(ABS(AS32)&lt;2.55,"CONFORME","NO CONFORME"))))</f><v /></c><c r="BC32" s="440"><f>(IF(ABS(U32)&gt;2.05,"NO CONFORME",IF(ABS(AG32)&gt;2.05,"NO CONFORME",IF(ABS(AS32)&gt;5.05,"NO CONFORME","CONFORME"))))</f><v /></c><c r="BD32" s="441"><f>SIGN(U32)</f><v /></c><c r="BE32" s="441"><f>SIGN(AG32)</f><v /></c><c r="BF32" s="441"><f>SIGN(AS32)</f><v /></c><c r="BG32" s="441"><f>CONCATENATE(BD32,BE32,BF32)</f><v /></c><c r="BH32" s="441"><f>IF(BG32="111","SI","SD")</f><v /></c><c r="BI32" s="441"><f>IF(BG32="-1-1-1","SI","SD")</f><v /></c><c r="BJ32" s="441"><f>OR(BH32="SI",BI32="SI")</f><v /></c><c r="BK32" s="441"><f>IF(BJ32=FALSE,"SIGDIFERENTES","SIGIGUALES")</f><v /></c><c r="BL32" s="390"><f>IF(BC32="NO CONFORME","NO CONFORME",IF(BB32="CONFORME","CONFORME","NO CONFORME"))</f><v /></c></row><row r="33" ht="14.4" customHeight="1" thickBot="1"><c r="A33" s="351" t="n"><v>25</v></c><c r="B33" s="352"><f>B32</f><v /></c><c r="C33" s="352"><f>C32</f><v /></c><c r="D33" s="353"><f>D32</f><v /></c><c r="E33" s="354"><f>E32</f><v /></c><c r="F33" s="58" t="n" /><c r="G33" s="355" t="inlineStr"><is><t>PA25516725</t></is></c><c r="H33" s="356"><f>H32</f><v /></c><c r="I33" s="232"><f>I32</f><v /></c><c r="J33" s="314"><f>J32</f><v /></c><c r="K33" s="378"><f>K32</f><v /></c><c r="L33" s="378"><f>L32</f><v /></c><c r="M33" s="359" t="n"><v>83.75</v></c><c r="N33" s="359" t="n"><v>183.8</v></c><c r="O33" s="380"><f>O32</f><v /></c><c r="P33" s="381"><f>P32</f><v /></c><c r="Q33" s="362"><f>LEFT(P33,1)</f><v /></c><c r="R33" s="362"><f>RIGHT(P33,6)</f><v /></c><c r="S33" s="362"><f>+(Q33*60+R33)/(60*60)</f><v /></c><c r="T33" s="363"><f>+O33/S33</f><v /></c><c r="U33" s="364"><f>+(((N33-M33-O33)/O33)*100)</f><v /></c><c r="V33" s="317"><f>V32</f><v /></c><c r="W33" s="385"><f>W32</f><v /></c><c r="X33" s="385"><f>X32</f><v /></c><c r="Y33" s="359" t="n"><v>190.14</v></c><c r="Z33" s="359" t="n"><v>200.19</v></c><c r="AA33" s="386"><f>AA32</f><v /></c><c r="AB33" s="387"><f>AB32</f><v /></c><c r="AC33" s="362"><f>LEFT(AB33,2)</f><v /></c><c r="AD33" s="362"><f>RIGHT(AB33,6)</f><v /></c><c r="AE33" s="362"><f>+(AC33*60+AD33)/(60*60)</f><v /></c><c r="AF33" s="363"><f>+AA33/AE33</f><v /></c><c r="AG33" s="369"><f>+(((Z33-Y33-AA33)/AA33)*100)</f><v /></c><c r="AH33" s="317"><f>AH32</f><v /></c><c r="AI33" s="385"><f>AI32</f><v /></c><c r="AJ33" s="385"><f>AJ32</f><v /></c><c r="AK33" s="359"><f>Z33</f><v /></c><c r="AL33" s="359" t="n"><v>205.19</v></c><c r="AM33" s="388"><f>AM32</f><v /></c><c r="AN33" s="381"><f>AN32</f><v /></c><c r="AO33" s="362"><f>LEFT(AN33,2)</f><v /></c><c r="AP33" s="362"><f>RIGHT(AN33,6)</f><v /></c><c r="AQ33" s="362"><f>+(AO33*60+AP33)/(60*60)</f><v /></c><c r="AR33" s="363"><f>+AM33/AQ33</f><v /></c><c r="AS33" s="369"><f>+(((AL33-AK33-AM33)/AM33)*100)</f><v /></c><c r="AT33" s="371"><f>IF(I33&gt;=1,"NO CONFORME",IF(BK33="SIGDIFERENTES",BC33,BL33))</f><v /></c><c r="AU33" s="372"><f>B33=C33</f><v /></c><c r="AV33" s="372"><f>N33&lt;Y33</f><v /></c><c r="AW33" s="372"><f>Z33&lt;=AK33</f><v /></c><c r="AX33" s="372"><f>IF(I33&gt;=1,"Qcorrecto",IF(AND(AY33="aceptable",AZ33="aceptable",BA33="aceptable"),"Qcorrecto","Qincorrecto"))</f><v /></c><c r="AY33" s="373"><f>IF(AR33&lt;$AH$6,"error",IF(AR33&gt;$AH$6*1.1,"error","aceptable"))</f><v /></c><c r="AZ33" s="373"><f>IF(AF33&lt;$V$6,"error",IF(AF33&gt;$V$6*1.1,"error","aceptable"))</f><v /></c><c r="BA33" s="373"><f>IF(T33&lt;$J$6*0.9,"error",IF(T33&gt;$J$6,"error","aceptable"))</f><v /></c><c r="BB33" s="25"><f>(IF(ABS(U33)&lt;1.05,"CONFORME",IF(ABS(AG33)&lt;1.05,"CONFORME",IF(ABS(AS33)&lt;2.55,"CONFORME","NO CONFORME"))))</f><v /></c><c r="BC33" s="5"><f>(IF(ABS(U33)&gt;2.05,"NO CONFORME",IF(ABS(AG33)&gt;2.05,"NO CONFORME",IF(ABS(AS33)&gt;5.05,"NO CONFORME","CONFORME"))))</f><v /></c><c r="BD33" s="374"><f>SIGN(U33)</f><v /></c><c r="BE33" s="374"><f>SIGN(AG33)</f><v /></c><c r="BF33" s="374"><f>SIGN(AS33)</f><v /></c><c r="BG33" s="374"><f>CONCATENATE(BD33,BE33,BF33)</f><v /></c><c r="BH33" s="374"><f>IF(BG33="111","SI","SD")</f><v /></c><c r="BI33" s="374"><f>IF(BG33="-1-1-1","SI","SD")</f><v /></c><c r="BJ33" s="374"><f>OR(BH33="SI",BI33="SI")</f><v /></c><c r="BK33" s="374"><f>IF(BJ33=FALSE,"SIGDIFERENTES","SIGIGUALES")</f><v /></c><c r="BL33" s="373"><f>IF(BC33="NO CONFORME","NO CONFORME",IF(BB33="CONFORME","CONFORME","NO CONFORME"))</f><v /></c></row><row r="34" ht="14.4" customHeight="1" thickBot="1"><c r="A34" s="351" t="n"><v>26</v></c><c r="B34" s="375"><f>B33</f><v /></c><c r="C34" s="375"><f>C33</f><v /></c><c r="D34" s="376"><f>D33</f><v /></c><c r="E34" s="377"><f>E33</f><v /></c><c r="F34" s="13" t="n" /><c r="G34" s="355" t="inlineStr"><is><t>PA25516726</t></is></c><c r="H34" s="313"><f>H33</f><v /></c><c r="I34" s="38"><f>I33</f><v /></c><c r="J34" s="314"><f>J33</f><v /></c><c r="K34" s="378"><f>K33</f><v /></c><c r="L34" s="378"><f>L33</f><v /></c><c r="M34" s="379" t="n"><v>85</v></c><c r="N34" s="379" t="n"><v>184.9</v></c><c r="O34" s="380"><f>O33</f><v /></c><c r="P34" s="381"><f>P33</f><v /></c><c r="Q34" s="382"><f>LEFT(P34,1)</f><v /></c><c r="R34" s="382"><f>RIGHT(P34,6)</f><v /></c><c r="S34" s="382"><f>+(Q34*60+R34)/(60*60)</f><v /></c><c r="T34" s="383"><f>+O34/S34</f><v /></c><c r="U34" s="384"><f>+(((N34-M34-O34)/O34)*100)</f><v /></c><c r="V34" s="317"><f>V33</f><v /></c><c r="W34" s="385"><f>W33</f><v /></c><c r="X34" s="385"><f>X33</f><v /></c><c r="Y34" s="379" t="n"><v>191.18</v></c><c r="Z34" s="379" t="n"><v>201.16</v></c><c r="AA34" s="386"><f>AA33</f><v /></c><c r="AB34" s="387"><f>AB33</f><v /></c><c r="AC34" s="382"><f>LEFT(AB34,2)</f><v /></c><c r="AD34" s="382"><f>RIGHT(AB34,6)</f><v /></c><c r="AE34" s="382"><f>+(AC34*60+AD34)/(60*60)</f><v /></c><c r="AF34" s="383"><f>+AA34/AE34</f><v /></c><c r="AG34" s="321"><f>+(((Z34-Y34-AA34)/AA34)*100)</f><v /></c><c r="AH34" s="317"><f>AH33</f><v /></c><c r="AI34" s="385"><f>AI33</f><v /></c><c r="AJ34" s="385"><f>AJ33</f><v /></c><c r="AK34" s="379"><f>Z34</f><v /></c><c r="AL34" s="379" t="n"><v>206.15</v></c><c r="AM34" s="388"><f>AM33</f><v /></c><c r="AN34" s="381"><f>AN33</f><v /></c><c r="AO34" s="382"><f>LEFT(AN34,2)</f><v /></c><c r="AP34" s="382"><f>RIGHT(AN34,6)</f><v /></c><c r="AQ34" s="382"><f>+(AO34*60+AP34)/(60*60)</f><v /></c><c r="AR34" s="383"><f>+AM34/AQ34</f><v /></c><c r="AS34" s="321"><f>+(((AL34-AK34-AM34)/AM34)*100)</f><v /></c><c r="AT34" s="389"><f>IF(I34&gt;=1,"NO CONFORME",IF(BK34="SIGDIFERENTES",BC34,BL34))</f><v /></c><c r="AU34" s="372"><f>B34=C34</f><v /></c><c r="AV34" s="372"><f>N34&lt;Y34</f><v /></c><c r="AW34" s="372"><f>Z34&lt;=AK34</f><v /></c><c r="AX34" s="372"><f>IF(I34&gt;=1,"Qcorrecto",IF(AND(AY34="aceptable",AZ34="aceptable",BA34="aceptable"),"Qcorrecto","Qincorrecto"))</f><v /></c><c r="AY34" s="390"><f>IF(AR34&lt;$AH$6,"error",IF(AR34&gt;$AH$6*1.1,"error","aceptable"))</f><v /></c><c r="AZ34" s="390"><f>IF(AF34&lt;$V$6,"error",IF(AF34&gt;$V$6*1.1,"error","aceptable"))</f><v /></c><c r="BA34" s="390"><f>IF(T34&lt;$J$6*0.9,"error",IF(T34&gt;$J$6,"error","aceptable"))</f><v /></c><c r="BB34" s="25"><f>(IF(ABS(U34)&lt;1.05,"CONFORME",IF(ABS(AG34)&lt;1.05,"CONFORME",IF(ABS(AS34)&lt;2.55,"CONFORME","NO CONFORME"))))</f><v /></c><c r="BC34" s="5"><f>(IF(ABS(U34)&gt;2.05,"NO CONFORME",IF(ABS(AG34)&gt;2.05,"NO CONFORME",IF(ABS(AS34)&gt;5.05,"NO CONFORME","CONFORME"))))</f><v /></c><c r="BD34" s="374"><f>SIGN(U34)</f><v /></c><c r="BE34" s="374"><f>SIGN(AG34)</f><v /></c><c r="BF34" s="374"><f>SIGN(AS34)</f><v /></c><c r="BG34" s="374"><f>CONCATENATE(BD34,BE34,BF34)</f><v /></c><c r="BH34" s="374"><f>IF(BG34="111","SI","SD")</f><v /></c><c r="BI34" s="374"><f>IF(BG34="-1-1-1","SI","SD")</f><v /></c><c r="BJ34" s="374"><f>OR(BH34="SI",BI34="SI")</f><v /></c><c r="BK34" s="374"><f>IF(BJ34=FALSE,"SIGDIFERENTES","SIGIGUALES")</f><v /></c><c r="BL34" s="390"><f>IF(BC34="NO CONFORME","NO CONFORME",IF(BB34="CONFORME","CONFORME","NO CONFORME"))</f><v /></c></row><row r="35" ht="14.4" customHeight="1" thickBot="1"><c r="A35" s="351" t="n"><v>27</v></c><c r="B35" s="375"><f>B34</f><v /></c><c r="C35" s="375"><f>C34</f><v /></c><c r="D35" s="376"><f>D34</f><v /></c><c r="E35" s="377"><f>E34</f><v /></c><c r="F35" s="13" t="n" /><c r="G35" s="355" t="inlineStr"><is><t>PA25516727</t></is></c><c r="H35" s="313"><f>H34</f><v /></c><c r="I35" s="38"><f>I34</f><v /></c><c r="J35" s="314"><f>J34</f><v /></c><c r="K35" s="378"><f>K34</f><v /></c><c r="L35" s="378"><f>L34</f><v /></c><c r="M35" s="379" t="n"><v>158.49</v></c><c r="N35" s="379" t="n"><v>258.2</v></c><c r="O35" s="380"><f>O34</f><v /></c><c r="P35" s="381"><f>P34</f><v /></c><c r="Q35" s="382"><f>LEFT(P35,1)</f><v /></c><c r="R35" s="382"><f>RIGHT(P35,6)</f><v /></c><c r="S35" s="382"><f>+(Q35*60+R35)/(60*60)</f><v /></c><c r="T35" s="383"><f>+O35/S35</f><v /></c><c r="U35" s="384"><f>+(((N35-M35-O35)/O35)*100)</f><v /></c><c r="V35" s="317"><f>V34</f><v /></c><c r="W35" s="385"><f>W34</f><v /></c><c r="X35" s="385"><f>X34</f><v /></c><c r="Y35" s="379" t="n"><v>264.48</v></c><c r="Z35" s="379" t="n"><v>274.47</v></c><c r="AA35" s="386"><f>AA34</f><v /></c><c r="AB35" s="387"><f>AB34</f><v /></c><c r="AC35" s="382"><f>LEFT(AB35,2)</f><v /></c><c r="AD35" s="382"><f>RIGHT(AB35,6)</f><v /></c><c r="AE35" s="382"><f>+(AC35*60+AD35)/(60*60)</f><v /></c><c r="AF35" s="383"><f>+AA35/AE35</f><v /></c><c r="AG35" s="321"><f>+(((Z35-Y35-AA35)/AA35)*100)</f><v /></c><c r="AH35" s="317"><f>AH34</f><v /></c><c r="AI35" s="385"><f>AI34</f><v /></c><c r="AJ35" s="385"><f>AJ34</f><v /></c><c r="AK35" s="379"><f>Z35</f><v /></c><c r="AL35" s="379" t="n"><v>279.46</v></c><c r="AM35" s="388"><f>AM34</f><v /></c><c r="AN35" s="381"><f>AN34</f><v /></c><c r="AO35" s="382"><f>LEFT(AN35,2)</f><v /></c><c r="AP35" s="382"><f>RIGHT(AN35,6)</f><v /></c><c r="AQ35" s="382"><f>+(AO35*60+AP35)/(60*60)</f><v /></c><c r="AR35" s="383"><f>+AM35/AQ35</f><v /></c><c r="AS35" s="321"><f>+(((AL35-AK35-AM35)/AM35)*100)</f><v /></c><c r="AT35" s="389"><f>IF(I35&gt;=1,"NO CONFORME",IF(BK35="SIGDIFERENTES",BC35,BL35))</f><v /></c><c r="AU35" s="372"><f>B35=C35</f><v /></c><c r="AV35" s="372"><f>N35&lt;Y35</f><v /></c><c r="AW35" s="372"><f>Z35&lt;=AK35</f><v /></c><c r="AX35" s="372"><f>IF(I35&gt;=1,"Qcorrecto",IF(AND(AY35="aceptable",AZ35="aceptable",BA35="aceptable"),"Qcorrecto","Qincorrecto"))</f><v /></c><c r="AY35" s="390"><f>IF(AR35&lt;$AH$6,"error",IF(AR35&gt;$AH$6*1.1,"error","aceptable"))</f><v /></c><c r="AZ35" s="390"><f>IF(AF35&lt;$V$6,"error",IF(AF35&gt;$V$6*1.1,"error","aceptable"))</f><v /></c><c r="BA35" s="390"><f>IF(T35&lt;$J$6*0.9,"error",IF(T35&gt;$J$6,"error","aceptable"))</f><v /></c><c r="BB35" s="25"><f>(IF(ABS(U35)&lt;1.05,"CONFORME",IF(ABS(AG35)&lt;1.05,"CONFORME",IF(ABS(AS35)&lt;2.55,"CONFORME","NO CONFORME"))))</f><v /></c><c r="BC35" s="5"><f>(IF(ABS(U35)&gt;2.05,"NO CONFORME",IF(ABS(AG35)&gt;2.05,"NO CONFORME",IF(ABS(AS35)&gt;5.05,"NO CONFORME","CONFORME"))))</f><v /></c><c r="BD35" s="374"><f>SIGN(U35)</f><v /></c><c r="BE35" s="374"><f>SIGN(AG35)</f><v /></c><c r="BF35" s="374"><f>SIGN(AS35)</f><v /></c><c r="BG35" s="374"><f>CONCATENATE(BD35,BE35,BF35)</f><v /></c><c r="BH35" s="374"><f>IF(BG35="111","SI","SD")</f><v /></c><c r="BI35" s="374"><f>IF(BG35="-1-1-1","SI","SD")</f><v /></c><c r="BJ35" s="374"><f>OR(BH35="SI",BI35="SI")</f><v /></c><c r="BK35" s="374"><f>IF(BJ35=FALSE,"SIGDIFERENTES","SIGIGUALES")</f><v /></c><c r="BL35" s="390"><f>IF(BC35="NO CONFORME","NO CONFORME",IF(BB35="CONFORME","CONFORME","NO CONFORME"))</f><v /></c></row><row r="36" ht="14.4" customHeight="1" thickBot="1"><c r="A36" s="351" t="n"><v>28</v></c><c r="B36" s="375"><f>B35</f><v /></c><c r="C36" s="375"><f>C35</f><v /></c><c r="D36" s="376"><f>D35</f><v /></c><c r="E36" s="377"><f>E35</f><v /></c><c r="F36" s="13" t="n" /><c r="G36" s="355" t="inlineStr"><is><t>PA25516728</t></is></c><c r="H36" s="313"><f>H35</f><v /></c><c r="I36" s="38"><f>I35</f><v /></c><c r="J36" s="314"><f>J35</f><v /></c><c r="K36" s="378"><f>K35</f><v /></c><c r="L36" s="378"><f>L35</f><v /></c><c r="M36" s="379" t="n"><v>81.45</v></c><c r="N36" s="379" t="n"><v>181.11</v></c><c r="O36" s="380"><f>O35</f><v /></c><c r="P36" s="381"><f>P35</f><v /></c><c r="Q36" s="382"><f>LEFT(P36,1)</f><v /></c><c r="R36" s="382"><f>RIGHT(P36,6)</f><v /></c><c r="S36" s="382"><f>+(Q36*60+R36)/(60*60)</f><v /></c><c r="T36" s="383"><f>+O36/S36</f><v /></c><c r="U36" s="384"><f>+(((N36-M36-O36)/O36)*100)</f><v /></c><c r="V36" s="317"><f>V35</f><v /></c><c r="W36" s="385"><f>W35</f><v /></c><c r="X36" s="385"><f>X35</f><v /></c><c r="Y36" s="379" t="n"><v>187.42</v></c><c r="Z36" s="379" t="n"><v>197.42</v></c><c r="AA36" s="386"><f>AA35</f><v /></c><c r="AB36" s="387"><f>AB35</f><v /></c><c r="AC36" s="382"><f>LEFT(AB36,2)</f><v /></c><c r="AD36" s="382"><f>RIGHT(AB36,6)</f><v /></c><c r="AE36" s="382"><f>+(AC36*60+AD36)/(60*60)</f><v /></c><c r="AF36" s="383"><f>+AA36/AE36</f><v /></c><c r="AG36" s="321"><f>+(((Z36-Y36-AA36)/AA36)*100)</f><v /></c><c r="AH36" s="317"><f>AH35</f><v /></c><c r="AI36" s="385"><f>AI35</f><v /></c><c r="AJ36" s="385"><f>AJ35</f><v /></c><c r="AK36" s="379"><f>Z36</f><v /></c><c r="AL36" s="379" t="n"><v>202.41</v></c><c r="AM36" s="388"><f>AM35</f><v /></c><c r="AN36" s="381"><f>AN35</f><v /></c><c r="AO36" s="382"><f>LEFT(AN36,2)</f><v /></c><c r="AP36" s="382"><f>RIGHT(AN36,6)</f><v /></c><c r="AQ36" s="382"><f>+(AO36*60+AP36)/(60*60)</f><v /></c><c r="AR36" s="383"><f>+AM36/AQ36</f><v /></c><c r="AS36" s="321"><f>+(((AL36-AK36-AM36)/AM36)*100)</f><v /></c><c r="AT36" s="389"><f>IF(I36&gt;=1,"NO CONFORME",IF(BK36="SIGDIFERENTES",BC36,BL36))</f><v /></c><c r="AU36" s="372"><f>B36=C36</f><v /></c><c r="AV36" s="372"><f>N36&lt;Y36</f><v /></c><c r="AW36" s="372"><f>Z36&lt;=AK36</f><v /></c><c r="AX36" s="372"><f>IF(I36&gt;=1,"Qcorrecto",IF(AND(AY36="aceptable",AZ36="aceptable",BA36="aceptable"),"Qcorrecto","Qincorrecto"))</f><v /></c><c r="AY36" s="390"><f>IF(AR36&lt;$AH$6,"error",IF(AR36&gt;$AH$6*1.1,"error","aceptable"))</f><v /></c><c r="AZ36" s="390"><f>IF(AF36&lt;$V$6,"error",IF(AF36&gt;$V$6*1.1,"error","aceptable"))</f><v /></c><c r="BA36" s="390"><f>IF(T36&lt;$J$6*0.9,"error",IF(T36&gt;$J$6,"error","aceptable"))</f><v /></c><c r="BB36" s="25"><f>(IF(ABS(U36)&lt;1.05,"CONFORME",IF(ABS(AG36)&lt;1.05,"CONFORME",IF(ABS(AS36)&lt;2.55,"CONFORME","NO CONFORME"))))</f><v /></c><c r="BC36" s="5"><f>(IF(ABS(U36)&gt;2.05,"NO CONFORME",IF(ABS(AG36)&gt;2.05,"NO CONFORME",IF(ABS(AS36)&gt;5.05,"NO CONFORME","CONFORME"))))</f><v /></c><c r="BD36" s="374"><f>SIGN(U36)</f><v /></c><c r="BE36" s="374"><f>SIGN(AG36)</f><v /></c><c r="BF36" s="374"><f>SIGN(AS36)</f><v /></c><c r="BG36" s="374"><f>CONCATENATE(BD36,BE36,BF36)</f><v /></c><c r="BH36" s="374"><f>IF(BG36="111","SI","SD")</f><v /></c><c r="BI36" s="374"><f>IF(BG36="-1-1-1","SI","SD")</f><v /></c><c r="BJ36" s="374"><f>OR(BH36="SI",BI36="SI")</f><v /></c><c r="BK36" s="374"><f>IF(BJ36=FALSE,"SIGDIFERENTES","SIGIGUALES")</f><v /></c><c r="BL36" s="390"><f>IF(BC36="NO CONFORME","NO CONFORME",IF(BB36="CONFORME","CONFORME","NO CONFORME"))</f><v /></c></row><row r="37" ht="14.4" customHeight="1" thickBot="1"><c r="A37" s="351" t="n"><v>29</v></c><c r="B37" s="375"><f>B36</f><v /></c><c r="C37" s="375"><f>C36</f><v /></c><c r="D37" s="376"><f>D36</f><v /></c><c r="E37" s="377"><f>E36</f><v /></c><c r="F37" s="13" t="n" /><c r="G37" s="355" t="inlineStr"><is><t>PA25516729</t></is></c><c r="H37" s="313"><f>H36</f><v /></c><c r="I37" s="38"><f>I36</f><v /></c><c r="J37" s="314"><f>J36</f><v /></c><c r="K37" s="378"><f>K36</f><v /></c><c r="L37" s="378"><f>L36</f><v /></c><c r="M37" s="379" t="n"><v>82.95999999999999</v></c><c r="N37" s="379" t="n"><v>182.3</v></c><c r="O37" s="380"><f>O36</f><v /></c><c r="P37" s="381"><f>P36</f><v /></c><c r="Q37" s="382"><f>LEFT(P37,1)</f><v /></c><c r="R37" s="382"><f>RIGHT(P37,6)</f><v /></c><c r="S37" s="382"><f>+(Q37*60+R37)/(60*60)</f><v /></c><c r="T37" s="383"><f>+O37/S37</f><v /></c><c r="U37" s="384"><f>+(((N37-M37-O37)/O37)*100)</f><v /></c><c r="V37" s="317"><f>V36</f><v /></c><c r="W37" s="385"><f>W36</f><v /></c><c r="X37" s="385"><f>X36</f><v /></c><c r="Y37" s="379" t="n"><v>188.65</v></c><c r="Z37" s="379" t="n"><v>198.7</v></c><c r="AA37" s="386"><f>AA36</f><v /></c><c r="AB37" s="387"><f>AB36</f><v /></c><c r="AC37" s="382"><f>LEFT(AB37,2)</f><v /></c><c r="AD37" s="382"><f>RIGHT(AB37,6)</f><v /></c><c r="AE37" s="382"><f>+(AC37*60+AD37)/(60*60)</f><v /></c><c r="AF37" s="383"><f>+AA37/AE37</f><v /></c><c r="AG37" s="321"><f>+(((Z37-Y37-AA37)/AA37)*100)</f><v /></c><c r="AH37" s="317"><f>AH36</f><v /></c><c r="AI37" s="385"><f>AI36</f><v /></c><c r="AJ37" s="385"><f>AJ36</f><v /></c><c r="AK37" s="379"><f>Z37</f><v /></c><c r="AL37" s="379" t="n"><v>203.72</v></c><c r="AM37" s="388"><f>AM36</f><v /></c><c r="AN37" s="381"><f>AN36</f><v /></c><c r="AO37" s="382"><f>LEFT(AN37,2)</f><v /></c><c r="AP37" s="382"><f>RIGHT(AN37,6)</f><v /></c><c r="AQ37" s="382"><f>+(AO37*60+AP37)/(60*60)</f><v /></c><c r="AR37" s="383"><f>+AM37/AQ37</f><v /></c><c r="AS37" s="321"><f>+(((AL37-AK37-AM37)/AM37)*100)</f><v /></c><c r="AT37" s="389"><f>IF(I37&gt;=1,"NO CONFORME",IF(BK37="SIGDIFERENTES",BC37,BL37))</f><v /></c><c r="AU37" s="372"><f>B37=C37</f><v /></c><c r="AV37" s="372"><f>N37&lt;Y37</f><v /></c><c r="AW37" s="372"><f>Z37&lt;=AK37</f><v /></c><c r="AX37" s="372"><f>IF(I37&gt;=1,"Qcorrecto",IF(AND(AY37="aceptable",AZ37="aceptable",BA37="aceptable"),"Qcorrecto","Qincorrecto"))</f><v /></c><c r="AY37" s="390"><f>IF(AR37&lt;$AH$6,"error",IF(AR37&gt;$AH$6*1.1,"error","aceptable"))</f><v /></c><c r="AZ37" s="390"><f>IF(AF37&lt;$V$6,"error",IF(AF37&gt;$V$6*1.1,"error","aceptable"))</f><v /></c><c r="BA37" s="390"><f>IF(T37&lt;$J$6*0.9,"error",IF(T37&gt;$J$6,"error","aceptable"))</f><v /></c><c r="BB37" s="25"><f>(IF(ABS(U37)&lt;1.05,"CONFORME",IF(ABS(AG37)&lt;1.05,"CONFORME",IF(ABS(AS37)&lt;2.55,"CONFORME","NO CONFORME"))))</f><v /></c><c r="BC37" s="5"><f>(IF(ABS(U37)&gt;2.05,"NO CONFORME",IF(ABS(AG37)&gt;2.05,"NO CONFORME",IF(ABS(AS37)&gt;5.05,"NO CONFORME","CONFORME"))))</f><v /></c><c r="BD37" s="374"><f>SIGN(U37)</f><v /></c><c r="BE37" s="374"><f>SIGN(AG37)</f><v /></c><c r="BF37" s="374"><f>SIGN(AS37)</f><v /></c><c r="BG37" s="374"><f>CONCATENATE(BD37,BE37,BF37)</f><v /></c><c r="BH37" s="374"><f>IF(BG37="111","SI","SD")</f><v /></c><c r="BI37" s="374"><f>IF(BG37="-1-1-1","SI","SD")</f><v /></c><c r="BJ37" s="374"><f>OR(BH37="SI",BI37="SI")</f><v /></c><c r="BK37" s="374"><f>IF(BJ37=FALSE,"SIGDIFERENTES","SIGIGUALES")</f><v /></c><c r="BL37" s="390"><f>IF(BC37="NO CONFORME","NO CONFORME",IF(BB37="CONFORME","CONFORME","NO CONFORME"))</f><v /></c></row><row r="38" ht="14.4" customHeight="1" thickBot="1"><c r="A38" s="351" t="n"><v>30</v></c><c r="B38" s="375"><f>B37</f><v /></c><c r="C38" s="375"><f>C37</f><v /></c><c r="D38" s="376"><f>D37</f><v /></c><c r="E38" s="377"><f>E37</f><v /></c><c r="F38" s="13" t="n" /><c r="G38" s="355" t="inlineStr"><is><t>PA25516730</t></is></c><c r="H38" s="313"><f>H37</f><v /></c><c r="I38" s="38"><f>I37</f><v /></c><c r="J38" s="314"><f>J37</f><v /></c><c r="K38" s="378"><f>K37</f><v /></c><c r="L38" s="378"><f>L37</f><v /></c><c r="M38" s="379" t="n"><v>82</v></c><c r="N38" s="379" t="n"><v>181.81</v></c><c r="O38" s="380"><f>O37</f><v /></c><c r="P38" s="381"><f>P37</f><v /></c><c r="Q38" s="382"><f>LEFT(P38,1)</f><v /></c><c r="R38" s="382"><f>RIGHT(P38,6)</f><v /></c><c r="S38" s="382"><f>+(Q38*60+R38)/(60*60)</f><v /></c><c r="T38" s="383"><f>+O38/S38</f><v /></c><c r="U38" s="384"><f>+(((N38-M38-O38)/O38)*100)</f><v /></c><c r="V38" s="317"><f>V37</f><v /></c><c r="W38" s="385"><f>W37</f><v /></c><c r="X38" s="385"><f>X37</f><v /></c><c r="Y38" s="379" t="n"><v>188.1</v></c><c r="Z38" s="379" t="n"><v>198.06</v></c><c r="AA38" s="386"><f>AA37</f><v /></c><c r="AB38" s="387"><f>AB37</f><v /></c><c r="AC38" s="382"><f>LEFT(AB38,2)</f><v /></c><c r="AD38" s="382"><f>RIGHT(AB38,6)</f><v /></c><c r="AE38" s="382"><f>+(AC38*60+AD38)/(60*60)</f><v /></c><c r="AF38" s="383"><f>+AA38/AE38</f><v /></c><c r="AG38" s="321"><f>+(((Z38-Y38-AA38)/AA38)*100)</f><v /></c><c r="AH38" s="317"><f>AH37</f><v /></c><c r="AI38" s="385"><f>AI37</f><v /></c><c r="AJ38" s="385"><f>AJ37</f><v /></c><c r="AK38" s="379"><f>Z38</f><v /></c><c r="AL38" s="379" t="n"><v>203.01</v></c><c r="AM38" s="388"><f>AM37</f><v /></c><c r="AN38" s="381"><f>AN37</f><v /></c><c r="AO38" s="382"><f>LEFT(AN38,2)</f><v /></c><c r="AP38" s="382"><f>RIGHT(AN38,6)</f><v /></c><c r="AQ38" s="382"><f>+(AO38*60+AP38)/(60*60)</f><v /></c><c r="AR38" s="383"><f>+AM38/AQ38</f><v /></c><c r="AS38" s="321"><f>+(((AL38-AK38-AM38)/AM38)*100)</f><v /></c><c r="AT38" s="389"><f>IF(I38&gt;=1,"NO CONFORME",IF(BK38="SIGDIFERENTES",BC38,BL38))</f><v /></c><c r="AU38" s="372"><f>B38=C38</f><v /></c><c r="AV38" s="372"><f>N38&lt;Y38</f><v /></c><c r="AW38" s="372"><f>Z38&lt;=AK38</f><v /></c><c r="AX38" s="372"><f>IF(I38&gt;=1,"Qcorrecto",IF(AND(AY38="aceptable",AZ38="aceptable",BA38="aceptable"),"Qcorrecto","Qincorrecto"))</f><v /></c><c r="AY38" s="390"><f>IF(AR38&lt;$AH$6,"error",IF(AR38&gt;$AH$6*1.1,"error","aceptable"))</f><v /></c><c r="AZ38" s="390"><f>IF(AF38&lt;$V$6,"error",IF(AF38&gt;$V$6*1.1,"error","aceptable"))</f><v /></c><c r="BA38" s="390"><f>IF(T38&lt;$J$6*0.9,"error",IF(T38&gt;$J$6,"error","aceptable"))</f><v /></c><c r="BB38" s="25"><f>(IF(ABS(U38)&lt;1.05,"CONFORME",IF(ABS(AG38)&lt;1.05,"CONFORME",IF(ABS(AS38)&lt;2.55,"CONFORME","NO CONFORME"))))</f><v /></c><c r="BC38" s="5"><f>(IF(ABS(U38)&gt;2.05,"NO CONFORME",IF(ABS(AG38)&gt;2.05,"NO CONFORME",IF(ABS(AS38)&gt;5.05,"NO CONFORME","CONFORME"))))</f><v /></c><c r="BD38" s="374"><f>SIGN(U38)</f><v /></c><c r="BE38" s="374"><f>SIGN(AG38)</f><v /></c><c r="BF38" s="374"><f>SIGN(AS38)</f><v /></c><c r="BG38" s="374"><f>CONCATENATE(BD38,BE38,BF38)</f><v /></c><c r="BH38" s="374"><f>IF(BG38="111","SI","SD")</f><v /></c><c r="BI38" s="374"><f>IF(BG38="-1-1-1","SI","SD")</f><v /></c><c r="BJ38" s="374"><f>OR(BH38="SI",BI38="SI")</f><v /></c><c r="BK38" s="374"><f>IF(BJ38=FALSE,"SIGDIFERENTES","SIGIGUALES")</f><v /></c><c r="BL38" s="390"><f>IF(BC38="NO CONFORME","NO CONFORME",IF(BB38="CONFORME","CONFORME","NO CONFORME"))</f><v /></c></row><row r="39" ht="14.4" customHeight="1" thickBot="1"><c r="A39" s="351" t="n"><v>31</v></c><c r="B39" s="375"><f>B38</f><v /></c><c r="C39" s="375"><f>C38</f><v /></c><c r="D39" s="376"><f>D38</f><v /></c><c r="E39" s="377"><f>E38</f><v /></c><c r="F39" s="13" t="n" /><c r="G39" s="355" t="inlineStr"><is><t>PA25516731</t></is></c><c r="H39" s="313"><f>H38</f><v /></c><c r="I39" s="38"><f>I38</f><v /></c><c r="J39" s="314"><f>J38</f><v /></c><c r="K39" s="378"><f>K38</f><v /></c><c r="L39" s="378"><f>L38</f><v /></c><c r="M39" s="379" t="n"><v>83.5</v></c><c r="N39" s="379" t="n"><v>183.27</v></c><c r="O39" s="380"><f>O38</f><v /></c><c r="P39" s="381"><f>P38</f><v /></c><c r="Q39" s="382"><f>LEFT(P39,1)</f><v /></c><c r="R39" s="382"><f>RIGHT(P39,6)</f><v /></c><c r="S39" s="382"><f>+(Q39*60+R39)/(60*60)</f><v /></c><c r="T39" s="383"><f>+O39/S39</f><v /></c><c r="U39" s="384"><f>+(((N39-M39-O39)/O39)*100)</f><v /></c><c r="V39" s="317"><f>V38</f><v /></c><c r="W39" s="385"><f>W38</f><v /></c><c r="X39" s="385"><f>X38</f><v /></c><c r="Y39" s="379" t="n"><v>189.58</v></c><c r="Z39" s="379" t="n"><v>199.56</v></c><c r="AA39" s="386"><f>AA38</f><v /></c><c r="AB39" s="387"><f>AB38</f><v /></c><c r="AC39" s="382"><f>LEFT(AB39,2)</f><v /></c><c r="AD39" s="382"><f>RIGHT(AB39,6)</f><v /></c><c r="AE39" s="382"><f>+(AC39*60+AD39)/(60*60)</f><v /></c><c r="AF39" s="383"><f>+AA39/AE39</f><v /></c><c r="AG39" s="321"><f>+(((Z39-Y39-AA39)/AA39)*100)</f><v /></c><c r="AH39" s="317"><f>AH38</f><v /></c><c r="AI39" s="385"><f>AI38</f><v /></c><c r="AJ39" s="385"><f>AJ38</f><v /></c><c r="AK39" s="379"><f>Z39</f><v /></c><c r="AL39" s="379" t="n"><v>204.55</v></c><c r="AM39" s="388"><f>AM38</f><v /></c><c r="AN39" s="381"><f>AN38</f><v /></c><c r="AO39" s="382"><f>LEFT(AN39,2)</f><v /></c><c r="AP39" s="382"><f>RIGHT(AN39,6)</f><v /></c><c r="AQ39" s="382"><f>+(AO39*60+AP39)/(60*60)</f><v /></c><c r="AR39" s="383"><f>+AM39/AQ39</f><v /></c><c r="AS39" s="321"><f>+(((AL39-AK39-AM39)/AM39)*100)</f><v /></c><c r="AT39" s="389"><f>IF(I39&gt;=1,"NO CONFORME",IF(BK39="SIGDIFERENTES",BC39,BL39))</f><v /></c><c r="AU39" s="372"><f>B39=C39</f><v /></c><c r="AV39" s="372"><f>N39&lt;Y39</f><v /></c><c r="AW39" s="372"><f>Z39&lt;=AK39</f><v /></c><c r="AX39" s="372"><f>IF(I39&gt;=1,"Qcorrecto",IF(AND(AY39="aceptable",AZ39="aceptable",BA39="aceptable"),"Qcorrecto","Qincorrecto"))</f><v /></c><c r="AY39" s="390"><f>IF(AR39&lt;$AH$6,"error",IF(AR39&gt;$AH$6*1.1,"error","aceptable"))</f><v /></c><c r="AZ39" s="390"><f>IF(AF39&lt;$V$6,"error",IF(AF39&gt;$V$6*1.1,"error","aceptable"))</f><v /></c><c r="BA39" s="390"><f>IF(T39&lt;$J$6*0.9,"error",IF(T39&gt;$J$6,"error","aceptable"))</f><v /></c><c r="BB39" s="25"><f>(IF(ABS(U39)&lt;1.05,"CONFORME",IF(ABS(AG39)&lt;1.05,"CONFORME",IF(ABS(AS39)&lt;2.55,"CONFORME","NO CONFORME"))))</f><v /></c><c r="BC39" s="5"><f>(IF(ABS(U39)&gt;2.05,"NO CONFORME",IF(ABS(AG39)&gt;2.05,"NO CONFORME",IF(ABS(AS39)&gt;5.05,"NO CONFORME","CONFORME"))))</f><v /></c><c r="BD39" s="374"><f>SIGN(U39)</f><v /></c><c r="BE39" s="374"><f>SIGN(AG39)</f><v /></c><c r="BF39" s="374"><f>SIGN(AS39)</f><v /></c><c r="BG39" s="374"><f>CONCATENATE(BD39,BE39,BF39)</f><v /></c><c r="BH39" s="374"><f>IF(BG39="111","SI","SD")</f><v /></c><c r="BI39" s="374"><f>IF(BG39="-1-1-1","SI","SD")</f><v /></c><c r="BJ39" s="374"><f>OR(BH39="SI",BI39="SI")</f><v /></c><c r="BK39" s="374"><f>IF(BJ39=FALSE,"SIGDIFERENTES","SIGIGUALES")</f><v /></c><c r="BL39" s="390"><f>IF(BC39="NO CONFORME","NO CONFORME",IF(BB39="CONFORME","CONFORME","NO CONFORME"))</f><v /></c></row><row r="40" ht="14.4" customHeight="1" thickBot="1"><c r="A40" s="351" t="n"><v>32</v></c><c r="B40" s="375"><f>B39</f><v /></c><c r="C40" s="375"><f>C39</f><v /></c><c r="D40" s="376"><f>D39</f><v /></c><c r="E40" s="377"><f>E39</f><v /></c><c r="F40" s="13" t="n" /><c r="G40" s="355" t="inlineStr"><is><t>PA25516732</t></is></c><c r="H40" s="313"><f>H39</f><v /></c><c r="I40" s="38"><f>I39</f><v /></c><c r="J40" s="314"><f>J39</f><v /></c><c r="K40" s="378"><f>K39</f><v /></c><c r="L40" s="378"><f>L39</f><v /></c><c r="M40" s="379" t="n"><v>84.09</v></c><c r="N40" s="379" t="n"><v>184.12</v></c><c r="O40" s="380"><f>O39</f><v /></c><c r="P40" s="381"><f>P39</f><v /></c><c r="Q40" s="382"><f>LEFT(P40,1)</f><v /></c><c r="R40" s="382"><f>RIGHT(P40,6)</f><v /></c><c r="S40" s="382"><f>+(Q40*60+R40)/(60*60)</f><v /></c><c r="T40" s="383"><f>+O40/S40</f><v /></c><c r="U40" s="384"><f>+(((N40-M40-O40)/O40)*100)</f><v /></c><c r="V40" s="317"><f>V39</f><v /></c><c r="W40" s="385"><f>W39</f><v /></c><c r="X40" s="385"><f>X39</f><v /></c><c r="Y40" s="379" t="n"><v>190.45</v></c><c r="Z40" s="379" t="n"><v>200.47</v></c><c r="AA40" s="386"><f>AA39</f><v /></c><c r="AB40" s="387"><f>AB39</f><v /></c><c r="AC40" s="382"><f>LEFT(AB40,2)</f><v /></c><c r="AD40" s="382"><f>RIGHT(AB40,6)</f><v /></c><c r="AE40" s="382"><f>+(AC40*60+AD40)/(60*60)</f><v /></c><c r="AF40" s="383"><f>+AA40/AE40</f><v /></c><c r="AG40" s="321"><f>+(((Z40-Y40-AA40)/AA40)*100)</f><v /></c><c r="AH40" s="317"><f>AH39</f><v /></c><c r="AI40" s="385"><f>AI39</f><v /></c><c r="AJ40" s="385"><f>AJ39</f><v /></c><c r="AK40" s="379"><f>Z40</f><v /></c><c r="AL40" s="379" t="n"><v>205.45</v></c><c r="AM40" s="388"><f>AM39</f><v /></c><c r="AN40" s="381"><f>AN39</f><v /></c><c r="AO40" s="382"><f>LEFT(AN40,2)</f><v /></c><c r="AP40" s="382"><f>RIGHT(AN40,6)</f><v /></c><c r="AQ40" s="382"><f>+(AO40*60+AP40)/(60*60)</f><v /></c><c r="AR40" s="383"><f>+AM40/AQ40</f><v /></c><c r="AS40" s="321"><f>+(((AL40-AK40-AM40)/AM40)*100)</f><v /></c><c r="AT40" s="389"><f>IF(I40&gt;=1,"NO CONFORME",IF(BK40="SIGDIFERENTES",BC40,BL40))</f><v /></c><c r="AU40" s="372"><f>B40=C40</f><v /></c><c r="AV40" s="372"><f>N40&lt;Y40</f><v /></c><c r="AW40" s="372"><f>Z40&lt;=AK40</f><v /></c><c r="AX40" s="372"><f>IF(I40&gt;=1,"Qcorrecto",IF(AND(AY40="aceptable",AZ40="aceptable",BA40="aceptable"),"Qcorrecto","Qincorrecto"))</f><v /></c><c r="AY40" s="390"><f>IF(AR40&lt;$AH$6,"error",IF(AR40&gt;$AH$6*1.1,"error","aceptable"))</f><v /></c><c r="AZ40" s="390"><f>IF(AF40&lt;$V$6,"error",IF(AF40&gt;$V$6*1.1,"error","aceptable"))</f><v /></c><c r="BA40" s="390"><f>IF(T40&lt;$J$6*0.9,"error",IF(T40&gt;$J$6,"error","aceptable"))</f><v /></c><c r="BB40" s="25"><f>(IF(ABS(U40)&lt;1.05,"CONFORME",IF(ABS(AG40)&lt;1.05,"CONFORME",IF(ABS(AS40)&lt;2.55,"CONFORME","NO CONFORME"))))</f><v /></c><c r="BC40" s="5"><f>(IF(ABS(U40)&gt;2.05,"NO CONFORME",IF(ABS(AG40)&gt;2.05,"NO CONFORME",IF(ABS(AS40)&gt;5.05,"NO CONFORME","CONFORME"))))</f><v /></c><c r="BD40" s="374"><f>SIGN(U40)</f><v /></c><c r="BE40" s="374"><f>SIGN(AG40)</f><v /></c><c r="BF40" s="374"><f>SIGN(AS40)</f><v /></c><c r="BG40" s="374"><f>CONCATENATE(BD40,BE40,BF40)</f><v /></c><c r="BH40" s="374"><f>IF(BG40="111","SI","SD")</f><v /></c><c r="BI40" s="374"><f>IF(BG40="-1-1-1","SI","SD")</f><v /></c><c r="BJ40" s="374"><f>OR(BH40="SI",BI40="SI")</f><v /></c><c r="BK40" s="374"><f>IF(BJ40=FALSE,"SIGDIFERENTES","SIGIGUALES")</f><v /></c><c r="BL40" s="390"><f>IF(BC40="NO CONFORME","NO CONFORME",IF(BB40="CONFORME","CONFORME","NO CONFORME"))</f><v /></c></row><row r="41" ht="14.4" customHeight="1" thickBot="1"><c r="A41" s="414" t="n"><v>33</v></c><c r="B41" s="415"><f>B40</f><v /></c><c r="C41" s="415"><f>C40</f><v /></c><c r="D41" s="416"><f>D40</f><v /></c><c r="E41" s="417"><f>E40</f><v /></c><c r="F41" s="56" t="n" /><c r="G41" s="355" t="inlineStr"><is><t>PA25516733</t></is></c><c r="H41" s="418"><f>H40</f><v /></c><c r="I41" s="419"><f>I40</f><v /></c><c r="J41" s="420"><f>J40</f><v /></c><c r="K41" s="421"><f>K40</f><v /></c><c r="L41" s="421"><f>L40</f><v /></c><c r="M41" s="422" t="n"><v>123</v></c><c r="N41" s="422" t="n"><v>222.8</v></c><c r="O41" s="423"><f>O40</f><v /></c><c r="P41" s="424"><f>P40</f><v /></c><c r="Q41" s="425"><f>LEFT(P41,1)</f><v /></c><c r="R41" s="425"><f>RIGHT(P41,6)</f><v /></c><c r="S41" s="425"><f>+(Q41*60+R41)/(60*60)</f><v /></c><c r="T41" s="426"><f>+O41/S41</f><v /></c><c r="U41" s="427"><f>+(((N41-M41-O41)/O41)*100)</f><v /></c><c r="V41" s="428"><f>V40</f><v /></c><c r="W41" s="429"><f>W40</f><v /></c><c r="X41" s="429"><f>X40</f><v /></c><c r="Y41" s="422" t="n"><v>229.15</v></c><c r="Z41" s="422" t="n"><v>239.16</v></c><c r="AA41" s="430"><f>AA40</f><v /></c><c r="AB41" s="431"><f>AB40</f><v /></c><c r="AC41" s="425"><f>LEFT(AB41,2)</f><v /></c><c r="AD41" s="425"><f>RIGHT(AB41,6)</f><v /></c><c r="AE41" s="425"><f>+(AC41*60+AD41)/(60*60)</f><v /></c><c r="AF41" s="426"><f>+AA41/AE41</f><v /></c><c r="AG41" s="432"><f>+(((Z41-Y41-AA41)/AA41)*100)</f><v /></c><c r="AH41" s="428"><f>AH40</f><v /></c><c r="AI41" s="429"><f>AI40</f><v /></c><c r="AJ41" s="429"><f>AJ40</f><v /></c><c r="AK41" s="422"><f>Z41</f><v /></c><c r="AL41" s="422" t="n"><v>244.09</v></c><c r="AM41" s="433"><f>AM40</f><v /></c><c r="AN41" s="424"><f>AN40</f><v /></c><c r="AO41" s="425"><f>LEFT(AN41,2)</f><v /></c><c r="AP41" s="425"><f>RIGHT(AN41,6)</f><v /></c><c r="AQ41" s="425"><f>+(AO41*60+AP41)/(60*60)</f><v /></c><c r="AR41" s="426"><f>+AM41/AQ41</f><v /></c><c r="AS41" s="432"><f>+(((AL41-AK41-AM41)/AM41)*100)</f><v /></c><c r="AT41" s="434"><f>IF(I41&gt;=1,"NO CONFORME",IF(BK41="SIGDIFERENTES",BC41,BL41))</f><v /></c><c r="AU41" s="372"><f>B41=C41</f><v /></c><c r="AV41" s="372"><f>N41&lt;Y41</f><v /></c><c r="AW41" s="372"><f>Z41&lt;=AK41</f><v /></c><c r="AX41" s="372"><f>IF(I41&gt;=1,"Qcorrecto",IF(AND(AY41="aceptable",AZ41="aceptable",BA41="aceptable"),"Qcorrecto","Qincorrecto"))</f><v /></c><c r="AY41" s="435"><f>IF(AR41&lt;$AH$6,"error",IF(AR41&gt;$AH$6*1.1,"error","aceptable"))</f><v /></c><c r="AZ41" s="435"><f>IF(AF41&lt;$V$6,"error",IF(AF41&gt;$V$6*1.1,"error","aceptable"))</f><v /></c><c r="BA41" s="435"><f>IF(T41&lt;$J$6*0.9,"error",IF(T41&gt;$J$6,"error","aceptable"))</f><v /></c><c r="BB41" s="436"><f>(IF(ABS(U41)&lt;1.05,"CONFORME",IF(ABS(AG41)&lt;1.05,"CONFORME",IF(ABS(AS41)&lt;2.55,"CONFORME","NO CONFORME"))))</f><v /></c><c r="BC41" s="437"><f>(IF(ABS(U41)&gt;2.05,"NO CONFORME",IF(ABS(AG41)&gt;2.05,"NO CONFORME",IF(ABS(AS41)&gt;5.05,"NO CONFORME","CONFORME"))))</f><v /></c><c r="BD41" s="374"><f>SIGN(U41)</f><v /></c><c r="BE41" s="374"><f>SIGN(AG41)</f><v /></c><c r="BF41" s="374"><f>SIGN(AS41)</f><v /></c><c r="BG41" s="374"><f>CONCATENATE(BD41,BE41,BF41)</f><v /></c><c r="BH41" s="374"><f>IF(BG41="111","SI","SD")</f><v /></c><c r="BI41" s="374"><f>IF(BG41="-1-1-1","SI","SD")</f><v /></c><c r="BJ41" s="374"><f>OR(BH41="SI",BI41="SI")</f><v /></c><c r="BK41" s="374"><f>IF(BJ41=FALSE,"SIGDIFERENTES","SIGIGUALES")</f><v /></c><c r="BL41" s="435"><f>IF(BC41="NO CONFORME","NO CONFORME",IF(BB41="CONFORME","CONFORME","NO CONFORME"))</f><v /></c></row><row r="42" ht="14.4" customHeight="1" thickBot="1"><c r="A42" s="377" t="n"><v>34</v></c><c r="B42" s="375"><f>B41</f><v /></c><c r="C42" s="375"><f>C41</f><v /></c><c r="D42" s="376"><f>D41</f><v /></c><c r="E42" s="377"><f>E41</f><v /></c><c r="F42" s="13" t="n" /><c r="G42" s="355" t="inlineStr"><is><t>PA25516734</t></is></c><c r="H42" s="313"><f>H41</f><v /></c><c r="I42" s="38"><f>I41</f><v /></c><c r="J42" s="314"><f>J41</f><v /></c><c r="K42" s="378"><f>K41</f><v /></c><c r="L42" s="378"><f>L41</f><v /></c><c r="M42" s="379" t="n"><v>86.2</v></c><c r="N42" s="379" t="n"><v>186.44</v></c><c r="O42" s="423"><f>O41</f><v /></c><c r="P42" s="424"><f>P41</f><v /></c><c r="Q42" s="382"><f>LEFT(P42,1)</f><v /></c><c r="R42" s="382"><f>RIGHT(P42,6)</f><v /></c><c r="S42" s="382"><f>+(Q42*60+R42)/(60*60)</f><v /></c><c r="T42" s="383"><f>+O42/S42</f><v /></c><c r="U42" s="384"><f>+(((N42-M42-O42)/O42)*100)</f><v /></c><c r="V42" s="317"><f>V41</f><v /></c><c r="W42" s="385"><f>W41</f><v /></c><c r="X42" s="385"><f>X41</f><v /></c><c r="Y42" s="379" t="n"><v>192.75</v></c><c r="Z42" s="379" t="n"><v>202.78</v></c><c r="AA42" s="386"><f>AA41</f><v /></c><c r="AB42" s="387"><f>AB41</f><v /></c><c r="AC42" s="382"><f>LEFT(AB42,2)</f><v /></c><c r="AD42" s="382"><f>RIGHT(AB42,6)</f><v /></c><c r="AE42" s="382"><f>+(AC42*60+AD42)/(60*60)</f><v /></c><c r="AF42" s="383"><f>+AA42/AE42</f><v /></c><c r="AG42" s="321"><f>+(((Z42-Y42-AA42)/AA42)*100)</f><v /></c><c r="AH42" s="317"><f>AH41</f><v /></c><c r="AI42" s="385"><f>AI41</f><v /></c><c r="AJ42" s="385"><f>AJ41</f><v /></c><c r="AK42" s="379"><f>Z42</f><v /></c><c r="AL42" s="379" t="n"><v>207.78</v></c><c r="AM42" s="388"><f>AM41</f><v /></c><c r="AN42" s="381"><f>AN41</f><v /></c><c r="AO42" s="382"><f>LEFT(AN42,2)</f><v /></c><c r="AP42" s="382"><f>RIGHT(AN42,6)</f><v /></c><c r="AQ42" s="382"><f>+(AO42*60+AP42)/(60*60)</f><v /></c><c r="AR42" s="383"><f>+AM42/AQ42</f><v /></c><c r="AS42" s="321"><f>+(((AL42-AK42-AM42)/AM42)*100)</f><v /></c><c r="AT42" s="389"><f>IF(I42&gt;=1,"NO CONFORME",IF(BK42="SIGDIFERENTES",BC42,BL42))</f><v /></c><c r="AU42" s="438"><f>B42=C42</f><v /></c><c r="AV42" s="438"><f>N42&lt;Y42</f><v /></c><c r="AW42" s="438"><f>Z42&lt;=AK42</f><v /></c><c r="AX42" s="438"><f>IF(I42&gt;=1,"Qcorrecto",IF(AND(AY42="aceptable",AZ42="aceptable",BA42="aceptable"),"Qcorrecto","Qincorrecto"))</f><v /></c><c r="AY42" s="390"><f>IF(AR42&lt;$AH$6,"error",IF(AR42&gt;$AH$6*1.1,"error","aceptable"))</f><v /></c><c r="AZ42" s="390"><f>IF(AF42&lt;$V$6,"error",IF(AF42&gt;$V$6*1.1,"error","aceptable"))</f><v /></c><c r="BA42" s="390"><f>IF(T42&lt;$J$6*0.9,"error",IF(T42&gt;$J$6,"error","aceptable"))</f><v /></c><c r="BB42" s="439"><f>(IF(ABS(U42)&lt;1.05,"CONFORME",IF(ABS(AG42)&lt;1.05,"CONFORME",IF(ABS(AS42)&lt;2.55,"CONFORME","NO CONFORME"))))</f><v /></c><c r="BC42" s="440"><f>(IF(ABS(U42)&gt;2.05,"NO CONFORME",IF(ABS(AG42)&gt;2.05,"NO CONFORME",IF(ABS(AS42)&gt;5.05,"NO CONFORME","CONFORME"))))</f><v /></c><c r="BD42" s="441"><f>SIGN(U42)</f><v /></c><c r="BE42" s="441"><f>SIGN(AG42)</f><v /></c><c r="BF42" s="441"><f>SIGN(AS42)</f><v /></c><c r="BG42" s="441"><f>CONCATENATE(BD42,BE42,BF42)</f><v /></c><c r="BH42" s="441"><f>IF(BG42="111","SI","SD")</f><v /></c><c r="BI42" s="441"><f>IF(BG42="-1-1-1","SI","SD")</f><v /></c><c r="BJ42" s="441"><f>OR(BH42="SI",BI42="SI")</f><v /></c><c r="BK42" s="441"><f>IF(BJ42=FALSE,"SIGDIFERENTES","SIGIGUALES")</f><v /></c><c r="BL42" s="390"><f>IF(BC42="NO CONFORME","NO CONFORME",IF(BB42="CONFORME","CONFORME","NO CONFORME"))</f><v /></c></row><row r="43" ht="14.4" customHeight="1" thickBot="1"><c r="A43" s="443" t="n"><v>35</v></c><c r="B43" s="375"><f>B42</f><v /></c><c r="C43" s="375"><f>C42</f><v /></c><c r="D43" s="376"><f>D42</f><v /></c><c r="E43" s="377"><f>E42</f><v /></c><c r="F43" s="13" t="n" /><c r="G43" s="444" t="inlineStr"><is><t>PA25516735</t></is></c><c r="H43" s="313"><f>H42</f><v /></c><c r="I43" s="38"><f>I42</f><v /></c><c r="J43" s="314" t="n"><v>21.5</v></c><c r="K43" s="378" t="n"><v>8.209</v></c><c r="L43" s="378" t="n"><v>0.5610000000000001</v></c><c r="M43" s="379" t="n"><v>85.26000000000001</v></c><c r="N43" s="379" t="n"><v>185.48</v></c><c r="O43" s="380" t="n"><v>100.55</v></c><c r="P43" s="381" t="inlineStr"><is><t>2,32,090</t></is></c><c r="Q43" s="382"><f>LEFT(P43,1)</f><v /></c><c r="R43" s="382"><f>RIGHT(P43,6)</f><v /></c><c r="S43" s="382"><f>+(Q43*60+R43)/(60*60)</f><v /></c><c r="T43" s="383"><f>+O43/S43</f><v /></c><c r="U43" s="384"><f>+(((N43-M43-O43)/O43)*100)</f><v /></c><c r="V43" s="317"><f>V42</f><v /></c><c r="W43" s="385"><f>W42</f><v /></c><c r="X43" s="385"><f>X42</f><v /></c><c r="Y43" s="379" t="n"><v>191.79</v></c><c r="Z43" s="379" t="n"><v>201.84</v></c><c r="AA43" s="386"><f>AA42</f><v /></c><c r="AB43" s="387"><f>AB42</f><v /></c><c r="AC43" s="382"><f>LEFT(AB43,2)</f><v /></c><c r="AD43" s="382"><f>RIGHT(AB43,6)</f><v /></c><c r="AE43" s="382"><f>+(AC43*60+AD43)/(60*60)</f><v /></c><c r="AF43" s="383"><f>+AA43/AE43</f><v /></c><c r="AG43" s="321"><f>+(((Z43-Y43-AA43)/AA43)*100)</f><v /></c><c r="AH43" s="317"><f>AH42</f><v /></c><c r="AI43" s="385"><f>AI42</f><v /></c><c r="AJ43" s="385"><f>AJ42</f><v /></c><c r="AK43" s="379"><f>Z43</f><v /></c><c r="AL43" s="379" t="n"><v>206.86</v></c><c r="AM43" s="388"><f>AM42</f><v /></c><c r="AN43" s="381"><f>AN42</f><v /></c><c r="AO43" s="382"><f>LEFT(AN43,2)</f><v /></c><c r="AP43" s="382"><f>RIGHT(AN43,6)</f><v /></c><c r="AQ43" s="382"><f>+(AO43*60+AP43)/(60*60)</f><v /></c><c r="AR43" s="383"><f>+AM43/AQ43</f><v /></c><c r="AS43" s="321"><f>+(((AL43-AK43-AM43)/AM43)*100)</f><v /></c><c r="AT43" s="389"><f>IF(I43&gt;=1,"NO CONFORME",IF(BK43="SIGDIFERENTES",BC43,BL43))</f><v /></c><c r="AU43" s="438"><f>B43=C43</f><v /></c><c r="AV43" s="438"><f>N43&lt;Y43</f><v /></c><c r="AW43" s="438"><f>Z43&lt;=AK43</f><v /></c><c r="AX43" s="438"><f>IF(I43&gt;=1,"Qcorrecto",IF(AND(AY43="aceptable",AZ43="aceptable",BA43="aceptable"),"Qcorrecto","Qincorrecto"))</f><v /></c><c r="AY43" s="390"><f>IF(AR43&lt;$AH$6,"error",IF(AR43&gt;$AH$6*1.1,"error","aceptable"))</f><v /></c><c r="AZ43" s="390"><f>IF(AF43&lt;$V$6,"error",IF(AF43&gt;$V$6*1.1,"error","aceptable"))</f><v /></c><c r="BA43" s="390"><f>IF(T43&lt;$J$6*0.9,"error",IF(T43&gt;$J$6,"error","aceptable"))</f><v /></c><c r="BB43" s="439"><f>(IF(ABS(U43)&lt;1.05,"CONFORME",IF(ABS(AG43)&lt;1.05,"CONFORME",IF(ABS(AS43)&lt;2.55,"CONFORME","NO CONFORME"))))</f><v /></c><c r="BC43" s="440"><f>(IF(ABS(U43)&gt;2.05,"NO CONFORME",IF(ABS(AG43)&gt;2.05,"NO CONFORME",IF(ABS(AS43)&gt;5.05,"NO CONFORME","CONFORME"))))</f><v /></c><c r="BD43" s="441"><f>SIGN(U43)</f><v /></c><c r="BE43" s="441"><f>SIGN(AG43)</f><v /></c><c r="BF43" s="441"><f>SIGN(AS43)</f><v /></c><c r="BG43" s="441"><f>CONCATENATE(BD43,BE43,BF43)</f><v /></c><c r="BH43" s="441"><f>IF(BG43="111","SI","SD")</f><v /></c><c r="BI43" s="441"><f>IF(BG43="-1-1-1","SI","SD")</f><v /></c><c r="BJ43" s="441"><f>OR(BH43="SI",BI43="SI")</f><v /></c><c r="BK43" s="441"><f>IF(BJ43=FALSE,"SIGDIFERENTES","SIGIGUALES")</f><v /></c><c r="BL43" s="390"><f>IF(BC43="NO CONFORME","NO CONFORME",IF(BB43="CONFORME","CONFORME","NO CONFORME"))</f><v /></c></row><row r="44" ht="15" customHeight="1" thickBot="1"><c r="A44" s="445" t="n"><v>36</v></c><c r="B44" s="392"><f>B43</f><v /></c><c r="C44" s="392"><f>C43</f><v /></c><c r="D44" s="393"><f>D43</f><v /></c><c r="E44" s="394"><f>E43</f><v /></c><c r="F44" s="52" t="n" /><c r="G44" s="446" t="inlineStr"><is><t>PA25516736</t></is></c><c r="H44" s="326"><f>H43</f><v /></c><c r="I44" s="98"><f>I43</f><v /></c><c r="J44" s="327"><f>J43</f><v /></c><c r="K44" s="396"><f>K43</f><v /></c><c r="L44" s="396"><f>L43</f><v /></c><c r="M44" s="397" t="n"><v>84.95</v></c><c r="N44" s="397" t="n"><v>185</v></c><c r="O44" s="398"><f>O43</f><v /></c><c r="P44" s="399"><f>P43</f><v /></c><c r="Q44" s="400"><f>LEFT(P44,1)</f><v /></c><c r="R44" s="400"><f>RIGHT(P44,6)</f><v /></c><c r="S44" s="400"><f>+(Q44*60+R44)/(60*60)</f><v /></c><c r="T44" s="401"><f>+O44/S44</f><v /></c><c r="U44" s="402"><f>+(((N44-M44-O44)/O44)*100)</f><v /></c><c r="V44" s="329"><f>V43</f><v /></c><c r="W44" s="403"><f>W43</f><v /></c><c r="X44" s="403"><f>X43</f><v /></c><c r="Y44" s="397" t="n"><v>191.31</v></c><c r="Z44" s="397" t="n"><v>201.34</v></c><c r="AA44" s="404"><f>AA43</f><v /></c><c r="AB44" s="405"><f>AB43</f><v /></c><c r="AC44" s="400"><f>LEFT(AB44,2)</f><v /></c><c r="AD44" s="400"><f>RIGHT(AB44,6)</f><v /></c><c r="AE44" s="400"><f>+(AC44*60+AD44)/(60*60)</f><v /></c><c r="AF44" s="401"><f>+AA44/AE44</f><v /></c><c r="AG44" s="406"><f>+(((Z44-Y44-AA44)/AA44)*100)</f><v /></c><c r="AH44" s="329"><f>AH43</f><v /></c><c r="AI44" s="403"><f>AI43</f><v /></c><c r="AJ44" s="403"><f>AJ43</f><v /></c><c r="AK44" s="397"><f>Z44</f><v /></c><c r="AL44" s="397" t="n"><v>206.3</v></c><c r="AM44" s="407"><f>AM43</f><v /></c><c r="AN44" s="399"><f>AN43</f><v /></c><c r="AO44" s="400"><f>LEFT(AN44,2)</f><v /></c><c r="AP44" s="400"><f>RIGHT(AN44,6)</f><v /></c><c r="AQ44" s="400"><f>+(AO44*60+AP44)/(60*60)</f><v /></c><c r="AR44" s="401"><f>+AM44/AQ44</f><v /></c><c r="AS44" s="406"><f>+(((AL44-AK44-AM44)/AM44)*100)</f><v /></c><c r="AT44" s="408"><f>IF(I44&gt;=1,"NO CONFORME",IF(BK44="SIGDIFERENTES",BC44,BL44))</f><v /></c><c r="AU44" s="447"><f>B44=C44</f><v /></c><c r="AV44" s="447"><f>N44&lt;Y44</f><v /></c><c r="AW44" s="447"><f>Z44&lt;=AK44</f><v /></c><c r="AX44" s="447"><f>IF(I44&gt;=1,"Qcorrecto",IF(AND(AY44="aceptable",AZ44="aceptable",BA44="aceptable"),"Qcorrecto","Qincorrecto"))</f><v /></c><c r="AY44" s="410"><f>IF(AR44&lt;$AH$6,"error",IF(AR44&gt;$AH$6*1.1,"error","aceptable"))</f><v /></c><c r="AZ44" s="410"><f>IF(AF44&lt;$V$6,"error",IF(AF44&gt;$V$6*1.1,"error","aceptable"))</f><v /></c><c r="BA44" s="410"><f>IF(T44&lt;$J$6*0.9,"error",IF(T44&gt;$J$6,"error","aceptable"))</f><v /></c><c r="BB44" s="448"><f>(IF(ABS(U44)&lt;1.05,"CONFORME",IF(ABS(AG44)&lt;1.05,"CONFORME",IF(ABS(AS44)&lt;2.55,"CONFORME","NO CONFORME"))))</f><v /></c><c r="BC44" s="449"><f>(IF(ABS(U44)&gt;2.05,"NO CONFORME",IF(ABS(AG44)&gt;2.05,"NO CONFORME",IF(ABS(AS44)&gt;5.05,"NO CONFORME","CONFORME"))))</f><v /></c><c r="BD44" s="450"><f>SIGN(U44)</f><v /></c><c r="BE44" s="450"><f>SIGN(AG44)</f><v /></c><c r="BF44" s="450"><f>SIGN(AS44)</f><v /></c><c r="BG44" s="450"><f>CONCATENATE(BD44,BE44,BF44)</f><v /></c><c r="BH44" s="450"><f>IF(BG44="111","SI","SD")</f><v /></c><c r="BI44" s="450"><f>IF(BG44="-1-1-1","SI","SD")</f><v /></c><c r="BJ44" s="450"><f>OR(BH44="SI",BI44="SI")</f><v /></c><c r="BK44" s="450"><f>IF(BJ44=FALSE,"SIGDIFERENTES","SIGIGUALES")</f><v /></c><c r="BL44" s="410"><f>IF(BC44="NO CONFORME","NO CONFORME",IF(BB44="CONFORME","CONFORME","NO CONFORME"))</f><v /></c></row><row r="45" ht="15" customHeight="1" thickBot="1"><c r="A45" s="351" t="n"><v>37</v></c><c r="B45" s="352"><f>B44</f><v /></c><c r="C45" s="352"><f>C44</f><v /></c><c r="D45" s="353"><f>D44</f><v /></c><c r="E45" s="354"><f>E44</f><v /></c><c r="F45" s="58" t="n" /><c r="G45" s="395" t="inlineStr"><is><t>PA25516737</t></is></c><c r="H45" s="356"><f>H44</f><v /></c><c r="I45" s="232"><f>I44</f><v /></c><c r="J45" s="357" t="n"><v>21.3</v></c><c r="K45" s="358" t="n"><v>8.212</v></c><c r="L45" s="358" t="n"><v>0.595</v></c><c r="M45" s="359" t="n"><v>88.29000000000001</v></c><c r="N45" s="359" t="n"><v>187.9</v></c><c r="O45" s="360" t="n"><v>100.6</v></c><c r="P45" s="361" t="inlineStr"><is><t>2,32,530</t></is></c><c r="Q45" s="362"><f>LEFT(P45,1)</f><v /></c><c r="R45" s="362"><f>RIGHT(P45,6)</f><v /></c><c r="S45" s="362"><f>+(Q45*60+R45)/(60*60)</f><v /></c><c r="T45" s="363"><f>+O45/S45</f><v /></c><c r="U45" s="364"><f>+(((N45-M45-O45)/O45)*100)</f><v /></c><c r="V45" s="365" t="n"><v>21.3</v></c><c r="W45" s="366" t="n"><v>1.074</v></c><c r="X45" s="366" t="n"><v>1.065</v></c><c r="Y45" s="359" t="n"><v>193.07</v></c><c r="Z45" s="359" t="n"><v>203.05</v></c><c r="AA45" s="367" t="n"><v>10.01</v></c><c r="AB45" s="368" t="inlineStr"><is><t>22,26,350</t></is></c><c r="AC45" s="362"><f>LEFT(AB45,2)</f><v /></c><c r="AD45" s="362"><f>RIGHT(AB45,6)</f><v /></c><c r="AE45" s="362"><f>+(AC45*60+AD45)/(60*60)</f><v /></c><c r="AF45" s="363"><f>+AA45/AE45</f><v /></c><c r="AG45" s="369"><f>+(((Z45-Y45-AA45)/AA45)*100)</f><v /></c><c r="AH45" s="365" t="n"><v>21.4</v></c><c r="AI45" s="366" t="n"><v>1.075</v></c><c r="AJ45" s="366" t="n"><v>1.065</v></c><c r="AK45" s="359"><f>Z45</f><v /></c><c r="AL45" s="359" t="n"><v>208.1</v></c><c r="AM45" s="370" t="n"><v>5.015</v></c><c r="AN45" s="361" t="inlineStr"><is><t>18,20,900</t></is></c><c r="AO45" s="362"><f>LEFT(AN45,2)</f><v /></c><c r="AP45" s="362"><f>RIGHT(AN45,6)</f><v /></c><c r="AQ45" s="362"><f>+(AO45*60+AP45)/(60*60)</f><v /></c><c r="AR45" s="363"><f>+AM45/AQ45</f><v /></c><c r="AS45" s="369"><f>+(((AL45-AK45-AM45)/AM45)*100)</f><v /></c><c r="AT45" s="371"><f>IF(I45&gt;=1,"NO CONFORME",IF(BK45="SIGDIFERENTES",BC45,BL45))</f><v /></c><c r="AU45" s="372"><f>B45=C45</f><v /></c><c r="AV45" s="372"><f>N45&lt;Y45</f><v /></c><c r="AW45" s="372"><f>Z45&lt;=AK45</f><v /></c><c r="AX45" s="372"><f>IF(I45&gt;=1,"Qcorrecto",IF(AND(AY45="aceptable",AZ45="aceptable",BA45="aceptable"),"Qcorrecto","Qincorrecto"))</f><v /></c><c r="AY45" s="373"><f>IF(AR45&lt;$AH$6,"error",IF(AR45&gt;$AH$6*1.1,"error","aceptable"))</f><v /></c><c r="AZ45" s="373"><f>IF(AF45&lt;$V$6,"error",IF(AF45&gt;$V$6*1.1,"error","aceptable"))</f><v /></c><c r="BA45" s="373"><f>IF(T45&lt;$J$6*0.9,"error",IF(T45&gt;$J$6,"error","aceptable"))</f><v /></c><c r="BB45" s="25"><f>(IF(ABS(U45)&lt;1.05,"CONFORME",IF(ABS(AG45)&lt;1.05,"CONFORME",IF(ABS(AS45)&lt;2.55,"CONFORME","NO CONFORME"))))</f><v /></c><c r="BC45" s="5"><f>(IF(ABS(U45)&gt;2.05,"NO CONFORME",IF(ABS(AG45)&gt;2.05,"NO CONFORME",IF(ABS(AS45)&gt;5.05,"NO CONFORME","CONFORME"))))</f><v /></c><c r="BD45" s="374"><f>SIGN(U45)</f><v /></c><c r="BE45" s="374"><f>SIGN(AG45)</f><v /></c><c r="BF45" s="374"><f>SIGN(AS45)</f><v /></c><c r="BG45" s="374"><f>CONCATENATE(BD45,BE45,BF45)</f><v /></c><c r="BH45" s="374"><f>IF(BG45="111","SI","SD")</f><v /></c><c r="BI45" s="374"><f>IF(BG45="-1-1-1","SI","SD")</f><v /></c><c r="BJ45" s="374"><f>OR(BH45="SI",BI45="SI")</f><v /></c><c r="BK45" s="374"><f>IF(BJ45=FALSE,"SIGDIFERENTES","SIGIGUALES")</f><v /></c><c r="BL45" s="373"><f>IF(BC45="NO CONFORME","NO CONFORME",IF(BB45="CONFORME","CONFORME","NO CONFORME"))</f><v /></c></row><row r="46" ht="15" customHeight="1" thickBot="1"><c r="A46" s="351" t="n"><v>38</v></c><c r="B46" s="375"><f>B45</f><v /></c><c r="C46" s="375"><f>C45</f><v /></c><c r="D46" s="376"><f>D45</f><v /></c><c r="E46" s="377"><f>E45</f><v /></c><c r="F46" s="13" t="n" /><c r="G46" s="446" t="inlineStr"><is><t>PA25516738</t></is></c><c r="H46" s="313"><f>H45</f><v /></c><c r="I46" s="38"><f>I45</f><v /></c><c r="J46" s="314"><f>J45</f><v /></c><c r="K46" s="378"><f>K45</f><v /></c><c r="L46" s="378"><f>L45</f><v /></c><c r="M46" s="379" t="n"><v>87.8</v></c><c r="N46" s="379" t="n"><v>187.78</v></c><c r="O46" s="380"><f>O45</f><v /></c><c r="P46" s="381"><f>P45</f><v /></c><c r="Q46" s="382"><f>LEFT(P46,1)</f><v /></c><c r="R46" s="382"><f>RIGHT(P46,6)</f><v /></c><c r="S46" s="382"><f>+(Q46*60+R46)/(60*60)</f><v /></c><c r="T46" s="383"><f>+O46/S46</f><v /></c><c r="U46" s="384"><f>+(((N46-M46-O46)/O46)*100)</f><v /></c><c r="V46" s="317"><f>V45</f><v /></c><c r="W46" s="385"><f>W45</f><v /></c><c r="X46" s="385"><f>X45</f><v /></c><c r="Y46" s="379" t="n"><v>192.95</v></c><c r="Z46" s="379" t="n"><v>202.91</v></c><c r="AA46" s="386"><f>AA45</f><v /></c><c r="AB46" s="387"><f>AB45</f><v /></c><c r="AC46" s="382"><f>LEFT(AB46,2)</f><v /></c><c r="AD46" s="382"><f>RIGHT(AB46,6)</f><v /></c><c r="AE46" s="382"><f>+(AC46*60+AD46)/(60*60)</f><v /></c><c r="AF46" s="383"><f>+AA46/AE46</f><v /></c><c r="AG46" s="321"><f>+(((Z46-Y46-AA46)/AA46)*100)</f><v /></c><c r="AH46" s="317"><f>AH45</f><v /></c><c r="AI46" s="385"><f>AI45</f><v /></c><c r="AJ46" s="385"><f>AJ45</f><v /></c><c r="AK46" s="379"><f>Z46</f><v /></c><c r="AL46" s="379" t="n"><v>207.94</v></c><c r="AM46" s="388"><f>AM45</f><v /></c><c r="AN46" s="381"><f>AN45</f><v /></c><c r="AO46" s="382"><f>LEFT(AN46,2)</f><v /></c><c r="AP46" s="382"><f>RIGHT(AN46,6)</f><v /></c><c r="AQ46" s="382"><f>+(AO46*60+AP46)/(60*60)</f><v /></c><c r="AR46" s="383"><f>+AM46/AQ46</f><v /></c><c r="AS46" s="321"><f>+(((AL46-AK46-AM46)/AM46)*100)</f><v /></c><c r="AT46" s="389"><f>IF(I46&gt;=1,"NO CONFORME",IF(BK46="SIGDIFERENTES",BC46,BL46))</f><v /></c><c r="AU46" s="372"><f>B46=C46</f><v /></c><c r="AV46" s="372"><f>N46&lt;Y46</f><v /></c><c r="AW46" s="372"><f>Z46&lt;=AK46</f><v /></c><c r="AX46" s="372"><f>IF(I46&gt;=1,"Qcorrecto",IF(AND(AY46="aceptable",AZ46="aceptable",BA46="aceptable"),"Qcorrecto","Qincorrecto"))</f><v /></c><c r="AY46" s="390"><f>IF(AR46&lt;$AH$6,"error",IF(AR46&gt;$AH$6*1.1,"error","aceptable"))</f><v /></c><c r="AZ46" s="390"><f>IF(AF46&lt;$V$6,"error",IF(AF46&gt;$V$6*1.1,"error","aceptable"))</f><v /></c><c r="BA46" s="390"><f>IF(T46&lt;$J$6*0.9,"error",IF(T46&gt;$J$6,"error","aceptable"))</f><v /></c><c r="BB46" s="25"><f>(IF(ABS(U46)&lt;1.05,"CONFORME",IF(ABS(AG46)&lt;1.05,"CONFORME",IF(ABS(AS46)&lt;2.55,"CONFORME","NO CONFORME"))))</f><v /></c><c r="BC46" s="5"><f>(IF(ABS(U46)&gt;2.05,"NO CONFORME",IF(ABS(AG46)&gt;2.05,"NO CONFORME",IF(ABS(AS46)&gt;5.05,"NO CONFORME","CONFORME"))))</f><v /></c><c r="BD46" s="374"><f>SIGN(U46)</f><v /></c><c r="BE46" s="374"><f>SIGN(AG46)</f><v /></c><c r="BF46" s="374"><f>SIGN(AS46)</f><v /></c><c r="BG46" s="374"><f>CONCATENATE(BD46,BE46,BF46)</f><v /></c><c r="BH46" s="374"><f>IF(BG46="111","SI","SD")</f><v /></c><c r="BI46" s="374"><f>IF(BG46="-1-1-1","SI","SD")</f><v /></c><c r="BJ46" s="374"><f>OR(BH46="SI",BI46="SI")</f><v /></c><c r="BK46" s="374"><f>IF(BJ46=FALSE,"SIGDIFERENTES","SIGIGUALES")</f><v /></c><c r="BL46" s="390"><f>IF(BC46="NO CONFORME","NO CONFORME",IF(BB46="CONFORME","CONFORME","NO CONFORME"))</f><v /></c></row><row r="47" ht="15" customHeight="1" thickBot="1"><c r="A47" s="351" t="n"><v>39</v></c><c r="B47" s="375"><f>B46</f><v /></c><c r="C47" s="375"><f>C46</f><v /></c><c r="D47" s="376"><f>D46</f><v /></c><c r="E47" s="377"><f>E46</f><v /></c><c r="F47" s="13" t="n" /><c r="G47" s="446" t="inlineStr"><is><t>PA25516739</t></is></c><c r="H47" s="313"><f>H46</f><v /></c><c r="I47" s="38"><f>I46</f><v /></c><c r="J47" s="314"><f>J46</f><v /></c><c r="K47" s="378"><f>K46</f><v /></c><c r="L47" s="378"><f>L46</f><v /></c><c r="M47" s="379" t="n"><v>85.39</v></c><c r="N47" s="379" t="n"><v>184.86</v></c><c r="O47" s="380"><f>O46</f><v /></c><c r="P47" s="381"><f>P46</f><v /></c><c r="Q47" s="382"><f>LEFT(P47,1)</f><v /></c><c r="R47" s="382"><f>RIGHT(P47,6)</f><v /></c><c r="S47" s="382"><f>+(Q47*60+R47)/(60*60)</f><v /></c><c r="T47" s="383"><f>+O47/S47</f><v /></c><c r="U47" s="384"><f>+(((N47-M47-O47)/O47)*100)</f><v /></c><c r="V47" s="317"><f>V46</f><v /></c><c r="W47" s="385"><f>W46</f><v /></c><c r="X47" s="385"><f>X46</f><v /></c><c r="Y47" s="379" t="n"><v>190</v></c><c r="Z47" s="379" t="n"><v>200.05</v></c><c r="AA47" s="386"><f>AA46</f><v /></c><c r="AB47" s="387"><f>AB46</f><v /></c><c r="AC47" s="382"><f>LEFT(AB47,2)</f><v /></c><c r="AD47" s="382"><f>RIGHT(AB47,6)</f><v /></c><c r="AE47" s="382"><f>+(AC47*60+AD47)/(60*60)</f><v /></c><c r="AF47" s="383"><f>+AA47/AE47</f><v /></c><c r="AG47" s="321"><f>+(((Z47-Y47-AA47)/AA47)*100)</f><v /></c><c r="AH47" s="317"><f>AH46</f><v /></c><c r="AI47" s="385"><f>AI46</f><v /></c><c r="AJ47" s="385"><f>AJ46</f><v /></c><c r="AK47" s="379"><f>Z47</f><v /></c><c r="AL47" s="379" t="n"><v>205.15</v></c><c r="AM47" s="388"><f>AM46</f><v /></c><c r="AN47" s="381"><f>AN46</f><v /></c><c r="AO47" s="382"><f>LEFT(AN47,2)</f><v /></c><c r="AP47" s="382"><f>RIGHT(AN47,6)</f><v /></c><c r="AQ47" s="382"><f>+(AO47*60+AP47)/(60*60)</f><v /></c><c r="AR47" s="383"><f>+AM47/AQ47</f><v /></c><c r="AS47" s="321"><f>+(((AL47-AK47-AM47)/AM47)*100)</f><v /></c><c r="AT47" s="389"><f>IF(I47&gt;=1,"NO CONFORME",IF(BK47="SIGDIFERENTES",BC47,BL47))</f><v /></c><c r="AU47" s="372"><f>B47=C47</f><v /></c><c r="AV47" s="372"><f>N47&lt;Y47</f><v /></c><c r="AW47" s="372"><f>Z47&lt;=AK47</f><v /></c><c r="AX47" s="372"><f>IF(I47&gt;=1,"Qcorrecto",IF(AND(AY47="aceptable",AZ47="aceptable",BA47="aceptable"),"Qcorrecto","Qincorrecto"))</f><v /></c><c r="AY47" s="390"><f>IF(AR47&lt;$AH$6,"error",IF(AR47&gt;$AH$6*1.1,"error","aceptable"))</f><v /></c><c r="AZ47" s="390"><f>IF(AF47&lt;$V$6,"error",IF(AF47&gt;$V$6*1.1,"error","aceptable"))</f><v /></c><c r="BA47" s="390"><f>IF(T47&lt;$J$6*0.9,"error",IF(T47&gt;$J$6,"error","aceptable"))</f><v /></c><c r="BB47" s="25"><f>(IF(ABS(U47)&lt;1.05,"CONFORME",IF(ABS(AG47)&lt;1.05,"CONFORME",IF(ABS(AS47)&lt;2.55,"CONFORME","NO CONFORME"))))</f><v /></c><c r="BC47" s="5"><f>(IF(ABS(U47)&gt;2.05,"NO CONFORME",IF(ABS(AG47)&gt;2.05,"NO CONFORME",IF(ABS(AS47)&gt;5.05,"NO CONFORME","CONFORME"))))</f><v /></c><c r="BD47" s="374"><f>SIGN(U47)</f><v /></c><c r="BE47" s="374"><f>SIGN(AG47)</f><v /></c><c r="BF47" s="374"><f>SIGN(AS47)</f><v /></c><c r="BG47" s="374"><f>CONCATENATE(BD47,BE47,BF47)</f><v /></c><c r="BH47" s="374"><f>IF(BG47="111","SI","SD")</f><v /></c><c r="BI47" s="374"><f>IF(BG47="-1-1-1","SI","SD")</f><v /></c><c r="BJ47" s="374"><f>OR(BH47="SI",BI47="SI")</f><v /></c><c r="BK47" s="374"><f>IF(BJ47=FALSE,"SIGDIFERENTES","SIGIGUALES")</f><v /></c><c r="BL47" s="390"><f>IF(BC47="NO CONFORME","NO CONFORME",IF(BB47="CONFORME","CONFORME","NO CONFORME"))</f><v /></c></row><row r="48" ht="15" customHeight="1" thickBot="1"><c r="A48" s="351" t="n"><v>40</v></c><c r="B48" s="375"><f>B47</f><v /></c><c r="C48" s="375"><f>C47</f><v /></c><c r="D48" s="376"><f>D47</f><v /></c><c r="E48" s="377"><f>E47</f><v /></c><c r="F48" s="13" t="n" /><c r="G48" s="446" t="inlineStr"><is><t>PA25516740</t></is></c><c r="H48" s="313"><f>H47</f><v /></c><c r="I48" s="38"><f>I47</f><v /></c><c r="J48" s="314"><f>J47</f><v /></c><c r="K48" s="378"><f>K47</f><v /></c><c r="L48" s="378"><f>L47</f><v /></c><c r="M48" s="379" t="n"><v>87.8</v></c><c r="N48" s="379" t="n"><v>188.01</v></c><c r="O48" s="380"><f>O47</f><v /></c><c r="P48" s="381"><f>P47</f><v /></c><c r="Q48" s="382"><f>LEFT(P48,1)</f><v /></c><c r="R48" s="382"><f>RIGHT(P48,6)</f><v /></c><c r="S48" s="382"><f>+(Q48*60+R48)/(60*60)</f><v /></c><c r="T48" s="383"><f>+O48/S48</f><v /></c><c r="U48" s="384"><f>+(((N48-M48-O48)/O48)*100)</f><v /></c><c r="V48" s="317"><f>V47</f><v /></c><c r="W48" s="385"><f>W47</f><v /></c><c r="X48" s="385"><f>X47</f><v /></c><c r="Y48" s="379" t="n"><v>193.2</v></c><c r="Z48" s="379" t="n"><v>203.16</v></c><c r="AA48" s="386"><f>AA47</f><v /></c><c r="AB48" s="387"><f>AB47</f><v /></c><c r="AC48" s="382"><f>LEFT(AB48,2)</f><v /></c><c r="AD48" s="382"><f>RIGHT(AB48,6)</f><v /></c><c r="AE48" s="382"><f>+(AC48*60+AD48)/(60*60)</f><v /></c><c r="AF48" s="383"><f>+AA48/AE48</f><v /></c><c r="AG48" s="321"><f>+(((Z48-Y48-AA48)/AA48)*100)</f><v /></c><c r="AH48" s="317"><f>AH47</f><v /></c><c r="AI48" s="385"><f>AI47</f><v /></c><c r="AJ48" s="385"><f>AJ47</f><v /></c><c r="AK48" s="379"><f>Z48</f><v /></c><c r="AL48" s="379" t="n"><v>208.16</v></c><c r="AM48" s="388"><f>AM47</f><v /></c><c r="AN48" s="381"><f>AN47</f><v /></c><c r="AO48" s="382"><f>LEFT(AN48,2)</f><v /></c><c r="AP48" s="382"><f>RIGHT(AN48,6)</f><v /></c><c r="AQ48" s="382"><f>+(AO48*60+AP48)/(60*60)</f><v /></c><c r="AR48" s="383"><f>+AM48/AQ48</f><v /></c><c r="AS48" s="321"><f>+(((AL48-AK48-AM48)/AM48)*100)</f><v /></c><c r="AT48" s="389"><f>IF(I48&gt;=1,"NO CONFORME",IF(BK48="SIGDIFERENTES",BC48,BL48))</f><v /></c><c r="AU48" s="372"><f>B48=C48</f><v /></c><c r="AV48" s="372"><f>N48&lt;Y48</f><v /></c><c r="AW48" s="372"><f>Z48&lt;=AK48</f><v /></c><c r="AX48" s="372"><f>IF(I48&gt;=1,"Qcorrecto",IF(AND(AY48="aceptable",AZ48="aceptable",BA48="aceptable"),"Qcorrecto","Qincorrecto"))</f><v /></c><c r="AY48" s="390"><f>IF(AR48&lt;$AH$6,"error",IF(AR48&gt;$AH$6*1.1,"error","aceptable"))</f><v /></c><c r="AZ48" s="390"><f>IF(AF48&lt;$V$6,"error",IF(AF48&gt;$V$6*1.1,"error","aceptable"))</f><v /></c><c r="BA48" s="390"><f>IF(T48&lt;$J$6*0.9,"error",IF(T48&gt;$J$6,"error","aceptable"))</f><v /></c><c r="BB48" s="25"><f>(IF(ABS(U48)&lt;1.05,"CONFORME",IF(ABS(AG48)&lt;1.05,"CONFORME",IF(ABS(AS48)&lt;2.55,"CONFORME","NO CONFORME"))))</f><v /></c><c r="BC48" s="5"><f>(IF(ABS(U48)&gt;2.05,"NO CONFORME",IF(ABS(AG48)&gt;2.05,"NO CONFORME",IF(ABS(AS48)&gt;5.05,"NO CONFORME","CONFORME"))))</f><v /></c><c r="BD48" s="374"><f>SIGN(U48)</f><v /></c><c r="BE48" s="374"><f>SIGN(AG48)</f><v /></c><c r="BF48" s="374"><f>SIGN(AS48)</f><v /></c><c r="BG48" s="374"><f>CONCATENATE(BD48,BE48,BF48)</f><v /></c><c r="BH48" s="374"><f>IF(BG48="111","SI","SD")</f><v /></c><c r="BI48" s="374"><f>IF(BG48="-1-1-1","SI","SD")</f><v /></c><c r="BJ48" s="374"><f>OR(BH48="SI",BI48="SI")</f><v /></c><c r="BK48" s="374"><f>IF(BJ48=FALSE,"SIGDIFERENTES","SIGIGUALES")</f><v /></c><c r="BL48" s="390"><f>IF(BC48="NO CONFORME","NO CONFORME",IF(BB48="CONFORME","CONFORME","NO CONFORME"))</f><v /></c></row><row r="49" ht="15" customHeight="1" thickBot="1"><c r="A49" s="351" t="n"><v>41</v></c><c r="B49" s="375"><f>B48</f><v /></c><c r="C49" s="375"><f>C48</f><v /></c><c r="D49" s="376"><f>D48</f><v /></c><c r="E49" s="377"><f>E48</f><v /></c><c r="F49" s="13" t="n" /><c r="G49" s="446" t="inlineStr"><is><t>PA25516741</t></is></c><c r="H49" s="313"><f>H48</f><v /></c><c r="I49" s="38"><f>I48</f><v /></c><c r="J49" s="314"><f>J48</f><v /></c><c r="K49" s="378"><f>K48</f><v /></c><c r="L49" s="378"><f>L48</f><v /></c><c r="M49" s="379" t="n"><v>89.75</v></c><c r="N49" s="379" t="n"><v>189.09</v></c><c r="O49" s="380"><f>O48</f><v /></c><c r="P49" s="381"><f>P48</f><v /></c><c r="Q49" s="382"><f>LEFT(P49,1)</f><v /></c><c r="R49" s="382"><f>RIGHT(P49,6)</f><v /></c><c r="S49" s="382"><f>+(Q49*60+R49)/(60*60)</f><v /></c><c r="T49" s="383"><f>+O49/S49</f><v /></c><c r="U49" s="384"><f>+(((N49-M49-O49)/O49)*100)</f><v /></c><c r="V49" s="317"><f>V48</f><v /></c><c r="W49" s="385"><f>W48</f><v /></c><c r="X49" s="385"><f>X48</f><v /></c><c r="Y49" s="379" t="n"><v>194.25</v></c><c r="Z49" s="379" t="n"><v>204.21</v></c><c r="AA49" s="386"><f>AA48</f><v /></c><c r="AB49" s="387"><f>AB48</f><v /></c><c r="AC49" s="382"><f>LEFT(AB49,2)</f><v /></c><c r="AD49" s="382"><f>RIGHT(AB49,6)</f><v /></c><c r="AE49" s="382"><f>+(AC49*60+AD49)/(60*60)</f><v /></c><c r="AF49" s="383"><f>+AA49/AE49</f><v /></c><c r="AG49" s="321"><f>+(((Z49-Y49-AA49)/AA49)*100)</f><v /></c><c r="AH49" s="317"><f>AH48</f><v /></c><c r="AI49" s="385"><f>AI48</f><v /></c><c r="AJ49" s="385"><f>AJ48</f><v /></c><c r="AK49" s="379"><f>Z49</f><v /></c><c r="AL49" s="379" t="n"><v>209.24</v></c><c r="AM49" s="388"><f>AM48</f><v /></c><c r="AN49" s="381"><f>AN48</f><v /></c><c r="AO49" s="382"><f>LEFT(AN49,2)</f><v /></c><c r="AP49" s="382"><f>RIGHT(AN49,6)</f><v /></c><c r="AQ49" s="382"><f>+(AO49*60+AP49)/(60*60)</f><v /></c><c r="AR49" s="383"><f>+AM49/AQ49</f><v /></c><c r="AS49" s="321"><f>+(((AL49-AK49-AM49)/AM49)*100)</f><v /></c><c r="AT49" s="389"><f>IF(I49&gt;=1,"NO CONFORME",IF(BK49="SIGDIFERENTES",BC49,BL49))</f><v /></c><c r="AU49" s="372"><f>B49=C49</f><v /></c><c r="AV49" s="372"><f>N49&lt;Y49</f><v /></c><c r="AW49" s="372"><f>Z49&lt;=AK49</f><v /></c><c r="AX49" s="372"><f>IF(I49&gt;=1,"Qcorrecto",IF(AND(AY49="aceptable",AZ49="aceptable",BA49="aceptable"),"Qcorrecto","Qincorrecto"))</f><v /></c><c r="AY49" s="390"><f>IF(AR49&lt;$AH$6,"error",IF(AR49&gt;$AH$6*1.1,"error","aceptable"))</f><v /></c><c r="AZ49" s="390"><f>IF(AF49&lt;$V$6,"error",IF(AF49&gt;$V$6*1.1,"error","aceptable"))</f><v /></c><c r="BA49" s="390"><f>IF(T49&lt;$J$6*0.9,"error",IF(T49&gt;$J$6,"error","aceptable"))</f><v /></c><c r="BB49" s="25"><f>(IF(ABS(U49)&lt;1.05,"CONFORME",IF(ABS(AG49)&lt;1.05,"CONFORME",IF(ABS(AS49)&lt;2.55,"CONFORME","NO CONFORME"))))</f><v /></c><c r="BC49" s="5"><f>(IF(ABS(U49)&gt;2.05,"NO CONFORME",IF(ABS(AG49)&gt;2.05,"NO CONFORME",IF(ABS(AS49)&gt;5.05,"NO CONFORME","CONFORME"))))</f><v /></c><c r="BD49" s="374"><f>SIGN(U49)</f><v /></c><c r="BE49" s="374"><f>SIGN(AG49)</f><v /></c><c r="BF49" s="374"><f>SIGN(AS49)</f><v /></c><c r="BG49" s="374"><f>CONCATENATE(BD49,BE49,BF49)</f><v /></c><c r="BH49" s="374"><f>IF(BG49="111","SI","SD")</f><v /></c><c r="BI49" s="374"><f>IF(BG49="-1-1-1","SI","SD")</f><v /></c><c r="BJ49" s="374"><f>OR(BH49="SI",BI49="SI")</f><v /></c><c r="BK49" s="374"><f>IF(BJ49=FALSE,"SIGDIFERENTES","SIGIGUALES")</f><v /></c><c r="BL49" s="390"><f>IF(BC49="NO CONFORME","NO CONFORME",IF(BB49="CONFORME","CONFORME","NO CONFORME"))</f><v /></c></row><row r="50" ht="15" customHeight="1" thickBot="1"><c r="A50" s="351" t="n"><v>42</v></c><c r="B50" s="375"><f>B49</f><v /></c><c r="C50" s="375"><f>C49</f><v /></c><c r="D50" s="376"><f>D49</f><v /></c><c r="E50" s="377"><f>E49</f><v /></c><c r="F50" s="13" t="n" /><c r="G50" s="446" t="inlineStr"><is><t>PA25516742</t></is></c><c r="H50" s="313"><f>H49</f><v /></c><c r="I50" s="38"><f>I49</f><v /></c><c r="J50" s="314"><f>J49</f><v /></c><c r="K50" s="378"><f>K49</f><v /></c><c r="L50" s="378"><f>L49</f><v /></c><c r="M50" s="379" t="n"><v>88.65000000000001</v></c><c r="N50" s="379" t="n"><v>188.44</v></c><c r="O50" s="380"><f>O49</f><v /></c><c r="P50" s="381"><f>P49</f><v /></c><c r="Q50" s="382"><f>LEFT(P50,1)</f><v /></c><c r="R50" s="382"><f>RIGHT(P50,6)</f><v /></c><c r="S50" s="382"><f>+(Q50*60+R50)/(60*60)</f><v /></c><c r="T50" s="383"><f>+O50/S50</f><v /></c><c r="U50" s="384"><f>+(((N50-M50-O50)/O50)*100)</f><v /></c><c r="V50" s="317"><f>V49</f><v /></c><c r="W50" s="385"><f>W49</f><v /></c><c r="X50" s="385"><f>X49</f><v /></c><c r="Y50" s="379" t="n"><v>193.55</v></c><c r="Z50" s="379" t="n"><v>203.56</v></c><c r="AA50" s="386"><f>AA49</f><v /></c><c r="AB50" s="387"><f>AB49</f><v /></c><c r="AC50" s="382"><f>LEFT(AB50,2)</f><v /></c><c r="AD50" s="382"><f>RIGHT(AB50,6)</f><v /></c><c r="AE50" s="382"><f>+(AC50*60+AD50)/(60*60)</f><v /></c><c r="AF50" s="383"><f>+AA50/AE50</f><v /></c><c r="AG50" s="321"><f>+(((Z50-Y50-AA50)/AA50)*100)</f><v /></c><c r="AH50" s="317"><f>AH49</f><v /></c><c r="AI50" s="385"><f>AI49</f><v /></c><c r="AJ50" s="385"><f>AJ49</f><v /></c><c r="AK50" s="379"><f>Z50</f><v /></c><c r="AL50" s="379" t="n"><v>208.64</v></c><c r="AM50" s="388"><f>AM49</f><v /></c><c r="AN50" s="381"><f>AN49</f><v /></c><c r="AO50" s="382"><f>LEFT(AN50,2)</f><v /></c><c r="AP50" s="382"><f>RIGHT(AN50,6)</f><v /></c><c r="AQ50" s="382"><f>+(AO50*60+AP50)/(60*60)</f><v /></c><c r="AR50" s="383"><f>+AM50/AQ50</f><v /></c><c r="AS50" s="321"><f>+(((AL50-AK50-AM50)/AM50)*100)</f><v /></c><c r="AT50" s="389"><f>IF(I50&gt;=1,"NO CONFORME",IF(BK50="SIGDIFERENTES",BC50,BL50))</f><v /></c><c r="AU50" s="372"><f>B50=C50</f><v /></c><c r="AV50" s="372"><f>N50&lt;Y50</f><v /></c><c r="AW50" s="372"><f>Z50&lt;=AK50</f><v /></c><c r="AX50" s="372"><f>IF(I50&gt;=1,"Qcorrecto",IF(AND(AY50="aceptable",AZ50="aceptable",BA50="aceptable"),"Qcorrecto","Qincorrecto"))</f><v /></c><c r="AY50" s="390"><f>IF(AR50&lt;$AH$6,"error",IF(AR50&gt;$AH$6*1.1,"error","aceptable"))</f><v /></c><c r="AZ50" s="390"><f>IF(AF50&lt;$V$6,"error",IF(AF50&gt;$V$6*1.1,"error","aceptable"))</f><v /></c><c r="BA50" s="390"><f>IF(T50&lt;$J$6*0.9,"error",IF(T50&gt;$J$6,"error","aceptable"))</f><v /></c><c r="BB50" s="25"><f>(IF(ABS(U50)&lt;1.05,"CONFORME",IF(ABS(AG50)&lt;1.05,"CONFORME",IF(ABS(AS50)&lt;2.55,"CONFORME","NO CONFORME"))))</f><v /></c><c r="BC50" s="5"><f>(IF(ABS(U50)&gt;2.05,"NO CONFORME",IF(ABS(AG50)&gt;2.05,"NO CONFORME",IF(ABS(AS50)&gt;5.05,"NO CONFORME","CONFORME"))))</f><v /></c><c r="BD50" s="374"><f>SIGN(U50)</f><v /></c><c r="BE50" s="374"><f>SIGN(AG50)</f><v /></c><c r="BF50" s="374"><f>SIGN(AS50)</f><v /></c><c r="BG50" s="374"><f>CONCATENATE(BD50,BE50,BF50)</f><v /></c><c r="BH50" s="374"><f>IF(BG50="111","SI","SD")</f><v /></c><c r="BI50" s="374"><f>IF(BG50="-1-1-1","SI","SD")</f><v /></c><c r="BJ50" s="374"><f>OR(BH50="SI",BI50="SI")</f><v /></c><c r="BK50" s="374"><f>IF(BJ50=FALSE,"SIGDIFERENTES","SIGIGUALES")</f><v /></c><c r="BL50" s="390"><f>IF(BC50="NO CONFORME","NO CONFORME",IF(BB50="CONFORME","CONFORME","NO CONFORME"))</f><v /></c></row><row r="51" ht="15" customHeight="1" thickBot="1"><c r="A51" s="351" t="n"><v>43</v></c><c r="B51" s="375"><f>B50</f><v /></c><c r="C51" s="375"><f>C50</f><v /></c><c r="D51" s="376"><f>D50</f><v /></c><c r="E51" s="377"><f>E50</f><v /></c><c r="F51" s="13" t="n" /><c r="G51" s="446" t="inlineStr"><is><t>PA25516743</t></is></c><c r="H51" s="313"><f>H50</f><v /></c><c r="I51" s="38"><f>I50</f><v /></c><c r="J51" s="314"><f>J50</f><v /></c><c r="K51" s="378"><f>K50</f><v /></c><c r="L51" s="378"><f>L50</f><v /></c><c r="M51" s="379" t="n"><v>236.6</v></c><c r="N51" s="379" t="n"><v>336.36</v></c><c r="O51" s="380"><f>O50</f><v /></c><c r="P51" s="381"><f>P50</f><v /></c><c r="Q51" s="382"><f>LEFT(P51,1)</f><v /></c><c r="R51" s="382"><f>RIGHT(P51,6)</f><v /></c><c r="S51" s="382"><f>+(Q51*60+R51)/(60*60)</f><v /></c><c r="T51" s="383"><f>+O51/S51</f><v /></c><c r="U51" s="384"><f>+(((N51-M51-O51)/O51)*100)</f><v /></c><c r="V51" s="317"><f>V50</f><v /></c><c r="W51" s="385"><f>W50</f><v /></c><c r="X51" s="385"><f>X50</f><v /></c><c r="Y51" s="379" t="n"><v>341.51</v></c><c r="Z51" s="379" t="n"><v>351.49</v></c><c r="AA51" s="386"><f>AA50</f><v /></c><c r="AB51" s="387"><f>AB50</f><v /></c><c r="AC51" s="382"><f>LEFT(AB51,2)</f><v /></c><c r="AD51" s="382"><f>RIGHT(AB51,6)</f><v /></c><c r="AE51" s="382"><f>+(AC51*60+AD51)/(60*60)</f><v /></c><c r="AF51" s="383"><f>+AA51/AE51</f><v /></c><c r="AG51" s="321"><f>+(((Z51-Y51-AA51)/AA51)*100)</f><v /></c><c r="AH51" s="317"><f>AH50</f><v /></c><c r="AI51" s="385"><f>AI50</f><v /></c><c r="AJ51" s="385"><f>AJ50</f><v /></c><c r="AK51" s="379"><f>Z51</f><v /></c><c r="AL51" s="379" t="n"><v>356.54</v></c><c r="AM51" s="388"><f>AM50</f><v /></c><c r="AN51" s="381"><f>AN50</f><v /></c><c r="AO51" s="382"><f>LEFT(AN51,2)</f><v /></c><c r="AP51" s="382"><f>RIGHT(AN51,6)</f><v /></c><c r="AQ51" s="382"><f>+(AO51*60+AP51)/(60*60)</f><v /></c><c r="AR51" s="383"><f>+AM51/AQ51</f><v /></c><c r="AS51" s="321"><f>+(((AL51-AK51-AM51)/AM51)*100)</f><v /></c><c r="AT51" s="389"><f>IF(I51&gt;=1,"NO CONFORME",IF(BK51="SIGDIFERENTES",BC51,BL51))</f><v /></c><c r="AU51" s="372"><f>B51=C51</f><v /></c><c r="AV51" s="372"><f>N51&lt;Y51</f><v /></c><c r="AW51" s="372"><f>Z51&lt;=AK51</f><v /></c><c r="AX51" s="372"><f>IF(I51&gt;=1,"Qcorrecto",IF(AND(AY51="aceptable",AZ51="aceptable",BA51="aceptable"),"Qcorrecto","Qincorrecto"))</f><v /></c><c r="AY51" s="390"><f>IF(AR51&lt;$AH$6,"error",IF(AR51&gt;$AH$6*1.1,"error","aceptable"))</f><v /></c><c r="AZ51" s="390"><f>IF(AF51&lt;$V$6,"error",IF(AF51&gt;$V$6*1.1,"error","aceptable"))</f><v /></c><c r="BA51" s="390"><f>IF(T51&lt;$J$6*0.9,"error",IF(T51&gt;$J$6,"error","aceptable"))</f><v /></c><c r="BB51" s="25"><f>(IF(ABS(U51)&lt;1.05,"CONFORME",IF(ABS(AG51)&lt;1.05,"CONFORME",IF(ABS(AS51)&lt;2.55,"CONFORME","NO CONFORME"))))</f><v /></c><c r="BC51" s="5"><f>(IF(ABS(U51)&gt;2.05,"NO CONFORME",IF(ABS(AG51)&gt;2.05,"NO CONFORME",IF(ABS(AS51)&gt;5.05,"NO CONFORME","CONFORME"))))</f><v /></c><c r="BD51" s="374"><f>SIGN(U51)</f><v /></c><c r="BE51" s="374"><f>SIGN(AG51)</f><v /></c><c r="BF51" s="374"><f>SIGN(AS51)</f><v /></c><c r="BG51" s="374"><f>CONCATENATE(BD51,BE51,BF51)</f><v /></c><c r="BH51" s="374"><f>IF(BG51="111","SI","SD")</f><v /></c><c r="BI51" s="374"><f>IF(BG51="-1-1-1","SI","SD")</f><v /></c><c r="BJ51" s="374"><f>OR(BH51="SI",BI51="SI")</f><v /></c><c r="BK51" s="374"><f>IF(BJ51=FALSE,"SIGDIFERENTES","SIGIGUALES")</f><v /></c><c r="BL51" s="390"><f>IF(BC51="NO CONFORME","NO CONFORME",IF(BB51="CONFORME","CONFORME","NO CONFORME"))</f><v /></c></row><row r="52" ht="15" customHeight="1" thickBot="1"><c r="A52" s="351" t="n"><v>44</v></c><c r="B52" s="375"><f>B51</f><v /></c><c r="C52" s="375"><f>C51</f><v /></c><c r="D52" s="376"><f>D51</f><v /></c><c r="E52" s="377"><f>E51</f><v /></c><c r="F52" s="13" t="n" /><c r="G52" s="446" t="inlineStr"><is><t>PA25516744</t></is></c><c r="H52" s="313"><f>H51</f><v /></c><c r="I52" s="38"><f>I51</f><v /></c><c r="J52" s="314"><f>J51</f><v /></c><c r="K52" s="378"><f>K51</f><v /></c><c r="L52" s="378"><f>L51</f><v /></c><c r="M52" s="379" t="n"><v>86.79000000000001</v></c><c r="N52" s="379" t="n"><v>186.8</v></c><c r="O52" s="380"><f>O51</f><v /></c><c r="P52" s="381"><f>P51</f><v /></c><c r="Q52" s="382"><f>LEFT(P52,1)</f><v /></c><c r="R52" s="382"><f>RIGHT(P52,6)</f><v /></c><c r="S52" s="382"><f>+(Q52*60+R52)/(60*60)</f><v /></c><c r="T52" s="383"><f>+O52/S52</f><v /></c><c r="U52" s="384"><f>+(((N52-M52-O52)/O52)*100)</f><v /></c><c r="V52" s="317"><f>V51</f><v /></c><c r="W52" s="385"><f>W51</f><v /></c><c r="X52" s="385"><f>X51</f><v /></c><c r="Y52" s="379" t="n"><v>192</v></c><c r="Z52" s="379" t="n"><v>202.02</v></c><c r="AA52" s="386"><f>AA51</f><v /></c><c r="AB52" s="387"><f>AB51</f><v /></c><c r="AC52" s="382"><f>LEFT(AB52,2)</f><v /></c><c r="AD52" s="382"><f>RIGHT(AB52,6)</f><v /></c><c r="AE52" s="382"><f>+(AC52*60+AD52)/(60*60)</f><v /></c><c r="AF52" s="383"><f>+AA52/AE52</f><v /></c><c r="AG52" s="321"><f>+(((Z52-Y52-AA52)/AA52)*100)</f><v /></c><c r="AH52" s="317"><f>AH51</f><v /></c><c r="AI52" s="385"><f>AI51</f><v /></c><c r="AJ52" s="385"><f>AJ51</f><v /></c><c r="AK52" s="379"><f>Z52</f><v /></c><c r="AL52" s="379" t="n"><v>207.07</v></c><c r="AM52" s="388"><f>AM51</f><v /></c><c r="AN52" s="381"><f>AN51</f><v /></c><c r="AO52" s="382"><f>LEFT(AN52,2)</f><v /></c><c r="AP52" s="382"><f>RIGHT(AN52,6)</f><v /></c><c r="AQ52" s="382"><f>+(AO52*60+AP52)/(60*60)</f><v /></c><c r="AR52" s="383"><f>+AM52/AQ52</f><v /></c><c r="AS52" s="321"><f>+(((AL52-AK52-AM52)/AM52)*100)</f><v /></c><c r="AT52" s="389"><f>IF(I52&gt;=1,"NO CONFORME",IF(BK52="SIGDIFERENTES",BC52,BL52))</f><v /></c><c r="AU52" s="372"><f>B52=C52</f><v /></c><c r="AV52" s="372"><f>N52&lt;Y52</f><v /></c><c r="AW52" s="372"><f>Z52&lt;=AK52</f><v /></c><c r="AX52" s="372"><f>IF(I52&gt;=1,"Qcorrecto",IF(AND(AY52="aceptable",AZ52="aceptable",BA52="aceptable"),"Qcorrecto","Qincorrecto"))</f><v /></c><c r="AY52" s="390"><f>IF(AR52&lt;$AH$6,"error",IF(AR52&gt;$AH$6*1.1,"error","aceptable"))</f><v /></c><c r="AZ52" s="390"><f>IF(AF52&lt;$V$6,"error",IF(AF52&gt;$V$6*1.1,"error","aceptable"))</f><v /></c><c r="BA52" s="390"><f>IF(T52&lt;$J$6*0.9,"error",IF(T52&gt;$J$6,"error","aceptable"))</f><v /></c><c r="BB52" s="25"><f>(IF(ABS(U52)&lt;1.05,"CONFORME",IF(ABS(AG52)&lt;1.05,"CONFORME",IF(ABS(AS52)&lt;2.55,"CONFORME","NO CONFORME"))))</f><v /></c><c r="BC52" s="5"><f>(IF(ABS(U52)&gt;2.05,"NO CONFORME",IF(ABS(AG52)&gt;2.05,"NO CONFORME",IF(ABS(AS52)&gt;5.05,"NO CONFORME","CONFORME"))))</f><v /></c><c r="BD52" s="374"><f>SIGN(U52)</f><v /></c><c r="BE52" s="374"><f>SIGN(AG52)</f><v /></c><c r="BF52" s="374"><f>SIGN(AS52)</f><v /></c><c r="BG52" s="374"><f>CONCATENATE(BD52,BE52,BF52)</f><v /></c><c r="BH52" s="374"><f>IF(BG52="111","SI","SD")</f><v /></c><c r="BI52" s="374"><f>IF(BG52="-1-1-1","SI","SD")</f><v /></c><c r="BJ52" s="374"><f>OR(BH52="SI",BI52="SI")</f><v /></c><c r="BK52" s="374"><f>IF(BJ52=FALSE,"SIGDIFERENTES","SIGIGUALES")</f><v /></c><c r="BL52" s="390"><f>IF(BC52="NO CONFORME","NO CONFORME",IF(BB52="CONFORME","CONFORME","NO CONFORME"))</f><v /></c></row><row r="53" ht="15" customHeight="1" thickBot="1"><c r="A53" s="351" t="n"><v>45</v></c><c r="B53" s="375"><f>B52</f><v /></c><c r="C53" s="375"><f>C52</f><v /></c><c r="D53" s="376"><f>D52</f><v /></c><c r="E53" s="377"><f>E52</f><v /></c><c r="F53" s="13" t="n" /><c r="G53" s="446" t="inlineStr"><is><t>PA25516745</t></is></c><c r="H53" s="313"><f>H52</f><v /></c><c r="I53" s="38"><f>I52</f><v /></c><c r="J53" s="314"><f>J52</f><v /></c><c r="K53" s="378"><f>K52</f><v /></c><c r="L53" s="378"><f>L52</f><v /></c><c r="M53" s="379" t="n"><v>85.40000000000001</v></c><c r="N53" s="379" t="n"><v>185.08</v></c><c r="O53" s="380"><f>O52</f><v /></c><c r="P53" s="381"><f>P52</f><v /></c><c r="Q53" s="382"><f>LEFT(P53,1)</f><v /></c><c r="R53" s="382"><f>RIGHT(P53,6)</f><v /></c><c r="S53" s="382"><f>+(Q53*60+R53)/(60*60)</f><v /></c><c r="T53" s="383"><f>+O53/S53</f><v /></c><c r="U53" s="384"><f>+(((N53-M53-O53)/O53)*100)</f><v /></c><c r="V53" s="317"><f>V52</f><v /></c><c r="W53" s="385"><f>W52</f><v /></c><c r="X53" s="385"><f>X52</f><v /></c><c r="Y53" s="379" t="n"><v>190.22</v></c><c r="Z53" s="379" t="n"><v>200.2</v></c><c r="AA53" s="386"><f>AA52</f><v /></c><c r="AB53" s="387"><f>AB52</f><v /></c><c r="AC53" s="382"><f>LEFT(AB53,2)</f><v /></c><c r="AD53" s="382"><f>RIGHT(AB53,6)</f><v /></c><c r="AE53" s="382"><f>+(AC53*60+AD53)/(60*60)</f><v /></c><c r="AF53" s="383"><f>+AA53/AE53</f><v /></c><c r="AG53" s="321"><f>+(((Z53-Y53-AA53)/AA53)*100)</f><v /></c><c r="AH53" s="317"><f>AH52</f><v /></c><c r="AI53" s="385"><f>AI52</f><v /></c><c r="AJ53" s="385"><f>AJ52</f><v /></c><c r="AK53" s="379"><f>Z53</f><v /></c><c r="AL53" s="379" t="n"><v>205.21</v></c><c r="AM53" s="388"><f>AM52</f><v /></c><c r="AN53" s="381"><f>AN52</f><v /></c><c r="AO53" s="382"><f>LEFT(AN53,2)</f><v /></c><c r="AP53" s="382"><f>RIGHT(AN53,6)</f><v /></c><c r="AQ53" s="382"><f>+(AO53*60+AP53)/(60*60)</f><v /></c><c r="AR53" s="383"><f>+AM53/AQ53</f><v /></c><c r="AS53" s="321"><f>+(((AL53-AK53-AM53)/AM53)*100)</f><v /></c><c r="AT53" s="389"><f>IF(I53&gt;=1,"NO CONFORME",IF(BK53="SIGDIFERENTES",BC53,BL53))</f><v /></c><c r="AU53" s="372"><f>B53=C53</f><v /></c><c r="AV53" s="372"><f>N53&lt;Y53</f><v /></c><c r="AW53" s="372"><f>Z53&lt;=AK53</f><v /></c><c r="AX53" s="372"><f>IF(I53&gt;=1,"Qcorrecto",IF(AND(AY53="aceptable",AZ53="aceptable",BA53="aceptable"),"Qcorrecto","Qincorrecto"))</f><v /></c><c r="AY53" s="390"><f>IF(AR53&lt;$AH$6,"error",IF(AR53&gt;$AH$6*1.1,"error","aceptable"))</f><v /></c><c r="AZ53" s="390"><f>IF(AF53&lt;$V$6,"error",IF(AF53&gt;$V$6*1.1,"error","aceptable"))</f><v /></c><c r="BA53" s="390"><f>IF(T53&lt;$J$6*0.9,"error",IF(T53&gt;$J$6,"error","aceptable"))</f><v /></c><c r="BB53" s="25"><f>(IF(ABS(U53)&lt;1.05,"CONFORME",IF(ABS(AG53)&lt;1.05,"CONFORME",IF(ABS(AS53)&lt;2.55,"CONFORME","NO CONFORME"))))</f><v /></c><c r="BC53" s="5"><f>(IF(ABS(U53)&gt;2.05,"NO CONFORME",IF(ABS(AG53)&gt;2.05,"NO CONFORME",IF(ABS(AS53)&gt;5.05,"NO CONFORME","CONFORME"))))</f><v /></c><c r="BD53" s="374"><f>SIGN(U53)</f><v /></c><c r="BE53" s="374"><f>SIGN(AG53)</f><v /></c><c r="BF53" s="374"><f>SIGN(AS53)</f><v /></c><c r="BG53" s="374"><f>CONCATENATE(BD53,BE53,BF53)</f><v /></c><c r="BH53" s="374"><f>IF(BG53="111","SI","SD")</f><v /></c><c r="BI53" s="374"><f>IF(BG53="-1-1-1","SI","SD")</f><v /></c><c r="BJ53" s="374"><f>OR(BH53="SI",BI53="SI")</f><v /></c><c r="BK53" s="374"><f>IF(BJ53=FALSE,"SIGDIFERENTES","SIGIGUALES")</f><v /></c><c r="BL53" s="390"><f>IF(BC53="NO CONFORME","NO CONFORME",IF(BB53="CONFORME","CONFORME","NO CONFORME"))</f><v /></c></row><row r="54" ht="15" customHeight="1" thickBot="1"><c r="A54" s="351" t="n"><v>46</v></c><c r="B54" s="375"><f>B53</f><v /></c><c r="C54" s="375"><f>C53</f><v /></c><c r="D54" s="376"><f>D53</f><v /></c><c r="E54" s="377"><f>E53</f><v /></c><c r="F54" s="13" t="n" /><c r="G54" s="446" t="inlineStr"><is><t>PA25516746</t></is></c><c r="H54" s="313"><f>H53</f><v /></c><c r="I54" s="38"><f>I53</f><v /></c><c r="J54" s="314"><f>J53</f><v /></c><c r="K54" s="378"><f>K53</f><v /></c><c r="L54" s="378"><f>L53</f><v /></c><c r="M54" s="379" t="n"><v>87.95</v></c><c r="N54" s="379" t="n"><v>188.71</v></c><c r="O54" s="380"><f>O53</f><v /></c><c r="P54" s="381"><f>P53</f><v /></c><c r="Q54" s="382"><f>LEFT(P54,1)</f><v /></c><c r="R54" s="382"><f>RIGHT(P54,6)</f><v /></c><c r="S54" s="382"><f>+(Q54*60+R54)/(60*60)</f><v /></c><c r="T54" s="383"><f>+O54/S54</f><v /></c><c r="U54" s="384"><f>+(((N54-M54-O54)/O54)*100)</f><v /></c><c r="V54" s="317"><f>V53</f><v /></c><c r="W54" s="385"><f>W53</f><v /></c><c r="X54" s="385"><f>X53</f><v /></c><c r="Y54" s="379" t="n"><v>193.91</v></c><c r="Z54" s="379" t="n"><v>203.95</v></c><c r="AA54" s="386"><f>AA53</f><v /></c><c r="AB54" s="387"><f>AB53</f><v /></c><c r="AC54" s="382"><f>LEFT(AB54,2)</f><v /></c><c r="AD54" s="382"><f>RIGHT(AB54,6)</f><v /></c><c r="AE54" s="382"><f>+(AC54*60+AD54)/(60*60)</f><v /></c><c r="AF54" s="383"><f>+AA54/AE54</f><v /></c><c r="AG54" s="321"><f>+(((Z54-Y54-AA54)/AA54)*100)</f><v /></c><c r="AH54" s="317"><f>AH53</f><v /></c><c r="AI54" s="385"><f>AI53</f><v /></c><c r="AJ54" s="385"><f>AJ53</f><v /></c><c r="AK54" s="379"><f>Z54</f><v /></c><c r="AL54" s="379" t="n"><v>209</v></c><c r="AM54" s="388"><f>AM53</f><v /></c><c r="AN54" s="381"><f>AN53</f><v /></c><c r="AO54" s="382"><f>LEFT(AN54,2)</f><v /></c><c r="AP54" s="382"><f>RIGHT(AN54,6)</f><v /></c><c r="AQ54" s="382"><f>+(AO54*60+AP54)/(60*60)</f><v /></c><c r="AR54" s="383"><f>+AM54/AQ54</f><v /></c><c r="AS54" s="321"><f>+(((AL54-AK54-AM54)/AM54)*100)</f><v /></c><c r="AT54" s="389"><f>IF(I54&gt;=1,"NO CONFORME",IF(BK54="SIGDIFERENTES",BC54,BL54))</f><v /></c><c r="AU54" s="372"><f>B54=C54</f><v /></c><c r="AV54" s="372"><f>N54&lt;Y54</f><v /></c><c r="AW54" s="372"><f>Z54&lt;=AK54</f><v /></c><c r="AX54" s="372"><f>IF(I54&gt;=1,"Qcorrecto",IF(AND(AY54="aceptable",AZ54="aceptable",BA54="aceptable"),"Qcorrecto","Qincorrecto"))</f><v /></c><c r="AY54" s="390"><f>IF(AR54&lt;$AH$6,"error",IF(AR54&gt;$AH$6*1.1,"error","aceptable"))</f><v /></c><c r="AZ54" s="390"><f>IF(AF54&lt;$V$6,"error",IF(AF54&gt;$V$6*1.1,"error","aceptable"))</f><v /></c><c r="BA54" s="390"><f>IF(T54&lt;$J$6*0.9,"error",IF(T54&gt;$J$6,"error","aceptable"))</f><v /></c><c r="BB54" s="25"><f>(IF(ABS(U54)&lt;1.05,"CONFORME",IF(ABS(AG54)&lt;1.05,"CONFORME",IF(ABS(AS54)&lt;2.55,"CONFORME","NO CONFORME"))))</f><v /></c><c r="BC54" s="5"><f>(IF(ABS(U54)&gt;2.05,"NO CONFORME",IF(ABS(AG54)&gt;2.05,"NO CONFORME",IF(ABS(AS54)&gt;5.05,"NO CONFORME","CONFORME"))))</f><v /></c><c r="BD54" s="374"><f>SIGN(U54)</f><v /></c><c r="BE54" s="374"><f>SIGN(AG54)</f><v /></c><c r="BF54" s="374"><f>SIGN(AS54)</f><v /></c><c r="BG54" s="374"><f>CONCATENATE(BD54,BE54,BF54)</f><v /></c><c r="BH54" s="374"><f>IF(BG54="111","SI","SD")</f><v /></c><c r="BI54" s="374"><f>IF(BG54="-1-1-1","SI","SD")</f><v /></c><c r="BJ54" s="374"><f>OR(BH54="SI",BI54="SI")</f><v /></c><c r="BK54" s="374"><f>IF(BJ54=FALSE,"SIGDIFERENTES","SIGIGUALES")</f><v /></c><c r="BL54" s="390"><f>IF(BC54="NO CONFORME","NO CONFORME",IF(BB54="CONFORME","CONFORME","NO CONFORME"))</f><v /></c></row><row r="55" ht="15" customHeight="1" thickBot="1"><c r="A55" s="414" t="n"><v>47</v></c><c r="B55" s="415"><f>B54</f><v /></c><c r="C55" s="415"><f>C54</f><v /></c><c r="D55" s="416"><f>D54</f><v /></c><c r="E55" s="417"><f>E54</f><v /></c><c r="F55" s="56" t="n" /><c r="G55" s="446" t="inlineStr"><is><t>PA25516747</t></is></c><c r="H55" s="418"><f>H54</f><v /></c><c r="I55" s="419"><f>I54</f><v /></c><c r="J55" s="420"><f>J54</f><v /></c><c r="K55" s="421"><f>K54</f><v /></c><c r="L55" s="421"><f>L54</f><v /></c><c r="M55" s="422" t="n"><v>89.84999999999999</v></c><c r="N55" s="422" t="n"><v>190.3</v></c><c r="O55" s="423"><f>O54</f><v /></c><c r="P55" s="424"><f>P54</f><v /></c><c r="Q55" s="425"><f>LEFT(P55,1)</f><v /></c><c r="R55" s="425"><f>RIGHT(P55,6)</f><v /></c><c r="S55" s="425"><f>+(Q55*60+R55)/(60*60)</f><v /></c><c r="T55" s="426"><f>+O55/S55</f><v /></c><c r="U55" s="427"><f>+(((N55-M55-O55)/O55)*100)</f><v /></c><c r="V55" s="428"><f>V54</f><v /></c><c r="W55" s="429"><f>W54</f><v /></c><c r="X55" s="429"><f>X54</f><v /></c><c r="Y55" s="422" t="n"><v>195.48</v></c><c r="Z55" s="422" t="n"><v>205.43</v></c><c r="AA55" s="430"><f>AA54</f><v /></c><c r="AB55" s="431"><f>AB54</f><v /></c><c r="AC55" s="425"><f>LEFT(AB55,2)</f><v /></c><c r="AD55" s="425"><f>RIGHT(AB55,6)</f><v /></c><c r="AE55" s="425"><f>+(AC55*60+AD55)/(60*60)</f><v /></c><c r="AF55" s="426"><f>+AA55/AE55</f><v /></c><c r="AG55" s="432"><f>+(((Z55-Y55-AA55)/AA55)*100)</f><v /></c><c r="AH55" s="428"><f>AH54</f><v /></c><c r="AI55" s="429"><f>AI54</f><v /></c><c r="AJ55" s="429"><f>AJ54</f><v /></c><c r="AK55" s="422"><f>Z55</f><v /></c><c r="AL55" s="422" t="n"><v>210.39</v></c><c r="AM55" s="433"><f>AM54</f><v /></c><c r="AN55" s="424"><f>AN54</f><v /></c><c r="AO55" s="425"><f>LEFT(AN55,2)</f><v /></c><c r="AP55" s="425"><f>RIGHT(AN55,6)</f><v /></c><c r="AQ55" s="425"><f>+(AO55*60+AP55)/(60*60)</f><v /></c><c r="AR55" s="426"><f>+AM55/AQ55</f><v /></c><c r="AS55" s="432"><f>+(((AL55-AK55-AM55)/AM55)*100)</f><v /></c><c r="AT55" s="434"><f>IF(I55&gt;=1,"NO CONFORME",IF(BK55="SIGDIFERENTES",BC55,BL55))</f><v /></c><c r="AU55" s="372"><f>B55=C55</f><v /></c><c r="AV55" s="372"><f>N55&lt;Y55</f><v /></c><c r="AW55" s="372"><f>Z55&lt;=AK55</f><v /></c><c r="AX55" s="372"><f>IF(I55&gt;=1,"Qcorrecto",IF(AND(AY55="aceptable",AZ55="aceptable",BA55="aceptable"),"Qcorrecto","Qincorrecto"))</f><v /></c><c r="AY55" s="435"><f>IF(AR55&lt;$AH$6,"error",IF(AR55&gt;$AH$6*1.1,"error","aceptable"))</f><v /></c><c r="AZ55" s="435"><f>IF(AF55&lt;$V$6,"error",IF(AF55&gt;$V$6*1.1,"error","aceptable"))</f><v /></c><c r="BA55" s="435"><f>IF(T55&lt;$J$6*0.9,"error",IF(T55&gt;$J$6,"error","aceptable"))</f><v /></c><c r="BB55" s="436"><f>(IF(ABS(U55)&lt;1.05,"CONFORME",IF(ABS(AG55)&lt;1.05,"CONFORME",IF(ABS(AS55)&lt;2.55,"CONFORME","NO CONFORME"))))</f><v /></c><c r="BC55" s="437"><f>(IF(ABS(U55)&gt;2.05,"NO CONFORME",IF(ABS(AG55)&gt;2.05,"NO CONFORME",IF(ABS(AS55)&gt;5.05,"NO CONFORME","CONFORME"))))</f><v /></c><c r="BD55" s="374"><f>SIGN(U55)</f><v /></c><c r="BE55" s="374"><f>SIGN(AG55)</f><v /></c><c r="BF55" s="374"><f>SIGN(AS55)</f><v /></c><c r="BG55" s="374"><f>CONCATENATE(BD55,BE55,BF55)</f><v /></c><c r="BH55" s="374"><f>IF(BG55="111","SI","SD")</f><v /></c><c r="BI55" s="374"><f>IF(BG55="-1-1-1","SI","SD")</f><v /></c><c r="BJ55" s="374"><f>OR(BH55="SI",BI55="SI")</f><v /></c><c r="BK55" s="374"><f>IF(BJ55=FALSE,"SIGDIFERENTES","SIGIGUALES")</f><v /></c><c r="BL55" s="435"><f>IF(BC55="NO CONFORME","NO CONFORME",IF(BB55="CONFORME","CONFORME","NO CONFORME"))</f><v /></c></row><row r="56" ht="15" customHeight="1" thickBot="1"><c r="A56" s="377" t="n"><v>48</v></c><c r="B56" s="375"><f>B55</f><v /></c><c r="C56" s="375"><f>C55</f><v /></c><c r="D56" s="376"><f>D55</f><v /></c><c r="E56" s="377"><f>E55</f><v /></c><c r="F56" s="13" t="n" /><c r="G56" s="446" t="inlineStr"><is><t>PA25516748</t></is></c><c r="H56" s="313"><f>H55</f><v /></c><c r="I56" s="38"><f>I55</f><v /></c><c r="J56" s="314"><f>J55</f><v /></c><c r="K56" s="378"><f>K55</f><v /></c><c r="L56" s="378"><f>L55</f><v /></c><c r="M56" s="379" t="n"><v>91.05</v></c><c r="N56" s="379" t="n"><v>190.79</v></c><c r="O56" s="380"><f>O55</f><v /></c><c r="P56" s="381"><f>P55</f><v /></c><c r="Q56" s="382"><f>LEFT(P56,1)</f><v /></c><c r="R56" s="382"><f>RIGHT(P56,6)</f><v /></c><c r="S56" s="382"><f>+(Q56*60+R56)/(60*60)</f><v /></c><c r="T56" s="383"><f>+O56/S56</f><v /></c><c r="U56" s="384"><f>+(((N56-M56-O56)/O56)*100)</f><v /></c><c r="V56" s="317"><f>V55</f><v /></c><c r="W56" s="385"><f>W55</f><v /></c><c r="X56" s="385"><f>X55</f><v /></c><c r="Y56" s="379" t="n"><v>195.94</v></c><c r="Z56" s="379" t="n"><v>205.86</v></c><c r="AA56" s="386"><f>AA55</f><v /></c><c r="AB56" s="387"><f>AB55</f><v /></c><c r="AC56" s="382"><f>LEFT(AB56,2)</f><v /></c><c r="AD56" s="382"><f>RIGHT(AB56,6)</f><v /></c><c r="AE56" s="382"><f>+(AC56*60+AD56)/(60*60)</f><v /></c><c r="AF56" s="383"><f>+AA56/AE56</f><v /></c><c r="AG56" s="321"><f>+(((Z56-Y56-AA56)/AA56)*100)</f><v /></c><c r="AH56" s="317"><f>AH55</f><v /></c><c r="AI56" s="385"><f>AI55</f><v /></c><c r="AJ56" s="385"><f>AJ55</f><v /></c><c r="AK56" s="379"><f>Z56</f><v /></c><c r="AL56" s="379" t="n"><v>210.77</v></c><c r="AM56" s="388"><f>AM55</f><v /></c><c r="AN56" s="381"><f>AN55</f><v /></c><c r="AO56" s="382"><f>LEFT(AN56,2)</f><v /></c><c r="AP56" s="382"><f>RIGHT(AN56,6)</f><v /></c><c r="AQ56" s="382"><f>+(AO56*60+AP56)/(60*60)</f><v /></c><c r="AR56" s="383"><f>+AM56/AQ56</f><v /></c><c r="AS56" s="321"><f>+(((AL56-AK56-AM56)/AM56)*100)</f><v /></c><c r="AT56" s="389"><f>IF(I56&gt;=1,"NO CONFORME",IF(BK56="SIGDIFERENTES",BC56,BL56))</f><v /></c><c r="AU56" s="438"><f>B56=C56</f><v /></c><c r="AV56" s="438"><f>N56&lt;Y56</f><v /></c><c r="AW56" s="438"><f>Z56&lt;=AK56</f><v /></c><c r="AX56" s="438"><f>IF(I56&gt;=1,"Qcorrecto",IF(AND(AY56="aceptable",AZ56="aceptable",BA56="aceptable"),"Qcorrecto","Qincorrecto"))</f><v /></c><c r="AY56" s="390"><f>IF(AR56&lt;$AH$6,"error",IF(AR56&gt;$AH$6*1.1,"error","aceptable"))</f><v /></c><c r="AZ56" s="390"><f>IF(AF56&lt;$V$6,"error",IF(AF56&gt;$V$6*1.1,"error","aceptable"))</f><v /></c><c r="BA56" s="390"><f>IF(T56&lt;$J$6*0.9,"error",IF(T56&gt;$J$6,"error","aceptable"))</f><v /></c><c r="BB56" s="439"><f>(IF(ABS(U56)&lt;1.05,"CONFORME",IF(ABS(AG56)&lt;1.05,"CONFORME",IF(ABS(AS56)&lt;2.55,"CONFORME","NO CONFORME"))))</f><v /></c><c r="BC56" s="440"><f>(IF(ABS(U56)&gt;2.05,"NO CONFORME",IF(ABS(AG56)&gt;2.05,"NO CONFORME",IF(ABS(AS56)&gt;5.05,"NO CONFORME","CONFORME"))))</f><v /></c><c r="BD56" s="441"><f>SIGN(U56)</f><v /></c><c r="BE56" s="441"><f>SIGN(AG56)</f><v /></c><c r="BF56" s="441"><f>SIGN(AS56)</f><v /></c><c r="BG56" s="441"><f>CONCATENATE(BD56,BE56,BF56)</f><v /></c><c r="BH56" s="441"><f>IF(BG56="111","SI","SD")</f><v /></c><c r="BI56" s="441"><f>IF(BG56="-1-1-1","SI","SD")</f><v /></c><c r="BJ56" s="441"><f>OR(BH56="SI",BI56="SI")</f><v /></c><c r="BK56" s="441"><f>IF(BJ56=FALSE,"SIGDIFERENTES","SIGIGUALES")</f><v /></c><c r="BL56" s="390"><f>IF(BC56="NO CONFORME","NO CONFORME",IF(BB56="CONFORME","CONFORME","NO CONFORME"))</f><v /></c></row><row r="57" ht="15" customHeight="1" thickBot="1"><c r="A57" s="443" t="n"><v>49</v></c><c r="B57" s="375"><f>B56</f><v /></c><c r="C57" s="375"><f>C56</f><v /></c><c r="D57" s="376"><f>D56</f><v /></c><c r="E57" s="377"><f>E56</f><v /></c><c r="F57" s="13" t="n" /><c r="G57" s="446" t="inlineStr"><is><t>PA25516749</t></is></c><c r="H57" s="313"><f>H56</f><v /></c><c r="I57" s="38"><f>I56</f><v /></c><c r="J57" s="314"><f>J56</f><v /></c><c r="K57" s="378"><f>K56</f><v /></c><c r="L57" s="378"><f>L56</f><v /></c><c r="M57" s="379" t="n"><v>90.94</v></c><c r="N57" s="379" t="n"><v>190.85</v></c><c r="O57" s="380"><f>O56</f><v /></c><c r="P57" s="381"><f>P56</f><v /></c><c r="Q57" s="382"><f>LEFT(P57,1)</f><v /></c><c r="R57" s="382"><f>RIGHT(P57,6)</f><v /></c><c r="S57" s="382"><f>+(Q57*60+R57)/(60*60)</f><v /></c><c r="T57" s="383"><f>+O57/S57</f><v /></c><c r="U57" s="384"><f>+(((N57-M57-O57)/O57)*100)</f><v /></c><c r="V57" s="317"><f>V56</f><v /></c><c r="W57" s="385"><f>W56</f><v /></c><c r="X57" s="385"><f>X56</f><v /></c><c r="Y57" s="379" t="n"><v>196</v></c><c r="Z57" s="379" t="n"><v>205.94</v></c><c r="AA57" s="386"><f>AA56</f><v /></c><c r="AB57" s="387"><f>AB56</f><v /></c><c r="AC57" s="382"><f>LEFT(AB57,2)</f><v /></c><c r="AD57" s="382"><f>RIGHT(AB57,6)</f><v /></c><c r="AE57" s="382"><f>+(AC57*60+AD57)/(60*60)</f><v /></c><c r="AF57" s="383"><f>+AA57/AE57</f><v /></c><c r="AG57" s="321"><f>+(((Z57-Y57-AA57)/AA57)*100)</f><v /></c><c r="AH57" s="317"><f>AH56</f><v /></c><c r="AI57" s="385"><f>AI56</f><v /></c><c r="AJ57" s="385"><f>AJ56</f><v /></c><c r="AK57" s="379"><f>Z57</f><v /></c><c r="AL57" s="379" t="n"><v>210.92</v></c><c r="AM57" s="388"><f>AM56</f><v /></c><c r="AN57" s="381"><f>AN56</f><v /></c><c r="AO57" s="382"><f>LEFT(AN57,2)</f><v /></c><c r="AP57" s="382"><f>RIGHT(AN57,6)</f><v /></c><c r="AQ57" s="382"><f>+(AO57*60+AP57)/(60*60)</f><v /></c><c r="AR57" s="383"><f>+AM57/AQ57</f><v /></c><c r="AS57" s="321"><f>+(((AL57-AK57-AM57)/AM57)*100)</f><v /></c><c r="AT57" s="389"><f>IF(I57&gt;=1,"NO CONFORME",IF(BK57="SIGDIFERENTES",BC57,BL57))</f><v /></c><c r="AU57" s="438"><f>B57=C57</f><v /></c><c r="AV57" s="438"><f>N57&lt;Y57</f><v /></c><c r="AW57" s="438"><f>Z57&lt;=AK57</f><v /></c><c r="AX57" s="438"><f>IF(I57&gt;=1,"Qcorrecto",IF(AND(AY57="aceptable",AZ57="aceptable",BA57="aceptable"),"Qcorrecto","Qincorrecto"))</f><v /></c><c r="AY57" s="390"><f>IF(AR57&lt;$AH$6,"error",IF(AR57&gt;$AH$6*1.1,"error","aceptable"))</f><v /></c><c r="AZ57" s="390"><f>IF(AF57&lt;$V$6,"error",IF(AF57&gt;$V$6*1.1,"error","aceptable"))</f><v /></c><c r="BA57" s="390"><f>IF(T57&lt;$J$6*0.9,"error",IF(T57&gt;$J$6,"error","aceptable"))</f><v /></c><c r="BB57" s="439"><f>(IF(ABS(U57)&lt;1.05,"CONFORME",IF(ABS(AG57)&lt;1.05,"CONFORME",IF(ABS(AS57)&lt;2.55,"CONFORME","NO CONFORME"))))</f><v /></c><c r="BC57" s="440"><f>(IF(ABS(U57)&gt;2.05,"NO CONFORME",IF(ABS(AG57)&gt;2.05,"NO CONFORME",IF(ABS(AS57)&gt;5.05,"NO CONFORME","CONFORME"))))</f><v /></c><c r="BD57" s="441"><f>SIGN(U57)</f><v /></c><c r="BE57" s="441"><f>SIGN(AG57)</f><v /></c><c r="BF57" s="441"><f>SIGN(AS57)</f><v /></c><c r="BG57" s="441"><f>CONCATENATE(BD57,BE57,BF57)</f><v /></c><c r="BH57" s="441"><f>IF(BG57="111","SI","SD")</f><v /></c><c r="BI57" s="441"><f>IF(BG57="-1-1-1","SI","SD")</f><v /></c><c r="BJ57" s="441"><f>OR(BH57="SI",BI57="SI")</f><v /></c><c r="BK57" s="441"><f>IF(BJ57=FALSE,"SIGDIFERENTES","SIGIGUALES")</f><v /></c><c r="BL57" s="390"><f>IF(BC57="NO CONFORME","NO CONFORME",IF(BB57="CONFORME","CONFORME","NO CONFORME"))</f><v /></c></row><row r="58" ht="15" customHeight="1" thickBot="1"><c r="A58" s="443" t="n"><v>50</v></c><c r="B58" s="375"><f>B57</f><v /></c><c r="C58" s="375"><f>C57</f><v /></c><c r="D58" s="376"><f>D57</f><v /></c><c r="E58" s="377"><f>E57</f><v /></c><c r="F58" s="13" t="n" /><c r="G58" s="446" t="inlineStr"><is><t>PA25516750</t></is></c><c r="H58" s="313"><f>H57</f><v /></c><c r="I58" s="38"><f>I57</f><v /></c><c r="J58" s="314"><f>J57</f><v /></c><c r="K58" s="378"><f>K57</f><v /></c><c r="L58" s="378"><f>L57</f><v /></c><c r="M58" s="379" t="n"><v>92.7</v></c><c r="N58" s="379" t="n"><v>193.25</v></c><c r="O58" s="380"><f>O57</f><v /></c><c r="P58" s="381"><f>P57</f><v /></c><c r="Q58" s="382"><f>LEFT(P58,1)</f><v /></c><c r="R58" s="382"><f>RIGHT(P58,6)</f><v /></c><c r="S58" s="382"><f>+(Q58*60+R58)/(60*60)</f><v /></c><c r="T58" s="383"><f>+O58/S58</f><v /></c><c r="U58" s="384"><f>+(((N58-M58-O58)/O58)*100)</f><v /></c><c r="V58" s="317"><f>V57</f><v /></c><c r="W58" s="385"><f>W57</f><v /></c><c r="X58" s="385"><f>X57</f><v /></c><c r="Y58" s="379" t="n"><v>198.45</v></c><c r="Z58" s="379" t="n"><v>208.42</v></c><c r="AA58" s="386"><f>AA57</f><v /></c><c r="AB58" s="387"><f>AB57</f><v /></c><c r="AC58" s="382"><f>LEFT(AB58,2)</f><v /></c><c r="AD58" s="382"><f>RIGHT(AB58,6)</f><v /></c><c r="AE58" s="382"><f>+(AC58*60+AD58)/(60*60)</f><v /></c><c r="AF58" s="383"><f>+AA58/AE58</f><v /></c><c r="AG58" s="321"><f>+(((Z58-Y58-AA58)/AA58)*100)</f><v /></c><c r="AH58" s="317"><f>AH57</f><v /></c><c r="AI58" s="385"><f>AI57</f><v /></c><c r="AJ58" s="385"><f>AJ57</f><v /></c><c r="AK58" s="379"><f>Z58</f><v /></c><c r="AL58" s="379" t="n"><v>213.39</v></c><c r="AM58" s="388"><f>AM57</f><v /></c><c r="AN58" s="381"><f>AN57</f><v /></c><c r="AO58" s="382"><f>LEFT(AN58,2)</f><v /></c><c r="AP58" s="382"><f>RIGHT(AN58,6)</f><v /></c><c r="AQ58" s="382"><f>+(AO58*60+AP58)/(60*60)</f><v /></c><c r="AR58" s="383"><f>+AM58/AQ58</f><v /></c><c r="AS58" s="321"><f>+(((AL58-AK58-AM58)/AM58)*100)</f><v /></c><c r="AT58" s="389"><f>IF(I58&gt;=1,"NO CONFORME",IF(BK58="SIGDIFERENTES",BC58,BL58))</f><v /></c><c r="AU58" s="438"><f>B58=C58</f><v /></c><c r="AV58" s="438"><f>N58&lt;Y58</f><v /></c><c r="AW58" s="438"><f>Z58&lt;=AK58</f><v /></c><c r="AX58" s="438"><f>IF(I58&gt;=1,"Qcorrecto",IF(AND(AY58="aceptable",AZ58="aceptable",BA58="aceptable"),"Qcorrecto","Qincorrecto"))</f><v /></c><c r="AY58" s="390"><f>IF(AR58&lt;$AH$6,"error",IF(AR58&gt;$AH$6*1.1,"error","aceptable"))</f><v /></c><c r="AZ58" s="390"><f>IF(AF58&lt;$V$6,"error",IF(AF58&gt;$V$6*1.1,"error","aceptable"))</f><v /></c><c r="BA58" s="390"><f>IF(T58&lt;$J$6*0.9,"error",IF(T58&gt;$J$6,"error","aceptable"))</f><v /></c><c r="BB58" s="439"><f>(IF(ABS(U58)&lt;1.05,"CONFORME",IF(ABS(AG58)&lt;1.05,"CONFORME",IF(ABS(AS58)&lt;2.55,"CONFORME","NO CONFORME"))))</f><v /></c><c r="BC58" s="440"><f>(IF(ABS(U58)&gt;2.05,"NO CONFORME",IF(ABS(AG58)&gt;2.05,"NO CONFORME",IF(ABS(AS58)&gt;5.05,"NO CONFORME","CONFORME"))))</f><v /></c><c r="BD58" s="441"><f>SIGN(U58)</f><v /></c><c r="BE58" s="441"><f>SIGN(AG58)</f><v /></c><c r="BF58" s="441"><f>SIGN(AS58)</f><v /></c><c r="BG58" s="441"><f>CONCATENATE(BD58,BE58,BF58)</f><v /></c><c r="BH58" s="441"><f>IF(BG58="111","SI","SD")</f><v /></c><c r="BI58" s="441"><f>IF(BG58="-1-1-1","SI","SD")</f><v /></c><c r="BJ58" s="441"><f>OR(BH58="SI",BI58="SI")</f><v /></c><c r="BK58" s="441"><f>IF(BJ58=FALSE,"SIGDIFERENTES","SIGIGUALES")</f><v /></c><c r="BL58" s="390"><f>IF(BC58="NO CONFORME","NO CONFORME",IF(BB58="CONFORME","CONFORME","NO CONFORME"))</f><v /></c></row><row r="59" ht="15" customHeight="1" thickBot="1"><c r="A59" s="443" t="n"><v>51</v></c><c r="B59" s="375"><f>B58</f><v /></c><c r="C59" s="375"><f>C58</f><v /></c><c r="D59" s="376"><f>D58</f><v /></c><c r="E59" s="377"><f>E58</f><v /></c><c r="F59" s="13" t="n" /><c r="G59" s="446" t="inlineStr"><is><t>PA25516751</t></is></c><c r="H59" s="313"><f>H58</f><v /></c><c r="I59" s="38"><f>I58</f><v /></c><c r="J59" s="314"><f>J58</f><v /></c><c r="K59" s="378"><f>K58</f><v /></c><c r="L59" s="378"><f>L58</f><v /></c><c r="M59" s="379" t="n"><v>91.89</v></c><c r="N59" s="379" t="n"><v>191.85</v></c><c r="O59" s="380"><f>O58</f><v /></c><c r="P59" s="381"><f>P58</f><v /></c><c r="Q59" s="382"><f>LEFT(P59,1)</f><v /></c><c r="R59" s="382"><f>RIGHT(P59,6)</f><v /></c><c r="S59" s="382"><f>+(Q59*60+R59)/(60*60)</f><v /></c><c r="T59" s="383"><f>+O59/S59</f><v /></c><c r="U59" s="384"><f>+(((N59-M59-O59)/O59)*100)</f><v /></c><c r="V59" s="317"><f>V58</f><v /></c><c r="W59" s="385"><f>W58</f><v /></c><c r="X59" s="385"><f>X58</f><v /></c><c r="Y59" s="379" t="n"><v>197</v></c><c r="Z59" s="379" t="n"><v>206.92</v></c><c r="AA59" s="386"><f>AA58</f><v /></c><c r="AB59" s="387"><f>AB58</f><v /></c><c r="AC59" s="382"><f>LEFT(AB59,2)</f><v /></c><c r="AD59" s="382"><f>RIGHT(AB59,6)</f><v /></c><c r="AE59" s="382"><f>+(AC59*60+AD59)/(60*60)</f><v /></c><c r="AF59" s="383"><f>+AA59/AE59</f><v /></c><c r="AG59" s="321"><f>+(((Z59-Y59-AA59)/AA59)*100)</f><v /></c><c r="AH59" s="317"><f>AH58</f><v /></c><c r="AI59" s="385"><f>AI58</f><v /></c><c r="AJ59" s="385"><f>AJ58</f><v /></c><c r="AK59" s="379"><f>Z59</f><v /></c><c r="AL59" s="379" t="n"><v>211.85</v></c><c r="AM59" s="388"><f>AM58</f><v /></c><c r="AN59" s="381"><f>AN58</f><v /></c><c r="AO59" s="382"><f>LEFT(AN59,2)</f><v /></c><c r="AP59" s="382"><f>RIGHT(AN59,6)</f><v /></c><c r="AQ59" s="382"><f>+(AO59*60+AP59)/(60*60)</f><v /></c><c r="AR59" s="383"><f>+AM59/AQ59</f><v /></c><c r="AS59" s="321"><f>+(((AL59-AK59-AM59)/AM59)*100)</f><v /></c><c r="AT59" s="389"><f>IF(I59&gt;=1,"NO CONFORME",IF(BK59="SIGDIFERENTES",BC59,BL59))</f><v /></c><c r="AU59" s="438"><f>B59=C59</f><v /></c><c r="AV59" s="438"><f>N59&lt;Y59</f><v /></c><c r="AW59" s="438"><f>Z59&lt;=AK59</f><v /></c><c r="AX59" s="438"><f>IF(I59&gt;=1,"Qcorrecto",IF(AND(AY59="aceptable",AZ59="aceptable",BA59="aceptable"),"Qcorrecto","Qincorrecto"))</f><v /></c><c r="AY59" s="390"><f>IF(AR59&lt;$AH$6,"error",IF(AR59&gt;$AH$6*1.1,"error","aceptable"))</f><v /></c><c r="AZ59" s="390"><f>IF(AF59&lt;$V$6,"error",IF(AF59&gt;$V$6*1.1,"error","aceptable"))</f><v /></c><c r="BA59" s="390"><f>IF(T59&lt;$J$6*0.9,"error",IF(T59&gt;$J$6,"error","aceptable"))</f><v /></c><c r="BB59" s="439"><f>(IF(ABS(U59)&lt;1.05,"CONFORME",IF(ABS(AG59)&lt;1.05,"CONFORME",IF(ABS(AS59)&lt;2.55,"CONFORME","NO CONFORME"))))</f><v /></c><c r="BC59" s="440"><f>(IF(ABS(U59)&gt;2.05,"NO CONFORME",IF(ABS(AG59)&gt;2.05,"NO CONFORME",IF(ABS(AS59)&gt;5.05,"NO CONFORME","CONFORME"))))</f><v /></c><c r="BD59" s="441"><f>SIGN(U59)</f><v /></c><c r="BE59" s="441"><f>SIGN(AG59)</f><v /></c><c r="BF59" s="441"><f>SIGN(AS59)</f><v /></c><c r="BG59" s="441"><f>CONCATENATE(BD59,BE59,BF59)</f><v /></c><c r="BH59" s="441"><f>IF(BG59="111","SI","SD")</f><v /></c><c r="BI59" s="441"><f>IF(BG59="-1-1-1","SI","SD")</f><v /></c><c r="BJ59" s="441"><f>OR(BH59="SI",BI59="SI")</f><v /></c><c r="BK59" s="441"><f>IF(BJ59=FALSE,"SIGDIFERENTES","SIGIGUALES")</f><v /></c><c r="BL59" s="390"><f>IF(BC59="NO CONFORME","NO CONFORME",IF(BB59="CONFORME","CONFORME","NO CONFORME"))</f><v /></c></row><row r="60" ht="15" customHeight="1" thickBot="1"><c r="A60" s="445" t="n"><v>52</v></c><c r="B60" s="392"><f>B59</f><v /></c><c r="C60" s="392"><f>C59</f><v /></c><c r="D60" s="393"><f>D59</f><v /></c><c r="E60" s="394"><f>E59</f><v /></c><c r="F60" s="52" t="n" /><c r="G60" s="446" t="inlineStr"><is><t>PA25516752</t></is></c><c r="H60" s="326"><f>H59</f><v /></c><c r="I60" s="98"><f>I59</f><v /></c><c r="J60" s="327"><f>J59</f><v /></c><c r="K60" s="396"><f>K59</f><v /></c><c r="L60" s="396"><f>L59</f><v /></c><c r="M60" s="397" t="n"><v>92.25</v></c><c r="N60" s="397" t="n"><v>192.2</v></c><c r="O60" s="398"><f>O59</f><v /></c><c r="P60" s="399"><f>P59</f><v /></c><c r="Q60" s="400"><f>LEFT(P60,1)</f><v /></c><c r="R60" s="400"><f>RIGHT(P60,6)</f><v /></c><c r="S60" s="400"><f>+(Q60*60+R60)/(60*60)</f><v /></c><c r="T60" s="401"><f>+O60/S60</f><v /></c><c r="U60" s="402"><f>+(((N60-M60-O60)/O60)*100)</f><v /></c><c r="V60" s="329"><f>V59</f><v /></c><c r="W60" s="403"><f>W59</f><v /></c><c r="X60" s="403"><f>X59</f><v /></c><c r="Y60" s="397" t="n"><v>197.36</v></c><c r="Z60" s="397" t="n"><v>207.35</v></c><c r="AA60" s="404"><f>AA59</f><v /></c><c r="AB60" s="405"><f>AB59</f><v /></c><c r="AC60" s="400"><f>LEFT(AB60,2)</f><v /></c><c r="AD60" s="400"><f>RIGHT(AB60,6)</f><v /></c><c r="AE60" s="400"><f>+(AC60*60+AD60)/(60*60)</f><v /></c><c r="AF60" s="401"><f>+AA60/AE60</f><v /></c><c r="AG60" s="406"><f>+(((Z60-Y60-AA60)/AA60)*100)</f><v /></c><c r="AH60" s="329"><f>AH59</f><v /></c><c r="AI60" s="403"><f>AI59</f><v /></c><c r="AJ60" s="403"><f>AJ59</f><v /></c><c r="AK60" s="397"><f>Z60</f><v /></c><c r="AL60" s="397" t="n"><v>212.36</v></c><c r="AM60" s="407"><f>AM59</f><v /></c><c r="AN60" s="399"><f>AN59</f><v /></c><c r="AO60" s="400"><f>LEFT(AN60,2)</f><v /></c><c r="AP60" s="400"><f>RIGHT(AN60,6)</f><v /></c><c r="AQ60" s="400"><f>+(AO60*60+AP60)/(60*60)</f><v /></c><c r="AR60" s="401"><f>+AM60/AQ60</f><v /></c><c r="AS60" s="406"><f>+(((AL60-AK60-AM60)/AM60)*100)</f><v /></c><c r="AT60" s="408"><f>IF(I60&gt;=1,"NO CONFORME",IF(BK60="SIGDIFERENTES",BC60,BL60))</f><v /></c><c r="AU60" s="447"><f>B60=C60</f><v /></c><c r="AV60" s="447"><f>N60&lt;Y60</f><v /></c><c r="AW60" s="447"><f>Z60&lt;=AK60</f><v /></c><c r="AX60" s="447"><f>IF(I60&gt;=1,"Qcorrecto",IF(AND(AY60="aceptable",AZ60="aceptable",BA60="aceptable"),"Qcorrecto","Qincorrecto"))</f><v /></c><c r="AY60" s="410"><f>IF(AR60&lt;$AH$6,"error",IF(AR60&gt;$AH$6*1.1,"error","aceptable"))</f><v /></c><c r="AZ60" s="410"><f>IF(AF60&lt;$V$6,"error",IF(AF60&gt;$V$6*1.1,"error","aceptable"))</f><v /></c><c r="BA60" s="410"><f>IF(T60&lt;$J$6*0.9,"error",IF(T60&gt;$J$6,"error","aceptable"))</f><v /></c><c r="BB60" s="448"><f>(IF(ABS(U60)&lt;1.05,"CONFORME",IF(ABS(AG60)&lt;1.05,"CONFORME",IF(ABS(AS60)&lt;2.55,"CONFORME","NO CONFORME"))))</f><v /></c><c r="BC60" s="449"><f>(IF(ABS(U60)&gt;2.05,"NO CONFORME",IF(ABS(AG60)&gt;2.05,"NO CONFORME",IF(ABS(AS60)&gt;5.05,"NO CONFORME","CONFORME"))))</f><v /></c><c r="BD60" s="450"><f>SIGN(U60)</f><v /></c><c r="BE60" s="450"><f>SIGN(AG60)</f><v /></c><c r="BF60" s="450"><f>SIGN(AS60)</f><v /></c><c r="BG60" s="450"><f>CONCATENATE(BD60,BE60,BF60)</f><v /></c><c r="BH60" s="450"><f>IF(BG60="111","SI","SD")</f><v /></c><c r="BI60" s="450"><f>IF(BG60="-1-1-1","SI","SD")</f><v /></c><c r="BJ60" s="450"><f>OR(BH60="SI",BI60="SI")</f><v /></c><c r="BK60" s="450"><f>IF(BJ60=FALSE,"SIGDIFERENTES","SIGIGUALES")</f><v /></c><c r="BL60" s="410"><f>IF(BC60="NO CONFORME","NO CONFORME",IF(BB60="CONFORME","CONFORME","NO CONFORME"))</f><v /></c></row><row r="61" ht="15" customHeight="1" thickBot="1"><c r="A61" s="351" t="n"><v>53</v></c><c r="B61" s="352"><f>B60</f><v /></c><c r="C61" s="352"><f>C60</f><v /></c><c r="D61" s="353"><f>D60</f><v /></c><c r="E61" s="354"><f>E60</f><v /></c><c r="F61" s="58" t="n" /><c r="G61" s="395" t="inlineStr"><is><t>PA25516753</t></is></c><c r="H61" s="356"><f>H60</f><v /></c><c r="I61" s="232"><f>I60</f><v /></c><c r="J61" s="357" t="n"><v>21.2</v></c><c r="K61" s="358" t="n"><v>8.208</v></c><c r="L61" s="358" t="n"><v>0.578</v></c><c r="M61" s="359" t="n"><v>88.09999999999999</v></c><c r="N61" s="359" t="n"><v>187.58</v></c><c r="O61" s="360" t="n"><v>100.65</v></c><c r="P61" s="361" t="inlineStr"><is><t>2,32,500</t></is></c><c r="Q61" s="362"><f>LEFT(P61,1)</f><v /></c><c r="R61" s="362"><f>RIGHT(P61,6)</f><v /></c><c r="S61" s="362"><f>+(Q61*60+R61)/(60*60)</f><v /></c><c r="T61" s="363"><f>+O61/S61</f><v /></c><c r="U61" s="364"><f>+(((N61-M61-O61)/O61)*100)</f><v /></c><c r="V61" s="365" t="n"><v>20.9</v></c><c r="W61" s="366" t="n"><v>1.074</v></c><c r="X61" s="366" t="n"><v>1.062</v></c><c r="Y61" s="359" t="n"><v>193.18</v></c><c r="Z61" s="359" t="n"><v>203.12</v></c><c r="AA61" s="367" t="n"><v>10.005</v></c><c r="AB61" s="368" t="inlineStr"><is><t>22,28,810</t></is></c><c r="AC61" s="362"><f>LEFT(AB61,2)</f><v /></c><c r="AD61" s="362"><f>RIGHT(AB61,6)</f><v /></c><c r="AE61" s="362"><f>+(AC61*60+AD61)/(60*60)</f><v /></c><c r="AF61" s="363"><f>+AA61/AE61</f><v /></c><c r="AG61" s="369"><f>+(((Z61-Y61-AA61)/AA61)*100)</f><v /></c><c r="AH61" s="365" t="n"><v>21</v></c><c r="AI61" s="366" t="n"><v>1.074</v></c><c r="AJ61" s="366" t="n"><v>1.062</v></c><c r="AK61" s="359"><f>Z61</f><v /></c><c r="AL61" s="359" t="n"><v>208.06</v></c><c r="AM61" s="370" t="n"><v>5.011</v></c><c r="AN61" s="361" t="inlineStr"><is><t>18,22,110</t></is></c><c r="AO61" s="362"><f>LEFT(AN61,2)</f><v /></c><c r="AP61" s="362"><f>RIGHT(AN61,6)</f><v /></c><c r="AQ61" s="362"><f>+(AO61*60+AP61)/(60*60)</f><v /></c><c r="AR61" s="363"><f>+AM61/AQ61</f><v /></c><c r="AS61" s="369"><f>+(((AL61-AK61-AM61)/AM61)*100)</f><v /></c><c r="AT61" s="371"><f>IF(I61&gt;=1,"NO CONFORME",IF(BK61="SIGDIFERENTES",BC61,BL61))</f><v /></c><c r="AU61" s="451"><f>B61=C61</f><v /></c><c r="AV61" s="451"><f>N61&lt;Y61</f><v /></c><c r="AW61" s="451"><f>Z61&lt;=AK61</f><v /></c><c r="AX61" s="451"><f>IF(I61&gt;=1,"Qcorrecto",IF(AND(AY61="aceptable",AZ61="aceptable",BA61="aceptable"),"Qcorrecto","Qincorrecto"))</f><v /></c><c r="AY61" s="373"><f>IF(AR61&lt;$AH$6,"error",IF(AR61&gt;$AH$6*1.1,"error","aceptable"))</f><v /></c><c r="AZ61" s="373"><f>IF(AF61&lt;$V$6,"error",IF(AF61&gt;$V$6*1.1,"error","aceptable"))</f><v /></c><c r="BA61" s="373"><f>IF(T61&lt;$J$6*0.9,"error",IF(T61&gt;$J$6,"error","aceptable"))</f><v /></c><c r="BB61" s="25"><f>(IF(ABS(U61)&lt;1.05,"CONFORME",IF(ABS(AG61)&lt;1.05,"CONFORME",IF(ABS(AS61)&lt;2.55,"CONFORME","NO CONFORME"))))</f><v /></c><c r="BC61" s="5"><f>(IF(ABS(U61)&gt;2.05,"NO CONFORME",IF(ABS(AG61)&gt;2.05,"NO CONFORME",IF(ABS(AS61)&gt;5.05,"NO CONFORME","CONFORME"))))</f><v /></c><c r="BD61" s="452"><f>SIGN(U61)</f><v /></c><c r="BE61" s="452"><f>SIGN(AG61)</f><v /></c><c r="BF61" s="452"><f>SIGN(AS61)</f><v /></c><c r="BG61" s="452"><f>CONCATENATE(BD61,BE61,BF61)</f><v /></c><c r="BH61" s="452"><f>IF(BG61="111","SI","SD")</f><v /></c><c r="BI61" s="452"><f>IF(BG61="-1-1-1","SI","SD")</f><v /></c><c r="BJ61" s="452"><f>OR(BH61="SI",BI61="SI")</f><v /></c><c r="BK61" s="452"><f>IF(BJ61=FALSE,"SIGDIFERENTES","SIGIGUALES")</f><v /></c><c r="BL61" s="373"><f>IF(BC61="NO CONFORME","NO CONFORME",IF(BB61="CONFORME","CONFORME","NO CONFORME"))</f><v /></c></row><row r="62" ht="15" customHeight="1" thickBot="1"><c r="A62" s="443" t="n"><v>54</v></c><c r="B62" s="375"><f>B61</f><v /></c><c r="C62" s="375"><f>C61</f><v /></c><c r="D62" s="376"><f>D61</f><v /></c><c r="E62" s="377"><f>E61</f><v /></c><c r="F62" s="13" t="n" /><c r="G62" s="446" t="inlineStr"><is><t>PA25516754</t></is></c><c r="H62" s="313"><f>H61</f><v /></c><c r="I62" s="38"><f>I61</f><v /></c><c r="J62" s="314"><f>J61</f><v /></c><c r="K62" s="378"><f>K61</f><v /></c><c r="L62" s="378"><f>L61</f><v /></c><c r="M62" s="379" t="n"><v>87.66</v></c><c r="N62" s="379" t="n"><v>187.05</v></c><c r="O62" s="380"><f>O61</f><v /></c><c r="P62" s="381"><f>P61</f><v /></c><c r="Q62" s="382"><f>LEFT(P62,1)</f><v /></c><c r="R62" s="382"><f>RIGHT(P62,6)</f><v /></c><c r="S62" s="382"><f>+(Q62*60+R62)/(60*60)</f><v /></c><c r="T62" s="383"><f>+O62/S62</f><v /></c><c r="U62" s="384"><f>+(((N62-M62-O62)/O62)*100)</f><v /></c><c r="V62" s="317"><f>V61</f><v /></c><c r="W62" s="385"><f>W61</f><v /></c><c r="X62" s="385"><f>X61</f><v /></c><c r="Y62" s="379" t="n"><v>192.6</v></c><c r="Z62" s="379" t="n"><v>202.55</v></c><c r="AA62" s="386"><f>AA61</f><v /></c><c r="AB62" s="387"><f>AB61</f><v /></c><c r="AC62" s="382"><f>LEFT(AB62,2)</f><v /></c><c r="AD62" s="382"><f>RIGHT(AB62,6)</f><v /></c><c r="AE62" s="382"><f>+(AC62*60+AD62)/(60*60)</f><v /></c><c r="AF62" s="383"><f>+AA62/AE62</f><v /></c><c r="AG62" s="321"><f>+(((Z62-Y62-AA62)/AA62)*100)</f><v /></c><c r="AH62" s="317"><f>AH61</f><v /></c><c r="AI62" s="385"><f>AI61</f><v /></c><c r="AJ62" s="385"><f>AJ61</f><v /></c><c r="AK62" s="379"><f>Z62</f><v /></c><c r="AL62" s="379" t="n"><v>207.56</v></c><c r="AM62" s="388"><f>AM61</f><v /></c><c r="AN62" s="381"><f>AN61</f><v /></c><c r="AO62" s="382"><f>LEFT(AN62,2)</f><v /></c><c r="AP62" s="382"><f>RIGHT(AN62,6)</f><v /></c><c r="AQ62" s="382"><f>+(AO62*60+AP62)/(60*60)</f><v /></c><c r="AR62" s="383"><f>+AM62/AQ62</f><v /></c><c r="AS62" s="321"><f>+(((AL62-AK62-AM62)/AM62)*100)</f><v /></c><c r="AT62" s="389"><f>IF(I62&gt;=1,"NO CONFORME",IF(BK62="SIGDIFERENTES",BC62,BL62))</f><v /></c><c r="AU62" s="438"><f>B62=C62</f><v /></c><c r="AV62" s="438"><f>N62&lt;Y62</f><v /></c><c r="AW62" s="438"><f>Z62&lt;=AK62</f><v /></c><c r="AX62" s="438"><f>IF(I62&gt;=1,"Qcorrecto",IF(AND(AY62="aceptable",AZ62="aceptable",BA62="aceptable"),"Qcorrecto","Qincorrecto"))</f><v /></c><c r="AY62" s="390"><f>IF(AR62&lt;$AH$6,"error",IF(AR62&gt;$AH$6*1.1,"error","aceptable"))</f><v /></c><c r="AZ62" s="390"><f>IF(AF62&lt;$V$6,"error",IF(AF62&gt;$V$6*1.1,"error","aceptable"))</f><v /></c><c r="BA62" s="390"><f>IF(T62&lt;$J$6*0.9,"error",IF(T62&gt;$J$6,"error","aceptable"))</f><v /></c><c r="BB62" s="439"><f>(IF(ABS(U62)&lt;1.05,"CONFORME",IF(ABS(AG62)&lt;1.05,"CONFORME",IF(ABS(AS62)&lt;2.55,"CONFORME","NO CONFORME"))))</f><v /></c><c r="BC62" s="440"><f>(IF(ABS(U62)&gt;2.05,"NO CONFORME",IF(ABS(AG62)&gt;2.05,"NO CONFORME",IF(ABS(AS62)&gt;5.05,"NO CONFORME","CONFORME"))))</f><v /></c><c r="BD62" s="441"><f>SIGN(U62)</f><v /></c><c r="BE62" s="441"><f>SIGN(AG62)</f><v /></c><c r="BF62" s="441"><f>SIGN(AS62)</f><v /></c><c r="BG62" s="441"><f>CONCATENATE(BD62,BE62,BF62)</f><v /></c><c r="BH62" s="441"><f>IF(BG62="111","SI","SD")</f><v /></c><c r="BI62" s="441"><f>IF(BG62="-1-1-1","SI","SD")</f><v /></c><c r="BJ62" s="441"><f>OR(BH62="SI",BI62="SI")</f><v /></c><c r="BK62" s="441"><f>IF(BJ62=FALSE,"SIGDIFERENTES","SIGIGUALES")</f><v /></c><c r="BL62" s="390"><f>IF(BC62="NO CONFORME","NO CONFORME",IF(BB62="CONFORME","CONFORME","NO CONFORME"))</f><v /></c></row><row r="63" ht="15" customHeight="1" thickBot="1"><c r="A63" s="443" t="n"><v>55</v></c><c r="B63" s="375"><f>B62</f><v /></c><c r="C63" s="375"><f>C62</f><v /></c><c r="D63" s="376"><f>D62</f><v /></c><c r="E63" s="377"><f>E62</f><v /></c><c r="F63" s="13" t="n" /><c r="G63" s="446" t="inlineStr"><is><t>PA25516755</t></is></c><c r="H63" s="313"><f>H62</f><v /></c><c r="I63" s="38"><f>I62</f><v /></c><c r="J63" s="314"><f>J62</f><v /></c><c r="K63" s="378"><f>K62</f><v /></c><c r="L63" s="378"><f>L62</f><v /></c><c r="M63" s="379" t="n"><v>88.01000000000001</v></c><c r="N63" s="379" t="n"><v>187.72</v></c><c r="O63" s="380"><f>O62</f><v /></c><c r="P63" s="381"><f>P62</f><v /></c><c r="Q63" s="382"><f>LEFT(P63,1)</f><v /></c><c r="R63" s="382"><f>RIGHT(P63,6)</f><v /></c><c r="S63" s="382"><f>+(Q63*60+R63)/(60*60)</f><v /></c><c r="T63" s="383"><f>+O63/S63</f><v /></c><c r="U63" s="384"><f>+(((N63-M63-O63)/O63)*100)</f><v /></c><c r="V63" s="317"><f>V62</f><v /></c><c r="W63" s="385"><f>W62</f><v /></c><c r="X63" s="385"><f>X62</f><v /></c><c r="Y63" s="379" t="n"><v>193.35</v></c><c r="Z63" s="379" t="n"><v>203.36</v></c><c r="AA63" s="386"><f>AA62</f><v /></c><c r="AB63" s="387"><f>AB62</f><v /></c><c r="AC63" s="382"><f>LEFT(AB63,2)</f><v /></c><c r="AD63" s="382"><f>RIGHT(AB63,6)</f><v /></c><c r="AE63" s="382"><f>+(AC63*60+AD63)/(60*60)</f><v /></c><c r="AF63" s="383"><f>+AA63/AE63</f><v /></c><c r="AG63" s="321"><f>+(((Z63-Y63-AA63)/AA63)*100)</f><v /></c><c r="AH63" s="317"><f>AH62</f><v /></c><c r="AI63" s="385"><f>AI62</f><v /></c><c r="AJ63" s="385"><f>AJ62</f><v /></c><c r="AK63" s="379"><f>Z63</f><v /></c><c r="AL63" s="379" t="n"><v>208.45</v></c><c r="AM63" s="388"><f>AM62</f><v /></c><c r="AN63" s="381"><f>AN62</f><v /></c><c r="AO63" s="382"><f>LEFT(AN63,2)</f><v /></c><c r="AP63" s="382"><f>RIGHT(AN63,6)</f><v /></c><c r="AQ63" s="382"><f>+(AO63*60+AP63)/(60*60)</f><v /></c><c r="AR63" s="383"><f>+AM63/AQ63</f><v /></c><c r="AS63" s="321"><f>+(((AL63-AK63-AM63)/AM63)*100)</f><v /></c><c r="AT63" s="389"><f>IF(I63&gt;=1,"NO CONFORME",IF(BK63="SIGDIFERENTES",BC63,BL63))</f><v /></c><c r="AU63" s="438"><f>B63=C63</f><v /></c><c r="AV63" s="438"><f>N63&lt;Y63</f><v /></c><c r="AW63" s="438"><f>Z63&lt;=AK63</f><v /></c><c r="AX63" s="438"><f>IF(I63&gt;=1,"Qcorrecto",IF(AND(AY63="aceptable",AZ63="aceptable",BA63="aceptable"),"Qcorrecto","Qincorrecto"))</f><v /></c><c r="AY63" s="390"><f>IF(AR63&lt;$AH$6,"error",IF(AR63&gt;$AH$6*1.1,"error","aceptable"))</f><v /></c><c r="AZ63" s="390"><f>IF(AF63&lt;$V$6,"error",IF(AF63&gt;$V$6*1.1,"error","aceptable"))</f><v /></c><c r="BA63" s="390"><f>IF(T63&lt;$J$6*0.9,"error",IF(T63&gt;$J$6,"error","aceptable"))</f><v /></c><c r="BB63" s="439"><f>(IF(ABS(U63)&lt;1.05,"CONFORME",IF(ABS(AG63)&lt;1.05,"CONFORME",IF(ABS(AS63)&lt;2.55,"CONFORME","NO CONFORME"))))</f><v /></c><c r="BC63" s="440"><f>(IF(ABS(U63)&gt;2.05,"NO CONFORME",IF(ABS(AG63)&gt;2.05,"NO CONFORME",IF(ABS(AS63)&gt;5.05,"NO CONFORME","CONFORME"))))</f><v /></c><c r="BD63" s="441"><f>SIGN(U63)</f><v /></c><c r="BE63" s="441"><f>SIGN(AG63)</f><v /></c><c r="BF63" s="441"><f>SIGN(AS63)</f><v /></c><c r="BG63" s="441"><f>CONCATENATE(BD63,BE63,BF63)</f><v /></c><c r="BH63" s="441"><f>IF(BG63="111","SI","SD")</f><v /></c><c r="BI63" s="441"><f>IF(BG63="-1-1-1","SI","SD")</f><v /></c><c r="BJ63" s="441"><f>OR(BH63="SI",BI63="SI")</f><v /></c><c r="BK63" s="441"><f>IF(BJ63=FALSE,"SIGDIFERENTES","SIGIGUALES")</f><v /></c><c r="BL63" s="390"><f>IF(BC63="NO CONFORME","NO CONFORME",IF(BB63="CONFORME","CONFORME","NO CONFORME"))</f><v /></c></row><row r="64" ht="15" customHeight="1" thickBot="1"><c r="A64" s="443" t="n"><v>56</v></c><c r="B64" s="375"><f>B63</f><v /></c><c r="C64" s="375"><f>C63</f><v /></c><c r="D64" s="376"><f>D63</f><v /></c><c r="E64" s="377"><f>E63</f><v /></c><c r="F64" s="13" t="n" /><c r="G64" s="446" t="inlineStr"><is><t>PA25516756</t></is></c><c r="H64" s="313"><f>H63</f><v /></c><c r="I64" s="38"><f>I63</f><v /></c><c r="J64" s="314"><f>J63</f><v /></c><c r="K64" s="378"><f>K63</f><v /></c><c r="L64" s="378"><f>L63</f><v /></c><c r="M64" s="379" t="n"><v>88.14</v></c><c r="N64" s="379" t="n"><v>187.81</v></c><c r="O64" s="380"><f>O63</f><v /></c><c r="P64" s="381"><f>P63</f><v /></c><c r="Q64" s="382"><f>LEFT(P64,1)</f><v /></c><c r="R64" s="382"><f>RIGHT(P64,6)</f><v /></c><c r="S64" s="382"><f>+(Q64*60+R64)/(60*60)</f><v /></c><c r="T64" s="383"><f>+O64/S64</f><v /></c><c r="U64" s="384"><f>+(((N64-M64-O64)/O64)*100)</f><v /></c><c r="V64" s="317"><f>V63</f><v /></c><c r="W64" s="385"><f>W63</f><v /></c><c r="X64" s="385"><f>X63</f><v /></c><c r="Y64" s="379" t="n"><v>193.44</v></c><c r="Z64" s="379" t="n"><v>203.38</v></c><c r="AA64" s="386"><f>AA63</f><v /></c><c r="AB64" s="387"><f>AB63</f><v /></c><c r="AC64" s="382"><f>LEFT(AB64,2)</f><v /></c><c r="AD64" s="382"><f>RIGHT(AB64,6)</f><v /></c><c r="AE64" s="382"><f>+(AC64*60+AD64)/(60*60)</f><v /></c><c r="AF64" s="383"><f>+AA64/AE64</f><v /></c><c r="AG64" s="321"><f>+(((Z64-Y64-AA64)/AA64)*100)</f><v /></c><c r="AH64" s="317"><f>AH63</f><v /></c><c r="AI64" s="385"><f>AI63</f><v /></c><c r="AJ64" s="385"><f>AJ63</f><v /></c><c r="AK64" s="379"><f>Z64</f><v /></c><c r="AL64" s="379" t="n"><v>208.36</v></c><c r="AM64" s="388"><f>AM63</f><v /></c><c r="AN64" s="381"><f>AN63</f><v /></c><c r="AO64" s="382"><f>LEFT(AN64,2)</f><v /></c><c r="AP64" s="382"><f>RIGHT(AN64,6)</f><v /></c><c r="AQ64" s="382"><f>+(AO64*60+AP64)/(60*60)</f><v /></c><c r="AR64" s="383"><f>+AM64/AQ64</f><v /></c><c r="AS64" s="321"><f>+(((AL64-AK64-AM64)/AM64)*100)</f><v /></c><c r="AT64" s="389"><f>IF(I64&gt;=1,"NO CONFORME",IF(BK64="SIGDIFERENTES",BC64,BL64))</f><v /></c><c r="AU64" s="438"><f>B64=C64</f><v /></c><c r="AV64" s="438"><f>N64&lt;Y64</f><v /></c><c r="AW64" s="438"><f>Z64&lt;=AK64</f><v /></c><c r="AX64" s="438"><f>IF(I64&gt;=1,"Qcorrecto",IF(AND(AY64="aceptable",AZ64="aceptable",BA64="aceptable"),"Qcorrecto","Qincorrecto"))</f><v /></c><c r="AY64" s="390"><f>IF(AR64&lt;$AH$6,"error",IF(AR64&gt;$AH$6*1.1,"error","aceptable"))</f><v /></c><c r="AZ64" s="390"><f>IF(AF64&lt;$V$6,"error",IF(AF64&gt;$V$6*1.1,"error","aceptable"))</f><v /></c><c r="BA64" s="390"><f>IF(T64&lt;$J$6*0.9,"error",IF(T64&gt;$J$6,"error","aceptable"))</f><v /></c><c r="BB64" s="439"><f>(IF(ABS(U64)&lt;1.05,"CONFORME",IF(ABS(AG64)&lt;1.05,"CONFORME",IF(ABS(AS64)&lt;2.55,"CONFORME","NO CONFORME"))))</f><v /></c><c r="BC64" s="440"><f>(IF(ABS(U64)&gt;2.05,"NO CONFORME",IF(ABS(AG64)&gt;2.05,"NO CONFORME",IF(ABS(AS64)&gt;5.05,"NO CONFORME","CONFORME"))))</f><v /></c><c r="BD64" s="441"><f>SIGN(U64)</f><v /></c><c r="BE64" s="441"><f>SIGN(AG64)</f><v /></c><c r="BF64" s="441"><f>SIGN(AS64)</f><v /></c><c r="BG64" s="441"><f>CONCATENATE(BD64,BE64,BF64)</f><v /></c><c r="BH64" s="441"><f>IF(BG64="111","SI","SD")</f><v /></c><c r="BI64" s="441"><f>IF(BG64="-1-1-1","SI","SD")</f><v /></c><c r="BJ64" s="441"><f>OR(BH64="SI",BI64="SI")</f><v /></c><c r="BK64" s="441"><f>IF(BJ64=FALSE,"SIGDIFERENTES","SIGIGUALES")</f><v /></c><c r="BL64" s="390"><f>IF(BC64="NO CONFORME","NO CONFORME",IF(BB64="CONFORME","CONFORME","NO CONFORME"))</f><v /></c></row><row r="65" ht="15" customHeight="1" thickBot="1"><c r="A65" s="351" t="n"><v>57</v></c><c r="B65" s="352"><f>B64</f><v /></c><c r="C65" s="352"><f>C64</f><v /></c><c r="D65" s="353"><f>D64</f><v /></c><c r="E65" s="354"><f>E64</f><v /></c><c r="F65" s="58" t="n" /><c r="G65" s="446" t="inlineStr"><is><t>PA25516757</t></is></c><c r="H65" s="356"><f>H64</f><v /></c><c r="I65" s="232"><f>I64</f><v /></c><c r="J65" s="357"><f>J64</f><v /></c><c r="K65" s="358"><f>K64</f><v /></c><c r="L65" s="358"><f>L64</f><v /></c><c r="M65" s="359" t="n"><v>86.3</v></c><c r="N65" s="359" t="n"><v>186.06</v></c><c r="O65" s="360"><f>O64</f><v /></c><c r="P65" s="361"><f>P64</f><v /></c><c r="Q65" s="362"><f>LEFT(P65,1)</f><v /></c><c r="R65" s="362"><f>RIGHT(P65,6)</f><v /></c><c r="S65" s="362"><f>+(Q65*60+R65)/(60*60)</f><v /></c><c r="T65" s="363"><f>+O65/S65</f><v /></c><c r="U65" s="364"><f>+(((N65-M65-O65)/O65)*100)</f><v /></c><c r="V65" s="365"><f>V64</f><v /></c><c r="W65" s="366"><f>W64</f><v /></c><c r="X65" s="366"><f>X64</f><v /></c><c r="Y65" s="359" t="n"><v>191.7</v></c><c r="Z65" s="359" t="n"><v>201.59</v></c><c r="AA65" s="367"><f>AA64</f><v /></c><c r="AB65" s="368"><f>AB64</f><v /></c><c r="AC65" s="362"><f>LEFT(AB65,2)</f><v /></c><c r="AD65" s="362"><f>RIGHT(AB65,6)</f><v /></c><c r="AE65" s="362"><f>+(AC65*60+AD65)/(60*60)</f><v /></c><c r="AF65" s="363"><f>+AA65/AE65</f><v /></c><c r="AG65" s="369"><f>+(((Z65-Y65-AA65)/AA65)*100)</f><v /></c><c r="AH65" s="365"><f>AH64</f><v /></c><c r="AI65" s="366"><f>AI64</f><v /></c><c r="AJ65" s="366"><f>AJ64</f><v /></c><c r="AK65" s="359"><f>Z65</f><v /></c><c r="AL65" s="359" t="n"><v>206.53</v></c><c r="AM65" s="370"><f>AM64</f><v /></c><c r="AN65" s="361"><f>AN64</f><v /></c><c r="AO65" s="362"><f>LEFT(AN65,2)</f><v /></c><c r="AP65" s="362"><f>RIGHT(AN65,6)</f><v /></c><c r="AQ65" s="362"><f>+(AO65*60+AP65)/(60*60)</f><v /></c><c r="AR65" s="363"><f>+AM65/AQ65</f><v /></c><c r="AS65" s="369"><f>+(((AL65-AK65-AM65)/AM65)*100)</f><v /></c><c r="AT65" s="371"><f>IF(I65&gt;=1,"NO CONFORME",IF(BK65="SIGDIFERENTES",BC65,BL65))</f><v /></c><c r="AU65" s="451"><f>B65=C65</f><v /></c><c r="AV65" s="451"><f>N65&lt;Y65</f><v /></c><c r="AW65" s="451"><f>Z65&lt;=AK65</f><v /></c><c r="AX65" s="451"><f>IF(I65&gt;=1,"Qcorrecto",IF(AND(AY65="aceptable",AZ65="aceptable",BA65="aceptable"),"Qcorrecto","Qincorrecto"))</f><v /></c><c r="AY65" s="373"><f>IF(AR65&lt;$AH$6,"error",IF(AR65&gt;$AH$6*1.1,"error","aceptable"))</f><v /></c><c r="AZ65" s="373"><f>IF(AF65&lt;$V$6,"error",IF(AF65&gt;$V$6*1.1,"error","aceptable"))</f><v /></c><c r="BA65" s="373"><f>IF(T65&lt;$J$6*0.9,"error",IF(T65&gt;$J$6,"error","aceptable"))</f><v /></c><c r="BB65" s="25"><f>(IF(ABS(U65)&lt;1.05,"CONFORME",IF(ABS(AG65)&lt;1.05,"CONFORME",IF(ABS(AS65)&lt;2.55,"CONFORME","NO CONFORME"))))</f><v /></c><c r="BC65" s="5"><f>(IF(ABS(U65)&gt;2.05,"NO CONFORME",IF(ABS(AG65)&gt;2.05,"NO CONFORME",IF(ABS(AS65)&gt;5.05,"NO CONFORME","CONFORME"))))</f><v /></c><c r="BD65" s="452"><f>SIGN(U65)</f><v /></c><c r="BE65" s="452"><f>SIGN(AG65)</f><v /></c><c r="BF65" s="452"><f>SIGN(AS65)</f><v /></c><c r="BG65" s="452"><f>CONCATENATE(BD65,BE65,BF65)</f><v /></c><c r="BH65" s="452"><f>IF(BG65="111","SI","SD")</f><v /></c><c r="BI65" s="452"><f>IF(BG65="-1-1-1","SI","SD")</f><v /></c><c r="BJ65" s="452"><f>OR(BH65="SI",BI65="SI")</f><v /></c><c r="BK65" s="452"><f>IF(BJ65=FALSE,"SIGDIFERENTES","SIGIGUALES")</f><v /></c><c r="BL65" s="373"><f>IF(BC65="NO CONFORME","NO CONFORME",IF(BB65="CONFORME","CONFORME","NO CONFORME"))</f><v /></c></row><row r="66" ht="15" customHeight="1" thickBot="1"><c r="A66" s="351" t="n"><v>58</v></c><c r="B66" s="352"><f>B65</f><v /></c><c r="C66" s="352"><f>C65</f><v /></c><c r="D66" s="353"><f>D65</f><v /></c><c r="E66" s="354"><f>E65</f><v /></c><c r="F66" s="58" t="n" /><c r="G66" s="446" t="inlineStr"><is><t>PA25516758</t></is></c><c r="H66" s="356"><f>H65</f><v /></c><c r="I66" s="232"><f>I65</f><v /></c><c r="J66" s="357"><f>J65</f><v /></c><c r="K66" s="358"><f>K65</f><v /></c><c r="L66" s="358"><f>L65</f><v /></c><c r="M66" s="359" t="n"><v>86.19</v></c><c r="N66" s="359" t="n"><v>185.78</v></c><c r="O66" s="360"><f>O65</f><v /></c><c r="P66" s="361"><f>P65</f><v /></c><c r="Q66" s="362"><f>LEFT(P66,1)</f><v /></c><c r="R66" s="362"><f>RIGHT(P66,6)</f><v /></c><c r="S66" s="362"><f>+(Q66*60+R66)/(60*60)</f><v /></c><c r="T66" s="363"><f>+O66/S66</f><v /></c><c r="U66" s="364"><f>+(((N66-M66-O66)/O66)*100)</f><v /></c><c r="V66" s="365"><f>V65</f><v /></c><c r="W66" s="366"><f>W65</f><v /></c><c r="X66" s="366"><f>X65</f><v /></c><c r="Y66" s="359" t="n"><v>191.39</v></c><c r="Z66" s="359" t="n"><v>201.36</v></c><c r="AA66" s="367"><f>AA65</f><v /></c><c r="AB66" s="368"><f>AB65</f><v /></c><c r="AC66" s="362"><f>LEFT(AB66,2)</f><v /></c><c r="AD66" s="362"><f>RIGHT(AB66,6)</f><v /></c><c r="AE66" s="362"><f>+(AC66*60+AD66)/(60*60)</f><v /></c><c r="AF66" s="363"><f>+AA66/AE66</f><v /></c><c r="AG66" s="369"><f>+(((Z66-Y66-AA66)/AA66)*100)</f><v /></c><c r="AH66" s="365"><f>AH65</f><v /></c><c r="AI66" s="366"><f>AI65</f><v /></c><c r="AJ66" s="366"><f>AJ65</f><v /></c><c r="AK66" s="359"><f>Z66</f><v /></c><c r="AL66" s="359" t="n"><v>206.35</v></c><c r="AM66" s="370"><f>AM65</f><v /></c><c r="AN66" s="361"><f>AN65</f><v /></c><c r="AO66" s="362"><f>LEFT(AN66,2)</f><v /></c><c r="AP66" s="362"><f>RIGHT(AN66,6)</f><v /></c><c r="AQ66" s="362"><f>+(AO66*60+AP66)/(60*60)</f><v /></c><c r="AR66" s="363"><f>+AM66/AQ66</f><v /></c><c r="AS66" s="369"><f>+(((AL66-AK66-AM66)/AM66)*100)</f><v /></c><c r="AT66" s="371"><f>IF(I66&gt;=1,"NO CONFORME",IF(BK66="SIGDIFERENTES",BC66,BL66))</f><v /></c><c r="AU66" s="451"><f>B66=C66</f><v /></c><c r="AV66" s="451"><f>N66&lt;Y66</f><v /></c><c r="AW66" s="451"><f>Z66&lt;=AK66</f><v /></c><c r="AX66" s="451"><f>IF(I66&gt;=1,"Qcorrecto",IF(AND(AY66="aceptable",AZ66="aceptable",BA66="aceptable"),"Qcorrecto","Qincorrecto"))</f><v /></c><c r="AY66" s="373"><f>IF(AR66&lt;$AH$6,"error",IF(AR66&gt;$AH$6*1.1,"error","aceptable"))</f><v /></c><c r="AZ66" s="373"><f>IF(AF66&lt;$V$6,"error",IF(AF66&gt;$V$6*1.1,"error","aceptable"))</f><v /></c><c r="BA66" s="373"><f>IF(T66&lt;$J$6*0.9,"error",IF(T66&gt;$J$6,"error","aceptable"))</f><v /></c><c r="BB66" s="25"><f>(IF(ABS(U66)&lt;1.05,"CONFORME",IF(ABS(AG66)&lt;1.05,"CONFORME",IF(ABS(AS66)&lt;2.55,"CONFORME","NO CONFORME"))))</f><v /></c><c r="BC66" s="5"><f>(IF(ABS(U66)&gt;2.05,"NO CONFORME",IF(ABS(AG66)&gt;2.05,"NO CONFORME",IF(ABS(AS66)&gt;5.05,"NO CONFORME","CONFORME"))))</f><v /></c><c r="BD66" s="452"><f>SIGN(U66)</f><v /></c><c r="BE66" s="452"><f>SIGN(AG66)</f><v /></c><c r="BF66" s="452"><f>SIGN(AS66)</f><v /></c><c r="BG66" s="452"><f>CONCATENATE(BD66,BE66,BF66)</f><v /></c><c r="BH66" s="452"><f>IF(BG66="111","SI","SD")</f><v /></c><c r="BI66" s="452"><f>IF(BG66="-1-1-1","SI","SD")</f><v /></c><c r="BJ66" s="452"><f>OR(BH66="SI",BI66="SI")</f><v /></c><c r="BK66" s="452"><f>IF(BJ66=FALSE,"SIGDIFERENTES","SIGIGUALES")</f><v /></c><c r="BL66" s="373"><f>IF(BC66="NO CONFORME","NO CONFORME",IF(BB66="CONFORME","CONFORME","NO CONFORME"))</f><v /></c></row><row r="67" ht="15" customHeight="1" thickBot="1"><c r="A67" s="351" t="n"><v>59</v></c><c r="B67" s="352"><f>B66</f><v /></c><c r="C67" s="352"><f>C66</f><v /></c><c r="D67" s="353"><f>D66</f><v /></c><c r="E67" s="354"><f>E66</f><v /></c><c r="F67" s="58" t="n" /><c r="G67" s="446" t="inlineStr"><is><t>PA25516759</t></is></c><c r="H67" s="356"><f>H66</f><v /></c><c r="I67" s="232"><f>I66</f><v /></c><c r="J67" s="357"><f>J66</f><v /></c><c r="K67" s="358"><f>K66</f><v /></c><c r="L67" s="358"><f>L66</f><v /></c><c r="M67" s="359" t="n"><v>87.59999999999999</v></c><c r="N67" s="359" t="n"><v>186.84</v></c><c r="O67" s="360"><f>O66</f><v /></c><c r="P67" s="361"><f>P66</f><v /></c><c r="Q67" s="362"><f>LEFT(P67,1)</f><v /></c><c r="R67" s="362"><f>RIGHT(P67,6)</f><v /></c><c r="S67" s="362"><f>+(Q67*60+R67)/(60*60)</f><v /></c><c r="T67" s="363"><f>+O67/S67</f><v /></c><c r="U67" s="364"><f>+(((N67-M67-O67)/O67)*100)</f><v /></c><c r="V67" s="365"><f>V66</f><v /></c><c r="W67" s="366"><f>W66</f><v /></c><c r="X67" s="366"><f>X66</f><v /></c><c r="Y67" s="359" t="n"><v>192.54</v></c><c r="Z67" s="359" t="n"><v>202.46</v></c><c r="AA67" s="367"><f>AA66</f><v /></c><c r="AB67" s="368"><f>AB66</f><v /></c><c r="AC67" s="362"><f>LEFT(AB67,2)</f><v /></c><c r="AD67" s="362"><f>RIGHT(AB67,6)</f><v /></c><c r="AE67" s="362"><f>+(AC67*60+AD67)/(60*60)</f><v /></c><c r="AF67" s="363"><f>+AA67/AE67</f><v /></c><c r="AG67" s="369"><f>+(((Z67-Y67-AA67)/AA67)*100)</f><v /></c><c r="AH67" s="365"><f>AH66</f><v /></c><c r="AI67" s="366"><f>AI66</f><v /></c><c r="AJ67" s="366"><f>AJ66</f><v /></c><c r="AK67" s="359"><f>Z67</f><v /></c><c r="AL67" s="359" t="n"><v>207.45</v></c><c r="AM67" s="370"><f>AM66</f><v /></c><c r="AN67" s="361"><f>AN66</f><v /></c><c r="AO67" s="362"><f>LEFT(AN67,2)</f><v /></c><c r="AP67" s="362"><f>RIGHT(AN67,6)</f><v /></c><c r="AQ67" s="362"><f>+(AO67*60+AP67)/(60*60)</f><v /></c><c r="AR67" s="363"><f>+AM67/AQ67</f><v /></c><c r="AS67" s="369"><f>+(((AL67-AK67-AM67)/AM67)*100)</f><v /></c><c r="AT67" s="371"><f>IF(I67&gt;=1,"NO CONFORME",IF(BK67="SIGDIFERENTES",BC67,BL67))</f><v /></c><c r="AU67" s="451"><f>B67=C67</f><v /></c><c r="AV67" s="451"><f>N67&lt;Y67</f><v /></c><c r="AW67" s="451"><f>Z67&lt;=AK67</f><v /></c><c r="AX67" s="451"><f>IF(I67&gt;=1,"Qcorrecto",IF(AND(AY67="aceptable",AZ67="aceptable",BA67="aceptable"),"Qcorrecto","Qincorrecto"))</f><v /></c><c r="AY67" s="373"><f>IF(AR67&lt;$AH$6,"error",IF(AR67&gt;$AH$6*1.1,"error","aceptable"))</f><v /></c><c r="AZ67" s="373"><f>IF(AF67&lt;$V$6,"error",IF(AF67&gt;$V$6*1.1,"error","aceptable"))</f><v /></c><c r="BA67" s="373"><f>IF(T67&lt;$J$6*0.9,"error",IF(T67&gt;$J$6,"error","aceptable"))</f><v /></c><c r="BB67" s="25"><f>(IF(ABS(U67)&lt;1.05,"CONFORME",IF(ABS(AG67)&lt;1.05,"CONFORME",IF(ABS(AS67)&lt;2.55,"CONFORME","NO CONFORME"))))</f><v /></c><c r="BC67" s="5"><f>(IF(ABS(U67)&gt;2.05,"NO CONFORME",IF(ABS(AG67)&gt;2.05,"NO CONFORME",IF(ABS(AS67)&gt;5.05,"NO CONFORME","CONFORME"))))</f><v /></c><c r="BD67" s="452"><f>SIGN(U67)</f><v /></c><c r="BE67" s="452"><f>SIGN(AG67)</f><v /></c><c r="BF67" s="452"><f>SIGN(AS67)</f><v /></c><c r="BG67" s="452"><f>CONCATENATE(BD67,BE67,BF67)</f><v /></c><c r="BH67" s="452"><f>IF(BG67="111","SI","SD")</f><v /></c><c r="BI67" s="452"><f>IF(BG67="-1-1-1","SI","SD")</f><v /></c><c r="BJ67" s="452"><f>OR(BH67="SI",BI67="SI")</f><v /></c><c r="BK67" s="452"><f>IF(BJ67=FALSE,"SIGDIFERENTES","SIGIGUALES")</f><v /></c><c r="BL67" s="373"><f>IF(BC67="NO CONFORME","NO CONFORME",IF(BB67="CONFORME","CONFORME","NO CONFORME"))</f><v /></c></row><row r="68" ht="14.4" customHeight="1" thickBot="1"><c r="A68" s="351" t="n"><v>60</v></c><c r="B68" s="352"><f>B67</f><v /></c><c r="C68" s="352"><f>C67</f><v /></c><c r="D68" s="353"><f>D67</f><v /></c><c r="E68" s="354"><f>E67</f><v /></c><c r="F68" s="58" t="n" /><c r="G68" s="444" t="inlineStr"><is><t>PA25516760</t></is></c><c r="H68" s="356"><f>H67</f><v /></c><c r="I68" s="232"><f>I67</f><v /></c><c r="J68" s="357"><f>J67</f><v /></c><c r="K68" s="358"><f>K67</f><v /></c><c r="L68" s="358"><f>L67</f><v /></c><c r="M68" s="359" t="n"><v>86.88</v></c><c r="N68" s="359" t="n"><v>186.7</v></c><c r="O68" s="360"><f>O67</f><v /></c><c r="P68" s="361"><f>P67</f><v /></c><c r="Q68" s="362"><f>LEFT(P68,1)</f><v /></c><c r="R68" s="362"><f>RIGHT(P68,6)</f><v /></c><c r="S68" s="362"><f>+(Q68*60+R68)/(60*60)</f><v /></c><c r="T68" s="363"><f>+O68/S68</f><v /></c><c r="U68" s="364"><f>+(((N68-M68-O68)/O68)*100)</f><v /></c><c r="V68" s="365"><f>V67</f><v /></c><c r="W68" s="366"><f>W67</f><v /></c><c r="X68" s="366"><f>X67</f><v /></c><c r="Y68" s="359" t="n"><v>192.3</v></c><c r="Z68" s="359" t="n"><v>202.26</v></c><c r="AA68" s="367"><f>AA67</f><v /></c><c r="AB68" s="368"><f>AB67</f><v /></c><c r="AC68" s="362"><f>LEFT(AB68,2)</f><v /></c><c r="AD68" s="362"><f>RIGHT(AB68,6)</f><v /></c><c r="AE68" s="362"><f>+(AC68*60+AD68)/(60*60)</f><v /></c><c r="AF68" s="363"><f>+AA68/AE68</f><v /></c><c r="AG68" s="369"><f>+(((Z68-Y68-AA68)/AA68)*100)</f><v /></c><c r="AH68" s="365"><f>AH67</f><v /></c><c r="AI68" s="366"><f>AI67</f><v /></c><c r="AJ68" s="366"><f>AJ67</f><v /></c><c r="AK68" s="359"><f>Z68</f><v /></c><c r="AL68" s="359" t="n"><v>207.25</v></c><c r="AM68" s="370"><f>AM67</f><v /></c><c r="AN68" s="361"><f>AN67</f><v /></c><c r="AO68" s="362"><f>LEFT(AN68,2)</f><v /></c><c r="AP68" s="362"><f>RIGHT(AN68,6)</f><v /></c><c r="AQ68" s="362"><f>+(AO68*60+AP68)/(60*60)</f><v /></c><c r="AR68" s="363"><f>+AM68/AQ68</f><v /></c><c r="AS68" s="369"><f>+(((AL68-AK68-AM68)/AM68)*100)</f><v /></c><c r="AT68" s="371"><f>IF(I68&gt;=1,"NO CONFORME",IF(BK68="SIGDIFERENTES",BC68,BL68))</f><v /></c><c r="AU68" s="451"><f>B68=C68</f><v /></c><c r="AV68" s="451"><f>N68&lt;Y68</f><v /></c><c r="AW68" s="451"><f>Z68&lt;=AK68</f><v /></c><c r="AX68" s="451"><f>IF(I68&gt;=1,"Qcorrecto",IF(AND(AY68="aceptable",AZ68="aceptable",BA68="aceptable"),"Qcorrecto","Qincorrecto"))</f><v /></c><c r="AY68" s="373"><f>IF(AR68&lt;$AH$6,"error",IF(AR68&gt;$AH$6*1.1,"error","aceptable"))</f><v /></c><c r="AZ68" s="373"><f>IF(AF68&lt;$V$6,"error",IF(AF68&gt;$V$6*1.1,"error","aceptable"))</f><v /></c><c r="BA68" s="373"><f>IF(T68&lt;$J$6*0.9,"error",IF(T68&gt;$J$6,"error","aceptable"))</f><v /></c><c r="BB68" s="25"><f>(IF(ABS(U68)&lt;1.05,"CONFORME",IF(ABS(AG68)&lt;1.05,"CONFORME",IF(ABS(AS68)&lt;2.55,"CONFORME","NO CONFORME"))))</f><v /></c><c r="BC68" s="5"><f>(IF(ABS(U68)&gt;2.05,"NO CONFORME",IF(ABS(AG68)&gt;2.05,"NO CONFORME",IF(ABS(AS68)&gt;5.05,"NO CONFORME","CONFORME"))))</f><v /></c><c r="BD68" s="452"><f>SIGN(U68)</f><v /></c><c r="BE68" s="452"><f>SIGN(AG68)</f><v /></c><c r="BF68" s="452"><f>SIGN(AS68)</f><v /></c><c r="BG68" s="452"><f>CONCATENATE(BD68,BE68,BF68)</f><v /></c><c r="BH68" s="452"><f>IF(BG68="111","SI","SD")</f><v /></c><c r="BI68" s="452"><f>IF(BG68="-1-1-1","SI","SD")</f><v /></c><c r="BJ68" s="452"><f>OR(BH68="SI",BI68="SI")</f><v /></c><c r="BK68" s="452"><f>IF(BJ68=FALSE,"SIGDIFERENTES","SIGIGUALES")</f><v /></c><c r="BL68" s="373"><f>IF(BC68="NO CONFORME","NO CONFORME",IF(BB68="CONFORME","CONFORME","NO CONFORME"))</f><v /></c></row><row r="69" ht="15" customHeight="1" thickBot="1"><c r="A69" s="351" t="n"><v>61</v></c><c r="B69" s="352"><f>B68</f><v /></c><c r="C69" s="352"><f>C68</f><v /></c><c r="D69" s="353"><f>D68</f><v /></c><c r="E69" s="354"><f>E68</f><v /></c><c r="F69" s="58" t="n" /><c r="G69" s="395" t="inlineStr"><is><t>PA25516761</t></is></c><c r="H69" s="356"><f>H68</f><v /></c><c r="I69" s="232"><f>I68</f><v /></c><c r="J69" s="357"><f>J68</f><v /></c><c r="K69" s="358"><f>K68</f><v /></c><c r="L69" s="358"><f>L68</f><v /></c><c r="M69" s="359" t="n"><v>87.3</v></c><c r="N69" s="359" t="n"><v>187.06</v></c><c r="O69" s="360"><f>O68</f><v /></c><c r="P69" s="361"><f>P68</f><v /></c><c r="Q69" s="362"><f>LEFT(P69,1)</f><v /></c><c r="R69" s="362"><f>RIGHT(P69,6)</f><v /></c><c r="S69" s="362"><f>+(Q69*60+R69)/(60*60)</f><v /></c><c r="T69" s="363"><f>+O69/S69</f><v /></c><c r="U69" s="364"><f>+(((N69-M69-O69)/O69)*100)</f><v /></c><c r="V69" s="365"><f>V68</f><v /></c><c r="W69" s="366"><f>W68</f><v /></c><c r="X69" s="366"><f>X68</f><v /></c><c r="Y69" s="359" t="n"><v>192.65</v></c><c r="Z69" s="359" t="n"><v>202.56</v></c><c r="AA69" s="367"><f>AA68</f><v /></c><c r="AB69" s="368"><f>AB68</f><v /></c><c r="AC69" s="362"><f>LEFT(AB69,2)</f><v /></c><c r="AD69" s="362"><f>RIGHT(AB69,6)</f><v /></c><c r="AE69" s="362"><f>+(AC69*60+AD69)/(60*60)</f><v /></c><c r="AF69" s="363"><f>+AA69/AE69</f><v /></c><c r="AG69" s="369"><f>+(((Z69-Y69-AA69)/AA69)*100)</f><v /></c><c r="AH69" s="365"><f>AH68</f><v /></c><c r="AI69" s="366"><f>AI68</f><v /></c><c r="AJ69" s="366"><f>AJ68</f><v /></c><c r="AK69" s="359"><f>Z69</f><v /></c><c r="AL69" s="359" t="n"><v>207.49</v></c><c r="AM69" s="370"><f>AM68</f><v /></c><c r="AN69" s="361"><f>AN68</f><v /></c><c r="AO69" s="362"><f>LEFT(AN69,2)</f><v /></c><c r="AP69" s="362"><f>RIGHT(AN69,6)</f><v /></c><c r="AQ69" s="362"><f>+(AO69*60+AP69)/(60*60)</f><v /></c><c r="AR69" s="363"><f>+AM69/AQ69</f><v /></c><c r="AS69" s="369"><f>+(((AL69-AK69-AM69)/AM69)*100)</f><v /></c><c r="AT69" s="371"><f>IF(I69&gt;=1,"NO CONFORME",IF(BK69="SIGDIFERENTES",BC69,BL69))</f><v /></c><c r="AU69" s="372"><f>B69=C69</f><v /></c><c r="AV69" s="372"><f>N69&lt;Y69</f><v /></c><c r="AW69" s="372"><f>Z69&lt;=AK69</f><v /></c><c r="AX69" s="372"><f>IF(I69&gt;=1,"Qcorrecto",IF(AND(AY69="aceptable",AZ69="aceptable",BA69="aceptable"),"Qcorrecto","Qincorrecto"))</f><v /></c><c r="AY69" s="373"><f>IF(AR69&lt;$AH$6,"error",IF(AR69&gt;$AH$6*1.1,"error","aceptable"))</f><v /></c><c r="AZ69" s="373"><f>IF(AF69&lt;$V$6,"error",IF(AF69&gt;$V$6*1.1,"error","aceptable"))</f><v /></c><c r="BA69" s="373"><f>IF(T69&lt;$J$6*0.9,"error",IF(T69&gt;$J$6,"error","aceptable"))</f><v /></c><c r="BB69" s="25"><f>(IF(ABS(U69)&lt;1.05,"CONFORME",IF(ABS(AG69)&lt;1.05,"CONFORME",IF(ABS(AS69)&lt;2.55,"CONFORME","NO CONFORME"))))</f><v /></c><c r="BC69" s="5"><f>(IF(ABS(U69)&gt;2.05,"NO CONFORME",IF(ABS(AG69)&gt;2.05,"NO CONFORME",IF(ABS(AS69)&gt;5.05,"NO CONFORME","CONFORME"))))</f><v /></c><c r="BD69" s="374"><f>SIGN(U69)</f><v /></c><c r="BE69" s="374"><f>SIGN(AG69)</f><v /></c><c r="BF69" s="374"><f>SIGN(AS69)</f><v /></c><c r="BG69" s="374"><f>CONCATENATE(BD69,BE69,BF69)</f><v /></c><c r="BH69" s="374"><f>IF(BG69="111","SI","SD")</f><v /></c><c r="BI69" s="374"><f>IF(BG69="-1-1-1","SI","SD")</f><v /></c><c r="BJ69" s="374"><f>OR(BH69="SI",BI69="SI")</f><v /></c><c r="BK69" s="374"><f>IF(BJ69=FALSE,"SIGDIFERENTES","SIGIGUALES")</f><v /></c><c r="BL69" s="373"><f>IF(BC69="NO CONFORME","NO CONFORME",IF(BB69="CONFORME","CONFORME","NO CONFORME"))</f><v /></c></row><row r="70" ht="15" customHeight="1" thickBot="1"><c r="A70" s="351" t="n"><v>62</v></c><c r="B70" s="375"><f>B69</f><v /></c><c r="C70" s="375"><f>C69</f><v /></c><c r="D70" s="376"><f>D69</f><v /></c><c r="E70" s="377"><f>E69</f><v /></c><c r="F70" s="13" t="n" /><c r="G70" s="446" t="inlineStr"><is><t>PA25516762</t></is></c><c r="H70" s="313"><f>H69</f><v /></c><c r="I70" s="38"><f>I69</f><v /></c><c r="J70" s="314"><f>J69</f><v /></c><c r="K70" s="378"><f>K69</f><v /></c><c r="L70" s="378"><f>L69</f><v /></c><c r="M70" s="379" t="n"><v>87.7</v></c><c r="N70" s="379" t="n"><v>187.86</v></c><c r="O70" s="380"><f>O69</f><v /></c><c r="P70" s="381"><f>P69</f><v /></c><c r="Q70" s="382"><f>LEFT(P70,1)</f><v /></c><c r="R70" s="382"><f>RIGHT(P70,6)</f><v /></c><c r="S70" s="382"><f>+(Q70*60+R70)/(60*60)</f><v /></c><c r="T70" s="383"><f>+O70/S70</f><v /></c><c r="U70" s="384"><f>+(((N70-M70-O70)/O70)*100)</f><v /></c><c r="V70" s="317"><f>V69</f><v /></c><c r="W70" s="385"><f>W69</f><v /></c><c r="X70" s="385"><f>X69</f><v /></c><c r="Y70" s="379" t="n"><v>193.51</v></c><c r="Z70" s="379" t="n"><v>203.46</v></c><c r="AA70" s="386"><f>AA69</f><v /></c><c r="AB70" s="387"><f>AB69</f><v /></c><c r="AC70" s="382"><f>LEFT(AB70,2)</f><v /></c><c r="AD70" s="382"><f>RIGHT(AB70,6)</f><v /></c><c r="AE70" s="382"><f>+(AC70*60+AD70)/(60*60)</f><v /></c><c r="AF70" s="383"><f>+AA70/AE70</f><v /></c><c r="AG70" s="321"><f>+(((Z70-Y70-AA70)/AA70)*100)</f><v /></c><c r="AH70" s="317"><f>AH69</f><v /></c><c r="AI70" s="385"><f>AI69</f><v /></c><c r="AJ70" s="385"><f>AJ69</f><v /></c><c r="AK70" s="379"><f>Z70</f><v /></c><c r="AL70" s="379" t="n"><v>208.45</v></c><c r="AM70" s="388"><f>AM69</f><v /></c><c r="AN70" s="381"><f>AN69</f><v /></c><c r="AO70" s="382"><f>LEFT(AN70,2)</f><v /></c><c r="AP70" s="382"><f>RIGHT(AN70,6)</f><v /></c><c r="AQ70" s="382"><f>+(AO70*60+AP70)/(60*60)</f><v /></c><c r="AR70" s="383"><f>+AM70/AQ70</f><v /></c><c r="AS70" s="321"><f>+(((AL70-AK70-AM70)/AM70)*100)</f><v /></c><c r="AT70" s="389"><f>IF(I70&gt;=1,"NO CONFORME",IF(BK70="SIGDIFERENTES",BC70,BL70))</f><v /></c><c r="AU70" s="372"><f>B70=C70</f><v /></c><c r="AV70" s="372"><f>N70&lt;Y70</f><v /></c><c r="AW70" s="372"><f>Z70&lt;=AK70</f><v /></c><c r="AX70" s="372"><f>IF(I70&gt;=1,"Qcorrecto",IF(AND(AY70="aceptable",AZ70="aceptable",BA70="aceptable"),"Qcorrecto","Qincorrecto"))</f><v /></c><c r="AY70" s="390"><f>IF(AR70&lt;$AH$6,"error",IF(AR70&gt;$AH$6*1.1,"error","aceptable"))</f><v /></c><c r="AZ70" s="390"><f>IF(AF70&lt;$V$6,"error",IF(AF70&gt;$V$6*1.1,"error","aceptable"))</f><v /></c><c r="BA70" s="390"><f>IF(T70&lt;$J$6*0.9,"error",IF(T70&gt;$J$6,"error","aceptable"))</f><v /></c><c r="BB70" s="25"><f>(IF(ABS(U70)&lt;1.05,"CONFORME",IF(ABS(AG70)&lt;1.05,"CONFORME",IF(ABS(AS70)&lt;2.55,"CONFORME","NO CONFORME"))))</f><v /></c><c r="BC70" s="5"><f>(IF(ABS(U70)&gt;2.05,"NO CONFORME",IF(ABS(AG70)&gt;2.05,"NO CONFORME",IF(ABS(AS70)&gt;5.05,"NO CONFORME","CONFORME"))))</f><v /></c><c r="BD70" s="374"><f>SIGN(U70)</f><v /></c><c r="BE70" s="374"><f>SIGN(AG70)</f><v /></c><c r="BF70" s="374"><f>SIGN(AS70)</f><v /></c><c r="BG70" s="374"><f>CONCATENATE(BD70,BE70,BF70)</f><v /></c><c r="BH70" s="374"><f>IF(BG70="111","SI","SD")</f><v /></c><c r="BI70" s="374"><f>IF(BG70="-1-1-1","SI","SD")</f><v /></c><c r="BJ70" s="374"><f>OR(BH70="SI",BI70="SI")</f><v /></c><c r="BK70" s="374"><f>IF(BJ70=FALSE,"SIGDIFERENTES","SIGIGUALES")</f><v /></c><c r="BL70" s="390"><f>IF(BC70="NO CONFORME","NO CONFORME",IF(BB70="CONFORME","CONFORME","NO CONFORME"))</f><v /></c></row><row r="71" ht="15" customHeight="1" thickBot="1"><c r="A71" s="351" t="n"><v>63</v></c><c r="B71" s="375"><f>B70</f><v /></c><c r="C71" s="375"><f>C70</f><v /></c><c r="D71" s="376"><f>D70</f><v /></c><c r="E71" s="377"><f>E70</f><v /></c><c r="F71" s="13" t="n" /><c r="G71" s="446" t="inlineStr"><is><t>PA25516763</t></is></c><c r="H71" s="313"><f>H70</f><v /></c><c r="I71" s="38"><f>I70</f><v /></c><c r="J71" s="314"><f>J70</f><v /></c><c r="K71" s="378"><f>K70</f><v /></c><c r="L71" s="378"><f>L70</f><v /></c><c r="M71" s="379" t="n"><v>127.84</v></c><c r="N71" s="379" t="n"><v>227.49</v></c><c r="O71" s="380"><f>O70</f><v /></c><c r="P71" s="381"><f>P70</f><v /></c><c r="Q71" s="382"><f>LEFT(P71,1)</f><v /></c><c r="R71" s="382"><f>RIGHT(P71,6)</f><v /></c><c r="S71" s="382"><f>+(Q71*60+R71)/(60*60)</f><v /></c><c r="T71" s="383"><f>+O71/S71</f><v /></c><c r="U71" s="384"><f>+(((N71-M71-O71)/O71)*100)</f><v /></c><c r="V71" s="317"><f>V70</f><v /></c><c r="W71" s="385"><f>W70</f><v /></c><c r="X71" s="385"><f>X70</f><v /></c><c r="Y71" s="379" t="n"><v>233.06</v></c><c r="Z71" s="379" t="n"><v>243</v></c><c r="AA71" s="386"><f>AA70</f><v /></c><c r="AB71" s="387"><f>AB70</f><v /></c><c r="AC71" s="382"><f>LEFT(AB71,2)</f><v /></c><c r="AD71" s="382"><f>RIGHT(AB71,6)</f><v /></c><c r="AE71" s="382"><f>+(AC71*60+AD71)/(60*60)</f><v /></c><c r="AF71" s="383"><f>+AA71/AE71</f><v /></c><c r="AG71" s="321"><f>+(((Z71-Y71-AA71)/AA71)*100)</f><v /></c><c r="AH71" s="317"><f>AH70</f><v /></c><c r="AI71" s="385"><f>AI70</f><v /></c><c r="AJ71" s="385"><f>AJ70</f><v /></c><c r="AK71" s="379"><f>Z71</f><v /></c><c r="AL71" s="379" t="n"><v>248</v></c><c r="AM71" s="388"><f>AM70</f><v /></c><c r="AN71" s="381"><f>AN70</f><v /></c><c r="AO71" s="382"><f>LEFT(AN71,2)</f><v /></c><c r="AP71" s="382"><f>RIGHT(AN71,6)</f><v /></c><c r="AQ71" s="382"><f>+(AO71*60+AP71)/(60*60)</f><v /></c><c r="AR71" s="383"><f>+AM71/AQ71</f><v /></c><c r="AS71" s="321"><f>+(((AL71-AK71-AM71)/AM71)*100)</f><v /></c><c r="AT71" s="389"><f>IF(I71&gt;=1,"NO CONFORME",IF(BK71="SIGDIFERENTES",BC71,BL71))</f><v /></c><c r="AU71" s="372"><f>B71=C71</f><v /></c><c r="AV71" s="372"><f>N71&lt;Y71</f><v /></c><c r="AW71" s="372"><f>Z71&lt;=AK71</f><v /></c><c r="AX71" s="372"><f>IF(I71&gt;=1,"Qcorrecto",IF(AND(AY71="aceptable",AZ71="aceptable",BA71="aceptable"),"Qcorrecto","Qincorrecto"))</f><v /></c><c r="AY71" s="390"><f>IF(AR71&lt;$AH$6,"error",IF(AR71&gt;$AH$6*1.1,"error","aceptable"))</f><v /></c><c r="AZ71" s="390"><f>IF(AF71&lt;$V$6,"error",IF(AF71&gt;$V$6*1.1,"error","aceptable"))</f><v /></c><c r="BA71" s="390"><f>IF(T71&lt;$J$6*0.9,"error",IF(T71&gt;$J$6,"error","aceptable"))</f><v /></c><c r="BB71" s="25"><f>(IF(ABS(U71)&lt;1.05,"CONFORME",IF(ABS(AG71)&lt;1.05,"CONFORME",IF(ABS(AS71)&lt;2.55,"CONFORME","NO CONFORME"))))</f><v /></c><c r="BC71" s="5"><f>(IF(ABS(U71)&gt;2.05,"NO CONFORME",IF(ABS(AG71)&gt;2.05,"NO CONFORME",IF(ABS(AS71)&gt;5.05,"NO CONFORME","CONFORME"))))</f><v /></c><c r="BD71" s="374"><f>SIGN(U71)</f><v /></c><c r="BE71" s="374"><f>SIGN(AG71)</f><v /></c><c r="BF71" s="374"><f>SIGN(AS71)</f><v /></c><c r="BG71" s="374"><f>CONCATENATE(BD71,BE71,BF71)</f><v /></c><c r="BH71" s="374"><f>IF(BG71="111","SI","SD")</f><v /></c><c r="BI71" s="374"><f>IF(BG71="-1-1-1","SI","SD")</f><v /></c><c r="BJ71" s="374"><f>OR(BH71="SI",BI71="SI")</f><v /></c><c r="BK71" s="374"><f>IF(BJ71=FALSE,"SIGDIFERENTES","SIGIGUALES")</f><v /></c><c r="BL71" s="390"><f>IF(BC71="NO CONFORME","NO CONFORME",IF(BB71="CONFORME","CONFORME","NO CONFORME"))</f><v /></c></row><row r="72" ht="15" customHeight="1" thickBot="1"><c r="A72" s="351" t="n"><v>64</v></c><c r="B72" s="375"><f>B71</f><v /></c><c r="C72" s="375"><f>C71</f><v /></c><c r="D72" s="376"><f>D71</f><v /></c><c r="E72" s="377"><f>E71</f><v /></c><c r="F72" s="13" t="n" /><c r="G72" s="446" t="inlineStr"><is><t>PA25516764</t></is></c><c r="H72" s="313"><f>H71</f><v /></c><c r="I72" s="38"><f>I71</f><v /></c><c r="J72" s="314"><f>J71</f><v /></c><c r="K72" s="378"><f>K71</f><v /></c><c r="L72" s="378"><f>L71</f><v /></c><c r="M72" s="379" t="n"><v>86.55</v></c><c r="N72" s="379" t="n"><v>186.31</v></c><c r="O72" s="380"><f>O71</f><v /></c><c r="P72" s="381"><f>P71</f><v /></c><c r="Q72" s="382"><f>LEFT(P72,1)</f><v /></c><c r="R72" s="382"><f>RIGHT(P72,6)</f><v /></c><c r="S72" s="382"><f>+(Q72*60+R72)/(60*60)</f><v /></c><c r="T72" s="383"><f>+O72/S72</f><v /></c><c r="U72" s="384"><f>+(((N72-M72-O72)/O72)*100)</f><v /></c><c r="V72" s="317"><f>V71</f><v /></c><c r="W72" s="385"><f>W71</f><v /></c><c r="X72" s="385"><f>X71</f><v /></c><c r="Y72" s="379" t="n"><v>191.9</v></c><c r="Z72" s="379" t="n"><v>201.9</v></c><c r="AA72" s="386"><f>AA71</f><v /></c><c r="AB72" s="387"><f>AB71</f><v /></c><c r="AC72" s="382"><f>LEFT(AB72,2)</f><v /></c><c r="AD72" s="382"><f>RIGHT(AB72,6)</f><v /></c><c r="AE72" s="382"><f>+(AC72*60+AD72)/(60*60)</f><v /></c><c r="AF72" s="383"><f>+AA72/AE72</f><v /></c><c r="AG72" s="321"><f>+(((Z72-Y72-AA72)/AA72)*100)</f><v /></c><c r="AH72" s="317"><f>AH71</f><v /></c><c r="AI72" s="385"><f>AI71</f><v /></c><c r="AJ72" s="385"><f>AJ71</f><v /></c><c r="AK72" s="379"><f>Z72</f><v /></c><c r="AL72" s="379" t="n"><v>206.9</v></c><c r="AM72" s="388"><f>AM71</f><v /></c><c r="AN72" s="381"><f>AN71</f><v /></c><c r="AO72" s="382"><f>LEFT(AN72,2)</f><v /></c><c r="AP72" s="382"><f>RIGHT(AN72,6)</f><v /></c><c r="AQ72" s="382"><f>+(AO72*60+AP72)/(60*60)</f><v /></c><c r="AR72" s="383"><f>+AM72/AQ72</f><v /></c><c r="AS72" s="321"><f>+(((AL72-AK72-AM72)/AM72)*100)</f><v /></c><c r="AT72" s="389"><f>IF(I72&gt;=1,"NO CONFORME",IF(BK72="SIGDIFERENTES",BC72,BL72))</f><v /></c><c r="AU72" s="372"><f>B72=C72</f><v /></c><c r="AV72" s="372"><f>N72&lt;Y72</f><v /></c><c r="AW72" s="372"><f>Z72&lt;=AK72</f><v /></c><c r="AX72" s="372"><f>IF(I72&gt;=1,"Qcorrecto",IF(AND(AY72="aceptable",AZ72="aceptable",BA72="aceptable"),"Qcorrecto","Qincorrecto"))</f><v /></c><c r="AY72" s="390"><f>IF(AR72&lt;$AH$6,"error",IF(AR72&gt;$AH$6*1.1,"error","aceptable"))</f><v /></c><c r="AZ72" s="390"><f>IF(AF72&lt;$V$6,"error",IF(AF72&gt;$V$6*1.1,"error","aceptable"))</f><v /></c><c r="BA72" s="390"><f>IF(T72&lt;$J$6*0.9,"error",IF(T72&gt;$J$6,"error","aceptable"))</f><v /></c><c r="BB72" s="25"><f>(IF(ABS(U72)&lt;1.05,"CONFORME",IF(ABS(AG72)&lt;1.05,"CONFORME",IF(ABS(AS72)&lt;2.55,"CONFORME","NO CONFORME"))))</f><v /></c><c r="BC72" s="5"><f>(IF(ABS(U72)&gt;2.05,"NO CONFORME",IF(ABS(AG72)&gt;2.05,"NO CONFORME",IF(ABS(AS72)&gt;5.05,"NO CONFORME","CONFORME"))))</f><v /></c><c r="BD72" s="374"><f>SIGN(U72)</f><v /></c><c r="BE72" s="374"><f>SIGN(AG72)</f><v /></c><c r="BF72" s="374"><f>SIGN(AS72)</f><v /></c><c r="BG72" s="374"><f>CONCATENATE(BD72,BE72,BF72)</f><v /></c><c r="BH72" s="374"><f>IF(BG72="111","SI","SD")</f><v /></c><c r="BI72" s="374"><f>IF(BG72="-1-1-1","SI","SD")</f><v /></c><c r="BJ72" s="374"><f>OR(BH72="SI",BI72="SI")</f><v /></c><c r="BK72" s="374"><f>IF(BJ72=FALSE,"SIGDIFERENTES","SIGIGUALES")</f><v /></c><c r="BL72" s="390"><f>IF(BC72="NO CONFORME","NO CONFORME",IF(BB72="CONFORME","CONFORME","NO CONFORME"))</f><v /></c></row><row r="73" ht="15" customHeight="1" thickBot="1"><c r="A73" s="351" t="n"><v>65</v></c><c r="B73" s="375"><f>B72</f><v /></c><c r="C73" s="375"><f>C72</f><v /></c><c r="D73" s="376"><f>D72</f><v /></c><c r="E73" s="377"><f>E72</f><v /></c><c r="F73" s="13" t="n" /><c r="G73" s="446" t="inlineStr"><is><t>PA25516765</t></is></c><c r="H73" s="313"><f>H72</f><v /></c><c r="I73" s="38"><f>I72</f><v /></c><c r="J73" s="314"><f>J72</f><v /></c><c r="K73" s="378"><f>K72</f><v /></c><c r="L73" s="378"><f>L72</f><v /></c><c r="M73" s="379" t="n"><v>87.23999999999999</v></c><c r="N73" s="379" t="n"><v>187.36</v></c><c r="O73" s="380"><f>O72</f><v /></c><c r="P73" s="381"><f>P72</f><v /></c><c r="Q73" s="382"><f>LEFT(P73,1)</f><v /></c><c r="R73" s="382"><f>RIGHT(P73,6)</f><v /></c><c r="S73" s="382"><f>+(Q73*60+R73)/(60*60)</f><v /></c><c r="T73" s="383"><f>+O73/S73</f><v /></c><c r="U73" s="384"><f>+(((N73-M73-O73)/O73)*100)</f><v /></c><c r="V73" s="317"><f>V72</f><v /></c><c r="W73" s="385"><f>W72</f><v /></c><c r="X73" s="385"><f>X72</f><v /></c><c r="Y73" s="379" t="n"><v>193.01</v></c><c r="Z73" s="379" t="n"><v>202.96</v></c><c r="AA73" s="386"><f>AA72</f><v /></c><c r="AB73" s="387"><f>AB72</f><v /></c><c r="AC73" s="382"><f>LEFT(AB73,2)</f><v /></c><c r="AD73" s="382"><f>RIGHT(AB73,6)</f><v /></c><c r="AE73" s="382"><f>+(AC73*60+AD73)/(60*60)</f><v /></c><c r="AF73" s="383"><f>+AA73/AE73</f><v /></c><c r="AG73" s="321"><f>+(((Z73-Y73-AA73)/AA73)*100)</f><v /></c><c r="AH73" s="317"><f>AH72</f><v /></c><c r="AI73" s="385"><f>AI72</f><v /></c><c r="AJ73" s="385"><f>AJ72</f><v /></c><c r="AK73" s="379"><f>Z73</f><v /></c><c r="AL73" s="379" t="n"><v>207.95</v></c><c r="AM73" s="388"><f>AM72</f><v /></c><c r="AN73" s="381"><f>AN72</f><v /></c><c r="AO73" s="382"><f>LEFT(AN73,2)</f><v /></c><c r="AP73" s="382"><f>RIGHT(AN73,6)</f><v /></c><c r="AQ73" s="382"><f>+(AO73*60+AP73)/(60*60)</f><v /></c><c r="AR73" s="383"><f>+AM73/AQ73</f><v /></c><c r="AS73" s="321"><f>+(((AL73-AK73-AM73)/AM73)*100)</f><v /></c><c r="AT73" s="389"><f>IF(I73&gt;=1,"NO CONFORME",IF(BK73="SIGDIFERENTES",BC73,BL73))</f><v /></c><c r="AU73" s="372"><f>B73=C73</f><v /></c><c r="AV73" s="372"><f>N73&lt;Y73</f><v /></c><c r="AW73" s="372"><f>Z73&lt;=AK73</f><v /></c><c r="AX73" s="372"><f>IF(I73&gt;=1,"Qcorrecto",IF(AND(AY73="aceptable",AZ73="aceptable",BA73="aceptable"),"Qcorrecto","Qincorrecto"))</f><v /></c><c r="AY73" s="390"><f>IF(AR73&lt;$AH$6,"error",IF(AR73&gt;$AH$6*1.1,"error","aceptable"))</f><v /></c><c r="AZ73" s="390"><f>IF(AF73&lt;$V$6,"error",IF(AF73&gt;$V$6*1.1,"error","aceptable"))</f><v /></c><c r="BA73" s="390"><f>IF(T73&lt;$J$6*0.9,"error",IF(T73&gt;$J$6,"error","aceptable"))</f><v /></c><c r="BB73" s="25"><f>(IF(ABS(U73)&lt;1.05,"CONFORME",IF(ABS(AG73)&lt;1.05,"CONFORME",IF(ABS(AS73)&lt;2.55,"CONFORME","NO CONFORME"))))</f><v /></c><c r="BC73" s="5"><f>(IF(ABS(U73)&gt;2.05,"NO CONFORME",IF(ABS(AG73)&gt;2.05,"NO CONFORME",IF(ABS(AS73)&gt;5.05,"NO CONFORME","CONFORME"))))</f><v /></c><c r="BD73" s="374"><f>SIGN(U73)</f><v /></c><c r="BE73" s="374"><f>SIGN(AG73)</f><v /></c><c r="BF73" s="374"><f>SIGN(AS73)</f><v /></c><c r="BG73" s="374"><f>CONCATENATE(BD73,BE73,BF73)</f><v /></c><c r="BH73" s="374"><f>IF(BG73="111","SI","SD")</f><v /></c><c r="BI73" s="374"><f>IF(BG73="-1-1-1","SI","SD")</f><v /></c><c r="BJ73" s="374"><f>OR(BH73="SI",BI73="SI")</f><v /></c><c r="BK73" s="374"><f>IF(BJ73=FALSE,"SIGDIFERENTES","SIGIGUALES")</f><v /></c><c r="BL73" s="390"><f>IF(BC73="NO CONFORME","NO CONFORME",IF(BB73="CONFORME","CONFORME","NO CONFORME"))</f><v /></c></row><row r="74" ht="15" customHeight="1" thickBot="1"><c r="A74" s="351" t="n"><v>66</v></c><c r="B74" s="375"><f>B73</f><v /></c><c r="C74" s="375"><f>C73</f><v /></c><c r="D74" s="376"><f>D73</f><v /></c><c r="E74" s="377"><f>E73</f><v /></c><c r="F74" s="13" t="n" /><c r="G74" s="446" t="inlineStr"><is><t>PA25516766</t></is></c><c r="H74" s="313"><f>H73</f><v /></c><c r="I74" s="38"><f>I73</f><v /></c><c r="J74" s="314"><f>J73</f><v /></c><c r="K74" s="378"><f>K73</f><v /></c><c r="L74" s="378"><f>L73</f><v /></c><c r="M74" s="379" t="n"><v>87.86</v></c><c r="N74" s="379" t="n"><v>187.72</v></c><c r="O74" s="380"><f>O73</f><v /></c><c r="P74" s="381"><f>P73</f><v /></c><c r="Q74" s="382"><f>LEFT(P74,1)</f><v /></c><c r="R74" s="382"><f>RIGHT(P74,6)</f><v /></c><c r="S74" s="382"><f>+(Q74*60+R74)/(60*60)</f><v /></c><c r="T74" s="383"><f>+O74/S74</f><v /></c><c r="U74" s="384"><f>+(((N74-M74-O74)/O74)*100)</f><v /></c><c r="V74" s="317"><f>V73</f><v /></c><c r="W74" s="385"><f>W73</f><v /></c><c r="X74" s="385"><f>X73</f><v /></c><c r="Y74" s="379" t="n"><v>193.31</v></c><c r="Z74" s="379" t="n"><v>203.19</v></c><c r="AA74" s="386"><f>AA73</f><v /></c><c r="AB74" s="387"><f>AB73</f><v /></c><c r="AC74" s="382"><f>LEFT(AB74,2)</f><v /></c><c r="AD74" s="382"><f>RIGHT(AB74,6)</f><v /></c><c r="AE74" s="382"><f>+(AC74*60+AD74)/(60*60)</f><v /></c><c r="AF74" s="383"><f>+AA74/AE74</f><v /></c><c r="AG74" s="321"><f>+(((Z74-Y74-AA74)/AA74)*100)</f><v /></c><c r="AH74" s="317"><f>AH73</f><v /></c><c r="AI74" s="385"><f>AI73</f><v /></c><c r="AJ74" s="385"><f>AJ73</f><v /></c><c r="AK74" s="379"><f>Z74</f><v /></c><c r="AL74" s="379" t="n"><v>208.07</v></c><c r="AM74" s="388"><f>AM73</f><v /></c><c r="AN74" s="381"><f>AN73</f><v /></c><c r="AO74" s="382"><f>LEFT(AN74,2)</f><v /></c><c r="AP74" s="382"><f>RIGHT(AN74,6)</f><v /></c><c r="AQ74" s="382"><f>+(AO74*60+AP74)/(60*60)</f><v /></c><c r="AR74" s="383"><f>+AM74/AQ74</f><v /></c><c r="AS74" s="321"><f>+(((AL74-AK74-AM74)/AM74)*100)</f><v /></c><c r="AT74" s="389"><f>IF(I74&gt;=1,"NO CONFORME",IF(BK74="SIGDIFERENTES",BC74,BL74))</f><v /></c><c r="AU74" s="372"><f>B74=C74</f><v /></c><c r="AV74" s="372"><f>N74&lt;Y74</f><v /></c><c r="AW74" s="372"><f>Z74&lt;=AK74</f><v /></c><c r="AX74" s="372"><f>IF(I74&gt;=1,"Qcorrecto",IF(AND(AY74="aceptable",AZ74="aceptable",BA74="aceptable"),"Qcorrecto","Qincorrecto"))</f><v /></c><c r="AY74" s="390"><f>IF(AR74&lt;$AH$6,"error",IF(AR74&gt;$AH$6*1.1,"error","aceptable"))</f><v /></c><c r="AZ74" s="390"><f>IF(AF74&lt;$V$6,"error",IF(AF74&gt;$V$6*1.1,"error","aceptable"))</f><v /></c><c r="BA74" s="390"><f>IF(T74&lt;$J$6*0.9,"error",IF(T74&gt;$J$6,"error","aceptable"))</f><v /></c><c r="BB74" s="25"><f>(IF(ABS(U74)&lt;1.05,"CONFORME",IF(ABS(AG74)&lt;1.05,"CONFORME",IF(ABS(AS74)&lt;2.55,"CONFORME","NO CONFORME"))))</f><v /></c><c r="BC74" s="5"><f>(IF(ABS(U74)&gt;2.05,"NO CONFORME",IF(ABS(AG74)&gt;2.05,"NO CONFORME",IF(ABS(AS74)&gt;5.05,"NO CONFORME","CONFORME"))))</f><v /></c><c r="BD74" s="374"><f>SIGN(U74)</f><v /></c><c r="BE74" s="374"><f>SIGN(AG74)</f><v /></c><c r="BF74" s="374"><f>SIGN(AS74)</f><v /></c><c r="BG74" s="374"><f>CONCATENATE(BD74,BE74,BF74)</f><v /></c><c r="BH74" s="374"><f>IF(BG74="111","SI","SD")</f><v /></c><c r="BI74" s="374"><f>IF(BG74="-1-1-1","SI","SD")</f><v /></c><c r="BJ74" s="374"><f>OR(BH74="SI",BI74="SI")</f><v /></c><c r="BK74" s="374"><f>IF(BJ74=FALSE,"SIGDIFERENTES","SIGIGUALES")</f><v /></c><c r="BL74" s="390"><f>IF(BC74="NO CONFORME","NO CONFORME",IF(BB74="CONFORME","CONFORME","NO CONFORME"))</f><v /></c></row><row r="75" ht="14.4" customHeight="1" thickBot="1"><c r="A75" s="414" t="n"><v>67</v></c><c r="B75" s="415"><f>B74</f><v /></c><c r="C75" s="415"><f>C74</f><v /></c><c r="D75" s="416"><f>D74</f><v /></c><c r="E75" s="417"><f>E74</f><v /></c><c r="F75" s="56" t="n" /><c r="G75" s="453" t="inlineStr"><is><t>PA25516767</t></is></c><c r="H75" s="418"><f>H74</f><v /></c><c r="I75" s="419"><f>I74</f><v /></c><c r="J75" s="420"><f>J74</f><v /></c><c r="K75" s="421"><f>K74</f><v /></c><c r="L75" s="421"><f>L74</f><v /></c><c r="M75" s="422" t="n"><v>87.04000000000001</v></c><c r="N75" s="422" t="n"><v>187.01</v></c><c r="O75" s="423"><f>O74</f><v /></c><c r="P75" s="424"><f>P74</f><v /></c><c r="Q75" s="425"><f>LEFT(P75,1)</f><v /></c><c r="R75" s="425"><f>RIGHT(P75,6)</f><v /></c><c r="S75" s="425"><f>+(Q75*60+R75)/(60*60)</f><v /></c><c r="T75" s="426"><f>+O75/S75</f><v /></c><c r="U75" s="427"><f>+(((N75-M75-O75)/O75)*100)</f><v /></c><c r="V75" s="428"><f>V74</f><v /></c><c r="W75" s="429"><f>W74</f><v /></c><c r="X75" s="429"><f>X74</f><v /></c><c r="Y75" s="422" t="n"><v>192.65</v></c><c r="Z75" s="422" t="n"><v>202.58</v></c><c r="AA75" s="430"><f>AA74</f><v /></c><c r="AB75" s="431"><f>AB74</f><v /></c><c r="AC75" s="425"><f>LEFT(AB75,2)</f><v /></c><c r="AD75" s="425"><f>RIGHT(AB75,6)</f><v /></c><c r="AE75" s="425"><f>+(AC75*60+AD75)/(60*60)</f><v /></c><c r="AF75" s="426"><f>+AA75/AE75</f><v /></c><c r="AG75" s="432"><f>+(((Z75-Y75-AA75)/AA75)*100)</f><v /></c><c r="AH75" s="428"><f>AH74</f><v /></c><c r="AI75" s="429"><f>AI74</f><v /></c><c r="AJ75" s="429"><f>AJ74</f><v /></c><c r="AK75" s="422"><f>Z75</f><v /></c><c r="AL75" s="422" t="n"><v>207.52</v></c><c r="AM75" s="433"><f>AM74</f><v /></c><c r="AN75" s="424"><f>AN74</f><v /></c><c r="AO75" s="425"><f>LEFT(AN75,2)</f><v /></c><c r="AP75" s="425"><f>RIGHT(AN75,6)</f><v /></c><c r="AQ75" s="425"><f>+(AO75*60+AP75)/(60*60)</f><v /></c><c r="AR75" s="426"><f>+AM75/AQ75</f><v /></c><c r="AS75" s="432"><f>+(((AL75-AK75-AM75)/AM75)*100)</f><v /></c><c r="AT75" s="434"><f>IF(I75&gt;=1,"NO CONFORME",IF(BK75="SIGDIFERENTES",BC75,BL75))</f><v /></c><c r="AU75" s="372"><f>B75=C75</f><v /></c><c r="AV75" s="372"><f>N75&lt;Y75</f><v /></c><c r="AW75" s="372"><f>Z75&lt;=AK75</f><v /></c><c r="AX75" s="372"><f>IF(I75&gt;=1,"Qcorrecto",IF(AND(AY75="aceptable",AZ75="aceptable",BA75="aceptable"),"Qcorrecto","Qincorrecto"))</f><v /></c><c r="AY75" s="435"><f>IF(AR75&lt;$AH$6,"error",IF(AR75&gt;$AH$6*1.1,"error","aceptable"))</f><v /></c><c r="AZ75" s="435"><f>IF(AF75&lt;$V$6,"error",IF(AF75&gt;$V$6*1.1,"error","aceptable"))</f><v /></c><c r="BA75" s="435"><f>IF(T75&lt;$J$6*0.9,"error",IF(T75&gt;$J$6,"error","aceptable"))</f><v /></c><c r="BB75" s="436"><f>(IF(ABS(U75)&lt;1.05,"CONFORME",IF(ABS(AG75)&lt;1.05,"CONFORME",IF(ABS(AS75)&lt;2.55,"CONFORME","NO CONFORME"))))</f><v /></c><c r="BC75" s="437"><f>(IF(ABS(U75)&gt;2.05,"NO CONFORME",IF(ABS(AG75)&gt;2.05,"NO CONFORME",IF(ABS(AS75)&gt;5.05,"NO CONFORME","CONFORME"))))</f><v /></c><c r="BD75" s="374"><f>SIGN(U75)</f><v /></c><c r="BE75" s="374"><f>SIGN(AG75)</f><v /></c><c r="BF75" s="374"><f>SIGN(AS75)</f><v /></c><c r="BG75" s="374"><f>CONCATENATE(BD75,BE75,BF75)</f><v /></c><c r="BH75" s="374"><f>IF(BG75="111","SI","SD")</f><v /></c><c r="BI75" s="374"><f>IF(BG75="-1-1-1","SI","SD")</f><v /></c><c r="BJ75" s="374"><f>OR(BH75="SI",BI75="SI")</f><v /></c><c r="BK75" s="374"><f>IF(BJ75=FALSE,"SIGDIFERENTES","SIGIGUALES")</f><v /></c><c r="BL75" s="435"><f>IF(BC75="NO CONFORME","NO CONFORME",IF(BB75="CONFORME","CONFORME","NO CONFORME"))</f><v /></c></row><row r="76" ht="15" customHeight="1" thickBot="1"><c r="A76" s="445" t="n"><v>68</v></c><c r="B76" s="392"><f>B75</f><v /></c><c r="C76" s="392"><f>C75</f><v /></c><c r="D76" s="393"><f>D75</f><v /></c><c r="E76" s="394"><f>E75</f><v /></c><c r="F76" s="52" t="n" /><c r="G76" s="446" t="inlineStr"><is><t>PA25516768</t></is></c><c r="H76" s="326"><f>H75</f><v /></c><c r="I76" s="98"><f>I75</f><v /></c><c r="J76" s="327"><f>J75</f><v /></c><c r="K76" s="396"><f>K75</f><v /></c><c r="L76" s="396"><f>L75</f><v /></c><c r="M76" s="397" t="n"><v>86.26000000000001</v></c><c r="N76" s="397" t="n"><v>185.72</v></c><c r="O76" s="398"><f>O75</f><v /></c><c r="P76" s="399"><f>P75</f><v /></c><c r="Q76" s="400"><f>LEFT(P76,1)</f><v /></c><c r="R76" s="400"><f>RIGHT(P76,6)</f><v /></c><c r="S76" s="400"><f>+(Q76*60+R76)/(60*60)</f><v /></c><c r="T76" s="401"><f>+O76/S76</f><v /></c><c r="U76" s="402"><f>+(((N76-M76-O76)/O76)*100)</f><v /></c><c r="V76" s="329"><f>V75</f><v /></c><c r="W76" s="403"><f>W75</f><v /></c><c r="X76" s="403"><f>X75</f><v /></c><c r="Y76" s="397" t="n"><v>191.35</v></c><c r="Z76" s="397" t="n"><v>201.26</v></c><c r="AA76" s="404"><f>AA75</f><v /></c><c r="AB76" s="405"><f>AB75</f><v /></c><c r="AC76" s="400"><f>LEFT(AB76,2)</f><v /></c><c r="AD76" s="400"><f>RIGHT(AB76,6)</f><v /></c><c r="AE76" s="400"><f>+(AC76*60+AD76)/(60*60)</f><v /></c><c r="AF76" s="401"><f>+AA76/AE76</f><v /></c><c r="AG76" s="406"><f>+(((Z76-Y76-AA76)/AA76)*100)</f><v /></c><c r="AH76" s="329"><f>AH75</f><v /></c><c r="AI76" s="403"><f>AI75</f><v /></c><c r="AJ76" s="403"><f>AJ75</f><v /></c><c r="AK76" s="397"><f>Z76</f><v /></c><c r="AL76" s="397" t="n"><v>206.22</v></c><c r="AM76" s="407"><f>AM75</f><v /></c><c r="AN76" s="399"><f>AN75</f><v /></c><c r="AO76" s="400"><f>LEFT(AN76,2)</f><v /></c><c r="AP76" s="400"><f>RIGHT(AN76,6)</f><v /></c><c r="AQ76" s="400"><f>+(AO76*60+AP76)/(60*60)</f><v /></c><c r="AR76" s="401"><f>+AM76/AQ76</f><v /></c><c r="AS76" s="406"><f>+(((AL76-AK76-AM76)/AM76)*100)</f><v /></c><c r="AT76" s="408"><f>IF(I76&gt;=1,"NO CONFORME",IF(BK76="SIGDIFERENTES",BC76,BL76))</f><v /></c><c r="AU76" s="447"><f>B76=C76</f><v /></c><c r="AV76" s="447"><f>N76&lt;Y76</f><v /></c><c r="AW76" s="447"><f>Z76&lt;=AK76</f><v /></c><c r="AX76" s="447"><f>IF(I76&gt;=1,"Qcorrecto",IF(AND(AY76="aceptable",AZ76="aceptable",BA76="aceptable"),"Qcorrecto","Qincorrecto"))</f><v /></c><c r="AY76" s="410"><f>IF(AR76&lt;$AH$6,"error",IF(AR76&gt;$AH$6*1.1,"error","aceptable"))</f><v /></c><c r="AZ76" s="410"><f>IF(AF76&lt;$V$6,"error",IF(AF76&gt;$V$6*1.1,"error","aceptable"))</f><v /></c><c r="BA76" s="410"><f>IF(T76&lt;$J$6*0.9,"error",IF(T76&gt;$J$6,"error","aceptable"))</f><v /></c><c r="BB76" s="448"><f>(IF(ABS(U76)&lt;1.05,"CONFORME",IF(ABS(AG76)&lt;1.05,"CONFORME",IF(ABS(AS76)&lt;2.55,"CONFORME","NO CONFORME"))))</f><v /></c><c r="BC76" s="449"><f>(IF(ABS(U76)&gt;2.05,"NO CONFORME",IF(ABS(AG76)&gt;2.05,"NO CONFORME",IF(ABS(AS76)&gt;5.05,"NO CONFORME","CONFORME"))))</f><v /></c><c r="BD76" s="450"><f>SIGN(U76)</f><v /></c><c r="BE76" s="450"><f>SIGN(AG76)</f><v /></c><c r="BF76" s="450"><f>SIGN(AS76)</f><v /></c><c r="BG76" s="450"><f>CONCATENATE(BD76,BE76,BF76)</f><v /></c><c r="BH76" s="450"><f>IF(BG76="111","SI","SD")</f><v /></c><c r="BI76" s="450"><f>IF(BG76="-1-1-1","SI","SD")</f><v /></c><c r="BJ76" s="450"><f>OR(BH76="SI",BI76="SI")</f><v /></c><c r="BK76" s="450"><f>IF(BJ76=FALSE,"SIGDIFERENTES","SIGIGUALES")</f><v /></c><c r="BL76" s="410"><f>IF(BC76="NO CONFORME","NO CONFORME",IF(BB76="CONFORME","CONFORME","NO CONFORME"))</f><v /></c></row><row r="77" ht="15" customHeight="1" thickBot="1"><c r="A77" s="351" t="n"><v>69</v></c><c r="B77" s="352"><f>B76</f><v /></c><c r="C77" s="352"><f>C76</f><v /></c><c r="D77" s="353"><f>D76</f><v /></c><c r="E77" s="354"><f>E76</f><v /></c><c r="F77" s="58" t="n" /><c r="G77" s="395" t="inlineStr"><is><t>PA25516769</t></is></c><c r="H77" s="356"><f>H76</f><v /></c><c r="I77" s="232"><f>I76</f><v /></c><c r="J77" s="357" t="n"><v>21</v></c><c r="K77" s="358" t="n"><v>8.217000000000001</v></c><c r="L77" s="358" t="n"><v>0.5580000000000001</v></c><c r="M77" s="359" t="n"><v>127.56</v></c><c r="N77" s="359" t="n"><v>227.42</v></c><c r="O77" s="360" t="n"><v>100.55</v></c><c r="P77" s="361" t="inlineStr"><is><t>2,32,290</t></is></c><c r="Q77" s="362"><f>LEFT(P77,1)</f><v /></c><c r="R77" s="362"><f>RIGHT(P77,6)</f><v /></c><c r="S77" s="362"><f>+(Q77*60+R77)/(60*60)</f><v /></c><c r="T77" s="363"><f>+O77/S77</f><v /></c><c r="U77" s="364"><f>+(((N77-M77-O77)/O77)*100)</f><v /></c><c r="V77" s="365" t="n"><v>21</v></c><c r="W77" s="366" t="n"><v>1.069</v></c><c r="X77" s="366" t="n"><v>1.06</v></c><c r="Y77" s="359" t="n"><v>233.53</v></c><c r="Z77" s="359" t="n"><v>243.46</v></c><c r="AA77" s="367" t="n"><v>10.02</v></c><c r="AB77" s="368" t="inlineStr"><is><t>22,28,180</t></is></c><c r="AC77" s="362"><f>LEFT(AB77,2)</f><v /></c><c r="AD77" s="362"><f>RIGHT(AB77,6)</f><v /></c><c r="AE77" s="362"><f>+(AC77*60+AD77)/(60*60)</f><v /></c><c r="AF77" s="363"><f>+AA77/AE77</f><v /></c><c r="AG77" s="369"><f>+(((Z77-Y77-AA77)/AA77)*100)</f><v /></c><c r="AH77" s="365" t="n"><v>21</v></c><c r="AI77" s="366" t="n"><v>1.07</v></c><c r="AJ77" s="366" t="n"><v>1.062</v></c><c r="AK77" s="359"><f>Z77</f><v /></c><c r="AL77" s="359" t="n"><v>248.5</v></c><c r="AM77" s="370" t="n"><v>5.01</v></c><c r="AN77" s="361" t="inlineStr"><is><t>18,21,540</t></is></c><c r="AO77" s="362"><f>LEFT(AN77,2)</f><v /></c><c r="AP77" s="362"><f>RIGHT(AN77,6)</f><v /></c><c r="AQ77" s="362"><f>+(AO77*60+AP77)/(60*60)</f><v /></c><c r="AR77" s="363"><f>+AM77/AQ77</f><v /></c><c r="AS77" s="369"><f>+(((AL77-AK77-AM77)/AM77)*100)</f><v /></c><c r="AT77" s="371"><f>IF(I77&gt;=1,"NO CONFORME",IF(BK77="SIGDIFERENTES",BC77,BL77))</f><v /></c><c r="AU77" s="372"><f>B77=C77</f><v /></c><c r="AV77" s="372"><f>N77&lt;Y77</f><v /></c><c r="AW77" s="372"><f>Z77&lt;=AK77</f><v /></c><c r="AX77" s="372"><f>IF(I77&gt;=1,"Qcorrecto",IF(AND(AY77="aceptable",AZ77="aceptable",BA77="aceptable"),"Qcorrecto","Qincorrecto"))</f><v /></c><c r="AY77" s="373"><f>IF(AR77&lt;$AH$6,"error",IF(AR77&gt;$AH$6*1.1,"error","aceptable"))</f><v /></c><c r="AZ77" s="373"><f>IF(AF77&lt;$V$6,"error",IF(AF77&gt;$V$6*1.1,"error","aceptable"))</f><v /></c><c r="BA77" s="373"><f>IF(T77&lt;$J$6*0.9,"error",IF(T77&gt;$J$6,"error","aceptable"))</f><v /></c><c r="BB77" s="25"><f>(IF(ABS(U77)&lt;1.05,"CONFORME",IF(ABS(AG77)&lt;1.05,"CONFORME",IF(ABS(AS77)&lt;2.55,"CONFORME","NO CONFORME"))))</f><v /></c><c r="BC77" s="5"><f>(IF(ABS(U77)&gt;2.05,"NO CONFORME",IF(ABS(AG77)&gt;2.05,"NO CONFORME",IF(ABS(AS77)&gt;5.05,"NO CONFORME","CONFORME"))))</f><v /></c><c r="BD77" s="374"><f>SIGN(U77)</f><v /></c><c r="BE77" s="374"><f>SIGN(AG77)</f><v /></c><c r="BF77" s="374"><f>SIGN(AS77)</f><v /></c><c r="BG77" s="374"><f>CONCATENATE(BD77,BE77,BF77)</f><v /></c><c r="BH77" s="374"><f>IF(BG77="111","SI","SD")</f><v /></c><c r="BI77" s="374"><f>IF(BG77="-1-1-1","SI","SD")</f><v /></c><c r="BJ77" s="374"><f>OR(BH77="SI",BI77="SI")</f><v /></c><c r="BK77" s="374"><f>IF(BJ77=FALSE,"SIGDIFERENTES","SIGIGUALES")</f><v /></c><c r="BL77" s="373"><f>IF(BC77="NO CONFORME","NO CONFORME",IF(BB77="CONFORME","CONFORME","NO CONFORME"))</f><v /></c></row><row r="78" ht="15" customHeight="1" thickBot="1"><c r="A78" s="351" t="n"><v>70</v></c><c r="B78" s="375"><f>B77</f><v /></c><c r="C78" s="375"><f>C77</f><v /></c><c r="D78" s="376"><f>D77</f><v /></c><c r="E78" s="377"><f>E77</f><v /></c><c r="F78" s="13" t="n" /><c r="G78" s="446" t="inlineStr"><is><t>PA25516770</t></is></c><c r="H78" s="313"><f>H77</f><v /></c><c r="I78" s="38"><f>I77</f><v /></c><c r="J78" s="314"><f>J77</f><v /></c><c r="K78" s="378"><f>K77</f><v /></c><c r="L78" s="378"><f>L77</f><v /></c><c r="M78" s="379" t="n"><v>90.09999999999999</v></c><c r="N78" s="379" t="n"><v>189.65</v></c><c r="O78" s="380"><f>O77</f><v /></c><c r="P78" s="381"><f>P77</f><v /></c><c r="Q78" s="382"><f>LEFT(P78,1)</f><v /></c><c r="R78" s="382"><f>RIGHT(P78,6)</f><v /></c><c r="S78" s="382"><f>+(Q78*60+R78)/(60*60)</f><v /></c><c r="T78" s="383"><f>+O78/S78</f><v /></c><c r="U78" s="384"><f>+(((N78-M78-O78)/O78)*100)</f><v /></c><c r="V78" s="317"><f>V77</f><v /></c><c r="W78" s="385"><f>W77</f><v /></c><c r="X78" s="385"><f>X77</f><v /></c><c r="Y78" s="379" t="n"><v>195.75</v></c><c r="Z78" s="379" t="n"><v>205.7</v></c><c r="AA78" s="386"><f>AA77</f><v /></c><c r="AB78" s="387"><f>AB77</f><v /></c><c r="AC78" s="382"><f>LEFT(AB78,2)</f><v /></c><c r="AD78" s="382"><f>RIGHT(AB78,6)</f><v /></c><c r="AE78" s="382"><f>+(AC78*60+AD78)/(60*60)</f><v /></c><c r="AF78" s="383"><f>+AA78/AE78</f><v /></c><c r="AG78" s="321"><f>+(((Z78-Y78-AA78)/AA78)*100)</f><v /></c><c r="AH78" s="317"><f>AH77</f><v /></c><c r="AI78" s="385"><f>AI77</f><v /></c><c r="AJ78" s="385"><f>AJ77</f><v /></c><c r="AK78" s="379"><f>Z78</f><v /></c><c r="AL78" s="379" t="n"><v>210.7</v></c><c r="AM78" s="388"><f>AM77</f><v /></c><c r="AN78" s="381"><f>AN77</f><v /></c><c r="AO78" s="382"><f>LEFT(AN78,2)</f><v /></c><c r="AP78" s="382"><f>RIGHT(AN78,6)</f><v /></c><c r="AQ78" s="382"><f>+(AO78*60+AP78)/(60*60)</f><v /></c><c r="AR78" s="383"><f>+AM78/AQ78</f><v /></c><c r="AS78" s="321"><f>+(((AL78-AK78-AM78)/AM78)*100)</f><v /></c><c r="AT78" s="389"><f>IF(I78&gt;=1,"NO CONFORME",IF(BK78="SIGDIFERENTES",BC78,BL78))</f><v /></c><c r="AU78" s="372"><f>B78=C78</f><v /></c><c r="AV78" s="372"><f>N78&lt;Y78</f><v /></c><c r="AW78" s="372"><f>Z78&lt;=AK78</f><v /></c><c r="AX78" s="372"><f>IF(I78&gt;=1,"Qcorrecto",IF(AND(AY78="aceptable",AZ78="aceptable",BA78="aceptable"),"Qcorrecto","Qincorrecto"))</f><v /></c><c r="AY78" s="390"><f>IF(AR78&lt;$AH$6,"error",IF(AR78&gt;$AH$6*1.1,"error","aceptable"))</f><v /></c><c r="AZ78" s="390"><f>IF(AF78&lt;$V$6,"error",IF(AF78&gt;$V$6*1.1,"error","aceptable"))</f><v /></c><c r="BA78" s="390"><f>IF(T78&lt;$J$6*0.9,"error",IF(T78&gt;$J$6,"error","aceptable"))</f><v /></c><c r="BB78" s="25"><f>(IF(ABS(U78)&lt;1.05,"CONFORME",IF(ABS(AG78)&lt;1.05,"CONFORME",IF(ABS(AS78)&lt;2.55,"CONFORME","NO CONFORME"))))</f><v /></c><c r="BC78" s="5"><f>(IF(ABS(U78)&gt;2.05,"NO CONFORME",IF(ABS(AG78)&gt;2.05,"NO CONFORME",IF(ABS(AS78)&gt;5.05,"NO CONFORME","CONFORME"))))</f><v /></c><c r="BD78" s="374"><f>SIGN(U78)</f><v /></c><c r="BE78" s="374"><f>SIGN(AG78)</f><v /></c><c r="BF78" s="374"><f>SIGN(AS78)</f><v /></c><c r="BG78" s="374"><f>CONCATENATE(BD78,BE78,BF78)</f><v /></c><c r="BH78" s="374"><f>IF(BG78="111","SI","SD")</f><v /></c><c r="BI78" s="374"><f>IF(BG78="-1-1-1","SI","SD")</f><v /></c><c r="BJ78" s="374"><f>OR(BH78="SI",BI78="SI")</f><v /></c><c r="BK78" s="374"><f>IF(BJ78=FALSE,"SIGDIFERENTES","SIGIGUALES")</f><v /></c><c r="BL78" s="390"><f>IF(BC78="NO CONFORME","NO CONFORME",IF(BB78="CONFORME","CONFORME","NO CONFORME"))</f><v /></c></row><row r="79" ht="15" customHeight="1" thickBot="1"><c r="A79" s="351" t="n"><v>71</v></c><c r="B79" s="375"><f>B78</f><v /></c><c r="C79" s="375"><f>C78</f><v /></c><c r="D79" s="376"><f>D78</f><v /></c><c r="E79" s="377"><f>E78</f><v /></c><c r="F79" s="13" t="n" /><c r="G79" s="446" t="inlineStr"><is><t>PA25516771</t></is></c><c r="H79" s="313"><f>H78</f><v /></c><c r="I79" s="38"><f>I78</f><v /></c><c r="J79" s="314"><f>J78</f><v /></c><c r="K79" s="378"><f>K78</f><v /></c><c r="L79" s="378"><f>L78</f><v /></c><c r="M79" s="379" t="n"><v>91.5</v></c><c r="N79" s="379" t="n"><v>191.75</v></c><c r="O79" s="380"><f>O78</f><v /></c><c r="P79" s="381"><f>P78</f><v /></c><c r="Q79" s="382"><f>LEFT(P79,1)</f><v /></c><c r="R79" s="382"><f>RIGHT(P79,6)</f><v /></c><c r="S79" s="382"><f>+(Q79*60+R79)/(60*60)</f><v /></c><c r="T79" s="383"><f>+O79/S79</f><v /></c><c r="U79" s="384"><f>+(((N79-M79-O79)/O79)*100)</f><v /></c><c r="V79" s="317"><f>V78</f><v /></c><c r="W79" s="385"><f>W78</f><v /></c><c r="X79" s="385"><f>X78</f><v /></c><c r="Y79" s="379" t="n"><v>197.88</v></c><c r="Z79" s="379" t="n"><v>207.9</v></c><c r="AA79" s="386"><f>AA78</f><v /></c><c r="AB79" s="387"><f>AB78</f><v /></c><c r="AC79" s="382"><f>LEFT(AB79,2)</f><v /></c><c r="AD79" s="382"><f>RIGHT(AB79,6)</f><v /></c><c r="AE79" s="382"><f>+(AC79*60+AD79)/(60*60)</f><v /></c><c r="AF79" s="383"><f>+AA79/AE79</f><v /></c><c r="AG79" s="321"><f>+(((Z79-Y79-AA79)/AA79)*100)</f><v /></c><c r="AH79" s="317"><f>AH78</f><v /></c><c r="AI79" s="385"><f>AI78</f><v /></c><c r="AJ79" s="385"><f>AJ78</f><v /></c><c r="AK79" s="379"><f>Z79</f><v /></c><c r="AL79" s="379" t="n"><v>212.94</v></c><c r="AM79" s="388"><f>AM78</f><v /></c><c r="AN79" s="381"><f>AN78</f><v /></c><c r="AO79" s="382"><f>LEFT(AN79,2)</f><v /></c><c r="AP79" s="382"><f>RIGHT(AN79,6)</f><v /></c><c r="AQ79" s="382"><f>+(AO79*60+AP79)/(60*60)</f><v /></c><c r="AR79" s="383"><f>+AM79/AQ79</f><v /></c><c r="AS79" s="321"><f>+(((AL79-AK79-AM79)/AM79)*100)</f><v /></c><c r="AT79" s="389"><f>IF(I79&gt;=1,"NO CONFORME",IF(BK79="SIGDIFERENTES",BC79,BL79))</f><v /></c><c r="AU79" s="372"><f>B79=C79</f><v /></c><c r="AV79" s="372"><f>N79&lt;Y79</f><v /></c><c r="AW79" s="372"><f>Z79&lt;=AK79</f><v /></c><c r="AX79" s="372"><f>IF(I79&gt;=1,"Qcorrecto",IF(AND(AY79="aceptable",AZ79="aceptable",BA79="aceptable"),"Qcorrecto","Qincorrecto"))</f><v /></c><c r="AY79" s="390"><f>IF(AR79&lt;$AH$6,"error",IF(AR79&gt;$AH$6*1.1,"error","aceptable"))</f><v /></c><c r="AZ79" s="390"><f>IF(AF79&lt;$V$6,"error",IF(AF79&gt;$V$6*1.1,"error","aceptable"))</f><v /></c><c r="BA79" s="390"><f>IF(T79&lt;$J$6*0.9,"error",IF(T79&gt;$J$6,"error","aceptable"))</f><v /></c><c r="BB79" s="25"><f>(IF(ABS(U79)&lt;1.05,"CONFORME",IF(ABS(AG79)&lt;1.05,"CONFORME",IF(ABS(AS79)&lt;2.55,"CONFORME","NO CONFORME"))))</f><v /></c><c r="BC79" s="5"><f>(IF(ABS(U79)&gt;2.05,"NO CONFORME",IF(ABS(AG79)&gt;2.05,"NO CONFORME",IF(ABS(AS79)&gt;5.05,"NO CONFORME","CONFORME"))))</f><v /></c><c r="BD79" s="374"><f>SIGN(U79)</f><v /></c><c r="BE79" s="374"><f>SIGN(AG79)</f><v /></c><c r="BF79" s="374"><f>SIGN(AS79)</f><v /></c><c r="BG79" s="374"><f>CONCATENATE(BD79,BE79,BF79)</f><v /></c><c r="BH79" s="374"><f>IF(BG79="111","SI","SD")</f><v /></c><c r="BI79" s="374"><f>IF(BG79="-1-1-1","SI","SD")</f><v /></c><c r="BJ79" s="374"><f>OR(BH79="SI",BI79="SI")</f><v /></c><c r="BK79" s="374"><f>IF(BJ79=FALSE,"SIGDIFERENTES","SIGIGUALES")</f><v /></c><c r="BL79" s="390"><f>IF(BC79="NO CONFORME","NO CONFORME",IF(BB79="CONFORME","CONFORME","NO CONFORME"))</f><v /></c></row><row r="80" ht="15" customHeight="1" thickBot="1"><c r="A80" s="351" t="n"><v>72</v></c><c r="B80" s="375"><f>B79</f><v /></c><c r="C80" s="375"><f>C79</f><v /></c><c r="D80" s="376"><f>D79</f><v /></c><c r="E80" s="377"><f>E79</f><v /></c><c r="F80" s="13" t="n" /><c r="G80" s="446" t="inlineStr"><is><t>PA25516772</t></is></c><c r="H80" s="313"><f>H79</f><v /></c><c r="I80" s="38"><f>I79</f><v /></c><c r="J80" s="314"><f>J79</f><v /></c><c r="K80" s="378"><f>K79</f><v /></c><c r="L80" s="378"><f>L79</f><v /></c><c r="M80" s="379" t="n"><v>90.48999999999999</v></c><c r="N80" s="379" t="n"><v>190.04</v></c><c r="O80" s="380"><f>O79</f><v /></c><c r="P80" s="381"><f>P79</f><v /></c><c r="Q80" s="382"><f>LEFT(P80,1)</f><v /></c><c r="R80" s="382"><f>RIGHT(P80,6)</f><v /></c><c r="S80" s="382"><f>+(Q80*60+R80)/(60*60)</f><v /></c><c r="T80" s="383"><f>+O80/S80</f><v /></c><c r="U80" s="384"><f>+(((N80-M80-O80)/O80)*100)</f><v /></c><c r="V80" s="317"><f>V79</f><v /></c><c r="W80" s="385"><f>W79</f><v /></c><c r="X80" s="385"><f>X79</f><v /></c><c r="Y80" s="379" t="n"><v>196.15</v></c><c r="Z80" s="379" t="n"><v>206.15</v></c><c r="AA80" s="386"><f>AA79</f><v /></c><c r="AB80" s="387"><f>AB79</f><v /></c><c r="AC80" s="382"><f>LEFT(AB80,2)</f><v /></c><c r="AD80" s="382"><f>RIGHT(AB80,6)</f><v /></c><c r="AE80" s="382"><f>+(AC80*60+AD80)/(60*60)</f><v /></c><c r="AF80" s="383"><f>+AA80/AE80</f><v /></c><c r="AG80" s="321"><f>+(((Z80-Y80-AA80)/AA80)*100)</f><v /></c><c r="AH80" s="317"><f>AH79</f><v /></c><c r="AI80" s="385"><f>AI79</f><v /></c><c r="AJ80" s="385"><f>AJ79</f><v /></c><c r="AK80" s="379"><f>Z80</f><v /></c><c r="AL80" s="379" t="n"><v>211.16</v></c><c r="AM80" s="388"><f>AM79</f><v /></c><c r="AN80" s="381"><f>AN79</f><v /></c><c r="AO80" s="382"><f>LEFT(AN80,2)</f><v /></c><c r="AP80" s="382"><f>RIGHT(AN80,6)</f><v /></c><c r="AQ80" s="382"><f>+(AO80*60+AP80)/(60*60)</f><v /></c><c r="AR80" s="383"><f>+AM80/AQ80</f><v /></c><c r="AS80" s="321"><f>+(((AL80-AK80-AM80)/AM80)*100)</f><v /></c><c r="AT80" s="389"><f>IF(I80&gt;=1,"NO CONFORME",IF(BK80="SIGDIFERENTES",BC80,BL80))</f><v /></c><c r="AU80" s="372"><f>B80=C80</f><v /></c><c r="AV80" s="372"><f>N80&lt;Y80</f><v /></c><c r="AW80" s="372"><f>Z80&lt;=AK80</f><v /></c><c r="AX80" s="372"><f>IF(I80&gt;=1,"Qcorrecto",IF(AND(AY80="aceptable",AZ80="aceptable",BA80="aceptable"),"Qcorrecto","Qincorrecto"))</f><v /></c><c r="AY80" s="390"><f>IF(AR80&lt;$AH$6,"error",IF(AR80&gt;$AH$6*1.1,"error","aceptable"))</f><v /></c><c r="AZ80" s="390"><f>IF(AF80&lt;$V$6,"error",IF(AF80&gt;$V$6*1.1,"error","aceptable"))</f><v /></c><c r="BA80" s="390"><f>IF(T80&lt;$J$6*0.9,"error",IF(T80&gt;$J$6,"error","aceptable"))</f><v /></c><c r="BB80" s="25"><f>(IF(ABS(U80)&lt;1.05,"CONFORME",IF(ABS(AG80)&lt;1.05,"CONFORME",IF(ABS(AS80)&lt;2.55,"CONFORME","NO CONFORME"))))</f><v /></c><c r="BC80" s="5"><f>(IF(ABS(U80)&gt;2.05,"NO CONFORME",IF(ABS(AG80)&gt;2.05,"NO CONFORME",IF(ABS(AS80)&gt;5.05,"NO CONFORME","CONFORME"))))</f><v /></c><c r="BD80" s="374"><f>SIGN(U80)</f><v /></c><c r="BE80" s="374"><f>SIGN(AG80)</f><v /></c><c r="BF80" s="374"><f>SIGN(AS80)</f><v /></c><c r="BG80" s="374"><f>CONCATENATE(BD80,BE80,BF80)</f><v /></c><c r="BH80" s="374"><f>IF(BG80="111","SI","SD")</f><v /></c><c r="BI80" s="374"><f>IF(BG80="-1-1-1","SI","SD")</f><v /></c><c r="BJ80" s="374"><f>OR(BH80="SI",BI80="SI")</f><v /></c><c r="BK80" s="374"><f>IF(BJ80=FALSE,"SIGDIFERENTES","SIGIGUALES")</f><v /></c><c r="BL80" s="390"><f>IF(BC80="NO CONFORME","NO CONFORME",IF(BB80="CONFORME","CONFORME","NO CONFORME"))</f><v /></c></row><row r="81" ht="15" customHeight="1" thickBot="1"><c r="A81" s="351" t="n"><v>73</v></c><c r="B81" s="375"><f>B80</f><v /></c><c r="C81" s="375"><f>C80</f><v /></c><c r="D81" s="376"><f>D80</f><v /></c><c r="E81" s="377"><f>E80</f><v /></c><c r="F81" s="13" t="n" /><c r="G81" s="446" t="inlineStr"><is><t>PA25516773</t></is></c><c r="H81" s="313"><f>H80</f><v /></c><c r="I81" s="38"><f>I80</f><v /></c><c r="J81" s="314"><f>J80</f><v /></c><c r="K81" s="378"><f>K80</f><v /></c><c r="L81" s="378"><f>L80</f><v /></c><c r="M81" s="379" t="n"><v>90.75</v></c><c r="N81" s="379" t="n"><v>190.11</v></c><c r="O81" s="380"><f>O80</f><v /></c><c r="P81" s="381"><f>P80</f><v /></c><c r="Q81" s="382"><f>LEFT(P81,1)</f><v /></c><c r="R81" s="382"><f>RIGHT(P81,6)</f><v /></c><c r="S81" s="382"><f>+(Q81*60+R81)/(60*60)</f><v /></c><c r="T81" s="383"><f>+O81/S81</f><v /></c><c r="U81" s="384"><f>+(((N81-M81-O81)/O81)*100)</f><v /></c><c r="V81" s="317"><f>V80</f><v /></c><c r="W81" s="385"><f>W80</f><v /></c><c r="X81" s="385"><f>X80</f><v /></c><c r="Y81" s="379" t="n"><v>196.2</v></c><c r="Z81" s="379" t="n"><v>206.14</v></c><c r="AA81" s="386"><f>AA80</f><v /></c><c r="AB81" s="387"><f>AB80</f><v /></c><c r="AC81" s="382"><f>LEFT(AB81,2)</f><v /></c><c r="AD81" s="382"><f>RIGHT(AB81,6)</f><v /></c><c r="AE81" s="382"><f>+(AC81*60+AD81)/(60*60)</f><v /></c><c r="AF81" s="383"><f>+AA81/AE81</f><v /></c><c r="AG81" s="321"><f>+(((Z81-Y81-AA81)/AA81)*100)</f><v /></c><c r="AH81" s="317"><f>AH80</f><v /></c><c r="AI81" s="385"><f>AI80</f><v /></c><c r="AJ81" s="385"><f>AJ80</f><v /></c><c r="AK81" s="379"><f>Z81</f><v /></c><c r="AL81" s="379" t="n"><v>211.12</v></c><c r="AM81" s="388"><f>AM80</f><v /></c><c r="AN81" s="381"><f>AN80</f><v /></c><c r="AO81" s="382"><f>LEFT(AN81,2)</f><v /></c><c r="AP81" s="382"><f>RIGHT(AN81,6)</f><v /></c><c r="AQ81" s="382"><f>+(AO81*60+AP81)/(60*60)</f><v /></c><c r="AR81" s="383"><f>+AM81/AQ81</f><v /></c><c r="AS81" s="321"><f>+(((AL81-AK81-AM81)/AM81)*100)</f><v /></c><c r="AT81" s="389"><f>IF(I81&gt;=1,"NO CONFORME",IF(BK81="SIGDIFERENTES",BC81,BL81))</f><v /></c><c r="AU81" s="372"><f>B81=C81</f><v /></c><c r="AV81" s="372"><f>N81&lt;Y81</f><v /></c><c r="AW81" s="372"><f>Z81&lt;=AK81</f><v /></c><c r="AX81" s="372"><f>IF(I81&gt;=1,"Qcorrecto",IF(AND(AY81="aceptable",AZ81="aceptable",BA81="aceptable"),"Qcorrecto","Qincorrecto"))</f><v /></c><c r="AY81" s="390"><f>IF(AR81&lt;$AH$6,"error",IF(AR81&gt;$AH$6*1.1,"error","aceptable"))</f><v /></c><c r="AZ81" s="390"><f>IF(AF81&lt;$V$6,"error",IF(AF81&gt;$V$6*1.1,"error","aceptable"))</f><v /></c><c r="BA81" s="390"><f>IF(T81&lt;$J$6*0.9,"error",IF(T81&gt;$J$6,"error","aceptable"))</f><v /></c><c r="BB81" s="25"><f>(IF(ABS(U81)&lt;1.05,"CONFORME",IF(ABS(AG81)&lt;1.05,"CONFORME",IF(ABS(AS81)&lt;2.55,"CONFORME","NO CONFORME"))))</f><v /></c><c r="BC81" s="5"><f>(IF(ABS(U81)&gt;2.05,"NO CONFORME",IF(ABS(AG81)&gt;2.05,"NO CONFORME",IF(ABS(AS81)&gt;5.05,"NO CONFORME","CONFORME"))))</f><v /></c><c r="BD81" s="374"><f>SIGN(U81)</f><v /></c><c r="BE81" s="374"><f>SIGN(AG81)</f><v /></c><c r="BF81" s="374"><f>SIGN(AS81)</f><v /></c><c r="BG81" s="374"><f>CONCATENATE(BD81,BE81,BF81)</f><v /></c><c r="BH81" s="374"><f>IF(BG81="111","SI","SD")</f><v /></c><c r="BI81" s="374"><f>IF(BG81="-1-1-1","SI","SD")</f><v /></c><c r="BJ81" s="374"><f>OR(BH81="SI",BI81="SI")</f><v /></c><c r="BK81" s="374"><f>IF(BJ81=FALSE,"SIGDIFERENTES","SIGIGUALES")</f><v /></c><c r="BL81" s="390"><f>IF(BC81="NO CONFORME","NO CONFORME",IF(BB81="CONFORME","CONFORME","NO CONFORME"))</f><v /></c></row><row r="82" ht="15" customHeight="1" thickBot="1"><c r="A82" s="351" t="n"><v>74</v></c><c r="B82" s="375"><f>B81</f><v /></c><c r="C82" s="375"><f>C81</f><v /></c><c r="D82" s="376"><f>D81</f><v /></c><c r="E82" s="377"><f>E81</f><v /></c><c r="F82" s="13" t="n" /><c r="G82" s="446" t="inlineStr"><is><t>PA25516774</t></is></c><c r="H82" s="313"><f>H81</f><v /></c><c r="I82" s="38"><f>I81</f><v /></c><c r="J82" s="314"><f>J81</f><v /></c><c r="K82" s="378"><f>K81</f><v /></c><c r="L82" s="378"><f>L81</f><v /></c><c r="M82" s="379" t="n"><v>89.8</v></c><c r="N82" s="379" t="n"><v>189.39</v></c><c r="O82" s="380"><f>O81</f><v /></c><c r="P82" s="381"><f>P81</f><v /></c><c r="Q82" s="382"><f>LEFT(P82,1)</f><v /></c><c r="R82" s="382"><f>RIGHT(P82,6)</f><v /></c><c r="S82" s="382"><f>+(Q82*60+R82)/(60*60)</f><v /></c><c r="T82" s="383"><f>+O82/S82</f><v /></c><c r="U82" s="384"><f>+(((N82-M82-O82)/O82)*100)</f><v /></c><c r="V82" s="317"><f>V81</f><v /></c><c r="W82" s="385"><f>W81</f><v /></c><c r="X82" s="385"><f>X81</f><v /></c><c r="Y82" s="379" t="n"><v>195.47</v></c><c r="Z82" s="379" t="n"><v>205.4</v></c><c r="AA82" s="386"><f>AA81</f><v /></c><c r="AB82" s="387"><f>AB81</f><v /></c><c r="AC82" s="382"><f>LEFT(AB82,2)</f><v /></c><c r="AD82" s="382"><f>RIGHT(AB82,6)</f><v /></c><c r="AE82" s="382"><f>+(AC82*60+AD82)/(60*60)</f><v /></c><c r="AF82" s="383"><f>+AA82/AE82</f><v /></c><c r="AG82" s="321"><f>+(((Z82-Y82-AA82)/AA82)*100)</f><v /></c><c r="AH82" s="317"><f>AH81</f><v /></c><c r="AI82" s="385"><f>AI81</f><v /></c><c r="AJ82" s="385"><f>AJ81</f><v /></c><c r="AK82" s="379"><f>Z82</f><v /></c><c r="AL82" s="379" t="n"><v>210.33</v></c><c r="AM82" s="388"><f>AM81</f><v /></c><c r="AN82" s="381"><f>AN81</f><v /></c><c r="AO82" s="382"><f>LEFT(AN82,2)</f><v /></c><c r="AP82" s="382"><f>RIGHT(AN82,6)</f><v /></c><c r="AQ82" s="382"><f>+(AO82*60+AP82)/(60*60)</f><v /></c><c r="AR82" s="383"><f>+AM82/AQ82</f><v /></c><c r="AS82" s="321"><f>+(((AL82-AK82-AM82)/AM82)*100)</f><v /></c><c r="AT82" s="389"><f>IF(I82&gt;=1,"NO CONFORME",IF(BK82="SIGDIFERENTES",BC82,BL82))</f><v /></c><c r="AU82" s="372"><f>B82=C82</f><v /></c><c r="AV82" s="372"><f>N82&lt;Y82</f><v /></c><c r="AW82" s="372"><f>Z82&lt;=AK82</f><v /></c><c r="AX82" s="372"><f>IF(I82&gt;=1,"Qcorrecto",IF(AND(AY82="aceptable",AZ82="aceptable",BA82="aceptable"),"Qcorrecto","Qincorrecto"))</f><v /></c><c r="AY82" s="390"><f>IF(AR82&lt;$AH$6,"error",IF(AR82&gt;$AH$6*1.1,"error","aceptable"))</f><v /></c><c r="AZ82" s="390"><f>IF(AF82&lt;$V$6,"error",IF(AF82&gt;$V$6*1.1,"error","aceptable"))</f><v /></c><c r="BA82" s="390"><f>IF(T82&lt;$J$6*0.9,"error",IF(T82&gt;$J$6,"error","aceptable"))</f><v /></c><c r="BB82" s="25"><f>(IF(ABS(U82)&lt;1.05,"CONFORME",IF(ABS(AG82)&lt;1.05,"CONFORME",IF(ABS(AS82)&lt;2.55,"CONFORME","NO CONFORME"))))</f><v /></c><c r="BC82" s="5"><f>(IF(ABS(U82)&gt;2.05,"NO CONFORME",IF(ABS(AG82)&gt;2.05,"NO CONFORME",IF(ABS(AS82)&gt;5.05,"NO CONFORME","CONFORME"))))</f><v /></c><c r="BD82" s="374"><f>SIGN(U82)</f><v /></c><c r="BE82" s="374"><f>SIGN(AG82)</f><v /></c><c r="BF82" s="374"><f>SIGN(AS82)</f><v /></c><c r="BG82" s="374"><f>CONCATENATE(BD82,BE82,BF82)</f><v /></c><c r="BH82" s="374"><f>IF(BG82="111","SI","SD")</f><v /></c><c r="BI82" s="374"><f>IF(BG82="-1-1-1","SI","SD")</f><v /></c><c r="BJ82" s="374"><f>OR(BH82="SI",BI82="SI")</f><v /></c><c r="BK82" s="374"><f>IF(BJ82=FALSE,"SIGDIFERENTES","SIGIGUALES")</f><v /></c><c r="BL82" s="390"><f>IF(BC82="NO CONFORME","NO CONFORME",IF(BB82="CONFORME","CONFORME","NO CONFORME"))</f><v /></c></row><row r="83" ht="15" customHeight="1" thickBot="1"><c r="A83" s="351" t="n"><v>75</v></c><c r="B83" s="375"><f>B82</f><v /></c><c r="C83" s="375"><f>C82</f><v /></c><c r="D83" s="376"><f>D82</f><v /></c><c r="E83" s="377"><f>E82</f><v /></c><c r="F83" s="13" t="n" /><c r="G83" s="446" t="inlineStr"><is><t>PA25516775</t></is></c><c r="H83" s="313"><f>H82</f><v /></c><c r="I83" s="38"><f>I82</f><v /></c><c r="J83" s="314"><f>J82</f><v /></c><c r="K83" s="378"><f>K82</f><v /></c><c r="L83" s="378"><f>L82</f><v /></c><c r="M83" s="379" t="n"><v>90.65000000000001</v></c><c r="N83" s="379" t="n"><v>190.4</v></c><c r="O83" s="380"><f>O82</f><v /></c><c r="P83" s="381"><f>P82</f><v /></c><c r="Q83" s="382"><f>LEFT(P83,1)</f><v /></c><c r="R83" s="382"><f>RIGHT(P83,6)</f><v /></c><c r="S83" s="382"><f>+(Q83*60+R83)/(60*60)</f><v /></c><c r="T83" s="383"><f>+O83/S83</f><v /></c><c r="U83" s="384"><f>+(((N83-M83-O83)/O83)*100)</f><v /></c><c r="V83" s="317"><f>V82</f><v /></c><c r="W83" s="385"><f>W82</f><v /></c><c r="X83" s="385"><f>X82</f><v /></c><c r="Y83" s="379" t="n"><v>196.51</v></c><c r="Z83" s="379" t="n"><v>206.49</v></c><c r="AA83" s="386"><f>AA82</f><v /></c><c r="AB83" s="387"><f>AB82</f><v /></c><c r="AC83" s="382"><f>LEFT(AB83,2)</f><v /></c><c r="AD83" s="382"><f>RIGHT(AB83,6)</f><v /></c><c r="AE83" s="382"><f>+(AC83*60+AD83)/(60*60)</f><v /></c><c r="AF83" s="383"><f>+AA83/AE83</f><v /></c><c r="AG83" s="321"><f>+(((Z83-Y83-AA83)/AA83)*100)</f><v /></c><c r="AH83" s="317"><f>AH82</f><v /></c><c r="AI83" s="385"><f>AI82</f><v /></c><c r="AJ83" s="385"><f>AJ82</f><v /></c><c r="AK83" s="379"><f>Z83</f><v /></c><c r="AL83" s="379" t="n"><v>211.46</v></c><c r="AM83" s="388"><f>AM82</f><v /></c><c r="AN83" s="381"><f>AN82</f><v /></c><c r="AO83" s="382"><f>LEFT(AN83,2)</f><v /></c><c r="AP83" s="382"><f>RIGHT(AN83,6)</f><v /></c><c r="AQ83" s="382"><f>+(AO83*60+AP83)/(60*60)</f><v /></c><c r="AR83" s="383"><f>+AM83/AQ83</f><v /></c><c r="AS83" s="321"><f>+(((AL83-AK83-AM83)/AM83)*100)</f><v /></c><c r="AT83" s="389"><f>IF(I83&gt;=1,"NO CONFORME",IF(BK83="SIGDIFERENTES",BC83,BL83))</f><v /></c><c r="AU83" s="372"><f>B83=C83</f><v /></c><c r="AV83" s="372"><f>N83&lt;Y83</f><v /></c><c r="AW83" s="372"><f>Z83&lt;=AK83</f><v /></c><c r="AX83" s="372"><f>IF(I83&gt;=1,"Qcorrecto",IF(AND(AY83="aceptable",AZ83="aceptable",BA83="aceptable"),"Qcorrecto","Qincorrecto"))</f><v /></c><c r="AY83" s="390"><f>IF(AR83&lt;$AH$6,"error",IF(AR83&gt;$AH$6*1.1,"error","aceptable"))</f><v /></c><c r="AZ83" s="390"><f>IF(AF83&lt;$V$6,"error",IF(AF83&gt;$V$6*1.1,"error","aceptable"))</f><v /></c><c r="BA83" s="390"><f>IF(T83&lt;$J$6*0.9,"error",IF(T83&gt;$J$6,"error","aceptable"))</f><v /></c><c r="BB83" s="25"><f>(IF(ABS(U83)&lt;1.05,"CONFORME",IF(ABS(AG83)&lt;1.05,"CONFORME",IF(ABS(AS83)&lt;2.55,"CONFORME","NO CONFORME"))))</f><v /></c><c r="BC83" s="5"><f>(IF(ABS(U83)&gt;2.05,"NO CONFORME",IF(ABS(AG83)&gt;2.05,"NO CONFORME",IF(ABS(AS83)&gt;5.05,"NO CONFORME","CONFORME"))))</f><v /></c><c r="BD83" s="374"><f>SIGN(U83)</f><v /></c><c r="BE83" s="374"><f>SIGN(AG83)</f><v /></c><c r="BF83" s="374"><f>SIGN(AS83)</f><v /></c><c r="BG83" s="374"><f>CONCATENATE(BD83,BE83,BF83)</f><v /></c><c r="BH83" s="374"><f>IF(BG83="111","SI","SD")</f><v /></c><c r="BI83" s="374"><f>IF(BG83="-1-1-1","SI","SD")</f><v /></c><c r="BJ83" s="374"><f>OR(BH83="SI",BI83="SI")</f><v /></c><c r="BK83" s="374"><f>IF(BJ83=FALSE,"SIGDIFERENTES","SIGIGUALES")</f><v /></c><c r="BL83" s="390"><f>IF(BC83="NO CONFORME","NO CONFORME",IF(BB83="CONFORME","CONFORME","NO CONFORME"))</f><v /></c></row><row r="84" ht="15" customHeight="1" thickBot="1"><c r="A84" s="351" t="n"><v>76</v></c><c r="B84" s="375"><f>B83</f><v /></c><c r="C84" s="375"><f>C83</f><v /></c><c r="D84" s="376"><f>D83</f><v /></c><c r="E84" s="377"><f>E83</f><v /></c><c r="F84" s="13" t="n" /><c r="G84" s="446" t="inlineStr"><is><t>PA25516776</t></is></c><c r="H84" s="313"><f>H83</f><v /></c><c r="I84" s="38"><f>I83</f><v /></c><c r="J84" s="314"><f>J83</f><v /></c><c r="K84" s="378"><f>K83</f><v /></c><c r="L84" s="378"><f>L83</f><v /></c><c r="M84" s="379" t="n"><v>90.5</v></c><c r="N84" s="379" t="n"><v>190.5</v></c><c r="O84" s="380"><f>O83</f><v /></c><c r="P84" s="381"><f>P83</f><v /></c><c r="Q84" s="382"><f>LEFT(P84,1)</f><v /></c><c r="R84" s="382"><f>RIGHT(P84,6)</f><v /></c><c r="S84" s="382"><f>+(Q84*60+R84)/(60*60)</f><v /></c><c r="T84" s="383"><f>+O84/S84</f><v /></c><c r="U84" s="384"><f>+(((N84-M84-O84)/O84)*100)</f><v /></c><c r="V84" s="317"><f>V83</f><v /></c><c r="W84" s="385"><f>W83</f><v /></c><c r="X84" s="385"><f>X83</f><v /></c><c r="Y84" s="379" t="n"><v>196.63</v></c><c r="Z84" s="379" t="n"><v>206.62</v></c><c r="AA84" s="386"><f>AA83</f><v /></c><c r="AB84" s="387"><f>AB83</f><v /></c><c r="AC84" s="382"><f>LEFT(AB84,2)</f><v /></c><c r="AD84" s="382"><f>RIGHT(AB84,6)</f><v /></c><c r="AE84" s="382"><f>+(AC84*60+AD84)/(60*60)</f><v /></c><c r="AF84" s="383"><f>+AA84/AE84</f><v /></c><c r="AG84" s="321"><f>+(((Z84-Y84-AA84)/AA84)*100)</f><v /></c><c r="AH84" s="317"><f>AH83</f><v /></c><c r="AI84" s="385"><f>AI83</f><v /></c><c r="AJ84" s="385"><f>AJ83</f><v /></c><c r="AK84" s="379"><f>Z84</f><v /></c><c r="AL84" s="379" t="n"><v>211.65</v></c><c r="AM84" s="388"><f>AM83</f><v /></c><c r="AN84" s="381"><f>AN83</f><v /></c><c r="AO84" s="382"><f>LEFT(AN84,2)</f><v /></c><c r="AP84" s="382"><f>RIGHT(AN84,6)</f><v /></c><c r="AQ84" s="382"><f>+(AO84*60+AP84)/(60*60)</f><v /></c><c r="AR84" s="383"><f>+AM84/AQ84</f><v /></c><c r="AS84" s="321"><f>+(((AL84-AK84-AM84)/AM84)*100)</f><v /></c><c r="AT84" s="389"><f>IF(I84&gt;=1,"NO CONFORME",IF(BK84="SIGDIFERENTES",BC84,BL84))</f><v /></c><c r="AU84" s="372"><f>B84=C84</f><v /></c><c r="AV84" s="372"><f>N84&lt;Y84</f><v /></c><c r="AW84" s="372"><f>Z84&lt;=AK84</f><v /></c><c r="AX84" s="372"><f>IF(I84&gt;=1,"Qcorrecto",IF(AND(AY84="aceptable",AZ84="aceptable",BA84="aceptable"),"Qcorrecto","Qincorrecto"))</f><v /></c><c r="AY84" s="390"><f>IF(AR84&lt;$AH$6,"error",IF(AR84&gt;$AH$6*1.1,"error","aceptable"))</f><v /></c><c r="AZ84" s="390"><f>IF(AF84&lt;$V$6,"error",IF(AF84&gt;$V$6*1.1,"error","aceptable"))</f><v /></c><c r="BA84" s="390"><f>IF(T84&lt;$J$6*0.9,"error",IF(T84&gt;$J$6,"error","aceptable"))</f><v /></c><c r="BB84" s="25"><f>(IF(ABS(U84)&lt;1.05,"CONFORME",IF(ABS(AG84)&lt;1.05,"CONFORME",IF(ABS(AS84)&lt;2.55,"CONFORME","NO CONFORME"))))</f><v /></c><c r="BC84" s="5"><f>(IF(ABS(U84)&gt;2.05,"NO CONFORME",IF(ABS(AG84)&gt;2.05,"NO CONFORME",IF(ABS(AS84)&gt;5.05,"NO CONFORME","CONFORME"))))</f><v /></c><c r="BD84" s="374"><f>SIGN(U84)</f><v /></c><c r="BE84" s="374"><f>SIGN(AG84)</f><v /></c><c r="BF84" s="374"><f>SIGN(AS84)</f><v /></c><c r="BG84" s="374"><f>CONCATENATE(BD84,BE84,BF84)</f><v /></c><c r="BH84" s="374"><f>IF(BG84="111","SI","SD")</f><v /></c><c r="BI84" s="374"><f>IF(BG84="-1-1-1","SI","SD")</f><v /></c><c r="BJ84" s="374"><f>OR(BH84="SI",BI84="SI")</f><v /></c><c r="BK84" s="374"><f>IF(BJ84=FALSE,"SIGDIFERENTES","SIGIGUALES")</f><v /></c><c r="BL84" s="390"><f>IF(BC84="NO CONFORME","NO CONFORME",IF(BB84="CONFORME","CONFORME","NO CONFORME"))</f><v /></c></row><row r="85" ht="15" customHeight="1" thickBot="1"><c r="A85" s="351" t="n"><v>77</v></c><c r="B85" s="375"><f>B84</f><v /></c><c r="C85" s="375"><f>C84</f><v /></c><c r="D85" s="376"><f>D84</f><v /></c><c r="E85" s="377"><f>E84</f><v /></c><c r="F85" s="13" t="n" /><c r="G85" s="446" t="inlineStr"><is><t>PA25516777</t></is></c><c r="H85" s="313"><f>H84</f><v /></c><c r="I85" s="38"><f>I84</f><v /></c><c r="J85" s="314"><f>J84</f><v /></c><c r="K85" s="378"><f>K84</f><v /></c><c r="L85" s="378"><f>L84</f><v /></c><c r="M85" s="379" t="n"><v>91.2</v></c><c r="N85" s="379" t="n"><v>190.28</v></c><c r="O85" s="380"><f>O84</f><v /></c><c r="P85" s="381"><f>P84</f><v /></c><c r="Q85" s="382"><f>LEFT(P85,1)</f><v /></c><c r="R85" s="382"><f>RIGHT(P85,6)</f><v /></c><c r="S85" s="382"><f>+(Q85*60+R85)/(60*60)</f><v /></c><c r="T85" s="383"><f>+O85/S85</f><v /></c><c r="U85" s="384"><f>+(((N85-M85-O85)/O85)*100)</f><v /></c><c r="V85" s="317"><f>V84</f><v /></c><c r="W85" s="385"><f>W84</f><v /></c><c r="X85" s="385"><f>X84</f><v /></c><c r="Y85" s="379" t="n"><v>196.35</v></c><c r="Z85" s="379" t="n"><v>206.3</v></c><c r="AA85" s="386"><f>AA84</f><v /></c><c r="AB85" s="387"><f>AB84</f><v /></c><c r="AC85" s="382"><f>LEFT(AB85,2)</f><v /></c><c r="AD85" s="382"><f>RIGHT(AB85,6)</f><v /></c><c r="AE85" s="382"><f>+(AC85*60+AD85)/(60*60)</f><v /></c><c r="AF85" s="383"><f>+AA85/AE85</f><v /></c><c r="AG85" s="321"><f>+(((Z85-Y85-AA85)/AA85)*100)</f><v /></c><c r="AH85" s="317"><f>AH84</f><v /></c><c r="AI85" s="385"><f>AI84</f><v /></c><c r="AJ85" s="385"><f>AJ84</f><v /></c><c r="AK85" s="379"><f>Z85</f><v /></c><c r="AL85" s="379" t="n"><v>211.3</v></c><c r="AM85" s="388"><f>AM84</f><v /></c><c r="AN85" s="381"><f>AN84</f><v /></c><c r="AO85" s="382"><f>LEFT(AN85,2)</f><v /></c><c r="AP85" s="382"><f>RIGHT(AN85,6)</f><v /></c><c r="AQ85" s="382"><f>+(AO85*60+AP85)/(60*60)</f><v /></c><c r="AR85" s="383"><f>+AM85/AQ85</f><v /></c><c r="AS85" s="321"><f>+(((AL85-AK85-AM85)/AM85)*100)</f><v /></c><c r="AT85" s="389"><f>IF(I85&gt;=1,"NO CONFORME",IF(BK85="SIGDIFERENTES",BC85,BL85))</f><v /></c><c r="AU85" s="372"><f>B85=C85</f><v /></c><c r="AV85" s="372"><f>N85&lt;Y85</f><v /></c><c r="AW85" s="372"><f>Z85&lt;=AK85</f><v /></c><c r="AX85" s="372"><f>IF(I85&gt;=1,"Qcorrecto",IF(AND(AY85="aceptable",AZ85="aceptable",BA85="aceptable"),"Qcorrecto","Qincorrecto"))</f><v /></c><c r="AY85" s="390"><f>IF(AR85&lt;$AH$6,"error",IF(AR85&gt;$AH$6*1.1,"error","aceptable"))</f><v /></c><c r="AZ85" s="390"><f>IF(AF85&lt;$V$6,"error",IF(AF85&gt;$V$6*1.1,"error","aceptable"))</f><v /></c><c r="BA85" s="390"><f>IF(T85&lt;$J$6*0.9,"error",IF(T85&gt;$J$6,"error","aceptable"))</f><v /></c><c r="BB85" s="25"><f>(IF(ABS(U85)&lt;1.05,"CONFORME",IF(ABS(AG85)&lt;1.05,"CONFORME",IF(ABS(AS85)&lt;2.55,"CONFORME","NO CONFORME"))))</f><v /></c><c r="BC85" s="5"><f>(IF(ABS(U85)&gt;2.05,"NO CONFORME",IF(ABS(AG85)&gt;2.05,"NO CONFORME",IF(ABS(AS85)&gt;5.05,"NO CONFORME","CONFORME"))))</f><v /></c><c r="BD85" s="374"><f>SIGN(U85)</f><v /></c><c r="BE85" s="374"><f>SIGN(AG85)</f><v /></c><c r="BF85" s="374"><f>SIGN(AS85)</f><v /></c><c r="BG85" s="374"><f>CONCATENATE(BD85,BE85,BF85)</f><v /></c><c r="BH85" s="374"><f>IF(BG85="111","SI","SD")</f><v /></c><c r="BI85" s="374"><f>IF(BG85="-1-1-1","SI","SD")</f><v /></c><c r="BJ85" s="374"><f>OR(BH85="SI",BI85="SI")</f><v /></c><c r="BK85" s="374"><f>IF(BJ85=FALSE,"SIGDIFERENTES","SIGIGUALES")</f><v /></c><c r="BL85" s="390"><f>IF(BC85="NO CONFORME","NO CONFORME",IF(BB85="CONFORME","CONFORME","NO CONFORME"))</f><v /></c></row><row r="86" ht="15" customHeight="1" thickBot="1"><c r="A86" s="351" t="n"><v>78</v></c><c r="B86" s="375"><f>B85</f><v /></c><c r="C86" s="375"><f>C85</f><v /></c><c r="D86" s="376"><f>D85</f><v /></c><c r="E86" s="377"><f>E85</f><v /></c><c r="F86" s="13" t="n" /><c r="G86" s="446" t="inlineStr"><is><t>PA25516778</t></is></c><c r="H86" s="313"><f>H85</f><v /></c><c r="I86" s="38"><f>I85</f><v /></c><c r="J86" s="314"><f>J85</f><v /></c><c r="K86" s="378"><f>K85</f><v /></c><c r="L86" s="378"><f>L85</f><v /></c><c r="M86" s="379" t="n"><v>91.06</v></c><c r="N86" s="379" t="n"><v>190.17</v></c><c r="O86" s="380"><f>O85</f><v /></c><c r="P86" s="381"><f>P85</f><v /></c><c r="Q86" s="382"><f>LEFT(P86,1)</f><v /></c><c r="R86" s="382"><f>RIGHT(P86,6)</f><v /></c><c r="S86" s="382"><f>+(Q86*60+R86)/(60*60)</f><v /></c><c r="T86" s="383"><f>+O86/S86</f><v /></c><c r="U86" s="384"><f>+(((N86-M86-O86)/O86)*100)</f><v /></c><c r="V86" s="317"><f>V85</f><v /></c><c r="W86" s="385"><f>W85</f><v /></c><c r="X86" s="385"><f>X85</f><v /></c><c r="Y86" s="379" t="n"><v>196.25</v></c><c r="Z86" s="379" t="n"><v>206.19</v></c><c r="AA86" s="386"><f>AA85</f><v /></c><c r="AB86" s="387"><f>AB85</f><v /></c><c r="AC86" s="382"><f>LEFT(AB86,2)</f><v /></c><c r="AD86" s="382"><f>RIGHT(AB86,6)</f><v /></c><c r="AE86" s="382"><f>+(AC86*60+AD86)/(60*60)</f><v /></c><c r="AF86" s="383"><f>+AA86/AE86</f><v /></c><c r="AG86" s="321"><f>+(((Z86-Y86-AA86)/AA86)*100)</f><v /></c><c r="AH86" s="317"><f>AH85</f><v /></c><c r="AI86" s="385"><f>AI85</f><v /></c><c r="AJ86" s="385"><f>AJ85</f><v /></c><c r="AK86" s="379"><f>Z86</f><v /></c><c r="AL86" s="379" t="n"><v>211.13</v></c><c r="AM86" s="388"><f>AM85</f><v /></c><c r="AN86" s="381"><f>AN85</f><v /></c><c r="AO86" s="382"><f>LEFT(AN86,2)</f><v /></c><c r="AP86" s="382"><f>RIGHT(AN86,6)</f><v /></c><c r="AQ86" s="382"><f>+(AO86*60+AP86)/(60*60)</f><v /></c><c r="AR86" s="383"><f>+AM86/AQ86</f><v /></c><c r="AS86" s="321"><f>+(((AL86-AK86-AM86)/AM86)*100)</f><v /></c><c r="AT86" s="389"><f>IF(I86&gt;=1,"NO CONFORME",IF(BK86="SIGDIFERENTES",BC86,BL86))</f><v /></c><c r="AU86" s="372"><f>B86=C86</f><v /></c><c r="AV86" s="372"><f>N86&lt;Y86</f><v /></c><c r="AW86" s="372"><f>Z86&lt;=AK86</f><v /></c><c r="AX86" s="372"><f>IF(I86&gt;=1,"Qcorrecto",IF(AND(AY86="aceptable",AZ86="aceptable",BA86="aceptable"),"Qcorrecto","Qincorrecto"))</f><v /></c><c r="AY86" s="390"><f>IF(AR86&lt;$AH$6,"error",IF(AR86&gt;$AH$6*1.1,"error","aceptable"))</f><v /></c><c r="AZ86" s="390"><f>IF(AF86&lt;$V$6,"error",IF(AF86&gt;$V$6*1.1,"error","aceptable"))</f><v /></c><c r="BA86" s="390"><f>IF(T86&lt;$J$6*0.9,"error",IF(T86&gt;$J$6,"error","aceptable"))</f><v /></c><c r="BB86" s="25"><f>(IF(ABS(U86)&lt;1.05,"CONFORME",IF(ABS(AG86)&lt;1.05,"CONFORME",IF(ABS(AS86)&lt;2.55,"CONFORME","NO CONFORME"))))</f><v /></c><c r="BC86" s="5"><f>(IF(ABS(U86)&gt;2.05,"NO CONFORME",IF(ABS(AG86)&gt;2.05,"NO CONFORME",IF(ABS(AS86)&gt;5.05,"NO CONFORME","CONFORME"))))</f><v /></c><c r="BD86" s="374"><f>SIGN(U86)</f><v /></c><c r="BE86" s="374"><f>SIGN(AG86)</f><v /></c><c r="BF86" s="374"><f>SIGN(AS86)</f><v /></c><c r="BG86" s="374"><f>CONCATENATE(BD86,BE86,BF86)</f><v /></c><c r="BH86" s="374"><f>IF(BG86="111","SI","SD")</f><v /></c><c r="BI86" s="374"><f>IF(BG86="-1-1-1","SI","SD")</f><v /></c><c r="BJ86" s="374"><f>OR(BH86="SI",BI86="SI")</f><v /></c><c r="BK86" s="374"><f>IF(BJ86=FALSE,"SIGDIFERENTES","SIGIGUALES")</f><v /></c><c r="BL86" s="390"><f>IF(BC86="NO CONFORME","NO CONFORME",IF(BB86="CONFORME","CONFORME","NO CONFORME"))</f><v /></c></row><row r="87" ht="15" customHeight="1" thickBot="1"><c r="A87" s="351" t="n"><v>79</v></c><c r="B87" s="375"><f>B86</f><v /></c><c r="C87" s="375"><f>C86</f><v /></c><c r="D87" s="376"><f>D86</f><v /></c><c r="E87" s="377"><f>E86</f><v /></c><c r="F87" s="13" t="n" /><c r="G87" s="446" t="inlineStr"><is><t>PA25516779</t></is></c><c r="H87" s="313"><f>H86</f><v /></c><c r="I87" s="38"><f>I86</f><v /></c><c r="J87" s="314"><f>J86</f><v /></c><c r="K87" s="378"><f>K86</f><v /></c><c r="L87" s="378"><f>L86</f><v /></c><c r="M87" s="379" t="n"><v>91.15000000000001</v></c><c r="N87" s="379" t="n"><v>190.95</v></c><c r="O87" s="380"><f>O86</f><v /></c><c r="P87" s="381"><f>P86</f><v /></c><c r="Q87" s="382"><f>LEFT(P87,1)</f><v /></c><c r="R87" s="382"><f>RIGHT(P87,6)</f><v /></c><c r="S87" s="382"><f>+(Q87*60+R87)/(60*60)</f><v /></c><c r="T87" s="383"><f>+O87/S87</f><v /></c><c r="U87" s="384"><f>+(((N87-M87-O87)/O87)*100)</f><v /></c><c r="V87" s="317"><f>V86</f><v /></c><c r="W87" s="385"><f>W86</f><v /></c><c r="X87" s="385"><f>X86</f><v /></c><c r="Y87" s="379" t="n"><v>197.06</v></c><c r="Z87" s="379" t="n"><v>207.1</v></c><c r="AA87" s="386"><f>AA86</f><v /></c><c r="AB87" s="387"><f>AB86</f><v /></c><c r="AC87" s="382"><f>LEFT(AB87,2)</f><v /></c><c r="AD87" s="382"><f>RIGHT(AB87,6)</f><v /></c><c r="AE87" s="382"><f>+(AC87*60+AD87)/(60*60)</f><v /></c><c r="AF87" s="383"><f>+AA87/AE87</f><v /></c><c r="AG87" s="321"><f>+(((Z87-Y87-AA87)/AA87)*100)</f><v /></c><c r="AH87" s="317"><f>AH86</f><v /></c><c r="AI87" s="385"><f>AI86</f><v /></c><c r="AJ87" s="385"><f>AJ86</f><v /></c><c r="AK87" s="379"><f>Z87</f><v /></c><c r="AL87" s="379" t="n"><v>212.12</v></c><c r="AM87" s="388"><f>AM86</f><v /></c><c r="AN87" s="381"><f>AN86</f><v /></c><c r="AO87" s="382"><f>LEFT(AN87,2)</f><v /></c><c r="AP87" s="382"><f>RIGHT(AN87,6)</f><v /></c><c r="AQ87" s="382"><f>+(AO87*60+AP87)/(60*60)</f><v /></c><c r="AR87" s="383"><f>+AM87/AQ87</f><v /></c><c r="AS87" s="321"><f>+(((AL87-AK87-AM87)/AM87)*100)</f><v /></c><c r="AT87" s="389"><f>IF(I87&gt;=1,"NO CONFORME",IF(BK87="SIGDIFERENTES",BC87,BL87))</f><v /></c><c r="AU87" s="372"><f>B87=C87</f><v /></c><c r="AV87" s="372"><f>N87&lt;Y87</f><v /></c><c r="AW87" s="372"><f>Z87&lt;=AK87</f><v /></c><c r="AX87" s="372"><f>IF(I87&gt;=1,"Qcorrecto",IF(AND(AY87="aceptable",AZ87="aceptable",BA87="aceptable"),"Qcorrecto","Qincorrecto"))</f><v /></c><c r="AY87" s="390"><f>IF(AR87&lt;$AH$6,"error",IF(AR87&gt;$AH$6*1.1,"error","aceptable"))</f><v /></c><c r="AZ87" s="390"><f>IF(AF87&lt;$V$6,"error",IF(AF87&gt;$V$6*1.1,"error","aceptable"))</f><v /></c><c r="BA87" s="390"><f>IF(T87&lt;$J$6*0.9,"error",IF(T87&gt;$J$6,"error","aceptable"))</f><v /></c><c r="BB87" s="25"><f>(IF(ABS(U87)&lt;1.05,"CONFORME",IF(ABS(AG87)&lt;1.05,"CONFORME",IF(ABS(AS87)&lt;2.55,"CONFORME","NO CONFORME"))))</f><v /></c><c r="BC87" s="5"><f>(IF(ABS(U87)&gt;2.05,"NO CONFORME",IF(ABS(AG87)&gt;2.05,"NO CONFORME",IF(ABS(AS87)&gt;5.05,"NO CONFORME","CONFORME"))))</f><v /></c><c r="BD87" s="374"><f>SIGN(U87)</f><v /></c><c r="BE87" s="374"><f>SIGN(AG87)</f><v /></c><c r="BF87" s="374"><f>SIGN(AS87)</f><v /></c><c r="BG87" s="374"><f>CONCATENATE(BD87,BE87,BF87)</f><v /></c><c r="BH87" s="374"><f>IF(BG87="111","SI","SD")</f><v /></c><c r="BI87" s="374"><f>IF(BG87="-1-1-1","SI","SD")</f><v /></c><c r="BJ87" s="374"><f>OR(BH87="SI",BI87="SI")</f><v /></c><c r="BK87" s="374"><f>IF(BJ87=FALSE,"SIGDIFERENTES","SIGIGUALES")</f><v /></c><c r="BL87" s="390"><f>IF(BC87="NO CONFORME","NO CONFORME",IF(BB87="CONFORME","CONFORME","NO CONFORME"))</f><v /></c></row><row r="88" ht="15" customHeight="1" thickBot="1"><c r="A88" s="351" t="n"><v>80</v></c><c r="B88" s="375"><f>B87</f><v /></c><c r="C88" s="375"><f>C87</f><v /></c><c r="D88" s="376"><f>D87</f><v /></c><c r="E88" s="377"><f>E87</f><v /></c><c r="F88" s="13" t="n" /><c r="G88" s="446" t="inlineStr"><is><t>PA25516780</t></is></c><c r="H88" s="313"><f>H87</f><v /></c><c r="I88" s="38"><f>I87</f><v /></c><c r="J88" s="314"><f>J87</f><v /></c><c r="K88" s="378"><f>K87</f><v /></c><c r="L88" s="378"><f>L87</f><v /></c><c r="M88" s="379" t="n"><v>92.06</v></c><c r="N88" s="379" t="n"><v>191.96</v></c><c r="O88" s="380"><f>O87</f><v /></c><c r="P88" s="381"><f>P87</f><v /></c><c r="Q88" s="382"><f>LEFT(P88,1)</f><v /></c><c r="R88" s="382"><f>RIGHT(P88,6)</f><v /></c><c r="S88" s="382"><f>+(Q88*60+R88)/(60*60)</f><v /></c><c r="T88" s="383"><f>+O88/S88</f><v /></c><c r="U88" s="384"><f>+(((N88-M88-O88)/O88)*100)</f><v /></c><c r="V88" s="317"><f>V87</f><v /></c><c r="W88" s="385"><f>W87</f><v /></c><c r="X88" s="385"><f>X87</f><v /></c><c r="Y88" s="379" t="n"><v>198.06</v></c><c r="Z88" s="379" t="n"><v>208</v></c><c r="AA88" s="386"><f>AA87</f><v /></c><c r="AB88" s="387"><f>AB87</f><v /></c><c r="AC88" s="382"><f>LEFT(AB88,2)</f><v /></c><c r="AD88" s="382"><f>RIGHT(AB88,6)</f><v /></c><c r="AE88" s="382"><f>+(AC88*60+AD88)/(60*60)</f><v /></c><c r="AF88" s="383"><f>+AA88/AE88</f><v /></c><c r="AG88" s="321"><f>+(((Z88-Y88-AA88)/AA88)*100)</f><v /></c><c r="AH88" s="317"><f>AH87</f><v /></c><c r="AI88" s="385"><f>AI87</f><v /></c><c r="AJ88" s="385"><f>AJ87</f><v /></c><c r="AK88" s="379"><f>Z88</f><v /></c><c r="AL88" s="379" t="n"><v>213.01</v></c><c r="AM88" s="388"><f>AM87</f><v /></c><c r="AN88" s="381"><f>AN87</f><v /></c><c r="AO88" s="382"><f>LEFT(AN88,2)</f><v /></c><c r="AP88" s="382"><f>RIGHT(AN88,6)</f><v /></c><c r="AQ88" s="382"><f>+(AO88*60+AP88)/(60*60)</f><v /></c><c r="AR88" s="383"><f>+AM88/AQ88</f><v /></c><c r="AS88" s="321"><f>+(((AL88-AK88-AM88)/AM88)*100)</f><v /></c><c r="AT88" s="389"><f>IF(I88&gt;=1,"NO CONFORME",IF(BK88="SIGDIFERENTES",BC88,BL88))</f><v /></c><c r="AU88" s="372"><f>B88=C88</f><v /></c><c r="AV88" s="372"><f>N88&lt;Y88</f><v /></c><c r="AW88" s="372"><f>Z88&lt;=AK88</f><v /></c><c r="AX88" s="372"><f>IF(I88&gt;=1,"Qcorrecto",IF(AND(AY88="aceptable",AZ88="aceptable",BA88="aceptable"),"Qcorrecto","Qincorrecto"))</f><v /></c><c r="AY88" s="390"><f>IF(AR88&lt;$AH$6,"error",IF(AR88&gt;$AH$6*1.1,"error","aceptable"))</f><v /></c><c r="AZ88" s="390"><f>IF(AF88&lt;$V$6,"error",IF(AF88&gt;$V$6*1.1,"error","aceptable"))</f><v /></c><c r="BA88" s="390"><f>IF(T88&lt;$J$6*0.9,"error",IF(T88&gt;$J$6,"error","aceptable"))</f><v /></c><c r="BB88" s="25"><f>(IF(ABS(U88)&lt;1.05,"CONFORME",IF(ABS(AG88)&lt;1.05,"CONFORME",IF(ABS(AS88)&lt;2.55,"CONFORME","NO CONFORME"))))</f><v /></c><c r="BC88" s="5"><f>(IF(ABS(U88)&gt;2.05,"NO CONFORME",IF(ABS(AG88)&gt;2.05,"NO CONFORME",IF(ABS(AS88)&gt;5.05,"NO CONFORME","CONFORME"))))</f><v /></c><c r="BD88" s="374"><f>SIGN(U88)</f><v /></c><c r="BE88" s="374"><f>SIGN(AG88)</f><v /></c><c r="BF88" s="374"><f>SIGN(AS88)</f><v /></c><c r="BG88" s="374"><f>CONCATENATE(BD88,BE88,BF88)</f><v /></c><c r="BH88" s="374"><f>IF(BG88="111","SI","SD")</f><v /></c><c r="BI88" s="374"><f>IF(BG88="-1-1-1","SI","SD")</f><v /></c><c r="BJ88" s="374"><f>OR(BH88="SI",BI88="SI")</f><v /></c><c r="BK88" s="374"><f>IF(BJ88=FALSE,"SIGDIFERENTES","SIGIGUALES")</f><v /></c><c r="BL88" s="390"><f>IF(BC88="NO CONFORME","NO CONFORME",IF(BB88="CONFORME","CONFORME","NO CONFORME"))</f><v /></c></row><row r="89" ht="15" customHeight="1" thickBot="1"><c r="A89" s="351" t="n"><v>81</v></c><c r="B89" s="375"><f>B88</f><v /></c><c r="C89" s="375"><f>C88</f><v /></c><c r="D89" s="376"><f>D88</f><v /></c><c r="E89" s="377"><f>E88</f><v /></c><c r="F89" s="13" t="n" /><c r="G89" s="446" t="inlineStr"><is><t>PA25516781</t></is></c><c r="H89" s="313"><f>H88</f><v /></c><c r="I89" s="38"><f>I88</f><v /></c><c r="J89" s="314"><f>J88</f><v /></c><c r="K89" s="378"><f>K88</f><v /></c><c r="L89" s="378"><f>L88</f><v /></c><c r="M89" s="379" t="n"><v>93.75</v></c><c r="N89" s="379" t="n"><v>193.65</v></c><c r="O89" s="380"><f>O88</f><v /></c><c r="P89" s="381"><f>P88</f><v /></c><c r="Q89" s="382"><f>LEFT(P89,1)</f><v /></c><c r="R89" s="382"><f>RIGHT(P89,6)</f><v /></c><c r="S89" s="382"><f>+(Q89*60+R89)/(60*60)</f><v /></c><c r="T89" s="383"><f>+O89/S89</f><v /></c><c r="U89" s="384"><f>+(((N89-M89-O89)/O89)*100)</f><v /></c><c r="V89" s="317"><f>V88</f><v /></c><c r="W89" s="385"><f>W88</f><v /></c><c r="X89" s="385"><f>X88</f><v /></c><c r="Y89" s="379" t="n"><v>199.75</v></c><c r="Z89" s="379" t="n"><v>209.75</v></c><c r="AA89" s="386"><f>AA88</f><v /></c><c r="AB89" s="387"><f>AB88</f><v /></c><c r="AC89" s="382"><f>LEFT(AB89,2)</f><v /></c><c r="AD89" s="382"><f>RIGHT(AB89,6)</f><v /></c><c r="AE89" s="382"><f>+(AC89*60+AD89)/(60*60)</f><v /></c><c r="AF89" s="383"><f>+AA89/AE89</f><v /></c><c r="AG89" s="321"><f>+(((Z89-Y89-AA89)/AA89)*100)</f><v /></c><c r="AH89" s="317"><f>AH88</f><v /></c><c r="AI89" s="385"><f>AI88</f><v /></c><c r="AJ89" s="385"><f>AJ88</f><v /></c><c r="AK89" s="379"><f>Z89</f><v /></c><c r="AL89" s="379" t="n"><v>214.71</v></c><c r="AM89" s="388"><f>AM88</f><v /></c><c r="AN89" s="381"><f>AN88</f><v /></c><c r="AO89" s="382"><f>LEFT(AN89,2)</f><v /></c><c r="AP89" s="382"><f>RIGHT(AN89,6)</f><v /></c><c r="AQ89" s="382"><f>+(AO89*60+AP89)/(60*60)</f><v /></c><c r="AR89" s="383"><f>+AM89/AQ89</f><v /></c><c r="AS89" s="321"><f>+(((AL89-AK89-AM89)/AM89)*100)</f><v /></c><c r="AT89" s="389"><f>IF(I89&gt;=1,"NO CONFORME",IF(BK89="SIGDIFERENTES",BC89,BL89))</f><v /></c><c r="AU89" s="372"><f>B89=C89</f><v /></c><c r="AV89" s="372"><f>N89&lt;Y89</f><v /></c><c r="AW89" s="372"><f>Z89&lt;=AK89</f><v /></c><c r="AX89" s="372"><f>IF(I89&gt;=1,"Qcorrecto",IF(AND(AY89="aceptable",AZ89="aceptable",BA89="aceptable"),"Qcorrecto","Qincorrecto"))</f><v /></c><c r="AY89" s="390"><f>IF(AR89&lt;$AH$6,"error",IF(AR89&gt;$AH$6*1.1,"error","aceptable"))</f><v /></c><c r="AZ89" s="390"><f>IF(AF89&lt;$V$6,"error",IF(AF89&gt;$V$6*1.1,"error","aceptable"))</f><v /></c><c r="BA89" s="390"><f>IF(T89&lt;$J$6*0.9,"error",IF(T89&gt;$J$6,"error","aceptable"))</f><v /></c><c r="BB89" s="25"><f>(IF(ABS(U89)&lt;1.05,"CONFORME",IF(ABS(AG89)&lt;1.05,"CONFORME",IF(ABS(AS89)&lt;2.55,"CONFORME","NO CONFORME"))))</f><v /></c><c r="BC89" s="5"><f>(IF(ABS(U89)&gt;2.05,"NO CONFORME",IF(ABS(AG89)&gt;2.05,"NO CONFORME",IF(ABS(AS89)&gt;5.05,"NO CONFORME","CONFORME"))))</f><v /></c><c r="BD89" s="374"><f>SIGN(U89)</f><v /></c><c r="BE89" s="374"><f>SIGN(AG89)</f><v /></c><c r="BF89" s="374"><f>SIGN(AS89)</f><v /></c><c r="BG89" s="374"><f>CONCATENATE(BD89,BE89,BF89)</f><v /></c><c r="BH89" s="374"><f>IF(BG89="111","SI","SD")</f><v /></c><c r="BI89" s="374"><f>IF(BG89="-1-1-1","SI","SD")</f><v /></c><c r="BJ89" s="374"><f>OR(BH89="SI",BI89="SI")</f><v /></c><c r="BK89" s="374"><f>IF(BJ89=FALSE,"SIGDIFERENTES","SIGIGUALES")</f><v /></c><c r="BL89" s="390"><f>IF(BC89="NO CONFORME","NO CONFORME",IF(BB89="CONFORME","CONFORME","NO CONFORME"))</f><v /></c></row><row r="90" ht="15" customHeight="1" thickBot="1"><c r="A90" s="351" t="n"><v>82</v></c><c r="B90" s="375"><f>B89</f><v /></c><c r="C90" s="375"><f>C89</f><v /></c><c r="D90" s="376"><f>D89</f><v /></c><c r="E90" s="377"><f>E89</f><v /></c><c r="F90" s="13" t="n" /><c r="G90" s="446" t="inlineStr"><is><t>PA25516782</t></is></c><c r="H90" s="313"><f>H89</f><v /></c><c r="I90" s="38"><f>I89</f><v /></c><c r="J90" s="314"><f>J89</f><v /></c><c r="K90" s="378"><f>K89</f><v /></c><c r="L90" s="378"><f>L89</f><v /></c><c r="M90" s="379" t="n"><v>91.28</v></c><c r="N90" s="379" t="n"><v>190.7</v></c><c r="O90" s="380"><f>O89</f><v /></c><c r="P90" s="381"><f>P89</f><v /></c><c r="Q90" s="382"><f>LEFT(P90,1)</f><v /></c><c r="R90" s="382"><f>RIGHT(P90,6)</f><v /></c><c r="S90" s="382"><f>+(Q90*60+R90)/(60*60)</f><v /></c><c r="T90" s="383"><f>+O90/S90</f><v /></c><c r="U90" s="384"><f>+(((N90-M90-O90)/O90)*100)</f><v /></c><c r="V90" s="317"><f>V89</f><v /></c><c r="W90" s="385"><f>W89</f><v /></c><c r="X90" s="385"><f>X89</f><v /></c><c r="Y90" s="379" t="n"><v>196.8</v></c><c r="Z90" s="379" t="n"><v>206.77</v></c><c r="AA90" s="386"><f>AA89</f><v /></c><c r="AB90" s="387"><f>AB89</f><v /></c><c r="AC90" s="382"><f>LEFT(AB90,2)</f><v /></c><c r="AD90" s="382"><f>RIGHT(AB90,6)</f><v /></c><c r="AE90" s="382"><f>+(AC90*60+AD90)/(60*60)</f><v /></c><c r="AF90" s="383"><f>+AA90/AE90</f><v /></c><c r="AG90" s="321"><f>+(((Z90-Y90-AA90)/AA90)*100)</f><v /></c><c r="AH90" s="317"><f>AH89</f><v /></c><c r="AI90" s="385"><f>AI89</f><v /></c><c r="AJ90" s="385"><f>AJ89</f><v /></c><c r="AK90" s="379"><f>Z90</f><v /></c><c r="AL90" s="379" t="n"><v>211.78</v></c><c r="AM90" s="388"><f>AM89</f><v /></c><c r="AN90" s="381"><f>AN89</f><v /></c><c r="AO90" s="382"><f>LEFT(AN90,2)</f><v /></c><c r="AP90" s="382"><f>RIGHT(AN90,6)</f><v /></c><c r="AQ90" s="382"><f>+(AO90*60+AP90)/(60*60)</f><v /></c><c r="AR90" s="383"><f>+AM90/AQ90</f><v /></c><c r="AS90" s="321"><f>+(((AL90-AK90-AM90)/AM90)*100)</f><v /></c><c r="AT90" s="389"><f>IF(I90&gt;=1,"NO CONFORME",IF(BK90="SIGDIFERENTES",BC90,BL90))</f><v /></c><c r="AU90" s="372"><f>B90=C90</f><v /></c><c r="AV90" s="372"><f>N90&lt;Y90</f><v /></c><c r="AW90" s="372"><f>Z90&lt;=AK90</f><v /></c><c r="AX90" s="372"><f>IF(I90&gt;=1,"Qcorrecto",IF(AND(AY90="aceptable",AZ90="aceptable",BA90="aceptable"),"Qcorrecto","Qincorrecto"))</f><v /></c><c r="AY90" s="390"><f>IF(AR90&lt;$AH$6,"error",IF(AR90&gt;$AH$6*1.1,"error","aceptable"))</f><v /></c><c r="AZ90" s="390"><f>IF(AF90&lt;$V$6,"error",IF(AF90&gt;$V$6*1.1,"error","aceptable"))</f><v /></c><c r="BA90" s="390"><f>IF(T90&lt;$J$6*0.9,"error",IF(T90&gt;$J$6,"error","aceptable"))</f><v /></c><c r="BB90" s="25"><f>(IF(ABS(U90)&lt;1.05,"CONFORME",IF(ABS(AG90)&lt;1.05,"CONFORME",IF(ABS(AS90)&lt;2.55,"CONFORME","NO CONFORME"))))</f><v /></c><c r="BC90" s="5"><f>(IF(ABS(U90)&gt;2.05,"NO CONFORME",IF(ABS(AG90)&gt;2.05,"NO CONFORME",IF(ABS(AS90)&gt;5.05,"NO CONFORME","CONFORME"))))</f><v /></c><c r="BD90" s="374"><f>SIGN(U90)</f><v /></c><c r="BE90" s="374"><f>SIGN(AG90)</f><v /></c><c r="BF90" s="374"><f>SIGN(AS90)</f><v /></c><c r="BG90" s="374"><f>CONCATENATE(BD90,BE90,BF90)</f><v /></c><c r="BH90" s="374"><f>IF(BG90="111","SI","SD")</f><v /></c><c r="BI90" s="374"><f>IF(BG90="-1-1-1","SI","SD")</f><v /></c><c r="BJ90" s="374"><f>OR(BH90="SI",BI90="SI")</f><v /></c><c r="BK90" s="374"><f>IF(BJ90=FALSE,"SIGDIFERENTES","SIGIGUALES")</f><v /></c><c r="BL90" s="390"><f>IF(BC90="NO CONFORME","NO CONFORME",IF(BB90="CONFORME","CONFORME","NO CONFORME"))</f><v /></c></row><row r="91" ht="15" customHeight="1" thickBot="1"><c r="A91" s="351" t="n"><v>83</v></c><c r="B91" s="375"><f>B90</f><v /></c><c r="C91" s="375"><f>C90</f><v /></c><c r="D91" s="376"><f>D90</f><v /></c><c r="E91" s="377"><f>E90</f><v /></c><c r="F91" s="13" t="n" /><c r="G91" s="446" t="inlineStr"><is><t>PA25516783</t></is></c><c r="H91" s="313"><f>H90</f><v /></c><c r="I91" s="38"><f>I90</f><v /></c><c r="J91" s="314"><f>J90</f><v /></c><c r="K91" s="378"><f>K90</f><v /></c><c r="L91" s="378"><f>L90</f><v /></c><c r="M91" s="379" t="n"><v>91.81999999999999</v></c><c r="N91" s="379" t="n"><v>191.62</v></c><c r="O91" s="380"><f>O90</f><v /></c><c r="P91" s="381"><f>P90</f><v /></c><c r="Q91" s="382"><f>LEFT(P91,1)</f><v /></c><c r="R91" s="382"><f>RIGHT(P91,6)</f><v /></c><c r="S91" s="382"><f>+(Q91*60+R91)/(60*60)</f><v /></c><c r="T91" s="383"><f>+O91/S91</f><v /></c><c r="U91" s="384"><f>+(((N91-M91-O91)/O91)*100)</f><v /></c><c r="V91" s="317"><f>V90</f><v /></c><c r="W91" s="385"><f>W90</f><v /></c><c r="X91" s="385"><f>X90</f><v /></c><c r="Y91" s="379" t="n"><v>197.74</v></c><c r="Z91" s="379" t="n"><v>207.64</v></c><c r="AA91" s="386"><f>AA90</f><v /></c><c r="AB91" s="387"><f>AB90</f><v /></c><c r="AC91" s="382"><f>LEFT(AB91,2)</f><v /></c><c r="AD91" s="382"><f>RIGHT(AB91,6)</f><v /></c><c r="AE91" s="382"><f>+(AC91*60+AD91)/(60*60)</f><v /></c><c r="AF91" s="383"><f>+AA91/AE91</f><v /></c><c r="AG91" s="321"><f>+(((Z91-Y91-AA91)/AA91)*100)</f><v /></c><c r="AH91" s="317"><f>AH90</f><v /></c><c r="AI91" s="385"><f>AI90</f><v /></c><c r="AJ91" s="385"><f>AJ90</f><v /></c><c r="AK91" s="379"><f>Z91</f><v /></c><c r="AL91" s="379" t="n"><v>212.56</v></c><c r="AM91" s="388"><f>AM90</f><v /></c><c r="AN91" s="381"><f>AN90</f><v /></c><c r="AO91" s="382"><f>LEFT(AN91,2)</f><v /></c><c r="AP91" s="382"><f>RIGHT(AN91,6)</f><v /></c><c r="AQ91" s="382"><f>+(AO91*60+AP91)/(60*60)</f><v /></c><c r="AR91" s="383"><f>+AM91/AQ91</f><v /></c><c r="AS91" s="321"><f>+(((AL91-AK91-AM91)/AM91)*100)</f><v /></c><c r="AT91" s="389"><f>IF(I91&gt;=1,"NO CONFORME",IF(BK91="SIGDIFERENTES",BC91,BL91))</f><v /></c><c r="AU91" s="372"><f>B91=C91</f><v /></c><c r="AV91" s="372"><f>N91&lt;Y91</f><v /></c><c r="AW91" s="372"><f>Z91&lt;=AK91</f><v /></c><c r="AX91" s="372"><f>IF(I91&gt;=1,"Qcorrecto",IF(AND(AY91="aceptable",AZ91="aceptable",BA91="aceptable"),"Qcorrecto","Qincorrecto"))</f><v /></c><c r="AY91" s="390"><f>IF(AR91&lt;$AH$6,"error",IF(AR91&gt;$AH$6*1.1,"error","aceptable"))</f><v /></c><c r="AZ91" s="390"><f>IF(AF91&lt;$V$6,"error",IF(AF91&gt;$V$6*1.1,"error","aceptable"))</f><v /></c><c r="BA91" s="390"><f>IF(T91&lt;$J$6*0.9,"error",IF(T91&gt;$J$6,"error","aceptable"))</f><v /></c><c r="BB91" s="25"><f>(IF(ABS(U91)&lt;1.05,"CONFORME",IF(ABS(AG91)&lt;1.05,"CONFORME",IF(ABS(AS91)&lt;2.55,"CONFORME","NO CONFORME"))))</f><v /></c><c r="BC91" s="5"><f>(IF(ABS(U91)&gt;2.05,"NO CONFORME",IF(ABS(AG91)&gt;2.05,"NO CONFORME",IF(ABS(AS91)&gt;5.05,"NO CONFORME","CONFORME"))))</f><v /></c><c r="BD91" s="374"><f>SIGN(U91)</f><v /></c><c r="BE91" s="374"><f>SIGN(AG91)</f><v /></c><c r="BF91" s="374"><f>SIGN(AS91)</f><v /></c><c r="BG91" s="374"><f>CONCATENATE(BD91,BE91,BF91)</f><v /></c><c r="BH91" s="374"><f>IF(BG91="111","SI","SD")</f><v /></c><c r="BI91" s="374"><f>IF(BG91="-1-1-1","SI","SD")</f><v /></c><c r="BJ91" s="374"><f>OR(BH91="SI",BI91="SI")</f><v /></c><c r="BK91" s="374"><f>IF(BJ91=FALSE,"SIGDIFERENTES","SIGIGUALES")</f><v /></c><c r="BL91" s="390"><f>IF(BC91="NO CONFORME","NO CONFORME",IF(BB91="CONFORME","CONFORME","NO CONFORME"))</f><v /></c></row><row r="92" ht="15" customHeight="1" thickBot="1"><c r="A92" s="391" t="n"><v>84</v></c><c r="B92" s="392"><f>B91</f><v /></c><c r="C92" s="392"><f>C91</f><v /></c><c r="D92" s="393"><f>D91</f><v /></c><c r="E92" s="394"><f>E91</f><v /></c><c r="F92" s="52" t="n" /><c r="G92" s="446" t="inlineStr"><is><t>PA25516784</t></is></c><c r="H92" s="326"><f>H91</f><v /></c><c r="I92" s="98"><f>I91</f><v /></c><c r="J92" s="327"><f>J91</f><v /></c><c r="K92" s="396"><f>K91</f><v /></c><c r="L92" s="396"><f>L91</f><v /></c><c r="M92" s="397" t="n"><v>92.45</v></c><c r="N92" s="397" t="n"><v>192.2</v></c><c r="O92" s="398"><f>O91</f><v /></c><c r="P92" s="399"><f>P91</f><v /></c><c r="Q92" s="400"><f>LEFT(P92,1)</f><v /></c><c r="R92" s="400"><f>RIGHT(P92,6)</f><v /></c><c r="S92" s="400"><f>+(Q92*60+R92)/(60*60)</f><v /></c><c r="T92" s="401"><f>+O92/S92</f><v /></c><c r="U92" s="402"><f>+(((N92-M92-O92)/O92)*100)</f><v /></c><c r="V92" s="329"><f>V91</f><v /></c><c r="W92" s="403"><f>W91</f><v /></c><c r="X92" s="403"><f>X91</f><v /></c><c r="Y92" s="397" t="n"><v>198.29</v></c><c r="Z92" s="397" t="n"><v>208.23</v></c><c r="AA92" s="404"><f>AA91</f><v /></c><c r="AB92" s="405"><f>AB91</f><v /></c><c r="AC92" s="400"><f>LEFT(AB92,2)</f><v /></c><c r="AD92" s="400"><f>RIGHT(AB92,6)</f><v /></c><c r="AE92" s="400"><f>+(AC92*60+AD92)/(60*60)</f><v /></c><c r="AF92" s="401"><f>+AA92/AE92</f><v /></c><c r="AG92" s="406"><f>+(((Z92-Y92-AA92)/AA92)*100)</f><v /></c><c r="AH92" s="329"><f>AH91</f><v /></c><c r="AI92" s="403"><f>AI91</f><v /></c><c r="AJ92" s="403"><f>AJ91</f><v /></c><c r="AK92" s="397"><f>Z92</f><v /></c><c r="AL92" s="397" t="n"><v>213.25</v></c><c r="AM92" s="407"><f>AM91</f><v /></c><c r="AN92" s="399"><f>AN91</f><v /></c><c r="AO92" s="400"><f>LEFT(AN92,2)</f><v /></c><c r="AP92" s="400"><f>RIGHT(AN92,6)</f><v /></c><c r="AQ92" s="400"><f>+(AO92*60+AP92)/(60*60)</f><v /></c><c r="AR92" s="401"><f>+AM92/AQ92</f><v /></c><c r="AS92" s="406"><f>+(((AL92-AK92-AM92)/AM92)*100)</f><v /></c><c r="AT92" s="408"><f>IF(I92&gt;=1,"NO CONFORME",IF(BK92="SIGDIFERENTES",BC92,BL92))</f><v /></c><c r="AU92" s="409"><f>B92=C92</f><v /></c><c r="AV92" s="409"><f>N92&lt;Y92</f><v /></c><c r="AW92" s="409"><f>Z92&lt;=AK92</f><v /></c><c r="AX92" s="409"><f>IF(I92&gt;=1,"Qcorrecto",IF(AND(AY92="aceptable",AZ92="aceptable",BA92="aceptable"),"Qcorrecto","Qincorrecto"))</f><v /></c><c r="AY92" s="410"><f>IF(AR92&lt;$AH$6,"error",IF(AR92&gt;$AH$6*1.1,"error","aceptable"))</f><v /></c><c r="AZ92" s="410"><f>IF(AF92&lt;$V$6,"error",IF(AF92&gt;$V$6*1.1,"error","aceptable"))</f><v /></c><c r="BA92" s="410"><f>IF(T92&lt;$J$6*0.9,"error",IF(T92&gt;$J$6,"error","aceptable"))</f><v /></c><c r="BB92" s="411"><f>(IF(ABS(U92)&lt;1.05,"CONFORME",IF(ABS(AG92)&lt;1.05,"CONFORME",IF(ABS(AS92)&lt;2.55,"CONFORME","NO CONFORME"))))</f><v /></c><c r="BC92" s="412"><f>(IF(ABS(U92)&gt;2.05,"NO CONFORME",IF(ABS(AG92)&gt;2.05,"NO CONFORME",IF(ABS(AS92)&gt;5.05,"NO CONFORME","CONFORME"))))</f><v /></c><c r="BD92" s="413"><f>SIGN(U92)</f><v /></c><c r="BE92" s="413"><f>SIGN(AG92)</f><v /></c><c r="BF92" s="413"><f>SIGN(AS92)</f><v /></c><c r="BG92" s="413"><f>CONCATENATE(BD92,BE92,BF92)</f><v /></c><c r="BH92" s="413"><f>IF(BG92="111","SI","SD")</f><v /></c><c r="BI92" s="413"><f>IF(BG92="-1-1-1","SI","SD")</f><v /></c><c r="BJ92" s="413"><f>OR(BH92="SI",BI92="SI")</f><v /></c><c r="BK92" s="413"><f>IF(BJ92=FALSE,"SIGDIFERENTES","SIGIGUALES")</f><v /></c><c r="BL92" s="410"><f>IF(BC92="NO CONFORME","NO CONFORME",IF(BB92="CONFORME","CONFORME","NO CONFORME"))</f><v /></c></row><row r="93" ht="15" customHeight="1" thickBot="1"><c r="A93" s="351" t="n"><v>85</v></c><c r="B93" s="352"><f>B92</f><v /></c><c r="C93" s="352"><f>C92</f><v /></c><c r="D93" s="353"><f>D92</f><v /></c><c r="E93" s="354"><f>E92</f><v /></c><c r="F93" s="58" t="n" /><c r="G93" s="395" t="inlineStr"><is><t>PA25516785</t></is></c><c r="H93" s="356"><f>H92</f><v /></c><c r="I93" s="232"><f>I92</f><v /></c><c r="J93" s="357" t="n"><v>21</v></c><c r="K93" s="358" t="n"><v>8.209</v></c><c r="L93" s="358" t="n"><v>0.551</v></c><c r="M93" s="359" t="n"><v>154</v></c><c r="N93" s="359" t="n"><v>253.6</v></c><c r="O93" s="360" t="n"><v>100.45</v></c><c r="P93" s="361" t="inlineStr"><is><t>2,31,460</t></is></c><c r="Q93" s="362"><f>LEFT(P93,1)</f><v /></c><c r="R93" s="362"><f>RIGHT(P93,6)</f><v /></c><c r="S93" s="362"><f>+(Q93*60+R93)/(60*60)</f><v /></c><c r="T93" s="363"><f>+O93/S93</f><v /></c><c r="U93" s="364"><f>+(((N93-M93-O93)/O93)*100)</f><v /></c><c r="V93" s="365" t="n"><v>20.9</v></c><c r="W93" s="366" t="n"><v>1.076</v></c><c r="X93" s="366" t="n"><v>1.067</v></c><c r="Y93" s="359" t="n"><v>259.51</v></c><c r="Z93" s="359" t="n"><v>269.46</v></c><c r="AA93" s="367" t="n"><v>10.006</v></c><c r="AB93" s="368" t="inlineStr"><is><t>22,28,700</t></is></c><c r="AC93" s="362"><f>LEFT(AB93,2)</f><v /></c><c r="AD93" s="362"><f>RIGHT(AB93,6)</f><v /></c><c r="AE93" s="362"><f>+(AC93*60+AD93)/(60*60)</f><v /></c><c r="AF93" s="363"><f>+AA93/AE93</f><v /></c><c r="AG93" s="369"><f>+(((Z93-Y93-AA93)/AA93)*100)</f><v /></c><c r="AH93" s="365" t="n"><v>21</v></c><c r="AI93" s="366" t="n"><v>1.074</v></c><c r="AJ93" s="366" t="n"><v>1.068</v></c><c r="AK93" s="359"><f>Z93</f><v /></c><c r="AL93" s="359" t="n"><v>274.4</v></c><c r="AM93" s="370" t="n"><v>5.009</v></c><c r="AN93" s="361" t="inlineStr"><is><t>18,22,780</t></is></c><c r="AO93" s="362"><f>LEFT(AN93,2)</f><v /></c><c r="AP93" s="362"><f>RIGHT(AN93,6)</f><v /></c><c r="AQ93" s="362"><f>+(AO93*60+AP93)/(60*60)</f><v /></c><c r="AR93" s="363"><f>+AM93/AQ93</f><v /></c><c r="AS93" s="369"><f>+(((AL93-AK93-AM93)/AM93)*100)</f><v /></c><c r="AT93" s="371"><f>IF(I93&gt;=1,"NO CONFORME",IF(BK93="SIGDIFERENTES",BC93,BL93))</f><v /></c><c r="AU93" s="372"><f>B93=C93</f><v /></c><c r="AV93" s="372"><f>N93&lt;Y93</f><v /></c><c r="AW93" s="372"><f>Z93&lt;=AK93</f><v /></c><c r="AX93" s="372"><f>IF(I93&gt;=1,"Qcorrecto",IF(AND(AY93="aceptable",AZ93="aceptable",BA93="aceptable"),"Qcorrecto","Qincorrecto"))</f><v /></c><c r="AY93" s="373"><f>IF(AR93&lt;$AH$6,"error",IF(AR93&gt;$AH$6*1.1,"error","aceptable"))</f><v /></c><c r="AZ93" s="373"><f>IF(AF93&lt;$V$6,"error",IF(AF93&gt;$V$6*1.1,"error","aceptable"))</f><v /></c><c r="BA93" s="373"><f>IF(T93&lt;$J$6*0.9,"error",IF(T93&gt;$J$6,"error","aceptable"))</f><v /></c><c r="BB93" s="25"><f>(IF(ABS(U93)&lt;1.05,"CONFORME",IF(ABS(AG93)&lt;1.05,"CONFORME",IF(ABS(AS93)&lt;2.55,"CONFORME","NO CONFORME"))))</f><v /></c><c r="BC93" s="5"><f>(IF(ABS(U93)&gt;2.05,"NO CONFORME",IF(ABS(AG93)&gt;2.05,"NO CONFORME",IF(ABS(AS93)&gt;5.05,"NO CONFORME","CONFORME"))))</f><v /></c><c r="BD93" s="374"><f>SIGN(U93)</f><v /></c><c r="BE93" s="374"><f>SIGN(AG93)</f><v /></c><c r="BF93" s="374"><f>SIGN(AS93)</f><v /></c><c r="BG93" s="374"><f>CONCATENATE(BD93,BE93,BF93)</f><v /></c><c r="BH93" s="374"><f>IF(BG93="111","SI","SD")</f><v /></c><c r="BI93" s="374"><f>IF(BG93="-1-1-1","SI","SD")</f><v /></c><c r="BJ93" s="374"><f>OR(BH93="SI",BI93="SI")</f><v /></c><c r="BK93" s="374"><f>IF(BJ93=FALSE,"SIGDIFERENTES","SIGIGUALES")</f><v /></c><c r="BL93" s="373"><f>IF(BC93="NO CONFORME","NO CONFORME",IF(BB93="CONFORME","CONFORME","NO CONFORME"))</f><v /></c></row><row r="94" ht="15" customHeight="1" thickBot="1"><c r="A94" s="351" t="n"><v>86</v></c><c r="B94" s="375"><f>B93</f><v /></c><c r="C94" s="375"><f>C93</f><v /></c><c r="D94" s="376"><f>D93</f><v /></c><c r="E94" s="377"><f>E93</f><v /></c><c r="F94" s="13" t="n" /><c r="G94" s="446" t="inlineStr"><is><t>PA25516786</t></is></c><c r="H94" s="313"><f>H93</f><v /></c><c r="I94" s="38"><f>I93</f><v /></c><c r="J94" s="314"><f>J93</f><v /></c><c r="K94" s="378"><f>K93</f><v /></c><c r="L94" s="378"><f>L93</f><v /></c><c r="M94" s="379" t="n"><v>77.3</v></c><c r="N94" s="379" t="n"><v>176.61</v></c><c r="O94" s="380"><f>O93</f><v /></c><c r="P94" s="381"><f>P93</f><v /></c><c r="Q94" s="382"><f>LEFT(P94,1)</f><v /></c><c r="R94" s="382"><f>RIGHT(P94,6)</f><v /></c><c r="S94" s="382"><f>+(Q94*60+R94)/(60*60)</f><v /></c><c r="T94" s="383"><f>+O94/S94</f><v /></c><c r="U94" s="384"><f>+(((N94-M94-O94)/O94)*100)</f><v /></c><c r="V94" s="317"><f>V93</f><v /></c><c r="W94" s="385"><f>W93</f><v /></c><c r="X94" s="385"><f>X93</f><v /></c><c r="Y94" s="379" t="n"><v>182.54</v></c><c r="Z94" s="379" t="n"><v>192.49</v></c><c r="AA94" s="386"><f>AA93</f><v /></c><c r="AB94" s="387"><f>AB93</f><v /></c><c r="AC94" s="382"><f>LEFT(AB94,2)</f><v /></c><c r="AD94" s="382"><f>RIGHT(AB94,6)</f><v /></c><c r="AE94" s="382"><f>+(AC94*60+AD94)/(60*60)</f><v /></c><c r="AF94" s="383"><f>+AA94/AE94</f><v /></c><c r="AG94" s="321"><f>+(((Z94-Y94-AA94)/AA94)*100)</f><v /></c><c r="AH94" s="317"><f>AH93</f><v /></c><c r="AI94" s="385"><f>AI93</f><v /></c><c r="AJ94" s="385"><f>AJ93</f><v /></c><c r="AK94" s="379"><f>Z94</f><v /></c><c r="AL94" s="379" t="n"><v>197.46</v></c><c r="AM94" s="388"><f>AM93</f><v /></c><c r="AN94" s="381"><f>AN93</f><v /></c><c r="AO94" s="382"><f>LEFT(AN94,2)</f><v /></c><c r="AP94" s="382"><f>RIGHT(AN94,6)</f><v /></c><c r="AQ94" s="382"><f>+(AO94*60+AP94)/(60*60)</f><v /></c><c r="AR94" s="383"><f>+AM94/AQ94</f><v /></c><c r="AS94" s="321"><f>+(((AL94-AK94-AM94)/AM94)*100)</f><v /></c><c r="AT94" s="389"><f>IF(I94&gt;=1,"NO CONFORME",IF(BK94="SIGDIFERENTES",BC94,BL94))</f><v /></c><c r="AU94" s="372"><f>B94=C94</f><v /></c><c r="AV94" s="372"><f>N94&lt;Y94</f><v /></c><c r="AW94" s="372"><f>Z94&lt;=AK94</f><v /></c><c r="AX94" s="372"><f>IF(I94&gt;=1,"Qcorrecto",IF(AND(AY94="aceptable",AZ94="aceptable",BA94="aceptable"),"Qcorrecto","Qincorrecto"))</f><v /></c><c r="AY94" s="390"><f>IF(AR94&lt;$AH$6,"error",IF(AR94&gt;$AH$6*1.1,"error","aceptable"))</f><v /></c><c r="AZ94" s="390"><f>IF(AF94&lt;$V$6,"error",IF(AF94&gt;$V$6*1.1,"error","aceptable"))</f><v /></c><c r="BA94" s="390"><f>IF(T94&lt;$J$6*0.9,"error",IF(T94&gt;$J$6,"error","aceptable"))</f><v /></c><c r="BB94" s="25"><f>(IF(ABS(U94)&lt;1.05,"CONFORME",IF(ABS(AG94)&lt;1.05,"CONFORME",IF(ABS(AS94)&lt;2.55,"CONFORME","NO CONFORME"))))</f><v /></c><c r="BC94" s="5"><f>(IF(ABS(U94)&gt;2.05,"NO CONFORME",IF(ABS(AG94)&gt;2.05,"NO CONFORME",IF(ABS(AS94)&gt;5.05,"NO CONFORME","CONFORME"))))</f><v /></c><c r="BD94" s="374"><f>SIGN(U94)</f><v /></c><c r="BE94" s="374"><f>SIGN(AG94)</f><v /></c><c r="BF94" s="374"><f>SIGN(AS94)</f><v /></c><c r="BG94" s="374"><f>CONCATENATE(BD94,BE94,BF94)</f><v /></c><c r="BH94" s="374"><f>IF(BG94="111","SI","SD")</f><v /></c><c r="BI94" s="374"><f>IF(BG94="-1-1-1","SI","SD")</f><v /></c><c r="BJ94" s="374"><f>OR(BH94="SI",BI94="SI")</f><v /></c><c r="BK94" s="374"><f>IF(BJ94=FALSE,"SIGDIFERENTES","SIGIGUALES")</f><v /></c><c r="BL94" s="390"><f>IF(BC94="NO CONFORME","NO CONFORME",IF(BB94="CONFORME","CONFORME","NO CONFORME"))</f><v /></c></row><row r="95" ht="15" customHeight="1" thickBot="1"><c r="A95" s="351" t="n"><v>87</v></c><c r="B95" s="375"><f>B94</f><v /></c><c r="C95" s="375"><f>C94</f><v /></c><c r="D95" s="376"><f>D94</f><v /></c><c r="E95" s="377"><f>E94</f><v /></c><c r="F95" s="13" t="n" /><c r="G95" s="446" t="inlineStr"><is><t>PA25516787</t></is></c><c r="H95" s="313"><f>H94</f><v /></c><c r="I95" s="38"><f>I94</f><v /></c><c r="J95" s="314"><f>J94</f><v /></c><c r="K95" s="378"><f>K94</f><v /></c><c r="L95" s="378"><f>L94</f><v /></c><c r="M95" s="379" t="n"><v>77.19</v></c><c r="N95" s="379" t="n"><v>176.95</v></c><c r="O95" s="380"><f>O94</f><v /></c><c r="P95" s="381"><f>P94</f><v /></c><c r="Q95" s="382"><f>LEFT(P95,1)</f><v /></c><c r="R95" s="382"><f>RIGHT(P95,6)</f><v /></c><c r="S95" s="382"><f>+(Q95*60+R95)/(60*60)</f><v /></c><c r="T95" s="383"><f>+O95/S95</f><v /></c><c r="U95" s="384"><f>+(((N95-M95-O95)/O95)*100)</f><v /></c><c r="V95" s="317"><f>V94</f><v /></c><c r="W95" s="385"><f>W94</f><v /></c><c r="X95" s="385"><f>X94</f><v /></c><c r="Y95" s="379" t="n"><v>182.9</v></c><c r="Z95" s="379" t="n"><v>192.86</v></c><c r="AA95" s="386"><f>AA94</f><v /></c><c r="AB95" s="387"><f>AB94</f><v /></c><c r="AC95" s="382"><f>LEFT(AB95,2)</f><v /></c><c r="AD95" s="382"><f>RIGHT(AB95,6)</f><v /></c><c r="AE95" s="382"><f>+(AC95*60+AD95)/(60*60)</f><v /></c><c r="AF95" s="383"><f>+AA95/AE95</f><v /></c><c r="AG95" s="321"><f>+(((Z95-Y95-AA95)/AA95)*100)</f><v /></c><c r="AH95" s="317"><f>AH94</f><v /></c><c r="AI95" s="385"><f>AI94</f><v /></c><c r="AJ95" s="385"><f>AJ94</f><v /></c><c r="AK95" s="379"><f>Z95</f><v /></c><c r="AL95" s="379" t="n"><v>197.88</v></c><c r="AM95" s="388"><f>AM94</f><v /></c><c r="AN95" s="381"><f>AN94</f><v /></c><c r="AO95" s="382"><f>LEFT(AN95,2)</f><v /></c><c r="AP95" s="382"><f>RIGHT(AN95,6)</f><v /></c><c r="AQ95" s="382"><f>+(AO95*60+AP95)/(60*60)</f><v /></c><c r="AR95" s="383"><f>+AM95/AQ95</f><v /></c><c r="AS95" s="321"><f>+(((AL95-AK95-AM95)/AM95)*100)</f><v /></c><c r="AT95" s="389"><f>IF(I95&gt;=1,"NO CONFORME",IF(BK95="SIGDIFERENTES",BC95,BL95))</f><v /></c><c r="AU95" s="372"><f>B95=C95</f><v /></c><c r="AV95" s="372"><f>N95&lt;Y95</f><v /></c><c r="AW95" s="372"><f>Z95&lt;=AK95</f><v /></c><c r="AX95" s="372"><f>IF(I95&gt;=1,"Qcorrecto",IF(AND(AY95="aceptable",AZ95="aceptable",BA95="aceptable"),"Qcorrecto","Qincorrecto"))</f><v /></c><c r="AY95" s="390"><f>IF(AR95&lt;$AH$6,"error",IF(AR95&gt;$AH$6*1.1,"error","aceptable"))</f><v /></c><c r="AZ95" s="390"><f>IF(AF95&lt;$V$6,"error",IF(AF95&gt;$V$6*1.1,"error","aceptable"))</f><v /></c><c r="BA95" s="390"><f>IF(T95&lt;$J$6*0.9,"error",IF(T95&gt;$J$6,"error","aceptable"))</f><v /></c><c r="BB95" s="25"><f>(IF(ABS(U95)&lt;1.05,"CONFORME",IF(ABS(AG95)&lt;1.05,"CONFORME",IF(ABS(AS95)&lt;2.55,"CONFORME","NO CONFORME"))))</f><v /></c><c r="BC95" s="5"><f>(IF(ABS(U95)&gt;2.05,"NO CONFORME",IF(ABS(AG95)&gt;2.05,"NO CONFORME",IF(ABS(AS95)&gt;5.05,"NO CONFORME","CONFORME"))))</f><v /></c><c r="BD95" s="374"><f>SIGN(U95)</f><v /></c><c r="BE95" s="374"><f>SIGN(AG95)</f><v /></c><c r="BF95" s="374"><f>SIGN(AS95)</f><v /></c><c r="BG95" s="374"><f>CONCATENATE(BD95,BE95,BF95)</f><v /></c><c r="BH95" s="374"><f>IF(BG95="111","SI","SD")</f><v /></c><c r="BI95" s="374"><f>IF(BG95="-1-1-1","SI","SD")</f><v /></c><c r="BJ95" s="374"><f>OR(BH95="SI",BI95="SI")</f><v /></c><c r="BK95" s="374"><f>IF(BJ95=FALSE,"SIGDIFERENTES","SIGIGUALES")</f><v /></c><c r="BL95" s="390"><f>IF(BC95="NO CONFORME","NO CONFORME",IF(BB95="CONFORME","CONFORME","NO CONFORME"))</f><v /></c></row><row r="96" ht="15" customHeight="1" thickBot="1"><c r="A96" s="351" t="n"><v>88</v></c><c r="B96" s="375"><f>B95</f><v /></c><c r="C96" s="375"><f>C95</f><v /></c><c r="D96" s="376"><f>D95</f><v /></c><c r="E96" s="377"><f>E95</f><v /></c><c r="F96" s="13" t="n" /><c r="G96" s="446" t="inlineStr"><is><t>PA25516788</t></is></c><c r="H96" s="313"><f>H95</f><v /></c><c r="I96" s="38"><f>I95</f><v /></c><c r="J96" s="314"><f>J95</f><v /></c><c r="K96" s="378"><f>K95</f><v /></c><c r="L96" s="378"><f>L95</f><v /></c><c r="M96" s="379" t="n"><v>77.39</v></c><c r="N96" s="379" t="n"><v>176.39</v></c><c r="O96" s="380"><f>O95</f><v /></c><c r="P96" s="381"><f>P95</f><v /></c><c r="Q96" s="382"><f>LEFT(P96,1)</f><v /></c><c r="R96" s="382"><f>RIGHT(P96,6)</f><v /></c><c r="S96" s="382"><f>+(Q96*60+R96)/(60*60)</f><v /></c><c r="T96" s="383"><f>+O96/S96</f><v /></c><c r="U96" s="384"><f>+(((N96-M96-O96)/O96)*100)</f><v /></c><c r="V96" s="317"><f>V95</f><v /></c><c r="W96" s="385"><f>W95</f><v /></c><c r="X96" s="385"><f>X95</f><v /></c><c r="Y96" s="379" t="n"><v>182.3</v></c><c r="Z96" s="379" t="n"><v>192.25</v></c><c r="AA96" s="386"><f>AA95</f><v /></c><c r="AB96" s="387"><f>AB95</f><v /></c><c r="AC96" s="382"><f>LEFT(AB96,2)</f><v /></c><c r="AD96" s="382"><f>RIGHT(AB96,6)</f><v /></c><c r="AE96" s="382"><f>+(AC96*60+AD96)/(60*60)</f><v /></c><c r="AF96" s="383"><f>+AA96/AE96</f><v /></c><c r="AG96" s="321"><f>+(((Z96-Y96-AA96)/AA96)*100)</f><v /></c><c r="AH96" s="317"><f>AH95</f><v /></c><c r="AI96" s="385"><f>AI95</f><v /></c><c r="AJ96" s="385"><f>AJ95</f><v /></c><c r="AK96" s="379"><f>Z96</f><v /></c><c r="AL96" s="379" t="n"><v>197.26</v></c><c r="AM96" s="388"><f>AM95</f><v /></c><c r="AN96" s="381"><f>AN95</f><v /></c><c r="AO96" s="382"><f>LEFT(AN96,2)</f><v /></c><c r="AP96" s="382"><f>RIGHT(AN96,6)</f><v /></c><c r="AQ96" s="382"><f>+(AO96*60+AP96)/(60*60)</f><v /></c><c r="AR96" s="383"><f>+AM96/AQ96</f><v /></c><c r="AS96" s="321"><f>+(((AL96-AK96-AM96)/AM96)*100)</f><v /></c><c r="AT96" s="389"><f>IF(I96&gt;=1,"NO CONFORME",IF(BK96="SIGDIFERENTES",BC96,BL96))</f><v /></c><c r="AU96" s="372"><f>B96=C96</f><v /></c><c r="AV96" s="372"><f>N96&lt;Y96</f><v /></c><c r="AW96" s="372"><f>Z96&lt;=AK96</f><v /></c><c r="AX96" s="372"><f>IF(I96&gt;=1,"Qcorrecto",IF(AND(AY96="aceptable",AZ96="aceptable",BA96="aceptable"),"Qcorrecto","Qincorrecto"))</f><v /></c><c r="AY96" s="390"><f>IF(AR96&lt;$AH$6,"error",IF(AR96&gt;$AH$6*1.1,"error","aceptable"))</f><v /></c><c r="AZ96" s="390"><f>IF(AF96&lt;$V$6,"error",IF(AF96&gt;$V$6*1.1,"error","aceptable"))</f><v /></c><c r="BA96" s="390"><f>IF(T96&lt;$J$6*0.9,"error",IF(T96&gt;$J$6,"error","aceptable"))</f><v /></c><c r="BB96" s="25"><f>(IF(ABS(U96)&lt;1.05,"CONFORME",IF(ABS(AG96)&lt;1.05,"CONFORME",IF(ABS(AS96)&lt;2.55,"CONFORME","NO CONFORME"))))</f><v /></c><c r="BC96" s="5"><f>(IF(ABS(U96)&gt;2.05,"NO CONFORME",IF(ABS(AG96)&gt;2.05,"NO CONFORME",IF(ABS(AS96)&gt;5.05,"NO CONFORME","CONFORME"))))</f><v /></c><c r="BD96" s="374"><f>SIGN(U96)</f><v /></c><c r="BE96" s="374"><f>SIGN(AG96)</f><v /></c><c r="BF96" s="374"><f>SIGN(AS96)</f><v /></c><c r="BG96" s="374"><f>CONCATENATE(BD96,BE96,BF96)</f><v /></c><c r="BH96" s="374"><f>IF(BG96="111","SI","SD")</f><v /></c><c r="BI96" s="374"><f>IF(BG96="-1-1-1","SI","SD")</f><v /></c><c r="BJ96" s="374"><f>OR(BH96="SI",BI96="SI")</f><v /></c><c r="BK96" s="374"><f>IF(BJ96=FALSE,"SIGDIFERENTES","SIGIGUALES")</f><v /></c><c r="BL96" s="390"><f>IF(BC96="NO CONFORME","NO CONFORME",IF(BB96="CONFORME","CONFORME","NO CONFORME"))</f><v /></c></row><row r="97" ht="15" customHeight="1" thickBot="1"><c r="A97" s="351" t="n"><v>89</v></c><c r="B97" s="375"><f>B96</f><v /></c><c r="C97" s="375"><f>C96</f><v /></c><c r="D97" s="376"><f>D96</f><v /></c><c r="E97" s="377"><f>E96</f><v /></c><c r="F97" s="13" t="n" /><c r="G97" s="446" t="inlineStr"><is><t>PA25516789</t></is></c><c r="H97" s="313"><f>H96</f><v /></c><c r="I97" s="38"><f>I96</f><v /></c><c r="J97" s="314"><f>J96</f><v /></c><c r="K97" s="378"><f>K96</f><v /></c><c r="L97" s="378"><f>L96</f><v /></c><c r="M97" s="379" t="n"><v>78.59</v></c><c r="N97" s="379" t="n"><v>179</v></c><c r="O97" s="380"><f>O96</f><v /></c><c r="P97" s="381"><f>P96</f><v /></c><c r="Q97" s="382"><f>LEFT(P97,1)</f><v /></c><c r="R97" s="382"><f>RIGHT(P97,6)</f><v /></c><c r="S97" s="382"><f>+(Q97*60+R97)/(60*60)</f><v /></c><c r="T97" s="383"><f>+O97/S97</f><v /></c><c r="U97" s="384"><f>+(((N97-M97-O97)/O97)*100)</f><v /></c><c r="V97" s="317"><f>V96</f><v /></c><c r="W97" s="385"><f>W96</f><v /></c><c r="X97" s="385"><f>X96</f><v /></c><c r="Y97" s="379" t="n"><v>184.98</v></c><c r="Z97" s="379" t="n"><v>195</v></c><c r="AA97" s="386"><f>AA96</f><v /></c><c r="AB97" s="387"><f>AB96</f><v /></c><c r="AC97" s="382"><f>LEFT(AB97,2)</f><v /></c><c r="AD97" s="382"><f>RIGHT(AB97,6)</f><v /></c><c r="AE97" s="382"><f>+(AC97*60+AD97)/(60*60)</f><v /></c><c r="AF97" s="383"><f>+AA97/AE97</f><v /></c><c r="AG97" s="321"><f>+(((Z97-Y97-AA97)/AA97)*100)</f><v /></c><c r="AH97" s="317"><f>AH96</f><v /></c><c r="AI97" s="385"><f>AI96</f><v /></c><c r="AJ97" s="385"><f>AJ96</f><v /></c><c r="AK97" s="379"><f>Z97</f><v /></c><c r="AL97" s="379" t="n"><v>200</v></c><c r="AM97" s="388"><f>AM96</f><v /></c><c r="AN97" s="381"><f>AN96</f><v /></c><c r="AO97" s="382"><f>LEFT(AN97,2)</f><v /></c><c r="AP97" s="382"><f>RIGHT(AN97,6)</f><v /></c><c r="AQ97" s="382"><f>+(AO97*60+AP97)/(60*60)</f><v /></c><c r="AR97" s="383"><f>+AM97/AQ97</f><v /></c><c r="AS97" s="321"><f>+(((AL97-AK97-AM97)/AM97)*100)</f><v /></c><c r="AT97" s="389"><f>IF(I97&gt;=1,"NO CONFORME",IF(BK97="SIGDIFERENTES",BC97,BL97))</f><v /></c><c r="AU97" s="372"><f>B97=C97</f><v /></c><c r="AV97" s="372"><f>N97&lt;Y97</f><v /></c><c r="AW97" s="372"><f>Z97&lt;=AK97</f><v /></c><c r="AX97" s="372"><f>IF(I97&gt;=1,"Qcorrecto",IF(AND(AY97="aceptable",AZ97="aceptable",BA97="aceptable"),"Qcorrecto","Qincorrecto"))</f><v /></c><c r="AY97" s="390"><f>IF(AR97&lt;$AH$6,"error",IF(AR97&gt;$AH$6*1.1,"error","aceptable"))</f><v /></c><c r="AZ97" s="390"><f>IF(AF97&lt;$V$6,"error",IF(AF97&gt;$V$6*1.1,"error","aceptable"))</f><v /></c><c r="BA97" s="390"><f>IF(T97&lt;$J$6*0.9,"error",IF(T97&gt;$J$6,"error","aceptable"))</f><v /></c><c r="BB97" s="25"><f>(IF(ABS(U97)&lt;1.05,"CONFORME",IF(ABS(AG97)&lt;1.05,"CONFORME",IF(ABS(AS97)&lt;2.55,"CONFORME","NO CONFORME"))))</f><v /></c><c r="BC97" s="5"><f>(IF(ABS(U97)&gt;2.05,"NO CONFORME",IF(ABS(AG97)&gt;2.05,"NO CONFORME",IF(ABS(AS97)&gt;5.05,"NO CONFORME","CONFORME"))))</f><v /></c><c r="BD97" s="374"><f>SIGN(U97)</f><v /></c><c r="BE97" s="374"><f>SIGN(AG97)</f><v /></c><c r="BF97" s="374"><f>SIGN(AS97)</f><v /></c><c r="BG97" s="374"><f>CONCATENATE(BD97,BE97,BF97)</f><v /></c><c r="BH97" s="374"><f>IF(BG97="111","SI","SD")</f><v /></c><c r="BI97" s="374"><f>IF(BG97="-1-1-1","SI","SD")</f><v /></c><c r="BJ97" s="374"><f>OR(BH97="SI",BI97="SI")</f><v /></c><c r="BK97" s="374"><f>IF(BJ97=FALSE,"SIGDIFERENTES","SIGIGUALES")</f><v /></c><c r="BL97" s="390"><f>IF(BC97="NO CONFORME","NO CONFORME",IF(BB97="CONFORME","CONFORME","NO CONFORME"))</f><v /></c></row><row r="98" ht="15" customHeight="1" thickBot="1"><c r="A98" s="351" t="n"><v>90</v></c><c r="B98" s="375"><f>B97</f><v /></c><c r="C98" s="375"><f>C97</f><v /></c><c r="D98" s="376"><f>D97</f><v /></c><c r="E98" s="377"><f>E97</f><v /></c><c r="F98" s="13" t="n" /><c r="G98" s="446" t="inlineStr"><is><t>PA25516790</t></is></c><c r="H98" s="313"><f>H97</f><v /></c><c r="I98" s="38"><f>I97</f><v /></c><c r="J98" s="314"><f>J97</f><v /></c><c r="K98" s="378"><f>K97</f><v /></c><c r="L98" s="378"><f>L97</f><v /></c><c r="M98" s="379" t="n"><v>77.91</v></c><c r="N98" s="379" t="n"><v>178.1</v></c><c r="O98" s="380"><f>O97</f><v /></c><c r="P98" s="381"><f>P97</f><v /></c><c r="Q98" s="382"><f>LEFT(P98,1)</f><v /></c><c r="R98" s="382"><f>RIGHT(P98,6)</f><v /></c><c r="S98" s="382"><f>+(Q98*60+R98)/(60*60)</f><v /></c><c r="T98" s="383"><f>+O98/S98</f><v /></c><c r="U98" s="384"><f>+(((N98-M98-O98)/O98)*100)</f><v /></c><c r="V98" s="317"><f>V97</f><v /></c><c r="W98" s="385"><f>W97</f><v /></c><c r="X98" s="385"><f>X97</f><v /></c><c r="Y98" s="379" t="n"><v>184.05</v></c><c r="Z98" s="379" t="n"><v>194.03</v></c><c r="AA98" s="386"><f>AA97</f><v /></c><c r="AB98" s="387"><f>AB97</f><v /></c><c r="AC98" s="382"><f>LEFT(AB98,2)</f><v /></c><c r="AD98" s="382"><f>RIGHT(AB98,6)</f><v /></c><c r="AE98" s="382"><f>+(AC98*60+AD98)/(60*60)</f><v /></c><c r="AF98" s="383"><f>+AA98/AE98</f><v /></c><c r="AG98" s="321"><f>+(((Z98-Y98-AA98)/AA98)*100)</f><v /></c><c r="AH98" s="317"><f>AH97</f><v /></c><c r="AI98" s="385"><f>AI97</f><v /></c><c r="AJ98" s="385"><f>AJ97</f><v /></c><c r="AK98" s="379"><f>Z98</f><v /></c><c r="AL98" s="379" t="n"><v>199.04</v></c><c r="AM98" s="388"><f>AM97</f><v /></c><c r="AN98" s="381"><f>AN97</f><v /></c><c r="AO98" s="382"><f>LEFT(AN98,2)</f><v /></c><c r="AP98" s="382"><f>RIGHT(AN98,6)</f><v /></c><c r="AQ98" s="382"><f>+(AO98*60+AP98)/(60*60)</f><v /></c><c r="AR98" s="383"><f>+AM98/AQ98</f><v /></c><c r="AS98" s="321"><f>+(((AL98-AK98-AM98)/AM98)*100)</f><v /></c><c r="AT98" s="389"><f>IF(I98&gt;=1,"NO CONFORME",IF(BK98="SIGDIFERENTES",BC98,BL98))</f><v /></c><c r="AU98" s="372"><f>B98=C98</f><v /></c><c r="AV98" s="372"><f>N98&lt;Y98</f><v /></c><c r="AW98" s="372"><f>Z98&lt;=AK98</f><v /></c><c r="AX98" s="372"><f>IF(I98&gt;=1,"Qcorrecto",IF(AND(AY98="aceptable",AZ98="aceptable",BA98="aceptable"),"Qcorrecto","Qincorrecto"))</f><v /></c><c r="AY98" s="390"><f>IF(AR98&lt;$AH$6,"error",IF(AR98&gt;$AH$6*1.1,"error","aceptable"))</f><v /></c><c r="AZ98" s="390"><f>IF(AF98&lt;$V$6,"error",IF(AF98&gt;$V$6*1.1,"error","aceptable"))</f><v /></c><c r="BA98" s="390"><f>IF(T98&lt;$J$6*0.9,"error",IF(T98&gt;$J$6,"error","aceptable"))</f><v /></c><c r="BB98" s="25"><f>(IF(ABS(U98)&lt;1.05,"CONFORME",IF(ABS(AG98)&lt;1.05,"CONFORME",IF(ABS(AS98)&lt;2.55,"CONFORME","NO CONFORME"))))</f><v /></c><c r="BC98" s="5"><f>(IF(ABS(U98)&gt;2.05,"NO CONFORME",IF(ABS(AG98)&gt;2.05,"NO CONFORME",IF(ABS(AS98)&gt;5.05,"NO CONFORME","CONFORME"))))</f><v /></c><c r="BD98" s="374"><f>SIGN(U98)</f><v /></c><c r="BE98" s="374"><f>SIGN(AG98)</f><v /></c><c r="BF98" s="374"><f>SIGN(AS98)</f><v /></c><c r="BG98" s="374"><f>CONCATENATE(BD98,BE98,BF98)</f><v /></c><c r="BH98" s="374"><f>IF(BG98="111","SI","SD")</f><v /></c><c r="BI98" s="374"><f>IF(BG98="-1-1-1","SI","SD")</f><v /></c><c r="BJ98" s="374"><f>OR(BH98="SI",BI98="SI")</f><v /></c><c r="BK98" s="374"><f>IF(BJ98=FALSE,"SIGDIFERENTES","SIGIGUALES")</f><v /></c><c r="BL98" s="390"><f>IF(BC98="NO CONFORME","NO CONFORME",IF(BB98="CONFORME","CONFORME","NO CONFORME"))</f><v /></c></row><row r="99" ht="15" customHeight="1" thickBot="1"><c r="A99" s="351" t="n"><v>91</v></c><c r="B99" s="375"><f>B98</f><v /></c><c r="C99" s="375"><f>C98</f><v /></c><c r="D99" s="376"><f>D98</f><v /></c><c r="E99" s="377"><f>E98</f><v /></c><c r="F99" s="13" t="n" /><c r="G99" s="446" t="inlineStr"><is><t>PA25516791</t></is></c><c r="H99" s="313"><f>H98</f><v /></c><c r="I99" s="38"><f>I98</f><v /></c><c r="J99" s="314"><f>J98</f><v /></c><c r="K99" s="378"><f>K98</f><v /></c><c r="L99" s="378"><f>L98</f><v /></c><c r="M99" s="379" t="n"><v>78</v></c><c r="N99" s="379" t="n"><v>178.2</v></c><c r="O99" s="380"><f>O98</f><v /></c><c r="P99" s="381"><f>P98</f><v /></c><c r="Q99" s="382"><f>LEFT(P99,1)</f><v /></c><c r="R99" s="382"><f>RIGHT(P99,6)</f><v /></c><c r="S99" s="382"><f>+(Q99*60+R99)/(60*60)</f><v /></c><c r="T99" s="383"><f>+O99/S99</f><v /></c><c r="U99" s="384"><f>+(((N99-M99-O99)/O99)*100)</f><v /></c><c r="V99" s="317"><f>V98</f><v /></c><c r="W99" s="385"><f>W98</f><v /></c><c r="X99" s="385"><f>X98</f><v /></c><c r="Y99" s="379" t="n"><v>184.19</v></c><c r="Z99" s="379" t="n"><v>194.13</v></c><c r="AA99" s="386"><f>AA98</f><v /></c><c r="AB99" s="387"><f>AB98</f><v /></c><c r="AC99" s="382"><f>LEFT(AB99,2)</f><v /></c><c r="AD99" s="382"><f>RIGHT(AB99,6)</f><v /></c><c r="AE99" s="382"><f>+(AC99*60+AD99)/(60*60)</f><v /></c><c r="AF99" s="383"><f>+AA99/AE99</f><v /></c><c r="AG99" s="321"><f>+(((Z99-Y99-AA99)/AA99)*100)</f><v /></c><c r="AH99" s="317"><f>AH98</f><v /></c><c r="AI99" s="385"><f>AI98</f><v /></c><c r="AJ99" s="385"><f>AJ98</f><v /></c><c r="AK99" s="379"><f>Z99</f><v /></c><c r="AL99" s="379" t="n"><v>199.12</v></c><c r="AM99" s="388"><f>AM98</f><v /></c><c r="AN99" s="381"><f>AN98</f><v /></c><c r="AO99" s="382"><f>LEFT(AN99,2)</f><v /></c><c r="AP99" s="382"><f>RIGHT(AN99,6)</f><v /></c><c r="AQ99" s="382"><f>+(AO99*60+AP99)/(60*60)</f><v /></c><c r="AR99" s="383"><f>+AM99/AQ99</f><v /></c><c r="AS99" s="321"><f>+(((AL99-AK99-AM99)/AM99)*100)</f><v /></c><c r="AT99" s="389"><f>IF(I99&gt;=1,"NO CONFORME",IF(BK99="SIGDIFERENTES",BC99,BL99))</f><v /></c><c r="AU99" s="372"><f>B99=C99</f><v /></c><c r="AV99" s="372"><f>N99&lt;Y99</f><v /></c><c r="AW99" s="372"><f>Z99&lt;=AK99</f><v /></c><c r="AX99" s="372"><f>IF(I99&gt;=1,"Qcorrecto",IF(AND(AY99="aceptable",AZ99="aceptable",BA99="aceptable"),"Qcorrecto","Qincorrecto"))</f><v /></c><c r="AY99" s="390"><f>IF(AR99&lt;$AH$6,"error",IF(AR99&gt;$AH$6*1.1,"error","aceptable"))</f><v /></c><c r="AZ99" s="390"><f>IF(AF99&lt;$V$6,"error",IF(AF99&gt;$V$6*1.1,"error","aceptable"))</f><v /></c><c r="BA99" s="390"><f>IF(T99&lt;$J$6*0.9,"error",IF(T99&gt;$J$6,"error","aceptable"))</f><v /></c><c r="BB99" s="25"><f>(IF(ABS(U99)&lt;1.05,"CONFORME",IF(ABS(AG99)&lt;1.05,"CONFORME",IF(ABS(AS99)&lt;2.55,"CONFORME","NO CONFORME"))))</f><v /></c><c r="BC99" s="5"><f>(IF(ABS(U99)&gt;2.05,"NO CONFORME",IF(ABS(AG99)&gt;2.05,"NO CONFORME",IF(ABS(AS99)&gt;5.05,"NO CONFORME","CONFORME"))))</f><v /></c><c r="BD99" s="374"><f>SIGN(U99)</f><v /></c><c r="BE99" s="374"><f>SIGN(AG99)</f><v /></c><c r="BF99" s="374"><f>SIGN(AS99)</f><v /></c><c r="BG99" s="374"><f>CONCATENATE(BD99,BE99,BF99)</f><v /></c><c r="BH99" s="374"><f>IF(BG99="111","SI","SD")</f><v /></c><c r="BI99" s="374"><f>IF(BG99="-1-1-1","SI","SD")</f><v /></c><c r="BJ99" s="374"><f>OR(BH99="SI",BI99="SI")</f><v /></c><c r="BK99" s="374"><f>IF(BJ99=FALSE,"SIGDIFERENTES","SIGIGUALES")</f><v /></c><c r="BL99" s="390"><f>IF(BC99="NO CONFORME","NO CONFORME",IF(BB99="CONFORME","CONFORME","NO CONFORME"))</f><v /></c></row><row r="100" ht="15" customHeight="1" thickBot="1"><c r="A100" s="351" t="n"><v>92</v></c><c r="B100" s="375"><f>B99</f><v /></c><c r="C100" s="375"><f>C99</f><v /></c><c r="D100" s="376"><f>D99</f><v /></c><c r="E100" s="377"><f>E99</f><v /></c><c r="F100" s="13" t="n" /><c r="G100" s="446" t="inlineStr"><is><t>PA25516792</t></is></c><c r="H100" s="313"><f>H99</f><v /></c><c r="I100" s="38"><f>I99</f><v /></c><c r="J100" s="314"><f>J99</f><v /></c><c r="K100" s="378"><f>K99</f><v /></c><c r="L100" s="378"><f>L99</f><v /></c><c r="M100" s="379" t="n"><v>78.18000000000001</v></c><c r="N100" s="379" t="n"><v>178.28</v></c><c r="O100" s="380"><f>O99</f><v /></c><c r="P100" s="381"><f>P99</f><v /></c><c r="Q100" s="382"><f>LEFT(P100,1)</f><v /></c><c r="R100" s="382"><f>RIGHT(P100,6)</f><v /></c><c r="S100" s="382"><f>+(Q100*60+R100)/(60*60)</f><v /></c><c r="T100" s="383"><f>+O100/S100</f><v /></c><c r="U100" s="384"><f>+(((N100-M100-O100)/O100)*100)</f><v /></c><c r="V100" s="317"><f>V99</f><v /></c><c r="W100" s="385"><f>W99</f><v /></c><c r="X100" s="385"><f>X99</f><v /></c><c r="Y100" s="379" t="n"><v>184.2</v></c><c r="Z100" s="379" t="n"><v>194.07</v></c><c r="AA100" s="386"><f>AA99</f><v /></c><c r="AB100" s="387"><f>AB99</f><v /></c><c r="AC100" s="382"><f>LEFT(AB100,2)</f><v /></c><c r="AD100" s="382"><f>RIGHT(AB100,6)</f><v /></c><c r="AE100" s="382"><f>+(AC100*60+AD100)/(60*60)</f><v /></c><c r="AF100" s="383"><f>+AA100/AE100</f><v /></c><c r="AG100" s="321"><f>+(((Z100-Y100-AA100)/AA100)*100)</f><v /></c><c r="AH100" s="317"><f>AH99</f><v /></c><c r="AI100" s="385"><f>AI99</f><v /></c><c r="AJ100" s="385"><f>AJ99</f><v /></c><c r="AK100" s="379"><f>Z100</f><v /></c><c r="AL100" s="379" t="n"><v>198.98</v></c><c r="AM100" s="388"><f>AM99</f><v /></c><c r="AN100" s="381"><f>AN99</f><v /></c><c r="AO100" s="382"><f>LEFT(AN100,2)</f><v /></c><c r="AP100" s="382"><f>RIGHT(AN100,6)</f><v /></c><c r="AQ100" s="382"><f>+(AO100*60+AP100)/(60*60)</f><v /></c><c r="AR100" s="383"><f>+AM100/AQ100</f><v /></c><c r="AS100" s="321"><f>+(((AL100-AK100-AM100)/AM100)*100)</f><v /></c><c r="AT100" s="389"><f>IF(I100&gt;=1,"NO CONFORME",IF(BK100="SIGDIFERENTES",BC100,BL100))</f><v /></c><c r="AU100" s="372"><f>B100=C100</f><v /></c><c r="AV100" s="372"><f>N100&lt;Y100</f><v /></c><c r="AW100" s="372"><f>Z100&lt;=AK100</f><v /></c><c r="AX100" s="372"><f>IF(I100&gt;=1,"Qcorrecto",IF(AND(AY100="aceptable",AZ100="aceptable",BA100="aceptable"),"Qcorrecto","Qincorrecto"))</f><v /></c><c r="AY100" s="390"><f>IF(AR100&lt;$AH$6,"error",IF(AR100&gt;$AH$6*1.1,"error","aceptable"))</f><v /></c><c r="AZ100" s="390"><f>IF(AF100&lt;$V$6,"error",IF(AF100&gt;$V$6*1.1,"error","aceptable"))</f><v /></c><c r="BA100" s="390"><f>IF(T100&lt;$J$6*0.9,"error",IF(T100&gt;$J$6,"error","aceptable"))</f><v /></c><c r="BB100" s="25"><f>(IF(ABS(U100)&lt;1.05,"CONFORME",IF(ABS(AG100)&lt;1.05,"CONFORME",IF(ABS(AS100)&lt;2.55,"CONFORME","NO CONFORME"))))</f><v /></c><c r="BC100" s="5"><f>(IF(ABS(U100)&gt;2.05,"NO CONFORME",IF(ABS(AG100)&gt;2.05,"NO CONFORME",IF(ABS(AS100)&gt;5.05,"NO CONFORME","CONFORME"))))</f><v /></c><c r="BD100" s="374"><f>SIGN(U100)</f><v /></c><c r="BE100" s="374"><f>SIGN(AG100)</f><v /></c><c r="BF100" s="374"><f>SIGN(AS100)</f><v /></c><c r="BG100" s="374"><f>CONCATENATE(BD100,BE100,BF100)</f><v /></c><c r="BH100" s="374"><f>IF(BG100="111","SI","SD")</f><v /></c><c r="BI100" s="374"><f>IF(BG100="-1-1-1","SI","SD")</f><v /></c><c r="BJ100" s="374"><f>OR(BH100="SI",BI100="SI")</f><v /></c><c r="BK100" s="374"><f>IF(BJ100=FALSE,"SIGDIFERENTES","SIGIGUALES")</f><v /></c><c r="BL100" s="390"><f>IF(BC100="NO CONFORME","NO CONFORME",IF(BB100="CONFORME","CONFORME","NO CONFORME"))</f><v /></c></row><row r="101" ht="15" customHeight="1" thickBot="1"><c r="A101" s="351" t="n"><v>93</v></c><c r="B101" s="375"><f>B100</f><v /></c><c r="C101" s="375"><f>C100</f><v /></c><c r="D101" s="376"><f>D100</f><v /></c><c r="E101" s="377"><f>E100</f><v /></c><c r="F101" s="13" t="n" /><c r="G101" s="446" t="inlineStr"><is><t>PA25516793</t></is></c><c r="H101" s="313"><f>H100</f><v /></c><c r="I101" s="38"><f>I100</f><v /></c><c r="J101" s="314"><f>J100</f><v /></c><c r="K101" s="378"><f>K100</f><v /></c><c r="L101" s="378"><f>L100</f><v /></c><c r="M101" s="379" t="n"><v>80.04000000000001</v></c><c r="N101" s="379" t="n"><v>179.09</v></c><c r="O101" s="380"><f>O100</f><v /></c><c r="P101" s="381"><f>P100</f><v /></c><c r="Q101" s="382"><f>LEFT(P101,1)</f><v /></c><c r="R101" s="382"><f>RIGHT(P101,6)</f><v /></c><c r="S101" s="382"><f>+(Q101*60+R101)/(60*60)</f><v /></c><c r="T101" s="383"><f>+O101/S101</f><v /></c><c r="U101" s="384"><f>+(((N101-M101-O101)/O101)*100)</f><v /></c><c r="V101" s="317"><f>V100</f><v /></c><c r="W101" s="385"><f>W100</f><v /></c><c r="X101" s="385"><f>X100</f><v /></c><c r="Y101" s="379" t="n"><v>185</v></c><c r="Z101" s="379" t="n"><v>194.95</v></c><c r="AA101" s="386"><f>AA100</f><v /></c><c r="AB101" s="387"><f>AB100</f><v /></c><c r="AC101" s="382"><f>LEFT(AB101,2)</f><v /></c><c r="AD101" s="382"><f>RIGHT(AB101,6)</f><v /></c><c r="AE101" s="382"><f>+(AC101*60+AD101)/(60*60)</f><v /></c><c r="AF101" s="383"><f>+AA101/AE101</f><v /></c><c r="AG101" s="321"><f>+(((Z101-Y101-AA101)/AA101)*100)</f><v /></c><c r="AH101" s="317"><f>AH100</f><v /></c><c r="AI101" s="385"><f>AI100</f><v /></c><c r="AJ101" s="385"><f>AJ100</f><v /></c><c r="AK101" s="379"><f>Z101</f><v /></c><c r="AL101" s="379" t="n"><v>199.94</v></c><c r="AM101" s="388"><f>AM100</f><v /></c><c r="AN101" s="381"><f>AN100</f><v /></c><c r="AO101" s="382"><f>LEFT(AN101,2)</f><v /></c><c r="AP101" s="382"><f>RIGHT(AN101,6)</f><v /></c><c r="AQ101" s="382"><f>+(AO101*60+AP101)/(60*60)</f><v /></c><c r="AR101" s="383"><f>+AM101/AQ101</f><v /></c><c r="AS101" s="321"><f>+(((AL101-AK101-AM101)/AM101)*100)</f><v /></c><c r="AT101" s="389"><f>IF(I101&gt;=1,"NO CONFORME",IF(BK101="SIGDIFERENTES",BC101,BL101))</f><v /></c><c r="AU101" s="372"><f>B101=C101</f><v /></c><c r="AV101" s="372"><f>N101&lt;Y101</f><v /></c><c r="AW101" s="372"><f>Z101&lt;=AK101</f><v /></c><c r="AX101" s="372"><f>IF(I101&gt;=1,"Qcorrecto",IF(AND(AY101="aceptable",AZ101="aceptable",BA101="aceptable"),"Qcorrecto","Qincorrecto"))</f><v /></c><c r="AY101" s="390"><f>IF(AR101&lt;$AH$6,"error",IF(AR101&gt;$AH$6*1.1,"error","aceptable"))</f><v /></c><c r="AZ101" s="390"><f>IF(AF101&lt;$V$6,"error",IF(AF101&gt;$V$6*1.1,"error","aceptable"))</f><v /></c><c r="BA101" s="390"><f>IF(T101&lt;$J$6*0.9,"error",IF(T101&gt;$J$6,"error","aceptable"))</f><v /></c><c r="BB101" s="25"><f>(IF(ABS(U101)&lt;1.05,"CONFORME",IF(ABS(AG101)&lt;1.05,"CONFORME",IF(ABS(AS101)&lt;2.55,"CONFORME","NO CONFORME"))))</f><v /></c><c r="BC101" s="5"><f>(IF(ABS(U101)&gt;2.05,"NO CONFORME",IF(ABS(AG101)&gt;2.05,"NO CONFORME",IF(ABS(AS101)&gt;5.05,"NO CONFORME","CONFORME"))))</f><v /></c><c r="BD101" s="374"><f>SIGN(U101)</f><v /></c><c r="BE101" s="374"><f>SIGN(AG101)</f><v /></c><c r="BF101" s="374"><f>SIGN(AS101)</f><v /></c><c r="BG101" s="374"><f>CONCATENATE(BD101,BE101,BF101)</f><v /></c><c r="BH101" s="374"><f>IF(BG101="111","SI","SD")</f><v /></c><c r="BI101" s="374"><f>IF(BG101="-1-1-1","SI","SD")</f><v /></c><c r="BJ101" s="374"><f>OR(BH101="SI",BI101="SI")</f><v /></c><c r="BK101" s="374"><f>IF(BJ101=FALSE,"SIGDIFERENTES","SIGIGUALES")</f><v /></c><c r="BL101" s="390"><f>IF(BC101="NO CONFORME","NO CONFORME",IF(BB101="CONFORME","CONFORME","NO CONFORME"))</f><v /></c></row><row r="102" ht="15" customHeight="1" thickBot="1"><c r="A102" s="351" t="n"><v>94</v></c><c r="B102" s="375"><f>B101</f><v /></c><c r="C102" s="375"><f>C101</f><v /></c><c r="D102" s="376"><f>D101</f><v /></c><c r="E102" s="377"><f>E101</f><v /></c><c r="F102" s="13" t="n" /><c r="G102" s="446" t="inlineStr"><is><t>PA25516794</t></is></c><c r="H102" s="313"><f>H101</f><v /></c><c r="I102" s="38"><f>I101</f><v /></c><c r="J102" s="314"><f>J101</f><v /></c><c r="K102" s="378"><f>K101</f><v /></c><c r="L102" s="378"><f>L101</f><v /></c><c r="M102" s="379" t="n"><v>79.62</v></c><c r="N102" s="379" t="n"><v>178.86</v></c><c r="O102" s="380"><f>O101</f><v /></c><c r="P102" s="381"><f>P101</f><v /></c><c r="Q102" s="382"><f>LEFT(P102,1)</f><v /></c><c r="R102" s="382"><f>RIGHT(P102,6)</f><v /></c><c r="S102" s="382"><f>+(Q102*60+R102)/(60*60)</f><v /></c><c r="T102" s="383"><f>+O102/S102</f><v /></c><c r="U102" s="384"><f>+(((N102-M102-O102)/O102)*100)</f><v /></c><c r="V102" s="317"><f>V101</f><v /></c><c r="W102" s="385"><f>W101</f><v /></c><c r="X102" s="385"><f>X101</f><v /></c><c r="Y102" s="379" t="n"><v>184.76</v></c><c r="Z102" s="379" t="n"><v>194.76</v></c><c r="AA102" s="386"><f>AA101</f><v /></c><c r="AB102" s="387"><f>AB101</f><v /></c><c r="AC102" s="382"><f>LEFT(AB102,2)</f><v /></c><c r="AD102" s="382"><f>RIGHT(AB102,6)</f><v /></c><c r="AE102" s="382"><f>+(AC102*60+AD102)/(60*60)</f><v /></c><c r="AF102" s="383"><f>+AA102/AE102</f><v /></c><c r="AG102" s="321"><f>+(((Z102-Y102-AA102)/AA102)*100)</f><v /></c><c r="AH102" s="317"><f>AH101</f><v /></c><c r="AI102" s="385"><f>AI101</f><v /></c><c r="AJ102" s="385"><f>AJ101</f><v /></c><c r="AK102" s="379"><f>Z102</f><v /></c><c r="AL102" s="379" t="n"><v>199.75</v></c><c r="AM102" s="388"><f>AM101</f><v /></c><c r="AN102" s="381"><f>AN101</f><v /></c><c r="AO102" s="382"><f>LEFT(AN102,2)</f><v /></c><c r="AP102" s="382"><f>RIGHT(AN102,6)</f><v /></c><c r="AQ102" s="382"><f>+(AO102*60+AP102)/(60*60)</f><v /></c><c r="AR102" s="383"><f>+AM102/AQ102</f><v /></c><c r="AS102" s="321"><f>+(((AL102-AK102-AM102)/AM102)*100)</f><v /></c><c r="AT102" s="389"><f>IF(I102&gt;=1,"NO CONFORME",IF(BK102="SIGDIFERENTES",BC102,BL102))</f><v /></c><c r="AU102" s="372"><f>B102=C102</f><v /></c><c r="AV102" s="372"><f>N102&lt;Y102</f><v /></c><c r="AW102" s="372"><f>Z102&lt;=AK102</f><v /></c><c r="AX102" s="372"><f>IF(I102&gt;=1,"Qcorrecto",IF(AND(AY102="aceptable",AZ102="aceptable",BA102="aceptable"),"Qcorrecto","Qincorrecto"))</f><v /></c><c r="AY102" s="390"><f>IF(AR102&lt;$AH$6,"error",IF(AR102&gt;$AH$6*1.1,"error","aceptable"))</f><v /></c><c r="AZ102" s="390"><f>IF(AF102&lt;$V$6,"error",IF(AF102&gt;$V$6*1.1,"error","aceptable"))</f><v /></c><c r="BA102" s="390"><f>IF(T102&lt;$J$6*0.9,"error",IF(T102&gt;$J$6,"error","aceptable"))</f><v /></c><c r="BB102" s="25"><f>(IF(ABS(U102)&lt;1.05,"CONFORME",IF(ABS(AG102)&lt;1.05,"CONFORME",IF(ABS(AS102)&lt;2.55,"CONFORME","NO CONFORME"))))</f><v /></c><c r="BC102" s="5"><f>(IF(ABS(U102)&gt;2.05,"NO CONFORME",IF(ABS(AG102)&gt;2.05,"NO CONFORME",IF(ABS(AS102)&gt;5.05,"NO CONFORME","CONFORME"))))</f><v /></c><c r="BD102" s="374"><f>SIGN(U102)</f><v /></c><c r="BE102" s="374"><f>SIGN(AG102)</f><v /></c><c r="BF102" s="374"><f>SIGN(AS102)</f><v /></c><c r="BG102" s="374"><f>CONCATENATE(BD102,BE102,BF102)</f><v /></c><c r="BH102" s="374"><f>IF(BG102="111","SI","SD")</f><v /></c><c r="BI102" s="374"><f>IF(BG102="-1-1-1","SI","SD")</f><v /></c><c r="BJ102" s="374"><f>OR(BH102="SI",BI102="SI")</f><v /></c><c r="BK102" s="374"><f>IF(BJ102=FALSE,"SIGDIFERENTES","SIGIGUALES")</f><v /></c><c r="BL102" s="390"><f>IF(BC102="NO CONFORME","NO CONFORME",IF(BB102="CONFORME","CONFORME","NO CONFORME"))</f><v /></c></row><row r="103" ht="15" customHeight="1" thickBot="1"><c r="A103" s="351" t="n"><v>95</v></c><c r="B103" s="375"><f>B102</f><v /></c><c r="C103" s="375"><f>C102</f><v /></c><c r="D103" s="376"><f>D102</f><v /></c><c r="E103" s="377"><f>E102</f><v /></c><c r="F103" s="13" t="n" /><c r="G103" s="446" t="inlineStr"><is><t>PA25516795</t></is></c><c r="H103" s="313"><f>H102</f><v /></c><c r="I103" s="38"><f>I102</f><v /></c><c r="J103" s="314"><f>J102</f><v /></c><c r="K103" s="378"><f>K102</f><v /></c><c r="L103" s="378"><f>L102</f><v /></c><c r="M103" s="379" t="n"><v>79.90000000000001</v></c><c r="N103" s="379" t="n"><v>178.65</v></c><c r="O103" s="380"><f>O102</f><v /></c><c r="P103" s="381"><f>P102</f><v /></c><c r="Q103" s="382"><f>LEFT(P103,1)</f><v /></c><c r="R103" s="382"><f>RIGHT(P103,6)</f><v /></c><c r="S103" s="382"><f>+(Q103*60+R103)/(60*60)</f><v /></c><c r="T103" s="383"><f>+O103/S103</f><v /></c><c r="U103" s="384"><f>+(((N103-M103-O103)/O103)*100)</f><v /></c><c r="V103" s="317"><f>V102</f><v /></c><c r="W103" s="385"><f>W102</f><v /></c><c r="X103" s="385"><f>X102</f><v /></c><c r="Y103" s="379" t="n"><v>184.55</v></c><c r="Z103" s="379" t="n"><v>194.44</v></c><c r="AA103" s="386"><f>AA102</f><v /></c><c r="AB103" s="387"><f>AB102</f><v /></c><c r="AC103" s="382"><f>LEFT(AB103,2)</f><v /></c><c r="AD103" s="382"><f>RIGHT(AB103,6)</f><v /></c><c r="AE103" s="382"><f>+(AC103*60+AD103)/(60*60)</f><v /></c><c r="AF103" s="383"><f>+AA103/AE103</f><v /></c><c r="AG103" s="321"><f>+(((Z103-Y103-AA103)/AA103)*100)</f><v /></c><c r="AH103" s="317"><f>AH102</f><v /></c><c r="AI103" s="385"><f>AI102</f><v /></c><c r="AJ103" s="385"><f>AJ102</f><v /></c><c r="AK103" s="379"><f>Z103</f><v /></c><c r="AL103" s="379" t="n"><v>199.4</v></c><c r="AM103" s="388"><f>AM102</f><v /></c><c r="AN103" s="381"><f>AN102</f><v /></c><c r="AO103" s="382"><f>LEFT(AN103,2)</f><v /></c><c r="AP103" s="382"><f>RIGHT(AN103,6)</f><v /></c><c r="AQ103" s="382"><f>+(AO103*60+AP103)/(60*60)</f><v /></c><c r="AR103" s="383"><f>+AM103/AQ103</f><v /></c><c r="AS103" s="321"><f>+(((AL103-AK103-AM103)/AM103)*100)</f><v /></c><c r="AT103" s="389"><f>IF(I103&gt;=1,"NO CONFORME",IF(BK103="SIGDIFERENTES",BC103,BL103))</f><v /></c><c r="AU103" s="372"><f>B103=C103</f><v /></c><c r="AV103" s="372"><f>N103&lt;Y103</f><v /></c><c r="AW103" s="372"><f>Z103&lt;=AK103</f><v /></c><c r="AX103" s="372"><f>IF(I103&gt;=1,"Qcorrecto",IF(AND(AY103="aceptable",AZ103="aceptable",BA103="aceptable"),"Qcorrecto","Qincorrecto"))</f><v /></c><c r="AY103" s="390"><f>IF(AR103&lt;$AH$6,"error",IF(AR103&gt;$AH$6*1.1,"error","aceptable"))</f><v /></c><c r="AZ103" s="390"><f>IF(AF103&lt;$V$6,"error",IF(AF103&gt;$V$6*1.1,"error","aceptable"))</f><v /></c><c r="BA103" s="390"><f>IF(T103&lt;$J$6*0.9,"error",IF(T103&gt;$J$6,"error","aceptable"))</f><v /></c><c r="BB103" s="25"><f>(IF(ABS(U103)&lt;1.05,"CONFORME",IF(ABS(AG103)&lt;1.05,"CONFORME",IF(ABS(AS103)&lt;2.55,"CONFORME","NO CONFORME"))))</f><v /></c><c r="BC103" s="5"><f>(IF(ABS(U103)&gt;2.05,"NO CONFORME",IF(ABS(AG103)&gt;2.05,"NO CONFORME",IF(ABS(AS103)&gt;5.05,"NO CONFORME","CONFORME"))))</f><v /></c><c r="BD103" s="374"><f>SIGN(U103)</f><v /></c><c r="BE103" s="374"><f>SIGN(AG103)</f><v /></c><c r="BF103" s="374"><f>SIGN(AS103)</f><v /></c><c r="BG103" s="374"><f>CONCATENATE(BD103,BE103,BF103)</f><v /></c><c r="BH103" s="374"><f>IF(BG103="111","SI","SD")</f><v /></c><c r="BI103" s="374"><f>IF(BG103="-1-1-1","SI","SD")</f><v /></c><c r="BJ103" s="374"><f>OR(BH103="SI",BI103="SI")</f><v /></c><c r="BK103" s="374"><f>IF(BJ103=FALSE,"SIGDIFERENTES","SIGIGUALES")</f><v /></c><c r="BL103" s="390"><f>IF(BC103="NO CONFORME","NO CONFORME",IF(BB103="CONFORME","CONFORME","NO CONFORME"))</f><v /></c></row><row r="104" ht="15" customHeight="1" thickBot="1"><c r="A104" s="351" t="n"><v>96</v></c><c r="B104" s="375"><f>B103</f><v /></c><c r="C104" s="375"><f>C103</f><v /></c><c r="D104" s="376"><f>D103</f><v /></c><c r="E104" s="377"><f>E103</f><v /></c><c r="F104" s="13" t="n" /><c r="G104" s="446" t="inlineStr"><is><t>PA25516796</t></is></c><c r="H104" s="313"><f>H103</f><v /></c><c r="I104" s="38"><f>I103</f><v /></c><c r="J104" s="314"><f>J103</f><v /></c><c r="K104" s="378"><f>K103</f><v /></c><c r="L104" s="378"><f>L103</f><v /></c><c r="M104" s="379" t="n"><v>80</v></c><c r="N104" s="379" t="n"><v>179.35</v></c><c r="O104" s="380"><f>O103</f><v /></c><c r="P104" s="381"><f>P103</f><v /></c><c r="Q104" s="382"><f>LEFT(P104,1)</f><v /></c><c r="R104" s="382"><f>RIGHT(P104,6)</f><v /></c><c r="S104" s="382"><f>+(Q104*60+R104)/(60*60)</f><v /></c><c r="T104" s="383"><f>+O104/S104</f><v /></c><c r="U104" s="384"><f>+(((N104-M104-O104)/O104)*100)</f><v /></c><c r="V104" s="317"><f>V103</f><v /></c><c r="W104" s="385"><f>W103</f><v /></c><c r="X104" s="385"><f>X103</f><v /></c><c r="Y104" s="379" t="n"><v>185.26</v></c><c r="Z104" s="379" t="n"><v>195.22</v></c><c r="AA104" s="386"><f>AA103</f><v /></c><c r="AB104" s="387"><f>AB103</f><v /></c><c r="AC104" s="382"><f>LEFT(AB104,2)</f><v /></c><c r="AD104" s="382"><f>RIGHT(AB104,6)</f><v /></c><c r="AE104" s="382"><f>+(AC104*60+AD104)/(60*60)</f><v /></c><c r="AF104" s="383"><f>+AA104/AE104</f><v /></c><c r="AG104" s="321"><f>+(((Z104-Y104-AA104)/AA104)*100)</f><v /></c><c r="AH104" s="317"><f>AH103</f><v /></c><c r="AI104" s="385"><f>AI103</f><v /></c><c r="AJ104" s="385"><f>AJ103</f><v /></c><c r="AK104" s="379"><f>Z104</f><v /></c><c r="AL104" s="379" t="n"><v>200.29</v></c><c r="AM104" s="388"><f>AM103</f><v /></c><c r="AN104" s="381"><f>AN103</f><v /></c><c r="AO104" s="382"><f>LEFT(AN104,2)</f><v /></c><c r="AP104" s="382"><f>RIGHT(AN104,6)</f><v /></c><c r="AQ104" s="382"><f>+(AO104*60+AP104)/(60*60)</f><v /></c><c r="AR104" s="383"><f>+AM104/AQ104</f><v /></c><c r="AS104" s="321"><f>+(((AL104-AK104-AM104)/AM104)*100)</f><v /></c><c r="AT104" s="389"><f>IF(I104&gt;=1,"NO CONFORME",IF(BK104="SIGDIFERENTES",BC104,BL104))</f><v /></c><c r="AU104" s="372"><f>B104=C104</f><v /></c><c r="AV104" s="372"><f>N104&lt;Y104</f><v /></c><c r="AW104" s="372"><f>Z104&lt;=AK104</f><v /></c><c r="AX104" s="372"><f>IF(I104&gt;=1,"Qcorrecto",IF(AND(AY104="aceptable",AZ104="aceptable",BA104="aceptable"),"Qcorrecto","Qincorrecto"))</f><v /></c><c r="AY104" s="390"><f>IF(AR104&lt;$AH$6,"error",IF(AR104&gt;$AH$6*1.1,"error","aceptable"))</f><v /></c><c r="AZ104" s="390"><f>IF(AF104&lt;$V$6,"error",IF(AF104&gt;$V$6*1.1,"error","aceptable"))</f><v /></c><c r="BA104" s="390"><f>IF(T104&lt;$J$6*0.9,"error",IF(T104&gt;$J$6,"error","aceptable"))</f><v /></c><c r="BB104" s="25"><f>(IF(ABS(U104)&lt;1.05,"CONFORME",IF(ABS(AG104)&lt;1.05,"CONFORME",IF(ABS(AS104)&lt;2.55,"CONFORME","NO CONFORME"))))</f><v /></c><c r="BC104" s="5"><f>(IF(ABS(U104)&gt;2.05,"NO CONFORME",IF(ABS(AG104)&gt;2.05,"NO CONFORME",IF(ABS(AS104)&gt;5.05,"NO CONFORME","CONFORME"))))</f><v /></c><c r="BD104" s="374"><f>SIGN(U104)</f><v /></c><c r="BE104" s="374"><f>SIGN(AG104)</f><v /></c><c r="BF104" s="374"><f>SIGN(AS104)</f><v /></c><c r="BG104" s="374"><f>CONCATENATE(BD104,BE104,BF104)</f><v /></c><c r="BH104" s="374"><f>IF(BG104="111","SI","SD")</f><v /></c><c r="BI104" s="374"><f>IF(BG104="-1-1-1","SI","SD")</f><v /></c><c r="BJ104" s="374"><f>OR(BH104="SI",BI104="SI")</f><v /></c><c r="BK104" s="374"><f>IF(BJ104=FALSE,"SIGDIFERENTES","SIGIGUALES")</f><v /></c><c r="BL104" s="390"><f>IF(BC104="NO CONFORME","NO CONFORME",IF(BB104="CONFORME","CONFORME","NO CONFORME"))</f><v /></c></row><row r="105" ht="15" customHeight="1" thickBot="1"><c r="A105" s="351" t="n"><v>97</v></c><c r="B105" s="375"><f>B104</f><v /></c><c r="C105" s="375"><f>C104</f><v /></c><c r="D105" s="376"><f>D104</f><v /></c><c r="E105" s="377"><f>E104</f><v /></c><c r="F105" s="13" t="n" /><c r="G105" s="446" t="inlineStr"><is><t>PA25516797</t></is></c><c r="H105" s="313"><f>H104</f><v /></c><c r="I105" s="38"><f>I104</f><v /></c><c r="J105" s="314"><f>J104</f><v /></c><c r="K105" s="378"><f>K104</f><v /></c><c r="L105" s="378"><f>L104</f><v /></c><c r="M105" s="379" t="n"><v>81.28</v></c><c r="N105" s="379" t="n"><v>181.04</v></c><c r="O105" s="380"><f>O104</f><v /></c><c r="P105" s="381"><f>P104</f><v /></c><c r="Q105" s="382"><f>LEFT(P105,1)</f><v /></c><c r="R105" s="382"><f>RIGHT(P105,6)</f><v /></c><c r="S105" s="382"><f>+(Q105*60+R105)/(60*60)</f><v /></c><c r="T105" s="383"><f>+O105/S105</f><v /></c><c r="U105" s="384"><f>+(((N105-M105-O105)/O105)*100)</f><v /></c><c r="V105" s="317"><f>V104</f><v /></c><c r="W105" s="385"><f>W104</f><v /></c><c r="X105" s="385"><f>X104</f><v /></c><c r="Y105" s="379" t="n"><v>186.95</v></c><c r="Z105" s="379" t="n"><v>196.88</v></c><c r="AA105" s="386"><f>AA104</f><v /></c><c r="AB105" s="387"><f>AB104</f><v /></c><c r="AC105" s="382"><f>LEFT(AB105,2)</f><v /></c><c r="AD105" s="382"><f>RIGHT(AB105,6)</f><v /></c><c r="AE105" s="382"><f>+(AC105*60+AD105)/(60*60)</f><v /></c><c r="AF105" s="383"><f>+AA105/AE105</f><v /></c><c r="AG105" s="321"><f>+(((Z105-Y105-AA105)/AA105)*100)</f><v /></c><c r="AH105" s="317"><f>AH104</f><v /></c><c r="AI105" s="385"><f>AI104</f><v /></c><c r="AJ105" s="385"><f>AJ104</f><v /></c><c r="AK105" s="379"><f>Z105</f><v /></c><c r="AL105" s="379" t="n"><v>201.83</v></c><c r="AM105" s="388"><f>AM104</f><v /></c><c r="AN105" s="381"><f>AN104</f><v /></c><c r="AO105" s="382"><f>LEFT(AN105,2)</f><v /></c><c r="AP105" s="382"><f>RIGHT(AN105,6)</f><v /></c><c r="AQ105" s="382"><f>+(AO105*60+AP105)/(60*60)</f><v /></c><c r="AR105" s="383"><f>+AM105/AQ105</f><v /></c><c r="AS105" s="321"><f>+(((AL105-AK105-AM105)/AM105)*100)</f><v /></c><c r="AT105" s="389"><f>IF(I105&gt;=1,"NO CONFORME",IF(BK105="SIGDIFERENTES",BC105,BL105))</f><v /></c><c r="AU105" s="372"><f>B105=C105</f><v /></c><c r="AV105" s="372"><f>N105&lt;Y105</f><v /></c><c r="AW105" s="372"><f>Z105&lt;=AK105</f><v /></c><c r="AX105" s="372"><f>IF(I105&gt;=1,"Qcorrecto",IF(AND(AY105="aceptable",AZ105="aceptable",BA105="aceptable"),"Qcorrecto","Qincorrecto"))</f><v /></c><c r="AY105" s="390"><f>IF(AR105&lt;$AH$6,"error",IF(AR105&gt;$AH$6*1.1,"error","aceptable"))</f><v /></c><c r="AZ105" s="390"><f>IF(AF105&lt;$V$6,"error",IF(AF105&gt;$V$6*1.1,"error","aceptable"))</f><v /></c><c r="BA105" s="390"><f>IF(T105&lt;$J$6*0.9,"error",IF(T105&gt;$J$6,"error","aceptable"))</f><v /></c><c r="BB105" s="25"><f>(IF(ABS(U105)&lt;1.05,"CONFORME",IF(ABS(AG105)&lt;1.05,"CONFORME",IF(ABS(AS105)&lt;2.55,"CONFORME","NO CONFORME"))))</f><v /></c><c r="BC105" s="5"><f>(IF(ABS(U105)&gt;2.05,"NO CONFORME",IF(ABS(AG105)&gt;2.05,"NO CONFORME",IF(ABS(AS105)&gt;5.05,"NO CONFORME","CONFORME"))))</f><v /></c><c r="BD105" s="374"><f>SIGN(U105)</f><v /></c><c r="BE105" s="374"><f>SIGN(AG105)</f><v /></c><c r="BF105" s="374"><f>SIGN(AS105)</f><v /></c><c r="BG105" s="374"><f>CONCATENATE(BD105,BE105,BF105)</f><v /></c><c r="BH105" s="374"><f>IF(BG105="111","SI","SD")</f><v /></c><c r="BI105" s="374"><f>IF(BG105="-1-1-1","SI","SD")</f><v /></c><c r="BJ105" s="374"><f>OR(BH105="SI",BI105="SI")</f><v /></c><c r="BK105" s="374"><f>IF(BJ105=FALSE,"SIGDIFERENTES","SIGIGUALES")</f><v /></c><c r="BL105" s="390"><f>IF(BC105="NO CONFORME","NO CONFORME",IF(BB105="CONFORME","CONFORME","NO CONFORME"))</f><v /></c></row><row r="106" ht="15" customHeight="1" thickBot="1"><c r="A106" s="351" t="n"><v>98</v></c><c r="B106" s="375"><f>B105</f><v /></c><c r="C106" s="375"><f>C105</f><v /></c><c r="D106" s="376"><f>D105</f><v /></c><c r="E106" s="377"><f>E105</f><v /></c><c r="F106" s="13" t="n" /><c r="G106" s="446" t="inlineStr"><is><t>PA25516798</t></is></c><c r="H106" s="313"><f>H105</f><v /></c><c r="I106" s="38"><f>I105</f><v /></c><c r="J106" s="314"><f>J105</f><v /></c><c r="K106" s="378"><f>K105</f><v /></c><c r="L106" s="378"><f>L105</f><v /></c><c r="M106" s="379" t="n"><v>78.8</v></c><c r="N106" s="379" t="n"><v>179.4</v></c><c r="O106" s="380"><f>O105</f><v /></c><c r="P106" s="381"><f>P105</f><v /></c><c r="Q106" s="382"><f>LEFT(P106,1)</f><v /></c><c r="R106" s="382"><f>RIGHT(P106,6)</f><v /></c><c r="S106" s="382"><f>+(Q106*60+R106)/(60*60)</f><v /></c><c r="T106" s="383"><f>+O106/S106</f><v /></c><c r="U106" s="384"><f>+(((N106-M106-O106)/O106)*100)</f><v /></c><c r="V106" s="317"><f>V105</f><v /></c><c r="W106" s="385"><f>W105</f><v /></c><c r="X106" s="385"><f>X105</f><v /></c><c r="Y106" s="379" t="n"><v>185.35</v></c><c r="Z106" s="379" t="n"><v>195.4</v></c><c r="AA106" s="386"><f>AA105</f><v /></c><c r="AB106" s="387"><f>AB105</f><v /></c><c r="AC106" s="382"><f>LEFT(AB106,2)</f><v /></c><c r="AD106" s="382"><f>RIGHT(AB106,6)</f><v /></c><c r="AE106" s="382"><f>+(AC106*60+AD106)/(60*60)</f><v /></c><c r="AF106" s="383"><f>+AA106/AE106</f><v /></c><c r="AG106" s="321"><f>+(((Z106-Y106-AA106)/AA106)*100)</f><v /></c><c r="AH106" s="317"><f>AH105</f><v /></c><c r="AI106" s="385"><f>AI105</f><v /></c><c r="AJ106" s="385"><f>AJ105</f><v /></c><c r="AK106" s="379"><f>Z106</f><v /></c><c r="AL106" s="379" t="n"><v>200.45</v></c><c r="AM106" s="388"><f>AM105</f><v /></c><c r="AN106" s="381"><f>AN105</f><v /></c><c r="AO106" s="382"><f>LEFT(AN106,2)</f><v /></c><c r="AP106" s="382"><f>RIGHT(AN106,6)</f><v /></c><c r="AQ106" s="382"><f>+(AO106*60+AP106)/(60*60)</f><v /></c><c r="AR106" s="383"><f>+AM106/AQ106</f><v /></c><c r="AS106" s="321"><f>+(((AL106-AK106-AM106)/AM106)*100)</f><v /></c><c r="AT106" s="389"><f>IF(I106&gt;=1,"NO CONFORME",IF(BK106="SIGDIFERENTES",BC106,BL106))</f><v /></c><c r="AU106" s="372"><f>B106=C106</f><v /></c><c r="AV106" s="372"><f>N106&lt;Y106</f><v /></c><c r="AW106" s="372"><f>Z106&lt;=AK106</f><v /></c><c r="AX106" s="372"><f>IF(I106&gt;=1,"Qcorrecto",IF(AND(AY106="aceptable",AZ106="aceptable",BA106="aceptable"),"Qcorrecto","Qincorrecto"))</f><v /></c><c r="AY106" s="390"><f>IF(AR106&lt;$AH$6,"error",IF(AR106&gt;$AH$6*1.1,"error","aceptable"))</f><v /></c><c r="AZ106" s="390"><f>IF(AF106&lt;$V$6,"error",IF(AF106&gt;$V$6*1.1,"error","aceptable"))</f><v /></c><c r="BA106" s="390"><f>IF(T106&lt;$J$6*0.9,"error",IF(T106&gt;$J$6,"error","aceptable"))</f><v /></c><c r="BB106" s="25"><f>(IF(ABS(U106)&lt;1.05,"CONFORME",IF(ABS(AG106)&lt;1.05,"CONFORME",IF(ABS(AS106)&lt;2.55,"CONFORME","NO CONFORME"))))</f><v /></c><c r="BC106" s="5"><f>(IF(ABS(U106)&gt;2.05,"NO CONFORME",IF(ABS(AG106)&gt;2.05,"NO CONFORME",IF(ABS(AS106)&gt;5.05,"NO CONFORME","CONFORME"))))</f><v /></c><c r="BD106" s="374"><f>SIGN(U106)</f><v /></c><c r="BE106" s="374"><f>SIGN(AG106)</f><v /></c><c r="BF106" s="374"><f>SIGN(AS106)</f><v /></c><c r="BG106" s="374"><f>CONCATENATE(BD106,BE106,BF106)</f><v /></c><c r="BH106" s="374"><f>IF(BG106="111","SI","SD")</f><v /></c><c r="BI106" s="374"><f>IF(BG106="-1-1-1","SI","SD")</f><v /></c><c r="BJ106" s="374"><f>OR(BH106="SI",BI106="SI")</f><v /></c><c r="BK106" s="374"><f>IF(BJ106=FALSE,"SIGDIFERENTES","SIGIGUALES")</f><v /></c><c r="BL106" s="390"><f>IF(BC106="NO CONFORME","NO CONFORME",IF(BB106="CONFORME","CONFORME","NO CONFORME"))</f><v /></c></row><row r="107" ht="15" customHeight="1" thickBot="1"><c r="A107" s="351" t="n"><v>99</v></c><c r="B107" s="375"><f>B106</f><v /></c><c r="C107" s="375"><f>C106</f><v /></c><c r="D107" s="376"><f>D106</f><v /></c><c r="E107" s="377"><f>E106</f><v /></c><c r="F107" s="13" t="n" /><c r="G107" s="446" t="inlineStr"><is><t>PA25516799</t></is></c><c r="H107" s="313"><f>H106</f><v /></c><c r="I107" s="38"><f>I106</f><v /></c><c r="J107" s="314"><f>J106</f><v /></c><c r="K107" s="378"><f>K106</f><v /></c><c r="L107" s="378"><f>L106</f><v /></c><c r="M107" s="379" t="n"><v>83</v></c><c r="N107" s="379" t="n"><v>182.3</v></c><c r="O107" s="380"><f>O106</f><v /></c><c r="P107" s="381"><f>P106</f><v /></c><c r="Q107" s="382"><f>LEFT(P107,1)</f><v /></c><c r="R107" s="382"><f>RIGHT(P107,6)</f><v /></c><c r="S107" s="382"><f>+(Q107*60+R107)/(60*60)</f><v /></c><c r="T107" s="383"><f>+O107/S107</f><v /></c><c r="U107" s="384"><f>+(((N107-M107-O107)/O107)*100)</f><v /></c><c r="V107" s="317"><f>V106</f><v /></c><c r="W107" s="385"><f>W106</f><v /></c><c r="X107" s="385"><f>X106</f><v /></c><c r="Y107" s="379" t="n"><v>188.21</v></c><c r="Z107" s="379" t="n"><v>198.12</v></c><c r="AA107" s="386"><f>AA106</f><v /></c><c r="AB107" s="387"><f>AB106</f><v /></c><c r="AC107" s="382"><f>LEFT(AB107,2)</f><v /></c><c r="AD107" s="382"><f>RIGHT(AB107,6)</f><v /></c><c r="AE107" s="382"><f>+(AC107*60+AD107)/(60*60)</f><v /></c><c r="AF107" s="383"><f>+AA107/AE107</f><v /></c><c r="AG107" s="321"><f>+(((Z107-Y107-AA107)/AA107)*100)</f><v /></c><c r="AH107" s="317"><f>AH106</f><v /></c><c r="AI107" s="385"><f>AI106</f><v /></c><c r="AJ107" s="385"><f>AJ106</f><v /></c><c r="AK107" s="379"><f>Z107</f><v /></c><c r="AL107" s="379" t="n"><v>203.04</v></c><c r="AM107" s="388"><f>AM106</f><v /></c><c r="AN107" s="381"><f>AN106</f><v /></c><c r="AO107" s="382"><f>LEFT(AN107,2)</f><v /></c><c r="AP107" s="382"><f>RIGHT(AN107,6)</f><v /></c><c r="AQ107" s="382"><f>+(AO107*60+AP107)/(60*60)</f><v /></c><c r="AR107" s="383"><f>+AM107/AQ107</f><v /></c><c r="AS107" s="321"><f>+(((AL107-AK107-AM107)/AM107)*100)</f><v /></c><c r="AT107" s="389"><f>IF(I107&gt;=1,"NO CONFORME",IF(BK107="SIGDIFERENTES",BC107,BL107))</f><v /></c><c r="AU107" s="372"><f>B107=C107</f><v /></c><c r="AV107" s="372"><f>N107&lt;Y107</f><v /></c><c r="AW107" s="372"><f>Z107&lt;=AK107</f><v /></c><c r="AX107" s="372"><f>IF(I107&gt;=1,"Qcorrecto",IF(AND(AY107="aceptable",AZ107="aceptable",BA107="aceptable"),"Qcorrecto","Qincorrecto"))</f><v /></c><c r="AY107" s="390"><f>IF(AR107&lt;$AH$6,"error",IF(AR107&gt;$AH$6*1.1,"error","aceptable"))</f><v /></c><c r="AZ107" s="390"><f>IF(AF107&lt;$V$6,"error",IF(AF107&gt;$V$6*1.1,"error","aceptable"))</f><v /></c><c r="BA107" s="390"><f>IF(T107&lt;$J$6*0.9,"error",IF(T107&gt;$J$6,"error","aceptable"))</f><v /></c><c r="BB107" s="25"><f>(IF(ABS(U107)&lt;1.05,"CONFORME",IF(ABS(AG107)&lt;1.05,"CONFORME",IF(ABS(AS107)&lt;2.55,"CONFORME","NO CONFORME"))))</f><v /></c><c r="BC107" s="5"><f>(IF(ABS(U107)&gt;2.05,"NO CONFORME",IF(ABS(AG107)&gt;2.05,"NO CONFORME",IF(ABS(AS107)&gt;5.05,"NO CONFORME","CONFORME"))))</f><v /></c><c r="BD107" s="374"><f>SIGN(U107)</f><v /></c><c r="BE107" s="374"><f>SIGN(AG107)</f><v /></c><c r="BF107" s="374"><f>SIGN(AS107)</f><v /></c><c r="BG107" s="374"><f>CONCATENATE(BD107,BE107,BF107)</f><v /></c><c r="BH107" s="374"><f>IF(BG107="111","SI","SD")</f><v /></c><c r="BI107" s="374"><f>IF(BG107="-1-1-1","SI","SD")</f><v /></c><c r="BJ107" s="374"><f>OR(BH107="SI",BI107="SI")</f><v /></c><c r="BK107" s="374"><f>IF(BJ107=FALSE,"SIGDIFERENTES","SIGIGUALES")</f><v /></c><c r="BL107" s="390"><f>IF(BC107="NO CONFORME","NO CONFORME",IF(BB107="CONFORME","CONFORME","NO CONFORME"))</f><v /></c></row><row r="108" ht="15" customHeight="1" thickBot="1"><c r="A108" s="391" t="n"><v>100</v></c><c r="B108" s="392"><f>B107</f><v /></c><c r="C108" s="392"><f>C107</f><v /></c><c r="D108" s="393"><f>D107</f><v /></c><c r="E108" s="394"><f>E107</f><v /></c><c r="F108" s="52" t="n" /><c r="G108" s="446" t="inlineStr"><is><t>PA25516800</t></is></c><c r="H108" s="326"><f>H107</f><v /></c><c r="I108" s="98"><f>I107</f><v /></c><c r="J108" s="327"><f>J107</f><v /></c><c r="K108" s="396"><f>K107</f><v /></c><c r="L108" s="396"><f>L107</f><v /></c><c r="M108" s="397" t="n"><v>79</v></c><c r="N108" s="397" t="n"><v>179.22</v></c><c r="O108" s="398"><f>O107</f><v /></c><c r="P108" s="399"><f>P107</f><v /></c><c r="Q108" s="400"><f>LEFT(P108,1)</f><v /></c><c r="R108" s="400"><f>RIGHT(P108,6)</f><v /></c><c r="S108" s="400"><f>+(Q108*60+R108)/(60*60)</f><v /></c><c r="T108" s="401"><f>+O108/S108</f><v /></c><c r="U108" s="402"><f>+(((N108-M108-O108)/O108)*100)</f><v /></c><c r="V108" s="329"><f>V107</f><v /></c><c r="W108" s="403"><f>W107</f><v /></c><c r="X108" s="403"><f>X107</f><v /></c><c r="Y108" s="397" t="n"><v>185.2</v></c><c r="Z108" s="397" t="n"><v>195.2</v></c><c r="AA108" s="404"><f>AA107</f><v /></c><c r="AB108" s="405"><f>AB107</f><v /></c><c r="AC108" s="400"><f>LEFT(AB108,2)</f><v /></c><c r="AD108" s="400"><f>RIGHT(AB108,6)</f><v /></c><c r="AE108" s="400"><f>+(AC108*60+AD108)/(60*60)</f><v /></c><c r="AF108" s="401"><f>+AA108/AE108</f><v /></c><c r="AG108" s="406"><f>+(((Z108-Y108-AA108)/AA108)*100)</f><v /></c><c r="AH108" s="329"><f>AH107</f><v /></c><c r="AI108" s="403"><f>AI107</f><v /></c><c r="AJ108" s="403"><f>AJ107</f><v /></c><c r="AK108" s="397"><f>Z108</f><v /></c><c r="AL108" s="397" t="n"><v>200.24</v></c><c r="AM108" s="407"><f>AM107</f><v /></c><c r="AN108" s="399"><f>AN107</f><v /></c><c r="AO108" s="400"><f>LEFT(AN108,2)</f><v /></c><c r="AP108" s="400"><f>RIGHT(AN108,6)</f><v /></c><c r="AQ108" s="400"><f>+(AO108*60+AP108)/(60*60)</f><v /></c><c r="AR108" s="401"><f>+AM108/AQ108</f><v /></c><c r="AS108" s="406"><f>+(((AL108-AK108-AM108)/AM108)*100)</f><v /></c><c r="AT108" s="408"><f>IF(I108&gt;=1,"NO CONFORME",IF(BK108="SIGDIFERENTES",BC108,BL108))</f><v /></c><c r="AU108" s="409"><f>B108=C108</f><v /></c><c r="AV108" s="409"><f>N108&lt;Y108</f><v /></c><c r="AW108" s="409"><f>Z108&lt;=AK108</f><v /></c><c r="AX108" s="409"><f>IF(I108&gt;=1,"Qcorrecto",IF(AND(AY108="aceptable",AZ108="aceptable",BA108="aceptable"),"Qcorrecto","Qincorrecto"))</f><v /></c><c r="AY108" s="410"><f>IF(AR108&lt;$AH$6,"error",IF(AR108&gt;$AH$6*1.1,"error","aceptable"))</f><v /></c><c r="AZ108" s="410"><f>IF(AF108&lt;$V$6,"error",IF(AF108&gt;$V$6*1.1,"error","aceptable"))</f><v /></c><c r="BA108" s="410"><f>IF(T108&lt;$J$6*0.9,"error",IF(T108&gt;$J$6,"error","aceptable"))</f><v /></c><c r="BB108" s="411"><f>(IF(ABS(U108)&lt;1.05,"CONFORME",IF(ABS(AG108)&lt;1.05,"CONFORME",IF(ABS(AS108)&lt;2.55,"CONFORME","NO CONFORME"))))</f><v /></c><c r="BC108" s="412"><f>(IF(ABS(U108)&gt;2.05,"NO CONFORME",IF(ABS(AG108)&gt;2.05,"NO CONFORME",IF(ABS(AS108)&gt;5.05,"NO CONFORME","CONFORME"))))</f><v /></c><c r="BD108" s="413"><f>SIGN(U108)</f><v /></c><c r="BE108" s="413"><f>SIGN(AG108)</f><v /></c><c r="BF108" s="413"><f>SIGN(AS108)</f><v /></c><c r="BG108" s="413"><f>CONCATENATE(BD108,BE108,BF108)</f><v /></c><c r="BH108" s="413"><f>IF(BG108="111","SI","SD")</f><v /></c><c r="BI108" s="413"><f>IF(BG108="-1-1-1","SI","SD")</f><v /></c><c r="BJ108" s="413"><f>OR(BH108="SI",BI108="SI")</f><v /></c><c r="BK108" s="413"><f>IF(BJ108=FALSE,"SIGDIFERENTES","SIGIGUALES")</f><v /></c><c r="BL108" s="410"><f>IF(BC108="NO CONFORME","NO CONFORME",IF(BB108="CONFORME","CONFORME","NO CONFORME"))</f><v /></c></row><row r="109" ht="15" customHeight="1" thickBot="1"><c r="A109" s="351" t="n"><v>101</v></c><c r="B109" s="352"><f>B108</f><v /></c><c r="C109" s="352"><f>C108</f><v /></c><c r="D109" s="353"><f>D108</f><v /></c><c r="E109" s="354"><f>E108</f><v /></c><c r="F109" s="58" t="n" /><c r="G109" s="395" t="inlineStr"><is><t>PA25516801</t></is></c><c r="H109" s="356"><f>H108</f><v /></c><c r="I109" s="232"><f>I108</f><v /></c><c r="J109" s="357" t="n"><v>20.8</v></c><c r="K109" s="358" t="n"><v>8.212</v></c><c r="L109" s="358" t="n"><v>0.5620000000000001</v></c><c r="M109" s="359" t="n"><v>103.44</v></c><c r="N109" s="359" t="n"><v>203</v></c><c r="O109" s="360" t="n"><v>100.61</v></c><c r="P109" s="361" t="inlineStr"><is><t>2,32,230</t></is></c><c r="Q109" s="362"><f>LEFT(P109,1)</f><v /></c><c r="R109" s="362"><f>RIGHT(P109,6)</f><v /></c><c r="S109" s="362"><f>+(Q109*60+R109)/(60*60)</f><v /></c><c r="T109" s="363"><f>+O109/S109</f><v /></c><c r="U109" s="364"><f>+(((N109-M109-O109)/O109)*100)</f><v /></c><c r="V109" s="365" t="n"><v>20.9</v></c><c r="W109" s="366" t="n"><v>1.071</v></c><c r="X109" s="366" t="n"><v>1.062</v></c><c r="Y109" s="359" t="n"><v>208.35</v></c><c r="Z109" s="359" t="n"><v>218.32</v></c><c r="AA109" s="367" t="n"><v>10.005</v></c><c r="AB109" s="368" t="inlineStr"><is><t>22,30,400</t></is></c><c r="AC109" s="362"><f>LEFT(AB109,2)</f><v /></c><c r="AD109" s="362"><f>RIGHT(AB109,6)</f><v /></c><c r="AE109" s="362"><f>+(AC109*60+AD109)/(60*60)</f><v /></c><c r="AF109" s="363"><f>+AA109/AE109</f><v /></c><c r="AG109" s="369"><f>+(((Z109-Y109-AA109)/AA109)*100)</f><v /></c><c r="AH109" s="365" t="n"><v>21</v></c><c r="AI109" s="366" t="n"><v>1.07</v></c><c r="AJ109" s="366" t="n"><v>1.062</v></c><c r="AK109" s="359"><f>Z109</f><v /></c><c r="AL109" s="359" t="n"><v>223.3</v></c><c r="AM109" s="370" t="n"><v>5.01</v></c><c r="AN109" s="361" t="inlineStr"><is><t>18,24,550</t></is></c><c r="AO109" s="362"><f>LEFT(AN109,2)</f><v /></c><c r="AP109" s="362"><f>RIGHT(AN109,6)</f><v /></c><c r="AQ109" s="362"><f>+(AO109*60+AP109)/(60*60)</f><v /></c><c r="AR109" s="363"><f>+AM109/AQ109</f><v /></c><c r="AS109" s="369"><f>+(((AL109-AK109-AM109)/AM109)*100)</f><v /></c><c r="AT109" s="371"><f>IF(I109&gt;=1,"NO CONFORME",IF(BK109="SIGDIFERENTES",BC109,BL109))</f><v /></c><c r="AU109" s="372"><f>B109=C109</f><v /></c><c r="AV109" s="372"><f>N109&lt;Y109</f><v /></c><c r="AW109" s="372"><f>Z109&lt;=AK109</f><v /></c><c r="AX109" s="372"><f>IF(I109&gt;=1,"Qcorrecto",IF(AND(AY109="aceptable",AZ109="aceptable",BA109="aceptable"),"Qcorrecto","Qincorrecto"))</f><v /></c><c r="AY109" s="373"><f>IF(AR109&lt;$AH$6,"error",IF(AR109&gt;$AH$6*1.1,"error","aceptable"))</f><v /></c><c r="AZ109" s="373"><f>IF(AF109&lt;$V$6,"error",IF(AF109&gt;$V$6*1.1,"error","aceptable"))</f><v /></c><c r="BA109" s="373"><f>IF(T109&lt;$J$6*0.9,"error",IF(T109&gt;$J$6,"error","aceptable"))</f><v /></c><c r="BB109" s="25"><f>(IF(ABS(U109)&lt;1.05,"CONFORME",IF(ABS(AG109)&lt;1.05,"CONFORME",IF(ABS(AS109)&lt;2.55,"CONFORME","NO CONFORME"))))</f><v /></c><c r="BC109" s="5"><f>(IF(ABS(U109)&gt;2.05,"NO CONFORME",IF(ABS(AG109)&gt;2.05,"NO CONFORME",IF(ABS(AS109)&gt;5.05,"NO CONFORME","CONFORME"))))</f><v /></c><c r="BD109" s="374"><f>SIGN(U109)</f><v /></c><c r="BE109" s="374"><f>SIGN(AG109)</f><v /></c><c r="BF109" s="374"><f>SIGN(AS109)</f><v /></c><c r="BG109" s="374"><f>CONCATENATE(BD109,BE109,BF109)</f><v /></c><c r="BH109" s="374"><f>IF(BG109="111","SI","SD")</f><v /></c><c r="BI109" s="374"><f>IF(BG109="-1-1-1","SI","SD")</f><v /></c><c r="BJ109" s="374"><f>OR(BH109="SI",BI109="SI")</f><v /></c><c r="BK109" s="374"><f>IF(BJ109=FALSE,"SIGDIFERENTES","SIGIGUALES")</f><v /></c><c r="BL109" s="373"><f>IF(BC109="NO CONFORME","NO CONFORME",IF(BB109="CONFORME","CONFORME","NO CONFORME"))</f><v /></c></row><row r="110" ht="15" customHeight="1" thickBot="1"><c r="A110" s="351" t="n"><v>102</v></c><c r="B110" s="375"><f>B109</f><v /></c><c r="C110" s="375"><f>C109</f><v /></c><c r="D110" s="376"><f>D109</f><v /></c><c r="E110" s="377"><f>E109</f><v /></c><c r="F110" s="13" t="n" /><c r="G110" s="446" t="inlineStr"><is><t>PA25516802</t></is></c><c r="H110" s="313"><f>H109</f><v /></c><c r="I110" s="38"><f>I109</f><v /></c><c r="J110" s="314"><f>J109</f><v /></c><c r="K110" s="378"><f>K109</f><v /></c><c r="L110" s="378"><f>L109</f><v /></c><c r="M110" s="379" t="n"><v>102.45</v></c><c r="N110" s="379" t="n"><v>202.55</v></c><c r="O110" s="380"><f>O109</f><v /></c><c r="P110" s="381"><f>P109</f><v /></c><c r="Q110" s="382"><f>LEFT(P110,1)</f><v /></c><c r="R110" s="382"><f>RIGHT(P110,6)</f><v /></c><c r="S110" s="382"><f>+(Q110*60+R110)/(60*60)</f><v /></c><c r="T110" s="383"><f>+O110/S110</f><v /></c><c r="U110" s="384"><f>+(((N110-M110-O110)/O110)*100)</f><v /></c><c r="V110" s="317"><f>V109</f><v /></c><c r="W110" s="385"><f>W109</f><v /></c><c r="X110" s="385"><f>X109</f><v /></c><c r="Y110" s="379" t="n"><v>207.95</v></c><c r="Z110" s="379" t="n"><v>217.91</v></c><c r="AA110" s="386"><f>AA109</f><v /></c><c r="AB110" s="387"><f>AB109</f><v /></c><c r="AC110" s="382"><f>LEFT(AB110,2)</f><v /></c><c r="AD110" s="382"><f>RIGHT(AB110,6)</f><v /></c><c r="AE110" s="382"><f>+(AC110*60+AD110)/(60*60)</f><v /></c><c r="AF110" s="383"><f>+AA110/AE110</f><v /></c><c r="AG110" s="321"><f>+(((Z110-Y110-AA110)/AA110)*100)</f><v /></c><c r="AH110" s="317"><f>AH109</f><v /></c><c r="AI110" s="385"><f>AI109</f><v /></c><c r="AJ110" s="385"><f>AJ109</f><v /></c><c r="AK110" s="379"><f>Z110</f><v /></c><c r="AL110" s="379" t="n"><v>222.9</v></c><c r="AM110" s="388"><f>AM109</f><v /></c><c r="AN110" s="381"><f>AN109</f><v /></c><c r="AO110" s="382"><f>LEFT(AN110,2)</f><v /></c><c r="AP110" s="382"><f>RIGHT(AN110,6)</f><v /></c><c r="AQ110" s="382"><f>+(AO110*60+AP110)/(60*60)</f><v /></c><c r="AR110" s="383"><f>+AM110/AQ110</f><v /></c><c r="AS110" s="321"><f>+(((AL110-AK110-AM110)/AM110)*100)</f><v /></c><c r="AT110" s="389"><f>IF(I110&gt;=1,"NO CONFORME",IF(BK110="SIGDIFERENTES",BC110,BL110))</f><v /></c><c r="AU110" s="372"><f>B110=C110</f><v /></c><c r="AV110" s="372"><f>N110&lt;Y110</f><v /></c><c r="AW110" s="372"><f>Z110&lt;=AK110</f><v /></c><c r="AX110" s="372"><f>IF(I110&gt;=1,"Qcorrecto",IF(AND(AY110="aceptable",AZ110="aceptable",BA110="aceptable"),"Qcorrecto","Qincorrecto"))</f><v /></c><c r="AY110" s="390"><f>IF(AR110&lt;$AH$6,"error",IF(AR110&gt;$AH$6*1.1,"error","aceptable"))</f><v /></c><c r="AZ110" s="390"><f>IF(AF110&lt;$V$6,"error",IF(AF110&gt;$V$6*1.1,"error","aceptable"))</f><v /></c><c r="BA110" s="390"><f>IF(T110&lt;$J$6*0.9,"error",IF(T110&gt;$J$6,"error","aceptable"))</f><v /></c><c r="BB110" s="25"><f>(IF(ABS(U110)&lt;1.05,"CONFORME",IF(ABS(AG110)&lt;1.05,"CONFORME",IF(ABS(AS110)&lt;2.55,"CONFORME","NO CONFORME"))))</f><v /></c><c r="BC110" s="5"><f>(IF(ABS(U110)&gt;2.05,"NO CONFORME",IF(ABS(AG110)&gt;2.05,"NO CONFORME",IF(ABS(AS110)&gt;5.05,"NO CONFORME","CONFORME"))))</f><v /></c><c r="BD110" s="374"><f>SIGN(U110)</f><v /></c><c r="BE110" s="374"><f>SIGN(AG110)</f><v /></c><c r="BF110" s="374"><f>SIGN(AS110)</f><v /></c><c r="BG110" s="374"><f>CONCATENATE(BD110,BE110,BF110)</f><v /></c><c r="BH110" s="374"><f>IF(BG110="111","SI","SD")</f><v /></c><c r="BI110" s="374"><f>IF(BG110="-1-1-1","SI","SD")</f><v /></c><c r="BJ110" s="374"><f>OR(BH110="SI",BI110="SI")</f><v /></c><c r="BK110" s="374"><f>IF(BJ110=FALSE,"SIGDIFERENTES","SIGIGUALES")</f><v /></c><c r="BL110" s="390"><f>IF(BC110="NO CONFORME","NO CONFORME",IF(BB110="CONFORME","CONFORME","NO CONFORME"))</f><v /></c></row><row r="111" ht="15" customHeight="1" thickBot="1"><c r="A111" s="351" t="n"><v>103</v></c><c r="B111" s="375"><f>B110</f><v /></c><c r="C111" s="375"><f>C110</f><v /></c><c r="D111" s="376"><f>D110</f><v /></c><c r="E111" s="377"><f>E110</f><v /></c><c r="F111" s="13" t="n" /><c r="G111" s="446" t="inlineStr"><is><t>PA25516803</t></is></c><c r="H111" s="313"><f>H110</f><v /></c><c r="I111" s="38"><f>I110</f><v /></c><c r="J111" s="314"><f>J110</f><v /></c><c r="K111" s="378"><f>K110</f><v /></c><c r="L111" s="378"><f>L110</f><v /></c><c r="M111" s="379" t="n"><v>102.25</v></c><c r="N111" s="379" t="n"><v>201.94</v></c><c r="O111" s="380"><f>O110</f><v /></c><c r="P111" s="381"><f>P110</f><v /></c><c r="Q111" s="382"><f>LEFT(P111,1)</f><v /></c><c r="R111" s="382"><f>RIGHT(P111,6)</f><v /></c><c r="S111" s="382"><f>+(Q111*60+R111)/(60*60)</f><v /></c><c r="T111" s="383"><f>+O111/S111</f><v /></c><c r="U111" s="384"><f>+(((N111-M111-O111)/O111)*100)</f><v /></c><c r="V111" s="317"><f>V110</f><v /></c><c r="W111" s="385"><f>W110</f><v /></c><c r="X111" s="385"><f>X110</f><v /></c><c r="Y111" s="379" t="n"><v>207.29</v></c><c r="Z111" s="379" t="n"><v>217.22</v></c><c r="AA111" s="386"><f>AA110</f><v /></c><c r="AB111" s="387"><f>AB110</f><v /></c><c r="AC111" s="382"><f>LEFT(AB111,2)</f><v /></c><c r="AD111" s="382"><f>RIGHT(AB111,6)</f><v /></c><c r="AE111" s="382"><f>+(AC111*60+AD111)/(60*60)</f><v /></c><c r="AF111" s="383"><f>+AA111/AE111</f><v /></c><c r="AG111" s="321"><f>+(((Z111-Y111-AA111)/AA111)*100)</f><v /></c><c r="AH111" s="317"><f>AH110</f><v /></c><c r="AI111" s="385"><f>AI110</f><v /></c><c r="AJ111" s="385"><f>AJ110</f><v /></c><c r="AK111" s="379"><f>Z111</f><v /></c><c r="AL111" s="379" t="n"><v>222.19</v></c><c r="AM111" s="388"><f>AM110</f><v /></c><c r="AN111" s="381"><f>AN110</f><v /></c><c r="AO111" s="382"><f>LEFT(AN111,2)</f><v /></c><c r="AP111" s="382"><f>RIGHT(AN111,6)</f><v /></c><c r="AQ111" s="382"><f>+(AO111*60+AP111)/(60*60)</f><v /></c><c r="AR111" s="383"><f>+AM111/AQ111</f><v /></c><c r="AS111" s="321"><f>+(((AL111-AK111-AM111)/AM111)*100)</f><v /></c><c r="AT111" s="389"><f>IF(I111&gt;=1,"NO CONFORME",IF(BK111="SIGDIFERENTES",BC111,BL111))</f><v /></c><c r="AU111" s="372"><f>B111=C111</f><v /></c><c r="AV111" s="372"><f>N111&lt;Y111</f><v /></c><c r="AW111" s="372"><f>Z111&lt;=AK111</f><v /></c><c r="AX111" s="372"><f>IF(I111&gt;=1,"Qcorrecto",IF(AND(AY111="aceptable",AZ111="aceptable",BA111="aceptable"),"Qcorrecto","Qincorrecto"))</f><v /></c><c r="AY111" s="390"><f>IF(AR111&lt;$AH$6,"error",IF(AR111&gt;$AH$6*1.1,"error","aceptable"))</f><v /></c><c r="AZ111" s="390"><f>IF(AF111&lt;$V$6,"error",IF(AF111&gt;$V$6*1.1,"error","aceptable"))</f><v /></c><c r="BA111" s="390"><f>IF(T111&lt;$J$6*0.9,"error",IF(T111&gt;$J$6,"error","aceptable"))</f><v /></c><c r="BB111" s="25"><f>(IF(ABS(U111)&lt;1.05,"CONFORME",IF(ABS(AG111)&lt;1.05,"CONFORME",IF(ABS(AS111)&lt;2.55,"CONFORME","NO CONFORME"))))</f><v /></c><c r="BC111" s="5"><f>(IF(ABS(U111)&gt;2.05,"NO CONFORME",IF(ABS(AG111)&gt;2.05,"NO CONFORME",IF(ABS(AS111)&gt;5.05,"NO CONFORME","CONFORME"))))</f><v /></c><c r="BD111" s="374"><f>SIGN(U111)</f><v /></c><c r="BE111" s="374"><f>SIGN(AG111)</f><v /></c><c r="BF111" s="374"><f>SIGN(AS111)</f><v /></c><c r="BG111" s="374"><f>CONCATENATE(BD111,BE111,BF111)</f><v /></c><c r="BH111" s="374"><f>IF(BG111="111","SI","SD")</f><v /></c><c r="BI111" s="374"><f>IF(BG111="-1-1-1","SI","SD")</f><v /></c><c r="BJ111" s="374"><f>OR(BH111="SI",BI111="SI")</f><v /></c><c r="BK111" s="374"><f>IF(BJ111=FALSE,"SIGDIFERENTES","SIGIGUALES")</f><v /></c><c r="BL111" s="390"><f>IF(BC111="NO CONFORME","NO CONFORME",IF(BB111="CONFORME","CONFORME","NO CONFORME"))</f><v /></c></row><row r="112" ht="15" customHeight="1" thickBot="1"><c r="A112" s="351" t="n"><v>104</v></c><c r="B112" s="375"><f>B111</f><v /></c><c r="C112" s="375"><f>C111</f><v /></c><c r="D112" s="376"><f>D111</f><v /></c><c r="E112" s="377"><f>E111</f><v /></c><c r="F112" s="13" t="n" /><c r="G112" s="446" t="inlineStr"><is><t>PA25516804</t></is></c><c r="H112" s="313"><f>H111</f><v /></c><c r="I112" s="38"><f>I111</f><v /></c><c r="J112" s="314"><f>J111</f><v /></c><c r="K112" s="378"><f>K111</f><v /></c><c r="L112" s="378"><f>L111</f><v /></c><c r="M112" s="379" t="n"><v>102.78</v></c><c r="N112" s="379" t="n"><v>202.26</v></c><c r="O112" s="380"><f>O111</f><v /></c><c r="P112" s="381"><f>P111</f><v /></c><c r="Q112" s="382"><f>LEFT(P112,1)</f><v /></c><c r="R112" s="382"><f>RIGHT(P112,6)</f><v /></c><c r="S112" s="382"><f>+(Q112*60+R112)/(60*60)</f><v /></c><c r="T112" s="383"><f>+O112/S112</f><v /></c><c r="U112" s="384"><f>+(((N112-M112-O112)/O112)*100)</f><v /></c><c r="V112" s="317"><f>V111</f><v /></c><c r="W112" s="385"><f>W111</f><v /></c><c r="X112" s="385"><f>X111</f><v /></c><c r="Y112" s="379" t="n"><v>207.6</v></c><c r="Z112" s="379" t="n"><v>217.58</v></c><c r="AA112" s="386"><f>AA111</f><v /></c><c r="AB112" s="387"><f>AB111</f><v /></c><c r="AC112" s="382"><f>LEFT(AB112,2)</f><v /></c><c r="AD112" s="382"><f>RIGHT(AB112,6)</f><v /></c><c r="AE112" s="382"><f>+(AC112*60+AD112)/(60*60)</f><v /></c><c r="AF112" s="383"><f>+AA112/AE112</f><v /></c><c r="AG112" s="321"><f>+(((Z112-Y112-AA112)/AA112)*100)</f><v /></c><c r="AH112" s="317"><f>AH111</f><v /></c><c r="AI112" s="385"><f>AI111</f><v /></c><c r="AJ112" s="385"><f>AJ111</f><v /></c><c r="AK112" s="379"><f>Z112</f><v /></c><c r="AL112" s="379" t="n"><v>222.58</v></c><c r="AM112" s="388"><f>AM111</f><v /></c><c r="AN112" s="381"><f>AN111</f><v /></c><c r="AO112" s="382"><f>LEFT(AN112,2)</f><v /></c><c r="AP112" s="382"><f>RIGHT(AN112,6)</f><v /></c><c r="AQ112" s="382"><f>+(AO112*60+AP112)/(60*60)</f><v /></c><c r="AR112" s="383"><f>+AM112/AQ112</f><v /></c><c r="AS112" s="321"><f>+(((AL112-AK112-AM112)/AM112)*100)</f><v /></c><c r="AT112" s="389"><f>IF(I112&gt;=1,"NO CONFORME",IF(BK112="SIGDIFERENTES",BC112,BL112))</f><v /></c><c r="AU112" s="372"><f>B112=C112</f><v /></c><c r="AV112" s="372"><f>N112&lt;Y112</f><v /></c><c r="AW112" s="372"><f>Z112&lt;=AK112</f><v /></c><c r="AX112" s="372"><f>IF(I112&gt;=1,"Qcorrecto",IF(AND(AY112="aceptable",AZ112="aceptable",BA112="aceptable"),"Qcorrecto","Qincorrecto"))</f><v /></c><c r="AY112" s="390"><f>IF(AR112&lt;$AH$6,"error",IF(AR112&gt;$AH$6*1.1,"error","aceptable"))</f><v /></c><c r="AZ112" s="390"><f>IF(AF112&lt;$V$6,"error",IF(AF112&gt;$V$6*1.1,"error","aceptable"))</f><v /></c><c r="BA112" s="390"><f>IF(T112&lt;$J$6*0.9,"error",IF(T112&gt;$J$6,"error","aceptable"))</f><v /></c><c r="BB112" s="25"><f>(IF(ABS(U112)&lt;1.05,"CONFORME",IF(ABS(AG112)&lt;1.05,"CONFORME",IF(ABS(AS112)&lt;2.55,"CONFORME","NO CONFORME"))))</f><v /></c><c r="BC112" s="5"><f>(IF(ABS(U112)&gt;2.05,"NO CONFORME",IF(ABS(AG112)&gt;2.05,"NO CONFORME",IF(ABS(AS112)&gt;5.05,"NO CONFORME","CONFORME"))))</f><v /></c><c r="BD112" s="374"><f>SIGN(U112)</f><v /></c><c r="BE112" s="374"><f>SIGN(AG112)</f><v /></c><c r="BF112" s="374"><f>SIGN(AS112)</f><v /></c><c r="BG112" s="374"><f>CONCATENATE(BD112,BE112,BF112)</f><v /></c><c r="BH112" s="374"><f>IF(BG112="111","SI","SD")</f><v /></c><c r="BI112" s="374"><f>IF(BG112="-1-1-1","SI","SD")</f><v /></c><c r="BJ112" s="374"><f>OR(BH112="SI",BI112="SI")</f><v /></c><c r="BK112" s="374"><f>IF(BJ112=FALSE,"SIGDIFERENTES","SIGIGUALES")</f><v /></c><c r="BL112" s="390"><f>IF(BC112="NO CONFORME","NO CONFORME",IF(BB112="CONFORME","CONFORME","NO CONFORME"))</f><v /></c></row><row r="113" ht="15" customHeight="1" thickBot="1"><c r="A113" s="351" t="n"><v>105</v></c><c r="B113" s="375"><f>B112</f><v /></c><c r="C113" s="375"><f>C112</f><v /></c><c r="D113" s="376"><f>D112</f><v /></c><c r="E113" s="377"><f>E112</f><v /></c><c r="F113" s="13" t="n" /><c r="G113" s="446" t="inlineStr"><is><t>PA25516805</t></is></c><c r="H113" s="313"><f>H112</f><v /></c><c r="I113" s="38"><f>I112</f><v /></c><c r="J113" s="314"><f>J112</f><v /></c><c r="K113" s="378"><f>K112</f><v /></c><c r="L113" s="378"><f>L112</f><v /></c><c r="M113" s="379" t="n"><v>101.64</v></c><c r="N113" s="379" t="n"><v>201.05</v></c><c r="O113" s="380"><f>O112</f><v /></c><c r="P113" s="381"><f>P112</f><v /></c><c r="Q113" s="382"><f>LEFT(P113,1)</f><v /></c><c r="R113" s="382"><f>RIGHT(P113,6)</f><v /></c><c r="S113" s="382"><f>+(Q113*60+R113)/(60*60)</f><v /></c><c r="T113" s="383"><f>+O113/S113</f><v /></c><c r="U113" s="384"><f>+(((N113-M113-O113)/O113)*100)</f><v /></c><c r="V113" s="317"><f>V112</f><v /></c><c r="W113" s="385"><f>W112</f><v /></c><c r="X113" s="385"><f>X112</f><v /></c><c r="Y113" s="379" t="n"><v>206.4</v></c><c r="Z113" s="379" t="n"><v>216.36</v></c><c r="AA113" s="386"><f>AA112</f><v /></c><c r="AB113" s="387"><f>AB112</f><v /></c><c r="AC113" s="382"><f>LEFT(AB113,2)</f><v /></c><c r="AD113" s="382"><f>RIGHT(AB113,6)</f><v /></c><c r="AE113" s="382"><f>+(AC113*60+AD113)/(60*60)</f><v /></c><c r="AF113" s="383"><f>+AA113/AE113</f><v /></c><c r="AG113" s="321"><f>+(((Z113-Y113-AA113)/AA113)*100)</f><v /></c><c r="AH113" s="317"><f>AH112</f><v /></c><c r="AI113" s="385"><f>AI112</f><v /></c><c r="AJ113" s="385"><f>AJ112</f><v /></c><c r="AK113" s="379"><f>Z113</f><v /></c><c r="AL113" s="379" t="n"><v>221.32</v></c><c r="AM113" s="388"><f>AM112</f><v /></c><c r="AN113" s="381"><f>AN112</f><v /></c><c r="AO113" s="382"><f>LEFT(AN113,2)</f><v /></c><c r="AP113" s="382"><f>RIGHT(AN113,6)</f><v /></c><c r="AQ113" s="382"><f>+(AO113*60+AP113)/(60*60)</f><v /></c><c r="AR113" s="383"><f>+AM113/AQ113</f><v /></c><c r="AS113" s="321"><f>+(((AL113-AK113-AM113)/AM113)*100)</f><v /></c><c r="AT113" s="389"><f>IF(I113&gt;=1,"NO CONFORME",IF(BK113="SIGDIFERENTES",BC113,BL113))</f><v /></c><c r="AU113" s="372"><f>B113=C113</f><v /></c><c r="AV113" s="372"><f>N113&lt;Y113</f><v /></c><c r="AW113" s="372"><f>Z113&lt;=AK113</f><v /></c><c r="AX113" s="372"><f>IF(I113&gt;=1,"Qcorrecto",IF(AND(AY113="aceptable",AZ113="aceptable",BA113="aceptable"),"Qcorrecto","Qincorrecto"))</f><v /></c><c r="AY113" s="390"><f>IF(AR113&lt;$AH$6,"error",IF(AR113&gt;$AH$6*1.1,"error","aceptable"))</f><v /></c><c r="AZ113" s="390"><f>IF(AF113&lt;$V$6,"error",IF(AF113&gt;$V$6*1.1,"error","aceptable"))</f><v /></c><c r="BA113" s="390"><f>IF(T113&lt;$J$6*0.9,"error",IF(T113&gt;$J$6,"error","aceptable"))</f><v /></c><c r="BB113" s="25"><f>(IF(ABS(U113)&lt;1.05,"CONFORME",IF(ABS(AG113)&lt;1.05,"CONFORME",IF(ABS(AS113)&lt;2.55,"CONFORME","NO CONFORME"))))</f><v /></c><c r="BC113" s="5"><f>(IF(ABS(U113)&gt;2.05,"NO CONFORME",IF(ABS(AG113)&gt;2.05,"NO CONFORME",IF(ABS(AS113)&gt;5.05,"NO CONFORME","CONFORME"))))</f><v /></c><c r="BD113" s="374"><f>SIGN(U113)</f><v /></c><c r="BE113" s="374"><f>SIGN(AG113)</f><v /></c><c r="BF113" s="374"><f>SIGN(AS113)</f><v /></c><c r="BG113" s="374"><f>CONCATENATE(BD113,BE113,BF113)</f><v /></c><c r="BH113" s="374"><f>IF(BG113="111","SI","SD")</f><v /></c><c r="BI113" s="374"><f>IF(BG113="-1-1-1","SI","SD")</f><v /></c><c r="BJ113" s="374"><f>OR(BH113="SI",BI113="SI")</f><v /></c><c r="BK113" s="374"><f>IF(BJ113=FALSE,"SIGDIFERENTES","SIGIGUALES")</f><v /></c><c r="BL113" s="390"><f>IF(BC113="NO CONFORME","NO CONFORME",IF(BB113="CONFORME","CONFORME","NO CONFORME"))</f><v /></c></row><row r="114" ht="15" customHeight="1" thickBot="1"><c r="A114" s="351" t="n"><v>106</v></c><c r="B114" s="375"><f>B113</f><v /></c><c r="C114" s="375"><f>C113</f><v /></c><c r="D114" s="376"><f>D113</f><v /></c><c r="E114" s="377"><f>E113</f><v /></c><c r="F114" s="13" t="n" /><c r="G114" s="446" t="inlineStr"><is><t>PA25516806</t></is></c><c r="H114" s="313"><f>H113</f><v /></c><c r="I114" s="38"><f>I113</f><v /></c><c r="J114" s="314"><f>J113</f><v /></c><c r="K114" s="378"><f>K113</f><v /></c><c r="L114" s="378"><f>L113</f><v /></c><c r="M114" s="379" t="n"><v>99.39</v></c><c r="N114" s="379" t="n"><v>199.49</v></c><c r="O114" s="380"><f>O113</f><v /></c><c r="P114" s="381"><f>P113</f><v /></c><c r="Q114" s="382"><f>LEFT(P114,1)</f><v /></c><c r="R114" s="382"><f>RIGHT(P114,6)</f><v /></c><c r="S114" s="382"><f>+(Q114*60+R114)/(60*60)</f><v /></c><c r="T114" s="383"><f>+O114/S114</f><v /></c><c r="U114" s="384"><f>+(((N114-M114-O114)/O114)*100)</f><v /></c><c r="V114" s="317"><f>V113</f><v /></c><c r="W114" s="385"><f>W113</f><v /></c><c r="X114" s="385"><f>X113</f><v /></c><c r="Y114" s="379" t="n"><v>204.85</v></c><c r="Z114" s="379" t="n"><v>214.76</v></c><c r="AA114" s="386"><f>AA113</f><v /></c><c r="AB114" s="387"><f>AB113</f><v /></c><c r="AC114" s="382"><f>LEFT(AB114,2)</f><v /></c><c r="AD114" s="382"><f>RIGHT(AB114,6)</f><v /></c><c r="AE114" s="382"><f>+(AC114*60+AD114)/(60*60)</f><v /></c><c r="AF114" s="383"><f>+AA114/AE114</f><v /></c><c r="AG114" s="321"><f>+(((Z114-Y114-AA114)/AA114)*100)</f><v /></c><c r="AH114" s="317"><f>AH113</f><v /></c><c r="AI114" s="385"><f>AI113</f><v /></c><c r="AJ114" s="385"><f>AJ113</f><v /></c><c r="AK114" s="379"><f>Z114</f><v /></c><c r="AL114" s="379" t="n"><v>219.72</v></c><c r="AM114" s="388"><f>AM113</f><v /></c><c r="AN114" s="381"><f>AN113</f><v /></c><c r="AO114" s="382"><f>LEFT(AN114,2)</f><v /></c><c r="AP114" s="382"><f>RIGHT(AN114,6)</f><v /></c><c r="AQ114" s="382"><f>+(AO114*60+AP114)/(60*60)</f><v /></c><c r="AR114" s="383"><f>+AM114/AQ114</f><v /></c><c r="AS114" s="321"><f>+(((AL114-AK114-AM114)/AM114)*100)</f><v /></c><c r="AT114" s="389"><f>IF(I114&gt;=1,"NO CONFORME",IF(BK114="SIGDIFERENTES",BC114,BL114))</f><v /></c><c r="AU114" s="372"><f>B114=C114</f><v /></c><c r="AV114" s="372"><f>N114&lt;Y114</f><v /></c><c r="AW114" s="372"><f>Z114&lt;=AK114</f><v /></c><c r="AX114" s="372"><f>IF(I114&gt;=1,"Qcorrecto",IF(AND(AY114="aceptable",AZ114="aceptable",BA114="aceptable"),"Qcorrecto","Qincorrecto"))</f><v /></c><c r="AY114" s="390"><f>IF(AR114&lt;$AH$6,"error",IF(AR114&gt;$AH$6*1.1,"error","aceptable"))</f><v /></c><c r="AZ114" s="390"><f>IF(AF114&lt;$V$6,"error",IF(AF114&gt;$V$6*1.1,"error","aceptable"))</f><v /></c><c r="BA114" s="390"><f>IF(T114&lt;$J$6*0.9,"error",IF(T114&gt;$J$6,"error","aceptable"))</f><v /></c><c r="BB114" s="25"><f>(IF(ABS(U114)&lt;1.05,"CONFORME",IF(ABS(AG114)&lt;1.05,"CONFORME",IF(ABS(AS114)&lt;2.55,"CONFORME","NO CONFORME"))))</f><v /></c><c r="BC114" s="5"><f>(IF(ABS(U114)&gt;2.05,"NO CONFORME",IF(ABS(AG114)&gt;2.05,"NO CONFORME",IF(ABS(AS114)&gt;5.05,"NO CONFORME","CONFORME"))))</f><v /></c><c r="BD114" s="374"><f>SIGN(U114)</f><v /></c><c r="BE114" s="374"><f>SIGN(AG114)</f><v /></c><c r="BF114" s="374"><f>SIGN(AS114)</f><v /></c><c r="BG114" s="374"><f>CONCATENATE(BD114,BE114,BF114)</f><v /></c><c r="BH114" s="374"><f>IF(BG114="111","SI","SD")</f><v /></c><c r="BI114" s="374"><f>IF(BG114="-1-1-1","SI","SD")</f><v /></c><c r="BJ114" s="374"><f>OR(BH114="SI",BI114="SI")</f><v /></c><c r="BK114" s="374"><f>IF(BJ114=FALSE,"SIGDIFERENTES","SIGIGUALES")</f><v /></c><c r="BL114" s="390"><f>IF(BC114="NO CONFORME","NO CONFORME",IF(BB114="CONFORME","CONFORME","NO CONFORME"))</f><v /></c></row><row r="115" ht="15" customHeight="1" thickBot="1"><c r="A115" s="351" t="n"><v>107</v></c><c r="B115" s="375"><f>B114</f><v /></c><c r="C115" s="375"><f>C114</f><v /></c><c r="D115" s="376"><f>D114</f><v /></c><c r="E115" s="377"><f>E114</f><v /></c><c r="F115" s="13" t="n" /><c r="G115" s="446" t="inlineStr"><is><t>PA25516807</t></is></c><c r="H115" s="313"><f>H114</f><v /></c><c r="I115" s="38"><f>I114</f><v /></c><c r="J115" s="314"><f>J114</f><v /></c><c r="K115" s="378"><f>K114</f><v /></c><c r="L115" s="378"><f>L114</f><v /></c><c r="M115" s="379" t="n"><v>142.29</v></c><c r="N115" s="379" t="n"><v>242.27</v></c><c r="O115" s="380"><f>O114</f><v /></c><c r="P115" s="381"><f>P114</f><v /></c><c r="Q115" s="382"><f>LEFT(P115,1)</f><v /></c><c r="R115" s="382"><f>RIGHT(P115,6)</f><v /></c><c r="S115" s="382"><f>+(Q115*60+R115)/(60*60)</f><v /></c><c r="T115" s="383"><f>+O115/S115</f><v /></c><c r="U115" s="384"><f>+(((N115-M115-O115)/O115)*100)</f><v /></c><c r="V115" s="317"><f>V114</f><v /></c><c r="W115" s="385"><f>W114</f><v /></c><c r="X115" s="385"><f>X114</f><v /></c><c r="Y115" s="379" t="n"><v>247.66</v></c><c r="Z115" s="379" t="n"><v>257.69</v></c><c r="AA115" s="386"><f>AA114</f><v /></c><c r="AB115" s="387"><f>AB114</f><v /></c><c r="AC115" s="382"><f>LEFT(AB115,2)</f><v /></c><c r="AD115" s="382"><f>RIGHT(AB115,6)</f><v /></c><c r="AE115" s="382"><f>+(AC115*60+AD115)/(60*60)</f><v /></c><c r="AF115" s="383"><f>+AA115/AE115</f><v /></c><c r="AG115" s="321"><f>+(((Z115-Y115-AA115)/AA115)*100)</f><v /></c><c r="AH115" s="317"><f>AH114</f><v /></c><c r="AI115" s="385"><f>AI114</f><v /></c><c r="AJ115" s="385"><f>AJ114</f><v /></c><c r="AK115" s="379"><f>Z115</f><v /></c><c r="AL115" s="379" t="n"><v>262.75</v></c><c r="AM115" s="388"><f>AM114</f><v /></c><c r="AN115" s="381"><f>AN114</f><v /></c><c r="AO115" s="382"><f>LEFT(AN115,2)</f><v /></c><c r="AP115" s="382"><f>RIGHT(AN115,6)</f><v /></c><c r="AQ115" s="382"><f>+(AO115*60+AP115)/(60*60)</f><v /></c><c r="AR115" s="383"><f>+AM115/AQ115</f><v /></c><c r="AS115" s="321"><f>+(((AL115-AK115-AM115)/AM115)*100)</f><v /></c><c r="AT115" s="389"><f>IF(I115&gt;=1,"NO CONFORME",IF(BK115="SIGDIFERENTES",BC115,BL115))</f><v /></c><c r="AU115" s="372"><f>B115=C115</f><v /></c><c r="AV115" s="372"><f>N115&lt;Y115</f><v /></c><c r="AW115" s="372"><f>Z115&lt;=AK115</f><v /></c><c r="AX115" s="372"><f>IF(I115&gt;=1,"Qcorrecto",IF(AND(AY115="aceptable",AZ115="aceptable",BA115="aceptable"),"Qcorrecto","Qincorrecto"))</f><v /></c><c r="AY115" s="390"><f>IF(AR115&lt;$AH$6,"error",IF(AR115&gt;$AH$6*1.1,"error","aceptable"))</f><v /></c><c r="AZ115" s="390"><f>IF(AF115&lt;$V$6,"error",IF(AF115&gt;$V$6*1.1,"error","aceptable"))</f><v /></c><c r="BA115" s="390"><f>IF(T115&lt;$J$6*0.9,"error",IF(T115&gt;$J$6,"error","aceptable"))</f><v /></c><c r="BB115" s="25"><f>(IF(ABS(U115)&lt;1.05,"CONFORME",IF(ABS(AG115)&lt;1.05,"CONFORME",IF(ABS(AS115)&lt;2.55,"CONFORME","NO CONFORME"))))</f><v /></c><c r="BC115" s="5"><f>(IF(ABS(U115)&gt;2.05,"NO CONFORME",IF(ABS(AG115)&gt;2.05,"NO CONFORME",IF(ABS(AS115)&gt;5.05,"NO CONFORME","CONFORME"))))</f><v /></c><c r="BD115" s="374"><f>SIGN(U115)</f><v /></c><c r="BE115" s="374"><f>SIGN(AG115)</f><v /></c><c r="BF115" s="374"><f>SIGN(AS115)</f><v /></c><c r="BG115" s="374"><f>CONCATENATE(BD115,BE115,BF115)</f><v /></c><c r="BH115" s="374"><f>IF(BG115="111","SI","SD")</f><v /></c><c r="BI115" s="374"><f>IF(BG115="-1-1-1","SI","SD")</f><v /></c><c r="BJ115" s="374"><f>OR(BH115="SI",BI115="SI")</f><v /></c><c r="BK115" s="374"><f>IF(BJ115=FALSE,"SIGDIFERENTES","SIGIGUALES")</f><v /></c><c r="BL115" s="390"><f>IF(BC115="NO CONFORME","NO CONFORME",IF(BB115="CONFORME","CONFORME","NO CONFORME"))</f><v /></c></row><row r="116" ht="15" customHeight="1" thickBot="1"><c r="A116" s="351" t="n"><v>108</v></c><c r="B116" s="375"><f>B115</f><v /></c><c r="C116" s="375"><f>C115</f><v /></c><c r="D116" s="376"><f>D115</f><v /></c><c r="E116" s="377"><f>E115</f><v /></c><c r="F116" s="13" t="n" /><c r="G116" s="446" t="inlineStr"><is><t>PA25516808</t></is></c><c r="H116" s="313"><f>H115</f><v /></c><c r="I116" s="38"><f>I115</f><v /></c><c r="J116" s="314"><f>J115</f><v /></c><c r="K116" s="378"><f>K115</f><v /></c><c r="L116" s="378"><f>L115</f><v /></c><c r="M116" s="379" t="n"><v>101.25</v></c><c r="N116" s="379" t="n"><v>201.25</v></c><c r="O116" s="380"><f>O115</f><v /></c><c r="P116" s="381"><f>P115</f><v /></c><c r="Q116" s="382"><f>LEFT(P116,1)</f><v /></c><c r="R116" s="382"><f>RIGHT(P116,6)</f><v /></c><c r="S116" s="382"><f>+(Q116*60+R116)/(60*60)</f><v /></c><c r="T116" s="383"><f>+O116/S116</f><v /></c><c r="U116" s="384"><f>+(((N116-M116-O116)/O116)*100)</f><v /></c><c r="V116" s="317"><f>V115</f><v /></c><c r="W116" s="385"><f>W115</f><v /></c><c r="X116" s="385"><f>X115</f><v /></c><c r="Y116" s="379" t="n"><v>206.6</v></c><c r="Z116" s="379" t="n"><v>216.55</v></c><c r="AA116" s="386"><f>AA115</f><v /></c><c r="AB116" s="387"><f>AB115</f><v /></c><c r="AC116" s="382"><f>LEFT(AB116,2)</f><v /></c><c r="AD116" s="382"><f>RIGHT(AB116,6)</f><v /></c><c r="AE116" s="382"><f>+(AC116*60+AD116)/(60*60)</f><v /></c><c r="AF116" s="383"><f>+AA116/AE116</f><v /></c><c r="AG116" s="321"><f>+(((Z116-Y116-AA116)/AA116)*100)</f><v /></c><c r="AH116" s="317"><f>AH115</f><v /></c><c r="AI116" s="385"><f>AI115</f><v /></c><c r="AJ116" s="385"><f>AJ115</f><v /></c><c r="AK116" s="379"><f>Z116</f><v /></c><c r="AL116" s="379" t="n"><v>221.51</v></c><c r="AM116" s="388"><f>AM115</f><v /></c><c r="AN116" s="381"><f>AN115</f><v /></c><c r="AO116" s="382"><f>LEFT(AN116,2)</f><v /></c><c r="AP116" s="382"><f>RIGHT(AN116,6)</f><v /></c><c r="AQ116" s="382"><f>+(AO116*60+AP116)/(60*60)</f><v /></c><c r="AR116" s="383"><f>+AM116/AQ116</f><v /></c><c r="AS116" s="321"><f>+(((AL116-AK116-AM116)/AM116)*100)</f><v /></c><c r="AT116" s="389"><f>IF(I116&gt;=1,"NO CONFORME",IF(BK116="SIGDIFERENTES",BC116,BL116))</f><v /></c><c r="AU116" s="372"><f>B116=C116</f><v /></c><c r="AV116" s="372"><f>N116&lt;Y116</f><v /></c><c r="AW116" s="372"><f>Z116&lt;=AK116</f><v /></c><c r="AX116" s="372"><f>IF(I116&gt;=1,"Qcorrecto",IF(AND(AY116="aceptable",AZ116="aceptable",BA116="aceptable"),"Qcorrecto","Qincorrecto"))</f><v /></c><c r="AY116" s="390"><f>IF(AR116&lt;$AH$6,"error",IF(AR116&gt;$AH$6*1.1,"error","aceptable"))</f><v /></c><c r="AZ116" s="390"><f>IF(AF116&lt;$V$6,"error",IF(AF116&gt;$V$6*1.1,"error","aceptable"))</f><v /></c><c r="BA116" s="390"><f>IF(T116&lt;$J$6*0.9,"error",IF(T116&gt;$J$6,"error","aceptable"))</f><v /></c><c r="BB116" s="25"><f>(IF(ABS(U116)&lt;1.05,"CONFORME",IF(ABS(AG116)&lt;1.05,"CONFORME",IF(ABS(AS116)&lt;2.55,"CONFORME","NO CONFORME"))))</f><v /></c><c r="BC116" s="5"><f>(IF(ABS(U116)&gt;2.05,"NO CONFORME",IF(ABS(AG116)&gt;2.05,"NO CONFORME",IF(ABS(AS116)&gt;5.05,"NO CONFORME","CONFORME"))))</f><v /></c><c r="BD116" s="374"><f>SIGN(U116)</f><v /></c><c r="BE116" s="374"><f>SIGN(AG116)</f><v /></c><c r="BF116" s="374"><f>SIGN(AS116)</f><v /></c><c r="BG116" s="374"><f>CONCATENATE(BD116,BE116,BF116)</f><v /></c><c r="BH116" s="374"><f>IF(BG116="111","SI","SD")</f><v /></c><c r="BI116" s="374"><f>IF(BG116="-1-1-1","SI","SD")</f><v /></c><c r="BJ116" s="374"><f>OR(BH116="SI",BI116="SI")</f><v /></c><c r="BK116" s="374"><f>IF(BJ116=FALSE,"SIGDIFERENTES","SIGIGUALES")</f><v /></c><c r="BL116" s="390"><f>IF(BC116="NO CONFORME","NO CONFORME",IF(BB116="CONFORME","CONFORME","NO CONFORME"))</f><v /></c></row><row r="117" ht="15" customHeight="1" thickBot="1"><c r="A117" s="351" t="n"><v>109</v></c><c r="B117" s="375"><f>B116</f><v /></c><c r="C117" s="375"><f>C116</f><v /></c><c r="D117" s="376"><f>D116</f><v /></c><c r="E117" s="377"><f>E116</f><v /></c><c r="F117" s="13" t="n" /><c r="G117" s="446" t="inlineStr"><is><t>PA25516809</t></is></c><c r="H117" s="313"><f>H116</f><v /></c><c r="I117" s="38"><f>I116</f><v /></c><c r="J117" s="314"><f>J116</f><v /></c><c r="K117" s="378"><f>K116</f><v /></c><c r="L117" s="378"><f>L116</f><v /></c><c r="M117" s="379" t="n"><v>142.9</v></c><c r="N117" s="379" t="n"><v>242.77</v></c><c r="O117" s="380"><f>O116</f><v /></c><c r="P117" s="381"><f>P116</f><v /></c><c r="Q117" s="382"><f>LEFT(P117,1)</f><v /></c><c r="R117" s="382"><f>RIGHT(P117,6)</f><v /></c><c r="S117" s="382"><f>+(Q117*60+R117)/(60*60)</f><v /></c><c r="T117" s="383"><f>+O117/S117</f><v /></c><c r="U117" s="384"><f>+(((N117-M117-O117)/O117)*100)</f><v /></c><c r="V117" s="317"><f>V116</f><v /></c><c r="W117" s="385"><f>W116</f><v /></c><c r="X117" s="385"><f>X116</f><v /></c><c r="Y117" s="379" t="n"><v>248.06</v></c><c r="Z117" s="379" t="n"><v>257.96</v></c><c r="AA117" s="386"><f>AA116</f><v /></c><c r="AB117" s="387"><f>AB116</f><v /></c><c r="AC117" s="382"><f>LEFT(AB117,2)</f><v /></c><c r="AD117" s="382"><f>RIGHT(AB117,6)</f><v /></c><c r="AE117" s="382"><f>+(AC117*60+AD117)/(60*60)</f><v /></c><c r="AF117" s="383"><f>+AA117/AE117</f><v /></c><c r="AG117" s="321"><f>+(((Z117-Y117-AA117)/AA117)*100)</f><v /></c><c r="AH117" s="317"><f>AH116</f><v /></c><c r="AI117" s="385"><f>AI116</f><v /></c><c r="AJ117" s="385"><f>AJ116</f><v /></c><c r="AK117" s="379"><f>Z117</f><v /></c><c r="AL117" s="379" t="n"><v>262.84</v></c><c r="AM117" s="388"><f>AM116</f><v /></c><c r="AN117" s="381"><f>AN116</f><v /></c><c r="AO117" s="382"><f>LEFT(AN117,2)</f><v /></c><c r="AP117" s="382"><f>RIGHT(AN117,6)</f><v /></c><c r="AQ117" s="382"><f>+(AO117*60+AP117)/(60*60)</f><v /></c><c r="AR117" s="383"><f>+AM117/AQ117</f><v /></c><c r="AS117" s="321"><f>+(((AL117-AK117-AM117)/AM117)*100)</f><v /></c><c r="AT117" s="389"><f>IF(I117&gt;=1,"NO CONFORME",IF(BK117="SIGDIFERENTES",BC117,BL117))</f><v /></c><c r="AU117" s="372"><f>B117=C117</f><v /></c><c r="AV117" s="372"><f>N117&lt;Y117</f><v /></c><c r="AW117" s="372"><f>Z117&lt;=AK117</f><v /></c><c r="AX117" s="372"><f>IF(I117&gt;=1,"Qcorrecto",IF(AND(AY117="aceptable",AZ117="aceptable",BA117="aceptable"),"Qcorrecto","Qincorrecto"))</f><v /></c><c r="AY117" s="390"><f>IF(AR117&lt;$AH$6,"error",IF(AR117&gt;$AH$6*1.1,"error","aceptable"))</f><v /></c><c r="AZ117" s="390"><f>IF(AF117&lt;$V$6,"error",IF(AF117&gt;$V$6*1.1,"error","aceptable"))</f><v /></c><c r="BA117" s="390"><f>IF(T117&lt;$J$6*0.9,"error",IF(T117&gt;$J$6,"error","aceptable"))</f><v /></c><c r="BB117" s="25"><f>(IF(ABS(U117)&lt;1.05,"CONFORME",IF(ABS(AG117)&lt;1.05,"CONFORME",IF(ABS(AS117)&lt;2.55,"CONFORME","NO CONFORME"))))</f><v /></c><c r="BC117" s="5"><f>(IF(ABS(U117)&gt;2.05,"NO CONFORME",IF(ABS(AG117)&gt;2.05,"NO CONFORME",IF(ABS(AS117)&gt;5.05,"NO CONFORME","CONFORME"))))</f><v /></c><c r="BD117" s="374"><f>SIGN(U117)</f><v /></c><c r="BE117" s="374"><f>SIGN(AG117)</f><v /></c><c r="BF117" s="374"><f>SIGN(AS117)</f><v /></c><c r="BG117" s="374"><f>CONCATENATE(BD117,BE117,BF117)</f><v /></c><c r="BH117" s="374"><f>IF(BG117="111","SI","SD")</f><v /></c><c r="BI117" s="374"><f>IF(BG117="-1-1-1","SI","SD")</f><v /></c><c r="BJ117" s="374"><f>OR(BH117="SI",BI117="SI")</f><v /></c><c r="BK117" s="374"><f>IF(BJ117=FALSE,"SIGDIFERENTES","SIGIGUALES")</f><v /></c><c r="BL117" s="390"><f>IF(BC117="NO CONFORME","NO CONFORME",IF(BB117="CONFORME","CONFORME","NO CONFORME"))</f><v /></c></row><row r="118" ht="15" customHeight="1" thickBot="1"><c r="A118" s="351" t="n"><v>110</v></c><c r="B118" s="375"><f>B117</f><v /></c><c r="C118" s="375"><f>C117</f><v /></c><c r="D118" s="376"><f>D117</f><v /></c><c r="E118" s="377"><f>E117</f><v /></c><c r="F118" s="13" t="n" /><c r="G118" s="446" t="inlineStr"><is><t>PA25516810</t></is></c><c r="H118" s="313"><f>H117</f><v /></c><c r="I118" s="38"><f>I117</f><v /></c><c r="J118" s="314"><f>J117</f><v /></c><c r="K118" s="378"><f>K117</f><v /></c><c r="L118" s="378"><f>L117</f><v /></c><c r="M118" s="379" t="n"><v>102.31</v></c><c r="N118" s="379" t="n"><v>202.51</v></c><c r="O118" s="380"><f>O117</f><v /></c><c r="P118" s="381"><f>P117</f><v /></c><c r="Q118" s="382"><f>LEFT(P118,1)</f><v /></c><c r="R118" s="382"><f>RIGHT(P118,6)</f><v /></c><c r="S118" s="382"><f>+(Q118*60+R118)/(60*60)</f><v /></c><c r="T118" s="383"><f>+O118/S118</f><v /></c><c r="U118" s="384"><f>+(((N118-M118-O118)/O118)*100)</f><v /></c><c r="V118" s="317"><f>V117</f><v /></c><c r="W118" s="385"><f>W117</f><v /></c><c r="X118" s="385"><f>X117</f><v /></c><c r="Y118" s="379" t="n"><v>207.9</v></c><c r="Z118" s="379" t="n"><v>217.82</v></c><c r="AA118" s="386"><f>AA117</f><v /></c><c r="AB118" s="387"><f>AB117</f><v /></c><c r="AC118" s="382"><f>LEFT(AB118,2)</f><v /></c><c r="AD118" s="382"><f>RIGHT(AB118,6)</f><v /></c><c r="AE118" s="382"><f>+(AC118*60+AD118)/(60*60)</f><v /></c><c r="AF118" s="383"><f>+AA118/AE118</f><v /></c><c r="AG118" s="321"><f>+(((Z118-Y118-AA118)/AA118)*100)</f><v /></c><c r="AH118" s="317"><f>AH117</f><v /></c><c r="AI118" s="385"><f>AI117</f><v /></c><c r="AJ118" s="385"><f>AJ117</f><v /></c><c r="AK118" s="379"><f>Z118</f><v /></c><c r="AL118" s="379" t="n"><v>222.8</v></c><c r="AM118" s="388"><f>AM117</f><v /></c><c r="AN118" s="381"><f>AN117</f><v /></c><c r="AO118" s="382"><f>LEFT(AN118,2)</f><v /></c><c r="AP118" s="382"><f>RIGHT(AN118,6)</f><v /></c><c r="AQ118" s="382"><f>+(AO118*60+AP118)/(60*60)</f><v /></c><c r="AR118" s="383"><f>+AM118/AQ118</f><v /></c><c r="AS118" s="321"><f>+(((AL118-AK118-AM118)/AM118)*100)</f><v /></c><c r="AT118" s="389"><f>IF(I118&gt;=1,"NO CONFORME",IF(BK118="SIGDIFERENTES",BC118,BL118))</f><v /></c><c r="AU118" s="372"><f>B118=C118</f><v /></c><c r="AV118" s="372"><f>N118&lt;Y118</f><v /></c><c r="AW118" s="372"><f>Z118&lt;=AK118</f><v /></c><c r="AX118" s="372"><f>IF(I118&gt;=1,"Qcorrecto",IF(AND(AY118="aceptable",AZ118="aceptable",BA118="aceptable"),"Qcorrecto","Qincorrecto"))</f><v /></c><c r="AY118" s="390"><f>IF(AR118&lt;$AH$6,"error",IF(AR118&gt;$AH$6*1.1,"error","aceptable"))</f><v /></c><c r="AZ118" s="390"><f>IF(AF118&lt;$V$6,"error",IF(AF118&gt;$V$6*1.1,"error","aceptable"))</f><v /></c><c r="BA118" s="390"><f>IF(T118&lt;$J$6*0.9,"error",IF(T118&gt;$J$6,"error","aceptable"))</f><v /></c><c r="BB118" s="25"><f>(IF(ABS(U118)&lt;1.05,"CONFORME",IF(ABS(AG118)&lt;1.05,"CONFORME",IF(ABS(AS118)&lt;2.55,"CONFORME","NO CONFORME"))))</f><v /></c><c r="BC118" s="5"><f>(IF(ABS(U118)&gt;2.05,"NO CONFORME",IF(ABS(AG118)&gt;2.05,"NO CONFORME",IF(ABS(AS118)&gt;5.05,"NO CONFORME","CONFORME"))))</f><v /></c><c r="BD118" s="374"><f>SIGN(U118)</f><v /></c><c r="BE118" s="374"><f>SIGN(AG118)</f><v /></c><c r="BF118" s="374"><f>SIGN(AS118)</f><v /></c><c r="BG118" s="374"><f>CONCATENATE(BD118,BE118,BF118)</f><v /></c><c r="BH118" s="374"><f>IF(BG118="111","SI","SD")</f><v /></c><c r="BI118" s="374"><f>IF(BG118="-1-1-1","SI","SD")</f><v /></c><c r="BJ118" s="374"><f>OR(BH118="SI",BI118="SI")</f><v /></c><c r="BK118" s="374"><f>IF(BJ118=FALSE,"SIGDIFERENTES","SIGIGUALES")</f><v /></c><c r="BL118" s="390"><f>IF(BC118="NO CONFORME","NO CONFORME",IF(BB118="CONFORME","CONFORME","NO CONFORME"))</f><v /></c></row><row r="119" ht="15" customHeight="1" thickBot="1"><c r="A119" s="351" t="n"><v>111</v></c><c r="B119" s="375"><f>B118</f><v /></c><c r="C119" s="375"><f>C118</f><v /></c><c r="D119" s="376"><f>D118</f><v /></c><c r="E119" s="377"><f>E118</f><v /></c><c r="F119" s="13" t="n" /><c r="G119" s="446" t="inlineStr"><is><t>PA25516811</t></is></c><c r="H119" s="313"><f>H118</f><v /></c><c r="I119" s="38"><f>I118</f><v /></c><c r="J119" s="314"><f>J118</f><v /></c><c r="K119" s="378"><f>K118</f><v /></c><c r="L119" s="378"><f>L118</f><v /></c><c r="M119" s="379" t="n"><v>101.3</v></c><c r="N119" s="379" t="n"><v>201.15</v></c><c r="O119" s="380"><f>O118</f><v /></c><c r="P119" s="381"><f>P118</f><v /></c><c r="Q119" s="382"><f>LEFT(P119,1)</f><v /></c><c r="R119" s="382"><f>RIGHT(P119,6)</f><v /></c><c r="S119" s="382"><f>+(Q119*60+R119)/(60*60)</f><v /></c><c r="T119" s="383"><f>+O119/S119</f><v /></c><c r="U119" s="384"><f>+(((N119-M119-O119)/O119)*100)</f><v /></c><c r="V119" s="317"><f>V118</f><v /></c><c r="W119" s="385"><f>W118</f><v /></c><c r="X119" s="385"><f>X118</f><v /></c><c r="Y119" s="379" t="n"><v>206.54</v></c><c r="Z119" s="379" t="n"><v>216.46</v></c><c r="AA119" s="386"><f>AA118</f><v /></c><c r="AB119" s="387"><f>AB118</f><v /></c><c r="AC119" s="382"><f>LEFT(AB119,2)</f><v /></c><c r="AD119" s="382"><f>RIGHT(AB119,6)</f><v /></c><c r="AE119" s="382"><f>+(AC119*60+AD119)/(60*60)</f><v /></c><c r="AF119" s="383"><f>+AA119/AE119</f><v /></c><c r="AG119" s="321"><f>+(((Z119-Y119-AA119)/AA119)*100)</f><v /></c><c r="AH119" s="317"><f>AH118</f><v /></c><c r="AI119" s="385"><f>AI118</f><v /></c><c r="AJ119" s="385"><f>AJ118</f><v /></c><c r="AK119" s="379"><f>Z119</f><v /></c><c r="AL119" s="379" t="n"><v>221.41</v></c><c r="AM119" s="388"><f>AM118</f><v /></c><c r="AN119" s="381"><f>AN118</f><v /></c><c r="AO119" s="382"><f>LEFT(AN119,2)</f><v /></c><c r="AP119" s="382"><f>RIGHT(AN119,6)</f><v /></c><c r="AQ119" s="382"><f>+(AO119*60+AP119)/(60*60)</f><v /></c><c r="AR119" s="383"><f>+AM119/AQ119</f><v /></c><c r="AS119" s="321"><f>+(((AL119-AK119-AM119)/AM119)*100)</f><v /></c><c r="AT119" s="389"><f>IF(I119&gt;=1,"NO CONFORME",IF(BK119="SIGDIFERENTES",BC119,BL119))</f><v /></c><c r="AU119" s="372"><f>B119=C119</f><v /></c><c r="AV119" s="372"><f>N119&lt;Y119</f><v /></c><c r="AW119" s="372"><f>Z119&lt;=AK119</f><v /></c><c r="AX119" s="372"><f>IF(I119&gt;=1,"Qcorrecto",IF(AND(AY119="aceptable",AZ119="aceptable",BA119="aceptable"),"Qcorrecto","Qincorrecto"))</f><v /></c><c r="AY119" s="390"><f>IF(AR119&lt;$AH$6,"error",IF(AR119&gt;$AH$6*1.1,"error","aceptable"))</f><v /></c><c r="AZ119" s="390"><f>IF(AF119&lt;$V$6,"error",IF(AF119&gt;$V$6*1.1,"error","aceptable"))</f><v /></c><c r="BA119" s="390"><f>IF(T119&lt;$J$6*0.9,"error",IF(T119&gt;$J$6,"error","aceptable"))</f><v /></c><c r="BB119" s="25"><f>(IF(ABS(U119)&lt;1.05,"CONFORME",IF(ABS(AG119)&lt;1.05,"CONFORME",IF(ABS(AS119)&lt;2.55,"CONFORME","NO CONFORME"))))</f><v /></c><c r="BC119" s="5"><f>(IF(ABS(U119)&gt;2.05,"NO CONFORME",IF(ABS(AG119)&gt;2.05,"NO CONFORME",IF(ABS(AS119)&gt;5.05,"NO CONFORME","CONFORME"))))</f><v /></c><c r="BD119" s="374"><f>SIGN(U119)</f><v /></c><c r="BE119" s="374"><f>SIGN(AG119)</f><v /></c><c r="BF119" s="374"><f>SIGN(AS119)</f><v /></c><c r="BG119" s="374"><f>CONCATENATE(BD119,BE119,BF119)</f><v /></c><c r="BH119" s="374"><f>IF(BG119="111","SI","SD")</f><v /></c><c r="BI119" s="374"><f>IF(BG119="-1-1-1","SI","SD")</f><v /></c><c r="BJ119" s="374"><f>OR(BH119="SI",BI119="SI")</f><v /></c><c r="BK119" s="374"><f>IF(BJ119=FALSE,"SIGDIFERENTES","SIGIGUALES")</f><v /></c><c r="BL119" s="390"><f>IF(BC119="NO CONFORME","NO CONFORME",IF(BB119="CONFORME","CONFORME","NO CONFORME"))</f><v /></c></row><row r="120" ht="15" customHeight="1" thickBot="1"><c r="A120" s="351" t="n"><v>112</v></c><c r="B120" s="375"><f>B119</f><v /></c><c r="C120" s="375"><f>C119</f><v /></c><c r="D120" s="376"><f>D119</f><v /></c><c r="E120" s="377"><f>E119</f><v /></c><c r="F120" s="13" t="n" /><c r="G120" s="446" t="inlineStr"><is><t>PA25516812</t></is></c><c r="H120" s="313"><f>H119</f><v /></c><c r="I120" s="38"><f>I119</f><v /></c><c r="J120" s="314"><f>J119</f><v /></c><c r="K120" s="378"><f>K119</f><v /></c><c r="L120" s="378"><f>L119</f><v /></c><c r="M120" s="379" t="n"><v>101.45</v></c><c r="N120" s="379" t="n"><v>201.2</v></c><c r="O120" s="380"><f>O119</f><v /></c><c r="P120" s="381"><f>P119</f><v /></c><c r="Q120" s="382"><f>LEFT(P120,1)</f><v /></c><c r="R120" s="382"><f>RIGHT(P120,6)</f><v /></c><c r="S120" s="382"><f>+(Q120*60+R120)/(60*60)</f><v /></c><c r="T120" s="383"><f>+O120/S120</f><v /></c><c r="U120" s="384"><f>+(((N120-M120-O120)/O120)*100)</f><v /></c><c r="V120" s="317"><f>V119</f><v /></c><c r="W120" s="385"><f>W119</f><v /></c><c r="X120" s="385"><f>X119</f><v /></c><c r="Y120" s="379" t="n"><v>206.55</v></c><c r="Z120" s="379" t="n"><v>216.46</v></c><c r="AA120" s="386"><f>AA119</f><v /></c><c r="AB120" s="387"><f>AB119</f><v /></c><c r="AC120" s="382"><f>LEFT(AB120,2)</f><v /></c><c r="AD120" s="382"><f>RIGHT(AB120,6)</f><v /></c><c r="AE120" s="382"><f>+(AC120*60+AD120)/(60*60)</f><v /></c><c r="AF120" s="383"><f>+AA120/AE120</f><v /></c><c r="AG120" s="321"><f>+(((Z120-Y120-AA120)/AA120)*100)</f><v /></c><c r="AH120" s="317"><f>AH119</f><v /></c><c r="AI120" s="385"><f>AI119</f><v /></c><c r="AJ120" s="385"><f>AJ119</f><v /></c><c r="AK120" s="379"><f>Z120</f><v /></c><c r="AL120" s="379" t="n"><v>221.42</v></c><c r="AM120" s="388"><f>AM119</f><v /></c><c r="AN120" s="381"><f>AN119</f><v /></c><c r="AO120" s="382"><f>LEFT(AN120,2)</f><v /></c><c r="AP120" s="382"><f>RIGHT(AN120,6)</f><v /></c><c r="AQ120" s="382"><f>+(AO120*60+AP120)/(60*60)</f><v /></c><c r="AR120" s="383"><f>+AM120/AQ120</f><v /></c><c r="AS120" s="321"><f>+(((AL120-AK120-AM120)/AM120)*100)</f><v /></c><c r="AT120" s="389"><f>IF(I120&gt;=1,"NO CONFORME",IF(BK120="SIGDIFERENTES",BC120,BL120))</f><v /></c><c r="AU120" s="372"><f>B120=C120</f><v /></c><c r="AV120" s="372"><f>N120&lt;Y120</f><v /></c><c r="AW120" s="372"><f>Z120&lt;=AK120</f><v /></c><c r="AX120" s="372"><f>IF(I120&gt;=1,"Qcorrecto",IF(AND(AY120="aceptable",AZ120="aceptable",BA120="aceptable"),"Qcorrecto","Qincorrecto"))</f><v /></c><c r="AY120" s="390"><f>IF(AR120&lt;$AH$6,"error",IF(AR120&gt;$AH$6*1.1,"error","aceptable"))</f><v /></c><c r="AZ120" s="390"><f>IF(AF120&lt;$V$6,"error",IF(AF120&gt;$V$6*1.1,"error","aceptable"))</f><v /></c><c r="BA120" s="390"><f>IF(T120&lt;$J$6*0.9,"error",IF(T120&gt;$J$6,"error","aceptable"))</f><v /></c><c r="BB120" s="25"><f>(IF(ABS(U120)&lt;1.05,"CONFORME",IF(ABS(AG120)&lt;1.05,"CONFORME",IF(ABS(AS120)&lt;2.55,"CONFORME","NO CONFORME"))))</f><v /></c><c r="BC120" s="5"><f>(IF(ABS(U120)&gt;2.05,"NO CONFORME",IF(ABS(AG120)&gt;2.05,"NO CONFORME",IF(ABS(AS120)&gt;5.05,"NO CONFORME","CONFORME"))))</f><v /></c><c r="BD120" s="374"><f>SIGN(U120)</f><v /></c><c r="BE120" s="374"><f>SIGN(AG120)</f><v /></c><c r="BF120" s="374"><f>SIGN(AS120)</f><v /></c><c r="BG120" s="374"><f>CONCATENATE(BD120,BE120,BF120)</f><v /></c><c r="BH120" s="374"><f>IF(BG120="111","SI","SD")</f><v /></c><c r="BI120" s="374"><f>IF(BG120="-1-1-1","SI","SD")</f><v /></c><c r="BJ120" s="374"><f>OR(BH120="SI",BI120="SI")</f><v /></c><c r="BK120" s="374"><f>IF(BJ120=FALSE,"SIGDIFERENTES","SIGIGUALES")</f><v /></c><c r="BL120" s="390"><f>IF(BC120="NO CONFORME","NO CONFORME",IF(BB120="CONFORME","CONFORME","NO CONFORME"))</f><v /></c></row><row r="121" ht="15" customHeight="1" thickBot="1"><c r="A121" s="351" t="n"><v>113</v></c><c r="B121" s="375"><f>B120</f><v /></c><c r="C121" s="375"><f>C120</f><v /></c><c r="D121" s="376"><f>D120</f><v /></c><c r="E121" s="377"><f>E120</f><v /></c><c r="F121" s="13" t="n" /><c r="G121" s="446" t="inlineStr"><is><t>PA25516813</t></is></c><c r="H121" s="313"><f>H120</f><v /></c><c r="I121" s="38"><f>I120</f><v /></c><c r="J121" s="314"><f>J120</f><v /></c><c r="K121" s="378"><f>K120</f><v /></c><c r="L121" s="378"><f>L120</f><v /></c><c r="M121" s="379" t="n"><v>101.6</v></c><c r="N121" s="379" t="n"><v>201.65</v></c><c r="O121" s="380"><f>O120</f><v /></c><c r="P121" s="381"><f>P120</f><v /></c><c r="Q121" s="382"><f>LEFT(P121,1)</f><v /></c><c r="R121" s="382"><f>RIGHT(P121,6)</f><v /></c><c r="S121" s="382"><f>+(Q121*60+R121)/(60*60)</f><v /></c><c r="T121" s="383"><f>+O121/S121</f><v /></c><c r="U121" s="384"><f>+(((N121-M121-O121)/O121)*100)</f><v /></c><c r="V121" s="317"><f>V120</f><v /></c><c r="W121" s="385"><f>W120</f><v /></c><c r="X121" s="385"><f>X120</f><v /></c><c r="Y121" s="379" t="n"><v>207.01</v></c><c r="Z121" s="379" t="n"><v>217.03</v></c><c r="AA121" s="386"><f>AA120</f><v /></c><c r="AB121" s="387"><f>AB120</f><v /></c><c r="AC121" s="382"><f>LEFT(AB121,2)</f><v /></c><c r="AD121" s="382"><f>RIGHT(AB121,6)</f><v /></c><c r="AE121" s="382"><f>+(AC121*60+AD121)/(60*60)</f><v /></c><c r="AF121" s="383"><f>+AA121/AE121</f><v /></c><c r="AG121" s="321"><f>+(((Z121-Y121-AA121)/AA121)*100)</f><v /></c><c r="AH121" s="317"><f>AH120</f><v /></c><c r="AI121" s="385"><f>AI120</f><v /></c><c r="AJ121" s="385"><f>AJ120</f><v /></c><c r="AK121" s="379"><f>Z121</f><v /></c><c r="AL121" s="379" t="n"><v>222.05</v></c><c r="AM121" s="388"><f>AM120</f><v /></c><c r="AN121" s="381"><f>AN120</f><v /></c><c r="AO121" s="382"><f>LEFT(AN121,2)</f><v /></c><c r="AP121" s="382"><f>RIGHT(AN121,6)</f><v /></c><c r="AQ121" s="382"><f>+(AO121*60+AP121)/(60*60)</f><v /></c><c r="AR121" s="383"><f>+AM121/AQ121</f><v /></c><c r="AS121" s="321"><f>+(((AL121-AK121-AM121)/AM121)*100)</f><v /></c><c r="AT121" s="389"><f>IF(I121&gt;=1,"NO CONFORME",IF(BK121="SIGDIFERENTES",BC121,BL121))</f><v /></c><c r="AU121" s="372"><f>B121=C121</f><v /></c><c r="AV121" s="372"><f>N121&lt;Y121</f><v /></c><c r="AW121" s="372"><f>Z121&lt;=AK121</f><v /></c><c r="AX121" s="372"><f>IF(I121&gt;=1,"Qcorrecto",IF(AND(AY121="aceptable",AZ121="aceptable",BA121="aceptable"),"Qcorrecto","Qincorrecto"))</f><v /></c><c r="AY121" s="390"><f>IF(AR121&lt;$AH$6,"error",IF(AR121&gt;$AH$6*1.1,"error","aceptable"))</f><v /></c><c r="AZ121" s="390"><f>IF(AF121&lt;$V$6,"error",IF(AF121&gt;$V$6*1.1,"error","aceptable"))</f><v /></c><c r="BA121" s="390"><f>IF(T121&lt;$J$6*0.9,"error",IF(T121&gt;$J$6,"error","aceptable"))</f><v /></c><c r="BB121" s="25"><f>(IF(ABS(U121)&lt;1.05,"CONFORME",IF(ABS(AG121)&lt;1.05,"CONFORME",IF(ABS(AS121)&lt;2.55,"CONFORME","NO CONFORME"))))</f><v /></c><c r="BC121" s="5"><f>(IF(ABS(U121)&gt;2.05,"NO CONFORME",IF(ABS(AG121)&gt;2.05,"NO CONFORME",IF(ABS(AS121)&gt;5.05,"NO CONFORME","CONFORME"))))</f><v /></c><c r="BD121" s="374"><f>SIGN(U121)</f><v /></c><c r="BE121" s="374"><f>SIGN(AG121)</f><v /></c><c r="BF121" s="374"><f>SIGN(AS121)</f><v /></c><c r="BG121" s="374"><f>CONCATENATE(BD121,BE121,BF121)</f><v /></c><c r="BH121" s="374"><f>IF(BG121="111","SI","SD")</f><v /></c><c r="BI121" s="374"><f>IF(BG121="-1-1-1","SI","SD")</f><v /></c><c r="BJ121" s="374"><f>OR(BH121="SI",BI121="SI")</f><v /></c><c r="BK121" s="374"><f>IF(BJ121=FALSE,"SIGDIFERENTES","SIGIGUALES")</f><v /></c><c r="BL121" s="390"><f>IF(BC121="NO CONFORME","NO CONFORME",IF(BB121="CONFORME","CONFORME","NO CONFORME"))</f><v /></c></row><row r="122" ht="15" customHeight="1" thickBot="1"><c r="A122" s="351" t="n"><v>114</v></c><c r="B122" s="375"><f>B121</f><v /></c><c r="C122" s="375"><f>C121</f><v /></c><c r="D122" s="376"><f>D121</f><v /></c><c r="E122" s="377"><f>E121</f><v /></c><c r="F122" s="13" t="n" /><c r="G122" s="446" t="inlineStr"><is><t>PA25516814</t></is></c><c r="H122" s="313"><f>H121</f><v /></c><c r="I122" s="38"><f>I121</f><v /></c><c r="J122" s="314"><f>J121</f><v /></c><c r="K122" s="378"><f>K121</f><v /></c><c r="L122" s="378"><f>L121</f><v /></c><c r="M122" s="379" t="n"><v>141.16</v></c><c r="N122" s="379" t="n"><v>241.36</v></c><c r="O122" s="380"><f>O121</f><v /></c><c r="P122" s="381"><f>P121</f><v /></c><c r="Q122" s="382"><f>LEFT(P122,1)</f><v /></c><c r="R122" s="382"><f>RIGHT(P122,6)</f><v /></c><c r="S122" s="382"><f>+(Q122*60+R122)/(60*60)</f><v /></c><c r="T122" s="383"><f>+O122/S122</f><v /></c><c r="U122" s="384"><f>+(((N122-M122-O122)/O122)*100)</f><v /></c><c r="V122" s="317"><f>V121</f><v /></c><c r="W122" s="385"><f>W121</f><v /></c><c r="X122" s="385"><f>X121</f><v /></c><c r="Y122" s="379" t="n"><v>246.74</v></c><c r="Z122" s="379" t="n"><v>256.66</v></c><c r="AA122" s="386"><f>AA121</f><v /></c><c r="AB122" s="387"><f>AB121</f><v /></c><c r="AC122" s="382"><f>LEFT(AB122,2)</f><v /></c><c r="AD122" s="382"><f>RIGHT(AB122,6)</f><v /></c><c r="AE122" s="382"><f>+(AC122*60+AD122)/(60*60)</f><v /></c><c r="AF122" s="383"><f>+AA122/AE122</f><v /></c><c r="AG122" s="321"><f>+(((Z122-Y122-AA122)/AA122)*100)</f><v /></c><c r="AH122" s="317"><f>AH121</f><v /></c><c r="AI122" s="385"><f>AI121</f><v /></c><c r="AJ122" s="385"><f>AJ121</f><v /></c><c r="AK122" s="379"><f>Z122</f><v /></c><c r="AL122" s="379" t="n"><v>261.62</v></c><c r="AM122" s="388"><f>AM121</f><v /></c><c r="AN122" s="381"><f>AN121</f><v /></c><c r="AO122" s="382"><f>LEFT(AN122,2)</f><v /></c><c r="AP122" s="382"><f>RIGHT(AN122,6)</f><v /></c><c r="AQ122" s="382"><f>+(AO122*60+AP122)/(60*60)</f><v /></c><c r="AR122" s="383"><f>+AM122/AQ122</f><v /></c><c r="AS122" s="321"><f>+(((AL122-AK122-AM122)/AM122)*100)</f><v /></c><c r="AT122" s="389"><f>IF(I122&gt;=1,"NO CONFORME",IF(BK122="SIGDIFERENTES",BC122,BL122))</f><v /></c><c r="AU122" s="372"><f>B122=C122</f><v /></c><c r="AV122" s="372"><f>N122&lt;Y122</f><v /></c><c r="AW122" s="372"><f>Z122&lt;=AK122</f><v /></c><c r="AX122" s="372"><f>IF(I122&gt;=1,"Qcorrecto",IF(AND(AY122="aceptable",AZ122="aceptable",BA122="aceptable"),"Qcorrecto","Qincorrecto"))</f><v /></c><c r="AY122" s="390"><f>IF(AR122&lt;$AH$6,"error",IF(AR122&gt;$AH$6*1.1,"error","aceptable"))</f><v /></c><c r="AZ122" s="390"><f>IF(AF122&lt;$V$6,"error",IF(AF122&gt;$V$6*1.1,"error","aceptable"))</f><v /></c><c r="BA122" s="390"><f>IF(T122&lt;$J$6*0.9,"error",IF(T122&gt;$J$6,"error","aceptable"))</f><v /></c><c r="BB122" s="25"><f>(IF(ABS(U122)&lt;1.05,"CONFORME",IF(ABS(AG122)&lt;1.05,"CONFORME",IF(ABS(AS122)&lt;2.55,"CONFORME","NO CONFORME"))))</f><v /></c><c r="BC122" s="5"><f>(IF(ABS(U122)&gt;2.05,"NO CONFORME",IF(ABS(AG122)&gt;2.05,"NO CONFORME",IF(ABS(AS122)&gt;5.05,"NO CONFORME","CONFORME"))))</f><v /></c><c r="BD122" s="374"><f>SIGN(U122)</f><v /></c><c r="BE122" s="374"><f>SIGN(AG122)</f><v /></c><c r="BF122" s="374"><f>SIGN(AS122)</f><v /></c><c r="BG122" s="374"><f>CONCATENATE(BD122,BE122,BF122)</f><v /></c><c r="BH122" s="374"><f>IF(BG122="111","SI","SD")</f><v /></c><c r="BI122" s="374"><f>IF(BG122="-1-1-1","SI","SD")</f><v /></c><c r="BJ122" s="374"><f>OR(BH122="SI",BI122="SI")</f><v /></c><c r="BK122" s="374"><f>IF(BJ122=FALSE,"SIGDIFERENTES","SIGIGUALES")</f><v /></c><c r="BL122" s="390"><f>IF(BC122="NO CONFORME","NO CONFORME",IF(BB122="CONFORME","CONFORME","NO CONFORME"))</f><v /></c></row><row r="123" ht="15" customHeight="1" thickBot="1"><c r="A123" s="351" t="n"><v>115</v></c><c r="B123" s="375"><f>B122</f><v /></c><c r="C123" s="375"><f>C122</f><v /></c><c r="D123" s="376"><f>D122</f><v /></c><c r="E123" s="377"><f>E122</f><v /></c><c r="F123" s="13" t="n" /><c r="G123" s="446" t="inlineStr"><is><t>PA25516815</t></is></c><c r="H123" s="313"><f>H122</f><v /></c><c r="I123" s="38"><f>I122</f><v /></c><c r="J123" s="314"><f>J122</f><v /></c><c r="K123" s="378"><f>K122</f><v /></c><c r="L123" s="378"><f>L122</f><v /></c><c r="M123" s="379" t="n"><v>139.05</v></c><c r="N123" s="379" t="n"><v>238.31</v></c><c r="O123" s="380"><f>O122</f><v /></c><c r="P123" s="381"><f>P122</f><v /></c><c r="Q123" s="382"><f>LEFT(P123,1)</f><v /></c><c r="R123" s="382"><f>RIGHT(P123,6)</f><v /></c><c r="S123" s="382"><f>+(Q123*60+R123)/(60*60)</f><v /></c><c r="T123" s="383"><f>+O123/S123</f><v /></c><c r="U123" s="384"><f>+(((N123-M123-O123)/O123)*100)</f><v /></c><c r="V123" s="317"><f>V122</f><v /></c><c r="W123" s="385"><f>W122</f><v /></c><c r="X123" s="385"><f>X122</f><v /></c><c r="Y123" s="379" t="n"><v>243.65</v></c><c r="Z123" s="379" t="n"><v>253.52</v></c><c r="AA123" s="386"><f>AA122</f><v /></c><c r="AB123" s="387"><f>AB122</f><v /></c><c r="AC123" s="382"><f>LEFT(AB123,2)</f><v /></c><c r="AD123" s="382"><f>RIGHT(AB123,6)</f><v /></c><c r="AE123" s="382"><f>+(AC123*60+AD123)/(60*60)</f><v /></c><c r="AF123" s="383"><f>+AA123/AE123</f><v /></c><c r="AG123" s="321"><f>+(((Z123-Y123-AA123)/AA123)*100)</f><v /></c><c r="AH123" s="317"><f>AH122</f><v /></c><c r="AI123" s="385"><f>AI122</f><v /></c><c r="AJ123" s="385"><f>AJ122</f><v /></c><c r="AK123" s="379"><f>Z123</f><v /></c><c r="AL123" s="379" t="n"><v>258.46</v></c><c r="AM123" s="388"><f>AM122</f><v /></c><c r="AN123" s="381"><f>AN122</f><v /></c><c r="AO123" s="382"><f>LEFT(AN123,2)</f><v /></c><c r="AP123" s="382"><f>RIGHT(AN123,6)</f><v /></c><c r="AQ123" s="382"><f>+(AO123*60+AP123)/(60*60)</f><v /></c><c r="AR123" s="383"><f>+AM123/AQ123</f><v /></c><c r="AS123" s="321"><f>+(((AL123-AK123-AM123)/AM123)*100)</f><v /></c><c r="AT123" s="389"><f>IF(I123&gt;=1,"NO CONFORME",IF(BK123="SIGDIFERENTES",BC123,BL123))</f><v /></c><c r="AU123" s="372"><f>B123=C123</f><v /></c><c r="AV123" s="372"><f>N123&lt;Y123</f><v /></c><c r="AW123" s="372"><f>Z123&lt;=AK123</f><v /></c><c r="AX123" s="372"><f>IF(I123&gt;=1,"Qcorrecto",IF(AND(AY123="aceptable",AZ123="aceptable",BA123="aceptable"),"Qcorrecto","Qincorrecto"))</f><v /></c><c r="AY123" s="390"><f>IF(AR123&lt;$AH$6,"error",IF(AR123&gt;$AH$6*1.1,"error","aceptable"))</f><v /></c><c r="AZ123" s="390"><f>IF(AF123&lt;$V$6,"error",IF(AF123&gt;$V$6*1.1,"error","aceptable"))</f><v /></c><c r="BA123" s="390"><f>IF(T123&lt;$J$6*0.9,"error",IF(T123&gt;$J$6,"error","aceptable"))</f><v /></c><c r="BB123" s="25"><f>(IF(ABS(U123)&lt;1.05,"CONFORME",IF(ABS(AG123)&lt;1.05,"CONFORME",IF(ABS(AS123)&lt;2.55,"CONFORME","NO CONFORME"))))</f><v /></c><c r="BC123" s="5"><f>(IF(ABS(U123)&gt;2.05,"NO CONFORME",IF(ABS(AG123)&gt;2.05,"NO CONFORME",IF(ABS(AS123)&gt;5.05,"NO CONFORME","CONFORME"))))</f><v /></c><c r="BD123" s="374"><f>SIGN(U123)</f><v /></c><c r="BE123" s="374"><f>SIGN(AG123)</f><v /></c><c r="BF123" s="374"><f>SIGN(AS123)</f><v /></c><c r="BG123" s="374"><f>CONCATENATE(BD123,BE123,BF123)</f><v /></c><c r="BH123" s="374"><f>IF(BG123="111","SI","SD")</f><v /></c><c r="BI123" s="374"><f>IF(BG123="-1-1-1","SI","SD")</f><v /></c><c r="BJ123" s="374"><f>OR(BH123="SI",BI123="SI")</f><v /></c><c r="BK123" s="374"><f>IF(BJ123=FALSE,"SIGDIFERENTES","SIGIGUALES")</f><v /></c><c r="BL123" s="390"><f>IF(BC123="NO CONFORME","NO CONFORME",IF(BB123="CONFORME","CONFORME","NO CONFORME"))</f><v /></c></row><row r="124" ht="15" customHeight="1" thickBot="1"><c r="A124" s="391" t="n"><v>116</v></c><c r="B124" s="392"><f>B123</f><v /></c><c r="C124" s="392"><f>C123</f><v /></c><c r="D124" s="393"><f>D123</f><v /></c><c r="E124" s="394"><f>E123</f><v /></c><c r="F124" s="52" t="n" /><c r="G124" s="446" t="inlineStr"><is><t>PA25516816</t></is></c><c r="H124" s="326"><f>H123</f><v /></c><c r="I124" s="98"><f>I123</f><v /></c><c r="J124" s="327"><f>J123</f><v /></c><c r="K124" s="396"><f>K123</f><v /></c><c r="L124" s="396"><f>L123</f><v /></c><c r="M124" s="397" t="n"><v>101.55</v></c><c r="N124" s="397" t="n"><v>201.39</v></c><c r="O124" s="398"><f>O123</f><v /></c><c r="P124" s="399"><f>P123</f><v /></c><c r="Q124" s="400"><f>LEFT(P124,1)</f><v /></c><c r="R124" s="400"><f>RIGHT(P124,6)</f><v /></c><c r="S124" s="400"><f>+(Q124*60+R124)/(60*60)</f><v /></c><c r="T124" s="401"><f>+O124/S124</f><v /></c><c r="U124" s="402"><f>+(((N124-M124-O124)/O124)*100)</f><v /></c><c r="V124" s="329"><f>V123</f><v /></c><c r="W124" s="403"><f>W123</f><v /></c><c r="X124" s="403"><f>X123</f><v /></c><c r="Y124" s="397" t="n"><v>206.75</v></c><c r="Z124" s="397" t="n"><v>216.71</v></c><c r="AA124" s="404"><f>AA123</f><v /></c><c r="AB124" s="405"><f>AB123</f><v /></c><c r="AC124" s="400"><f>LEFT(AB124,2)</f><v /></c><c r="AD124" s="400"><f>RIGHT(AB124,6)</f><v /></c><c r="AE124" s="400"><f>+(AC124*60+AD124)/(60*60)</f><v /></c><c r="AF124" s="401"><f>+AA124/AE124</f><v /></c><c r="AG124" s="406"><f>+(((Z124-Y124-AA124)/AA124)*100)</f><v /></c><c r="AH124" s="329"><f>AH123</f><v /></c><c r="AI124" s="403"><f>AI123</f><v /></c><c r="AJ124" s="403"><f>AJ123</f><v /></c><c r="AK124" s="397"><f>Z124</f><v /></c><c r="AL124" s="397" t="n"><v>221.66</v></c><c r="AM124" s="407"><f>AM123</f><v /></c><c r="AN124" s="399"><f>AN123</f><v /></c><c r="AO124" s="400"><f>LEFT(AN124,2)</f><v /></c><c r="AP124" s="400"><f>RIGHT(AN124,6)</f><v /></c><c r="AQ124" s="400"><f>+(AO124*60+AP124)/(60*60)</f><v /></c><c r="AR124" s="401"><f>+AM124/AQ124</f><v /></c><c r="AS124" s="406"><f>+(((AL124-AK124-AM124)/AM124)*100)</f><v /></c><c r="AT124" s="408"><f>IF(I124&gt;=1,"NO CONFORME",IF(BK124="SIGDIFERENTES",BC124,BL124))</f><v /></c><c r="AU124" s="409"><f>B124=C124</f><v /></c><c r="AV124" s="409"><f>N124&lt;Y124</f><v /></c><c r="AW124" s="409"><f>Z124&lt;=AK124</f><v /></c><c r="AX124" s="409"><f>IF(I124&gt;=1,"Qcorrecto",IF(AND(AY124="aceptable",AZ124="aceptable",BA124="aceptable"),"Qcorrecto","Qincorrecto"))</f><v /></c><c r="AY124" s="410"><f>IF(AR124&lt;$AH$6,"error",IF(AR124&gt;$AH$6*1.1,"error","aceptable"))</f><v /></c><c r="AZ124" s="410"><f>IF(AF124&lt;$V$6,"error",IF(AF124&gt;$V$6*1.1,"error","aceptable"))</f><v /></c><c r="BA124" s="410"><f>IF(T124&lt;$J$6*0.9,"error",IF(T124&gt;$J$6,"error","aceptable"))</f><v /></c><c r="BB124" s="411"><f>(IF(ABS(U124)&lt;1.05,"CONFORME",IF(ABS(AG124)&lt;1.05,"CONFORME",IF(ABS(AS124)&lt;2.55,"CONFORME","NO CONFORME"))))</f><v /></c><c r="BC124" s="412"><f>(IF(ABS(U124)&gt;2.05,"NO CONFORME",IF(ABS(AG124)&gt;2.05,"NO CONFORME",IF(ABS(AS124)&gt;5.05,"NO CONFORME","CONFORME"))))</f><v /></c><c r="BD124" s="413"><f>SIGN(U124)</f><v /></c><c r="BE124" s="413"><f>SIGN(AG124)</f><v /></c><c r="BF124" s="413"><f>SIGN(AS124)</f><v /></c><c r="BG124" s="413"><f>CONCATENATE(BD124,BE124,BF124)</f><v /></c><c r="BH124" s="413"><f>IF(BG124="111","SI","SD")</f><v /></c><c r="BI124" s="413"><f>IF(BG124="-1-1-1","SI","SD")</f><v /></c><c r="BJ124" s="413"><f>OR(BH124="SI",BI124="SI")</f><v /></c><c r="BK124" s="413"><f>IF(BJ124=FALSE,"SIGDIFERENTES","SIGIGUALES")</f><v /></c><c r="BL124" s="410"><f>IF(BC124="NO CONFORME","NO CONFORME",IF(BB124="CONFORME","CONFORME","NO CONFORME"))</f><v /></c></row><row r="125" ht="15" customHeight="1" thickBot="1"><c r="A125" s="351" t="n"><v>117</v></c><c r="B125" s="352"><f>B124</f><v /></c><c r="C125" s="352"><f>C124</f><v /></c><c r="D125" s="353"><f>D124</f><v /></c><c r="E125" s="354"><f>E124</f><v /></c><c r="F125" s="58" t="n" /><c r="G125" s="395" t="inlineStr"><is><t>PA25516817</t></is></c><c r="H125" s="356"><f>H124</f><v /></c><c r="I125" s="232"><f>I124</f><v /></c><c r="J125" s="357" t="n"><v>21.4</v></c><c r="K125" s="358" t="n"><v>8.202</v></c><c r="L125" s="358" t="n"><v>0.5600000000000001</v></c><c r="M125" s="359" t="n"><v>123.38</v></c><c r="N125" s="359" t="n"><v>222.65</v></c><c r="O125" s="360" t="n"><v>100.6</v></c><c r="P125" s="361" t="inlineStr"><is><t>2,32,100</t></is></c><c r="Q125" s="362"><f>LEFT(P125,1)</f><v /></c><c r="R125" s="362"><f>RIGHT(P125,6)</f><v /></c><c r="S125" s="362"><f>+(Q125*60+R125)/(60*60)</f><v /></c><c r="T125" s="363"><f>+O125/S125</f><v /></c><c r="U125" s="364"><f>+(((N125-M125-O125)/O125)*100)</f><v /></c><c r="V125" s="365" t="n"><v>20.8</v></c><c r="W125" s="366" t="n"><v>1.07</v></c><c r="X125" s="366" t="n"><v>1.064</v></c><c r="Y125" s="359" t="n"><v>228.71</v></c><c r="Z125" s="359" t="n"><v>238.66</v></c><c r="AA125" s="367" t="n"><v>10.018</v></c><c r="AB125" s="368" t="inlineStr"><is><t>22,25,120</t></is></c><c r="AC125" s="362"><f>LEFT(AB125,2)</f><v /></c><c r="AD125" s="362"><f>RIGHT(AB125,6)</f><v /></c><c r="AE125" s="362"><f>+(AC125*60+AD125)/(60*60)</f><v /></c><c r="AF125" s="363"><f>+AA125/AE125</f><v /></c><c r="AG125" s="369"><f>+(((Z125-Y125-AA125)/AA125)*100)</f><v /></c><c r="AH125" s="365" t="n"><v>20.9</v></c><c r="AI125" s="366" t="n"><v>1.068</v></c><c r="AJ125" s="366" t="n"><v>1.064</v></c><c r="AK125" s="359"><f>Z125</f><v /></c><c r="AL125" s="359" t="n"><v>243.65</v></c><c r="AM125" s="370" t="n"><v>5.015</v></c><c r="AN125" s="361" t="inlineStr"><is><t>18,25,660</t></is></c><c r="AO125" s="362"><f>LEFT(AN125,2)</f><v /></c><c r="AP125" s="362"><f>RIGHT(AN125,6)</f><v /></c><c r="AQ125" s="362"><f>+(AO125*60+AP125)/(60*60)</f><v /></c><c r="AR125" s="363"><f>+AM125/AQ125</f><v /></c><c r="AS125" s="369"><f>+(((AL125-AK125-AM125)/AM125)*100)</f><v /></c><c r="AT125" s="371"><f>IF(I125&gt;=1,"NO CONFORME",IF(BK125="SIGDIFERENTES",BC125,BL125))</f><v /></c><c r="AU125" s="372"><f>B125=C125</f><v /></c><c r="AV125" s="372"><f>N125&lt;Y125</f><v /></c><c r="AW125" s="372"><f>Z125&lt;=AK125</f><v /></c><c r="AX125" s="372"><f>IF(I125&gt;=1,"Qcorrecto",IF(AND(AY125="aceptable",AZ125="aceptable",BA125="aceptable"),"Qcorrecto","Qincorrecto"))</f><v /></c><c r="AY125" s="373"><f>IF(AR125&lt;$AH$6,"error",IF(AR125&gt;$AH$6*1.1,"error","aceptable"))</f><v /></c><c r="AZ125" s="373"><f>IF(AF125&lt;$V$6,"error",IF(AF125&gt;$V$6*1.1,"error","aceptable"))</f><v /></c><c r="BA125" s="373"><f>IF(T125&lt;$J$6*0.9,"error",IF(T125&gt;$J$6,"error","aceptable"))</f><v /></c><c r="BB125" s="25"><f>(IF(ABS(U125)&lt;1.05,"CONFORME",IF(ABS(AG125)&lt;1.05,"CONFORME",IF(ABS(AS125)&lt;2.55,"CONFORME","NO CONFORME"))))</f><v /></c><c r="BC125" s="5"><f>(IF(ABS(U125)&gt;2.05,"NO CONFORME",IF(ABS(AG125)&gt;2.05,"NO CONFORME",IF(ABS(AS125)&gt;5.05,"NO CONFORME","CONFORME"))))</f><v /></c><c r="BD125" s="374"><f>SIGN(U125)</f><v /></c><c r="BE125" s="374"><f>SIGN(AG125)</f><v /></c><c r="BF125" s="374"><f>SIGN(AS125)</f><v /></c><c r="BG125" s="374"><f>CONCATENATE(BD125,BE125,BF125)</f><v /></c><c r="BH125" s="374"><f>IF(BG125="111","SI","SD")</f><v /></c><c r="BI125" s="374"><f>IF(BG125="-1-1-1","SI","SD")</f><v /></c><c r="BJ125" s="374"><f>OR(BH125="SI",BI125="SI")</f><v /></c><c r="BK125" s="374"><f>IF(BJ125=FALSE,"SIGDIFERENTES","SIGIGUALES")</f><v /></c><c r="BL125" s="373"><f>IF(BC125="NO CONFORME","NO CONFORME",IF(BB125="CONFORME","CONFORME","NO CONFORME"))</f><v /></c></row><row r="126" ht="15" customHeight="1" thickBot="1"><c r="A126" s="351" t="n"><v>118</v></c><c r="B126" s="375"><f>B125</f><v /></c><c r="C126" s="375"><f>C125</f><v /></c><c r="D126" s="376"><f>D125</f><v /></c><c r="E126" s="377"><f>E125</f><v /></c><c r="F126" s="13" t="n" /><c r="G126" s="446" t="inlineStr"><is><t>PA25516818</t></is></c><c r="H126" s="313"><f>H125</f><v /></c><c r="I126" s="38"><f>I125</f><v /></c><c r="J126" s="314"><f>J125</f><v /></c><c r="K126" s="378"><f>K125</f><v /></c><c r="L126" s="378"><f>L125</f><v /></c><c r="M126" s="379" t="n"><v>123.26</v></c><c r="N126" s="379" t="n"><v>223.79</v></c><c r="O126" s="380"><f>O125</f><v /></c><c r="P126" s="381"><f>P125</f><v /></c><c r="Q126" s="382"><f>LEFT(P126,1)</f><v /></c><c r="R126" s="382"><f>RIGHT(P126,6)</f><v /></c><c r="S126" s="382"><f>+(Q126*60+R126)/(60*60)</f><v /></c><c r="T126" s="383"><f>+O126/S126</f><v /></c><c r="U126" s="384"><f>+(((N126-M126-O126)/O126)*100)</f><v /></c><c r="V126" s="317"><f>V125</f><v /></c><c r="W126" s="385"><f>W125</f><v /></c><c r="X126" s="385"><f>X125</f><v /></c><c r="Y126" s="379" t="n"><v>229.9</v></c><c r="Z126" s="379" t="n"><v>239.88</v></c><c r="AA126" s="386"><f>AA125</f><v /></c><c r="AB126" s="387"><f>AB125</f><v /></c><c r="AC126" s="382"><f>LEFT(AB126,2)</f><v /></c><c r="AD126" s="382"><f>RIGHT(AB126,6)</f><v /></c><c r="AE126" s="382"><f>+(AC126*60+AD126)/(60*60)</f><v /></c><c r="AF126" s="383"><f>+AA126/AE126</f><v /></c><c r="AG126" s="321"><f>+(((Z126-Y126-AA126)/AA126)*100)</f><v /></c><c r="AH126" s="317"><f>AH125</f><v /></c><c r="AI126" s="385"><f>AI125</f><v /></c><c r="AJ126" s="385"><f>AJ125</f><v /></c><c r="AK126" s="379"><f>Z126</f><v /></c><c r="AL126" s="379" t="n"><v>244.86</v></c><c r="AM126" s="388"><f>AM125</f><v /></c><c r="AN126" s="381"><f>AN125</f><v /></c><c r="AO126" s="382"><f>LEFT(AN126,2)</f><v /></c><c r="AP126" s="382"><f>RIGHT(AN126,6)</f><v /></c><c r="AQ126" s="382"><f>+(AO126*60+AP126)/(60*60)</f><v /></c><c r="AR126" s="383"><f>+AM126/AQ126</f><v /></c><c r="AS126" s="321"><f>+(((AL126-AK126-AM126)/AM126)*100)</f><v /></c><c r="AT126" s="389"><f>IF(I126&gt;=1,"NO CONFORME",IF(BK126="SIGDIFERENTES",BC126,BL126))</f><v /></c><c r="AU126" s="372"><f>B126=C126</f><v /></c><c r="AV126" s="372"><f>N126&lt;Y126</f><v /></c><c r="AW126" s="372"><f>Z126&lt;=AK126</f><v /></c><c r="AX126" s="372"><f>IF(I126&gt;=1,"Qcorrecto",IF(AND(AY126="aceptable",AZ126="aceptable",BA126="aceptable"),"Qcorrecto","Qincorrecto"))</f><v /></c><c r="AY126" s="390"><f>IF(AR126&lt;$AH$6,"error",IF(AR126&gt;$AH$6*1.1,"error","aceptable"))</f><v /></c><c r="AZ126" s="390"><f>IF(AF126&lt;$V$6,"error",IF(AF126&gt;$V$6*1.1,"error","aceptable"))</f><v /></c><c r="BA126" s="390"><f>IF(T126&lt;$J$6*0.9,"error",IF(T126&gt;$J$6,"error","aceptable"))</f><v /></c><c r="BB126" s="25"><f>(IF(ABS(U126)&lt;1.05,"CONFORME",IF(ABS(AG126)&lt;1.05,"CONFORME",IF(ABS(AS126)&lt;2.55,"CONFORME","NO CONFORME"))))</f><v /></c><c r="BC126" s="5"><f>(IF(ABS(U126)&gt;2.05,"NO CONFORME",IF(ABS(AG126)&gt;2.05,"NO CONFORME",IF(ABS(AS126)&gt;5.05,"NO CONFORME","CONFORME"))))</f><v /></c><c r="BD126" s="374"><f>SIGN(U126)</f><v /></c><c r="BE126" s="374"><f>SIGN(AG126)</f><v /></c><c r="BF126" s="374"><f>SIGN(AS126)</f><v /></c><c r="BG126" s="374"><f>CONCATENATE(BD126,BE126,BF126)</f><v /></c><c r="BH126" s="374"><f>IF(BG126="111","SI","SD")</f><v /></c><c r="BI126" s="374"><f>IF(BG126="-1-1-1","SI","SD")</f><v /></c><c r="BJ126" s="374"><f>OR(BH126="SI",BI126="SI")</f><v /></c><c r="BK126" s="374"><f>IF(BJ126=FALSE,"SIGDIFERENTES","SIGIGUALES")</f><v /></c><c r="BL126" s="390"><f>IF(BC126="NO CONFORME","NO CONFORME",IF(BB126="CONFORME","CONFORME","NO CONFORME"))</f><v /></c></row><row r="127" ht="15" customHeight="1" thickBot="1"><c r="A127" s="351" t="n"><v>119</v></c><c r="B127" s="375"><f>B126</f><v /></c><c r="C127" s="375"><f>C126</f><v /></c><c r="D127" s="376"><f>D126</f><v /></c><c r="E127" s="377"><f>E126</f><v /></c><c r="F127" s="13" t="n" /><c r="G127" s="446" t="inlineStr"><is><t>PA25516819</t></is></c><c r="H127" s="313"><f>H126</f><v /></c><c r="I127" s="38"><f>I126</f><v /></c><c r="J127" s="314"><f>J126</f><v /></c><c r="K127" s="378"><f>K126</f><v /></c><c r="L127" s="378"><f>L126</f><v /></c><c r="M127" s="379" t="n"><v>122.65</v></c><c r="N127" s="379" t="n"><v>222.56</v></c><c r="O127" s="380"><f>O126</f><v /></c><c r="P127" s="381"><f>P126</f><v /></c><c r="Q127" s="382"><f>LEFT(P127,1)</f><v /></c><c r="R127" s="382"><f>RIGHT(P127,6)</f><v /></c><c r="S127" s="382"><f>+(Q127*60+R127)/(60*60)</f><v /></c><c r="T127" s="383"><f>+O127/S127</f><v /></c><c r="U127" s="384"><f>+(((N127-M127-O127)/O127)*100)</f><v /></c><c r="V127" s="317"><f>V126</f><v /></c><c r="W127" s="385"><f>W126</f><v /></c><c r="X127" s="385"><f>X126</f><v /></c><c r="Y127" s="379" t="n"><v>228.6</v></c><c r="Z127" s="379" t="n"><v>238.6</v></c><c r="AA127" s="386"><f>AA126</f><v /></c><c r="AB127" s="387"><f>AB126</f><v /></c><c r="AC127" s="382"><f>LEFT(AB127,2)</f><v /></c><c r="AD127" s="382"><f>RIGHT(AB127,6)</f><v /></c><c r="AE127" s="382"><f>+(AC127*60+AD127)/(60*60)</f><v /></c><c r="AF127" s="383"><f>+AA127/AE127</f><v /></c><c r="AG127" s="321"><f>+(((Z127-Y127-AA127)/AA127)*100)</f><v /></c><c r="AH127" s="317"><f>AH126</f><v /></c><c r="AI127" s="385"><f>AI126</f><v /></c><c r="AJ127" s="385"><f>AJ126</f><v /></c><c r="AK127" s="379"><f>Z127</f><v /></c><c r="AL127" s="379" t="n"><v>243.61</v></c><c r="AM127" s="388"><f>AM126</f><v /></c><c r="AN127" s="381"><f>AN126</f><v /></c><c r="AO127" s="382"><f>LEFT(AN127,2)</f><v /></c><c r="AP127" s="382"><f>RIGHT(AN127,6)</f><v /></c><c r="AQ127" s="382"><f>+(AO127*60+AP127)/(60*60)</f><v /></c><c r="AR127" s="383"><f>+AM127/AQ127</f><v /></c><c r="AS127" s="321"><f>+(((AL127-AK127-AM127)/AM127)*100)</f><v /></c><c r="AT127" s="389"><f>IF(I127&gt;=1,"NO CONFORME",IF(BK127="SIGDIFERENTES",BC127,BL127))</f><v /></c><c r="AU127" s="372"><f>B127=C127</f><v /></c><c r="AV127" s="372"><f>N127&lt;Y127</f><v /></c><c r="AW127" s="372"><f>Z127&lt;=AK127</f><v /></c><c r="AX127" s="372"><f>IF(I127&gt;=1,"Qcorrecto",IF(AND(AY127="aceptable",AZ127="aceptable",BA127="aceptable"),"Qcorrecto","Qincorrecto"))</f><v /></c><c r="AY127" s="390"><f>IF(AR127&lt;$AH$6,"error",IF(AR127&gt;$AH$6*1.1,"error","aceptable"))</f><v /></c><c r="AZ127" s="390"><f>IF(AF127&lt;$V$6,"error",IF(AF127&gt;$V$6*1.1,"error","aceptable"))</f><v /></c><c r="BA127" s="390"><f>IF(T127&lt;$J$6*0.9,"error",IF(T127&gt;$J$6,"error","aceptable"))</f><v /></c><c r="BB127" s="25"><f>(IF(ABS(U127)&lt;1.05,"CONFORME",IF(ABS(AG127)&lt;1.05,"CONFORME",IF(ABS(AS127)&lt;2.55,"CONFORME","NO CONFORME"))))</f><v /></c><c r="BC127" s="5"><f>(IF(ABS(U127)&gt;2.05,"NO CONFORME",IF(ABS(AG127)&gt;2.05,"NO CONFORME",IF(ABS(AS127)&gt;5.05,"NO CONFORME","CONFORME"))))</f><v /></c><c r="BD127" s="374"><f>SIGN(U127)</f><v /></c><c r="BE127" s="374"><f>SIGN(AG127)</f><v /></c><c r="BF127" s="374"><f>SIGN(AS127)</f><v /></c><c r="BG127" s="374"><f>CONCATENATE(BD127,BE127,BF127)</f><v /></c><c r="BH127" s="374"><f>IF(BG127="111","SI","SD")</f><v /></c><c r="BI127" s="374"><f>IF(BG127="-1-1-1","SI","SD")</f><v /></c><c r="BJ127" s="374"><f>OR(BH127="SI",BI127="SI")</f><v /></c><c r="BK127" s="374"><f>IF(BJ127=FALSE,"SIGDIFERENTES","SIGIGUALES")</f><v /></c><c r="BL127" s="390"><f>IF(BC127="NO CONFORME","NO CONFORME",IF(BB127="CONFORME","CONFORME","NO CONFORME"))</f><v /></c></row><row r="128" ht="15" customHeight="1" thickBot="1"><c r="A128" s="351" t="n"><v>120</v></c><c r="B128" s="375"><f>B127</f><v /></c><c r="C128" s="375"><f>C127</f><v /></c><c r="D128" s="376"><f>D127</f><v /></c><c r="E128" s="377"><f>E127</f><v /></c><c r="F128" s="13" t="n" /><c r="G128" s="446" t="inlineStr"><is><t>PA25516820</t></is></c><c r="H128" s="313"><f>H127</f><v /></c><c r="I128" s="38"><f>I127</f><v /></c><c r="J128" s="314"><f>J127</f><v /></c><c r="K128" s="378"><f>K127</f><v /></c><c r="L128" s="378"><f>L127</f><v /></c><c r="M128" s="379" t="n"><v>82.84</v></c><c r="N128" s="379" t="n"><v>182.84</v></c><c r="O128" s="380"><f>O127</f><v /></c><c r="P128" s="381"><f>P127</f><v /></c><c r="Q128" s="382"><f>LEFT(P128,1)</f><v /></c><c r="R128" s="382"><f>RIGHT(P128,6)</f><v /></c><c r="S128" s="382"><f>+(Q128*60+R128)/(60*60)</f><v /></c><c r="T128" s="383"><f>+O128/S128</f><v /></c><c r="U128" s="384"><f>+(((N128-M128-O128)/O128)*100)</f><v /></c><c r="V128" s="317"><f>V127</f><v /></c><c r="W128" s="385"><f>W127</f><v /></c><c r="X128" s="385"><f>X127</f><v /></c><c r="Y128" s="379" t="n"><v>188.9</v></c><c r="Z128" s="379" t="n"><v>198.82</v></c><c r="AA128" s="386"><f>AA127</f><v /></c><c r="AB128" s="387"><f>AB127</f><v /></c><c r="AC128" s="382"><f>LEFT(AB128,2)</f><v /></c><c r="AD128" s="382"><f>RIGHT(AB128,6)</f><v /></c><c r="AE128" s="382"><f>+(AC128*60+AD128)/(60*60)</f><v /></c><c r="AF128" s="383"><f>+AA128/AE128</f><v /></c><c r="AG128" s="321"><f>+(((Z128-Y128-AA128)/AA128)*100)</f><v /></c><c r="AH128" s="317"><f>AH127</f><v /></c><c r="AI128" s="385"><f>AI127</f><v /></c><c r="AJ128" s="385"><f>AJ127</f><v /></c><c r="AK128" s="379"><f>Z128</f><v /></c><c r="AL128" s="379" t="n"><v>203.78</v></c><c r="AM128" s="388"><f>AM127</f><v /></c><c r="AN128" s="381"><f>AN127</f><v /></c><c r="AO128" s="382"><f>LEFT(AN128,2)</f><v /></c><c r="AP128" s="382"><f>RIGHT(AN128,6)</f><v /></c><c r="AQ128" s="382"><f>+(AO128*60+AP128)/(60*60)</f><v /></c><c r="AR128" s="383"><f>+AM128/AQ128</f><v /></c><c r="AS128" s="321"><f>+(((AL128-AK128-AM128)/AM128)*100)</f><v /></c><c r="AT128" s="389"><f>IF(I128&gt;=1,"NO CONFORME",IF(BK128="SIGDIFERENTES",BC128,BL128))</f><v /></c><c r="AU128" s="372"><f>B128=C128</f><v /></c><c r="AV128" s="372"><f>N128&lt;Y128</f><v /></c><c r="AW128" s="372"><f>Z128&lt;=AK128</f><v /></c><c r="AX128" s="372"><f>IF(I128&gt;=1,"Qcorrecto",IF(AND(AY128="aceptable",AZ128="aceptable",BA128="aceptable"),"Qcorrecto","Qincorrecto"))</f><v /></c><c r="AY128" s="390"><f>IF(AR128&lt;$AH$6,"error",IF(AR128&gt;$AH$6*1.1,"error","aceptable"))</f><v /></c><c r="AZ128" s="390"><f>IF(AF128&lt;$V$6,"error",IF(AF128&gt;$V$6*1.1,"error","aceptable"))</f><v /></c><c r="BA128" s="390"><f>IF(T128&lt;$J$6*0.9,"error",IF(T128&gt;$J$6,"error","aceptable"))</f><v /></c><c r="BB128" s="25"><f>(IF(ABS(U128)&lt;1.05,"CONFORME",IF(ABS(AG128)&lt;1.05,"CONFORME",IF(ABS(AS128)&lt;2.55,"CONFORME","NO CONFORME"))))</f><v /></c><c r="BC128" s="5"><f>(IF(ABS(U128)&gt;2.05,"NO CONFORME",IF(ABS(AG128)&gt;2.05,"NO CONFORME",IF(ABS(AS128)&gt;5.05,"NO CONFORME","CONFORME"))))</f><v /></c><c r="BD128" s="374"><f>SIGN(U128)</f><v /></c><c r="BE128" s="374"><f>SIGN(AG128)</f><v /></c><c r="BF128" s="374"><f>SIGN(AS128)</f><v /></c><c r="BG128" s="374"><f>CONCATENATE(BD128,BE128,BF128)</f><v /></c><c r="BH128" s="374"><f>IF(BG128="111","SI","SD")</f><v /></c><c r="BI128" s="374"><f>IF(BG128="-1-1-1","SI","SD")</f><v /></c><c r="BJ128" s="374"><f>OR(BH128="SI",BI128="SI")</f><v /></c><c r="BK128" s="374"><f>IF(BJ128=FALSE,"SIGDIFERENTES","SIGIGUALES")</f><v /></c><c r="BL128" s="390"><f>IF(BC128="NO CONFORME","NO CONFORME",IF(BB128="CONFORME","CONFORME","NO CONFORME"))</f><v /></c></row><row r="129" ht="15" customHeight="1" thickBot="1"><c r="A129" s="351" t="n"><v>121</v></c><c r="B129" s="375"><f>B128</f><v /></c><c r="C129" s="375"><f>C128</f><v /></c><c r="D129" s="376"><f>D128</f><v /></c><c r="E129" s="377"><f>E128</f><v /></c><c r="F129" s="13" t="n" /><c r="G129" s="446" t="inlineStr"><is><t>PA25516821</t></is></c><c r="H129" s="313"><f>H128</f><v /></c><c r="I129" s="38"><f>I128</f><v /></c><c r="J129" s="314"><f>J128</f><v /></c><c r="K129" s="378"><f>K128</f><v /></c><c r="L129" s="378"><f>L128</f><v /></c><c r="M129" s="379" t="n"><v>82.5</v></c><c r="N129" s="379" t="n"><v>183</v></c><c r="O129" s="380"><f>O128</f><v /></c><c r="P129" s="381"><f>P128</f><v /></c><c r="Q129" s="382"><f>LEFT(P129,1)</f><v /></c><c r="R129" s="382"><f>RIGHT(P129,6)</f><v /></c><c r="S129" s="382"><f>+(Q129*60+R129)/(60*60)</f><v /></c><c r="T129" s="383"><f>+O129/S129</f><v /></c><c r="U129" s="384"><f>+(((N129-M129-O129)/O129)*100)</f><v /></c><c r="V129" s="317"><f>V128</f><v /></c><c r="W129" s="385"><f>W128</f><v /></c><c r="X129" s="385"><f>X128</f><v /></c><c r="Y129" s="379" t="n"><v>189.09</v></c><c r="Z129" s="379" t="n"><v>199.1</v></c><c r="AA129" s="386"><f>AA128</f><v /></c><c r="AB129" s="387"><f>AB128</f><v /></c><c r="AC129" s="382"><f>LEFT(AB129,2)</f><v /></c><c r="AD129" s="382"><f>RIGHT(AB129,6)</f><v /></c><c r="AE129" s="382"><f>+(AC129*60+AD129)/(60*60)</f><v /></c><c r="AF129" s="383"><f>+AA129/AE129</f><v /></c><c r="AG129" s="321"><f>+(((Z129-Y129-AA129)/AA129)*100)</f><v /></c><c r="AH129" s="317"><f>AH128</f><v /></c><c r="AI129" s="385"><f>AI128</f><v /></c><c r="AJ129" s="385"><f>AJ128</f><v /></c><c r="AK129" s="379"><f>Z129</f><v /></c><c r="AL129" s="379" t="n"><v>204.1</v></c><c r="AM129" s="388"><f>AM128</f><v /></c><c r="AN129" s="381"><f>AN128</f><v /></c><c r="AO129" s="382"><f>LEFT(AN129,2)</f><v /></c><c r="AP129" s="382"><f>RIGHT(AN129,6)</f><v /></c><c r="AQ129" s="382"><f>+(AO129*60+AP129)/(60*60)</f><v /></c><c r="AR129" s="383"><f>+AM129/AQ129</f><v /></c><c r="AS129" s="321"><f>+(((AL129-AK129-AM129)/AM129)*100)</f><v /></c><c r="AT129" s="389"><f>IF(I129&gt;=1,"NO CONFORME",IF(BK129="SIGDIFERENTES",BC129,BL129))</f><v /></c><c r="AU129" s="372"><f>B129=C129</f><v /></c><c r="AV129" s="372"><f>N129&lt;Y129</f><v /></c><c r="AW129" s="372"><f>Z129&lt;=AK129</f><v /></c><c r="AX129" s="372"><f>IF(I129&gt;=1,"Qcorrecto",IF(AND(AY129="aceptable",AZ129="aceptable",BA129="aceptable"),"Qcorrecto","Qincorrecto"))</f><v /></c><c r="AY129" s="390"><f>IF(AR129&lt;$AH$6,"error",IF(AR129&gt;$AH$6*1.1,"error","aceptable"))</f><v /></c><c r="AZ129" s="390"><f>IF(AF129&lt;$V$6,"error",IF(AF129&gt;$V$6*1.1,"error","aceptable"))</f><v /></c><c r="BA129" s="390"><f>IF(T129&lt;$J$6*0.9,"error",IF(T129&gt;$J$6,"error","aceptable"))</f><v /></c><c r="BB129" s="25"><f>(IF(ABS(U129)&lt;1.05,"CONFORME",IF(ABS(AG129)&lt;1.05,"CONFORME",IF(ABS(AS129)&lt;2.55,"CONFORME","NO CONFORME"))))</f><v /></c><c r="BC129" s="5"><f>(IF(ABS(U129)&gt;2.05,"NO CONFORME",IF(ABS(AG129)&gt;2.05,"NO CONFORME",IF(ABS(AS129)&gt;5.05,"NO CONFORME","CONFORME"))))</f><v /></c><c r="BD129" s="374"><f>SIGN(U129)</f><v /></c><c r="BE129" s="374"><f>SIGN(AG129)</f><v /></c><c r="BF129" s="374"><f>SIGN(AS129)</f><v /></c><c r="BG129" s="374"><f>CONCATENATE(BD129,BE129,BF129)</f><v /></c><c r="BH129" s="374"><f>IF(BG129="111","SI","SD")</f><v /></c><c r="BI129" s="374"><f>IF(BG129="-1-1-1","SI","SD")</f><v /></c><c r="BJ129" s="374"><f>OR(BH129="SI",BI129="SI")</f><v /></c><c r="BK129" s="374"><f>IF(BJ129=FALSE,"SIGDIFERENTES","SIGIGUALES")</f><v /></c><c r="BL129" s="390"><f>IF(BC129="NO CONFORME","NO CONFORME",IF(BB129="CONFORME","CONFORME","NO CONFORME"))</f><v /></c></row><row r="130" ht="15" customHeight="1" thickBot="1"><c r="A130" s="351" t="n"><v>122</v></c><c r="B130" s="375"><f>B129</f><v /></c><c r="C130" s="375"><f>C129</f><v /></c><c r="D130" s="376"><f>D129</f><v /></c><c r="E130" s="377"><f>E129</f><v /></c><c r="F130" s="13" t="n" /><c r="G130" s="446" t="inlineStr"><is><t>PA25516822</t></is></c><c r="H130" s="313"><f>H129</f><v /></c><c r="I130" s="38"><f>I129</f><v /></c><c r="J130" s="314"><f>J129</f><v /></c><c r="K130" s="378"><f>K129</f><v /></c><c r="L130" s="378"><f>L129</f><v /></c><c r="M130" s="379" t="n"><v>120.6</v></c><c r="N130" s="379" t="n"><v>220.19</v></c><c r="O130" s="380"><f>O129</f><v /></c><c r="P130" s="381"><f>P129</f><v /></c><c r="Q130" s="382"><f>LEFT(P130,1)</f><v /></c><c r="R130" s="382"><f>RIGHT(P130,6)</f><v /></c><c r="S130" s="382"><f>+(Q130*60+R130)/(60*60)</f><v /></c><c r="T130" s="383"><f>+O130/S130</f><v /></c><c r="U130" s="384"><f>+(((N130-M130-O130)/O130)*100)</f><v /></c><c r="V130" s="317"><f>V129</f><v /></c><c r="W130" s="385"><f>W129</f><v /></c><c r="X130" s="385"><f>X129</f><v /></c><c r="Y130" s="379" t="n"><v>226.21</v></c><c r="Z130" s="379" t="n"><v>236.17</v></c><c r="AA130" s="386"><f>AA129</f><v /></c><c r="AB130" s="387"><f>AB129</f><v /></c><c r="AC130" s="382"><f>LEFT(AB130,2)</f><v /></c><c r="AD130" s="382"><f>RIGHT(AB130,6)</f><v /></c><c r="AE130" s="382"><f>+(AC130*60+AD130)/(60*60)</f><v /></c><c r="AF130" s="383"><f>+AA130/AE130</f><v /></c><c r="AG130" s="321"><f>+(((Z130-Y130-AA130)/AA130)*100)</f><v /></c><c r="AH130" s="317"><f>AH129</f><v /></c><c r="AI130" s="385"><f>AI129</f><v /></c><c r="AJ130" s="385"><f>AJ129</f><v /></c><c r="AK130" s="379"><f>Z130</f><v /></c><c r="AL130" s="379" t="n"><v>241.17</v></c><c r="AM130" s="388"><f>AM129</f><v /></c><c r="AN130" s="381"><f>AN129</f><v /></c><c r="AO130" s="382"><f>LEFT(AN130,2)</f><v /></c><c r="AP130" s="382"><f>RIGHT(AN130,6)</f><v /></c><c r="AQ130" s="382"><f>+(AO130*60+AP130)/(60*60)</f><v /></c><c r="AR130" s="383"><f>+AM130/AQ130</f><v /></c><c r="AS130" s="321"><f>+(((AL130-AK130-AM130)/AM130)*100)</f><v /></c><c r="AT130" s="389"><f>IF(I130&gt;=1,"NO CONFORME",IF(BK130="SIGDIFERENTES",BC130,BL130))</f><v /></c><c r="AU130" s="372"><f>B130=C130</f><v /></c><c r="AV130" s="372"><f>N130&lt;Y130</f><v /></c><c r="AW130" s="372"><f>Z130&lt;=AK130</f><v /></c><c r="AX130" s="372"><f>IF(I130&gt;=1,"Qcorrecto",IF(AND(AY130="aceptable",AZ130="aceptable",BA130="aceptable"),"Qcorrecto","Qincorrecto"))</f><v /></c><c r="AY130" s="390"><f>IF(AR130&lt;$AH$6,"error",IF(AR130&gt;$AH$6*1.1,"error","aceptable"))</f><v /></c><c r="AZ130" s="390"><f>IF(AF130&lt;$V$6,"error",IF(AF130&gt;$V$6*1.1,"error","aceptable"))</f><v /></c><c r="BA130" s="390"><f>IF(T130&lt;$J$6*0.9,"error",IF(T130&gt;$J$6,"error","aceptable"))</f><v /></c><c r="BB130" s="25"><f>(IF(ABS(U130)&lt;1.05,"CONFORME",IF(ABS(AG130)&lt;1.05,"CONFORME",IF(ABS(AS130)&lt;2.55,"CONFORME","NO CONFORME"))))</f><v /></c><c r="BC130" s="5"><f>(IF(ABS(U130)&gt;2.05,"NO CONFORME",IF(ABS(AG130)&gt;2.05,"NO CONFORME",IF(ABS(AS130)&gt;5.05,"NO CONFORME","CONFORME"))))</f><v /></c><c r="BD130" s="374"><f>SIGN(U130)</f><v /></c><c r="BE130" s="374"><f>SIGN(AG130)</f><v /></c><c r="BF130" s="374"><f>SIGN(AS130)</f><v /></c><c r="BG130" s="374"><f>CONCATENATE(BD130,BE130,BF130)</f><v /></c><c r="BH130" s="374"><f>IF(BG130="111","SI","SD")</f><v /></c><c r="BI130" s="374"><f>IF(BG130="-1-1-1","SI","SD")</f><v /></c><c r="BJ130" s="374"><f>OR(BH130="SI",BI130="SI")</f><v /></c><c r="BK130" s="374"><f>IF(BJ130=FALSE,"SIGDIFERENTES","SIGIGUALES")</f><v /></c><c r="BL130" s="390"><f>IF(BC130="NO CONFORME","NO CONFORME",IF(BB130="CONFORME","CONFORME","NO CONFORME"))</f><v /></c></row><row r="131" ht="15" customHeight="1" thickBot="1"><c r="A131" s="351" t="n"><v>123</v></c><c r="B131" s="375"><f>B130</f><v /></c><c r="C131" s="375"><f>C130</f><v /></c><c r="D131" s="376"><f>D130</f><v /></c><c r="E131" s="377"><f>E130</f><v /></c><c r="F131" s="13" t="n" /><c r="G131" s="446" t="inlineStr"><is><t>PA25516823</t></is></c><c r="H131" s="313"><f>H130</f><v /></c><c r="I131" s="38"><f>I130</f><v /></c><c r="J131" s="314"><f>J130</f><v /></c><c r="K131" s="378"><f>K130</f><v /></c><c r="L131" s="378"><f>L130</f><v /></c><c r="M131" s="379" t="n"><v>83.54000000000001</v></c><c r="N131" s="379" t="n"><v>183.4</v></c><c r="O131" s="380"><f>O130</f><v /></c><c r="P131" s="381"><f>P130</f><v /></c><c r="Q131" s="382"><f>LEFT(P131,1)</f><v /></c><c r="R131" s="382"><f>RIGHT(P131,6)</f><v /></c><c r="S131" s="382"><f>+(Q131*60+R131)/(60*60)</f><v /></c><c r="T131" s="383"><f>+O131/S131</f><v /></c><c r="U131" s="384"><f>+(((N131-M131-O131)/O131)*100)</f><v /></c><c r="V131" s="317"><f>V130</f><v /></c><c r="W131" s="385"><f>W130</f><v /></c><c r="X131" s="385"><f>X130</f><v /></c><c r="Y131" s="379" t="n"><v>189.45</v></c><c r="Z131" s="379" t="n"><v>199.36</v></c><c r="AA131" s="386"><f>AA130</f><v /></c><c r="AB131" s="387"><f>AB130</f><v /></c><c r="AC131" s="382"><f>LEFT(AB131,2)</f><v /></c><c r="AD131" s="382"><f>RIGHT(AB131,6)</f><v /></c><c r="AE131" s="382"><f>+(AC131*60+AD131)/(60*60)</f><v /></c><c r="AF131" s="383"><f>+AA131/AE131</f><v /></c><c r="AG131" s="321"><f>+(((Z131-Y131-AA131)/AA131)*100)</f><v /></c><c r="AH131" s="317"><f>AH130</f><v /></c><c r="AI131" s="385"><f>AI130</f><v /></c><c r="AJ131" s="385"><f>AJ130</f><v /></c><c r="AK131" s="379"><f>Z131</f><v /></c><c r="AL131" s="379" t="n"><v>204.31</v></c><c r="AM131" s="388"><f>AM130</f><v /></c><c r="AN131" s="381"><f>AN130</f><v /></c><c r="AO131" s="382"><f>LEFT(AN131,2)</f><v /></c><c r="AP131" s="382"><f>RIGHT(AN131,6)</f><v /></c><c r="AQ131" s="382"><f>+(AO131*60+AP131)/(60*60)</f><v /></c><c r="AR131" s="383"><f>+AM131/AQ131</f><v /></c><c r="AS131" s="321"><f>+(((AL131-AK131-AM131)/AM131)*100)</f><v /></c><c r="AT131" s="389"><f>IF(I131&gt;=1,"NO CONFORME",IF(BK131="SIGDIFERENTES",BC131,BL131))</f><v /></c><c r="AU131" s="372"><f>B131=C131</f><v /></c><c r="AV131" s="372"><f>N131&lt;Y131</f><v /></c><c r="AW131" s="372"><f>Z131&lt;=AK131</f><v /></c><c r="AX131" s="372"><f>IF(I131&gt;=1,"Qcorrecto",IF(AND(AY131="aceptable",AZ131="aceptable",BA131="aceptable"),"Qcorrecto","Qincorrecto"))</f><v /></c><c r="AY131" s="390"><f>IF(AR131&lt;$AH$6,"error",IF(AR131&gt;$AH$6*1.1,"error","aceptable"))</f><v /></c><c r="AZ131" s="390"><f>IF(AF131&lt;$V$6,"error",IF(AF131&gt;$V$6*1.1,"error","aceptable"))</f><v /></c><c r="BA131" s="390"><f>IF(T131&lt;$J$6*0.9,"error",IF(T131&gt;$J$6,"error","aceptable"))</f><v /></c><c r="BB131" s="25"><f>(IF(ABS(U131)&lt;1.05,"CONFORME",IF(ABS(AG131)&lt;1.05,"CONFORME",IF(ABS(AS131)&lt;2.55,"CONFORME","NO CONFORME"))))</f><v /></c><c r="BC131" s="5"><f>(IF(ABS(U131)&gt;2.05,"NO CONFORME",IF(ABS(AG131)&gt;2.05,"NO CONFORME",IF(ABS(AS131)&gt;5.05,"NO CONFORME","CONFORME"))))</f><v /></c><c r="BD131" s="374"><f>SIGN(U131)</f><v /></c><c r="BE131" s="374"><f>SIGN(AG131)</f><v /></c><c r="BF131" s="374"><f>SIGN(AS131)</f><v /></c><c r="BG131" s="374"><f>CONCATENATE(BD131,BE131,BF131)</f><v /></c><c r="BH131" s="374"><f>IF(BG131="111","SI","SD")</f><v /></c><c r="BI131" s="374"><f>IF(BG131="-1-1-1","SI","SD")</f><v /></c><c r="BJ131" s="374"><f>OR(BH131="SI",BI131="SI")</f><v /></c><c r="BK131" s="374"><f>IF(BJ131=FALSE,"SIGDIFERENTES","SIGIGUALES")</f><v /></c><c r="BL131" s="390"><f>IF(BC131="NO CONFORME","NO CONFORME",IF(BB131="CONFORME","CONFORME","NO CONFORME"))</f><v /></c></row><row r="132" ht="15" customHeight="1" thickBot="1"><c r="A132" s="351" t="n"><v>124</v></c><c r="B132" s="375"><f>B131</f><v /></c><c r="C132" s="375"><f>C131</f><v /></c><c r="D132" s="376"><f>D131</f><v /></c><c r="E132" s="377"><f>E131</f><v /></c><c r="F132" s="13" t="n" /><c r="G132" s="446" t="inlineStr"><is><t>PA25516824</t></is></c><c r="H132" s="313"><f>H131</f><v /></c><c r="I132" s="38"><f>I131</f><v /></c><c r="J132" s="314"><f>J131</f><v /></c><c r="K132" s="378"><f>K131</f><v /></c><c r="L132" s="378"><f>L131</f><v /></c><c r="M132" s="379" t="n"><v>84.08</v></c><c r="N132" s="379" t="n"><v>184.35</v></c><c r="O132" s="380"><f>O131</f><v /></c><c r="P132" s="381"><f>P131</f><v /></c><c r="Q132" s="382"><f>LEFT(P132,1)</f><v /></c><c r="R132" s="382"><f>RIGHT(P132,6)</f><v /></c><c r="S132" s="382"><f>+(Q132*60+R132)/(60*60)</f><v /></c><c r="T132" s="383"><f>+O132/S132</f><v /></c><c r="U132" s="384"><f>+(((N132-M132-O132)/O132)*100)</f><v /></c><c r="V132" s="317"><f>V131</f><v /></c><c r="W132" s="385"><f>W131</f><v /></c><c r="X132" s="385"><f>X131</f><v /></c><c r="Y132" s="379" t="n"><v>190.44</v></c><c r="Z132" s="379" t="n"><v>200.45</v></c><c r="AA132" s="386"><f>AA131</f><v /></c><c r="AB132" s="387"><f>AB131</f><v /></c><c r="AC132" s="382"><f>LEFT(AB132,2)</f><v /></c><c r="AD132" s="382"><f>RIGHT(AB132,6)</f><v /></c><c r="AE132" s="382"><f>+(AC132*60+AD132)/(60*60)</f><v /></c><c r="AF132" s="383"><f>+AA132/AE132</f><v /></c><c r="AG132" s="321"><f>+(((Z132-Y132-AA132)/AA132)*100)</f><v /></c><c r="AH132" s="317"><f>AH131</f><v /></c><c r="AI132" s="385"><f>AI131</f><v /></c><c r="AJ132" s="385"><f>AJ131</f><v /></c><c r="AK132" s="379"><f>Z132</f><v /></c><c r="AL132" s="379" t="n"><v>205.51</v></c><c r="AM132" s="388"><f>AM131</f><v /></c><c r="AN132" s="381"><f>AN131</f><v /></c><c r="AO132" s="382"><f>LEFT(AN132,2)</f><v /></c><c r="AP132" s="382"><f>RIGHT(AN132,6)</f><v /></c><c r="AQ132" s="382"><f>+(AO132*60+AP132)/(60*60)</f><v /></c><c r="AR132" s="383"><f>+AM132/AQ132</f><v /></c><c r="AS132" s="321"><f>+(((AL132-AK132-AM132)/AM132)*100)</f><v /></c><c r="AT132" s="389"><f>IF(I132&gt;=1,"NO CONFORME",IF(BK132="SIGDIFERENTES",BC132,BL132))</f><v /></c><c r="AU132" s="372"><f>B132=C132</f><v /></c><c r="AV132" s="372"><f>N132&lt;Y132</f><v /></c><c r="AW132" s="372"><f>Z132&lt;=AK132</f><v /></c><c r="AX132" s="372"><f>IF(I132&gt;=1,"Qcorrecto",IF(AND(AY132="aceptable",AZ132="aceptable",BA132="aceptable"),"Qcorrecto","Qincorrecto"))</f><v /></c><c r="AY132" s="390"><f>IF(AR132&lt;$AH$6,"error",IF(AR132&gt;$AH$6*1.1,"error","aceptable"))</f><v /></c><c r="AZ132" s="390"><f>IF(AF132&lt;$V$6,"error",IF(AF132&gt;$V$6*1.1,"error","aceptable"))</f><v /></c><c r="BA132" s="390"><f>IF(T132&lt;$J$6*0.9,"error",IF(T132&gt;$J$6,"error","aceptable"))</f><v /></c><c r="BB132" s="25"><f>(IF(ABS(U132)&lt;1.05,"CONFORME",IF(ABS(AG132)&lt;1.05,"CONFORME",IF(ABS(AS132)&lt;2.55,"CONFORME","NO CONFORME"))))</f><v /></c><c r="BC132" s="5"><f>(IF(ABS(U132)&gt;2.05,"NO CONFORME",IF(ABS(AG132)&gt;2.05,"NO CONFORME",IF(ABS(AS132)&gt;5.05,"NO CONFORME","CONFORME"))))</f><v /></c><c r="BD132" s="374"><f>SIGN(U132)</f><v /></c><c r="BE132" s="374"><f>SIGN(AG132)</f><v /></c><c r="BF132" s="374"><f>SIGN(AS132)</f><v /></c><c r="BG132" s="374"><f>CONCATENATE(BD132,BE132,BF132)</f><v /></c><c r="BH132" s="374"><f>IF(BG132="111","SI","SD")</f><v /></c><c r="BI132" s="374"><f>IF(BG132="-1-1-1","SI","SD")</f><v /></c><c r="BJ132" s="374"><f>OR(BH132="SI",BI132="SI")</f><v /></c><c r="BK132" s="374"><f>IF(BJ132=FALSE,"SIGDIFERENTES","SIGIGUALES")</f><v /></c><c r="BL132" s="390"><f>IF(BC132="NO CONFORME","NO CONFORME",IF(BB132="CONFORME","CONFORME","NO CONFORME"))</f><v /></c></row><row r="133" ht="15" customHeight="1" thickBot="1"><c r="A133" s="351" t="n"><v>125</v></c><c r="B133" s="375"><f>B132</f><v /></c><c r="C133" s="375"><f>C132</f><v /></c><c r="D133" s="376"><f>D132</f><v /></c><c r="E133" s="377"><f>E132</f><v /></c><c r="F133" s="13" t="n" /><c r="G133" s="446" t="inlineStr"><is><t>PA25516825</t></is></c><c r="H133" s="313"><f>H132</f><v /></c><c r="I133" s="38"><f>I132</f><v /></c><c r="J133" s="314"><f>J132</f><v /></c><c r="K133" s="378"><f>K132</f><v /></c><c r="L133" s="378"><f>L132</f><v /></c><c r="M133" s="379" t="n"><v>84</v></c><c r="N133" s="379" t="n"><v>184.28</v></c><c r="O133" s="380"><f>O132</f><v /></c><c r="P133" s="381"><f>P132</f><v /></c><c r="Q133" s="382"><f>LEFT(P133,1)</f><v /></c><c r="R133" s="382"><f>RIGHT(P133,6)</f><v /></c><c r="S133" s="382"><f>+(Q133*60+R133)/(60*60)</f><v /></c><c r="T133" s="383"><f>+O133/S133</f><v /></c><c r="U133" s="384"><f>+(((N133-M133-O133)/O133)*100)</f><v /></c><c r="V133" s="317"><f>V132</f><v /></c><c r="W133" s="385"><f>W132</f><v /></c><c r="X133" s="385"><f>X132</f><v /></c><c r="Y133" s="379" t="n"><v>190.33</v></c><c r="Z133" s="379" t="n"><v>200.3</v></c><c r="AA133" s="386"><f>AA132</f><v /></c><c r="AB133" s="387"><f>AB132</f><v /></c><c r="AC133" s="382"><f>LEFT(AB133,2)</f><v /></c><c r="AD133" s="382"><f>RIGHT(AB133,6)</f><v /></c><c r="AE133" s="382"><f>+(AC133*60+AD133)/(60*60)</f><v /></c><c r="AF133" s="383"><f>+AA133/AE133</f><v /></c><c r="AG133" s="321"><f>+(((Z133-Y133-AA133)/AA133)*100)</f><v /></c><c r="AH133" s="317"><f>AH132</f><v /></c><c r="AI133" s="385"><f>AI132</f><v /></c><c r="AJ133" s="385"><f>AJ132</f><v /></c><c r="AK133" s="379"><f>Z133</f><v /></c><c r="AL133" s="379" t="n"><v>205.32</v></c><c r="AM133" s="388"><f>AM132</f><v /></c><c r="AN133" s="381"><f>AN132</f><v /></c><c r="AO133" s="382"><f>LEFT(AN133,2)</f><v /></c><c r="AP133" s="382"><f>RIGHT(AN133,6)</f><v /></c><c r="AQ133" s="382"><f>+(AO133*60+AP133)/(60*60)</f><v /></c><c r="AR133" s="383"><f>+AM133/AQ133</f><v /></c><c r="AS133" s="321"><f>+(((AL133-AK133-AM133)/AM133)*100)</f><v /></c><c r="AT133" s="389"><f>IF(I133&gt;=1,"NO CONFORME",IF(BK133="SIGDIFERENTES",BC133,BL133))</f><v /></c><c r="AU133" s="372"><f>B133=C133</f><v /></c><c r="AV133" s="372"><f>N133&lt;Y133</f><v /></c><c r="AW133" s="372"><f>Z133&lt;=AK133</f><v /></c><c r="AX133" s="372"><f>IF(I133&gt;=1,"Qcorrecto",IF(AND(AY133="aceptable",AZ133="aceptable",BA133="aceptable"),"Qcorrecto","Qincorrecto"))</f><v /></c><c r="AY133" s="390"><f>IF(AR133&lt;$AH$6,"error",IF(AR133&gt;$AH$6*1.1,"error","aceptable"))</f><v /></c><c r="AZ133" s="390"><f>IF(AF133&lt;$V$6,"error",IF(AF133&gt;$V$6*1.1,"error","aceptable"))</f><v /></c><c r="BA133" s="390"><f>IF(T133&lt;$J$6*0.9,"error",IF(T133&gt;$J$6,"error","aceptable"))</f><v /></c><c r="BB133" s="25"><f>(IF(ABS(U133)&lt;1.05,"CONFORME",IF(ABS(AG133)&lt;1.05,"CONFORME",IF(ABS(AS133)&lt;2.55,"CONFORME","NO CONFORME"))))</f><v /></c><c r="BC133" s="5"><f>(IF(ABS(U133)&gt;2.05,"NO CONFORME",IF(ABS(AG133)&gt;2.05,"NO CONFORME",IF(ABS(AS133)&gt;5.05,"NO CONFORME","CONFORME"))))</f><v /></c><c r="BD133" s="374"><f>SIGN(U133)</f><v /></c><c r="BE133" s="374"><f>SIGN(AG133)</f><v /></c><c r="BF133" s="374"><f>SIGN(AS133)</f><v /></c><c r="BG133" s="374"><f>CONCATENATE(BD133,BE133,BF133)</f><v /></c><c r="BH133" s="374"><f>IF(BG133="111","SI","SD")</f><v /></c><c r="BI133" s="374"><f>IF(BG133="-1-1-1","SI","SD")</f><v /></c><c r="BJ133" s="374"><f>OR(BH133="SI",BI133="SI")</f><v /></c><c r="BK133" s="374"><f>IF(BJ133=FALSE,"SIGDIFERENTES","SIGIGUALES")</f><v /></c><c r="BL133" s="390"><f>IF(BC133="NO CONFORME","NO CONFORME",IF(BB133="CONFORME","CONFORME","NO CONFORME"))</f><v /></c></row><row r="134" ht="15" customHeight="1" thickBot="1"><c r="A134" s="351" t="n"><v>126</v></c><c r="B134" s="375"><f>B133</f><v /></c><c r="C134" s="375"><f>C133</f><v /></c><c r="D134" s="376"><f>D133</f><v /></c><c r="E134" s="377"><f>E133</f><v /></c><c r="F134" s="13" t="n" /><c r="G134" s="446" t="inlineStr"><is><t>PA25516826</t></is></c><c r="H134" s="313"><f>H133</f><v /></c><c r="I134" s="38"><f>I133</f><v /></c><c r="J134" s="314"><f>J133</f><v /></c><c r="K134" s="378"><f>K133</f><v /></c><c r="L134" s="378"><f>L133</f><v /></c><c r="M134" s="379" t="n"><v>83.65000000000001</v></c><c r="N134" s="379" t="n"><v>184.05</v></c><c r="O134" s="380"><f>O133</f><v /></c><c r="P134" s="381"><f>P133</f><v /></c><c r="Q134" s="382"><f>LEFT(P134,1)</f><v /></c><c r="R134" s="382"><f>RIGHT(P134,6)</f><v /></c><c r="S134" s="382"><f>+(Q134*60+R134)/(60*60)</f><v /></c><c r="T134" s="383"><f>+O134/S134</f><v /></c><c r="U134" s="384"><f>+(((N134-M134-O134)/O134)*100)</f><v /></c><c r="V134" s="317"><f>V133</f><v /></c><c r="W134" s="385"><f>W133</f><v /></c><c r="X134" s="385"><f>X133</f><v /></c><c r="Y134" s="379" t="n"><v>190.11</v></c><c r="Z134" s="379" t="n"><v>200.11</v></c><c r="AA134" s="386"><f>AA133</f><v /></c><c r="AB134" s="387"><f>AB133</f><v /></c><c r="AC134" s="382"><f>LEFT(AB134,2)</f><v /></c><c r="AD134" s="382"><f>RIGHT(AB134,6)</f><v /></c><c r="AE134" s="382"><f>+(AC134*60+AD134)/(60*60)</f><v /></c><c r="AF134" s="383"><f>+AA134/AE134</f><v /></c><c r="AG134" s="321"><f>+(((Z134-Y134-AA134)/AA134)*100)</f><v /></c><c r="AH134" s="317"><f>AH133</f><v /></c><c r="AI134" s="385"><f>AI133</f><v /></c><c r="AJ134" s="385"><f>AJ133</f><v /></c><c r="AK134" s="379"><f>Z134</f><v /></c><c r="AL134" s="379" t="n"><v>205.14</v></c><c r="AM134" s="388"><f>AM133</f><v /></c><c r="AN134" s="381"><f>AN133</f><v /></c><c r="AO134" s="382"><f>LEFT(AN134,2)</f><v /></c><c r="AP134" s="382"><f>RIGHT(AN134,6)</f><v /></c><c r="AQ134" s="382"><f>+(AO134*60+AP134)/(60*60)</f><v /></c><c r="AR134" s="383"><f>+AM134/AQ134</f><v /></c><c r="AS134" s="321"><f>+(((AL134-AK134-AM134)/AM134)*100)</f><v /></c><c r="AT134" s="389"><f>IF(I134&gt;=1,"NO CONFORME",IF(BK134="SIGDIFERENTES",BC134,BL134))</f><v /></c><c r="AU134" s="372"><f>B134=C134</f><v /></c><c r="AV134" s="372"><f>N134&lt;Y134</f><v /></c><c r="AW134" s="372"><f>Z134&lt;=AK134</f><v /></c><c r="AX134" s="372"><f>IF(I134&gt;=1,"Qcorrecto",IF(AND(AY134="aceptable",AZ134="aceptable",BA134="aceptable"),"Qcorrecto","Qincorrecto"))</f><v /></c><c r="AY134" s="390"><f>IF(AR134&lt;$AH$6,"error",IF(AR134&gt;$AH$6*1.1,"error","aceptable"))</f><v /></c><c r="AZ134" s="390"><f>IF(AF134&lt;$V$6,"error",IF(AF134&gt;$V$6*1.1,"error","aceptable"))</f><v /></c><c r="BA134" s="390"><f>IF(T134&lt;$J$6*0.9,"error",IF(T134&gt;$J$6,"error","aceptable"))</f><v /></c><c r="BB134" s="25"><f>(IF(ABS(U134)&lt;1.05,"CONFORME",IF(ABS(AG134)&lt;1.05,"CONFORME",IF(ABS(AS134)&lt;2.55,"CONFORME","NO CONFORME"))))</f><v /></c><c r="BC134" s="5"><f>(IF(ABS(U134)&gt;2.05,"NO CONFORME",IF(ABS(AG134)&gt;2.05,"NO CONFORME",IF(ABS(AS134)&gt;5.05,"NO CONFORME","CONFORME"))))</f><v /></c><c r="BD134" s="374"><f>SIGN(U134)</f><v /></c><c r="BE134" s="374"><f>SIGN(AG134)</f><v /></c><c r="BF134" s="374"><f>SIGN(AS134)</f><v /></c><c r="BG134" s="374"><f>CONCATENATE(BD134,BE134,BF134)</f><v /></c><c r="BH134" s="374"><f>IF(BG134="111","SI","SD")</f><v /></c><c r="BI134" s="374"><f>IF(BG134="-1-1-1","SI","SD")</f><v /></c><c r="BJ134" s="374"><f>OR(BH134="SI",BI134="SI")</f><v /></c><c r="BK134" s="374"><f>IF(BJ134=FALSE,"SIGDIFERENTES","SIGIGUALES")</f><v /></c><c r="BL134" s="390"><f>IF(BC134="NO CONFORME","NO CONFORME",IF(BB134="CONFORME","CONFORME","NO CONFORME"))</f><v /></c></row><row r="135" ht="15" customHeight="1" thickBot="1"><c r="A135" s="351" t="n"><v>127</v></c><c r="B135" s="375"><f>B134</f><v /></c><c r="C135" s="375"><f>C134</f><v /></c><c r="D135" s="376"><f>D134</f><v /></c><c r="E135" s="377"><f>E134</f><v /></c><c r="F135" s="13" t="n" /><c r="G135" s="446" t="inlineStr"><is><t>PA25516827</t></is></c><c r="H135" s="313"><f>H134</f><v /></c><c r="I135" s="38"><f>I134</f><v /></c><c r="J135" s="314"><f>J134</f><v /></c><c r="K135" s="378"><f>K134</f><v /></c><c r="L135" s="378"><f>L134</f><v /></c><c r="M135" s="379" t="n"><v>83.48999999999999</v></c><c r="N135" s="379" t="n"><v>183.85</v></c><c r="O135" s="380"><f>O134</f><v /></c><c r="P135" s="381"><f>P134</f><v /></c><c r="Q135" s="382"><f>LEFT(P135,1)</f><v /></c><c r="R135" s="382"><f>RIGHT(P135,6)</f><v /></c><c r="S135" s="382"><f>+(Q135*60+R135)/(60*60)</f><v /></c><c r="T135" s="383"><f>+O135/S135</f><v /></c><c r="U135" s="384"><f>+(((N135-M135-O135)/O135)*100)</f><v /></c><c r="V135" s="317"><f>V134</f><v /></c><c r="W135" s="385"><f>W134</f><v /></c><c r="X135" s="385"><f>X134</f><v /></c><c r="Y135" s="379" t="n"><v>189.95</v></c><c r="Z135" s="379" t="n"><v>199.95</v></c><c r="AA135" s="386"><f>AA134</f><v /></c><c r="AB135" s="387"><f>AB134</f><v /></c><c r="AC135" s="382"><f>LEFT(AB135,2)</f><v /></c><c r="AD135" s="382"><f>RIGHT(AB135,6)</f><v /></c><c r="AE135" s="382"><f>+(AC135*60+AD135)/(60*60)</f><v /></c><c r="AF135" s="383"><f>+AA135/AE135</f><v /></c><c r="AG135" s="321"><f>+(((Z135-Y135-AA135)/AA135)*100)</f><v /></c><c r="AH135" s="317"><f>AH134</f><v /></c><c r="AI135" s="385"><f>AI134</f><v /></c><c r="AJ135" s="385"><f>AJ134</f><v /></c><c r="AK135" s="379"><f>Z135</f><v /></c><c r="AL135" s="379" t="n"><v>205</v></c><c r="AM135" s="388"><f>AM134</f><v /></c><c r="AN135" s="381"><f>AN134</f><v /></c><c r="AO135" s="382"><f>LEFT(AN135,2)</f><v /></c><c r="AP135" s="382"><f>RIGHT(AN135,6)</f><v /></c><c r="AQ135" s="382"><f>+(AO135*60+AP135)/(60*60)</f><v /></c><c r="AR135" s="383"><f>+AM135/AQ135</f><v /></c><c r="AS135" s="321"><f>+(((AL135-AK135-AM135)/AM135)*100)</f><v /></c><c r="AT135" s="389"><f>IF(I135&gt;=1,"NO CONFORME",IF(BK135="SIGDIFERENTES",BC135,BL135))</f><v /></c><c r="AU135" s="372"><f>B135=C135</f><v /></c><c r="AV135" s="372"><f>N135&lt;Y135</f><v /></c><c r="AW135" s="372"><f>Z135&lt;=AK135</f><v /></c><c r="AX135" s="372"><f>IF(I135&gt;=1,"Qcorrecto",IF(AND(AY135="aceptable",AZ135="aceptable",BA135="aceptable"),"Qcorrecto","Qincorrecto"))</f><v /></c><c r="AY135" s="390"><f>IF(AR135&lt;$AH$6,"error",IF(AR135&gt;$AH$6*1.1,"error","aceptable"))</f><v /></c><c r="AZ135" s="390"><f>IF(AF135&lt;$V$6,"error",IF(AF135&gt;$V$6*1.1,"error","aceptable"))</f><v /></c><c r="BA135" s="390"><f>IF(T135&lt;$J$6*0.9,"error",IF(T135&gt;$J$6,"error","aceptable"))</f><v /></c><c r="BB135" s="25"><f>(IF(ABS(U135)&lt;1.05,"CONFORME",IF(ABS(AG135)&lt;1.05,"CONFORME",IF(ABS(AS135)&lt;2.55,"CONFORME","NO CONFORME"))))</f><v /></c><c r="BC135" s="5"><f>(IF(ABS(U135)&gt;2.05,"NO CONFORME",IF(ABS(AG135)&gt;2.05,"NO CONFORME",IF(ABS(AS135)&gt;5.05,"NO CONFORME","CONFORME"))))</f><v /></c><c r="BD135" s="374"><f>SIGN(U135)</f><v /></c><c r="BE135" s="374"><f>SIGN(AG135)</f><v /></c><c r="BF135" s="374"><f>SIGN(AS135)</f><v /></c><c r="BG135" s="374"><f>CONCATENATE(BD135,BE135,BF135)</f><v /></c><c r="BH135" s="374"><f>IF(BG135="111","SI","SD")</f><v /></c><c r="BI135" s="374"><f>IF(BG135="-1-1-1","SI","SD")</f><v /></c><c r="BJ135" s="374"><f>OR(BH135="SI",BI135="SI")</f><v /></c><c r="BK135" s="374"><f>IF(BJ135=FALSE,"SIGDIFERENTES","SIGIGUALES")</f><v /></c><c r="BL135" s="390"><f>IF(BC135="NO CONFORME","NO CONFORME",IF(BB135="CONFORME","CONFORME","NO CONFORME"))</f><v /></c></row><row r="136" ht="15" customHeight="1" thickBot="1"><c r="A136" s="351" t="n"><v>128</v></c><c r="B136" s="375"><f>B135</f><v /></c><c r="C136" s="375"><f>C135</f><v /></c><c r="D136" s="376"><f>D135</f><v /></c><c r="E136" s="377"><f>E135</f><v /></c><c r="F136" s="13" t="n" /><c r="G136" s="446" t="inlineStr"><is><t>PA25516828</t></is></c><c r="H136" s="313"><f>H135</f><v /></c><c r="I136" s="38"><f>I135</f><v /></c><c r="J136" s="314"><f>J135</f><v /></c><c r="K136" s="378"><f>K135</f><v /></c><c r="L136" s="378"><f>L135</f><v /></c><c r="M136" s="379" t="n"><v>83.55</v></c><c r="N136" s="379" t="n"><v>183.39</v></c><c r="O136" s="380"><f>O135</f><v /></c><c r="P136" s="381"><f>P135</f><v /></c><c r="Q136" s="382"><f>LEFT(P136,1)</f><v /></c><c r="R136" s="382"><f>RIGHT(P136,6)</f><v /></c><c r="S136" s="382"><f>+(Q136*60+R136)/(60*60)</f><v /></c><c r="T136" s="383"><f>+O136/S136</f><v /></c><c r="U136" s="384"><f>+(((N136-M136-O136)/O136)*100)</f><v /></c><c r="V136" s="317"><f>V135</f><v /></c><c r="W136" s="385"><f>W135</f><v /></c><c r="X136" s="385"><f>X135</f><v /></c><c r="Y136" s="379" t="n"><v>189.44</v></c><c r="Z136" s="379" t="n"><v>199.41</v></c><c r="AA136" s="386"><f>AA135</f><v /></c><c r="AB136" s="387"><f>AB135</f><v /></c><c r="AC136" s="382"><f>LEFT(AB136,2)</f><v /></c><c r="AD136" s="382"><f>RIGHT(AB136,6)</f><v /></c><c r="AE136" s="382"><f>+(AC136*60+AD136)/(60*60)</f><v /></c><c r="AF136" s="383"><f>+AA136/AE136</f><v /></c><c r="AG136" s="321"><f>+(((Z136-Y136-AA136)/AA136)*100)</f><v /></c><c r="AH136" s="317"><f>AH135</f><v /></c><c r="AI136" s="385"><f>AI135</f><v /></c><c r="AJ136" s="385"><f>AJ135</f><v /></c><c r="AK136" s="379"><f>Z136</f><v /></c><c r="AL136" s="379" t="n"><v>204.4</v></c><c r="AM136" s="388"><f>AM135</f><v /></c><c r="AN136" s="381"><f>AN135</f><v /></c><c r="AO136" s="382"><f>LEFT(AN136,2)</f><v /></c><c r="AP136" s="382"><f>RIGHT(AN136,6)</f><v /></c><c r="AQ136" s="382"><f>+(AO136*60+AP136)/(60*60)</f><v /></c><c r="AR136" s="383"><f>+AM136/AQ136</f><v /></c><c r="AS136" s="321"><f>+(((AL136-AK136-AM136)/AM136)*100)</f><v /></c><c r="AT136" s="389"><f>IF(I136&gt;=1,"NO CONFORME",IF(BK136="SIGDIFERENTES",BC136,BL136))</f><v /></c><c r="AU136" s="372"><f>B136=C136</f><v /></c><c r="AV136" s="372"><f>N136&lt;Y136</f><v /></c><c r="AW136" s="372"><f>Z136&lt;=AK136</f><v /></c><c r="AX136" s="372"><f>IF(I136&gt;=1,"Qcorrecto",IF(AND(AY136="aceptable",AZ136="aceptable",BA136="aceptable"),"Qcorrecto","Qincorrecto"))</f><v /></c><c r="AY136" s="390"><f>IF(AR136&lt;$AH$6,"error",IF(AR136&gt;$AH$6*1.1,"error","aceptable"))</f><v /></c><c r="AZ136" s="390"><f>IF(AF136&lt;$V$6,"error",IF(AF136&gt;$V$6*1.1,"error","aceptable"))</f><v /></c><c r="BA136" s="390"><f>IF(T136&lt;$J$6*0.9,"error",IF(T136&gt;$J$6,"error","aceptable"))</f><v /></c><c r="BB136" s="25"><f>(IF(ABS(U136)&lt;1.05,"CONFORME",IF(ABS(AG136)&lt;1.05,"CONFORME",IF(ABS(AS136)&lt;2.55,"CONFORME","NO CONFORME"))))</f><v /></c><c r="BC136" s="5"><f>(IF(ABS(U136)&gt;2.05,"NO CONFORME",IF(ABS(AG136)&gt;2.05,"NO CONFORME",IF(ABS(AS136)&gt;5.05,"NO CONFORME","CONFORME"))))</f><v /></c><c r="BD136" s="374"><f>SIGN(U136)</f><v /></c><c r="BE136" s="374"><f>SIGN(AG136)</f><v /></c><c r="BF136" s="374"><f>SIGN(AS136)</f><v /></c><c r="BG136" s="374"><f>CONCATENATE(BD136,BE136,BF136)</f><v /></c><c r="BH136" s="374"><f>IF(BG136="111","SI","SD")</f><v /></c><c r="BI136" s="374"><f>IF(BG136="-1-1-1","SI","SD")</f><v /></c><c r="BJ136" s="374"><f>OR(BH136="SI",BI136="SI")</f><v /></c><c r="BK136" s="374"><f>IF(BJ136=FALSE,"SIGDIFERENTES","SIGIGUALES")</f><v /></c><c r="BL136" s="390"><f>IF(BC136="NO CONFORME","NO CONFORME",IF(BB136="CONFORME","CONFORME","NO CONFORME"))</f><v /></c></row><row r="137" ht="15" customHeight="1" thickBot="1"><c r="A137" s="351" t="n"><v>129</v></c><c r="B137" s="375"><f>B136</f><v /></c><c r="C137" s="375"><f>C136</f><v /></c><c r="D137" s="376"><f>D136</f><v /></c><c r="E137" s="377"><f>E136</f><v /></c><c r="F137" s="13" t="n" /><c r="G137" s="446" t="inlineStr"><is><t>PA25516829</t></is></c><c r="H137" s="313"><f>H136</f><v /></c><c r="I137" s="38"><f>I136</f><v /></c><c r="J137" s="314"><f>J136</f><v /></c><c r="K137" s="378"><f>K136</f><v /></c><c r="L137" s="378"><f>L136</f><v /></c><c r="M137" s="379" t="n"><v>83.90000000000001</v></c><c r="N137" s="379" t="n"><v>184.15</v></c><c r="O137" s="380"><f>O136</f><v /></c><c r="P137" s="381"><f>P136</f><v /></c><c r="Q137" s="382"><f>LEFT(P137,1)</f><v /></c><c r="R137" s="382"><f>RIGHT(P137,6)</f><v /></c><c r="S137" s="382"><f>+(Q137*60+R137)/(60*60)</f><v /></c><c r="T137" s="383"><f>+O137/S137</f><v /></c><c r="U137" s="384"><f>+(((N137-M137-O137)/O137)*100)</f><v /></c><c r="V137" s="317"><f>V136</f><v /></c><c r="W137" s="385"><f>W136</f><v /></c><c r="X137" s="385"><f>X136</f><v /></c><c r="Y137" s="379" t="n"><v>190.25</v></c><c r="Z137" s="379" t="n"><v>200.21</v></c><c r="AA137" s="386"><f>AA136</f><v /></c><c r="AB137" s="387"><f>AB136</f><v /></c><c r="AC137" s="382"><f>LEFT(AB137,2)</f><v /></c><c r="AD137" s="382"><f>RIGHT(AB137,6)</f><v /></c><c r="AE137" s="382"><f>+(AC137*60+AD137)/(60*60)</f><v /></c><c r="AF137" s="383"><f>+AA137/AE137</f><v /></c><c r="AG137" s="321"><f>+(((Z137-Y137-AA137)/AA137)*100)</f><v /></c><c r="AH137" s="317"><f>AH136</f><v /></c><c r="AI137" s="385"><f>AI136</f><v /></c><c r="AJ137" s="385"><f>AJ136</f><v /></c><c r="AK137" s="379"><f>Z137</f><v /></c><c r="AL137" s="379" t="n"><v>205.2</v></c><c r="AM137" s="388"><f>AM136</f><v /></c><c r="AN137" s="381"><f>AN136</f><v /></c><c r="AO137" s="382"><f>LEFT(AN137,2)</f><v /></c><c r="AP137" s="382"><f>RIGHT(AN137,6)</f><v /></c><c r="AQ137" s="382"><f>+(AO137*60+AP137)/(60*60)</f><v /></c><c r="AR137" s="383"><f>+AM137/AQ137</f><v /></c><c r="AS137" s="321"><f>+(((AL137-AK137-AM137)/AM137)*100)</f><v /></c><c r="AT137" s="389"><f>IF(I137&gt;=1,"NO CONFORME",IF(BK137="SIGDIFERENTES",BC137,BL137))</f><v /></c><c r="AU137" s="372"><f>B137=C137</f><v /></c><c r="AV137" s="372"><f>N137&lt;Y137</f><v /></c><c r="AW137" s="372"><f>Z137&lt;=AK137</f><v /></c><c r="AX137" s="372"><f>IF(I137&gt;=1,"Qcorrecto",IF(AND(AY137="aceptable",AZ137="aceptable",BA137="aceptable"),"Qcorrecto","Qincorrecto"))</f><v /></c><c r="AY137" s="390"><f>IF(AR137&lt;$AH$6,"error",IF(AR137&gt;$AH$6*1.1,"error","aceptable"))</f><v /></c><c r="AZ137" s="390"><f>IF(AF137&lt;$V$6,"error",IF(AF137&gt;$V$6*1.1,"error","aceptable"))</f><v /></c><c r="BA137" s="390"><f>IF(T137&lt;$J$6*0.9,"error",IF(T137&gt;$J$6,"error","aceptable"))</f><v /></c><c r="BB137" s="25"><f>(IF(ABS(U137)&lt;1.05,"CONFORME",IF(ABS(AG137)&lt;1.05,"CONFORME",IF(ABS(AS137)&lt;2.55,"CONFORME","NO CONFORME"))))</f><v /></c><c r="BC137" s="5"><f>(IF(ABS(U137)&gt;2.05,"NO CONFORME",IF(ABS(AG137)&gt;2.05,"NO CONFORME",IF(ABS(AS137)&gt;5.05,"NO CONFORME","CONFORME"))))</f><v /></c><c r="BD137" s="374"><f>SIGN(U137)</f><v /></c><c r="BE137" s="374"><f>SIGN(AG137)</f><v /></c><c r="BF137" s="374"><f>SIGN(AS137)</f><v /></c><c r="BG137" s="374"><f>CONCATENATE(BD137,BE137,BF137)</f><v /></c><c r="BH137" s="374"><f>IF(BG137="111","SI","SD")</f><v /></c><c r="BI137" s="374"><f>IF(BG137="-1-1-1","SI","SD")</f><v /></c><c r="BJ137" s="374"><f>OR(BH137="SI",BI137="SI")</f><v /></c><c r="BK137" s="374"><f>IF(BJ137=FALSE,"SIGDIFERENTES","SIGIGUALES")</f><v /></c><c r="BL137" s="390"><f>IF(BC137="NO CONFORME","NO CONFORME",IF(BB137="CONFORME","CONFORME","NO CONFORME"))</f><v /></c></row><row r="138" ht="15" customHeight="1" thickBot="1"><c r="A138" s="351" t="n"><v>130</v></c><c r="B138" s="375"><f>B137</f><v /></c><c r="C138" s="375"><f>C137</f><v /></c><c r="D138" s="376"><f>D137</f><v /></c><c r="E138" s="377"><f>E137</f><v /></c><c r="F138" s="13" t="n" /><c r="G138" s="446" t="inlineStr"><is><t>PA25516830</t></is></c><c r="H138" s="313"><f>H137</f><v /></c><c r="I138" s="38"><f>I137</f><v /></c><c r="J138" s="314"><f>J137</f><v /></c><c r="K138" s="378"><f>K137</f><v /></c><c r="L138" s="378"><f>L137</f><v /></c><c r="M138" s="379" t="n"><v>82.45</v></c><c r="N138" s="379" t="n"><v>182.71</v></c><c r="O138" s="380"><f>O137</f><v /></c><c r="P138" s="381"><f>P137</f><v /></c><c r="Q138" s="382"><f>LEFT(P138,1)</f><v /></c><c r="R138" s="382"><f>RIGHT(P138,6)</f><v /></c><c r="S138" s="382"><f>+(Q138*60+R138)/(60*60)</f><v /></c><c r="T138" s="383"><f>+O138/S138</f><v /></c><c r="U138" s="384"><f>+(((N138-M138-O138)/O138)*100)</f><v /></c><c r="V138" s="317"><f>V137</f><v /></c><c r="W138" s="385"><f>W137</f><v /></c><c r="X138" s="385"><f>X137</f><v /></c><c r="Y138" s="379" t="n"><v>188.75</v></c><c r="Z138" s="379" t="n"><v>198.72</v></c><c r="AA138" s="386"><f>AA137</f><v /></c><c r="AB138" s="387"><f>AB137</f><v /></c><c r="AC138" s="382"><f>LEFT(AB138,2)</f><v /></c><c r="AD138" s="382"><f>RIGHT(AB138,6)</f><v /></c><c r="AE138" s="382"><f>+(AC138*60+AD138)/(60*60)</f><v /></c><c r="AF138" s="383"><f>+AA138/AE138</f><v /></c><c r="AG138" s="321"><f>+(((Z138-Y138-AA138)/AA138)*100)</f><v /></c><c r="AH138" s="317"><f>AH137</f><v /></c><c r="AI138" s="385"><f>AI137</f><v /></c><c r="AJ138" s="385"><f>AJ137</f><v /></c><c r="AK138" s="379"><f>Z138</f><v /></c><c r="AL138" s="379" t="n"><v>203.72</v></c><c r="AM138" s="388"><f>AM137</f><v /></c><c r="AN138" s="381"><f>AN137</f><v /></c><c r="AO138" s="382"><f>LEFT(AN138,2)</f><v /></c><c r="AP138" s="382"><f>RIGHT(AN138,6)</f><v /></c><c r="AQ138" s="382"><f>+(AO138*60+AP138)/(60*60)</f><v /></c><c r="AR138" s="383"><f>+AM138/AQ138</f><v /></c><c r="AS138" s="321"><f>+(((AL138-AK138-AM138)/AM138)*100)</f><v /></c><c r="AT138" s="389"><f>IF(I138&gt;=1,"NO CONFORME",IF(BK138="SIGDIFERENTES",BC138,BL138))</f><v /></c><c r="AU138" s="372"><f>B138=C138</f><v /></c><c r="AV138" s="372"><f>N138&lt;Y138</f><v /></c><c r="AW138" s="372"><f>Z138&lt;=AK138</f><v /></c><c r="AX138" s="372"><f>IF(I138&gt;=1,"Qcorrecto",IF(AND(AY138="aceptable",AZ138="aceptable",BA138="aceptable"),"Qcorrecto","Qincorrecto"))</f><v /></c><c r="AY138" s="390"><f>IF(AR138&lt;$AH$6,"error",IF(AR138&gt;$AH$6*1.1,"error","aceptable"))</f><v /></c><c r="AZ138" s="390"><f>IF(AF138&lt;$V$6,"error",IF(AF138&gt;$V$6*1.1,"error","aceptable"))</f><v /></c><c r="BA138" s="390"><f>IF(T138&lt;$J$6*0.9,"error",IF(T138&gt;$J$6,"error","aceptable"))</f><v /></c><c r="BB138" s="25"><f>(IF(ABS(U138)&lt;1.05,"CONFORME",IF(ABS(AG138)&lt;1.05,"CONFORME",IF(ABS(AS138)&lt;2.55,"CONFORME","NO CONFORME"))))</f><v /></c><c r="BC138" s="5"><f>(IF(ABS(U138)&gt;2.05,"NO CONFORME",IF(ABS(AG138)&gt;2.05,"NO CONFORME",IF(ABS(AS138)&gt;5.05,"NO CONFORME","CONFORME"))))</f><v /></c><c r="BD138" s="374"><f>SIGN(U138)</f><v /></c><c r="BE138" s="374"><f>SIGN(AG138)</f><v /></c><c r="BF138" s="374"><f>SIGN(AS138)</f><v /></c><c r="BG138" s="374"><f>CONCATENATE(BD138,BE138,BF138)</f><v /></c><c r="BH138" s="374"><f>IF(BG138="111","SI","SD")</f><v /></c><c r="BI138" s="374"><f>IF(BG138="-1-1-1","SI","SD")</f><v /></c><c r="BJ138" s="374"><f>OR(BH138="SI",BI138="SI")</f><v /></c><c r="BK138" s="374"><f>IF(BJ138=FALSE,"SIGDIFERENTES","SIGIGUALES")</f><v /></c><c r="BL138" s="390"><f>IF(BC138="NO CONFORME","NO CONFORME",IF(BB138="CONFORME","CONFORME","NO CONFORME"))</f><v /></c></row><row r="139" ht="15" customHeight="1" thickBot="1"><c r="A139" s="351" t="n"><v>131</v></c><c r="B139" s="375"><f>B138</f><v /></c><c r="C139" s="375"><f>C138</f><v /></c><c r="D139" s="376"><f>D138</f><v /></c><c r="E139" s="377"><f>E138</f><v /></c><c r="F139" s="13" t="n" /><c r="G139" s="446" t="inlineStr"><is><t>PA25516831</t></is></c><c r="H139" s="313"><f>H138</f><v /></c><c r="I139" s="38"><f>I138</f><v /></c><c r="J139" s="314"><f>J138</f><v /></c><c r="K139" s="378"><f>K138</f><v /></c><c r="L139" s="378"><f>L138</f><v /></c><c r="M139" s="379" t="n"><v>82.90000000000001</v></c><c r="N139" s="379" t="n"><v>182.65</v></c><c r="O139" s="380"><f>O138</f><v /></c><c r="P139" s="381"><f>P138</f><v /></c><c r="Q139" s="382"><f>LEFT(P139,1)</f><v /></c><c r="R139" s="382"><f>RIGHT(P139,6)</f><v /></c><c r="S139" s="382"><f>+(Q139*60+R139)/(60*60)</f><v /></c><c r="T139" s="383"><f>+O139/S139</f><v /></c><c r="U139" s="384"><f>+(((N139-M139-O139)/O139)*100)</f><v /></c><c r="V139" s="317"><f>V138</f><v /></c><c r="W139" s="385"><f>W138</f><v /></c><c r="X139" s="385"><f>X138</f><v /></c><c r="Y139" s="379" t="n"><v>188.71</v></c><c r="Z139" s="379" t="n"><v>198.63</v></c><c r="AA139" s="386"><f>AA138</f><v /></c><c r="AB139" s="387"><f>AB138</f><v /></c><c r="AC139" s="382"><f>LEFT(AB139,2)</f><v /></c><c r="AD139" s="382"><f>RIGHT(AB139,6)</f><v /></c><c r="AE139" s="382"><f>+(AC139*60+AD139)/(60*60)</f><v /></c><c r="AF139" s="383"><f>+AA139/AE139</f><v /></c><c r="AG139" s="321"><f>+(((Z139-Y139-AA139)/AA139)*100)</f><v /></c><c r="AH139" s="317"><f>AH138</f><v /></c><c r="AI139" s="385"><f>AI138</f><v /></c><c r="AJ139" s="385"><f>AJ138</f><v /></c><c r="AK139" s="379"><f>Z139</f><v /></c><c r="AL139" s="379" t="n"><v>203.55</v></c><c r="AM139" s="388"><f>AM138</f><v /></c><c r="AN139" s="381"><f>AN138</f><v /></c><c r="AO139" s="382"><f>LEFT(AN139,2)</f><v /></c><c r="AP139" s="382"><f>RIGHT(AN139,6)</f><v /></c><c r="AQ139" s="382"><f>+(AO139*60+AP139)/(60*60)</f><v /></c><c r="AR139" s="383"><f>+AM139/AQ139</f><v /></c><c r="AS139" s="321"><f>+(((AL139-AK139-AM139)/AM139)*100)</f><v /></c><c r="AT139" s="389"><f>IF(I139&gt;=1,"NO CONFORME",IF(BK139="SIGDIFERENTES",BC139,BL139))</f><v /></c><c r="AU139" s="372"><f>B139=C139</f><v /></c><c r="AV139" s="372"><f>N139&lt;Y139</f><v /></c><c r="AW139" s="372"><f>Z139&lt;=AK139</f><v /></c><c r="AX139" s="372"><f>IF(I139&gt;=1,"Qcorrecto",IF(AND(AY139="aceptable",AZ139="aceptable",BA139="aceptable"),"Qcorrecto","Qincorrecto"))</f><v /></c><c r="AY139" s="390"><f>IF(AR139&lt;$AH$6,"error",IF(AR139&gt;$AH$6*1.1,"error","aceptable"))</f><v /></c><c r="AZ139" s="390"><f>IF(AF139&lt;$V$6,"error",IF(AF139&gt;$V$6*1.1,"error","aceptable"))</f><v /></c><c r="BA139" s="390"><f>IF(T139&lt;$J$6*0.9,"error",IF(T139&gt;$J$6,"error","aceptable"))</f><v /></c><c r="BB139" s="25"><f>(IF(ABS(U139)&lt;1.05,"CONFORME",IF(ABS(AG139)&lt;1.05,"CONFORME",IF(ABS(AS139)&lt;2.55,"CONFORME","NO CONFORME"))))</f><v /></c><c r="BC139" s="5"><f>(IF(ABS(U139)&gt;2.05,"NO CONFORME",IF(ABS(AG139)&gt;2.05,"NO CONFORME",IF(ABS(AS139)&gt;5.05,"NO CONFORME","CONFORME"))))</f><v /></c><c r="BD139" s="374"><f>SIGN(U139)</f><v /></c><c r="BE139" s="374"><f>SIGN(AG139)</f><v /></c><c r="BF139" s="374"><f>SIGN(AS139)</f><v /></c><c r="BG139" s="374"><f>CONCATENATE(BD139,BE139,BF139)</f><v /></c><c r="BH139" s="374"><f>IF(BG139="111","SI","SD")</f><v /></c><c r="BI139" s="374"><f>IF(BG139="-1-1-1","SI","SD")</f><v /></c><c r="BJ139" s="374"><f>OR(BH139="SI",BI139="SI")</f><v /></c><c r="BK139" s="374"><f>IF(BJ139=FALSE,"SIGDIFERENTES","SIGIGUALES")</f><v /></c><c r="BL139" s="390"><f>IF(BC139="NO CONFORME","NO CONFORME",IF(BB139="CONFORME","CONFORME","NO CONFORME"))</f><v /></c></row><row r="140" ht="15" customHeight="1" thickBot="1"><c r="A140" s="391" t="n"><v>132</v></c><c r="B140" s="392"><f>B139</f><v /></c><c r="C140" s="392"><f>C139</f><v /></c><c r="D140" s="393"><f>D139</f><v /></c><c r="E140" s="394"><f>E139</f><v /></c><c r="F140" s="52" t="n" /><c r="G140" s="446" t="inlineStr"><is><t>PA25516832</t></is></c><c r="H140" s="326"><f>H139</f><v /></c><c r="I140" s="98"><f>I139</f><v /></c><c r="J140" s="327"><f>J139</f><v /></c><c r="K140" s="396"><f>K139</f><v /></c><c r="L140" s="396"><f>L139</f><v /></c><c r="M140" s="397" t="n"><v>83.52</v></c><c r="N140" s="397" t="n"><v>183.65</v></c><c r="O140" s="398"><f>O139</f><v /></c><c r="P140" s="399"><f>P139</f><v /></c><c r="Q140" s="400"><f>LEFT(P140,1)</f><v /></c><c r="R140" s="400"><f>RIGHT(P140,6)</f><v /></c><c r="S140" s="400"><f>+(Q140*60+R140)/(60*60)</f><v /></c><c r="T140" s="401"><f>+O140/S140</f><v /></c><c r="U140" s="402"><f>+(((N140-M140-O140)/O140)*100)</f><v /></c><c r="V140" s="329"><f>V139</f><v /></c><c r="W140" s="403"><f>W139</f><v /></c><c r="X140" s="403"><f>X139</f><v /></c><c r="Y140" s="397" t="n"><v>189.71</v></c><c r="Z140" s="397" t="n"><v>199.72</v></c><c r="AA140" s="404"><f>AA139</f><v /></c><c r="AB140" s="405"><f>AB139</f><v /></c><c r="AC140" s="400"><f>LEFT(AB140,2)</f><v /></c><c r="AD140" s="400"><f>RIGHT(AB140,6)</f><v /></c><c r="AE140" s="400"><f>+(AC140*60+AD140)/(60*60)</f><v /></c><c r="AF140" s="401"><f>+AA140/AE140</f><v /></c><c r="AG140" s="406"><f>+(((Z140-Y140-AA140)/AA140)*100)</f><v /></c><c r="AH140" s="329"><f>AH139</f><v /></c><c r="AI140" s="403"><f>AI139</f><v /></c><c r="AJ140" s="403"><f>AJ139</f><v /></c><c r="AK140" s="397"><f>Z140</f><v /></c><c r="AL140" s="397" t="n"><v>204.71</v></c><c r="AM140" s="407"><f>AM139</f><v /></c><c r="AN140" s="399"><f>AN139</f><v /></c><c r="AO140" s="400"><f>LEFT(AN140,2)</f><v /></c><c r="AP140" s="400"><f>RIGHT(AN140,6)</f><v /></c><c r="AQ140" s="400"><f>+(AO140*60+AP140)/(60*60)</f><v /></c><c r="AR140" s="401"><f>+AM140/AQ140</f><v /></c><c r="AS140" s="406"><f>+(((AL140-AK140-AM140)/AM140)*100)</f><v /></c><c r="AT140" s="408"><f>IF(I140&gt;=1,"NO CONFORME",IF(BK140="SIGDIFERENTES",BC140,BL140))</f><v /></c><c r="AU140" s="409"><f>B140=C140</f><v /></c><c r="AV140" s="409"><f>N140&lt;Y140</f><v /></c><c r="AW140" s="409"><f>Z140&lt;=AK140</f><v /></c><c r="AX140" s="409"><f>IF(I140&gt;=1,"Qcorrecto",IF(AND(AY140="aceptable",AZ140="aceptable",BA140="aceptable"),"Qcorrecto","Qincorrecto"))</f><v /></c><c r="AY140" s="410"><f>IF(AR140&lt;$AH$6,"error",IF(AR140&gt;$AH$6*1.1,"error","aceptable"))</f><v /></c><c r="AZ140" s="410"><f>IF(AF140&lt;$V$6,"error",IF(AF140&gt;$V$6*1.1,"error","aceptable"))</f><v /></c><c r="BA140" s="410"><f>IF(T140&lt;$J$6*0.9,"error",IF(T140&gt;$J$6,"error","aceptable"))</f><v /></c><c r="BB140" s="411"><f>(IF(ABS(U140)&lt;1.05,"CONFORME",IF(ABS(AG140)&lt;1.05,"CONFORME",IF(ABS(AS140)&lt;2.55,"CONFORME","NO CONFORME"))))</f><v /></c><c r="BC140" s="412"><f>(IF(ABS(U140)&gt;2.05,"NO CONFORME",IF(ABS(AG140)&gt;2.05,"NO CONFORME",IF(ABS(AS140)&gt;5.05,"NO CONFORME","CONFORME"))))</f><v /></c><c r="BD140" s="413"><f>SIGN(U140)</f><v /></c><c r="BE140" s="413"><f>SIGN(AG140)</f><v /></c><c r="BF140" s="413"><f>SIGN(AS140)</f><v /></c><c r="BG140" s="413"><f>CONCATENATE(BD140,BE140,BF140)</f><v /></c><c r="BH140" s="413"><f>IF(BG140="111","SI","SD")</f><v /></c><c r="BI140" s="413"><f>IF(BG140="-1-1-1","SI","SD")</f><v /></c><c r="BJ140" s="413"><f>OR(BH140="SI",BI140="SI")</f><v /></c><c r="BK140" s="413"><f>IF(BJ140=FALSE,"SIGDIFERENTES","SIGIGUALES")</f><v /></c><c r="BL140" s="410"><f>IF(BC140="NO CONFORME","NO CONFORME",IF(BB140="CONFORME","CONFORME","NO CONFORME"))</f><v /></c></row><row r="141" ht="15" customHeight="1" thickBot="1"><c r="A141" s="351" t="n"><v>133</v></c><c r="B141" s="352"><f>B140</f><v /></c><c r="C141" s="352"><f>C140</f><v /></c><c r="D141" s="353"><f>D140</f><v /></c><c r="E141" s="354"><f>E140</f><v /></c><c r="F141" s="58" t="n" /><c r="G141" s="395" t="inlineStr"><is><t>PA25516833</t></is></c><c r="H141" s="356"><f>H140</f><v /></c><c r="I141" s="232"><f>I140</f><v /></c><c r="J141" s="357" t="n"><v>21.2</v></c><c r="K141" s="358" t="n"><v>8.210000000000001</v></c><c r="L141" s="358" t="n"><v>0.5639999999999999</v></c><c r="M141" s="359" t="n"><v>77.84</v></c><c r="N141" s="359" t="n"><v>177.25</v></c><c r="O141" s="360" t="n"><v>100.6</v></c><c r="P141" s="361" t="inlineStr"><is><t>2,32,140</t></is></c><c r="Q141" s="362"><f>LEFT(P141,1)</f><v /></c><c r="R141" s="362"><f>RIGHT(P141,6)</f><v /></c><c r="S141" s="362"><f>+(Q141*60+R141)/(60*60)</f><v /></c><c r="T141" s="363"><f>+O141/S141</f><v /></c><c r="U141" s="364"><f>+(((N141-M141-O141)/O141)*100)</f><v /></c><c r="V141" s="365" t="n"><v>20.9</v></c><c r="W141" s="366" t="n"><v>1.07</v></c><c r="X141" s="366" t="n"><v>1.062</v></c><c r="Y141" s="359" t="n"><v>183.48</v></c><c r="Z141" s="359" t="n"><v>193.36</v></c><c r="AA141" s="367" t="n"><v>10.009</v></c><c r="AB141" s="368" t="inlineStr"><is><t>22,30,670</t></is></c><c r="AC141" s="362"><f>LEFT(AB141,2)</f><v /></c><c r="AD141" s="362"><f>RIGHT(AB141,6)</f><v /></c><c r="AE141" s="362"><f>+(AC141*60+AD141)/(60*60)</f><v /></c><c r="AF141" s="363"><f>+AA141/AE141</f><v /></c><c r="AG141" s="369"><f>+(((Z141-Y141-AA141)/AA141)*100)</f><v /></c><c r="AH141" s="365" t="n"><v>20.9</v></c><c r="AI141" s="366" t="n"><v>1.066</v></c><c r="AJ141" s="366" t="n"><v>1.063</v></c><c r="AK141" s="359"><f>Z141</f><v /></c><c r="AL141" s="359" t="n"><v>198.36</v></c><c r="AM141" s="370" t="n"><v>5.015</v></c><c r="AN141" s="361" t="inlineStr"><is><t>18,27,010</t></is></c><c r="AO141" s="362"><f>LEFT(AN141,2)</f><v /></c><c r="AP141" s="362"><f>RIGHT(AN141,6)</f><v /></c><c r="AQ141" s="362"><f>+(AO141*60+AP141)/(60*60)</f><v /></c><c r="AR141" s="363"><f>+AM141/AQ141</f><v /></c><c r="AS141" s="369"><f>+(((AL141-AK141-AM141)/AM141)*100)</f><v /></c><c r="AT141" s="371"><f>IF(I141&gt;=1,"NO CONFORME",IF(BK141="SIGDIFERENTES",BC141,BL141))</f><v /></c><c r="AU141" s="372"><f>B141=C141</f><v /></c><c r="AV141" s="372"><f>N141&lt;Y141</f><v /></c><c r="AW141" s="372"><f>Z141&lt;=AK141</f><v /></c><c r="AX141" s="372"><f>IF(I141&gt;=1,"Qcorrecto",IF(AND(AY141="aceptable",AZ141="aceptable",BA141="aceptable"),"Qcorrecto","Qincorrecto"))</f><v /></c><c r="AY141" s="373"><f>IF(AR141&lt;$AH$6,"error",IF(AR141&gt;$AH$6*1.1,"error","aceptable"))</f><v /></c><c r="AZ141" s="373"><f>IF(AF141&lt;$V$6,"error",IF(AF141&gt;$V$6*1.1,"error","aceptable"))</f><v /></c><c r="BA141" s="373"><f>IF(T141&lt;$J$6*0.9,"error",IF(T141&gt;$J$6,"error","aceptable"))</f><v /></c><c r="BB141" s="25"><f>(IF(ABS(U141)&lt;1.05,"CONFORME",IF(ABS(AG141)&lt;1.05,"CONFORME",IF(ABS(AS141)&lt;2.55,"CONFORME","NO CONFORME"))))</f><v /></c><c r="BC141" s="5"><f>(IF(ABS(U141)&gt;2.05,"NO CONFORME",IF(ABS(AG141)&gt;2.05,"NO CONFORME",IF(ABS(AS141)&gt;5.05,"NO CONFORME","CONFORME"))))</f><v /></c><c r="BD141" s="374"><f>SIGN(U141)</f><v /></c><c r="BE141" s="374"><f>SIGN(AG141)</f><v /></c><c r="BF141" s="374"><f>SIGN(AS141)</f><v /></c><c r="BG141" s="374"><f>CONCATENATE(BD141,BE141,BF141)</f><v /></c><c r="BH141" s="374"><f>IF(BG141="111","SI","SD")</f><v /></c><c r="BI141" s="374"><f>IF(BG141="-1-1-1","SI","SD")</f><v /></c><c r="BJ141" s="374"><f>OR(BH141="SI",BI141="SI")</f><v /></c><c r="BK141" s="374"><f>IF(BJ141=FALSE,"SIGDIFERENTES","SIGIGUALES")</f><v /></c><c r="BL141" s="373"><f>IF(BC141="NO CONFORME","NO CONFORME",IF(BB141="CONFORME","CONFORME","NO CONFORME"))</f><v /></c></row><row r="142" ht="15" customHeight="1" thickBot="1"><c r="A142" s="351" t="n"><v>134</v></c><c r="B142" s="375"><f>B141</f><v /></c><c r="C142" s="375"><f>C141</f><v /></c><c r="D142" s="376"><f>D141</f><v /></c><c r="E142" s="377"><f>E141</f><v /></c><c r="F142" s="13" t="n" /><c r="G142" s="446" t="inlineStr"><is><t>PA25516834</t></is></c><c r="H142" s="313"><f>H141</f><v /></c><c r="I142" s="38"><f>I141</f><v /></c><c r="J142" s="314"><f>J141</f><v /></c><c r="K142" s="378"><f>K141</f><v /></c><c r="L142" s="378"><f>L141</f><v /></c><c r="M142" s="379" t="n"><v>76.45</v></c><c r="N142" s="379" t="n"><v>175.8</v></c><c r="O142" s="380"><f>O141</f><v /></c><c r="P142" s="381"><f>P141</f><v /></c><c r="Q142" s="382"><f>LEFT(P142,1)</f><v /></c><c r="R142" s="382"><f>RIGHT(P142,6)</f><v /></c><c r="S142" s="382"><f>+(Q142*60+R142)/(60*60)</f><v /></c><c r="T142" s="383"><f>+O142/S142</f><v /></c><c r="U142" s="384"><f>+(((N142-M142-O142)/O142)*100)</f><v /></c><c r="V142" s="317"><f>V141</f><v /></c><c r="W142" s="385"><f>W141</f><v /></c><c r="X142" s="385"><f>X141</f><v /></c><c r="Y142" s="379" t="n"><v>182.06</v></c><c r="Z142" s="379" t="n"><v>192.01</v></c><c r="AA142" s="386"><f>AA141</f><v /></c><c r="AB142" s="387"><f>AB141</f><v /></c><c r="AC142" s="382"><f>LEFT(AB142,2)</f><v /></c><c r="AD142" s="382"><f>RIGHT(AB142,6)</f><v /></c><c r="AE142" s="382"><f>+(AC142*60+AD142)/(60*60)</f><v /></c><c r="AF142" s="383"><f>+AA142/AE142</f><v /></c><c r="AG142" s="321"><f>+(((Z142-Y142-AA142)/AA142)*100)</f><v /></c><c r="AH142" s="317"><f>AH141</f><v /></c><c r="AI142" s="385"><f>AI141</f><v /></c><c r="AJ142" s="385"><f>AJ141</f><v /></c><c r="AK142" s="379"><f>Z142</f><v /></c><c r="AL142" s="379" t="n"><v>196.96</v></c><c r="AM142" s="388"><f>AM141</f><v /></c><c r="AN142" s="381"><f>AN141</f><v /></c><c r="AO142" s="382"><f>LEFT(AN142,2)</f><v /></c><c r="AP142" s="382"><f>RIGHT(AN142,6)</f><v /></c><c r="AQ142" s="382"><f>+(AO142*60+AP142)/(60*60)</f><v /></c><c r="AR142" s="383"><f>+AM142/AQ142</f><v /></c><c r="AS142" s="321"><f>+(((AL142-AK142-AM142)/AM142)*100)</f><v /></c><c r="AT142" s="389"><f>IF(I142&gt;=1,"NO CONFORME",IF(BK142="SIGDIFERENTES",BC142,BL142))</f><v /></c><c r="AU142" s="372"><f>B142=C142</f><v /></c><c r="AV142" s="372"><f>N142&lt;Y142</f><v /></c><c r="AW142" s="372"><f>Z142&lt;=AK142</f><v /></c><c r="AX142" s="372"><f>IF(I142&gt;=1,"Qcorrecto",IF(AND(AY142="aceptable",AZ142="aceptable",BA142="aceptable"),"Qcorrecto","Qincorrecto"))</f><v /></c><c r="AY142" s="390"><f>IF(AR142&lt;$AH$6,"error",IF(AR142&gt;$AH$6*1.1,"error","aceptable"))</f><v /></c><c r="AZ142" s="390"><f>IF(AF142&lt;$V$6,"error",IF(AF142&gt;$V$6*1.1,"error","aceptable"))</f><v /></c><c r="BA142" s="390"><f>IF(T142&lt;$J$6*0.9,"error",IF(T142&gt;$J$6,"error","aceptable"))</f><v /></c><c r="BB142" s="25"><f>(IF(ABS(U142)&lt;1.05,"CONFORME",IF(ABS(AG142)&lt;1.05,"CONFORME",IF(ABS(AS142)&lt;2.55,"CONFORME","NO CONFORME"))))</f><v /></c><c r="BC142" s="5"><f>(IF(ABS(U142)&gt;2.05,"NO CONFORME",IF(ABS(AG142)&gt;2.05,"NO CONFORME",IF(ABS(AS142)&gt;5.05,"NO CONFORME","CONFORME"))))</f><v /></c><c r="BD142" s="374"><f>SIGN(U142)</f><v /></c><c r="BE142" s="374"><f>SIGN(AG142)</f><v /></c><c r="BF142" s="374"><f>SIGN(AS142)</f><v /></c><c r="BG142" s="374"><f>CONCATENATE(BD142,BE142,BF142)</f><v /></c><c r="BH142" s="374"><f>IF(BG142="111","SI","SD")</f><v /></c><c r="BI142" s="374"><f>IF(BG142="-1-1-1","SI","SD")</f><v /></c><c r="BJ142" s="374"><f>OR(BH142="SI",BI142="SI")</f><v /></c><c r="BK142" s="374"><f>IF(BJ142=FALSE,"SIGDIFERENTES","SIGIGUALES")</f><v /></c><c r="BL142" s="390"><f>IF(BC142="NO CONFORME","NO CONFORME",IF(BB142="CONFORME","CONFORME","NO CONFORME"))</f><v /></c></row><row r="143" ht="15" customHeight="1" thickBot="1"><c r="A143" s="351" t="n"><v>135</v></c><c r="B143" s="375"><f>B142</f><v /></c><c r="C143" s="375"><f>C142</f><v /></c><c r="D143" s="376"><f>D142</f><v /></c><c r="E143" s="377"><f>E142</f><v /></c><c r="F143" s="13" t="n" /><c r="G143" s="336" t="inlineStr"><is><t>PA25516835</t></is></c><c r="H143" s="313"><f>H142</f><v /></c><c r="I143" s="38"><f>I142</f><v /></c><c r="J143" s="314"><f>J142</f><v /></c><c r="K143" s="378"><f>K142</f><v /></c><c r="L143" s="378"><f>L142</f><v /></c><c r="M143" s="379" t="n"><v>76.66</v></c><c r="N143" s="379" t="n"><v>176.74</v></c><c r="O143" s="380"><f>O142</f><v /></c><c r="P143" s="381"><f>P142</f><v /></c><c r="Q143" s="382"><f>LEFT(P143,1)</f><v /></c><c r="R143" s="382"><f>RIGHT(P143,6)</f><v /></c><c r="S143" s="382"><f>+(Q143*60+R143)/(60*60)</f><v /></c><c r="T143" s="383"><f>+O143/S143</f><v /></c><c r="U143" s="384"><f>+(((N143-M143-O143)/O143)*100)</f><v /></c><c r="V143" s="317"><f>V142</f><v /></c><c r="W143" s="385"><f>W142</f><v /></c><c r="X143" s="385"><f>X142</f><v /></c><c r="Y143" s="379" t="n"><v>183</v></c><c r="Z143" s="379" t="n"><v>192.86</v></c><c r="AA143" s="386"><f>AA142</f><v /></c><c r="AB143" s="387"><f>AB142</f><v /></c><c r="AC143" s="382"><f>LEFT(AB143,2)</f><v /></c><c r="AD143" s="382"><f>RIGHT(AB143,6)</f><v /></c><c r="AE143" s="382"><f>+(AC143*60+AD143)/(60*60)</f><v /></c><c r="AF143" s="383"><f>+AA143/AE143</f><v /></c><c r="AG143" s="321"><f>+(((Z143-Y143-AA143)/AA143)*100)</f><v /></c><c r="AH143" s="317"><f>AH142</f><v /></c><c r="AI143" s="385"><f>AI142</f><v /></c><c r="AJ143" s="385"><f>AJ142</f><v /></c><c r="AK143" s="379"><f>Z143</f><v /></c><c r="AL143" s="379" t="n"><v>197.45</v></c><c r="AM143" s="388"><f>AM142</f><v /></c><c r="AN143" s="381"><f>AN142</f><v /></c><c r="AO143" s="382"><f>LEFT(AN143,2)</f><v /></c><c r="AP143" s="382"><f>RIGHT(AN143,6)</f><v /></c><c r="AQ143" s="382"><f>+(AO143*60+AP143)/(60*60)</f><v /></c><c r="AR143" s="383"><f>+AM143/AQ143</f><v /></c><c r="AS143" s="321"><f>+(((AL143-AK143-AM143)/AM143)*100)</f><v /></c><c r="AT143" s="389"><f>IF(I143&gt;=1,"NO CONFORME",IF(BK143="SIGDIFERENTES",BC143,BL143))</f><v /></c><c r="AU143" s="372"><f>B143=C143</f><v /></c><c r="AV143" s="372"><f>N143&lt;Y143</f><v /></c><c r="AW143" s="372"><f>Z143&lt;=AK143</f><v /></c><c r="AX143" s="372"><f>IF(I143&gt;=1,"Qcorrecto",IF(AND(AY143="aceptable",AZ143="aceptable",BA143="aceptable"),"Qcorrecto","Qincorrecto"))</f><v /></c><c r="AY143" s="390"><f>IF(AR143&lt;$AH$6,"error",IF(AR143&gt;$AH$6*1.1,"error","aceptable"))</f><v /></c><c r="AZ143" s="390"><f>IF(AF143&lt;$V$6,"error",IF(AF143&gt;$V$6*1.1,"error","aceptable"))</f><v /></c><c r="BA143" s="390"><f>IF(T143&lt;$J$6*0.9,"error",IF(T143&gt;$J$6,"error","aceptable"))</f><v /></c><c r="BB143" s="25"><f>(IF(ABS(U143)&lt;1.05,"CONFORME",IF(ABS(AG143)&lt;1.05,"CONFORME",IF(ABS(AS143)&lt;2.55,"CONFORME","NO CONFORME"))))</f><v /></c><c r="BC143" s="5"><f>(IF(ABS(U143)&gt;2.05,"NO CONFORME",IF(ABS(AG143)&gt;2.05,"NO CONFORME",IF(ABS(AS143)&gt;5.05,"NO CONFORME","CONFORME"))))</f><v /></c><c r="BD143" s="374"><f>SIGN(U143)</f><v /></c><c r="BE143" s="374"><f>SIGN(AG143)</f><v /></c><c r="BF143" s="374"><f>SIGN(AS143)</f><v /></c><c r="BG143" s="374"><f>CONCATENATE(BD143,BE143,BF143)</f><v /></c><c r="BH143" s="374"><f>IF(BG143="111","SI","SD")</f><v /></c><c r="BI143" s="374"><f>IF(BG143="-1-1-1","SI","SD")</f><v /></c><c r="BJ143" s="374"><f>OR(BH143="SI",BI143="SI")</f><v /></c><c r="BK143" s="374"><f>IF(BJ143=FALSE,"SIGDIFERENTES","SIGIGUALES")</f><v /></c><c r="BL143" s="390"><f>IF(BC143="NO CONFORME","NO CONFORME",IF(BB143="CONFORME","CONFORME","NO CONFORME"))</f><v /></c></row><row r="144" ht="15" customHeight="1" thickBot="1"><c r="A144" s="351" t="n"><v>136</v></c><c r="B144" s="375"><f>B143</f><v /></c><c r="C144" s="375"><f>C143</f><v /></c><c r="D144" s="376"><f>D143</f><v /></c><c r="E144" s="377"><f>E143</f><v /></c><c r="F144" s="13" t="n" /><c r="G144" s="446" t="inlineStr"><is><t>PA25516836</t></is></c><c r="H144" s="313"><f>H143</f><v /></c><c r="I144" s="38"><f>I143</f><v /></c><c r="J144" s="314"><f>J143</f><v /></c><c r="K144" s="378"><f>K143</f><v /></c><c r="L144" s="378"><f>L143</f><v /></c><c r="M144" s="379" t="n"><v>76.45</v></c><c r="N144" s="379" t="n"><v>176.46</v></c><c r="O144" s="380"><f>O143</f><v /></c><c r="P144" s="381"><f>P143</f><v /></c><c r="Q144" s="382"><f>LEFT(P144,1)</f><v /></c><c r="R144" s="382"><f>RIGHT(P144,6)</f><v /></c><c r="S144" s="382"><f>+(Q144*60+R144)/(60*60)</f><v /></c><c r="T144" s="383"><f>+O144/S144</f><v /></c><c r="U144" s="384"><f>+(((N144-M144-O144)/O144)*100)</f><v /></c><c r="V144" s="317"><f>V143</f><v /></c><c r="W144" s="385"><f>W143</f><v /></c><c r="X144" s="385"><f>X143</f><v /></c><c r="Y144" s="379" t="n"><v>182.77</v></c><c r="Z144" s="379" t="n"><v>192.75</v></c><c r="AA144" s="386"><f>AA143</f><v /></c><c r="AB144" s="387"><f>AB143</f><v /></c><c r="AC144" s="382"><f>LEFT(AB144,2)</f><v /></c><c r="AD144" s="382"><f>RIGHT(AB144,6)</f><v /></c><c r="AE144" s="382"><f>+(AC144*60+AD144)/(60*60)</f><v /></c><c r="AF144" s="383"><f>+AA144/AE144</f><v /></c><c r="AG144" s="321"><f>+(((Z144-Y144-AA144)/AA144)*100)</f><v /></c><c r="AH144" s="317"><f>AH143</f><v /></c><c r="AI144" s="385"><f>AI143</f><v /></c><c r="AJ144" s="385"><f>AJ143</f><v /></c><c r="AK144" s="379"><f>Z144</f><v /></c><c r="AL144" s="379" t="n"><v>197.7</v></c><c r="AM144" s="388"><f>AM143</f><v /></c><c r="AN144" s="381"><f>AN143</f><v /></c><c r="AO144" s="382"><f>LEFT(AN144,2)</f><v /></c><c r="AP144" s="382"><f>RIGHT(AN144,6)</f><v /></c><c r="AQ144" s="382"><f>+(AO144*60+AP144)/(60*60)</f><v /></c><c r="AR144" s="383"><f>+AM144/AQ144</f><v /></c><c r="AS144" s="321"><f>+(((AL144-AK144-AM144)/AM144)*100)</f><v /></c><c r="AT144" s="389"><f>IF(I144&gt;=1,"NO CONFORME",IF(BK144="SIGDIFERENTES",BC144,BL144))</f><v /></c><c r="AU144" s="372"><f>B144=C144</f><v /></c><c r="AV144" s="372"><f>N144&lt;Y144</f><v /></c><c r="AW144" s="372"><f>Z144&lt;=AK144</f><v /></c><c r="AX144" s="372"><f>IF(I144&gt;=1,"Qcorrecto",IF(AND(AY144="aceptable",AZ144="aceptable",BA144="aceptable"),"Qcorrecto","Qincorrecto"))</f><v /></c><c r="AY144" s="390"><f>IF(AR144&lt;$AH$6,"error",IF(AR144&gt;$AH$6*1.1,"error","aceptable"))</f><v /></c><c r="AZ144" s="390"><f>IF(AF144&lt;$V$6,"error",IF(AF144&gt;$V$6*1.1,"error","aceptable"))</f><v /></c><c r="BA144" s="390"><f>IF(T144&lt;$J$6*0.9,"error",IF(T144&gt;$J$6,"error","aceptable"))</f><v /></c><c r="BB144" s="25"><f>(IF(ABS(U144)&lt;1.05,"CONFORME",IF(ABS(AG144)&lt;1.05,"CONFORME",IF(ABS(AS144)&lt;2.55,"CONFORME","NO CONFORME"))))</f><v /></c><c r="BC144" s="5"><f>(IF(ABS(U144)&gt;2.05,"NO CONFORME",IF(ABS(AG144)&gt;2.05,"NO CONFORME",IF(ABS(AS144)&gt;5.05,"NO CONFORME","CONFORME"))))</f><v /></c><c r="BD144" s="374"><f>SIGN(U144)</f><v /></c><c r="BE144" s="374"><f>SIGN(AG144)</f><v /></c><c r="BF144" s="374"><f>SIGN(AS144)</f><v /></c><c r="BG144" s="374"><f>CONCATENATE(BD144,BE144,BF144)</f><v /></c><c r="BH144" s="374"><f>IF(BG144="111","SI","SD")</f><v /></c><c r="BI144" s="374"><f>IF(BG144="-1-1-1","SI","SD")</f><v /></c><c r="BJ144" s="374"><f>OR(BH144="SI",BI144="SI")</f><v /></c><c r="BK144" s="374"><f>IF(BJ144=FALSE,"SIGDIFERENTES","SIGIGUALES")</f><v /></c><c r="BL144" s="390"><f>IF(BC144="NO CONFORME","NO CONFORME",IF(BB144="CONFORME","CONFORME","NO CONFORME"))</f><v /></c></row><row r="145" ht="15" customHeight="1" thickBot="1"><c r="A145" s="351" t="n"><v>137</v></c><c r="B145" s="375"><f>B144</f><v /></c><c r="C145" s="375"><f>C144</f><v /></c><c r="D145" s="376"><f>D144</f><v /></c><c r="E145" s="377"><f>E144</f><v /></c><c r="F145" s="13" t="n" /><c r="G145" s="446" t="inlineStr"><is><t>PA25516837</t></is></c><c r="H145" s="313"><f>H144</f><v /></c><c r="I145" s="38"><f>I144</f><v /></c><c r="J145" s="314"><f>J144</f><v /></c><c r="K145" s="378"><f>K144</f><v /></c><c r="L145" s="378"><f>L144</f><v /></c><c r="M145" s="379" t="n"><v>75.98</v></c><c r="N145" s="379" t="n"><v>175.26</v></c><c r="O145" s="380"><f>O144</f><v /></c><c r="P145" s="381"><f>P144</f><v /></c><c r="Q145" s="382"><f>LEFT(P145,1)</f><v /></c><c r="R145" s="382"><f>RIGHT(P145,6)</f><v /></c><c r="S145" s="382"><f>+(Q145*60+R145)/(60*60)</f><v /></c><c r="T145" s="383"><f>+O145/S145</f><v /></c><c r="U145" s="384"><f>+(((N145-M145-O145)/O145)*100)</f><v /></c><c r="V145" s="317"><f>V144</f><v /></c><c r="W145" s="385"><f>W144</f><v /></c><c r="X145" s="385"><f>X144</f><v /></c><c r="Y145" s="379" t="n"><v>181.5</v></c><c r="Z145" s="379" t="n"><v>191.39</v></c><c r="AA145" s="386"><f>AA144</f><v /></c><c r="AB145" s="387"><f>AB144</f><v /></c><c r="AC145" s="382"><f>LEFT(AB145,2)</f><v /></c><c r="AD145" s="382"><f>RIGHT(AB145,6)</f><v /></c><c r="AE145" s="382"><f>+(AC145*60+AD145)/(60*60)</f><v /></c><c r="AF145" s="383"><f>+AA145/AE145</f><v /></c><c r="AG145" s="321"><f>+(((Z145-Y145-AA145)/AA145)*100)</f><v /></c><c r="AH145" s="317"><f>AH144</f><v /></c><c r="AI145" s="385"><f>AI144</f><v /></c><c r="AJ145" s="385"><f>AJ144</f><v /></c><c r="AK145" s="379"><f>Z145</f><v /></c><c r="AL145" s="379" t="n"><v>196.36</v></c><c r="AM145" s="388"><f>AM144</f><v /></c><c r="AN145" s="381"><f>AN144</f><v /></c><c r="AO145" s="382"><f>LEFT(AN145,2)</f><v /></c><c r="AP145" s="382"><f>RIGHT(AN145,6)</f><v /></c><c r="AQ145" s="382"><f>+(AO145*60+AP145)/(60*60)</f><v /></c><c r="AR145" s="383"><f>+AM145/AQ145</f><v /></c><c r="AS145" s="321"><f>+(((AL145-AK145-AM145)/AM145)*100)</f><v /></c><c r="AT145" s="389"><f>IF(I145&gt;=1,"NO CONFORME",IF(BK145="SIGDIFERENTES",BC145,BL145))</f><v /></c><c r="AU145" s="372"><f>B145=C145</f><v /></c><c r="AV145" s="372"><f>N145&lt;Y145</f><v /></c><c r="AW145" s="372"><f>Z145&lt;=AK145</f><v /></c><c r="AX145" s="372"><f>IF(I145&gt;=1,"Qcorrecto",IF(AND(AY145="aceptable",AZ145="aceptable",BA145="aceptable"),"Qcorrecto","Qincorrecto"))</f><v /></c><c r="AY145" s="390"><f>IF(AR145&lt;$AH$6,"error",IF(AR145&gt;$AH$6*1.1,"error","aceptable"))</f><v /></c><c r="AZ145" s="390"><f>IF(AF145&lt;$V$6,"error",IF(AF145&gt;$V$6*1.1,"error","aceptable"))</f><v /></c><c r="BA145" s="390"><f>IF(T145&lt;$J$6*0.9,"error",IF(T145&gt;$J$6,"error","aceptable"))</f><v /></c><c r="BB145" s="25"><f>(IF(ABS(U145)&lt;1.05,"CONFORME",IF(ABS(AG145)&lt;1.05,"CONFORME",IF(ABS(AS145)&lt;2.55,"CONFORME","NO CONFORME"))))</f><v /></c><c r="BC145" s="5"><f>(IF(ABS(U145)&gt;2.05,"NO CONFORME",IF(ABS(AG145)&gt;2.05,"NO CONFORME",IF(ABS(AS145)&gt;5.05,"NO CONFORME","CONFORME"))))</f><v /></c><c r="BD145" s="374"><f>SIGN(U145)</f><v /></c><c r="BE145" s="374"><f>SIGN(AG145)</f><v /></c><c r="BF145" s="374"><f>SIGN(AS145)</f><v /></c><c r="BG145" s="374"><f>CONCATENATE(BD145,BE145,BF145)</f><v /></c><c r="BH145" s="374"><f>IF(BG145="111","SI","SD")</f><v /></c><c r="BI145" s="374"><f>IF(BG145="-1-1-1","SI","SD")</f><v /></c><c r="BJ145" s="374"><f>OR(BH145="SI",BI145="SI")</f><v /></c><c r="BK145" s="374"><f>IF(BJ145=FALSE,"SIGDIFERENTES","SIGIGUALES")</f><v /></c><c r="BL145" s="390"><f>IF(BC145="NO CONFORME","NO CONFORME",IF(BB145="CONFORME","CONFORME","NO CONFORME"))</f><v /></c></row><row r="146" ht="15" customHeight="1" thickBot="1"><c r="A146" s="351" t="n"><v>138</v></c><c r="B146" s="375"><f>B145</f><v /></c><c r="C146" s="375"><f>C145</f><v /></c><c r="D146" s="376"><f>D145</f><v /></c><c r="E146" s="377"><f>E145</f><v /></c><c r="F146" s="13" t="n" /><c r="G146" s="446" t="inlineStr"><is><t>PA25516838</t></is></c><c r="H146" s="313"><f>H145</f><v /></c><c r="I146" s="38"><f>I145</f><v /></c><c r="J146" s="314"><f>J145</f><v /></c><c r="K146" s="378"><f>K145</f><v /></c><c r="L146" s="378"><f>L145</f><v /></c><c r="M146" s="379" t="n"><v>76.8</v></c><c r="N146" s="379" t="n"><v>176.7</v></c><c r="O146" s="380"><f>O145</f><v /></c><c r="P146" s="381"><f>P145</f><v /></c><c r="Q146" s="382"><f>LEFT(P146,1)</f><v /></c><c r="R146" s="382"><f>RIGHT(P146,6)</f><v /></c><c r="S146" s="382"><f>+(Q146*60+R146)/(60*60)</f><v /></c><c r="T146" s="383"><f>+O146/S146</f><v /></c><c r="U146" s="384"><f>+(((N146-M146-O146)/O146)*100)</f><v /></c><c r="V146" s="317"><f>V145</f><v /></c><c r="W146" s="385"><f>W145</f><v /></c><c r="X146" s="385"><f>X145</f><v /></c><c r="Y146" s="379" t="n"><v>183</v></c><c r="Z146" s="379" t="n"><v>193</v></c><c r="AA146" s="386"><f>AA145</f><v /></c><c r="AB146" s="387"><f>AB145</f><v /></c><c r="AC146" s="382"><f>LEFT(AB146,2)</f><v /></c><c r="AD146" s="382"><f>RIGHT(AB146,6)</f><v /></c><c r="AE146" s="382"><f>+(AC146*60+AD146)/(60*60)</f><v /></c><c r="AF146" s="383"><f>+AA146/AE146</f><v /></c><c r="AG146" s="321"><f>+(((Z146-Y146-AA146)/AA146)*100)</f><v /></c><c r="AH146" s="317"><f>AH145</f><v /></c><c r="AI146" s="385"><f>AI145</f><v /></c><c r="AJ146" s="385"><f>AJ145</f><v /></c><c r="AK146" s="379"><f>Z146</f><v /></c><c r="AL146" s="379" t="n"><v>198.05</v></c><c r="AM146" s="388"><f>AM145</f><v /></c><c r="AN146" s="381"><f>AN145</f><v /></c><c r="AO146" s="382"><f>LEFT(AN146,2)</f><v /></c><c r="AP146" s="382"><f>RIGHT(AN146,6)</f><v /></c><c r="AQ146" s="382"><f>+(AO146*60+AP146)/(60*60)</f><v /></c><c r="AR146" s="383"><f>+AM146/AQ146</f><v /></c><c r="AS146" s="321"><f>+(((AL146-AK146-AM146)/AM146)*100)</f><v /></c><c r="AT146" s="389"><f>IF(I146&gt;=1,"NO CONFORME",IF(BK146="SIGDIFERENTES",BC146,BL146))</f><v /></c><c r="AU146" s="372"><f>B146=C146</f><v /></c><c r="AV146" s="372"><f>N146&lt;Y146</f><v /></c><c r="AW146" s="372"><f>Z146&lt;=AK146</f><v /></c><c r="AX146" s="372"><f>IF(I146&gt;=1,"Qcorrecto",IF(AND(AY146="aceptable",AZ146="aceptable",BA146="aceptable"),"Qcorrecto","Qincorrecto"))</f><v /></c><c r="AY146" s="390"><f>IF(AR146&lt;$AH$6,"error",IF(AR146&gt;$AH$6*1.1,"error","aceptable"))</f><v /></c><c r="AZ146" s="390"><f>IF(AF146&lt;$V$6,"error",IF(AF146&gt;$V$6*1.1,"error","aceptable"))</f><v /></c><c r="BA146" s="390"><f>IF(T146&lt;$J$6*0.9,"error",IF(T146&gt;$J$6,"error","aceptable"))</f><v /></c><c r="BB146" s="25"><f>(IF(ABS(U146)&lt;1.05,"CONFORME",IF(ABS(AG146)&lt;1.05,"CONFORME",IF(ABS(AS146)&lt;2.55,"CONFORME","NO CONFORME"))))</f><v /></c><c r="BC146" s="5"><f>(IF(ABS(U146)&gt;2.05,"NO CONFORME",IF(ABS(AG146)&gt;2.05,"NO CONFORME",IF(ABS(AS146)&gt;5.05,"NO CONFORME","CONFORME"))))</f><v /></c><c r="BD146" s="374"><f>SIGN(U146)</f><v /></c><c r="BE146" s="374"><f>SIGN(AG146)</f><v /></c><c r="BF146" s="374"><f>SIGN(AS146)</f><v /></c><c r="BG146" s="374"><f>CONCATENATE(BD146,BE146,BF146)</f><v /></c><c r="BH146" s="374"><f>IF(BG146="111","SI","SD")</f><v /></c><c r="BI146" s="374"><f>IF(BG146="-1-1-1","SI","SD")</f><v /></c><c r="BJ146" s="374"><f>OR(BH146="SI",BI146="SI")</f><v /></c><c r="BK146" s="374"><f>IF(BJ146=FALSE,"SIGDIFERENTES","SIGIGUALES")</f><v /></c><c r="BL146" s="390"><f>IF(BC146="NO CONFORME","NO CONFORME",IF(BB146="CONFORME","CONFORME","NO CONFORME"))</f><v /></c></row><row r="147" ht="15" customHeight="1" thickBot="1"><c r="A147" s="351" t="n"><v>139</v></c><c r="B147" s="375"><f>B146</f><v /></c><c r="C147" s="375"><f>C146</f><v /></c><c r="D147" s="376"><f>D146</f><v /></c><c r="E147" s="377"><f>E146</f><v /></c><c r="F147" s="13" t="n" /><c r="G147" s="446" t="inlineStr"><is><t>PA25516839</t></is></c><c r="H147" s="313"><f>H146</f><v /></c><c r="I147" s="38"><f>I146</f><v /></c><c r="J147" s="314"><f>J146</f><v /></c><c r="K147" s="378"><f>K146</f><v /></c><c r="L147" s="378"><f>L146</f><v /></c><c r="M147" s="379" t="n"><v>78.8</v></c><c r="N147" s="379" t="n"><v>179.24</v></c><c r="O147" s="380"><f>O146</f><v /></c><c r="P147" s="381"><f>P146</f><v /></c><c r="Q147" s="382"><f>LEFT(P147,1)</f><v /></c><c r="R147" s="382"><f>RIGHT(P147,6)</f><v /></c><c r="S147" s="382"><f>+(Q147*60+R147)/(60*60)</f><v /></c><c r="T147" s="383"><f>+O147/S147</f><v /></c><c r="U147" s="384"><f>+(((N147-M147-O147)/O147)*100)</f><v /></c><c r="V147" s="317"><f>V146</f><v /></c><c r="W147" s="385"><f>W146</f><v /></c><c r="X147" s="385"><f>X146</f><v /></c><c r="Y147" s="379" t="n"><v>185.55</v></c><c r="Z147" s="379" t="n"><v>195.51</v></c><c r="AA147" s="386"><f>AA146</f><v /></c><c r="AB147" s="387"><f>AB146</f><v /></c><c r="AC147" s="382"><f>LEFT(AB147,2)</f><v /></c><c r="AD147" s="382"><f>RIGHT(AB147,6)</f><v /></c><c r="AE147" s="382"><f>+(AC147*60+AD147)/(60*60)</f><v /></c><c r="AF147" s="383"><f>+AA147/AE147</f><v /></c><c r="AG147" s="321"><f>+(((Z147-Y147-AA147)/AA147)*100)</f><v /></c><c r="AH147" s="317"><f>AH146</f><v /></c><c r="AI147" s="385"><f>AI146</f><v /></c><c r="AJ147" s="385"><f>AJ146</f><v /></c><c r="AK147" s="379"><f>Z147</f><v /></c><c r="AL147" s="379" t="n"><v>200.49</v></c><c r="AM147" s="388"><f>AM146</f><v /></c><c r="AN147" s="381"><f>AN146</f><v /></c><c r="AO147" s="382"><f>LEFT(AN147,2)</f><v /></c><c r="AP147" s="382"><f>RIGHT(AN147,6)</f><v /></c><c r="AQ147" s="382"><f>+(AO147*60+AP147)/(60*60)</f><v /></c><c r="AR147" s="383"><f>+AM147/AQ147</f><v /></c><c r="AS147" s="321"><f>+(((AL147-AK147-AM147)/AM147)*100)</f><v /></c><c r="AT147" s="389"><f>IF(I147&gt;=1,"NO CONFORME",IF(BK147="SIGDIFERENTES",BC147,BL147))</f><v /></c><c r="AU147" s="372"><f>B147=C147</f><v /></c><c r="AV147" s="372"><f>N147&lt;Y147</f><v /></c><c r="AW147" s="372"><f>Z147&lt;=AK147</f><v /></c><c r="AX147" s="372"><f>IF(I147&gt;=1,"Qcorrecto",IF(AND(AY147="aceptable",AZ147="aceptable",BA147="aceptable"),"Qcorrecto","Qincorrecto"))</f><v /></c><c r="AY147" s="390"><f>IF(AR147&lt;$AH$6,"error",IF(AR147&gt;$AH$6*1.1,"error","aceptable"))</f><v /></c><c r="AZ147" s="390"><f>IF(AF147&lt;$V$6,"error",IF(AF147&gt;$V$6*1.1,"error","aceptable"))</f><v /></c><c r="BA147" s="390"><f>IF(T147&lt;$J$6*0.9,"error",IF(T147&gt;$J$6,"error","aceptable"))</f><v /></c><c r="BB147" s="25"><f>(IF(ABS(U147)&lt;1.05,"CONFORME",IF(ABS(AG147)&lt;1.05,"CONFORME",IF(ABS(AS147)&lt;2.55,"CONFORME","NO CONFORME"))))</f><v /></c><c r="BC147" s="5"><f>(IF(ABS(U147)&gt;2.05,"NO CONFORME",IF(ABS(AG147)&gt;2.05,"NO CONFORME",IF(ABS(AS147)&gt;5.05,"NO CONFORME","CONFORME"))))</f><v /></c><c r="BD147" s="374"><f>SIGN(U147)</f><v /></c><c r="BE147" s="374"><f>SIGN(AG147)</f><v /></c><c r="BF147" s="374"><f>SIGN(AS147)</f><v /></c><c r="BG147" s="374"><f>CONCATENATE(BD147,BE147,BF147)</f><v /></c><c r="BH147" s="374"><f>IF(BG147="111","SI","SD")</f><v /></c><c r="BI147" s="374"><f>IF(BG147="-1-1-1","SI","SD")</f><v /></c><c r="BJ147" s="374"><f>OR(BH147="SI",BI147="SI")</f><v /></c><c r="BK147" s="374"><f>IF(BJ147=FALSE,"SIGDIFERENTES","SIGIGUALES")</f><v /></c><c r="BL147" s="390"><f>IF(BC147="NO CONFORME","NO CONFORME",IF(BB147="CONFORME","CONFORME","NO CONFORME"))</f><v /></c></row><row r="148" ht="15" customHeight="1" thickBot="1"><c r="A148" s="351" t="n"><v>140</v></c><c r="B148" s="375"><f>B147</f><v /></c><c r="C148" s="375"><f>C147</f><v /></c><c r="D148" s="376"><f>D147</f><v /></c><c r="E148" s="377"><f>E147</f><v /></c><c r="F148" s="13" t="n" /><c r="G148" s="446" t="inlineStr"><is><t>PA25516840</t></is></c><c r="H148" s="313"><f>H147</f><v /></c><c r="I148" s="38"><f>I147</f><v /></c><c r="J148" s="314"><f>J147</f><v /></c><c r="K148" s="378"><f>K147</f><v /></c><c r="L148" s="378"><f>L147</f><v /></c><c r="M148" s="379" t="n"><v>78.15000000000001</v></c><c r="N148" s="379" t="n"><v>178</v></c><c r="O148" s="380"><f>O147</f><v /></c><c r="P148" s="381"><f>P147</f><v /></c><c r="Q148" s="382"><f>LEFT(P148,1)</f><v /></c><c r="R148" s="382"><f>RIGHT(P148,6)</f><v /></c><c r="S148" s="382"><f>+(Q148*60+R148)/(60*60)</f><v /></c><c r="T148" s="383"><f>+O148/S148</f><v /></c><c r="U148" s="384"><f>+(((N148-M148-O148)/O148)*100)</f><v /></c><c r="V148" s="317"><f>V147</f><v /></c><c r="W148" s="385"><f>W147</f><v /></c><c r="X148" s="385"><f>X147</f><v /></c><c r="Y148" s="379" t="n"><v>184.31</v></c><c r="Z148" s="379" t="n"><v>194.26</v></c><c r="AA148" s="386"><f>AA147</f><v /></c><c r="AB148" s="387"><f>AB147</f><v /></c><c r="AC148" s="382"><f>LEFT(AB148,2)</f><v /></c><c r="AD148" s="382"><f>RIGHT(AB148,6)</f><v /></c><c r="AE148" s="382"><f>+(AC148*60+AD148)/(60*60)</f><v /></c><c r="AF148" s="383"><f>+AA148/AE148</f><v /></c><c r="AG148" s="321"><f>+(((Z148-Y148-AA148)/AA148)*100)</f><v /></c><c r="AH148" s="317"><f>AH147</f><v /></c><c r="AI148" s="385"><f>AI147</f><v /></c><c r="AJ148" s="385"><f>AJ147</f><v /></c><c r="AK148" s="379"><f>Z148</f><v /></c><c r="AL148" s="379" t="n"><v>199.26</v></c><c r="AM148" s="388"><f>AM147</f><v /></c><c r="AN148" s="381"><f>AN147</f><v /></c><c r="AO148" s="382"><f>LEFT(AN148,2)</f><v /></c><c r="AP148" s="382"><f>RIGHT(AN148,6)</f><v /></c><c r="AQ148" s="382"><f>+(AO148*60+AP148)/(60*60)</f><v /></c><c r="AR148" s="383"><f>+AM148/AQ148</f><v /></c><c r="AS148" s="321"><f>+(((AL148-AK148-AM148)/AM148)*100)</f><v /></c><c r="AT148" s="389"><f>IF(I148&gt;=1,"NO CONFORME",IF(BK148="SIGDIFERENTES",BC148,BL148))</f><v /></c><c r="AU148" s="372"><f>B148=C148</f><v /></c><c r="AV148" s="372"><f>N148&lt;Y148</f><v /></c><c r="AW148" s="372"><f>Z148&lt;=AK148</f><v /></c><c r="AX148" s="372"><f>IF(I148&gt;=1,"Qcorrecto",IF(AND(AY148="aceptable",AZ148="aceptable",BA148="aceptable"),"Qcorrecto","Qincorrecto"))</f><v /></c><c r="AY148" s="390"><f>IF(AR148&lt;$AH$6,"error",IF(AR148&gt;$AH$6*1.1,"error","aceptable"))</f><v /></c><c r="AZ148" s="390"><f>IF(AF148&lt;$V$6,"error",IF(AF148&gt;$V$6*1.1,"error","aceptable"))</f><v /></c><c r="BA148" s="390"><f>IF(T148&lt;$J$6*0.9,"error",IF(T148&gt;$J$6,"error","aceptable"))</f><v /></c><c r="BB148" s="25"><f>(IF(ABS(U148)&lt;1.05,"CONFORME",IF(ABS(AG148)&lt;1.05,"CONFORME",IF(ABS(AS148)&lt;2.55,"CONFORME","NO CONFORME"))))</f><v /></c><c r="BC148" s="5"><f>(IF(ABS(U148)&gt;2.05,"NO CONFORME",IF(ABS(AG148)&gt;2.05,"NO CONFORME",IF(ABS(AS148)&gt;5.05,"NO CONFORME","CONFORME"))))</f><v /></c><c r="BD148" s="374"><f>SIGN(U148)</f><v /></c><c r="BE148" s="374"><f>SIGN(AG148)</f><v /></c><c r="BF148" s="374"><f>SIGN(AS148)</f><v /></c><c r="BG148" s="374"><f>CONCATENATE(BD148,BE148,BF148)</f><v /></c><c r="BH148" s="374"><f>IF(BG148="111","SI","SD")</f><v /></c><c r="BI148" s="374"><f>IF(BG148="-1-1-1","SI","SD")</f><v /></c><c r="BJ148" s="374"><f>OR(BH148="SI",BI148="SI")</f><v /></c><c r="BK148" s="374"><f>IF(BJ148=FALSE,"SIGDIFERENTES","SIGIGUALES")</f><v /></c><c r="BL148" s="390"><f>IF(BC148="NO CONFORME","NO CONFORME",IF(BB148="CONFORME","CONFORME","NO CONFORME"))</f><v /></c></row><row r="149" ht="15" customHeight="1" thickBot="1"><c r="A149" s="351" t="n"><v>141</v></c><c r="B149" s="375"><f>B148</f><v /></c><c r="C149" s="375"><f>C148</f><v /></c><c r="D149" s="376"><f>D148</f><v /></c><c r="E149" s="377"><f>E148</f><v /></c><c r="F149" s="13" t="n" /><c r="G149" s="446" t="inlineStr"><is><t>PA25516841</t></is></c><c r="H149" s="313"><f>H148</f><v /></c><c r="I149" s="38"><f>I148</f><v /></c><c r="J149" s="314"><f>J148</f><v /></c><c r="K149" s="378"><f>K148</f><v /></c><c r="L149" s="378"><f>L148</f><v /></c><c r="M149" s="379" t="n"><v>76.26000000000001</v></c><c r="N149" s="379" t="n"><v>175.61</v></c><c r="O149" s="380"><f>O148</f><v /></c><c r="P149" s="381"><f>P148</f><v /></c><c r="Q149" s="382"><f>LEFT(P149,1)</f><v /></c><c r="R149" s="382"><f>RIGHT(P149,6)</f><v /></c><c r="S149" s="382"><f>+(Q149*60+R149)/(60*60)</f><v /></c><c r="T149" s="383"><f>+O149/S149</f><v /></c><c r="U149" s="384"><f>+(((N149-M149-O149)/O149)*100)</f><v /></c><c r="V149" s="317"><f>V148</f><v /></c><c r="W149" s="385"><f>W148</f><v /></c><c r="X149" s="385"><f>X148</f><v /></c><c r="Y149" s="379" t="n"><v>181.91</v></c><c r="Z149" s="379" t="n"><v>191.85</v></c><c r="AA149" s="386"><f>AA148</f><v /></c><c r="AB149" s="387"><f>AB148</f><v /></c><c r="AC149" s="382"><f>LEFT(AB149,2)</f><v /></c><c r="AD149" s="382"><f>RIGHT(AB149,6)</f><v /></c><c r="AE149" s="382"><f>+(AC149*60+AD149)/(60*60)</f><v /></c><c r="AF149" s="383"><f>+AA149/AE149</f><v /></c><c r="AG149" s="321"><f>+(((Z149-Y149-AA149)/AA149)*100)</f><v /></c><c r="AH149" s="317"><f>AH148</f><v /></c><c r="AI149" s="385"><f>AI148</f><v /></c><c r="AJ149" s="385"><f>AJ148</f><v /></c><c r="AK149" s="379"><f>Z149</f><v /></c><c r="AL149" s="379" t="n"><v>196.81</v></c><c r="AM149" s="388"><f>AM148</f><v /></c><c r="AN149" s="381"><f>AN148</f><v /></c><c r="AO149" s="382"><f>LEFT(AN149,2)</f><v /></c><c r="AP149" s="382"><f>RIGHT(AN149,6)</f><v /></c><c r="AQ149" s="382"><f>+(AO149*60+AP149)/(60*60)</f><v /></c><c r="AR149" s="383"><f>+AM149/AQ149</f><v /></c><c r="AS149" s="321"><f>+(((AL149-AK149-AM149)/AM149)*100)</f><v /></c><c r="AT149" s="389"><f>IF(I149&gt;=1,"NO CONFORME",IF(BK149="SIGDIFERENTES",BC149,BL149))</f><v /></c><c r="AU149" s="372"><f>B149=C149</f><v /></c><c r="AV149" s="372"><f>N149&lt;Y149</f><v /></c><c r="AW149" s="372"><f>Z149&lt;=AK149</f><v /></c><c r="AX149" s="372"><f>IF(I149&gt;=1,"Qcorrecto",IF(AND(AY149="aceptable",AZ149="aceptable",BA149="aceptable"),"Qcorrecto","Qincorrecto"))</f><v /></c><c r="AY149" s="390"><f>IF(AR149&lt;$AH$6,"error",IF(AR149&gt;$AH$6*1.1,"error","aceptable"))</f><v /></c><c r="AZ149" s="390"><f>IF(AF149&lt;$V$6,"error",IF(AF149&gt;$V$6*1.1,"error","aceptable"))</f><v /></c><c r="BA149" s="390"><f>IF(T149&lt;$J$6*0.9,"error",IF(T149&gt;$J$6,"error","aceptable"))</f><v /></c><c r="BB149" s="25"><f>(IF(ABS(U149)&lt;1.05,"CONFORME",IF(ABS(AG149)&lt;1.05,"CONFORME",IF(ABS(AS149)&lt;2.55,"CONFORME","NO CONFORME"))))</f><v /></c><c r="BC149" s="5"><f>(IF(ABS(U149)&gt;2.05,"NO CONFORME",IF(ABS(AG149)&gt;2.05,"NO CONFORME",IF(ABS(AS149)&gt;5.05,"NO CONFORME","CONFORME"))))</f><v /></c><c r="BD149" s="374"><f>SIGN(U149)</f><v /></c><c r="BE149" s="374"><f>SIGN(AG149)</f><v /></c><c r="BF149" s="374"><f>SIGN(AS149)</f><v /></c><c r="BG149" s="374"><f>CONCATENATE(BD149,BE149,BF149)</f><v /></c><c r="BH149" s="374"><f>IF(BG149="111","SI","SD")</f><v /></c><c r="BI149" s="374"><f>IF(BG149="-1-1-1","SI","SD")</f><v /></c><c r="BJ149" s="374"><f>OR(BH149="SI",BI149="SI")</f><v /></c><c r="BK149" s="374"><f>IF(BJ149=FALSE,"SIGDIFERENTES","SIGIGUALES")</f><v /></c><c r="BL149" s="390"><f>IF(BC149="NO CONFORME","NO CONFORME",IF(BB149="CONFORME","CONFORME","NO CONFORME"))</f><v /></c></row><row r="150" ht="15" customHeight="1" thickBot="1"><c r="A150" s="351" t="n"><v>142</v></c><c r="B150" s="375"><f>B149</f><v /></c><c r="C150" s="375"><f>C149</f><v /></c><c r="D150" s="376"><f>D149</f><v /></c><c r="E150" s="377"><f>E149</f><v /></c><c r="F150" s="13" t="n" /><c r="G150" s="446" t="inlineStr"><is><t>PA25516842</t></is></c><c r="H150" s="313"><f>H149</f><v /></c><c r="I150" s="38"><f>I149</f><v /></c><c r="J150" s="314"><f>J149</f><v /></c><c r="K150" s="378"><f>K149</f><v /></c><c r="L150" s="378"><f>L149</f><v /></c><c r="M150" s="379" t="n"><v>77.34999999999999</v></c><c r="N150" s="379" t="n"><v>178.05</v></c><c r="O150" s="380"><f>O149</f><v /></c><c r="P150" s="381"><f>P149</f><v /></c><c r="Q150" s="382"><f>LEFT(P150,1)</f><v /></c><c r="R150" s="382"><f>RIGHT(P150,6)</f><v /></c><c r="S150" s="382"><f>+(Q150*60+R150)/(60*60)</f><v /></c><c r="T150" s="383"><f>+O150/S150</f><v /></c><c r="U150" s="384"><f>+(((N150-M150-O150)/O150)*100)</f><v /></c><c r="V150" s="317"><f>V149</f><v /></c><c r="W150" s="385"><f>W149</f><v /></c><c r="X150" s="385"><f>X149</f><v /></c><c r="Y150" s="379" t="n"><v>184.34</v></c><c r="Z150" s="379" t="n"><v>194.33</v></c><c r="AA150" s="386"><f>AA149</f><v /></c><c r="AB150" s="387"><f>AB149</f><v /></c><c r="AC150" s="382"><f>LEFT(AB150,2)</f><v /></c><c r="AD150" s="382"><f>RIGHT(AB150,6)</f><v /></c><c r="AE150" s="382"><f>+(AC150*60+AD150)/(60*60)</f><v /></c><c r="AF150" s="383"><f>+AA150/AE150</f><v /></c><c r="AG150" s="321"><f>+(((Z150-Y150-AA150)/AA150)*100)</f><v /></c><c r="AH150" s="317"><f>AH149</f><v /></c><c r="AI150" s="385"><f>AI149</f><v /></c><c r="AJ150" s="385"><f>AJ149</f><v /></c><c r="AK150" s="379"><f>Z150</f><v /></c><c r="AL150" s="379" t="n"><v>199.36</v></c><c r="AM150" s="388"><f>AM149</f><v /></c><c r="AN150" s="381"><f>AN149</f><v /></c><c r="AO150" s="382"><f>LEFT(AN150,2)</f><v /></c><c r="AP150" s="382"><f>RIGHT(AN150,6)</f><v /></c><c r="AQ150" s="382"><f>+(AO150*60+AP150)/(60*60)</f><v /></c><c r="AR150" s="383"><f>+AM150/AQ150</f><v /></c><c r="AS150" s="321"><f>+(((AL150-AK150-AM150)/AM150)*100)</f><v /></c><c r="AT150" s="389"><f>IF(I150&gt;=1,"NO CONFORME",IF(BK150="SIGDIFERENTES",BC150,BL150))</f><v /></c><c r="AU150" s="372"><f>B150=C150</f><v /></c><c r="AV150" s="372"><f>N150&lt;Y150</f><v /></c><c r="AW150" s="372"><f>Z150&lt;=AK150</f><v /></c><c r="AX150" s="372"><f>IF(I150&gt;=1,"Qcorrecto",IF(AND(AY150="aceptable",AZ150="aceptable",BA150="aceptable"),"Qcorrecto","Qincorrecto"))</f><v /></c><c r="AY150" s="390"><f>IF(AR150&lt;$AH$6,"error",IF(AR150&gt;$AH$6*1.1,"error","aceptable"))</f><v /></c><c r="AZ150" s="390"><f>IF(AF150&lt;$V$6,"error",IF(AF150&gt;$V$6*1.1,"error","aceptable"))</f><v /></c><c r="BA150" s="390"><f>IF(T150&lt;$J$6*0.9,"error",IF(T150&gt;$J$6,"error","aceptable"))</f><v /></c><c r="BB150" s="25"><f>(IF(ABS(U150)&lt;1.05,"CONFORME",IF(ABS(AG150)&lt;1.05,"CONFORME",IF(ABS(AS150)&lt;2.55,"CONFORME","NO CONFORME"))))</f><v /></c><c r="BC150" s="5"><f>(IF(ABS(U150)&gt;2.05,"NO CONFORME",IF(ABS(AG150)&gt;2.05,"NO CONFORME",IF(ABS(AS150)&gt;5.05,"NO CONFORME","CONFORME"))))</f><v /></c><c r="BD150" s="374"><f>SIGN(U150)</f><v /></c><c r="BE150" s="374"><f>SIGN(AG150)</f><v /></c><c r="BF150" s="374"><f>SIGN(AS150)</f><v /></c><c r="BG150" s="374"><f>CONCATENATE(BD150,BE150,BF150)</f><v /></c><c r="BH150" s="374"><f>IF(BG150="111","SI","SD")</f><v /></c><c r="BI150" s="374"><f>IF(BG150="-1-1-1","SI","SD")</f><v /></c><c r="BJ150" s="374"><f>OR(BH150="SI",BI150="SI")</f><v /></c><c r="BK150" s="374"><f>IF(BJ150=FALSE,"SIGDIFERENTES","SIGIGUALES")</f><v /></c><c r="BL150" s="390"><f>IF(BC150="NO CONFORME","NO CONFORME",IF(BB150="CONFORME","CONFORME","NO CONFORME"))</f><v /></c></row><row r="151" ht="15" customHeight="1" thickBot="1"><c r="A151" s="351" t="n"><v>143</v></c><c r="B151" s="375"><f>B150</f><v /></c><c r="C151" s="375"><f>C150</f><v /></c><c r="D151" s="376"><f>D150</f><v /></c><c r="E151" s="377"><f>E150</f><v /></c><c r="F151" s="13" t="n" /><c r="G151" s="446" t="inlineStr"><is><t>PA25516843</t></is></c><c r="H151" s="313"><f>H150</f><v /></c><c r="I151" s="38"><f>I150</f><v /></c><c r="J151" s="314"><f>J150</f><v /></c><c r="K151" s="378"><f>K150</f><v /></c><c r="L151" s="378"><f>L150</f><v /></c><c r="M151" s="379" t="n"><v>76.95</v></c><c r="N151" s="379" t="n"><v>176.98</v></c><c r="O151" s="380"><f>O150</f><v /></c><c r="P151" s="381"><f>P150</f><v /></c><c r="Q151" s="382"><f>LEFT(P151,1)</f><v /></c><c r="R151" s="382"><f>RIGHT(P151,6)</f><v /></c><c r="S151" s="382"><f>+(Q151*60+R151)/(60*60)</f><v /></c><c r="T151" s="383"><f>+O151/S151</f><v /></c><c r="U151" s="384"><f>+(((N151-M151-O151)/O151)*100)</f><v /></c><c r="V151" s="317"><f>V150</f><v /></c><c r="W151" s="385"><f>W150</f><v /></c><c r="X151" s="385"><f>X150</f><v /></c><c r="Y151" s="379" t="n"><v>183.25</v></c><c r="Z151" s="379" t="n"><v>193.21</v></c><c r="AA151" s="386"><f>AA150</f><v /></c><c r="AB151" s="387"><f>AB150</f><v /></c><c r="AC151" s="382"><f>LEFT(AB151,2)</f><v /></c><c r="AD151" s="382"><f>RIGHT(AB151,6)</f><v /></c><c r="AE151" s="382"><f>+(AC151*60+AD151)/(60*60)</f><v /></c><c r="AF151" s="383"><f>+AA151/AE151</f><v /></c><c r="AG151" s="321"><f>+(((Z151-Y151-AA151)/AA151)*100)</f><v /></c><c r="AH151" s="317"><f>AH150</f><v /></c><c r="AI151" s="385"><f>AI150</f><v /></c><c r="AJ151" s="385"><f>AJ150</f><v /></c><c r="AK151" s="379"><f>Z151</f><v /></c><c r="AL151" s="379" t="n"><v>198.2</v></c><c r="AM151" s="388"><f>AM150</f><v /></c><c r="AN151" s="381"><f>AN150</f><v /></c><c r="AO151" s="382"><f>LEFT(AN151,2)</f><v /></c><c r="AP151" s="382"><f>RIGHT(AN151,6)</f><v /></c><c r="AQ151" s="382"><f>+(AO151*60+AP151)/(60*60)</f><v /></c><c r="AR151" s="383"><f>+AM151/AQ151</f><v /></c><c r="AS151" s="321"><f>+(((AL151-AK151-AM151)/AM151)*100)</f><v /></c><c r="AT151" s="389"><f>IF(I151&gt;=1,"NO CONFORME",IF(BK151="SIGDIFERENTES",BC151,BL151))</f><v /></c><c r="AU151" s="372"><f>B151=C151</f><v /></c><c r="AV151" s="372"><f>N151&lt;Y151</f><v /></c><c r="AW151" s="372"><f>Z151&lt;=AK151</f><v /></c><c r="AX151" s="372"><f>IF(I151&gt;=1,"Qcorrecto",IF(AND(AY151="aceptable",AZ151="aceptable",BA151="aceptable"),"Qcorrecto","Qincorrecto"))</f><v /></c><c r="AY151" s="390"><f>IF(AR151&lt;$AH$6,"error",IF(AR151&gt;$AH$6*1.1,"error","aceptable"))</f><v /></c><c r="AZ151" s="390"><f>IF(AF151&lt;$V$6,"error",IF(AF151&gt;$V$6*1.1,"error","aceptable"))</f><v /></c><c r="BA151" s="390"><f>IF(T151&lt;$J$6*0.9,"error",IF(T151&gt;$J$6,"error","aceptable"))</f><v /></c><c r="BB151" s="25"><f>(IF(ABS(U151)&lt;1.05,"CONFORME",IF(ABS(AG151)&lt;1.05,"CONFORME",IF(ABS(AS151)&lt;2.55,"CONFORME","NO CONFORME"))))</f><v /></c><c r="BC151" s="5"><f>(IF(ABS(U151)&gt;2.05,"NO CONFORME",IF(ABS(AG151)&gt;2.05,"NO CONFORME",IF(ABS(AS151)&gt;5.05,"NO CONFORME","CONFORME"))))</f><v /></c><c r="BD151" s="374"><f>SIGN(U151)</f><v /></c><c r="BE151" s="374"><f>SIGN(AG151)</f><v /></c><c r="BF151" s="374"><f>SIGN(AS151)</f><v /></c><c r="BG151" s="374"><f>CONCATENATE(BD151,BE151,BF151)</f><v /></c><c r="BH151" s="374"><f>IF(BG151="111","SI","SD")</f><v /></c><c r="BI151" s="374"><f>IF(BG151="-1-1-1","SI","SD")</f><v /></c><c r="BJ151" s="374"><f>OR(BH151="SI",BI151="SI")</f><v /></c><c r="BK151" s="374"><f>IF(BJ151=FALSE,"SIGDIFERENTES","SIGIGUALES")</f><v /></c><c r="BL151" s="390"><f>IF(BC151="NO CONFORME","NO CONFORME",IF(BB151="CONFORME","CONFORME","NO CONFORME"))</f><v /></c></row><row r="152" ht="15" customHeight="1" thickBot="1"><c r="A152" s="351" t="n"><v>144</v></c><c r="B152" s="375"><f>B151</f><v /></c><c r="C152" s="375"><f>C151</f><v /></c><c r="D152" s="376"><f>D151</f><v /></c><c r="E152" s="377"><f>E151</f><v /></c><c r="F152" s="13" t="n" /><c r="G152" s="446" t="inlineStr"><is><t>PA25516844</t></is></c><c r="H152" s="313"><f>H151</f><v /></c><c r="I152" s="38"><f>I151</f><v /></c><c r="J152" s="314"><f>J151</f><v /></c><c r="K152" s="378"><f>K151</f><v /></c><c r="L152" s="378"><f>L151</f><v /></c><c r="M152" s="379" t="n"><v>77.09999999999999</v></c><c r="N152" s="379" t="n"><v>177.31</v></c><c r="O152" s="380"><f>O151</f><v /></c><c r="P152" s="381"><f>P151</f><v /></c><c r="Q152" s="382"><f>LEFT(P152,1)</f><v /></c><c r="R152" s="382"><f>RIGHT(P152,6)</f><v /></c><c r="S152" s="382"><f>+(Q152*60+R152)/(60*60)</f><v /></c><c r="T152" s="383"><f>+O152/S152</f><v /></c><c r="U152" s="384"><f>+(((N152-M152-O152)/O152)*100)</f><v /></c><c r="V152" s="317"><f>V151</f><v /></c><c r="W152" s="385"><f>W151</f><v /></c><c r="X152" s="385"><f>X151</f><v /></c><c r="Y152" s="379" t="n"><v>183.62</v></c><c r="Z152" s="379" t="n"><v>193.57</v></c><c r="AA152" s="386"><f>AA151</f><v /></c><c r="AB152" s="387"><f>AB151</f><v /></c><c r="AC152" s="382"><f>LEFT(AB152,2)</f><v /></c><c r="AD152" s="382"><f>RIGHT(AB152,6)</f><v /></c><c r="AE152" s="382"><f>+(AC152*60+AD152)/(60*60)</f><v /></c><c r="AF152" s="383"><f>+AA152/AE152</f><v /></c><c r="AG152" s="321"><f>+(((Z152-Y152-AA152)/AA152)*100)</f><v /></c><c r="AH152" s="317"><f>AH151</f><v /></c><c r="AI152" s="385"><f>AI151</f><v /></c><c r="AJ152" s="385"><f>AJ151</f><v /></c><c r="AK152" s="379"><f>Z152</f><v /></c><c r="AL152" s="379" t="n"><v>198.58</v></c><c r="AM152" s="388"><f>AM151</f><v /></c><c r="AN152" s="381"><f>AN151</f><v /></c><c r="AO152" s="382"><f>LEFT(AN152,2)</f><v /></c><c r="AP152" s="382"><f>RIGHT(AN152,6)</f><v /></c><c r="AQ152" s="382"><f>+(AO152*60+AP152)/(60*60)</f><v /></c><c r="AR152" s="383"><f>+AM152/AQ152</f><v /></c><c r="AS152" s="321"><f>+(((AL152-AK152-AM152)/AM152)*100)</f><v /></c><c r="AT152" s="389"><f>IF(I152&gt;=1,"NO CONFORME",IF(BK152="SIGDIFERENTES",BC152,BL152))</f><v /></c><c r="AU152" s="372"><f>B152=C152</f><v /></c><c r="AV152" s="372"><f>N152&lt;Y152</f><v /></c><c r="AW152" s="372"><f>Z152&lt;=AK152</f><v /></c><c r="AX152" s="372"><f>IF(I152&gt;=1,"Qcorrecto",IF(AND(AY152="aceptable",AZ152="aceptable",BA152="aceptable"),"Qcorrecto","Qincorrecto"))</f><v /></c><c r="AY152" s="390"><f>IF(AR152&lt;$AH$6,"error",IF(AR152&gt;$AH$6*1.1,"error","aceptable"))</f><v /></c><c r="AZ152" s="390"><f>IF(AF152&lt;$V$6,"error",IF(AF152&gt;$V$6*1.1,"error","aceptable"))</f><v /></c><c r="BA152" s="390"><f>IF(T152&lt;$J$6*0.9,"error",IF(T152&gt;$J$6,"error","aceptable"))</f><v /></c><c r="BB152" s="25"><f>(IF(ABS(U152)&lt;1.05,"CONFORME",IF(ABS(AG152)&lt;1.05,"CONFORME",IF(ABS(AS152)&lt;2.55,"CONFORME","NO CONFORME"))))</f><v /></c><c r="BC152" s="5"><f>(IF(ABS(U152)&gt;2.05,"NO CONFORME",IF(ABS(AG152)&gt;2.05,"NO CONFORME",IF(ABS(AS152)&gt;5.05,"NO CONFORME","CONFORME"))))</f><v /></c><c r="BD152" s="374"><f>SIGN(U152)</f><v /></c><c r="BE152" s="374"><f>SIGN(AG152)</f><v /></c><c r="BF152" s="374"><f>SIGN(AS152)</f><v /></c><c r="BG152" s="374"><f>CONCATENATE(BD152,BE152,BF152)</f><v /></c><c r="BH152" s="374"><f>IF(BG152="111","SI","SD")</f><v /></c><c r="BI152" s="374"><f>IF(BG152="-1-1-1","SI","SD")</f><v /></c><c r="BJ152" s="374"><f>OR(BH152="SI",BI152="SI")</f><v /></c><c r="BK152" s="374"><f>IF(BJ152=FALSE,"SIGDIFERENTES","SIGIGUALES")</f><v /></c><c r="BL152" s="390"><f>IF(BC152="NO CONFORME","NO CONFORME",IF(BB152="CONFORME","CONFORME","NO CONFORME"))</f><v /></c></row><row r="153" ht="15" customHeight="1" thickBot="1"><c r="A153" s="351" t="n"><v>145</v></c><c r="B153" s="375"><f>B152</f><v /></c><c r="C153" s="375"><f>C152</f><v /></c><c r="D153" s="376"><f>D152</f><v /></c><c r="E153" s="377"><f>E152</f><v /></c><c r="F153" s="13" t="n" /><c r="G153" s="446" t="inlineStr"><is><t>PA25516845</t></is></c><c r="H153" s="313"><f>H152</f><v /></c><c r="I153" s="38"><f>I152</f><v /></c><c r="J153" s="314"><f>J152</f><v /></c><c r="K153" s="378"><f>K152</f><v /></c><c r="L153" s="378"><f>L152</f><v /></c><c r="M153" s="379" t="n"><v>77.55</v></c><c r="N153" s="379" t="n"><v>178.05</v></c><c r="O153" s="380"><f>O152</f><v /></c><c r="P153" s="381"><f>P152</f><v /></c><c r="Q153" s="382"><f>LEFT(P153,1)</f><v /></c><c r="R153" s="382"><f>RIGHT(P153,6)</f><v /></c><c r="S153" s="382"><f>+(Q153*60+R153)/(60*60)</f><v /></c><c r="T153" s="383"><f>+O153/S153</f><v /></c><c r="U153" s="384"><f>+(((N153-M153-O153)/O153)*100)</f><v /></c><c r="V153" s="317"><f>V152</f><v /></c><c r="W153" s="385"><f>W152</f><v /></c><c r="X153" s="385"><f>X152</f><v /></c><c r="Y153" s="379" t="n"><v>184.35</v></c><c r="Z153" s="379" t="n"><v>194.26</v></c><c r="AA153" s="386"><f>AA152</f><v /></c><c r="AB153" s="387"><f>AB152</f><v /></c><c r="AC153" s="382"><f>LEFT(AB153,2)</f><v /></c><c r="AD153" s="382"><f>RIGHT(AB153,6)</f><v /></c><c r="AE153" s="382"><f>+(AC153*60+AD153)/(60*60)</f><v /></c><c r="AF153" s="383"><f>+AA153/AE153</f><v /></c><c r="AG153" s="321"><f>+(((Z153-Y153-AA153)/AA153)*100)</f><v /></c><c r="AH153" s="317"><f>AH152</f><v /></c><c r="AI153" s="385"><f>AI152</f><v /></c><c r="AJ153" s="385"><f>AJ152</f><v /></c><c r="AK153" s="379"><f>Z153</f><v /></c><c r="AL153" s="379" t="n"><v>199.22</v></c><c r="AM153" s="388"><f>AM152</f><v /></c><c r="AN153" s="381"><f>AN152</f><v /></c><c r="AO153" s="382"><f>LEFT(AN153,2)</f><v /></c><c r="AP153" s="382"><f>RIGHT(AN153,6)</f><v /></c><c r="AQ153" s="382"><f>+(AO153*60+AP153)/(60*60)</f><v /></c><c r="AR153" s="383"><f>+AM153/AQ153</f><v /></c><c r="AS153" s="321"><f>+(((AL153-AK153-AM153)/AM153)*100)</f><v /></c><c r="AT153" s="389"><f>IF(I153&gt;=1,"NO CONFORME",IF(BK153="SIGDIFERENTES",BC153,BL153))</f><v /></c><c r="AU153" s="372"><f>B153=C153</f><v /></c><c r="AV153" s="372"><f>N153&lt;Y153</f><v /></c><c r="AW153" s="372"><f>Z153&lt;=AK153</f><v /></c><c r="AX153" s="372"><f>IF(I153&gt;=1,"Qcorrecto",IF(AND(AY153="aceptable",AZ153="aceptable",BA153="aceptable"),"Qcorrecto","Qincorrecto"))</f><v /></c><c r="AY153" s="390"><f>IF(AR153&lt;$AH$6,"error",IF(AR153&gt;$AH$6*1.1,"error","aceptable"))</f><v /></c><c r="AZ153" s="390"><f>IF(AF153&lt;$V$6,"error",IF(AF153&gt;$V$6*1.1,"error","aceptable"))</f><v /></c><c r="BA153" s="390"><f>IF(T153&lt;$J$6*0.9,"error",IF(T153&gt;$J$6,"error","aceptable"))</f><v /></c><c r="BB153" s="25"><f>(IF(ABS(U153)&lt;1.05,"CONFORME",IF(ABS(AG153)&lt;1.05,"CONFORME",IF(ABS(AS153)&lt;2.55,"CONFORME","NO CONFORME"))))</f><v /></c><c r="BC153" s="5"><f>(IF(ABS(U153)&gt;2.05,"NO CONFORME",IF(ABS(AG153)&gt;2.05,"NO CONFORME",IF(ABS(AS153)&gt;5.05,"NO CONFORME","CONFORME"))))</f><v /></c><c r="BD153" s="374"><f>SIGN(U153)</f><v /></c><c r="BE153" s="374"><f>SIGN(AG153)</f><v /></c><c r="BF153" s="374"><f>SIGN(AS153)</f><v /></c><c r="BG153" s="374"><f>CONCATENATE(BD153,BE153,BF153)</f><v /></c><c r="BH153" s="374"><f>IF(BG153="111","SI","SD")</f><v /></c><c r="BI153" s="374"><f>IF(BG153="-1-1-1","SI","SD")</f><v /></c><c r="BJ153" s="374"><f>OR(BH153="SI",BI153="SI")</f><v /></c><c r="BK153" s="374"><f>IF(BJ153=FALSE,"SIGDIFERENTES","SIGIGUALES")</f><v /></c><c r="BL153" s="390"><f>IF(BC153="NO CONFORME","NO CONFORME",IF(BB153="CONFORME","CONFORME","NO CONFORME"))</f><v /></c></row><row r="154" ht="15" customHeight="1" thickBot="1"><c r="A154" s="351" t="n"><v>146</v></c><c r="B154" s="375"><f>B153</f><v /></c><c r="C154" s="375"><f>C153</f><v /></c><c r="D154" s="376"><f>D153</f><v /></c><c r="E154" s="377"><f>E153</f><v /></c><c r="F154" s="13" t="n" /><c r="G154" s="446" t="inlineStr"><is><t>PA25516846</t></is></c><c r="H154" s="313"><f>H153</f><v /></c><c r="I154" s="38"><f>I153</f><v /></c><c r="J154" s="314"><f>J153</f><v /></c><c r="K154" s="378"><f>K153</f><v /></c><c r="L154" s="378"><f>L153</f><v /></c><c r="M154" s="379" t="n"><v>78.88</v></c><c r="N154" s="379" t="n"><v>179.09</v></c><c r="O154" s="380"><f>O153</f><v /></c><c r="P154" s="381"><f>P153</f><v /></c><c r="Q154" s="382"><f>LEFT(P154,1)</f><v /></c><c r="R154" s="382"><f>RIGHT(P154,6)</f><v /></c><c r="S154" s="382"><f>+(Q154*60+R154)/(60*60)</f><v /></c><c r="T154" s="383"><f>+O154/S154</f><v /></c><c r="U154" s="384"><f>+(((N154-M154-O154)/O154)*100)</f><v /></c><c r="V154" s="317"><f>V153</f><v /></c><c r="W154" s="385"><f>W153</f><v /></c><c r="X154" s="385"><f>X153</f><v /></c><c r="Y154" s="379" t="n"><v>185.4</v></c><c r="Z154" s="379" t="n"><v>195.35</v></c><c r="AA154" s="386"><f>AA153</f><v /></c><c r="AB154" s="387"><f>AB153</f><v /></c><c r="AC154" s="382"><f>LEFT(AB154,2)</f><v /></c><c r="AD154" s="382"><f>RIGHT(AB154,6)</f><v /></c><c r="AE154" s="382"><f>+(AC154*60+AD154)/(60*60)</f><v /></c><c r="AF154" s="383"><f>+AA154/AE154</f><v /></c><c r="AG154" s="321"><f>+(((Z154-Y154-AA154)/AA154)*100)</f><v /></c><c r="AH154" s="317"><f>AH153</f><v /></c><c r="AI154" s="385"><f>AI153</f><v /></c><c r="AJ154" s="385"><f>AJ153</f><v /></c><c r="AK154" s="379"><f>Z154</f><v /></c><c r="AL154" s="379" t="n"><v>200.3</v></c><c r="AM154" s="388"><f>AM153</f><v /></c><c r="AN154" s="381"><f>AN153</f><v /></c><c r="AO154" s="382"><f>LEFT(AN154,2)</f><v /></c><c r="AP154" s="382"><f>RIGHT(AN154,6)</f><v /></c><c r="AQ154" s="382"><f>+(AO154*60+AP154)/(60*60)</f><v /></c><c r="AR154" s="383"><f>+AM154/AQ154</f><v /></c><c r="AS154" s="321"><f>+(((AL154-AK154-AM154)/AM154)*100)</f><v /></c><c r="AT154" s="389"><f>IF(I154&gt;=1,"NO CONFORME",IF(BK154="SIGDIFERENTES",BC154,BL154))</f><v /></c><c r="AU154" s="372"><f>B154=C154</f><v /></c><c r="AV154" s="372"><f>N154&lt;Y154</f><v /></c><c r="AW154" s="372"><f>Z154&lt;=AK154</f><v /></c><c r="AX154" s="372"><f>IF(I154&gt;=1,"Qcorrecto",IF(AND(AY154="aceptable",AZ154="aceptable",BA154="aceptable"),"Qcorrecto","Qincorrecto"))</f><v /></c><c r="AY154" s="390"><f>IF(AR154&lt;$AH$6,"error",IF(AR154&gt;$AH$6*1.1,"error","aceptable"))</f><v /></c><c r="AZ154" s="390"><f>IF(AF154&lt;$V$6,"error",IF(AF154&gt;$V$6*1.1,"error","aceptable"))</f><v /></c><c r="BA154" s="390"><f>IF(T154&lt;$J$6*0.9,"error",IF(T154&gt;$J$6,"error","aceptable"))</f><v /></c><c r="BB154" s="25"><f>(IF(ABS(U154)&lt;1.05,"CONFORME",IF(ABS(AG154)&lt;1.05,"CONFORME",IF(ABS(AS154)&lt;2.55,"CONFORME","NO CONFORME"))))</f><v /></c><c r="BC154" s="5"><f>(IF(ABS(U154)&gt;2.05,"NO CONFORME",IF(ABS(AG154)&gt;2.05,"NO CONFORME",IF(ABS(AS154)&gt;5.05,"NO CONFORME","CONFORME"))))</f><v /></c><c r="BD154" s="374"><f>SIGN(U154)</f><v /></c><c r="BE154" s="374"><f>SIGN(AG154)</f><v /></c><c r="BF154" s="374"><f>SIGN(AS154)</f><v /></c><c r="BG154" s="374"><f>CONCATENATE(BD154,BE154,BF154)</f><v /></c><c r="BH154" s="374"><f>IF(BG154="111","SI","SD")</f><v /></c><c r="BI154" s="374"><f>IF(BG154="-1-1-1","SI","SD")</f><v /></c><c r="BJ154" s="374"><f>OR(BH154="SI",BI154="SI")</f><v /></c><c r="BK154" s="374"><f>IF(BJ154=FALSE,"SIGDIFERENTES","SIGIGUALES")</f><v /></c><c r="BL154" s="390"><f>IF(BC154="NO CONFORME","NO CONFORME",IF(BB154="CONFORME","CONFORME","NO CONFORME"))</f><v /></c></row><row r="155" ht="15" customHeight="1" thickBot="1"><c r="A155" s="351" t="n"><v>147</v></c><c r="B155" s="375"><f>B154</f><v /></c><c r="C155" s="375"><f>C154</f><v /></c><c r="D155" s="376"><f>D154</f><v /></c><c r="E155" s="377"><f>E154</f><v /></c><c r="F155" s="13" t="n" /><c r="G155" s="446" t="inlineStr"><is><t>PA25516847</t></is></c><c r="H155" s="313"><f>H154</f><v /></c><c r="I155" s="38"><f>I154</f><v /></c><c r="J155" s="314"><f>J154</f><v /></c><c r="K155" s="378"><f>K154</f><v /></c><c r="L155" s="378"><f>L154</f><v /></c><c r="M155" s="379" t="n"><v>78.90000000000001</v></c><c r="N155" s="379" t="n"><v>179</v></c><c r="O155" s="380"><f>O154</f><v /></c><c r="P155" s="381"><f>P154</f><v /></c><c r="Q155" s="382"><f>LEFT(P155,1)</f><v /></c><c r="R155" s="382"><f>RIGHT(P155,6)</f><v /></c><c r="S155" s="382"><f>+(Q155*60+R155)/(60*60)</f><v /></c><c r="T155" s="383"><f>+O155/S155</f><v /></c><c r="U155" s="384"><f>+(((N155-M155-O155)/O155)*100)</f><v /></c><c r="V155" s="317"><f>V154</f><v /></c><c r="W155" s="385"><f>W154</f><v /></c><c r="X155" s="385"><f>X154</f><v /></c><c r="Y155" s="379" t="n"><v>185.26</v></c><c r="Z155" s="379" t="n"><v>195.21</v></c><c r="AA155" s="386"><f>AA154</f><v /></c><c r="AB155" s="387"><f>AB154</f><v /></c><c r="AC155" s="382"><f>LEFT(AB155,2)</f><v /></c><c r="AD155" s="382"><f>RIGHT(AB155,6)</f><v /></c><c r="AE155" s="382"><f>+(AC155*60+AD155)/(60*60)</f><v /></c><c r="AF155" s="383"><f>+AA155/AE155</f><v /></c><c r="AG155" s="321"><f>+(((Z155-Y155-AA155)/AA155)*100)</f><v /></c><c r="AH155" s="317"><f>AH154</f><v /></c><c r="AI155" s="385"><f>AI154</f><v /></c><c r="AJ155" s="385"><f>AJ154</f><v /></c><c r="AK155" s="379"><f>Z155</f><v /></c><c r="AL155" s="379" t="n"><v>200.22</v></c><c r="AM155" s="388"><f>AM154</f><v /></c><c r="AN155" s="381"><f>AN154</f><v /></c><c r="AO155" s="382"><f>LEFT(AN155,2)</f><v /></c><c r="AP155" s="382"><f>RIGHT(AN155,6)</f><v /></c><c r="AQ155" s="382"><f>+(AO155*60+AP155)/(60*60)</f><v /></c><c r="AR155" s="383"><f>+AM155/AQ155</f><v /></c><c r="AS155" s="321"><f>+(((AL155-AK155-AM155)/AM155)*100)</f><v /></c><c r="AT155" s="389"><f>IF(I155&gt;=1,"NO CONFORME",IF(BK155="SIGDIFERENTES",BC155,BL155))</f><v /></c><c r="AU155" s="372"><f>B155=C155</f><v /></c><c r="AV155" s="372"><f>N155&lt;Y155</f><v /></c><c r="AW155" s="372"><f>Z155&lt;=AK155</f><v /></c><c r="AX155" s="372"><f>IF(I155&gt;=1,"Qcorrecto",IF(AND(AY155="aceptable",AZ155="aceptable",BA155="aceptable"),"Qcorrecto","Qincorrecto"))</f><v /></c><c r="AY155" s="390"><f>IF(AR155&lt;$AH$6,"error",IF(AR155&gt;$AH$6*1.1,"error","aceptable"))</f><v /></c><c r="AZ155" s="390"><f>IF(AF155&lt;$V$6,"error",IF(AF155&gt;$V$6*1.1,"error","aceptable"))</f><v /></c><c r="BA155" s="390"><f>IF(T155&lt;$J$6*0.9,"error",IF(T155&gt;$J$6,"error","aceptable"))</f><v /></c><c r="BB155" s="25"><f>(IF(ABS(U155)&lt;1.05,"CONFORME",IF(ABS(AG155)&lt;1.05,"CONFORME",IF(ABS(AS155)&lt;2.55,"CONFORME","NO CONFORME"))))</f><v /></c><c r="BC155" s="5"><f>(IF(ABS(U155)&gt;2.05,"NO CONFORME",IF(ABS(AG155)&gt;2.05,"NO CONFORME",IF(ABS(AS155)&gt;5.05,"NO CONFORME","CONFORME"))))</f><v /></c><c r="BD155" s="374"><f>SIGN(U155)</f><v /></c><c r="BE155" s="374"><f>SIGN(AG155)</f><v /></c><c r="BF155" s="374"><f>SIGN(AS155)</f><v /></c><c r="BG155" s="374"><f>CONCATENATE(BD155,BE155,BF155)</f><v /></c><c r="BH155" s="374"><f>IF(BG155="111","SI","SD")</f><v /></c><c r="BI155" s="374"><f>IF(BG155="-1-1-1","SI","SD")</f><v /></c><c r="BJ155" s="374"><f>OR(BH155="SI",BI155="SI")</f><v /></c><c r="BK155" s="374"><f>IF(BJ155=FALSE,"SIGDIFERENTES","SIGIGUALES")</f><v /></c><c r="BL155" s="390"><f>IF(BC155="NO CONFORME","NO CONFORME",IF(BB155="CONFORME","CONFORME","NO CONFORME"))</f><v /></c></row><row r="156" ht="15" customHeight="1" thickBot="1"><c r="A156" s="391" t="n"><v>148</v></c><c r="B156" s="392"><f>B155</f><v /></c><c r="C156" s="392"><f>C155</f><v /></c><c r="D156" s="393"><f>D155</f><v /></c><c r="E156" s="394"><f>E155</f><v /></c><c r="F156" s="52" t="n" /><c r="G156" s="446" t="inlineStr"><is><t>PA25516848</t></is></c><c r="H156" s="326"><f>H155</f><v /></c><c r="I156" s="98"><f>I155</f><v /></c><c r="J156" s="327"><f>J155</f><v /></c><c r="K156" s="396"><f>K155</f><v /></c><c r="L156" s="396"><f>L155</f><v /></c><c r="M156" s="397" t="n"><v>77.55</v></c><c r="N156" s="397" t="n"><v>177.6</v></c><c r="O156" s="398"><f>O155</f><v /></c><c r="P156" s="399"><f>P155</f><v /></c><c r="Q156" s="400"><f>LEFT(P156,1)</f><v /></c><c r="R156" s="400"><f>RIGHT(P156,6)</f><v /></c><c r="S156" s="400"><f>+(Q156*60+R156)/(60*60)</f><v /></c><c r="T156" s="401"><f>+O156/S156</f><v /></c><c r="U156" s="402"><f>+(((N156-M156-O156)/O156)*100)</f><v /></c><c r="V156" s="329"><f>V155</f><v /></c><c r="W156" s="403"><f>W155</f><v /></c><c r="X156" s="403"><f>X155</f><v /></c><c r="Y156" s="397" t="n"><v>183.9</v></c><c r="Z156" s="397" t="n"><v>193.86</v></c><c r="AA156" s="404"><f>AA155</f><v /></c><c r="AB156" s="405"><f>AB155</f><v /></c><c r="AC156" s="400"><f>LEFT(AB156,2)</f><v /></c><c r="AD156" s="400"><f>RIGHT(AB156,6)</f><v /></c><c r="AE156" s="400"><f>+(AC156*60+AD156)/(60*60)</f><v /></c><c r="AF156" s="401"><f>+AA156/AE156</f><v /></c><c r="AG156" s="406"><f>+(((Z156-Y156-AA156)/AA156)*100)</f><v /></c><c r="AH156" s="329"><f>AH155</f><v /></c><c r="AI156" s="403"><f>AI155</f><v /></c><c r="AJ156" s="403"><f>AJ155</f><v /></c><c r="AK156" s="397"><f>Z156</f><v /></c><c r="AL156" s="397" t="n"><v>198.85</v></c><c r="AM156" s="407"><f>AM155</f><v /></c><c r="AN156" s="399"><f>AN155</f><v /></c><c r="AO156" s="400"><f>LEFT(AN156,2)</f><v /></c><c r="AP156" s="400"><f>RIGHT(AN156,6)</f><v /></c><c r="AQ156" s="400"><f>+(AO156*60+AP156)/(60*60)</f><v /></c><c r="AR156" s="401"><f>+AM156/AQ156</f><v /></c><c r="AS156" s="406"><f>+(((AL156-AK156-AM156)/AM156)*100)</f><v /></c><c r="AT156" s="408"><f>IF(I156&gt;=1,"NO CONFORME",IF(BK156="SIGDIFERENTES",BC156,BL156))</f><v /></c><c r="AU156" s="409"><f>B156=C156</f><v /></c><c r="AV156" s="409"><f>N156&lt;Y156</f><v /></c><c r="AW156" s="409"><f>Z156&lt;=AK156</f><v /></c><c r="AX156" s="409"><f>IF(I156&gt;=1,"Qcorrecto",IF(AND(AY156="aceptable",AZ156="aceptable",BA156="aceptable"),"Qcorrecto","Qincorrecto"))</f><v /></c><c r="AY156" s="410"><f>IF(AR156&lt;$AH$6,"error",IF(AR156&gt;$AH$6*1.1,"error","aceptable"))</f><v /></c><c r="AZ156" s="410"><f>IF(AF156&lt;$V$6,"error",IF(AF156&gt;$V$6*1.1,"error","aceptable"))</f><v /></c><c r="BA156" s="410"><f>IF(T156&lt;$J$6*0.9,"error",IF(T156&gt;$J$6,"error","aceptable"))</f><v /></c><c r="BB156" s="411"><f>(IF(ABS(U156)&lt;1.05,"CONFORME",IF(ABS(AG156)&lt;1.05,"CONFORME",IF(ABS(AS156)&lt;2.55,"CONFORME","NO CONFORME"))))</f><v /></c><c r="BC156" s="412"><f>(IF(ABS(U156)&gt;2.05,"NO CONFORME",IF(ABS(AG156)&gt;2.05,"NO CONFORME",IF(ABS(AS156)&gt;5.05,"NO CONFORME","CONFORME"))))</f><v /></c><c r="BD156" s="413"><f>SIGN(U156)</f><v /></c><c r="BE156" s="413"><f>SIGN(AG156)</f><v /></c><c r="BF156" s="413"><f>SIGN(AS156)</f><v /></c><c r="BG156" s="413"><f>CONCATENATE(BD156,BE156,BF156)</f><v /></c><c r="BH156" s="413"><f>IF(BG156="111","SI","SD")</f><v /></c><c r="BI156" s="413"><f>IF(BG156="-1-1-1","SI","SD")</f><v /></c><c r="BJ156" s="413"><f>OR(BH156="SI",BI156="SI")</f><v /></c><c r="BK156" s="413"><f>IF(BJ156=FALSE,"SIGDIFERENTES","SIGIGUALES")</f><v /></c><c r="BL156" s="410"><f>IF(BC156="NO CONFORME","NO CONFORME",IF(BB156="CONFORME","CONFORME","NO CONFORME"))</f><v /></c></row><row r="157" ht="15" customHeight="1" thickBot="1"><c r="A157" s="351" t="n"><v>149</v></c><c r="B157" s="352"><f>B156</f><v /></c><c r="C157" s="352"><f>C156</f><v /></c><c r="D157" s="353"><f>D156</f><v /></c><c r="E157" s="354"><f>E156</f><v /></c><c r="F157" s="58" t="n" /><c r="G157" s="395" t="inlineStr"><is><t>PA25516849</t></is></c><c r="H157" s="356"><f>H156</f><v /></c><c r="I157" s="232"><f>I156</f><v /></c><c r="J157" s="357" t="n"><v>21.2</v></c><c r="K157" s="358" t="n"><v>8.209</v></c><c r="L157" s="358" t="n"><v>0.529</v></c><c r="M157" s="359" t="n"><v>78.39</v></c><c r="N157" s="359" t="n"><v>179.1</v></c><c r="O157" s="360" t="n"><v>100.39</v></c><c r="P157" s="361" t="inlineStr"><is><t>2,32,090</t></is></c><c r="Q157" s="362"><f>LEFT(P157,1)</f><v /></c><c r="R157" s="362"><f>RIGHT(P157,6)</f><v /></c><c r="S157" s="362"><f>+(Q157*60+R157)/(60*60)</f><v /></c><c r="T157" s="363"><f>+O157/S157</f><v /></c><c r="U157" s="364"><f>+(((N157-M157-O157)/O157)*100)</f><v /></c><c r="V157" s="365" t="n"><v>20.9</v></c><c r="W157" s="366" t="n"><v>1.071</v></c><c r="X157" s="366" t="n"><v>1.065</v></c><c r="Y157" s="359" t="n"><v>183.55</v></c><c r="Z157" s="359" t="n"><v>193.55</v></c><c r="AA157" s="367" t="n"><v>10.01</v></c><c r="AB157" s="368" t="inlineStr"><is><t>22,21,980</t></is></c><c r="AC157" s="362"><f>LEFT(AB157,2)</f><v /></c><c r="AD157" s="362"><f>RIGHT(AB157,6)</f><v /></c><c r="AE157" s="362"><f>+(AC157*60+AD157)/(60*60)</f><v /></c><c r="AF157" s="363"><f>+AA157/AE157</f><v /></c><c r="AG157" s="369"><f>+(((Z157-Y157-AA157)/AA157)*100)</f><v /></c><c r="AH157" s="365" t="n"><v>20.9</v></c><c r="AI157" s="366" t="n"><v>1.074</v></c><c r="AJ157" s="366" t="n"><v>1.064</v></c><c r="AK157" s="359"><f>Z157</f><v /></c><c r="AL157" s="359" t="n"><v>198.56</v></c><c r="AM157" s="370" t="n"><v>5.01</v></c><c r="AN157" s="361" t="inlineStr"><is><t>18,24,480</t></is></c><c r="AO157" s="362"><f>LEFT(AN157,2)</f><v /></c><c r="AP157" s="362"><f>RIGHT(AN157,6)</f><v /></c><c r="AQ157" s="362"><f>+(AO157*60+AP157)/(60*60)</f><v /></c><c r="AR157" s="363"><f>+AM157/AQ157</f><v /></c><c r="AS157" s="369"><f>+(((AL157-AK157-AM157)/AM157)*100)</f><v /></c><c r="AT157" s="371"><f>IF(I157&gt;=1,"NO CONFORME",IF(BK157="SIGDIFERENTES",BC157,BL157))</f><v /></c><c r="AU157" s="372"><f>B157=C157</f><v /></c><c r="AV157" s="372"><f>N157&lt;Y157</f><v /></c><c r="AW157" s="372"><f>Z157&lt;=AK157</f><v /></c><c r="AX157" s="372"><f>IF(I157&gt;=1,"Qcorrecto",IF(AND(AY157="aceptable",AZ157="aceptable",BA157="aceptable"),"Qcorrecto","Qincorrecto"))</f><v /></c><c r="AY157" s="373"><f>IF(AR157&lt;$AH$6,"error",IF(AR157&gt;$AH$6*1.1,"error","aceptable"))</f><v /></c><c r="AZ157" s="373"><f>IF(AF157&lt;$V$6,"error",IF(AF157&gt;$V$6*1.1,"error","aceptable"))</f><v /></c><c r="BA157" s="373"><f>IF(T157&lt;$J$6*0.9,"error",IF(T157&gt;$J$6,"error","aceptable"))</f><v /></c><c r="BB157" s="25"><f>(IF(ABS(U157)&lt;1.05,"CONFORME",IF(ABS(AG157)&lt;1.05,"CONFORME",IF(ABS(AS157)&lt;2.55,"CONFORME","NO CONFORME"))))</f><v /></c><c r="BC157" s="5"><f>(IF(ABS(U157)&gt;2.05,"NO CONFORME",IF(ABS(AG157)&gt;2.05,"NO CONFORME",IF(ABS(AS157)&gt;5.05,"NO CONFORME","CONFORME"))))</f><v /></c><c r="BD157" s="374"><f>SIGN(U157)</f><v /></c><c r="BE157" s="374"><f>SIGN(AG157)</f><v /></c><c r="BF157" s="374"><f>SIGN(AS157)</f><v /></c><c r="BG157" s="374"><f>CONCATENATE(BD157,BE157,BF157)</f><v /></c><c r="BH157" s="374"><f>IF(BG157="111","SI","SD")</f><v /></c><c r="BI157" s="374"><f>IF(BG157="-1-1-1","SI","SD")</f><v /></c><c r="BJ157" s="374"><f>OR(BH157="SI",BI157="SI")</f><v /></c><c r="BK157" s="374"><f>IF(BJ157=FALSE,"SIGDIFERENTES","SIGIGUALES")</f><v /></c><c r="BL157" s="373"><f>IF(BC157="NO CONFORME","NO CONFORME",IF(BB157="CONFORME","CONFORME","NO CONFORME"))</f><v /></c></row><row r="158" ht="15" customHeight="1" thickBot="1"><c r="A158" s="351" t="n"><v>150</v></c><c r="B158" s="375"><f>B157</f><v /></c><c r="C158" s="375"><f>C157</f><v /></c><c r="D158" s="376"><f>D157</f><v /></c><c r="E158" s="377"><f>E157</f><v /></c><c r="F158" s="13" t="n" /><c r="G158" s="446" t="inlineStr"><is><t>PA25516850</t></is></c><c r="H158" s="313"><f>H157</f><v /></c><c r="I158" s="38"><f>I157</f><v /></c><c r="J158" s="314"><f>J157</f><v /></c><c r="K158" s="378"><f>K157</f><v /></c><c r="L158" s="378"><f>L157</f><v /></c><c r="M158" s="379" t="n"><v>78.55</v></c><c r="N158" s="379" t="n"><v>179.55</v></c><c r="O158" s="380"><f>O157</f><v /></c><c r="P158" s="381"><f>P157</f><v /></c><c r="Q158" s="382"><f>LEFT(P158,1)</f><v /></c><c r="R158" s="382"><f>RIGHT(P158,6)</f><v /></c><c r="S158" s="382"><f>+(Q158*60+R158)/(60*60)</f><v /></c><c r="T158" s="383"><f>+O158/S158</f><v /></c><c r="U158" s="384"><f>+(((N158-M158-O158)/O158)*100)</f><v /></c><c r="V158" s="317"><f>V157</f><v /></c><c r="W158" s="385"><f>W157</f><v /></c><c r="X158" s="385"><f>X157</f><v /></c><c r="Y158" s="379" t="n"><v>184</v></c><c r="Z158" s="379" t="n"><v>193.96</v></c><c r="AA158" s="386"><f>AA157</f><v /></c><c r="AB158" s="387"><f>AB157</f><v /></c><c r="AC158" s="382"><f>LEFT(AB158,2)</f><v /></c><c r="AD158" s="382"><f>RIGHT(AB158,6)</f><v /></c><c r="AE158" s="382"><f>+(AC158*60+AD158)/(60*60)</f><v /></c><c r="AF158" s="383"><f>+AA158/AE158</f><v /></c><c r="AG158" s="321"><f>+(((Z158-Y158-AA158)/AA158)*100)</f><v /></c><c r="AH158" s="317"><f>AH157</f><v /></c><c r="AI158" s="385"><f>AI157</f><v /></c><c r="AJ158" s="385"><f>AJ157</f><v /></c><c r="AK158" s="379"><f>Z158</f><v /></c><c r="AL158" s="379" t="n"><v>199</v></c><c r="AM158" s="388"><f>AM157</f><v /></c><c r="AN158" s="381"><f>AN157</f><v /></c><c r="AO158" s="382"><f>LEFT(AN158,2)</f><v /></c><c r="AP158" s="382"><f>RIGHT(AN158,6)</f><v /></c><c r="AQ158" s="382"><f>+(AO158*60+AP158)/(60*60)</f><v /></c><c r="AR158" s="383"><f>+AM158/AQ158</f><v /></c><c r="AS158" s="321"><f>+(((AL158-AK158-AM158)/AM158)*100)</f><v /></c><c r="AT158" s="389"><f>IF(I158&gt;=1,"NO CONFORME",IF(BK158="SIGDIFERENTES",BC158,BL158))</f><v /></c><c r="AU158" s="372"><f>B158=C158</f><v /></c><c r="AV158" s="372"><f>N158&lt;Y158</f><v /></c><c r="AW158" s="372"><f>Z158&lt;=AK158</f><v /></c><c r="AX158" s="372"><f>IF(I158&gt;=1,"Qcorrecto",IF(AND(AY158="aceptable",AZ158="aceptable",BA158="aceptable"),"Qcorrecto","Qincorrecto"))</f><v /></c><c r="AY158" s="390"><f>IF(AR158&lt;$AH$6,"error",IF(AR158&gt;$AH$6*1.1,"error","aceptable"))</f><v /></c><c r="AZ158" s="390"><f>IF(AF158&lt;$V$6,"error",IF(AF158&gt;$V$6*1.1,"error","aceptable"))</f><v /></c><c r="BA158" s="390"><f>IF(T158&lt;$J$6*0.9,"error",IF(T158&gt;$J$6,"error","aceptable"))</f><v /></c><c r="BB158" s="25"><f>(IF(ABS(U158)&lt;1.05,"CONFORME",IF(ABS(AG158)&lt;1.05,"CONFORME",IF(ABS(AS158)&lt;2.55,"CONFORME","NO CONFORME"))))</f><v /></c><c r="BC158" s="5"><f>(IF(ABS(U158)&gt;2.05,"NO CONFORME",IF(ABS(AG158)&gt;2.05,"NO CONFORME",IF(ABS(AS158)&gt;5.05,"NO CONFORME","CONFORME"))))</f><v /></c><c r="BD158" s="374"><f>SIGN(U158)</f><v /></c><c r="BE158" s="374"><f>SIGN(AG158)</f><v /></c><c r="BF158" s="374"><f>SIGN(AS158)</f><v /></c><c r="BG158" s="374"><f>CONCATENATE(BD158,BE158,BF158)</f><v /></c><c r="BH158" s="374"><f>IF(BG158="111","SI","SD")</f><v /></c><c r="BI158" s="374"><f>IF(BG158="-1-1-1","SI","SD")</f><v /></c><c r="BJ158" s="374"><f>OR(BH158="SI",BI158="SI")</f><v /></c><c r="BK158" s="374"><f>IF(BJ158=FALSE,"SIGDIFERENTES","SIGIGUALES")</f><v /></c><c r="BL158" s="390"><f>IF(BC158="NO CONFORME","NO CONFORME",IF(BB158="CONFORME","CONFORME","NO CONFORME"))</f><v /></c></row><row r="159" ht="15" customHeight="1" thickBot="1"><c r="A159" s="351" t="n"><v>151</v></c><c r="B159" s="375"><f>B158</f><v /></c><c r="C159" s="375"><f>C158</f><v /></c><c r="D159" s="376"><f>D158</f><v /></c><c r="E159" s="377"><f>E158</f><v /></c><c r="F159" s="13" t="n" /><c r="G159" s="446" t="inlineStr"><is><t>PA25516851</t></is></c><c r="H159" s="313"><f>H158</f><v /></c><c r="I159" s="38"><f>I158</f><v /></c><c r="J159" s="314"><f>J158</f><v /></c><c r="K159" s="378"><f>K158</f><v /></c><c r="L159" s="378"><f>L158</f><v /></c><c r="M159" s="379" t="n"><v>79.31</v></c><c r="N159" s="379" t="n"><v>180.15</v></c><c r="O159" s="380"><f>O158</f><v /></c><c r="P159" s="381"><f>P158</f><v /></c><c r="Q159" s="382"><f>LEFT(P159,1)</f><v /></c><c r="R159" s="382"><f>RIGHT(P159,6)</f><v /></c><c r="S159" s="382"><f>+(Q159*60+R159)/(60*60)</f><v /></c><c r="T159" s="383"><f>+O159/S159</f><v /></c><c r="U159" s="384"><f>+(((N159-M159-O159)/O159)*100)</f><v /></c><c r="V159" s="317"><f>V158</f><v /></c><c r="W159" s="385"><f>W158</f><v /></c><c r="X159" s="385"><f>X158</f><v /></c><c r="Y159" s="379" t="n"><v>184.6</v></c><c r="Z159" s="379" t="n"><v>194.61</v></c><c r="AA159" s="386"><f>AA158</f><v /></c><c r="AB159" s="387"><f>AB158</f><v /></c><c r="AC159" s="382"><f>LEFT(AB159,2)</f><v /></c><c r="AD159" s="382"><f>RIGHT(AB159,6)</f><v /></c><c r="AE159" s="382"><f>+(AC159*60+AD159)/(60*60)</f><v /></c><c r="AF159" s="383"><f>+AA159/AE159</f><v /></c><c r="AG159" s="321"><f>+(((Z159-Y159-AA159)/AA159)*100)</f><v /></c><c r="AH159" s="317"><f>AH158</f><v /></c><c r="AI159" s="385"><f>AI158</f><v /></c><c r="AJ159" s="385"><f>AJ158</f><v /></c><c r="AK159" s="379"><f>Z159</f><v /></c><c r="AL159" s="379" t="n"><v>199.59</v></c><c r="AM159" s="388"><f>AM158</f><v /></c><c r="AN159" s="381"><f>AN158</f><v /></c><c r="AO159" s="382"><f>LEFT(AN159,2)</f><v /></c><c r="AP159" s="382"><f>RIGHT(AN159,6)</f><v /></c><c r="AQ159" s="382"><f>+(AO159*60+AP159)/(60*60)</f><v /></c><c r="AR159" s="383"><f>+AM159/AQ159</f><v /></c><c r="AS159" s="321"><f>+(((AL159-AK159-AM159)/AM159)*100)</f><v /></c><c r="AT159" s="389"><f>IF(I159&gt;=1,"NO CONFORME",IF(BK159="SIGDIFERENTES",BC159,BL159))</f><v /></c><c r="AU159" s="372"><f>B159=C159</f><v /></c><c r="AV159" s="372"><f>N159&lt;Y159</f><v /></c><c r="AW159" s="372"><f>Z159&lt;=AK159</f><v /></c><c r="AX159" s="372"><f>IF(I159&gt;=1,"Qcorrecto",IF(AND(AY159="aceptable",AZ159="aceptable",BA159="aceptable"),"Qcorrecto","Qincorrecto"))</f><v /></c><c r="AY159" s="390"><f>IF(AR159&lt;$AH$6,"error",IF(AR159&gt;$AH$6*1.1,"error","aceptable"))</f><v /></c><c r="AZ159" s="390"><f>IF(AF159&lt;$V$6,"error",IF(AF159&gt;$V$6*1.1,"error","aceptable"))</f><v /></c><c r="BA159" s="390"><f>IF(T159&lt;$J$6*0.9,"error",IF(T159&gt;$J$6,"error","aceptable"))</f><v /></c><c r="BB159" s="25"><f>(IF(ABS(U159)&lt;1.05,"CONFORME",IF(ABS(AG159)&lt;1.05,"CONFORME",IF(ABS(AS159)&lt;2.55,"CONFORME","NO CONFORME"))))</f><v /></c><c r="BC159" s="5"><f>(IF(ABS(U159)&gt;2.05,"NO CONFORME",IF(ABS(AG159)&gt;2.05,"NO CONFORME",IF(ABS(AS159)&gt;5.05,"NO CONFORME","CONFORME"))))</f><v /></c><c r="BD159" s="374"><f>SIGN(U159)</f><v /></c><c r="BE159" s="374"><f>SIGN(AG159)</f><v /></c><c r="BF159" s="374"><f>SIGN(AS159)</f><v /></c><c r="BG159" s="374"><f>CONCATENATE(BD159,BE159,BF159)</f><v /></c><c r="BH159" s="374"><f>IF(BG159="111","SI","SD")</f><v /></c><c r="BI159" s="374"><f>IF(BG159="-1-1-1","SI","SD")</f><v /></c><c r="BJ159" s="374"><f>OR(BH159="SI",BI159="SI")</f><v /></c><c r="BK159" s="374"><f>IF(BJ159=FALSE,"SIGDIFERENTES","SIGIGUALES")</f><v /></c><c r="BL159" s="390"><f>IF(BC159="NO CONFORME","NO CONFORME",IF(BB159="CONFORME","CONFORME","NO CONFORME"))</f><v /></c></row><row r="160" ht="15" customHeight="1" thickBot="1"><c r="A160" s="351" t="n"><v>152</v></c><c r="B160" s="375"><f>B159</f><v /></c><c r="C160" s="375"><f>C159</f><v /></c><c r="D160" s="376"><f>D159</f><v /></c><c r="E160" s="377"><f>E159</f><v /></c><c r="F160" s="13" t="n" /><c r="G160" s="446" t="inlineStr"><is><t>PA25516852</t></is></c><c r="H160" s="313"><f>H159</f><v /></c><c r="I160" s="38"><f>I159</f><v /></c><c r="J160" s="314"><f>J159</f><v /></c><c r="K160" s="378"><f>K159</f><v /></c><c r="L160" s="378"><f>L159</f><v /></c><c r="M160" s="379" t="n"><v>75.23999999999999</v></c><c r="N160" s="379" t="n"><v>175</v></c><c r="O160" s="380"><f>O159</f><v /></c><c r="P160" s="381"><f>P159</f><v /></c><c r="Q160" s="382"><f>LEFT(P160,1)</f><v /></c><c r="R160" s="382"><f>RIGHT(P160,6)</f><v /></c><c r="S160" s="382"><f>+(Q160*60+R160)/(60*60)</f><v /></c><c r="T160" s="383"><f>+O160/S160</f><v /></c><c r="U160" s="384"><f>+(((N160-M160-O160)/O160)*100)</f><v /></c><c r="V160" s="317"><f>V159</f><v /></c><c r="W160" s="385"><f>W159</f><v /></c><c r="X160" s="385"><f>X159</f><v /></c><c r="Y160" s="379" t="n"><v>179.4</v></c><c r="Z160" s="379" t="n"><v>189.36</v></c><c r="AA160" s="386"><f>AA159</f><v /></c><c r="AB160" s="387"><f>AB159</f><v /></c><c r="AC160" s="382"><f>LEFT(AB160,2)</f><v /></c><c r="AD160" s="382"><f>RIGHT(AB160,6)</f><v /></c><c r="AE160" s="382"><f>+(AC160*60+AD160)/(60*60)</f><v /></c><c r="AF160" s="383"><f>+AA160/AE160</f><v /></c><c r="AG160" s="321"><f>+(((Z160-Y160-AA160)/AA160)*100)</f><v /></c><c r="AH160" s="317"><f>AH159</f><v /></c><c r="AI160" s="385"><f>AI159</f><v /></c><c r="AJ160" s="385"><f>AJ159</f><v /></c><c r="AK160" s="379"><f>Z160</f><v /></c><c r="AL160" s="379" t="n"><v>194.32</v></c><c r="AM160" s="388"><f>AM159</f><v /></c><c r="AN160" s="381"><f>AN159</f><v /></c><c r="AO160" s="382"><f>LEFT(AN160,2)</f><v /></c><c r="AP160" s="382"><f>RIGHT(AN160,6)</f><v /></c><c r="AQ160" s="382"><f>+(AO160*60+AP160)/(60*60)</f><v /></c><c r="AR160" s="383"><f>+AM160/AQ160</f><v /></c><c r="AS160" s="321"><f>+(((AL160-AK160-AM160)/AM160)*100)</f><v /></c><c r="AT160" s="389"><f>IF(I160&gt;=1,"NO CONFORME",IF(BK160="SIGDIFERENTES",BC160,BL160))</f><v /></c><c r="AU160" s="372"><f>B160=C160</f><v /></c><c r="AV160" s="372"><f>N160&lt;Y160</f><v /></c><c r="AW160" s="372"><f>Z160&lt;=AK160</f><v /></c><c r="AX160" s="372"><f>IF(I160&gt;=1,"Qcorrecto",IF(AND(AY160="aceptable",AZ160="aceptable",BA160="aceptable"),"Qcorrecto","Qincorrecto"))</f><v /></c><c r="AY160" s="390"><f>IF(AR160&lt;$AH$6,"error",IF(AR160&gt;$AH$6*1.1,"error","aceptable"))</f><v /></c><c r="AZ160" s="390"><f>IF(AF160&lt;$V$6,"error",IF(AF160&gt;$V$6*1.1,"error","aceptable"))</f><v /></c><c r="BA160" s="390"><f>IF(T160&lt;$J$6*0.9,"error",IF(T160&gt;$J$6,"error","aceptable"))</f><v /></c><c r="BB160" s="25"><f>(IF(ABS(U160)&lt;1.05,"CONFORME",IF(ABS(AG160)&lt;1.05,"CONFORME",IF(ABS(AS160)&lt;2.55,"CONFORME","NO CONFORME"))))</f><v /></c><c r="BC160" s="5"><f>(IF(ABS(U160)&gt;2.05,"NO CONFORME",IF(ABS(AG160)&gt;2.05,"NO CONFORME",IF(ABS(AS160)&gt;5.05,"NO CONFORME","CONFORME"))))</f><v /></c><c r="BD160" s="374"><f>SIGN(U160)</f><v /></c><c r="BE160" s="374"><f>SIGN(AG160)</f><v /></c><c r="BF160" s="374"><f>SIGN(AS160)</f><v /></c><c r="BG160" s="374"><f>CONCATENATE(BD160,BE160,BF160)</f><v /></c><c r="BH160" s="374"><f>IF(BG160="111","SI","SD")</f><v /></c><c r="BI160" s="374"><f>IF(BG160="-1-1-1","SI","SD")</f><v /></c><c r="BJ160" s="374"><f>OR(BH160="SI",BI160="SI")</f><v /></c><c r="BK160" s="374"><f>IF(BJ160=FALSE,"SIGDIFERENTES","SIGIGUALES")</f><v /></c><c r="BL160" s="390"><f>IF(BC160="NO CONFORME","NO CONFORME",IF(BB160="CONFORME","CONFORME","NO CONFORME"))</f><v /></c></row><row r="161" ht="15" customHeight="1" thickBot="1"><c r="A161" s="351" t="n"><v>153</v></c><c r="B161" s="375"><f>B160</f><v /></c><c r="C161" s="375"><f>C160</f><v /></c><c r="D161" s="376"><f>D160</f><v /></c><c r="E161" s="377"><f>E160</f><v /></c><c r="F161" s="13" t="n" /><c r="G161" s="446" t="inlineStr"><is><t>PA25516853</t></is></c><c r="H161" s="313"><f>H160</f><v /></c><c r="I161" s="38"><f>I160</f><v /></c><c r="J161" s="314"><f>J160</f><v /></c><c r="K161" s="378"><f>K160</f><v /></c><c r="L161" s="378"><f>L160</f><v /></c><c r="M161" s="379" t="n"><v>76.16</v></c><c r="N161" s="379" t="n"><v>176.29</v></c><c r="O161" s="380"><f>O160</f><v /></c><c r="P161" s="381"><f>P160</f><v /></c><c r="Q161" s="382"><f>LEFT(P161,1)</f><v /></c><c r="R161" s="382"><f>RIGHT(P161,6)</f><v /></c><c r="S161" s="382"><f>+(Q161*60+R161)/(60*60)</f><v /></c><c r="T161" s="383"><f>+O161/S161</f><v /></c><c r="U161" s="384"><f>+(((N161-M161-O161)/O161)*100)</f><v /></c><c r="V161" s="317"><f>V160</f><v /></c><c r="W161" s="385"><f>W160</f><v /></c><c r="X161" s="385"><f>X160</f><v /></c><c r="Y161" s="379" t="n"><v>180.69</v></c><c r="Z161" s="379" t="n"><v>190.62</v></c><c r="AA161" s="386"><f>AA160</f><v /></c><c r="AB161" s="387"><f>AB160</f><v /></c><c r="AC161" s="382"><f>LEFT(AB161,2)</f><v /></c><c r="AD161" s="382"><f>RIGHT(AB161,6)</f><v /></c><c r="AE161" s="382"><f>+(AC161*60+AD161)/(60*60)</f><v /></c><c r="AF161" s="383"><f>+AA161/AE161</f><v /></c><c r="AG161" s="321"><f>+(((Z161-Y161-AA161)/AA161)*100)</f><v /></c><c r="AH161" s="317"><f>AH160</f><v /></c><c r="AI161" s="385"><f>AI160</f><v /></c><c r="AJ161" s="385"><f>AJ160</f><v /></c><c r="AK161" s="379"><f>Z161</f><v /></c><c r="AL161" s="379" t="n"><v>195.6</v></c><c r="AM161" s="388"><f>AM160</f><v /></c><c r="AN161" s="381"><f>AN160</f><v /></c><c r="AO161" s="382"><f>LEFT(AN161,2)</f><v /></c><c r="AP161" s="382"><f>RIGHT(AN161,6)</f><v /></c><c r="AQ161" s="382"><f>+(AO161*60+AP161)/(60*60)</f><v /></c><c r="AR161" s="383"><f>+AM161/AQ161</f><v /></c><c r="AS161" s="321"><f>+(((AL161-AK161-AM161)/AM161)*100)</f><v /></c><c r="AT161" s="389"><f>IF(I161&gt;=1,"NO CONFORME",IF(BK161="SIGDIFERENTES",BC161,BL161))</f><v /></c><c r="AU161" s="372"><f>B161=C161</f><v /></c><c r="AV161" s="372"><f>N161&lt;Y161</f><v /></c><c r="AW161" s="372"><f>Z161&lt;=AK161</f><v /></c><c r="AX161" s="372"><f>IF(I161&gt;=1,"Qcorrecto",IF(AND(AY161="aceptable",AZ161="aceptable",BA161="aceptable"),"Qcorrecto","Qincorrecto"))</f><v /></c><c r="AY161" s="390"><f>IF(AR161&lt;$AH$6,"error",IF(AR161&gt;$AH$6*1.1,"error","aceptable"))</f><v /></c><c r="AZ161" s="390"><f>IF(AF161&lt;$V$6,"error",IF(AF161&gt;$V$6*1.1,"error","aceptable"))</f><v /></c><c r="BA161" s="390"><f>IF(T161&lt;$J$6*0.9,"error",IF(T161&gt;$J$6,"error","aceptable"))</f><v /></c><c r="BB161" s="25"><f>(IF(ABS(U161)&lt;1.05,"CONFORME",IF(ABS(AG161)&lt;1.05,"CONFORME",IF(ABS(AS161)&lt;2.55,"CONFORME","NO CONFORME"))))</f><v /></c><c r="BC161" s="5"><f>(IF(ABS(U161)&gt;2.05,"NO CONFORME",IF(ABS(AG161)&gt;2.05,"NO CONFORME",IF(ABS(AS161)&gt;5.05,"NO CONFORME","CONFORME"))))</f><v /></c><c r="BD161" s="374"><f>SIGN(U161)</f><v /></c><c r="BE161" s="374"><f>SIGN(AG161)</f><v /></c><c r="BF161" s="374"><f>SIGN(AS161)</f><v /></c><c r="BG161" s="374"><f>CONCATENATE(BD161,BE161,BF161)</f><v /></c><c r="BH161" s="374"><f>IF(BG161="111","SI","SD")</f><v /></c><c r="BI161" s="374"><f>IF(BG161="-1-1-1","SI","SD")</f><v /></c><c r="BJ161" s="374"><f>OR(BH161="SI",BI161="SI")</f><v /></c><c r="BK161" s="374"><f>IF(BJ161=FALSE,"SIGDIFERENTES","SIGIGUALES")</f><v /></c><c r="BL161" s="390"><f>IF(BC161="NO CONFORME","NO CONFORME",IF(BB161="CONFORME","CONFORME","NO CONFORME"))</f><v /></c></row><row r="162" ht="15" customHeight="1" thickBot="1"><c r="A162" s="351" t="n"><v>154</v></c><c r="B162" s="375"><f>B161</f><v /></c><c r="C162" s="375"><f>C161</f><v /></c><c r="D162" s="376"><f>D161</f><v /></c><c r="E162" s="377"><f>E161</f><v /></c><c r="F162" s="13" t="n" /><c r="G162" s="446" t="inlineStr"><is><t>PA25516854</t></is></c><c r="H162" s="313"><f>H161</f><v /></c><c r="I162" s="38"><f>I161</f><v /></c><c r="J162" s="314"><f>J161</f><v /></c><c r="K162" s="378"><f>K161</f><v /></c><c r="L162" s="378"><f>L161</f><v /></c><c r="M162" s="379" t="n"><v>76.56</v></c><c r="N162" s="379" t="n"><v>177.1</v></c><c r="O162" s="380"><f>O161</f><v /></c><c r="P162" s="381"><f>P161</f><v /></c><c r="Q162" s="382"><f>LEFT(P162,1)</f><v /></c><c r="R162" s="382"><f>RIGHT(P162,6)</f><v /></c><c r="S162" s="382"><f>+(Q162*60+R162)/(60*60)</f><v /></c><c r="T162" s="383"><f>+O162/S162</f><v /></c><c r="U162" s="384"><f>+(((N162-M162-O162)/O162)*100)</f><v /></c><c r="V162" s="317"><f>V161</f><v /></c><c r="W162" s="385"><f>W161</f><v /></c><c r="X162" s="385"><f>X161</f><v /></c><c r="Y162" s="379" t="n"><v>181.55</v></c><c r="Z162" s="379" t="n"><v>191.52</v></c><c r="AA162" s="386"><f>AA161</f><v /></c><c r="AB162" s="387"><f>AB161</f><v /></c><c r="AC162" s="382"><f>LEFT(AB162,2)</f><v /></c><c r="AD162" s="382"><f>RIGHT(AB162,6)</f><v /></c><c r="AE162" s="382"><f>+(AC162*60+AD162)/(60*60)</f><v /></c><c r="AF162" s="383"><f>+AA162/AE162</f><v /></c><c r="AG162" s="321"><f>+(((Z162-Y162-AA162)/AA162)*100)</f><v /></c><c r="AH162" s="317"><f>AH161</f><v /></c><c r="AI162" s="385"><f>AI161</f><v /></c><c r="AJ162" s="385"><f>AJ161</f><v /></c><c r="AK162" s="379"><f>Z162</f><v /></c><c r="AL162" s="379" t="n"><v>196.48</v></c><c r="AM162" s="388"><f>AM161</f><v /></c><c r="AN162" s="381"><f>AN161</f><v /></c><c r="AO162" s="382"><f>LEFT(AN162,2)</f><v /></c><c r="AP162" s="382"><f>RIGHT(AN162,6)</f><v /></c><c r="AQ162" s="382"><f>+(AO162*60+AP162)/(60*60)</f><v /></c><c r="AR162" s="383"><f>+AM162/AQ162</f><v /></c><c r="AS162" s="321"><f>+(((AL162-AK162-AM162)/AM162)*100)</f><v /></c><c r="AT162" s="389"><f>IF(I162&gt;=1,"NO CONFORME",IF(BK162="SIGDIFERENTES",BC162,BL162))</f><v /></c><c r="AU162" s="372"><f>B162=C162</f><v /></c><c r="AV162" s="372"><f>N162&lt;Y162</f><v /></c><c r="AW162" s="372"><f>Z162&lt;=AK162</f><v /></c><c r="AX162" s="372"><f>IF(I162&gt;=1,"Qcorrecto",IF(AND(AY162="aceptable",AZ162="aceptable",BA162="aceptable"),"Qcorrecto","Qincorrecto"))</f><v /></c><c r="AY162" s="390"><f>IF(AR162&lt;$AH$6,"error",IF(AR162&gt;$AH$6*1.1,"error","aceptable"))</f><v /></c><c r="AZ162" s="390"><f>IF(AF162&lt;$V$6,"error",IF(AF162&gt;$V$6*1.1,"error","aceptable"))</f><v /></c><c r="BA162" s="390"><f>IF(T162&lt;$J$6*0.9,"error",IF(T162&gt;$J$6,"error","aceptable"))</f><v /></c><c r="BB162" s="25"><f>(IF(ABS(U162)&lt;1.05,"CONFORME",IF(ABS(AG162)&lt;1.05,"CONFORME",IF(ABS(AS162)&lt;2.55,"CONFORME","NO CONFORME"))))</f><v /></c><c r="BC162" s="5"><f>(IF(ABS(U162)&gt;2.05,"NO CONFORME",IF(ABS(AG162)&gt;2.05,"NO CONFORME",IF(ABS(AS162)&gt;5.05,"NO CONFORME","CONFORME"))))</f><v /></c><c r="BD162" s="374"><f>SIGN(U162)</f><v /></c><c r="BE162" s="374"><f>SIGN(AG162)</f><v /></c><c r="BF162" s="374"><f>SIGN(AS162)</f><v /></c><c r="BG162" s="374"><f>CONCATENATE(BD162,BE162,BF162)</f><v /></c><c r="BH162" s="374"><f>IF(BG162="111","SI","SD")</f><v /></c><c r="BI162" s="374"><f>IF(BG162="-1-1-1","SI","SD")</f><v /></c><c r="BJ162" s="374"><f>OR(BH162="SI",BI162="SI")</f><v /></c><c r="BK162" s="374"><f>IF(BJ162=FALSE,"SIGDIFERENTES","SIGIGUALES")</f><v /></c><c r="BL162" s="390"><f>IF(BC162="NO CONFORME","NO CONFORME",IF(BB162="CONFORME","CONFORME","NO CONFORME"))</f><v /></c></row><row r="163" ht="15" customHeight="1" thickBot="1"><c r="A163" s="351" t="n"><v>155</v></c><c r="B163" s="375"><f>B162</f><v /></c><c r="C163" s="375"><f>C162</f><v /></c><c r="D163" s="376"><f>D162</f><v /></c><c r="E163" s="377"><f>E162</f><v /></c><c r="F163" s="13" t="n" /><c r="G163" s="446" t="inlineStr"><is><t>PA25516855</t></is></c><c r="H163" s="313"><f>H162</f><v /></c><c r="I163" s="38"><f>I162</f><v /></c><c r="J163" s="314"><f>J162</f><v /></c><c r="K163" s="378"><f>K162</f><v /></c><c r="L163" s="378"><f>L162</f><v /></c><c r="M163" s="379" t="n"><v>76.25</v></c><c r="N163" s="379" t="n"><v>176.45</v></c><c r="O163" s="380"><f>O162</f><v /></c><c r="P163" s="381"><f>P162</f><v /></c><c r="Q163" s="382"><f>LEFT(P163,1)</f><v /></c><c r="R163" s="382"><f>RIGHT(P163,6)</f><v /></c><c r="S163" s="382"><f>+(Q163*60+R163)/(60*60)</f><v /></c><c r="T163" s="383"><f>+O163/S163</f><v /></c><c r="U163" s="384"><f>+(((N163-M163-O163)/O163)*100)</f><v /></c><c r="V163" s="317"><f>V162</f><v /></c><c r="W163" s="385"><f>W162</f><v /></c><c r="X163" s="385"><f>X162</f><v /></c><c r="Y163" s="379" t="n"><v>180.9</v></c><c r="Z163" s="379" t="n"><v>190.86</v></c><c r="AA163" s="386"><f>AA162</f><v /></c><c r="AB163" s="387"><f>AB162</f><v /></c><c r="AC163" s="382"><f>LEFT(AB163,2)</f><v /></c><c r="AD163" s="382"><f>RIGHT(AB163,6)</f><v /></c><c r="AE163" s="382"><f>+(AC163*60+AD163)/(60*60)</f><v /></c><c r="AF163" s="383"><f>+AA163/AE163</f><v /></c><c r="AG163" s="321"><f>+(((Z163-Y163-AA163)/AA163)*100)</f><v /></c><c r="AH163" s="317"><f>AH162</f><v /></c><c r="AI163" s="385"><f>AI162</f><v /></c><c r="AJ163" s="385"><f>AJ162</f><v /></c><c r="AK163" s="379"><f>Z163</f><v /></c><c r="AL163" s="379" t="n"><v>195.85</v></c><c r="AM163" s="388"><f>AM162</f><v /></c><c r="AN163" s="381"><f>AN162</f><v /></c><c r="AO163" s="382"><f>LEFT(AN163,2)</f><v /></c><c r="AP163" s="382"><f>RIGHT(AN163,6)</f><v /></c><c r="AQ163" s="382"><f>+(AO163*60+AP163)/(60*60)</f><v /></c><c r="AR163" s="383"><f>+AM163/AQ163</f><v /></c><c r="AS163" s="321"><f>+(((AL163-AK163-AM163)/AM163)*100)</f><v /></c><c r="AT163" s="389"><f>IF(I163&gt;=1,"NO CONFORME",IF(BK163="SIGDIFERENTES",BC163,BL163))</f><v /></c><c r="AU163" s="372"><f>B163=C163</f><v /></c><c r="AV163" s="372"><f>N163&lt;Y163</f><v /></c><c r="AW163" s="372"><f>Z163&lt;=AK163</f><v /></c><c r="AX163" s="372"><f>IF(I163&gt;=1,"Qcorrecto",IF(AND(AY163="aceptable",AZ163="aceptable",BA163="aceptable"),"Qcorrecto","Qincorrecto"))</f><v /></c><c r="AY163" s="390"><f>IF(AR163&lt;$AH$6,"error",IF(AR163&gt;$AH$6*1.1,"error","aceptable"))</f><v /></c><c r="AZ163" s="390"><f>IF(AF163&lt;$V$6,"error",IF(AF163&gt;$V$6*1.1,"error","aceptable"))</f><v /></c><c r="BA163" s="390"><f>IF(T163&lt;$J$6*0.9,"error",IF(T163&gt;$J$6,"error","aceptable"))</f><v /></c><c r="BB163" s="25"><f>(IF(ABS(U163)&lt;1.05,"CONFORME",IF(ABS(AG163)&lt;1.05,"CONFORME",IF(ABS(AS163)&lt;2.55,"CONFORME","NO CONFORME"))))</f><v /></c><c r="BC163" s="5"><f>(IF(ABS(U163)&gt;2.05,"NO CONFORME",IF(ABS(AG163)&gt;2.05,"NO CONFORME",IF(ABS(AS163)&gt;5.05,"NO CONFORME","CONFORME"))))</f><v /></c><c r="BD163" s="374"><f>SIGN(U163)</f><v /></c><c r="BE163" s="374"><f>SIGN(AG163)</f><v /></c><c r="BF163" s="374"><f>SIGN(AS163)</f><v /></c><c r="BG163" s="374"><f>CONCATENATE(BD163,BE163,BF163)</f><v /></c><c r="BH163" s="374"><f>IF(BG163="111","SI","SD")</f><v /></c><c r="BI163" s="374"><f>IF(BG163="-1-1-1","SI","SD")</f><v /></c><c r="BJ163" s="374"><f>OR(BH163="SI",BI163="SI")</f><v /></c><c r="BK163" s="374"><f>IF(BJ163=FALSE,"SIGDIFERENTES","SIGIGUALES")</f><v /></c><c r="BL163" s="390"><f>IF(BC163="NO CONFORME","NO CONFORME",IF(BB163="CONFORME","CONFORME","NO CONFORME"))</f><v /></c></row><row r="164" ht="15" customHeight="1" thickBot="1"><c r="A164" s="351" t="n"><v>156</v></c><c r="B164" s="375"><f>B163</f><v /></c><c r="C164" s="375"><f>C163</f><v /></c><c r="D164" s="376"><f>D163</f><v /></c><c r="E164" s="377"><f>E163</f><v /></c><c r="F164" s="13" t="n" /><c r="G164" s="446" t="inlineStr"><is><t>PA25516856</t></is></c><c r="H164" s="313"><f>H163</f><v /></c><c r="I164" s="38"><f>I163</f><v /></c><c r="J164" s="314"><f>J163</f><v /></c><c r="K164" s="378"><f>K163</f><v /></c><c r="L164" s="378"><f>L163</f><v /></c><c r="M164" s="379" t="n"><v>75.81</v></c><c r="N164" s="379" t="n"><v>176.1</v></c><c r="O164" s="380"><f>O163</f><v /></c><c r="P164" s="381"><f>P163</f><v /></c><c r="Q164" s="382"><f>LEFT(P164,1)</f><v /></c><c r="R164" s="382"><f>RIGHT(P164,6)</f><v /></c><c r="S164" s="382"><f>+(Q164*60+R164)/(60*60)</f><v /></c><c r="T164" s="383"><f>+O164/S164</f><v /></c><c r="U164" s="384"><f>+(((N164-M164-O164)/O164)*100)</f><v /></c><c r="V164" s="317"><f>V163</f><v /></c><c r="W164" s="385"><f>W163</f><v /></c><c r="X164" s="385"><f>X163</f><v /></c><c r="Y164" s="379" t="n"><v>180.55</v></c><c r="Z164" s="379" t="n"><v>190.42</v></c><c r="AA164" s="386"><f>AA163</f><v /></c><c r="AB164" s="387"><f>AB163</f><v /></c><c r="AC164" s="382"><f>LEFT(AB164,2)</f><v /></c><c r="AD164" s="382"><f>RIGHT(AB164,6)</f><v /></c><c r="AE164" s="382"><f>+(AC164*60+AD164)/(60*60)</f><v /></c><c r="AF164" s="383"><f>+AA164/AE164</f><v /></c><c r="AG164" s="321"><f>+(((Z164-Y164-AA164)/AA164)*100)</f><v /></c><c r="AH164" s="317"><f>AH163</f><v /></c><c r="AI164" s="385"><f>AI163</f><v /></c><c r="AJ164" s="385"><f>AJ163</f><v /></c><c r="AK164" s="379"><f>Z164</f><v /></c><c r="AL164" s="379" t="n"><v>195.36</v></c><c r="AM164" s="388"><f>AM163</f><v /></c><c r="AN164" s="381"><f>AN163</f><v /></c><c r="AO164" s="382"><f>LEFT(AN164,2)</f><v /></c><c r="AP164" s="382"><f>RIGHT(AN164,6)</f><v /></c><c r="AQ164" s="382"><f>+(AO164*60+AP164)/(60*60)</f><v /></c><c r="AR164" s="383"><f>+AM164/AQ164</f><v /></c><c r="AS164" s="321"><f>+(((AL164-AK164-AM164)/AM164)*100)</f><v /></c><c r="AT164" s="389"><f>IF(I164&gt;=1,"NO CONFORME",IF(BK164="SIGDIFERENTES",BC164,BL164))</f><v /></c><c r="AU164" s="372"><f>B164=C164</f><v /></c><c r="AV164" s="372"><f>N164&lt;Y164</f><v /></c><c r="AW164" s="372"><f>Z164&lt;=AK164</f><v /></c><c r="AX164" s="372"><f>IF(I164&gt;=1,"Qcorrecto",IF(AND(AY164="aceptable",AZ164="aceptable",BA164="aceptable"),"Qcorrecto","Qincorrecto"))</f><v /></c><c r="AY164" s="390"><f>IF(AR164&lt;$AH$6,"error",IF(AR164&gt;$AH$6*1.1,"error","aceptable"))</f><v /></c><c r="AZ164" s="390"><f>IF(AF164&lt;$V$6,"error",IF(AF164&gt;$V$6*1.1,"error","aceptable"))</f><v /></c><c r="BA164" s="390"><f>IF(T164&lt;$J$6*0.9,"error",IF(T164&gt;$J$6,"error","aceptable"))</f><v /></c><c r="BB164" s="25"><f>(IF(ABS(U164)&lt;1.05,"CONFORME",IF(ABS(AG164)&lt;1.05,"CONFORME",IF(ABS(AS164)&lt;2.55,"CONFORME","NO CONFORME"))))</f><v /></c><c r="BC164" s="5"><f>(IF(ABS(U164)&gt;2.05,"NO CONFORME",IF(ABS(AG164)&gt;2.05,"NO CONFORME",IF(ABS(AS164)&gt;5.05,"NO CONFORME","CONFORME"))))</f><v /></c><c r="BD164" s="374"><f>SIGN(U164)</f><v /></c><c r="BE164" s="374"><f>SIGN(AG164)</f><v /></c><c r="BF164" s="374"><f>SIGN(AS164)</f><v /></c><c r="BG164" s="374"><f>CONCATENATE(BD164,BE164,BF164)</f><v /></c><c r="BH164" s="374"><f>IF(BG164="111","SI","SD")</f><v /></c><c r="BI164" s="374"><f>IF(BG164="-1-1-1","SI","SD")</f><v /></c><c r="BJ164" s="374"><f>OR(BH164="SI",BI164="SI")</f><v /></c><c r="BK164" s="374"><f>IF(BJ164=FALSE,"SIGDIFERENTES","SIGIGUALES")</f><v /></c><c r="BL164" s="390"><f>IF(BC164="NO CONFORME","NO CONFORME",IF(BB164="CONFORME","CONFORME","NO CONFORME"))</f><v /></c></row><row r="165" ht="15" customHeight="1" thickBot="1"><c r="A165" s="351" t="n"><v>157</v></c><c r="B165" s="375"><f>B164</f><v /></c><c r="C165" s="375"><f>C164</f><v /></c><c r="D165" s="376"><f>D164</f><v /></c><c r="E165" s="377"><f>E164</f><v /></c><c r="F165" s="13" t="n" /><c r="G165" s="446" t="inlineStr"><is><t>PA25516857</t></is></c><c r="H165" s="313"><f>H164</f><v /></c><c r="I165" s="38"><f>I164</f><v /></c><c r="J165" s="314"><f>J164</f><v /></c><c r="K165" s="378"><f>K164</f><v /></c><c r="L165" s="378"><f>L164</f><v /></c><c r="M165" s="379" t="n"><v>76.90000000000001</v></c><c r="N165" s="379" t="n"><v>177.46</v></c><c r="O165" s="380"><f>O164</f><v /></c><c r="P165" s="381"><f>P164</f><v /></c><c r="Q165" s="382"><f>LEFT(P165,1)</f><v /></c><c r="R165" s="382"><f>RIGHT(P165,6)</f><v /></c><c r="S165" s="382"><f>+(Q165*60+R165)/(60*60)</f><v /></c><c r="T165" s="383"><f>+O165/S165</f><v /></c><c r="U165" s="384"><f>+(((N165-M165-O165)/O165)*100)</f><v /></c><c r="V165" s="317"><f>V164</f><v /></c><c r="W165" s="385"><f>W164</f><v /></c><c r="X165" s="385"><f>X164</f><v /></c><c r="Y165" s="379" t="n"><v>181.9</v></c><c r="Z165" s="379" t="n"><v>191.9</v></c><c r="AA165" s="386"><f>AA164</f><v /></c><c r="AB165" s="387"><f>AB164</f><v /></c><c r="AC165" s="382"><f>LEFT(AB165,2)</f><v /></c><c r="AD165" s="382"><f>RIGHT(AB165,6)</f><v /></c><c r="AE165" s="382"><f>+(AC165*60+AD165)/(60*60)</f><v /></c><c r="AF165" s="383"><f>+AA165/AE165</f><v /></c><c r="AG165" s="321"><f>+(((Z165-Y165-AA165)/AA165)*100)</f><v /></c><c r="AH165" s="317"><f>AH164</f><v /></c><c r="AI165" s="385"><f>AI164</f><v /></c><c r="AJ165" s="385"><f>AJ164</f><v /></c><c r="AK165" s="379"><f>Z165</f><v /></c><c r="AL165" s="379" t="n"><v>196.94</v></c><c r="AM165" s="388"><f>AM164</f><v /></c><c r="AN165" s="381"><f>AN164</f><v /></c><c r="AO165" s="382"><f>LEFT(AN165,2)</f><v /></c><c r="AP165" s="382"><f>RIGHT(AN165,6)</f><v /></c><c r="AQ165" s="382"><f>+(AO165*60+AP165)/(60*60)</f><v /></c><c r="AR165" s="383"><f>+AM165/AQ165</f><v /></c><c r="AS165" s="321"><f>+(((AL165-AK165-AM165)/AM165)*100)</f><v /></c><c r="AT165" s="389"><f>IF(I165&gt;=1,"NO CONFORME",IF(BK165="SIGDIFERENTES",BC165,BL165))</f><v /></c><c r="AU165" s="372"><f>B165=C165</f><v /></c><c r="AV165" s="372"><f>N165&lt;Y165</f><v /></c><c r="AW165" s="372"><f>Z165&lt;=AK165</f><v /></c><c r="AX165" s="372"><f>IF(I165&gt;=1,"Qcorrecto",IF(AND(AY165="aceptable",AZ165="aceptable",BA165="aceptable"),"Qcorrecto","Qincorrecto"))</f><v /></c><c r="AY165" s="390"><f>IF(AR165&lt;$AH$6,"error",IF(AR165&gt;$AH$6*1.1,"error","aceptable"))</f><v /></c><c r="AZ165" s="390"><f>IF(AF165&lt;$V$6,"error",IF(AF165&gt;$V$6*1.1,"error","aceptable"))</f><v /></c><c r="BA165" s="390"><f>IF(T165&lt;$J$6*0.9,"error",IF(T165&gt;$J$6,"error","aceptable"))</f><v /></c><c r="BB165" s="25"><f>(IF(ABS(U165)&lt;1.05,"CONFORME",IF(ABS(AG165)&lt;1.05,"CONFORME",IF(ABS(AS165)&lt;2.55,"CONFORME","NO CONFORME"))))</f><v /></c><c r="BC165" s="5"><f>(IF(ABS(U165)&gt;2.05,"NO CONFORME",IF(ABS(AG165)&gt;2.05,"NO CONFORME",IF(ABS(AS165)&gt;5.05,"NO CONFORME","CONFORME"))))</f><v /></c><c r="BD165" s="374"><f>SIGN(U165)</f><v /></c><c r="BE165" s="374"><f>SIGN(AG165)</f><v /></c><c r="BF165" s="374"><f>SIGN(AS165)</f><v /></c><c r="BG165" s="374"><f>CONCATENATE(BD165,BE165,BF165)</f><v /></c><c r="BH165" s="374"><f>IF(BG165="111","SI","SD")</f><v /></c><c r="BI165" s="374"><f>IF(BG165="-1-1-1","SI","SD")</f><v /></c><c r="BJ165" s="374"><f>OR(BH165="SI",BI165="SI")</f><v /></c><c r="BK165" s="374"><f>IF(BJ165=FALSE,"SIGDIFERENTES","SIGIGUALES")</f><v /></c><c r="BL165" s="390"><f>IF(BC165="NO CONFORME","NO CONFORME",IF(BB165="CONFORME","CONFORME","NO CONFORME"))</f><v /></c></row><row r="166" ht="15" customHeight="1" thickBot="1"><c r="A166" s="351" t="n"><v>158</v></c><c r="B166" s="375"><f>B165</f><v /></c><c r="C166" s="375"><f>C165</f><v /></c><c r="D166" s="376"><f>D165</f><v /></c><c r="E166" s="377"><f>E165</f><v /></c><c r="F166" s="13" t="n" /><c r="G166" s="446" t="inlineStr"><is><t>PA25516858</t></is></c><c r="H166" s="313"><f>H165</f><v /></c><c r="I166" s="38"><f>I165</f><v /></c><c r="J166" s="314"><f>J165</f><v /></c><c r="K166" s="378"><f>K165</f><v /></c><c r="L166" s="378"><f>L165</f><v /></c><c r="M166" s="379" t="n"><v>76.75</v></c><c r="N166" s="379" t="n"><v>177.38</v></c><c r="O166" s="380"><f>O165</f><v /></c><c r="P166" s="381"><f>P165</f><v /></c><c r="Q166" s="382"><f>LEFT(P166,1)</f><v /></c><c r="R166" s="382"><f>RIGHT(P166,6)</f><v /></c><c r="S166" s="382"><f>+(Q166*60+R166)/(60*60)</f><v /></c><c r="T166" s="383"><f>+O166/S166</f><v /></c><c r="U166" s="384"><f>+(((N166-M166-O166)/O166)*100)</f><v /></c><c r="V166" s="317"><f>V165</f><v /></c><c r="W166" s="385"><f>W165</f><v /></c><c r="X166" s="385"><f>X165</f><v /></c><c r="Y166" s="379" t="n"><v>181.8</v></c><c r="Z166" s="379" t="n"><v>191.82</v></c><c r="AA166" s="386"><f>AA165</f><v /></c><c r="AB166" s="387"><f>AB165</f><v /></c><c r="AC166" s="382"><f>LEFT(AB166,2)</f><v /></c><c r="AD166" s="382"><f>RIGHT(AB166,6)</f><v /></c><c r="AE166" s="382"><f>+(AC166*60+AD166)/(60*60)</f><v /></c><c r="AF166" s="383"><f>+AA166/AE166</f><v /></c><c r="AG166" s="321"><f>+(((Z166-Y166-AA166)/AA166)*100)</f><v /></c><c r="AH166" s="317"><f>AH165</f><v /></c><c r="AI166" s="385"><f>AI165</f><v /></c><c r="AJ166" s="385"><f>AJ165</f><v /></c><c r="AK166" s="379"><f>Z166</f><v /></c><c r="AL166" s="379" t="n"><v>196.86</v></c><c r="AM166" s="388"><f>AM165</f><v /></c><c r="AN166" s="381"><f>AN165</f><v /></c><c r="AO166" s="382"><f>LEFT(AN166,2)</f><v /></c><c r="AP166" s="382"><f>RIGHT(AN166,6)</f><v /></c><c r="AQ166" s="382"><f>+(AO166*60+AP166)/(60*60)</f><v /></c><c r="AR166" s="383"><f>+AM166/AQ166</f><v /></c><c r="AS166" s="321"><f>+(((AL166-AK166-AM166)/AM166)*100)</f><v /></c><c r="AT166" s="389"><f>IF(I166&gt;=1,"NO CONFORME",IF(BK166="SIGDIFERENTES",BC166,BL166))</f><v /></c><c r="AU166" s="372"><f>B166=C166</f><v /></c><c r="AV166" s="372"><f>N166&lt;Y166</f><v /></c><c r="AW166" s="372"><f>Z166&lt;=AK166</f><v /></c><c r="AX166" s="372"><f>IF(I166&gt;=1,"Qcorrecto",IF(AND(AY166="aceptable",AZ166="aceptable",BA166="aceptable"),"Qcorrecto","Qincorrecto"))</f><v /></c><c r="AY166" s="390"><f>IF(AR166&lt;$AH$6,"error",IF(AR166&gt;$AH$6*1.1,"error","aceptable"))</f><v /></c><c r="AZ166" s="390"><f>IF(AF166&lt;$V$6,"error",IF(AF166&gt;$V$6*1.1,"error","aceptable"))</f><v /></c><c r="BA166" s="390"><f>IF(T166&lt;$J$6*0.9,"error",IF(T166&gt;$J$6,"error","aceptable"))</f><v /></c><c r="BB166" s="25"><f>(IF(ABS(U166)&lt;1.05,"CONFORME",IF(ABS(AG166)&lt;1.05,"CONFORME",IF(ABS(AS166)&lt;2.55,"CONFORME","NO CONFORME"))))</f><v /></c><c r="BC166" s="5"><f>(IF(ABS(U166)&gt;2.05,"NO CONFORME",IF(ABS(AG166)&gt;2.05,"NO CONFORME",IF(ABS(AS166)&gt;5.05,"NO CONFORME","CONFORME"))))</f><v /></c><c r="BD166" s="374"><f>SIGN(U166)</f><v /></c><c r="BE166" s="374"><f>SIGN(AG166)</f><v /></c><c r="BF166" s="374"><f>SIGN(AS166)</f><v /></c><c r="BG166" s="374"><f>CONCATENATE(BD166,BE166,BF166)</f><v /></c><c r="BH166" s="374"><f>IF(BG166="111","SI","SD")</f><v /></c><c r="BI166" s="374"><f>IF(BG166="-1-1-1","SI","SD")</f><v /></c><c r="BJ166" s="374"><f>OR(BH166="SI",BI166="SI")</f><v /></c><c r="BK166" s="374"><f>IF(BJ166=FALSE,"SIGDIFERENTES","SIGIGUALES")</f><v /></c><c r="BL166" s="390"><f>IF(BC166="NO CONFORME","NO CONFORME",IF(BB166="CONFORME","CONFORME","NO CONFORME"))</f><v /></c></row><row r="167" ht="15" customHeight="1" thickBot="1"><c r="A167" s="351" t="n"><v>159</v></c><c r="B167" s="375"><f>B166</f><v /></c><c r="C167" s="375"><f>C166</f><v /></c><c r="D167" s="376"><f>D166</f><v /></c><c r="E167" s="377"><f>E166</f><v /></c><c r="F167" s="13" t="n" /><c r="G167" s="446" t="inlineStr"><is><t>PA25516859</t></is></c><c r="H167" s="313"><f>H166</f><v /></c><c r="I167" s="38"><f>I166</f><v /></c><c r="J167" s="314"><f>J166</f><v /></c><c r="K167" s="378"><f>K166</f><v /></c><c r="L167" s="378"><f>L166</f><v /></c><c r="M167" s="379" t="n"><v>116.06</v></c><c r="N167" s="379" t="n"><v>215.35</v></c><c r="O167" s="380"><f>O166</f><v /></c><c r="P167" s="381"><f>P166</f><v /></c><c r="Q167" s="382"><f>LEFT(P167,1)</f><v /></c><c r="R167" s="382"><f>RIGHT(P167,6)</f><v /></c><c r="S167" s="382"><f>+(Q167*60+R167)/(60*60)</f><v /></c><c r="T167" s="383"><f>+O167/S167</f><v /></c><c r="U167" s="384"><f>+(((N167-M167-O167)/O167)*100)</f><v /></c><c r="V167" s="317"><f>V166</f><v /></c><c r="W167" s="385"><f>W166</f><v /></c><c r="X167" s="385"><f>X166</f><v /></c><c r="Y167" s="379" t="n"><v>219.75</v></c><c r="Z167" s="379" t="n"><v>229.7</v></c><c r="AA167" s="386"><f>AA166</f><v /></c><c r="AB167" s="387"><f>AB166</f><v /></c><c r="AC167" s="382"><f>LEFT(AB167,2)</f><v /></c><c r="AD167" s="382"><f>RIGHT(AB167,6)</f><v /></c><c r="AE167" s="382"><f>+(AC167*60+AD167)/(60*60)</f><v /></c><c r="AF167" s="383"><f>+AA167/AE167</f><v /></c><c r="AG167" s="321"><f>+(((Z167-Y167-AA167)/AA167)*100)</f><v /></c><c r="AH167" s="317"><f>AH166</f><v /></c><c r="AI167" s="385"><f>AI166</f><v /></c><c r="AJ167" s="385"><f>AJ166</f><v /></c><c r="AK167" s="379"><f>Z167</f><v /></c><c r="AL167" s="379" t="n"><v>234.7</v></c><c r="AM167" s="388"><f>AM166</f><v /></c><c r="AN167" s="381"><f>AN166</f><v /></c><c r="AO167" s="382"><f>LEFT(AN167,2)</f><v /></c><c r="AP167" s="382"><f>RIGHT(AN167,6)</f><v /></c><c r="AQ167" s="382"><f>+(AO167*60+AP167)/(60*60)</f><v /></c><c r="AR167" s="383"><f>+AM167/AQ167</f><v /></c><c r="AS167" s="321"><f>+(((AL167-AK167-AM167)/AM167)*100)</f><v /></c><c r="AT167" s="389"><f>IF(I167&gt;=1,"NO CONFORME",IF(BK167="SIGDIFERENTES",BC167,BL167))</f><v /></c><c r="AU167" s="372"><f>B167=C167</f><v /></c><c r="AV167" s="372"><f>N167&lt;Y167</f><v /></c><c r="AW167" s="372"><f>Z167&lt;=AK167</f><v /></c><c r="AX167" s="372"><f>IF(I167&gt;=1,"Qcorrecto",IF(AND(AY167="aceptable",AZ167="aceptable",BA167="aceptable"),"Qcorrecto","Qincorrecto"))</f><v /></c><c r="AY167" s="390"><f>IF(AR167&lt;$AH$6,"error",IF(AR167&gt;$AH$6*1.1,"error","aceptable"))</f><v /></c><c r="AZ167" s="390"><f>IF(AF167&lt;$V$6,"error",IF(AF167&gt;$V$6*1.1,"error","aceptable"))</f><v /></c><c r="BA167" s="390"><f>IF(T167&lt;$J$6*0.9,"error",IF(T167&gt;$J$6,"error","aceptable"))</f><v /></c><c r="BB167" s="25"><f>(IF(ABS(U167)&lt;1.05,"CONFORME",IF(ABS(AG167)&lt;1.05,"CONFORME",IF(ABS(AS167)&lt;2.55,"CONFORME","NO CONFORME"))))</f><v /></c><c r="BC167" s="5"><f>(IF(ABS(U167)&gt;2.05,"NO CONFORME",IF(ABS(AG167)&gt;2.05,"NO CONFORME",IF(ABS(AS167)&gt;5.05,"NO CONFORME","CONFORME"))))</f><v /></c><c r="BD167" s="374"><f>SIGN(U167)</f><v /></c><c r="BE167" s="374"><f>SIGN(AG167)</f><v /></c><c r="BF167" s="374"><f>SIGN(AS167)</f><v /></c><c r="BG167" s="374"><f>CONCATENATE(BD167,BE167,BF167)</f><v /></c><c r="BH167" s="374"><f>IF(BG167="111","SI","SD")</f><v /></c><c r="BI167" s="374"><f>IF(BG167="-1-1-1","SI","SD")</f><v /></c><c r="BJ167" s="374"><f>OR(BH167="SI",BI167="SI")</f><v /></c><c r="BK167" s="374"><f>IF(BJ167=FALSE,"SIGDIFERENTES","SIGIGUALES")</f><v /></c><c r="BL167" s="390"><f>IF(BC167="NO CONFORME","NO CONFORME",IF(BB167="CONFORME","CONFORME","NO CONFORME"))</f><v /></c></row><row r="168" ht="15" customHeight="1" thickBot="1"><c r="A168" s="351" t="n"><v>160</v></c><c r="B168" s="375"><f>B167</f><v /></c><c r="C168" s="375"><f>C167</f><v /></c><c r="D168" s="376"><f>D167</f><v /></c><c r="E168" s="377"><f>E167</f><v /></c><c r="F168" s="13" t="n" /><c r="G168" s="446" t="inlineStr"><is><t>PA25516860</t></is></c><c r="H168" s="313"><f>H167</f><v /></c><c r="I168" s="38"><f>I167</f><v /></c><c r="J168" s="314"><f>J167</f><v /></c><c r="K168" s="378"><f>K167</f><v /></c><c r="L168" s="378"><f>L167</f><v /></c><c r="M168" s="379" t="n"><v>77.47</v></c><c r="N168" s="379" t="n"><v>178.04</v></c><c r="O168" s="380"><f>O167</f><v /></c><c r="P168" s="381"><f>P167</f><v /></c><c r="Q168" s="382"><f>LEFT(P168,1)</f><v /></c><c r="R168" s="382"><f>RIGHT(P168,6)</f><v /></c><c r="S168" s="382"><f>+(Q168*60+R168)/(60*60)</f><v /></c><c r="T168" s="383"><f>+O168/S168</f><v /></c><c r="U168" s="384"><f>+(((N168-M168-O168)/O168)*100)</f><v /></c><c r="V168" s="317"><f>V167</f><v /></c><c r="W168" s="385"><f>W167</f><v /></c><c r="X168" s="385"><f>X167</f><v /></c><c r="Y168" s="379" t="n"><v>182.49</v></c><c r="Z168" s="379" t="n"><v>192.39</v></c><c r="AA168" s="386"><f>AA167</f><v /></c><c r="AB168" s="387"><f>AB167</f><v /></c><c r="AC168" s="382"><f>LEFT(AB168,2)</f><v /></c><c r="AD168" s="382"><f>RIGHT(AB168,6)</f><v /></c><c r="AE168" s="382"><f>+(AC168*60+AD168)/(60*60)</f><v /></c><c r="AF168" s="383"><f>+AA168/AE168</f><v /></c><c r="AG168" s="321"><f>+(((Z168-Y168-AA168)/AA168)*100)</f><v /></c><c r="AH168" s="317"><f>AH167</f><v /></c><c r="AI168" s="385"><f>AI167</f><v /></c><c r="AJ168" s="385"><f>AJ167</f><v /></c><c r="AK168" s="379"><f>Z168</f><v /></c><c r="AL168" s="379" t="n"><v>197.33</v></c><c r="AM168" s="388"><f>AM167</f><v /></c><c r="AN168" s="381"><f>AN167</f><v /></c><c r="AO168" s="382"><f>LEFT(AN168,2)</f><v /></c><c r="AP168" s="382"><f>RIGHT(AN168,6)</f><v /></c><c r="AQ168" s="382"><f>+(AO168*60+AP168)/(60*60)</f><v /></c><c r="AR168" s="383"><f>+AM168/AQ168</f><v /></c><c r="AS168" s="321"><f>+(((AL168-AK168-AM168)/AM168)*100)</f><v /></c><c r="AT168" s="389"><f>IF(I168&gt;=1,"NO CONFORME",IF(BK168="SIGDIFERENTES",BC168,BL168))</f><v /></c><c r="AU168" s="372"><f>B168=C168</f><v /></c><c r="AV168" s="372"><f>N168&lt;Y168</f><v /></c><c r="AW168" s="372"><f>Z168&lt;=AK168</f><v /></c><c r="AX168" s="372"><f>IF(I168&gt;=1,"Qcorrecto",IF(AND(AY168="aceptable",AZ168="aceptable",BA168="aceptable"),"Qcorrecto","Qincorrecto"))</f><v /></c><c r="AY168" s="390"><f>IF(AR168&lt;$AH$6,"error",IF(AR168&gt;$AH$6*1.1,"error","aceptable"))</f><v /></c><c r="AZ168" s="390"><f>IF(AF168&lt;$V$6,"error",IF(AF168&gt;$V$6*1.1,"error","aceptable"))</f><v /></c><c r="BA168" s="390"><f>IF(T168&lt;$J$6*0.9,"error",IF(T168&gt;$J$6,"error","aceptable"))</f><v /></c><c r="BB168" s="25"><f>(IF(ABS(U168)&lt;1.05,"CONFORME",IF(ABS(AG168)&lt;1.05,"CONFORME",IF(ABS(AS168)&lt;2.55,"CONFORME","NO CONFORME"))))</f><v /></c><c r="BC168" s="5"><f>(IF(ABS(U168)&gt;2.05,"NO CONFORME",IF(ABS(AG168)&gt;2.05,"NO CONFORME",IF(ABS(AS168)&gt;5.05,"NO CONFORME","CONFORME"))))</f><v /></c><c r="BD168" s="374"><f>SIGN(U168)</f><v /></c><c r="BE168" s="374"><f>SIGN(AG168)</f><v /></c><c r="BF168" s="374"><f>SIGN(AS168)</f><v /></c><c r="BG168" s="374"><f>CONCATENATE(BD168,BE168,BF168)</f><v /></c><c r="BH168" s="374"><f>IF(BG168="111","SI","SD")</f><v /></c><c r="BI168" s="374"><f>IF(BG168="-1-1-1","SI","SD")</f><v /></c><c r="BJ168" s="374"><f>OR(BH168="SI",BI168="SI")</f><v /></c><c r="BK168" s="374"><f>IF(BJ168=FALSE,"SIGDIFERENTES","SIGIGUALES")</f><v /></c><c r="BL168" s="390"><f>IF(BC168="NO CONFORME","NO CONFORME",IF(BB168="CONFORME","CONFORME","NO CONFORME"))</f><v /></c></row><row r="169" ht="15" customHeight="1" thickBot="1"><c r="A169" s="351" t="n"><v>161</v></c><c r="B169" s="375"><f>B168</f><v /></c><c r="C169" s="375"><f>C168</f><v /></c><c r="D169" s="376"><f>D168</f><v /></c><c r="E169" s="377"><f>E168</f><v /></c><c r="F169" s="13" t="n" /><c r="G169" s="446" t="inlineStr"><is><t>PA25516861</t></is></c><c r="H169" s="313"><f>H168</f><v /></c><c r="I169" s="38"><f>I168</f><v /></c><c r="J169" s="314"><f>J168</f><v /></c><c r="K169" s="378"><f>K168</f><v /></c><c r="L169" s="378"><f>L168</f><v /></c><c r="M169" s="379" t="n"><v>116.49</v></c><c r="N169" s="379" t="n"><v>216.66</v></c><c r="O169" s="380"><f>O168</f><v /></c><c r="P169" s="381"><f>P168</f><v /></c><c r="Q169" s="382"><f>LEFT(P169,1)</f><v /></c><c r="R169" s="382"><f>RIGHT(P169,6)</f><v /></c><c r="S169" s="382"><f>+(Q169*60+R169)/(60*60)</f><v /></c><c r="T169" s="383"><f>+O169/S169</f><v /></c><c r="U169" s="384"><f>+(((N169-M169-O169)/O169)*100)</f><v /></c><c r="V169" s="317"><f>V168</f><v /></c><c r="W169" s="385"><f>W168</f><v /></c><c r="X169" s="385"><f>X168</f><v /></c><c r="Y169" s="379" t="n"><v>221.1</v></c><c r="Z169" s="379" t="n"><v>231.05</v></c><c r="AA169" s="386"><f>AA168</f><v /></c><c r="AB169" s="387"><f>AB168</f><v /></c><c r="AC169" s="382"><f>LEFT(AB169,2)</f><v /></c><c r="AD169" s="382"><f>RIGHT(AB169,6)</f><v /></c><c r="AE169" s="382"><f>+(AC169*60+AD169)/(60*60)</f><v /></c><c r="AF169" s="383"><f>+AA169/AE169</f><v /></c><c r="AG169" s="321"><f>+(((Z169-Y169-AA169)/AA169)*100)</f><v /></c><c r="AH169" s="317"><f>AH168</f><v /></c><c r="AI169" s="385"><f>AI168</f><v /></c><c r="AJ169" s="385"><f>AJ168</f><v /></c><c r="AK169" s="379"><f>Z169</f><v /></c><c r="AL169" s="379" t="n"><v>236.05</v></c><c r="AM169" s="388"><f>AM168</f><v /></c><c r="AN169" s="381"><f>AN168</f><v /></c><c r="AO169" s="382"><f>LEFT(AN169,2)</f><v /></c><c r="AP169" s="382"><f>RIGHT(AN169,6)</f><v /></c><c r="AQ169" s="382"><f>+(AO169*60+AP169)/(60*60)</f><v /></c><c r="AR169" s="383"><f>+AM169/AQ169</f><v /></c><c r="AS169" s="321"><f>+(((AL169-AK169-AM169)/AM169)*100)</f><v /></c><c r="AT169" s="389"><f>IF(I169&gt;=1,"NO CONFORME",IF(BK169="SIGDIFERENTES",BC169,BL169))</f><v /></c><c r="AU169" s="372"><f>B169=C169</f><v /></c><c r="AV169" s="372"><f>N169&lt;Y169</f><v /></c><c r="AW169" s="372"><f>Z169&lt;=AK169</f><v /></c><c r="AX169" s="372"><f>IF(I169&gt;=1,"Qcorrecto",IF(AND(AY169="aceptable",AZ169="aceptable",BA169="aceptable"),"Qcorrecto","Qincorrecto"))</f><v /></c><c r="AY169" s="390"><f>IF(AR169&lt;$AH$6,"error",IF(AR169&gt;$AH$6*1.1,"error","aceptable"))</f><v /></c><c r="AZ169" s="390"><f>IF(AF169&lt;$V$6,"error",IF(AF169&gt;$V$6*1.1,"error","aceptable"))</f><v /></c><c r="BA169" s="390"><f>IF(T169&lt;$J$6*0.9,"error",IF(T169&gt;$J$6,"error","aceptable"))</f><v /></c><c r="BB169" s="25"><f>(IF(ABS(U169)&lt;1.05,"CONFORME",IF(ABS(AG169)&lt;1.05,"CONFORME",IF(ABS(AS169)&lt;2.55,"CONFORME","NO CONFORME"))))</f><v /></c><c r="BC169" s="5"><f>(IF(ABS(U169)&gt;2.05,"NO CONFORME",IF(ABS(AG169)&gt;2.05,"NO CONFORME",IF(ABS(AS169)&gt;5.05,"NO CONFORME","CONFORME"))))</f><v /></c><c r="BD169" s="374"><f>SIGN(U169)</f><v /></c><c r="BE169" s="374"><f>SIGN(AG169)</f><v /></c><c r="BF169" s="374"><f>SIGN(AS169)</f><v /></c><c r="BG169" s="374"><f>CONCATENATE(BD169,BE169,BF169)</f><v /></c><c r="BH169" s="374"><f>IF(BG169="111","SI","SD")</f><v /></c><c r="BI169" s="374"><f>IF(BG169="-1-1-1","SI","SD")</f><v /></c><c r="BJ169" s="374"><f>OR(BH169="SI",BI169="SI")</f><v /></c><c r="BK169" s="374"><f>IF(BJ169=FALSE,"SIGDIFERENTES","SIGIGUALES")</f><v /></c><c r="BL169" s="390"><f>IF(BC169="NO CONFORME","NO CONFORME",IF(BB169="CONFORME","CONFORME","NO CONFORME"))</f><v /></c></row><row r="170" ht="15" customHeight="1" thickBot="1"><c r="A170" s="351" t="n"><v>162</v></c><c r="B170" s="375"><f>B169</f><v /></c><c r="C170" s="375"><f>C169</f><v /></c><c r="D170" s="376"><f>D169</f><v /></c><c r="E170" s="377"><f>E169</f><v /></c><c r="F170" s="13" t="n" /><c r="G170" s="336" t="inlineStr"><is><t>PA25516862</t></is></c><c r="H170" s="313"><f>H169</f><v /></c><c r="I170" s="38"><f>I169</f><v /></c><c r="J170" s="314"><f>J169</f><v /></c><c r="K170" s="378"><f>K169</f><v /></c><c r="L170" s="378"><f>L169</f><v /></c><c r="M170" s="379" t="n"><v>117.33</v></c><c r="N170" s="379" t="n"><v>218.2</v></c><c r="O170" s="380"><f>O169</f><v /></c><c r="P170" s="381"><f>P169</f><v /></c><c r="Q170" s="382"><f>LEFT(P170,1)</f><v /></c><c r="R170" s="382"><f>RIGHT(P170,6)</f><v /></c><c r="S170" s="382"><f>+(Q170*60+R170)/(60*60)</f><v /></c><c r="T170" s="383"><f>+O170/S170</f><v /></c><c r="U170" s="384"><f>+(((N170-M170-O170)/O170)*100)</f><v /></c><c r="V170" s="317"><f>V169</f><v /></c><c r="W170" s="385"><f>W169</f><v /></c><c r="X170" s="385"><f>X169</f><v /></c><c r="Y170" s="379" t="n"><v>222.65</v></c><c r="Z170" s="379" t="n"><v>232.29</v></c><c r="AA170" s="386"><f>AA169</f><v /></c><c r="AB170" s="387"><f>AB169</f><v /></c><c r="AC170" s="382"><f>LEFT(AB170,2)</f><v /></c><c r="AD170" s="382"><f>RIGHT(AB170,6)</f><v /></c><c r="AE170" s="382"><f>+(AC170*60+AD170)/(60*60)</f><v /></c><c r="AF170" s="383"><f>+AA170/AE170</f><v /></c><c r="AG170" s="321"><f>+(((Z170-Y170-AA170)/AA170)*100)</f><v /></c><c r="AH170" s="317"><f>AH169</f><v /></c><c r="AI170" s="385"><f>AI169</f><v /></c><c r="AJ170" s="385"><f>AJ169</f><v /></c><c r="AK170" s="379"><f>Z170</f><v /></c><c r="AL170" s="379" t="n"><v>236.79</v></c><c r="AM170" s="388"><f>AM169</f><v /></c><c r="AN170" s="381"><f>AN169</f><v /></c><c r="AO170" s="382"><f>LEFT(AN170,2)</f><v /></c><c r="AP170" s="382"><f>RIGHT(AN170,6)</f><v /></c><c r="AQ170" s="382"><f>+(AO170*60+AP170)/(60*60)</f><v /></c><c r="AR170" s="383"><f>+AM170/AQ170</f><v /></c><c r="AS170" s="321"><f>+(((AL170-AK170-AM170)/AM170)*100)</f><v /></c><c r="AT170" s="389"><f>IF(I170&gt;=1,"NO CONFORME",IF(BK170="SIGDIFERENTES",BC170,BL170))</f><v /></c><c r="AU170" s="372"><f>B170=C170</f><v /></c><c r="AV170" s="372"><f>N170&lt;Y170</f><v /></c><c r="AW170" s="372"><f>Z170&lt;=AK170</f><v /></c><c r="AX170" s="372"><f>IF(I170&gt;=1,"Qcorrecto",IF(AND(AY170="aceptable",AZ170="aceptable",BA170="aceptable"),"Qcorrecto","Qincorrecto"))</f><v /></c><c r="AY170" s="390"><f>IF(AR170&lt;$AH$6,"error",IF(AR170&gt;$AH$6*1.1,"error","aceptable"))</f><v /></c><c r="AZ170" s="390"><f>IF(AF170&lt;$V$6,"error",IF(AF170&gt;$V$6*1.1,"error","aceptable"))</f><v /></c><c r="BA170" s="390"><f>IF(T170&lt;$J$6*0.9,"error",IF(T170&gt;$J$6,"error","aceptable"))</f><v /></c><c r="BB170" s="25"><f>(IF(ABS(U170)&lt;1.05,"CONFORME",IF(ABS(AG170)&lt;1.05,"CONFORME",IF(ABS(AS170)&lt;2.55,"CONFORME","NO CONFORME"))))</f><v /></c><c r="BC170" s="5"><f>(IF(ABS(U170)&gt;2.05,"NO CONFORME",IF(ABS(AG170)&gt;2.05,"NO CONFORME",IF(ABS(AS170)&gt;5.05,"NO CONFORME","CONFORME"))))</f><v /></c><c r="BD170" s="374"><f>SIGN(U170)</f><v /></c><c r="BE170" s="374"><f>SIGN(AG170)</f><v /></c><c r="BF170" s="374"><f>SIGN(AS170)</f><v /></c><c r="BG170" s="374"><f>CONCATENATE(BD170,BE170,BF170)</f><v /></c><c r="BH170" s="374"><f>IF(BG170="111","SI","SD")</f><v /></c><c r="BI170" s="374"><f>IF(BG170="-1-1-1","SI","SD")</f><v /></c><c r="BJ170" s="374"><f>OR(BH170="SI",BI170="SI")</f><v /></c><c r="BK170" s="374"><f>IF(BJ170=FALSE,"SIGDIFERENTES","SIGIGUALES")</f><v /></c><c r="BL170" s="390"><f>IF(BC170="NO CONFORME","NO CONFORME",IF(BB170="CONFORME","CONFORME","NO CONFORME"))</f><v /></c></row><row r="171" ht="15" customHeight="1" thickBot="1"><c r="A171" s="351" t="n"><v>163</v></c><c r="B171" s="375"><f>B170</f><v /></c><c r="C171" s="375"><f>C170</f><v /></c><c r="D171" s="376"><f>D170</f><v /></c><c r="E171" s="377"><f>E170</f><v /></c><c r="F171" s="13" t="n" /><c r="G171" s="446" t="inlineStr"><is><t>PA25516863</t></is></c><c r="H171" s="313"><f>H170</f><v /></c><c r="I171" s="38"><f>I170</f><v /></c><c r="J171" s="314"><f>J170</f><v /></c><c r="K171" s="378"><f>K170</f><v /></c><c r="L171" s="378"><f>L170</f><v /></c><c r="M171" s="379" t="n"><v>117.5</v></c><c r="N171" s="379" t="n"><v>218.25</v></c><c r="O171" s="380"><f>O170</f><v /></c><c r="P171" s="381"><f>P170</f><v /></c><c r="Q171" s="382"><f>LEFT(P171,1)</f><v /></c><c r="R171" s="382"><f>RIGHT(P171,6)</f><v /></c><c r="S171" s="382"><f>+(Q171*60+R171)/(60*60)</f><v /></c><c r="T171" s="383"><f>+O171/S171</f><v /></c><c r="U171" s="384"><f>+(((N171-M171-O171)/O171)*100)</f><v /></c><c r="V171" s="317"><f>V170</f><v /></c><c r="W171" s="385"><f>W170</f><v /></c><c r="X171" s="385"><f>X170</f><v /></c><c r="Y171" s="379" t="n"><v>222.7</v></c><c r="Z171" s="379" t="n"><v>232.74</v></c><c r="AA171" s="386"><f>AA170</f><v /></c><c r="AB171" s="387"><f>AB170</f><v /></c><c r="AC171" s="382"><f>LEFT(AB171,2)</f><v /></c><c r="AD171" s="382"><f>RIGHT(AB171,6)</f><v /></c><c r="AE171" s="382"><f>+(AC171*60+AD171)/(60*60)</f><v /></c><c r="AF171" s="383"><f>+AA171/AE171</f><v /></c><c r="AG171" s="321"><f>+(((Z171-Y171-AA171)/AA171)*100)</f><v /></c><c r="AH171" s="317"><f>AH170</f><v /></c><c r="AI171" s="385"><f>AI170</f><v /></c><c r="AJ171" s="385"><f>AJ170</f><v /></c><c r="AK171" s="379"><f>Z171</f><v /></c><c r="AL171" s="379" t="n"><v>237.75</v></c><c r="AM171" s="388"><f>AM170</f><v /></c><c r="AN171" s="381"><f>AN170</f><v /></c><c r="AO171" s="382"><f>LEFT(AN171,2)</f><v /></c><c r="AP171" s="382"><f>RIGHT(AN171,6)</f><v /></c><c r="AQ171" s="382"><f>+(AO171*60+AP171)/(60*60)</f><v /></c><c r="AR171" s="383"><f>+AM171/AQ171</f><v /></c><c r="AS171" s="321"><f>+(((AL171-AK171-AM171)/AM171)*100)</f><v /></c><c r="AT171" s="389"><f>IF(I171&gt;=1,"NO CONFORME",IF(BK171="SIGDIFERENTES",BC171,BL171))</f><v /></c><c r="AU171" s="372"><f>B171=C171</f><v /></c><c r="AV171" s="372"><f>N171&lt;Y171</f><v /></c><c r="AW171" s="372"><f>Z171&lt;=AK171</f><v /></c><c r="AX171" s="372"><f>IF(I171&gt;=1,"Qcorrecto",IF(AND(AY171="aceptable",AZ171="aceptable",BA171="aceptable"),"Qcorrecto","Qincorrecto"))</f><v /></c><c r="AY171" s="390"><f>IF(AR171&lt;$AH$6,"error",IF(AR171&gt;$AH$6*1.1,"error","aceptable"))</f><v /></c><c r="AZ171" s="390"><f>IF(AF171&lt;$V$6,"error",IF(AF171&gt;$V$6*1.1,"error","aceptable"))</f><v /></c><c r="BA171" s="390"><f>IF(T171&lt;$J$6*0.9,"error",IF(T171&gt;$J$6,"error","aceptable"))</f><v /></c><c r="BB171" s="25"><f>(IF(ABS(U171)&lt;1.05,"CONFORME",IF(ABS(AG171)&lt;1.05,"CONFORME",IF(ABS(AS171)&lt;2.55,"CONFORME","NO CONFORME"))))</f><v /></c><c r="BC171" s="5"><f>(IF(ABS(U171)&gt;2.05,"NO CONFORME",IF(ABS(AG171)&gt;2.05,"NO CONFORME",IF(ABS(AS171)&gt;5.05,"NO CONFORME","CONFORME"))))</f><v /></c><c r="BD171" s="374"><f>SIGN(U171)</f><v /></c><c r="BE171" s="374"><f>SIGN(AG171)</f><v /></c><c r="BF171" s="374"><f>SIGN(AS171)</f><v /></c><c r="BG171" s="374"><f>CONCATENATE(BD171,BE171,BF171)</f><v /></c><c r="BH171" s="374"><f>IF(BG171="111","SI","SD")</f><v /></c><c r="BI171" s="374"><f>IF(BG171="-1-1-1","SI","SD")</f><v /></c><c r="BJ171" s="374"><f>OR(BH171="SI",BI171="SI")</f><v /></c><c r="BK171" s="374"><f>IF(BJ171=FALSE,"SIGDIFERENTES","SIGIGUALES")</f><v /></c><c r="BL171" s="390"><f>IF(BC171="NO CONFORME","NO CONFORME",IF(BB171="CONFORME","CONFORME","NO CONFORME"))</f><v /></c></row><row r="172" ht="15" customHeight="1" thickBot="1"><c r="A172" s="391" t="n"><v>164</v></c><c r="B172" s="392"><f>B171</f><v /></c><c r="C172" s="392"><f>C171</f><v /></c><c r="D172" s="393"><f>D171</f><v /></c><c r="E172" s="394"><f>E171</f><v /></c><c r="F172" s="52" t="n" /><c r="G172" s="446" t="inlineStr"><is><t>PA25516864</t></is></c><c r="H172" s="326"><f>H171</f><v /></c><c r="I172" s="98"><f>I171</f><v /></c><c r="J172" s="327"><f>J171</f><v /></c><c r="K172" s="396"><f>K171</f><v /></c><c r="L172" s="396"><f>L171</f><v /></c><c r="M172" s="397" t="n"><v>306</v></c><c r="N172" s="397" t="n"><v>406.28</v></c><c r="O172" s="398"><f>O171</f><v /></c><c r="P172" s="399"><f>P171</f><v /></c><c r="Q172" s="400"><f>LEFT(P172,1)</f><v /></c><c r="R172" s="400"><f>RIGHT(P172,6)</f><v /></c><c r="S172" s="400"><f>+(Q172*60+R172)/(60*60)</f><v /></c><c r="T172" s="401"><f>+O172/S172</f><v /></c><c r="U172" s="402"><f>+(((N172-M172-O172)/O172)*100)</f><v /></c><c r="V172" s="329"><f>V171</f><v /></c><c r="W172" s="403"><f>W171</f><v /></c><c r="X172" s="403"><f>X171</f><v /></c><c r="Y172" s="397" t="n"><v>410.7</v></c><c r="Z172" s="397" t="n"><v>420.71</v></c><c r="AA172" s="404"><f>AA171</f><v /></c><c r="AB172" s="405"><f>AB171</f><v /></c><c r="AC172" s="400"><f>LEFT(AB172,2)</f><v /></c><c r="AD172" s="400"><f>RIGHT(AB172,6)</f><v /></c><c r="AE172" s="400"><f>+(AC172*60+AD172)/(60*60)</f><v /></c><c r="AF172" s="401"><f>+AA172/AE172</f><v /></c><c r="AG172" s="406"><f>+(((Z172-Y172-AA172)/AA172)*100)</f><v /></c><c r="AH172" s="329"><f>AH171</f><v /></c><c r="AI172" s="403"><f>AI171</f><v /></c><c r="AJ172" s="403"><f>AJ171</f><v /></c><c r="AK172" s="397"><f>Z172</f><v /></c><c r="AL172" s="397" t="n"><v>425.7</v></c><c r="AM172" s="407"><f>AM171</f><v /></c><c r="AN172" s="399"><f>AN171</f><v /></c><c r="AO172" s="400"><f>LEFT(AN172,2)</f><v /></c><c r="AP172" s="400"><f>RIGHT(AN172,6)</f><v /></c><c r="AQ172" s="400"><f>+(AO172*60+AP172)/(60*60)</f><v /></c><c r="AR172" s="401"><f>+AM172/AQ172</f><v /></c><c r="AS172" s="406"><f>+(((AL172-AK172-AM172)/AM172)*100)</f><v /></c><c r="AT172" s="408"><f>IF(I172&gt;=1,"NO CONFORME",IF(BK172="SIGDIFERENTES",BC172,BL172))</f><v /></c><c r="AU172" s="409"><f>B172=C172</f><v /></c><c r="AV172" s="409"><f>N172&lt;Y172</f><v /></c><c r="AW172" s="409"><f>Z172&lt;=AK172</f><v /></c><c r="AX172" s="409"><f>IF(I172&gt;=1,"Qcorrecto",IF(AND(AY172="aceptable",AZ172="aceptable",BA172="aceptable"),"Qcorrecto","Qincorrecto"))</f><v /></c><c r="AY172" s="410"><f>IF(AR172&lt;$AH$6,"error",IF(AR172&gt;$AH$6*1.1,"error","aceptable"))</f><v /></c><c r="AZ172" s="410"><f>IF(AF172&lt;$V$6,"error",IF(AF172&gt;$V$6*1.1,"error","aceptable"))</f><v /></c><c r="BA172" s="410"><f>IF(T172&lt;$J$6*0.9,"error",IF(T172&gt;$J$6,"error","aceptable"))</f><v /></c><c r="BB172" s="411"><f>(IF(ABS(U172)&lt;1.05,"CONFORME",IF(ABS(AG172)&lt;1.05,"CONFORME",IF(ABS(AS172)&lt;2.55,"CONFORME","NO CONFORME"))))</f><v /></c><c r="BC172" s="412"><f>(IF(ABS(U172)&gt;2.05,"NO CONFORME",IF(ABS(AG172)&gt;2.05,"NO CONFORME",IF(ABS(AS172)&gt;5.05,"NO CONFORME","CONFORME"))))</f><v /></c><c r="BD172" s="413"><f>SIGN(U172)</f><v /></c><c r="BE172" s="413"><f>SIGN(AG172)</f><v /></c><c r="BF172" s="413"><f>SIGN(AS172)</f><v /></c><c r="BG172" s="413"><f>CONCATENATE(BD172,BE172,BF172)</f><v /></c><c r="BH172" s="413"><f>IF(BG172="111","SI","SD")</f><v /></c><c r="BI172" s="413"><f>IF(BG172="-1-1-1","SI","SD")</f><v /></c><c r="BJ172" s="413"><f>OR(BH172="SI",BI172="SI")</f><v /></c><c r="BK172" s="413"><f>IF(BJ172=FALSE,"SIGDIFERENTES","SIGIGUALES")</f><v /></c><c r="BL172" s="410"><f>IF(BC172="NO CONFORME","NO CONFORME",IF(BB172="CONFORME","CONFORME","NO CONFORME"))</f><v /></c></row><row r="173" ht="15" customHeight="1" thickBot="1"><c r="A173" s="351" t="n"><v>165</v></c><c r="B173" s="454" t="n"><v>45920</v></c><c r="C173" s="454"><f>C172</f><v /></c><c r="D173" s="455" t="n"><v>3</v></c><c r="E173" s="456" t="n"><v>8</v></c><c r="F173" s="58" t="n" /><c r="G173" s="355" t="inlineStr"><is><t>PA25516865</t></is></c><c r="H173" s="301" t="n"><v>25.6</v></c><c r="I173" s="232" t="n"><v>0</v></c><c r="J173" s="302" t="n"><v>21</v></c><c r="K173" s="303" t="n"><v>8.49</v></c><c r="L173" s="303" t="n"><v>0.549</v></c><c r="M173" s="359" t="n"><v>244.48</v></c><c r="N173" s="359" t="n"><v>344.05</v></c><c r="O173" s="457" t="n"><v>100.69</v></c><c r="P173" s="458" t="inlineStr"><is><t>2,30,160</t></is></c><c r="Q173" s="362"><f>LEFT(P173,1)</f><v /></c><c r="R173" s="362"><f>RIGHT(P173,6)</f><v /></c><c r="S173" s="362"><f>+(Q173*60+R173)/(60*60)</f><v /></c><c r="T173" s="363"><f>+O173/S173</f><v /></c><c r="U173" s="364"><f>+(((N173-M173-O173)/O173)*100)</f><v /></c><c r="V173" s="306" t="n"><v>20.5</v></c><c r="W173" s="307" t="n"><v>1.102</v></c><c r="X173" s="307" t="n"><v>1.094</v></c><c r="Y173" s="359" t="n"><v>371.08</v></c><c r="Z173" s="359" t="n"><v>381.03</v></c><c r="AA173" s="308" t="n"><v>10.01</v></c><c r="AB173" s="458" t="inlineStr"><is><t>22,55,230</t></is></c><c r="AC173" s="362"><f>LEFT(AB173,2)</f><v /></c><c r="AD173" s="362"><f>RIGHT(AB173,6)</f><v /></c><c r="AE173" s="362"><f>+(AC173*60+AD173)/(60*60)</f><v /></c><c r="AF173" s="363"><f>+AA173/AE173</f><v /></c><c r="AG173" s="369"><f>+(((Z173-Y173-AA173)/AA173)*100)</f><v /></c><c r="AH173" s="306" t="n"><v>21</v></c><c r="AI173" s="307" t="n"><v>1.098</v></c><c r="AJ173" s="307" t="n"><v>1.088</v></c><c r="AK173" s="359"><f>Z173</f><v /></c><c r="AL173" s="359" t="n"><v>386.02</v></c><c r="AM173" s="459" t="n"><v>5.009</v></c><c r="AN173" s="458" t="inlineStr"><is><t>18,15,540</t></is></c><c r="AO173" s="362"><f>LEFT(AN173,2)</f><v /></c><c r="AP173" s="362"><f>RIGHT(AN173,6)</f><v /></c><c r="AQ173" s="362"><f>+(AO173*60+AP173)/(60*60)</f><v /></c><c r="AR173" s="363"><f>+AM173/AQ173</f><v /></c><c r="AS173" s="369"><f>+(((AL173-AK173-AM173)/AM173)*100)</f><v /></c><c r="AT173" s="371"><f>IF(I173&gt;=1,"NO CONFORME",IF(BK173="SIGDIFERENTES",BC173,BL173))</f><v /></c><c r="AU173" s="372"><f>B173=C173</f><v /></c><c r="AV173" s="372"><f>N173&lt;Y173</f><v /></c><c r="AW173" s="372"><f>Z173&lt;=AK173</f><v /></c><c r="AX173" s="372"><f>IF(I173&gt;=1,"Qcorrecto",IF(AND(AY173="aceptable",AZ173="aceptable",BA173="aceptable"),"Qcorrecto","Qincorrecto"))</f><v /></c><c r="AY173" s="390"><f>IF(AR173&lt;$AH$6,"error",IF(AR173&gt;$AH$6*1.1,"error","aceptable"))</f><v /></c><c r="AZ173" s="390"><f>IF(AF173&lt;$V$6,"error",IF(AF173&gt;$V$6*1.1,"error","aceptable"))</f><v /></c><c r="BA173" s="390"><f>IF(T173&lt;$J$6*0.9,"error",IF(T173&gt;$J$6,"error","aceptable"))</f><v /></c><c r="BB173" s="25"><f>(IF(ABS(U173)&lt;1.05,"CONFORME",IF(ABS(AG173)&lt;1.05,"CONFORME",IF(ABS(AS173)&lt;2.55,"CONFORME","NO CONFORME"))))</f><v /></c><c r="BC173" s="5"><f>(IF(ABS(U173)&gt;2.05,"NO CONFORME",IF(ABS(AG173)&gt;2.05,"NO CONFORME",IF(ABS(AS173)&gt;5.05,"NO CONFORME","CONFORME"))))</f><v /></c><c r="BD173" s="374"><f>SIGN(U173)</f><v /></c><c r="BE173" s="374"><f>SIGN(AG173)</f><v /></c><c r="BF173" s="374"><f>SIGN(AS173)</f><v /></c><c r="BG173" s="374"><f>CONCATENATE(BD173,BE173,BF173)</f><v /></c><c r="BH173" s="374"><f>IF(BG173="111","SI","SD")</f><v /></c><c r="BI173" s="374"><f>IF(BG173="-1-1-1","SI","SD")</f><v /></c><c r="BJ173" s="374"><f>OR(BH173="SI",BI173="SI")</f><v /></c><c r="BK173" s="374"><f>IF(BJ173=FALSE,"SIGDIFERENTES","SIGIGUALES")</f><v /></c><c r="BL173" s="373"><f>IF(BC173="NO CONFORME","NO CONFORME",IF(BB173="CONFORME","CONFORME","NO CONFORME"))</f><v /></c></row><row r="174" ht="15" customHeight="1" thickBot="1"><c r="A174" s="351" t="n"><v>166</v></c><c r="B174" s="375"><f>B173</f><v /></c><c r="C174" s="375"><f>C173</f><v /></c><c r="D174" s="376"><f>D173</f><v /></c><c r="E174" s="377"><f>E173</f><v /></c><c r="F174" s="13" t="n" /><c r="G174" s="355" t="inlineStr"><is><t>PA25516866</t></is></c><c r="H174" s="313"><f>H173</f><v /></c><c r="I174" s="38"><f>I173</f><v /></c><c r="J174" s="314"><f>J173</f><v /></c><c r="K174" s="378"><f>K173</f><v /></c><c r="L174" s="378"><f>L173</f><v /></c><c r="M174" s="379" t="n"><v>205.75</v></c><c r="N174" s="379" t="n"><v>305.34</v></c><c r="O174" s="380"><f>O173</f><v /></c><c r="P174" s="381"><f>P173</f><v /></c><c r="Q174" s="382"><f>LEFT(P174,1)</f><v /></c><c r="R174" s="382"><f>RIGHT(P174,6)</f><v /></c><c r="S174" s="382"><f>+(Q174*60+R174)/(60*60)</f><v /></c><c r="T174" s="383"><f>+O174/S174</f><v /></c><c r="U174" s="384"><f>+(((N174-M174-O174)/O174)*100)</f><v /></c><c r="V174" s="317"><f>V173</f><v /></c><c r="W174" s="385"><f>W173</f><v /></c><c r="X174" s="385"><f>X173</f><v /></c><c r="Y174" s="379" t="n"><v>332.45</v></c><c r="Z174" s="379" t="n"><v>342.46</v></c><c r="AA174" s="386"><f>AA173</f><v /></c><c r="AB174" s="387"><f>AB173</f><v /></c><c r="AC174" s="382"><f>LEFT(AB174,2)</f><v /></c><c r="AD174" s="382"><f>RIGHT(AB174,6)</f><v /></c><c r="AE174" s="382"><f>+(AC174*60+AD174)/(60*60)</f><v /></c><c r="AF174" s="383"><f>+AA174/AE174</f><v /></c><c r="AG174" s="321"><f>+(((Z174-Y174-AA174)/AA174)*100)</f><v /></c><c r="AH174" s="317"><f>AH173</f><v /></c><c r="AI174" s="385"><f>AI173</f><v /></c><c r="AJ174" s="385"><f>AJ173</f><v /></c><c r="AK174" s="379"><f>Z174</f><v /></c><c r="AL174" s="379" t="n"><v>347.51</v></c><c r="AM174" s="388"><f>AM173</f><v /></c><c r="AN174" s="381"><f>AN173</f><v /></c><c r="AO174" s="382"><f>LEFT(AN174,2)</f><v /></c><c r="AP174" s="382"><f>RIGHT(AN174,6)</f><v /></c><c r="AQ174" s="382"><f>+(AO174*60+AP174)/(60*60)</f><v /></c><c r="AR174" s="383"><f>+AM174/AQ174</f><v /></c><c r="AS174" s="321"><f>+(((AL174-AK174-AM174)/AM174)*100)</f><v /></c><c r="AT174" s="389"><f>IF(I174&gt;=1,"NO CONFORME",IF(BK174="SIGDIFERENTES",BC174,BL174))</f><v /></c><c r="AU174" s="372"><f>B174=C174</f><v /></c><c r="AV174" s="372"><f>N174&lt;Y174</f><v /></c><c r="AW174" s="372"><f>Z174&lt;=AK174</f><v /></c><c r="AX174" s="372"><f>IF(I174&gt;=1,"Qcorrecto",IF(AND(AY174="aceptable",AZ174="aceptable",BA174="aceptable"),"Qcorrecto","Qincorrecto"))</f><v /></c><c r="AY174" s="390"><f>IF(AR174&lt;$AH$6,"error",IF(AR174&gt;$AH$6*1.1,"error","aceptable"))</f><v /></c><c r="AZ174" s="390"><f>IF(AF174&lt;$V$6,"error",IF(AF174&gt;$V$6*1.1,"error","aceptable"))</f><v /></c><c r="BA174" s="390"><f>IF(T174&lt;$J$6*0.9,"error",IF(T174&gt;$J$6,"error","aceptable"))</f><v /></c><c r="BB174" s="25"><f>(IF(ABS(U174)&lt;1.05,"CONFORME",IF(ABS(AG174)&lt;1.05,"CONFORME",IF(ABS(AS174)&lt;2.55,"CONFORME","NO CONFORME"))))</f><v /></c><c r="BC174" s="5"><f>(IF(ABS(U174)&gt;2.05,"NO CONFORME",IF(ABS(AG174)&gt;2.05,"NO CONFORME",IF(ABS(AS174)&gt;5.05,"NO CONFORME","CONFORME"))))</f><v /></c><c r="BD174" s="374"><f>SIGN(U174)</f><v /></c><c r="BE174" s="374"><f>SIGN(AG174)</f><v /></c><c r="BF174" s="374"><f>SIGN(AS174)</f><v /></c><c r="BG174" s="374"><f>CONCATENATE(BD174,BE174,BF174)</f><v /></c><c r="BH174" s="374"><f>IF(BG174="111","SI","SD")</f><v /></c><c r="BI174" s="374"><f>IF(BG174="-1-1-1","SI","SD")</f><v /></c><c r="BJ174" s="374"><f>OR(BH174="SI",BI174="SI")</f><v /></c><c r="BK174" s="374"><f>IF(BJ174=FALSE,"SIGDIFERENTES","SIGIGUALES")</f><v /></c><c r="BL174" s="390"><f>IF(BC174="NO CONFORME","NO CONFORME",IF(BB174="CONFORME","CONFORME","NO CONFORME"))</f><v /></c></row><row r="175" ht="15" customHeight="1" thickBot="1"><c r="A175" s="351" t="n"><v>167</v></c><c r="B175" s="375"><f>B174</f><v /></c><c r="C175" s="375"><f>C174</f><v /></c><c r="D175" s="376"><f>D174</f><v /></c><c r="E175" s="377"><f>E174</f><v /></c><c r="F175" s="13" t="n" /><c r="G175" s="355" t="inlineStr"><is><t>PA25516867</t></is></c><c r="H175" s="313"><f>H174</f><v /></c><c r="I175" s="38"><f>I174</f><v /></c><c r="J175" s="314"><f>J174</f><v /></c><c r="K175" s="378"><f>K174</f><v /></c><c r="L175" s="378"><f>L174</f><v /></c><c r="M175" s="379" t="n"><v>206.81</v></c><c r="N175" s="379" t="n"><v>307</v></c><c r="O175" s="380"><f>O174</f><v /></c><c r="P175" s="381"><f>P174</f><v /></c><c r="Q175" s="382"><f>LEFT(P175,1)</f><v /></c><c r="R175" s="382"><f>RIGHT(P175,6)</f><v /></c><c r="S175" s="382"><f>+(Q175*60+R175)/(60*60)</f><v /></c><c r="T175" s="383"><f>+O175/S175</f><v /></c><c r="U175" s="384"><f>+(((N175-M175-O175)/O175)*100)</f><v /></c><c r="V175" s="317"><f>V174</f><v /></c><c r="W175" s="385"><f>W174</f><v /></c><c r="X175" s="385"><f>X174</f><v /></c><c r="Y175" s="379" t="n"><v>334.16</v></c><c r="Z175" s="379" t="n"><v>344.16</v></c><c r="AA175" s="386"><f>AA174</f><v /></c><c r="AB175" s="387"><f>AB174</f><v /></c><c r="AC175" s="382"><f>LEFT(AB175,2)</f><v /></c><c r="AD175" s="382"><f>RIGHT(AB175,6)</f><v /></c><c r="AE175" s="382"><f>+(AC175*60+AD175)/(60*60)</f><v /></c><c r="AF175" s="383"><f>+AA175/AE175</f><v /></c><c r="AG175" s="321"><f>+(((Z175-Y175-AA175)/AA175)*100)</f><v /></c><c r="AH175" s="317"><f>AH174</f><v /></c><c r="AI175" s="385"><f>AI174</f><v /></c><c r="AJ175" s="385"><f>AJ174</f><v /></c><c r="AK175" s="379"><f>Z175</f><v /></c><c r="AL175" s="379" t="n"><v>349.19</v></c><c r="AM175" s="388"><f>AM174</f><v /></c><c r="AN175" s="381"><f>AN174</f><v /></c><c r="AO175" s="382"><f>LEFT(AN175,2)</f><v /></c><c r="AP175" s="382"><f>RIGHT(AN175,6)</f><v /></c><c r="AQ175" s="382"><f>+(AO175*60+AP175)/(60*60)</f><v /></c><c r="AR175" s="383"><f>+AM175/AQ175</f><v /></c><c r="AS175" s="321"><f>+(((AL175-AK175-AM175)/AM175)*100)</f><v /></c><c r="AT175" s="389"><f>IF(I175&gt;=1,"NO CONFORME",IF(BK175="SIGDIFERENTES",BC175,BL175))</f><v /></c><c r="AU175" s="372"><f>B175=C175</f><v /></c><c r="AV175" s="372"><f>N175&lt;Y175</f><v /></c><c r="AW175" s="372"><f>Z175&lt;=AK175</f><v /></c><c r="AX175" s="372"><f>IF(I175&gt;=1,"Qcorrecto",IF(AND(AY175="aceptable",AZ175="aceptable",BA175="aceptable"),"Qcorrecto","Qincorrecto"))</f><v /></c><c r="AY175" s="390"><f>IF(AR175&lt;$AH$6,"error",IF(AR175&gt;$AH$6*1.1,"error","aceptable"))</f><v /></c><c r="AZ175" s="390"><f>IF(AF175&lt;$V$6,"error",IF(AF175&gt;$V$6*1.1,"error","aceptable"))</f><v /></c><c r="BA175" s="390"><f>IF(T175&lt;$J$6*0.9,"error",IF(T175&gt;$J$6,"error","aceptable"))</f><v /></c><c r="BB175" s="25"><f>(IF(ABS(U175)&lt;1.05,"CONFORME",IF(ABS(AG175)&lt;1.05,"CONFORME",IF(ABS(AS175)&lt;2.55,"CONFORME","NO CONFORME"))))</f><v /></c><c r="BC175" s="5"><f>(IF(ABS(U175)&gt;2.05,"NO CONFORME",IF(ABS(AG175)&gt;2.05,"NO CONFORME",IF(ABS(AS175)&gt;5.05,"NO CONFORME","CONFORME"))))</f><v /></c><c r="BD175" s="374"><f>SIGN(U175)</f><v /></c><c r="BE175" s="374"><f>SIGN(AG175)</f><v /></c><c r="BF175" s="374"><f>SIGN(AS175)</f><v /></c><c r="BG175" s="374"><f>CONCATENATE(BD175,BE175,BF175)</f><v /></c><c r="BH175" s="374"><f>IF(BG175="111","SI","SD")</f><v /></c><c r="BI175" s="374"><f>IF(BG175="-1-1-1","SI","SD")</f><v /></c><c r="BJ175" s="374"><f>OR(BH175="SI",BI175="SI")</f><v /></c><c r="BK175" s="374"><f>IF(BJ175=FALSE,"SIGDIFERENTES","SIGIGUALES")</f><v /></c><c r="BL175" s="390"><f>IF(BC175="NO CONFORME","NO CONFORME",IF(BB175="CONFORME","CONFORME","NO CONFORME"))</f><v /></c></row><row r="176" ht="15" customHeight="1" thickBot="1"><c r="A176" s="351" t="n"><v>168</v></c><c r="B176" s="375"><f>B175</f><v /></c><c r="C176" s="375"><f>C175</f><v /></c><c r="D176" s="376"><f>D175</f><v /></c><c r="E176" s="377"><f>E175</f><v /></c><c r="F176" s="13" t="n" /><c r="G176" s="355" t="inlineStr"><is><t>PA25516868</t></is></c><c r="H176" s="313"><f>H175</f><v /></c><c r="I176" s="38"><f>I175</f><v /></c><c r="J176" s="314"><f>J175</f><v /></c><c r="K176" s="378"><f>K175</f><v /></c><c r="L176" s="378"><f>L175</f><v /></c><c r="M176" s="379" t="n"><v>246.14</v></c><c r="N176" s="379" t="n"><v>346.37</v></c><c r="O176" s="380"><f>O175</f><v /></c><c r="P176" s="381"><f>P175</f><v /></c><c r="Q176" s="382"><f>LEFT(P176,1)</f><v /></c><c r="R176" s="382"><f>RIGHT(P176,6)</f><v /></c><c r="S176" s="382"><f>+(Q176*60+R176)/(60*60)</f><v /></c><c r="T176" s="383"><f>+O176/S176</f><v /></c><c r="U176" s="384"><f>+(((N176-M176-O176)/O176)*100)</f><v /></c><c r="V176" s="317"><f>V175</f><v /></c><c r="W176" s="385"><f>W175</f><v /></c><c r="X176" s="385"><f>X175</f><v /></c><c r="Y176" s="379" t="n"><v>373.53</v></c><c r="Z176" s="379" t="n"><v>383.5</v></c><c r="AA176" s="386"><f>AA175</f><v /></c><c r="AB176" s="387"><f>AB175</f><v /></c><c r="AC176" s="382"><f>LEFT(AB176,2)</f><v /></c><c r="AD176" s="382"><f>RIGHT(AB176,6)</f><v /></c><c r="AE176" s="382"><f>+(AC176*60+AD176)/(60*60)</f><v /></c><c r="AF176" s="383"><f>+AA176/AE176</f><v /></c><c r="AG176" s="321"><f>+(((Z176-Y176-AA176)/AA176)*100)</f><v /></c><c r="AH176" s="317"><f>AH175</f><v /></c><c r="AI176" s="385"><f>AI175</f><v /></c><c r="AJ176" s="385"><f>AJ175</f><v /></c><c r="AK176" s="379"><f>Z176</f><v /></c><c r="AL176" s="379" t="n"><v>388.51</v></c><c r="AM176" s="388"><f>AM175</f><v /></c><c r="AN176" s="381"><f>AN175</f><v /></c><c r="AO176" s="382"><f>LEFT(AN176,2)</f><v /></c><c r="AP176" s="382"><f>RIGHT(AN176,6)</f><v /></c><c r="AQ176" s="382"><f>+(AO176*60+AP176)/(60*60)</f><v /></c><c r="AR176" s="383"><f>+AM176/AQ176</f><v /></c><c r="AS176" s="321"><f>+(((AL176-AK176-AM176)/AM176)*100)</f><v /></c><c r="AT176" s="389"><f>IF(I176&gt;=1,"NO CONFORME",IF(BK176="SIGDIFERENTES",BC176,BL176))</f><v /></c><c r="AU176" s="372"><f>B176=C176</f><v /></c><c r="AV176" s="372"><f>N176&lt;Y176</f><v /></c><c r="AW176" s="372"><f>Z176&lt;=AK176</f><v /></c><c r="AX176" s="372"><f>IF(I176&gt;=1,"Qcorrecto",IF(AND(AY176="aceptable",AZ176="aceptable",BA176="aceptable"),"Qcorrecto","Qincorrecto"))</f><v /></c><c r="AY176" s="390"><f>IF(AR176&lt;$AH$6,"error",IF(AR176&gt;$AH$6*1.1,"error","aceptable"))</f><v /></c><c r="AZ176" s="390"><f>IF(AF176&lt;$V$6,"error",IF(AF176&gt;$V$6*1.1,"error","aceptable"))</f><v /></c><c r="BA176" s="390"><f>IF(T176&lt;$J$6*0.9,"error",IF(T176&gt;$J$6,"error","aceptable"))</f><v /></c><c r="BB176" s="25"><f>(IF(ABS(U176)&lt;1.05,"CONFORME",IF(ABS(AG176)&lt;1.05,"CONFORME",IF(ABS(AS176)&lt;2.55,"CONFORME","NO CONFORME"))))</f><v /></c><c r="BC176" s="5"><f>(IF(ABS(U176)&gt;2.05,"NO CONFORME",IF(ABS(AG176)&gt;2.05,"NO CONFORME",IF(ABS(AS176)&gt;5.05,"NO CONFORME","CONFORME"))))</f><v /></c><c r="BD176" s="374"><f>SIGN(U176)</f><v /></c><c r="BE176" s="374"><f>SIGN(AG176)</f><v /></c><c r="BF176" s="374"><f>SIGN(AS176)</f><v /></c><c r="BG176" s="374"><f>CONCATENATE(BD176,BE176,BF176)</f><v /></c><c r="BH176" s="374"><f>IF(BG176="111","SI","SD")</f><v /></c><c r="BI176" s="374"><f>IF(BG176="-1-1-1","SI","SD")</f><v /></c><c r="BJ176" s="374"><f>OR(BH176="SI",BI176="SI")</f><v /></c><c r="BK176" s="374"><f>IF(BJ176=FALSE,"SIGDIFERENTES","SIGIGUALES")</f><v /></c><c r="BL176" s="390"><f>IF(BC176="NO CONFORME","NO CONFORME",IF(BB176="CONFORME","CONFORME","NO CONFORME"))</f><v /></c></row><row r="177" ht="15" customHeight="1" thickBot="1"><c r="A177" s="351" t="n"><v>169</v></c><c r="B177" s="375"><f>B176</f><v /></c><c r="C177" s="375"><f>C176</f><v /></c><c r="D177" s="376"><f>D176</f><v /></c><c r="E177" s="377"><f>E176</f><v /></c><c r="F177" s="13" t="n" /><c r="G177" s="355" t="inlineStr"><is><t>PA25516869</t></is></c><c r="H177" s="313"><f>H176</f><v /></c><c r="I177" s="38"><f>I176</f><v /></c><c r="J177" s="314"><f>J176</f><v /></c><c r="K177" s="378"><f>K176</f><v /></c><c r="L177" s="378"><f>L176</f><v /></c><c r="M177" s="379" t="n"><v>288.5</v></c><c r="N177" s="379" t="n"><v>388.1</v></c><c r="O177" s="380"><f>O176</f><v /></c><c r="P177" s="381"><f>P176</f><v /></c><c r="Q177" s="382"><f>LEFT(P177,1)</f><v /></c><c r="R177" s="382"><f>RIGHT(P177,6)</f><v /></c><c r="S177" s="382"><f>+(Q177*60+R177)/(60*60)</f><v /></c><c r="T177" s="383"><f>+O177/S177</f><v /></c><c r="U177" s="384"><f>+(((N177-M177-O177)/O177)*100)</f><v /></c><c r="V177" s="317"><f>V176</f><v /></c><c r="W177" s="385"><f>W176</f><v /></c><c r="X177" s="385"><f>X176</f><v /></c><c r="Y177" s="379" t="n"><v>415.15</v></c><c r="Z177" s="379" t="n"><v>425.13</v></c><c r="AA177" s="386"><f>AA176</f><v /></c><c r="AB177" s="387"><f>AB176</f><v /></c><c r="AC177" s="382"><f>LEFT(AB177,2)</f><v /></c><c r="AD177" s="382"><f>RIGHT(AB177,6)</f><v /></c><c r="AE177" s="382"><f>+(AC177*60+AD177)/(60*60)</f><v /></c><c r="AF177" s="383"><f>+AA177/AE177</f><v /></c><c r="AG177" s="321"><f>+(((Z177-Y177-AA177)/AA177)*100)</f><v /></c><c r="AH177" s="317"><f>AH176</f><v /></c><c r="AI177" s="385"><f>AI176</f><v /></c><c r="AJ177" s="385"><f>AJ176</f><v /></c><c r="AK177" s="379"><f>Z177</f><v /></c><c r="AL177" s="379" t="n"><v>430.15</v></c><c r="AM177" s="388"><f>AM176</f><v /></c><c r="AN177" s="381"><f>AN176</f><v /></c><c r="AO177" s="382"><f>LEFT(AN177,2)</f><v /></c><c r="AP177" s="382"><f>RIGHT(AN177,6)</f><v /></c><c r="AQ177" s="382"><f>+(AO177*60+AP177)/(60*60)</f><v /></c><c r="AR177" s="383"><f>+AM177/AQ177</f><v /></c><c r="AS177" s="321"><f>+(((AL177-AK177-AM177)/AM177)*100)</f><v /></c><c r="AT177" s="389"><f>IF(I177&gt;=1,"NO CONFORME",IF(BK177="SIGDIFERENTES",BC177,BL177))</f><v /></c><c r="AU177" s="372"><f>B177=C177</f><v /></c><c r="AV177" s="372"><f>N177&lt;Y177</f><v /></c><c r="AW177" s="372"><f>Z177&lt;=AK177</f><v /></c><c r="AX177" s="372"><f>IF(I177&gt;=1,"Qcorrecto",IF(AND(AY177="aceptable",AZ177="aceptable",BA177="aceptable"),"Qcorrecto","Qincorrecto"))</f><v /></c><c r="AY177" s="390"><f>IF(AR177&lt;$AH$6,"error",IF(AR177&gt;$AH$6*1.1,"error","aceptable"))</f><v /></c><c r="AZ177" s="390"><f>IF(AF177&lt;$V$6,"error",IF(AF177&gt;$V$6*1.1,"error","aceptable"))</f><v /></c><c r="BA177" s="390"><f>IF(T177&lt;$J$6*0.9,"error",IF(T177&gt;$J$6,"error","aceptable"))</f><v /></c><c r="BB177" s="25"><f>(IF(ABS(U177)&lt;1.05,"CONFORME",IF(ABS(AG177)&lt;1.05,"CONFORME",IF(ABS(AS177)&lt;2.55,"CONFORME","NO CONFORME"))))</f><v /></c><c r="BC177" s="5"><f>(IF(ABS(U177)&gt;2.05,"NO CONFORME",IF(ABS(AG177)&gt;2.05,"NO CONFORME",IF(ABS(AS177)&gt;5.05,"NO CONFORME","CONFORME"))))</f><v /></c><c r="BD177" s="374"><f>SIGN(U177)</f><v /></c><c r="BE177" s="374"><f>SIGN(AG177)</f><v /></c><c r="BF177" s="374"><f>SIGN(AS177)</f><v /></c><c r="BG177" s="374"><f>CONCATENATE(BD177,BE177,BF177)</f><v /></c><c r="BH177" s="374"><f>IF(BG177="111","SI","SD")</f><v /></c><c r="BI177" s="374"><f>IF(BG177="-1-1-1","SI","SD")</f><v /></c><c r="BJ177" s="374"><f>OR(BH177="SI",BI177="SI")</f><v /></c><c r="BK177" s="374"><f>IF(BJ177=FALSE,"SIGDIFERENTES","SIGIGUALES")</f><v /></c><c r="BL177" s="390"><f>IF(BC177="NO CONFORME","NO CONFORME",IF(BB177="CONFORME","CONFORME","NO CONFORME"))</f><v /></c></row><row r="178" ht="15" customHeight="1" thickBot="1"><c r="A178" s="351" t="n"><v>170</v></c><c r="B178" s="375"><f>B177</f><v /></c><c r="C178" s="375"><f>C177</f><v /></c><c r="D178" s="376"><f>D177</f><v /></c><c r="E178" s="377"><f>E177</f><v /></c><c r="F178" s="13" t="n" /><c r="G178" s="355" t="inlineStr"><is><t>PA25516870</t></is></c><c r="H178" s="313"><f>H177</f><v /></c><c r="I178" s="38"><f>I177</f><v /></c><c r="J178" s="314"><f>J177</f><v /></c><c r="K178" s="378"><f>K177</f><v /></c><c r="L178" s="378"><f>L177</f><v /></c><c r="M178" s="379" t="n"><v>245.27</v></c><c r="N178" s="379" t="n"><v>344.66</v></c><c r="O178" s="380"><f>O177</f><v /></c><c r="P178" s="381"><f>P177</f><v /></c><c r="Q178" s="382"><f>LEFT(P178,1)</f><v /></c><c r="R178" s="382"><f>RIGHT(P178,6)</f><v /></c><c r="S178" s="382"><f>+(Q178*60+R178)/(60*60)</f><v /></c><c r="T178" s="383"><f>+O178/S178</f><v /></c><c r="U178" s="384"><f>+(((N178-M178-O178)/O178)*100)</f><v /></c><c r="V178" s="317"><f>V177</f><v /></c><c r="W178" s="385"><f>W177</f><v /></c><c r="X178" s="385"><f>X177</f><v /></c><c r="Y178" s="379" t="n"><v>371.74</v></c><c r="Z178" s="379" t="n"><v>381.67</v></c><c r="AA178" s="386"><f>AA177</f><v /></c><c r="AB178" s="387"><f>AB177</f><v /></c><c r="AC178" s="382"><f>LEFT(AB178,2)</f><v /></c><c r="AD178" s="382"><f>RIGHT(AB178,6)</f><v /></c><c r="AE178" s="382"><f>+(AC178*60+AD178)/(60*60)</f><v /></c><c r="AF178" s="383"><f>+AA178/AE178</f><v /></c><c r="AG178" s="321"><f>+(((Z178-Y178-AA178)/AA178)*100)</f><v /></c><c r="AH178" s="317"><f>AH177</f><v /></c><c r="AI178" s="385"><f>AI177</f><v /></c><c r="AJ178" s="385"><f>AJ177</f><v /></c><c r="AK178" s="379"><f>Z178</f><v /></c><c r="AL178" s="379" t="n"><v>386.64</v></c><c r="AM178" s="388"><f>AM177</f><v /></c><c r="AN178" s="381"><f>AN177</f><v /></c><c r="AO178" s="382"><f>LEFT(AN178,2)</f><v /></c><c r="AP178" s="382"><f>RIGHT(AN178,6)</f><v /></c><c r="AQ178" s="382"><f>+(AO178*60+AP178)/(60*60)</f><v /></c><c r="AR178" s="383"><f>+AM178/AQ178</f><v /></c><c r="AS178" s="321"><f>+(((AL178-AK178-AM178)/AM178)*100)</f><v /></c><c r="AT178" s="389"><f>IF(I178&gt;=1,"NO CONFORME",IF(BK178="SIGDIFERENTES",BC178,BL178))</f><v /></c><c r="AU178" s="372"><f>B178=C178</f><v /></c><c r="AV178" s="372"><f>N178&lt;Y178</f><v /></c><c r="AW178" s="372"><f>Z178&lt;=AK178</f><v /></c><c r="AX178" s="372"><f>IF(I178&gt;=1,"Qcorrecto",IF(AND(AY178="aceptable",AZ178="aceptable",BA178="aceptable"),"Qcorrecto","Qincorrecto"))</f><v /></c><c r="AY178" s="390"><f>IF(AR178&lt;$AH$6,"error",IF(AR178&gt;$AH$6*1.1,"error","aceptable"))</f><v /></c><c r="AZ178" s="390"><f>IF(AF178&lt;$V$6,"error",IF(AF178&gt;$V$6*1.1,"error","aceptable"))</f><v /></c><c r="BA178" s="390"><f>IF(T178&lt;$J$6*0.9,"error",IF(T178&gt;$J$6,"error","aceptable"))</f><v /></c><c r="BB178" s="25"><f>(IF(ABS(U178)&lt;1.05,"CONFORME",IF(ABS(AG178)&lt;1.05,"CONFORME",IF(ABS(AS178)&lt;2.55,"CONFORME","NO CONFORME"))))</f><v /></c><c r="BC178" s="5"><f>(IF(ABS(U178)&gt;2.05,"NO CONFORME",IF(ABS(AG178)&gt;2.05,"NO CONFORME",IF(ABS(AS178)&gt;5.05,"NO CONFORME","CONFORME"))))</f><v /></c><c r="BD178" s="374"><f>SIGN(U178)</f><v /></c><c r="BE178" s="374"><f>SIGN(AG178)</f><v /></c><c r="BF178" s="374"><f>SIGN(AS178)</f><v /></c><c r="BG178" s="374"><f>CONCATENATE(BD178,BE178,BF178)</f><v /></c><c r="BH178" s="374"><f>IF(BG178="111","SI","SD")</f><v /></c><c r="BI178" s="374"><f>IF(BG178="-1-1-1","SI","SD")</f><v /></c><c r="BJ178" s="374"><f>OR(BH178="SI",BI178="SI")</f><v /></c><c r="BK178" s="374"><f>IF(BJ178=FALSE,"SIGDIFERENTES","SIGIGUALES")</f><v /></c><c r="BL178" s="390"><f>IF(BC178="NO CONFORME","NO CONFORME",IF(BB178="CONFORME","CONFORME","NO CONFORME"))</f><v /></c></row><row r="179" ht="15" customHeight="1" thickBot="1"><c r="A179" s="351" t="n"><v>171</v></c><c r="B179" s="375"><f>B178</f><v /></c><c r="C179" s="375"><f>C178</f><v /></c><c r="D179" s="376"><f>D178</f><v /></c><c r="E179" s="377"><f>E178</f><v /></c><c r="F179" s="13" t="n" /><c r="G179" s="355" t="inlineStr"><is><t>PA25516871</t></is></c><c r="H179" s="313"><f>H178</f><v /></c><c r="I179" s="38"><f>I178</f><v /></c><c r="J179" s="314"><f>J178</f><v /></c><c r="K179" s="378"><f>K178</f><v /></c><c r="L179" s="378"><f>L178</f><v /></c><c r="M179" s="379" t="n"><v>205.17</v></c><c r="N179" s="379" t="n"><v>305.02</v></c><c r="O179" s="380"><f>O178</f><v /></c><c r="P179" s="381"><f>P178</f><v /></c><c r="Q179" s="382"><f>LEFT(P179,1)</f><v /></c><c r="R179" s="382"><f>RIGHT(P179,6)</f><v /></c><c r="S179" s="382"><f>+(Q179*60+R179)/(60*60)</f><v /></c><c r="T179" s="383"><f>+O179/S179</f><v /></c><c r="U179" s="384"><f>+(((N179-M179-O179)/O179)*100)</f><v /></c><c r="V179" s="317"><f>V178</f><v /></c><c r="W179" s="385"><f>W178</f><v /></c><c r="X179" s="385"><f>X178</f><v /></c><c r="Y179" s="379" t="n"><v>332.18</v></c><c r="Z179" s="379" t="n"><v>342.18</v></c><c r="AA179" s="386"><f>AA178</f><v /></c><c r="AB179" s="387"><f>AB178</f><v /></c><c r="AC179" s="382"><f>LEFT(AB179,2)</f><v /></c><c r="AD179" s="382"><f>RIGHT(AB179,6)</f><v /></c><c r="AE179" s="382"><f>+(AC179*60+AD179)/(60*60)</f><v /></c><c r="AF179" s="383"><f>+AA179/AE179</f><v /></c><c r="AG179" s="321"><f>+(((Z179-Y179-AA179)/AA179)*100)</f><v /></c><c r="AH179" s="317"><f>AH178</f><v /></c><c r="AI179" s="385"><f>AI178</f><v /></c><c r="AJ179" s="385"><f>AJ178</f><v /></c><c r="AK179" s="379"><f>Z179</f><v /></c><c r="AL179" s="379" t="n"><v>347.21</v></c><c r="AM179" s="388"><f>AM178</f><v /></c><c r="AN179" s="381"><f>AN178</f><v /></c><c r="AO179" s="382"><f>LEFT(AN179,2)</f><v /></c><c r="AP179" s="382"><f>RIGHT(AN179,6)</f><v /></c><c r="AQ179" s="382"><f>+(AO179*60+AP179)/(60*60)</f><v /></c><c r="AR179" s="383"><f>+AM179/AQ179</f><v /></c><c r="AS179" s="321"><f>+(((AL179-AK179-AM179)/AM179)*100)</f><v /></c><c r="AT179" s="389"><f>IF(I179&gt;=1,"NO CONFORME",IF(BK179="SIGDIFERENTES",BC179,BL179))</f><v /></c><c r="AU179" s="372"><f>B179=C179</f><v /></c><c r="AV179" s="372"><f>N179&lt;Y179</f><v /></c><c r="AW179" s="372"><f>Z179&lt;=AK179</f><v /></c><c r="AX179" s="372"><f>IF(I179&gt;=1,"Qcorrecto",IF(AND(AY179="aceptable",AZ179="aceptable",BA179="aceptable"),"Qcorrecto","Qincorrecto"))</f><v /></c><c r="AY179" s="390"><f>IF(AR179&lt;$AH$6,"error",IF(AR179&gt;$AH$6*1.1,"error","aceptable"))</f><v /></c><c r="AZ179" s="390"><f>IF(AF179&lt;$V$6,"error",IF(AF179&gt;$V$6*1.1,"error","aceptable"))</f><v /></c><c r="BA179" s="390"><f>IF(T179&lt;$J$6*0.9,"error",IF(T179&gt;$J$6,"error","aceptable"))</f><v /></c><c r="BB179" s="25"><f>(IF(ABS(U179)&lt;1.05,"CONFORME",IF(ABS(AG179)&lt;1.05,"CONFORME",IF(ABS(AS179)&lt;2.55,"CONFORME","NO CONFORME"))))</f><v /></c><c r="BC179" s="5"><f>(IF(ABS(U179)&gt;2.05,"NO CONFORME",IF(ABS(AG179)&gt;2.05,"NO CONFORME",IF(ABS(AS179)&gt;5.05,"NO CONFORME","CONFORME"))))</f><v /></c><c r="BD179" s="374"><f>SIGN(U179)</f><v /></c><c r="BE179" s="374"><f>SIGN(AG179)</f><v /></c><c r="BF179" s="374"><f>SIGN(AS179)</f><v /></c><c r="BG179" s="374"><f>CONCATENATE(BD179,BE179,BF179)</f><v /></c><c r="BH179" s="374"><f>IF(BG179="111","SI","SD")</f><v /></c><c r="BI179" s="374"><f>IF(BG179="-1-1-1","SI","SD")</f><v /></c><c r="BJ179" s="374"><f>OR(BH179="SI",BI179="SI")</f><v /></c><c r="BK179" s="374"><f>IF(BJ179=FALSE,"SIGDIFERENTES","SIGIGUALES")</f><v /></c><c r="BL179" s="390"><f>IF(BC179="NO CONFORME","NO CONFORME",IF(BB179="CONFORME","CONFORME","NO CONFORME"))</f><v /></c></row><row r="180" ht="15" customHeight="1" thickBot="1"><c r="A180" s="351" t="n"><v>172</v></c><c r="B180" s="375"><f>B179</f><v /></c><c r="C180" s="375"><f>C179</f><v /></c><c r="D180" s="376"><f>D179</f><v /></c><c r="E180" s="377"><f>E179</f><v /></c><c r="F180" s="13" t="n" /><c r="G180" s="355" t="inlineStr"><is><t>PA25516872</t></is></c><c r="H180" s="313"><f>H179</f><v /></c><c r="I180" s="38"><f>I179</f><v /></c><c r="J180" s="314"><f>J179</f><v /></c><c r="K180" s="378"><f>K179</f><v /></c><c r="L180" s="378"><f>L179</f><v /></c><c r="M180" s="379" t="n"><v>209.25</v></c><c r="N180" s="379" t="n"><v>309.78</v></c><c r="O180" s="380"><f>O179</f><v /></c><c r="P180" s="381"><f>P179</f><v /></c><c r="Q180" s="382"><f>LEFT(P180,1)</f><v /></c><c r="R180" s="382"><f>RIGHT(P180,6)</f><v /></c><c r="S180" s="382"><f>+(Q180*60+R180)/(60*60)</f><v /></c><c r="T180" s="383"><f>+O180/S180</f><v /></c><c r="U180" s="384"><f>+(((N180-M180-O180)/O180)*100)</f><v /></c><c r="V180" s="317"><f>V179</f><v /></c><c r="W180" s="385"><f>W179</f><v /></c><c r="X180" s="385"><f>X179</f><v /></c><c r="Y180" s="379" t="n"><v>336.96</v></c><c r="Z180" s="379" t="n"><v>347.03</v></c><c r="AA180" s="386"><f>AA179</f><v /></c><c r="AB180" s="387"><f>AB179</f><v /></c><c r="AC180" s="382"><f>LEFT(AB180,2)</f><v /></c><c r="AD180" s="382"><f>RIGHT(AB180,6)</f><v /></c><c r="AE180" s="382"><f>+(AC180*60+AD180)/(60*60)</f><v /></c><c r="AF180" s="383"><f>+AA180/AE180</f><v /></c><c r="AG180" s="321"><f>+(((Z180-Y180-AA180)/AA180)*100)</f><v /></c><c r="AH180" s="317"><f>AH179</f><v /></c><c r="AI180" s="385"><f>AI179</f><v /></c><c r="AJ180" s="385"><f>AJ179</f><v /></c><c r="AK180" s="379"><f>Z180</f><v /></c><c r="AL180" s="379" t="n"><v>352.03</v></c><c r="AM180" s="388"><f>AM179</f><v /></c><c r="AN180" s="381"><f>AN179</f><v /></c><c r="AO180" s="382"><f>LEFT(AN180,2)</f><v /></c><c r="AP180" s="382"><f>RIGHT(AN180,6)</f><v /></c><c r="AQ180" s="382"><f>+(AO180*60+AP180)/(60*60)</f><v /></c><c r="AR180" s="383"><f>+AM180/AQ180</f><v /></c><c r="AS180" s="321"><f>+(((AL180-AK180-AM180)/AM180)*100)</f><v /></c><c r="AT180" s="389"><f>IF(I180&gt;=1,"NO CONFORME",IF(BK180="SIGDIFERENTES",BC180,BL180))</f><v /></c><c r="AU180" s="451"><f>B180=C180</f><v /></c><c r="AV180" s="451"><f>N180&lt;Y180</f><v /></c><c r="AW180" s="451"><f>Z180&lt;=AK180</f><v /></c><c r="AX180" s="451"><f>IF(I180&gt;=1,"Qcorrecto",IF(AND(AY180="aceptable",AZ180="aceptable",BA180="aceptable"),"Qcorrecto","Qincorrecto"))</f><v /></c><c r="AY180" s="390"><f>IF(AR180&lt;$AH$6,"error",IF(AR180&gt;$AH$6*1.1,"error","aceptable"))</f><v /></c><c r="AZ180" s="390"><f>IF(AF180&lt;$V$6,"error",IF(AF180&gt;$V$6*1.1,"error","aceptable"))</f><v /></c><c r="BA180" s="390"><f>IF(T180&lt;$J$6*0.9,"error",IF(T180&gt;$J$6,"error","aceptable"))</f><v /></c><c r="BB180" s="25"><f>(IF(ABS(U180)&lt;1.05,"CONFORME",IF(ABS(AG180)&lt;1.05,"CONFORME",IF(ABS(AS180)&lt;2.55,"CONFORME","NO CONFORME"))))</f><v /></c><c r="BC180" s="5"><f>(IF(ABS(U180)&gt;2.05,"NO CONFORME",IF(ABS(AG180)&gt;2.05,"NO CONFORME",IF(ABS(AS180)&gt;5.05,"NO CONFORME","CONFORME"))))</f><v /></c><c r="BD180" s="452"><f>SIGN(U180)</f><v /></c><c r="BE180" s="452"><f>SIGN(AG180)</f><v /></c><c r="BF180" s="452"><f>SIGN(AS180)</f><v /></c><c r="BG180" s="452"><f>CONCATENATE(BD180,BE180,BF180)</f><v /></c><c r="BH180" s="452"><f>IF(BG180="111","SI","SD")</f><v /></c><c r="BI180" s="452"><f>IF(BG180="-1-1-1","SI","SD")</f><v /></c><c r="BJ180" s="452"><f>OR(BH180="SI",BI180="SI")</f><v /></c><c r="BK180" s="452"><f>IF(BJ180=FALSE,"SIGDIFERENTES","SIGIGUALES")</f><v /></c><c r="BL180" s="390"><f>IF(BC180="NO CONFORME","NO CONFORME",IF(BB180="CONFORME","CONFORME","NO CONFORME"))</f><v /></c></row><row r="181" ht="15" customHeight="1" thickBot="1"><c r="A181" s="351" t="n"><v>173</v></c><c r="B181" s="352"><f>B180</f><v /></c><c r="C181" s="352"><f>C180</f><v /></c><c r="D181" s="353"><f>D180</f><v /></c><c r="E181" s="377"><f>E180</f><v /></c><c r="F181" s="58" t="n" /><c r="G181" s="355" t="inlineStr"><is><t>PA25516873</t></is></c><c r="H181" s="356"><f>H180</f><v /></c><c r="I181" s="232"><f>I180</f><v /></c><c r="J181" s="357"><f>J180</f><v /></c><c r="K181" s="358"><f>K180</f><v /></c><c r="L181" s="358"><f>L180</f><v /></c><c r="M181" s="359" t="n"><v>209.35</v></c><c r="N181" s="359" t="n"><v>309.4</v></c><c r="O181" s="360"><f>O180</f><v /></c><c r="P181" s="361"><f>P180</f><v /></c><c r="Q181" s="362"><f>LEFT(P181,1)</f><v /></c><c r="R181" s="362"><f>RIGHT(P181,6)</f><v /></c><c r="S181" s="362"><f>+(Q181*60+R181)/(60*60)</f><v /></c><c r="T181" s="363"><f>+O181/S181</f><v /></c><c r="U181" s="364"><f>+(((N181-M181-O181)/O181)*100)</f><v /></c><c r="V181" s="365"><f>V180</f><v /></c><c r="W181" s="366"><f>W180</f><v /></c><c r="X181" s="366"><f>X180</f><v /></c><c r="Y181" s="359" t="n"><v>336.54</v></c><c r="Z181" s="359" t="n"><v>346.42</v></c><c r="AA181" s="367"><f>AA180</f><v /></c><c r="AB181" s="368"><f>AB180</f><v /></c><c r="AC181" s="362"><f>LEFT(AB181,2)</f><v /></c><c r="AD181" s="362"><f>RIGHT(AB181,6)</f><v /></c><c r="AE181" s="362"><f>+(AC181*60+AD181)/(60*60)</f><v /></c><c r="AF181" s="363"><f>+AA181/AE181</f><v /></c><c r="AG181" s="369"><f>+(((Z181-Y181-AA181)/AA181)*100)</f><v /></c><c r="AH181" s="365"><f>AH180</f><v /></c><c r="AI181" s="366"><f>AI180</f><v /></c><c r="AJ181" s="366"><f>AJ180</f><v /></c><c r="AK181" s="359"><f>Z181</f><v /></c><c r="AL181" s="359" t="n"><v>351.35</v></c><c r="AM181" s="370"><f>AM180</f><v /></c><c r="AN181" s="361"><f>AN180</f><v /></c><c r="AO181" s="362"><f>LEFT(AN181,2)</f><v /></c><c r="AP181" s="362"><f>RIGHT(AN181,6)</f><v /></c><c r="AQ181" s="362"><f>+(AO181*60+AP181)/(60*60)</f><v /></c><c r="AR181" s="363"><f>+AM181/AQ181</f><v /></c><c r="AS181" s="369"><f>+(((AL181-AK181-AM181)/AM181)*100)</f><v /></c><c r="AT181" s="371"><f>IF(I181&gt;=1,"NO CONFORME",IF(BK181="SIGDIFERENTES",BC181,BL181))</f><v /></c><c r="AU181" s="372"><f>B181=C181</f><v /></c><c r="AV181" s="372"><f>N181&lt;Y181</f><v /></c><c r="AW181" s="372"><f>Z181&lt;=AK181</f><v /></c><c r="AX181" s="372"><f>IF(I181&gt;=1,"Qcorrecto",IF(AND(AY181="aceptable",AZ181="aceptable",BA181="aceptable"),"Qcorrecto","Qincorrecto"))</f><v /></c><c r="AY181" s="373"><f>IF(AR181&lt;$AH$6,"error",IF(AR181&gt;$AH$6*1.1,"error","aceptable"))</f><v /></c><c r="AZ181" s="373"><f>IF(AF181&lt;$V$6,"error",IF(AF181&gt;$V$6*1.1,"error","aceptable"))</f><v /></c><c r="BA181" s="373"><f>IF(T181&lt;$J$6*0.9,"error",IF(T181&gt;$J$6,"error","aceptable"))</f><v /></c><c r="BB181" s="25"><f>(IF(ABS(U181)&lt;1.05,"CONFORME",IF(ABS(AG181)&lt;1.05,"CONFORME",IF(ABS(AS181)&lt;2.55,"CONFORME","NO CONFORME"))))</f><v /></c><c r="BC181" s="5"><f>(IF(ABS(U181)&gt;2.05,"NO CONFORME",IF(ABS(AG181)&gt;2.05,"NO CONFORME",IF(ABS(AS181)&gt;5.05,"NO CONFORME","CONFORME"))))</f><v /></c><c r="BD181" s="374"><f>SIGN(U181)</f><v /></c><c r="BE181" s="374"><f>SIGN(AG181)</f><v /></c><c r="BF181" s="374"><f>SIGN(AS181)</f><v /></c><c r="BG181" s="374"><f>CONCATENATE(BD181,BE181,BF181)</f><v /></c><c r="BH181" s="374"><f>IF(BG181="111","SI","SD")</f><v /></c><c r="BI181" s="374"><f>IF(BG181="-1-1-1","SI","SD")</f><v /></c><c r="BJ181" s="374"><f>OR(BH181="SI",BI181="SI")</f><v /></c><c r="BK181" s="374"><f>IF(BJ181=FALSE,"SIGDIFERENTES","SIGIGUALES")</f><v /></c><c r="BL181" s="373"><f>IF(BC181="NO CONFORME","NO CONFORME",IF(BB181="CONFORME","CONFORME","NO CONFORME"))</f><v /></c></row><row r="182" ht="15" customHeight="1" thickBot="1"><c r="A182" s="351" t="n"><v>174</v></c><c r="B182" s="375"><f>B181</f><v /></c><c r="C182" s="375"><f>C181</f><v /></c><c r="D182" s="376"><f>D181</f><v /></c><c r="E182" s="377"><f>E181</f><v /></c><c r="F182" s="13" t="n" /><c r="G182" s="355" t="inlineStr"><is><t>PA25516874</t></is></c><c r="H182" s="313"><f>H181</f><v /></c><c r="I182" s="38"><f>I181</f><v /></c><c r="J182" s="314"><f>J181</f><v /></c><c r="K182" s="378"><f>K181</f><v /></c><c r="L182" s="378"><f>L181</f><v /></c><c r="M182" s="379" t="n"><v>208.55</v></c><c r="N182" s="379" t="n"><v>308.29</v></c><c r="O182" s="380"><f>O181</f><v /></c><c r="P182" s="381"><f>P181</f><v /></c><c r="Q182" s="382"><f>LEFT(P182,1)</f><v /></c><c r="R182" s="382"><f>RIGHT(P182,6)</f><v /></c><c r="S182" s="382"><f>+(Q182*60+R182)/(60*60)</f><v /></c><c r="T182" s="383"><f>+O182/S182</f><v /></c><c r="U182" s="384"><f>+(((N182-M182-O182)/O182)*100)</f><v /></c><c r="V182" s="317"><f>V181</f><v /></c><c r="W182" s="385"><f>W181</f><v /></c><c r="X182" s="385"><f>X181</f><v /></c><c r="Y182" s="379" t="n"><v>335.35</v></c><c r="Z182" s="379" t="n"><v>345.28</v></c><c r="AA182" s="386"><f>AA181</f><v /></c><c r="AB182" s="387"><f>AB181</f><v /></c><c r="AC182" s="382"><f>LEFT(AB182,2)</f><v /></c><c r="AD182" s="382"><f>RIGHT(AB182,6)</f><v /></c><c r="AE182" s="382"><f>+(AC182*60+AD182)/(60*60)</f><v /></c><c r="AF182" s="383"><f>+AA182/AE182</f><v /></c><c r="AG182" s="321"><f>+(((Z182-Y182-AA182)/AA182)*100)</f><v /></c><c r="AH182" s="317"><f>AH181</f><v /></c><c r="AI182" s="385"><f>AI181</f><v /></c><c r="AJ182" s="385"><f>AJ181</f><v /></c><c r="AK182" s="379"><f>Z182</f><v /></c><c r="AL182" s="379" t="n"><v>350.3</v></c><c r="AM182" s="388"><f>AM181</f><v /></c><c r="AN182" s="381"><f>AN181</f><v /></c><c r="AO182" s="382"><f>LEFT(AN182,2)</f><v /></c><c r="AP182" s="382"><f>RIGHT(AN182,6)</f><v /></c><c r="AQ182" s="382"><f>+(AO182*60+AP182)/(60*60)</f><v /></c><c r="AR182" s="383"><f>+AM182/AQ182</f><v /></c><c r="AS182" s="321"><f>+(((AL182-AK182-AM182)/AM182)*100)</f><v /></c><c r="AT182" s="389"><f>IF(I182&gt;=1,"NO CONFORME",IF(BK182="SIGDIFERENTES",BC182,BL182))</f><v /></c><c r="AU182" s="372"><f>B182=C182</f><v /></c><c r="AV182" s="372"><f>N182&lt;Y182</f><v /></c><c r="AW182" s="372"><f>Z182&lt;=AK182</f><v /></c><c r="AX182" s="372"><f>IF(I182&gt;=1,"Qcorrecto",IF(AND(AY182="aceptable",AZ182="aceptable",BA182="aceptable"),"Qcorrecto","Qincorrecto"))</f><v /></c><c r="AY182" s="390"><f>IF(AR182&lt;$AH$6,"error",IF(AR182&gt;$AH$6*1.1,"error","aceptable"))</f><v /></c><c r="AZ182" s="390"><f>IF(AF182&lt;$V$6,"error",IF(AF182&gt;$V$6*1.1,"error","aceptable"))</f><v /></c><c r="BA182" s="390"><f>IF(T182&lt;$J$6*0.9,"error",IF(T182&gt;$J$6,"error","aceptable"))</f><v /></c><c r="BB182" s="25"><f>(IF(ABS(U182)&lt;1.05,"CONFORME",IF(ABS(AG182)&lt;1.05,"CONFORME",IF(ABS(AS182)&lt;2.55,"CONFORME","NO CONFORME"))))</f><v /></c><c r="BC182" s="5"><f>(IF(ABS(U182)&gt;2.05,"NO CONFORME",IF(ABS(AG182)&gt;2.05,"NO CONFORME",IF(ABS(AS182)&gt;5.05,"NO CONFORME","CONFORME"))))</f><v /></c><c r="BD182" s="374"><f>SIGN(U182)</f><v /></c><c r="BE182" s="374"><f>SIGN(AG182)</f><v /></c><c r="BF182" s="374"><f>SIGN(AS182)</f><v /></c><c r="BG182" s="374"><f>CONCATENATE(BD182,BE182,BF182)</f><v /></c><c r="BH182" s="374"><f>IF(BG182="111","SI","SD")</f><v /></c><c r="BI182" s="374"><f>IF(BG182="-1-1-1","SI","SD")</f><v /></c><c r="BJ182" s="374"><f>OR(BH182="SI",BI182="SI")</f><v /></c><c r="BK182" s="374"><f>IF(BJ182=FALSE,"SIGDIFERENTES","SIGIGUALES")</f><v /></c><c r="BL182" s="390"><f>IF(BC182="NO CONFORME","NO CONFORME",IF(BB182="CONFORME","CONFORME","NO CONFORME"))</f><v /></c></row><row r="183" ht="15.75" customHeight="1" thickBot="1"><c r="A183" s="414" t="n"><v>175</v></c><c r="B183" s="415"><f>B182</f><v /></c><c r="C183" s="415"><f>C182</f><v /></c><c r="D183" s="416"><f>D182</f><v /></c><c r="E183" s="377"><f>E182</f><v /></c><c r="F183" s="56" t="n" /><c r="G183" s="355" t="inlineStr"><is><t>PA25516875</t></is></c><c r="H183" s="418"><f>H182</f><v /></c><c r="I183" s="419"><f>I182</f><v /></c><c r="J183" s="420"><f>J182</f><v /></c><c r="K183" s="421"><f>K182</f><v /></c><c r="L183" s="421"><f>L182</f><v /></c><c r="M183" s="422" t="n"><v>208.27</v></c><c r="N183" s="422" t="n"><v>308.79</v></c><c r="O183" s="423"><f>O182</f><v /></c><c r="P183" s="424"><f>P182</f><v /></c><c r="Q183" s="425"><f>LEFT(P183,1)</f><v /></c><c r="R183" s="425"><f>RIGHT(P183,6)</f><v /></c><c r="S183" s="425"><f>+(Q183*60+R183)/(60*60)</f><v /></c><c r="T183" s="426"><f>+O183/S183</f><v /></c><c r="U183" s="427"><f>+(((N183-M183-O183)/O183)*100)</f><v /></c><c r="V183" s="428"><f>V182</f><v /></c><c r="W183" s="429"><f>W182</f><v /></c><c r="X183" s="429"><f>X182</f><v /></c><c r="Y183" s="422" t="n"><v>335.94</v></c><c r="Z183" s="422" t="n"><v>345.89</v></c><c r="AA183" s="430"><f>AA182</f><v /></c><c r="AB183" s="431"><f>AB182</f><v /></c><c r="AC183" s="425"><f>LEFT(AB183,2)</f><v /></c><c r="AD183" s="425"><f>RIGHT(AB183,6)</f><v /></c><c r="AE183" s="425"><f>+(AC183*60+AD183)/(60*60)</f><v /></c><c r="AF183" s="426"><f>+AA183/AE183</f><v /></c><c r="AG183" s="432"><f>+(((Z183-Y183-AA183)/AA183)*100)</f><v /></c><c r="AH183" s="428"><f>AH182</f><v /></c><c r="AI183" s="429"><f>AI182</f><v /></c><c r="AJ183" s="429"><f>AJ182</f><v /></c><c r="AK183" s="422"><f>Z183</f><v /></c><c r="AL183" s="422" t="n"><v>350.88</v></c><c r="AM183" s="433"><f>AM182</f><v /></c><c r="AN183" s="424"><f>AN182</f><v /></c><c r="AO183" s="425"><f>LEFT(AN183,2)</f><v /></c><c r="AP183" s="425"><f>RIGHT(AN183,6)</f><v /></c><c r="AQ183" s="425"><f>+(AO183*60+AP183)/(60*60)</f><v /></c><c r="AR183" s="426"><f>+AM183/AQ183</f><v /></c><c r="AS183" s="432"><f>+(((AL183-AK183-AM183)/AM183)*100)</f><v /></c><c r="AT183" s="434"><f>IF(I183&gt;=1,"NO CONFORME",IF(BK183="SIGDIFERENTES",BC183,BL183))</f><v /></c><c r="AU183" s="372"><f>B183=C183</f><v /></c><c r="AV183" s="372"><f>N183&lt;Y183</f><v /></c><c r="AW183" s="372"><f>Z183&lt;=AK183</f><v /></c><c r="AX183" s="372"><f>IF(I183&gt;=1,"Qcorrecto",IF(AND(AY183="aceptable",AZ183="aceptable",BA183="aceptable"),"Qcorrecto","Qincorrecto"))</f><v /></c><c r="AY183" s="435"><f>IF(AR183&lt;$AH$6,"error",IF(AR183&gt;$AH$6*1.1,"error","aceptable"))</f><v /></c><c r="AZ183" s="435"><f>IF(AF183&lt;$V$6,"error",IF(AF183&gt;$V$6*1.1,"error","aceptable"))</f><v /></c><c r="BA183" s="435"><f>IF(T183&lt;$J$6*0.9,"error",IF(T183&gt;$J$6,"error","aceptable"))</f><v /></c><c r="BB183" s="436"><f>(IF(ABS(U183)&lt;1.05,"CONFORME",IF(ABS(AG183)&lt;1.05,"CONFORME",IF(ABS(AS183)&lt;2.55,"CONFORME","NO CONFORME"))))</f><v /></c><c r="BC183" s="437"><f>(IF(ABS(U183)&gt;2.05,"NO CONFORME",IF(ABS(AG183)&gt;2.05,"NO CONFORME",IF(ABS(AS183)&gt;5.05,"NO CONFORME","CONFORME"))))</f><v /></c><c r="BD183" s="374"><f>SIGN(U183)</f><v /></c><c r="BE183" s="374"><f>SIGN(AG183)</f><v /></c><c r="BF183" s="374"><f>SIGN(AS183)</f><v /></c><c r="BG183" s="374"><f>CONCATENATE(BD183,BE183,BF183)</f><v /></c><c r="BH183" s="374"><f>IF(BG183="111","SI","SD")</f><v /></c><c r="BI183" s="374"><f>IF(BG183="-1-1-1","SI","SD")</f><v /></c><c r="BJ183" s="374"><f>OR(BH183="SI",BI183="SI")</f><v /></c><c r="BK183" s="374"><f>IF(BJ183=FALSE,"SIGDIFERENTES","SIGIGUALES")</f><v /></c><c r="BL183" s="435"><f>IF(BC183="NO CONFORME","NO CONFORME",IF(BB183="CONFORME","CONFORME","NO CONFORME"))</f><v /></c></row><row r="184" ht="15" customHeight="1" thickBot="1"><c r="A184" s="377" t="n"><v>176</v></c><c r="B184" s="375"><f>B183</f><v /></c><c r="C184" s="375"><f>C183</f><v /></c><c r="D184" s="376"><f>D183</f><v /></c><c r="E184" s="377"><f>E183</f><v /></c><c r="F184" s="13" t="n" /><c r="G184" s="355" t="inlineStr"><is><t>PA25516876</t></is></c><c r="H184" s="313"><f>H183</f><v /></c><c r="I184" s="38"><f>I183</f><v /></c><c r="J184" s="314"><f>J183</f><v /></c><c r="K184" s="378"><f>K183</f><v /></c><c r="L184" s="378"><f>L183</f><v /></c><c r="M184" s="379" t="n"><v>247.8</v></c><c r="N184" s="379" t="n"><v>347.95</v></c><c r="O184" s="380"><f>O183</f><v /></c><c r="P184" s="424"><f>P183</f><v /></c><c r="Q184" s="382"><f>LEFT(P184,1)</f><v /></c><c r="R184" s="382"><f>RIGHT(P184,6)</f><v /></c><c r="S184" s="382"><f>+(Q184*60+R184)/(60*60)</f><v /></c><c r="T184" s="383"><f>+O184/S184</f><v /></c><c r="U184" s="384"><f>+(((N184-M184-O184)/O184)*100)</f><v /></c><c r="V184" s="317"><f>V183</f><v /></c><c r="W184" s="385"><f>W183</f><v /></c><c r="X184" s="385"><f>X183</f><v /></c><c r="Y184" s="379" t="n"><v>375.03</v></c><c r="Z184" s="379" t="n"><v>384.95</v></c><c r="AA184" s="386"><f>AA183</f><v /></c><c r="AB184" s="387"><f>AB183</f><v /></c><c r="AC184" s="382"><f>LEFT(AB184,2)</f><v /></c><c r="AD184" s="382"><f>RIGHT(AB184,6)</f><v /></c><c r="AE184" s="382"><f>+(AC184*60+AD184)/(60*60)</f><v /></c><c r="AF184" s="383"><f>+AA184/AE184</f><v /></c><c r="AG184" s="321"><f>+(((Z184-Y184-AA184)/AA184)*100)</f><v /></c><c r="AH184" s="317"><f>AH183</f><v /></c><c r="AI184" s="385"><f>AI183</f><v /></c><c r="AJ184" s="385"><f>AJ183</f><v /></c><c r="AK184" s="379"><f>Z184</f><v /></c><c r="AL184" s="379" t="n"><v>389.9</v></c><c r="AM184" s="388"><f>AM183</f><v /></c><c r="AN184" s="381"><f>AN183</f><v /></c><c r="AO184" s="382"><f>LEFT(AN184,2)</f><v /></c><c r="AP184" s="382"><f>RIGHT(AN184,6)</f><v /></c><c r="AQ184" s="382"><f>+(AO184*60+AP184)/(60*60)</f><v /></c><c r="AR184" s="383"><f>+AM184/AQ184</f><v /></c><c r="AS184" s="321"><f>+(((AL184-AK184-AM184)/AM184)*100)</f><v /></c><c r="AT184" s="389"><f>IF(I184&gt;=1,"NO CONFORME",IF(BK184="SIGDIFERENTES",BC184,BL184))</f><v /></c><c r="AU184" s="438"><f>B184=C184</f><v /></c><c r="AV184" s="438"><f>N184&lt;Y184</f><v /></c><c r="AW184" s="438"><f>Z184&lt;=AK184</f><v /></c><c r="AX184" s="438"><f>IF(I184&gt;=1,"Qcorrecto",IF(AND(AY184="aceptable",AZ184="aceptable",BA184="aceptable"),"Qcorrecto","Qincorrecto"))</f><v /></c><c r="AY184" s="390"><f>IF(AR184&lt;$AH$6,"error",IF(AR184&gt;$AH$6*1.1,"error","aceptable"))</f><v /></c><c r="AZ184" s="390"><f>IF(AF184&lt;$V$6,"error",IF(AF184&gt;$V$6*1.1,"error","aceptable"))</f><v /></c><c r="BA184" s="390"><f>IF(T184&lt;$J$6*0.9,"error",IF(T184&gt;$J$6,"error","aceptable"))</f><v /></c><c r="BB184" s="439"><f>(IF(ABS(U184)&lt;1.05,"CONFORME",IF(ABS(AG184)&lt;1.05,"CONFORME",IF(ABS(AS184)&lt;2.55,"CONFORME","NO CONFORME"))))</f><v /></c><c r="BC184" s="440"><f>(IF(ABS(U184)&gt;2.05,"NO CONFORME",IF(ABS(AG184)&gt;2.05,"NO CONFORME",IF(ABS(AS184)&gt;5.05,"NO CONFORME","CONFORME"))))</f><v /></c><c r="BD184" s="441"><f>SIGN(U184)</f><v /></c><c r="BE184" s="441"><f>SIGN(AG184)</f><v /></c><c r="BF184" s="441"><f>SIGN(AS184)</f><v /></c><c r="BG184" s="441"><f>CONCATENATE(BD184,BE184,BF184)</f><v /></c><c r="BH184" s="441"><f>IF(BG184="111","SI","SD")</f><v /></c><c r="BI184" s="441"><f>IF(BG184="-1-1-1","SI","SD")</f><v /></c><c r="BJ184" s="441"><f>OR(BH184="SI",BI184="SI")</f><v /></c><c r="BK184" s="441"><f>IF(BJ184=FALSE,"SIGDIFERENTES","SIGIGUALES")</f><v /></c><c r="BL184" s="390"><f>IF(BC184="NO CONFORME","NO CONFORME",IF(BB184="CONFORME","CONFORME","NO CONFORME"))</f><v /></c></row><row r="185" ht="15" customHeight="1" thickBot="1"><c r="A185" s="351" t="n"><v>177</v></c><c r="B185" s="352"><f>B184</f><v /></c><c r="C185" s="352"><f>C184</f><v /></c><c r="D185" s="353"><f>D184</f><v /></c><c r="E185" s="377"><f>E184</f><v /></c><c r="F185" s="58" t="n" /><c r="G185" s="355" t="inlineStr"><is><t>PA25516877</t></is></c><c r="H185" s="356"><f>H184</f><v /></c><c r="I185" s="232"><f>I184</f><v /></c><c r="J185" s="314"><f>J184</f><v /></c><c r="K185" s="378"><f>K184</f><v /></c><c r="L185" s="378"><f>L184</f><v /></c><c r="M185" s="359" t="n"><v>248.29</v></c><c r="N185" s="359" t="n"><v>348.55</v></c><c r="O185" s="380"><f>O184</f><v /></c><c r="P185" s="424"><f>P184</f><v /></c><c r="Q185" s="362"><f>LEFT(P185,1)</f><v /></c><c r="R185" s="362"><f>RIGHT(P185,6)</f><v /></c><c r="S185" s="362"><f>+(Q185*60+R185)/(60*60)</f><v /></c><c r="T185" s="363"><f>+O185/S185</f><v /></c><c r="U185" s="364"><f>+(((N185-M185-O185)/O185)*100)</f><v /></c><c r="V185" s="317"><f>V184</f><v /></c><c r="W185" s="385"><f>W184</f><v /></c><c r="X185" s="385"><f>X184</f><v /></c><c r="Y185" s="359" t="n"><v>375.53</v></c><c r="Z185" s="359" t="n"><v>385.41</v></c><c r="AA185" s="386"><f>AA184</f><v /></c><c r="AB185" s="387"><f>AB184</f><v /></c><c r="AC185" s="362"><f>LEFT(AB185,2)</f><v /></c><c r="AD185" s="362"><f>RIGHT(AB185,6)</f><v /></c><c r="AE185" s="362"><f>+(AC185*60+AD185)/(60*60)</f><v /></c><c r="AF185" s="363"><f>+AA185/AE185</f><v /></c><c r="AG185" s="369"><f>+(((Z185-Y185-AA185)/AA185)*100)</f><v /></c><c r="AH185" s="317"><f>AH184</f><v /></c><c r="AI185" s="385"><f>AI184</f><v /></c><c r="AJ185" s="385"><f>AJ184</f><v /></c><c r="AK185" s="359"><f>Z185</f><v /></c><c r="AL185" s="359" t="n"><v>390.37</v></c><c r="AM185" s="388"><f>AM184</f><v /></c><c r="AN185" s="381"><f>AN184</f><v /></c><c r="AO185" s="362"><f>LEFT(AN185,2)</f><v /></c><c r="AP185" s="362"><f>RIGHT(AN185,6)</f><v /></c><c r="AQ185" s="362"><f>+(AO185*60+AP185)/(60*60)</f><v /></c><c r="AR185" s="363"><f>+AM185/AQ185</f><v /></c><c r="AS185" s="369"><f>+(((AL185-AK185-AM185)/AM185)*100)</f><v /></c><c r="AT185" s="371"><f>IF(I185&gt;=1,"NO CONFORME",IF(BK185="SIGDIFERENTES",BC185,BL185))</f><v /></c><c r="AU185" s="372"><f>B185=C185</f><v /></c><c r="AV185" s="372"><f>N185&lt;Y185</f><v /></c><c r="AW185" s="372"><f>Z185&lt;=AK185</f><v /></c><c r="AX185" s="372"><f>IF(I185&gt;=1,"Qcorrecto",IF(AND(AY185="aceptable",AZ185="aceptable",BA185="aceptable"),"Qcorrecto","Qincorrecto"))</f><v /></c><c r="AY185" s="373"><f>IF(AR185&lt;$AH$6,"error",IF(AR185&gt;$AH$6*1.1,"error","aceptable"))</f><v /></c><c r="AZ185" s="373"><f>IF(AF185&lt;$V$6,"error",IF(AF185&gt;$V$6*1.1,"error","aceptable"))</f><v /></c><c r="BA185" s="373"><f>IF(T185&lt;$J$6*0.9,"error",IF(T185&gt;$J$6,"error","aceptable"))</f><v /></c><c r="BB185" s="25"><f>(IF(ABS(U185)&lt;1.05,"CONFORME",IF(ABS(AG185)&lt;1.05,"CONFORME",IF(ABS(AS185)&lt;2.55,"CONFORME","NO CONFORME"))))</f><v /></c><c r="BC185" s="5"><f>(IF(ABS(U185)&gt;2.05,"NO CONFORME",IF(ABS(AG185)&gt;2.05,"NO CONFORME",IF(ABS(AS185)&gt;5.05,"NO CONFORME","CONFORME"))))</f><v /></c><c r="BD185" s="374"><f>SIGN(U185)</f><v /></c><c r="BE185" s="374"><f>SIGN(AG185)</f><v /></c><c r="BF185" s="374"><f>SIGN(AS185)</f><v /></c><c r="BG185" s="374"><f>CONCATENATE(BD185,BE185,BF185)</f><v /></c><c r="BH185" s="374"><f>IF(BG185="111","SI","SD")</f><v /></c><c r="BI185" s="374"><f>IF(BG185="-1-1-1","SI","SD")</f><v /></c><c r="BJ185" s="374"><f>OR(BH185="SI",BI185="SI")</f><v /></c><c r="BK185" s="374"><f>IF(BJ185=FALSE,"SIGDIFERENTES","SIGIGUALES")</f><v /></c><c r="BL185" s="373"><f>IF(BC185="NO CONFORME","NO CONFORME",IF(BB185="CONFORME","CONFORME","NO CONFORME"))</f><v /></c></row><row r="186" ht="15.75" customHeight="1" thickBot="1"><c r="A186" s="351" t="n"><v>178</v></c><c r="B186" s="375"><f>B185</f><v /></c><c r="C186" s="375"><f>C185</f><v /></c><c r="D186" s="376"><f>D185</f><v /></c><c r="E186" s="377"><f>E185</f><v /></c><c r="F186" s="13" t="n" /><c r="G186" s="355" t="inlineStr"><is><t>PA25516878</t></is></c><c r="H186" s="313"><f>H185</f><v /></c><c r="I186" s="38"><f>I185</f><v /></c><c r="J186" s="314"><f>J185</f><v /></c><c r="K186" s="378"><f>K185</f><v /></c><c r="L186" s="378"><f>L185</f><v /></c><c r="M186" s="379" t="n"><v>207.53</v></c><c r="N186" s="379" t="n"><v>307.39</v></c><c r="O186" s="380"><f>O185</f><v /></c><c r="P186" s="424"><f>P185</f><v /></c><c r="Q186" s="382"><f>LEFT(P186,1)</f><v /></c><c r="R186" s="382"><f>RIGHT(P186,6)</f><v /></c><c r="S186" s="382"><f>+(Q186*60+R186)/(60*60)</f><v /></c><c r="T186" s="383"><f>+O186/S186</f><v /></c><c r="U186" s="384"><f>+(((N186-M186-O186)/O186)*100)</f><v /></c><c r="V186" s="317"><f>V185</f><v /></c><c r="W186" s="385"><f>W185</f><v /></c><c r="X186" s="385"><f>X185</f><v /></c><c r="Y186" s="379" t="n"><v>334.49</v></c><c r="Z186" s="379" t="n"><v>344.44</v></c><c r="AA186" s="386"><f>AA185</f><v /></c><c r="AB186" s="387"><f>AB185</f><v /></c><c r="AC186" s="382"><f>LEFT(AB186,2)</f><v /></c><c r="AD186" s="382"><f>RIGHT(AB186,6)</f><v /></c><c r="AE186" s="382"><f>+(AC186*60+AD186)/(60*60)</f><v /></c><c r="AF186" s="383"><f>+AA186/AE186</f><v /></c><c r="AG186" s="321"><f>+(((Z186-Y186-AA186)/AA186)*100)</f><v /></c><c r="AH186" s="317"><f>AH185</f><v /></c><c r="AI186" s="385"><f>AI185</f><v /></c><c r="AJ186" s="385"><f>AJ185</f><v /></c><c r="AK186" s="379"><f>Z186</f><v /></c><c r="AL186" s="379" t="n"><v>349.45</v></c><c r="AM186" s="388"><f>AM185</f><v /></c><c r="AN186" s="381"><f>AN185</f><v /></c><c r="AO186" s="382"><f>LEFT(AN186,2)</f><v /></c><c r="AP186" s="382"><f>RIGHT(AN186,6)</f><v /></c><c r="AQ186" s="382"><f>+(AO186*60+AP186)/(60*60)</f><v /></c><c r="AR186" s="383"><f>+AM186/AQ186</f><v /></c><c r="AS186" s="321"><f>+(((AL186-AK186-AM186)/AM186)*100)</f><v /></c><c r="AT186" s="389"><f>IF(I186&gt;=1,"NO CONFORME",IF(BK186="SIGDIFERENTES",BC186,BL186))</f><v /></c><c r="AU186" s="372"><f>B186=C186</f><v /></c><c r="AV186" s="372"><f>N186&lt;Y186</f><v /></c><c r="AW186" s="372"><f>Z186&lt;=AK186</f><v /></c><c r="AX186" s="372"><f>IF(I186&gt;=1,"Qcorrecto",IF(AND(AY186="aceptable",AZ186="aceptable",BA186="aceptable"),"Qcorrecto","Qincorrecto"))</f><v /></c><c r="AY186" s="390"><f>IF(AR186&lt;$AH$6,"error",IF(AR186&gt;$AH$6*1.1,"error","aceptable"))</f><v /></c><c r="AZ186" s="390"><f>IF(AF186&lt;$V$6,"error",IF(AF186&gt;$V$6*1.1,"error","aceptable"))</f><v /></c><c r="BA186" s="390"><f>IF(T186&lt;$J$6*0.9,"error",IF(T186&gt;$J$6,"error","aceptable"))</f><v /></c><c r="BB186" s="25"><f>(IF(ABS(U186)&lt;1.05,"CONFORME",IF(ABS(AG186)&lt;1.05,"CONFORME",IF(ABS(AS186)&lt;2.55,"CONFORME","NO CONFORME"))))</f><v /></c><c r="BC186" s="5"><f>(IF(ABS(U186)&gt;2.05,"NO CONFORME",IF(ABS(AG186)&gt;2.05,"NO CONFORME",IF(ABS(AS186)&gt;5.05,"NO CONFORME","CONFORME"))))</f><v /></c><c r="BD186" s="374"><f>SIGN(U186)</f><v /></c><c r="BE186" s="374"><f>SIGN(AG186)</f><v /></c><c r="BF186" s="374"><f>SIGN(AS186)</f><v /></c><c r="BG186" s="374"><f>CONCATENATE(BD186,BE186,BF186)</f><v /></c><c r="BH186" s="374"><f>IF(BG186="111","SI","SD")</f><v /></c><c r="BI186" s="374"><f>IF(BG186="-1-1-1","SI","SD")</f><v /></c><c r="BJ186" s="374"><f>OR(BH186="SI",BI186="SI")</f><v /></c><c r="BK186" s="374"><f>IF(BJ186=FALSE,"SIGDIFERENTES","SIGIGUALES")</f><v /></c><c r="BL186" s="390"><f>IF(BC186="NO CONFORME","NO CONFORME",IF(BB186="CONFORME","CONFORME","NO CONFORME"))</f><v /></c></row><row r="187" ht="15" customHeight="1" thickBot="1"><c r="A187" s="351" t="n"><v>179</v></c><c r="B187" s="375"><f>B186</f><v /></c><c r="C187" s="375"><f>C186</f><v /></c><c r="D187" s="376"><f>D186</f><v /></c><c r="E187" s="377"><f>E186</f><v /></c><c r="F187" s="13" t="n" /><c r="G187" s="355" t="inlineStr"><is><t>PA25516879</t></is></c><c r="H187" s="313"><f>H186</f><v /></c><c r="I187" s="38"><f>I186</f><v /></c><c r="J187" s="314"><f>J186</f><v /></c><c r="K187" s="378"><f>K186</f><v /></c><c r="L187" s="378"><f>L186</f><v /></c><c r="M187" s="379" t="n"><v>246.77</v></c><c r="N187" s="379" t="n"><v>346.77</v></c><c r="O187" s="380"><f>O186</f><v /></c><c r="P187" s="424"><f>P186</f><v /></c><c r="Q187" s="382"><f>LEFT(P187,1)</f><v /></c><c r="R187" s="382"><f>RIGHT(P187,6)</f><v /></c><c r="S187" s="382"><f>+(Q187*60+R187)/(60*60)</f><v /></c><c r="T187" s="383"><f>+O187/S187</f><v /></c><c r="U187" s="384"><f>+(((N187-M187-O187)/O187)*100)</f><v /></c><c r="V187" s="317"><f>V186</f><v /></c><c r="W187" s="385"><f>W186</f><v /></c><c r="X187" s="385"><f>X186</f><v /></c><c r="Y187" s="379" t="n"><v>373.78</v></c><c r="Z187" s="379" t="n"><v>383.67</v></c><c r="AA187" s="386"><f>AA186</f><v /></c><c r="AB187" s="387"><f>AB186</f><v /></c><c r="AC187" s="382"><f>LEFT(AB187,2)</f><v /></c><c r="AD187" s="382"><f>RIGHT(AB187,6)</f><v /></c><c r="AE187" s="382"><f>+(AC187*60+AD187)/(60*60)</f><v /></c><c r="AF187" s="383"><f>+AA187/AE187</f><v /></c><c r="AG187" s="321"><f>+(((Z187-Y187-AA187)/AA187)*100)</f><v /></c><c r="AH187" s="317"><f>AH186</f><v /></c><c r="AI187" s="385"><f>AI186</f><v /></c><c r="AJ187" s="385"><f>AJ186</f><v /></c><c r="AK187" s="379"><f>Z187</f><v /></c><c r="AL187" s="379" t="n"><v>388.63</v></c><c r="AM187" s="388"><f>AM186</f><v /></c><c r="AN187" s="381"><f>AN186</f><v /></c><c r="AO187" s="382"><f>LEFT(AN187,2)</f><v /></c><c r="AP187" s="382"><f>RIGHT(AN187,6)</f><v /></c><c r="AQ187" s="382"><f>+(AO187*60+AP187)/(60*60)</f><v /></c><c r="AR187" s="383"><f>+AM187/AQ187</f><v /></c><c r="AS187" s="321"><f>+(((AL187-AK187-AM187)/AM187)*100)</f><v /></c><c r="AT187" s="389"><f>IF(I187&gt;=1,"NO CONFORME",IF(BK187="SIGDIFERENTES",BC187,BL187))</f><v /></c><c r="AU187" s="372"><f>B187=C187</f><v /></c><c r="AV187" s="372"><f>N187&lt;Y187</f><v /></c><c r="AW187" s="372"><f>Z187&lt;=AK187</f><v /></c><c r="AX187" s="372"><f>IF(I187&gt;=1,"Qcorrecto",IF(AND(AY187="aceptable",AZ187="aceptable",BA187="aceptable"),"Qcorrecto","Qincorrecto"))</f><v /></c><c r="AY187" s="390"><f>IF(AR187&lt;$AH$6,"error",IF(AR187&gt;$AH$6*1.1,"error","aceptable"))</f><v /></c><c r="AZ187" s="390"><f>IF(AF187&lt;$V$6,"error",IF(AF187&gt;$V$6*1.1,"error","aceptable"))</f><v /></c><c r="BA187" s="390"><f>IF(T187&lt;$J$6*0.9,"error",IF(T187&gt;$J$6,"error","aceptable"))</f><v /></c><c r="BB187" s="25"><f>(IF(ABS(U187)&lt;1.05,"CONFORME",IF(ABS(AG187)&lt;1.05,"CONFORME",IF(ABS(AS187)&lt;2.55,"CONFORME","NO CONFORME"))))</f><v /></c><c r="BC187" s="5"><f>(IF(ABS(U187)&gt;2.05,"NO CONFORME",IF(ABS(AG187)&gt;2.05,"NO CONFORME",IF(ABS(AS187)&gt;5.05,"NO CONFORME","CONFORME"))))</f><v /></c><c r="BD187" s="374"><f>SIGN(U187)</f><v /></c><c r="BE187" s="374"><f>SIGN(AG187)</f><v /></c><c r="BF187" s="374"><f>SIGN(AS187)</f><v /></c><c r="BG187" s="374"><f>CONCATENATE(BD187,BE187,BF187)</f><v /></c><c r="BH187" s="374"><f>IF(BG187="111","SI","SD")</f><v /></c><c r="BI187" s="374"><f>IF(BG187="-1-1-1","SI","SD")</f><v /></c><c r="BJ187" s="374"><f>OR(BH187="SI",BI187="SI")</f><v /></c><c r="BK187" s="374"><f>IF(BJ187=FALSE,"SIGDIFERENTES","SIGIGUALES")</f><v /></c><c r="BL187" s="390"><f>IF(BC187="NO CONFORME","NO CONFORME",IF(BB187="CONFORME","CONFORME","NO CONFORME"))</f><v /></c></row><row r="188" ht="15" customHeight="1" thickBot="1"><c r="A188" s="414" t="n"><v>180</v></c><c r="B188" s="415"><f>B187</f><v /></c><c r="C188" s="415"><f>C187</f><v /></c><c r="D188" s="416"><f>D187</f><v /></c><c r="E188" s="377"><f>E187</f><v /></c><c r="F188" s="56" t="n" /><c r="G188" s="460" t="inlineStr"><is><t>PA25516880</t></is></c><c r="H188" s="418"><f>H187</f><v /></c><c r="I188" s="419"><f>I187</f><v /></c><c r="J188" s="420"><f>J187</f><v /></c><c r="K188" s="421"><f>K187</f><v /></c><c r="L188" s="421"><f>L187</f><v /></c><c r="M188" s="422" t="n"><v>206.75</v></c><c r="N188" s="422" t="n"><v>306.42</v></c><c r="O188" s="423"><f>O187</f><v /></c><c r="P188" s="424"><f>P187</f><v /></c><c r="Q188" s="425"><f>LEFT(P188,1)</f><v /></c><c r="R188" s="425"><f>RIGHT(P188,6)</f><v /></c><c r="S188" s="425"><f>+(Q188*60+R188)/(60*60)</f><v /></c><c r="T188" s="426"><f>+O188/S188</f><v /></c><c r="U188" s="427"><f>+(((N188-M188-O188)/O188)*100)</f><v /></c><c r="V188" s="428"><f>V187</f><v /></c><c r="W188" s="429"><f>W187</f><v /></c><c r="X188" s="429"><f>X187</f><v /></c><c r="Y188" s="422" t="n"><v>333.48</v></c><c r="Z188" s="422" t="n"><v>343.43</v></c><c r="AA188" s="430"><f>AA187</f><v /></c><c r="AB188" s="431"><f>AB187</f><v /></c><c r="AC188" s="425"><f>LEFT(AB188,2)</f><v /></c><c r="AD188" s="425"><f>RIGHT(AB188,6)</f><v /></c><c r="AE188" s="425"><f>+(AC188*60+AD188)/(60*60)</f><v /></c><c r="AF188" s="426"><f>+AA188/AE188</f><v /></c><c r="AG188" s="432"><f>+(((Z188-Y188-AA188)/AA188)*100)</f><v /></c><c r="AH188" s="428"><f>AH187</f><v /></c><c r="AI188" s="429"><f>AI187</f><v /></c><c r="AJ188" s="429"><f>AJ187</f><v /></c><c r="AK188" s="422"><f>Z188</f><v /></c><c r="AL188" s="422" t="n"><v>348.44</v></c><c r="AM188" s="433"><f>AM187</f><v /></c><c r="AN188" s="424"><f>AN187</f><v /></c><c r="AO188" s="425"><f>LEFT(AN188,2)</f><v /></c><c r="AP188" s="425"><f>RIGHT(AN188,6)</f><v /></c><c r="AQ188" s="425"><f>+(AO188*60+AP188)/(60*60)</f><v /></c><c r="AR188" s="426"><f>+AM188/AQ188</f><v /></c><c r="AS188" s="432"><f>+(((AL188-AK188-AM188)/AM188)*100)</f><v /></c><c r="AT188" s="434"><f>IF(I188&gt;=1,"NO CONFORME",IF(BK188="SIGDIFERENTES",BC188,BL188))</f><v /></c><c r="AU188" s="409"><f>B188=C188</f><v /></c><c r="AV188" s="409"><f>N188&lt;Y188</f><v /></c><c r="AW188" s="409"><f>Z188&lt;=AK188</f><v /></c><c r="AX188" s="409"><f>IF(I188&gt;=1,"Qcorrecto",IF(AND(AY188="aceptable",AZ188="aceptable",BA188="aceptable"),"Qcorrecto","Qincorrecto"))</f><v /></c><c r="AY188" s="410"><f>IF(AR188&lt;$AH$6,"error",IF(AR188&gt;$AH$6*1.1,"error","aceptable"))</f><v /></c><c r="AZ188" s="410"><f>IF(AF188&lt;$V$6,"error",IF(AF188&gt;$V$6*1.1,"error","aceptable"))</f><v /></c><c r="BA188" s="410"><f>IF(T188&lt;$J$6*0.9,"error",IF(T188&gt;$J$6,"error","aceptable"))</f><v /></c><c r="BB188" s="411"><f>(IF(ABS(U188)&lt;1.05,"CONFORME",IF(ABS(AG188)&lt;1.05,"CONFORME",IF(ABS(AS188)&lt;2.55,"CONFORME","NO CONFORME"))))</f><v /></c><c r="BC188" s="412"><f>(IF(ABS(U188)&gt;2.05,"NO CONFORME",IF(ABS(AG188)&gt;2.05,"NO CONFORME",IF(ABS(AS188)&gt;5.05,"NO CONFORME","CONFORME"))))</f><v /></c><c r="BD188" s="413"><f>SIGN(U188)</f><v /></c><c r="BE188" s="413"><f>SIGN(AG188)</f><v /></c><c r="BF188" s="413"><f>SIGN(AS188)</f><v /></c><c r="BG188" s="413"><f>CONCATENATE(BD188,BE188,BF188)</f><v /></c><c r="BH188" s="413"><f>IF(BG188="111","SI","SD")</f><v /></c><c r="BI188" s="413"><f>IF(BG188="-1-1-1","SI","SD")</f><v /></c><c r="BJ188" s="413"><f>OR(BH188="SI",BI188="SI")</f><v /></c><c r="BK188" s="413"><f>IF(BJ188=FALSE,"SIGDIFERENTES","SIGIGUALES")</f><v /></c><c r="BL188" s="410"><f>IF(BC188="NO CONFORME","NO CONFORME",IF(BB188="CONFORME","CONFORME","NO CONFORME"))</f><v /></c></row><row r="189" ht="15" customHeight="1" thickBot="1"><c r="A189" s="461" t="n"><v>181</v></c><c r="B189" s="462"><f>B188</f><v /></c><c r="C189" s="462"><f>C188</f><v /></c><c r="D189" s="463"><f>D188</f><v /></c><c r="E189" s="377"><f>E188</f><v /></c><c r="F189" s="46" t="n" /><c r="G189" s="464" t="inlineStr"><is><t>PA25516881</t></is></c><c r="H189" s="465"><f>H188</f><v /></c><c r="I189" s="466"><f>I188</f><v /></c><c r="J189" s="467" t="n"><v>20.5</v></c><c r="K189" s="468" t="n"><v>8.487</v></c><c r="L189" s="468" t="n"><v>0.592</v></c><c r="M189" s="469" t="n"><v>100.7</v></c><c r="N189" s="469" t="n"><v>199.56</v></c><c r="O189" s="470" t="n"><v>100.31</v></c><c r="P189" s="471" t="inlineStr"><is><t>2,30,140</t></is></c><c r="Q189" s="472"><f>LEFT(P189,1)</f><v /></c><c r="R189" s="472"><f>RIGHT(P189,6)</f><v /></c><c r="S189" s="472"><f>+(Q189*60+R189)/(60*60)</f><v /></c><c r="T189" s="473"><f>+O189/S189</f><v /></c><c r="U189" s="474"><f>+(((N189-M189-O189)/O189)*100)</f><v /></c><c r="V189" s="475" t="n"><v>20.7</v></c><c r="W189" s="476" t="n"><v>1.095</v></c><c r="X189" s="476" t="n"><v>1.086</v></c><c r="Y189" s="469" t="n"><v>224.84</v></c><c r="Z189" s="469" t="n"><v>234.76</v></c><c r="AA189" s="477" t="n"><v>10.008</v></c><c r="AB189" s="477" t="inlineStr"><is><t>22,32,060</t></is></c><c r="AC189" s="472"><f>LEFT(AB189,2)</f><v /></c><c r="AD189" s="472"><f>RIGHT(AB189,6)</f><v /></c><c r="AE189" s="472"><f>+(AC189*60+AD189)/(60*60)</f><v /></c><c r="AF189" s="473"><f>+AA189/AE189</f><v /></c><c r="AG189" s="309"><f>+(((Z189-Y189-AA189)/AA189)*100)</f><v /></c><c r="AH189" s="475" t="n"><v>21.3</v></c><c r="AI189" s="476" t="n"><v>1.096</v></c><c r="AJ189" s="476" t="n"><v>1.087</v></c><c r="AK189" s="469"><f>Z189</f><v /></c><c r="AL189" s="469" t="n"><v>239.72</v></c><c r="AM189" s="478" t="n"><v>5.005</v></c><c r="AN189" s="479" t="inlineStr"><is><t>18,09,850</t></is></c><c r="AO189" s="472"><f>LEFT(AN189,2)</f><v /></c><c r="AP189" s="472"><f>RIGHT(AN189,6)</f><v /></c><c r="AQ189" s="472"><f>+(AO189*60+AP189)/(60*60)</f><v /></c><c r="AR189" s="473"><f>+AM189/AQ189</f><v /></c><c r="AS189" s="309"><f>+(((AL189-AK189-AM189)/AM189)*100)</f><v /></c><c r="AT189" s="480"><f>IF(I189&gt;=1,"NO CONFORME",IF(BK189="SIGDIFERENTES",BC189,BL189))</f><v /></c><c r="AU189" s="372"><f>B189=C189</f><v /></c><c r="AV189" s="372"><f>N189&lt;Y189</f><v /></c><c r="AW189" s="372"><f>Z189&lt;=AK189</f><v /></c><c r="AX189" s="372"><f>IF(I189&gt;=1,"Qcorrecto",IF(AND(AY189="aceptable",AZ189="aceptable",BA189="aceptable"),"Qcorrecto","Qincorrecto"))</f><v /></c><c r="AY189" s="373"><f>IF(AR189&lt;$AH$6,"error",IF(AR189&gt;$AH$6*1.1,"error","aceptable"))</f><v /></c><c r="AZ189" s="373"><f>IF(AF189&lt;$V$6,"error",IF(AF189&gt;$V$6*1.1,"error","aceptable"))</f><v /></c><c r="BA189" s="373"><f>IF(T189&lt;$J$6*0.9,"error",IF(T189&gt;$J$6,"error","aceptable"))</f><v /></c><c r="BB189" s="25"><f>(IF(ABS(U189)&lt;1.05,"CONFORME",IF(ABS(AG189)&lt;1.05,"CONFORME",IF(ABS(AS189)&lt;2.55,"CONFORME","NO CONFORME"))))</f><v /></c><c r="BC189" s="5"><f>(IF(ABS(U189)&gt;2.05,"NO CONFORME",IF(ABS(AG189)&gt;2.05,"NO CONFORME",IF(ABS(AS189)&gt;5.05,"NO CONFORME","CONFORME"))))</f><v /></c><c r="BD189" s="374"><f>SIGN(U189)</f><v /></c><c r="BE189" s="374"><f>SIGN(AG189)</f><v /></c><c r="BF189" s="374"><f>SIGN(AS189)</f><v /></c><c r="BG189" s="374"><f>CONCATENATE(BD189,BE189,BF189)</f><v /></c><c r="BH189" s="374"><f>IF(BG189="111","SI","SD")</f><v /></c><c r="BI189" s="374"><f>IF(BG189="-1-1-1","SI","SD")</f><v /></c><c r="BJ189" s="374"><f>OR(BH189="SI",BI189="SI")</f><v /></c><c r="BK189" s="374"><f>IF(BJ189=FALSE,"SIGDIFERENTES","SIGIGUALES")</f><v /></c><c r="BL189" s="373"><f>IF(BC189="NO CONFORME","NO CONFORME",IF(BB189="CONFORME","CONFORME","NO CONFORME"))</f><v /></c></row><row r="190" ht="15" customHeight="1" thickBot="1"><c r="A190" s="351" t="n"><v>182</v></c><c r="B190" s="375"><f>B189</f><v /></c><c r="C190" s="375"><f>C189</f><v /></c><c r="D190" s="376"><f>D189</f><v /></c><c r="E190" s="377"><f>E189</f><v /></c><c r="F190" s="13" t="n" /><c r="G190" s="355" t="inlineStr"><is><t>PA25516882</t></is></c><c r="H190" s="313"><f>H189</f><v /></c><c r="I190" s="38"><f>I189</f><v /></c><c r="J190" s="314"><f>J189</f><v /></c><c r="K190" s="378"><f>K189</f><v /></c><c r="L190" s="378"><f>L189</f><v /></c><c r="M190" s="379" t="n"><v>141.29</v></c><c r="N190" s="379" t="n"><v>240.55</v></c><c r="O190" s="380"><f>O189</f><v /></c><c r="P190" s="424"><f>P189</f><v /></c><c r="Q190" s="382"><f>LEFT(P190,1)</f><v /></c><c r="R190" s="382"><f>RIGHT(P190,6)</f><v /></c><c r="S190" s="382"><f>+(Q190*60+R190)/(60*60)</f><v /></c><c r="T190" s="383"><f>+O190/S190</f><v /></c><c r="U190" s="384"><f>+(((N190-M190-O190)/O190)*100)</f><v /></c><c r="V190" s="317"><f>V189</f><v /></c><c r="W190" s="385"><f>W189</f><v /></c><c r="X190" s="385"><f>X189</f><v /></c><c r="Y190" s="379" t="n"><v>265.99</v></c><c r="Z190" s="379" t="n"><v>275.99</v></c><c r="AA190" s="386"><f>AA189</f><v /></c><c r="AB190" s="387"><f>AB189</f><v /></c><c r="AC190" s="382"><f>LEFT(AB190,2)</f><v /></c><c r="AD190" s="382"><f>RIGHT(AB190,6)</f><v /></c><c r="AE190" s="382"><f>+(AC190*60+AD190)/(60*60)</f><v /></c><c r="AF190" s="383"><f>+AA190/AE190</f><v /></c><c r="AG190" s="321"><f>+(((Z190-Y190-AA190)/AA190)*100)</f><v /></c><c r="AH190" s="317"><f>AH189</f><v /></c><c r="AI190" s="385"><f>AI189</f><v /></c><c r="AJ190" s="385"><f>AJ189</f><v /></c><c r="AK190" s="379"><f>Z190</f><v /></c><c r="AL190" s="379" t="n"><v>281.02</v></c><c r="AM190" s="388"><f>AM189</f><v /></c><c r="AN190" s="381"><f>AN189</f><v /></c><c r="AO190" s="382"><f>LEFT(AN190,2)</f><v /></c><c r="AP190" s="382"><f>RIGHT(AN190,6)</f><v /></c><c r="AQ190" s="382"><f>+(AO190*60+AP190)/(60*60)</f><v /></c><c r="AR190" s="383"><f>+AM190/AQ190</f><v /></c><c r="AS190" s="321"><f>+(((AL190-AK190-AM190)/AM190)*100)</f><v /></c><c r="AT190" s="389"><f>IF(I190&gt;=1,"NO CONFORME",IF(BK190="SIGDIFERENTES",BC190,BL190))</f><v /></c><c r="AU190" s="372"><f>B190=C190</f><v /></c><c r="AV190" s="372"><f>N190&lt;Y190</f><v /></c><c r="AW190" s="372"><f>Z190&lt;=AK190</f><v /></c><c r="AX190" s="372"><f>IF(I190&gt;=1,"Qcorrecto",IF(AND(AY190="aceptable",AZ190="aceptable",BA190="aceptable"),"Qcorrecto","Qincorrecto"))</f><v /></c><c r="AY190" s="390"><f>IF(AR190&lt;$AH$6,"error",IF(AR190&gt;$AH$6*1.1,"error","aceptable"))</f><v /></c><c r="AZ190" s="390"><f>IF(AF190&lt;$V$6,"error",IF(AF190&gt;$V$6*1.1,"error","aceptable"))</f><v /></c><c r="BA190" s="390"><f>IF(T190&lt;$J$6*0.9,"error",IF(T190&gt;$J$6,"error","aceptable"))</f><v /></c><c r="BB190" s="25"><f>(IF(ABS(U190)&lt;1.05,"CONFORME",IF(ABS(AG190)&lt;1.05,"CONFORME",IF(ABS(AS190)&lt;2.55,"CONFORME","NO CONFORME"))))</f><v /></c><c r="BC190" s="5"><f>(IF(ABS(U190)&gt;2.05,"NO CONFORME",IF(ABS(AG190)&gt;2.05,"NO CONFORME",IF(ABS(AS190)&gt;5.05,"NO CONFORME","CONFORME"))))</f><v /></c><c r="BD190" s="374"><f>SIGN(U190)</f><v /></c><c r="BE190" s="374"><f>SIGN(AG190)</f><v /></c><c r="BF190" s="374"><f>SIGN(AS190)</f><v /></c><c r="BG190" s="374"><f>CONCATENATE(BD190,BE190,BF190)</f><v /></c><c r="BH190" s="374"><f>IF(BG190="111","SI","SD")</f><v /></c><c r="BI190" s="374"><f>IF(BG190="-1-1-1","SI","SD")</f><v /></c><c r="BJ190" s="374"><f>OR(BH190="SI",BI190="SI")</f><v /></c><c r="BK190" s="374"><f>IF(BJ190=FALSE,"SIGDIFERENTES","SIGIGUALES")</f><v /></c><c r="BL190" s="390"><f>IF(BC190="NO CONFORME","NO CONFORME",IF(BB190="CONFORME","CONFORME","NO CONFORME"))</f><v /></c></row><row r="191" ht="15" customHeight="1" thickBot="1"><c r="A191" s="351" t="n"><v>183</v></c><c r="B191" s="375"><f>B190</f><v /></c><c r="C191" s="375"><f>C190</f><v /></c><c r="D191" s="376"><f>D190</f><v /></c><c r="E191" s="377"><f>E190</f><v /></c><c r="F191" s="13" t="n" /><c r="G191" s="355" t="inlineStr"><is><t>PA25516883</t></is></c><c r="H191" s="313"><f>H190</f><v /></c><c r="I191" s="38"><f>I190</f><v /></c><c r="J191" s="314"><f>J190</f><v /></c><c r="K191" s="378"><f>K190</f><v /></c><c r="L191" s="378"><f>L190</f><v /></c><c r="M191" s="379" t="n"><v>103.19</v></c><c r="N191" s="379" t="n"><v>202.51</v></c><c r="O191" s="380"><f>O190</f><v /></c><c r="P191" s="424"><f>P190</f><v /></c><c r="Q191" s="382"><f>LEFT(P191,1)</f><v /></c><c r="R191" s="382"><f>RIGHT(P191,6)</f><v /></c><c r="S191" s="382"><f>+(Q191*60+R191)/(60*60)</f><v /></c><c r="T191" s="383"><f>+O191/S191</f><v /></c><c r="U191" s="384"><f>+(((N191-M191-O191)/O191)*100)</f><v /></c><c r="V191" s="317"><f>V190</f><v /></c><c r="W191" s="385"><f>W190</f><v /></c><c r="X191" s="385"><f>X190</f><v /></c><c r="Y191" s="379" t="n"><v>227.95</v></c><c r="Z191" s="379" t="n"><v>237.9</v></c><c r="AA191" s="386"><f>AA190</f><v /></c><c r="AB191" s="387"><f>AB190</f><v /></c><c r="AC191" s="382"><f>LEFT(AB191,2)</f><v /></c><c r="AD191" s="382"><f>RIGHT(AB191,6)</f><v /></c><c r="AE191" s="382"><f>+(AC191*60+AD191)/(60*60)</f><v /></c><c r="AF191" s="383"><f>+AA191/AE191</f><v /></c><c r="AG191" s="321"><f>+(((Z191-Y191-AA191)/AA191)*100)</f><v /></c><c r="AH191" s="317"><f>AH190</f><v /></c><c r="AI191" s="385"><f>AI190</f><v /></c><c r="AJ191" s="385"><f>AJ190</f><v /></c><c r="AK191" s="379"><f>Z191</f><v /></c><c r="AL191" s="379" t="n"><v>242.94</v></c><c r="AM191" s="388"><f>AM190</f><v /></c><c r="AN191" s="381"><f>AN190</f><v /></c><c r="AO191" s="382"><f>LEFT(AN191,2)</f><v /></c><c r="AP191" s="382"><f>RIGHT(AN191,6)</f><v /></c><c r="AQ191" s="382"><f>+(AO191*60+AP191)/(60*60)</f><v /></c><c r="AR191" s="383"><f>+AM191/AQ191</f><v /></c><c r="AS191" s="321"><f>+(((AL191-AK191-AM191)/AM191)*100)</f><v /></c><c r="AT191" s="389"><f>IF(I191&gt;=1,"NO CONFORME",IF(BK191="SIGDIFERENTES",BC191,BL191))</f><v /></c><c r="AU191" s="372"><f>B191=C191</f><v /></c><c r="AV191" s="372"><f>N191&lt;Y191</f><v /></c><c r="AW191" s="372"><f>Z191&lt;=AK191</f><v /></c><c r="AX191" s="372"><f>IF(I191&gt;=1,"Qcorrecto",IF(AND(AY191="aceptable",AZ191="aceptable",BA191="aceptable"),"Qcorrecto","Qincorrecto"))</f><v /></c><c r="AY191" s="390"><f>IF(AR191&lt;$AH$6,"error",IF(AR191&gt;$AH$6*1.1,"error","aceptable"))</f><v /></c><c r="AZ191" s="390"><f>IF(AF191&lt;$V$6,"error",IF(AF191&gt;$V$6*1.1,"error","aceptable"))</f><v /></c><c r="BA191" s="390"><f>IF(T191&lt;$J$6*0.9,"error",IF(T191&gt;$J$6,"error","aceptable"))</f><v /></c><c r="BB191" s="25"><f>(IF(ABS(U191)&lt;1.05,"CONFORME",IF(ABS(AG191)&lt;1.05,"CONFORME",IF(ABS(AS191)&lt;2.55,"CONFORME","NO CONFORME"))))</f><v /></c><c r="BC191" s="5"><f>(IF(ABS(U191)&gt;2.05,"NO CONFORME",IF(ABS(AG191)&gt;2.05,"NO CONFORME",IF(ABS(AS191)&gt;5.05,"NO CONFORME","CONFORME"))))</f><v /></c><c r="BD191" s="374"><f>SIGN(U191)</f><v /></c><c r="BE191" s="374"><f>SIGN(AG191)</f><v /></c><c r="BF191" s="374"><f>SIGN(AS191)</f><v /></c><c r="BG191" s="374"><f>CONCATENATE(BD191,BE191,BF191)</f><v /></c><c r="BH191" s="374"><f>IF(BG191="111","SI","SD")</f><v /></c><c r="BI191" s="374"><f>IF(BG191="-1-1-1","SI","SD")</f><v /></c><c r="BJ191" s="374"><f>OR(BH191="SI",BI191="SI")</f><v /></c><c r="BK191" s="374"><f>IF(BJ191=FALSE,"SIGDIFERENTES","SIGIGUALES")</f><v /></c><c r="BL191" s="390"><f>IF(BC191="NO CONFORME","NO CONFORME",IF(BB191="CONFORME","CONFORME","NO CONFORME"))</f><v /></c></row><row r="192" ht="15" customHeight="1" thickBot="1"><c r="A192" s="351" t="n"><v>184</v></c><c r="B192" s="375"><f>B191</f><v /></c><c r="C192" s="375"><f>C191</f><v /></c><c r="D192" s="376"><f>D191</f><v /></c><c r="E192" s="377"><f>E191</f><v /></c><c r="F192" s="13" t="n" /><c r="G192" s="355" t="inlineStr"><is><t>PA25516884</t></is></c><c r="H192" s="313"><f>H191</f><v /></c><c r="I192" s="38"><f>I191</f><v /></c><c r="J192" s="314"><f>J191</f><v /></c><c r="K192" s="378"><f>K191</f><v /></c><c r="L192" s="378"><f>L191</f><v /></c><c r="M192" s="379" t="n"><v>140.7</v></c><c r="N192" s="379" t="n"><v>240.36</v></c><c r="O192" s="380"><f>O191</f><v /></c><c r="P192" s="424"><f>P191</f><v /></c><c r="Q192" s="382"><f>LEFT(P192,1)</f><v /></c><c r="R192" s="382"><f>RIGHT(P192,6)</f><v /></c><c r="S192" s="382"><f>+(Q192*60+R192)/(60*60)</f><v /></c><c r="T192" s="383"><f>+O192/S192</f><v /></c><c r="U192" s="384"><f>+(((N192-M192-O192)/O192)*100)</f><v /></c><c r="V192" s="317"><f>V191</f><v /></c><c r="W192" s="385"><f>W191</f><v /></c><c r="X192" s="385"><f>X191</f><v /></c><c r="Y192" s="379" t="n"><v>265.75</v></c><c r="Z192" s="379" t="n"><v>275.69</v></c><c r="AA192" s="386"><f>AA191</f><v /></c><c r="AB192" s="387"><f>AB191</f><v /></c><c r="AC192" s="382"><f>LEFT(AB192,2)</f><v /></c><c r="AD192" s="382"><f>RIGHT(AB192,6)</f><v /></c><c r="AE192" s="382"><f>+(AC192*60+AD192)/(60*60)</f><v /></c><c r="AF192" s="383"><f>+AA192/AE192</f><v /></c><c r="AG192" s="321"><f>+(((Z192-Y192-AA192)/AA192)*100)</f><v /></c><c r="AH192" s="317"><f>AH191</f><v /></c><c r="AI192" s="385"><f>AI191</f><v /></c><c r="AJ192" s="385"><f>AJ191</f><v /></c><c r="AK192" s="379"><f>Z192</f><v /></c><c r="AL192" s="379" t="n"><v>280.68</v></c><c r="AM192" s="388"><f>AM191</f><v /></c><c r="AN192" s="381"><f>AN191</f><v /></c><c r="AO192" s="382"><f>LEFT(AN192,2)</f><v /></c><c r="AP192" s="382"><f>RIGHT(AN192,6)</f><v /></c><c r="AQ192" s="382"><f>+(AO192*60+AP192)/(60*60)</f><v /></c><c r="AR192" s="383"><f>+AM192/AQ192</f><v /></c><c r="AS192" s="321"><f>+(((AL192-AK192-AM192)/AM192)*100)</f><v /></c><c r="AT192" s="389"><f>IF(I192&gt;=1,"NO CONFORME",IF(BK192="SIGDIFERENTES",BC192,BL192))</f><v /></c><c r="AU192" s="372"><f>B192=C192</f><v /></c><c r="AV192" s="372"><f>N192&lt;Y192</f><v /></c><c r="AW192" s="372"><f>Z192&lt;=AK192</f><v /></c><c r="AX192" s="372"><f>IF(I192&gt;=1,"Qcorrecto",IF(AND(AY192="aceptable",AZ192="aceptable",BA192="aceptable"),"Qcorrecto","Qincorrecto"))</f><v /></c><c r="AY192" s="390"><f>IF(AR192&lt;$AH$6,"error",IF(AR192&gt;$AH$6*1.1,"error","aceptable"))</f><v /></c><c r="AZ192" s="390"><f>IF(AF192&lt;$V$6,"error",IF(AF192&gt;$V$6*1.1,"error","aceptable"))</f><v /></c><c r="BA192" s="390"><f>IF(T192&lt;$J$6*0.9,"error",IF(T192&gt;$J$6,"error","aceptable"))</f><v /></c><c r="BB192" s="25"><f>(IF(ABS(U192)&lt;1.05,"CONFORME",IF(ABS(AG192)&lt;1.05,"CONFORME",IF(ABS(AS192)&lt;2.55,"CONFORME","NO CONFORME"))))</f><v /></c><c r="BC192" s="5"><f>(IF(ABS(U192)&gt;2.05,"NO CONFORME",IF(ABS(AG192)&gt;2.05,"NO CONFORME",IF(ABS(AS192)&gt;5.05,"NO CONFORME","CONFORME"))))</f><v /></c><c r="BD192" s="374"><f>SIGN(U192)</f><v /></c><c r="BE192" s="374"><f>SIGN(AG192)</f><v /></c><c r="BF192" s="374"><f>SIGN(AS192)</f><v /></c><c r="BG192" s="374"><f>CONCATENATE(BD192,BE192,BF192)</f><v /></c><c r="BH192" s="374"><f>IF(BG192="111","SI","SD")</f><v /></c><c r="BI192" s="374"><f>IF(BG192="-1-1-1","SI","SD")</f><v /></c><c r="BJ192" s="374"><f>OR(BH192="SI",BI192="SI")</f><v /></c><c r="BK192" s="374"><f>IF(BJ192=FALSE,"SIGDIFERENTES","SIGIGUALES")</f><v /></c><c r="BL192" s="390"><f>IF(BC192="NO CONFORME","NO CONFORME",IF(BB192="CONFORME","CONFORME","NO CONFORME"))</f><v /></c></row><row r="193" ht="15.75" customHeight="1" thickBot="1"><c r="A193" s="351" t="n"><v>185</v></c><c r="B193" s="375"><f>B192</f><v /></c><c r="C193" s="375"><f>C192</f><v /></c><c r="D193" s="376"><f>D192</f><v /></c><c r="E193" s="377"><f>E192</f><v /></c><c r="F193" s="13" t="n" /><c r="G193" s="355" t="inlineStr"><is><t>PA25516885</t></is></c><c r="H193" s="313"><f>H192</f><v /></c><c r="I193" s="38"><f>I192</f><v /></c><c r="J193" s="314"><f>J192</f><v /></c><c r="K193" s="378"><f>K192</f><v /></c><c r="L193" s="378"><f>L192</f><v /></c><c r="M193" s="379" t="n"><v>102.85</v></c><c r="N193" s="379" t="n"><v>202.66</v></c><c r="O193" s="380"><f>O192</f><v /></c><c r="P193" s="381"><f>P192</f><v /></c><c r="Q193" s="382"><f>LEFT(P193,1)</f><v /></c><c r="R193" s="382"><f>RIGHT(P193,6)</f><v /></c><c r="S193" s="382"><f>+(Q193*60+R193)/(60*60)</f><v /></c><c r="T193" s="383"><f>+O193/S193</f><v /></c><c r="U193" s="384"><f>+(((N193-M193-O193)/O193)*100)</f><v /></c><c r="V193" s="317"><f>V192</f><v /></c><c r="W193" s="385"><f>W192</f><v /></c><c r="X193" s="385"><f>X192</f><v /></c><c r="Y193" s="379" t="n"><v>228.26</v></c><c r="Z193" s="379" t="n"><v>238.27</v></c><c r="AA193" s="386"><f>AA192</f><v /></c><c r="AB193" s="387"><f>AB192</f><v /></c><c r="AC193" s="382"><f>LEFT(AB193,2)</f><v /></c><c r="AD193" s="382"><f>RIGHT(AB193,6)</f><v /></c><c r="AE193" s="382"><f>+(AC193*60+AD193)/(60*60)</f><v /></c><c r="AF193" s="383"><f>+AA193/AE193</f><v /></c><c r="AG193" s="321"><f>+(((Z193-Y193-AA193)/AA193)*100)</f><v /></c><c r="AH193" s="317"><f>AH192</f><v /></c><c r="AI193" s="385"><f>AI192</f><v /></c><c r="AJ193" s="385"><f>AJ192</f><v /></c><c r="AK193" s="379"><f>Z193</f><v /></c><c r="AL193" s="379" t="n"><v>243.29</v></c><c r="AM193" s="388"><f>AM192</f><v /></c><c r="AN193" s="381"><f>AN192</f><v /></c><c r="AO193" s="382"><f>LEFT(AN193,2)</f><v /></c><c r="AP193" s="382"><f>RIGHT(AN193,6)</f><v /></c><c r="AQ193" s="382"><f>+(AO193*60+AP193)/(60*60)</f><v /></c><c r="AR193" s="383"><f>+AM193/AQ193</f><v /></c><c r="AS193" s="321"><f>+(((AL193-AK193-AM193)/AM193)*100)</f><v /></c><c r="AT193" s="389"><f>IF(I193&gt;=1,"NO CONFORME",IF(BK193="SIGDIFERENTES",BC193,BL193))</f><v /></c><c r="AU193" s="372"><f>B193=C193</f><v /></c><c r="AV193" s="372"><f>N193&lt;Y193</f><v /></c><c r="AW193" s="372"><f>Z193&lt;=AK193</f><v /></c><c r="AX193" s="372"><f>IF(I193&gt;=1,"Qcorrecto",IF(AND(AY193="aceptable",AZ193="aceptable",BA193="aceptable"),"Qcorrecto","Qincorrecto"))</f><v /></c><c r="AY193" s="390"><f>IF(AR193&lt;$AH$6,"error",IF(AR193&gt;$AH$6*1.1,"error","aceptable"))</f><v /></c><c r="AZ193" s="390"><f>IF(AF193&lt;$V$6,"error",IF(AF193&gt;$V$6*1.1,"error","aceptable"))</f><v /></c><c r="BA193" s="390"><f>IF(T193&lt;$J$6*0.9,"error",IF(T193&gt;$J$6,"error","aceptable"))</f><v /></c><c r="BB193" s="25"><f>(IF(ABS(U193)&lt;1.05,"CONFORME",IF(ABS(AG193)&lt;1.05,"CONFORME",IF(ABS(AS193)&lt;2.55,"CONFORME","NO CONFORME"))))</f><v /></c><c r="BC193" s="5"><f>(IF(ABS(U193)&gt;2.05,"NO CONFORME",IF(ABS(AG193)&gt;2.05,"NO CONFORME",IF(ABS(AS193)&gt;5.05,"NO CONFORME","CONFORME"))))</f><v /></c><c r="BD193" s="374"><f>SIGN(U193)</f><v /></c><c r="BE193" s="374"><f>SIGN(AG193)</f><v /></c><c r="BF193" s="374"><f>SIGN(AS193)</f><v /></c><c r="BG193" s="374"><f>CONCATENATE(BD193,BE193,BF193)</f><v /></c><c r="BH193" s="374"><f>IF(BG193="111","SI","SD")</f><v /></c><c r="BI193" s="374"><f>IF(BG193="-1-1-1","SI","SD")</f><v /></c><c r="BJ193" s="374"><f>OR(BH193="SI",BI193="SI")</f><v /></c><c r="BK193" s="374"><f>IF(BJ193=FALSE,"SIGDIFERENTES","SIGIGUALES")</f><v /></c><c r="BL193" s="390"><f>IF(BC193="NO CONFORME","NO CONFORME",IF(BB193="CONFORME","CONFORME","NO CONFORME"))</f><v /></c></row><row r="194" ht="15" customHeight="1" thickBot="1"><c r="A194" s="351" t="n"><v>186</v></c><c r="B194" s="375"><f>B193</f><v /></c><c r="C194" s="375"><f>C193</f><v /></c><c r="D194" s="376"><f>D193</f><v /></c><c r="E194" s="377"><f>E193</f><v /></c><c r="F194" s="13" t="n" /><c r="G194" s="355" t="inlineStr"><is><t>PA25516886</t></is></c><c r="H194" s="313"><f>H193</f><v /></c><c r="I194" s="38"><f>I193</f><v /></c><c r="J194" s="314"><f>J193</f><v /></c><c r="K194" s="378"><f>K193</f><v /></c><c r="L194" s="378"><f>L193</f><v /></c><c r="M194" s="379" t="n"><v>103.05</v></c><c r="N194" s="379" t="n"><v>203.68</v></c><c r="O194" s="380"><f>O193</f><v /></c><c r="P194" s="424"><f>P193</f><v /></c><c r="Q194" s="382"><f>LEFT(P194,1)</f><v /></c><c r="R194" s="382"><f>RIGHT(P194,6)</f><v /></c><c r="S194" s="382"><f>+(Q194*60+R194)/(60*60)</f><v /></c><c r="T194" s="383"><f>+O194/S194</f><v /></c><c r="U194" s="384"><f>+(((N194-M194-O194)/O194)*100)</f><v /></c><c r="V194" s="317"><f>V193</f><v /></c><c r="W194" s="385"><f>W193</f><v /></c><c r="X194" s="385"><f>X193</f><v /></c><c r="Y194" s="379" t="n"><v>229.3</v></c><c r="Z194" s="379" t="n"><v>239.33</v></c><c r="AA194" s="386"><f>AA193</f><v /></c><c r="AB194" s="387"><f>AB193</f><v /></c><c r="AC194" s="382"><f>LEFT(AB194,2)</f><v /></c><c r="AD194" s="382"><f>RIGHT(AB194,6)</f><v /></c><c r="AE194" s="382"><f>+(AC194*60+AD194)/(60*60)</f><v /></c><c r="AF194" s="383"><f>+AA194/AE194</f><v /></c><c r="AG194" s="321"><f>+(((Z194-Y194-AA194)/AA194)*100)</f><v /></c><c r="AH194" s="317"><f>AH193</f><v /></c><c r="AI194" s="385"><f>AI193</f><v /></c><c r="AJ194" s="385"><f>AJ193</f><v /></c><c r="AK194" s="379"><f>Z194</f><v /></c><c r="AL194" s="379" t="n"><v>244.39</v></c><c r="AM194" s="388"><f>AM193</f><v /></c><c r="AN194" s="381"><f>AN193</f><v /></c><c r="AO194" s="382"><f>LEFT(AN194,2)</f><v /></c><c r="AP194" s="382"><f>RIGHT(AN194,6)</f><v /></c><c r="AQ194" s="382"><f>+(AO194*60+AP194)/(60*60)</f><v /></c><c r="AR194" s="383"><f>+AM194/AQ194</f><v /></c><c r="AS194" s="321"><f>+(((AL194-AK194-AM194)/AM194)*100)</f><v /></c><c r="AT194" s="389"><f>IF(I194&gt;=1,"NO CONFORME",IF(BK194="SIGDIFERENTES",BC194,BL194))</f><v /></c><c r="AU194" s="372"><f>B194=C194</f><v /></c><c r="AV194" s="372"><f>N194&lt;Y194</f><v /></c><c r="AW194" s="372"><f>Z194&lt;=AK194</f><v /></c><c r="AX194" s="372"><f>IF(I194&gt;=1,"Qcorrecto",IF(AND(AY194="aceptable",AZ194="aceptable",BA194="aceptable"),"Qcorrecto","Qincorrecto"))</f><v /></c><c r="AY194" s="390"><f>IF(AR194&lt;$AH$6,"error",IF(AR194&gt;$AH$6*1.1,"error","aceptable"))</f><v /></c><c r="AZ194" s="390"><f>IF(AF194&lt;$V$6,"error",IF(AF194&gt;$V$6*1.1,"error","aceptable"))</f><v /></c><c r="BA194" s="390"><f>IF(T194&lt;$J$6*0.9,"error",IF(T194&gt;$J$6,"error","aceptable"))</f><v /></c><c r="BB194" s="25"><f>(IF(ABS(U194)&lt;1.05,"CONFORME",IF(ABS(AG194)&lt;1.05,"CONFORME",IF(ABS(AS194)&lt;2.55,"CONFORME","NO CONFORME"))))</f><v /></c><c r="BC194" s="5"><f>(IF(ABS(U194)&gt;2.05,"NO CONFORME",IF(ABS(AG194)&gt;2.05,"NO CONFORME",IF(ABS(AS194)&gt;5.05,"NO CONFORME","CONFORME"))))</f><v /></c><c r="BD194" s="374"><f>SIGN(U194)</f><v /></c><c r="BE194" s="374"><f>SIGN(AG194)</f><v /></c><c r="BF194" s="374"><f>SIGN(AS194)</f><v /></c><c r="BG194" s="374"><f>CONCATENATE(BD194,BE194,BF194)</f><v /></c><c r="BH194" s="374"><f>IF(BG194="111","SI","SD")</f><v /></c><c r="BI194" s="374"><f>IF(BG194="-1-1-1","SI","SD")</f><v /></c><c r="BJ194" s="374"><f>OR(BH194="SI",BI194="SI")</f><v /></c><c r="BK194" s="374"><f>IF(BJ194=FALSE,"SIGDIFERENTES","SIGIGUALES")</f><v /></c><c r="BL194" s="390"><f>IF(BC194="NO CONFORME","NO CONFORME",IF(BB194="CONFORME","CONFORME","NO CONFORME"))</f><v /></c></row><row r="195" ht="15" customHeight="1" thickBot="1"><c r="A195" s="414" t="n"><v>187</v></c><c r="B195" s="415"><f>B194</f><v /></c><c r="C195" s="415"><f>C194</f><v /></c><c r="D195" s="416"><f>D194</f><v /></c><c r="E195" s="377"><f>E194</f><v /></c><c r="F195" s="56" t="n" /><c r="G195" s="355" t="inlineStr"><is><t>PA25516887</t></is></c><c r="H195" s="418"><f>H194</f><v /></c><c r="I195" s="419"><f>I194</f><v /></c><c r="J195" s="314"><f>J194</f><v /></c><c r="K195" s="378"><f>K194</f><v /></c><c r="L195" s="378"><f>L194</f><v /></c><c r="M195" s="422" t="n"><v>101.11</v></c><c r="N195" s="422" t="n"><v>200.56</v></c><c r="O195" s="380"><f>O194</f><v /></c><c r="P195" s="424"><f>P194</f><v /></c><c r="Q195" s="425"><f>LEFT(P195,1)</f><v /></c><c r="R195" s="425"><f>RIGHT(P195,6)</f><v /></c><c r="S195" s="425"><f>+(Q195*60+R195)/(60*60)</f><v /></c><c r="T195" s="426"><f>+O195/S195</f><v /></c><c r="U195" s="427"><f>+(((N195-M195-O195)/O195)*100)</f><v /></c><c r="V195" s="317"><f>V194</f><v /></c><c r="W195" s="385"><f>W194</f><v /></c><c r="X195" s="385"><f>X194</f><v /></c><c r="Y195" s="422" t="n"><v>225.98</v></c><c r="Z195" s="422" t="n"><v>235.94</v></c><c r="AA195" s="386"><f>AA194</f><v /></c><c r="AB195" s="387"><f>AB194</f><v /></c><c r="AC195" s="425"><f>LEFT(AB195,2)</f><v /></c><c r="AD195" s="425"><f>RIGHT(AB195,6)</f><v /></c><c r="AE195" s="425"><f>+(AC195*60+AD195)/(60*60)</f><v /></c><c r="AF195" s="426"><f>+AA195/AE195</f><v /></c><c r="AG195" s="432"><f>+(((Z195-Y195-AA195)/AA195)*100)</f><v /></c><c r="AH195" s="317"><f>AH194</f><v /></c><c r="AI195" s="385"><f>AI194</f><v /></c><c r="AJ195" s="385"><f>AJ194</f><v /></c><c r="AK195" s="422"><f>Z195</f><v /></c><c r="AL195" s="422" t="n"><v>240.97</v></c><c r="AM195" s="388"><f>AM194</f><v /></c><c r="AN195" s="381"><f>AN194</f><v /></c><c r="AO195" s="425"><f>LEFT(AN195,2)</f><v /></c><c r="AP195" s="425"><f>RIGHT(AN195,6)</f><v /></c><c r="AQ195" s="425"><f>+(AO195*60+AP195)/(60*60)</f><v /></c><c r="AR195" s="426"><f>+AM195/AQ195</f><v /></c><c r="AS195" s="432"><f>+(((AL195-AK195-AM195)/AM195)*100)</f><v /></c><c r="AT195" s="434"><f>IF(I195&gt;=1,"NO CONFORME",IF(BK195="SIGDIFERENTES",BC195,BL195))</f><v /></c><c r="AU195" s="372"><f>B195=C195</f><v /></c><c r="AV195" s="372"><f>N195&lt;Y195</f><v /></c><c r="AW195" s="372"><f>Z195&lt;=AK195</f><v /></c><c r="AX195" s="372"><f>IF(I195&gt;=1,"Qcorrecto",IF(AND(AY195="aceptable",AZ195="aceptable",BA195="aceptable"),"Qcorrecto","Qincorrecto"))</f><v /></c><c r="AY195" s="435"><f>IF(AR195&lt;$AH$6,"error",IF(AR195&gt;$AH$6*1.1,"error","aceptable"))</f><v /></c><c r="AZ195" s="435"><f>IF(AF195&lt;$V$6,"error",IF(AF195&gt;$V$6*1.1,"error","aceptable"))</f><v /></c><c r="BA195" s="435"><f>IF(T195&lt;$J$6*0.9,"error",IF(T195&gt;$J$6,"error","aceptable"))</f><v /></c><c r="BB195" s="436"><f>(IF(ABS(U195)&lt;1.05,"CONFORME",IF(ABS(AG195)&lt;1.05,"CONFORME",IF(ABS(AS195)&lt;2.55,"CONFORME","NO CONFORME"))))</f><v /></c><c r="BC195" s="437"><f>(IF(ABS(U195)&gt;2.05,"NO CONFORME",IF(ABS(AG195)&gt;2.05,"NO CONFORME",IF(ABS(AS195)&gt;5.05,"NO CONFORME","CONFORME"))))</f><v /></c><c r="BD195" s="374"><f>SIGN(U195)</f><v /></c><c r="BE195" s="374"><f>SIGN(AG195)</f><v /></c><c r="BF195" s="374"><f>SIGN(AS195)</f><v /></c><c r="BG195" s="374"><f>CONCATENATE(BD195,BE195,BF195)</f><v /></c><c r="BH195" s="374"><f>IF(BG195="111","SI","SD")</f><v /></c><c r="BI195" s="374"><f>IF(BG195="-1-1-1","SI","SD")</f><v /></c><c r="BJ195" s="374"><f>OR(BH195="SI",BI195="SI")</f><v /></c><c r="BK195" s="374"><f>IF(BJ195=FALSE,"SIGDIFERENTES","SIGIGUALES")</f><v /></c><c r="BL195" s="435"><f>IF(BC195="NO CONFORME","NO CONFORME",IF(BB195="CONFORME","CONFORME","NO CONFORME"))</f><v /></c></row><row r="196" ht="15" customHeight="1" thickBot="1"><c r="A196" s="377" t="n"><v>188</v></c><c r="B196" s="375"><f>B195</f><v /></c><c r="C196" s="375"><f>C195</f><v /></c><c r="D196" s="376"><f>D195</f><v /></c><c r="E196" s="377"><f>E195</f><v /></c><c r="F196" s="13" t="n" /><c r="G196" s="355" t="inlineStr"><is><t>PA25516888</t></is></c><c r="H196" s="313"><f>H195</f><v /></c><c r="I196" s="38"><f>I195</f><v /></c><c r="J196" s="314"><f>J195</f><v /></c><c r="K196" s="378"><f>K195</f><v /></c><c r="L196" s="378"><f>L195</f><v /></c><c r="M196" s="379" t="n"><v>102.55</v></c><c r="N196" s="379" t="n"><v>201.48</v></c><c r="O196" s="380"><f>O195</f><v /></c><c r="P196" s="424"><f>P195</f><v /></c><c r="Q196" s="382"><f>LEFT(P196,1)</f><v /></c><c r="R196" s="382"><f>RIGHT(P196,6)</f><v /></c><c r="S196" s="382"><f>+(Q196*60+R196)/(60*60)</f><v /></c><c r="T196" s="383"><f>+O196/S196</f><v /></c><c r="U196" s="384"><f>+(((N196-M196-O196)/O196)*100)</f><v /></c><c r="V196" s="317"><f>V195</f><v /></c><c r="W196" s="385"><f>W195</f><v /></c><c r="X196" s="385"><f>X195</f><v /></c><c r="Y196" s="379" t="n"><v>226.7</v></c><c r="Z196" s="379" t="n"><v>236.61</v></c><c r="AA196" s="386"><f>AA195</f><v /></c><c r="AB196" s="387"><f>AB195</f><v /></c><c r="AC196" s="382"><f>LEFT(AB196,2)</f><v /></c><c r="AD196" s="382"><f>RIGHT(AB196,6)</f><v /></c><c r="AE196" s="382"><f>+(AC196*60+AD196)/(60*60)</f><v /></c><c r="AF196" s="383"><f>+AA196/AE196</f><v /></c><c r="AG196" s="321"><f>+(((Z196-Y196-AA196)/AA196)*100)</f><v /></c><c r="AH196" s="317"><f>AH195</f><v /></c><c r="AI196" s="385"><f>AI195</f><v /></c><c r="AJ196" s="385"><f>AJ195</f><v /></c><c r="AK196" s="379"><f>Z196</f><v /></c><c r="AL196" s="379" t="n"><v>241.56</v></c><c r="AM196" s="388"><f>AM195</f><v /></c><c r="AN196" s="381"><f>AN195</f><v /></c><c r="AO196" s="382"><f>LEFT(AN196,2)</f><v /></c><c r="AP196" s="382"><f>RIGHT(AN196,6)</f><v /></c><c r="AQ196" s="382"><f>+(AO196*60+AP196)/(60*60)</f><v /></c><c r="AR196" s="383"><f>+AM196/AQ196</f><v /></c><c r="AS196" s="321"><f>+(((AL196-AK196-AM196)/AM196)*100)</f><v /></c><c r="AT196" s="389"><f>IF(I196&gt;=1,"NO CONFORME",IF(BK196="SIGDIFERENTES",BC196,BL196))</f><v /></c><c r="AU196" s="438"><f>B196=C196</f><v /></c><c r="AV196" s="438"><f>N196&lt;Y196</f><v /></c><c r="AW196" s="438"><f>Z196&lt;=AK196</f><v /></c><c r="AX196" s="438"><f>IF(I196&gt;=1,"Qcorrecto",IF(AND(AY196="aceptable",AZ196="aceptable",BA196="aceptable"),"Qcorrecto","Qincorrecto"))</f><v /></c><c r="AY196" s="390"><f>IF(AR196&lt;$AH$6,"error",IF(AR196&gt;$AH$6*1.1,"error","aceptable"))</f><v /></c><c r="AZ196" s="390"><f>IF(AF196&lt;$V$6,"error",IF(AF196&gt;$V$6*1.1,"error","aceptable"))</f><v /></c><c r="BA196" s="390"><f>IF(T196&lt;$J$6*0.9,"error",IF(T196&gt;$J$6,"error","aceptable"))</f><v /></c><c r="BB196" s="439"><f>(IF(ABS(U196)&lt;1.05,"CONFORME",IF(ABS(AG196)&lt;1.05,"CONFORME",IF(ABS(AS196)&lt;2.55,"CONFORME","NO CONFORME"))))</f><v /></c><c r="BC196" s="440"><f>(IF(ABS(U196)&gt;2.05,"NO CONFORME",IF(ABS(AG196)&gt;2.05,"NO CONFORME",IF(ABS(AS196)&gt;5.05,"NO CONFORME","CONFORME"))))</f><v /></c><c r="BD196" s="441"><f>SIGN(U196)</f><v /></c><c r="BE196" s="441"><f>SIGN(AG196)</f><v /></c><c r="BF196" s="441"><f>SIGN(AS196)</f><v /></c><c r="BG196" s="441"><f>CONCATENATE(BD196,BE196,BF196)</f><v /></c><c r="BH196" s="441"><f>IF(BG196="111","SI","SD")</f><v /></c><c r="BI196" s="441"><f>IF(BG196="-1-1-1","SI","SD")</f><v /></c><c r="BJ196" s="441"><f>OR(BH196="SI",BI196="SI")</f><v /></c><c r="BK196" s="441"><f>IF(BJ196=FALSE,"SIGDIFERENTES","SIGIGUALES")</f><v /></c><c r="BL196" s="390"><f>IF(BC196="NO CONFORME","NO CONFORME",IF(BB196="CONFORME","CONFORME","NO CONFORME"))</f><v /></c></row><row r="197" ht="15" customHeight="1" thickBot="1"><c r="A197" s="351" t="n"><v>189</v></c><c r="B197" s="352"><f>B196</f><v /></c><c r="C197" s="352"><f>C196</f><v /></c><c r="D197" s="353"><f>D196</f><v /></c><c r="E197" s="377"><f>E196</f><v /></c><c r="F197" s="58" t="n" /><c r="G197" s="355" t="inlineStr"><is><t>PA25516889</t></is></c><c r="H197" s="356"><f>H196</f><v /></c><c r="I197" s="232"><f>I196</f><v /></c><c r="J197" s="314"><f>J196</f><v /></c><c r="K197" s="378"><f>K196</f><v /></c><c r="L197" s="378"><f>L196</f><v /></c><c r="M197" s="359" t="n"><v>142.43</v></c><c r="N197" s="359" t="n"><v>242.08</v></c><c r="O197" s="380"><f>O196</f><v /></c><c r="P197" s="424"><f>P196</f><v /></c><c r="Q197" s="362"><f>LEFT(P197,1)</f><v /></c><c r="R197" s="362"><f>RIGHT(P197,6)</f><v /></c><c r="S197" s="362"><f>+(Q197*60+R197)/(60*60)</f><v /></c><c r="T197" s="363"><f>+O197/S197</f><v /></c><c r="U197" s="364"><f>+(((N197-M197-O197)/O197)*100)</f><v /></c><c r="V197" s="317"><f>V196</f><v /></c><c r="W197" s="385"><f>W196</f><v /></c><c r="X197" s="385"><f>X196</f><v /></c><c r="Y197" s="359" t="n"><v>267.48</v></c><c r="Z197" s="359" t="n"><v>277.41</v></c><c r="AA197" s="386"><f>AA196</f><v /></c><c r="AB197" s="387"><f>AB196</f><v /></c><c r="AC197" s="362"><f>LEFT(AB197,2)</f><v /></c><c r="AD197" s="362"><f>RIGHT(AB197,6)</f><v /></c><c r="AE197" s="362"><f>+(AC197*60+AD197)/(60*60)</f><v /></c><c r="AF197" s="363"><f>+AA197/AE197</f><v /></c><c r="AG197" s="369"><f>+(((Z197-Y197-AA197)/AA197)*100)</f><v /></c><c r="AH197" s="317"><f>AH196</f><v /></c><c r="AI197" s="385"><f>AI196</f><v /></c><c r="AJ197" s="385"><f>AJ196</f><v /></c><c r="AK197" s="359"><f>Z197</f><v /></c><c r="AL197" s="359" t="n"><v>282.42</v></c><c r="AM197" s="388"><f>AM196</f><v /></c><c r="AN197" s="381"><f>AN196</f><v /></c><c r="AO197" s="362"><f>LEFT(AN197,2)</f><v /></c><c r="AP197" s="362"><f>RIGHT(AN197,6)</f><v /></c><c r="AQ197" s="362"><f>+(AO197*60+AP197)/(60*60)</f><v /></c><c r="AR197" s="363"><f>+AM197/AQ197</f><v /></c><c r="AS197" s="369"><f>+(((AL197-AK197-AM197)/AM197)*100)</f><v /></c><c r="AT197" s="371"><f>IF(I197&gt;=1,"NO CONFORME",IF(BK197="SIGDIFERENTES",BC197,BL197))</f><v /></c><c r="AU197" s="372"><f>B197=C197</f><v /></c><c r="AV197" s="372"><f>N197&lt;Y197</f><v /></c><c r="AW197" s="372"><f>Z197&lt;=AK197</f><v /></c><c r="AX197" s="372"><f>IF(I197&gt;=1,"Qcorrecto",IF(AND(AY197="aceptable",AZ197="aceptable",BA197="aceptable"),"Qcorrecto","Qincorrecto"))</f><v /></c><c r="AY197" s="373"><f>IF(AR197&lt;$AH$6,"error",IF(AR197&gt;$AH$6*1.1,"error","aceptable"))</f><v /></c><c r="AZ197" s="373"><f>IF(AF197&lt;$V$6,"error",IF(AF197&gt;$V$6*1.1,"error","aceptable"))</f><v /></c><c r="BA197" s="373"><f>IF(T197&lt;$J$6*0.9,"error",IF(T197&gt;$J$6,"error","aceptable"))</f><v /></c><c r="BB197" s="25"><f>(IF(ABS(U197)&lt;1.05,"CONFORME",IF(ABS(AG197)&lt;1.05,"CONFORME",IF(ABS(AS197)&lt;2.55,"CONFORME","NO CONFORME"))))</f><v /></c><c r="BC197" s="5"><f>(IF(ABS(U197)&gt;2.05,"NO CONFORME",IF(ABS(AG197)&gt;2.05,"NO CONFORME",IF(ABS(AS197)&gt;5.05,"NO CONFORME","CONFORME"))))</f><v /></c><c r="BD197" s="374"><f>SIGN(U197)</f><v /></c><c r="BE197" s="374"><f>SIGN(AG197)</f><v /></c><c r="BF197" s="374"><f>SIGN(AS197)</f><v /></c><c r="BG197" s="374"><f>CONCATENATE(BD197,BE197,BF197)</f><v /></c><c r="BH197" s="374"><f>IF(BG197="111","SI","SD")</f><v /></c><c r="BI197" s="374"><f>IF(BG197="-1-1-1","SI","SD")</f><v /></c><c r="BJ197" s="374"><f>OR(BH197="SI",BI197="SI")</f><v /></c><c r="BK197" s="374"><f>IF(BJ197=FALSE,"SIGDIFERENTES","SIGIGUALES")</f><v /></c><c r="BL197" s="373"><f>IF(BC197="NO CONFORME","NO CONFORME",IF(BB197="CONFORME","CONFORME","NO CONFORME"))</f><v /></c></row><row r="198" ht="15" customHeight="1" thickBot="1"><c r="A198" s="351" t="n"><v>190</v></c><c r="B198" s="375"><f>B197</f><v /></c><c r="C198" s="375"><f>C197</f><v /></c><c r="D198" s="376"><f>D197</f><v /></c><c r="E198" s="377"><f>E197</f><v /></c><c r="F198" s="13" t="n" /><c r="G198" s="355" t="inlineStr"><is><t>PA25516890</t></is></c><c r="H198" s="313"><f>H197</f><v /></c><c r="I198" s="38"><f>I197</f><v /></c><c r="J198" s="314"><f>J197</f><v /></c><c r="K198" s="378"><f>K197</f><v /></c><c r="L198" s="378"><f>L197</f><v /></c><c r="M198" s="379" t="n"><v>101.45</v></c><c r="N198" s="379" t="n"><v>200.55</v></c><c r="O198" s="380"><f>O197</f><v /></c><c r="P198" s="424"><f>P197</f><v /></c><c r="Q198" s="382"><f>LEFT(P198,1)</f><v /></c><c r="R198" s="382"><f>RIGHT(P198,6)</f><v /></c><c r="S198" s="382"><f>+(Q198*60+R198)/(60*60)</f><v /></c><c r="T198" s="383"><f>+O198/S198</f><v /></c><c r="U198" s="384"><f>+(((N198-M198-O198)/O198)*100)</f><v /></c><c r="V198" s="317"><f>V197</f><v /></c><c r="W198" s="385"><f>W197</f><v /></c><c r="X198" s="385"><f>X197</f><v /></c><c r="Y198" s="379" t="n"><v>225.88</v></c><c r="Z198" s="379" t="n"><v>235.79</v></c><c r="AA198" s="386"><f>AA197</f><v /></c><c r="AB198" s="387"><f>AB197</f><v /></c><c r="AC198" s="382"><f>LEFT(AB198,2)</f><v /></c><c r="AD198" s="382"><f>RIGHT(AB198,6)</f><v /></c><c r="AE198" s="382"><f>+(AC198*60+AD198)/(60*60)</f><v /></c><c r="AF198" s="383"><f>+AA198/AE198</f><v /></c><c r="AG198" s="321"><f>+(((Z198-Y198-AA198)/AA198)*100)</f><v /></c><c r="AH198" s="317"><f>AH197</f><v /></c><c r="AI198" s="385"><f>AI197</f><v /></c><c r="AJ198" s="385"><f>AJ197</f><v /></c><c r="AK198" s="379"><f>Z198</f><v /></c><c r="AL198" s="379" t="n"><v>240.79</v></c><c r="AM198" s="388"><f>AM197</f><v /></c><c r="AN198" s="381"><f>AN197</f><v /></c><c r="AO198" s="382"><f>LEFT(AN198,2)</f><v /></c><c r="AP198" s="382"><f>RIGHT(AN198,6)</f><v /></c><c r="AQ198" s="382"><f>+(AO198*60+AP198)/(60*60)</f><v /></c><c r="AR198" s="383"><f>+AM198/AQ198</f><v /></c><c r="AS198" s="321"><f>+(((AL198-AK198-AM198)/AM198)*100)</f><v /></c><c r="AT198" s="389"><f>IF(I198&gt;=1,"NO CONFORME",IF(BK198="SIGDIFERENTES",BC198,BL198))</f><v /></c><c r="AU198" s="372"><f>B198=C198</f><v /></c><c r="AV198" s="372"><f>N198&lt;Y198</f><v /></c><c r="AW198" s="372"><f>Z198&lt;=AK198</f><v /></c><c r="AX198" s="372"><f>IF(I198&gt;=1,"Qcorrecto",IF(AND(AY198="aceptable",AZ198="aceptable",BA198="aceptable"),"Qcorrecto","Qincorrecto"))</f><v /></c><c r="AY198" s="390"><f>IF(AR198&lt;$AH$6,"error",IF(AR198&gt;$AH$6*1.1,"error","aceptable"))</f><v /></c><c r="AZ198" s="390"><f>IF(AF198&lt;$V$6,"error",IF(AF198&gt;$V$6*1.1,"error","aceptable"))</f><v /></c><c r="BA198" s="390"><f>IF(T198&lt;$J$6*0.9,"error",IF(T198&gt;$J$6,"error","aceptable"))</f><v /></c><c r="BB198" s="25"><f>(IF(ABS(U198)&lt;1.05,"CONFORME",IF(ABS(AG198)&lt;1.05,"CONFORME",IF(ABS(AS198)&lt;2.55,"CONFORME","NO CONFORME"))))</f><v /></c><c r="BC198" s="5"><f>(IF(ABS(U198)&gt;2.05,"NO CONFORME",IF(ABS(AG198)&gt;2.05,"NO CONFORME",IF(ABS(AS198)&gt;5.05,"NO CONFORME","CONFORME"))))</f><v /></c><c r="BD198" s="374"><f>SIGN(U198)</f><v /></c><c r="BE198" s="374"><f>SIGN(AG198)</f><v /></c><c r="BF198" s="374"><f>SIGN(AS198)</f><v /></c><c r="BG198" s="374"><f>CONCATENATE(BD198,BE198,BF198)</f><v /></c><c r="BH198" s="374"><f>IF(BG198="111","SI","SD")</f><v /></c><c r="BI198" s="374"><f>IF(BG198="-1-1-1","SI","SD")</f><v /></c><c r="BJ198" s="374"><f>OR(BH198="SI",BI198="SI")</f><v /></c><c r="BK198" s="374"><f>IF(BJ198=FALSE,"SIGDIFERENTES","SIGIGUALES")</f><v /></c><c r="BL198" s="390"><f>IF(BC198="NO CONFORME","NO CONFORME",IF(BB198="CONFORME","CONFORME","NO CONFORME"))</f><v /></c></row><row r="199" ht="15" customHeight="1" thickBot="1"><c r="A199" s="351" t="n"><v>191</v></c><c r="B199" s="375"><f>B198</f><v /></c><c r="C199" s="375"><f>C198</f><v /></c><c r="D199" s="376"><f>D198</f><v /></c><c r="E199" s="377"><f>E198</f><v /></c><c r="F199" s="13" t="n" /><c r="G199" s="355" t="inlineStr"><is><t>PA25516891</t></is></c><c r="H199" s="313"><f>H198</f><v /></c><c r="I199" s="38"><f>I198</f><v /></c><c r="J199" s="314"><f>J198</f><v /></c><c r="K199" s="378"><f>K198</f><v /></c><c r="L199" s="378"><f>L198</f><v /></c><c r="M199" s="379" t="n"><v>100.33</v></c><c r="N199" s="379" t="n"><v>200.09</v></c><c r="O199" s="380"><f>O198</f><v /></c><c r="P199" s="424"><f>P198</f><v /></c><c r="Q199" s="382"><f>LEFT(P199,1)</f><v /></c><c r="R199" s="382"><f>RIGHT(P199,6)</f><v /></c><c r="S199" s="382"><f>+(Q199*60+R199)/(60*60)</f><v /></c><c r="T199" s="383"><f>+O199/S199</f><v /></c><c r="U199" s="384"><f>+(((N199-M199-O199)/O199)*100)</f><v /></c><c r="V199" s="317"><f>V198</f><v /></c><c r="W199" s="385"><f>W198</f><v /></c><c r="X199" s="385"><f>X198</f><v /></c><c r="Y199" s="379" t="n"><v>225.52</v></c><c r="Z199" s="379" t="n"><v>235.45</v></c><c r="AA199" s="386"><f>AA198</f><v /></c><c r="AB199" s="387"><f>AB198</f><v /></c><c r="AC199" s="382"><f>LEFT(AB199,2)</f><v /></c><c r="AD199" s="382"><f>RIGHT(AB199,6)</f><v /></c><c r="AE199" s="382"><f>+(AC199*60+AD199)/(60*60)</f><v /></c><c r="AF199" s="383"><f>+AA199/AE199</f><v /></c><c r="AG199" s="321"><f>+(((Z199-Y199-AA199)/AA199)*100)</f><v /></c><c r="AH199" s="317"><f>AH198</f><v /></c><c r="AI199" s="385"><f>AI198</f><v /></c><c r="AJ199" s="385"><f>AJ198</f><v /></c><c r="AK199" s="379"><f>Z199</f><v /></c><c r="AL199" s="379" t="n"><v>240.44</v></c><c r="AM199" s="388"><f>AM198</f><v /></c><c r="AN199" s="381"><f>AN198</f><v /></c><c r="AO199" s="382"><f>LEFT(AN199,2)</f><v /></c><c r="AP199" s="382"><f>RIGHT(AN199,6)</f><v /></c><c r="AQ199" s="382"><f>+(AO199*60+AP199)/(60*60)</f><v /></c><c r="AR199" s="383"><f>+AM199/AQ199</f><v /></c><c r="AS199" s="321"><f>+(((AL199-AK199-AM199)/AM199)*100)</f><v /></c><c r="AT199" s="389"><f>IF(I199&gt;=1,"NO CONFORME",IF(BK199="SIGDIFERENTES",BC199,BL199))</f><v /></c><c r="AU199" s="372"><f>B199=C199</f><v /></c><c r="AV199" s="372"><f>N199&lt;Y199</f><v /></c><c r="AW199" s="372"><f>Z199&lt;=AK199</f><v /></c><c r="AX199" s="372"><f>IF(I199&gt;=1,"Qcorrecto",IF(AND(AY199="aceptable",AZ199="aceptable",BA199="aceptable"),"Qcorrecto","Qincorrecto"))</f><v /></c><c r="AY199" s="390"><f>IF(AR199&lt;$AH$6,"error",IF(AR199&gt;$AH$6*1.1,"error","aceptable"))</f><v /></c><c r="AZ199" s="390"><f>IF(AF199&lt;$V$6,"error",IF(AF199&gt;$V$6*1.1,"error","aceptable"))</f><v /></c><c r="BA199" s="390"><f>IF(T199&lt;$J$6*0.9,"error",IF(T199&gt;$J$6,"error","aceptable"))</f><v /></c><c r="BB199" s="25"><f>(IF(ABS(U199)&lt;1.05,"CONFORME",IF(ABS(AG199)&lt;1.05,"CONFORME",IF(ABS(AS199)&lt;2.55,"CONFORME","NO CONFORME"))))</f><v /></c><c r="BC199" s="5"><f>(IF(ABS(U199)&gt;2.05,"NO CONFORME",IF(ABS(AG199)&gt;2.05,"NO CONFORME",IF(ABS(AS199)&gt;5.05,"NO CONFORME","CONFORME"))))</f><v /></c><c r="BD199" s="374"><f>SIGN(U199)</f><v /></c><c r="BE199" s="374"><f>SIGN(AG199)</f><v /></c><c r="BF199" s="374"><f>SIGN(AS199)</f><v /></c><c r="BG199" s="374"><f>CONCATENATE(BD199,BE199,BF199)</f><v /></c><c r="BH199" s="374"><f>IF(BG199="111","SI","SD")</f><v /></c><c r="BI199" s="374"><f>IF(BG199="-1-1-1","SI","SD")</f><v /></c><c r="BJ199" s="374"><f>OR(BH199="SI",BI199="SI")</f><v /></c><c r="BK199" s="374"><f>IF(BJ199=FALSE,"SIGDIFERENTES","SIGIGUALES")</f><v /></c><c r="BL199" s="390"><f>IF(BC199="NO CONFORME","NO CONFORME",IF(BB199="CONFORME","CONFORME","NO CONFORME"))</f><v /></c></row><row r="200" ht="15.75" customHeight="1" thickBot="1"><c r="A200" s="443" t="n"><v>192</v></c><c r="B200" s="375"><f>B199</f><v /></c><c r="C200" s="375"><f>C199</f><v /></c><c r="D200" s="376"><f>D199</f><v /></c><c r="E200" s="377"><f>E199</f><v /></c><c r="F200" s="13" t="n" /><c r="G200" s="444" t="inlineStr"><is><t>PA25516892</t></is></c><c r="H200" s="313"><f>H199</f><v /></c><c r="I200" s="38"><f>I199</f><v /></c><c r="J200" s="314"><f>J199</f><v /></c><c r="K200" s="378"><f>K199</f><v /></c><c r="L200" s="378"><f>L199</f><v /></c><c r="M200" s="379" t="n"><v>100.31</v></c><c r="N200" s="379" t="n"><v>200.06</v></c><c r="O200" s="380"><f>O199</f><v /></c><c r="P200" s="424"><f>P199</f><v /></c><c r="Q200" s="382"><f>LEFT(P200,1)</f><v /></c><c r="R200" s="382"><f>RIGHT(P200,6)</f><v /></c><c r="S200" s="382"><f>+(Q200*60+R200)/(60*60)</f><v /></c><c r="T200" s="383"><f>+O200/S200</f><v /></c><c r="U200" s="384"><f>+(((N200-M200-O200)/O200)*100)</f><v /></c><c r="V200" s="317"><f>V199</f><v /></c><c r="W200" s="385"><f>W199</f><v /></c><c r="X200" s="385"><f>X199</f><v /></c><c r="Y200" s="379" t="n"><v>225.44</v></c><c r="Z200" s="379" t="n"><v>235.37</v></c><c r="AA200" s="386"><f>AA199</f><v /></c><c r="AB200" s="387"><f>AB199</f><v /></c><c r="AC200" s="382"><f>LEFT(AB200,2)</f><v /></c><c r="AD200" s="382"><f>RIGHT(AB200,6)</f><v /></c><c r="AE200" s="382"><f>+(AC200*60+AD200)/(60*60)</f><v /></c><c r="AF200" s="383"><f>+AA200/AE200</f><v /></c><c r="AG200" s="321"><f>+(((Z200-Y200-AA200)/AA200)*100)</f><v /></c><c r="AH200" s="317"><f>AH199</f><v /></c><c r="AI200" s="385"><f>AI199</f><v /></c><c r="AJ200" s="385"><f>AJ199</f><v /></c><c r="AK200" s="379"><f>Z200</f><v /></c><c r="AL200" s="379" t="n"><v>240.36</v></c><c r="AM200" s="388"><f>AM199</f><v /></c><c r="AN200" s="381"><f>AN199</f><v /></c><c r="AO200" s="382"><f>LEFT(AN200,2)</f><v /></c><c r="AP200" s="382"><f>RIGHT(AN200,6)</f><v /></c><c r="AQ200" s="382"><f>+(AO200*60+AP200)/(60*60)</f><v /></c><c r="AR200" s="383"><f>+AM200/AQ200</f><v /></c><c r="AS200" s="321"><f>+(((AL200-AK200-AM200)/AM200)*100)</f><v /></c><c r="AT200" s="389"><f>IF(I200&gt;=1,"NO CONFORME",IF(BK200="SIGDIFERENTES",BC200,BL200))</f><v /></c><c r="AU200" s="372"><f>B200=C200</f><v /></c><c r="AV200" s="372"><f>N200&lt;Y200</f><v /></c><c r="AW200" s="372"><f>Z200&lt;=AK200</f><v /></c><c r="AX200" s="372"><f>IF(I200&gt;=1,"Qcorrecto",IF(AND(AY200="aceptable",AZ200="aceptable",BA200="aceptable"),"Qcorrecto","Qincorrecto"))</f><v /></c><c r="AY200" s="390"><f>IF(AR200&lt;$AH$6,"error",IF(AR200&gt;$AH$6*1.1,"error","aceptable"))</f><v /></c><c r="AZ200" s="390"><f>IF(AF200&lt;$V$6,"error",IF(AF200&gt;$V$6*1.1,"error","aceptable"))</f><v /></c><c r="BA200" s="390"><f>IF(T200&lt;$J$6*0.9,"error",IF(T200&gt;$J$6,"error","aceptable"))</f><v /></c><c r="BB200" s="25"><f>(IF(ABS(U200)&lt;1.05,"CONFORME",IF(ABS(AG200)&lt;1.05,"CONFORME",IF(ABS(AS200)&lt;2.55,"CONFORME","NO CONFORME"))))</f><v /></c><c r="BC200" s="5"><f>(IF(ABS(U200)&gt;2.05,"NO CONFORME",IF(ABS(AG200)&gt;2.05,"NO CONFORME",IF(ABS(AS200)&gt;5.05,"NO CONFORME","CONFORME"))))</f><v /></c><c r="BD200" s="374"><f>SIGN(U200)</f><v /></c><c r="BE200" s="374"><f>SIGN(AG200)</f><v /></c><c r="BF200" s="374"><f>SIGN(AS200)</f><v /></c><c r="BG200" s="374"><f>CONCATENATE(BD200,BE200,BF200)</f><v /></c><c r="BH200" s="374"><f>IF(BG200="111","SI","SD")</f><v /></c><c r="BI200" s="374"><f>IF(BG200="-1-1-1","SI","SD")</f><v /></c><c r="BJ200" s="374"><f>OR(BH200="SI",BI200="SI")</f><v /></c><c r="BK200" s="374"><f>IF(BJ200=FALSE,"SIGDIFERENTES","SIGIGUALES")</f><v /></c><c r="BL200" s="390"><f>IF(BC200="NO CONFORME","NO CONFORME",IF(BB200="CONFORME","CONFORME","NO CONFORME"))</f><v /></c></row><row r="201" ht="14.4" customHeight="1" thickBot="1"><c r="A201" s="351" t="n"><v>193</v></c><c r="B201" s="375"><f>B200</f><v /></c><c r="C201" s="375"><f>C200</f><v /></c><c r="D201" s="376"><f>D200</f><v /></c><c r="E201" s="377"><f>E200</f><v /></c><c r="F201" s="13" t="n" /><c r="G201" s="355" t="inlineStr"><is><t>PA25516893</t></is></c><c r="H201" s="313"><f>H200</f><v /></c><c r="I201" s="38"><f>I200</f><v /></c><c r="J201" s="314"><f>J200</f><v /></c><c r="K201" s="378"><f>K200</f><v /></c><c r="L201" s="378"><f>L200</f><v /></c><c r="M201" s="379" t="n"><v>99.76000000000001</v></c><c r="N201" s="379" t="n"><v>199.32</v></c><c r="O201" s="380"><f>O200</f><v /></c><c r="P201" s="424"><f>P200</f><v /></c><c r="Q201" s="382"><f>LEFT(P201,1)</f><v /></c><c r="R201" s="382"><f>RIGHT(P201,6)</f><v /></c><c r="S201" s="382"><f>+(Q201*60+R201)/(60*60)</f><v /></c><c r="T201" s="383"><f>+O201/S201</f><v /></c><c r="U201" s="384"><f>+(((N201-M201-O201)/O201)*100)</f><v /></c><c r="V201" s="317"><f>V200</f><v /></c><c r="W201" s="385"><f>W200</f><v /></c><c r="X201" s="385"><f>X200</f><v /></c><c r="Y201" s="379" t="n"><v>224.65</v></c><c r="Z201" s="379" t="n"><v>234.58</v></c><c r="AA201" s="386"><f>AA200</f><v /></c><c r="AB201" s="387"><f>AB200</f><v /></c><c r="AC201" s="382"><f>LEFT(AB201,2)</f><v /></c><c r="AD201" s="382"><f>RIGHT(AB201,6)</f><v /></c><c r="AE201" s="382"><f>+(AC201*60+AD201)/(60*60)</f><v /></c><c r="AF201" s="383"><f>+AA201/AE201</f><v /></c><c r="AG201" s="321"><f>+(((Z201-Y201-AA201)/AA201)*100)</f><v /></c><c r="AH201" s="317"><f>AH200</f><v /></c><c r="AI201" s="385"><f>AI200</f><v /></c><c r="AJ201" s="385"><f>AJ200</f><v /></c><c r="AK201" s="379"><f>Z201</f><v /></c><c r="AL201" s="379" t="n"><v>239.58</v></c><c r="AM201" s="388"><f>AM200</f><v /></c><c r="AN201" s="381"><f>AN200</f><v /></c><c r="AO201" s="382"><f>LEFT(AN201,2)</f><v /></c><c r="AP201" s="382"><f>RIGHT(AN201,6)</f><v /></c><c r="AQ201" s="382"><f>+(AO201*60+AP201)/(60*60)</f><v /></c><c r="AR201" s="383"><f>+AM201/AQ201</f><v /></c><c r="AS201" s="321"><f>+(((AL201-AK201-AM201)/AM201)*100)</f><v /></c><c r="AT201" s="389"><f>IF(I201&gt;=1,"NO CONFORME",IF(BK201="SIGDIFERENTES",BC201,BL201))</f><v /></c><c r="AU201" s="372"><f>B201=C201</f><v /></c><c r="AV201" s="372"><f>N201&lt;Y201</f><v /></c><c r="AW201" s="372"><f>Z201&lt;=AK201</f><v /></c><c r="AX201" s="372"><f>IF(I201&gt;=1,"Qcorrecto",IF(AND(AY201="aceptable",AZ201="aceptable",BA201="aceptable"),"Qcorrecto","Qincorrecto"))</f><v /></c><c r="AY201" s="390"><f>IF(AR201&lt;$AH$6,"error",IF(AR201&gt;$AH$6*1.1,"error","aceptable"))</f><v /></c><c r="AZ201" s="390"><f>IF(AF201&lt;$V$6,"error",IF(AF201&gt;$V$6*1.1,"error","aceptable"))</f><v /></c><c r="BA201" s="390"><f>IF(T201&lt;$J$6*0.9,"error",IF(T201&gt;$J$6,"error","aceptable"))</f><v /></c><c r="BB201" s="25"><f>(IF(ABS(U201)&lt;1.05,"CONFORME",IF(ABS(AG201)&lt;1.05,"CONFORME",IF(ABS(AS201)&lt;2.55,"CONFORME","NO CONFORME"))))</f><v /></c><c r="BC201" s="5"><f>(IF(ABS(U201)&gt;2.05,"NO CONFORME",IF(ABS(AG201)&gt;2.05,"NO CONFORME",IF(ABS(AS201)&gt;5.05,"NO CONFORME","CONFORME"))))</f><v /></c><c r="BD201" s="374"><f>SIGN(U201)</f><v /></c><c r="BE201" s="374"><f>SIGN(AG201)</f><v /></c><c r="BF201" s="374"><f>SIGN(AS201)</f><v /></c><c r="BG201" s="374"><f>CONCATENATE(BD201,BE201,BF201)</f><v /></c><c r="BH201" s="374"><f>IF(BG201="111","SI","SD")</f><v /></c><c r="BI201" s="374"><f>IF(BG201="-1-1-1","SI","SD")</f><v /></c><c r="BJ201" s="374"><f>OR(BH201="SI",BI201="SI")</f><v /></c><c r="BK201" s="374"><f>IF(BJ201=FALSE,"SIGDIFERENTES","SIGIGUALES")</f><v /></c><c r="BL201" s="390"><f>IF(BC201="NO CONFORME","NO CONFORME",IF(BB201="CONFORME","CONFORME","NO CONFORME"))</f><v /></c></row><row r="202" ht="14.4" customHeight="1" thickBot="1"><c r="A202" s="351" t="n"><v>194</v></c><c r="B202" s="375"><f>B201</f><v /></c><c r="C202" s="375"><f>C201</f><v /></c><c r="D202" s="376"><f>D201</f><v /></c><c r="E202" s="377"><f>E201</f><v /></c><c r="F202" s="13" t="n" /><c r="G202" s="355" t="inlineStr"><is><t>PA25516894</t></is></c><c r="H202" s="313"><f>H201</f><v /></c><c r="I202" s="38"><f>I201</f><v /></c><c r="J202" s="314"><f>J201</f><v /></c><c r="K202" s="378"><f>K201</f><v /></c><c r="L202" s="378"><f>L201</f><v /></c><c r="M202" s="379" t="n"><v>100.45</v></c><c r="N202" s="379" t="n"><v>200.63</v></c><c r="O202" s="380"><f>O201</f><v /></c><c r="P202" s="424"><f>P201</f><v /></c><c r="Q202" s="382"><f>LEFT(P202,1)</f><v /></c><c r="R202" s="382"><f>RIGHT(P202,6)</f><v /></c><c r="S202" s="382"><f>+(Q202*60+R202)/(60*60)</f><v /></c><c r="T202" s="383"><f>+O202/S202</f><v /></c><c r="U202" s="384"><f>+(((N202-M202-O202)/O202)*100)</f><v /></c><c r="V202" s="317"><f>V201</f><v /></c><c r="W202" s="385"><f>W201</f><v /></c><c r="X202" s="385"><f>X201</f><v /></c><c r="Y202" s="379" t="n"><v>226.17</v></c><c r="Z202" s="379" t="n"><v>236.14</v></c><c r="AA202" s="386"><f>AA201</f><v /></c><c r="AB202" s="387"><f>AB201</f><v /></c><c r="AC202" s="382"><f>LEFT(AB202,2)</f><v /></c><c r="AD202" s="382"><f>RIGHT(AB202,6)</f><v /></c><c r="AE202" s="382"><f>+(AC202*60+AD202)/(60*60)</f><v /></c><c r="AF202" s="383"><f>+AA202/AE202</f><v /></c><c r="AG202" s="321"><f>+(((Z202-Y202-AA202)/AA202)*100)</f><v /></c><c r="AH202" s="317"><f>AH201</f><v /></c><c r="AI202" s="385"><f>AI201</f><v /></c><c r="AJ202" s="385"><f>AJ201</f><v /></c><c r="AK202" s="379"><f>Z202</f><v /></c><c r="AL202" s="379" t="n"><v>241.19</v></c><c r="AM202" s="388"><f>AM201</f><v /></c><c r="AN202" s="381"><f>AN201</f><v /></c><c r="AO202" s="382"><f>LEFT(AN202,2)</f><v /></c><c r="AP202" s="382"><f>RIGHT(AN202,6)</f><v /></c><c r="AQ202" s="382"><f>+(AO202*60+AP202)/(60*60)</f><v /></c><c r="AR202" s="383"><f>+AM202/AQ202</f><v /></c><c r="AS202" s="321"><f>+(((AL202-AK202-AM202)/AM202)*100)</f><v /></c><c r="AT202" s="389"><f>IF(I202&gt;=1,"NO CONFORME",IF(BK202="SIGDIFERENTES",BC202,BL202))</f><v /></c><c r="AU202" s="372"><f>B202=C202</f><v /></c><c r="AV202" s="372"><f>N202&lt;Y202</f><v /></c><c r="AW202" s="372"><f>Z202&lt;=AK202</f><v /></c><c r="AX202" s="372"><f>IF(I202&gt;=1,"Qcorrecto",IF(AND(AY202="aceptable",AZ202="aceptable",BA202="aceptable"),"Qcorrecto","Qincorrecto"))</f><v /></c><c r="AY202" s="390"><f>IF(AR202&lt;$AH$6,"error",IF(AR202&gt;$AH$6*1.1,"error","aceptable"))</f><v /></c><c r="AZ202" s="390"><f>IF(AF202&lt;$V$6,"error",IF(AF202&gt;$V$6*1.1,"error","aceptable"))</f><v /></c><c r="BA202" s="390"><f>IF(T202&lt;$J$6*0.9,"error",IF(T202&gt;$J$6,"error","aceptable"))</f><v /></c><c r="BB202" s="25"><f>(IF(ABS(U202)&lt;1.05,"CONFORME",IF(ABS(AG202)&lt;1.05,"CONFORME",IF(ABS(AS202)&lt;2.55,"CONFORME","NO CONFORME"))))</f><v /></c><c r="BC202" s="5"><f>(IF(ABS(U202)&gt;2.05,"NO CONFORME",IF(ABS(AG202)&gt;2.05,"NO CONFORME",IF(ABS(AS202)&gt;5.05,"NO CONFORME","CONFORME"))))</f><v /></c><c r="BD202" s="374"><f>SIGN(U202)</f><v /></c><c r="BE202" s="374"><f>SIGN(AG202)</f><v /></c><c r="BF202" s="374"><f>SIGN(AS202)</f><v /></c><c r="BG202" s="374"><f>CONCATENATE(BD202,BE202,BF202)</f><v /></c><c r="BH202" s="374"><f>IF(BG202="111","SI","SD")</f><v /></c><c r="BI202" s="374"><f>IF(BG202="-1-1-1","SI","SD")</f><v /></c><c r="BJ202" s="374"><f>OR(BH202="SI",BI202="SI")</f><v /></c><c r="BK202" s="374"><f>IF(BJ202=FALSE,"SIGDIFERENTES","SIGIGUALES")</f><v /></c><c r="BL202" s="390"><f>IF(BC202="NO CONFORME","NO CONFORME",IF(BB202="CONFORME","CONFORME","NO CONFORME"))</f><v /></c></row><row r="203" ht="14.4" customHeight="1" thickBot="1"><c r="A203" s="351" t="n"><v>195</v></c><c r="B203" s="375"><f>B202</f><v /></c><c r="C203" s="375"><f>C202</f><v /></c><c r="D203" s="376"><f>D202</f><v /></c><c r="E203" s="377"><f>E202</f><v /></c><c r="F203" s="13" t="n" /><c r="G203" s="355" t="inlineStr"><is><t>PA25516895</t></is></c><c r="H203" s="313"><f>H202</f><v /></c><c r="I203" s="38"><f>I202</f><v /></c><c r="J203" s="314"><f>J202</f><v /></c><c r="K203" s="378"><f>K202</f><v /></c><c r="L203" s="378"><f>L202</f><v /></c><c r="M203" s="379" t="n"><v>101.2</v></c><c r="N203" s="379" t="n"><v>200.65</v></c><c r="O203" s="380"><f>O202</f><v /></c><c r="P203" s="424"><f>P202</f><v /></c><c r="Q203" s="382"><f>LEFT(P203,1)</f><v /></c><c r="R203" s="382"><f>RIGHT(P203,6)</f><v /></c><c r="S203" s="382"><f>+(Q203*60+R203)/(60*60)</f><v /></c><c r="T203" s="383"><f>+O203/S203</f><v /></c><c r="U203" s="384"><f>+(((N203-M203-O203)/O203)*100)</f><v /></c><c r="V203" s="317"><f>V202</f><v /></c><c r="W203" s="385"><f>W202</f><v /></c><c r="X203" s="385"><f>X202</f><v /></c><c r="Y203" s="379" t="n"><v>226.02</v></c><c r="Z203" s="379" t="n"><v>235.99</v></c><c r="AA203" s="386"><f>AA202</f><v /></c><c r="AB203" s="387"><f>AB202</f><v /></c><c r="AC203" s="382"><f>LEFT(AB203,2)</f><v /></c><c r="AD203" s="382"><f>RIGHT(AB203,6)</f><v /></c><c r="AE203" s="382"><f>+(AC203*60+AD203)/(60*60)</f><v /></c><c r="AF203" s="383"><f>+AA203/AE203</f><v /></c><c r="AG203" s="321"><f>+(((Z203-Y203-AA203)/AA203)*100)</f><v /></c><c r="AH203" s="317"><f>AH202</f><v /></c><c r="AI203" s="385"><f>AI202</f><v /></c><c r="AJ203" s="385"><f>AJ202</f><v /></c><c r="AK203" s="379"><f>Z203</f><v /></c><c r="AL203" s="379" t="n"><v>241.03</v></c><c r="AM203" s="388"><f>AM202</f><v /></c><c r="AN203" s="381"><f>AN202</f><v /></c><c r="AO203" s="382"><f>LEFT(AN203,2)</f><v /></c><c r="AP203" s="382"><f>RIGHT(AN203,6)</f><v /></c><c r="AQ203" s="382"><f>+(AO203*60+AP203)/(60*60)</f><v /></c><c r="AR203" s="383"><f>+AM203/AQ203</f><v /></c><c r="AS203" s="321"><f>+(((AL203-AK203-AM203)/AM203)*100)</f><v /></c><c r="AT203" s="389"><f>IF(I203&gt;=1,"NO CONFORME",IF(BK203="SIGDIFERENTES",BC203,BL203))</f><v /></c><c r="AU203" s="372"><f>B203=C203</f><v /></c><c r="AV203" s="372"><f>N203&lt;Y203</f><v /></c><c r="AW203" s="372"><f>Z203&lt;=AK203</f><v /></c><c r="AX203" s="372"><f>IF(I203&gt;=1,"Qcorrecto",IF(AND(AY203="aceptable",AZ203="aceptable",BA203="aceptable"),"Qcorrecto","Qincorrecto"))</f><v /></c><c r="AY203" s="390"><f>IF(AR203&lt;$AH$6,"error",IF(AR203&gt;$AH$6*1.1,"error","aceptable"))</f><v /></c><c r="AZ203" s="390"><f>IF(AF203&lt;$V$6,"error",IF(AF203&gt;$V$6*1.1,"error","aceptable"))</f><v /></c><c r="BA203" s="390"><f>IF(T203&lt;$J$6*0.9,"error",IF(T203&gt;$J$6,"error","aceptable"))</f><v /></c><c r="BB203" s="25"><f>(IF(ABS(U203)&lt;1.05,"CONFORME",IF(ABS(AG203)&lt;1.05,"CONFORME",IF(ABS(AS203)&lt;2.55,"CONFORME","NO CONFORME"))))</f><v /></c><c r="BC203" s="5"><f>(IF(ABS(U203)&gt;2.05,"NO CONFORME",IF(ABS(AG203)&gt;2.05,"NO CONFORME",IF(ABS(AS203)&gt;5.05,"NO CONFORME","CONFORME"))))</f><v /></c><c r="BD203" s="374"><f>SIGN(U203)</f><v /></c><c r="BE203" s="374"><f>SIGN(AG203)</f><v /></c><c r="BF203" s="374"><f>SIGN(AS203)</f><v /></c><c r="BG203" s="374"><f>CONCATENATE(BD203,BE203,BF203)</f><v /></c><c r="BH203" s="374"><f>IF(BG203="111","SI","SD")</f><v /></c><c r="BI203" s="374"><f>IF(BG203="-1-1-1","SI","SD")</f><v /></c><c r="BJ203" s="374"><f>OR(BH203="SI",BI203="SI")</f><v /></c><c r="BK203" s="374"><f>IF(BJ203=FALSE,"SIGDIFERENTES","SIGIGUALES")</f><v /></c><c r="BL203" s="390"><f>IF(BC203="NO CONFORME","NO CONFORME",IF(BB203="CONFORME","CONFORME","NO CONFORME"))</f><v /></c></row><row r="204" ht="15" customHeight="1" thickBot="1"><c r="A204" s="391" t="n"><v>196</v></c><c r="B204" s="392"><f>B203</f><v /></c><c r="C204" s="392"><f>C203</f><v /></c><c r="D204" s="393"><f>D203</f><v /></c><c r="E204" s="417"><f>E203</f><v /></c><c r="F204" s="52" t="n" /><c r="G204" s="395" t="inlineStr"><is><t>PA25516896</t></is></c><c r="H204" s="326"><f>H203</f><v /></c><c r="I204" s="98"><f>I203</f><v /></c><c r="J204" s="327"><f>J203</f><v /></c><c r="K204" s="396"><f>K203</f><v /></c><c r="L204" s="396"><f>L203</f><v /></c><c r="M204" s="397" t="n"><v>100.15</v></c><c r="N204" s="397" t="n"><v>199.64</v></c><c r="O204" s="398"><f>O203</f><v /></c><c r="P204" s="399"><f>P203</f><v /></c><c r="Q204" s="400"><f>LEFT(P204,1)</f><v /></c><c r="R204" s="400"><f>RIGHT(P204,6)</f><v /></c><c r="S204" s="400"><f>+(Q204*60+R204)/(60*60)</f><v /></c><c r="T204" s="401"><f>+O204/S204</f><v /></c><c r="U204" s="402"><f>+(((N204-M204-O204)/O204)*100)</f><v /></c><c r="V204" s="329"><f>V203</f><v /></c><c r="W204" s="403"><f>W203</f><v /></c><c r="X204" s="403"><f>X203</f><v /></c><c r="Y204" s="397" t="n"><v>225.02</v></c><c r="Z204" s="397" t="n"><v>234.99</v></c><c r="AA204" s="404"><f>AA203</f><v /></c><c r="AB204" s="405"><f>AB203</f><v /></c><c r="AC204" s="400"><f>LEFT(AB204,2)</f><v /></c><c r="AD204" s="400"><f>RIGHT(AB204,6)</f><v /></c><c r="AE204" s="400"><f>+(AC204*60+AD204)/(60*60)</f><v /></c><c r="AF204" s="401"><f>+AA204/AE204</f><v /></c><c r="AG204" s="406"><f>+(((Z204-Y204-AA204)/AA204)*100)</f><v /></c><c r="AH204" s="329"><f>AH203</f><v /></c><c r="AI204" s="403"><f>AI203</f><v /></c><c r="AJ204" s="403"><f>AJ203</f><v /></c><c r="AK204" s="397"><f>Z204</f><v /></c><c r="AL204" s="397" t="n"><v>239.96</v></c><c r="AM204" s="407"><f>AM203</f><v /></c><c r="AN204" s="399"><f>AN203</f><v /></c><c r="AO204" s="400"><f>LEFT(AN204,2)</f><v /></c><c r="AP204" s="400"><f>RIGHT(AN204,6)</f><v /></c><c r="AQ204" s="400"><f>+(AO204*60+AP204)/(60*60)</f><v /></c><c r="AR204" s="401"><f>+AM204/AQ204</f><v /></c><c r="AS204" s="406"><f>+(((AL204-AK204-AM204)/AM204)*100)</f><v /></c><c r="AT204" s="408"><f>IF(I204&gt;=1,"NO CONFORME",IF(BK204="SIGDIFERENTES",BC204,BL204))</f><v /></c><c r="AU204" s="409"><f>B204=C204</f><v /></c><c r="AV204" s="409"><f>N204&lt;Y204</f><v /></c><c r="AW204" s="409"><f>Z204&lt;=AK204</f><v /></c><c r="AX204" s="409"><f>IF(I204&gt;=1,"Qcorrecto",IF(AND(AY204="aceptable",AZ204="aceptable",BA204="aceptable"),"Qcorrecto","Qincorrecto"))</f><v /></c><c r="AY204" s="410"><f>IF(AR204&lt;$AH$6,"error",IF(AR204&gt;$AH$6*1.1,"error","aceptable"))</f><v /></c><c r="AZ204" s="410"><f>IF(AF204&lt;$V$6,"error",IF(AF204&gt;$V$6*1.1,"error","aceptable"))</f><v /></c><c r="BA204" s="410"><f>IF(T204&lt;$J$6*0.9,"error",IF(T204&gt;$J$6,"error","aceptable"))</f><v /></c><c r="BB204" s="411"><f>(IF(ABS(U204)&lt;1.05,"CONFORME",IF(ABS(AG204)&lt;1.05,"CONFORME",IF(ABS(AS204)&lt;2.55,"CONFORME","NO CONFORME"))))</f><v /></c><c r="BC204" s="412"><f>(IF(ABS(U204)&gt;2.05,"NO CONFORME",IF(ABS(AG204)&gt;2.05,"NO CONFORME",IF(ABS(AS204)&gt;5.05,"NO CONFORME","CONFORME"))))</f><v /></c><c r="BD204" s="413"><f>SIGN(U204)</f><v /></c><c r="BE204" s="413"><f>SIGN(AG204)</f><v /></c><c r="BF204" s="413"><f>SIGN(AS204)</f><v /></c><c r="BG204" s="413"><f>CONCATENATE(BD204,BE204,BF204)</f><v /></c><c r="BH204" s="413"><f>IF(BG204="111","SI","SD")</f><v /></c><c r="BI204" s="413"><f>IF(BG204="-1-1-1","SI","SD")</f><v /></c><c r="BJ204" s="413"><f>OR(BH204="SI",BI204="SI")</f><v /></c><c r="BK204" s="413"><f>IF(BJ204=FALSE,"SIGDIFERENTES","SIGIGUALES")</f><v /></c><c r="BL204" s="410"><f>IF(BC204="NO CONFORME","NO CONFORME",IF(BB204="CONFORME","CONFORME","NO CONFORME"))</f><v /></c></row><row r="205" ht="14.4" customHeight="1" thickBot="1"><c r="A205" s="351" t="n"><v>197</v></c><c r="B205" s="352"><f>B204</f><v /></c><c r="C205" s="352"><f>C204</f><v /></c><c r="D205" s="353"><f>D204</f><v /></c><c r="E205" s="481"><f>E204</f><v /></c><c r="F205" s="58" t="n" /><c r="G205" s="355" t="inlineStr"><is><t>PA25516897</t></is></c><c r="H205" s="356"><f>H204</f><v /></c><c r="I205" s="232"><f>I204</f><v /></c><c r="J205" s="302" t="n"><v>20.9</v></c><c r="K205" s="303" t="n"><v>8.473000000000001</v></c><c r="L205" s="303" t="n"><v>0.521</v></c><c r="M205" s="359" t="n"><v>109.21</v></c><c r="N205" s="359" t="n"><v>209.35</v></c><c r="O205" s="457" t="n"><v>100.48</v></c><c r="P205" s="482" t="inlineStr"><is><t>2,29,610</t></is></c><c r="Q205" s="362"><f>LEFT(P205,1)</f><v /></c><c r="R205" s="362"><f>RIGHT(P205,6)</f><v /></c><c r="S205" s="362"><f>+(Q205*60+R205)/(60*60)</f><v /></c><c r="T205" s="363"><f>+O205/S205</f><v /></c><c r="U205" s="364"><f>+(((N205-M205-O205)/O205)*100)</f><v /></c><c r="V205" s="306" t="n"><v>21.3</v></c><c r="W205" s="366" t="n"><v>1.096</v></c><c r="X205" s="366" t="n"><v>1.088</v></c><c r="Y205" s="359" t="n"><v>214.75</v></c><c r="Z205" s="359" t="n"><v>224.69</v></c><c r="AA205" s="308" t="n"><v>10.01</v></c><c r="AB205" s="308" t="inlineStr"><is><t>22,44,380</t></is></c><c r="AC205" s="362"><f>LEFT(AB205,2)</f><v /></c><c r="AD205" s="362"><f>RIGHT(AB205,6)</f><v /></c><c r="AE205" s="362"><f>+(AC205*60+AD205)/(60*60)</f><v /></c><c r="AF205" s="363"><f>+AA205/AE205</f><v /></c><c r="AG205" s="369"><f>+(((Z205-Y205-AA205)/AA205)*100)</f><v /></c><c r="AH205" s="306" t="n"><v>21.5</v></c><c r="AI205" s="366" t="n"><v>1.097</v></c><c r="AJ205" s="366" t="n"><v>1.089</v></c><c r="AK205" s="359"><f>Z205</f><v /></c><c r="AL205" s="359" t="n"><v>229.67</v></c><c r="AM205" s="459" t="n"><v>5.01</v></c><c r="AN205" s="458" t="inlineStr"><is><t>18,16,100</t></is></c><c r="AO205" s="362"><f>LEFT(AN205,2)</f><v /></c><c r="AP205" s="362"><f>RIGHT(AN205,6)</f><v /></c><c r="AQ205" s="362"><f>+(AO205*60+AP205)/(60*60)</f><v /></c><c r="AR205" s="363"><f>+AM205/AQ205</f><v /></c><c r="AS205" s="369"><f>+(((AL205-AK205-AM205)/AM205)*100)</f><v /></c><c r="AT205" s="371"><f>IF(I205&gt;=1,"NO CONFORME",IF(BK205="SIGDIFERENTES",BC205,BL205))</f><v /></c><c r="AU205" s="372"><f>B205=C205</f><v /></c><c r="AV205" s="372"><f>N205&lt;Y205</f><v /></c><c r="AW205" s="372"><f>Z205&lt;=AK205</f><v /></c><c r="AX205" s="372"><f>IF(I205&gt;=1,"Qcorrecto",IF(AND(AY205="aceptable",AZ205="aceptable",BA205="aceptable"),"Qcorrecto","Qincorrecto"))</f><v /></c><c r="AY205" s="373"><f>IF(AR205&lt;$AH$6,"error",IF(AR205&gt;$AH$6*1.1,"error","aceptable"))</f><v /></c><c r="AZ205" s="373"><f>IF(AF205&lt;$V$6,"error",IF(AF205&gt;$V$6*1.1,"error","aceptable"))</f><v /></c><c r="BA205" s="373"><f>IF(T205&lt;$J$6*0.9,"error",IF(T205&gt;$J$6,"error","aceptable"))</f><v /></c><c r="BB205" s="25"><f>(IF(ABS(U205)&lt;1.05,"CONFORME",IF(ABS(AG205)&lt;1.05,"CONFORME",IF(ABS(AS205)&lt;2.55,"CONFORME","NO CONFORME"))))</f><v /></c><c r="BC205" s="5"><f>(IF(ABS(U205)&gt;2.05,"NO CONFORME",IF(ABS(AG205)&gt;2.05,"NO CONFORME",IF(ABS(AS205)&gt;5.05,"NO CONFORME","CONFORME"))))</f><v /></c><c r="BD205" s="374"><f>SIGN(U205)</f><v /></c><c r="BE205" s="374"><f>SIGN(AG205)</f><v /></c><c r="BF205" s="374"><f>SIGN(AS205)</f><v /></c><c r="BG205" s="374"><f>CONCATENATE(BD205,BE205,BF205)</f><v /></c><c r="BH205" s="374"><f>IF(BG205="111","SI","SD")</f><v /></c><c r="BI205" s="374"><f>IF(BG205="-1-1-1","SI","SD")</f><v /></c><c r="BJ205" s="374"><f>OR(BH205="SI",BI205="SI")</f><v /></c><c r="BK205" s="374"><f>IF(BJ205=FALSE,"SIGDIFERENTES","SIGIGUALES")</f><v /></c><c r="BL205" s="373"><f>IF(BC205="NO CONFORME","NO CONFORME",IF(BB205="CONFORME","CONFORME","NO CONFORME"))</f><v /></c></row><row r="206" ht="14.4" customHeight="1" thickBot="1"><c r="A206" s="351" t="n"><v>198</v></c><c r="B206" s="375"><f>B205</f><v /></c><c r="C206" s="375"><f>C205</f><v /></c><c r="D206" s="376"><f>D205</f><v /></c><c r="E206" s="377"><f>E205</f><v /></c><c r="F206" s="13" t="n" /><c r="G206" s="355" t="inlineStr"><is><t>PA25516898</t></is></c><c r="H206" s="313"><f>H205</f><v /></c><c r="I206" s="38"><f>I205</f><v /></c><c r="J206" s="314"><f>J205</f><v /></c><c r="K206" s="378"><f>K205</f><v /></c><c r="L206" s="378"><f>L205</f><v /></c><c r="M206" s="379" t="n"><v>150.3</v></c><c r="N206" s="379" t="n"><v>250</v></c><c r="O206" s="380"><f>O205</f><v /></c><c r="P206" s="424"><f>P205</f><v /></c><c r="Q206" s="382"><f>LEFT(P206,1)</f><v /></c><c r="R206" s="382"><f>RIGHT(P206,6)</f><v /></c><c r="S206" s="382"><f>+(Q206*60+R206)/(60*60)</f><v /></c><c r="T206" s="383"><f>+O206/S206</f><v /></c><c r="U206" s="384"><f>+(((N206-M206-O206)/O206)*100)</f><v /></c><c r="V206" s="317"><f>V205</f><v /></c><c r="W206" s="385"><f>W205</f><v /></c><c r="X206" s="385"><f>X205</f><v /></c><c r="Y206" s="379" t="n"><v>255.4</v></c><c r="Z206" s="379" t="n"><v>265.35</v></c><c r="AA206" s="386"><f>AA205</f><v /></c><c r="AB206" s="387"><f>AB205</f><v /></c><c r="AC206" s="382"><f>LEFT(AB206,2)</f><v /></c><c r="AD206" s="382"><f>RIGHT(AB206,6)</f><v /></c><c r="AE206" s="382"><f>+(AC206*60+AD206)/(60*60)</f><v /></c><c r="AF206" s="383"><f>+AA206/AE206</f><v /></c><c r="AG206" s="321"><f>+(((Z206-Y206-AA206)/AA206)*100)</f><v /></c><c r="AH206" s="317"><f>AH205</f><v /></c><c r="AI206" s="385"><f>AI205</f><v /></c><c r="AJ206" s="385"><f>AJ205</f><v /></c><c r="AK206" s="379"><f>Z206</f><v /></c><c r="AL206" s="379" t="n"><v>270.37</v></c><c r="AM206" s="388"><f>AM205</f><v /></c><c r="AN206" s="381"><f>AN205</f><v /></c><c r="AO206" s="382"><f>LEFT(AN206,2)</f><v /></c><c r="AP206" s="382"><f>RIGHT(AN206,6)</f><v /></c><c r="AQ206" s="382"><f>+(AO206*60+AP206)/(60*60)</f><v /></c><c r="AR206" s="383"><f>+AM206/AQ206</f><v /></c><c r="AS206" s="321"><f>+(((AL206-AK206-AM206)/AM206)*100)</f><v /></c><c r="AT206" s="389"><f>IF(I206&gt;=1,"NO CONFORME",IF(BK206="SIGDIFERENTES",BC206,BL206))</f><v /></c><c r="AU206" s="372"><f>B206=C206</f><v /></c><c r="AV206" s="372"><f>N206&lt;Y206</f><v /></c><c r="AW206" s="372"><f>Z206&lt;=AK206</f><v /></c><c r="AX206" s="372"><f>IF(I206&gt;=1,"Qcorrecto",IF(AND(AY206="aceptable",AZ206="aceptable",BA206="aceptable"),"Qcorrecto","Qincorrecto"))</f><v /></c><c r="AY206" s="390"><f>IF(AR206&lt;$AH$6,"error",IF(AR206&gt;$AH$6*1.1,"error","aceptable"))</f><v /></c><c r="AZ206" s="390"><f>IF(AF206&lt;$V$6,"error",IF(AF206&gt;$V$6*1.1,"error","aceptable"))</f><v /></c><c r="BA206" s="390"><f>IF(T206&lt;$J$6*0.9,"error",IF(T206&gt;$J$6,"error","aceptable"))</f><v /></c><c r="BB206" s="25"><f>(IF(ABS(U206)&lt;1.05,"CONFORME",IF(ABS(AG206)&lt;1.05,"CONFORME",IF(ABS(AS206)&lt;2.55,"CONFORME","NO CONFORME"))))</f><v /></c><c r="BC206" s="5"><f>(IF(ABS(U206)&gt;2.05,"NO CONFORME",IF(ABS(AG206)&gt;2.05,"NO CONFORME",IF(ABS(AS206)&gt;5.05,"NO CONFORME","CONFORME"))))</f><v /></c><c r="BD206" s="374"><f>SIGN(U206)</f><v /></c><c r="BE206" s="374"><f>SIGN(AG206)</f><v /></c><c r="BF206" s="374"><f>SIGN(AS206)</f><v /></c><c r="BG206" s="374"><f>CONCATENATE(BD206,BE206,BF206)</f><v /></c><c r="BH206" s="374"><f>IF(BG206="111","SI","SD")</f><v /></c><c r="BI206" s="374"><f>IF(BG206="-1-1-1","SI","SD")</f><v /></c><c r="BJ206" s="374"><f>OR(BH206="SI",BI206="SI")</f><v /></c><c r="BK206" s="374"><f>IF(BJ206=FALSE,"SIGDIFERENTES","SIGIGUALES")</f><v /></c><c r="BL206" s="390"><f>IF(BC206="NO CONFORME","NO CONFORME",IF(BB206="CONFORME","CONFORME","NO CONFORME"))</f><v /></c></row><row r="207" ht="14.4" customHeight="1" thickBot="1"><c r="A207" s="414" t="n"><v>199</v></c><c r="B207" s="415"><f>B206</f><v /></c><c r="C207" s="415"><f>C206</f><v /></c><c r="D207" s="416"><f>D206</f><v /></c><c r="E207" s="377"><f>E206</f><v /></c><c r="F207" s="56" t="n" /><c r="G207" s="355" t="inlineStr"><is><t>PA25516899</t></is></c><c r="H207" s="418"><f>H206</f><v /></c><c r="I207" s="419"><f>I206</f><v /></c><c r="J207" s="314"><f>J206</f><v /></c><c r="K207" s="378"><f>K206</f><v /></c><c r="L207" s="378"><f>L206</f><v /></c><c r="M207" s="422" t="n"><v>108.58</v></c><c r="N207" s="422" t="n"><v>208.08</v></c><c r="O207" s="380"><f>O206</f><v /></c><c r="P207" s="424"><f>P206</f><v /></c><c r="Q207" s="425"><f>LEFT(P207,1)</f><v /></c><c r="R207" s="425"><f>RIGHT(P207,6)</f><v /></c><c r="S207" s="425"><f>+(Q207*60+R207)/(60*60)</f><v /></c><c r="T207" s="426"><f>+O207/S207</f><v /></c><c r="U207" s="427"><f>+(((N207-M207-O207)/O207)*100)</f><v /></c><c r="V207" s="317"><f>V206</f><v /></c><c r="W207" s="385"><f>W206</f><v /></c><c r="X207" s="385"><f>X206</f><v /></c><c r="Y207" s="422" t="n"><v>213.48</v></c><c r="Z207" s="422" t="n"><v>223.42</v></c><c r="AA207" s="386"><f>AA206</f><v /></c><c r="AB207" s="387"><f>AB206</f><v /></c><c r="AC207" s="425"><f>LEFT(AB207,2)</f><v /></c><c r="AD207" s="425"><f>RIGHT(AB207,6)</f><v /></c><c r="AE207" s="425"><f>+(AC207*60+AD207)/(60*60)</f><v /></c><c r="AF207" s="426"><f>+AA207/AE207</f><v /></c><c r="AG207" s="432"><f>+(((Z207-Y207-AA207)/AA207)*100)</f><v /></c><c r="AH207" s="317"><f>AH206</f><v /></c><c r="AI207" s="385"><f>AI206</f><v /></c><c r="AJ207" s="385"><f>AJ206</f><v /></c><c r="AK207" s="422"><f>Z207</f><v /></c><c r="AL207" s="422" t="n"><v>228.44</v></c><c r="AM207" s="388"><f>AM206</f><v /></c><c r="AN207" s="381"><f>AN206</f><v /></c><c r="AO207" s="425"><f>LEFT(AN207,2)</f><v /></c><c r="AP207" s="425"><f>RIGHT(AN207,6)</f><v /></c><c r="AQ207" s="425"><f>+(AO207*60+AP207)/(60*60)</f><v /></c><c r="AR207" s="426"><f>+AM207/AQ207</f><v /></c><c r="AS207" s="432"><f>+(((AL207-AK207-AM207)/AM207)*100)</f><v /></c><c r="AT207" s="434"><f>IF(I207&gt;=1,"NO CONFORME",IF(BK207="SIGDIFERENTES",BC207,BL207))</f><v /></c><c r="AU207" s="372"><f>B207=C207</f><v /></c><c r="AV207" s="372"><f>N207&lt;Y207</f><v /></c><c r="AW207" s="372"><f>Z207&lt;=AK207</f><v /></c><c r="AX207" s="372"><f>IF(I207&gt;=1,"Qcorrecto",IF(AND(AY207="aceptable",AZ207="aceptable",BA207="aceptable"),"Qcorrecto","Qincorrecto"))</f><v /></c><c r="AY207" s="435"><f>IF(AR207&lt;$AH$6,"error",IF(AR207&gt;$AH$6*1.1,"error","aceptable"))</f><v /></c><c r="AZ207" s="435"><f>IF(AF207&lt;$V$6,"error",IF(AF207&gt;$V$6*1.1,"error","aceptable"))</f><v /></c><c r="BA207" s="435"><f>IF(T207&lt;$J$6*0.9,"error",IF(T207&gt;$J$6,"error","aceptable"))</f><v /></c><c r="BB207" s="436"><f>(IF(ABS(U207)&lt;1.05,"CONFORME",IF(ABS(AG207)&lt;1.05,"CONFORME",IF(ABS(AS207)&lt;2.55,"CONFORME","NO CONFORME"))))</f><v /></c><c r="BC207" s="437"><f>(IF(ABS(U207)&gt;2.05,"NO CONFORME",IF(ABS(AG207)&gt;2.05,"NO CONFORME",IF(ABS(AS207)&gt;5.05,"NO CONFORME","CONFORME"))))</f><v /></c><c r="BD207" s="374"><f>SIGN(U207)</f><v /></c><c r="BE207" s="374"><f>SIGN(AG207)</f><v /></c><c r="BF207" s="374"><f>SIGN(AS207)</f><v /></c><c r="BG207" s="374"><f>CONCATENATE(BD207,BE207,BF207)</f><v /></c><c r="BH207" s="374"><f>IF(BG207="111","SI","SD")</f><v /></c><c r="BI207" s="374"><f>IF(BG207="-1-1-1","SI","SD")</f><v /></c><c r="BJ207" s="374"><f>OR(BH207="SI",BI207="SI")</f><v /></c><c r="BK207" s="374"><f>IF(BJ207=FALSE,"SIGDIFERENTES","SIGIGUALES")</f><v /></c><c r="BL207" s="435"><f>IF(BC207="NO CONFORME","NO CONFORME",IF(BB207="CONFORME","CONFORME","NO CONFORME"))</f><v /></c></row><row r="208" ht="14.4" customHeight="1" thickBot="1"><c r="A208" s="377" t="n"><v>200</v></c><c r="B208" s="375"><f>B207</f><v /></c><c r="C208" s="375"><f>C207</f><v /></c><c r="D208" s="376"><f>D207</f><v /></c><c r="E208" s="377"><f>E207</f><v /></c><c r="F208" s="13" t="n" /><c r="G208" s="355" t="inlineStr"><is><t>PA25516900</t></is></c><c r="H208" s="313"><f>H207</f><v /></c><c r="I208" s="38"><f>I207</f><v /></c><c r="J208" s="314"><f>J207</f><v /></c><c r="K208" s="378"><f>K207</f><v /></c><c r="L208" s="378"><f>L207</f><v /></c><c r="M208" s="379" t="n"><v>109.51</v></c><c r="N208" s="379" t="n"><v>209.6</v></c><c r="O208" s="380"><f>O207</f><v /></c><c r="P208" s="424"><f>P207</f><v /></c><c r="Q208" s="382"><f>LEFT(P208,1)</f><v /></c><c r="R208" s="382"><f>RIGHT(P208,6)</f><v /></c><c r="S208" s="382"><f>+(Q208*60+R208)/(60*60)</f><v /></c><c r="T208" s="383"><f>+O208/S208</f><v /></c><c r="U208" s="384"><f>+(((N208-M208-O208)/O208)*100)</f><v /></c><c r="V208" s="317"><f>V207</f><v /></c><c r="W208" s="385"><f>W207</f><v /></c><c r="X208" s="385"><f>X207</f><v /></c><c r="Y208" s="379" t="n"><v>215</v></c><c r="Z208" s="379" t="n"><v>225.01</v></c><c r="AA208" s="386"><f>AA207</f><v /></c><c r="AB208" s="387"><f>AB207</f><v /></c><c r="AC208" s="382"><f>LEFT(AB208,2)</f><v /></c><c r="AD208" s="382"><f>RIGHT(AB208,6)</f><v /></c><c r="AE208" s="382"><f>+(AC208*60+AD208)/(60*60)</f><v /></c><c r="AF208" s="383"><f>+AA208/AE208</f><v /></c><c r="AG208" s="321"><f>+(((Z208-Y208-AA208)/AA208)*100)</f><v /></c><c r="AH208" s="317"><f>AH207</f><v /></c><c r="AI208" s="385"><f>AI207</f><v /></c><c r="AJ208" s="385"><f>AJ207</f><v /></c><c r="AK208" s="379"><f>Z208</f><v /></c><c r="AL208" s="379" t="n"><v>230.09</v></c><c r="AM208" s="388"><f>AM207</f><v /></c><c r="AN208" s="381"><f>AN207</f><v /></c><c r="AO208" s="382"><f>LEFT(AN208,2)</f><v /></c><c r="AP208" s="382"><f>RIGHT(AN208,6)</f><v /></c><c r="AQ208" s="382"><f>+(AO208*60+AP208)/(60*60)</f><v /></c><c r="AR208" s="383"><f>+AM208/AQ208</f><v /></c><c r="AS208" s="321"><f>+(((AL208-AK208-AM208)/AM208)*100)</f><v /></c><c r="AT208" s="389"><f>IF(I208&gt;=1,"NO CONFORME",IF(BK208="SIGDIFERENTES",BC208,BL208))</f><v /></c><c r="AU208" s="438"><f>B208=C208</f><v /></c><c r="AV208" s="438"><f>N208&lt;Y208</f><v /></c><c r="AW208" s="438"><f>Z208&lt;=AK208</f><v /></c><c r="AX208" s="438"><f>IF(I208&gt;=1,"Qcorrecto",IF(AND(AY208="aceptable",AZ208="aceptable",BA208="aceptable"),"Qcorrecto","Qincorrecto"))</f><v /></c><c r="AY208" s="390"><f>IF(AR208&lt;$AH$6,"error",IF(AR208&gt;$AH$6*1.1,"error","aceptable"))</f><v /></c><c r="AZ208" s="390"><f>IF(AF208&lt;$V$6,"error",IF(AF208&gt;$V$6*1.1,"error","aceptable"))</f><v /></c><c r="BA208" s="390"><f>IF(T208&lt;$J$6*0.9,"error",IF(T208&gt;$J$6,"error","aceptable"))</f><v /></c><c r="BB208" s="439"><f>(IF(ABS(U208)&lt;1.05,"CONFORME",IF(ABS(AG208)&lt;1.05,"CONFORME",IF(ABS(AS208)&lt;2.55,"CONFORME","NO CONFORME"))))</f><v /></c><c r="BC208" s="440"><f>(IF(ABS(U208)&gt;2.05,"NO CONFORME",IF(ABS(AG208)&gt;2.05,"NO CONFORME",IF(ABS(AS208)&gt;5.05,"NO CONFORME","CONFORME"))))</f><v /></c><c r="BD208" s="441"><f>SIGN(U208)</f><v /></c><c r="BE208" s="441"><f>SIGN(AG208)</f><v /></c><c r="BF208" s="441"><f>SIGN(AS208)</f><v /></c><c r="BG208" s="441"><f>CONCATENATE(BD208,BE208,BF208)</f><v /></c><c r="BH208" s="441"><f>IF(BG208="111","SI","SD")</f><v /></c><c r="BI208" s="441"><f>IF(BG208="-1-1-1","SI","SD")</f><v /></c><c r="BJ208" s="441"><f>OR(BH208="SI",BI208="SI")</f><v /></c><c r="BK208" s="441"><f>IF(BJ208=FALSE,"SIGDIFERENTES","SIGIGUALES")</f><v /></c><c r="BL208" s="390"><f>IF(BC208="NO CONFORME","NO CONFORME",IF(BB208="CONFORME","CONFORME","NO CONFORME"))</f><v /></c></row><row r="209" ht="14.4" customHeight="1" thickBot="1"><c r="A209" s="351" t="n"><v>201</v></c><c r="B209" s="352"><f>B208</f><v /></c><c r="C209" s="352"><f>C208</f><v /></c><c r="D209" s="353"><f>D208</f><v /></c><c r="E209" s="377"><f>E208</f><v /></c><c r="F209" s="58" t="n" /><c r="G209" s="355" t="inlineStr"><is><t>PA25516901</t></is></c><c r="H209" s="356"><f>H208</f><v /></c><c r="I209" s="232"><f>I208</f><v /></c><c r="J209" s="314"><f>J208</f><v /></c><c r="K209" s="378"><f>K208</f><v /></c><c r="L209" s="378"><f>L208</f><v /></c><c r="M209" s="359" t="n"><v>111.31</v></c><c r="N209" s="359" t="n"><v>211.64</v></c><c r="O209" s="380"><f>O208</f><v /></c><c r="P209" s="424"><f>P208</f><v /></c><c r="Q209" s="362"><f>LEFT(P209,1)</f><v /></c><c r="R209" s="362"><f>RIGHT(P209,6)</f><v /></c><c r="S209" s="362"><f>+(Q209*60+R209)/(60*60)</f><v /></c><c r="T209" s="363"><f>+O209/S209</f><v /></c><c r="U209" s="364"><f>+(((N209-M209-O209)/O209)*100)</f><v /></c><c r="V209" s="317"><f>V208</f><v /></c><c r="W209" s="385"><f>W208</f><v /></c><c r="X209" s="385"><f>X208</f><v /></c><c r="Y209" s="359" t="n"><v>217.05</v></c><c r="Z209" s="359" t="n"><v>227.08</v></c><c r="AA209" s="386"><f>AA208</f><v /></c><c r="AB209" s="387"><f>AB208</f><v /></c><c r="AC209" s="362"><f>LEFT(AB209,2)</f><v /></c><c r="AD209" s="362"><f>RIGHT(AB209,6)</f><v /></c><c r="AE209" s="362"><f>+(AC209*60+AD209)/(60*60)</f><v /></c><c r="AF209" s="363"><f>+AA209/AE209</f><v /></c><c r="AG209" s="369"><f>+(((Z209-Y209-AA209)/AA209)*100)</f><v /></c><c r="AH209" s="317"><f>AH208</f><v /></c><c r="AI209" s="385"><f>AI208</f><v /></c><c r="AJ209" s="385"><f>AJ208</f><v /></c><c r="AK209" s="359"><f>Z209</f><v /></c><c r="AL209" s="359" t="n"><v>232.14</v></c><c r="AM209" s="388"><f>AM208</f><v /></c><c r="AN209" s="381"><f>AN208</f><v /></c><c r="AO209" s="362"><f>LEFT(AN209,2)</f><v /></c><c r="AP209" s="362"><f>RIGHT(AN209,6)</f><v /></c><c r="AQ209" s="362"><f>+(AO209*60+AP209)/(60*60)</f><v /></c><c r="AR209" s="363"><f>+AM209/AQ209</f><v /></c><c r="AS209" s="369"><f>+(((AL209-AK209-AM209)/AM209)*100)</f><v /></c><c r="AT209" s="371"><f>IF(I209&gt;=1,"NO CONFORME",IF(BK209="SIGDIFERENTES",BC209,BL209))</f><v /></c><c r="AU209" s="372"><f>B209=C209</f><v /></c><c r="AV209" s="372"><f>N209&lt;Y209</f><v /></c><c r="AW209" s="372"><f>Z209&lt;=AK209</f><v /></c><c r="AX209" s="372"><f>IF(I209&gt;=1,"Qcorrecto",IF(AND(AY209="aceptable",AZ209="aceptable",BA209="aceptable"),"Qcorrecto","Qincorrecto"))</f><v /></c><c r="AY209" s="373"><f>IF(AR209&lt;$AH$6,"error",IF(AR209&gt;$AH$6*1.1,"error","aceptable"))</f><v /></c><c r="AZ209" s="373"><f>IF(AF209&lt;$V$6,"error",IF(AF209&gt;$V$6*1.1,"error","aceptable"))</f><v /></c><c r="BA209" s="373"><f>IF(T209&lt;$J$6*0.9,"error",IF(T209&gt;$J$6,"error","aceptable"))</f><v /></c><c r="BB209" s="25"><f>(IF(ABS(U209)&lt;1.05,"CONFORME",IF(ABS(AG209)&lt;1.05,"CONFORME",IF(ABS(AS209)&lt;2.55,"CONFORME","NO CONFORME"))))</f><v /></c><c r="BC209" s="5"><f>(IF(ABS(U209)&gt;2.05,"NO CONFORME",IF(ABS(AG209)&gt;2.05,"NO CONFORME",IF(ABS(AS209)&gt;5.05,"NO CONFORME","CONFORME"))))</f><v /></c><c r="BD209" s="374"><f>SIGN(U209)</f><v /></c><c r="BE209" s="374"><f>SIGN(AG209)</f><v /></c><c r="BF209" s="374"><f>SIGN(AS209)</f><v /></c><c r="BG209" s="374"><f>CONCATENATE(BD209,BE209,BF209)</f><v /></c><c r="BH209" s="374"><f>IF(BG209="111","SI","SD")</f><v /></c><c r="BI209" s="374"><f>IF(BG209="-1-1-1","SI","SD")</f><v /></c><c r="BJ209" s="374"><f>OR(BH209="SI",BI209="SI")</f><v /></c><c r="BK209" s="374"><f>IF(BJ209=FALSE,"SIGDIFERENTES","SIGIGUALES")</f><v /></c><c r="BL209" s="373"><f>IF(BC209="NO CONFORME","NO CONFORME",IF(BB209="CONFORME","CONFORME","NO CONFORME"))</f><v /></c></row><row r="210" ht="14.4" customHeight="1" thickBot="1"><c r="A210" s="351" t="n"><v>202</v></c><c r="B210" s="375"><f>B209</f><v /></c><c r="C210" s="375"><f>C209</f><v /></c><c r="D210" s="376"><f>D209</f><v /></c><c r="E210" s="377"><f>E209</f><v /></c><c r="F210" s="13" t="n" /><c r="G210" s="355" t="inlineStr"><is><t>PA25516902</t></is></c><c r="H210" s="313"><f>H209</f><v /></c><c r="I210" s="38"><f>I209</f><v /></c><c r="J210" s="314"><f>J209</f><v /></c><c r="K210" s="378"><f>K209</f><v /></c><c r="L210" s="378"><f>L209</f><v /></c><c r="M210" s="379" t="n"><v>109.2</v></c><c r="N210" s="379" t="n"><v>208.8</v></c><c r="O210" s="380"><f>O209</f><v /></c><c r="P210" s="424"><f>P209</f><v /></c><c r="Q210" s="382"><f>LEFT(P210,1)</f><v /></c><c r="R210" s="382"><f>RIGHT(P210,6)</f><v /></c><c r="S210" s="382"><f>+(Q210*60+R210)/(60*60)</f><v /></c><c r="T210" s="383"><f>+O210/S210</f><v /></c><c r="U210" s="384"><f>+(((N210-M210-O210)/O210)*100)</f><v /></c><c r="V210" s="317"><f>V209</f><v /></c><c r="W210" s="385"><f>W209</f><v /></c><c r="X210" s="385"><f>X209</f><v /></c><c r="Y210" s="379" t="n"><v>214.19</v></c><c r="Z210" s="379" t="n"><v>224.13</v></c><c r="AA210" s="386"><f>AA209</f><v /></c><c r="AB210" s="387"><f>AB209</f><v /></c><c r="AC210" s="382"><f>LEFT(AB210,2)</f><v /></c><c r="AD210" s="382"><f>RIGHT(AB210,6)</f><v /></c><c r="AE210" s="382"><f>+(AC210*60+AD210)/(60*60)</f><v /></c><c r="AF210" s="383"><f>+AA210/AE210</f><v /></c><c r="AG210" s="321"><f>+(((Z210-Y210-AA210)/AA210)*100)</f><v /></c><c r="AH210" s="317"><f>AH209</f><v /></c><c r="AI210" s="385"><f>AI209</f><v /></c><c r="AJ210" s="385"><f>AJ209</f><v /></c><c r="AK210" s="379"><f>Z210</f><v /></c><c r="AL210" s="379" t="n"><v>229.18</v></c><c r="AM210" s="388"><f>AM209</f><v /></c><c r="AN210" s="381"><f>AN209</f><v /></c><c r="AO210" s="382"><f>LEFT(AN210,2)</f><v /></c><c r="AP210" s="382"><f>RIGHT(AN210,6)</f><v /></c><c r="AQ210" s="382"><f>+(AO210*60+AP210)/(60*60)</f><v /></c><c r="AR210" s="383"><f>+AM210/AQ210</f><v /></c><c r="AS210" s="321"><f>+(((AL210-AK210-AM210)/AM210)*100)</f><v /></c><c r="AT210" s="389"><f>IF(I210&gt;=1,"NO CONFORME",IF(BK210="SIGDIFERENTES",BC210,BL210))</f><v /></c><c r="AU210" s="372"><f>B210=C210</f><v /></c><c r="AV210" s="372"><f>N210&lt;Y210</f><v /></c><c r="AW210" s="372"><f>Z210&lt;=AK210</f><v /></c><c r="AX210" s="372"><f>IF(I210&gt;=1,"Qcorrecto",IF(AND(AY210="aceptable",AZ210="aceptable",BA210="aceptable"),"Qcorrecto","Qincorrecto"))</f><v /></c><c r="AY210" s="390"><f>IF(AR210&lt;$AH$6,"error",IF(AR210&gt;$AH$6*1.1,"error","aceptable"))</f><v /></c><c r="AZ210" s="390"><f>IF(AF210&lt;$V$6,"error",IF(AF210&gt;$V$6*1.1,"error","aceptable"))</f><v /></c><c r="BA210" s="390"><f>IF(T210&lt;$J$6*0.9,"error",IF(T210&gt;$J$6,"error","aceptable"))</f><v /></c><c r="BB210" s="25"><f>(IF(ABS(U210)&lt;1.05,"CONFORME",IF(ABS(AG210)&lt;1.05,"CONFORME",IF(ABS(AS210)&lt;2.55,"CONFORME","NO CONFORME"))))</f><v /></c><c r="BC210" s="5"><f>(IF(ABS(U210)&gt;2.05,"NO CONFORME",IF(ABS(AG210)&gt;2.05,"NO CONFORME",IF(ABS(AS210)&gt;5.05,"NO CONFORME","CONFORME"))))</f><v /></c><c r="BD210" s="374"><f>SIGN(U210)</f><v /></c><c r="BE210" s="374"><f>SIGN(AG210)</f><v /></c><c r="BF210" s="374"><f>SIGN(AS210)</f><v /></c><c r="BG210" s="374"><f>CONCATENATE(BD210,BE210,BF210)</f><v /></c><c r="BH210" s="374"><f>IF(BG210="111","SI","SD")</f><v /></c><c r="BI210" s="374"><f>IF(BG210="-1-1-1","SI","SD")</f><v /></c><c r="BJ210" s="374"><f>OR(BH210="SI",BI210="SI")</f><v /></c><c r="BK210" s="374"><f>IF(BJ210=FALSE,"SIGDIFERENTES","SIGIGUALES")</f><v /></c><c r="BL210" s="390"><f>IF(BC210="NO CONFORME","NO CONFORME",IF(BB210="CONFORME","CONFORME","NO CONFORME"))</f><v /></c></row><row r="211" ht="14.4" customHeight="1" thickBot="1"><c r="A211" s="351" t="n"><v>203</v></c><c r="B211" s="375"><f>B210</f><v /></c><c r="C211" s="375"><f>C210</f><v /></c><c r="D211" s="376"><f>D210</f><v /></c><c r="E211" s="377"><f>E210</f><v /></c><c r="F211" s="13" t="n" /><c r="G211" s="355" t="inlineStr"><is><t>PA25516903</t></is></c><c r="H211" s="313"><f>H210</f><v /></c><c r="I211" s="38"><f>I210</f><v /></c><c r="J211" s="314"><f>J210</f><v /></c><c r="K211" s="378"><f>K210</f><v /></c><c r="L211" s="378"><f>L210</f><v /></c><c r="M211" s="379" t="n"><v>150.79</v></c><c r="N211" s="379" t="n"><v>250.93</v></c><c r="O211" s="380"><f>O210</f><v /></c><c r="P211" s="424"><f>P210</f><v /></c><c r="Q211" s="382"><f>LEFT(P211,1)</f><v /></c><c r="R211" s="382"><f>RIGHT(P211,6)</f><v /></c><c r="S211" s="382"><f>+(Q211*60+R211)/(60*60)</f><v /></c><c r="T211" s="383"><f>+O211/S211</f><v /></c><c r="U211" s="384"><f>+(((N211-M211-O211)/O211)*100)</f><v /></c><c r="V211" s="317"><f>V210</f><v /></c><c r="W211" s="385"><f>W210</f><v /></c><c r="X211" s="385"><f>X210</f><v /></c><c r="Y211" s="379" t="n"><v>256.34</v></c><c r="Z211" s="379" t="n"><v>266.28</v></c><c r="AA211" s="386"><f>AA210</f><v /></c><c r="AB211" s="387"><f>AB210</f><v /></c><c r="AC211" s="382"><f>LEFT(AB211,2)</f><v /></c><c r="AD211" s="382"><f>RIGHT(AB211,6)</f><v /></c><c r="AE211" s="382"><f>+(AC211*60+AD211)/(60*60)</f><v /></c><c r="AF211" s="383"><f>+AA211/AE211</f><v /></c><c r="AG211" s="321"><f>+(((Z211-Y211-AA211)/AA211)*100)</f><v /></c><c r="AH211" s="317"><f>AH210</f><v /></c><c r="AI211" s="385"><f>AI210</f><v /></c><c r="AJ211" s="385"><f>AJ210</f><v /></c><c r="AK211" s="379"><f>Z211</f><v /></c><c r="AL211" s="379" t="n"><v>271.29</v></c><c r="AM211" s="388"><f>AM210</f><v /></c><c r="AN211" s="381"><f>AN210</f><v /></c><c r="AO211" s="382"><f>LEFT(AN211,2)</f><v /></c><c r="AP211" s="382"><f>RIGHT(AN211,6)</f><v /></c><c r="AQ211" s="382"><f>+(AO211*60+AP211)/(60*60)</f><v /></c><c r="AR211" s="383"><f>+AM211/AQ211</f><v /></c><c r="AS211" s="321"><f>+(((AL211-AK211-AM211)/AM211)*100)</f><v /></c><c r="AT211" s="389"><f>IF(I211&gt;=1,"NO CONFORME",IF(BK211="SIGDIFERENTES",BC211,BL211))</f><v /></c><c r="AU211" s="372"><f>B211=C211</f><v /></c><c r="AV211" s="372"><f>N211&lt;Y211</f><v /></c><c r="AW211" s="372"><f>Z211&lt;=AK211</f><v /></c><c r="AX211" s="372"><f>IF(I211&gt;=1,"Qcorrecto",IF(AND(AY211="aceptable",AZ211="aceptable",BA211="aceptable"),"Qcorrecto","Qincorrecto"))</f><v /></c><c r="AY211" s="390"><f>IF(AR211&lt;$AH$6,"error",IF(AR211&gt;$AH$6*1.1,"error","aceptable"))</f><v /></c><c r="AZ211" s="390"><f>IF(AF211&lt;$V$6,"error",IF(AF211&gt;$V$6*1.1,"error","aceptable"))</f><v /></c><c r="BA211" s="390"><f>IF(T211&lt;$J$6*0.9,"error",IF(T211&gt;$J$6,"error","aceptable"))</f><v /></c><c r="BB211" s="25"><f>(IF(ABS(U211)&lt;1.05,"CONFORME",IF(ABS(AG211)&lt;1.05,"CONFORME",IF(ABS(AS211)&lt;2.55,"CONFORME","NO CONFORME"))))</f><v /></c><c r="BC211" s="5"><f>(IF(ABS(U211)&gt;2.05,"NO CONFORME",IF(ABS(AG211)&gt;2.05,"NO CONFORME",IF(ABS(AS211)&gt;5.05,"NO CONFORME","CONFORME"))))</f><v /></c><c r="BD211" s="374"><f>SIGN(U211)</f><v /></c><c r="BE211" s="374"><f>SIGN(AG211)</f><v /></c><c r="BF211" s="374"><f>SIGN(AS211)</f><v /></c><c r="BG211" s="374"><f>CONCATENATE(BD211,BE211,BF211)</f><v /></c><c r="BH211" s="374"><f>IF(BG211="111","SI","SD")</f><v /></c><c r="BI211" s="374"><f>IF(BG211="-1-1-1","SI","SD")</f><v /></c><c r="BJ211" s="374"><f>OR(BH211="SI",BI211="SI")</f><v /></c><c r="BK211" s="374"><f>IF(BJ211=FALSE,"SIGDIFERENTES","SIGIGUALES")</f><v /></c><c r="BL211" s="390"><f>IF(BC211="NO CONFORME","NO CONFORME",IF(BB211="CONFORME","CONFORME","NO CONFORME"))</f><v /></c></row><row r="212" ht="14.4" customHeight="1" thickBot="1"><c r="A212" s="351" t="n"><v>204</v></c><c r="B212" s="375"><f>B211</f><v /></c><c r="C212" s="375"><f>C211</f><v /></c><c r="D212" s="376"><f>D211</f><v /></c><c r="E212" s="377"><f>E211</f><v /></c><c r="F212" s="13" t="n" /><c r="G212" s="355" t="inlineStr"><is><t>PA25516904</t></is></c><c r="H212" s="313"><f>H211</f><v /></c><c r="I212" s="38"><f>I211</f><v /></c><c r="J212" s="314"><f>J211</f><v /></c><c r="K212" s="378"><f>K211</f><v /></c><c r="L212" s="378"><f>L211</f><v /></c><c r="M212" s="379" t="n"><v>109.99</v></c><c r="N212" s="379" t="n"><v>209.84</v></c><c r="O212" s="380"><f>O211</f><v /></c><c r="P212" s="424"><f>P211</f><v /></c><c r="Q212" s="382"><f>LEFT(P212,1)</f><v /></c><c r="R212" s="382"><f>RIGHT(P212,6)</f><v /></c><c r="S212" s="382"><f>+(Q212*60+R212)/(60*60)</f><v /></c><c r="T212" s="383"><f>+O212/S212</f><v /></c><c r="U212" s="384"><f>+(((N212-M212-O212)/O212)*100)</f><v /></c><c r="V212" s="317"><f>V211</f><v /></c><c r="W212" s="385"><f>W211</f><v /></c><c r="X212" s="385"><f>X211</f><v /></c><c r="Y212" s="379" t="n"><v>215.24</v></c><c r="Z212" s="379" t="n"><v>225.22</v></c><c r="AA212" s="386"><f>AA211</f><v /></c><c r="AB212" s="387"><f>AB211</f><v /></c><c r="AC212" s="382"><f>LEFT(AB212,2)</f><v /></c><c r="AD212" s="382"><f>RIGHT(AB212,6)</f><v /></c><c r="AE212" s="382"><f>+(AC212*60+AD212)/(60*60)</f><v /></c><c r="AF212" s="383"><f>+AA212/AE212</f><v /></c><c r="AG212" s="321"><f>+(((Z212-Y212-AA212)/AA212)*100)</f><v /></c><c r="AH212" s="317"><f>AH211</f><v /></c><c r="AI212" s="385"><f>AI211</f><v /></c><c r="AJ212" s="385"><f>AJ211</f><v /></c><c r="AK212" s="379"><f>Z212</f><v /></c><c r="AL212" s="379" t="n"><v>230.28</v></c><c r="AM212" s="388"><f>AM211</f><v /></c><c r="AN212" s="381"><f>AN211</f><v /></c><c r="AO212" s="382"><f>LEFT(AN212,2)</f><v /></c><c r="AP212" s="382"><f>RIGHT(AN212,6)</f><v /></c><c r="AQ212" s="382"><f>+(AO212*60+AP212)/(60*60)</f><v /></c><c r="AR212" s="383"><f>+AM212/AQ212</f><v /></c><c r="AS212" s="321"><f>+(((AL212-AK212-AM212)/AM212)*100)</f><v /></c><c r="AT212" s="389"><f>IF(I212&gt;=1,"NO CONFORME",IF(BK212="SIGDIFERENTES",BC212,BL212))</f><v /></c><c r="AU212" s="372"><f>B212=C212</f><v /></c><c r="AV212" s="372"><f>N212&lt;Y212</f><v /></c><c r="AW212" s="372"><f>Z212&lt;=AK212</f><v /></c><c r="AX212" s="372"><f>IF(I212&gt;=1,"Qcorrecto",IF(AND(AY212="aceptable",AZ212="aceptable",BA212="aceptable"),"Qcorrecto","Qincorrecto"))</f><v /></c><c r="AY212" s="390"><f>IF(AR212&lt;$AH$6,"error",IF(AR212&gt;$AH$6*1.1,"error","aceptable"))</f><v /></c><c r="AZ212" s="390"><f>IF(AF212&lt;$V$6,"error",IF(AF212&gt;$V$6*1.1,"error","aceptable"))</f><v /></c><c r="BA212" s="390"><f>IF(T212&lt;$J$6*0.9,"error",IF(T212&gt;$J$6,"error","aceptable"))</f><v /></c><c r="BB212" s="25"><f>(IF(ABS(U212)&lt;1.05,"CONFORME",IF(ABS(AG212)&lt;1.05,"CONFORME",IF(ABS(AS212)&lt;2.55,"CONFORME","NO CONFORME"))))</f><v /></c><c r="BC212" s="5"><f>(IF(ABS(U212)&gt;2.05,"NO CONFORME",IF(ABS(AG212)&gt;2.05,"NO CONFORME",IF(ABS(AS212)&gt;5.05,"NO CONFORME","CONFORME"))))</f><v /></c><c r="BD212" s="374"><f>SIGN(U212)</f><v /></c><c r="BE212" s="374"><f>SIGN(AG212)</f><v /></c><c r="BF212" s="374"><f>SIGN(AS212)</f><v /></c><c r="BG212" s="374"><f>CONCATENATE(BD212,BE212,BF212)</f><v /></c><c r="BH212" s="374"><f>IF(BG212="111","SI","SD")</f><v /></c><c r="BI212" s="374"><f>IF(BG212="-1-1-1","SI","SD")</f><v /></c><c r="BJ212" s="374"><f>OR(BH212="SI",BI212="SI")</f><v /></c><c r="BK212" s="374"><f>IF(BJ212=FALSE,"SIGDIFERENTES","SIGIGUALES")</f><v /></c><c r="BL212" s="390"><f>IF(BC212="NO CONFORME","NO CONFORME",IF(BB212="CONFORME","CONFORME","NO CONFORME"))</f><v /></c></row><row r="213" ht="14.4" customHeight="1" thickBot="1"><c r="A213" s="351" t="n"><v>205</v></c><c r="B213" s="375"><f>B212</f><v /></c><c r="C213" s="375"><f>C212</f><v /></c><c r="D213" s="376"><f>D212</f><v /></c><c r="E213" s="377"><f>E212</f><v /></c><c r="F213" s="13" t="n" /><c r="G213" s="355" t="inlineStr"><is><t>PA25516905</t></is></c><c r="H213" s="313"><f>H212</f><v /></c><c r="I213" s="38"><f>I212</f><v /></c><c r="J213" s="314"><f>J212</f><v /></c><c r="K213" s="378"><f>K212</f><v /></c><c r="L213" s="378"><f>L212</f><v /></c><c r="M213" s="379" t="n"><v>110.91</v></c><c r="N213" s="379" t="n"><v>210.69</v></c><c r="O213" s="380"><f>O212</f><v /></c><c r="P213" s="424"><f>P212</f><v /></c><c r="Q213" s="382"><f>LEFT(P213,1)</f><v /></c><c r="R213" s="382"><f>RIGHT(P213,6)</f><v /></c><c r="S213" s="382"><f>+(Q213*60+R213)/(60*60)</f><v /></c><c r="T213" s="383"><f>+O213/S213</f><v /></c><c r="U213" s="384"><f>+(((N213-M213-O213)/O213)*100)</f><v /></c><c r="V213" s="317"><f>V212</f><v /></c><c r="W213" s="385"><f>W212</f><v /></c><c r="X213" s="385"><f>X212</f><v /></c><c r="Y213" s="379" t="n"><v>216.05</v></c><c r="Z213" s="379" t="n"><v>225.95</v></c><c r="AA213" s="386"><f>AA212</f><v /></c><c r="AB213" s="387"><f>AB212</f><v /></c><c r="AC213" s="382"><f>LEFT(AB213,2)</f><v /></c><c r="AD213" s="382"><f>RIGHT(AB213,6)</f><v /></c><c r="AE213" s="382"><f>+(AC213*60+AD213)/(60*60)</f><v /></c><c r="AF213" s="383"><f>+AA213/AE213</f><v /></c><c r="AG213" s="321"><f>+(((Z213-Y213-AA213)/AA213)*100)</f><v /></c><c r="AH213" s="317"><f>AH212</f><v /></c><c r="AI213" s="385"><f>AI212</f><v /></c><c r="AJ213" s="385"><f>AJ212</f><v /></c><c r="AK213" s="379"><f>Z213</f><v /></c><c r="AL213" s="379" t="n"><v>230.9</v></c><c r="AM213" s="388"><f>AM212</f><v /></c><c r="AN213" s="381"><f>AN212</f><v /></c><c r="AO213" s="382"><f>LEFT(AN213,2)</f><v /></c><c r="AP213" s="382"><f>RIGHT(AN213,6)</f><v /></c><c r="AQ213" s="382"><f>+(AO213*60+AP213)/(60*60)</f><v /></c><c r="AR213" s="383"><f>+AM213/AQ213</f><v /></c><c r="AS213" s="321"><f>+(((AL213-AK213-AM213)/AM213)*100)</f><v /></c><c r="AT213" s="389"><f>IF(I213&gt;=1,"NO CONFORME",IF(BK213="SIGDIFERENTES",BC213,BL213))</f><v /></c><c r="AU213" s="372"><f>B213=C213</f><v /></c><c r="AV213" s="372"><f>N213&lt;Y213</f><v /></c><c r="AW213" s="372"><f>Z213&lt;=AK213</f><v /></c><c r="AX213" s="372"><f>IF(I213&gt;=1,"Qcorrecto",IF(AND(AY213="aceptable",AZ213="aceptable",BA213="aceptable"),"Qcorrecto","Qincorrecto"))</f><v /></c><c r="AY213" s="390"><f>IF(AR213&lt;$AH$6,"error",IF(AR213&gt;$AH$6*1.1,"error","aceptable"))</f><v /></c><c r="AZ213" s="390"><f>IF(AF213&lt;$V$6,"error",IF(AF213&gt;$V$6*1.1,"error","aceptable"))</f><v /></c><c r="BA213" s="390"><f>IF(T213&lt;$J$6*0.9,"error",IF(T213&gt;$J$6,"error","aceptable"))</f><v /></c><c r="BB213" s="25"><f>(IF(ABS(U213)&lt;1.05,"CONFORME",IF(ABS(AG213)&lt;1.05,"CONFORME",IF(ABS(AS213)&lt;2.55,"CONFORME","NO CONFORME"))))</f><v /></c><c r="BC213" s="5"><f>(IF(ABS(U213)&gt;2.05,"NO CONFORME",IF(ABS(AG213)&gt;2.05,"NO CONFORME",IF(ABS(AS213)&gt;5.05,"NO CONFORME","CONFORME"))))</f><v /></c><c r="BD213" s="374"><f>SIGN(U213)</f><v /></c><c r="BE213" s="374"><f>SIGN(AG213)</f><v /></c><c r="BF213" s="374"><f>SIGN(AS213)</f><v /></c><c r="BG213" s="374"><f>CONCATENATE(BD213,BE213,BF213)</f><v /></c><c r="BH213" s="374"><f>IF(BG213="111","SI","SD")</f><v /></c><c r="BI213" s="374"><f>IF(BG213="-1-1-1","SI","SD")</f><v /></c><c r="BJ213" s="374"><f>OR(BH213="SI",BI213="SI")</f><v /></c><c r="BK213" s="374"><f>IF(BJ213=FALSE,"SIGDIFERENTES","SIGIGUALES")</f><v /></c><c r="BL213" s="390"><f>IF(BC213="NO CONFORME","NO CONFORME",IF(BB213="CONFORME","CONFORME","NO CONFORME"))</f><v /></c></row><row r="214" ht="14.4" customHeight="1" thickBot="1"><c r="A214" s="351" t="n"><v>206</v></c><c r="B214" s="375"><f>B213</f><v /></c><c r="C214" s="375"><f>C213</f><v /></c><c r="D214" s="376"><f>D213</f><v /></c><c r="E214" s="377"><f>E213</f><v /></c><c r="F214" s="13" t="n" /><c r="G214" s="355" t="inlineStr"><is><t>PA25516906</t></is></c><c r="H214" s="313"><f>H213</f><v /></c><c r="I214" s="38"><f>I213</f><v /></c><c r="J214" s="314"><f>J213</f><v /></c><c r="K214" s="378"><f>K213</f><v /></c><c r="L214" s="378"><f>L213</f><v /></c><c r="M214" s="379" t="n"><v>111.19</v></c><c r="N214" s="379" t="n"><v>211.29</v></c><c r="O214" s="380"><f>O213</f><v /></c><c r="P214" s="424"><f>P213</f><v /></c><c r="Q214" s="382"><f>LEFT(P214,1)</f><v /></c><c r="R214" s="382"><f>RIGHT(P214,6)</f><v /></c><c r="S214" s="382"><f>+(Q214*60+R214)/(60*60)</f><v /></c><c r="T214" s="383"><f>+O214/S214</f><v /></c><c r="U214" s="384"><f>+(((N214-M214-O214)/O214)*100)</f><v /></c><c r="V214" s="317"><f>V213</f><v /></c><c r="W214" s="385"><f>W213</f><v /></c><c r="X214" s="385"><f>X213</f><v /></c><c r="Y214" s="379" t="n"><v>216.67</v></c><c r="Z214" s="379" t="n"><v>226.6</v></c><c r="AA214" s="386"><f>AA213</f><v /></c><c r="AB214" s="387"><f>AB213</f><v /></c><c r="AC214" s="382"><f>LEFT(AB214,2)</f><v /></c><c r="AD214" s="382"><f>RIGHT(AB214,6)</f><v /></c><c r="AE214" s="382"><f>+(AC214*60+AD214)/(60*60)</f><v /></c><c r="AF214" s="383"><f>+AA214/AE214</f><v /></c><c r="AG214" s="321"><f>+(((Z214-Y214-AA214)/AA214)*100)</f><v /></c><c r="AH214" s="317"><f>AH213</f><v /></c><c r="AI214" s="385"><f>AI213</f><v /></c><c r="AJ214" s="385"><f>AJ213</f><v /></c><c r="AK214" s="379"><f>Z214</f><v /></c><c r="AL214" s="379" t="n"><v>231.6</v></c><c r="AM214" s="388"><f>AM213</f><v /></c><c r="AN214" s="381"><f>AN213</f><v /></c><c r="AO214" s="382"><f>LEFT(AN214,2)</f><v /></c><c r="AP214" s="382"><f>RIGHT(AN214,6)</f><v /></c><c r="AQ214" s="382"><f>+(AO214*60+AP214)/(60*60)</f><v /></c><c r="AR214" s="383"><f>+AM214/AQ214</f><v /></c><c r="AS214" s="321"><f>+(((AL214-AK214-AM214)/AM214)*100)</f><v /></c><c r="AT214" s="389"><f>IF(I214&gt;=1,"NO CONFORME",IF(BK214="SIGDIFERENTES",BC214,BL214))</f><v /></c><c r="AU214" s="372"><f>B214=C214</f><v /></c><c r="AV214" s="372"><f>N214&lt;Y214</f><v /></c><c r="AW214" s="372"><f>Z214&lt;=AK214</f><v /></c><c r="AX214" s="372"><f>IF(I214&gt;=1,"Qcorrecto",IF(AND(AY214="aceptable",AZ214="aceptable",BA214="aceptable"),"Qcorrecto","Qincorrecto"))</f><v /></c><c r="AY214" s="390"><f>IF(AR214&lt;$AH$6,"error",IF(AR214&gt;$AH$6*1.1,"error","aceptable"))</f><v /></c><c r="AZ214" s="390"><f>IF(AF214&lt;$V$6,"error",IF(AF214&gt;$V$6*1.1,"error","aceptable"))</f><v /></c><c r="BA214" s="390"><f>IF(T214&lt;$J$6*0.9,"error",IF(T214&gt;$J$6,"error","aceptable"))</f><v /></c><c r="BB214" s="25"><f>(IF(ABS(U214)&lt;1.05,"CONFORME",IF(ABS(AG214)&lt;1.05,"CONFORME",IF(ABS(AS214)&lt;2.55,"CONFORME","NO CONFORME"))))</f><v /></c><c r="BC214" s="5"><f>(IF(ABS(U214)&gt;2.05,"NO CONFORME",IF(ABS(AG214)&gt;2.05,"NO CONFORME",IF(ABS(AS214)&gt;5.05,"NO CONFORME","CONFORME"))))</f><v /></c><c r="BD214" s="374"><f>SIGN(U214)</f><v /></c><c r="BE214" s="374"><f>SIGN(AG214)</f><v /></c><c r="BF214" s="374"><f>SIGN(AS214)</f><v /></c><c r="BG214" s="374"><f>CONCATENATE(BD214,BE214,BF214)</f><v /></c><c r="BH214" s="374"><f>IF(BG214="111","SI","SD")</f><v /></c><c r="BI214" s="374"><f>IF(BG214="-1-1-1","SI","SD")</f><v /></c><c r="BJ214" s="374"><f>OR(BH214="SI",BI214="SI")</f><v /></c><c r="BK214" s="374"><f>IF(BJ214=FALSE,"SIGDIFERENTES","SIGIGUALES")</f><v /></c><c r="BL214" s="390"><f>IF(BC214="NO CONFORME","NO CONFORME",IF(BB214="CONFORME","CONFORME","NO CONFORME"))</f><v /></c></row><row r="215" ht="14.4" customHeight="1" thickBot="1"><c r="A215" s="443" t="n"><v>207</v></c><c r="B215" s="375"><f>B214</f><v /></c><c r="C215" s="375"><f>C214</f><v /></c><c r="D215" s="376"><f>D214</f><v /></c><c r="E215" s="377"><f>E214</f><v /></c><c r="F215" s="13" t="n" /><c r="G215" s="444" t="inlineStr"><is><t>PA25516907</t></is></c><c r="H215" s="313"><f>H214</f><v /></c><c r="I215" s="38"><f>I214</f><v /></c><c r="J215" s="314"><f>J214</f><v /></c><c r="K215" s="378"><f>K214</f><v /></c><c r="L215" s="378"><f>L214</f><v /></c><c r="M215" s="379" t="n"><v>150.38</v></c><c r="N215" s="379" t="n"><v>250.2</v></c><c r="O215" s="380"><f>O214</f><v /></c><c r="P215" s="424"><f>P214</f><v /></c><c r="Q215" s="382"><f>LEFT(P215,1)</f><v /></c><c r="R215" s="382"><f>RIGHT(P215,6)</f><v /></c><c r="S215" s="382"><f>+(Q215*60+R215)/(60*60)</f><v /></c><c r="T215" s="383"><f>+O215/S215</f><v /></c><c r="U215" s="384"><f>+(((N215-M215-O215)/O215)*100)</f><v /></c><c r="V215" s="317"><f>V214</f><v /></c><c r="W215" s="385"><f>W214</f><v /></c><c r="X215" s="385"><f>X214</f><v /></c><c r="Y215" s="379" t="n"><v>255.6</v></c><c r="Z215" s="379" t="n"><v>265.54</v></c><c r="AA215" s="386"><f>AA214</f><v /></c><c r="AB215" s="387"><f>AB214</f><v /></c><c r="AC215" s="382"><f>LEFT(AB215,2)</f><v /></c><c r="AD215" s="382"><f>RIGHT(AB215,6)</f><v /></c><c r="AE215" s="382"><f>+(AC215*60+AD215)/(60*60)</f><v /></c><c r="AF215" s="383"><f>+AA215/AE215</f><v /></c><c r="AG215" s="321"><f>+(((Z215-Y215-AA215)/AA215)*100)</f><v /></c><c r="AH215" s="317"><f>AH214</f><v /></c><c r="AI215" s="385"><f>AI214</f><v /></c><c r="AJ215" s="385"><f>AJ214</f><v /></c><c r="AK215" s="379"><f>Z215</f><v /></c><c r="AL215" s="379" t="n"><v>270.54</v></c><c r="AM215" s="388"><f>AM214</f><v /></c><c r="AN215" s="381"><f>AN214</f><v /></c><c r="AO215" s="382"><f>LEFT(AN215,2)</f><v /></c><c r="AP215" s="382"><f>RIGHT(AN215,6)</f><v /></c><c r="AQ215" s="382"><f>+(AO215*60+AP215)/(60*60)</f><v /></c><c r="AR215" s="383"><f>+AM215/AQ215</f><v /></c><c r="AS215" s="321"><f>+(((AL215-AK215-AM215)/AM215)*100)</f><v /></c><c r="AT215" s="389"><f>IF(I215&gt;=1,"NO CONFORME",IF(BK215="SIGDIFERENTES",BC215,BL215))</f><v /></c><c r="AU215" s="372"><f>B215=C215</f><v /></c><c r="AV215" s="372"><f>N215&lt;Y215</f><v /></c><c r="AW215" s="372"><f>Z215&lt;=AK215</f><v /></c><c r="AX215" s="372"><f>IF(I215&gt;=1,"Qcorrecto",IF(AND(AY215="aceptable",AZ215="aceptable",BA215="aceptable"),"Qcorrecto","Qincorrecto"))</f><v /></c><c r="AY215" s="390"><f>IF(AR215&lt;$AH$6,"error",IF(AR215&gt;$AH$6*1.1,"error","aceptable"))</f><v /></c><c r="AZ215" s="390"><f>IF(AF215&lt;$V$6,"error",IF(AF215&gt;$V$6*1.1,"error","aceptable"))</f><v /></c><c r="BA215" s="390"><f>IF(T215&lt;$J$6*0.9,"error",IF(T215&gt;$J$6,"error","aceptable"))</f><v /></c><c r="BB215" s="25"><f>(IF(ABS(U215)&lt;1.05,"CONFORME",IF(ABS(AG215)&lt;1.05,"CONFORME",IF(ABS(AS215)&lt;2.55,"CONFORME","NO CONFORME"))))</f><v /></c><c r="BC215" s="5"><f>(IF(ABS(U215)&gt;2.05,"NO CONFORME",IF(ABS(AG215)&gt;2.05,"NO CONFORME",IF(ABS(AS215)&gt;5.05,"NO CONFORME","CONFORME"))))</f><v /></c><c r="BD215" s="374"><f>SIGN(U215)</f><v /></c><c r="BE215" s="374"><f>SIGN(AG215)</f><v /></c><c r="BF215" s="374"><f>SIGN(AS215)</f><v /></c><c r="BG215" s="374"><f>CONCATENATE(BD215,BE215,BF215)</f><v /></c><c r="BH215" s="374"><f>IF(BG215="111","SI","SD")</f><v /></c><c r="BI215" s="374"><f>IF(BG215="-1-1-1","SI","SD")</f><v /></c><c r="BJ215" s="374"><f>OR(BH215="SI",BI215="SI")</f><v /></c><c r="BK215" s="374"><f>IF(BJ215=FALSE,"SIGDIFERENTES","SIGIGUALES")</f><v /></c><c r="BL215" s="390"><f>IF(BC215="NO CONFORME","NO CONFORME",IF(BB215="CONFORME","CONFORME","NO CONFORME"))</f><v /></c></row><row r="216" ht="14.4" customHeight="1" thickBot="1"><c r="A216" s="351" t="n"><v>208</v></c><c r="B216" s="375"><f>B215</f><v /></c><c r="C216" s="375"><f>C215</f><v /></c><c r="D216" s="376"><f>D215</f><v /></c><c r="E216" s="377"><f>E215</f><v /></c><c r="F216" s="13" t="n" /><c r="G216" s="355" t="inlineStr"><is><t>PA25516908</t></is></c><c r="H216" s="313"><f>H215</f><v /></c><c r="I216" s="38"><f>I215</f><v /></c><c r="J216" s="314"><f>J215</f><v /></c><c r="K216" s="378"><f>K215</f><v /></c><c r="L216" s="378"><f>L215</f><v /></c><c r="M216" s="379" t="n"><v>151.56</v></c><c r="N216" s="379" t="n"><v>251.86</v></c><c r="O216" s="380"><f>O215</f><v /></c><c r="P216" s="424"><f>P215</f><v /></c><c r="Q216" s="382"><f>LEFT(P216,1)</f><v /></c><c r="R216" s="382"><f>RIGHT(P216,6)</f><v /></c><c r="S216" s="382"><f>+(Q216*60+R216)/(60*60)</f><v /></c><c r="T216" s="383"><f>+O216/S216</f><v /></c><c r="U216" s="384"><f>+(((N216-M216-O216)/O216)*100)</f><v /></c><c r="V216" s="317"><f>V215</f><v /></c><c r="W216" s="385"><f>W215</f><v /></c><c r="X216" s="385"><f>X215</f><v /></c><c r="Y216" s="379" t="n"><v>257.29</v></c><c r="Z216" s="379" t="n"><v>267.2</v></c><c r="AA216" s="386"><f>AA215</f><v /></c><c r="AB216" s="387"><f>AB215</f><v /></c><c r="AC216" s="382"><f>LEFT(AB216,2)</f><v /></c><c r="AD216" s="382"><f>RIGHT(AB216,6)</f><v /></c><c r="AE216" s="382"><f>+(AC216*60+AD216)/(60*60)</f><v /></c><c r="AF216" s="383"><f>+AA216/AE216</f><v /></c><c r="AG216" s="321"><f>+(((Z216-Y216-AA216)/AA216)*100)</f><v /></c><c r="AH216" s="317"><f>AH215</f><v /></c><c r="AI216" s="385"><f>AI215</f><v /></c><c r="AJ216" s="385"><f>AJ215</f><v /></c><c r="AK216" s="379"><f>Z216</f><v /></c><c r="AL216" s="379" t="n"><v>272.17</v></c><c r="AM216" s="388"><f>AM215</f><v /></c><c r="AN216" s="381"><f>AN215</f><v /></c><c r="AO216" s="382"><f>LEFT(AN216,2)</f><v /></c><c r="AP216" s="382"><f>RIGHT(AN216,6)</f><v /></c><c r="AQ216" s="382"><f>+(AO216*60+AP216)/(60*60)</f><v /></c><c r="AR216" s="383"><f>+AM216/AQ216</f><v /></c><c r="AS216" s="321"><f>+(((AL216-AK216-AM216)/AM216)*100)</f><v /></c><c r="AT216" s="389"><f>IF(I216&gt;=1,"NO CONFORME",IF(BK216="SIGDIFERENTES",BC216,BL216))</f><v /></c><c r="AU216" s="372"><f>B216=C216</f><v /></c><c r="AV216" s="372"><f>N216&lt;Y216</f><v /></c><c r="AW216" s="372"><f>Z216&lt;=AK216</f><v /></c><c r="AX216" s="372"><f>IF(I216&gt;=1,"Qcorrecto",IF(AND(AY216="aceptable",AZ216="aceptable",BA216="aceptable"),"Qcorrecto","Qincorrecto"))</f><v /></c><c r="AY216" s="390"><f>IF(AR216&lt;$AH$6,"error",IF(AR216&gt;$AH$6*1.1,"error","aceptable"))</f><v /></c><c r="AZ216" s="390"><f>IF(AF216&lt;$V$6,"error",IF(AF216&gt;$V$6*1.1,"error","aceptable"))</f><v /></c><c r="BA216" s="390"><f>IF(T216&lt;$J$6*0.9,"error",IF(T216&gt;$J$6,"error","aceptable"))</f><v /></c><c r="BB216" s="25"><f>(IF(ABS(U216)&lt;1.05,"CONFORME",IF(ABS(AG216)&lt;1.05,"CONFORME",IF(ABS(AS216)&lt;2.55,"CONFORME","NO CONFORME"))))</f><v /></c><c r="BC216" s="5"><f>(IF(ABS(U216)&gt;2.05,"NO CONFORME",IF(ABS(AG216)&gt;2.05,"NO CONFORME",IF(ABS(AS216)&gt;5.05,"NO CONFORME","CONFORME"))))</f><v /></c><c r="BD216" s="374"><f>SIGN(U216)</f><v /></c><c r="BE216" s="374"><f>SIGN(AG216)</f><v /></c><c r="BF216" s="374"><f>SIGN(AS216)</f><v /></c><c r="BG216" s="374"><f>CONCATENATE(BD216,BE216,BF216)</f><v /></c><c r="BH216" s="374"><f>IF(BG216="111","SI","SD")</f><v /></c><c r="BI216" s="374"><f>IF(BG216="-1-1-1","SI","SD")</f><v /></c><c r="BJ216" s="374"><f>OR(BH216="SI",BI216="SI")</f><v /></c><c r="BK216" s="374"><f>IF(BJ216=FALSE,"SIGDIFERENTES","SIGIGUALES")</f><v /></c><c r="BL216" s="390"><f>IF(BC216="NO CONFORME","NO CONFORME",IF(BB216="CONFORME","CONFORME","NO CONFORME"))</f><v /></c></row><row r="217" ht="14.4" customHeight="1" thickBot="1"><c r="A217" s="414" t="n"><v>209</v></c><c r="B217" s="415"><f>B216</f><v /></c><c r="C217" s="415"><f>C216</f><v /></c><c r="D217" s="416"><f>D216</f><v /></c><c r="E217" s="377"><f>E216</f><v /></c><c r="F217" s="56" t="n" /><c r="G217" s="355" t="inlineStr"><is><t>PA25516909</t></is></c><c r="H217" s="418"><f>H216</f><v /></c><c r="I217" s="419"><f>I216</f><v /></c><c r="J217" s="314"><f>J216</f><v /></c><c r="K217" s="378"><f>K216</f><v /></c><c r="L217" s="378"><f>L216</f><v /></c><c r="M217" s="422" t="n"><v>112.35</v></c><c r="N217" s="422" t="n"><v>212.11</v></c><c r="O217" s="380"><f>O216</f><v /></c><c r="P217" s="424"><f>P216</f><v /></c><c r="Q217" s="425"><f>LEFT(P217,1)</f><v /></c><c r="R217" s="425"><f>RIGHT(P217,6)</f><v /></c><c r="S217" s="425"><f>+(Q217*60+R217)/(60*60)</f><v /></c><c r="T217" s="426"><f>+O217/S217</f><v /></c><c r="U217" s="427"><f>+(((N217-M217-O217)/O217)*100)</f><v /></c><c r="V217" s="317"><f>V216</f><v /></c><c r="W217" s="385"><f>W216</f><v /></c><c r="X217" s="385"><f>X216</f><v /></c><c r="Y217" s="422" t="n"><v>217.53</v></c><c r="Z217" s="422" t="n"><v>227.54</v></c><c r="AA217" s="386"><f>AA216</f><v /></c><c r="AB217" s="387"><f>AB216</f><v /></c><c r="AC217" s="425"><f>LEFT(AB217,2)</f><v /></c><c r="AD217" s="425"><f>RIGHT(AB217,6)</f><v /></c><c r="AE217" s="425"><f>+(AC217*60+AD217)/(60*60)</f><v /></c><c r="AF217" s="426"><f>+AA217/AE217</f><v /></c><c r="AG217" s="432"><f>+(((Z217-Y217-AA217)/AA217)*100)</f><v /></c><c r="AH217" s="317"><f>AH216</f><v /></c><c r="AI217" s="385"><f>AI216</f><v /></c><c r="AJ217" s="385"><f>AJ216</f><v /></c><c r="AK217" s="422"><f>Z217</f><v /></c><c r="AL217" s="422" t="n"><v>232.54</v></c><c r="AM217" s="388"><f>AM216</f><v /></c><c r="AN217" s="381"><f>AN216</f><v /></c><c r="AO217" s="425"><f>LEFT(AN217,2)</f><v /></c><c r="AP217" s="425"><f>RIGHT(AN217,6)</f><v /></c><c r="AQ217" s="425"><f>+(AO217*60+AP217)/(60*60)</f><v /></c><c r="AR217" s="426"><f>+AM217/AQ217</f><v /></c><c r="AS217" s="432"><f>+(((AL217-AK217-AM217)/AM217)*100)</f><v /></c><c r="AT217" s="434"><f>IF(I217&gt;=1,"NO CONFORME",IF(BK217="SIGDIFERENTES",BC217,BL217))</f><v /></c><c r="AU217" s="372"><f>B217=C217</f><v /></c><c r="AV217" s="372"><f>N217&lt;Y217</f><v /></c><c r="AW217" s="372"><f>Z217&lt;=AK217</f><v /></c><c r="AX217" s="372"><f>IF(I217&gt;=1,"Qcorrecto",IF(AND(AY217="aceptable",AZ217="aceptable",BA217="aceptable"),"Qcorrecto","Qincorrecto"))</f><v /></c><c r="AY217" s="435"><f>IF(AR217&lt;$AH$6,"error",IF(AR217&gt;$AH$6*1.1,"error","aceptable"))</f><v /></c><c r="AZ217" s="435"><f>IF(AF217&lt;$V$6,"error",IF(AF217&gt;$V$6*1.1,"error","aceptable"))</f><v /></c><c r="BA217" s="435"><f>IF(T217&lt;$J$6*0.9,"error",IF(T217&gt;$J$6,"error","aceptable"))</f><v /></c><c r="BB217" s="436"><f>(IF(ABS(U217)&lt;1.05,"CONFORME",IF(ABS(AG217)&lt;1.05,"CONFORME",IF(ABS(AS217)&lt;2.55,"CONFORME","NO CONFORME"))))</f><v /></c><c r="BC217" s="437"><f>(IF(ABS(U217)&gt;2.05,"NO CONFORME",IF(ABS(AG217)&gt;2.05,"NO CONFORME",IF(ABS(AS217)&gt;5.05,"NO CONFORME","CONFORME"))))</f><v /></c><c r="BD217" s="374"><f>SIGN(U217)</f><v /></c><c r="BE217" s="374"><f>SIGN(AG217)</f><v /></c><c r="BF217" s="374"><f>SIGN(AS217)</f><v /></c><c r="BG217" s="374"><f>CONCATENATE(BD217,BE217,BF217)</f><v /></c><c r="BH217" s="374"><f>IF(BG217="111","SI","SD")</f><v /></c><c r="BI217" s="374"><f>IF(BG217="-1-1-1","SI","SD")</f><v /></c><c r="BJ217" s="374"><f>OR(BH217="SI",BI217="SI")</f><v /></c><c r="BK217" s="374"><f>IF(BJ217=FALSE,"SIGDIFERENTES","SIGIGUALES")</f><v /></c><c r="BL217" s="435"><f>IF(BC217="NO CONFORME","NO CONFORME",IF(BB217="CONFORME","CONFORME","NO CONFORME"))</f><v /></c></row><row r="218" ht="14.4" customHeight="1" thickBot="1"><c r="A218" s="377" t="n"><v>210</v></c><c r="B218" s="375"><f>B217</f><v /></c><c r="C218" s="375"><f>C217</f><v /></c><c r="D218" s="376"><f>D217</f><v /></c><c r="E218" s="377"><f>E217</f><v /></c><c r="F218" s="13" t="n" /><c r="G218" s="355" t="inlineStr"><is><t>PA25516910</t></is></c><c r="H218" s="313"><f>H217</f><v /></c><c r="I218" s="38"><f>I217</f><v /></c><c r="J218" s="314"><f>J217</f><v /></c><c r="K218" s="378"><f>K217</f><v /></c><c r="L218" s="378"><f>L217</f><v /></c><c r="M218" s="379" t="n"><v>111.75</v></c><c r="N218" s="379" t="n"><v>211.69</v></c><c r="O218" s="380"><f>O217</f><v /></c><c r="P218" s="424"><f>P217</f><v /></c><c r="Q218" s="382"><f>LEFT(P218,1)</f><v /></c><c r="R218" s="382"><f>RIGHT(P218,6)</f><v /></c><c r="S218" s="382"><f>+(Q218*60+R218)/(60*60)</f><v /></c><c r="T218" s="383"><f>+O218/S218</f><v /></c><c r="U218" s="384"><f>+(((N218-M218-O218)/O218)*100)</f><v /></c><c r="V218" s="317"><f>V217</f><v /></c><c r="W218" s="385"><f>W217</f><v /></c><c r="X218" s="385"><f>X217</f><v /></c><c r="Y218" s="379" t="n"><v>217.13</v></c><c r="Z218" s="379" t="n"><v>227.12</v></c><c r="AA218" s="386"><f>AA217</f><v /></c><c r="AB218" s="387"><f>AB217</f><v /></c><c r="AC218" s="382"><f>LEFT(AB218,2)</f><v /></c><c r="AD218" s="382"><f>RIGHT(AB218,6)</f><v /></c><c r="AE218" s="382"><f>+(AC218*60+AD218)/(60*60)</f><v /></c><c r="AF218" s="383"><f>+AA218/AE218</f><v /></c><c r="AG218" s="321"><f>+(((Z218-Y218-AA218)/AA218)*100)</f><v /></c><c r="AH218" s="317"><f>AH217</f><v /></c><c r="AI218" s="385"><f>AI217</f><v /></c><c r="AJ218" s="385"><f>AJ217</f><v /></c><c r="AK218" s="379"><f>Z218</f><v /></c><c r="AL218" s="379" t="n"><v>232.17</v></c><c r="AM218" s="388"><f>AM217</f><v /></c><c r="AN218" s="381"><f>AN217</f><v /></c><c r="AO218" s="382"><f>LEFT(AN218,2)</f><v /></c><c r="AP218" s="382"><f>RIGHT(AN218,6)</f><v /></c><c r="AQ218" s="382"><f>+(AO218*60+AP218)/(60*60)</f><v /></c><c r="AR218" s="383"><f>+AM218/AQ218</f><v /></c><c r="AS218" s="321"><f>+(((AL218-AK218-AM218)/AM218)*100)</f><v /></c><c r="AT218" s="389"><f>IF(I218&gt;=1,"NO CONFORME",IF(BK218="SIGDIFERENTES",BC218,BL218))</f><v /></c><c r="AU218" s="438"><f>B218=C218</f><v /></c><c r="AV218" s="438"><f>N218&lt;Y218</f><v /></c><c r="AW218" s="438"><f>Z218&lt;=AK218</f><v /></c><c r="AX218" s="438"><f>IF(I218&gt;=1,"Qcorrecto",IF(AND(AY218="aceptable",AZ218="aceptable",BA218="aceptable"),"Qcorrecto","Qincorrecto"))</f><v /></c><c r="AY218" s="390"><f>IF(AR218&lt;$AH$6,"error",IF(AR218&gt;$AH$6*1.1,"error","aceptable"))</f><v /></c><c r="AZ218" s="390"><f>IF(AF218&lt;$V$6,"error",IF(AF218&gt;$V$6*1.1,"error","aceptable"))</f><v /></c><c r="BA218" s="390"><f>IF(T218&lt;$J$6*0.9,"error",IF(T218&gt;$J$6,"error","aceptable"))</f><v /></c><c r="BB218" s="439"><f>(IF(ABS(U218)&lt;1.05,"CONFORME",IF(ABS(AG218)&lt;1.05,"CONFORME",IF(ABS(AS218)&lt;2.55,"CONFORME","NO CONFORME"))))</f><v /></c><c r="BC218" s="440"><f>(IF(ABS(U218)&gt;2.05,"NO CONFORME",IF(ABS(AG218)&gt;2.05,"NO CONFORME",IF(ABS(AS218)&gt;5.05,"NO CONFORME","CONFORME"))))</f><v /></c><c r="BD218" s="441"><f>SIGN(U218)</f><v /></c><c r="BE218" s="441"><f>SIGN(AG218)</f><v /></c><c r="BF218" s="441"><f>SIGN(AS218)</f><v /></c><c r="BG218" s="441"><f>CONCATENATE(BD218,BE218,BF218)</f><v /></c><c r="BH218" s="441"><f>IF(BG218="111","SI","SD")</f><v /></c><c r="BI218" s="441"><f>IF(BG218="-1-1-1","SI","SD")</f><v /></c><c r="BJ218" s="441"><f>OR(BH218="SI",BI218="SI")</f><v /></c><c r="BK218" s="441"><f>IF(BJ218=FALSE,"SIGDIFERENTES","SIGIGUALES")</f><v /></c><c r="BL218" s="390"><f>IF(BC218="NO CONFORME","NO CONFORME",IF(BB218="CONFORME","CONFORME","NO CONFORME"))</f><v /></c></row><row r="219" ht="14.4" customHeight="1" thickBot="1"><c r="A219" s="351" t="n"><v>211</v></c><c r="B219" s="352"><f>B218</f><v /></c><c r="C219" s="352"><f>C218</f><v /></c><c r="D219" s="353"><f>D218</f><v /></c><c r="E219" s="377"><f>E218</f><v /></c><c r="F219" s="58" t="n" /><c r="G219" s="355" t="inlineStr"><is><t>PA25516911</t></is></c><c r="H219" s="356"><f>H218</f><v /></c><c r="I219" s="232"><f>I218</f><v /></c><c r="J219" s="314"><f>J218</f><v /></c><c r="K219" s="378"><f>K218</f><v /></c><c r="L219" s="378"><f>L218</f><v /></c><c r="M219" s="359" t="n"><v>111.16</v></c><c r="N219" s="359" t="n"><v>210.13</v></c><c r="O219" s="380"><f>O218</f><v /></c><c r="P219" s="424"><f>P218</f><v /></c><c r="Q219" s="362"><f>LEFT(P219,1)</f><v /></c><c r="R219" s="362"><f>RIGHT(P219,6)</f><v /></c><c r="S219" s="362"><f>+(Q219*60+R219)/(60*60)</f><v /></c><c r="T219" s="363"><f>+O219/S219</f><v /></c><c r="U219" s="364"><f>+(((N219-M219-O219)/O219)*100)</f><v /></c><c r="V219" s="317"><f>V218</f><v /></c><c r="W219" s="385"><f>W218</f><v /></c><c r="X219" s="385"><f>X218</f><v /></c><c r="Y219" s="359" t="n"><v>215.53</v></c><c r="Z219" s="359" t="n"><v>225.48</v></c><c r="AA219" s="367"><f>AA218</f><v /></c><c r="AB219" s="368"><f>AB218</f><v /></c><c r="AC219" s="362"><f>LEFT(AB219,2)</f><v /></c><c r="AD219" s="362"><f>RIGHT(AB219,6)</f><v /></c><c r="AE219" s="362"><f>+(AC219*60+AD219)/(60*60)</f><v /></c><c r="AF219" s="363"><f>+AA219/AE219</f><v /></c><c r="AG219" s="369"><f>+(((Z219-Y219-AA219)/AA219)*100)</f><v /></c><c r="AH219" s="365"><f>AH218</f><v /></c><c r="AI219" s="366"><f>AI218</f><v /></c><c r="AJ219" s="366"><f>AJ218</f><v /></c><c r="AK219" s="359"><f>Z219</f><v /></c><c r="AL219" s="359" t="n"><v>230.51</v></c><c r="AM219" s="370"><f>AM218</f><v /></c><c r="AN219" s="361"><f>AN218</f><v /></c><c r="AO219" s="362"><f>LEFT(AN219,2)</f><v /></c><c r="AP219" s="362"><f>RIGHT(AN219,6)</f><v /></c><c r="AQ219" s="362"><f>+(AO219*60+AP219)/(60*60)</f><v /></c><c r="AR219" s="363"><f>+AM219/AQ219</f><v /></c><c r="AS219" s="369"><f>+(((AL219-AK219-AM219)/AM219)*100)</f><v /></c><c r="AT219" s="371"><f>IF(I219&gt;=1,"NO CONFORME",IF(BK219="SIGDIFERENTES",BC219,BL219))</f><v /></c><c r="AU219" s="372"><f>B219=C219</f><v /></c><c r="AV219" s="372"><f>N219&lt;Y219</f><v /></c><c r="AW219" s="372"><f>Z219&lt;=AK219</f><v /></c><c r="AX219" s="372"><f>IF(I219&gt;=1,"Qcorrecto",IF(AND(AY219="aceptable",AZ219="aceptable",BA219="aceptable"),"Qcorrecto","Qincorrecto"))</f><v /></c><c r="AY219" s="373"><f>IF(AR219&lt;$AH$6,"error",IF(AR219&gt;$AH$6*1.1,"error","aceptable"))</f><v /></c><c r="AZ219" s="373"><f>IF(AF219&lt;$V$6,"error",IF(AF219&gt;$V$6*1.1,"error","aceptable"))</f><v /></c><c r="BA219" s="373"><f>IF(T219&lt;$J$6*0.9,"error",IF(T219&gt;$J$6,"error","aceptable"))</f><v /></c><c r="BB219" s="25"><f>(IF(ABS(U219)&lt;1.05,"CONFORME",IF(ABS(AG219)&lt;1.05,"CONFORME",IF(ABS(AS219)&lt;2.55,"CONFORME","NO CONFORME"))))</f><v /></c><c r="BC219" s="5"><f>(IF(ABS(U219)&gt;2.05,"NO CONFORME",IF(ABS(AG219)&gt;2.05,"NO CONFORME",IF(ABS(AS219)&gt;5.05,"NO CONFORME","CONFORME"))))</f><v /></c><c r="BD219" s="374"><f>SIGN(U219)</f><v /></c><c r="BE219" s="374"><f>SIGN(AG219)</f><v /></c><c r="BF219" s="374"><f>SIGN(AS219)</f><v /></c><c r="BG219" s="374"><f>CONCATENATE(BD219,BE219,BF219)</f><v /></c><c r="BH219" s="374"><f>IF(BG219="111","SI","SD")</f><v /></c><c r="BI219" s="374"><f>IF(BG219="-1-1-1","SI","SD")</f><v /></c><c r="BJ219" s="374"><f>OR(BH219="SI",BI219="SI")</f><v /></c><c r="BK219" s="374"><f>IF(BJ219=FALSE,"SIGDIFERENTES","SIGIGUALES")</f><v /></c><c r="BL219" s="373"><f>IF(BC219="NO CONFORME","NO CONFORME",IF(BB219="CONFORME","CONFORME","NO CONFORME"))</f><v /></c></row><row r="220" ht="15" customHeight="1" thickBot="1"><c r="A220" s="414" t="n"><v>212</v></c><c r="B220" s="415"><f>B219</f><v /></c><c r="C220" s="415"><f>C219</f><v /></c><c r="D220" s="416"><f>D219</f><v /></c><c r="E220" s="417"><f>E219</f><v /></c><c r="F220" s="56" t="n" /><c r="G220" s="460" t="inlineStr"><is><t>PA25516912</t></is></c><c r="H220" s="418"><f>H219</f><v /></c><c r="I220" s="419"><f>I219</f><v /></c><c r="J220" s="420"><f>J219</f><v /></c><c r="K220" s="421"><f>K219</f><v /></c><c r="L220" s="421"><f>L219</f><v /></c><c r="M220" s="422" t="n"><v>110.2</v></c><c r="N220" s="422" t="n"><v>210</v></c><c r="O220" s="423"><f>O219</f><v /></c><c r="P220" s="424"><f>P219</f><v /></c><c r="Q220" s="425"><f>LEFT(P220,1)</f><v /></c><c r="R220" s="425"><f>RIGHT(P220,6)</f><v /></c><c r="S220" s="425"><f>+(Q220*60+R220)/(60*60)</f><v /></c><c r="T220" s="426"><f>+O220/S220</f><v /></c><c r="U220" s="427"><f>+(((N220-M220-O220)/O220)*100)</f><v /></c><c r="V220" s="428"><f>V219</f><v /></c><c r="W220" s="429"><f>W219</f><v /></c><c r="X220" s="429"><f>X219</f><v /></c><c r="Y220" s="422" t="n"><v>215.41</v></c><c r="Z220" s="422" t="n"><v>225.34</v></c><c r="AA220" s="430"><f>AA219</f><v /></c><c r="AB220" s="431"><f>AB219</f><v /></c><c r="AC220" s="425"><f>LEFT(AB220,2)</f><v /></c><c r="AD220" s="425"><f>RIGHT(AB220,6)</f><v /></c><c r="AE220" s="425"><f>+(AC220*60+AD220)/(60*60)</f><v /></c><c r="AF220" s="426"><f>+AA220/AE220</f><v /></c><c r="AG220" s="432"><f>+(((Z220-Y220-AA220)/AA220)*100)</f><v /></c><c r="AH220" s="428"><f>AH219</f><v /></c><c r="AI220" s="429"><f>AI219</f><v /></c><c r="AJ220" s="429"><f>AJ219</f><v /></c><c r="AK220" s="422"><f>Z220</f><v /></c><c r="AL220" s="422" t="n"><v>230.35</v></c><c r="AM220" s="433"><f>AM219</f><v /></c><c r="AN220" s="424"><f>AN219</f><v /></c><c r="AO220" s="425"><f>LEFT(AN220,2)</f><v /></c><c r="AP220" s="425"><f>RIGHT(AN220,6)</f><v /></c><c r="AQ220" s="425"><f>+(AO220*60+AP220)/(60*60)</f><v /></c><c r="AR220" s="426"><f>+AM220/AQ220</f><v /></c><c r="AS220" s="432"><f>+(((AL220-AK220-AM220)/AM220)*100)</f><v /></c><c r="AT220" s="434"><f>IF(I220&gt;=1,"NO CONFORME",IF(BK220="SIGDIFERENTES",BC220,BL220))</f><v /></c><c r="AU220" s="409"><f>B220=C220</f><v /></c><c r="AV220" s="409"><f>N220&lt;Y220</f><v /></c><c r="AW220" s="409"><f>Z220&lt;=AK220</f><v /></c><c r="AX220" s="409"><f>IF(I220&gt;=1,"Qcorrecto",IF(AND(AY220="aceptable",AZ220="aceptable",BA220="aceptable"),"Qcorrecto","Qincorrecto"))</f><v /></c><c r="AY220" s="410"><f>IF(AR220&lt;$AH$6,"error",IF(AR220&gt;$AH$6*1.1,"error","aceptable"))</f><v /></c><c r="AZ220" s="410"><f>IF(AF220&lt;$V$6,"error",IF(AF220&gt;$V$6*1.1,"error","aceptable"))</f><v /></c><c r="BA220" s="410"><f>IF(T220&lt;$J$6*0.9,"error",IF(T220&gt;$J$6,"error","aceptable"))</f><v /></c><c r="BB220" s="411"><f>(IF(ABS(U220)&lt;1.05,"CONFORME",IF(ABS(AG220)&lt;1.05,"CONFORME",IF(ABS(AS220)&lt;2.55,"CONFORME","NO CONFORME"))))</f><v /></c><c r="BC220" s="412"><f>(IF(ABS(U220)&gt;2.05,"NO CONFORME",IF(ABS(AG220)&gt;2.05,"NO CONFORME",IF(ABS(AS220)&gt;5.05,"NO CONFORME","CONFORME"))))</f><v /></c><c r="BD220" s="413"><f>SIGN(U220)</f><v /></c><c r="BE220" s="413"><f>SIGN(AG220)</f><v /></c><c r="BF220" s="413"><f>SIGN(AS220)</f><v /></c><c r="BG220" s="413"><f>CONCATENATE(BD220,BE220,BF220)</f><v /></c><c r="BH220" s="413"><f>IF(BG220="111","SI","SD")</f><v /></c><c r="BI220" s="413"><f>IF(BG220="-1-1-1","SI","SD")</f><v /></c><c r="BJ220" s="413"><f>OR(BH220="SI",BI220="SI")</f><v /></c><c r="BK220" s="413"><f>IF(BJ220=FALSE,"SIGDIFERENTES","SIGIGUALES")</f><v /></c><c r="BL220" s="410"><f>IF(BC220="NO CONFORME","NO CONFORME",IF(BB220="CONFORME","CONFORME","NO CONFORME"))</f><v /></c></row><row r="221" ht="15" customHeight="1" thickBot="1"><c r="A221" s="351" t="n"><v>213</v></c><c r="B221" s="454" t="n"><v>45919</v></c><c r="C221" s="454"><f>C220</f><v /></c><c r="D221" s="455" t="n"><v>5</v></c><c r="E221" s="456" t="n"><v>10</v></c><c r="F221" s="58" t="n" /><c r="G221" s="300" t="inlineStr"><is><t>PA25516921</t></is></c><c r="H221" s="301" t="n"><v>25.6</v></c><c r="I221" s="232" t="n"><v>0</v></c><c r="J221" s="302" t="n"><v>21.2</v></c><c r="K221" s="303" t="n"><v>8.08</v></c><c r="L221" s="303" t="n"><v>0.573</v></c><c r="M221" s="359" t="n"><v>116.98</v></c><c r="N221" s="359" t="n"><v>217.6</v></c><c r="O221" s="457" t="n"><v>100.71</v></c><c r="P221" s="458" t="inlineStr"><is><t>2,28,370</t></is></c><c r="Q221" s="362"><f>LEFT(P221,1)</f><v /></c><c r="R221" s="362"><f>RIGHT(P221,6)</f><v /></c><c r="S221" s="362"><f>+(Q221*60+R221)/(60*60)</f><v /></c><c r="T221" s="363"><f>+O221/S221</f><v /></c><c r="U221" s="364"><f>+(((N221-M221-O221)/O221)*100)</f><v /></c><c r="V221" s="306" t="n"><v>21</v></c><c r="W221" s="307" t="n"><v>1.508</v></c><c r="X221" s="307" t="n"><v>1.505</v></c><c r="Y221" s="359" t="n"><v>229.54</v></c><c r="Z221" s="359" t="n"><v>239.5</v></c><c r="AA221" s="308" t="n"><v>10.029</v></c><c r="AB221" s="458" t="inlineStr"><is><t>23,11,780</t></is></c><c r="AC221" s="362"><f>LEFT(AB221,2)</f><v /></c><c r="AD221" s="362"><f>RIGHT(AB221,6)</f><v /></c><c r="AE221" s="362"><f>+(AC221*60+AD221)/(60*60)</f><v /></c><c r="AF221" s="363"><f>+AA221/AE221</f><v /></c><c r="AG221" s="369"><f>+(((Z221-Y221-AA221)/AA221)*100)</f><v /></c><c r="AH221" s="306" t="n"><v>21.5</v></c><c r="AI221" s="307" t="n"><v>1.508</v></c><c r="AJ221" s="307" t="n"><v>1.503</v></c><c r="AK221" s="359"><f>Z221</f><v /></c><c r="AL221" s="359" t="n"><v>244.55</v></c><c r="AM221" s="459" t="n"><v>5.025</v></c><c r="AN221" s="458" t="inlineStr"><is><t>18,43,300</t></is></c><c r="AO221" s="362"><f>LEFT(AN221,2)</f><v /></c><c r="AP221" s="362"><f>RIGHT(AN221,6)</f><v /></c><c r="AQ221" s="362"><f>+(AO221*60+AP221)/(60*60)</f><v /></c><c r="AR221" s="363"><f>+AM221/AQ221</f><v /></c><c r="AS221" s="369"><f>+(((AL221-AK221-AM221)/AM221)*100)</f><v /></c><c r="AT221" s="371"><f>IF(I221&gt;=1,"NO CONFORME",IF(BK221="SIGDIFERENTES",BC221,BL221))</f><v /></c><c r="AU221" s="372"><f>B221=C221</f><v /></c><c r="AV221" s="372"><f>N221&lt;Y221</f><v /></c><c r="AW221" s="372"><f>Z221&lt;=AK221</f><v /></c><c r="AX221" s="372"><f>IF(I221&gt;=1,"Qcorrecto",IF(AND(AY221="aceptable",AZ221="aceptable",BA221="aceptable"),"Qcorrecto","Qincorrecto"))</f><v /></c><c r="AY221" s="390"><f>IF(AR221&lt;$AH$6,"error",IF(AR221&gt;$AH$6*1.1,"error","aceptable"))</f><v /></c><c r="AZ221" s="390"><f>IF(AF221&lt;$V$6,"error",IF(AF221&gt;$V$6*1.1,"error","aceptable"))</f><v /></c><c r="BA221" s="390"><f>IF(T221&lt;$J$6*0.9,"error",IF(T221&gt;$J$6,"error","aceptable"))</f><v /></c><c r="BB221" s="25"><f>(IF(ABS(U221)&lt;1.05,"CONFORME",IF(ABS(AG221)&lt;1.05,"CONFORME",IF(ABS(AS221)&lt;2.55,"CONFORME","NO CONFORME"))))</f><v /></c><c r="BC221" s="5"><f>(IF(ABS(U221)&gt;2.05,"NO CONFORME",IF(ABS(AG221)&gt;2.05,"NO CONFORME",IF(ABS(AS221)&gt;5.05,"NO CONFORME","CONFORME"))))</f><v /></c><c r="BD221" s="374"><f>SIGN(U221)</f><v /></c><c r="BE221" s="374"><f>SIGN(AG221)</f><v /></c><c r="BF221" s="374"><f>SIGN(AS221)</f><v /></c><c r="BG221" s="374"><f>CONCATENATE(BD221,BE221,BF221)</f><v /></c><c r="BH221" s="374"><f>IF(BG221="111","SI","SD")</f><v /></c><c r="BI221" s="374"><f>IF(BG221="-1-1-1","SI","SD")</f><v /></c><c r="BJ221" s="374"><f>OR(BH221="SI",BI221="SI")</f><v /></c><c r="BK221" s="374"><f>IF(BJ221=FALSE,"SIGDIFERENTES","SIGIGUALES")</f><v /></c><c r="BL221" s="373"><f>IF(BC221="NO CONFORME","NO CONFORME",IF(BB221="CONFORME","CONFORME","NO CONFORME"))</f><v /></c></row><row r="222" ht="15" customHeight="1" thickBot="1"><c r="A222" s="443" t="n"><v>214</v></c><c r="B222" s="375"><f>B221</f><v /></c><c r="C222" s="375"><f>C221</f><v /></c><c r="D222" s="376"><f>D221</f><v /></c><c r="E222" s="377"><f>E221</f><v /></c><c r="F222" s="13" t="n" /><c r="G222" s="300" t="inlineStr"><is><t>PA25516922</t></is></c><c r="H222" s="313"><f>H221</f><v /></c><c r="I222" s="38"><f>I221</f><v /></c><c r="J222" s="314"><f>J221</f><v /></c><c r="K222" s="378"><f>K221</f><v /></c><c r="L222" s="378"><f>L221</f><v /></c><c r="M222" s="379" t="n"><v>115.2</v></c><c r="N222" s="379" t="n"><v>215.04</v></c><c r="O222" s="380"><f>O221</f><v /></c><c r="P222" s="381"><f>P221</f><v /></c><c r="Q222" s="382"><f>LEFT(P222,1)</f><v /></c><c r="R222" s="382"><f>RIGHT(P222,6)</f><v /></c><c r="S222" s="382"><f>+(Q222*60+R222)/(60*60)</f><v /></c><c r="T222" s="383"><f>+O222/S222</f><v /></c><c r="U222" s="384"><f>+(((N222-M222-O222)/O222)*100)</f><v /></c><c r="V222" s="317"><f>V221</f><v /></c><c r="W222" s="385"><f>W221</f><v /></c><c r="X222" s="385"><f>X221</f><v /></c><c r="Y222" s="379" t="n"><v>226.84</v></c><c r="Z222" s="379" t="n"><v>236.65</v></c><c r="AA222" s="386"><f>AA221</f><v /></c><c r="AB222" s="387"><f>AB221</f><v /></c><c r="AC222" s="382"><f>LEFT(AB222,2)</f><v /></c><c r="AD222" s="382"><f>RIGHT(AB222,6)</f><v /></c><c r="AE222" s="382"><f>+(AC222*60+AD222)/(60*60)</f><v /></c><c r="AF222" s="383"><f>+AA222/AE222</f><v /></c><c r="AG222" s="321"><f>+(((Z222-Y222-AA222)/AA222)*100)</f><v /></c><c r="AH222" s="317"><f>AH221</f><v /></c><c r="AI222" s="385"><f>AI221</f><v /></c><c r="AJ222" s="385"><f>AJ221</f><v /></c><c r="AK222" s="379"><f>Z222</f><v /></c><c r="AL222" s="379" t="n"><v>241.58</v></c><c r="AM222" s="388"><f>AM221</f><v /></c><c r="AN222" s="381"><f>AN221</f><v /></c><c r="AO222" s="382"><f>LEFT(AN222,2)</f><v /></c><c r="AP222" s="382"><f>RIGHT(AN222,6)</f><v /></c><c r="AQ222" s="382"><f>+(AO222*60+AP222)/(60*60)</f><v /></c><c r="AR222" s="383"><f>+AM222/AQ222</f><v /></c><c r="AS222" s="321"><f>+(((AL222-AK222-AM222)/AM222)*100)</f><v /></c><c r="AT222" s="389"><f>IF(I222&gt;=1,"NO CONFORME",IF(BK222="SIGDIFERENTES",BC222,BL222))</f><v /></c><c r="AU222" s="372"><f>B222=C222</f><v /></c><c r="AV222" s="372"><f>N222&lt;Y222</f><v /></c><c r="AW222" s="372"><f>Z222&lt;=AK222</f><v /></c><c r="AX222" s="372"><f>IF(I222&gt;=1,"Qcorrecto",IF(AND(AY222="aceptable",AZ222="aceptable",BA222="aceptable"),"Qcorrecto","Qincorrecto"))</f><v /></c><c r="AY222" s="390"><f>IF(AR222&lt;$AH$6,"error",IF(AR222&gt;$AH$6*1.1,"error","aceptable"))</f><v /></c><c r="AZ222" s="390"><f>IF(AF222&lt;$V$6,"error",IF(AF222&gt;$V$6*1.1,"error","aceptable"))</f><v /></c><c r="BA222" s="390"><f>IF(T222&lt;$J$6*0.9,"error",IF(T222&gt;$J$6,"error","aceptable"))</f><v /></c><c r="BB222" s="25"><f>(IF(ABS(U222)&lt;1.05,"CONFORME",IF(ABS(AG222)&lt;1.05,"CONFORME",IF(ABS(AS222)&lt;2.55,"CONFORME","NO CONFORME"))))</f><v /></c><c r="BC222" s="5"><f>(IF(ABS(U222)&gt;2.05,"NO CONFORME",IF(ABS(AG222)&gt;2.05,"NO CONFORME",IF(ABS(AS222)&gt;5.05,"NO CONFORME","CONFORME"))))</f><v /></c><c r="BD222" s="374"><f>SIGN(U222)</f><v /></c><c r="BE222" s="374"><f>SIGN(AG222)</f><v /></c><c r="BF222" s="374"><f>SIGN(AS222)</f><v /></c><c r="BG222" s="374"><f>CONCATENATE(BD222,BE222,BF222)</f><v /></c><c r="BH222" s="374"><f>IF(BG222="111","SI","SD")</f><v /></c><c r="BI222" s="374"><f>IF(BG222="-1-1-1","SI","SD")</f><v /></c><c r="BJ222" s="374"><f>OR(BH222="SI",BI222="SI")</f><v /></c><c r="BK222" s="374"><f>IF(BJ222=FALSE,"SIGDIFERENTES","SIGIGUALES")</f><v /></c><c r="BL222" s="390"><f>IF(BC222="NO CONFORME","NO CONFORME",IF(BB222="CONFORME","CONFORME","NO CONFORME"))</f><v /></c></row><row r="223" ht="15" customHeight="1" thickBot="1"><c r="A223" s="443" t="n"><v>215</v></c><c r="B223" s="375"><f>B222</f><v /></c><c r="C223" s="375"><f>C222</f><v /></c><c r="D223" s="376"><f>D222</f><v /></c><c r="E223" s="377"><f>E222</f><v /></c><c r="F223" s="13" t="n" /><c r="G223" s="300" t="inlineStr"><is><t>PA25516923</t></is></c><c r="H223" s="313"><f>H222</f><v /></c><c r="I223" s="38"><f>I222</f><v /></c><c r="J223" s="314"><f>J222</f><v /></c><c r="K223" s="378"><f>K222</f><v /></c><c r="L223" s="378"><f>L222</f><v /></c><c r="M223" s="379" t="n"><v>115.3</v></c><c r="N223" s="379" t="n"><v>215.5</v></c><c r="O223" s="380"><f>O222</f><v /></c><c r="P223" s="381"><f>P222</f><v /></c><c r="Q223" s="382"><f>LEFT(P223,1)</f><v /></c><c r="R223" s="382"><f>RIGHT(P223,6)</f><v /></c><c r="S223" s="382"><f>+(Q223*60+R223)/(60*60)</f><v /></c><c r="T223" s="383"><f>+O223/S223</f><v /></c><c r="U223" s="384"><f>+(((N223-M223-O223)/O223)*100)</f><v /></c><c r="V223" s="317"><f>V222</f><v /></c><c r="W223" s="385"><f>W222</f><v /></c><c r="X223" s="385"><f>X222</f><v /></c><c r="Y223" s="379" t="n"><v>227.4</v></c><c r="Z223" s="379" t="n"><v>237.35</v></c><c r="AA223" s="386"><f>AA222</f><v /></c><c r="AB223" s="387"><f>AB222</f><v /></c><c r="AC223" s="382"><f>LEFT(AB223,2)</f><v /></c><c r="AD223" s="382"><f>RIGHT(AB223,6)</f><v /></c><c r="AE223" s="382"><f>+(AC223*60+AD223)/(60*60)</f><v /></c><c r="AF223" s="383"><f>+AA223/AE223</f><v /></c><c r="AG223" s="321"><f>+(((Z223-Y223-AA223)/AA223)*100)</f><v /></c><c r="AH223" s="317"><f>AH222</f><v /></c><c r="AI223" s="385"><f>AI222</f><v /></c><c r="AJ223" s="385"><f>AJ222</f><v /></c><c r="AK223" s="379"><f>Z223</f><v /></c><c r="AL223" s="379" t="n"><v>242.35</v></c><c r="AM223" s="388"><f>AM222</f><v /></c><c r="AN223" s="381"><f>AN222</f><v /></c><c r="AO223" s="382"><f>LEFT(AN223,2)</f><v /></c><c r="AP223" s="382"><f>RIGHT(AN223,6)</f><v /></c><c r="AQ223" s="382"><f>+(AO223*60+AP223)/(60*60)</f><v /></c><c r="AR223" s="383"><f>+AM223/AQ223</f><v /></c><c r="AS223" s="321"><f>+(((AL223-AK223-AM223)/AM223)*100)</f><v /></c><c r="AT223" s="389"><f>IF(I223&gt;=1,"NO CONFORME",IF(BK223="SIGDIFERENTES",BC223,BL223))</f><v /></c><c r="AU223" s="372"><f>B223=C223</f><v /></c><c r="AV223" s="372"><f>N223&lt;Y223</f><v /></c><c r="AW223" s="372"><f>Z223&lt;=AK223</f><v /></c><c r="AX223" s="372"><f>IF(I223&gt;=1,"Qcorrecto",IF(AND(AY223="aceptable",AZ223="aceptable",BA223="aceptable"),"Qcorrecto","Qincorrecto"))</f><v /></c><c r="AY223" s="390"><f>IF(AR223&lt;$AH$6,"error",IF(AR223&gt;$AH$6*1.1,"error","aceptable"))</f><v /></c><c r="AZ223" s="390"><f>IF(AF223&lt;$V$6,"error",IF(AF223&gt;$V$6*1.1,"error","aceptable"))</f><v /></c><c r="BA223" s="390"><f>IF(T223&lt;$J$6*0.9,"error",IF(T223&gt;$J$6,"error","aceptable"))</f><v /></c><c r="BB223" s="25"><f>(IF(ABS(U223)&lt;1.05,"CONFORME",IF(ABS(AG223)&lt;1.05,"CONFORME",IF(ABS(AS223)&lt;2.55,"CONFORME","NO CONFORME"))))</f><v /></c><c r="BC223" s="5"><f>(IF(ABS(U223)&gt;2.05,"NO CONFORME",IF(ABS(AG223)&gt;2.05,"NO CONFORME",IF(ABS(AS223)&gt;5.05,"NO CONFORME","CONFORME"))))</f><v /></c><c r="BD223" s="374"><f>SIGN(U223)</f><v /></c><c r="BE223" s="374"><f>SIGN(AG223)</f><v /></c><c r="BF223" s="374"><f>SIGN(AS223)</f><v /></c><c r="BG223" s="374"><f>CONCATENATE(BD223,BE223,BF223)</f><v /></c><c r="BH223" s="374"><f>IF(BG223="111","SI","SD")</f><v /></c><c r="BI223" s="374"><f>IF(BG223="-1-1-1","SI","SD")</f><v /></c><c r="BJ223" s="374"><f>OR(BH223="SI",BI223="SI")</f><v /></c><c r="BK223" s="374"><f>IF(BJ223=FALSE,"SIGDIFERENTES","SIGIGUALES")</f><v /></c><c r="BL223" s="390"><f>IF(BC223="NO CONFORME","NO CONFORME",IF(BB223="CONFORME","CONFORME","NO CONFORME"))</f><v /></c></row><row r="224" ht="15" customHeight="1" thickBot="1"><c r="A224" s="443" t="n"><v>216</v></c><c r="B224" s="375"><f>B223</f><v /></c><c r="C224" s="375"><f>C223</f><v /></c><c r="D224" s="376"><f>D223</f><v /></c><c r="E224" s="377"><f>E223</f><v /></c><c r="F224" s="13" t="n" /><c r="G224" s="300" t="inlineStr"><is><t>PA25516924</t></is></c><c r="H224" s="313"><f>H223</f><v /></c><c r="I224" s="38"><f>I223</f><v /></c><c r="J224" s="314"><f>J223</f><v /></c><c r="K224" s="378"><f>K223</f><v /></c><c r="L224" s="378"><f>L223</f><v /></c><c r="M224" s="379" t="n"><v>114.47</v></c><c r="N224" s="379" t="n"><v>214.7</v></c><c r="O224" s="380"><f>O223</f><v /></c><c r="P224" s="381"><f>P223</f><v /></c><c r="Q224" s="382"><f>LEFT(P224,1)</f><v /></c><c r="R224" s="382"><f>RIGHT(P224,6)</f><v /></c><c r="S224" s="382"><f>+(Q224*60+R224)/(60*60)</f><v /></c><c r="T224" s="383"><f>+O224/S224</f><v /></c><c r="U224" s="384"><f>+(((N224-M224-O224)/O224)*100)</f><v /></c><c r="V224" s="317"><f>V223</f><v /></c><c r="W224" s="385"><f>W223</f><v /></c><c r="X224" s="385"><f>X223</f><v /></c><c r="Y224" s="379" t="n"><v>226.6</v></c><c r="Z224" s="379" t="n"><v>236.55</v></c><c r="AA224" s="386"><f>AA223</f><v /></c><c r="AB224" s="387"><f>AB223</f><v /></c><c r="AC224" s="382"><f>LEFT(AB224,2)</f><v /></c><c r="AD224" s="382"><f>RIGHT(AB224,6)</f><v /></c><c r="AE224" s="382"><f>+(AC224*60+AD224)/(60*60)</f><v /></c><c r="AF224" s="383"><f>+AA224/AE224</f><v /></c><c r="AG224" s="321"><f>+(((Z224-Y224-AA224)/AA224)*100)</f><v /></c><c r="AH224" s="317"><f>AH223</f><v /></c><c r="AI224" s="385"><f>AI223</f><v /></c><c r="AJ224" s="385"><f>AJ223</f><v /></c><c r="AK224" s="379"><f>Z224</f><v /></c><c r="AL224" s="379" t="n"><v>241.6</v></c><c r="AM224" s="388"><f>AM223</f><v /></c><c r="AN224" s="381"><f>AN223</f><v /></c><c r="AO224" s="382"><f>LEFT(AN224,2)</f><v /></c><c r="AP224" s="382"><f>RIGHT(AN224,6)</f><v /></c><c r="AQ224" s="382"><f>+(AO224*60+AP224)/(60*60)</f><v /></c><c r="AR224" s="383"><f>+AM224/AQ224</f><v /></c><c r="AS224" s="321"><f>+(((AL224-AK224-AM224)/AM224)*100)</f><v /></c><c r="AT224" s="389"><f>IF(I224&gt;=1,"NO CONFORME",IF(BK224="SIGDIFERENTES",BC224,BL224))</f><v /></c><c r="AU224" s="372"><f>B224=C224</f><v /></c><c r="AV224" s="372"><f>N224&lt;Y224</f><v /></c><c r="AW224" s="372"><f>Z224&lt;=AK224</f><v /></c><c r="AX224" s="372"><f>IF(I224&gt;=1,"Qcorrecto",IF(AND(AY224="aceptable",AZ224="aceptable",BA224="aceptable"),"Qcorrecto","Qincorrecto"))</f><v /></c><c r="AY224" s="390"><f>IF(AR224&lt;$AH$6,"error",IF(AR224&gt;$AH$6*1.1,"error","aceptable"))</f><v /></c><c r="AZ224" s="390"><f>IF(AF224&lt;$V$6,"error",IF(AF224&gt;$V$6*1.1,"error","aceptable"))</f><v /></c><c r="BA224" s="390"><f>IF(T224&lt;$J$6*0.9,"error",IF(T224&gt;$J$6,"error","aceptable"))</f><v /></c><c r="BB224" s="25"><f>(IF(ABS(U224)&lt;1.05,"CONFORME",IF(ABS(AG224)&lt;1.05,"CONFORME",IF(ABS(AS224)&lt;2.55,"CONFORME","NO CONFORME"))))</f><v /></c><c r="BC224" s="5"><f>(IF(ABS(U224)&gt;2.05,"NO CONFORME",IF(ABS(AG224)&gt;2.05,"NO CONFORME",IF(ABS(AS224)&gt;5.05,"NO CONFORME","CONFORME"))))</f><v /></c><c r="BD224" s="374"><f>SIGN(U224)</f><v /></c><c r="BE224" s="374"><f>SIGN(AG224)</f><v /></c><c r="BF224" s="374"><f>SIGN(AS224)</f><v /></c><c r="BG224" s="374"><f>CONCATENATE(BD224,BE224,BF224)</f><v /></c><c r="BH224" s="374"><f>IF(BG224="111","SI","SD")</f><v /></c><c r="BI224" s="374"><f>IF(BG224="-1-1-1","SI","SD")</f><v /></c><c r="BJ224" s="374"><f>OR(BH224="SI",BI224="SI")</f><v /></c><c r="BK224" s="374"><f>IF(BJ224=FALSE,"SIGDIFERENTES","SIGIGUALES")</f><v /></c><c r="BL224" s="390"><f>IF(BC224="NO CONFORME","NO CONFORME",IF(BB224="CONFORME","CONFORME","NO CONFORME"))</f><v /></c></row><row r="225" ht="15" customHeight="1" thickBot="1"><c r="A225" s="443" t="n"><v>217</v></c><c r="B225" s="375"><f>B224</f><v /></c><c r="C225" s="375"><f>C224</f><v /></c><c r="D225" s="376"><f>D224</f><v /></c><c r="E225" s="377"><f>E224</f><v /></c><c r="F225" s="13" t="n" /><c r="G225" s="300" t="inlineStr"><is><t>PA25516925</t></is></c><c r="H225" s="313"><f>H224</f><v /></c><c r="I225" s="38"><f>I224</f><v /></c><c r="J225" s="314"><f>J224</f><v /></c><c r="K225" s="378"><f>K224</f><v /></c><c r="L225" s="378"><f>L224</f><v /></c><c r="M225" s="379" t="n"><v>115.69</v></c><c r="N225" s="379" t="n"><v>216</v></c><c r="O225" s="380"><f>O224</f><v /></c><c r="P225" s="381"><f>P224</f><v /></c><c r="Q225" s="382"><f>LEFT(P225,1)</f><v /></c><c r="R225" s="382"><f>RIGHT(P225,6)</f><v /></c><c r="S225" s="382"><f>+(Q225*60+R225)/(60*60)</f><v /></c><c r="T225" s="383"><f>+O225/S225</f><v /></c><c r="U225" s="384"><f>+(((N225-M225-O225)/O225)*100)</f><v /></c><c r="V225" s="317"><f>V224</f><v /></c><c r="W225" s="385"><f>W224</f><v /></c><c r="X225" s="385"><f>X224</f><v /></c><c r="Y225" s="379" t="n"><v>227.9</v></c><c r="Z225" s="379" t="n"><v>237.86</v></c><c r="AA225" s="386"><f>AA224</f><v /></c><c r="AB225" s="387"><f>AB224</f><v /></c><c r="AC225" s="382"><f>LEFT(AB225,2)</f><v /></c><c r="AD225" s="382"><f>RIGHT(AB225,6)</f><v /></c><c r="AE225" s="382"><f>+(AC225*60+AD225)/(60*60)</f><v /></c><c r="AF225" s="383"><f>+AA225/AE225</f><v /></c><c r="AG225" s="321"><f>+(((Z225-Y225-AA225)/AA225)*100)</f><v /></c><c r="AH225" s="317"><f>AH224</f><v /></c><c r="AI225" s="385"><f>AI224</f><v /></c><c r="AJ225" s="385"><f>AJ224</f><v /></c><c r="AK225" s="379"><f>Z225</f><v /></c><c r="AL225" s="379" t="n"><v>242.89</v></c><c r="AM225" s="388"><f>AM224</f><v /></c><c r="AN225" s="381"><f>AN224</f><v /></c><c r="AO225" s="382"><f>LEFT(AN225,2)</f><v /></c><c r="AP225" s="382"><f>RIGHT(AN225,6)</f><v /></c><c r="AQ225" s="382"><f>+(AO225*60+AP225)/(60*60)</f><v /></c><c r="AR225" s="383"><f>+AM225/AQ225</f><v /></c><c r="AS225" s="321"><f>+(((AL225-AK225-AM225)/AM225)*100)</f><v /></c><c r="AT225" s="389"><f>IF(I225&gt;=1,"NO CONFORME",IF(BK225="SIGDIFERENTES",BC225,BL225))</f><v /></c><c r="AU225" s="372"><f>B225=C225</f><v /></c><c r="AV225" s="372"><f>N225&lt;Y225</f><v /></c><c r="AW225" s="372"><f>Z225&lt;=AK225</f><v /></c><c r="AX225" s="372"><f>IF(I225&gt;=1,"Qcorrecto",IF(AND(AY225="aceptable",AZ225="aceptable",BA225="aceptable"),"Qcorrecto","Qincorrecto"))</f><v /></c><c r="AY225" s="390"><f>IF(AR225&lt;$AH$6,"error",IF(AR225&gt;$AH$6*1.1,"error","aceptable"))</f><v /></c><c r="AZ225" s="390"><f>IF(AF225&lt;$V$6,"error",IF(AF225&gt;$V$6*1.1,"error","aceptable"))</f><v /></c><c r="BA225" s="390"><f>IF(T225&lt;$J$6*0.9,"error",IF(T225&gt;$J$6,"error","aceptable"))</f><v /></c><c r="BB225" s="25"><f>(IF(ABS(U225)&lt;1.05,"CONFORME",IF(ABS(AG225)&lt;1.05,"CONFORME",IF(ABS(AS225)&lt;2.55,"CONFORME","NO CONFORME"))))</f><v /></c><c r="BC225" s="5"><f>(IF(ABS(U225)&gt;2.05,"NO CONFORME",IF(ABS(AG225)&gt;2.05,"NO CONFORME",IF(ABS(AS225)&gt;5.05,"NO CONFORME","CONFORME"))))</f><v /></c><c r="BD225" s="374"><f>SIGN(U225)</f><v /></c><c r="BE225" s="374"><f>SIGN(AG225)</f><v /></c><c r="BF225" s="374"><f>SIGN(AS225)</f><v /></c><c r="BG225" s="374"><f>CONCATENATE(BD225,BE225,BF225)</f><v /></c><c r="BH225" s="374"><f>IF(BG225="111","SI","SD")</f><v /></c><c r="BI225" s="374"><f>IF(BG225="-1-1-1","SI","SD")</f><v /></c><c r="BJ225" s="374"><f>OR(BH225="SI",BI225="SI")</f><v /></c><c r="BK225" s="374"><f>IF(BJ225=FALSE,"SIGDIFERENTES","SIGIGUALES")</f><v /></c><c r="BL225" s="390"><f>IF(BC225="NO CONFORME","NO CONFORME",IF(BB225="CONFORME","CONFORME","NO CONFORME"))</f><v /></c></row><row r="226" ht="15" customHeight="1" thickBot="1"><c r="A226" s="443" t="n"><v>218</v></c><c r="B226" s="375"><f>B225</f><v /></c><c r="C226" s="375"><f>C225</f><v /></c><c r="D226" s="376"><f>D225</f><v /></c><c r="E226" s="377"><f>E225</f><v /></c><c r="F226" s="13" t="n" /><c r="G226" s="300" t="inlineStr"><is><t>PA25516926</t></is></c><c r="H226" s="313"><f>H225</f><v /></c><c r="I226" s="38"><f>I225</f><v /></c><c r="J226" s="314"><f>J225</f><v /></c><c r="K226" s="378"><f>K225</f><v /></c><c r="L226" s="378"><f>L225</f><v /></c><c r="M226" s="379" t="n"><v>115.55</v></c><c r="N226" s="379" t="n"><v>216.52</v></c><c r="O226" s="380"><f>O225</f><v /></c><c r="P226" s="381"><f>P225</f><v /></c><c r="Q226" s="382"><f>LEFT(P226,1)</f><v /></c><c r="R226" s="382"><f>RIGHT(P226,6)</f><v /></c><c r="S226" s="382"><f>+(Q226*60+R226)/(60*60)</f><v /></c><c r="T226" s="383"><f>+O226/S226</f><v /></c><c r="U226" s="384"><f>+(((N226-M226-O226)/O226)*100)</f><v /></c><c r="V226" s="317"><f>V225</f><v /></c><c r="W226" s="385"><f>W225</f><v /></c><c r="X226" s="385"><f>X225</f><v /></c><c r="Y226" s="379" t="n"><v>228.45</v></c><c r="Z226" s="379" t="n"><v>238.41</v></c><c r="AA226" s="386"><f>AA225</f><v /></c><c r="AB226" s="387"><f>AB225</f><v /></c><c r="AC226" s="382"><f>LEFT(AB226,2)</f><v /></c><c r="AD226" s="382"><f>RIGHT(AB226,6)</f><v /></c><c r="AE226" s="382"><f>+(AC226*60+AD226)/(60*60)</f><v /></c><c r="AF226" s="383"><f>+AA226/AE226</f><v /></c><c r="AG226" s="321"><f>+(((Z226-Y226-AA226)/AA226)*100)</f><v /></c><c r="AH226" s="317"><f>AH225</f><v /></c><c r="AI226" s="385"><f>AI225</f><v /></c><c r="AJ226" s="385"><f>AJ225</f><v /></c><c r="AK226" s="379"><f>Z226</f><v /></c><c r="AL226" s="379" t="n"><v>243.52</v></c><c r="AM226" s="388"><f>AM225</f><v /></c><c r="AN226" s="381"><f>AN225</f><v /></c><c r="AO226" s="382"><f>LEFT(AN226,2)</f><v /></c><c r="AP226" s="382"><f>RIGHT(AN226,6)</f><v /></c><c r="AQ226" s="382"><f>+(AO226*60+AP226)/(60*60)</f><v /></c><c r="AR226" s="383"><f>+AM226/AQ226</f><v /></c><c r="AS226" s="321"><f>+(((AL226-AK226-AM226)/AM226)*100)</f><v /></c><c r="AT226" s="389"><f>IF(I226&gt;=1,"NO CONFORME",IF(BK226="SIGDIFERENTES",BC226,BL226))</f><v /></c><c r="AU226" s="372"><f>B226=C226</f><v /></c><c r="AV226" s="372"><f>N226&lt;Y226</f><v /></c><c r="AW226" s="372"><f>Z226&lt;=AK226</f><v /></c><c r="AX226" s="372"><f>IF(I226&gt;=1,"Qcorrecto",IF(AND(AY226="aceptable",AZ226="aceptable",BA226="aceptable"),"Qcorrecto","Qincorrecto"))</f><v /></c><c r="AY226" s="390"><f>IF(AR226&lt;$AH$6,"error",IF(AR226&gt;$AH$6*1.1,"error","aceptable"))</f><v /></c><c r="AZ226" s="390"><f>IF(AF226&lt;$V$6,"error",IF(AF226&gt;$V$6*1.1,"error","aceptable"))</f><v /></c><c r="BA226" s="390"><f>IF(T226&lt;$J$6*0.9,"error",IF(T226&gt;$J$6,"error","aceptable"))</f><v /></c><c r="BB226" s="25"><f>(IF(ABS(U226)&lt;1.05,"CONFORME",IF(ABS(AG226)&lt;1.05,"CONFORME",IF(ABS(AS226)&lt;2.55,"CONFORME","NO CONFORME"))))</f><v /></c><c r="BC226" s="5"><f>(IF(ABS(U226)&gt;2.05,"NO CONFORME",IF(ABS(AG226)&gt;2.05,"NO CONFORME",IF(ABS(AS226)&gt;5.05,"NO CONFORME","CONFORME"))))</f><v /></c><c r="BD226" s="374"><f>SIGN(U226)</f><v /></c><c r="BE226" s="374"><f>SIGN(AG226)</f><v /></c><c r="BF226" s="374"><f>SIGN(AS226)</f><v /></c><c r="BG226" s="374"><f>CONCATENATE(BD226,BE226,BF226)</f><v /></c><c r="BH226" s="374"><f>IF(BG226="111","SI","SD")</f><v /></c><c r="BI226" s="374"><f>IF(BG226="-1-1-1","SI","SD")</f><v /></c><c r="BJ226" s="374"><f>OR(BH226="SI",BI226="SI")</f><v /></c><c r="BK226" s="374"><f>IF(BJ226=FALSE,"SIGDIFERENTES","SIGIGUALES")</f><v /></c><c r="BL226" s="390"><f>IF(BC226="NO CONFORME","NO CONFORME",IF(BB226="CONFORME","CONFORME","NO CONFORME"))</f><v /></c></row><row r="227" ht="15" customHeight="1" thickBot="1"><c r="A227" s="443" t="n"><v>219</v></c><c r="B227" s="375"><f>B226</f><v /></c><c r="C227" s="375"><f>C226</f><v /></c><c r="D227" s="376"><f>D226</f><v /></c><c r="E227" s="377"><f>E226</f><v /></c><c r="F227" s="13" t="n" /><c r="G227" s="300" t="inlineStr"><is><t>PA25516927</t></is></c><c r="H227" s="313"><f>H226</f><v /></c><c r="I227" s="38"><f>I226</f><v /></c><c r="J227" s="314"><f>J226</f><v /></c><c r="K227" s="378"><f>K226</f><v /></c><c r="L227" s="378"><f>L226</f><v /></c><c r="M227" s="379" t="n"><v>116.11</v></c><c r="N227" s="379" t="n"><v>216.65</v></c><c r="O227" s="380"><f>O226</f><v /></c><c r="P227" s="381"><f>P226</f><v /></c><c r="Q227" s="382"><f>LEFT(P227,1)</f><v /></c><c r="R227" s="382"><f>RIGHT(P227,6)</f><v /></c><c r="S227" s="382"><f>+(Q227*60+R227)/(60*60)</f><v /></c><c r="T227" s="383"><f>+O227/S227</f><v /></c><c r="U227" s="384"><f>+(((N227-M227-O227)/O227)*100)</f><v /></c><c r="V227" s="317"><f>V226</f><v /></c><c r="W227" s="385"><f>W226</f><v /></c><c r="X227" s="385"><f>X226</f><v /></c><c r="Y227" s="379" t="n"><v>228.55</v></c><c r="Z227" s="379" t="n"><v>238.5</v></c><c r="AA227" s="386"><f>AA226</f><v /></c><c r="AB227" s="387"><f>AB226</f><v /></c><c r="AC227" s="382"><f>LEFT(AB227,2)</f><v /></c><c r="AD227" s="382"><f>RIGHT(AB227,6)</f><v /></c><c r="AE227" s="382"><f>+(AC227*60+AD227)/(60*60)</f><v /></c><c r="AF227" s="383"><f>+AA227/AE227</f><v /></c><c r="AG227" s="321"><f>+(((Z227-Y227-AA227)/AA227)*100)</f><v /></c><c r="AH227" s="317"><f>AH226</f><v /></c><c r="AI227" s="385"><f>AI226</f><v /></c><c r="AJ227" s="385"><f>AJ226</f><v /></c><c r="AK227" s="379"><f>Z227</f><v /></c><c r="AL227" s="379" t="n"><v>243.54</v></c><c r="AM227" s="388"><f>AM226</f><v /></c><c r="AN227" s="381"><f>AN226</f><v /></c><c r="AO227" s="382"><f>LEFT(AN227,2)</f><v /></c><c r="AP227" s="382"><f>RIGHT(AN227,6)</f><v /></c><c r="AQ227" s="382"><f>+(AO227*60+AP227)/(60*60)</f><v /></c><c r="AR227" s="383"><f>+AM227/AQ227</f><v /></c><c r="AS227" s="321"><f>+(((AL227-AK227-AM227)/AM227)*100)</f><v /></c><c r="AT227" s="389"><f>IF(I227&gt;=1,"NO CONFORME",IF(BK227="SIGDIFERENTES",BC227,BL227))</f><v /></c><c r="AU227" s="372"><f>B227=C227</f><v /></c><c r="AV227" s="372"><f>N227&lt;Y227</f><v /></c><c r="AW227" s="372"><f>Z227&lt;=AK227</f><v /></c><c r="AX227" s="372"><f>IF(I227&gt;=1,"Qcorrecto",IF(AND(AY227="aceptable",AZ227="aceptable",BA227="aceptable"),"Qcorrecto","Qincorrecto"))</f><v /></c><c r="AY227" s="390"><f>IF(AR227&lt;$AH$6,"error",IF(AR227&gt;$AH$6*1.1,"error","aceptable"))</f><v /></c><c r="AZ227" s="390"><f>IF(AF227&lt;$V$6,"error",IF(AF227&gt;$V$6*1.1,"error","aceptable"))</f><v /></c><c r="BA227" s="390"><f>IF(T227&lt;$J$6*0.9,"error",IF(T227&gt;$J$6,"error","aceptable"))</f><v /></c><c r="BB227" s="25"><f>(IF(ABS(U227)&lt;1.05,"CONFORME",IF(ABS(AG227)&lt;1.05,"CONFORME",IF(ABS(AS227)&lt;2.55,"CONFORME","NO CONFORME"))))</f><v /></c><c r="BC227" s="5"><f>(IF(ABS(U227)&gt;2.05,"NO CONFORME",IF(ABS(AG227)&gt;2.05,"NO CONFORME",IF(ABS(AS227)&gt;5.05,"NO CONFORME","CONFORME"))))</f><v /></c><c r="BD227" s="374"><f>SIGN(U227)</f><v /></c><c r="BE227" s="374"><f>SIGN(AG227)</f><v /></c><c r="BF227" s="374"><f>SIGN(AS227)</f><v /></c><c r="BG227" s="374"><f>CONCATENATE(BD227,BE227,BF227)</f><v /></c><c r="BH227" s="374"><f>IF(BG227="111","SI","SD")</f><v /></c><c r="BI227" s="374"><f>IF(BG227="-1-1-1","SI","SD")</f><v /></c><c r="BJ227" s="374"><f>OR(BH227="SI",BI227="SI")</f><v /></c><c r="BK227" s="374"><f>IF(BJ227=FALSE,"SIGDIFERENTES","SIGIGUALES")</f><v /></c><c r="BL227" s="390"><f>IF(BC227="NO CONFORME","NO CONFORME",IF(BB227="CONFORME","CONFORME","NO CONFORME"))</f><v /></c></row><row r="228" ht="15" customHeight="1" thickBot="1"><c r="A228" s="443" t="n"><v>220</v></c><c r="B228" s="375"><f>B227</f><v /></c><c r="C228" s="375"><f>C227</f><v /></c><c r="D228" s="376"><f>D227</f><v /></c><c r="E228" s="377"><f>E227</f><v /></c><c r="F228" s="13" t="n" /><c r="G228" s="300" t="inlineStr"><is><t>PA25516928</t></is></c><c r="H228" s="313"><f>H227</f><v /></c><c r="I228" s="38"><f>I227</f><v /></c><c r="J228" s="314"><f>J227</f><v /></c><c r="K228" s="378"><f>K227</f><v /></c><c r="L228" s="378"><f>L227</f><v /></c><c r="M228" s="379" t="n"><v>113.8</v></c><c r="N228" s="379" t="n"><v>214.49</v></c><c r="O228" s="380"><f>O227</f><v /></c><c r="P228" s="381"><f>P227</f><v /></c><c r="Q228" s="382"><f>LEFT(P228,1)</f><v /></c><c r="R228" s="382"><f>RIGHT(P228,6)</f><v /></c><c r="S228" s="382"><f>+(Q228*60+R228)/(60*60)</f><v /></c><c r="T228" s="383"><f>+O228/S228</f><v /></c><c r="U228" s="384"><f>+(((N228-M228-O228)/O228)*100)</f><v /></c><c r="V228" s="317"><f>V227</f><v /></c><c r="W228" s="385"><f>W227</f><v /></c><c r="X228" s="385"><f>X227</f><v /></c><c r="Y228" s="379" t="n"><v>226.5</v></c><c r="Z228" s="379" t="n"><v>236.47</v></c><c r="AA228" s="386"><f>AA227</f><v /></c><c r="AB228" s="387"><f>AB227</f><v /></c><c r="AC228" s="382"><f>LEFT(AB228,2)</f><v /></c><c r="AD228" s="382"><f>RIGHT(AB228,6)</f><v /></c><c r="AE228" s="382"><f>+(AC228*60+AD228)/(60*60)</f><v /></c><c r="AF228" s="383"><f>+AA228/AE228</f><v /></c><c r="AG228" s="321"><f>+(((Z228-Y228-AA228)/AA228)*100)</f><v /></c><c r="AH228" s="317"><f>AH227</f><v /></c><c r="AI228" s="385"><f>AI227</f><v /></c><c r="AJ228" s="385"><f>AJ227</f><v /></c><c r="AK228" s="379"><f>Z228</f><v /></c><c r="AL228" s="379" t="n"><v>241.53</v></c><c r="AM228" s="388"><f>AM227</f><v /></c><c r="AN228" s="381"><f>AN227</f><v /></c><c r="AO228" s="382"><f>LEFT(AN228,2)</f><v /></c><c r="AP228" s="382"><f>RIGHT(AN228,6)</f><v /></c><c r="AQ228" s="382"><f>+(AO228*60+AP228)/(60*60)</f><v /></c><c r="AR228" s="383"><f>+AM228/AQ228</f><v /></c><c r="AS228" s="321"><f>+(((AL228-AK228-AM228)/AM228)*100)</f><v /></c><c r="AT228" s="389"><f>IF(I228&gt;=1,"NO CONFORME",IF(BK228="SIGDIFERENTES",BC228,BL228))</f><v /></c><c r="AU228" s="372"><f>B228=C228</f><v /></c><c r="AV228" s="372"><f>N228&lt;Y228</f><v /></c><c r="AW228" s="372"><f>Z228&lt;=AK228</f><v /></c><c r="AX228" s="372"><f>IF(I228&gt;=1,"Qcorrecto",IF(AND(AY228="aceptable",AZ228="aceptable",BA228="aceptable"),"Qcorrecto","Qincorrecto"))</f><v /></c><c r="AY228" s="390"><f>IF(AR228&lt;$AH$6,"error",IF(AR228&gt;$AH$6*1.1,"error","aceptable"))</f><v /></c><c r="AZ228" s="390"><f>IF(AF228&lt;$V$6,"error",IF(AF228&gt;$V$6*1.1,"error","aceptable"))</f><v /></c><c r="BA228" s="390"><f>IF(T228&lt;$J$6*0.9,"error",IF(T228&gt;$J$6,"error","aceptable"))</f><v /></c><c r="BB228" s="25"><f>(IF(ABS(U228)&lt;1.05,"CONFORME",IF(ABS(AG228)&lt;1.05,"CONFORME",IF(ABS(AS228)&lt;2.55,"CONFORME","NO CONFORME"))))</f><v /></c><c r="BC228" s="5"><f>(IF(ABS(U228)&gt;2.05,"NO CONFORME",IF(ABS(AG228)&gt;2.05,"NO CONFORME",IF(ABS(AS228)&gt;5.05,"NO CONFORME","CONFORME"))))</f><v /></c><c r="BD228" s="374"><f>SIGN(U228)</f><v /></c><c r="BE228" s="374"><f>SIGN(AG228)</f><v /></c><c r="BF228" s="374"><f>SIGN(AS228)</f><v /></c><c r="BG228" s="374"><f>CONCATENATE(BD228,BE228,BF228)</f><v /></c><c r="BH228" s="374"><f>IF(BG228="111","SI","SD")</f><v /></c><c r="BI228" s="374"><f>IF(BG228="-1-1-1","SI","SD")</f><v /></c><c r="BJ228" s="374"><f>OR(BH228="SI",BI228="SI")</f><v /></c><c r="BK228" s="374"><f>IF(BJ228=FALSE,"SIGDIFERENTES","SIGIGUALES")</f><v /></c><c r="BL228" s="390"><f>IF(BC228="NO CONFORME","NO CONFORME",IF(BB228="CONFORME","CONFORME","NO CONFORME"))</f><v /></c></row><row r="229" ht="15" customHeight="1" thickBot="1"><c r="A229" s="443" t="n"><v>221</v></c><c r="B229" s="375"><f>B228</f><v /></c><c r="C229" s="375"><f>C228</f><v /></c><c r="D229" s="376"><f>D228</f><v /></c><c r="E229" s="377"><f>E228</f><v /></c><c r="F229" s="13" t="n" /><c r="G229" s="300" t="inlineStr"><is><t>PA25516929</t></is></c><c r="H229" s="313"><f>H228</f><v /></c><c r="I229" s="38"><f>I228</f><v /></c><c r="J229" s="314"><f>J228</f><v /></c><c r="K229" s="378"><f>K228</f><v /></c><c r="L229" s="378"><f>L228</f><v /></c><c r="M229" s="379" t="n"><v>114.14</v></c><c r="N229" s="379" t="n"><v>214.3</v></c><c r="O229" s="380"><f>O228</f><v /></c><c r="P229" s="381"><f>P228</f><v /></c><c r="Q229" s="382"><f>LEFT(P229,1)</f><v /></c><c r="R229" s="382"><f>RIGHT(P229,6)</f><v /></c><c r="S229" s="382"><f>+(Q229*60+R229)/(60*60)</f><v /></c><c r="T229" s="383"><f>+O229/S229</f><v /></c><c r="U229" s="384"><f>+(((N229-M229-O229)/O229)*100)</f><v /></c><c r="V229" s="317"><f>V228</f><v /></c><c r="W229" s="385"><f>W228</f><v /></c><c r="X229" s="385"><f>X228</f><v /></c><c r="Y229" s="379" t="n"><v>226.18</v></c><c r="Z229" s="379" t="n"><v>236.1</v></c><c r="AA229" s="386"><f>AA228</f><v /></c><c r="AB229" s="387"><f>AB228</f><v /></c><c r="AC229" s="382"><f>LEFT(AB229,2)</f><v /></c><c r="AD229" s="382"><f>RIGHT(AB229,6)</f><v /></c><c r="AE229" s="382"><f>+(AC229*60+AD229)/(60*60)</f><v /></c><c r="AF229" s="383"><f>+AA229/AE229</f><v /></c><c r="AG229" s="321"><f>+(((Z229-Y229-AA229)/AA229)*100)</f><v /></c><c r="AH229" s="317"><f>AH228</f><v /></c><c r="AI229" s="385"><f>AI228</f><v /></c><c r="AJ229" s="385"><f>AJ228</f><v /></c><c r="AK229" s="379"><f>Z229</f><v /></c><c r="AL229" s="379" t="n"><v>241.07</v></c><c r="AM229" s="388"><f>AM228</f><v /></c><c r="AN229" s="381"><f>AN228</f><v /></c><c r="AO229" s="382"><f>LEFT(AN229,2)</f><v /></c><c r="AP229" s="382"><f>RIGHT(AN229,6)</f><v /></c><c r="AQ229" s="382"><f>+(AO229*60+AP229)/(60*60)</f><v /></c><c r="AR229" s="383"><f>+AM229/AQ229</f><v /></c><c r="AS229" s="321"><f>+(((AL229-AK229-AM229)/AM229)*100)</f><v /></c><c r="AT229" s="389"><f>IF(I229&gt;=1,"NO CONFORME",IF(BK229="SIGDIFERENTES",BC229,BL229))</f><v /></c><c r="AU229" s="372"><f>B229=C229</f><v /></c><c r="AV229" s="372"><f>N229&lt;Y229</f><v /></c><c r="AW229" s="372"><f>Z229&lt;=AK229</f><v /></c><c r="AX229" s="372"><f>IF(I229&gt;=1,"Qcorrecto",IF(AND(AY229="aceptable",AZ229="aceptable",BA229="aceptable"),"Qcorrecto","Qincorrecto"))</f><v /></c><c r="AY229" s="390"><f>IF(AR229&lt;$AH$6,"error",IF(AR229&gt;$AH$6*1.1,"error","aceptable"))</f><v /></c><c r="AZ229" s="390"><f>IF(AF229&lt;$V$6,"error",IF(AF229&gt;$V$6*1.1,"error","aceptable"))</f><v /></c><c r="BA229" s="390"><f>IF(T229&lt;$J$6*0.9,"error",IF(T229&gt;$J$6,"error","aceptable"))</f><v /></c><c r="BB229" s="25"><f>(IF(ABS(U229)&lt;1.05,"CONFORME",IF(ABS(AG229)&lt;1.05,"CONFORME",IF(ABS(AS229)&lt;2.55,"CONFORME","NO CONFORME"))))</f><v /></c><c r="BC229" s="5"><f>(IF(ABS(U229)&gt;2.05,"NO CONFORME",IF(ABS(AG229)&gt;2.05,"NO CONFORME",IF(ABS(AS229)&gt;5.05,"NO CONFORME","CONFORME"))))</f><v /></c><c r="BD229" s="374"><f>SIGN(U229)</f><v /></c><c r="BE229" s="374"><f>SIGN(AG229)</f><v /></c><c r="BF229" s="374"><f>SIGN(AS229)</f><v /></c><c r="BG229" s="374"><f>CONCATENATE(BD229,BE229,BF229)</f><v /></c><c r="BH229" s="374"><f>IF(BG229="111","SI","SD")</f><v /></c><c r="BI229" s="374"><f>IF(BG229="-1-1-1","SI","SD")</f><v /></c><c r="BJ229" s="374"><f>OR(BH229="SI",BI229="SI")</f><v /></c><c r="BK229" s="374"><f>IF(BJ229=FALSE,"SIGDIFERENTES","SIGIGUALES")</f><v /></c><c r="BL229" s="390"><f>IF(BC229="NO CONFORME","NO CONFORME",IF(BB229="CONFORME","CONFORME","NO CONFORME"))</f><v /></c></row><row r="230" ht="15" customHeight="1" thickBot="1"><c r="A230" s="443" t="n"><v>222</v></c><c r="B230" s="375"><f>B229</f><v /></c><c r="C230" s="375"><f>C229</f><v /></c><c r="D230" s="376"><f>D229</f><v /></c><c r="E230" s="377"><f>E229</f><v /></c><c r="F230" s="13" t="n" /><c r="G230" s="337" t="inlineStr"><is><t>PA25516930</t></is></c><c r="H230" s="326"><f>H229</f><v /></c><c r="I230" s="98"><f>I229</f><v /></c><c r="J230" s="327"><f>J229</f><v /></c><c r="K230" s="396"><f>K229</f><v /></c><c r="L230" s="396"><f>L229</f><v /></c><c r="M230" s="397" t="n"><v>114.32</v></c><c r="N230" s="397" t="n"><v>215.16</v></c><c r="O230" s="398"><f>O229</f><v /></c><c r="P230" s="399"><f>P229</f><v /></c><c r="Q230" s="400"><f>LEFT(P230,1)</f><v /></c><c r="R230" s="400"><f>RIGHT(P230,6)</f><v /></c><c r="S230" s="400"><f>+(Q230*60+R230)/(60*60)</f><v /></c><c r="T230" s="401"><f>+O230/S230</f><v /></c><c r="U230" s="402"><f>+(((N230-M230-O230)/O230)*100)</f><v /></c><c r="V230" s="329"><f>V229</f><v /></c><c r="W230" s="403"><f>W229</f><v /></c><c r="X230" s="403"><f>X229</f><v /></c><c r="Y230" s="397" t="n"><v>227.17</v></c><c r="Z230" s="397" t="n"><v>237.19</v></c><c r="AA230" s="404"><f>AA229</f><v /></c><c r="AB230" s="405"><f>AB229</f><v /></c><c r="AC230" s="400"><f>LEFT(AB230,2)</f><v /></c><c r="AD230" s="400"><f>RIGHT(AB230,6)</f><v /></c><c r="AE230" s="400"><f>+(AC230*60+AD230)/(60*60)</f><v /></c><c r="AF230" s="401"><f>+AA230/AE230</f><v /></c><c r="AG230" s="406"><f>+(((Z230-Y230-AA230)/AA230)*100)</f><v /></c><c r="AH230" s="329"><f>AH229</f><v /></c><c r="AI230" s="403"><f>AI229</f><v /></c><c r="AJ230" s="403"><f>AJ229</f><v /></c><c r="AK230" s="397"><f>Z230</f><v /></c><c r="AL230" s="397" t="n"><v>242.29</v></c><c r="AM230" s="407"><f>AM229</f><v /></c><c r="AN230" s="399"><f>AN229</f><v /></c><c r="AO230" s="400"><f>LEFT(AN230,2)</f><v /></c><c r="AP230" s="400"><f>RIGHT(AN230,6)</f><v /></c><c r="AQ230" s="400"><f>+(AO230*60+AP230)/(60*60)</f><v /></c><c r="AR230" s="401"><f>+AM230/AQ230</f><v /></c><c r="AS230" s="406"><f>+(((AL230-AK230-AM230)/AM230)*100)</f><v /></c><c r="AT230" s="408"><f>IF(I230&gt;=1,"NO CONFORME",IF(BK230="SIGDIFERENTES",BC230,BL230))</f><v /></c><c r="AU230" s="372"><f>B230=C230</f><v /></c><c r="AV230" s="372"><f>N230&lt;Y230</f><v /></c><c r="AW230" s="372"><f>Z230&lt;=AK230</f><v /></c><c r="AX230" s="372"><f>IF(I230&gt;=1,"Qcorrecto",IF(AND(AY230="aceptable",AZ230="aceptable",BA230="aceptable"),"Qcorrecto","Qincorrecto"))</f><v /></c><c r="AY230" s="390"><f>IF(AR230&lt;$AH$6,"error",IF(AR230&gt;$AH$6*1.1,"error","aceptable"))</f><v /></c><c r="AZ230" s="390"><f>IF(AF230&lt;$V$6,"error",IF(AF230&gt;$V$6*1.1,"error","aceptable"))</f><v /></c><c r="BA230" s="390"><f>IF(T230&lt;$J$6*0.9,"error",IF(T230&gt;$J$6,"error","aceptable"))</f><v /></c><c r="BB230" s="25"><f>(IF(ABS(U230)&lt;1.05,"CONFORME",IF(ABS(AG230)&lt;1.05,"CONFORME",IF(ABS(AS230)&lt;2.55,"CONFORME","NO CONFORME"))))</f><v /></c><c r="BC230" s="5"><f>(IF(ABS(U230)&gt;2.05,"NO CONFORME",IF(ABS(AG230)&gt;2.05,"NO CONFORME",IF(ABS(AS230)&gt;5.05,"NO CONFORME","CONFORME"))))</f><v /></c><c r="BD230" s="374"><f>SIGN(U230)</f><v /></c><c r="BE230" s="374"><f>SIGN(AG230)</f><v /></c><c r="BF230" s="374"><f>SIGN(AS230)</f><v /></c><c r="BG230" s="374"><f>CONCATENATE(BD230,BE230,BF230)</f><v /></c><c r="BH230" s="374"><f>IF(BG230="111","SI","SD")</f><v /></c><c r="BI230" s="374"><f>IF(BG230="-1-1-1","SI","SD")</f><v /></c><c r="BJ230" s="374"><f>OR(BH230="SI",BI230="SI")</f><v /></c><c r="BK230" s="374"><f>IF(BJ230=FALSE,"SIGDIFERENTES","SIGIGUALES")</f><v /></c><c r="BL230" s="390"><f>IF(BC230="NO CONFORME","NO CONFORME",IF(BB230="CONFORME","CONFORME","NO CONFORME"))</f><v /></c></row><row r="231" ht="14.4" customHeight="1" thickBot="1"><c r="A231" s="351" t="n"><v>223</v></c><c r="B231" s="352"><f>B230</f><v /></c><c r="C231" s="352"><f>C230</f><v /></c><c r="D231" s="353"><f>D230</f><v /></c><c r="E231" s="354"><f>E230</f><v /></c><c r="F231" s="58" t="n" /><c r="G231" s="300" t="inlineStr"><is><t>PA25516931</t></is></c><c r="H231" s="356"><f>H230</f><v /></c><c r="I231" s="232"><f>I230</f><v /></c><c r="J231" s="357" t="n"><v>21</v></c><c r="K231" s="358" t="n"><v>8.314</v></c><c r="L231" s="358" t="n"><v>0.553</v></c><c r="M231" s="359" t="n"><v>167.59</v></c><c r="N231" s="359" t="n"><v>267.8</v></c><c r="O231" s="360" t="n"><v>100.5</v></c><c r="P231" s="361" t="inlineStr"><is><t>2,30,400</t></is></c><c r="Q231" s="362"><f>LEFT(P231,1)</f><v /></c><c r="R231" s="362"><f>RIGHT(P231,6)</f><v /></c><c r="S231" s="362"><f>+(Q231*60+R231)/(60*60)</f><v /></c><c r="T231" s="363"><f>+O231/S231</f><v /></c><c r="U231" s="364"><f>+(((N231-M231-O231)/O231)*100)</f><v /></c><c r="V231" s="365" t="n"><v>21.1</v></c><c r="W231" s="358" t="n"><v>1.403</v></c><c r="X231" s="358" t="n"><v>1.405</v></c><c r="Y231" s="359" t="n"><v>277.43</v></c><c r="Z231" s="359" t="n"><v>287.48</v></c><c r="AA231" s="367" t="n"><v>10.032</v></c><c r="AB231" s="368" t="inlineStr"><is><t>22,47,990</t></is></c><c r="AC231" s="362"><f>LEFT(AB231,2)</f><v /></c><c r="AD231" s="362"><f>RIGHT(AB231,6)</f><v /></c><c r="AE231" s="362"><f>+(AC231*60+AD231)/(60*60)</f><v /></c><c r="AF231" s="363"><f>+AA231/AE231</f><v /></c><c r="AG231" s="369"><f>+(((Z231-Y231-AA231)/AA231)*100)</f><v /></c><c r="AH231" s="365" t="n"><v>21</v></c><c r="AI231" s="358" t="n"><v>1.399</v></c><c r="AJ231" s="358" t="n"><v>1.401</v></c><c r="AK231" s="359"><f>Z231</f><v /></c><c r="AL231" s="359" t="n"><v>292.54</v></c><c r="AM231" s="370" t="n"><v>5.032</v></c><c r="AN231" s="361" t="inlineStr"><is><t>18,06,970</t></is></c><c r="AO231" s="362"><f>LEFT(AN231,2)</f><v /></c><c r="AP231" s="362"><f>RIGHT(AN231,6)</f><v /></c><c r="AQ231" s="362"><f>+(AO231*60+AP231)/(60*60)</f><v /></c><c r="AR231" s="363"><f>+AM231/AQ231</f><v /></c><c r="AS231" s="369"><f>+(((AL231-AK231-AM231)/AM231)*100)</f><v /></c><c r="AT231" s="371"><f>IF(I231&gt;=1,"NO CONFORME",IF(BK231="SIGDIFERENTES",BC231,BL231))</f><v /></c><c r="AU231" s="372"><f>B231=C231</f><v /></c><c r="AV231" s="372"><f>N231&lt;Y231</f><v /></c><c r="AW231" s="372"><f>Z231&lt;=AK231</f><v /></c><c r="AX231" s="372"><f>IF(I231&gt;=1,"Qcorrecto",IF(AND(AY231="aceptable",AZ231="aceptable",BA231="aceptable"),"Qcorrecto","Qincorrecto"))</f><v /></c><c r="AY231" s="373"><f>IF(AR231&lt;$AH$6,"error",IF(AR231&gt;$AH$6*1.1,"error","aceptable"))</f><v /></c><c r="AZ231" s="373"><f>IF(AF231&lt;$V$6,"error",IF(AF231&gt;$V$6*1.1,"error","aceptable"))</f><v /></c><c r="BA231" s="373"><f>IF(T231&lt;$J$6*0.9,"error",IF(T231&gt;$J$6,"error","aceptable"))</f><v /></c><c r="BB231" s="25"><f>(IF(ABS(U231)&lt;1.05,"CONFORME",IF(ABS(AG231)&lt;1.05,"CONFORME",IF(ABS(AS231)&lt;2.55,"CONFORME","NO CONFORME"))))</f><v /></c><c r="BC231" s="5"><f>(IF(ABS(U231)&gt;2.05,"NO CONFORME",IF(ABS(AG231)&gt;2.05,"NO CONFORME",IF(ABS(AS231)&gt;5.05,"NO CONFORME","CONFORME"))))</f><v /></c><c r="BD231" s="374"><f>SIGN(U231)</f><v /></c><c r="BE231" s="374"><f>SIGN(AG231)</f><v /></c><c r="BF231" s="374"><f>SIGN(AS231)</f><v /></c><c r="BG231" s="374"><f>CONCATENATE(BD231,BE231,BF231)</f><v /></c><c r="BH231" s="374"><f>IF(BG231="111","SI","SD")</f><v /></c><c r="BI231" s="374"><f>IF(BG231="-1-1-1","SI","SD")</f><v /></c><c r="BJ231" s="374"><f>OR(BH231="SI",BI231="SI")</f><v /></c><c r="BK231" s="374"><f>IF(BJ231=FALSE,"SIGDIFERENTES","SIGIGUALES")</f><v /></c><c r="BL231" s="373"><f>IF(BC231="NO CONFORME","NO CONFORME",IF(BB231="CONFORME","CONFORME","NO CONFORME"))</f><v /></c></row><row r="232" ht="14.4" customHeight="1" thickBot="1"><c r="A232" s="443" t="n"><v>224</v></c><c r="B232" s="375"><f>B231</f><v /></c><c r="C232" s="375"><f>C231</f><v /></c><c r="D232" s="376"><f>D231</f><v /></c><c r="E232" s="377"><f>E231</f><v /></c><c r="F232" s="13" t="n" /><c r="G232" s="312" t="inlineStr"><is><t>PA25516932</t></is></c><c r="H232" s="313"><f>H231</f><v /></c><c r="I232" s="38"><f>I231</f><v /></c><c r="J232" s="314"><f>J231</f><v /></c><c r="K232" s="378"><f>K231</f><v /></c><c r="L232" s="378"><f>L231</f><v /></c><c r="M232" s="379" t="n"><v>167.38</v></c><c r="N232" s="379" t="n"><v>267.42</v></c><c r="O232" s="380"><f>O231</f><v /></c><c r="P232" s="381"><f>P231</f><v /></c><c r="Q232" s="382"><f>LEFT(P232,1)</f><v /></c><c r="R232" s="382"><f>RIGHT(P232,6)</f><v /></c><c r="S232" s="382"><f>+(Q232*60+R232)/(60*60)</f><v /></c><c r="T232" s="383"><f>+O232/S232</f><v /></c><c r="U232" s="384"><f>+(((N232-M232-O232)/O232)*100)</f><v /></c><c r="V232" s="317"><f>V231</f><v /></c><c r="W232" s="378"><f>W231</f><v /></c><c r="X232" s="378"><f>X231</f><v /></c><c r="Y232" s="379" t="n"><v>277</v></c><c r="Z232" s="379" t="n"><v>287.04</v></c><c r="AA232" s="386"><f>AA231</f><v /></c><c r="AB232" s="387"><f>AB231</f><v /></c><c r="AC232" s="382"><f>LEFT(AB232,2)</f><v /></c><c r="AD232" s="382"><f>RIGHT(AB232,6)</f><v /></c><c r="AE232" s="382"><f>+(AC232*60+AD232)/(60*60)</f><v /></c><c r="AF232" s="383"><f>+AA232/AE232</f><v /></c><c r="AG232" s="321"><f>+(((Z232-Y232-AA232)/AA232)*100)</f><v /></c><c r="AH232" s="317"><f>AH231</f><v /></c><c r="AI232" s="378"><f>AI231</f><v /></c><c r="AJ232" s="378"><f>AJ231</f><v /></c><c r="AK232" s="379"><f>Z232</f><v /></c><c r="AL232" s="379" t="n"><v>292.14</v></c><c r="AM232" s="388"><f>AM231</f><v /></c><c r="AN232" s="381"><f>AN231</f><v /></c><c r="AO232" s="382"><f>LEFT(AN232,2)</f><v /></c><c r="AP232" s="382"><f>RIGHT(AN232,6)</f><v /></c><c r="AQ232" s="382"><f>+(AO232*60+AP232)/(60*60)</f><v /></c><c r="AR232" s="383"><f>+AM232/AQ232</f><v /></c><c r="AS232" s="321"><f>+(((AL232-AK232-AM232)/AM232)*100)</f><v /></c><c r="AT232" s="389"><f>IF(I232&gt;=1,"NO CONFORME",IF(BK232="SIGDIFERENTES",BC232,BL232))</f><v /></c><c r="AU232" s="372"><f>B232=C232</f><v /></c><c r="AV232" s="372"><f>N232&lt;Y232</f><v /></c><c r="AW232" s="372"><f>Z232&lt;=AK232</f><v /></c><c r="AX232" s="372"><f>IF(I232&gt;=1,"Qcorrecto",IF(AND(AY232="aceptable",AZ232="aceptable",BA232="aceptable"),"Qcorrecto","Qincorrecto"))</f><v /></c><c r="AY232" s="390"><f>IF(AR232&lt;$AH$6,"error",IF(AR232&gt;$AH$6*1.1,"error","aceptable"))</f><v /></c><c r="AZ232" s="390"><f>IF(AF232&lt;$V$6,"error",IF(AF232&gt;$V$6*1.1,"error","aceptable"))</f><v /></c><c r="BA232" s="390"><f>IF(T232&lt;$J$6*0.9,"error",IF(T232&gt;$J$6,"error","aceptable"))</f><v /></c><c r="BB232" s="25"><f>(IF(ABS(U232)&lt;1.05,"CONFORME",IF(ABS(AG232)&lt;1.05,"CONFORME",IF(ABS(AS232)&lt;2.55,"CONFORME","NO CONFORME"))))</f><v /></c><c r="BC232" s="5"><f>(IF(ABS(U232)&gt;2.05,"NO CONFORME",IF(ABS(AG232)&gt;2.05,"NO CONFORME",IF(ABS(AS232)&gt;5.05,"NO CONFORME","CONFORME"))))</f><v /></c><c r="BD232" s="374"><f>SIGN(U232)</f><v /></c><c r="BE232" s="374"><f>SIGN(AG232)</f><v /></c><c r="BF232" s="374"><f>SIGN(AS232)</f><v /></c><c r="BG232" s="374"><f>CONCATENATE(BD232,BE232,BF232)</f><v /></c><c r="BH232" s="374"><f>IF(BG232="111","SI","SD")</f><v /></c><c r="BI232" s="374"><f>IF(BG232="-1-1-1","SI","SD")</f><v /></c><c r="BJ232" s="374"><f>OR(BH232="SI",BI232="SI")</f><v /></c><c r="BK232" s="374"><f>IF(BJ232=FALSE,"SIGDIFERENTES","SIGIGUALES")</f><v /></c><c r="BL232" s="390"><f>IF(BC232="NO CONFORME","NO CONFORME",IF(BB232="CONFORME","CONFORME","NO CONFORME"))</f><v /></c></row><row r="233" ht="14.4" customHeight="1" thickBot="1"><c r="A233" s="443" t="n"><v>225</v></c><c r="B233" s="375"><f>B232</f><v /></c><c r="C233" s="375"><f>C232</f><v /></c><c r="D233" s="376"><f>D232</f><v /></c><c r="E233" s="377"><f>E232</f><v /></c><c r="F233" s="13" t="n" /><c r="G233" s="312" t="inlineStr"><is><t>PA25516933</t></is></c><c r="H233" s="313"><f>H232</f><v /></c><c r="I233" s="38"><f>I232</f><v /></c><c r="J233" s="314"><f>J232</f><v /></c><c r="K233" s="378"><f>K232</f><v /></c><c r="L233" s="378"><f>L232</f><v /></c><c r="M233" s="379" t="n"><v>167.65</v></c><c r="N233" s="379" t="n"><v>268.2</v></c><c r="O233" s="380"><f>O232</f><v /></c><c r="P233" s="381"><f>P232</f><v /></c><c r="Q233" s="382"><f>LEFT(P233,1)</f><v /></c><c r="R233" s="382"><f>RIGHT(P233,6)</f><v /></c><c r="S233" s="382"><f>+(Q233*60+R233)/(60*60)</f><v /></c><c r="T233" s="383"><f>+O233/S233</f><v /></c><c r="U233" s="384"><f>+(((N233-M233-O233)/O233)*100)</f><v /></c><c r="V233" s="317"><f>V232</f><v /></c><c r="W233" s="378"><f>W232</f><v /></c><c r="X233" s="378"><f>X232</f><v /></c><c r="Y233" s="379" t="n"><v>277.82</v></c><c r="Z233" s="379" t="n"><v>287.9</v></c><c r="AA233" s="386"><f>AA232</f><v /></c><c r="AB233" s="387"><f>AB232</f><v /></c><c r="AC233" s="382"><f>LEFT(AB233,2)</f><v /></c><c r="AD233" s="382"><f>RIGHT(AB233,6)</f><v /></c><c r="AE233" s="382"><f>+(AC233*60+AD233)/(60*60)</f><v /></c><c r="AF233" s="383"><f>+AA233/AE233</f><v /></c><c r="AG233" s="321"><f>+(((Z233-Y233-AA233)/AA233)*100)</f><v /></c><c r="AH233" s="317"><f>AH232</f><v /></c><c r="AI233" s="378"><f>AI232</f><v /></c><c r="AJ233" s="378"><f>AJ232</f><v /></c><c r="AK233" s="379"><f>Z233</f><v /></c><c r="AL233" s="379" t="n"><v>293</v></c><c r="AM233" s="388"><f>AM232</f><v /></c><c r="AN233" s="381"><f>AN232</f><v /></c><c r="AO233" s="382"><f>LEFT(AN233,2)</f><v /></c><c r="AP233" s="382"><f>RIGHT(AN233,6)</f><v /></c><c r="AQ233" s="382"><f>+(AO233*60+AP233)/(60*60)</f><v /></c><c r="AR233" s="383"><f>+AM233/AQ233</f><v /></c><c r="AS233" s="321"><f>+(((AL233-AK233-AM233)/AM233)*100)</f><v /></c><c r="AT233" s="389"><f>IF(I233&gt;=1,"NO CONFORME",IF(BK233="SIGDIFERENTES",BC233,BL233))</f><v /></c><c r="AU233" s="372"><f>B233=C233</f><v /></c><c r="AV233" s="372"><f>N233&lt;Y233</f><v /></c><c r="AW233" s="372"><f>Z233&lt;=AK233</f><v /></c><c r="AX233" s="372"><f>IF(I233&gt;=1,"Qcorrecto",IF(AND(AY233="aceptable",AZ233="aceptable",BA233="aceptable"),"Qcorrecto","Qincorrecto"))</f><v /></c><c r="AY233" s="390"><f>IF(AR233&lt;$AH$6,"error",IF(AR233&gt;$AH$6*1.1,"error","aceptable"))</f><v /></c><c r="AZ233" s="390"><f>IF(AF233&lt;$V$6,"error",IF(AF233&gt;$V$6*1.1,"error","aceptable"))</f><v /></c><c r="BA233" s="390"><f>IF(T233&lt;$J$6*0.9,"error",IF(T233&gt;$J$6,"error","aceptable"))</f><v /></c><c r="BB233" s="25"><f>(IF(ABS(U233)&lt;1.05,"CONFORME",IF(ABS(AG233)&lt;1.05,"CONFORME",IF(ABS(AS233)&lt;2.55,"CONFORME","NO CONFORME"))))</f><v /></c><c r="BC233" s="5"><f>(IF(ABS(U233)&gt;2.05,"NO CONFORME",IF(ABS(AG233)&gt;2.05,"NO CONFORME",IF(ABS(AS233)&gt;5.05,"NO CONFORME","CONFORME"))))</f><v /></c><c r="BD233" s="374"><f>SIGN(U233)</f><v /></c><c r="BE233" s="374"><f>SIGN(AG233)</f><v /></c><c r="BF233" s="374"><f>SIGN(AS233)</f><v /></c><c r="BG233" s="374"><f>CONCATENATE(BD233,BE233,BF233)</f><v /></c><c r="BH233" s="374"><f>IF(BG233="111","SI","SD")</f><v /></c><c r="BI233" s="374"><f>IF(BG233="-1-1-1","SI","SD")</f><v /></c><c r="BJ233" s="374"><f>OR(BH233="SI",BI233="SI")</f><v /></c><c r="BK233" s="374"><f>IF(BJ233=FALSE,"SIGDIFERENTES","SIGIGUALES")</f><v /></c><c r="BL233" s="390"><f>IF(BC233="NO CONFORME","NO CONFORME",IF(BB233="CONFORME","CONFORME","NO CONFORME"))</f><v /></c></row><row r="234" ht="14.4" customHeight="1" thickBot="1"><c r="A234" s="443" t="n"><v>226</v></c><c r="B234" s="375"><f>B233</f><v /></c><c r="C234" s="375"><f>C233</f><v /></c><c r="D234" s="376"><f>D233</f><v /></c><c r="E234" s="377"><f>E233</f><v /></c><c r="F234" s="13" t="n" /><c r="G234" s="334" t="inlineStr"><is><t>PA25516934</t></is></c><c r="H234" s="313"><f>H233</f><v /></c><c r="I234" s="38" t="n"><v>1</v></c><c r="J234" s="314"><f>J233</f><v /></c><c r="K234" s="378"><f>K233</f><v /></c><c r="L234" s="378"><f>L233</f><v /></c><c r="M234" s="379" t="n" /><c r="N234" s="379" t="n" /><c r="O234" s="380"><f>O233</f><v /></c><c r="P234" s="381"><f>P233</f><v /></c><c r="Q234" s="382"><f>LEFT(P234,1)</f><v /></c><c r="R234" s="382"><f>RIGHT(P234,6)</f><v /></c><c r="S234" s="382"><f>+(Q234*60+R234)/(60*60)</f><v /></c><c r="T234" s="383"><f>+O234/S234</f><v /></c><c r="U234" s="384"><f>+(((N234-M234-O234)/O234)*100)</f><v /></c><c r="V234" s="317"><f>V233</f><v /></c><c r="W234" s="378"><f>W233</f><v /></c><c r="X234" s="378"><f>X233</f><v /></c><c r="Y234" s="379" t="n" /><c r="Z234" s="379" t="n" /><c r="AA234" s="386"><f>AA233</f><v /></c><c r="AB234" s="387"><f>AB233</f><v /></c><c r="AC234" s="382"><f>LEFT(AB234,2)</f><v /></c><c r="AD234" s="382"><f>RIGHT(AB234,6)</f><v /></c><c r="AE234" s="382"><f>+(AC234*60+AD234)/(60*60)</f><v /></c><c r="AF234" s="383"><f>+AA234/AE234</f><v /></c><c r="AG234" s="321"><f>+(((Z234-Y234-AA234)/AA234)*100)</f><v /></c><c r="AH234" s="317"><f>AH233</f><v /></c><c r="AI234" s="378"><f>AI233</f><v /></c><c r="AJ234" s="378"><f>AJ233</f><v /></c><c r="AK234" s="379"><f>Z234</f><v /></c><c r="AL234" s="379" t="n" /><c r="AM234" s="388"><f>AM233</f><v /></c><c r="AN234" s="381"><f>AN233</f><v /></c><c r="AO234" s="382"><f>LEFT(AN234,2)</f><v /></c><c r="AP234" s="382"><f>RIGHT(AN234,6)</f><v /></c><c r="AQ234" s="382"><f>+(AO234*60+AP234)/(60*60)</f><v /></c><c r="AR234" s="383"><f>+AM234/AQ234</f><v /></c><c r="AS234" s="321"><f>+(((AL234-AK234-AM234)/AM234)*100)</f><v /></c><c r="AT234" s="389"><f>IF(I234&gt;=1,"NO CONFORME",IF(BK234="SIGDIFERENTES",BC234,BL234))</f><v /></c><c r="AU234" s="372"><f>B234=C234</f><v /></c><c r="AV234" s="372"><f>N234&lt;Y234</f><v /></c><c r="AW234" s="372"><f>Z234&lt;=AK234</f><v /></c><c r="AX234" s="372"><f>IF(I234&gt;=1,"Qcorrecto",IF(AND(AY234="aceptable",AZ234="aceptable",BA234="aceptable"),"Qcorrecto","Qincorrecto"))</f><v /></c><c r="AY234" s="390"><f>IF(AR234&lt;$AH$6,"error",IF(AR234&gt;$AH$6*1.1,"error","aceptable"))</f><v /></c><c r="AZ234" s="390"><f>IF(AF234&lt;$V$6,"error",IF(AF234&gt;$V$6*1.1,"error","aceptable"))</f><v /></c><c r="BA234" s="390"><f>IF(T234&lt;$J$6*0.9,"error",IF(T234&gt;$J$6,"error","aceptable"))</f><v /></c><c r="BB234" s="25"><f>(IF(ABS(U234)&lt;1.05,"CONFORME",IF(ABS(AG234)&lt;1.05,"CONFORME",IF(ABS(AS234)&lt;2.55,"CONFORME","NO CONFORME"))))</f><v /></c><c r="BC234" s="5"><f>(IF(ABS(U234)&gt;2.05,"NO CONFORME",IF(ABS(AG234)&gt;2.05,"NO CONFORME",IF(ABS(AS234)&gt;5.05,"NO CONFORME","CONFORME"))))</f><v /></c><c r="BD234" s="374"><f>SIGN(U234)</f><v /></c><c r="BE234" s="374"><f>SIGN(AG234)</f><v /></c><c r="BF234" s="374"><f>SIGN(AS234)</f><v /></c><c r="BG234" s="374"><f>CONCATENATE(BD234,BE234,BF234)</f><v /></c><c r="BH234" s="374"><f>IF(BG234="111","SI","SD")</f><v /></c><c r="BI234" s="374"><f>IF(BG234="-1-1-1","SI","SD")</f><v /></c><c r="BJ234" s="374"><f>OR(BH234="SI",BI234="SI")</f><v /></c><c r="BK234" s="374"><f>IF(BJ234=FALSE,"SIGDIFERENTES","SIGIGUALES")</f><v /></c><c r="BL234" s="390"><f>IF(BC234="NO CONFORME","NO CONFORME",IF(BB234="CONFORME","CONFORME","NO CONFORME"))</f><v /></c></row><row r="235" ht="15" customHeight="1" thickBot="1"><c r="A235" s="445" t="n"><v>227</v></c><c r="B235" s="392"><f>B234</f><v /></c><c r="C235" s="392"><f>C234</f><v /></c><c r="D235" s="393"><f>D234</f><v /></c><c r="E235" s="394"><f>E234</f><v /></c><c r="F235" s="52" t="n" /><c r="G235" s="325" t="inlineStr"><is><t>PA25516935</t></is></c><c r="H235" s="326"><f>H234</f><v /></c><c r="I235" s="98" t="n"><v>0</v></c><c r="J235" s="327"><f>J234</f><v /></c><c r="K235" s="396"><f>K234</f><v /></c><c r="L235" s="396"><f>L234</f><v /></c><c r="M235" s="397" t="n"><v>167.28</v></c><c r="N235" s="397" t="n"><v>267.4</v></c><c r="O235" s="398"><f>O234</f><v /></c><c r="P235" s="399"><f>P234</f><v /></c><c r="Q235" s="400"><f>LEFT(P235,1)</f><v /></c><c r="R235" s="400"><f>RIGHT(P235,6)</f><v /></c><c r="S235" s="400"><f>+(Q235*60+R235)/(60*60)</f><v /></c><c r="T235" s="401"><f>+O235/S235</f><v /></c><c r="U235" s="402"><f>+(((N235-M235-O235)/O235)*100)</f><v /></c><c r="V235" s="329"><f>V234</f><v /></c><c r="W235" s="396"><f>W234</f><v /></c><c r="X235" s="396"><f>X234</f><v /></c><c r="Y235" s="397" t="n"><v>277.02</v></c><c r="Z235" s="397" t="n"><v>287.18</v></c><c r="AA235" s="404"><f>AA234</f><v /></c><c r="AB235" s="405"><f>AB234</f><v /></c><c r="AC235" s="400"><f>LEFT(AB235,2)</f><v /></c><c r="AD235" s="400"><f>RIGHT(AB235,6)</f><v /></c><c r="AE235" s="400"><f>+(AC235*60+AD235)/(60*60)</f><v /></c><c r="AF235" s="401"><f>+AA235/AE235</f><v /></c><c r="AG235" s="406"><f>+(((Z235-Y235-AA235)/AA235)*100)</f><v /></c><c r="AH235" s="329"><f>AH234</f><v /></c><c r="AI235" s="396"><f>AI234</f><v /></c><c r="AJ235" s="396"><f>AJ234</f><v /></c><c r="AK235" s="397"><f>Z235</f><v /></c><c r="AL235" s="397" t="n"><v>292.29</v></c><c r="AM235" s="407"><f>AM234</f><v /></c><c r="AN235" s="399"><f>AN234</f><v /></c><c r="AO235" s="400"><f>LEFT(AN235,2)</f><v /></c><c r="AP235" s="400"><f>RIGHT(AN235,6)</f><v /></c><c r="AQ235" s="400"><f>+(AO235*60+AP235)/(60*60)</f><v /></c><c r="AR235" s="401"><f>+AM235/AQ235</f><v /></c><c r="AS235" s="406"><f>+(((AL235-AK235-AM235)/AM235)*100)</f><v /></c><c r="AT235" s="408"><f>IF(I235&gt;=1,"NO CONFORME",IF(BK235="SIGDIFERENTES",BC235,BL235))</f><v /></c><c r="AU235" s="409"><f>B235=C235</f><v /></c><c r="AV235" s="409"><f>N235&lt;Y235</f><v /></c><c r="AW235" s="409"><f>Z235&lt;=AK235</f><v /></c><c r="AX235" s="409"><f>IF(I235&gt;=1,"Qcorrecto",IF(AND(AY235="aceptable",AZ235="aceptable",BA235="aceptable"),"Qcorrecto","Qincorrecto"))</f><v /></c><c r="AY235" s="410"><f>IF(AR235&lt;$AH$6,"error",IF(AR235&gt;$AH$6*1.1,"error","aceptable"))</f><v /></c><c r="AZ235" s="410"><f>IF(AF235&lt;$V$6,"error",IF(AF235&gt;$V$6*1.1,"error","aceptable"))</f><v /></c><c r="BA235" s="410"><f>IF(T235&lt;$J$6*0.9,"error",IF(T235&gt;$J$6,"error","aceptable"))</f><v /></c><c r="BB235" s="411"><f>(IF(ABS(U235)&lt;1.05,"CONFORME",IF(ABS(AG235)&lt;1.05,"CONFORME",IF(ABS(AS235)&lt;2.55,"CONFORME","NO CONFORME"))))</f><v /></c><c r="BC235" s="412"><f>(IF(ABS(U235)&gt;2.05,"NO CONFORME",IF(ABS(AG235)&gt;2.05,"NO CONFORME",IF(ABS(AS235)&gt;5.05,"NO CONFORME","CONFORME"))))</f><v /></c><c r="BD235" s="413"><f>SIGN(U235)</f><v /></c><c r="BE235" s="413"><f>SIGN(AG235)</f><v /></c><c r="BF235" s="413"><f>SIGN(AS235)</f><v /></c><c r="BG235" s="413"><f>CONCATENATE(BD235,BE235,BF235)</f><v /></c><c r="BH235" s="413"><f>IF(BG235="111","SI","SD")</f><v /></c><c r="BI235" s="413"><f>IF(BG235="-1-1-1","SI","SD")</f><v /></c><c r="BJ235" s="413"><f>OR(BH235="SI",BI235="SI")</f><v /></c><c r="BK235" s="413"><f>IF(BJ235=FALSE,"SIGDIFERENTES","SIGIGUALES")</f><v /></c><c r="BL235" s="410"><f>IF(BC235="NO CONFORME","NO CONFORME",IF(BB235="CONFORME","CONFORME","NO CONFORME"))</f><v /></c></row><row r="236" ht="14.4" customHeight="1" thickBot="1"><c r="A236" s="351" t="n"><v>228</v></c><c r="B236" s="352"><f>B235</f><v /></c><c r="C236" s="352"><f>C235</f><v /></c><c r="D236" s="353"><f>D235</f><v /></c><c r="E236" s="354"><f>E235</f><v /></c><c r="F236" s="58" t="n" /><c r="G236" s="300" t="inlineStr"><is><t>PA25516936</t></is></c><c r="H236" s="356"><f>H235</f><v /></c><c r="I236" s="232"><f>I235</f><v /></c><c r="J236" s="357" t="n"><v>21.1</v></c><c r="K236" s="358" t="n"><v>8.311</v></c><c r="L236" s="358" t="n"><v>0.525</v></c><c r="M236" s="359" t="n"><v>136.98</v></c><c r="N236" s="359" t="n"><v>236.76</v></c><c r="O236" s="360" t="n"><v>100.4</v></c><c r="P236" s="361" t="inlineStr"><is><t>2,30,700</t></is></c><c r="Q236" s="362"><f>LEFT(P236,1)</f><v /></c><c r="R236" s="362"><f>RIGHT(P236,6)</f><v /></c><c r="S236" s="362"><f>+(Q236*60+R236)/(60*60)</f><v /></c><c r="T236" s="363"><f>+O236/S236</f><v /></c><c r="U236" s="364"><f>+(((N236-M236-O236)/O236)*100)</f><v /></c><c r="V236" s="365" t="n"><v>21.1</v></c><c r="W236" s="358" t="n"><v>1.399</v></c><c r="X236" s="358" t="n"><v>1.395</v></c><c r="Y236" s="359" t="n"><v>245.11</v></c><c r="Z236" s="359" t="n"><v>255.09</v></c><c r="AA236" s="367" t="n"><v>10.03</v></c><c r="AB236" s="368" t="inlineStr"><is><t>22,30,770</t></is></c><c r="AC236" s="362"><f>LEFT(AB236,2)</f><v /></c><c r="AD236" s="362"><f>RIGHT(AB236,6)</f><v /></c><c r="AE236" s="362"><f>+(AC236*60+AD236)/(60*60)</f><v /></c><c r="AF236" s="363"><f>+AA236/AE236</f><v /></c><c r="AG236" s="369"><f>+(((Z236-Y236-AA236)/AA236)*100)</f><v /></c><c r="AH236" s="365" t="n"><v>21</v></c><c r="AI236" s="358" t="n"><v>1.401</v></c><c r="AJ236" s="358" t="n"><v>1.4</v></c><c r="AK236" s="359"><f>Z236</f><v /></c><c r="AL236" s="359" t="n"><v>260.18</v></c><c r="AM236" s="370" t="n"><v>5.048</v></c><c r="AN236" s="361" t="inlineStr"><is><t>18,18,760</t></is></c><c r="AO236" s="362"><f>LEFT(AN236,2)</f><v /></c><c r="AP236" s="362"><f>RIGHT(AN236,6)</f><v /></c><c r="AQ236" s="362"><f>+(AO236*60+AP236)/(60*60)</f><v /></c><c r="AR236" s="363"><f>+AM236/AQ236</f><v /></c><c r="AS236" s="369"><f>+(((AL236-AK236-AM236)/AM236)*100)</f><v /></c><c r="AT236" s="371"><f>IF(I236&gt;=1,"NO CONFORME",IF(BK236="SIGDIFERENTES",BC236,BL236))</f><v /></c><c r="AU236" s="372"><f>B236=C236</f><v /></c><c r="AV236" s="372"><f>N236&lt;Y236</f><v /></c><c r="AW236" s="372"><f>Z236&lt;=AK236</f><v /></c><c r="AX236" s="372"><f>IF(I236&gt;=1,"Qcorrecto",IF(AND(AY236="aceptable",AZ236="aceptable",BA236="aceptable"),"Qcorrecto","Qincorrecto"))</f><v /></c><c r="AY236" s="373"><f>IF(AR236&lt;$AH$6,"error",IF(AR236&gt;$AH$6*1.1,"error","aceptable"))</f><v /></c><c r="AZ236" s="373"><f>IF(AF236&lt;$V$6,"error",IF(AF236&gt;$V$6*1.1,"error","aceptable"))</f><v /></c><c r="BA236" s="373"><f>IF(T236&lt;$J$6*0.9,"error",IF(T236&gt;$J$6,"error","aceptable"))</f><v /></c><c r="BB236" s="25"><f>(IF(ABS(U236)&lt;1.05,"CONFORME",IF(ABS(AG236)&lt;1.05,"CONFORME",IF(ABS(AS236)&lt;2.55,"CONFORME","NO CONFORME"))))</f><v /></c><c r="BC236" s="5"><f>(IF(ABS(U236)&gt;2.05,"NO CONFORME",IF(ABS(AG236)&gt;2.05,"NO CONFORME",IF(ABS(AS236)&gt;5.05,"NO CONFORME","CONFORME"))))</f><v /></c><c r="BD236" s="374"><f>SIGN(U236)</f><v /></c><c r="BE236" s="374"><f>SIGN(AG236)</f><v /></c><c r="BF236" s="374"><f>SIGN(AS236)</f><v /></c><c r="BG236" s="374"><f>CONCATENATE(BD236,BE236,BF236)</f><v /></c><c r="BH236" s="374"><f>IF(BG236="111","SI","SD")</f><v /></c><c r="BI236" s="374"><f>IF(BG236="-1-1-1","SI","SD")</f><v /></c><c r="BJ236" s="374"><f>OR(BH236="SI",BI236="SI")</f><v /></c><c r="BK236" s="374"><f>IF(BJ236=FALSE,"SIGDIFERENTES","SIGIGUALES")</f><v /></c><c r="BL236" s="373"><f>IF(BC236="NO CONFORME","NO CONFORME",IF(BB236="CONFORME","CONFORME","NO CONFORME"))</f><v /></c></row><row r="237" ht="14.4" customHeight="1" thickBot="1"><c r="A237" s="443" t="n"><v>229</v></c><c r="B237" s="375"><f>B236</f><v /></c><c r="C237" s="375"><f>C236</f><v /></c><c r="D237" s="376"><f>D236</f><v /></c><c r="E237" s="377"><f>E236</f><v /></c><c r="F237" s="13" t="n" /><c r="G237" s="312" t="inlineStr"><is><t>PA25516937</t></is></c><c r="H237" s="313"><f>H236</f><v /></c><c r="I237" s="38"><f>I236</f><v /></c><c r="J237" s="314"><f>J236</f><v /></c><c r="K237" s="378"><f>K236</f><v /></c><c r="L237" s="378"><f>L236</f><v /></c><c r="M237" s="379" t="n"><v>137.18</v></c><c r="N237" s="379" t="n"><v>236.8</v></c><c r="O237" s="380"><f>O236</f><v /></c><c r="P237" s="381"><f>P236</f><v /></c><c r="Q237" s="382"><f>LEFT(P237,1)</f><v /></c><c r="R237" s="382"><f>RIGHT(P237,6)</f><v /></c><c r="S237" s="382"><f>+(Q237*60+R237)/(60*60)</f><v /></c><c r="T237" s="383"><f>+O237/S237</f><v /></c><c r="U237" s="384"><f>+(((N237-M237-O237)/O237)*100)</f><v /></c><c r="V237" s="317"><f>V236</f><v /></c><c r="W237" s="378"><f>W236</f><v /></c><c r="X237" s="378"><f>X236</f><v /></c><c r="Y237" s="379" t="n"><v>245.14</v></c><c r="Z237" s="379" t="n"><v>255.19</v></c><c r="AA237" s="386"><f>AA236</f><v /></c><c r="AB237" s="387"><f>AB236</f><v /></c><c r="AC237" s="382"><f>LEFT(AB237,2)</f><v /></c><c r="AD237" s="382"><f>RIGHT(AB237,6)</f><v /></c><c r="AE237" s="382"><f>+(AC237*60+AD237)/(60*60)</f><v /></c><c r="AF237" s="383"><f>+AA237/AE237</f><v /></c><c r="AG237" s="321"><f>+(((Z237-Y237-AA237)/AA237)*100)</f><v /></c><c r="AH237" s="317"><f>AH236</f><v /></c><c r="AI237" s="378"><f>AI236</f><v /></c><c r="AJ237" s="378"><f>AJ236</f><v /></c><c r="AK237" s="379"><f>Z237</f><v /></c><c r="AL237" s="379" t="n"><v>260.33</v></c><c r="AM237" s="388"><f>AM236</f><v /></c><c r="AN237" s="381"><f>AN236</f><v /></c><c r="AO237" s="382"><f>LEFT(AN237,2)</f><v /></c><c r="AP237" s="382"><f>RIGHT(AN237,6)</f><v /></c><c r="AQ237" s="382"><f>+(AO237*60+AP237)/(60*60)</f><v /></c><c r="AR237" s="383"><f>+AM237/AQ237</f><v /></c><c r="AS237" s="321"><f>+(((AL237-AK237-AM237)/AM237)*100)</f><v /></c><c r="AT237" s="389"><f>IF(I237&gt;=1,"NO CONFORME",IF(BK237="SIGDIFERENTES",BC237,BL237))</f><v /></c><c r="AU237" s="372"><f>B237=C237</f><v /></c><c r="AV237" s="372"><f>N237&lt;Y237</f><v /></c><c r="AW237" s="372"><f>Z237&lt;=AK237</f><v /></c><c r="AX237" s="372"><f>IF(I237&gt;=1,"Qcorrecto",IF(AND(AY237="aceptable",AZ237="aceptable",BA237="aceptable"),"Qcorrecto","Qincorrecto"))</f><v /></c><c r="AY237" s="390"><f>IF(AR237&lt;$AH$6,"error",IF(AR237&gt;$AH$6*1.1,"error","aceptable"))</f><v /></c><c r="AZ237" s="390"><f>IF(AF237&lt;$V$6,"error",IF(AF237&gt;$V$6*1.1,"error","aceptable"))</f><v /></c><c r="BA237" s="390"><f>IF(T237&lt;$J$6*0.9,"error",IF(T237&gt;$J$6,"error","aceptable"))</f><v /></c><c r="BB237" s="25"><f>(IF(ABS(U237)&lt;1.05,"CONFORME",IF(ABS(AG237)&lt;1.05,"CONFORME",IF(ABS(AS237)&lt;2.55,"CONFORME","NO CONFORME"))))</f><v /></c><c r="BC237" s="5"><f>(IF(ABS(U237)&gt;2.05,"NO CONFORME",IF(ABS(AG237)&gt;2.05,"NO CONFORME",IF(ABS(AS237)&gt;5.05,"NO CONFORME","CONFORME"))))</f><v /></c><c r="BD237" s="374"><f>SIGN(U237)</f><v /></c><c r="BE237" s="374"><f>SIGN(AG237)</f><v /></c><c r="BF237" s="374"><f>SIGN(AS237)</f><v /></c><c r="BG237" s="374"><f>CONCATENATE(BD237,BE237,BF237)</f><v /></c><c r="BH237" s="374"><f>IF(BG237="111","SI","SD")</f><v /></c><c r="BI237" s="374"><f>IF(BG237="-1-1-1","SI","SD")</f><v /></c><c r="BJ237" s="374"><f>OR(BH237="SI",BI237="SI")</f><v /></c><c r="BK237" s="374"><f>IF(BJ237=FALSE,"SIGDIFERENTES","SIGIGUALES")</f><v /></c><c r="BL237" s="390"><f>IF(BC237="NO CONFORME","NO CONFORME",IF(BB237="CONFORME","CONFORME","NO CONFORME"))</f><v /></c></row><row r="238" ht="14.4" customHeight="1" thickBot="1"><c r="A238" s="443" t="n"><v>230</v></c><c r="B238" s="375"><f>B237</f><v /></c><c r="C238" s="375"><f>C237</f><v /></c><c r="D238" s="376"><f>D237</f><v /></c><c r="E238" s="377"><f>E237</f><v /></c><c r="F238" s="13" t="n" /><c r="G238" s="312" t="inlineStr"><is><t>PA25516938</t></is></c><c r="H238" s="313"><f>H237</f><v /></c><c r="I238" s="38"><f>I237</f><v /></c><c r="J238" s="314"><f>J237</f><v /></c><c r="K238" s="378"><f>K237</f><v /></c><c r="L238" s="378"><f>L237</f><v /></c><c r="M238" s="379" t="n"><v>137.58</v></c><c r="N238" s="379" t="n"><v>237.33</v></c><c r="O238" s="380"><f>O237</f><v /></c><c r="P238" s="381"><f>P237</f><v /></c><c r="Q238" s="382"><f>LEFT(P238,1)</f><v /></c><c r="R238" s="382"><f>RIGHT(P238,6)</f><v /></c><c r="S238" s="382"><f>+(Q238*60+R238)/(60*60)</f><v /></c><c r="T238" s="383"><f>+O238/S238</f><v /></c><c r="U238" s="384"><f>+(((N238-M238-O238)/O238)*100)</f><v /></c><c r="V238" s="317"><f>V237</f><v /></c><c r="W238" s="378"><f>W237</f><v /></c><c r="X238" s="378"><f>X237</f><v /></c><c r="Y238" s="379" t="n"><v>245.58</v></c><c r="Z238" s="379" t="n"><v>255.43</v></c><c r="AA238" s="386"><f>AA237</f><v /></c><c r="AB238" s="387"><f>AB237</f><v /></c><c r="AC238" s="382"><f>LEFT(AB238,2)</f><v /></c><c r="AD238" s="382"><f>RIGHT(AB238,6)</f><v /></c><c r="AE238" s="382"><f>+(AC238*60+AD238)/(60*60)</f><v /></c><c r="AF238" s="383"><f>+AA238/AE238</f><v /></c><c r="AG238" s="321"><f>+(((Z238-Y238-AA238)/AA238)*100)</f><v /></c><c r="AH238" s="317"><f>AH237</f><v /></c><c r="AI238" s="378"><f>AI237</f><v /></c><c r="AJ238" s="378"><f>AJ237</f><v /></c><c r="AK238" s="379"><f>Z238</f><v /></c><c r="AL238" s="379" t="n"><v>260.39</v></c><c r="AM238" s="388"><f>AM237</f><v /></c><c r="AN238" s="381"><f>AN237</f><v /></c><c r="AO238" s="382"><f>LEFT(AN238,2)</f><v /></c><c r="AP238" s="382"><f>RIGHT(AN238,6)</f><v /></c><c r="AQ238" s="382"><f>+(AO238*60+AP238)/(60*60)</f><v /></c><c r="AR238" s="383"><f>+AM238/AQ238</f><v /></c><c r="AS238" s="321"><f>+(((AL238-AK238-AM238)/AM238)*100)</f><v /></c><c r="AT238" s="389"><f>IF(I238&gt;=1,"NO CONFORME",IF(BK238="SIGDIFERENTES",BC238,BL238))</f><v /></c><c r="AU238" s="372"><f>B238=C238</f><v /></c><c r="AV238" s="372"><f>N238&lt;Y238</f><v /></c><c r="AW238" s="372"><f>Z238&lt;=AK238</f><v /></c><c r="AX238" s="372"><f>IF(I238&gt;=1,"Qcorrecto",IF(AND(AY238="aceptable",AZ238="aceptable",BA238="aceptable"),"Qcorrecto","Qincorrecto"))</f><v /></c><c r="AY238" s="390"><f>IF(AR238&lt;$AH$6,"error",IF(AR238&gt;$AH$6*1.1,"error","aceptable"))</f><v /></c><c r="AZ238" s="390"><f>IF(AF238&lt;$V$6,"error",IF(AF238&gt;$V$6*1.1,"error","aceptable"))</f><v /></c><c r="BA238" s="390"><f>IF(T238&lt;$J$6*0.9,"error",IF(T238&gt;$J$6,"error","aceptable"))</f><v /></c><c r="BB238" s="25"><f>(IF(ABS(U238)&lt;1.05,"CONFORME",IF(ABS(AG238)&lt;1.05,"CONFORME",IF(ABS(AS238)&lt;2.55,"CONFORME","NO CONFORME"))))</f><v /></c><c r="BC238" s="5"><f>(IF(ABS(U238)&gt;2.05,"NO CONFORME",IF(ABS(AG238)&gt;2.05,"NO CONFORME",IF(ABS(AS238)&gt;5.05,"NO CONFORME","CONFORME"))))</f><v /></c><c r="BD238" s="374"><f>SIGN(U238)</f><v /></c><c r="BE238" s="374"><f>SIGN(AG238)</f><v /></c><c r="BF238" s="374"><f>SIGN(AS238)</f><v /></c><c r="BG238" s="374"><f>CONCATENATE(BD238,BE238,BF238)</f><v /></c><c r="BH238" s="374"><f>IF(BG238="111","SI","SD")</f><v /></c><c r="BI238" s="374"><f>IF(BG238="-1-1-1","SI","SD")</f><v /></c><c r="BJ238" s="374"><f>OR(BH238="SI",BI238="SI")</f><v /></c><c r="BK238" s="374"><f>IF(BJ238=FALSE,"SIGDIFERENTES","SIGIGUALES")</f><v /></c><c r="BL238" s="390"><f>IF(BC238="NO CONFORME","NO CONFORME",IF(BB238="CONFORME","CONFORME","NO CONFORME"))</f><v /></c></row><row r="239" ht="14.4" customHeight="1" thickBot="1"><c r="A239" s="443" t="n"><v>231</v></c><c r="B239" s="375"><f>B238</f><v /></c><c r="C239" s="375"><f>C238</f><v /></c><c r="D239" s="376"><f>D238</f><v /></c><c r="E239" s="377"><f>E238</f><v /></c><c r="F239" s="13" t="n" /><c r="G239" s="312" t="inlineStr"><is><t>PA25516939</t></is></c><c r="H239" s="313"><f>H238</f><v /></c><c r="I239" s="38"><f>I238</f><v /></c><c r="J239" s="314"><f>J238</f><v /></c><c r="K239" s="378"><f>K238</f><v /></c><c r="L239" s="378"><f>L238</f><v /></c><c r="M239" s="379" t="n"><v>135.98</v></c><c r="N239" s="379" t="n"><v>235.36</v></c><c r="O239" s="380"><f>O238</f><v /></c><c r="P239" s="381"><f>P238</f><v /></c><c r="Q239" s="382"><f>LEFT(P239,1)</f><v /></c><c r="R239" s="382"><f>RIGHT(P239,6)</f><v /></c><c r="S239" s="382"><f>+(Q239*60+R239)/(60*60)</f><v /></c><c r="T239" s="383"><f>+O239/S239</f><v /></c><c r="U239" s="384"><f>+(((N239-M239-O239)/O239)*100)</f><v /></c><c r="V239" s="317"><f>V238</f><v /></c><c r="W239" s="378"><f>W238</f><v /></c><c r="X239" s="378"><f>X238</f><v /></c><c r="Y239" s="379" t="n"><v>243.66</v></c><c r="Z239" s="379" t="n"><v>253.59</v></c><c r="AA239" s="386"><f>AA238</f><v /></c><c r="AB239" s="387"><f>AB238</f><v /></c><c r="AC239" s="382"><f>LEFT(AB239,2)</f><v /></c><c r="AD239" s="382"><f>RIGHT(AB239,6)</f><v /></c><c r="AE239" s="382"><f>+(AC239*60+AD239)/(60*60)</f><v /></c><c r="AF239" s="383"><f>+AA239/AE239</f><v /></c><c r="AG239" s="321"><f>+(((Z239-Y239-AA239)/AA239)*100)</f><v /></c><c r="AH239" s="317"><f>AH238</f><v /></c><c r="AI239" s="378"><f>AI238</f><v /></c><c r="AJ239" s="378"><f>AJ238</f><v /></c><c r="AK239" s="379"><f>Z239</f><v /></c><c r="AL239" s="379" t="n"><v>258.62</v></c><c r="AM239" s="388"><f>AM238</f><v /></c><c r="AN239" s="381"><f>AN238</f><v /></c><c r="AO239" s="382"><f>LEFT(AN239,2)</f><v /></c><c r="AP239" s="382"><f>RIGHT(AN239,6)</f><v /></c><c r="AQ239" s="382"><f>+(AO239*60+AP239)/(60*60)</f><v /></c><c r="AR239" s="383"><f>+AM239/AQ239</f><v /></c><c r="AS239" s="321"><f>+(((AL239-AK239-AM239)/AM239)*100)</f><v /></c><c r="AT239" s="389"><f>IF(I239&gt;=1,"NO CONFORME",IF(BK239="SIGDIFERENTES",BC239,BL239))</f><v /></c><c r="AU239" s="372"><f>B239=C239</f><v /></c><c r="AV239" s="372"><f>N239&lt;Y239</f><v /></c><c r="AW239" s="372"><f>Z239&lt;=AK239</f><v /></c><c r="AX239" s="372"><f>IF(I239&gt;=1,"Qcorrecto",IF(AND(AY239="aceptable",AZ239="aceptable",BA239="aceptable"),"Qcorrecto","Qincorrecto"))</f><v /></c><c r="AY239" s="390"><f>IF(AR239&lt;$AH$6,"error",IF(AR239&gt;$AH$6*1.1,"error","aceptable"))</f><v /></c><c r="AZ239" s="390"><f>IF(AF239&lt;$V$6,"error",IF(AF239&gt;$V$6*1.1,"error","aceptable"))</f><v /></c><c r="BA239" s="390"><f>IF(T239&lt;$J$6*0.9,"error",IF(T239&gt;$J$6,"error","aceptable"))</f><v /></c><c r="BB239" s="25"><f>(IF(ABS(U239)&lt;1.05,"CONFORME",IF(ABS(AG239)&lt;1.05,"CONFORME",IF(ABS(AS239)&lt;2.55,"CONFORME","NO CONFORME"))))</f><v /></c><c r="BC239" s="5"><f>(IF(ABS(U239)&gt;2.05,"NO CONFORME",IF(ABS(AG239)&gt;2.05,"NO CONFORME",IF(ABS(AS239)&gt;5.05,"NO CONFORME","CONFORME"))))</f><v /></c><c r="BD239" s="374"><f>SIGN(U239)</f><v /></c><c r="BE239" s="374"><f>SIGN(AG239)</f><v /></c><c r="BF239" s="374"><f>SIGN(AS239)</f><v /></c><c r="BG239" s="374"><f>CONCATENATE(BD239,BE239,BF239)</f><v /></c><c r="BH239" s="374"><f>IF(BG239="111","SI","SD")</f><v /></c><c r="BI239" s="374"><f>IF(BG239="-1-1-1","SI","SD")</f><v /></c><c r="BJ239" s="374"><f>OR(BH239="SI",BI239="SI")</f><v /></c><c r="BK239" s="374"><f>IF(BJ239=FALSE,"SIGDIFERENTES","SIGIGUALES")</f><v /></c><c r="BL239" s="390"><f>IF(BC239="NO CONFORME","NO CONFORME",IF(BB239="CONFORME","CONFORME","NO CONFORME"))</f><v /></c></row><row r="240" ht="14.4" customHeight="1" thickBot="1"><c r="A240" s="443" t="n"><v>232</v></c><c r="B240" s="375"><f>B239</f><v /></c><c r="C240" s="375"><f>C239</f><v /></c><c r="D240" s="376"><f>D239</f><v /></c><c r="E240" s="377"><f>E239</f><v /></c><c r="F240" s="13" t="n" /><c r="G240" s="312" t="inlineStr"><is><t>PA25516940</t></is></c><c r="H240" s="313"><f>H239</f><v /></c><c r="I240" s="38"><f>I239</f><v /></c><c r="J240" s="314"><f>J239</f><v /></c><c r="K240" s="378"><f>K239</f><v /></c><c r="L240" s="378"><f>L239</f><v /></c><c r="M240" s="379" t="n"><v>137.8</v></c><c r="N240" s="379" t="n"><v>237.64</v></c><c r="O240" s="380"><f>O239</f><v /></c><c r="P240" s="381"><f>P239</f><v /></c><c r="Q240" s="382"><f>LEFT(P240,1)</f><v /></c><c r="R240" s="382"><f>RIGHT(P240,6)</f><v /></c><c r="S240" s="382"><f>+(Q240*60+R240)/(60*60)</f><v /></c><c r="T240" s="383"><f>+O240/S240</f><v /></c><c r="U240" s="384"><f>+(((N240-M240-O240)/O240)*100)</f><v /></c><c r="V240" s="317"><f>V239</f><v /></c><c r="W240" s="378"><f>W239</f><v /></c><c r="X240" s="378"><f>X239</f><v /></c><c r="Y240" s="379" t="n"><v>245.98</v></c><c r="Z240" s="379" t="n"><v>256.05</v></c><c r="AA240" s="386"><f>AA239</f><v /></c><c r="AB240" s="387"><f>AB239</f><v /></c><c r="AC240" s="382"><f>LEFT(AB240,2)</f><v /></c><c r="AD240" s="382"><f>RIGHT(AB240,6)</f><v /></c><c r="AE240" s="382"><f>+(AC240*60+AD240)/(60*60)</f><v /></c><c r="AF240" s="383"><f>+AA240/AE240</f><v /></c><c r="AG240" s="321"><f>+(((Z240-Y240-AA240)/AA240)*100)</f><v /></c><c r="AH240" s="317"><f>AH239</f><v /></c><c r="AI240" s="378"><f>AI239</f><v /></c><c r="AJ240" s="378"><f>AJ239</f><v /></c><c r="AK240" s="379"><f>Z240</f><v /></c><c r="AL240" s="379" t="n"><v>261.2</v></c><c r="AM240" s="388"><f>AM239</f><v /></c><c r="AN240" s="381"><f>AN239</f><v /></c><c r="AO240" s="382"><f>LEFT(AN240,2)</f><v /></c><c r="AP240" s="382"><f>RIGHT(AN240,6)</f><v /></c><c r="AQ240" s="382"><f>+(AO240*60+AP240)/(60*60)</f><v /></c><c r="AR240" s="383"><f>+AM240/AQ240</f><v /></c><c r="AS240" s="321"><f>+(((AL240-AK240-AM240)/AM240)*100)</f><v /></c><c r="AT240" s="389"><f>IF(I240&gt;=1,"NO CONFORME",IF(BK240="SIGDIFERENTES",BC240,BL240))</f><v /></c><c r="AU240" s="372"><f>B240=C240</f><v /></c><c r="AV240" s="372"><f>N240&lt;Y240</f><v /></c><c r="AW240" s="372"><f>Z240&lt;=AK240</f><v /></c><c r="AX240" s="372"><f>IF(I240&gt;=1,"Qcorrecto",IF(AND(AY240="aceptable",AZ240="aceptable",BA240="aceptable"),"Qcorrecto","Qincorrecto"))</f><v /></c><c r="AY240" s="390"><f>IF(AR240&lt;$AH$6,"error",IF(AR240&gt;$AH$6*1.1,"error","aceptable"))</f><v /></c><c r="AZ240" s="390"><f>IF(AF240&lt;$V$6,"error",IF(AF240&gt;$V$6*1.1,"error","aceptable"))</f><v /></c><c r="BA240" s="390"><f>IF(T240&lt;$J$6*0.9,"error",IF(T240&gt;$J$6,"error","aceptable"))</f><v /></c><c r="BB240" s="25"><f>(IF(ABS(U240)&lt;1.05,"CONFORME",IF(ABS(AG240)&lt;1.05,"CONFORME",IF(ABS(AS240)&lt;2.55,"CONFORME","NO CONFORME"))))</f><v /></c><c r="BC240" s="5"><f>(IF(ABS(U240)&gt;2.05,"NO CONFORME",IF(ABS(AG240)&gt;2.05,"NO CONFORME",IF(ABS(AS240)&gt;5.05,"NO CONFORME","CONFORME"))))</f><v /></c><c r="BD240" s="374"><f>SIGN(U240)</f><v /></c><c r="BE240" s="374"><f>SIGN(AG240)</f><v /></c><c r="BF240" s="374"><f>SIGN(AS240)</f><v /></c><c r="BG240" s="374"><f>CONCATENATE(BD240,BE240,BF240)</f><v /></c><c r="BH240" s="374"><f>IF(BG240="111","SI","SD")</f><v /></c><c r="BI240" s="374"><f>IF(BG240="-1-1-1","SI","SD")</f><v /></c><c r="BJ240" s="374"><f>OR(BH240="SI",BI240="SI")</f><v /></c><c r="BK240" s="374"><f>IF(BJ240=FALSE,"SIGDIFERENTES","SIGIGUALES")</f><v /></c><c r="BL240" s="390"><f>IF(BC240="NO CONFORME","NO CONFORME",IF(BB240="CONFORME","CONFORME","NO CONFORME"))</f><v /></c></row><row r="241" ht="14.4" customHeight="1" thickBot="1"><c r="A241" s="443" t="n"><v>233</v></c><c r="B241" s="375"><f>B240</f><v /></c><c r="C241" s="375"><f>C240</f><v /></c><c r="D241" s="376"><f>D240</f><v /></c><c r="E241" s="377"><f>E240</f><v /></c><c r="F241" s="13" t="n" /><c r="G241" s="312" t="inlineStr"><is><t>PA25516941</t></is></c><c r="H241" s="313"><f>H240</f><v /></c><c r="I241" s="38"><f>I240</f><v /></c><c r="J241" s="314"><f>J240</f><v /></c><c r="K241" s="378"><f>K240</f><v /></c><c r="L241" s="378"><f>L240</f><v /></c><c r="M241" s="379" t="n"><v>137.24</v></c><c r="N241" s="379" t="n"><v>236.89</v></c><c r="O241" s="380"><f>O240</f><v /></c><c r="P241" s="381"><f>P240</f><v /></c><c r="Q241" s="382"><f>LEFT(P241,1)</f><v /></c><c r="R241" s="382"><f>RIGHT(P241,6)</f><v /></c><c r="S241" s="382"><f>+(Q241*60+R241)/(60*60)</f><v /></c><c r="T241" s="383"><f>+O241/S241</f><v /></c><c r="U241" s="384"><f>+(((N241-M241-O241)/O241)*100)</f><v /></c><c r="V241" s="317"><f>V240</f><v /></c><c r="W241" s="378"><f>W240</f><v /></c><c r="X241" s="378"><f>X240</f><v /></c><c r="Y241" s="379" t="n"><v>245.22</v></c><c r="Z241" s="379" t="n"><v>255.26</v></c><c r="AA241" s="386"><f>AA240</f><v /></c><c r="AB241" s="387"><f>AB240</f><v /></c><c r="AC241" s="382"><f>LEFT(AB241,2)</f><v /></c><c r="AD241" s="382"><f>RIGHT(AB241,6)</f><v /></c><c r="AE241" s="382"><f>+(AC241*60+AD241)/(60*60)</f><v /></c><c r="AF241" s="383"><f>+AA241/AE241</f><v /></c><c r="AG241" s="321"><f>+(((Z241-Y241-AA241)/AA241)*100)</f><v /></c><c r="AH241" s="317"><f>AH240</f><v /></c><c r="AI241" s="378"><f>AI240</f><v /></c><c r="AJ241" s="378"><f>AJ240</f><v /></c><c r="AK241" s="379"><f>Z241</f><v /></c><c r="AL241" s="379" t="n"><v>260.38</v></c><c r="AM241" s="388"><f>AM240</f><v /></c><c r="AN241" s="381"><f>AN240</f><v /></c><c r="AO241" s="382"><f>LEFT(AN241,2)</f><v /></c><c r="AP241" s="382"><f>RIGHT(AN241,6)</f><v /></c><c r="AQ241" s="382"><f>+(AO241*60+AP241)/(60*60)</f><v /></c><c r="AR241" s="383"><f>+AM241/AQ241</f><v /></c><c r="AS241" s="321"><f>+(((AL241-AK241-AM241)/AM241)*100)</f><v /></c><c r="AT241" s="389"><f>IF(I241&gt;=1,"NO CONFORME",IF(BK241="SIGDIFERENTES",BC241,BL241))</f><v /></c><c r="AU241" s="372"><f>B241=C241</f><v /></c><c r="AV241" s="372"><f>N241&lt;Y241</f><v /></c><c r="AW241" s="372"><f>Z241&lt;=AK241</f><v /></c><c r="AX241" s="372"><f>IF(I241&gt;=1,"Qcorrecto",IF(AND(AY241="aceptable",AZ241="aceptable",BA241="aceptable"),"Qcorrecto","Qincorrecto"))</f><v /></c><c r="AY241" s="390"><f>IF(AR241&lt;$AH$6,"error",IF(AR241&gt;$AH$6*1.1,"error","aceptable"))</f><v /></c><c r="AZ241" s="390"><f>IF(AF241&lt;$V$6,"error",IF(AF241&gt;$V$6*1.1,"error","aceptable"))</f><v /></c><c r="BA241" s="390"><f>IF(T241&lt;$J$6*0.9,"error",IF(T241&gt;$J$6,"error","aceptable"))</f><v /></c><c r="BB241" s="25"><f>(IF(ABS(U241)&lt;1.05,"CONFORME",IF(ABS(AG241)&lt;1.05,"CONFORME",IF(ABS(AS241)&lt;2.55,"CONFORME","NO CONFORME"))))</f><v /></c><c r="BC241" s="5"><f>(IF(ABS(U241)&gt;2.05,"NO CONFORME",IF(ABS(AG241)&gt;2.05,"NO CONFORME",IF(ABS(AS241)&gt;5.05,"NO CONFORME","CONFORME"))))</f><v /></c><c r="BD241" s="374"><f>SIGN(U241)</f><v /></c><c r="BE241" s="374"><f>SIGN(AG241)</f><v /></c><c r="BF241" s="374"><f>SIGN(AS241)</f><v /></c><c r="BG241" s="374"><f>CONCATENATE(BD241,BE241,BF241)</f><v /></c><c r="BH241" s="374"><f>IF(BG241="111","SI","SD")</f><v /></c><c r="BI241" s="374"><f>IF(BG241="-1-1-1","SI","SD")</f><v /></c><c r="BJ241" s="374"><f>OR(BH241="SI",BI241="SI")</f><v /></c><c r="BK241" s="374"><f>IF(BJ241=FALSE,"SIGDIFERENTES","SIGIGUALES")</f><v /></c><c r="BL241" s="390"><f>IF(BC241="NO CONFORME","NO CONFORME",IF(BB241="CONFORME","CONFORME","NO CONFORME"))</f><v /></c></row><row r="242" ht="14.4" customHeight="1" thickBot="1"><c r="A242" s="443" t="n"><v>234</v></c><c r="B242" s="375"><f>B241</f><v /></c><c r="C242" s="375"><f>C241</f><v /></c><c r="D242" s="376"><f>D241</f><v /></c><c r="E242" s="377"><f>E241</f><v /></c><c r="F242" s="13" t="n" /><c r="G242" s="312" t="inlineStr"><is><t>PA25516942</t></is></c><c r="H242" s="313"><f>H241</f><v /></c><c r="I242" s="38"><f>I241</f><v /></c><c r="J242" s="314"><f>J241</f><v /></c><c r="K242" s="378"><f>K241</f><v /></c><c r="L242" s="378"><f>L241</f><v /></c><c r="M242" s="379" t="n"><v>138.29</v></c><c r="N242" s="379" t="n"><v>239.04</v></c><c r="O242" s="380"><f>O241</f><v /></c><c r="P242" s="381"><f>P241</f><v /></c><c r="Q242" s="382"><f>LEFT(P242,1)</f><v /></c><c r="R242" s="382"><f>RIGHT(P242,6)</f><v /></c><c r="S242" s="382"><f>+(Q242*60+R242)/(60*60)</f><v /></c><c r="T242" s="383"><f>+O242/S242</f><v /></c><c r="U242" s="384"><f>+(((N242-M242-O242)/O242)*100)</f><v /></c><c r="V242" s="317"><f>V241</f><v /></c><c r="W242" s="378"><f>W241</f><v /></c><c r="X242" s="378"><f>X241</f><v /></c><c r="Y242" s="379" t="n"><v>247.39</v></c><c r="Z242" s="379" t="n"><v>257.42</v></c><c r="AA242" s="386"><f>AA241</f><v /></c><c r="AB242" s="387"><f>AB241</f><v /></c><c r="AC242" s="382"><f>LEFT(AB242,2)</f><v /></c><c r="AD242" s="382"><f>RIGHT(AB242,6)</f><v /></c><c r="AE242" s="382"><f>+(AC242*60+AD242)/(60*60)</f><v /></c><c r="AF242" s="383"><f>+AA242/AE242</f><v /></c><c r="AG242" s="321"><f>+(((Z242-Y242-AA242)/AA242)*100)</f><v /></c><c r="AH242" s="317"><f>AH241</f><v /></c><c r="AI242" s="378"><f>AI241</f><v /></c><c r="AJ242" s="378"><f>AJ241</f><v /></c><c r="AK242" s="379"><f>Z242</f><v /></c><c r="AL242" s="379" t="n"><v>262.51</v></c><c r="AM242" s="388"><f>AM241</f><v /></c><c r="AN242" s="381"><f>AN241</f><v /></c><c r="AO242" s="382"><f>LEFT(AN242,2)</f><v /></c><c r="AP242" s="382"><f>RIGHT(AN242,6)</f><v /></c><c r="AQ242" s="382"><f>+(AO242*60+AP242)/(60*60)</f><v /></c><c r="AR242" s="383"><f>+AM242/AQ242</f><v /></c><c r="AS242" s="321"><f>+(((AL242-AK242-AM242)/AM242)*100)</f><v /></c><c r="AT242" s="389"><f>IF(I242&gt;=1,"NO CONFORME",IF(BK242="SIGDIFERENTES",BC242,BL242))</f><v /></c><c r="AU242" s="372"><f>B242=C242</f><v /></c><c r="AV242" s="372"><f>N242&lt;Y242</f><v /></c><c r="AW242" s="372"><f>Z242&lt;=AK242</f><v /></c><c r="AX242" s="372"><f>IF(I242&gt;=1,"Qcorrecto",IF(AND(AY242="aceptable",AZ242="aceptable",BA242="aceptable"),"Qcorrecto","Qincorrecto"))</f><v /></c><c r="AY242" s="390"><f>IF(AR242&lt;$AH$6,"error",IF(AR242&gt;$AH$6*1.1,"error","aceptable"))</f><v /></c><c r="AZ242" s="390"><f>IF(AF242&lt;$V$6,"error",IF(AF242&gt;$V$6*1.1,"error","aceptable"))</f><v /></c><c r="BA242" s="390"><f>IF(T242&lt;$J$6*0.9,"error",IF(T242&gt;$J$6,"error","aceptable"))</f><v /></c><c r="BB242" s="25"><f>(IF(ABS(U242)&lt;1.05,"CONFORME",IF(ABS(AG242)&lt;1.05,"CONFORME",IF(ABS(AS242)&lt;2.55,"CONFORME","NO CONFORME"))))</f><v /></c><c r="BC242" s="5"><f>(IF(ABS(U242)&gt;2.05,"NO CONFORME",IF(ABS(AG242)&gt;2.05,"NO CONFORME",IF(ABS(AS242)&gt;5.05,"NO CONFORME","CONFORME"))))</f><v /></c><c r="BD242" s="374"><f>SIGN(U242)</f><v /></c><c r="BE242" s="374"><f>SIGN(AG242)</f><v /></c><c r="BF242" s="374"><f>SIGN(AS242)</f><v /></c><c r="BG242" s="374"><f>CONCATENATE(BD242,BE242,BF242)</f><v /></c><c r="BH242" s="374"><f>IF(BG242="111","SI","SD")</f><v /></c><c r="BI242" s="374"><f>IF(BG242="-1-1-1","SI","SD")</f><v /></c><c r="BJ242" s="374"><f>OR(BH242="SI",BI242="SI")</f><v /></c><c r="BK242" s="374"><f>IF(BJ242=FALSE,"SIGDIFERENTES","SIGIGUALES")</f><v /></c><c r="BL242" s="390"><f>IF(BC242="NO CONFORME","NO CONFORME",IF(BB242="CONFORME","CONFORME","NO CONFORME"))</f><v /></c></row><row r="243" ht="14.4" customHeight="1" thickBot="1"><c r="A243" s="443" t="n"><v>235</v></c><c r="B243" s="375"><f>B242</f><v /></c><c r="C243" s="375"><f>C242</f><v /></c><c r="D243" s="376"><f>D242</f><v /></c><c r="E243" s="377"><f>E242</f><v /></c><c r="F243" s="13" t="n" /><c r="G243" s="312" t="inlineStr"><is><t>PA25516943</t></is></c><c r="H243" s="313"><f>H242</f><v /></c><c r="I243" s="38"><f>I242</f><v /></c><c r="J243" s="314"><f>J242</f><v /></c><c r="K243" s="378"><f>K242</f><v /></c><c r="L243" s="378"><f>L242</f><v /></c><c r="M243" s="379" t="n"><v>136.83</v></c><c r="N243" s="379" t="n"><v>236.4</v></c><c r="O243" s="380"><f>O242</f><v /></c><c r="P243" s="381"><f>P242</f><v /></c><c r="Q243" s="382"><f>LEFT(P243,1)</f><v /></c><c r="R243" s="382"><f>RIGHT(P243,6)</f><v /></c><c r="S243" s="382"><f>+(Q243*60+R243)/(60*60)</f><v /></c><c r="T243" s="383"><f>+O243/S243</f><v /></c><c r="U243" s="384"><f>+(((N243-M243-O243)/O243)*100)</f><v /></c><c r="V243" s="317"><f>V242</f><v /></c><c r="W243" s="378"><f>W242</f><v /></c><c r="X243" s="378"><f>X242</f><v /></c><c r="Y243" s="379" t="n"><v>244.68</v></c><c r="Z243" s="379" t="n"><v>254.64</v></c><c r="AA243" s="386"><f>AA242</f><v /></c><c r="AB243" s="387"><f>AB242</f><v /></c><c r="AC243" s="382"><f>LEFT(AB243,2)</f><v /></c><c r="AD243" s="382"><f>RIGHT(AB243,6)</f><v /></c><c r="AE243" s="382"><f>+(AC243*60+AD243)/(60*60)</f><v /></c><c r="AF243" s="383"><f>+AA243/AE243</f><v /></c><c r="AG243" s="321"><f>+(((Z243-Y243-AA243)/AA243)*100)</f><v /></c><c r="AH243" s="317"><f>AH242</f><v /></c><c r="AI243" s="378"><f>AI242</f><v /></c><c r="AJ243" s="378"><f>AJ242</f><v /></c><c r="AK243" s="379"><f>Z243</f><v /></c><c r="AL243" s="379" t="n"><v>259.69</v></c><c r="AM243" s="388"><f>AM242</f><v /></c><c r="AN243" s="381"><f>AN242</f><v /></c><c r="AO243" s="382"><f>LEFT(AN243,2)</f><v /></c><c r="AP243" s="382"><f>RIGHT(AN243,6)</f><v /></c><c r="AQ243" s="382"><f>+(AO243*60+AP243)/(60*60)</f><v /></c><c r="AR243" s="383"><f>+AM243/AQ243</f><v /></c><c r="AS243" s="321"><f>+(((AL243-AK243-AM243)/AM243)*100)</f><v /></c><c r="AT243" s="389"><f>IF(I243&gt;=1,"NO CONFORME",IF(BK243="SIGDIFERENTES",BC243,BL243))</f><v /></c><c r="AU243" s="372"><f>B243=C243</f><v /></c><c r="AV243" s="372"><f>N243&lt;Y243</f><v /></c><c r="AW243" s="372"><f>Z243&lt;=AK243</f><v /></c><c r="AX243" s="372"><f>IF(I243&gt;=1,"Qcorrecto",IF(AND(AY243="aceptable",AZ243="aceptable",BA243="aceptable"),"Qcorrecto","Qincorrecto"))</f><v /></c><c r="AY243" s="390"><f>IF(AR243&lt;$AH$6,"error",IF(AR243&gt;$AH$6*1.1,"error","aceptable"))</f><v /></c><c r="AZ243" s="390"><f>IF(AF243&lt;$V$6,"error",IF(AF243&gt;$V$6*1.1,"error","aceptable"))</f><v /></c><c r="BA243" s="390"><f>IF(T243&lt;$J$6*0.9,"error",IF(T243&gt;$J$6,"error","aceptable"))</f><v /></c><c r="BB243" s="25"><f>(IF(ABS(U243)&lt;1.05,"CONFORME",IF(ABS(AG243)&lt;1.05,"CONFORME",IF(ABS(AS243)&lt;2.55,"CONFORME","NO CONFORME"))))</f><v /></c><c r="BC243" s="5"><f>(IF(ABS(U243)&gt;2.05,"NO CONFORME",IF(ABS(AG243)&gt;2.05,"NO CONFORME",IF(ABS(AS243)&gt;5.05,"NO CONFORME","CONFORME"))))</f><v /></c><c r="BD243" s="374"><f>SIGN(U243)</f><v /></c><c r="BE243" s="374"><f>SIGN(AG243)</f><v /></c><c r="BF243" s="374"><f>SIGN(AS243)</f><v /></c><c r="BG243" s="374"><f>CONCATENATE(BD243,BE243,BF243)</f><v /></c><c r="BH243" s="374"><f>IF(BG243="111","SI","SD")</f><v /></c><c r="BI243" s="374"><f>IF(BG243="-1-1-1","SI","SD")</f><v /></c><c r="BJ243" s="374"><f>OR(BH243="SI",BI243="SI")</f><v /></c><c r="BK243" s="374"><f>IF(BJ243=FALSE,"SIGDIFERENTES","SIGIGUALES")</f><v /></c><c r="BL243" s="390"><f>IF(BC243="NO CONFORME","NO CONFORME",IF(BB243="CONFORME","CONFORME","NO CONFORME"))</f><v /></c></row><row r="244" ht="14.4" customHeight="1" thickBot="1"><c r="A244" s="443" t="n"><v>236</v></c><c r="B244" s="375"><f>B243</f><v /></c><c r="C244" s="375"><f>C243</f><v /></c><c r="D244" s="376"><f>D243</f><v /></c><c r="E244" s="377"><f>E243</f><v /></c><c r="F244" s="13" t="n" /><c r="G244" s="312" t="inlineStr"><is><t>PA25516944</t></is></c><c r="H244" s="313"><f>H243</f><v /></c><c r="I244" s="38"><f>I243</f><v /></c><c r="J244" s="314"><f>J243</f><v /></c><c r="K244" s="378"><f>K243</f><v /></c><c r="L244" s="378"><f>L243</f><v /></c><c r="M244" s="379" t="n"><v>137.82</v></c><c r="N244" s="379" t="n"><v>237.58</v></c><c r="O244" s="380"><f>O243</f><v /></c><c r="P244" s="381"><f>P243</f><v /></c><c r="Q244" s="382"><f>LEFT(P244,1)</f><v /></c><c r="R244" s="382"><f>RIGHT(P244,6)</f><v /></c><c r="S244" s="382"><f>+(Q244*60+R244)/(60*60)</f><v /></c><c r="T244" s="383"><f>+O244/S244</f><v /></c><c r="U244" s="384"><f>+(((N244-M244-O244)/O244)*100)</f><v /></c><c r="V244" s="317"><f>V243</f><v /></c><c r="W244" s="378"><f>W243</f><v /></c><c r="X244" s="378"><f>X243</f><v /></c><c r="Y244" s="379" t="n"><v>245.93</v></c><c r="Z244" s="379" t="n"><v>255.95</v></c><c r="AA244" s="386"><f>AA243</f><v /></c><c r="AB244" s="387"><f>AB243</f><v /></c><c r="AC244" s="382"><f>LEFT(AB244,2)</f><v /></c><c r="AD244" s="382"><f>RIGHT(AB244,6)</f><v /></c><c r="AE244" s="382"><f>+(AC244*60+AD244)/(60*60)</f><v /></c><c r="AF244" s="383"><f>+AA244/AE244</f><v /></c><c r="AG244" s="321"><f>+(((Z244-Y244-AA244)/AA244)*100)</f><v /></c><c r="AH244" s="317"><f>AH243</f><v /></c><c r="AI244" s="378"><f>AI243</f><v /></c><c r="AJ244" s="378"><f>AJ243</f><v /></c><c r="AK244" s="379"><f>Z244</f><v /></c><c r="AL244" s="379" t="n"><v>261.02</v></c><c r="AM244" s="388"><f>AM243</f><v /></c><c r="AN244" s="381"><f>AN243</f><v /></c><c r="AO244" s="382"><f>LEFT(AN244,2)</f><v /></c><c r="AP244" s="382"><f>RIGHT(AN244,6)</f><v /></c><c r="AQ244" s="382"><f>+(AO244*60+AP244)/(60*60)</f><v /></c><c r="AR244" s="383"><f>+AM244/AQ244</f><v /></c><c r="AS244" s="321"><f>+(((AL244-AK244-AM244)/AM244)*100)</f><v /></c><c r="AT244" s="389"><f>IF(I244&gt;=1,"NO CONFORME",IF(BK244="SIGDIFERENTES",BC244,BL244))</f><v /></c><c r="AU244" s="372"><f>B244=C244</f><v /></c><c r="AV244" s="372"><f>N244&lt;Y244</f><v /></c><c r="AW244" s="372"><f>Z244&lt;=AK244</f><v /></c><c r="AX244" s="372"><f>IF(I244&gt;=1,"Qcorrecto",IF(AND(AY244="aceptable",AZ244="aceptable",BA244="aceptable"),"Qcorrecto","Qincorrecto"))</f><v /></c><c r="AY244" s="390"><f>IF(AR244&lt;$AH$6,"error",IF(AR244&gt;$AH$6*1.1,"error","aceptable"))</f><v /></c><c r="AZ244" s="390"><f>IF(AF244&lt;$V$6,"error",IF(AF244&gt;$V$6*1.1,"error","aceptable"))</f><v /></c><c r="BA244" s="390"><f>IF(T244&lt;$J$6*0.9,"error",IF(T244&gt;$J$6,"error","aceptable"))</f><v /></c><c r="BB244" s="25"><f>(IF(ABS(U244)&lt;1.05,"CONFORME",IF(ABS(AG244)&lt;1.05,"CONFORME",IF(ABS(AS244)&lt;2.55,"CONFORME","NO CONFORME"))))</f><v /></c><c r="BC244" s="5"><f>(IF(ABS(U244)&gt;2.05,"NO CONFORME",IF(ABS(AG244)&gt;2.05,"NO CONFORME",IF(ABS(AS244)&gt;5.05,"NO CONFORME","CONFORME"))))</f><v /></c><c r="BD244" s="374"><f>SIGN(U244)</f><v /></c><c r="BE244" s="374"><f>SIGN(AG244)</f><v /></c><c r="BF244" s="374"><f>SIGN(AS244)</f><v /></c><c r="BG244" s="374"><f>CONCATENATE(BD244,BE244,BF244)</f><v /></c><c r="BH244" s="374"><f>IF(BG244="111","SI","SD")</f><v /></c><c r="BI244" s="374"><f>IF(BG244="-1-1-1","SI","SD")</f><v /></c><c r="BJ244" s="374"><f>OR(BH244="SI",BI244="SI")</f><v /></c><c r="BK244" s="374"><f>IF(BJ244=FALSE,"SIGDIFERENTES","SIGIGUALES")</f><v /></c><c r="BL244" s="390"><f>IF(BC244="NO CONFORME","NO CONFORME",IF(BB244="CONFORME","CONFORME","NO CONFORME"))</f><v /></c></row><row r="245" ht="14.4" customHeight="1" thickBot="1"><c r="A245" s="443" t="n"><v>237</v></c><c r="B245" s="375"><f>B244</f><v /></c><c r="C245" s="375"><f>C244</f><v /></c><c r="D245" s="376"><f>D244</f><v /></c><c r="E245" s="377"><f>E244</f><v /></c><c r="F245" s="13" t="n" /><c r="G245" s="312" t="inlineStr"><is><t>PA25516945</t></is></c><c r="H245" s="313"><f>H244</f><v /></c><c r="I245" s="38"><f>I244</f><v /></c><c r="J245" s="314"><f>J244</f><v /></c><c r="K245" s="378"><f>K244</f><v /></c><c r="L245" s="378"><f>L244</f><v /></c><c r="M245" s="379" t="n"><v>136.06</v></c><c r="N245" s="379" t="n"><v>235.26</v></c><c r="O245" s="380"><f>O244</f><v /></c><c r="P245" s="381"><f>P244</f><v /></c><c r="Q245" s="382"><f>LEFT(P245,1)</f><v /></c><c r="R245" s="382"><f>RIGHT(P245,6)</f><v /></c><c r="S245" s="382"><f>+(Q245*60+R245)/(60*60)</f><v /></c><c r="T245" s="383"><f>+O245/S245</f><v /></c><c r="U245" s="384"><f>+(((N245-M245-O245)/O245)*100)</f><v /></c><c r="V245" s="317"><f>V244</f><v /></c><c r="W245" s="378"><f>W244</f><v /></c><c r="X245" s="378"><f>X244</f><v /></c><c r="Y245" s="379" t="n"><v>243.53</v></c><c r="Z245" s="379" t="n"><v>253.49</v></c><c r="AA245" s="386"><f>AA244</f><v /></c><c r="AB245" s="387"><f>AB244</f><v /></c><c r="AC245" s="382"><f>LEFT(AB245,2)</f><v /></c><c r="AD245" s="382"><f>RIGHT(AB245,6)</f><v /></c><c r="AE245" s="382"><f>+(AC245*60+AD245)/(60*60)</f><v /></c><c r="AF245" s="383"><f>+AA245/AE245</f><v /></c><c r="AG245" s="321"><f>+(((Z245-Y245-AA245)/AA245)*100)</f><v /></c><c r="AH245" s="317"><f>AH244</f><v /></c><c r="AI245" s="378"><f>AI244</f><v /></c><c r="AJ245" s="378"><f>AJ244</f><v /></c><c r="AK245" s="379"><f>Z245</f><v /></c><c r="AL245" s="379" t="n"><v>258.58</v></c><c r="AM245" s="388"><f>AM244</f><v /></c><c r="AN245" s="381"><f>AN244</f><v /></c><c r="AO245" s="382"><f>LEFT(AN245,2)</f><v /></c><c r="AP245" s="382"><f>RIGHT(AN245,6)</f><v /></c><c r="AQ245" s="382"><f>+(AO245*60+AP245)/(60*60)</f><v /></c><c r="AR245" s="383"><f>+AM245/AQ245</f><v /></c><c r="AS245" s="321"><f>+(((AL245-AK245-AM245)/AM245)*100)</f><v /></c><c r="AT245" s="389"><f>IF(I245&gt;=1,"NO CONFORME",IF(BK245="SIGDIFERENTES",BC245,BL245))</f><v /></c><c r="AU245" s="372"><f>B245=C245</f><v /></c><c r="AV245" s="372"><f>N245&lt;Y245</f><v /></c><c r="AW245" s="372"><f>Z245&lt;=AK245</f><v /></c><c r="AX245" s="372"><f>IF(I245&gt;=1,"Qcorrecto",IF(AND(AY245="aceptable",AZ245="aceptable",BA245="aceptable"),"Qcorrecto","Qincorrecto"))</f><v /></c><c r="AY245" s="390"><f>IF(AR245&lt;$AH$6,"error",IF(AR245&gt;$AH$6*1.1,"error","aceptable"))</f><v /></c><c r="AZ245" s="390"><f>IF(AF245&lt;$V$6,"error",IF(AF245&gt;$V$6*1.1,"error","aceptable"))</f><v /></c><c r="BA245" s="390"><f>IF(T245&lt;$J$6*0.9,"error",IF(T245&gt;$J$6,"error","aceptable"))</f><v /></c><c r="BB245" s="25"><f>(IF(ABS(U245)&lt;1.05,"CONFORME",IF(ABS(AG245)&lt;1.05,"CONFORME",IF(ABS(AS245)&lt;2.55,"CONFORME","NO CONFORME"))))</f><v /></c><c r="BC245" s="5"><f>(IF(ABS(U245)&gt;2.05,"NO CONFORME",IF(ABS(AG245)&gt;2.05,"NO CONFORME",IF(ABS(AS245)&gt;5.05,"NO CONFORME","CONFORME"))))</f><v /></c><c r="BD245" s="374"><f>SIGN(U245)</f><v /></c><c r="BE245" s="374"><f>SIGN(AG245)</f><v /></c><c r="BF245" s="374"><f>SIGN(AS245)</f><v /></c><c r="BG245" s="374"><f>CONCATENATE(BD245,BE245,BF245)</f><v /></c><c r="BH245" s="374"><f>IF(BG245="111","SI","SD")</f><v /></c><c r="BI245" s="374"><f>IF(BG245="-1-1-1","SI","SD")</f><v /></c><c r="BJ245" s="374"><f>OR(BH245="SI",BI245="SI")</f><v /></c><c r="BK245" s="374"><f>IF(BJ245=FALSE,"SIGDIFERENTES","SIGIGUALES")</f><v /></c><c r="BL245" s="390"><f>IF(BC245="NO CONFORME","NO CONFORME",IF(BB245="CONFORME","CONFORME","NO CONFORME"))</f><v /></c></row><row r="246" ht="14.4" customHeight="1" thickBot="1"><c r="A246" s="443" t="n"><v>238</v></c><c r="B246" s="375"><f>B245</f><v /></c><c r="C246" s="375"><f>C245</f><v /></c><c r="D246" s="376"><f>D245</f><v /></c><c r="E246" s="377"><f>E245</f><v /></c><c r="F246" s="13" t="n" /><c r="G246" s="312" t="inlineStr"><is><t>PA25516946</t></is></c><c r="H246" s="313"><f>H245</f><v /></c><c r="I246" s="38"><f>I245</f><v /></c><c r="J246" s="314"><f>J245</f><v /></c><c r="K246" s="378"><f>K245</f><v /></c><c r="L246" s="378"><f>L245</f><v /></c><c r="M246" s="379" t="n"><v>136.59</v></c><c r="N246" s="379" t="n"><v>236.33</v></c><c r="O246" s="380"><f>O245</f><v /></c><c r="P246" s="381"><f>P245</f><v /></c><c r="Q246" s="382"><f>LEFT(P246,1)</f><v /></c><c r="R246" s="382"><f>RIGHT(P246,6)</f><v /></c><c r="S246" s="382"><f>+(Q246*60+R246)/(60*60)</f><v /></c><c r="T246" s="383"><f>+O246/S246</f><v /></c><c r="U246" s="384"><f>+(((N246-M246-O246)/O246)*100)</f><v /></c><c r="V246" s="317"><f>V245</f><v /></c><c r="W246" s="378"><f>W245</f><v /></c><c r="X246" s="378"><f>X245</f><v /></c><c r="Y246" s="379" t="n"><v>244.64</v></c><c r="Z246" s="379" t="n"><v>254.62</v></c><c r="AA246" s="386"><f>AA245</f><v /></c><c r="AB246" s="387"><f>AB245</f><v /></c><c r="AC246" s="382"><f>LEFT(AB246,2)</f><v /></c><c r="AD246" s="382"><f>RIGHT(AB246,6)</f><v /></c><c r="AE246" s="382"><f>+(AC246*60+AD246)/(60*60)</f><v /></c><c r="AF246" s="383"><f>+AA246/AE246</f><v /></c><c r="AG246" s="321"><f>+(((Z246-Y246-AA246)/AA246)*100)</f><v /></c><c r="AH246" s="317"><f>AH245</f><v /></c><c r="AI246" s="378"><f>AI245</f><v /></c><c r="AJ246" s="378"><f>AJ245</f><v /></c><c r="AK246" s="379"><f>Z246</f><v /></c><c r="AL246" s="379" t="n"><v>259.68</v></c><c r="AM246" s="388"><f>AM245</f><v /></c><c r="AN246" s="381"><f>AN245</f><v /></c><c r="AO246" s="382"><f>LEFT(AN246,2)</f><v /></c><c r="AP246" s="382"><f>RIGHT(AN246,6)</f><v /></c><c r="AQ246" s="382"><f>+(AO246*60+AP246)/(60*60)</f><v /></c><c r="AR246" s="383"><f>+AM246/AQ246</f><v /></c><c r="AS246" s="321"><f>+(((AL246-AK246-AM246)/AM246)*100)</f><v /></c><c r="AT246" s="389"><f>IF(I246&gt;=1,"NO CONFORME",IF(BK246="SIGDIFERENTES",BC246,BL246))</f><v /></c><c r="AU246" s="372"><f>B246=C246</f><v /></c><c r="AV246" s="372"><f>N246&lt;Y246</f><v /></c><c r="AW246" s="372"><f>Z246&lt;=AK246</f><v /></c><c r="AX246" s="372"><f>IF(I246&gt;=1,"Qcorrecto",IF(AND(AY246="aceptable",AZ246="aceptable",BA246="aceptable"),"Qcorrecto","Qincorrecto"))</f><v /></c><c r="AY246" s="390"><f>IF(AR246&lt;$AH$6,"error",IF(AR246&gt;$AH$6*1.1,"error","aceptable"))</f><v /></c><c r="AZ246" s="390"><f>IF(AF246&lt;$V$6,"error",IF(AF246&gt;$V$6*1.1,"error","aceptable"))</f><v /></c><c r="BA246" s="390"><f>IF(T246&lt;$J$6*0.9,"error",IF(T246&gt;$J$6,"error","aceptable"))</f><v /></c><c r="BB246" s="25"><f>(IF(ABS(U246)&lt;1.05,"CONFORME",IF(ABS(AG246)&lt;1.05,"CONFORME",IF(ABS(AS246)&lt;2.55,"CONFORME","NO CONFORME"))))</f><v /></c><c r="BC246" s="5"><f>(IF(ABS(U246)&gt;2.05,"NO CONFORME",IF(ABS(AG246)&gt;2.05,"NO CONFORME",IF(ABS(AS246)&gt;5.05,"NO CONFORME","CONFORME"))))</f><v /></c><c r="BD246" s="374"><f>SIGN(U246)</f><v /></c><c r="BE246" s="374"><f>SIGN(AG246)</f><v /></c><c r="BF246" s="374"><f>SIGN(AS246)</f><v /></c><c r="BG246" s="374"><f>CONCATENATE(BD246,BE246,BF246)</f><v /></c><c r="BH246" s="374"><f>IF(BG246="111","SI","SD")</f><v /></c><c r="BI246" s="374"><f>IF(BG246="-1-1-1","SI","SD")</f><v /></c><c r="BJ246" s="374"><f>OR(BH246="SI",BI246="SI")</f><v /></c><c r="BK246" s="374"><f>IF(BJ246=FALSE,"SIGDIFERENTES","SIGIGUALES")</f><v /></c><c r="BL246" s="390"><f>IF(BC246="NO CONFORME","NO CONFORME",IF(BB246="CONFORME","CONFORME","NO CONFORME"))</f><v /></c></row><row r="247" ht="14.4" customHeight="1" thickBot="1"><c r="A247" s="443" t="n"><v>239</v></c><c r="B247" s="375"><f>B246</f><v /></c><c r="C247" s="375"><f>C246</f><v /></c><c r="D247" s="376"><f>D246</f><v /></c><c r="E247" s="377"><f>E246</f><v /></c><c r="F247" s="13" t="n" /><c r="G247" s="312" t="inlineStr"><is><t>PA25516947</t></is></c><c r="H247" s="313"><f>H246</f><v /></c><c r="I247" s="38"><f>I246</f><v /></c><c r="J247" s="314"><f>J246</f><v /></c><c r="K247" s="378"><f>K246</f><v /></c><c r="L247" s="378"><f>L246</f><v /></c><c r="M247" s="379" t="n"><v>136.33</v></c><c r="N247" s="379" t="n"><v>236.02</v></c><c r="O247" s="380"><f>O246</f><v /></c><c r="P247" s="381"><f>P246</f><v /></c><c r="Q247" s="382"><f>LEFT(P247,1)</f><v /></c><c r="R247" s="382"><f>RIGHT(P247,6)</f><v /></c><c r="S247" s="382"><f>+(Q247*60+R247)/(60*60)</f><v /></c><c r="T247" s="383"><f>+O247/S247</f><v /></c><c r="U247" s="384"><f>+(((N247-M247-O247)/O247)*100)</f><v /></c><c r="V247" s="317"><f>V246</f><v /></c><c r="W247" s="378"><f>W246</f><v /></c><c r="X247" s="378"><f>X246</f><v /></c><c r="Y247" s="379" t="n"><v>244.34</v></c><c r="Z247" s="379" t="n"><v>254.43</v></c><c r="AA247" s="386"><f>AA246</f><v /></c><c r="AB247" s="387"><f>AB246</f><v /></c><c r="AC247" s="382"><f>LEFT(AB247,2)</f><v /></c><c r="AD247" s="382"><f>RIGHT(AB247,6)</f><v /></c><c r="AE247" s="382"><f>+(AC247*60+AD247)/(60*60)</f><v /></c><c r="AF247" s="383"><f>+AA247/AE247</f><v /></c><c r="AG247" s="321"><f>+(((Z247-Y247-AA247)/AA247)*100)</f><v /></c><c r="AH247" s="317"><f>AH246</f><v /></c><c r="AI247" s="378"><f>AI246</f><v /></c><c r="AJ247" s="378"><f>AJ246</f><v /></c><c r="AK247" s="379"><f>Z247</f><v /></c><c r="AL247" s="379" t="n"><v>259.54</v></c><c r="AM247" s="388"><f>AM246</f><v /></c><c r="AN247" s="381"><f>AN246</f><v /></c><c r="AO247" s="382"><f>LEFT(AN247,2)</f><v /></c><c r="AP247" s="382"><f>RIGHT(AN247,6)</f><v /></c><c r="AQ247" s="382"><f>+(AO247*60+AP247)/(60*60)</f><v /></c><c r="AR247" s="383"><f>+AM247/AQ247</f><v /></c><c r="AS247" s="321"><f>+(((AL247-AK247-AM247)/AM247)*100)</f><v /></c><c r="AT247" s="389"><f>IF(I247&gt;=1,"NO CONFORME",IF(BK247="SIGDIFERENTES",BC247,BL247))</f><v /></c><c r="AU247" s="372"><f>B247=C247</f><v /></c><c r="AV247" s="372"><f>N247&lt;Y247</f><v /></c><c r="AW247" s="372"><f>Z247&lt;=AK247</f><v /></c><c r="AX247" s="372"><f>IF(I247&gt;=1,"Qcorrecto",IF(AND(AY247="aceptable",AZ247="aceptable",BA247="aceptable"),"Qcorrecto","Qincorrecto"))</f><v /></c><c r="AY247" s="390"><f>IF(AR247&lt;$AH$6,"error",IF(AR247&gt;$AH$6*1.1,"error","aceptable"))</f><v /></c><c r="AZ247" s="390"><f>IF(AF247&lt;$V$6,"error",IF(AF247&gt;$V$6*1.1,"error","aceptable"))</f><v /></c><c r="BA247" s="390"><f>IF(T247&lt;$J$6*0.9,"error",IF(T247&gt;$J$6,"error","aceptable"))</f><v /></c><c r="BB247" s="25"><f>(IF(ABS(U247)&lt;1.05,"CONFORME",IF(ABS(AG247)&lt;1.05,"CONFORME",IF(ABS(AS247)&lt;2.55,"CONFORME","NO CONFORME"))))</f><v /></c><c r="BC247" s="5"><f>(IF(ABS(U247)&gt;2.05,"NO CONFORME",IF(ABS(AG247)&gt;2.05,"NO CONFORME",IF(ABS(AS247)&gt;5.05,"NO CONFORME","CONFORME"))))</f><v /></c><c r="BD247" s="374"><f>SIGN(U247)</f><v /></c><c r="BE247" s="374"><f>SIGN(AG247)</f><v /></c><c r="BF247" s="374"><f>SIGN(AS247)</f><v /></c><c r="BG247" s="374"><f>CONCATENATE(BD247,BE247,BF247)</f><v /></c><c r="BH247" s="374"><f>IF(BG247="111","SI","SD")</f><v /></c><c r="BI247" s="374"><f>IF(BG247="-1-1-1","SI","SD")</f><v /></c><c r="BJ247" s="374"><f>OR(BH247="SI",BI247="SI")</f><v /></c><c r="BK247" s="374"><f>IF(BJ247=FALSE,"SIGDIFERENTES","SIGIGUALES")</f><v /></c><c r="BL247" s="390"><f>IF(BC247="NO CONFORME","NO CONFORME",IF(BB247="CONFORME","CONFORME","NO CONFORME"))</f><v /></c></row><row r="248" ht="14.4" customHeight="1" thickBot="1"><c r="A248" s="443" t="n"><v>240</v></c><c r="B248" s="375"><f>B247</f><v /></c><c r="C248" s="375"><f>C247</f><v /></c><c r="D248" s="376"><f>D247</f><v /></c><c r="E248" s="377"><f>E247</f><v /></c><c r="F248" s="13" t="n" /><c r="G248" s="312" t="inlineStr"><is><t>PA25516948</t></is></c><c r="H248" s="313"><f>H247</f><v /></c><c r="I248" s="38"><f>I247</f><v /></c><c r="J248" s="314"><f>J247</f><v /></c><c r="K248" s="378"><f>K247</f><v /></c><c r="L248" s="378"><f>L247</f><v /></c><c r="M248" s="379" t="n"><v>136.54</v></c><c r="N248" s="379" t="n"><v>236.54</v></c><c r="O248" s="380"><f>O247</f><v /></c><c r="P248" s="381"><f>P247</f><v /></c><c r="Q248" s="382"><f>LEFT(P248,1)</f><v /></c><c r="R248" s="382"><f>RIGHT(P248,6)</f><v /></c><c r="S248" s="382"><f>+(Q248*60+R248)/(60*60)</f><v /></c><c r="T248" s="383"><f>+O248/S248</f><v /></c><c r="U248" s="384"><f>+(((N248-M248-O248)/O248)*100)</f><v /></c><c r="V248" s="317"><f>V247</f><v /></c><c r="W248" s="378"><f>W247</f><v /></c><c r="X248" s="378"><f>X247</f><v /></c><c r="Y248" s="379" t="n"><v>244.86</v></c><c r="Z248" s="379" t="n"><v>254.83</v></c><c r="AA248" s="386"><f>AA247</f><v /></c><c r="AB248" s="387"><f>AB247</f><v /></c><c r="AC248" s="382"><f>LEFT(AB248,2)</f><v /></c><c r="AD248" s="382"><f>RIGHT(AB248,6)</f><v /></c><c r="AE248" s="382"><f>+(AC248*60+AD248)/(60*60)</f><v /></c><c r="AF248" s="383"><f>+AA248/AE248</f><v /></c><c r="AG248" s="321"><f>+(((Z248-Y248-AA248)/AA248)*100)</f><v /></c><c r="AH248" s="317"><f>AH247</f><v /></c><c r="AI248" s="378"><f>AI247</f><v /></c><c r="AJ248" s="378"><f>AJ247</f><v /></c><c r="AK248" s="379"><f>Z248</f><v /></c><c r="AL248" s="379" t="n"><v>259.93</v></c><c r="AM248" s="388"><f>AM247</f><v /></c><c r="AN248" s="381"><f>AN247</f><v /></c><c r="AO248" s="382"><f>LEFT(AN248,2)</f><v /></c><c r="AP248" s="382"><f>RIGHT(AN248,6)</f><v /></c><c r="AQ248" s="382"><f>+(AO248*60+AP248)/(60*60)</f><v /></c><c r="AR248" s="383"><f>+AM248/AQ248</f><v /></c><c r="AS248" s="321"><f>+(((AL248-AK248-AM248)/AM248)*100)</f><v /></c><c r="AT248" s="389"><f>IF(I248&gt;=1,"NO CONFORME",IF(BK248="SIGDIFERENTES",BC248,BL248))</f><v /></c><c r="AU248" s="372"><f>B248=C248</f><v /></c><c r="AV248" s="372"><f>N248&lt;Y248</f><v /></c><c r="AW248" s="372"><f>Z248&lt;=AK248</f><v /></c><c r="AX248" s="372"><f>IF(I248&gt;=1,"Qcorrecto",IF(AND(AY248="aceptable",AZ248="aceptable",BA248="aceptable"),"Qcorrecto","Qincorrecto"))</f><v /></c><c r="AY248" s="390"><f>IF(AR248&lt;$AH$6,"error",IF(AR248&gt;$AH$6*1.1,"error","aceptable"))</f><v /></c><c r="AZ248" s="390"><f>IF(AF248&lt;$V$6,"error",IF(AF248&gt;$V$6*1.1,"error","aceptable"))</f><v /></c><c r="BA248" s="390"><f>IF(T248&lt;$J$6*0.9,"error",IF(T248&gt;$J$6,"error","aceptable"))</f><v /></c><c r="BB248" s="25"><f>(IF(ABS(U248)&lt;1.05,"CONFORME",IF(ABS(AG248)&lt;1.05,"CONFORME",IF(ABS(AS248)&lt;2.55,"CONFORME","NO CONFORME"))))</f><v /></c><c r="BC248" s="5"><f>(IF(ABS(U248)&gt;2.05,"NO CONFORME",IF(ABS(AG248)&gt;2.05,"NO CONFORME",IF(ABS(AS248)&gt;5.05,"NO CONFORME","CONFORME"))))</f><v /></c><c r="BD248" s="374"><f>SIGN(U248)</f><v /></c><c r="BE248" s="374"><f>SIGN(AG248)</f><v /></c><c r="BF248" s="374"><f>SIGN(AS248)</f><v /></c><c r="BG248" s="374"><f>CONCATENATE(BD248,BE248,BF248)</f><v /></c><c r="BH248" s="374"><f>IF(BG248="111","SI","SD")</f><v /></c><c r="BI248" s="374"><f>IF(BG248="-1-1-1","SI","SD")</f><v /></c><c r="BJ248" s="374"><f>OR(BH248="SI",BI248="SI")</f><v /></c><c r="BK248" s="374"><f>IF(BJ248=FALSE,"SIGDIFERENTES","SIGIGUALES")</f><v /></c><c r="BL248" s="390"><f>IF(BC248="NO CONFORME","NO CONFORME",IF(BB248="CONFORME","CONFORME","NO CONFORME"))</f><v /></c></row><row r="249" ht="14.4" customHeight="1" thickBot="1"><c r="A249" s="443" t="n"><v>241</v></c><c r="B249" s="375"><f>B248</f><v /></c><c r="C249" s="375"><f>C248</f><v /></c><c r="D249" s="376"><f>D248</f><v /></c><c r="E249" s="377"><f>E248</f><v /></c><c r="F249" s="13" t="n" /><c r="G249" s="312" t="inlineStr"><is><t>PA25516949</t></is></c><c r="H249" s="313"><f>H248</f><v /></c><c r="I249" s="38"><f>I248</f><v /></c><c r="J249" s="314"><f>J248</f><v /></c><c r="K249" s="378"><f>K248</f><v /></c><c r="L249" s="378"><f>L248</f><v /></c><c r="M249" s="379" t="n"><v>137.58</v></c><c r="N249" s="379" t="n"><v>237.23</v></c><c r="O249" s="380"><f>O248</f><v /></c><c r="P249" s="381"><f>P248</f><v /></c><c r="Q249" s="382"><f>LEFT(P249,1)</f><v /></c><c r="R249" s="382"><f>RIGHT(P249,6)</f><v /></c><c r="S249" s="382"><f>+(Q249*60+R249)/(60*60)</f><v /></c><c r="T249" s="383"><f>+O249/S249</f><v /></c><c r="U249" s="384"><f>+(((N249-M249-O249)/O249)*100)</f><v /></c><c r="V249" s="317"><f>V248</f><v /></c><c r="W249" s="378"><f>W248</f><v /></c><c r="X249" s="378"><f>X248</f><v /></c><c r="Y249" s="379" t="n"><v>245.53</v></c><c r="Z249" s="379" t="n"><v>255.5</v></c><c r="AA249" s="386"><f>AA248</f><v /></c><c r="AB249" s="387"><f>AB248</f><v /></c><c r="AC249" s="382"><f>LEFT(AB249,2)</f><v /></c><c r="AD249" s="382"><f>RIGHT(AB249,6)</f><v /></c><c r="AE249" s="382"><f>+(AC249*60+AD249)/(60*60)</f><v /></c><c r="AF249" s="383"><f>+AA249/AE249</f><v /></c><c r="AG249" s="321"><f>+(((Z249-Y249-AA249)/AA249)*100)</f><v /></c><c r="AH249" s="317"><f>AH248</f><v /></c><c r="AI249" s="378"><f>AI248</f><v /></c><c r="AJ249" s="378"><f>AJ248</f><v /></c><c r="AK249" s="379"><f>Z249</f><v /></c><c r="AL249" s="379" t="n"><v>260.54</v></c><c r="AM249" s="388"><f>AM248</f><v /></c><c r="AN249" s="381"><f>AN248</f><v /></c><c r="AO249" s="382"><f>LEFT(AN249,2)</f><v /></c><c r="AP249" s="382"><f>RIGHT(AN249,6)</f><v /></c><c r="AQ249" s="382"><f>+(AO249*60+AP249)/(60*60)</f><v /></c><c r="AR249" s="383"><f>+AM249/AQ249</f><v /></c><c r="AS249" s="321"><f>+(((AL249-AK249-AM249)/AM249)*100)</f><v /></c><c r="AT249" s="389"><f>IF(I249&gt;=1,"NO CONFORME",IF(BK249="SIGDIFERENTES",BC249,BL249))</f><v /></c><c r="AU249" s="372"><f>B249=C249</f><v /></c><c r="AV249" s="372"><f>N249&lt;Y249</f><v /></c><c r="AW249" s="372"><f>Z249&lt;=AK249</f><v /></c><c r="AX249" s="372"><f>IF(I249&gt;=1,"Qcorrecto",IF(AND(AY249="aceptable",AZ249="aceptable",BA249="aceptable"),"Qcorrecto","Qincorrecto"))</f><v /></c><c r="AY249" s="390"><f>IF(AR249&lt;$AH$6,"error",IF(AR249&gt;$AH$6*1.1,"error","aceptable"))</f><v /></c><c r="AZ249" s="390"><f>IF(AF249&lt;$V$6,"error",IF(AF249&gt;$V$6*1.1,"error","aceptable"))</f><v /></c><c r="BA249" s="390"><f>IF(T249&lt;$J$6*0.9,"error",IF(T249&gt;$J$6,"error","aceptable"))</f><v /></c><c r="BB249" s="25"><f>(IF(ABS(U249)&lt;1.05,"CONFORME",IF(ABS(AG249)&lt;1.05,"CONFORME",IF(ABS(AS249)&lt;2.55,"CONFORME","NO CONFORME"))))</f><v /></c><c r="BC249" s="5"><f>(IF(ABS(U249)&gt;2.05,"NO CONFORME",IF(ABS(AG249)&gt;2.05,"NO CONFORME",IF(ABS(AS249)&gt;5.05,"NO CONFORME","CONFORME"))))</f><v /></c><c r="BD249" s="374"><f>SIGN(U249)</f><v /></c><c r="BE249" s="374"><f>SIGN(AG249)</f><v /></c><c r="BF249" s="374"><f>SIGN(AS249)</f><v /></c><c r="BG249" s="374"><f>CONCATENATE(BD249,BE249,BF249)</f><v /></c><c r="BH249" s="374"><f>IF(BG249="111","SI","SD")</f><v /></c><c r="BI249" s="374"><f>IF(BG249="-1-1-1","SI","SD")</f><v /></c><c r="BJ249" s="374"><f>OR(BH249="SI",BI249="SI")</f><v /></c><c r="BK249" s="374"><f>IF(BJ249=FALSE,"SIGDIFERENTES","SIGIGUALES")</f><v /></c><c r="BL249" s="390"><f>IF(BC249="NO CONFORME","NO CONFORME",IF(BB249="CONFORME","CONFORME","NO CONFORME"))</f><v /></c></row><row r="250" ht="14.4" customHeight="1" thickBot="1"><c r="A250" s="443" t="n"><v>242</v></c><c r="B250" s="375"><f>B249</f><v /></c><c r="C250" s="375"><f>C249</f><v /></c><c r="D250" s="376"><f>D249</f><v /></c><c r="E250" s="377"><f>E249</f><v /></c><c r="F250" s="13" t="n" /><c r="G250" s="312" t="inlineStr"><is><t>PA25516950</t></is></c><c r="H250" s="313"><f>H249</f><v /></c><c r="I250" s="38"><f>I249</f><v /></c><c r="J250" s="314"><f>J249</f><v /></c><c r="K250" s="378"><f>K249</f><v /></c><c r="L250" s="378"><f>L249</f><v /></c><c r="M250" s="379" t="n"><v>136.71</v></c><c r="N250" s="379" t="n"><v>236.15</v></c><c r="O250" s="380"><f>O249</f><v /></c><c r="P250" s="381"><f>P249</f><v /></c><c r="Q250" s="382"><f>LEFT(P250,1)</f><v /></c><c r="R250" s="382"><f>RIGHT(P250,6)</f><v /></c><c r="S250" s="382"><f>+(Q250*60+R250)/(60*60)</f><v /></c><c r="T250" s="383"><f>+O250/S250</f><v /></c><c r="U250" s="384"><f>+(((N250-M250-O250)/O250)*100)</f><v /></c><c r="V250" s="317"><f>V249</f><v /></c><c r="W250" s="378"><f>W249</f><v /></c><c r="X250" s="378"><f>X249</f><v /></c><c r="Y250" s="379" t="n"><v>244.43</v></c><c r="Z250" s="379" t="n"><v>254.41</v></c><c r="AA250" s="386"><f>AA249</f><v /></c><c r="AB250" s="387"><f>AB249</f><v /></c><c r="AC250" s="382"><f>LEFT(AB250,2)</f><v /></c><c r="AD250" s="382"><f>RIGHT(AB250,6)</f><v /></c><c r="AE250" s="382"><f>+(AC250*60+AD250)/(60*60)</f><v /></c><c r="AF250" s="383"><f>+AA250/AE250</f><v /></c><c r="AG250" s="321"><f>+(((Z250-Y250-AA250)/AA250)*100)</f><v /></c><c r="AH250" s="317"><f>AH249</f><v /></c><c r="AI250" s="378"><f>AI249</f><v /></c><c r="AJ250" s="378"><f>AJ249</f><v /></c><c r="AK250" s="379"><f>Z250</f><v /></c><c r="AL250" s="379" t="n"><v>259.49</v></c><c r="AM250" s="388"><f>AM249</f><v /></c><c r="AN250" s="381"><f>AN249</f><v /></c><c r="AO250" s="382"><f>LEFT(AN250,2)</f><v /></c><c r="AP250" s="382"><f>RIGHT(AN250,6)</f><v /></c><c r="AQ250" s="382"><f>+(AO250*60+AP250)/(60*60)</f><v /></c><c r="AR250" s="383"><f>+AM250/AQ250</f><v /></c><c r="AS250" s="321"><f>+(((AL250-AK250-AM250)/AM250)*100)</f><v /></c><c r="AT250" s="389"><f>IF(I250&gt;=1,"NO CONFORME",IF(BK250="SIGDIFERENTES",BC250,BL250))</f><v /></c><c r="AU250" s="372"><f>B250=C250</f><v /></c><c r="AV250" s="372"><f>N250&lt;Y250</f><v /></c><c r="AW250" s="372"><f>Z250&lt;=AK250</f><v /></c><c r="AX250" s="372"><f>IF(I250&gt;=1,"Qcorrecto",IF(AND(AY250="aceptable",AZ250="aceptable",BA250="aceptable"),"Qcorrecto","Qincorrecto"))</f><v /></c><c r="AY250" s="390"><f>IF(AR250&lt;$AH$6,"error",IF(AR250&gt;$AH$6*1.1,"error","aceptable"))</f><v /></c><c r="AZ250" s="390"><f>IF(AF250&lt;$V$6,"error",IF(AF250&gt;$V$6*1.1,"error","aceptable"))</f><v /></c><c r="BA250" s="390"><f>IF(T250&lt;$J$6*0.9,"error",IF(T250&gt;$J$6,"error","aceptable"))</f><v /></c><c r="BB250" s="25"><f>(IF(ABS(U250)&lt;1.05,"CONFORME",IF(ABS(AG250)&lt;1.05,"CONFORME",IF(ABS(AS250)&lt;2.55,"CONFORME","NO CONFORME"))))</f><v /></c><c r="BC250" s="5"><f>(IF(ABS(U250)&gt;2.05,"NO CONFORME",IF(ABS(AG250)&gt;2.05,"NO CONFORME",IF(ABS(AS250)&gt;5.05,"NO CONFORME","CONFORME"))))</f><v /></c><c r="BD250" s="374"><f>SIGN(U250)</f><v /></c><c r="BE250" s="374"><f>SIGN(AG250)</f><v /></c><c r="BF250" s="374"><f>SIGN(AS250)</f><v /></c><c r="BG250" s="374"><f>CONCATENATE(BD250,BE250,BF250)</f><v /></c><c r="BH250" s="374"><f>IF(BG250="111","SI","SD")</f><v /></c><c r="BI250" s="374"><f>IF(BG250="-1-1-1","SI","SD")</f><v /></c><c r="BJ250" s="374"><f>OR(BH250="SI",BI250="SI")</f><v /></c><c r="BK250" s="374"><f>IF(BJ250=FALSE,"SIGDIFERENTES","SIGIGUALES")</f><v /></c><c r="BL250" s="390"><f>IF(BC250="NO CONFORME","NO CONFORME",IF(BB250="CONFORME","CONFORME","NO CONFORME"))</f><v /></c></row><row r="251" ht="15" customHeight="1" thickBot="1"><c r="A251" s="445" t="n"><v>243</v></c><c r="B251" s="392"><f>B250</f><v /></c><c r="C251" s="392"><f>C250</f><v /></c><c r="D251" s="393"><f>D250</f><v /></c><c r="E251" s="394"><f>E250</f><v /></c><c r="F251" s="52" t="n" /><c r="G251" s="325" t="inlineStr"><is><t>PA25516951</t></is></c><c r="H251" s="326"><f>H250</f><v /></c><c r="I251" s="98"><f>I250</f><v /></c><c r="J251" s="327"><f>J250</f><v /></c><c r="K251" s="396"><f>K250</f><v /></c><c r="L251" s="396"><f>L250</f><v /></c><c r="M251" s="397" t="n"><v>137.34</v></c><c r="N251" s="397" t="n"><v>237.1</v></c><c r="O251" s="398"><f>O250</f><v /></c><c r="P251" s="399"><f>P250</f><v /></c><c r="Q251" s="400"><f>LEFT(P251,1)</f><v /></c><c r="R251" s="400"><f>RIGHT(P251,6)</f><v /></c><c r="S251" s="400"><f>+(Q251*60+R251)/(60*60)</f><v /></c><c r="T251" s="401"><f>+O251/S251</f><v /></c><c r="U251" s="402"><f>+(((N251-M251-O251)/O251)*100)</f><v /></c><c r="V251" s="329"><f>V250</f><v /></c><c r="W251" s="396"><f>W250</f><v /></c><c r="X251" s="396"><f>X250</f><v /></c><c r="Y251" s="397" t="n"><v>245.4</v></c><c r="Z251" s="397" t="n"><v>255.44</v></c><c r="AA251" s="404"><f>AA250</f><v /></c><c r="AB251" s="405"><f>AB250</f><v /></c><c r="AC251" s="400"><f>LEFT(AB251,2)</f><v /></c><c r="AD251" s="400"><f>RIGHT(AB251,6)</f><v /></c><c r="AE251" s="400"><f>+(AC251*60+AD251)/(60*60)</f><v /></c><c r="AF251" s="401"><f>+AA251/AE251</f><v /></c><c r="AG251" s="406"><f>+(((Z251-Y251-AA251)/AA251)*100)</f><v /></c><c r="AH251" s="329"><f>AH250</f><v /></c><c r="AI251" s="396"><f>AI250</f><v /></c><c r="AJ251" s="396"><f>AJ250</f><v /></c><c r="AK251" s="397"><f>Z251</f><v /></c><c r="AL251" s="397" t="n"><v>260.53</v></c><c r="AM251" s="407"><f>AM250</f><v /></c><c r="AN251" s="399"><f>AN250</f><v /></c><c r="AO251" s="400"><f>LEFT(AN251,2)</f><v /></c><c r="AP251" s="400"><f>RIGHT(AN251,6)</f><v /></c><c r="AQ251" s="400"><f>+(AO251*60+AP251)/(60*60)</f><v /></c><c r="AR251" s="401"><f>+AM251/AQ251</f><v /></c><c r="AS251" s="406"><f>+(((AL251-AK251-AM251)/AM251)*100)</f><v /></c><c r="AT251" s="408"><f>IF(I251&gt;=1,"NO CONFORME",IF(BK251="SIGDIFERENTES",BC251,BL251))</f><v /></c><c r="AU251" s="409"><f>B251=C251</f><v /></c><c r="AV251" s="409"><f>N251&lt;Y251</f><v /></c><c r="AW251" s="409"><f>Z251&lt;=AK251</f><v /></c><c r="AX251" s="409"><f>IF(I251&gt;=1,"Qcorrecto",IF(AND(AY251="aceptable",AZ251="aceptable",BA251="aceptable"),"Qcorrecto","Qincorrecto"))</f><v /></c><c r="AY251" s="410"><f>IF(AR251&lt;$AH$6,"error",IF(AR251&gt;$AH$6*1.1,"error","aceptable"))</f><v /></c><c r="AZ251" s="410"><f>IF(AF251&lt;$V$6,"error",IF(AF251&gt;$V$6*1.1,"error","aceptable"))</f><v /></c><c r="BA251" s="410"><f>IF(T251&lt;$J$6*0.9,"error",IF(T251&gt;$J$6,"error","aceptable"))</f><v /></c><c r="BB251" s="411"><f>(IF(ABS(U251)&lt;1.05,"CONFORME",IF(ABS(AG251)&lt;1.05,"CONFORME",IF(ABS(AS251)&lt;2.55,"CONFORME","NO CONFORME"))))</f><v /></c><c r="BC251" s="412"><f>(IF(ABS(U251)&gt;2.05,"NO CONFORME",IF(ABS(AG251)&gt;2.05,"NO CONFORME",IF(ABS(AS251)&gt;5.05,"NO CONFORME","CONFORME"))))</f><v /></c><c r="BD251" s="413"><f>SIGN(U251)</f><v /></c><c r="BE251" s="413"><f>SIGN(AG251)</f><v /></c><c r="BF251" s="413"><f>SIGN(AS251)</f><v /></c><c r="BG251" s="413"><f>CONCATENATE(BD251,BE251,BF251)</f><v /></c><c r="BH251" s="413"><f>IF(BG251="111","SI","SD")</f><v /></c><c r="BI251" s="413"><f>IF(BG251="-1-1-1","SI","SD")</f><v /></c><c r="BJ251" s="413"><f>OR(BH251="SI",BI251="SI")</f><v /></c><c r="BK251" s="413"><f>IF(BJ251=FALSE,"SIGDIFERENTES","SIGIGUALES")</f><v /></c><c r="BL251" s="410"><f>IF(BC251="NO CONFORME","NO CONFORME",IF(BB251="CONFORME","CONFORME","NO CONFORME"))</f><v /></c></row><row r="252" ht="14.4" customHeight="1" thickBot="1"><c r="A252" s="351" t="n"><v>244</v></c><c r="B252" s="352"><f>B251</f><v /></c><c r="C252" s="352"><f>C251</f><v /></c><c r="D252" s="353"><f>D251</f><v /></c><c r="E252" s="354"><f>E251</f><v /></c><c r="F252" s="58" t="n" /><c r="G252" s="300" t="inlineStr"><is><t>PA25516952</t></is></c><c r="H252" s="356"><f>H251</f><v /></c><c r="I252" s="232"><f>I251</f><v /></c><c r="J252" s="357" t="n"><v>21.1</v></c><c r="K252" s="358" t="n"><v>8.333</v></c><c r="L252" s="358" t="n"><v>0.534</v></c><c r="M252" s="359" t="n"><v>78.95999999999999</v></c><c r="N252" s="359" t="n"><v>178.49</v></c><c r="O252" s="360" t="n"><v>100.32</v></c><c r="P252" s="361" t="inlineStr"><is><t>2,30,130</t></is></c><c r="Q252" s="362"><f>LEFT(P252,1)</f><v /></c><c r="R252" s="362"><f>RIGHT(P252,6)</f><v /></c><c r="S252" s="362"><f>+(Q252*60+R252)/(60*60)</f><v /></c><c r="T252" s="363"><f>+O252/S252</f><v /></c><c r="U252" s="364"><f>+(((N252-M252-O252)/O252)*100)</f><v /></c><c r="V252" s="365" t="n"><v>21.1</v></c><c r="W252" s="358" t="n"><v>1.4</v></c><c r="X252" s="358" t="n"><v>1.4</v></c><c r="Y252" s="359" t="n"><v>190.38</v></c><c r="Z252" s="359" t="n"><v>200.33</v></c><c r="AA252" s="367" t="n"><v>10.032</v></c><c r="AB252" s="368" t="inlineStr"><is><t>22,50,450</t></is></c><c r="AC252" s="362"><f>LEFT(AB252,2)</f><v /></c><c r="AD252" s="362"><f>RIGHT(AB252,6)</f><v /></c><c r="AE252" s="362"><f>+(AC252*60+AD252)/(60*60)</f><v /></c><c r="AF252" s="363"><f>+AA252/AE252</f><v /></c><c r="AG252" s="369"><f>+(((Z252-Y252-AA252)/AA252)*100)</f><v /></c><c r="AH252" s="365" t="n"><v>21.1</v></c><c r="AI252" s="358" t="n"><v>1.402</v></c><c r="AJ252" s="358" t="n"><v>1.402</v></c><c r="AK252" s="359"><f>Z252</f><v /></c><c r="AL252" s="359" t="n"><v>205.36</v></c><c r="AM252" s="370" t="n"><v>5.014</v></c><c r="AN252" s="361" t="inlineStr"><is><t>18,18,510</t></is></c><c r="AO252" s="362"><f>LEFT(AN252,2)</f><v /></c><c r="AP252" s="362"><f>RIGHT(AN252,6)</f><v /></c><c r="AQ252" s="362"><f>+(AO252*60+AP252)/(60*60)</f><v /></c><c r="AR252" s="363"><f>+AM252/AQ252</f><v /></c><c r="AS252" s="369"><f>+(((AL252-AK252-AM252)/AM252)*100)</f><v /></c><c r="AT252" s="371"><f>IF(I252&gt;=1,"NO CONFORME",IF(BK252="SIGDIFERENTES",BC252,BL252))</f><v /></c><c r="AU252" s="372"><f>B252=C252</f><v /></c><c r="AV252" s="372"><f>N252&lt;Y252</f><v /></c><c r="AW252" s="372"><f>Z252&lt;=AK252</f><v /></c><c r="AX252" s="372"><f>IF(I252&gt;=1,"Qcorrecto",IF(AND(AY252="aceptable",AZ252="aceptable",BA252="aceptable"),"Qcorrecto","Qincorrecto"))</f><v /></c><c r="AY252" s="373"><f>IF(AR252&lt;$AH$6,"error",IF(AR252&gt;$AH$6*1.1,"error","aceptable"))</f><v /></c><c r="AZ252" s="373"><f>IF(AF252&lt;$V$6,"error",IF(AF252&gt;$V$6*1.1,"error","aceptable"))</f><v /></c><c r="BA252" s="373"><f>IF(T252&lt;$J$6*0.9,"error",IF(T252&gt;$J$6,"error","aceptable"))</f><v /></c><c r="BB252" s="25"><f>(IF(ABS(U252)&lt;1.05,"CONFORME",IF(ABS(AG252)&lt;1.05,"CONFORME",IF(ABS(AS252)&lt;2.55,"CONFORME","NO CONFORME"))))</f><v /></c><c r="BC252" s="5"><f>(IF(ABS(U252)&gt;2.05,"NO CONFORME",IF(ABS(AG252)&gt;2.05,"NO CONFORME",IF(ABS(AS252)&gt;5.05,"NO CONFORME","CONFORME"))))</f><v /></c><c r="BD252" s="374"><f>SIGN(U252)</f><v /></c><c r="BE252" s="374"><f>SIGN(AG252)</f><v /></c><c r="BF252" s="374"><f>SIGN(AS252)</f><v /></c><c r="BG252" s="374"><f>CONCATENATE(BD252,BE252,BF252)</f><v /></c><c r="BH252" s="374"><f>IF(BG252="111","SI","SD")</f><v /></c><c r="BI252" s="374"><f>IF(BG252="-1-1-1","SI","SD")</f><v /></c><c r="BJ252" s="374"><f>OR(BH252="SI",BI252="SI")</f><v /></c><c r="BK252" s="374"><f>IF(BJ252=FALSE,"SIGDIFERENTES","SIGIGUALES")</f><v /></c><c r="BL252" s="373"><f>IF(BC252="NO CONFORME","NO CONFORME",IF(BB252="CONFORME","CONFORME","NO CONFORME"))</f><v /></c></row><row r="253" ht="14.4" customHeight="1" thickBot="1"><c r="A253" s="443" t="n"><v>245</v></c><c r="B253" s="375"><f>B252</f><v /></c><c r="C253" s="375"><f>C252</f><v /></c><c r="D253" s="376"><f>D252</f><v /></c><c r="E253" s="377"><f>E252</f><v /></c><c r="F253" s="13" t="n" /><c r="G253" s="312" t="inlineStr"><is><t>PA25516953</t></is></c><c r="H253" s="313"><f>H252</f><v /></c><c r="I253" s="38"><f>I252</f><v /></c><c r="J253" s="314"><f>J252</f><v /></c><c r="K253" s="378"><f>K252</f><v /></c><c r="L253" s="378"><f>L252</f><v /></c><c r="M253" s="379" t="n"><v>79.06999999999999</v></c><c r="N253" s="379" t="n"><v>178.43</v></c><c r="O253" s="380"><f>O252</f><v /></c><c r="P253" s="381"><f>P252</f><v /></c><c r="Q253" s="382"><f>LEFT(P253,1)</f><v /></c><c r="R253" s="382"><f>RIGHT(P253,6)</f><v /></c><c r="S253" s="382"><f>+(Q253*60+R253)/(60*60)</f><v /></c><c r="T253" s="383"><f>+O253/S253</f><v /></c><c r="U253" s="384"><f>+(((N253-M253-O253)/O253)*100)</f><v /></c><c r="V253" s="317"><f>V252</f><v /></c><c r="W253" s="378"><f>W252</f><v /></c><c r="X253" s="378"><f>X252</f><v /></c><c r="Y253" s="379" t="n"><v>190.33</v></c><c r="Z253" s="379" t="n"><v>200.34</v></c><c r="AA253" s="386"><f>AA252</f><v /></c><c r="AB253" s="387"><f>AB252</f><v /></c><c r="AC253" s="382"><f>LEFT(AB253,2)</f><v /></c><c r="AD253" s="382"><f>RIGHT(AB253,6)</f><v /></c><c r="AE253" s="382"><f>+(AC253*60+AD253)/(60*60)</f><v /></c><c r="AF253" s="383"><f>+AA253/AE253</f><v /></c><c r="AG253" s="321"><f>+(((Z253-Y253-AA253)/AA253)*100)</f><v /></c><c r="AH253" s="317"><f>AH252</f><v /></c><c r="AI253" s="378"><f>AI252</f><v /></c><c r="AJ253" s="378"><f>AJ252</f><v /></c><c r="AK253" s="379"><f>Z253</f><v /></c><c r="AL253" s="379" t="n"><v>205.41</v></c><c r="AM253" s="388"><f>AM252</f><v /></c><c r="AN253" s="381"><f>AN252</f><v /></c><c r="AO253" s="382"><f>LEFT(AN253,2)</f><v /></c><c r="AP253" s="382"><f>RIGHT(AN253,6)</f><v /></c><c r="AQ253" s="382"><f>+(AO253*60+AP253)/(60*60)</f><v /></c><c r="AR253" s="383"><f>+AM253/AQ253</f><v /></c><c r="AS253" s="321"><f>+(((AL253-AK253-AM253)/AM253)*100)</f><v /></c><c r="AT253" s="389"><f>IF(I253&gt;=1,"NO CONFORME",IF(BK253="SIGDIFERENTES",BC253,BL253))</f><v /></c><c r="AU253" s="372"><f>B253=C253</f><v /></c><c r="AV253" s="372"><f>N253&lt;Y253</f><v /></c><c r="AW253" s="372"><f>Z253&lt;=AK253</f><v /></c><c r="AX253" s="372"><f>IF(I253&gt;=1,"Qcorrecto",IF(AND(AY253="aceptable",AZ253="aceptable",BA253="aceptable"),"Qcorrecto","Qincorrecto"))</f><v /></c><c r="AY253" s="390"><f>IF(AR253&lt;$AH$6,"error",IF(AR253&gt;$AH$6*1.1,"error","aceptable"))</f><v /></c><c r="AZ253" s="390"><f>IF(AF253&lt;$V$6,"error",IF(AF253&gt;$V$6*1.1,"error","aceptable"))</f><v /></c><c r="BA253" s="390"><f>IF(T253&lt;$J$6*0.9,"error",IF(T253&gt;$J$6,"error","aceptable"))</f><v /></c><c r="BB253" s="25"><f>(IF(ABS(U253)&lt;1.05,"CONFORME",IF(ABS(AG253)&lt;1.05,"CONFORME",IF(ABS(AS253)&lt;2.55,"CONFORME","NO CONFORME"))))</f><v /></c><c r="BC253" s="5"><f>(IF(ABS(U253)&gt;2.05,"NO CONFORME",IF(ABS(AG253)&gt;2.05,"NO CONFORME",IF(ABS(AS253)&gt;5.05,"NO CONFORME","CONFORME"))))</f><v /></c><c r="BD253" s="374"><f>SIGN(U253)</f><v /></c><c r="BE253" s="374"><f>SIGN(AG253)</f><v /></c><c r="BF253" s="374"><f>SIGN(AS253)</f><v /></c><c r="BG253" s="374"><f>CONCATENATE(BD253,BE253,BF253)</f><v /></c><c r="BH253" s="374"><f>IF(BG253="111","SI","SD")</f><v /></c><c r="BI253" s="374"><f>IF(BG253="-1-1-1","SI","SD")</f><v /></c><c r="BJ253" s="374"><f>OR(BH253="SI",BI253="SI")</f><v /></c><c r="BK253" s="374"><f>IF(BJ253=FALSE,"SIGDIFERENTES","SIGIGUALES")</f><v /></c><c r="BL253" s="390"><f>IF(BC253="NO CONFORME","NO CONFORME",IF(BB253="CONFORME","CONFORME","NO CONFORME"))</f><v /></c></row><row r="254" ht="14.4" customHeight="1" thickBot="1"><c r="A254" s="443" t="n"><v>246</v></c><c r="B254" s="375"><f>B253</f><v /></c><c r="C254" s="375"><f>C253</f><v /></c><c r="D254" s="376"><f>D253</f><v /></c><c r="E254" s="377"><f>E253</f><v /></c><c r="F254" s="13" t="n" /><c r="G254" s="312" t="inlineStr"><is><t>PA25516954</t></is></c><c r="H254" s="313"><f>H253</f><v /></c><c r="I254" s="38"><f>I253</f><v /></c><c r="J254" s="314"><f>J253</f><v /></c><c r="K254" s="378"><f>K253</f><v /></c><c r="L254" s="378"><f>L253</f><v /></c><c r="M254" s="379" t="n"><v>78.91</v></c><c r="N254" s="379" t="n"><v>178.74</v></c><c r="O254" s="380"><f>O253</f><v /></c><c r="P254" s="381"><f>P253</f><v /></c><c r="Q254" s="382"><f>LEFT(P254,1)</f><v /></c><c r="R254" s="382"><f>RIGHT(P254,6)</f><v /></c><c r="S254" s="382"><f>+(Q254*60+R254)/(60*60)</f><v /></c><c r="T254" s="383"><f>+O254/S254</f><v /></c><c r="U254" s="384"><f>+(((N254-M254-O254)/O254)*100)</f><v /></c><c r="V254" s="317"><f>V253</f><v /></c><c r="W254" s="378"><f>W253</f><v /></c><c r="X254" s="378"><f>X253</f><v /></c><c r="Y254" s="379" t="n"><v>190.66</v></c><c r="Z254" s="379" t="n"><v>200.66</v></c><c r="AA254" s="386"><f>AA253</f><v /></c><c r="AB254" s="387"><f>AB253</f><v /></c><c r="AC254" s="382"><f>LEFT(AB254,2)</f><v /></c><c r="AD254" s="382"><f>RIGHT(AB254,6)</f><v /></c><c r="AE254" s="382"><f>+(AC254*60+AD254)/(60*60)</f><v /></c><c r="AF254" s="383"><f>+AA254/AE254</f><v /></c><c r="AG254" s="321"><f>+(((Z254-Y254-AA254)/AA254)*100)</f><v /></c><c r="AH254" s="317"><f>AH253</f><v /></c><c r="AI254" s="378"><f>AI253</f><v /></c><c r="AJ254" s="378"><f>AJ253</f><v /></c><c r="AK254" s="379"><f>Z254</f><v /></c><c r="AL254" s="379" t="n"><v>205.74</v></c><c r="AM254" s="388"><f>AM253</f><v /></c><c r="AN254" s="381"><f>AN253</f><v /></c><c r="AO254" s="382"><f>LEFT(AN254,2)</f><v /></c><c r="AP254" s="382"><f>RIGHT(AN254,6)</f><v /></c><c r="AQ254" s="382"><f>+(AO254*60+AP254)/(60*60)</f><v /></c><c r="AR254" s="383"><f>+AM254/AQ254</f><v /></c><c r="AS254" s="321"><f>+(((AL254-AK254-AM254)/AM254)*100)</f><v /></c><c r="AT254" s="389"><f>IF(I254&gt;=1,"NO CONFORME",IF(BK254="SIGDIFERENTES",BC254,BL254))</f><v /></c><c r="AU254" s="372"><f>B254=C254</f><v /></c><c r="AV254" s="372"><f>N254&lt;Y254</f><v /></c><c r="AW254" s="372"><f>Z254&lt;=AK254</f><v /></c><c r="AX254" s="372"><f>IF(I254&gt;=1,"Qcorrecto",IF(AND(AY254="aceptable",AZ254="aceptable",BA254="aceptable"),"Qcorrecto","Qincorrecto"))</f><v /></c><c r="AY254" s="390"><f>IF(AR254&lt;$AH$6,"error",IF(AR254&gt;$AH$6*1.1,"error","aceptable"))</f><v /></c><c r="AZ254" s="390"><f>IF(AF254&lt;$V$6,"error",IF(AF254&gt;$V$6*1.1,"error","aceptable"))</f><v /></c><c r="BA254" s="390"><f>IF(T254&lt;$J$6*0.9,"error",IF(T254&gt;$J$6,"error","aceptable"))</f><v /></c><c r="BB254" s="25"><f>(IF(ABS(U254)&lt;1.05,"CONFORME",IF(ABS(AG254)&lt;1.05,"CONFORME",IF(ABS(AS254)&lt;2.55,"CONFORME","NO CONFORME"))))</f><v /></c><c r="BC254" s="5"><f>(IF(ABS(U254)&gt;2.05,"NO CONFORME",IF(ABS(AG254)&gt;2.05,"NO CONFORME",IF(ABS(AS254)&gt;5.05,"NO CONFORME","CONFORME"))))</f><v /></c><c r="BD254" s="374"><f>SIGN(U254)</f><v /></c><c r="BE254" s="374"><f>SIGN(AG254)</f><v /></c><c r="BF254" s="374"><f>SIGN(AS254)</f><v /></c><c r="BG254" s="374"><f>CONCATENATE(BD254,BE254,BF254)</f><v /></c><c r="BH254" s="374"><f>IF(BG254="111","SI","SD")</f><v /></c><c r="BI254" s="374"><f>IF(BG254="-1-1-1","SI","SD")</f><v /></c><c r="BJ254" s="374"><f>OR(BH254="SI",BI254="SI")</f><v /></c><c r="BK254" s="374"><f>IF(BJ254=FALSE,"SIGDIFERENTES","SIGIGUALES")</f><v /></c><c r="BL254" s="390"><f>IF(BC254="NO CONFORME","NO CONFORME",IF(BB254="CONFORME","CONFORME","NO CONFORME"))</f><v /></c></row><row r="255" ht="14.4" customHeight="1" thickBot="1"><c r="A255" s="443" t="n"><v>247</v></c><c r="B255" s="375"><f>B254</f><v /></c><c r="C255" s="375"><f>C254</f><v /></c><c r="D255" s="376"><f>D254</f><v /></c><c r="E255" s="377"><f>E254</f><v /></c><c r="F255" s="13" t="n" /><c r="G255" s="312" t="inlineStr"><is><t>PA25516955</t></is></c><c r="H255" s="313"><f>H254</f><v /></c><c r="I255" s="38"><f>I254</f><v /></c><c r="J255" s="314"><f>J254</f><v /></c><c r="K255" s="378"><f>K254</f><v /></c><c r="L255" s="378"><f>L254</f><v /></c><c r="M255" s="379" t="n"><v>82.47</v></c><c r="N255" s="379" t="n"><v>181.96</v></c><c r="O255" s="380"><f>O254</f><v /></c><c r="P255" s="381"><f>P254</f><v /></c><c r="Q255" s="382"><f>LEFT(P255,1)</f><v /></c><c r="R255" s="382"><f>RIGHT(P255,6)</f><v /></c><c r="S255" s="382"><f>+(Q255*60+R255)/(60*60)</f><v /></c><c r="T255" s="383"><f>+O255/S255</f><v /></c><c r="U255" s="384"><f>+(((N255-M255-O255)/O255)*100)</f><v /></c><c r="V255" s="317"><f>V254</f><v /></c><c r="W255" s="378"><f>W254</f><v /></c><c r="X255" s="378"><f>X254</f><v /></c><c r="Y255" s="379" t="n"><v>193.86</v></c><c r="Z255" s="379" t="n"><v>203.83</v></c><c r="AA255" s="386"><f>AA254</f><v /></c><c r="AB255" s="387"><f>AB254</f><v /></c><c r="AC255" s="382"><f>LEFT(AB255,2)</f><v /></c><c r="AD255" s="382"><f>RIGHT(AB255,6)</f><v /></c><c r="AE255" s="382"><f>+(AC255*60+AD255)/(60*60)</f><v /></c><c r="AF255" s="383"><f>+AA255/AE255</f><v /></c><c r="AG255" s="321"><f>+(((Z255-Y255-AA255)/AA255)*100)</f><v /></c><c r="AH255" s="317"><f>AH254</f><v /></c><c r="AI255" s="378"><f>AI254</f><v /></c><c r="AJ255" s="378"><f>AJ254</f><v /></c><c r="AK255" s="379"><f>Z255</f><v /></c><c r="AL255" s="379" t="n"><v>208.9</v></c><c r="AM255" s="388"><f>AM254</f><v /></c><c r="AN255" s="381"><f>AN254</f><v /></c><c r="AO255" s="382"><f>LEFT(AN255,2)</f><v /></c><c r="AP255" s="382"><f>RIGHT(AN255,6)</f><v /></c><c r="AQ255" s="382"><f>+(AO255*60+AP255)/(60*60)</f><v /></c><c r="AR255" s="383"><f>+AM255/AQ255</f><v /></c><c r="AS255" s="321"><f>+(((AL255-AK255-AM255)/AM255)*100)</f><v /></c><c r="AT255" s="389"><f>IF(I255&gt;=1,"NO CONFORME",IF(BK255="SIGDIFERENTES",BC255,BL255))</f><v /></c><c r="AU255" s="372"><f>B255=C255</f><v /></c><c r="AV255" s="372"><f>N255&lt;Y255</f><v /></c><c r="AW255" s="372"><f>Z255&lt;=AK255</f><v /></c><c r="AX255" s="372"><f>IF(I255&gt;=1,"Qcorrecto",IF(AND(AY255="aceptable",AZ255="aceptable",BA255="aceptable"),"Qcorrecto","Qincorrecto"))</f><v /></c><c r="AY255" s="390"><f>IF(AR255&lt;$AH$6,"error",IF(AR255&gt;$AH$6*1.1,"error","aceptable"))</f><v /></c><c r="AZ255" s="390"><f>IF(AF255&lt;$V$6,"error",IF(AF255&gt;$V$6*1.1,"error","aceptable"))</f><v /></c><c r="BA255" s="390"><f>IF(T255&lt;$J$6*0.9,"error",IF(T255&gt;$J$6,"error","aceptable"))</f><v /></c><c r="BB255" s="25"><f>(IF(ABS(U255)&lt;1.05,"CONFORME",IF(ABS(AG255)&lt;1.05,"CONFORME",IF(ABS(AS255)&lt;2.55,"CONFORME","NO CONFORME"))))</f><v /></c><c r="BC255" s="5"><f>(IF(ABS(U255)&gt;2.05,"NO CONFORME",IF(ABS(AG255)&gt;2.05,"NO CONFORME",IF(ABS(AS255)&gt;5.05,"NO CONFORME","CONFORME"))))</f><v /></c><c r="BD255" s="374"><f>SIGN(U255)</f><v /></c><c r="BE255" s="374"><f>SIGN(AG255)</f><v /></c><c r="BF255" s="374"><f>SIGN(AS255)</f><v /></c><c r="BG255" s="374"><f>CONCATENATE(BD255,BE255,BF255)</f><v /></c><c r="BH255" s="374"><f>IF(BG255="111","SI","SD")</f><v /></c><c r="BI255" s="374"><f>IF(BG255="-1-1-1","SI","SD")</f><v /></c><c r="BJ255" s="374"><f>OR(BH255="SI",BI255="SI")</f><v /></c><c r="BK255" s="374"><f>IF(BJ255=FALSE,"SIGDIFERENTES","SIGIGUALES")</f><v /></c><c r="BL255" s="390"><f>IF(BC255="NO CONFORME","NO CONFORME",IF(BB255="CONFORME","CONFORME","NO CONFORME"))</f><v /></c></row><row r="256" ht="14.4" customHeight="1" thickBot="1"><c r="A256" s="443" t="n"><v>248</v></c><c r="B256" s="375"><f>B255</f><v /></c><c r="C256" s="375"><f>C255</f><v /></c><c r="D256" s="376"><f>D255</f><v /></c><c r="E256" s="377"><f>E255</f><v /></c><c r="F256" s="13" t="n" /><c r="G256" s="312" t="inlineStr"><is><t>PA25516956</t></is></c><c r="H256" s="313"><f>H255</f><v /></c><c r="I256" s="38"><f>I255</f><v /></c><c r="J256" s="314"><f>J255</f><v /></c><c r="K256" s="378"><f>K255</f><v /></c><c r="L256" s="378"><f>L255</f><v /></c><c r="M256" s="379" t="n"><v>80</v></c><c r="N256" s="379" t="n"><v>179.38</v></c><c r="O256" s="380"><f>O255</f><v /></c><c r="P256" s="381"><f>P255</f><v /></c><c r="Q256" s="382"><f>LEFT(P256,1)</f><v /></c><c r="R256" s="382"><f>RIGHT(P256,6)</f><v /></c><c r="S256" s="382"><f>+(Q256*60+R256)/(60*60)</f><v /></c><c r="T256" s="383"><f>+O256/S256</f><v /></c><c r="U256" s="384"><f>+(((N256-M256-O256)/O256)*100)</f><v /></c><c r="V256" s="317"><f>V255</f><v /></c><c r="W256" s="378"><f>W255</f><v /></c><c r="X256" s="378"><f>X255</f><v /></c><c r="Y256" s="379" t="n"><v>191.23</v></c><c r="Z256" s="379" t="n"><v>201.24</v></c><c r="AA256" s="386"><f>AA255</f><v /></c><c r="AB256" s="387"><f>AB255</f><v /></c><c r="AC256" s="382"><f>LEFT(AB256,2)</f><v /></c><c r="AD256" s="382"><f>RIGHT(AB256,6)</f><v /></c><c r="AE256" s="382"><f>+(AC256*60+AD256)/(60*60)</f><v /></c><c r="AF256" s="383"><f>+AA256/AE256</f><v /></c><c r="AG256" s="321"><f>+(((Z256-Y256-AA256)/AA256)*100)</f><v /></c><c r="AH256" s="317"><f>AH255</f><v /></c><c r="AI256" s="378"><f>AI255</f><v /></c><c r="AJ256" s="378"><f>AJ255</f><v /></c><c r="AK256" s="379"><f>Z256</f><v /></c><c r="AL256" s="379" t="n"><v>206.33</v></c><c r="AM256" s="388"><f>AM255</f><v /></c><c r="AN256" s="381"><f>AN255</f><v /></c><c r="AO256" s="382"><f>LEFT(AN256,2)</f><v /></c><c r="AP256" s="382"><f>RIGHT(AN256,6)</f><v /></c><c r="AQ256" s="382"><f>+(AO256*60+AP256)/(60*60)</f><v /></c><c r="AR256" s="383"><f>+AM256/AQ256</f><v /></c><c r="AS256" s="321"><f>+(((AL256-AK256-AM256)/AM256)*100)</f><v /></c><c r="AT256" s="389"><f>IF(I256&gt;=1,"NO CONFORME",IF(BK256="SIGDIFERENTES",BC256,BL256))</f><v /></c><c r="AU256" s="372"><f>B256=C256</f><v /></c><c r="AV256" s="372"><f>N256&lt;Y256</f><v /></c><c r="AW256" s="372"><f>Z256&lt;=AK256</f><v /></c><c r="AX256" s="372"><f>IF(I256&gt;=1,"Qcorrecto",IF(AND(AY256="aceptable",AZ256="aceptable",BA256="aceptable"),"Qcorrecto","Qincorrecto"))</f><v /></c><c r="AY256" s="390"><f>IF(AR256&lt;$AH$6,"error",IF(AR256&gt;$AH$6*1.1,"error","aceptable"))</f><v /></c><c r="AZ256" s="390"><f>IF(AF256&lt;$V$6,"error",IF(AF256&gt;$V$6*1.1,"error","aceptable"))</f><v /></c><c r="BA256" s="390"><f>IF(T256&lt;$J$6*0.9,"error",IF(T256&gt;$J$6,"error","aceptable"))</f><v /></c><c r="BB256" s="25"><f>(IF(ABS(U256)&lt;1.05,"CONFORME",IF(ABS(AG256)&lt;1.05,"CONFORME",IF(ABS(AS256)&lt;2.55,"CONFORME","NO CONFORME"))))</f><v /></c><c r="BC256" s="5"><f>(IF(ABS(U256)&gt;2.05,"NO CONFORME",IF(ABS(AG256)&gt;2.05,"NO CONFORME",IF(ABS(AS256)&gt;5.05,"NO CONFORME","CONFORME"))))</f><v /></c><c r="BD256" s="374"><f>SIGN(U256)</f><v /></c><c r="BE256" s="374"><f>SIGN(AG256)</f><v /></c><c r="BF256" s="374"><f>SIGN(AS256)</f><v /></c><c r="BG256" s="374"><f>CONCATENATE(BD256,BE256,BF256)</f><v /></c><c r="BH256" s="374"><f>IF(BG256="111","SI","SD")</f><v /></c><c r="BI256" s="374"><f>IF(BG256="-1-1-1","SI","SD")</f><v /></c><c r="BJ256" s="374"><f>OR(BH256="SI",BI256="SI")</f><v /></c><c r="BK256" s="374"><f>IF(BJ256=FALSE,"SIGDIFERENTES","SIGIGUALES")</f><v /></c><c r="BL256" s="390"><f>IF(BC256="NO CONFORME","NO CONFORME",IF(BB256="CONFORME","CONFORME","NO CONFORME"))</f><v /></c></row><row r="257" ht="14.4" customHeight="1" thickBot="1"><c r="A257" s="443" t="n"><v>249</v></c><c r="B257" s="375"><f>B256</f><v /></c><c r="C257" s="375"><f>C256</f><v /></c><c r="D257" s="376"><f>D256</f><v /></c><c r="E257" s="377"><f>E256</f><v /></c><c r="F257" s="13" t="n" /><c r="G257" s="312" t="inlineStr"><is><t>PA25516957</t></is></c><c r="H257" s="313"><f>H256</f><v /></c><c r="I257" s="38"><f>I256</f><v /></c><c r="J257" s="314"><f>J256</f><v /></c><c r="K257" s="378"><f>K256</f><v /></c><c r="L257" s="378"><f>L256</f><v /></c><c r="M257" s="379" t="n"><v>79.84</v></c><c r="N257" s="379" t="n"><v>179.7</v></c><c r="O257" s="380"><f>O256</f><v /></c><c r="P257" s="381"><f>P256</f><v /></c><c r="Q257" s="382"><f>LEFT(P257,1)</f><v /></c><c r="R257" s="382"><f>RIGHT(P257,6)</f><v /></c><c r="S257" s="382"><f>+(Q257*60+R257)/(60*60)</f><v /></c><c r="T257" s="383"><f>+O257/S257</f><v /></c><c r="U257" s="384"><f>+(((N257-M257-O257)/O257)*100)</f><v /></c><c r="V257" s="317"><f>V256</f><v /></c><c r="W257" s="378"><f>W256</f><v /></c><c r="X257" s="378"><f>X256</f><v /></c><c r="Y257" s="379" t="n"><v>191.62</v></c><c r="Z257" s="379" t="n"><v>201.58</v></c><c r="AA257" s="386"><f>AA256</f><v /></c><c r="AB257" s="387"><f>AB256</f><v /></c><c r="AC257" s="382"><f>LEFT(AB257,2)</f><v /></c><c r="AD257" s="382"><f>RIGHT(AB257,6)</f><v /></c><c r="AE257" s="382"><f>+(AC257*60+AD257)/(60*60)</f><v /></c><c r="AF257" s="383"><f>+AA257/AE257</f><v /></c><c r="AG257" s="321"><f>+(((Z257-Y257-AA257)/AA257)*100)</f><v /></c><c r="AH257" s="317"><f>AH256</f><v /></c><c r="AI257" s="378"><f>AI256</f><v /></c><c r="AJ257" s="378"><f>AJ256</f><v /></c><c r="AK257" s="379"><f>Z257</f><v /></c><c r="AL257" s="379" t="n"><v>206.54</v></c><c r="AM257" s="388"><f>AM256</f><v /></c><c r="AN257" s="381"><f>AN256</f><v /></c><c r="AO257" s="382"><f>LEFT(AN257,2)</f><v /></c><c r="AP257" s="382"><f>RIGHT(AN257,6)</f><v /></c><c r="AQ257" s="382"><f>+(AO257*60+AP257)/(60*60)</f><v /></c><c r="AR257" s="383"><f>+AM257/AQ257</f><v /></c><c r="AS257" s="321"><f>+(((AL257-AK257-AM257)/AM257)*100)</f><v /></c><c r="AT257" s="389"><f>IF(I257&gt;=1,"NO CONFORME",IF(BK257="SIGDIFERENTES",BC257,BL257))</f><v /></c><c r="AU257" s="372"><f>B257=C257</f><v /></c><c r="AV257" s="372"><f>N257&lt;Y257</f><v /></c><c r="AW257" s="372"><f>Z257&lt;=AK257</f><v /></c><c r="AX257" s="372"><f>IF(I257&gt;=1,"Qcorrecto",IF(AND(AY257="aceptable",AZ257="aceptable",BA257="aceptable"),"Qcorrecto","Qincorrecto"))</f><v /></c><c r="AY257" s="390"><f>IF(AR257&lt;$AH$6,"error",IF(AR257&gt;$AH$6*1.1,"error","aceptable"))</f><v /></c><c r="AZ257" s="390"><f>IF(AF257&lt;$V$6,"error",IF(AF257&gt;$V$6*1.1,"error","aceptable"))</f><v /></c><c r="BA257" s="390"><f>IF(T257&lt;$J$6*0.9,"error",IF(T257&gt;$J$6,"error","aceptable"))</f><v /></c><c r="BB257" s="25"><f>(IF(ABS(U257)&lt;1.05,"CONFORME",IF(ABS(AG257)&lt;1.05,"CONFORME",IF(ABS(AS257)&lt;2.55,"CONFORME","NO CONFORME"))))</f><v /></c><c r="BC257" s="5"><f>(IF(ABS(U257)&gt;2.05,"NO CONFORME",IF(ABS(AG257)&gt;2.05,"NO CONFORME",IF(ABS(AS257)&gt;5.05,"NO CONFORME","CONFORME"))))</f><v /></c><c r="BD257" s="374"><f>SIGN(U257)</f><v /></c><c r="BE257" s="374"><f>SIGN(AG257)</f><v /></c><c r="BF257" s="374"><f>SIGN(AS257)</f><v /></c><c r="BG257" s="374"><f>CONCATENATE(BD257,BE257,BF257)</f><v /></c><c r="BH257" s="374"><f>IF(BG257="111","SI","SD")</f><v /></c><c r="BI257" s="374"><f>IF(BG257="-1-1-1","SI","SD")</f><v /></c><c r="BJ257" s="374"><f>OR(BH257="SI",BI257="SI")</f><v /></c><c r="BK257" s="374"><f>IF(BJ257=FALSE,"SIGDIFERENTES","SIGIGUALES")</f><v /></c><c r="BL257" s="390"><f>IF(BC257="NO CONFORME","NO CONFORME",IF(BB257="CONFORME","CONFORME","NO CONFORME"))</f><v /></c></row><row r="258" ht="14.4" customHeight="1" thickBot="1"><c r="A258" s="443" t="n"><v>250</v></c><c r="B258" s="375"><f>B257</f><v /></c><c r="C258" s="375"><f>C257</f><v /></c><c r="D258" s="376"><f>D257</f><v /></c><c r="E258" s="377"><f>E257</f><v /></c><c r="F258" s="13" t="n" /><c r="G258" s="312" t="inlineStr"><is><t>PA25516958</t></is></c><c r="H258" s="313"><f>H257</f><v /></c><c r="I258" s="38"><f>I257</f><v /></c><c r="J258" s="314"><f>J257</f><v /></c><c r="K258" s="378"><f>K257</f><v /></c><c r="L258" s="378"><f>L257</f><v /></c><c r="M258" s="379" t="n"><v>80.42</v></c><c r="N258" s="379" t="n"><v>179.79</v></c><c r="O258" s="380"><f>O257</f><v /></c><c r="P258" s="381"><f>P257</f><v /></c><c r="Q258" s="382"><f>LEFT(P258,1)</f><v /></c><c r="R258" s="382"><f>RIGHT(P258,6)</f><v /></c><c r="S258" s="382"><f>+(Q258*60+R258)/(60*60)</f><v /></c><c r="T258" s="383"><f>+O258/S258</f><v /></c><c r="U258" s="384"><f>+(((N258-M258-O258)/O258)*100)</f><v /></c><c r="V258" s="317"><f>V257</f><v /></c><c r="W258" s="378"><f>W257</f><v /></c><c r="X258" s="378"><f>X257</f><v /></c><c r="Y258" s="379" t="n"><v>191.63</v></c><c r="Z258" s="379" t="n"><v>201.63</v></c><c r="AA258" s="386"><f>AA257</f><v /></c><c r="AB258" s="387"><f>AB257</f><v /></c><c r="AC258" s="382"><f>LEFT(AB258,2)</f><v /></c><c r="AD258" s="382"><f>RIGHT(AB258,6)</f><v /></c><c r="AE258" s="382"><f>+(AC258*60+AD258)/(60*60)</f><v /></c><c r="AF258" s="383"><f>+AA258/AE258</f><v /></c><c r="AG258" s="321"><f>+(((Z258-Y258-AA258)/AA258)*100)</f><v /></c><c r="AH258" s="317"><f>AH257</f><v /></c><c r="AI258" s="378"><f>AI257</f><v /></c><c r="AJ258" s="378"><f>AJ257</f><v /></c><c r="AK258" s="379"><f>Z258</f><v /></c><c r="AL258" s="379" t="n"><v>206.61</v></c><c r="AM258" s="388"><f>AM257</f><v /></c><c r="AN258" s="381"><f>AN257</f><v /></c><c r="AO258" s="382"><f>LEFT(AN258,2)</f><v /></c><c r="AP258" s="382"><f>RIGHT(AN258,6)</f><v /></c><c r="AQ258" s="382"><f>+(AO258*60+AP258)/(60*60)</f><v /></c><c r="AR258" s="383"><f>+AM258/AQ258</f><v /></c><c r="AS258" s="321"><f>+(((AL258-AK258-AM258)/AM258)*100)</f><v /></c><c r="AT258" s="389"><f>IF(I258&gt;=1,"NO CONFORME",IF(BK258="SIGDIFERENTES",BC258,BL258))</f><v /></c><c r="AU258" s="372"><f>B258=C258</f><v /></c><c r="AV258" s="372"><f>N258&lt;Y258</f><v /></c><c r="AW258" s="372"><f>Z258&lt;=AK258</f><v /></c><c r="AX258" s="372"><f>IF(I258&gt;=1,"Qcorrecto",IF(AND(AY258="aceptable",AZ258="aceptable",BA258="aceptable"),"Qcorrecto","Qincorrecto"))</f><v /></c><c r="AY258" s="390"><f>IF(AR258&lt;$AH$6,"error",IF(AR258&gt;$AH$6*1.1,"error","aceptable"))</f><v /></c><c r="AZ258" s="390"><f>IF(AF258&lt;$V$6,"error",IF(AF258&gt;$V$6*1.1,"error","aceptable"))</f><v /></c><c r="BA258" s="390"><f>IF(T258&lt;$J$6*0.9,"error",IF(T258&gt;$J$6,"error","aceptable"))</f><v /></c><c r="BB258" s="25"><f>(IF(ABS(U258)&lt;1.05,"CONFORME",IF(ABS(AG258)&lt;1.05,"CONFORME",IF(ABS(AS258)&lt;2.55,"CONFORME","NO CONFORME"))))</f><v /></c><c r="BC258" s="5"><f>(IF(ABS(U258)&gt;2.05,"NO CONFORME",IF(ABS(AG258)&gt;2.05,"NO CONFORME",IF(ABS(AS258)&gt;5.05,"NO CONFORME","CONFORME"))))</f><v /></c><c r="BD258" s="374"><f>SIGN(U258)</f><v /></c><c r="BE258" s="374"><f>SIGN(AG258)</f><v /></c><c r="BF258" s="374"><f>SIGN(AS258)</f><v /></c><c r="BG258" s="374"><f>CONCATENATE(BD258,BE258,BF258)</f><v /></c><c r="BH258" s="374"><f>IF(BG258="111","SI","SD")</f><v /></c><c r="BI258" s="374"><f>IF(BG258="-1-1-1","SI","SD")</f><v /></c><c r="BJ258" s="374"><f>OR(BH258="SI",BI258="SI")</f><v /></c><c r="BK258" s="374"><f>IF(BJ258=FALSE,"SIGDIFERENTES","SIGIGUALES")</f><v /></c><c r="BL258" s="390"><f>IF(BC258="NO CONFORME","NO CONFORME",IF(BB258="CONFORME","CONFORME","NO CONFORME"))</f><v /></c></row><row r="259" ht="14.4" customHeight="1" thickBot="1"><c r="A259" s="443" t="n"><v>251</v></c><c r="B259" s="375"><f>B258</f><v /></c><c r="C259" s="375"><f>C258</f><v /></c><c r="D259" s="376"><f>D258</f><v /></c><c r="E259" s="377"><f>E258</f><v /></c><c r="F259" s="13" t="n" /><c r="G259" s="312" t="inlineStr"><is><t>PA25516959</t></is></c><c r="H259" s="313"><f>H258</f><v /></c><c r="I259" s="38"><f>I258</f><v /></c><c r="J259" s="314"><f>J258</f><v /></c><c r="K259" s="378"><f>K258</f><v /></c><c r="L259" s="378"><f>L258</f><v /></c><c r="M259" s="379" t="n"><v>80.84</v></c><c r="N259" s="379" t="n"><v>180.46</v></c><c r="O259" s="380"><f>O258</f><v /></c><c r="P259" s="381"><f>P258</f><v /></c><c r="Q259" s="382"><f>LEFT(P259,1)</f><v /></c><c r="R259" s="382"><f>RIGHT(P259,6)</f><v /></c><c r="S259" s="382"><f>+(Q259*60+R259)/(60*60)</f><v /></c><c r="T259" s="383"><f>+O259/S259</f><v /></c><c r="U259" s="384"><f>+(((N259-M259-O259)/O259)*100)</f><v /></c><c r="V259" s="317"><f>V258</f><v /></c><c r="W259" s="378"><f>W258</f><v /></c><c r="X259" s="378"><f>X258</f><v /></c><c r="Y259" s="379" t="n"><v>192.36</v></c><c r="Z259" s="379" t="n"><v>202.39</v></c><c r="AA259" s="386"><f>AA258</f><v /></c><c r="AB259" s="387"><f>AB258</f><v /></c><c r="AC259" s="382"><f>LEFT(AB259,2)</f><v /></c><c r="AD259" s="382"><f>RIGHT(AB259,6)</f><v /></c><c r="AE259" s="382"><f>+(AC259*60+AD259)/(60*60)</f><v /></c><c r="AF259" s="383"><f>+AA259/AE259</f><v /></c><c r="AG259" s="321"><f>+(((Z259-Y259-AA259)/AA259)*100)</f><v /></c><c r="AH259" s="317"><f>AH258</f><v /></c><c r="AI259" s="378"><f>AI258</f><v /></c><c r="AJ259" s="378"><f>AJ258</f><v /></c><c r="AK259" s="379"><f>Z259</f><v /></c><c r="AL259" s="379" t="n"><v>207.44</v></c><c r="AM259" s="388"><f>AM258</f><v /></c><c r="AN259" s="381"><f>AN258</f><v /></c><c r="AO259" s="382"><f>LEFT(AN259,2)</f><v /></c><c r="AP259" s="382"><f>RIGHT(AN259,6)</f><v /></c><c r="AQ259" s="382"><f>+(AO259*60+AP259)/(60*60)</f><v /></c><c r="AR259" s="383"><f>+AM259/AQ259</f><v /></c><c r="AS259" s="321"><f>+(((AL259-AK259-AM259)/AM259)*100)</f><v /></c><c r="AT259" s="389"><f>IF(I259&gt;=1,"NO CONFORME",IF(BK259="SIGDIFERENTES",BC259,BL259))</f><v /></c><c r="AU259" s="372"><f>B259=C259</f><v /></c><c r="AV259" s="372"><f>N259&lt;Y259</f><v /></c><c r="AW259" s="372"><f>Z259&lt;=AK259</f><v /></c><c r="AX259" s="372"><f>IF(I259&gt;=1,"Qcorrecto",IF(AND(AY259="aceptable",AZ259="aceptable",BA259="aceptable"),"Qcorrecto","Qincorrecto"))</f><v /></c><c r="AY259" s="390"><f>IF(AR259&lt;$AH$6,"error",IF(AR259&gt;$AH$6*1.1,"error","aceptable"))</f><v /></c><c r="AZ259" s="390"><f>IF(AF259&lt;$V$6,"error",IF(AF259&gt;$V$6*1.1,"error","aceptable"))</f><v /></c><c r="BA259" s="390"><f>IF(T259&lt;$J$6*0.9,"error",IF(T259&gt;$J$6,"error","aceptable"))</f><v /></c><c r="BB259" s="25"><f>(IF(ABS(U259)&lt;1.05,"CONFORME",IF(ABS(AG259)&lt;1.05,"CONFORME",IF(ABS(AS259)&lt;2.55,"CONFORME","NO CONFORME"))))</f><v /></c><c r="BC259" s="5"><f>(IF(ABS(U259)&gt;2.05,"NO CONFORME",IF(ABS(AG259)&gt;2.05,"NO CONFORME",IF(ABS(AS259)&gt;5.05,"NO CONFORME","CONFORME"))))</f><v /></c><c r="BD259" s="374"><f>SIGN(U259)</f><v /></c><c r="BE259" s="374"><f>SIGN(AG259)</f><v /></c><c r="BF259" s="374"><f>SIGN(AS259)</f><v /></c><c r="BG259" s="374"><f>CONCATENATE(BD259,BE259,BF259)</f><v /></c><c r="BH259" s="374"><f>IF(BG259="111","SI","SD")</f><v /></c><c r="BI259" s="374"><f>IF(BG259="-1-1-1","SI","SD")</f><v /></c><c r="BJ259" s="374"><f>OR(BH259="SI",BI259="SI")</f><v /></c><c r="BK259" s="374"><f>IF(BJ259=FALSE,"SIGDIFERENTES","SIGIGUALES")</f><v /></c><c r="BL259" s="390"><f>IF(BC259="NO CONFORME","NO CONFORME",IF(BB259="CONFORME","CONFORME","NO CONFORME"))</f><v /></c></row><row r="260" ht="14.4" customHeight="1" thickBot="1"><c r="A260" s="443" t="n"><v>252</v></c><c r="B260" s="375"><f>B259</f><v /></c><c r="C260" s="375"><f>C259</f><v /></c><c r="D260" s="376"><f>D259</f><v /></c><c r="E260" s="377"><f>E259</f><v /></c><c r="F260" s="13" t="n" /><c r="G260" s="312" t="inlineStr"><is><t>PA25516960</t></is></c><c r="H260" s="313"><f>H259</f><v /></c><c r="I260" s="38"><f>I259</f><v /></c><c r="J260" s="314"><f>J259</f><v /></c><c r="K260" s="378"><f>K259</f><v /></c><c r="L260" s="378"><f>L259</f><v /></c><c r="M260" s="379" t="n"><v>80.3</v></c><c r="N260" s="379" t="n"><v>179.46</v></c><c r="O260" s="380"><f>O259</f><v /></c><c r="P260" s="381"><f>P259</f><v /></c><c r="Q260" s="382"><f>LEFT(P260,1)</f><v /></c><c r="R260" s="382"><f>RIGHT(P260,6)</f><v /></c><c r="S260" s="382"><f>+(Q260*60+R260)/(60*60)</f><v /></c><c r="T260" s="383"><f>+O260/S260</f><v /></c><c r="U260" s="384"><f>+(((N260-M260-O260)/O260)*100)</f><v /></c><c r="V260" s="317"><f>V259</f><v /></c><c r="W260" s="378"><f>W259</f><v /></c><c r="X260" s="378"><f>X259</f><v /></c><c r="Y260" s="379" t="n"><v>191.37</v></c><c r="Z260" s="379" t="n"><v>201.36</v></c><c r="AA260" s="386"><f>AA259</f><v /></c><c r="AB260" s="387"><f>AB259</f><v /></c><c r="AC260" s="382"><f>LEFT(AB260,2)</f><v /></c><c r="AD260" s="382"><f>RIGHT(AB260,6)</f><v /></c><c r="AE260" s="382"><f>+(AC260*60+AD260)/(60*60)</f><v /></c><c r="AF260" s="383"><f>+AA260/AE260</f><v /></c><c r="AG260" s="321"><f>+(((Z260-Y260-AA260)/AA260)*100)</f><v /></c><c r="AH260" s="317"><f>AH259</f><v /></c><c r="AI260" s="378"><f>AI259</f><v /></c><c r="AJ260" s="378"><f>AJ259</f><v /></c><c r="AK260" s="379"><f>Z260</f><v /></c><c r="AL260" s="379" t="n"><v>206.43</v></c><c r="AM260" s="388"><f>AM259</f><v /></c><c r="AN260" s="381"><f>AN259</f><v /></c><c r="AO260" s="382"><f>LEFT(AN260,2)</f><v /></c><c r="AP260" s="382"><f>RIGHT(AN260,6)</f><v /></c><c r="AQ260" s="382"><f>+(AO260*60+AP260)/(60*60)</f><v /></c><c r="AR260" s="383"><f>+AM260/AQ260</f><v /></c><c r="AS260" s="321"><f>+(((AL260-AK260-AM260)/AM260)*100)</f><v /></c><c r="AT260" s="389"><f>IF(I260&gt;=1,"NO CONFORME",IF(BK260="SIGDIFERENTES",BC260,BL260))</f><v /></c><c r="AU260" s="372"><f>B260=C260</f><v /></c><c r="AV260" s="372"><f>N260&lt;Y260</f><v /></c><c r="AW260" s="372"><f>Z260&lt;=AK260</f><v /></c><c r="AX260" s="372"><f>IF(I260&gt;=1,"Qcorrecto",IF(AND(AY260="aceptable",AZ260="aceptable",BA260="aceptable"),"Qcorrecto","Qincorrecto"))</f><v /></c><c r="AY260" s="390"><f>IF(AR260&lt;$AH$6,"error",IF(AR260&gt;$AH$6*1.1,"error","aceptable"))</f><v /></c><c r="AZ260" s="390"><f>IF(AF260&lt;$V$6,"error",IF(AF260&gt;$V$6*1.1,"error","aceptable"))</f><v /></c><c r="BA260" s="390"><f>IF(T260&lt;$J$6*0.9,"error",IF(T260&gt;$J$6,"error","aceptable"))</f><v /></c><c r="BB260" s="25"><f>(IF(ABS(U260)&lt;1.05,"CONFORME",IF(ABS(AG260)&lt;1.05,"CONFORME",IF(ABS(AS260)&lt;2.55,"CONFORME","NO CONFORME"))))</f><v /></c><c r="BC260" s="5"><f>(IF(ABS(U260)&gt;2.05,"NO CONFORME",IF(ABS(AG260)&gt;2.05,"NO CONFORME",IF(ABS(AS260)&gt;5.05,"NO CONFORME","CONFORME"))))</f><v /></c><c r="BD260" s="374"><f>SIGN(U260)</f><v /></c><c r="BE260" s="374"><f>SIGN(AG260)</f><v /></c><c r="BF260" s="374"><f>SIGN(AS260)</f><v /></c><c r="BG260" s="374"><f>CONCATENATE(BD260,BE260,BF260)</f><v /></c><c r="BH260" s="374"><f>IF(BG260="111","SI","SD")</f><v /></c><c r="BI260" s="374"><f>IF(BG260="-1-1-1","SI","SD")</f><v /></c><c r="BJ260" s="374"><f>OR(BH260="SI",BI260="SI")</f><v /></c><c r="BK260" s="374"><f>IF(BJ260=FALSE,"SIGDIFERENTES","SIGIGUALES")</f><v /></c><c r="BL260" s="390"><f>IF(BC260="NO CONFORME","NO CONFORME",IF(BB260="CONFORME","CONFORME","NO CONFORME"))</f><v /></c></row><row r="261" ht="14.4" customHeight="1" thickBot="1"><c r="A261" s="443" t="n"><v>253</v></c><c r="B261" s="375"><f>B260</f><v /></c><c r="C261" s="375"><f>C260</f><v /></c><c r="D261" s="376"><f>D260</f><v /></c><c r="E261" s="377"><f>E260</f><v /></c><c r="F261" s="13" t="n" /><c r="G261" s="312" t="inlineStr"><is><t>PA25516961</t></is></c><c r="H261" s="313"><f>H260</f><v /></c><c r="I261" s="38"><f>I260</f><v /></c><c r="J261" s="314"><f>J260</f><v /></c><c r="K261" s="378"><f>K260</f><v /></c><c r="L261" s="378"><f>L260</f><v /></c><c r="M261" s="379" t="n"><v>80.88</v></c><c r="N261" s="379" t="n"><v>180.68</v></c><c r="O261" s="380"><f>O260</f><v /></c><c r="P261" s="381"><f>P260</f><v /></c><c r="Q261" s="382"><f>LEFT(P261,1)</f><v /></c><c r="R261" s="382"><f>RIGHT(P261,6)</f><v /></c><c r="S261" s="382"><f>+(Q261*60+R261)/(60*60)</f><v /></c><c r="T261" s="383"><f>+O261/S261</f><v /></c><c r="U261" s="384"><f>+(((N261-M261-O261)/O261)*100)</f><v /></c><c r="V261" s="317"><f>V260</f><v /></c><c r="W261" s="378"><f>W260</f><v /></c><c r="X261" s="378"><f>X260</f><v /></c><c r="Y261" s="379" t="n"><v>192.6</v></c><c r="Z261" s="379" t="n"><v>202.65</v></c><c r="AA261" s="386"><f>AA260</f><v /></c><c r="AB261" s="387"><f>AB260</f><v /></c><c r="AC261" s="382"><f>LEFT(AB261,2)</f><v /></c><c r="AD261" s="382"><f>RIGHT(AB261,6)</f><v /></c><c r="AE261" s="382"><f>+(AC261*60+AD261)/(60*60)</f><v /></c><c r="AF261" s="383"><f>+AA261/AE261</f><v /></c><c r="AG261" s="321"><f>+(((Z261-Y261-AA261)/AA261)*100)</f><v /></c><c r="AH261" s="317"><f>AH260</f><v /></c><c r="AI261" s="378"><f>AI260</f><v /></c><c r="AJ261" s="378"><f>AJ260</f><v /></c><c r="AK261" s="379"><f>Z261</f><v /></c><c r="AL261" s="379" t="n"><v>207.76</v></c><c r="AM261" s="388"><f>AM260</f><v /></c><c r="AN261" s="381"><f>AN260</f><v /></c><c r="AO261" s="382"><f>LEFT(AN261,2)</f><v /></c><c r="AP261" s="382"><f>RIGHT(AN261,6)</f><v /></c><c r="AQ261" s="382"><f>+(AO261*60+AP261)/(60*60)</f><v /></c><c r="AR261" s="383"><f>+AM261/AQ261</f><v /></c><c r="AS261" s="321"><f>+(((AL261-AK261-AM261)/AM261)*100)</f><v /></c><c r="AT261" s="389"><f>IF(I261&gt;=1,"NO CONFORME",IF(BK261="SIGDIFERENTES",BC261,BL261))</f><v /></c><c r="AU261" s="372"><f>B261=C261</f><v /></c><c r="AV261" s="372"><f>N261&lt;Y261</f><v /></c><c r="AW261" s="372"><f>Z261&lt;=AK261</f><v /></c><c r="AX261" s="372"><f>IF(I261&gt;=1,"Qcorrecto",IF(AND(AY261="aceptable",AZ261="aceptable",BA261="aceptable"),"Qcorrecto","Qincorrecto"))</f><v /></c><c r="AY261" s="390"><f>IF(AR261&lt;$AH$6,"error",IF(AR261&gt;$AH$6*1.1,"error","aceptable"))</f><v /></c><c r="AZ261" s="390"><f>IF(AF261&lt;$V$6,"error",IF(AF261&gt;$V$6*1.1,"error","aceptable"))</f><v /></c><c r="BA261" s="390"><f>IF(T261&lt;$J$6*0.9,"error",IF(T261&gt;$J$6,"error","aceptable"))</f><v /></c><c r="BB261" s="25"><f>(IF(ABS(U261)&lt;1.05,"CONFORME",IF(ABS(AG261)&lt;1.05,"CONFORME",IF(ABS(AS261)&lt;2.55,"CONFORME","NO CONFORME"))))</f><v /></c><c r="BC261" s="5"><f>(IF(ABS(U261)&gt;2.05,"NO CONFORME",IF(ABS(AG261)&gt;2.05,"NO CONFORME",IF(ABS(AS261)&gt;5.05,"NO CONFORME","CONFORME"))))</f><v /></c><c r="BD261" s="374"><f>SIGN(U261)</f><v /></c><c r="BE261" s="374"><f>SIGN(AG261)</f><v /></c><c r="BF261" s="374"><f>SIGN(AS261)</f><v /></c><c r="BG261" s="374"><f>CONCATENATE(BD261,BE261,BF261)</f><v /></c><c r="BH261" s="374"><f>IF(BG261="111","SI","SD")</f><v /></c><c r="BI261" s="374"><f>IF(BG261="-1-1-1","SI","SD")</f><v /></c><c r="BJ261" s="374"><f>OR(BH261="SI",BI261="SI")</f><v /></c><c r="BK261" s="374"><f>IF(BJ261=FALSE,"SIGDIFERENTES","SIGIGUALES")</f><v /></c><c r="BL261" s="390"><f>IF(BC261="NO CONFORME","NO CONFORME",IF(BB261="CONFORME","CONFORME","NO CONFORME"))</f><v /></c></row><row r="262" ht="14.4" customHeight="1" thickBot="1"><c r="A262" s="443" t="n"><v>254</v></c><c r="B262" s="375"><f>B261</f><v /></c><c r="C262" s="375"><f>C261</f><v /></c><c r="D262" s="376"><f>D261</f><v /></c><c r="E262" s="377"><f>E261</f><v /></c><c r="F262" s="13" t="n" /><c r="G262" s="312" t="inlineStr"><is><t>PA25516962</t></is></c><c r="H262" s="313"><f>H261</f><v /></c><c r="I262" s="38"><f>I261</f><v /></c><c r="J262" s="314"><f>J261</f><v /></c><c r="K262" s="378"><f>K261</f><v /></c><c r="L262" s="378"><f>L261</f><v /></c><c r="M262" s="379" t="n"><v>80.36</v></c><c r="N262" s="379" t="n"><v>180.44</v></c><c r="O262" s="380"><f>O261</f><v /></c><c r="P262" s="381"><f>P261</f><v /></c><c r="Q262" s="382"><f>LEFT(P262,1)</f><v /></c><c r="R262" s="382"><f>RIGHT(P262,6)</f><v /></c><c r="S262" s="382"><f>+(Q262*60+R262)/(60*60)</f><v /></c><c r="T262" s="383"><f>+O262/S262</f><v /></c><c r="U262" s="384"><f>+(((N262-M262-O262)/O262)*100)</f><v /></c><c r="V262" s="317"><f>V261</f><v /></c><c r="W262" s="378"><f>W261</f><v /></c><c r="X262" s="378"><f>X261</f><v /></c><c r="Y262" s="379" t="n"><v>192.39</v></c><c r="Z262" s="379" t="n"><v>202.46</v></c><c r="AA262" s="386"><f>AA261</f><v /></c><c r="AB262" s="387"><f>AB261</f><v /></c><c r="AC262" s="382"><f>LEFT(AB262,2)</f><v /></c><c r="AD262" s="382"><f>RIGHT(AB262,6)</f><v /></c><c r="AE262" s="382"><f>+(AC262*60+AD262)/(60*60)</f><v /></c><c r="AF262" s="383"><f>+AA262/AE262</f><v /></c><c r="AG262" s="321"><f>+(((Z262-Y262-AA262)/AA262)*100)</f><v /></c><c r="AH262" s="317"><f>AH261</f><v /></c><c r="AI262" s="378"><f>AI261</f><v /></c><c r="AJ262" s="378"><f>AJ261</f><v /></c><c r="AK262" s="379"><f>Z262</f><v /></c><c r="AL262" s="379" t="n"><v>207.52</v></c><c r="AM262" s="388"><f>AM261</f><v /></c><c r="AN262" s="381"><f>AN261</f><v /></c><c r="AO262" s="382"><f>LEFT(AN262,2)</f><v /></c><c r="AP262" s="382"><f>RIGHT(AN262,6)</f><v /></c><c r="AQ262" s="382"><f>+(AO262*60+AP262)/(60*60)</f><v /></c><c r="AR262" s="383"><f>+AM262/AQ262</f><v /></c><c r="AS262" s="321"><f>+(((AL262-AK262-AM262)/AM262)*100)</f><v /></c><c r="AT262" s="389"><f>IF(I262&gt;=1,"NO CONFORME",IF(BK262="SIGDIFERENTES",BC262,BL262))</f><v /></c><c r="AU262" s="372"><f>B262=C262</f><v /></c><c r="AV262" s="372"><f>N262&lt;Y262</f><v /></c><c r="AW262" s="372"><f>Z262&lt;=AK262</f><v /></c><c r="AX262" s="372"><f>IF(I262&gt;=1,"Qcorrecto",IF(AND(AY262="aceptable",AZ262="aceptable",BA262="aceptable"),"Qcorrecto","Qincorrecto"))</f><v /></c><c r="AY262" s="390"><f>IF(AR262&lt;$AH$6,"error",IF(AR262&gt;$AH$6*1.1,"error","aceptable"))</f><v /></c><c r="AZ262" s="390"><f>IF(AF262&lt;$V$6,"error",IF(AF262&gt;$V$6*1.1,"error","aceptable"))</f><v /></c><c r="BA262" s="390"><f>IF(T262&lt;$J$6*0.9,"error",IF(T262&gt;$J$6,"error","aceptable"))</f><v /></c><c r="BB262" s="25"><f>(IF(ABS(U262)&lt;1.05,"CONFORME",IF(ABS(AG262)&lt;1.05,"CONFORME",IF(ABS(AS262)&lt;2.55,"CONFORME","NO CONFORME"))))</f><v /></c><c r="BC262" s="5"><f>(IF(ABS(U262)&gt;2.05,"NO CONFORME",IF(ABS(AG262)&gt;2.05,"NO CONFORME",IF(ABS(AS262)&gt;5.05,"NO CONFORME","CONFORME"))))</f><v /></c><c r="BD262" s="374"><f>SIGN(U262)</f><v /></c><c r="BE262" s="374"><f>SIGN(AG262)</f><v /></c><c r="BF262" s="374"><f>SIGN(AS262)</f><v /></c><c r="BG262" s="374"><f>CONCATENATE(BD262,BE262,BF262)</f><v /></c><c r="BH262" s="374"><f>IF(BG262="111","SI","SD")</f><v /></c><c r="BI262" s="374"><f>IF(BG262="-1-1-1","SI","SD")</f><v /></c><c r="BJ262" s="374"><f>OR(BH262="SI",BI262="SI")</f><v /></c><c r="BK262" s="374"><f>IF(BJ262=FALSE,"SIGDIFERENTES","SIGIGUALES")</f><v /></c><c r="BL262" s="390"><f>IF(BC262="NO CONFORME","NO CONFORME",IF(BB262="CONFORME","CONFORME","NO CONFORME"))</f><v /></c></row><row r="263" ht="14.4" customHeight="1" thickBot="1"><c r="A263" s="443" t="n"><v>255</v></c><c r="B263" s="375"><f>B262</f><v /></c><c r="C263" s="375"><f>C262</f><v /></c><c r="D263" s="376"><f>D262</f><v /></c><c r="E263" s="377"><f>E262</f><v /></c><c r="F263" s="13" t="n" /><c r="G263" s="312" t="inlineStr"><is><t>PA25516963</t></is></c><c r="H263" s="313"><f>H262</f><v /></c><c r="I263" s="38"><f>I262</f><v /></c><c r="J263" s="314"><f>J262</f><v /></c><c r="K263" s="378"><f>K262</f><v /></c><c r="L263" s="378"><f>L262</f><v /></c><c r="M263" s="379" t="n"><v>80.09</v></c><c r="N263" s="379" t="n"><v>179.63</v></c><c r="O263" s="380"><f>O262</f><v /></c><c r="P263" s="381"><f>P262</f><v /></c><c r="Q263" s="382"><f>LEFT(P263,1)</f><v /></c><c r="R263" s="382"><f>RIGHT(P263,6)</f><v /></c><c r="S263" s="382"><f>+(Q263*60+R263)/(60*60)</f><v /></c><c r="T263" s="383"><f>+O263/S263</f><v /></c><c r="U263" s="384"><f>+(((N263-M263-O263)/O263)*100)</f><v /></c><c r="V263" s="317"><f>V262</f><v /></c><c r="W263" s="378"><f>W262</f><v /></c><c r="X263" s="378"><f>X262</f><v /></c><c r="Y263" s="379" t="n"><v>191.49</v></c><c r="Z263" s="379" t="n"><v>201.48</v></c><c r="AA263" s="386"><f>AA262</f><v /></c><c r="AB263" s="387"><f>AB262</f><v /></c><c r="AC263" s="382"><f>LEFT(AB263,2)</f><v /></c><c r="AD263" s="382"><f>RIGHT(AB263,6)</f><v /></c><c r="AE263" s="382"><f>+(AC263*60+AD263)/(60*60)</f><v /></c><c r="AF263" s="383"><f>+AA263/AE263</f><v /></c><c r="AG263" s="321"><f>+(((Z263-Y263-AA263)/AA263)*100)</f><v /></c><c r="AH263" s="317"><f>AH262</f><v /></c><c r="AI263" s="378"><f>AI262</f><v /></c><c r="AJ263" s="378"><f>AJ262</f><v /></c><c r="AK263" s="379"><f>Z263</f><v /></c><c r="AL263" s="379" t="n"><v>206.49</v></c><c r="AM263" s="388"><f>AM262</f><v /></c><c r="AN263" s="381"><f>AN262</f><v /></c><c r="AO263" s="382"><f>LEFT(AN263,2)</f><v /></c><c r="AP263" s="382"><f>RIGHT(AN263,6)</f><v /></c><c r="AQ263" s="382"><f>+(AO263*60+AP263)/(60*60)</f><v /></c><c r="AR263" s="383"><f>+AM263/AQ263</f><v /></c><c r="AS263" s="321"><f>+(((AL263-AK263-AM263)/AM263)*100)</f><v /></c><c r="AT263" s="389"><f>IF(I263&gt;=1,"NO CONFORME",IF(BK263="SIGDIFERENTES",BC263,BL263))</f><v /></c><c r="AU263" s="372"><f>B263=C263</f><v /></c><c r="AV263" s="372"><f>N263&lt;Y263</f><v /></c><c r="AW263" s="372"><f>Z263&lt;=AK263</f><v /></c><c r="AX263" s="372"><f>IF(I263&gt;=1,"Qcorrecto",IF(AND(AY263="aceptable",AZ263="aceptable",BA263="aceptable"),"Qcorrecto","Qincorrecto"))</f><v /></c><c r="AY263" s="390"><f>IF(AR263&lt;$AH$6,"error",IF(AR263&gt;$AH$6*1.1,"error","aceptable"))</f><v /></c><c r="AZ263" s="390"><f>IF(AF263&lt;$V$6,"error",IF(AF263&gt;$V$6*1.1,"error","aceptable"))</f><v /></c><c r="BA263" s="390"><f>IF(T263&lt;$J$6*0.9,"error",IF(T263&gt;$J$6,"error","aceptable"))</f><v /></c><c r="BB263" s="25"><f>(IF(ABS(U263)&lt;1.05,"CONFORME",IF(ABS(AG263)&lt;1.05,"CONFORME",IF(ABS(AS263)&lt;2.55,"CONFORME","NO CONFORME"))))</f><v /></c><c r="BC263" s="5"><f>(IF(ABS(U263)&gt;2.05,"NO CONFORME",IF(ABS(AG263)&gt;2.05,"NO CONFORME",IF(ABS(AS263)&gt;5.05,"NO CONFORME","CONFORME"))))</f><v /></c><c r="BD263" s="374"><f>SIGN(U263)</f><v /></c><c r="BE263" s="374"><f>SIGN(AG263)</f><v /></c><c r="BF263" s="374"><f>SIGN(AS263)</f><v /></c><c r="BG263" s="374"><f>CONCATENATE(BD263,BE263,BF263)</f><v /></c><c r="BH263" s="374"><f>IF(BG263="111","SI","SD")</f><v /></c><c r="BI263" s="374"><f>IF(BG263="-1-1-1","SI","SD")</f><v /></c><c r="BJ263" s="374"><f>OR(BH263="SI",BI263="SI")</f><v /></c><c r="BK263" s="374"><f>IF(BJ263=FALSE,"SIGDIFERENTES","SIGIGUALES")</f><v /></c><c r="BL263" s="390"><f>IF(BC263="NO CONFORME","NO CONFORME",IF(BB263="CONFORME","CONFORME","NO CONFORME"))</f><v /></c></row><row r="264" ht="14.4" customHeight="1" thickBot="1"><c r="A264" s="443" t="n"><v>256</v></c><c r="B264" s="375"><f>B263</f><v /></c><c r="C264" s="375"><f>C263</f><v /></c><c r="D264" s="376"><f>D263</f><v /></c><c r="E264" s="377"><f>E263</f><v /></c><c r="F264" s="13" t="n" /><c r="G264" s="312" t="inlineStr"><is><t>PA25516964</t></is></c><c r="H264" s="313"><f>H263</f><v /></c><c r="I264" s="38"><f>I263</f><v /></c><c r="J264" s="314"><f>J263</f><v /></c><c r="K264" s="378"><f>K263</f><v /></c><c r="L264" s="378"><f>L263</f><v /></c><c r="M264" s="379" t="n"><v>78.90000000000001</v></c><c r="N264" s="379" t="n"><v>178.33</v></c><c r="O264" s="380"><f>O263</f><v /></c><c r="P264" s="381"><f>P263</f><v /></c><c r="Q264" s="382"><f>LEFT(P264,1)</f><v /></c><c r="R264" s="382"><f>RIGHT(P264,6)</f><v /></c><c r="S264" s="382"><f>+(Q264*60+R264)/(60*60)</f><v /></c><c r="T264" s="383"><f>+O264/S264</f><v /></c><c r="U264" s="384"><f>+(((N264-M264-O264)/O264)*100)</f><v /></c><c r="V264" s="317"><f>V263</f><v /></c><c r="W264" s="378"><f>W263</f><v /></c><c r="X264" s="378"><f>X263</f><v /></c><c r="Y264" s="379" t="n"><v>190.18</v></c><c r="Z264" s="379" t="n"><v>200.2</v></c><c r="AA264" s="386"><f>AA263</f><v /></c><c r="AB264" s="387"><f>AB263</f><v /></c><c r="AC264" s="382"><f>LEFT(AB264,2)</f><v /></c><c r="AD264" s="382"><f>RIGHT(AB264,6)</f><v /></c><c r="AE264" s="382"><f>+(AC264*60+AD264)/(60*60)</f><v /></c><c r="AF264" s="383"><f>+AA264/AE264</f><v /></c><c r="AG264" s="321"><f>+(((Z264-Y264-AA264)/AA264)*100)</f><v /></c><c r="AH264" s="317"><f>AH263</f><v /></c><c r="AI264" s="378"><f>AI263</f><v /></c><c r="AJ264" s="378"><f>AJ263</f><v /></c><c r="AK264" s="379"><f>Z264</f><v /></c><c r="AL264" s="379" t="n"><v>205.28</v></c><c r="AM264" s="388"><f>AM263</f><v /></c><c r="AN264" s="381"><f>AN263</f><v /></c><c r="AO264" s="382"><f>LEFT(AN264,2)</f><v /></c><c r="AP264" s="382"><f>RIGHT(AN264,6)</f><v /></c><c r="AQ264" s="382"><f>+(AO264*60+AP264)/(60*60)</f><v /></c><c r="AR264" s="383"><f>+AM264/AQ264</f><v /></c><c r="AS264" s="321"><f>+(((AL264-AK264-AM264)/AM264)*100)</f><v /></c><c r="AT264" s="389"><f>IF(I264&gt;=1,"NO CONFORME",IF(BK264="SIGDIFERENTES",BC264,BL264))</f><v /></c><c r="AU264" s="372"><f>B264=C264</f><v /></c><c r="AV264" s="372"><f>N264&lt;Y264</f><v /></c><c r="AW264" s="372"><f>Z264&lt;=AK264</f><v /></c><c r="AX264" s="372"><f>IF(I264&gt;=1,"Qcorrecto",IF(AND(AY264="aceptable",AZ264="aceptable",BA264="aceptable"),"Qcorrecto","Qincorrecto"))</f><v /></c><c r="AY264" s="390"><f>IF(AR264&lt;$AH$6,"error",IF(AR264&gt;$AH$6*1.1,"error","aceptable"))</f><v /></c><c r="AZ264" s="390"><f>IF(AF264&lt;$V$6,"error",IF(AF264&gt;$V$6*1.1,"error","aceptable"))</f><v /></c><c r="BA264" s="390"><f>IF(T264&lt;$J$6*0.9,"error",IF(T264&gt;$J$6,"error","aceptable"))</f><v /></c><c r="BB264" s="25"><f>(IF(ABS(U264)&lt;1.05,"CONFORME",IF(ABS(AG264)&lt;1.05,"CONFORME",IF(ABS(AS264)&lt;2.55,"CONFORME","NO CONFORME"))))</f><v /></c><c r="BC264" s="5"><f>(IF(ABS(U264)&gt;2.05,"NO CONFORME",IF(ABS(AG264)&gt;2.05,"NO CONFORME",IF(ABS(AS264)&gt;5.05,"NO CONFORME","CONFORME"))))</f><v /></c><c r="BD264" s="374"><f>SIGN(U264)</f><v /></c><c r="BE264" s="374"><f>SIGN(AG264)</f><v /></c><c r="BF264" s="374"><f>SIGN(AS264)</f><v /></c><c r="BG264" s="374"><f>CONCATENATE(BD264,BE264,BF264)</f><v /></c><c r="BH264" s="374"><f>IF(BG264="111","SI","SD")</f><v /></c><c r="BI264" s="374"><f>IF(BG264="-1-1-1","SI","SD")</f><v /></c><c r="BJ264" s="374"><f>OR(BH264="SI",BI264="SI")</f><v /></c><c r="BK264" s="374"><f>IF(BJ264=FALSE,"SIGDIFERENTES","SIGIGUALES")</f><v /></c><c r="BL264" s="390"><f>IF(BC264="NO CONFORME","NO CONFORME",IF(BB264="CONFORME","CONFORME","NO CONFORME"))</f><v /></c></row><row r="265" ht="14.4" customHeight="1" thickBot="1"><c r="A265" s="443" t="n"><v>257</v></c><c r="B265" s="375"><f>B264</f><v /></c><c r="C265" s="375"><f>C264</f><v /></c><c r="D265" s="376"><f>D264</f><v /></c><c r="E265" s="377"><f>E264</f><v /></c><c r="F265" s="13" t="n" /><c r="G265" s="312" t="inlineStr"><is><t>PA25516965</t></is></c><c r="H265" s="313"><f>H264</f><v /></c><c r="I265" s="38"><f>I264</f><v /></c><c r="J265" s="314"><f>J264</f><v /></c><c r="K265" s="378"><f>K264</f><v /></c><c r="L265" s="378"><f>L264</f><v /></c><c r="M265" s="379" t="n"><v>81.23</v></c><c r="N265" s="379" t="n"><v>181.64</v></c><c r="O265" s="380"><f>O264</f><v /></c><c r="P265" s="381"><f>P264</f><v /></c><c r="Q265" s="382"><f>LEFT(P265,1)</f><v /></c><c r="R265" s="382"><f>RIGHT(P265,6)</f><v /></c><c r="S265" s="382"><f>+(Q265*60+R265)/(60*60)</f><v /></c><c r="T265" s="383"><f>+O265/S265</f><v /></c><c r="U265" s="384"><f>+(((N265-M265-O265)/O265)*100)</f><v /></c><c r="V265" s="317"><f>V264</f><v /></c><c r="W265" s="378"><f>W264</f><v /></c><c r="X265" s="378"><f>X264</f><v /></c><c r="Y265" s="379" t="n"><v>193.63</v></c><c r="Z265" s="379" t="n"><v>203.66</v></c><c r="AA265" s="386"><f>AA264</f><v /></c><c r="AB265" s="387"><f>AB264</f><v /></c><c r="AC265" s="382"><f>LEFT(AB265,2)</f><v /></c><c r="AD265" s="382"><f>RIGHT(AB265,6)</f><v /></c><c r="AE265" s="382"><f>+(AC265*60+AD265)/(60*60)</f><v /></c><c r="AF265" s="383"><f>+AA265/AE265</f><v /></c><c r="AG265" s="321"><f>+(((Z265-Y265-AA265)/AA265)*100)</f><v /></c><c r="AH265" s="317"><f>AH264</f><v /></c><c r="AI265" s="378"><f>AI264</f><v /></c><c r="AJ265" s="378"><f>AJ264</f><v /></c><c r="AK265" s="379"><f>Z265</f><v /></c><c r="AL265" s="379" t="n"><v>208.74</v></c><c r="AM265" s="388"><f>AM264</f><v /></c><c r="AN265" s="381"><f>AN264</f><v /></c><c r="AO265" s="382"><f>LEFT(AN265,2)</f><v /></c><c r="AP265" s="382"><f>RIGHT(AN265,6)</f><v /></c><c r="AQ265" s="382"><f>+(AO265*60+AP265)/(60*60)</f><v /></c><c r="AR265" s="383"><f>+AM265/AQ265</f><v /></c><c r="AS265" s="321"><f>+(((AL265-AK265-AM265)/AM265)*100)</f><v /></c><c r="AT265" s="389"><f>IF(I265&gt;=1,"NO CONFORME",IF(BK265="SIGDIFERENTES",BC265,BL265))</f><v /></c><c r="AU265" s="372"><f>B265=C265</f><v /></c><c r="AV265" s="372"><f>N265&lt;Y265</f><v /></c><c r="AW265" s="372"><f>Z265&lt;=AK265</f><v /></c><c r="AX265" s="372"><f>IF(I265&gt;=1,"Qcorrecto",IF(AND(AY265="aceptable",AZ265="aceptable",BA265="aceptable"),"Qcorrecto","Qincorrecto"))</f><v /></c><c r="AY265" s="390"><f>IF(AR265&lt;$AH$6,"error",IF(AR265&gt;$AH$6*1.1,"error","aceptable"))</f><v /></c><c r="AZ265" s="390"><f>IF(AF265&lt;$V$6,"error",IF(AF265&gt;$V$6*1.1,"error","aceptable"))</f><v /></c><c r="BA265" s="390"><f>IF(T265&lt;$J$6*0.9,"error",IF(T265&gt;$J$6,"error","aceptable"))</f><v /></c><c r="BB265" s="25"><f>(IF(ABS(U265)&lt;1.05,"CONFORME",IF(ABS(AG265)&lt;1.05,"CONFORME",IF(ABS(AS265)&lt;2.55,"CONFORME","NO CONFORME"))))</f><v /></c><c r="BC265" s="5"><f>(IF(ABS(U265)&gt;2.05,"NO CONFORME",IF(ABS(AG265)&gt;2.05,"NO CONFORME",IF(ABS(AS265)&gt;5.05,"NO CONFORME","CONFORME"))))</f><v /></c><c r="BD265" s="374"><f>SIGN(U265)</f><v /></c><c r="BE265" s="374"><f>SIGN(AG265)</f><v /></c><c r="BF265" s="374"><f>SIGN(AS265)</f><v /></c><c r="BG265" s="374"><f>CONCATENATE(BD265,BE265,BF265)</f><v /></c><c r="BH265" s="374"><f>IF(BG265="111","SI","SD")</f><v /></c><c r="BI265" s="374"><f>IF(BG265="-1-1-1","SI","SD")</f><v /></c><c r="BJ265" s="374"><f>OR(BH265="SI",BI265="SI")</f><v /></c><c r="BK265" s="374"><f>IF(BJ265=FALSE,"SIGDIFERENTES","SIGIGUALES")</f><v /></c><c r="BL265" s="390"><f>IF(BC265="NO CONFORME","NO CONFORME",IF(BB265="CONFORME","CONFORME","NO CONFORME"))</f><v /></c></row><row r="266" ht="14.4" customHeight="1" thickBot="1"><c r="A266" s="443" t="n"><v>258</v></c><c r="B266" s="375"><f>B265</f><v /></c><c r="C266" s="375"><f>C265</f><v /></c><c r="D266" s="376"><f>D265</f><v /></c><c r="E266" s="377"><f>E265</f><v /></c><c r="F266" s="13" t="n" /><c r="G266" s="312" t="inlineStr"><is><t>PA25516966</t></is></c><c r="H266" s="313"><f>H265</f><v /></c><c r="I266" s="38"><f>I265</f><v /></c><c r="J266" s="314"><f>J265</f><v /></c><c r="K266" s="378"><f>K265</f><v /></c><c r="L266" s="378"><f>L265</f><v /></c><c r="M266" s="379" t="n"><v>80.14</v></c><c r="N266" s="379" t="n"><v>179.43</v></c><c r="O266" s="380"><f>O265</f><v /></c><c r="P266" s="381"><f>P265</f><v /></c><c r="Q266" s="382"><f>LEFT(P266,1)</f><v /></c><c r="R266" s="382"><f>RIGHT(P266,6)</f><v /></c><c r="S266" s="382"><f>+(Q266*60+R266)/(60*60)</f><v /></c><c r="T266" s="383"><f>+O266/S266</f><v /></c><c r="U266" s="384"><f>+(((N266-M266-O266)/O266)*100)</f><v /></c><c r="V266" s="317"><f>V265</f><v /></c><c r="W266" s="378"><f>W265</f><v /></c><c r="X266" s="378"><f>X265</f><v /></c><c r="Y266" s="379" t="n"><v>191.3</v></c><c r="Z266" s="379" t="n"><v>201.28</v></c><c r="AA266" s="386"><f>AA265</f><v /></c><c r="AB266" s="387"><f>AB265</f><v /></c><c r="AC266" s="382"><f>LEFT(AB266,2)</f><v /></c><c r="AD266" s="382"><f>RIGHT(AB266,6)</f><v /></c><c r="AE266" s="382"><f>+(AC266*60+AD266)/(60*60)</f><v /></c><c r="AF266" s="383"><f>+AA266/AE266</f><v /></c><c r="AG266" s="321"><f>+(((Z266-Y266-AA266)/AA266)*100)</f><v /></c><c r="AH266" s="317"><f>AH265</f><v /></c><c r="AI266" s="378"><f>AI265</f><v /></c><c r="AJ266" s="378"><f>AJ265</f><v /></c><c r="AK266" s="379"><f>Z266</f><v /></c><c r="AL266" s="379" t="n"><v>206.32</v></c><c r="AM266" s="388"><f>AM265</f><v /></c><c r="AN266" s="381"><f>AN265</f><v /></c><c r="AO266" s="382"><f>LEFT(AN266,2)</f><v /></c><c r="AP266" s="382"><f>RIGHT(AN266,6)</f><v /></c><c r="AQ266" s="382"><f>+(AO266*60+AP266)/(60*60)</f><v /></c><c r="AR266" s="383"><f>+AM266/AQ266</f><v /></c><c r="AS266" s="321"><f>+(((AL266-AK266-AM266)/AM266)*100)</f><v /></c><c r="AT266" s="389"><f>IF(I266&gt;=1,"NO CONFORME",IF(BK266="SIGDIFERENTES",BC266,BL266))</f><v /></c><c r="AU266" s="372"><f>B266=C266</f><v /></c><c r="AV266" s="372"><f>N266&lt;Y266</f><v /></c><c r="AW266" s="372"><f>Z266&lt;=AK266</f><v /></c><c r="AX266" s="372"><f>IF(I266&gt;=1,"Qcorrecto",IF(AND(AY266="aceptable",AZ266="aceptable",BA266="aceptable"),"Qcorrecto","Qincorrecto"))</f><v /></c><c r="AY266" s="390"><f>IF(AR266&lt;$AH$6,"error",IF(AR266&gt;$AH$6*1.1,"error","aceptable"))</f><v /></c><c r="AZ266" s="390"><f>IF(AF266&lt;$V$6,"error",IF(AF266&gt;$V$6*1.1,"error","aceptable"))</f><v /></c><c r="BA266" s="390"><f>IF(T266&lt;$J$6*0.9,"error",IF(T266&gt;$J$6,"error","aceptable"))</f><v /></c><c r="BB266" s="25"><f>(IF(ABS(U266)&lt;1.05,"CONFORME",IF(ABS(AG266)&lt;1.05,"CONFORME",IF(ABS(AS266)&lt;2.55,"CONFORME","NO CONFORME"))))</f><v /></c><c r="BC266" s="5"><f>(IF(ABS(U266)&gt;2.05,"NO CONFORME",IF(ABS(AG266)&gt;2.05,"NO CONFORME",IF(ABS(AS266)&gt;5.05,"NO CONFORME","CONFORME"))))</f><v /></c><c r="BD266" s="374"><f>SIGN(U266)</f><v /></c><c r="BE266" s="374"><f>SIGN(AG266)</f><v /></c><c r="BF266" s="374"><f>SIGN(AS266)</f><v /></c><c r="BG266" s="374"><f>CONCATENATE(BD266,BE266,BF266)</f><v /></c><c r="BH266" s="374"><f>IF(BG266="111","SI","SD")</f><v /></c><c r="BI266" s="374"><f>IF(BG266="-1-1-1","SI","SD")</f><v /></c><c r="BJ266" s="374"><f>OR(BH266="SI",BI266="SI")</f><v /></c><c r="BK266" s="374"><f>IF(BJ266=FALSE,"SIGDIFERENTES","SIGIGUALES")</f><v /></c><c r="BL266" s="390"><f>IF(BC266="NO CONFORME","NO CONFORME",IF(BB266="CONFORME","CONFORME","NO CONFORME"))</f><v /></c></row><row r="267" ht="15" customHeight="1" thickBot="1"><c r="A267" s="445" t="n"><v>259</v></c><c r="B267" s="392"><f>B266</f><v /></c><c r="C267" s="392"><f>C266</f><v /></c><c r="D267" s="393"><f>D266</f><v /></c><c r="E267" s="394"><f>E266</f><v /></c><c r="F267" s="52" t="n" /><c r="G267" s="325" t="inlineStr"><is><t>PA25516967</t></is></c><c r="H267" s="326"><f>H266</f><v /></c><c r="I267" s="98"><f>I266</f><v /></c><c r="J267" s="327"><f>J266</f><v /></c><c r="K267" s="396"><f>K266</f><v /></c><c r="L267" s="396"><f>L266</f><v /></c><c r="M267" s="397" t="n"><v>80.2</v></c><c r="N267" s="397" t="n"><v>179.82</v></c><c r="O267" s="398"><f>O266</f><v /></c><c r="P267" s="399"><f>P266</f><v /></c><c r="Q267" s="400"><f>LEFT(P267,1)</f><v /></c><c r="R267" s="400"><f>RIGHT(P267,6)</f><v /></c><c r="S267" s="400"><f>+(Q267*60+R267)/(60*60)</f><v /></c><c r="T267" s="401"><f>+O267/S267</f><v /></c><c r="U267" s="402"><f>+(((N267-M267-O267)/O267)*100)</f><v /></c><c r="V267" s="329"><f>V266</f><v /></c><c r="W267" s="396"><f>W266</f><v /></c><c r="X267" s="396"><f>X266</f><v /></c><c r="Y267" s="397" t="n"><v>191.72</v></c><c r="Z267" s="397" t="n"><v>201.78</v></c><c r="AA267" s="404"><f>AA266</f><v /></c><c r="AB267" s="405"><f>AB266</f><v /></c><c r="AC267" s="400"><f>LEFT(AB267,2)</f><v /></c><c r="AD267" s="400"><f>RIGHT(AB267,6)</f><v /></c><c r="AE267" s="400"><f>+(AC267*60+AD267)/(60*60)</f><v /></c><c r="AF267" s="401"><f>+AA267/AE267</f><v /></c><c r="AG267" s="406"><f>+(((Z267-Y267-AA267)/AA267)*100)</f><v /></c><c r="AH267" s="329"><f>AH266</f><v /></c><c r="AI267" s="396"><f>AI266</f><v /></c><c r="AJ267" s="396"><f>AJ266</f><v /></c><c r="AK267" s="397"><f>Z267</f><v /></c><c r="AL267" s="397" t="n"><v>206.88</v></c><c r="AM267" s="407"><f>AM266</f><v /></c><c r="AN267" s="399"><f>AN266</f><v /></c><c r="AO267" s="400"><f>LEFT(AN267,2)</f><v /></c><c r="AP267" s="400"><f>RIGHT(AN267,6)</f><v /></c><c r="AQ267" s="400"><f>+(AO267*60+AP267)/(60*60)</f><v /></c><c r="AR267" s="401"><f>+AM267/AQ267</f><v /></c><c r="AS267" s="406"><f>+(((AL267-AK267-AM267)/AM267)*100)</f><v /></c><c r="AT267" s="408"><f>IF(I267&gt;=1,"NO CONFORME",IF(BK267="SIGDIFERENTES",BC267,BL267))</f><v /></c><c r="AU267" s="409"><f>B267=C267</f><v /></c><c r="AV267" s="409"><f>N267&lt;Y267</f><v /></c><c r="AW267" s="409"><f>Z267&lt;=AK267</f><v /></c><c r="AX267" s="409"><f>IF(I267&gt;=1,"Qcorrecto",IF(AND(AY267="aceptable",AZ267="aceptable",BA267="aceptable"),"Qcorrecto","Qincorrecto"))</f><v /></c><c r="AY267" s="410"><f>IF(AR267&lt;$AH$6,"error",IF(AR267&gt;$AH$6*1.1,"error","aceptable"))</f><v /></c><c r="AZ267" s="410"><f>IF(AF267&lt;$V$6,"error",IF(AF267&gt;$V$6*1.1,"error","aceptable"))</f><v /></c><c r="BA267" s="410"><f>IF(T267&lt;$J$6*0.9,"error",IF(T267&gt;$J$6,"error","aceptable"))</f><v /></c><c r="BB267" s="411"><f>(IF(ABS(U267)&lt;1.05,"CONFORME",IF(ABS(AG267)&lt;1.05,"CONFORME",IF(ABS(AS267)&lt;2.55,"CONFORME","NO CONFORME"))))</f><v /></c><c r="BC267" s="412"><f>(IF(ABS(U267)&gt;2.05,"NO CONFORME",IF(ABS(AG267)&gt;2.05,"NO CONFORME",IF(ABS(AS267)&gt;5.05,"NO CONFORME","CONFORME"))))</f><v /></c><c r="BD267" s="413"><f>SIGN(U267)</f><v /></c><c r="BE267" s="413"><f>SIGN(AG267)</f><v /></c><c r="BF267" s="413"><f>SIGN(AS267)</f><v /></c><c r="BG267" s="413"><f>CONCATENATE(BD267,BE267,BF267)</f><v /></c><c r="BH267" s="413"><f>IF(BG267="111","SI","SD")</f><v /></c><c r="BI267" s="413"><f>IF(BG267="-1-1-1","SI","SD")</f><v /></c><c r="BJ267" s="413"><f>OR(BH267="SI",BI267="SI")</f><v /></c><c r="BK267" s="413"><f>IF(BJ267=FALSE,"SIGDIFERENTES","SIGIGUALES")</f><v /></c><c r="BL267" s="410"><f>IF(BC267="NO CONFORME","NO CONFORME",IF(BB267="CONFORME","CONFORME","NO CONFORME"))</f><v /></c></row><row r="268" ht="14.4" customHeight="1" thickBot="1"><c r="A268" s="351" t="n"><v>260</v></c><c r="B268" s="352"><f>B267</f><v /></c><c r="C268" s="352"><f>C267</f><v /></c><c r="D268" s="353"><f>D267</f><v /></c><c r="E268" s="354"><f>E267</f><v /></c><c r="F268" s="58" t="n" /><c r="G268" s="300" t="inlineStr"><is><t>PA25516968</t></is></c><c r="H268" s="356"><f>H267</f><v /></c><c r="I268" s="232"><f>I267</f><v /></c><c r="J268" s="357" t="n"><v>21</v></c><c r="K268" s="358" t="n"><v>8.342000000000001</v></c><c r="L268" s="358" t="n"><v>0.529</v></c><c r="M268" s="359" t="n"><v>85.39</v></c><c r="N268" s="359" t="n"><v>184.66</v></c><c r="O268" s="360" t="n"><v>100.3</v></c><c r="P268" s="361" t="inlineStr"><is><t>2,29,920</t></is></c><c r="Q268" s="362"><f>LEFT(P268,1)</f><v /></c><c r="R268" s="362"><f>RIGHT(P268,6)</f><v /></c><c r="S268" s="362"><f>+(Q268*60+R268)/(60*60)</f><v /></c><c r="T268" s="363"><f>+O268/S268</f><v /></c><c r="U268" s="364"><f>+(((N268-M268-O268)/O268)*100)</f><v /></c><c r="V268" s="365" t="n"><v>21</v></c><c r="W268" s="358" t="n"><v>1.4</v></c><c r="X268" s="358" t="n"><v>1.4</v></c><c r="Y268" s="359" t="n"><v>189.06</v></c><c r="Z268" s="359" t="n"><v>199</v></c><c r="AA268" s="367" t="n"><v>10.03</v></c><c r="AB268" s="368" t="inlineStr"><is><t>22,49,120</t></is></c><c r="AC268" s="362"><f>LEFT(AB268,2)</f><v /></c><c r="AD268" s="362"><f>RIGHT(AB268,6)</f><v /></c><c r="AE268" s="362"><f>+(AC268*60+AD268)/(60*60)</f><v /></c><c r="AF268" s="363"><f>+AA268/AE268</f><v /></c><c r="AG268" s="369"><f>+(((Z268-Y268-AA268)/AA268)*100)</f><v /></c><c r="AH268" s="365" t="n"><v>21</v></c><c r="AI268" s="358" t="n"><v>1.4</v></c><c r="AJ268" s="358" t="n"><v>1.402</v></c><c r="AK268" s="359"><f>Z268</f><v /></c><c r="AL268" s="359" t="n"><v>204</v></c><c r="AM268" s="370" t="n"><v>5.02</v></c><c r="AN268" s="361" t="inlineStr"><is><t>18,15,640</t></is></c><c r="AO268" s="362"><f>LEFT(AN268,2)</f><v /></c><c r="AP268" s="362"><f>RIGHT(AN268,6)</f><v /></c><c r="AQ268" s="362"><f>+(AO268*60+AP268)/(60*60)</f><v /></c><c r="AR268" s="363"><f>+AM268/AQ268</f><v /></c><c r="AS268" s="369"><f>+(((AL268-AK268-AM268)/AM268)*100)</f><v /></c><c r="AT268" s="371"><f>IF(I268&gt;=1,"NO CONFORME",IF(BK268="SIGDIFERENTES",BC268,BL268))</f><v /></c><c r="AU268" s="372"><f>B268=C268</f><v /></c><c r="AV268" s="372"><f>N268&lt;Y268</f><v /></c><c r="AW268" s="372"><f>Z268&lt;=AK268</f><v /></c><c r="AX268" s="372"><f>IF(I268&gt;=1,"Qcorrecto",IF(AND(AY268="aceptable",AZ268="aceptable",BA268="aceptable"),"Qcorrecto","Qincorrecto"))</f><v /></c><c r="AY268" s="373"><f>IF(AR268&lt;$AH$6,"error",IF(AR268&gt;$AH$6*1.1,"error","aceptable"))</f><v /></c><c r="AZ268" s="373"><f>IF(AF268&lt;$V$6,"error",IF(AF268&gt;$V$6*1.1,"error","aceptable"))</f><v /></c><c r="BA268" s="373"><f>IF(T268&lt;$J$6*0.9,"error",IF(T268&gt;$J$6,"error","aceptable"))</f><v /></c><c r="BB268" s="25"><f>(IF(ABS(U268)&lt;1.05,"CONFORME",IF(ABS(AG268)&lt;1.05,"CONFORME",IF(ABS(AS268)&lt;2.55,"CONFORME","NO CONFORME"))))</f><v /></c><c r="BC268" s="5"><f>(IF(ABS(U268)&gt;2.05,"NO CONFORME",IF(ABS(AG268)&gt;2.05,"NO CONFORME",IF(ABS(AS268)&gt;5.05,"NO CONFORME","CONFORME"))))</f><v /></c><c r="BD268" s="374"><f>SIGN(U268)</f><v /></c><c r="BE268" s="374"><f>SIGN(AG268)</f><v /></c><c r="BF268" s="374"><f>SIGN(AS268)</f><v /></c><c r="BG268" s="374"><f>CONCATENATE(BD268,BE268,BF268)</f><v /></c><c r="BH268" s="374"><f>IF(BG268="111","SI","SD")</f><v /></c><c r="BI268" s="374"><f>IF(BG268="-1-1-1","SI","SD")</f><v /></c><c r="BJ268" s="374"><f>OR(BH268="SI",BI268="SI")</f><v /></c><c r="BK268" s="374"><f>IF(BJ268=FALSE,"SIGDIFERENTES","SIGIGUALES")</f><v /></c><c r="BL268" s="373"><f>IF(BC268="NO CONFORME","NO CONFORME",IF(BB268="CONFORME","CONFORME","NO CONFORME"))</f><v /></c></row><row r="269" ht="14.4" customHeight="1" thickBot="1"><c r="A269" s="443" t="n"><v>261</v></c><c r="B269" s="375"><f>B268</f><v /></c><c r="C269" s="375"><f>C268</f><v /></c><c r="D269" s="376"><f>D268</f><v /></c><c r="E269" s="377"><f>E268</f><v /></c><c r="F269" s="13" t="n" /><c r="G269" s="312" t="inlineStr"><is><t>PA25516969</t></is></c><c r="H269" s="313"><f>H268</f><v /></c><c r="I269" s="38"><f>I268</f><v /></c><c r="J269" s="314"><f>J268</f><v /></c><c r="K269" s="378"><f>K268</f><v /></c><c r="L269" s="378"><f>L268</f><v /></c><c r="M269" s="379" t="n"><v>83.67</v></c><c r="N269" s="379" t="n"><v>182.52</v></c><c r="O269" s="380"><f>O268</f><v /></c><c r="P269" s="381"><f>P268</f><v /></c><c r="Q269" s="382"><f>LEFT(P269,1)</f><v /></c><c r="R269" s="382"><f>RIGHT(P269,6)</f><v /></c><c r="S269" s="382"><f>+(Q269*60+R269)/(60*60)</f><v /></c><c r="T269" s="383"><f>+O269/S269</f><v /></c><c r="U269" s="384"><f>+(((N269-M269-O269)/O269)*100)</f><v /></c><c r="V269" s="317"><f>V268</f><v /></c><c r="W269" s="378"><f>W268</f><v /></c><c r="X269" s="378"><f>X268</f><v /></c><c r="Y269" s="379" t="n"><v>186.89</v></c><c r="Z269" s="379" t="n"><v>196.86</v></c><c r="AA269" s="386"><f>AA268</f><v /></c><c r="AB269" s="387"><f>AB268</f><v /></c><c r="AC269" s="382"><f>LEFT(AB269,2)</f><v /></c><c r="AD269" s="382"><f>RIGHT(AB269,6)</f><v /></c><c r="AE269" s="382"><f>+(AC269*60+AD269)/(60*60)</f><v /></c><c r="AF269" s="383"><f>+AA269/AE269</f><v /></c><c r="AG269" s="321"><f>+(((Z269-Y269-AA269)/AA269)*100)</f><v /></c><c r="AH269" s="317"><f>AH268</f><v /></c><c r="AI269" s="378"><f>AI268</f><v /></c><c r="AJ269" s="378"><f>AJ268</f><v /></c><c r="AK269" s="379"><f>Z269</f><v /></c><c r="AL269" s="379" t="n"><v>201.84</v></c><c r="AM269" s="388"><f>AM268</f><v /></c><c r="AN269" s="381"><f>AN268</f><v /></c><c r="AO269" s="382"><f>LEFT(AN269,2)</f><v /></c><c r="AP269" s="382"><f>RIGHT(AN269,6)</f><v /></c><c r="AQ269" s="382"><f>+(AO269*60+AP269)/(60*60)</f><v /></c><c r="AR269" s="383"><f>+AM269/AQ269</f><v /></c><c r="AS269" s="321"><f>+(((AL269-AK269-AM269)/AM269)*100)</f><v /></c><c r="AT269" s="389"><f>IF(I269&gt;=1,"NO CONFORME",IF(BK269="SIGDIFERENTES",BC269,BL269))</f><v /></c><c r="AU269" s="372"><f>B269=C269</f><v /></c><c r="AV269" s="372"><f>N269&lt;Y269</f><v /></c><c r="AW269" s="372"><f>Z269&lt;=AK269</f><v /></c><c r="AX269" s="372"><f>IF(I269&gt;=1,"Qcorrecto",IF(AND(AY269="aceptable",AZ269="aceptable",BA269="aceptable"),"Qcorrecto","Qincorrecto"))</f><v /></c><c r="AY269" s="390"><f>IF(AR269&lt;$AH$6,"error",IF(AR269&gt;$AH$6*1.1,"error","aceptable"))</f><v /></c><c r="AZ269" s="390"><f>IF(AF269&lt;$V$6,"error",IF(AF269&gt;$V$6*1.1,"error","aceptable"))</f><v /></c><c r="BA269" s="390"><f>IF(T269&lt;$J$6*0.9,"error",IF(T269&gt;$J$6,"error","aceptable"))</f><v /></c><c r="BB269" s="25"><f>(IF(ABS(U269)&lt;1.05,"CONFORME",IF(ABS(AG269)&lt;1.05,"CONFORME",IF(ABS(AS269)&lt;2.55,"CONFORME","NO CONFORME"))))</f><v /></c><c r="BC269" s="5"><f>(IF(ABS(U269)&gt;2.05,"NO CONFORME",IF(ABS(AG269)&gt;2.05,"NO CONFORME",IF(ABS(AS269)&gt;5.05,"NO CONFORME","CONFORME"))))</f><v /></c><c r="BD269" s="374"><f>SIGN(U269)</f><v /></c><c r="BE269" s="374"><f>SIGN(AG269)</f><v /></c><c r="BF269" s="374"><f>SIGN(AS269)</f><v /></c><c r="BG269" s="374"><f>CONCATENATE(BD269,BE269,BF269)</f><v /></c><c r="BH269" s="374"><f>IF(BG269="111","SI","SD")</f><v /></c><c r="BI269" s="374"><f>IF(BG269="-1-1-1","SI","SD")</f><v /></c><c r="BJ269" s="374"><f>OR(BH269="SI",BI269="SI")</f><v /></c><c r="BK269" s="374"><f>IF(BJ269=FALSE,"SIGDIFERENTES","SIGIGUALES")</f><v /></c><c r="BL269" s="390"><f>IF(BC269="NO CONFORME","NO CONFORME",IF(BB269="CONFORME","CONFORME","NO CONFORME"))</f><v /></c></row><row r="270" ht="14.4" customHeight="1" thickBot="1"><c r="A270" s="443" t="n"><v>262</v></c><c r="B270" s="375"><f>B269</f><v /></c><c r="C270" s="375"><f>C269</f><v /></c><c r="D270" s="376"><f>D269</f><v /></c><c r="E270" s="377"><f>E269</f><v /></c><c r="F270" s="13" t="n" /><c r="G270" s="312" t="inlineStr"><is><t>PA25516970</t></is></c><c r="H270" s="313"><f>H269</f><v /></c><c r="I270" s="38"><f>I269</f><v /></c><c r="J270" s="314"><f>J269</f><v /></c><c r="K270" s="378"><f>K269</f><v /></c><c r="L270" s="378"><f>L269</f><v /></c><c r="M270" s="379" t="n"><v>84.64</v></c><c r="N270" s="379" t="n"><v>184.22</v></c><c r="O270" s="380"><f>O269</f><v /></c><c r="P270" s="381"><f>P269</f><v /></c><c r="Q270" s="382"><f>LEFT(P270,1)</f><v /></c><c r="R270" s="382"><f>RIGHT(P270,6)</f><v /></c><c r="S270" s="382"><f>+(Q270*60+R270)/(60*60)</f><v /></c><c r="T270" s="383"><f>+O270/S270</f><v /></c><c r="U270" s="384"><f>+(((N270-M270-O270)/O270)*100)</f><v /></c><c r="V270" s="317"><f>V269</f><v /></c><c r="W270" s="378"><f>W269</f><v /></c><c r="X270" s="378"><f>X269</f><v /></c><c r="Y270" s="379" t="n"><v>188.6</v></c><c r="Z270" s="379" t="n"><v>198.62</v></c><c r="AA270" s="386"><f>AA269</f><v /></c><c r="AB270" s="387"><f>AB269</f><v /></c><c r="AC270" s="382"><f>LEFT(AB270,2)</f><v /></c><c r="AD270" s="382"><f>RIGHT(AB270,6)</f><v /></c><c r="AE270" s="382"><f>+(AC270*60+AD270)/(60*60)</f><v /></c><c r="AF270" s="383"><f>+AA270/AE270</f><v /></c><c r="AG270" s="321"><f>+(((Z270-Y270-AA270)/AA270)*100)</f><v /></c><c r="AH270" s="317"><f>AH269</f><v /></c><c r="AI270" s="378"><f>AI269</f><v /></c><c r="AJ270" s="378"><f>AJ269</f><v /></c><c r="AK270" s="379"><f>Z270</f><v /></c><c r="AL270" s="379" t="n"><v>203.64</v></c><c r="AM270" s="388"><f>AM269</f><v /></c><c r="AN270" s="381"><f>AN269</f><v /></c><c r="AO270" s="382"><f>LEFT(AN270,2)</f><v /></c><c r="AP270" s="382"><f>RIGHT(AN270,6)</f><v /></c><c r="AQ270" s="382"><f>+(AO270*60+AP270)/(60*60)</f><v /></c><c r="AR270" s="383"><f>+AM270/AQ270</f><v /></c><c r="AS270" s="321"><f>+(((AL270-AK270-AM270)/AM270)*100)</f><v /></c><c r="AT270" s="389"><f>IF(I270&gt;=1,"NO CONFORME",IF(BK270="SIGDIFERENTES",BC270,BL270))</f><v /></c><c r="AU270" s="372"><f>B270=C270</f><v /></c><c r="AV270" s="372"><f>N270&lt;Y270</f><v /></c><c r="AW270" s="372"><f>Z270&lt;=AK270</f><v /></c><c r="AX270" s="372"><f>IF(I270&gt;=1,"Qcorrecto",IF(AND(AY270="aceptable",AZ270="aceptable",BA270="aceptable"),"Qcorrecto","Qincorrecto"))</f><v /></c><c r="AY270" s="390"><f>IF(AR270&lt;$AH$6,"error",IF(AR270&gt;$AH$6*1.1,"error","aceptable"))</f><v /></c><c r="AZ270" s="390"><f>IF(AF270&lt;$V$6,"error",IF(AF270&gt;$V$6*1.1,"error","aceptable"))</f><v /></c><c r="BA270" s="390"><f>IF(T270&lt;$J$6*0.9,"error",IF(T270&gt;$J$6,"error","aceptable"))</f><v /></c><c r="BB270" s="25"><f>(IF(ABS(U270)&lt;1.05,"CONFORME",IF(ABS(AG270)&lt;1.05,"CONFORME",IF(ABS(AS270)&lt;2.55,"CONFORME","NO CONFORME"))))</f><v /></c><c r="BC270" s="5"><f>(IF(ABS(U270)&gt;2.05,"NO CONFORME",IF(ABS(AG270)&gt;2.05,"NO CONFORME",IF(ABS(AS270)&gt;5.05,"NO CONFORME","CONFORME"))))</f><v /></c><c r="BD270" s="374"><f>SIGN(U270)</f><v /></c><c r="BE270" s="374"><f>SIGN(AG270)</f><v /></c><c r="BF270" s="374"><f>SIGN(AS270)</f><v /></c><c r="BG270" s="374"><f>CONCATENATE(BD270,BE270,BF270)</f><v /></c><c r="BH270" s="374"><f>IF(BG270="111","SI","SD")</f><v /></c><c r="BI270" s="374"><f>IF(BG270="-1-1-1","SI","SD")</f><v /></c><c r="BJ270" s="374"><f>OR(BH270="SI",BI270="SI")</f><v /></c><c r="BK270" s="374"><f>IF(BJ270=FALSE,"SIGDIFERENTES","SIGIGUALES")</f><v /></c><c r="BL270" s="390"><f>IF(BC270="NO CONFORME","NO CONFORME",IF(BB270="CONFORME","CONFORME","NO CONFORME"))</f><v /></c></row><row r="271" ht="14.4" customHeight="1" thickBot="1"><c r="A271" s="443" t="n"><v>263</v></c><c r="B271" s="375"><f>B270</f><v /></c><c r="C271" s="375"><f>C270</f><v /></c><c r="D271" s="376"><f>D270</f><v /></c><c r="E271" s="377"><f>E270</f><v /></c><c r="F271" s="13" t="n" /><c r="G271" s="312" t="inlineStr"><is><t>PA25516971</t></is></c><c r="H271" s="313"><f>H270</f><v /></c><c r="I271" s="38"><f>I270</f><v /></c><c r="J271" s="314"><f>J270</f><v /></c><c r="K271" s="378"><f>K270</f><v /></c><c r="L271" s="378"><f>L270</f><v /></c><c r="M271" s="379" t="n"><v>84.58</v></c><c r="N271" s="379" t="n"><v>184.12</v></c><c r="O271" s="380"><f>O270</f><v /></c><c r="P271" s="381"><f>P270</f><v /></c><c r="Q271" s="382"><f>LEFT(P271,1)</f><v /></c><c r="R271" s="382"><f>RIGHT(P271,6)</f><v /></c><c r="S271" s="382"><f>+(Q271*60+R271)/(60*60)</f><v /></c><c r="T271" s="383"><f>+O271/S271</f><v /></c><c r="U271" s="384"><f>+(((N271-M271-O271)/O271)*100)</f><v /></c><c r="V271" s="317"><f>V270</f><v /></c><c r="W271" s="378"><f>W270</f><v /></c><c r="X271" s="378"><f>X270</f><v /></c><c r="Y271" s="379" t="n"><v>188.5</v></c><c r="Z271" s="379" t="n"><v>198.5</v></c><c r="AA271" s="386"><f>AA270</f><v /></c><c r="AB271" s="387"><f>AB270</f><v /></c><c r="AC271" s="382"><f>LEFT(AB271,2)</f><v /></c><c r="AD271" s="382"><f>RIGHT(AB271,6)</f><v /></c><c r="AE271" s="382"><f>+(AC271*60+AD271)/(60*60)</f><v /></c><c r="AF271" s="383"><f>+AA271/AE271</f><v /></c><c r="AG271" s="321"><f>+(((Z271-Y271-AA271)/AA271)*100)</f><v /></c><c r="AH271" s="317"><f>AH270</f><v /></c><c r="AI271" s="378"><f>AI270</f><v /></c><c r="AJ271" s="378"><f>AJ270</f><v /></c><c r="AK271" s="379"><f>Z271</f><v /></c><c r="AL271" s="379" t="n"><v>203.56</v></c><c r="AM271" s="388"><f>AM270</f><v /></c><c r="AN271" s="381"><f>AN270</f><v /></c><c r="AO271" s="382"><f>LEFT(AN271,2)</f><v /></c><c r="AP271" s="382"><f>RIGHT(AN271,6)</f><v /></c><c r="AQ271" s="382"><f>+(AO271*60+AP271)/(60*60)</f><v /></c><c r="AR271" s="383"><f>+AM271/AQ271</f><v /></c><c r="AS271" s="321"><f>+(((AL271-AK271-AM271)/AM271)*100)</f><v /></c><c r="AT271" s="389"><f>IF(I271&gt;=1,"NO CONFORME",IF(BK271="SIGDIFERENTES",BC271,BL271))</f><v /></c><c r="AU271" s="372"><f>B271=C271</f><v /></c><c r="AV271" s="372"><f>N271&lt;Y271</f><v /></c><c r="AW271" s="372"><f>Z271&lt;=AK271</f><v /></c><c r="AX271" s="372"><f>IF(I271&gt;=1,"Qcorrecto",IF(AND(AY271="aceptable",AZ271="aceptable",BA271="aceptable"),"Qcorrecto","Qincorrecto"))</f><v /></c><c r="AY271" s="390"><f>IF(AR271&lt;$AH$6,"error",IF(AR271&gt;$AH$6*1.1,"error","aceptable"))</f><v /></c><c r="AZ271" s="390"><f>IF(AF271&lt;$V$6,"error",IF(AF271&gt;$V$6*1.1,"error","aceptable"))</f><v /></c><c r="BA271" s="390"><f>IF(T271&lt;$J$6*0.9,"error",IF(T271&gt;$J$6,"error","aceptable"))</f><v /></c><c r="BB271" s="25"><f>(IF(ABS(U271)&lt;1.05,"CONFORME",IF(ABS(AG271)&lt;1.05,"CONFORME",IF(ABS(AS271)&lt;2.55,"CONFORME","NO CONFORME"))))</f><v /></c><c r="BC271" s="5"><f>(IF(ABS(U271)&gt;2.05,"NO CONFORME",IF(ABS(AG271)&gt;2.05,"NO CONFORME",IF(ABS(AS271)&gt;5.05,"NO CONFORME","CONFORME"))))</f><v /></c><c r="BD271" s="374"><f>SIGN(U271)</f><v /></c><c r="BE271" s="374"><f>SIGN(AG271)</f><v /></c><c r="BF271" s="374"><f>SIGN(AS271)</f><v /></c><c r="BG271" s="374"><f>CONCATENATE(BD271,BE271,BF271)</f><v /></c><c r="BH271" s="374"><f>IF(BG271="111","SI","SD")</f><v /></c><c r="BI271" s="374"><f>IF(BG271="-1-1-1","SI","SD")</f><v /></c><c r="BJ271" s="374"><f>OR(BH271="SI",BI271="SI")</f><v /></c><c r="BK271" s="374"><f>IF(BJ271=FALSE,"SIGDIFERENTES","SIGIGUALES")</f><v /></c><c r="BL271" s="390"><f>IF(BC271="NO CONFORME","NO CONFORME",IF(BB271="CONFORME","CONFORME","NO CONFORME"))</f><v /></c></row><row r="272" ht="14.4" customHeight="1" thickBot="1"><c r="A272" s="443" t="n"><v>264</v></c><c r="B272" s="375"><f>B271</f><v /></c><c r="C272" s="375"><f>C271</f><v /></c><c r="D272" s="376"><f>D271</f><v /></c><c r="E272" s="377"><f>E271</f><v /></c><c r="F272" s="13" t="n" /><c r="G272" s="312" t="inlineStr"><is><t>PA25516972</t></is></c><c r="H272" s="313"><f>H271</f><v /></c><c r="I272" s="38"><f>I271</f><v /></c><c r="J272" s="314"><f>J271</f><v /></c><c r="K272" s="378"><f>K271</f><v /></c><c r="L272" s="378"><f>L271</f><v /></c><c r="M272" s="379" t="n"><v>83.61</v></c><c r="N272" s="379" t="n"><v>182.84</v></c><c r="O272" s="380"><f>O271</f><v /></c><c r="P272" s="381"><f>P271</f><v /></c><c r="Q272" s="382"><f>LEFT(P272,1)</f><v /></c><c r="R272" s="382"><f>RIGHT(P272,6)</f><v /></c><c r="S272" s="382"><f>+(Q272*60+R272)/(60*60)</f><v /></c><c r="T272" s="383"><f>+O272/S272</f><v /></c><c r="U272" s="384"><f>+(((N272-M272-O272)/O272)*100)</f><v /></c><c r="V272" s="317"><f>V271</f><v /></c><c r="W272" s="378"><f>W271</f><v /></c><c r="X272" s="378"><f>X271</f><v /></c><c r="Y272" s="379" t="n"><v>187.22</v></c><c r="Z272" s="379" t="n"><v>197.21</v></c><c r="AA272" s="386"><f>AA271</f><v /></c><c r="AB272" s="387"><f>AB271</f><v /></c><c r="AC272" s="382"><f>LEFT(AB272,2)</f><v /></c><c r="AD272" s="382"><f>RIGHT(AB272,6)</f><v /></c><c r="AE272" s="382"><f>+(AC272*60+AD272)/(60*60)</f><v /></c><c r="AF272" s="383"><f>+AA272/AE272</f><v /></c><c r="AG272" s="321"><f>+(((Z272-Y272-AA272)/AA272)*100)</f><v /></c><c r="AH272" s="317"><f>AH271</f><v /></c><c r="AI272" s="378"><f>AI271</f><v /></c><c r="AJ272" s="378"><f>AJ271</f><v /></c><c r="AK272" s="379"><f>Z272</f><v /></c><c r="AL272" s="379" t="n"><v>202.21</v></c><c r="AM272" s="388"><f>AM271</f><v /></c><c r="AN272" s="381"><f>AN271</f><v /></c><c r="AO272" s="382"><f>LEFT(AN272,2)</f><v /></c><c r="AP272" s="382"><f>RIGHT(AN272,6)</f><v /></c><c r="AQ272" s="382"><f>+(AO272*60+AP272)/(60*60)</f><v /></c><c r="AR272" s="383"><f>+AM272/AQ272</f><v /></c><c r="AS272" s="321"><f>+(((AL272-AK272-AM272)/AM272)*100)</f><v /></c><c r="AT272" s="389"><f>IF(I272&gt;=1,"NO CONFORME",IF(BK272="SIGDIFERENTES",BC272,BL272))</f><v /></c><c r="AU272" s="372"><f>B272=C272</f><v /></c><c r="AV272" s="372"><f>N272&lt;Y272</f><v /></c><c r="AW272" s="372"><f>Z272&lt;=AK272</f><v /></c><c r="AX272" s="372"><f>IF(I272&gt;=1,"Qcorrecto",IF(AND(AY272="aceptable",AZ272="aceptable",BA272="aceptable"),"Qcorrecto","Qincorrecto"))</f><v /></c><c r="AY272" s="390"><f>IF(AR272&lt;$AH$6,"error",IF(AR272&gt;$AH$6*1.1,"error","aceptable"))</f><v /></c><c r="AZ272" s="390"><f>IF(AF272&lt;$V$6,"error",IF(AF272&gt;$V$6*1.1,"error","aceptable"))</f><v /></c><c r="BA272" s="390"><f>IF(T272&lt;$J$6*0.9,"error",IF(T272&gt;$J$6,"error","aceptable"))</f><v /></c><c r="BB272" s="25"><f>(IF(ABS(U272)&lt;1.05,"CONFORME",IF(ABS(AG272)&lt;1.05,"CONFORME",IF(ABS(AS272)&lt;2.55,"CONFORME","NO CONFORME"))))</f><v /></c><c r="BC272" s="5"><f>(IF(ABS(U272)&gt;2.05,"NO CONFORME",IF(ABS(AG272)&gt;2.05,"NO CONFORME",IF(ABS(AS272)&gt;5.05,"NO CONFORME","CONFORME"))))</f><v /></c><c r="BD272" s="374"><f>SIGN(U272)</f><v /></c><c r="BE272" s="374"><f>SIGN(AG272)</f><v /></c><c r="BF272" s="374"><f>SIGN(AS272)</f><v /></c><c r="BG272" s="374"><f>CONCATENATE(BD272,BE272,BF272)</f><v /></c><c r="BH272" s="374"><f>IF(BG272="111","SI","SD")</f><v /></c><c r="BI272" s="374"><f>IF(BG272="-1-1-1","SI","SD")</f><v /></c><c r="BJ272" s="374"><f>OR(BH272="SI",BI272="SI")</f><v /></c><c r="BK272" s="374"><f>IF(BJ272=FALSE,"SIGDIFERENTES","SIGIGUALES")</f><v /></c><c r="BL272" s="390"><f>IF(BC272="NO CONFORME","NO CONFORME",IF(BB272="CONFORME","CONFORME","NO CONFORME"))</f><v /></c></row><row r="273" ht="14.4" customHeight="1" thickBot="1"><c r="A273" s="443" t="n"><v>265</v></c><c r="B273" s="375"><f>B272</f><v /></c><c r="C273" s="375"><f>C272</f><v /></c><c r="D273" s="376"><f>D272</f><v /></c><c r="E273" s="377"><f>E272</f><v /></c><c r="F273" s="13" t="n" /><c r="G273" s="312" t="inlineStr"><is><t>PA25516973</t></is></c><c r="H273" s="313"><f>H272</f><v /></c><c r="I273" s="38"><f>I272</f><v /></c><c r="J273" s="314"><f>J272</f><v /></c><c r="K273" s="378"><f>K272</f><v /></c><c r="L273" s="378"><f>L272</f><v /></c><c r="M273" s="379" t="n"><v>85.29000000000001</v></c><c r="N273" s="379" t="n"><v>184.53</v></c><c r="O273" s="380"><f>O272</f><v /></c><c r="P273" s="381"><f>P272</f><v /></c><c r="Q273" s="382"><f>LEFT(P273,1)</f><v /></c><c r="R273" s="382"><f>RIGHT(P273,6)</f><v /></c><c r="S273" s="382"><f>+(Q273*60+R273)/(60*60)</f><v /></c><c r="T273" s="383"><f>+O273/S273</f><v /></c><c r="U273" s="384"><f>+(((N273-M273-O273)/O273)*100)</f><v /></c><c r="V273" s="317"><f>V272</f><v /></c><c r="W273" s="378"><f>W272</f><v /></c><c r="X273" s="378"><f>X272</f><v /></c><c r="Y273" s="379" t="n"><v>188.92</v></c><c r="Z273" s="379" t="n"><v>198.89</v></c><c r="AA273" s="386"><f>AA272</f><v /></c><c r="AB273" s="387"><f>AB272</f><v /></c><c r="AC273" s="382"><f>LEFT(AB273,2)</f><v /></c><c r="AD273" s="382"><f>RIGHT(AB273,6)</f><v /></c><c r="AE273" s="382"><f>+(AC273*60+AD273)/(60*60)</f><v /></c><c r="AF273" s="383"><f>+AA273/AE273</f><v /></c><c r="AG273" s="321"><f>+(((Z273-Y273-AA273)/AA273)*100)</f><v /></c><c r="AH273" s="317"><f>AH272</f><v /></c><c r="AI273" s="378"><f>AI272</f><v /></c><c r="AJ273" s="378"><f>AJ272</f><v /></c><c r="AK273" s="379"><f>Z273</f><v /></c><c r="AL273" s="379" t="n"><v>203.9</v></c><c r="AM273" s="388"><f>AM272</f><v /></c><c r="AN273" s="381"><f>AN272</f><v /></c><c r="AO273" s="382"><f>LEFT(AN273,2)</f><v /></c><c r="AP273" s="382"><f>RIGHT(AN273,6)</f><v /></c><c r="AQ273" s="382"><f>+(AO273*60+AP273)/(60*60)</f><v /></c><c r="AR273" s="383"><f>+AM273/AQ273</f><v /></c><c r="AS273" s="321"><f>+(((AL273-AK273-AM273)/AM273)*100)</f><v /></c><c r="AT273" s="389"><f>IF(I273&gt;=1,"NO CONFORME",IF(BK273="SIGDIFERENTES",BC273,BL273))</f><v /></c><c r="AU273" s="372"><f>B273=C273</f><v /></c><c r="AV273" s="372"><f>N273&lt;Y273</f><v /></c><c r="AW273" s="372"><f>Z273&lt;=AK273</f><v /></c><c r="AX273" s="372"><f>IF(I273&gt;=1,"Qcorrecto",IF(AND(AY273="aceptable",AZ273="aceptable",BA273="aceptable"),"Qcorrecto","Qincorrecto"))</f><v /></c><c r="AY273" s="390"><f>IF(AR273&lt;$AH$6,"error",IF(AR273&gt;$AH$6*1.1,"error","aceptable"))</f><v /></c><c r="AZ273" s="390"><f>IF(AF273&lt;$V$6,"error",IF(AF273&gt;$V$6*1.1,"error","aceptable"))</f><v /></c><c r="BA273" s="390"><f>IF(T273&lt;$J$6*0.9,"error",IF(T273&gt;$J$6,"error","aceptable"))</f><v /></c><c r="BB273" s="25"><f>(IF(ABS(U273)&lt;1.05,"CONFORME",IF(ABS(AG273)&lt;1.05,"CONFORME",IF(ABS(AS273)&lt;2.55,"CONFORME","NO CONFORME"))))</f><v /></c><c r="BC273" s="5"><f>(IF(ABS(U273)&gt;2.05,"NO CONFORME",IF(ABS(AG273)&gt;2.05,"NO CONFORME",IF(ABS(AS273)&gt;5.05,"NO CONFORME","CONFORME"))))</f><v /></c><c r="BD273" s="374"><f>SIGN(U273)</f><v /></c><c r="BE273" s="374"><f>SIGN(AG273)</f><v /></c><c r="BF273" s="374"><f>SIGN(AS273)</f><v /></c><c r="BG273" s="374"><f>CONCATENATE(BD273,BE273,BF273)</f><v /></c><c r="BH273" s="374"><f>IF(BG273="111","SI","SD")</f><v /></c><c r="BI273" s="374"><f>IF(BG273="-1-1-1","SI","SD")</f><v /></c><c r="BJ273" s="374"><f>OR(BH273="SI",BI273="SI")</f><v /></c><c r="BK273" s="374"><f>IF(BJ273=FALSE,"SIGDIFERENTES","SIGIGUALES")</f><v /></c><c r="BL273" s="390"><f>IF(BC273="NO CONFORME","NO CONFORME",IF(BB273="CONFORME","CONFORME","NO CONFORME"))</f><v /></c></row><row r="274" ht="14.4" customHeight="1" thickBot="1"><c r="A274" s="443" t="n"><v>266</v></c><c r="B274" s="375"><f>B273</f><v /></c><c r="C274" s="375"><f>C273</f><v /></c><c r="D274" s="376"><f>D273</f><v /></c><c r="E274" s="377"><f>E273</f><v /></c><c r="F274" s="13" t="n" /><c r="G274" s="312" t="inlineStr"><is><t>PA25516974</t></is></c><c r="H274" s="313"><f>H273</f><v /></c><c r="I274" s="38"><f>I273</f><v /></c><c r="J274" s="314"><f>J273</f><v /></c><c r="K274" s="378"><f>K273</f><v /></c><c r="L274" s="378"><f>L273</f><v /></c><c r="M274" s="379" t="n"><v>86.34</v></c><c r="N274" s="379" t="n"><v>186.2</v></c><c r="O274" s="380"><f>O273</f><v /></c><c r="P274" s="381"><f>P273</f><v /></c><c r="Q274" s="382"><f>LEFT(P274,1)</f><v /></c><c r="R274" s="382"><f>RIGHT(P274,6)</f><v /></c><c r="S274" s="382"><f>+(Q274*60+R274)/(60*60)</f><v /></c><c r="T274" s="383"><f>+O274/S274</f><v /></c><c r="U274" s="384"><f>+(((N274-M274-O274)/O274)*100)</f><v /></c><c r="V274" s="317"><f>V273</f><v /></c><c r="W274" s="378"><f>W273</f><v /></c><c r="X274" s="378"><f>X273</f><v /></c><c r="Y274" s="379" t="n"><v>190.59</v></c><c r="Z274" s="379" t="n"><v>200.54</v></c><c r="AA274" s="386"><f>AA273</f><v /></c><c r="AB274" s="387"><f>AB273</f><v /></c><c r="AC274" s="382"><f>LEFT(AB274,2)</f><v /></c><c r="AD274" s="382"><f>RIGHT(AB274,6)</f><v /></c><c r="AE274" s="382"><f>+(AC274*60+AD274)/(60*60)</f><v /></c><c r="AF274" s="383"><f>+AA274/AE274</f><v /></c><c r="AG274" s="321"><f>+(((Z274-Y274-AA274)/AA274)*100)</f><v /></c><c r="AH274" s="317"><f>AH273</f><v /></c><c r="AI274" s="378"><f>AI273</f><v /></c><c r="AJ274" s="378"><f>AJ273</f><v /></c><c r="AK274" s="379"><f>Z274</f><v /></c><c r="AL274" s="379" t="n"><v>205.62</v></c><c r="AM274" s="388"><f>AM273</f><v /></c><c r="AN274" s="381"><f>AN273</f><v /></c><c r="AO274" s="382"><f>LEFT(AN274,2)</f><v /></c><c r="AP274" s="382"><f>RIGHT(AN274,6)</f><v /></c><c r="AQ274" s="382"><f>+(AO274*60+AP274)/(60*60)</f><v /></c><c r="AR274" s="383"><f>+AM274/AQ274</f><v /></c><c r="AS274" s="321"><f>+(((AL274-AK274-AM274)/AM274)*100)</f><v /></c><c r="AT274" s="389"><f>IF(I274&gt;=1,"NO CONFORME",IF(BK274="SIGDIFERENTES",BC274,BL274))</f><v /></c><c r="AU274" s="372"><f>B274=C274</f><v /></c><c r="AV274" s="372"><f>N274&lt;Y274</f><v /></c><c r="AW274" s="372"><f>Z274&lt;=AK274</f><v /></c><c r="AX274" s="372"><f>IF(I274&gt;=1,"Qcorrecto",IF(AND(AY274="aceptable",AZ274="aceptable",BA274="aceptable"),"Qcorrecto","Qincorrecto"))</f><v /></c><c r="AY274" s="390"><f>IF(AR274&lt;$AH$6,"error",IF(AR274&gt;$AH$6*1.1,"error","aceptable"))</f><v /></c><c r="AZ274" s="390"><f>IF(AF274&lt;$V$6,"error",IF(AF274&gt;$V$6*1.1,"error","aceptable"))</f><v /></c><c r="BA274" s="390"><f>IF(T274&lt;$J$6*0.9,"error",IF(T274&gt;$J$6,"error","aceptable"))</f><v /></c><c r="BB274" s="25"><f>(IF(ABS(U274)&lt;1.05,"CONFORME",IF(ABS(AG274)&lt;1.05,"CONFORME",IF(ABS(AS274)&lt;2.55,"CONFORME","NO CONFORME"))))</f><v /></c><c r="BC274" s="5"><f>(IF(ABS(U274)&gt;2.05,"NO CONFORME",IF(ABS(AG274)&gt;2.05,"NO CONFORME",IF(ABS(AS274)&gt;5.05,"NO CONFORME","CONFORME"))))</f><v /></c><c r="BD274" s="374"><f>SIGN(U274)</f><v /></c><c r="BE274" s="374"><f>SIGN(AG274)</f><v /></c><c r="BF274" s="374"><f>SIGN(AS274)</f><v /></c><c r="BG274" s="374"><f>CONCATENATE(BD274,BE274,BF274)</f><v /></c><c r="BH274" s="374"><f>IF(BG274="111","SI","SD")</f><v /></c><c r="BI274" s="374"><f>IF(BG274="-1-1-1","SI","SD")</f><v /></c><c r="BJ274" s="374"><f>OR(BH274="SI",BI274="SI")</f><v /></c><c r="BK274" s="374"><f>IF(BJ274=FALSE,"SIGDIFERENTES","SIGIGUALES")</f><v /></c><c r="BL274" s="390"><f>IF(BC274="NO CONFORME","NO CONFORME",IF(BB274="CONFORME","CONFORME","NO CONFORME"))</f><v /></c></row><row r="275" ht="14.4" customHeight="1" thickBot="1"><c r="A275" s="443" t="n"><v>267</v></c><c r="B275" s="375"><f>B274</f><v /></c><c r="C275" s="375"><f>C274</f><v /></c><c r="D275" s="376"><f>D274</f><v /></c><c r="E275" s="377"><f>E274</f><v /></c><c r="F275" s="13" t="n" /><c r="G275" s="312" t="inlineStr"><is><t>PA25516975</t></is></c><c r="H275" s="313"><f>H274</f><v /></c><c r="I275" s="38"><f>I274</f><v /></c><c r="J275" s="314"><f>J274</f><v /></c><c r="K275" s="378"><f>K274</f><v /></c><c r="L275" s="378"><f>L274</f><v /></c><c r="M275" s="379" t="n"><v>85.94</v></c><c r="N275" s="379" t="n"><v>185.18</v></c><c r="O275" s="380"><f>O274</f><v /></c><c r="P275" s="381"><f>P274</f><v /></c><c r="Q275" s="382"><f>LEFT(P275,1)</f><v /></c><c r="R275" s="382"><f>RIGHT(P275,6)</f><v /></c><c r="S275" s="382"><f>+(Q275*60+R275)/(60*60)</f><v /></c><c r="T275" s="383"><f>+O275/S275</f><v /></c><c r="U275" s="384"><f>+(((N275-M275-O275)/O275)*100)</f><v /></c><c r="V275" s="317"><f>V274</f><v /></c><c r="W275" s="378"><f>W274</f><v /></c><c r="X275" s="378"><f>X274</f><v /></c><c r="Y275" s="379" t="n"><v>189.53</v></c><c r="Z275" s="379" t="n"><v>199.51</v></c><c r="AA275" s="386"><f>AA274</f><v /></c><c r="AB275" s="387"><f>AB274</f><v /></c><c r="AC275" s="382"><f>LEFT(AB275,2)</f><v /></c><c r="AD275" s="382"><f>RIGHT(AB275,6)</f><v /></c><c r="AE275" s="382"><f>+(AC275*60+AD275)/(60*60)</f><v /></c><c r="AF275" s="383"><f>+AA275/AE275</f><v /></c><c r="AG275" s="321"><f>+(((Z275-Y275-AA275)/AA275)*100)</f><v /></c><c r="AH275" s="317"><f>AH274</f><v /></c><c r="AI275" s="378"><f>AI274</f><v /></c><c r="AJ275" s="378"><f>AJ274</f><v /></c><c r="AK275" s="379"><f>Z275</f><v /></c><c r="AL275" s="379" t="n"><v>204.53</v></c><c r="AM275" s="388"><f>AM274</f><v /></c><c r="AN275" s="381"><f>AN274</f><v /></c><c r="AO275" s="382"><f>LEFT(AN275,2)</f><v /></c><c r="AP275" s="382"><f>RIGHT(AN275,6)</f><v /></c><c r="AQ275" s="382"><f>+(AO275*60+AP275)/(60*60)</f><v /></c><c r="AR275" s="383"><f>+AM275/AQ275</f><v /></c><c r="AS275" s="321"><f>+(((AL275-AK275-AM275)/AM275)*100)</f><v /></c><c r="AT275" s="389"><f>IF(I275&gt;=1,"NO CONFORME",IF(BK275="SIGDIFERENTES",BC275,BL275))</f><v /></c><c r="AU275" s="372"><f>B275=C275</f><v /></c><c r="AV275" s="372"><f>N275&lt;Y275</f><v /></c><c r="AW275" s="372"><f>Z275&lt;=AK275</f><v /></c><c r="AX275" s="372"><f>IF(I275&gt;=1,"Qcorrecto",IF(AND(AY275="aceptable",AZ275="aceptable",BA275="aceptable"),"Qcorrecto","Qincorrecto"))</f><v /></c><c r="AY275" s="390"><f>IF(AR275&lt;$AH$6,"error",IF(AR275&gt;$AH$6*1.1,"error","aceptable"))</f><v /></c><c r="AZ275" s="390"><f>IF(AF275&lt;$V$6,"error",IF(AF275&gt;$V$6*1.1,"error","aceptable"))</f><v /></c><c r="BA275" s="390"><f>IF(T275&lt;$J$6*0.9,"error",IF(T275&gt;$J$6,"error","aceptable"))</f><v /></c><c r="BB275" s="25"><f>(IF(ABS(U275)&lt;1.05,"CONFORME",IF(ABS(AG275)&lt;1.05,"CONFORME",IF(ABS(AS275)&lt;2.55,"CONFORME","NO CONFORME"))))</f><v /></c><c r="BC275" s="5"><f>(IF(ABS(U275)&gt;2.05,"NO CONFORME",IF(ABS(AG275)&gt;2.05,"NO CONFORME",IF(ABS(AS275)&gt;5.05,"NO CONFORME","CONFORME"))))</f><v /></c><c r="BD275" s="374"><f>SIGN(U275)</f><v /></c><c r="BE275" s="374"><f>SIGN(AG275)</f><v /></c><c r="BF275" s="374"><f>SIGN(AS275)</f><v /></c><c r="BG275" s="374"><f>CONCATENATE(BD275,BE275,BF275)</f><v /></c><c r="BH275" s="374"><f>IF(BG275="111","SI","SD")</f><v /></c><c r="BI275" s="374"><f>IF(BG275="-1-1-1","SI","SD")</f><v /></c><c r="BJ275" s="374"><f>OR(BH275="SI",BI275="SI")</f><v /></c><c r="BK275" s="374"><f>IF(BJ275=FALSE,"SIGDIFERENTES","SIGIGUALES")</f><v /></c><c r="BL275" s="390"><f>IF(BC275="NO CONFORME","NO CONFORME",IF(BB275="CONFORME","CONFORME","NO CONFORME"))</f><v /></c></row><row r="276" ht="14.4" customHeight="1" thickBot="1"><c r="A276" s="443" t="n"><v>268</v></c><c r="B276" s="375"><f>B275</f><v /></c><c r="C276" s="375"><f>C275</f><v /></c><c r="D276" s="376"><f>D275</f><v /></c><c r="E276" s="377"><f>E275</f><v /></c><c r="F276" s="13" t="n" /><c r="G276" s="312" t="inlineStr"><is><t>PA25516976</t></is></c><c r="H276" s="313"><f>H275</f><v /></c><c r="I276" s="38"><f>I275</f><v /></c><c r="J276" s="314"><f>J275</f><v /></c><c r="K276" s="378"><f>K275</f><v /></c><c r="L276" s="378"><f>L275</f><v /></c><c r="M276" s="379" t="n"><v>86.20999999999999</v></c><c r="N276" s="379" t="n"><v>186.02</v></c><c r="O276" s="380"><f>O275</f><v /></c><c r="P276" s="381"><f>P275</f><v /></c><c r="Q276" s="382"><f>LEFT(P276,1)</f><v /></c><c r="R276" s="382"><f>RIGHT(P276,6)</f><v /></c><c r="S276" s="382"><f>+(Q276*60+R276)/(60*60)</f><v /></c><c r="T276" s="383"><f>+O276/S276</f><v /></c><c r="U276" s="384"><f>+(((N276-M276-O276)/O276)*100)</f><v /></c><c r="V276" s="317"><f>V275</f><v /></c><c r="W276" s="378"><f>W275</f><v /></c><c r="X276" s="378"><f>X275</f><v /></c><c r="Y276" s="379" t="n"><v>190.42</v></c><c r="Z276" s="379" t="n"><v>200.48</v></c><c r="AA276" s="386"><f>AA275</f><v /></c><c r="AB276" s="387"><f>AB275</f><v /></c><c r="AC276" s="382"><f>LEFT(AB276,2)</f><v /></c><c r="AD276" s="382"><f>RIGHT(AB276,6)</f><v /></c><c r="AE276" s="382"><f>+(AC276*60+AD276)/(60*60)</f><v /></c><c r="AF276" s="383"><f>+AA276/AE276</f><v /></c><c r="AG276" s="321"><f>+(((Z276-Y276-AA276)/AA276)*100)</f><v /></c><c r="AH276" s="317"><f>AH275</f><v /></c><c r="AI276" s="378"><f>AI275</f><v /></c><c r="AJ276" s="378"><f>AJ275</f><v /></c><c r="AK276" s="379"><f>Z276</f><v /></c><c r="AL276" s="379" t="n"><v>205.58</v></c><c r="AM276" s="388"><f>AM275</f><v /></c><c r="AN276" s="381"><f>AN275</f><v /></c><c r="AO276" s="382"><f>LEFT(AN276,2)</f><v /></c><c r="AP276" s="382"><f>RIGHT(AN276,6)</f><v /></c><c r="AQ276" s="382"><f>+(AO276*60+AP276)/(60*60)</f><v /></c><c r="AR276" s="383"><f>+AM276/AQ276</f><v /></c><c r="AS276" s="321"><f>+(((AL276-AK276-AM276)/AM276)*100)</f><v /></c><c r="AT276" s="389"><f>IF(I276&gt;=1,"NO CONFORME",IF(BK276="SIGDIFERENTES",BC276,BL276))</f><v /></c><c r="AU276" s="372"><f>B276=C276</f><v /></c><c r="AV276" s="372"><f>N276&lt;Y276</f><v /></c><c r="AW276" s="372"><f>Z276&lt;=AK276</f><v /></c><c r="AX276" s="372"><f>IF(I276&gt;=1,"Qcorrecto",IF(AND(AY276="aceptable",AZ276="aceptable",BA276="aceptable"),"Qcorrecto","Qincorrecto"))</f><v /></c><c r="AY276" s="390"><f>IF(AR276&lt;$AH$6,"error",IF(AR276&gt;$AH$6*1.1,"error","aceptable"))</f><v /></c><c r="AZ276" s="390"><f>IF(AF276&lt;$V$6,"error",IF(AF276&gt;$V$6*1.1,"error","aceptable"))</f><v /></c><c r="BA276" s="390"><f>IF(T276&lt;$J$6*0.9,"error",IF(T276&gt;$J$6,"error","aceptable"))</f><v /></c><c r="BB276" s="25"><f>(IF(ABS(U276)&lt;1.05,"CONFORME",IF(ABS(AG276)&lt;1.05,"CONFORME",IF(ABS(AS276)&lt;2.55,"CONFORME","NO CONFORME"))))</f><v /></c><c r="BC276" s="5"><f>(IF(ABS(U276)&gt;2.05,"NO CONFORME",IF(ABS(AG276)&gt;2.05,"NO CONFORME",IF(ABS(AS276)&gt;5.05,"NO CONFORME","CONFORME"))))</f><v /></c><c r="BD276" s="374"><f>SIGN(U276)</f><v /></c><c r="BE276" s="374"><f>SIGN(AG276)</f><v /></c><c r="BF276" s="374"><f>SIGN(AS276)</f><v /></c><c r="BG276" s="374"><f>CONCATENATE(BD276,BE276,BF276)</f><v /></c><c r="BH276" s="374"><f>IF(BG276="111","SI","SD")</f><v /></c><c r="BI276" s="374"><f>IF(BG276="-1-1-1","SI","SD")</f><v /></c><c r="BJ276" s="374"><f>OR(BH276="SI",BI276="SI")</f><v /></c><c r="BK276" s="374"><f>IF(BJ276=FALSE,"SIGDIFERENTES","SIGIGUALES")</f><v /></c><c r="BL276" s="390"><f>IF(BC276="NO CONFORME","NO CONFORME",IF(BB276="CONFORME","CONFORME","NO CONFORME"))</f><v /></c></row><row r="277" ht="14.4" customHeight="1" thickBot="1"><c r="A277" s="443" t="n"><v>269</v></c><c r="B277" s="375"><f>B276</f><v /></c><c r="C277" s="375"><f>C276</f><v /></c><c r="D277" s="376"><f>D276</f><v /></c><c r="E277" s="377"><f>E276</f><v /></c><c r="F277" s="13" t="n" /><c r="G277" s="312" t="inlineStr"><is><t>PA25516977</t></is></c><c r="H277" s="313"><f>H276</f><v /></c><c r="I277" s="38"><f>I276</f><v /></c><c r="J277" s="314"><f>J276</f><v /></c><c r="K277" s="378"><f>K276</f><v /></c><c r="L277" s="378"><f>L276</f><v /></c><c r="M277" s="379" t="n"><v>87.04000000000001</v></c><c r="N277" s="379" t="n"><v>186.41</v></c><c r="O277" s="380"><f>O276</f><v /></c><c r="P277" s="381"><f>P276</f><v /></c><c r="Q277" s="382"><f>LEFT(P277,1)</f><v /></c><c r="R277" s="382"><f>RIGHT(P277,6)</f><v /></c><c r="S277" s="382"><f>+(Q277*60+R277)/(60*60)</f><v /></c><c r="T277" s="383"><f>+O277/S277</f><v /></c><c r="U277" s="384"><f>+(((N277-M277-O277)/O277)*100)</f><v /></c><c r="V277" s="317"><f>V276</f><v /></c><c r="W277" s="378"><f>W276</f><v /></c><c r="X277" s="378"><f>X276</f><v /></c><c r="Y277" s="379" t="n"><v>190.84</v></c><c r="Z277" s="379" t="n"><v>200.79</v></c><c r="AA277" s="386"><f>AA276</f><v /></c><c r="AB277" s="387"><f>AB276</f><v /></c><c r="AC277" s="382"><f>LEFT(AB277,2)</f><v /></c><c r="AD277" s="382"><f>RIGHT(AB277,6)</f><v /></c><c r="AE277" s="382"><f>+(AC277*60+AD277)/(60*60)</f><v /></c><c r="AF277" s="383"><f>+AA277/AE277</f><v /></c><c r="AG277" s="321"><f>+(((Z277-Y277-AA277)/AA277)*100)</f><v /></c><c r="AH277" s="317"><f>AH276</f><v /></c><c r="AI277" s="378"><f>AI276</f><v /></c><c r="AJ277" s="378"><f>AJ276</f><v /></c><c r="AK277" s="379"><f>Z277</f><v /></c><c r="AL277" s="379" t="n"><v>205.89</v></c><c r="AM277" s="388"><f>AM276</f><v /></c><c r="AN277" s="381"><f>AN276</f><v /></c><c r="AO277" s="382"><f>LEFT(AN277,2)</f><v /></c><c r="AP277" s="382"><f>RIGHT(AN277,6)</f><v /></c><c r="AQ277" s="382"><f>+(AO277*60+AP277)/(60*60)</f><v /></c><c r="AR277" s="383"><f>+AM277/AQ277</f><v /></c><c r="AS277" s="321"><f>+(((AL277-AK277-AM277)/AM277)*100)</f><v /></c><c r="AT277" s="389"><f>IF(I277&gt;=1,"NO CONFORME",IF(BK277="SIGDIFERENTES",BC277,BL277))</f><v /></c><c r="AU277" s="372"><f>B277=C277</f><v /></c><c r="AV277" s="372"><f>N277&lt;Y277</f><v /></c><c r="AW277" s="372"><f>Z277&lt;=AK277</f><v /></c><c r="AX277" s="372"><f>IF(I277&gt;=1,"Qcorrecto",IF(AND(AY277="aceptable",AZ277="aceptable",BA277="aceptable"),"Qcorrecto","Qincorrecto"))</f><v /></c><c r="AY277" s="390"><f>IF(AR277&lt;$AH$6,"error",IF(AR277&gt;$AH$6*1.1,"error","aceptable"))</f><v /></c><c r="AZ277" s="390"><f>IF(AF277&lt;$V$6,"error",IF(AF277&gt;$V$6*1.1,"error","aceptable"))</f><v /></c><c r="BA277" s="390"><f>IF(T277&lt;$J$6*0.9,"error",IF(T277&gt;$J$6,"error","aceptable"))</f><v /></c><c r="BB277" s="25"><f>(IF(ABS(U277)&lt;1.05,"CONFORME",IF(ABS(AG277)&lt;1.05,"CONFORME",IF(ABS(AS277)&lt;2.55,"CONFORME","NO CONFORME"))))</f><v /></c><c r="BC277" s="5"><f>(IF(ABS(U277)&gt;2.05,"NO CONFORME",IF(ABS(AG277)&gt;2.05,"NO CONFORME",IF(ABS(AS277)&gt;5.05,"NO CONFORME","CONFORME"))))</f><v /></c><c r="BD277" s="374"><f>SIGN(U277)</f><v /></c><c r="BE277" s="374"><f>SIGN(AG277)</f><v /></c><c r="BF277" s="374"><f>SIGN(AS277)</f><v /></c><c r="BG277" s="374"><f>CONCATENATE(BD277,BE277,BF277)</f><v /></c><c r="BH277" s="374"><f>IF(BG277="111","SI","SD")</f><v /></c><c r="BI277" s="374"><f>IF(BG277="-1-1-1","SI","SD")</f><v /></c><c r="BJ277" s="374"><f>OR(BH277="SI",BI277="SI")</f><v /></c><c r="BK277" s="374"><f>IF(BJ277=FALSE,"SIGDIFERENTES","SIGIGUALES")</f><v /></c><c r="BL277" s="390"><f>IF(BC277="NO CONFORME","NO CONFORME",IF(BB277="CONFORME","CONFORME","NO CONFORME"))</f><v /></c></row><row r="278" ht="14.4" customHeight="1" thickBot="1"><c r="A278" s="443" t="n"><v>270</v></c><c r="B278" s="375"><f>B277</f><v /></c><c r="C278" s="375"><f>C277</f><v /></c><c r="D278" s="376"><f>D277</f><v /></c><c r="E278" s="377"><f>E277</f><v /></c><c r="F278" s="13" t="n" /><c r="G278" s="312" t="inlineStr"><is><t>PA25516978</t></is></c><c r="H278" s="313"><f>H277</f><v /></c><c r="I278" s="38"><f>I277</f><v /></c><c r="J278" s="314"><f>J277</f><v /></c><c r="K278" s="378"><f>K277</f><v /></c><c r="L278" s="378"><f>L277</f><v /></c><c r="M278" s="379" t="n"><v>87.7</v></c><c r="N278" s="379" t="n"><v>186.52</v></c><c r="O278" s="380"><f>O277</f><v /></c><c r="P278" s="381"><f>P277</f><v /></c><c r="Q278" s="382"><f>LEFT(P278,1)</f><v /></c><c r="R278" s="382"><f>RIGHT(P278,6)</f><v /></c><c r="S278" s="382"><f>+(Q278*60+R278)/(60*60)</f><v /></c><c r="T278" s="383"><f>+O278/S278</f><v /></c><c r="U278" s="384"><f>+(((N278-M278-O278)/O278)*100)</f><v /></c><c r="V278" s="317"><f>V277</f><v /></c><c r="W278" s="378"><f>W277</f><v /></c><c r="X278" s="378"><f>X277</f><v /></c><c r="Y278" s="379" t="n"><v>190.92</v></c><c r="Z278" s="379" t="n"><v>200.84</v></c><c r="AA278" s="386"><f>AA277</f><v /></c><c r="AB278" s="387"><f>AB277</f><v /></c><c r="AC278" s="382"><f>LEFT(AB278,2)</f><v /></c><c r="AD278" s="382"><f>RIGHT(AB278,6)</f><v /></c><c r="AE278" s="382"><f>+(AC278*60+AD278)/(60*60)</f><v /></c><c r="AF278" s="383"><f>+AA278/AE278</f><v /></c><c r="AG278" s="321"><f>+(((Z278-Y278-AA278)/AA278)*100)</f><v /></c><c r="AH278" s="317"><f>AH277</f><v /></c><c r="AI278" s="378"><f>AI277</f><v /></c><c r="AJ278" s="378"><f>AJ277</f><v /></c><c r="AK278" s="379"><f>Z278</f><v /></c><c r="AL278" s="379" t="n"><v>205.74</v></c><c r="AM278" s="388"><f>AM277</f><v /></c><c r="AN278" s="381"><f>AN277</f><v /></c><c r="AO278" s="382"><f>LEFT(AN278,2)</f><v /></c><c r="AP278" s="382"><f>RIGHT(AN278,6)</f><v /></c><c r="AQ278" s="382"><f>+(AO278*60+AP278)/(60*60)</f><v /></c><c r="AR278" s="383"><f>+AM278/AQ278</f><v /></c><c r="AS278" s="321"><f>+(((AL278-AK278-AM278)/AM278)*100)</f><v /></c><c r="AT278" s="389"><f>IF(I278&gt;=1,"NO CONFORME",IF(BK278="SIGDIFERENTES",BC278,BL278))</f><v /></c><c r="AU278" s="372"><f>B278=C278</f><v /></c><c r="AV278" s="372"><f>N278&lt;Y278</f><v /></c><c r="AW278" s="372"><f>Z278&lt;=AK278</f><v /></c><c r="AX278" s="372"><f>IF(I278&gt;=1,"Qcorrecto",IF(AND(AY278="aceptable",AZ278="aceptable",BA278="aceptable"),"Qcorrecto","Qincorrecto"))</f><v /></c><c r="AY278" s="390"><f>IF(AR278&lt;$AH$6,"error",IF(AR278&gt;$AH$6*1.1,"error","aceptable"))</f><v /></c><c r="AZ278" s="390"><f>IF(AF278&lt;$V$6,"error",IF(AF278&gt;$V$6*1.1,"error","aceptable"))</f><v /></c><c r="BA278" s="390"><f>IF(T278&lt;$J$6*0.9,"error",IF(T278&gt;$J$6,"error","aceptable"))</f><v /></c><c r="BB278" s="25"><f>(IF(ABS(U278)&lt;1.05,"CONFORME",IF(ABS(AG278)&lt;1.05,"CONFORME",IF(ABS(AS278)&lt;2.55,"CONFORME","NO CONFORME"))))</f><v /></c><c r="BC278" s="5"><f>(IF(ABS(U278)&gt;2.05,"NO CONFORME",IF(ABS(AG278)&gt;2.05,"NO CONFORME",IF(ABS(AS278)&gt;5.05,"NO CONFORME","CONFORME"))))</f><v /></c><c r="BD278" s="374"><f>SIGN(U278)</f><v /></c><c r="BE278" s="374"><f>SIGN(AG278)</f><v /></c><c r="BF278" s="374"><f>SIGN(AS278)</f><v /></c><c r="BG278" s="374"><f>CONCATENATE(BD278,BE278,BF278)</f><v /></c><c r="BH278" s="374"><f>IF(BG278="111","SI","SD")</f><v /></c><c r="BI278" s="374"><f>IF(BG278="-1-1-1","SI","SD")</f><v /></c><c r="BJ278" s="374"><f>OR(BH278="SI",BI278="SI")</f><v /></c><c r="BK278" s="374"><f>IF(BJ278=FALSE,"SIGDIFERENTES","SIGIGUALES")</f><v /></c><c r="BL278" s="390"><f>IF(BC278="NO CONFORME","NO CONFORME",IF(BB278="CONFORME","CONFORME","NO CONFORME"))</f><v /></c></row><row r="279" ht="14.4" customHeight="1" thickBot="1"><c r="A279" s="443" t="n"><v>271</v></c><c r="B279" s="375"><f>B278</f><v /></c><c r="C279" s="375"><f>C278</f><v /></c><c r="D279" s="376"><f>D278</f><v /></c><c r="E279" s="377"><f>E278</f><v /></c><c r="F279" s="13" t="n" /><c r="G279" s="312" t="inlineStr"><is><t>PA25516979</t></is></c><c r="H279" s="313"><f>H278</f><v /></c><c r="I279" s="38"><f>I278</f><v /></c><c r="J279" s="314"><f>J278</f><v /></c><c r="K279" s="378"><f>K278</f><v /></c><c r="L279" s="378"><f>L278</f><v /></c><c r="M279" s="379" t="n"><v>87.29000000000001</v></c><c r="N279" s="379" t="n"><v>187.22</v></c><c r="O279" s="380"><f>O278</f><v /></c><c r="P279" s="381"><f>P278</f><v /></c><c r="Q279" s="382"><f>LEFT(P279,1)</f><v /></c><c r="R279" s="382"><f>RIGHT(P279,6)</f><v /></c><c r="S279" s="382"><f>+(Q279*60+R279)/(60*60)</f><v /></c><c r="T279" s="383"><f>+O279/S279</f><v /></c><c r="U279" s="384"><f>+(((N279-M279-O279)/O279)*100)</f><v /></c><c r="V279" s="317"><f>V278</f><v /></c><c r="W279" s="378"><f>W278</f><v /></c><c r="X279" s="378"><f>X278</f><v /></c><c r="Y279" s="379" t="n"><v>191.6</v></c><c r="Z279" s="379" t="n"><v>201.6</v></c><c r="AA279" s="386"><f>AA278</f><v /></c><c r="AB279" s="387"><f>AB278</f><v /></c><c r="AC279" s="382"><f>LEFT(AB279,2)</f><v /></c><c r="AD279" s="382"><f>RIGHT(AB279,6)</f><v /></c><c r="AE279" s="382"><f>+(AC279*60+AD279)/(60*60)</f><v /></c><c r="AF279" s="383"><f>+AA279/AE279</f><v /></c><c r="AG279" s="321"><f>+(((Z279-Y279-AA279)/AA279)*100)</f><v /></c><c r="AH279" s="317"><f>AH278</f><v /></c><c r="AI279" s="378"><f>AI278</f><v /></c><c r="AJ279" s="378"><f>AJ278</f><v /></c><c r="AK279" s="379"><f>Z279</f><v /></c><c r="AL279" s="379" t="n"><v>206.52</v></c><c r="AM279" s="388"><f>AM278</f><v /></c><c r="AN279" s="381"><f>AN278</f><v /></c><c r="AO279" s="382"><f>LEFT(AN279,2)</f><v /></c><c r="AP279" s="382"><f>RIGHT(AN279,6)</f><v /></c><c r="AQ279" s="382"><f>+(AO279*60+AP279)/(60*60)</f><v /></c><c r="AR279" s="383"><f>+AM279/AQ279</f><v /></c><c r="AS279" s="321"><f>+(((AL279-AK279-AM279)/AM279)*100)</f><v /></c><c r="AT279" s="389"><f>IF(I279&gt;=1,"NO CONFORME",IF(BK279="SIGDIFERENTES",BC279,BL279))</f><v /></c><c r="AU279" s="372"><f>B279=C279</f><v /></c><c r="AV279" s="372"><f>N279&lt;Y279</f><v /></c><c r="AW279" s="372"><f>Z279&lt;=AK279</f><v /></c><c r="AX279" s="372"><f>IF(I279&gt;=1,"Qcorrecto",IF(AND(AY279="aceptable",AZ279="aceptable",BA279="aceptable"),"Qcorrecto","Qincorrecto"))</f><v /></c><c r="AY279" s="390"><f>IF(AR279&lt;$AH$6,"error",IF(AR279&gt;$AH$6*1.1,"error","aceptable"))</f><v /></c><c r="AZ279" s="390"><f>IF(AF279&lt;$V$6,"error",IF(AF279&gt;$V$6*1.1,"error","aceptable"))</f><v /></c><c r="BA279" s="390"><f>IF(T279&lt;$J$6*0.9,"error",IF(T279&gt;$J$6,"error","aceptable"))</f><v /></c><c r="BB279" s="25"><f>(IF(ABS(U279)&lt;1.05,"CONFORME",IF(ABS(AG279)&lt;1.05,"CONFORME",IF(ABS(AS279)&lt;2.55,"CONFORME","NO CONFORME"))))</f><v /></c><c r="BC279" s="5"><f>(IF(ABS(U279)&gt;2.05,"NO CONFORME",IF(ABS(AG279)&gt;2.05,"NO CONFORME",IF(ABS(AS279)&gt;5.05,"NO CONFORME","CONFORME"))))</f><v /></c><c r="BD279" s="374"><f>SIGN(U279)</f><v /></c><c r="BE279" s="374"><f>SIGN(AG279)</f><v /></c><c r="BF279" s="374"><f>SIGN(AS279)</f><v /></c><c r="BG279" s="374"><f>CONCATENATE(BD279,BE279,BF279)</f><v /></c><c r="BH279" s="374"><f>IF(BG279="111","SI","SD")</f><v /></c><c r="BI279" s="374"><f>IF(BG279="-1-1-1","SI","SD")</f><v /></c><c r="BJ279" s="374"><f>OR(BH279="SI",BI279="SI")</f><v /></c><c r="BK279" s="374"><f>IF(BJ279=FALSE,"SIGDIFERENTES","SIGIGUALES")</f><v /></c><c r="BL279" s="390"><f>IF(BC279="NO CONFORME","NO CONFORME",IF(BB279="CONFORME","CONFORME","NO CONFORME"))</f><v /></c></row><row r="280" ht="14.4" customHeight="1" thickBot="1"><c r="A280" s="443" t="n"><v>272</v></c><c r="B280" s="375"><f>B279</f><v /></c><c r="C280" s="375"><f>C279</f><v /></c><c r="D280" s="376"><f>D279</f><v /></c><c r="E280" s="377"><f>E279</f><v /></c><c r="F280" s="13" t="n" /><c r="G280" s="312" t="inlineStr"><is><t>PA25516980</t></is></c><c r="H280" s="313"><f>H279</f><v /></c><c r="I280" s="38"><f>I279</f><v /></c><c r="J280" s="314"><f>J279</f><v /></c><c r="K280" s="378"><f>K279</f><v /></c><c r="L280" s="378"><f>L279</f><v /></c><c r="M280" s="379" t="n"><v>87.61</v></c><c r="N280" s="379" t="n"><v>187.59</v></c><c r="O280" s="380"><f>O279</f><v /></c><c r="P280" s="381"><f>P279</f><v /></c><c r="Q280" s="382"><f>LEFT(P280,1)</f><v /></c><c r="R280" s="382"><f>RIGHT(P280,6)</f><v /></c><c r="S280" s="382"><f>+(Q280*60+R280)/(60*60)</f><v /></c><c r="T280" s="383"><f>+O280/S280</f><v /></c><c r="U280" s="384"><f>+(((N280-M280-O280)/O280)*100)</f><v /></c><c r="V280" s="317"><f>V279</f><v /></c><c r="W280" s="378"><f>W279</f><v /></c><c r="X280" s="378"><f>X279</f><v /></c><c r="Y280" s="379" t="n"><v>192</v></c><c r="Z280" s="379" t="n"><v>202.09</v></c><c r="AA280" s="386"><f>AA279</f><v /></c><c r="AB280" s="387"><f>AB279</f><v /></c><c r="AC280" s="382"><f>LEFT(AB280,2)</f><v /></c><c r="AD280" s="382"><f>RIGHT(AB280,6)</f><v /></c><c r="AE280" s="382"><f>+(AC280*60+AD280)/(60*60)</f><v /></c><c r="AF280" s="383"><f>+AA280/AE280</f><v /></c><c r="AG280" s="321"><f>+(((Z280-Y280-AA280)/AA280)*100)</f><v /></c><c r="AH280" s="317"><f>AH279</f><v /></c><c r="AI280" s="378"><f>AI279</f><v /></c><c r="AJ280" s="378"><f>AJ279</f><v /></c><c r="AK280" s="379"><f>Z280</f><v /></c><c r="AL280" s="379" t="n"><v>207.16</v></c><c r="AM280" s="388"><f>AM279</f><v /></c><c r="AN280" s="381"><f>AN279</f><v /></c><c r="AO280" s="382"><f>LEFT(AN280,2)</f><v /></c><c r="AP280" s="382"><f>RIGHT(AN280,6)</f><v /></c><c r="AQ280" s="382"><f>+(AO280*60+AP280)/(60*60)</f><v /></c><c r="AR280" s="383"><f>+AM280/AQ280</f><v /></c><c r="AS280" s="321"><f>+(((AL280-AK280-AM280)/AM280)*100)</f><v /></c><c r="AT280" s="389"><f>IF(I280&gt;=1,"NO CONFORME",IF(BK280="SIGDIFERENTES",BC280,BL280))</f><v /></c><c r="AU280" s="372"><f>B280=C280</f><v /></c><c r="AV280" s="372"><f>N280&lt;Y280</f><v /></c><c r="AW280" s="372"><f>Z280&lt;=AK280</f><v /></c><c r="AX280" s="372"><f>IF(I280&gt;=1,"Qcorrecto",IF(AND(AY280="aceptable",AZ280="aceptable",BA280="aceptable"),"Qcorrecto","Qincorrecto"))</f><v /></c><c r="AY280" s="390"><f>IF(AR280&lt;$AH$6,"error",IF(AR280&gt;$AH$6*1.1,"error","aceptable"))</f><v /></c><c r="AZ280" s="390"><f>IF(AF280&lt;$V$6,"error",IF(AF280&gt;$V$6*1.1,"error","aceptable"))</f><v /></c><c r="BA280" s="390"><f>IF(T280&lt;$J$6*0.9,"error",IF(T280&gt;$J$6,"error","aceptable"))</f><v /></c><c r="BB280" s="25"><f>(IF(ABS(U280)&lt;1.05,"CONFORME",IF(ABS(AG280)&lt;1.05,"CONFORME",IF(ABS(AS280)&lt;2.55,"CONFORME","NO CONFORME"))))</f><v /></c><c r="BC280" s="5"><f>(IF(ABS(U280)&gt;2.05,"NO CONFORME",IF(ABS(AG280)&gt;2.05,"NO CONFORME",IF(ABS(AS280)&gt;5.05,"NO CONFORME","CONFORME"))))</f><v /></c><c r="BD280" s="374"><f>SIGN(U280)</f><v /></c><c r="BE280" s="374"><f>SIGN(AG280)</f><v /></c><c r="BF280" s="374"><f>SIGN(AS280)</f><v /></c><c r="BG280" s="374"><f>CONCATENATE(BD280,BE280,BF280)</f><v /></c><c r="BH280" s="374"><f>IF(BG280="111","SI","SD")</f><v /></c><c r="BI280" s="374"><f>IF(BG280="-1-1-1","SI","SD")</f><v /></c><c r="BJ280" s="374"><f>OR(BH280="SI",BI280="SI")</f><v /></c><c r="BK280" s="374"><f>IF(BJ280=FALSE,"SIGDIFERENTES","SIGIGUALES")</f><v /></c><c r="BL280" s="390"><f>IF(BC280="NO CONFORME","NO CONFORME",IF(BB280="CONFORME","CONFORME","NO CONFORME"))</f><v /></c></row><row r="281" ht="14.4" customHeight="1" thickBot="1"><c r="A281" s="443" t="n"><v>273</v></c><c r="B281" s="375"><f>B280</f><v /></c><c r="C281" s="375"><f>C280</f><v /></c><c r="D281" s="376"><f>D280</f><v /></c><c r="E281" s="377"><f>E280</f><v /></c><c r="F281" s="13" t="n" /><c r="G281" s="312" t="inlineStr"><is><t>PA25516981</t></is></c><c r="H281" s="313"><f>H280</f><v /></c><c r="I281" s="38"><f>I280</f><v /></c><c r="J281" s="314"><f>J280</f><v /></c><c r="K281" s="378"><f>K280</f><v /></c><c r="L281" s="378"><f>L280</f><v /></c><c r="M281" s="379" t="n"><v>86.68000000000001</v></c><c r="N281" s="379" t="n"><v>185.88</v></c><c r="O281" s="380"><f>O280</f><v /></c><c r="P281" s="381"><f>P280</f><v /></c><c r="Q281" s="382"><f>LEFT(P281,1)</f><v /></c><c r="R281" s="382"><f>RIGHT(P281,6)</f><v /></c><c r="S281" s="382"><f>+(Q281*60+R281)/(60*60)</f><v /></c><c r="T281" s="383"><f>+O281/S281</f><v /></c><c r="U281" s="384"><f>+(((N281-M281-O281)/O281)*100)</f><v /></c><c r="V281" s="317"><f>V280</f><v /></c><c r="W281" s="378"><f>W280</f><v /></c><c r="X281" s="378"><f>X280</f><v /></c><c r="Y281" s="379" t="n"><v>190.28</v></c><c r="Z281" s="379" t="n"><v>200.29</v></c><c r="AA281" s="386"><f>AA280</f><v /></c><c r="AB281" s="387"><f>AB280</f><v /></c><c r="AC281" s="382"><f>LEFT(AB281,2)</f><v /></c><c r="AD281" s="382"><f>RIGHT(AB281,6)</f><v /></c><c r="AE281" s="382"><f>+(AC281*60+AD281)/(60*60)</f><v /></c><c r="AF281" s="383"><f>+AA281/AE281</f><v /></c><c r="AG281" s="321"><f>+(((Z281-Y281-AA281)/AA281)*100)</f><v /></c><c r="AH281" s="317"><f>AH280</f><v /></c><c r="AI281" s="378"><f>AI280</f><v /></c><c r="AJ281" s="378"><f>AJ280</f><v /></c><c r="AK281" s="379"><f>Z281</f><v /></c><c r="AL281" s="379" t="n"><v>205.28</v></c><c r="AM281" s="388"><f>AM280</f><v /></c><c r="AN281" s="381"><f>AN280</f><v /></c><c r="AO281" s="382"><f>LEFT(AN281,2)</f><v /></c><c r="AP281" s="382"><f>RIGHT(AN281,6)</f><v /></c><c r="AQ281" s="382"><f>+(AO281*60+AP281)/(60*60)</f><v /></c><c r="AR281" s="383"><f>+AM281/AQ281</f><v /></c><c r="AS281" s="321"><f>+(((AL281-AK281-AM281)/AM281)*100)</f><v /></c><c r="AT281" s="389"><f>IF(I281&gt;=1,"NO CONFORME",IF(BK281="SIGDIFERENTES",BC281,BL281))</f><v /></c><c r="AU281" s="372"><f>B281=C281</f><v /></c><c r="AV281" s="372"><f>N281&lt;Y281</f><v /></c><c r="AW281" s="372"><f>Z281&lt;=AK281</f><v /></c><c r="AX281" s="372"><f>IF(I281&gt;=1,"Qcorrecto",IF(AND(AY281="aceptable",AZ281="aceptable",BA281="aceptable"),"Qcorrecto","Qincorrecto"))</f><v /></c><c r="AY281" s="390"><f>IF(AR281&lt;$AH$6,"error",IF(AR281&gt;$AH$6*1.1,"error","aceptable"))</f><v /></c><c r="AZ281" s="390"><f>IF(AF281&lt;$V$6,"error",IF(AF281&gt;$V$6*1.1,"error","aceptable"))</f><v /></c><c r="BA281" s="390"><f>IF(T281&lt;$J$6*0.9,"error",IF(T281&gt;$J$6,"error","aceptable"))</f><v /></c><c r="BB281" s="25"><f>(IF(ABS(U281)&lt;1.05,"CONFORME",IF(ABS(AG281)&lt;1.05,"CONFORME",IF(ABS(AS281)&lt;2.55,"CONFORME","NO CONFORME"))))</f><v /></c><c r="BC281" s="5"><f>(IF(ABS(U281)&gt;2.05,"NO CONFORME",IF(ABS(AG281)&gt;2.05,"NO CONFORME",IF(ABS(AS281)&gt;5.05,"NO CONFORME","CONFORME"))))</f><v /></c><c r="BD281" s="374"><f>SIGN(U281)</f><v /></c><c r="BE281" s="374"><f>SIGN(AG281)</f><v /></c><c r="BF281" s="374"><f>SIGN(AS281)</f><v /></c><c r="BG281" s="374"><f>CONCATENATE(BD281,BE281,BF281)</f><v /></c><c r="BH281" s="374"><f>IF(BG281="111","SI","SD")</f><v /></c><c r="BI281" s="374"><f>IF(BG281="-1-1-1","SI","SD")</f><v /></c><c r="BJ281" s="374"><f>OR(BH281="SI",BI281="SI")</f><v /></c><c r="BK281" s="374"><f>IF(BJ281=FALSE,"SIGDIFERENTES","SIGIGUALES")</f><v /></c><c r="BL281" s="390"><f>IF(BC281="NO CONFORME","NO CONFORME",IF(BB281="CONFORME","CONFORME","NO CONFORME"))</f><v /></c></row><row r="282" ht="14.4" customHeight="1" thickBot="1"><c r="A282" s="443" t="n"><v>274</v></c><c r="B282" s="375"><f>B281</f><v /></c><c r="C282" s="375"><f>C281</f><v /></c><c r="D282" s="376"><f>D281</f><v /></c><c r="E282" s="377"><f>E281</f><v /></c><c r="F282" s="13" t="n" /><c r="G282" s="312" t="inlineStr"><is><t>PA25516982</t></is></c><c r="H282" s="313"><f>H281</f><v /></c><c r="I282" s="38"><f>I281</f><v /></c><c r="J282" s="314"><f>J281</f><v /></c><c r="K282" s="378"><f>K281</f><v /></c><c r="L282" s="378"><f>L281</f><v /></c><c r="M282" s="379" t="n"><v>87.23</v></c><c r="N282" s="379" t="n"><v>186.68</v></c><c r="O282" s="380"><f>O281</f><v /></c><c r="P282" s="381"><f>P281</f><v /></c><c r="Q282" s="382"><f>LEFT(P282,1)</f><v /></c><c r="R282" s="382"><f>RIGHT(P282,6)</f><v /></c><c r="S282" s="382"><f>+(Q282*60+R282)/(60*60)</f><v /></c><c r="T282" s="383"><f>+O282/S282</f><v /></c><c r="U282" s="384"><f>+(((N282-M282-O282)/O282)*100)</f><v /></c><c r="V282" s="317"><f>V281</f><v /></c><c r="W282" s="378"><f>W281</f><v /></c><c r="X282" s="378"><f>X281</f><v /></c><c r="Y282" s="379" t="n"><v>191.1</v></c><c r="Z282" s="379" t="n"><v>201.18</v></c><c r="AA282" s="386"><f>AA281</f><v /></c><c r="AB282" s="387"><f>AB281</f><v /></c><c r="AC282" s="382"><f>LEFT(AB282,2)</f><v /></c><c r="AD282" s="382"><f>RIGHT(AB282,6)</f><v /></c><c r="AE282" s="382"><f>+(AC282*60+AD282)/(60*60)</f><v /></c><c r="AF282" s="383"><f>+AA282/AE282</f><v /></c><c r="AG282" s="321"><f>+(((Z282-Y282-AA282)/AA282)*100)</f><v /></c><c r="AH282" s="317"><f>AH281</f><v /></c><c r="AI282" s="378"><f>AI281</f><v /></c><c r="AJ282" s="378"><f>AJ281</f><v /></c><c r="AK282" s="379"><f>Z282</f><v /></c><c r="AL282" s="379" t="n"><v>206.26</v></c><c r="AM282" s="388"><f>AM281</f><v /></c><c r="AN282" s="381"><f>AN281</f><v /></c><c r="AO282" s="382"><f>LEFT(AN282,2)</f><v /></c><c r="AP282" s="382"><f>RIGHT(AN282,6)</f><v /></c><c r="AQ282" s="382"><f>+(AO282*60+AP282)/(60*60)</f><v /></c><c r="AR282" s="383"><f>+AM282/AQ282</f><v /></c><c r="AS282" s="321"><f>+(((AL282-AK282-AM282)/AM282)*100)</f><v /></c><c r="AT282" s="389"><f>IF(I282&gt;=1,"NO CONFORME",IF(BK282="SIGDIFERENTES",BC282,BL282))</f><v /></c><c r="AU282" s="372"><f>B282=C282</f><v /></c><c r="AV282" s="372"><f>N282&lt;Y282</f><v /></c><c r="AW282" s="372"><f>Z282&lt;=AK282</f><v /></c><c r="AX282" s="372"><f>IF(I282&gt;=1,"Qcorrecto",IF(AND(AY282="aceptable",AZ282="aceptable",BA282="aceptable"),"Qcorrecto","Qincorrecto"))</f><v /></c><c r="AY282" s="390"><f>IF(AR282&lt;$AH$6,"error",IF(AR282&gt;$AH$6*1.1,"error","aceptable"))</f><v /></c><c r="AZ282" s="390"><f>IF(AF282&lt;$V$6,"error",IF(AF282&gt;$V$6*1.1,"error","aceptable"))</f><v /></c><c r="BA282" s="390"><f>IF(T282&lt;$J$6*0.9,"error",IF(T282&gt;$J$6,"error","aceptable"))</f><v /></c><c r="BB282" s="25"><f>(IF(ABS(U282)&lt;1.05,"CONFORME",IF(ABS(AG282)&lt;1.05,"CONFORME",IF(ABS(AS282)&lt;2.55,"CONFORME","NO CONFORME"))))</f><v /></c><c r="BC282" s="5"><f>(IF(ABS(U282)&gt;2.05,"NO CONFORME",IF(ABS(AG282)&gt;2.05,"NO CONFORME",IF(ABS(AS282)&gt;5.05,"NO CONFORME","CONFORME"))))</f><v /></c><c r="BD282" s="374"><f>SIGN(U282)</f><v /></c><c r="BE282" s="374"><f>SIGN(AG282)</f><v /></c><c r="BF282" s="374"><f>SIGN(AS282)</f><v /></c><c r="BG282" s="374"><f>CONCATENATE(BD282,BE282,BF282)</f><v /></c><c r="BH282" s="374"><f>IF(BG282="111","SI","SD")</f><v /></c><c r="BI282" s="374"><f>IF(BG282="-1-1-1","SI","SD")</f><v /></c><c r="BJ282" s="374"><f>OR(BH282="SI",BI282="SI")</f><v /></c><c r="BK282" s="374"><f>IF(BJ282=FALSE,"SIGDIFERENTES","SIGIGUALES")</f><v /></c><c r="BL282" s="390"><f>IF(BC282="NO CONFORME","NO CONFORME",IF(BB282="CONFORME","CONFORME","NO CONFORME"))</f><v /></c></row><row r="283" ht="15" customHeight="1" thickBot="1"><c r="A283" s="445" t="n"><v>275</v></c><c r="B283" s="392"><f>B282</f><v /></c><c r="C283" s="392"><f>C282</f><v /></c><c r="D283" s="393"><f>D282</f><v /></c><c r="E283" s="394"><f>E282</f><v /></c><c r="F283" s="52" t="n" /><c r="G283" s="325" t="inlineStr"><is><t>PA25516983</t></is></c><c r="H283" s="326"><f>H282</f><v /></c><c r="I283" s="98"><f>I282</f><v /></c><c r="J283" s="327"><f>J282</f><v /></c><c r="K283" s="396"><f>K282</f><v /></c><c r="L283" s="396"><f>L282</f><v /></c><c r="M283" s="397" t="n"><v>86.52</v></c><c r="N283" s="397" t="n"><v>186.17</v></c><c r="O283" s="398"><f>O282</f><v /></c><c r="P283" s="399"><f>P282</f><v /></c><c r="Q283" s="400"><f>LEFT(P283,1)</f><v /></c><c r="R283" s="400"><f>RIGHT(P283,6)</f><v /></c><c r="S283" s="400"><f>+(Q283*60+R283)/(60*60)</f><v /></c><c r="T283" s="401"><f>+O283/S283</f><v /></c><c r="U283" s="402"><f>+(((N283-M283-O283)/O283)*100)</f><v /></c><c r="V283" s="329"><f>V282</f><v /></c><c r="W283" s="396"><f>W282</f><v /></c><c r="X283" s="396"><f>X282</f><v /></c><c r="Y283" s="397" t="n"><v>190.57</v></c><c r="Z283" s="397" t="n"><v>200.67</v></c><c r="AA283" s="404"><f>AA282</f><v /></c><c r="AB283" s="405"><f>AB282</f><v /></c><c r="AC283" s="400"><f>LEFT(AB283,2)</f><v /></c><c r="AD283" s="400"><f>RIGHT(AB283,6)</f><v /></c><c r="AE283" s="400"><f>+(AC283*60+AD283)/(60*60)</f><v /></c><c r="AF283" s="401"><f>+AA283/AE283</f><v /></c><c r="AG283" s="406"><f>+(((Z283-Y283-AA283)/AA283)*100)</f><v /></c><c r="AH283" s="329"><f>AH282</f><v /></c><c r="AI283" s="396"><f>AI282</f><v /></c><c r="AJ283" s="396"><f>AJ282</f><v /></c><c r="AK283" s="397"><f>Z283</f><v /></c><c r="AL283" s="397" t="n"><v>205.74</v></c><c r="AM283" s="407"><f>AM282</f><v /></c><c r="AN283" s="399"><f>AN282</f><v /></c><c r="AO283" s="400"><f>LEFT(AN283,2)</f><v /></c><c r="AP283" s="400"><f>RIGHT(AN283,6)</f><v /></c><c r="AQ283" s="400"><f>+(AO283*60+AP283)/(60*60)</f><v /></c><c r="AR283" s="401"><f>+AM283/AQ283</f><v /></c><c r="AS283" s="406"><f>+(((AL283-AK283-AM283)/AM283)*100)</f><v /></c><c r="AT283" s="408"><f>IF(I283&gt;=1,"NO CONFORME",IF(BK283="SIGDIFERENTES",BC283,BL283))</f><v /></c><c r="AU283" s="409"><f>B283=C283</f><v /></c><c r="AV283" s="409"><f>N283&lt;Y283</f><v /></c><c r="AW283" s="409"><f>Z283&lt;=AK283</f><v /></c><c r="AX283" s="409"><f>IF(I283&gt;=1,"Qcorrecto",IF(AND(AY283="aceptable",AZ283="aceptable",BA283="aceptable"),"Qcorrecto","Qincorrecto"))</f><v /></c><c r="AY283" s="410"><f>IF(AR283&lt;$AH$6,"error",IF(AR283&gt;$AH$6*1.1,"error","aceptable"))</f><v /></c><c r="AZ283" s="410"><f>IF(AF283&lt;$V$6,"error",IF(AF283&gt;$V$6*1.1,"error","aceptable"))</f><v /></c><c r="BA283" s="410"><f>IF(T283&lt;$J$6*0.9,"error",IF(T283&gt;$J$6,"error","aceptable"))</f><v /></c><c r="BB283" s="411"><f>(IF(ABS(U283)&lt;1.05,"CONFORME",IF(ABS(AG283)&lt;1.05,"CONFORME",IF(ABS(AS283)&lt;2.55,"CONFORME","NO CONFORME"))))</f><v /></c><c r="BC283" s="412"><f>(IF(ABS(U283)&gt;2.05,"NO CONFORME",IF(ABS(AG283)&gt;2.05,"NO CONFORME",IF(ABS(AS283)&gt;5.05,"NO CONFORME","CONFORME"))))</f><v /></c><c r="BD283" s="413"><f>SIGN(U283)</f><v /></c><c r="BE283" s="413"><f>SIGN(AG283)</f><v /></c><c r="BF283" s="413"><f>SIGN(AS283)</f><v /></c><c r="BG283" s="413"><f>CONCATENATE(BD283,BE283,BF283)</f><v /></c><c r="BH283" s="413"><f>IF(BG283="111","SI","SD")</f><v /></c><c r="BI283" s="413"><f>IF(BG283="-1-1-1","SI","SD")</f><v /></c><c r="BJ283" s="413"><f>OR(BH283="SI",BI283="SI")</f><v /></c><c r="BK283" s="413"><f>IF(BJ283=FALSE,"SIGDIFERENTES","SIGIGUALES")</f><v /></c><c r="BL283" s="410"><f>IF(BC283="NO CONFORME","NO CONFORME",IF(BB283="CONFORME","CONFORME","NO CONFORME"))</f><v /></c></row><row r="284" ht="14.4" customHeight="1" thickBot="1"><c r="A284" s="351" t="n"><v>276</v></c><c r="B284" s="352"><f>B283</f><v /></c><c r="C284" s="352"><f>C283</f><v /></c><c r="D284" s="353"><f>D283</f><v /></c><c r="E284" s="354"><f>E283</f><v /></c><c r="F284" s="58" t="n" /><c r="G284" s="300" t="inlineStr"><is><t>PA25516984</t></is></c><c r="H284" s="356"><f>H283</f><v /></c><c r="I284" s="232"><f>I283</f><v /></c><c r="J284" s="357" t="n"><v>20.9</v></c><c r="K284" s="358" t="n"><v>8.32</v></c><c r="L284" s="358" t="n"><v>0.525</v></c><c r="M284" s="359" t="n"><v>111.73</v></c><c r="N284" s="359" t="n"><v>210.69</v></c><c r="O284" s="360" t="n"><v>100.32</v></c><c r="P284" s="361" t="inlineStr"><is><t>2,30,480</t></is></c><c r="Q284" s="362"><f>LEFT(P284,1)</f><v /></c><c r="R284" s="362"><f>RIGHT(P284,6)</f><v /></c><c r="S284" s="362"><f>+(Q284*60+R284)/(60*60)</f><v /></c><c r="T284" s="363"><f>+O284/S284</f><v /></c><c r="U284" s="364"><f>+(((N284-M284-O284)/O284)*100)</f><v /></c><c r="V284" s="365" t="n"><v>20.9</v></c><c r="W284" s="358" t="n"><v>1.396</v></c><c r="X284" s="358" t="n"><v>1.393</v></c><c r="Y284" s="359" t="n"><v>216.18</v></c><c r="Z284" s="359" t="n"><v>226.13</v></c><c r="AA284" s="367" t="n"><v>10.015</v></c><c r="AB284" s="368" t="inlineStr"><is><t>22,49,160</t></is></c><c r="AC284" s="362"><f>LEFT(AB284,2)</f><v /></c><c r="AD284" s="362"><f>RIGHT(AB284,6)</f><v /></c><c r="AE284" s="362"><f>+(AC284*60+AD284)/(60*60)</f><v /></c><c r="AF284" s="363"><f>+AA284/AE284</f><v /></c><c r="AG284" s="369"><f>+(((Z284-Y284-AA284)/AA284)*100)</f><v /></c><c r="AH284" s="365" t="n"><v>20.8</v></c><c r="AI284" s="358" t="n"><v>1.396</v></c><c r="AJ284" s="358" t="n"><v>1.393</v></c><c r="AK284" s="359"><f>Z284</f><v /></c><c r="AL284" s="359" t="n"><v>231.28</v></c><c r="AM284" s="370" t="n"><v>5.11</v></c><c r="AN284" s="361" t="inlineStr"><is><t>18,32,200</t></is></c><c r="AO284" s="362"><f>LEFT(AN284,2)</f><v /></c><c r="AP284" s="362"><f>RIGHT(AN284,6)</f><v /></c><c r="AQ284" s="362"><f>+(AO284*60+AP284)/(60*60)</f><v /></c><c r="AR284" s="363"><f>+AM284/AQ284</f><v /></c><c r="AS284" s="369"><f>+(((AL284-AK284-AM284)/AM284)*100)</f><v /></c><c r="AT284" s="371"><f>IF(I284&gt;=1,"NO CONFORME",IF(BK284="SIGDIFERENTES",BC284,BL284))</f><v /></c><c r="AU284" s="372"><f>B284=C284</f><v /></c><c r="AV284" s="372"><f>N284&lt;Y284</f><v /></c><c r="AW284" s="372"><f>Z284&lt;=AK284</f><v /></c><c r="AX284" s="372"><f>IF(I284&gt;=1,"Qcorrecto",IF(AND(AY284="aceptable",AZ284="aceptable",BA284="aceptable"),"Qcorrecto","Qincorrecto"))</f><v /></c><c r="AY284" s="373"><f>IF(AR284&lt;$AH$6,"error",IF(AR284&gt;$AH$6*1.1,"error","aceptable"))</f><v /></c><c r="AZ284" s="373"><f>IF(AF284&lt;$V$6,"error",IF(AF284&gt;$V$6*1.1,"error","aceptable"))</f><v /></c><c r="BA284" s="373"><f>IF(T284&lt;$J$6*0.9,"error",IF(T284&gt;$J$6,"error","aceptable"))</f><v /></c><c r="BB284" s="25"><f>(IF(ABS(U284)&lt;1.05,"CONFORME",IF(ABS(AG284)&lt;1.05,"CONFORME",IF(ABS(AS284)&lt;2.55,"CONFORME","NO CONFORME"))))</f><v /></c><c r="BC284" s="5"><f>(IF(ABS(U284)&gt;2.05,"NO CONFORME",IF(ABS(AG284)&gt;2.05,"NO CONFORME",IF(ABS(AS284)&gt;5.05,"NO CONFORME","CONFORME"))))</f><v /></c><c r="BD284" s="374"><f>SIGN(U284)</f><v /></c><c r="BE284" s="374"><f>SIGN(AG284)</f><v /></c><c r="BF284" s="374"><f>SIGN(AS284)</f><v /></c><c r="BG284" s="374"><f>CONCATENATE(BD284,BE284,BF284)</f><v /></c><c r="BH284" s="374"><f>IF(BG284="111","SI","SD")</f><v /></c><c r="BI284" s="374"><f>IF(BG284="-1-1-1","SI","SD")</f><v /></c><c r="BJ284" s="374"><f>OR(BH284="SI",BI284="SI")</f><v /></c><c r="BK284" s="374"><f>IF(BJ284=FALSE,"SIGDIFERENTES","SIGIGUALES")</f><v /></c><c r="BL284" s="373"><f>IF(BC284="NO CONFORME","NO CONFORME",IF(BB284="CONFORME","CONFORME","NO CONFORME"))</f><v /></c></row><row r="285" ht="14.4" customHeight="1" thickBot="1"><c r="A285" s="443" t="n"><v>277</v></c><c r="B285" s="375"><f>B284</f><v /></c><c r="C285" s="375"><f>C284</f><v /></c><c r="D285" s="376"><f>D284</f><v /></c><c r="E285" s="377"><f>E284</f><v /></c><c r="F285" s="13" t="n" /><c r="G285" s="312" t="inlineStr"><is><t>PA25516985</t></is></c><c r="H285" s="313"><f>H284</f><v /></c><c r="I285" s="38"><f>I284</f><v /></c><c r="J285" s="314"><f>J284</f><v /></c><c r="K285" s="378"><f>K284</f><v /></c><c r="L285" s="378"><f>L284</f><v /></c><c r="M285" s="379" t="n"><v>111.62</v></c><c r="N285" s="379" t="n"><v>210.66</v></c><c r="O285" s="380"><f>O284</f><v /></c><c r="P285" s="381"><f>P284</f><v /></c><c r="Q285" s="382"><f>LEFT(P285,1)</f><v /></c><c r="R285" s="382"><f>RIGHT(P285,6)</f><v /></c><c r="S285" s="382"><f>+(Q285*60+R285)/(60*60)</f><v /></c><c r="T285" s="383"><f>+O285/S285</f><v /></c><c r="U285" s="384"><f>+(((N285-M285-O285)/O285)*100)</f><v /></c><c r="V285" s="317"><f>V284</f><v /></c><c r="W285" s="378"><f>W284</f><v /></c><c r="X285" s="378"><f>X284</f><v /></c><c r="Y285" s="379" t="n"><v>216.16</v></c><c r="Z285" s="379" t="n"><v>226.11</v></c><c r="AA285" s="386"><f>AA284</f><v /></c><c r="AB285" s="387"><f>AB284</f><v /></c><c r="AC285" s="382"><f>LEFT(AB285,2)</f><v /></c><c r="AD285" s="382"><f>RIGHT(AB285,6)</f><v /></c><c r="AE285" s="382"><f>+(AC285*60+AD285)/(60*60)</f><v /></c><c r="AF285" s="383"><f>+AA285/AE285</f><v /></c><c r="AG285" s="321"><f>+(((Z285-Y285-AA285)/AA285)*100)</f><v /></c><c r="AH285" s="317"><f>AH284</f><v /></c><c r="AI285" s="378"><f>AI284</f><v /></c><c r="AJ285" s="378"><f>AJ284</f><v /></c><c r="AK285" s="379"><f>Z285</f><v /></c><c r="AL285" s="379" t="n"><v>231.2</v></c><c r="AM285" s="388"><f>AM284</f><v /></c><c r="AN285" s="381"><f>AN284</f><v /></c><c r="AO285" s="382"><f>LEFT(AN285,2)</f><v /></c><c r="AP285" s="382"><f>RIGHT(AN285,6)</f><v /></c><c r="AQ285" s="382"><f>+(AO285*60+AP285)/(60*60)</f><v /></c><c r="AR285" s="383"><f>+AM285/AQ285</f><v /></c><c r="AS285" s="321"><f>+(((AL285-AK285-AM285)/AM285)*100)</f><v /></c><c r="AT285" s="389"><f>IF(I285&gt;=1,"NO CONFORME",IF(BK285="SIGDIFERENTES",BC285,BL285))</f><v /></c><c r="AU285" s="372"><f>B285=C285</f><v /></c><c r="AV285" s="372"><f>N285&lt;Y285</f><v /></c><c r="AW285" s="372"><f>Z285&lt;=AK285</f><v /></c><c r="AX285" s="372"><f>IF(I285&gt;=1,"Qcorrecto",IF(AND(AY285="aceptable",AZ285="aceptable",BA285="aceptable"),"Qcorrecto","Qincorrecto"))</f><v /></c><c r="AY285" s="390"><f>IF(AR285&lt;$AH$6,"error",IF(AR285&gt;$AH$6*1.1,"error","aceptable"))</f><v /></c><c r="AZ285" s="390"><f>IF(AF285&lt;$V$6,"error",IF(AF285&gt;$V$6*1.1,"error","aceptable"))</f><v /></c><c r="BA285" s="390"><f>IF(T285&lt;$J$6*0.9,"error",IF(T285&gt;$J$6,"error","aceptable"))</f><v /></c><c r="BB285" s="25"><f>(IF(ABS(U285)&lt;1.05,"CONFORME",IF(ABS(AG285)&lt;1.05,"CONFORME",IF(ABS(AS285)&lt;2.55,"CONFORME","NO CONFORME"))))</f><v /></c><c r="BC285" s="5"><f>(IF(ABS(U285)&gt;2.05,"NO CONFORME",IF(ABS(AG285)&gt;2.05,"NO CONFORME",IF(ABS(AS285)&gt;5.05,"NO CONFORME","CONFORME"))))</f><v /></c><c r="BD285" s="374"><f>SIGN(U285)</f><v /></c><c r="BE285" s="374"><f>SIGN(AG285)</f><v /></c><c r="BF285" s="374"><f>SIGN(AS285)</f><v /></c><c r="BG285" s="374"><f>CONCATENATE(BD285,BE285,BF285)</f><v /></c><c r="BH285" s="374"><f>IF(BG285="111","SI","SD")</f><v /></c><c r="BI285" s="374"><f>IF(BG285="-1-1-1","SI","SD")</f><v /></c><c r="BJ285" s="374"><f>OR(BH285="SI",BI285="SI")</f><v /></c><c r="BK285" s="374"><f>IF(BJ285=FALSE,"SIGDIFERENTES","SIGIGUALES")</f><v /></c><c r="BL285" s="390"><f>IF(BC285="NO CONFORME","NO CONFORME",IF(BB285="CONFORME","CONFORME","NO CONFORME"))</f><v /></c></row><row r="286" ht="14.4" customHeight="1" thickBot="1"><c r="A286" s="443" t="n"><v>278</v></c><c r="B286" s="375"><f>B285</f><v /></c><c r="C286" s="375"><f>C285</f><v /></c><c r="D286" s="376"><f>D285</f><v /></c><c r="E286" s="377"><f>E285</f><v /></c><c r="F286" s="13" t="n" /><c r="G286" s="312" t="inlineStr"><is><t>PA25516986</t></is></c><c r="H286" s="313"><f>H285</f><v /></c><c r="I286" s="38"><f>I285</f><v /></c><c r="J286" s="314"><f>J285</f><v /></c><c r="K286" s="378"><f>K285</f><v /></c><c r="L286" s="378"><f>L285</f><v /></c><c r="M286" s="379" t="n"><v>112.29</v></c><c r="N286" s="379" t="n"><v>211.6</v></c><c r="O286" s="380"><f>O285</f><v /></c><c r="P286" s="381"><f>P285</f><v /></c><c r="Q286" s="382"><f>LEFT(P286,1)</f><v /></c><c r="R286" s="382"><f>RIGHT(P286,6)</f><v /></c><c r="S286" s="382"><f>+(Q286*60+R286)/(60*60)</f><v /></c><c r="T286" s="383"><f>+O286/S286</f><v /></c><c r="U286" s="384"><f>+(((N286-M286-O286)/O286)*100)</f><v /></c><c r="V286" s="317"><f>V285</f><v /></c><c r="W286" s="378"><f>W285</f><v /></c><c r="X286" s="378"><f>X285</f><v /></c><c r="Y286" s="379" t="n"><v>217.09</v></c><c r="Z286" s="379" t="n"><v>227.13</v></c><c r="AA286" s="386"><f>AA285</f><v /></c><c r="AB286" s="387"><f>AB285</f><v /></c><c r="AC286" s="382"><f>LEFT(AB286,2)</f><v /></c><c r="AD286" s="382"><f>RIGHT(AB286,6)</f><v /></c><c r="AE286" s="382"><f>+(AC286*60+AD286)/(60*60)</f><v /></c><c r="AF286" s="383"><f>+AA286/AE286</f><v /></c><c r="AG286" s="321"><f>+(((Z286-Y286-AA286)/AA286)*100)</f><v /></c><c r="AH286" s="317"><f>AH285</f><v /></c><c r="AI286" s="378"><f>AI285</f><v /></c><c r="AJ286" s="378"><f>AJ285</f><v /></c><c r="AK286" s="379"><f>Z286</f><v /></c><c r="AL286" s="379" t="n"><v>232.29</v></c><c r="AM286" s="388"><f>AM285</f><v /></c><c r="AN286" s="381"><f>AN285</f><v /></c><c r="AO286" s="382"><f>LEFT(AN286,2)</f><v /></c><c r="AP286" s="382"><f>RIGHT(AN286,6)</f><v /></c><c r="AQ286" s="382"><f>+(AO286*60+AP286)/(60*60)</f><v /></c><c r="AR286" s="383"><f>+AM286/AQ286</f><v /></c><c r="AS286" s="321"><f>+(((AL286-AK286-AM286)/AM286)*100)</f><v /></c><c r="AT286" s="389"><f>IF(I286&gt;=1,"NO CONFORME",IF(BK286="SIGDIFERENTES",BC286,BL286))</f><v /></c><c r="AU286" s="372"><f>B286=C286</f><v /></c><c r="AV286" s="372"><f>N286&lt;Y286</f><v /></c><c r="AW286" s="372"><f>Z286&lt;=AK286</f><v /></c><c r="AX286" s="372"><f>IF(I286&gt;=1,"Qcorrecto",IF(AND(AY286="aceptable",AZ286="aceptable",BA286="aceptable"),"Qcorrecto","Qincorrecto"))</f><v /></c><c r="AY286" s="390"><f>IF(AR286&lt;$AH$6,"error",IF(AR286&gt;$AH$6*1.1,"error","aceptable"))</f><v /></c><c r="AZ286" s="390"><f>IF(AF286&lt;$V$6,"error",IF(AF286&gt;$V$6*1.1,"error","aceptable"))</f><v /></c><c r="BA286" s="390"><f>IF(T286&lt;$J$6*0.9,"error",IF(T286&gt;$J$6,"error","aceptable"))</f><v /></c><c r="BB286" s="25"><f>(IF(ABS(U286)&lt;1.05,"CONFORME",IF(ABS(AG286)&lt;1.05,"CONFORME",IF(ABS(AS286)&lt;2.55,"CONFORME","NO CONFORME"))))</f><v /></c><c r="BC286" s="5"><f>(IF(ABS(U286)&gt;2.05,"NO CONFORME",IF(ABS(AG286)&gt;2.05,"NO CONFORME",IF(ABS(AS286)&gt;5.05,"NO CONFORME","CONFORME"))))</f><v /></c><c r="BD286" s="374"><f>SIGN(U286)</f><v /></c><c r="BE286" s="374"><f>SIGN(AG286)</f><v /></c><c r="BF286" s="374"><f>SIGN(AS286)</f><v /></c><c r="BG286" s="374"><f>CONCATENATE(BD286,BE286,BF286)</f><v /></c><c r="BH286" s="374"><f>IF(BG286="111","SI","SD")</f><v /></c><c r="BI286" s="374"><f>IF(BG286="-1-1-1","SI","SD")</f><v /></c><c r="BJ286" s="374"><f>OR(BH286="SI",BI286="SI")</f><v /></c><c r="BK286" s="374"><f>IF(BJ286=FALSE,"SIGDIFERENTES","SIGIGUALES")</f><v /></c><c r="BL286" s="390"><f>IF(BC286="NO CONFORME","NO CONFORME",IF(BB286="CONFORME","CONFORME","NO CONFORME"))</f><v /></c></row><row r="287" ht="14.4" customHeight="1" thickBot="1"><c r="A287" s="443" t="n"><v>279</v></c><c r="B287" s="375"><f>B286</f><v /></c><c r="C287" s="375"><f>C286</f><v /></c><c r="D287" s="376"><f>D286</f><v /></c><c r="E287" s="377"><f>E286</f><v /></c><c r="F287" s="13" t="n" /><c r="G287" s="312" t="inlineStr"><is><t>PA25516987</t></is></c><c r="H287" s="313"><f>H286</f><v /></c><c r="I287" s="38"><f>I286</f><v /></c><c r="J287" s="314"><f>J286</f><v /></c><c r="K287" s="378"><f>K286</f><v /></c><c r="L287" s="378"><f>L286</f><v /></c><c r="M287" s="379" t="n"><v>111.98</v></c><c r="N287" s="379" t="n"><v>211.08</v></c><c r="O287" s="380"><f>O286</f><v /></c><c r="P287" s="381"><f>P286</f><v /></c><c r="Q287" s="382"><f>LEFT(P287,1)</f><v /></c><c r="R287" s="382"><f>RIGHT(P287,6)</f><v /></c><c r="S287" s="382"><f>+(Q287*60+R287)/(60*60)</f><v /></c><c r="T287" s="383"><f>+O287/S287</f><v /></c><c r="U287" s="384"><f>+(((N287-M287-O287)/O287)*100)</f><v /></c><c r="V287" s="317"><f>V286</f><v /></c><c r="W287" s="378"><f>W286</f><v /></c><c r="X287" s="378"><f>X286</f><v /></c><c r="Y287" s="379" t="n"><v>216.53</v></c><c r="Z287" s="379" t="n"><v>226.54</v></c><c r="AA287" s="386"><f>AA286</f><v /></c><c r="AB287" s="387"><f>AB286</f><v /></c><c r="AC287" s="382"><f>LEFT(AB287,2)</f><v /></c><c r="AD287" s="382"><f>RIGHT(AB287,6)</f><v /></c><c r="AE287" s="382"><f>+(AC287*60+AD287)/(60*60)</f><v /></c><c r="AF287" s="383"><f>+AA287/AE287</f><v /></c><c r="AG287" s="321"><f>+(((Z287-Y287-AA287)/AA287)*100)</f><v /></c><c r="AH287" s="317"><f>AH286</f><v /></c><c r="AI287" s="378"><f>AI286</f><v /></c><c r="AJ287" s="378"><f>AJ286</f><v /></c><c r="AK287" s="379"><f>Z287</f><v /></c><c r="AL287" s="379" t="n"><v>231.69</v></c><c r="AM287" s="388"><f>AM286</f><v /></c><c r="AN287" s="381"><f>AN286</f><v /></c><c r="AO287" s="382"><f>LEFT(AN287,2)</f><v /></c><c r="AP287" s="382"><f>RIGHT(AN287,6)</f><v /></c><c r="AQ287" s="382"><f>+(AO287*60+AP287)/(60*60)</f><v /></c><c r="AR287" s="383"><f>+AM287/AQ287</f><v /></c><c r="AS287" s="321"><f>+(((AL287-AK287-AM287)/AM287)*100)</f><v /></c><c r="AT287" s="389"><f>IF(I287&gt;=1,"NO CONFORME",IF(BK287="SIGDIFERENTES",BC287,BL287))</f><v /></c><c r="AU287" s="372"><f>B287=C287</f><v /></c><c r="AV287" s="372"><f>N287&lt;Y287</f><v /></c><c r="AW287" s="372"><f>Z287&lt;=AK287</f><v /></c><c r="AX287" s="372"><f>IF(I287&gt;=1,"Qcorrecto",IF(AND(AY287="aceptable",AZ287="aceptable",BA287="aceptable"),"Qcorrecto","Qincorrecto"))</f><v /></c><c r="AY287" s="390"><f>IF(AR287&lt;$AH$6,"error",IF(AR287&gt;$AH$6*1.1,"error","aceptable"))</f><v /></c><c r="AZ287" s="390"><f>IF(AF287&lt;$V$6,"error",IF(AF287&gt;$V$6*1.1,"error","aceptable"))</f><v /></c><c r="BA287" s="390"><f>IF(T287&lt;$J$6*0.9,"error",IF(T287&gt;$J$6,"error","aceptable"))</f><v /></c><c r="BB287" s="25"><f>(IF(ABS(U287)&lt;1.05,"CONFORME",IF(ABS(AG287)&lt;1.05,"CONFORME",IF(ABS(AS287)&lt;2.55,"CONFORME","NO CONFORME"))))</f><v /></c><c r="BC287" s="5"><f>(IF(ABS(U287)&gt;2.05,"NO CONFORME",IF(ABS(AG287)&gt;2.05,"NO CONFORME",IF(ABS(AS287)&gt;5.05,"NO CONFORME","CONFORME"))))</f><v /></c><c r="BD287" s="374"><f>SIGN(U287)</f><v /></c><c r="BE287" s="374"><f>SIGN(AG287)</f><v /></c><c r="BF287" s="374"><f>SIGN(AS287)</f><v /></c><c r="BG287" s="374"><f>CONCATENATE(BD287,BE287,BF287)</f><v /></c><c r="BH287" s="374"><f>IF(BG287="111","SI","SD")</f><v /></c><c r="BI287" s="374"><f>IF(BG287="-1-1-1","SI","SD")</f><v /></c><c r="BJ287" s="374"><f>OR(BH287="SI",BI287="SI")</f><v /></c><c r="BK287" s="374"><f>IF(BJ287=FALSE,"SIGDIFERENTES","SIGIGUALES")</f><v /></c><c r="BL287" s="390"><f>IF(BC287="NO CONFORME","NO CONFORME",IF(BB287="CONFORME","CONFORME","NO CONFORME"))</f><v /></c></row><row r="288" ht="14.4" customHeight="1" thickBot="1"><c r="A288" s="443" t="n"><v>280</v></c><c r="B288" s="375"><f>B287</f><v /></c><c r="C288" s="375"><f>C287</f><v /></c><c r="D288" s="376"><f>D287</f><v /></c><c r="E288" s="377"><f>E287</f><v /></c><c r="F288" s="13" t="n" /><c r="G288" s="312" t="inlineStr"><is><t>PA25516988</t></is></c><c r="H288" s="313"><f>H287</f><v /></c><c r="I288" s="38"><f>I287</f><v /></c><c r="J288" s="314"><f>J287</f><v /></c><c r="K288" s="378"><f>K287</f><v /></c><c r="L288" s="378"><f>L287</f><v /></c><c r="M288" s="379" t="n"><v>111.88</v></c><c r="N288" s="379" t="n"><v>210.63</v></c><c r="O288" s="380"><f>O287</f><v /></c><c r="P288" s="381"><f>P287</f><v /></c><c r="Q288" s="382"><f>LEFT(P288,1)</f><v /></c><c r="R288" s="382"><f>RIGHT(P288,6)</f><v /></c><c r="S288" s="382"><f>+(Q288*60+R288)/(60*60)</f><v /></c><c r="T288" s="383"><f>+O288/S288</f><v /></c><c r="U288" s="384"><f>+(((N288-M288-O288)/O288)*100)</f><v /></c><c r="V288" s="317"><f>V287</f><v /></c><c r="W288" s="378"><f>W287</f><v /></c><c r="X288" s="378"><f>X287</f><v /></c><c r="Y288" s="379" t="n"><v>216.09</v></c><c r="Z288" s="379" t="n"><v>226.05</v></c><c r="AA288" s="386"><f>AA287</f><v /></c><c r="AB288" s="387"><f>AB287</f><v /></c><c r="AC288" s="382"><f>LEFT(AB288,2)</f><v /></c><c r="AD288" s="382"><f>RIGHT(AB288,6)</f><v /></c><c r="AE288" s="382"><f>+(AC288*60+AD288)/(60*60)</f><v /></c><c r="AF288" s="383"><f>+AA288/AE288</f><v /></c><c r="AG288" s="321"><f>+(((Z288-Y288-AA288)/AA288)*100)</f><v /></c><c r="AH288" s="317"><f>AH287</f><v /></c><c r="AI288" s="378"><f>AI287</f><v /></c><c r="AJ288" s="378"><f>AJ287</f><v /></c><c r="AK288" s="379"><f>Z288</f><v /></c><c r="AL288" s="379" t="n"><v>231.22</v></c><c r="AM288" s="388"><f>AM287</f><v /></c><c r="AN288" s="381"><f>AN287</f><v /></c><c r="AO288" s="382"><f>LEFT(AN288,2)</f><v /></c><c r="AP288" s="382"><f>RIGHT(AN288,6)</f><v /></c><c r="AQ288" s="382"><f>+(AO288*60+AP288)/(60*60)</f><v /></c><c r="AR288" s="383"><f>+AM288/AQ288</f><v /></c><c r="AS288" s="321"><f>+(((AL288-AK288-AM288)/AM288)*100)</f><v /></c><c r="AT288" s="389"><f>IF(I288&gt;=1,"NO CONFORME",IF(BK288="SIGDIFERENTES",BC288,BL288))</f><v /></c><c r="AU288" s="372"><f>B288=C288</f><v /></c><c r="AV288" s="372"><f>N288&lt;Y288</f><v /></c><c r="AW288" s="372"><f>Z288&lt;=AK288</f><v /></c><c r="AX288" s="372"><f>IF(I288&gt;=1,"Qcorrecto",IF(AND(AY288="aceptable",AZ288="aceptable",BA288="aceptable"),"Qcorrecto","Qincorrecto"))</f><v /></c><c r="AY288" s="390"><f>IF(AR288&lt;$AH$6,"error",IF(AR288&gt;$AH$6*1.1,"error","aceptable"))</f><v /></c><c r="AZ288" s="390"><f>IF(AF288&lt;$V$6,"error",IF(AF288&gt;$V$6*1.1,"error","aceptable"))</f><v /></c><c r="BA288" s="390"><f>IF(T288&lt;$J$6*0.9,"error",IF(T288&gt;$J$6,"error","aceptable"))</f><v /></c><c r="BB288" s="25"><f>(IF(ABS(U288)&lt;1.05,"CONFORME",IF(ABS(AG288)&lt;1.05,"CONFORME",IF(ABS(AS288)&lt;2.55,"CONFORME","NO CONFORME"))))</f><v /></c><c r="BC288" s="5"><f>(IF(ABS(U288)&gt;2.05,"NO CONFORME",IF(ABS(AG288)&gt;2.05,"NO CONFORME",IF(ABS(AS288)&gt;5.05,"NO CONFORME","CONFORME"))))</f><v /></c><c r="BD288" s="374"><f>SIGN(U288)</f><v /></c><c r="BE288" s="374"><f>SIGN(AG288)</f><v /></c><c r="BF288" s="374"><f>SIGN(AS288)</f><v /></c><c r="BG288" s="374"><f>CONCATENATE(BD288,BE288,BF288)</f><v /></c><c r="BH288" s="374"><f>IF(BG288="111","SI","SD")</f><v /></c><c r="BI288" s="374"><f>IF(BG288="-1-1-1","SI","SD")</f><v /></c><c r="BJ288" s="374"><f>OR(BH288="SI",BI288="SI")</f><v /></c><c r="BK288" s="374"><f>IF(BJ288=FALSE,"SIGDIFERENTES","SIGIGUALES")</f><v /></c><c r="BL288" s="390"><f>IF(BC288="NO CONFORME","NO CONFORME",IF(BB288="CONFORME","CONFORME","NO CONFORME"))</f><v /></c></row><row r="289" ht="14.4" customHeight="1" thickBot="1"><c r="A289" s="443" t="n"><v>281</v></c><c r="B289" s="375"><f>B288</f><v /></c><c r="C289" s="375"><f>C288</f><v /></c><c r="D289" s="376"><f>D288</f><v /></c><c r="E289" s="377"><f>E288</f><v /></c><c r="F289" s="13" t="n" /><c r="G289" s="312" t="inlineStr"><is><t>PA25516989</t></is></c><c r="H289" s="313"><f>H288</f><v /></c><c r="I289" s="38"><f>I288</f><v /></c><c r="J289" s="314"><f>J288</f><v /></c><c r="K289" s="378"><f>K288</f><v /></c><c r="L289" s="378"><f>L288</f><v /></c><c r="M289" s="379" t="n"><v>111.93</v></c><c r="N289" s="379" t="n"><v>211.29</v></c><c r="O289" s="380"><f>O288</f><v /></c><c r="P289" s="381"><f>P288</f><v /></c><c r="Q289" s="382"><f>LEFT(P289,1)</f><v /></c><c r="R289" s="382"><f>RIGHT(P289,6)</f><v /></c><c r="S289" s="382"><f>+(Q289*60+R289)/(60*60)</f><v /></c><c r="T289" s="383"><f>+O289/S289</f><v /></c><c r="U289" s="384"><f>+(((N289-M289-O289)/O289)*100)</f><v /></c><c r="V289" s="317"><f>V288</f><v /></c><c r="W289" s="378"><f>W288</f><v /></c><c r="X289" s="378"><f>X288</f><v /></c><c r="Y289" s="379" t="n"><v>216.78</v></c><c r="Z289" s="379" t="n"><v>226.82</v></c><c r="AA289" s="386"><f>AA288</f><v /></c><c r="AB289" s="387"><f>AB288</f><v /></c><c r="AC289" s="382"><f>LEFT(AB289,2)</f><v /></c><c r="AD289" s="382"><f>RIGHT(AB289,6)</f><v /></c><c r="AE289" s="382"><f>+(AC289*60+AD289)/(60*60)</f><v /></c><c r="AF289" s="383"><f>+AA289/AE289</f><v /></c><c r="AG289" s="321"><f>+(((Z289-Y289-AA289)/AA289)*100)</f><v /></c><c r="AH289" s="317"><f>AH288</f><v /></c><c r="AI289" s="378"><f>AI288</f><v /></c><c r="AJ289" s="378"><f>AJ288</f><v /></c><c r="AK289" s="379"><f>Z289</f><v /></c><c r="AL289" s="379" t="n"><v>231.98</v></c><c r="AM289" s="388"><f>AM288</f><v /></c><c r="AN289" s="381"><f>AN288</f><v /></c><c r="AO289" s="382"><f>LEFT(AN289,2)</f><v /></c><c r="AP289" s="382"><f>RIGHT(AN289,6)</f><v /></c><c r="AQ289" s="382"><f>+(AO289*60+AP289)/(60*60)</f><v /></c><c r="AR289" s="383"><f>+AM289/AQ289</f><v /></c><c r="AS289" s="321"><f>+(((AL289-AK289-AM289)/AM289)*100)</f><v /></c><c r="AT289" s="389"><f>IF(I289&gt;=1,"NO CONFORME",IF(BK289="SIGDIFERENTES",BC289,BL289))</f><v /></c><c r="AU289" s="372"><f>B289=C289</f><v /></c><c r="AV289" s="372"><f>N289&lt;Y289</f><v /></c><c r="AW289" s="372"><f>Z289&lt;=AK289</f><v /></c><c r="AX289" s="372"><f>IF(I289&gt;=1,"Qcorrecto",IF(AND(AY289="aceptable",AZ289="aceptable",BA289="aceptable"),"Qcorrecto","Qincorrecto"))</f><v /></c><c r="AY289" s="390"><f>IF(AR289&lt;$AH$6,"error",IF(AR289&gt;$AH$6*1.1,"error","aceptable"))</f><v /></c><c r="AZ289" s="390"><f>IF(AF289&lt;$V$6,"error",IF(AF289&gt;$V$6*1.1,"error","aceptable"))</f><v /></c><c r="BA289" s="390"><f>IF(T289&lt;$J$6*0.9,"error",IF(T289&gt;$J$6,"error","aceptable"))</f><v /></c><c r="BB289" s="25"><f>(IF(ABS(U289)&lt;1.05,"CONFORME",IF(ABS(AG289)&lt;1.05,"CONFORME",IF(ABS(AS289)&lt;2.55,"CONFORME","NO CONFORME"))))</f><v /></c><c r="BC289" s="5"><f>(IF(ABS(U289)&gt;2.05,"NO CONFORME",IF(ABS(AG289)&gt;2.05,"NO CONFORME",IF(ABS(AS289)&gt;5.05,"NO CONFORME","CONFORME"))))</f><v /></c><c r="BD289" s="374"><f>SIGN(U289)</f><v /></c><c r="BE289" s="374"><f>SIGN(AG289)</f><v /></c><c r="BF289" s="374"><f>SIGN(AS289)</f><v /></c><c r="BG289" s="374"><f>CONCATENATE(BD289,BE289,BF289)</f><v /></c><c r="BH289" s="374"><f>IF(BG289="111","SI","SD")</f><v /></c><c r="BI289" s="374"><f>IF(BG289="-1-1-1","SI","SD")</f><v /></c><c r="BJ289" s="374"><f>OR(BH289="SI",BI289="SI")</f><v /></c><c r="BK289" s="374"><f>IF(BJ289=FALSE,"SIGDIFERENTES","SIGIGUALES")</f><v /></c><c r="BL289" s="390"><f>IF(BC289="NO CONFORME","NO CONFORME",IF(BB289="CONFORME","CONFORME","NO CONFORME"))</f><v /></c></row><row r="290" ht="14.4" customHeight="1" thickBot="1"><c r="A290" s="443" t="n"><v>282</v></c><c r="B290" s="375"><f>B289</f><v /></c><c r="C290" s="375"><f>C289</f><v /></c><c r="D290" s="376"><f>D289</f><v /></c><c r="E290" s="377"><f>E289</f><v /></c><c r="F290" s="13" t="n" /><c r="G290" s="312" t="inlineStr"><is><t>PA25516990</t></is></c><c r="H290" s="313"><f>H289</f><v /></c><c r="I290" s="38"><f>I289</f><v /></c><c r="J290" s="314"><f>J289</f><v /></c><c r="K290" s="378"><f>K289</f><v /></c><c r="L290" s="378"><f>L289</f><v /></c><c r="M290" s="379" t="n"><v>112.52</v></c><c r="N290" s="379" t="n"><v>212.28</v></c><c r="O290" s="380"><f>O289</f><v /></c><c r="P290" s="381"><f>P289</f><v /></c><c r="Q290" s="382"><f>LEFT(P290,1)</f><v /></c><c r="R290" s="382"><f>RIGHT(P290,6)</f><v /></c><c r="S290" s="382"><f>+(Q290*60+R290)/(60*60)</f><v /></c><c r="T290" s="383"><f>+O290/S290</f><v /></c><c r="U290" s="384"><f>+(((N290-M290-O290)/O290)*100)</f><v /></c><c r="V290" s="317"><f>V289</f><v /></c><c r="W290" s="378"><f>W289</f><v /></c><c r="X290" s="378"><f>X289</f><v /></c><c r="Y290" s="379" t="n"><v>217.76</v></c><c r="Z290" s="379" t="n"><v>227.78</v></c><c r="AA290" s="386"><f>AA289</f><v /></c><c r="AB290" s="387"><f>AB289</f><v /></c><c r="AC290" s="382"><f>LEFT(AB290,2)</f><v /></c><c r="AD290" s="382"><f>RIGHT(AB290,6)</f><v /></c><c r="AE290" s="382"><f>+(AC290*60+AD290)/(60*60)</f><v /></c><c r="AF290" s="383"><f>+AA290/AE290</f><v /></c><c r="AG290" s="321"><f>+(((Z290-Y290-AA290)/AA290)*100)</f><v /></c><c r="AH290" s="317"><f>AH289</f><v /></c><c r="AI290" s="378"><f>AI289</f><v /></c><c r="AJ290" s="378"><f>AJ289</f><v /></c><c r="AK290" s="379"><f>Z290</f><v /></c><c r="AL290" s="379" t="n"><v>232.93</v></c><c r="AM290" s="388"><f>AM289</f><v /></c><c r="AN290" s="381"><f>AN289</f><v /></c><c r="AO290" s="382"><f>LEFT(AN290,2)</f><v /></c><c r="AP290" s="382"><f>RIGHT(AN290,6)</f><v /></c><c r="AQ290" s="382"><f>+(AO290*60+AP290)/(60*60)</f><v /></c><c r="AR290" s="383"><f>+AM290/AQ290</f><v /></c><c r="AS290" s="321"><f>+(((AL290-AK290-AM290)/AM290)*100)</f><v /></c><c r="AT290" s="389"><f>IF(I290&gt;=1,"NO CONFORME",IF(BK290="SIGDIFERENTES",BC290,BL290))</f><v /></c><c r="AU290" s="372"><f>B290=C290</f><v /></c><c r="AV290" s="372"><f>N290&lt;Y290</f><v /></c><c r="AW290" s="372"><f>Z290&lt;=AK290</f><v /></c><c r="AX290" s="372"><f>IF(I290&gt;=1,"Qcorrecto",IF(AND(AY290="aceptable",AZ290="aceptable",BA290="aceptable"),"Qcorrecto","Qincorrecto"))</f><v /></c><c r="AY290" s="390"><f>IF(AR290&lt;$AH$6,"error",IF(AR290&gt;$AH$6*1.1,"error","aceptable"))</f><v /></c><c r="AZ290" s="390"><f>IF(AF290&lt;$V$6,"error",IF(AF290&gt;$V$6*1.1,"error","aceptable"))</f><v /></c><c r="BA290" s="390"><f>IF(T290&lt;$J$6*0.9,"error",IF(T290&gt;$J$6,"error","aceptable"))</f><v /></c><c r="BB290" s="25"><f>(IF(ABS(U290)&lt;1.05,"CONFORME",IF(ABS(AG290)&lt;1.05,"CONFORME",IF(ABS(AS290)&lt;2.55,"CONFORME","NO CONFORME"))))</f><v /></c><c r="BC290" s="5"><f>(IF(ABS(U290)&gt;2.05,"NO CONFORME",IF(ABS(AG290)&gt;2.05,"NO CONFORME",IF(ABS(AS290)&gt;5.05,"NO CONFORME","CONFORME"))))</f><v /></c><c r="BD290" s="374"><f>SIGN(U290)</f><v /></c><c r="BE290" s="374"><f>SIGN(AG290)</f><v /></c><c r="BF290" s="374"><f>SIGN(AS290)</f><v /></c><c r="BG290" s="374"><f>CONCATENATE(BD290,BE290,BF290)</f><v /></c><c r="BH290" s="374"><f>IF(BG290="111","SI","SD")</f><v /></c><c r="BI290" s="374"><f>IF(BG290="-1-1-1","SI","SD")</f><v /></c><c r="BJ290" s="374"><f>OR(BH290="SI",BI290="SI")</f><v /></c><c r="BK290" s="374"><f>IF(BJ290=FALSE,"SIGDIFERENTES","SIGIGUALES")</f><v /></c><c r="BL290" s="390"><f>IF(BC290="NO CONFORME","NO CONFORME",IF(BB290="CONFORME","CONFORME","NO CONFORME"))</f><v /></c></row><row r="291" ht="14.4" customHeight="1" thickBot="1"><c r="A291" s="443" t="n"><v>283</v></c><c r="B291" s="375"><f>B290</f><v /></c><c r="C291" s="375"><f>C290</f><v /></c><c r="D291" s="376"><f>D290</f><v /></c><c r="E291" s="377"><f>E290</f><v /></c><c r="F291" s="13" t="n" /><c r="G291" s="312" t="inlineStr"><is><t>PA25516991</t></is></c><c r="H291" s="313"><f>H290</f><v /></c><c r="I291" s="38"><f>I290</f><v /></c><c r="J291" s="314"><f>J290</f><v /></c><c r="K291" s="378"><f>K290</f><v /></c><c r="L291" s="378"><f>L290</f><v /></c><c r="M291" s="379" t="n"><v>111.21</v></c><c r="N291" s="379" t="n"><v>210.42</v></c><c r="O291" s="380"><f>O290</f><v /></c><c r="P291" s="381"><f>P290</f><v /></c><c r="Q291" s="382"><f>LEFT(P291,1)</f><v /></c><c r="R291" s="382"><f>RIGHT(P291,6)</f><v /></c><c r="S291" s="382"><f>+(Q291*60+R291)/(60*60)</f><v /></c><c r="T291" s="383"><f>+O291/S291</f><v /></c><c r="U291" s="384"><f>+(((N291-M291-O291)/O291)*100)</f><v /></c><c r="V291" s="317"><f>V290</f><v /></c><c r="W291" s="378"><f>W290</f><v /></c><c r="X291" s="378"><f>X290</f><v /></c><c r="Y291" s="379" t="n"><v>215.89</v></c><c r="Z291" s="379" t="n"><v>225.86</v></c><c r="AA291" s="386"><f>AA290</f><v /></c><c r="AB291" s="387"><f>AB290</f><v /></c><c r="AC291" s="382"><f>LEFT(AB291,2)</f><v /></c><c r="AD291" s="382"><f>RIGHT(AB291,6)</f><v /></c><c r="AE291" s="382"><f>+(AC291*60+AD291)/(60*60)</f><v /></c><c r="AF291" s="383"><f>+AA291/AE291</f><v /></c><c r="AG291" s="321"><f>+(((Z291-Y291-AA291)/AA291)*100)</f><v /></c><c r="AH291" s="317"><f>AH290</f><v /></c><c r="AI291" s="378"><f>AI290</f><v /></c><c r="AJ291" s="378"><f>AJ290</f><v /></c><c r="AK291" s="379"><f>Z291</f><v /></c><c r="AL291" s="379" t="n"><v>231</v></c><c r="AM291" s="388"><f>AM290</f><v /></c><c r="AN291" s="381"><f>AN290</f><v /></c><c r="AO291" s="382"><f>LEFT(AN291,2)</f><v /></c><c r="AP291" s="382"><f>RIGHT(AN291,6)</f><v /></c><c r="AQ291" s="382"><f>+(AO291*60+AP291)/(60*60)</f><v /></c><c r="AR291" s="383"><f>+AM291/AQ291</f><v /></c><c r="AS291" s="321"><f>+(((AL291-AK291-AM291)/AM291)*100)</f><v /></c><c r="AT291" s="389"><f>IF(I291&gt;=1,"NO CONFORME",IF(BK291="SIGDIFERENTES",BC291,BL291))</f><v /></c><c r="AU291" s="372"><f>B291=C291</f><v /></c><c r="AV291" s="372"><f>N291&lt;Y291</f><v /></c><c r="AW291" s="372"><f>Z291&lt;=AK291</f><v /></c><c r="AX291" s="372"><f>IF(I291&gt;=1,"Qcorrecto",IF(AND(AY291="aceptable",AZ291="aceptable",BA291="aceptable"),"Qcorrecto","Qincorrecto"))</f><v /></c><c r="AY291" s="390"><f>IF(AR291&lt;$AH$6,"error",IF(AR291&gt;$AH$6*1.1,"error","aceptable"))</f><v /></c><c r="AZ291" s="390"><f>IF(AF291&lt;$V$6,"error",IF(AF291&gt;$V$6*1.1,"error","aceptable"))</f><v /></c><c r="BA291" s="390"><f>IF(T291&lt;$J$6*0.9,"error",IF(T291&gt;$J$6,"error","aceptable"))</f><v /></c><c r="BB291" s="25"><f>(IF(ABS(U291)&lt;1.05,"CONFORME",IF(ABS(AG291)&lt;1.05,"CONFORME",IF(ABS(AS291)&lt;2.55,"CONFORME","NO CONFORME"))))</f><v /></c><c r="BC291" s="5"><f>(IF(ABS(U291)&gt;2.05,"NO CONFORME",IF(ABS(AG291)&gt;2.05,"NO CONFORME",IF(ABS(AS291)&gt;5.05,"NO CONFORME","CONFORME"))))</f><v /></c><c r="BD291" s="374"><f>SIGN(U291)</f><v /></c><c r="BE291" s="374"><f>SIGN(AG291)</f><v /></c><c r="BF291" s="374"><f>SIGN(AS291)</f><v /></c><c r="BG291" s="374"><f>CONCATENATE(BD291,BE291,BF291)</f><v /></c><c r="BH291" s="374"><f>IF(BG291="111","SI","SD")</f><v /></c><c r="BI291" s="374"><f>IF(BG291="-1-1-1","SI","SD")</f><v /></c><c r="BJ291" s="374"><f>OR(BH291="SI",BI291="SI")</f><v /></c><c r="BK291" s="374"><f>IF(BJ291=FALSE,"SIGDIFERENTES","SIGIGUALES")</f><v /></c><c r="BL291" s="390"><f>IF(BC291="NO CONFORME","NO CONFORME",IF(BB291="CONFORME","CONFORME","NO CONFORME"))</f><v /></c></row><row r="292" ht="14.4" customHeight="1" thickBot="1"><c r="A292" s="443" t="n"><v>284</v></c><c r="B292" s="375"><f>B291</f><v /></c><c r="C292" s="375"><f>C291</f><v /></c><c r="D292" s="376"><f>D291</f><v /></c><c r="E292" s="377"><f>E291</f><v /></c><c r="F292" s="13" t="n" /><c r="G292" s="312" t="inlineStr"><is><t>PA25516992</t></is></c><c r="H292" s="313"><f>H291</f><v /></c><c r="I292" s="38"><f>I291</f><v /></c><c r="J292" s="314"><f>J291</f><v /></c><c r="K292" s="378"><f>K291</f><v /></c><c r="L292" s="378"><f>L291</f><v /></c><c r="M292" s="379" t="n"><v>111.75</v></c><c r="N292" s="379" t="n"><v>210.86</v></c><c r="O292" s="380"><f>O291</f><v /></c><c r="P292" s="381"><f>P291</f><v /></c><c r="Q292" s="382"><f>LEFT(P292,1)</f><v /></c><c r="R292" s="382"><f>RIGHT(P292,6)</f><v /></c><c r="S292" s="382"><f>+(Q292*60+R292)/(60*60)</f><v /></c><c r="T292" s="383"><f>+O292/S292</f><v /></c><c r="U292" s="384"><f>+(((N292-M292-O292)/O292)*100)</f><v /></c><c r="V292" s="317"><f>V291</f><v /></c><c r="W292" s="378"><f>W291</f><v /></c><c r="X292" s="378"><f>X291</f><v /></c><c r="Y292" s="379" t="n"><v>216.34</v></c><c r="Z292" s="379" t="n"><v>226.33</v></c><c r="AA292" s="386"><f>AA291</f><v /></c><c r="AB292" s="387"><f>AB291</f><v /></c><c r="AC292" s="382"><f>LEFT(AB292,2)</f><v /></c><c r="AD292" s="382"><f>RIGHT(AB292,6)</f><v /></c><c r="AE292" s="382"><f>+(AC292*60+AD292)/(60*60)</f><v /></c><c r="AF292" s="383"><f>+AA292/AE292</f><v /></c><c r="AG292" s="321"><f>+(((Z292-Y292-AA292)/AA292)*100)</f><v /></c><c r="AH292" s="317"><f>AH291</f><v /></c><c r="AI292" s="378"><f>AI291</f><v /></c><c r="AJ292" s="378"><f>AJ291</f><v /></c><c r="AK292" s="379"><f>Z292</f><v /></c><c r="AL292" s="379" t="n"><v>231.44</v></c><c r="AM292" s="388"><f>AM291</f><v /></c><c r="AN292" s="381"><f>AN291</f><v /></c><c r="AO292" s="382"><f>LEFT(AN292,2)</f><v /></c><c r="AP292" s="382"><f>RIGHT(AN292,6)</f><v /></c><c r="AQ292" s="382"><f>+(AO292*60+AP292)/(60*60)</f><v /></c><c r="AR292" s="383"><f>+AM292/AQ292</f><v /></c><c r="AS292" s="321"><f>+(((AL292-AK292-AM292)/AM292)*100)</f><v /></c><c r="AT292" s="389"><f>IF(I292&gt;=1,"NO CONFORME",IF(BK292="SIGDIFERENTES",BC292,BL292))</f><v /></c><c r="AU292" s="372"><f>B292=C292</f><v /></c><c r="AV292" s="372"><f>N292&lt;Y292</f><v /></c><c r="AW292" s="372"><f>Z292&lt;=AK292</f><v /></c><c r="AX292" s="372"><f>IF(I292&gt;=1,"Qcorrecto",IF(AND(AY292="aceptable",AZ292="aceptable",BA292="aceptable"),"Qcorrecto","Qincorrecto"))</f><v /></c><c r="AY292" s="390"><f>IF(AR292&lt;$AH$6,"error",IF(AR292&gt;$AH$6*1.1,"error","aceptable"))</f><v /></c><c r="AZ292" s="390"><f>IF(AF292&lt;$V$6,"error",IF(AF292&gt;$V$6*1.1,"error","aceptable"))</f><v /></c><c r="BA292" s="390"><f>IF(T292&lt;$J$6*0.9,"error",IF(T292&gt;$J$6,"error","aceptable"))</f><v /></c><c r="BB292" s="25"><f>(IF(ABS(U292)&lt;1.05,"CONFORME",IF(ABS(AG292)&lt;1.05,"CONFORME",IF(ABS(AS292)&lt;2.55,"CONFORME","NO CONFORME"))))</f><v /></c><c r="BC292" s="5"><f>(IF(ABS(U292)&gt;2.05,"NO CONFORME",IF(ABS(AG292)&gt;2.05,"NO CONFORME",IF(ABS(AS292)&gt;5.05,"NO CONFORME","CONFORME"))))</f><v /></c><c r="BD292" s="374"><f>SIGN(U292)</f><v /></c><c r="BE292" s="374"><f>SIGN(AG292)</f><v /></c><c r="BF292" s="374"><f>SIGN(AS292)</f><v /></c><c r="BG292" s="374"><f>CONCATENATE(BD292,BE292,BF292)</f><v /></c><c r="BH292" s="374"><f>IF(BG292="111","SI","SD")</f><v /></c><c r="BI292" s="374"><f>IF(BG292="-1-1-1","SI","SD")</f><v /></c><c r="BJ292" s="374"><f>OR(BH292="SI",BI292="SI")</f><v /></c><c r="BK292" s="374"><f>IF(BJ292=FALSE,"SIGDIFERENTES","SIGIGUALES")</f><v /></c><c r="BL292" s="390"><f>IF(BC292="NO CONFORME","NO CONFORME",IF(BB292="CONFORME","CONFORME","NO CONFORME"))</f><v /></c></row><row r="293" ht="14.4" customHeight="1" thickBot="1"><c r="A293" s="443" t="n"><v>285</v></c><c r="B293" s="375"><f>B292</f><v /></c><c r="C293" s="375"><f>C292</f><v /></c><c r="D293" s="376"><f>D292</f><v /></c><c r="E293" s="377"><f>E292</f><v /></c><c r="F293" s="13" t="n" /><c r="G293" s="312" t="inlineStr"><is><t>PA25516993</t></is></c><c r="H293" s="313"><f>H292</f><v /></c><c r="I293" s="38"><f>I292</f><v /></c><c r="J293" s="314"><f>J292</f><v /></c><c r="K293" s="378"><f>K292</f><v /></c><c r="L293" s="378"><f>L292</f><v /></c><c r="M293" s="379" t="n"><v>111.24</v></c><c r="N293" s="379" t="n"><v>210.49</v></c><c r="O293" s="380"><f>O292</f><v /></c><c r="P293" s="381"><f>P292</f><v /></c><c r="Q293" s="382"><f>LEFT(P293,1)</f><v /></c><c r="R293" s="382"><f>RIGHT(P293,6)</f><v /></c><c r="S293" s="382"><f>+(Q293*60+R293)/(60*60)</f><v /></c><c r="T293" s="383"><f>+O293/S293</f><v /></c><c r="U293" s="384"><f>+(((N293-M293-O293)/O293)*100)</f><v /></c><c r="V293" s="317"><f>V292</f><v /></c><c r="W293" s="378"><f>W292</f><v /></c><c r="X293" s="378"><f>X292</f><v /></c><c r="Y293" s="379" t="n"><v>216</v></c><c r="Z293" s="379" t="n"><v>226</v></c><c r="AA293" s="386"><f>AA292</f><v /></c><c r="AB293" s="387"><f>AB292</f><v /></c><c r="AC293" s="382"><f>LEFT(AB293,2)</f><v /></c><c r="AD293" s="382"><f>RIGHT(AB293,6)</f><v /></c><c r="AE293" s="382"><f>+(AC293*60+AD293)/(60*60)</f><v /></c><c r="AF293" s="383"><f>+AA293/AE293</f><v /></c><c r="AG293" s="321"><f>+(((Z293-Y293-AA293)/AA293)*100)</f><v /></c><c r="AH293" s="317"><f>AH292</f><v /></c><c r="AI293" s="378"><f>AI292</f><v /></c><c r="AJ293" s="378"><f>AJ292</f><v /></c><c r="AK293" s="379"><f>Z293</f><v /></c><c r="AL293" s="379" t="n"><v>231.16</v></c><c r="AM293" s="388"><f>AM292</f><v /></c><c r="AN293" s="381"><f>AN292</f><v /></c><c r="AO293" s="382"><f>LEFT(AN293,2)</f><v /></c><c r="AP293" s="382"><f>RIGHT(AN293,6)</f><v /></c><c r="AQ293" s="382"><f>+(AO293*60+AP293)/(60*60)</f><v /></c><c r="AR293" s="383"><f>+AM293/AQ293</f><v /></c><c r="AS293" s="321"><f>+(((AL293-AK293-AM293)/AM293)*100)</f><v /></c><c r="AT293" s="389"><f>IF(I293&gt;=1,"NO CONFORME",IF(BK293="SIGDIFERENTES",BC293,BL293))</f><v /></c><c r="AU293" s="372"><f>B293=C293</f><v /></c><c r="AV293" s="372"><f>N293&lt;Y293</f><v /></c><c r="AW293" s="372"><f>Z293&lt;=AK293</f><v /></c><c r="AX293" s="372"><f>IF(I293&gt;=1,"Qcorrecto",IF(AND(AY293="aceptable",AZ293="aceptable",BA293="aceptable"),"Qcorrecto","Qincorrecto"))</f><v /></c><c r="AY293" s="390"><f>IF(AR293&lt;$AH$6,"error",IF(AR293&gt;$AH$6*1.1,"error","aceptable"))</f><v /></c><c r="AZ293" s="390"><f>IF(AF293&lt;$V$6,"error",IF(AF293&gt;$V$6*1.1,"error","aceptable"))</f><v /></c><c r="BA293" s="390"><f>IF(T293&lt;$J$6*0.9,"error",IF(T293&gt;$J$6,"error","aceptable"))</f><v /></c><c r="BB293" s="25"><f>(IF(ABS(U293)&lt;1.05,"CONFORME",IF(ABS(AG293)&lt;1.05,"CONFORME",IF(ABS(AS293)&lt;2.55,"CONFORME","NO CONFORME"))))</f><v /></c><c r="BC293" s="5"><f>(IF(ABS(U293)&gt;2.05,"NO CONFORME",IF(ABS(AG293)&gt;2.05,"NO CONFORME",IF(ABS(AS293)&gt;5.05,"NO CONFORME","CONFORME"))))</f><v /></c><c r="BD293" s="374"><f>SIGN(U293)</f><v /></c><c r="BE293" s="374"><f>SIGN(AG293)</f><v /></c><c r="BF293" s="374"><f>SIGN(AS293)</f><v /></c><c r="BG293" s="374"><f>CONCATENATE(BD293,BE293,BF293)</f><v /></c><c r="BH293" s="374"><f>IF(BG293="111","SI","SD")</f><v /></c><c r="BI293" s="374"><f>IF(BG293="-1-1-1","SI","SD")</f><v /></c><c r="BJ293" s="374"><f>OR(BH293="SI",BI293="SI")</f><v /></c><c r="BK293" s="374"><f>IF(BJ293=FALSE,"SIGDIFERENTES","SIGIGUALES")</f><v /></c><c r="BL293" s="390"><f>IF(BC293="NO CONFORME","NO CONFORME",IF(BB293="CONFORME","CONFORME","NO CONFORME"))</f><v /></c></row><row r="294" ht="14.4" customHeight="1" thickBot="1"><c r="A294" s="443" t="n"><v>286</v></c><c r="B294" s="375"><f>B293</f><v /></c><c r="C294" s="375"><f>C293</f><v /></c><c r="D294" s="376"><f>D293</f><v /></c><c r="E294" s="377"><f>E293</f><v /></c><c r="F294" s="13" t="n" /><c r="G294" s="312" t="inlineStr"><is><t>PA25516994</t></is></c><c r="H294" s="313"><f>H293</f><v /></c><c r="I294" s="38"><f>I293</f><v /></c><c r="J294" s="314"><f>J293</f><v /></c><c r="K294" s="378"><f>K293</f><v /></c><c r="L294" s="378"><f>L293</f><v /></c><c r="M294" s="379" t="n"><v>111.94</v></c><c r="N294" s="379" t="n"><v>211.5</v></c><c r="O294" s="380"><f>O293</f><v /></c><c r="P294" s="381"><f>P293</f><v /></c><c r="Q294" s="382"><f>LEFT(P294,1)</f><v /></c><c r="R294" s="382"><f>RIGHT(P294,6)</f><v /></c><c r="S294" s="382"><f>+(Q294*60+R294)/(60*60)</f><v /></c><c r="T294" s="383"><f>+O294/S294</f><v /></c><c r="U294" s="384"><f>+(((N294-M294-O294)/O294)*100)</f><v /></c><c r="V294" s="317"><f>V293</f><v /></c><c r="W294" s="378"><f>W293</f><v /></c><c r="X294" s="378"><f>X293</f><v /></c><c r="Y294" s="379" t="n"><v>217</v></c><c r="Z294" s="379" t="n"><v>227.06</v></c><c r="AA294" s="386"><f>AA293</f><v /></c><c r="AB294" s="387"><f>AB293</f><v /></c><c r="AC294" s="382"><f>LEFT(AB294,2)</f><v /></c><c r="AD294" s="382"><f>RIGHT(AB294,6)</f><v /></c><c r="AE294" s="382"><f>+(AC294*60+AD294)/(60*60)</f><v /></c><c r="AF294" s="383"><f>+AA294/AE294</f><v /></c><c r="AG294" s="321"><f>+(((Z294-Y294-AA294)/AA294)*100)</f><v /></c><c r="AH294" s="317"><f>AH293</f><v /></c><c r="AI294" s="378"><f>AI293</f><v /></c><c r="AJ294" s="378"><f>AJ293</f><v /></c><c r="AK294" s="379"><f>Z294</f><v /></c><c r="AL294" s="379" t="n"><v>232.25</v></c><c r="AM294" s="388"><f>AM293</f><v /></c><c r="AN294" s="381"><f>AN293</f><v /></c><c r="AO294" s="382"><f>LEFT(AN294,2)</f><v /></c><c r="AP294" s="382"><f>RIGHT(AN294,6)</f><v /></c><c r="AQ294" s="382"><f>+(AO294*60+AP294)/(60*60)</f><v /></c><c r="AR294" s="383"><f>+AM294/AQ294</f><v /></c><c r="AS294" s="321"><f>+(((AL294-AK294-AM294)/AM294)*100)</f><v /></c><c r="AT294" s="389"><f>IF(I294&gt;=1,"NO CONFORME",IF(BK294="SIGDIFERENTES",BC294,BL294))</f><v /></c><c r="AU294" s="372"><f>B294=C294</f><v /></c><c r="AV294" s="372"><f>N294&lt;Y294</f><v /></c><c r="AW294" s="372"><f>Z294&lt;=AK294</f><v /></c><c r="AX294" s="372"><f>IF(I294&gt;=1,"Qcorrecto",IF(AND(AY294="aceptable",AZ294="aceptable",BA294="aceptable"),"Qcorrecto","Qincorrecto"))</f><v /></c><c r="AY294" s="390"><f>IF(AR294&lt;$AH$6,"error",IF(AR294&gt;$AH$6*1.1,"error","aceptable"))</f><v /></c><c r="AZ294" s="390"><f>IF(AF294&lt;$V$6,"error",IF(AF294&gt;$V$6*1.1,"error","aceptable"))</f><v /></c><c r="BA294" s="390"><f>IF(T294&lt;$J$6*0.9,"error",IF(T294&gt;$J$6,"error","aceptable"))</f><v /></c><c r="BB294" s="25"><f>(IF(ABS(U294)&lt;1.05,"CONFORME",IF(ABS(AG294)&lt;1.05,"CONFORME",IF(ABS(AS294)&lt;2.55,"CONFORME","NO CONFORME"))))</f><v /></c><c r="BC294" s="5"><f>(IF(ABS(U294)&gt;2.05,"NO CONFORME",IF(ABS(AG294)&gt;2.05,"NO CONFORME",IF(ABS(AS294)&gt;5.05,"NO CONFORME","CONFORME"))))</f><v /></c><c r="BD294" s="374"><f>SIGN(U294)</f><v /></c><c r="BE294" s="374"><f>SIGN(AG294)</f><v /></c><c r="BF294" s="374"><f>SIGN(AS294)</f><v /></c><c r="BG294" s="374"><f>CONCATENATE(BD294,BE294,BF294)</f><v /></c><c r="BH294" s="374"><f>IF(BG294="111","SI","SD")</f><v /></c><c r="BI294" s="374"><f>IF(BG294="-1-1-1","SI","SD")</f><v /></c><c r="BJ294" s="374"><f>OR(BH294="SI",BI294="SI")</f><v /></c><c r="BK294" s="374"><f>IF(BJ294=FALSE,"SIGDIFERENTES","SIGIGUALES")</f><v /></c><c r="BL294" s="390"><f>IF(BC294="NO CONFORME","NO CONFORME",IF(BB294="CONFORME","CONFORME","NO CONFORME"))</f><v /></c></row><row r="295" ht="14.4" customHeight="1" thickBot="1"><c r="A295" s="443" t="n"><v>287</v></c><c r="B295" s="375"><f>B294</f><v /></c><c r="C295" s="375"><f>C294</f><v /></c><c r="D295" s="376"><f>D294</f><v /></c><c r="E295" s="377"><f>E294</f><v /></c><c r="F295" s="13" t="n" /><c r="G295" s="312" t="inlineStr"><is><t>PA25516995</t></is></c><c r="H295" s="313"><f>H294</f><v /></c><c r="I295" s="38"><f>I294</f><v /></c><c r="J295" s="314"><f>J294</f><v /></c><c r="K295" s="378"><f>K294</f><v /></c><c r="L295" s="378"><f>L294</f><v /></c><c r="M295" s="379" t="n"><v>111.59</v></c><c r="N295" s="379" t="n"><v>210.56</v></c><c r="O295" s="380"><f>O294</f><v /></c><c r="P295" s="381"><f>P294</f><v /></c><c r="Q295" s="382"><f>LEFT(P295,1)</f><v /></c><c r="R295" s="382"><f>RIGHT(P295,6)</f><v /></c><c r="S295" s="382"><f>+(Q295*60+R295)/(60*60)</f><v /></c><c r="T295" s="383"><f>+O295/S295</f><v /></c><c r="U295" s="384"><f>+(((N295-M295-O295)/O295)*100)</f><v /></c><c r="V295" s="317"><f>V294</f><v /></c><c r="W295" s="378"><f>W294</f><v /></c><c r="X295" s="378"><f>X294</f><v /></c><c r="Y295" s="379" t="n"><v>216.03</v></c><c r="Z295" s="379" t="n"><v>226.02</v></c><c r="AA295" s="386"><f>AA294</f><v /></c><c r="AB295" s="387"><f>AB294</f><v /></c><c r="AC295" s="382"><f>LEFT(AB295,2)</f><v /></c><c r="AD295" s="382"><f>RIGHT(AB295,6)</f><v /></c><c r="AE295" s="382"><f>+(AC295*60+AD295)/(60*60)</f><v /></c><c r="AF295" s="383"><f>+AA295/AE295</f><v /></c><c r="AG295" s="321"><f>+(((Z295-Y295-AA295)/AA295)*100)</f><v /></c><c r="AH295" s="317"><f>AH294</f><v /></c><c r="AI295" s="378"><f>AI294</f><v /></c><c r="AJ295" s="378"><f>AJ294</f><v /></c><c r="AK295" s="379"><f>Z295</f><v /></c><c r="AL295" s="379" t="n"><v>231.18</v></c><c r="AM295" s="388"><f>AM294</f><v /></c><c r="AN295" s="381"><f>AN294</f><v /></c><c r="AO295" s="382"><f>LEFT(AN295,2)</f><v /></c><c r="AP295" s="382"><f>RIGHT(AN295,6)</f><v /></c><c r="AQ295" s="382"><f>+(AO295*60+AP295)/(60*60)</f><v /></c><c r="AR295" s="383"><f>+AM295/AQ295</f><v /></c><c r="AS295" s="321"><f>+(((AL295-AK295-AM295)/AM295)*100)</f><v /></c><c r="AT295" s="389"><f>IF(I295&gt;=1,"NO CONFORME",IF(BK295="SIGDIFERENTES",BC295,BL295))</f><v /></c><c r="AU295" s="372"><f>B295=C295</f><v /></c><c r="AV295" s="372"><f>N295&lt;Y295</f><v /></c><c r="AW295" s="372"><f>Z295&lt;=AK295</f><v /></c><c r="AX295" s="372"><f>IF(I295&gt;=1,"Qcorrecto",IF(AND(AY295="aceptable",AZ295="aceptable",BA295="aceptable"),"Qcorrecto","Qincorrecto"))</f><v /></c><c r="AY295" s="390"><f>IF(AR295&lt;$AH$6,"error",IF(AR295&gt;$AH$6*1.1,"error","aceptable"))</f><v /></c><c r="AZ295" s="390"><f>IF(AF295&lt;$V$6,"error",IF(AF295&gt;$V$6*1.1,"error","aceptable"))</f><v /></c><c r="BA295" s="390"><f>IF(T295&lt;$J$6*0.9,"error",IF(T295&gt;$J$6,"error","aceptable"))</f><v /></c><c r="BB295" s="25"><f>(IF(ABS(U295)&lt;1.05,"CONFORME",IF(ABS(AG295)&lt;1.05,"CONFORME",IF(ABS(AS295)&lt;2.55,"CONFORME","NO CONFORME"))))</f><v /></c><c r="BC295" s="5"><f>(IF(ABS(U295)&gt;2.05,"NO CONFORME",IF(ABS(AG295)&gt;2.05,"NO CONFORME",IF(ABS(AS295)&gt;5.05,"NO CONFORME","CONFORME"))))</f><v /></c><c r="BD295" s="374"><f>SIGN(U295)</f><v /></c><c r="BE295" s="374"><f>SIGN(AG295)</f><v /></c><c r="BF295" s="374"><f>SIGN(AS295)</f><v /></c><c r="BG295" s="374"><f>CONCATENATE(BD295,BE295,BF295)</f><v /></c><c r="BH295" s="374"><f>IF(BG295="111","SI","SD")</f><v /></c><c r="BI295" s="374"><f>IF(BG295="-1-1-1","SI","SD")</f><v /></c><c r="BJ295" s="374"><f>OR(BH295="SI",BI295="SI")</f><v /></c><c r="BK295" s="374"><f>IF(BJ295=FALSE,"SIGDIFERENTES","SIGIGUALES")</f><v /></c><c r="BL295" s="390"><f>IF(BC295="NO CONFORME","NO CONFORME",IF(BB295="CONFORME","CONFORME","NO CONFORME"))</f><v /></c></row><row r="296" ht="14.4" customHeight="1" thickBot="1"><c r="A296" s="443" t="n"><v>288</v></c><c r="B296" s="375"><f>B295</f><v /></c><c r="C296" s="375"><f>C295</f><v /></c><c r="D296" s="376"><f>D295</f><v /></c><c r="E296" s="377"><f>E295</f><v /></c><c r="F296" s="13" t="n" /><c r="G296" s="312" t="inlineStr"><is><t>PA25516996</t></is></c><c r="H296" s="313"><f>H295</f><v /></c><c r="I296" s="38"><f>I295</f><v /></c><c r="J296" s="314"><f>J295</f><v /></c><c r="K296" s="378"><f>K295</f><v /></c><c r="L296" s="378"><f>L295</f><v /></c><c r="M296" s="379" t="n"><v>110.63</v></c><c r="N296" s="379" t="n"><v>210.4</v></c><c r="O296" s="380"><f>O295</f><v /></c><c r="P296" s="381"><f>P295</f><v /></c><c r="Q296" s="382"><f>LEFT(P296,1)</f><v /></c><c r="R296" s="382"><f>RIGHT(P296,6)</f><v /></c><c r="S296" s="382"><f>+(Q296*60+R296)/(60*60)</f><v /></c><c r="T296" s="383"><f>+O296/S296</f><v /></c><c r="U296" s="384"><f>+(((N296-M296-O296)/O296)*100)</f><v /></c><c r="V296" s="317"><f>V295</f><v /></c><c r="W296" s="378"><f>W295</f><v /></c><c r="X296" s="378"><f>X295</f><v /></c><c r="Y296" s="379" t="n"><v>215.9</v></c><c r="Z296" s="379" t="n"><v>225.9</v></c><c r="AA296" s="386"><f>AA295</f><v /></c><c r="AB296" s="387"><f>AB295</f><v /></c><c r="AC296" s="382"><f>LEFT(AB296,2)</f><v /></c><c r="AD296" s="382"><f>RIGHT(AB296,6)</f><v /></c><c r="AE296" s="382"><f>+(AC296*60+AD296)/(60*60)</f><v /></c><c r="AF296" s="383"><f>+AA296/AE296</f><v /></c><c r="AG296" s="321"><f>+(((Z296-Y296-AA296)/AA296)*100)</f><v /></c><c r="AH296" s="317"><f>AH295</f><v /></c><c r="AI296" s="378"><f>AI295</f><v /></c><c r="AJ296" s="378"><f>AJ295</f><v /></c><c r="AK296" s="379"><f>Z296</f><v /></c><c r="AL296" s="379" t="n"><v>231.05</v></c><c r="AM296" s="388"><f>AM295</f><v /></c><c r="AN296" s="381"><f>AN295</f><v /></c><c r="AO296" s="382"><f>LEFT(AN296,2)</f><v /></c><c r="AP296" s="382"><f>RIGHT(AN296,6)</f><v /></c><c r="AQ296" s="382"><f>+(AO296*60+AP296)/(60*60)</f><v /></c><c r="AR296" s="383"><f>+AM296/AQ296</f><v /></c><c r="AS296" s="321"><f>+(((AL296-AK296-AM296)/AM296)*100)</f><v /></c><c r="AT296" s="389"><f>IF(I296&gt;=1,"NO CONFORME",IF(BK296="SIGDIFERENTES",BC296,BL296))</f><v /></c><c r="AU296" s="372"><f>B296=C296</f><v /></c><c r="AV296" s="372"><f>N296&lt;Y296</f><v /></c><c r="AW296" s="372"><f>Z296&lt;=AK296</f><v /></c><c r="AX296" s="372"><f>IF(I296&gt;=1,"Qcorrecto",IF(AND(AY296="aceptable",AZ296="aceptable",BA296="aceptable"),"Qcorrecto","Qincorrecto"))</f><v /></c><c r="AY296" s="390"><f>IF(AR296&lt;$AH$6,"error",IF(AR296&gt;$AH$6*1.1,"error","aceptable"))</f><v /></c><c r="AZ296" s="390"><f>IF(AF296&lt;$V$6,"error",IF(AF296&gt;$V$6*1.1,"error","aceptable"))</f><v /></c><c r="BA296" s="390"><f>IF(T296&lt;$J$6*0.9,"error",IF(T296&gt;$J$6,"error","aceptable"))</f><v /></c><c r="BB296" s="25"><f>(IF(ABS(U296)&lt;1.05,"CONFORME",IF(ABS(AG296)&lt;1.05,"CONFORME",IF(ABS(AS296)&lt;2.55,"CONFORME","NO CONFORME"))))</f><v /></c><c r="BC296" s="5"><f>(IF(ABS(U296)&gt;2.05,"NO CONFORME",IF(ABS(AG296)&gt;2.05,"NO CONFORME",IF(ABS(AS296)&gt;5.05,"NO CONFORME","CONFORME"))))</f><v /></c><c r="BD296" s="374"><f>SIGN(U296)</f><v /></c><c r="BE296" s="374"><f>SIGN(AG296)</f><v /></c><c r="BF296" s="374"><f>SIGN(AS296)</f><v /></c><c r="BG296" s="374"><f>CONCATENATE(BD296,BE296,BF296)</f><v /></c><c r="BH296" s="374"><f>IF(BG296="111","SI","SD")</f><v /></c><c r="BI296" s="374"><f>IF(BG296="-1-1-1","SI","SD")</f><v /></c><c r="BJ296" s="374"><f>OR(BH296="SI",BI296="SI")</f><v /></c><c r="BK296" s="374"><f>IF(BJ296=FALSE,"SIGDIFERENTES","SIGIGUALES")</f><v /></c><c r="BL296" s="390"><f>IF(BC296="NO CONFORME","NO CONFORME",IF(BB296="CONFORME","CONFORME","NO CONFORME"))</f><v /></c></row><row r="297" ht="14.4" customHeight="1" thickBot="1"><c r="A297" s="443" t="n"><v>289</v></c><c r="B297" s="375"><f>B296</f><v /></c><c r="C297" s="375"><f>C296</f><v /></c><c r="D297" s="376"><f>D296</f><v /></c><c r="E297" s="377"><f>E296</f><v /></c><c r="F297" s="13" t="n" /><c r="G297" s="312" t="inlineStr"><is><t>PA25516997</t></is></c><c r="H297" s="313"><f>H296</f><v /></c><c r="I297" s="38"><f>I296</f><v /></c><c r="J297" s="314"><f>J296</f><v /></c><c r="K297" s="378"><f>K296</f><v /></c><c r="L297" s="378"><f>L296</f><v /></c><c r="M297" s="379" t="n"><v>144.84</v></c><c r="N297" s="379" t="n"><v>244.31</v></c><c r="O297" s="380"><f>O296</f><v /></c><c r="P297" s="381"><f>P296</f><v /></c><c r="Q297" s="382"><f>LEFT(P297,1)</f><v /></c><c r="R297" s="382"><f>RIGHT(P297,6)</f><v /></c><c r="S297" s="382"><f>+(Q297*60+R297)/(60*60)</f><v /></c><c r="T297" s="383"><f>+O297/S297</f><v /></c><c r="U297" s="384"><f>+(((N297-M297-O297)/O297)*100)</f><v /></c><c r="V297" s="317"><f>V296</f><v /></c><c r="W297" s="378"><f>W296</f><v /></c><c r="X297" s="378"><f>X296</f><v /></c><c r="Y297" s="379" t="n"><v>249.78</v></c><c r="Z297" s="379" t="n"><v>259.82</v></c><c r="AA297" s="386"><f>AA296</f><v /></c><c r="AB297" s="387"><f>AB296</f><v /></c><c r="AC297" s="382"><f>LEFT(AB297,2)</f><v /></c><c r="AD297" s="382"><f>RIGHT(AB297,6)</f><v /></c><c r="AE297" s="382"><f>+(AC297*60+AD297)/(60*60)</f><v /></c><c r="AF297" s="383"><f>+AA297/AE297</f><v /></c><c r="AG297" s="321"><f>+(((Z297-Y297-AA297)/AA297)*100)</f><v /></c><c r="AH297" s="317"><f>AH296</f><v /></c><c r="AI297" s="378"><f>AI296</f><v /></c><c r="AJ297" s="378"><f>AJ296</f><v /></c><c r="AK297" s="379"><f>Z297</f><v /></c><c r="AL297" s="379" t="n"><v>264.98</v></c><c r="AM297" s="388"><f>AM296</f><v /></c><c r="AN297" s="381"><f>AN296</f><v /></c><c r="AO297" s="382"><f>LEFT(AN297,2)</f><v /></c><c r="AP297" s="382"><f>RIGHT(AN297,6)</f><v /></c><c r="AQ297" s="382"><f>+(AO297*60+AP297)/(60*60)</f><v /></c><c r="AR297" s="383"><f>+AM297/AQ297</f><v /></c><c r="AS297" s="321"><f>+(((AL297-AK297-AM297)/AM297)*100)</f><v /></c><c r="AT297" s="389"><f>IF(I297&gt;=1,"NO CONFORME",IF(BK297="SIGDIFERENTES",BC297,BL297))</f><v /></c><c r="AU297" s="372"><f>B297=C297</f><v /></c><c r="AV297" s="372"><f>N297&lt;Y297</f><v /></c><c r="AW297" s="372"><f>Z297&lt;=AK297</f><v /></c><c r="AX297" s="372"><f>IF(I297&gt;=1,"Qcorrecto",IF(AND(AY297="aceptable",AZ297="aceptable",BA297="aceptable"),"Qcorrecto","Qincorrecto"))</f><v /></c><c r="AY297" s="390"><f>IF(AR297&lt;$AH$6,"error",IF(AR297&gt;$AH$6*1.1,"error","aceptable"))</f><v /></c><c r="AZ297" s="390"><f>IF(AF297&lt;$V$6,"error",IF(AF297&gt;$V$6*1.1,"error","aceptable"))</f><v /></c><c r="BA297" s="390"><f>IF(T297&lt;$J$6*0.9,"error",IF(T297&gt;$J$6,"error","aceptable"))</f><v /></c><c r="BB297" s="25"><f>(IF(ABS(U297)&lt;1.05,"CONFORME",IF(ABS(AG297)&lt;1.05,"CONFORME",IF(ABS(AS297)&lt;2.55,"CONFORME","NO CONFORME"))))</f><v /></c><c r="BC297" s="5"><f>(IF(ABS(U297)&gt;2.05,"NO CONFORME",IF(ABS(AG297)&gt;2.05,"NO CONFORME",IF(ABS(AS297)&gt;5.05,"NO CONFORME","CONFORME"))))</f><v /></c><c r="BD297" s="374"><f>SIGN(U297)</f><v /></c><c r="BE297" s="374"><f>SIGN(AG297)</f><v /></c><c r="BF297" s="374"><f>SIGN(AS297)</f><v /></c><c r="BG297" s="374"><f>CONCATENATE(BD297,BE297,BF297)</f><v /></c><c r="BH297" s="374"><f>IF(BG297="111","SI","SD")</f><v /></c><c r="BI297" s="374"><f>IF(BG297="-1-1-1","SI","SD")</f><v /></c><c r="BJ297" s="374"><f>OR(BH297="SI",BI297="SI")</f><v /></c><c r="BK297" s="374"><f>IF(BJ297=FALSE,"SIGDIFERENTES","SIGIGUALES")</f><v /></c><c r="BL297" s="390"><f>IF(BC297="NO CONFORME","NO CONFORME",IF(BB297="CONFORME","CONFORME","NO CONFORME"))</f><v /></c></row><row r="298" ht="14.4" customHeight="1" thickBot="1"><c r="A298" s="443" t="n"><v>290</v></c><c r="B298" s="375"><f>B297</f><v /></c><c r="C298" s="375"><f>C297</f><v /></c><c r="D298" s="376"><f>D297</f><v /></c><c r="E298" s="377"><f>E297</f><v /></c><c r="F298" s="13" t="n" /><c r="G298" s="312" t="inlineStr"><is><t>PA25516998</t></is></c><c r="H298" s="313"><f>H297</f><v /></c><c r="I298" s="38"><f>I297</f><v /></c><c r="J298" s="314"><f>J297</f><v /></c><c r="K298" s="378"><f>K297</f><v /></c><c r="L298" s="378"><f>L297</f><v /></c><c r="M298" s="379" t="n"><v>108.33</v></c><c r="N298" s="379" t="n"><v>207.59</v></c><c r="O298" s="380"><f>O297</f><v /></c><c r="P298" s="381"><f>P297</f><v /></c><c r="Q298" s="382"><f>LEFT(P298,1)</f><v /></c><c r="R298" s="382"><f>RIGHT(P298,6)</f><v /></c><c r="S298" s="382"><f>+(Q298*60+R298)/(60*60)</f><v /></c><c r="T298" s="383"><f>+O298/S298</f><v /></c><c r="U298" s="384"><f>+(((N298-M298-O298)/O298)*100)</f><v /></c><c r="V298" s="317"><f>V297</f><v /></c><c r="W298" s="378"><f>W297</f><v /></c><c r="X298" s="378"><f>X297</f><v /></c><c r="Y298" s="379" t="n"><v>213.04</v></c><c r="Z298" s="379" t="n"><v>223.08</v></c><c r="AA298" s="386"><f>AA297</f><v /></c><c r="AB298" s="387"><f>AB297</f><v /></c><c r="AC298" s="382"><f>LEFT(AB298,2)</f><v /></c><c r="AD298" s="382"><f>RIGHT(AB298,6)</f><v /></c><c r="AE298" s="382"><f>+(AC298*60+AD298)/(60*60)</f><v /></c><c r="AF298" s="383"><f>+AA298/AE298</f><v /></c><c r="AG298" s="321"><f>+(((Z298-Y298-AA298)/AA298)*100)</f><v /></c><c r="AH298" s="317"><f>AH297</f><v /></c><c r="AI298" s="378"><f>AI297</f><v /></c><c r="AJ298" s="378"><f>AJ297</f><v /></c><c r="AK298" s="379"><f>Z298</f><v /></c><c r="AL298" s="379" t="n"><v>228.1</v></c><c r="AM298" s="388"><f>AM297</f><v /></c><c r="AN298" s="381"><f>AN297</f><v /></c><c r="AO298" s="382"><f>LEFT(AN298,2)</f><v /></c><c r="AP298" s="382"><f>RIGHT(AN298,6)</f><v /></c><c r="AQ298" s="382"><f>+(AO298*60+AP298)/(60*60)</f><v /></c><c r="AR298" s="383"><f>+AM298/AQ298</f><v /></c><c r="AS298" s="321"><f>+(((AL298-AK298-AM298)/AM298)*100)</f><v /></c><c r="AT298" s="389"><f>IF(I298&gt;=1,"NO CONFORME",IF(BK298="SIGDIFERENTES",BC298,BL298))</f><v /></c><c r="AU298" s="372"><f>B298=C298</f><v /></c><c r="AV298" s="372"><f>N298&lt;Y298</f><v /></c><c r="AW298" s="372"><f>Z298&lt;=AK298</f><v /></c><c r="AX298" s="372"><f>IF(I298&gt;=1,"Qcorrecto",IF(AND(AY298="aceptable",AZ298="aceptable",BA298="aceptable"),"Qcorrecto","Qincorrecto"))</f><v /></c><c r="AY298" s="390"><f>IF(AR298&lt;$AH$6,"error",IF(AR298&gt;$AH$6*1.1,"error","aceptable"))</f><v /></c><c r="AZ298" s="390"><f>IF(AF298&lt;$V$6,"error",IF(AF298&gt;$V$6*1.1,"error","aceptable"))</f><v /></c><c r="BA298" s="390"><f>IF(T298&lt;$J$6*0.9,"error",IF(T298&gt;$J$6,"error","aceptable"))</f><v /></c><c r="BB298" s="25"><f>(IF(ABS(U298)&lt;1.05,"CONFORME",IF(ABS(AG298)&lt;1.05,"CONFORME",IF(ABS(AS298)&lt;2.55,"CONFORME","NO CONFORME"))))</f><v /></c><c r="BC298" s="5"><f>(IF(ABS(U298)&gt;2.05,"NO CONFORME",IF(ABS(AG298)&gt;2.05,"NO CONFORME",IF(ABS(AS298)&gt;5.05,"NO CONFORME","CONFORME"))))</f><v /></c><c r="BD298" s="374"><f>SIGN(U298)</f><v /></c><c r="BE298" s="374"><f>SIGN(AG298)</f><v /></c><c r="BF298" s="374"><f>SIGN(AS298)</f><v /></c><c r="BG298" s="374"><f>CONCATENATE(BD298,BE298,BF298)</f><v /></c><c r="BH298" s="374"><f>IF(BG298="111","SI","SD")</f><v /></c><c r="BI298" s="374"><f>IF(BG298="-1-1-1","SI","SD")</f><v /></c><c r="BJ298" s="374"><f>OR(BH298="SI",BI298="SI")</f><v /></c><c r="BK298" s="374"><f>IF(BJ298=FALSE,"SIGDIFERENTES","SIGIGUALES")</f><v /></c><c r="BL298" s="390"><f>IF(BC298="NO CONFORME","NO CONFORME",IF(BB298="CONFORME","CONFORME","NO CONFORME"))</f><v /></c></row><row r="299" ht="15" customHeight="1" thickBot="1"><c r="A299" s="445" t="n"><v>291</v></c><c r="B299" s="392"><f>B298</f><v /></c><c r="C299" s="392"><f>C298</f><v /></c><c r="D299" s="393"><f>D298</f><v /></c><c r="E299" s="394"><f>E298</f><v /></c><c r="F299" s="52" t="n" /><c r="G299" s="325" t="inlineStr"><is><t>PA25516999</t></is></c><c r="H299" s="326"><f>H298</f><v /></c><c r="I299" s="98"><f>I298</f><v /></c><c r="J299" s="327"><f>J298</f><v /></c><c r="K299" s="396"><f>K298</f><v /></c><c r="L299" s="396"><f>L298</f><v /></c><c r="M299" s="397" t="n"><v>110.25</v></c><c r="N299" s="397" t="n"><v>209.76</v></c><c r="O299" s="398"><f>O298</f><v /></c><c r="P299" s="399"><f>P298</f><v /></c><c r="Q299" s="400"><f>LEFT(P299,1)</f><v /></c><c r="R299" s="400"><f>RIGHT(P299,6)</f><v /></c><c r="S299" s="400"><f>+(Q299*60+R299)/(60*60)</f><v /></c><c r="T299" s="401"><f>+O299/S299</f><v /></c><c r="U299" s="402"><f>+(((N299-M299-O299)/O299)*100)</f><v /></c><c r="V299" s="329"><f>V298</f><v /></c><c r="W299" s="396"><f>W298</f><v /></c><c r="X299" s="396"><f>X298</f><v /></c><c r="Y299" s="397" t="n"><v>215.28</v></c><c r="Z299" s="397" t="n"><v>225.33</v></c><c r="AA299" s="404"><f>AA298</f><v /></c><c r="AB299" s="405"><f>AB298</f><v /></c><c r="AC299" s="400"><f>LEFT(AB299,2)</f><v /></c><c r="AD299" s="400"><f>RIGHT(AB299,6)</f><v /></c><c r="AE299" s="400"><f>+(AC299*60+AD299)/(60*60)</f><v /></c><c r="AF299" s="401"><f>+AA299/AE299</f><v /></c><c r="AG299" s="406"><f>+(((Z299-Y299-AA299)/AA299)*100)</f><v /></c><c r="AH299" s="329"><f>AH298</f><v /></c><c r="AI299" s="396"><f>AI298</f><v /></c><c r="AJ299" s="396"><f>AJ298</f><v /></c><c r="AK299" s="397"><f>Z299</f><v /></c><c r="AL299" s="397" t="n"><v>230.43</v></c><c r="AM299" s="407"><f>AM298</f><v /></c><c r="AN299" s="399"><f>AN298</f><v /></c><c r="AO299" s="400"><f>LEFT(AN299,2)</f><v /></c><c r="AP299" s="400"><f>RIGHT(AN299,6)</f><v /></c><c r="AQ299" s="400"><f>+(AO299*60+AP299)/(60*60)</f><v /></c><c r="AR299" s="401"><f>+AM299/AQ299</f><v /></c><c r="AS299" s="406"><f>+(((AL299-AK299-AM299)/AM299)*100)</f><v /></c><c r="AT299" s="408"><f>IF(I299&gt;=1,"NO CONFORME",IF(BK299="SIGDIFERENTES",BC299,BL299))</f><v /></c><c r="AU299" s="409"><f>B299=C299</f><v /></c><c r="AV299" s="409"><f>N299&lt;Y299</f><v /></c><c r="AW299" s="409"><f>Z299&lt;=AK299</f><v /></c><c r="AX299" s="409"><f>IF(I299&gt;=1,"Qcorrecto",IF(AND(AY299="aceptable",AZ299="aceptable",BA299="aceptable"),"Qcorrecto","Qincorrecto"))</f><v /></c><c r="AY299" s="410"><f>IF(AR299&lt;$AH$6,"error",IF(AR299&gt;$AH$6*1.1,"error","aceptable"))</f><v /></c><c r="AZ299" s="410"><f>IF(AF299&lt;$V$6,"error",IF(AF299&gt;$V$6*1.1,"error","aceptable"))</f><v /></c><c r="BA299" s="410"><f>IF(T299&lt;$J$6*0.9,"error",IF(T299&gt;$J$6,"error","aceptable"))</f><v /></c><c r="BB299" s="411"><f>(IF(ABS(U299)&lt;1.05,"CONFORME",IF(ABS(AG299)&lt;1.05,"CONFORME",IF(ABS(AS299)&lt;2.55,"CONFORME","NO CONFORME"))))</f><v /></c><c r="BC299" s="412"><f>(IF(ABS(U299)&gt;2.05,"NO CONFORME",IF(ABS(AG299)&gt;2.05,"NO CONFORME",IF(ABS(AS299)&gt;5.05,"NO CONFORME","CONFORME"))))</f><v /></c><c r="BD299" s="413"><f>SIGN(U299)</f><v /></c><c r="BE299" s="413"><f>SIGN(AG299)</f><v /></c><c r="BF299" s="413"><f>SIGN(AS299)</f><v /></c><c r="BG299" s="413"><f>CONCATENATE(BD299,BE299,BF299)</f><v /></c><c r="BH299" s="413"><f>IF(BG299="111","SI","SD")</f><v /></c><c r="BI299" s="413"><f>IF(BG299="-1-1-1","SI","SD")</f><v /></c><c r="BJ299" s="413"><f>OR(BH299="SI",BI299="SI")</f><v /></c><c r="BK299" s="413"><f>IF(BJ299=FALSE,"SIGDIFERENTES","SIGIGUALES")</f><v /></c><c r="BL299" s="410"><f>IF(BC299="NO CONFORME","NO CONFORME",IF(BB299="CONFORME","CONFORME","NO CONFORME"))</f><v /></c></row><row r="300" ht="14.4" customHeight="1" thickBot="1"><c r="A300" s="351" t="n"><v>292</v></c><c r="B300" s="352"><f>B299</f><v /></c><c r="C300" s="352"><f>C299</f><v /></c><c r="D300" s="353"><f>D299</f><v /></c><c r="E300" s="354"><f>E299</f><v /></c><c r="F300" s="58" t="n" /><c r="G300" s="300" t="inlineStr"><is><t>PA25517000</t></is></c><c r="H300" s="356"><f>H299</f><v /></c><c r="I300" s="232"><f>I299</f><v /></c><c r="J300" s="357" t="n"><v>20.9</v></c><c r="K300" s="358" t="n"><v>8.332000000000001</v></c><c r="L300" s="358" t="n"><v>0.52</v></c><c r="M300" s="359" t="n"><v>78.34</v></c><c r="N300" s="359" t="n"><v>177.36</v></c><c r="O300" s="360" t="n"><v>100.25</v></c><c r="P300" s="361" t="inlineStr"><is><t>2,30,100</t></is></c><c r="Q300" s="362"><f>LEFT(P300,1)</f><v /></c><c r="R300" s="362"><f>RIGHT(P300,6)</f><v /></c><c r="S300" s="362"><f>+(Q300*60+R300)/(60*60)</f><v /></c><c r="T300" s="363"><f>+O300/S300</f><v /></c><c r="U300" s="364"><f>+(((N300-M300-O300)/O300)*100)</f><v /></c><c r="V300" s="365" t="n"><v>20.7</v></c><c r="W300" s="358" t="n"><v>1.405</v></c><c r="X300" s="358" t="n"><v>1.4</v></c><c r="Y300" s="359" t="n"><v>195.49</v></c><c r="Z300" s="359" t="n"><v>205.53</v></c><c r="AA300" s="367" t="n"><v>10.055</v></c><c r="AB300" s="368" t="inlineStr"><is><t>22,52,040</t></is></c><c r="AC300" s="362"><f>LEFT(AB300,2)</f><v /></c><c r="AD300" s="362"><f>RIGHT(AB300,6)</f><v /></c><c r="AE300" s="362"><f>+(AC300*60+AD300)/(60*60)</f><v /></c><c r="AF300" s="363"><f>+AA300/AE300</f><v /></c><c r="AG300" s="369"><f>+(((Z300-Y300-AA300)/AA300)*100)</f><v /></c><c r="AH300" s="365" t="n"><v>20.6</v></c><c r="AI300" s="358" t="n"><v>1.401</v></c><c r="AJ300" s="358" t="n"><v>1.397</v></c><c r="AK300" s="359"><f>Z300</f><v /></c><c r="AL300" s="359" t="n"><v>210.59</v></c><c r="AM300" s="370" t="n"><v>5.022</v></c><c r="AN300" s="361" t="inlineStr"><is><t>18,16,060</t></is></c><c r="AO300" s="362"><f>LEFT(AN300,2)</f><v /></c><c r="AP300" s="362"><f>RIGHT(AN300,6)</f><v /></c><c r="AQ300" s="362"><f>+(AO300*60+AP300)/(60*60)</f><v /></c><c r="AR300" s="363"><f>+AM300/AQ300</f><v /></c><c r="AS300" s="369"><f>+(((AL300-AK300-AM300)/AM300)*100)</f><v /></c><c r="AT300" s="371"><f>IF(I300&gt;=1,"NO CONFORME",IF(BK300="SIGDIFERENTES",BC300,BL300))</f><v /></c><c r="AU300" s="372"><f>B300=C300</f><v /></c><c r="AV300" s="372"><f>N300&lt;Y300</f><v /></c><c r="AW300" s="372"><f>Z300&lt;=AK300</f><v /></c><c r="AX300" s="372"><f>IF(I300&gt;=1,"Qcorrecto",IF(AND(AY300="aceptable",AZ300="aceptable",BA300="aceptable"),"Qcorrecto","Qincorrecto"))</f><v /></c><c r="AY300" s="373"><f>IF(AR300&lt;$AH$6,"error",IF(AR300&gt;$AH$6*1.1,"error","aceptable"))</f><v /></c><c r="AZ300" s="373"><f>IF(AF300&lt;$V$6,"error",IF(AF300&gt;$V$6*1.1,"error","aceptable"))</f><v /></c><c r="BA300" s="373"><f>IF(T300&lt;$J$6*0.9,"error",IF(T300&gt;$J$6,"error","aceptable"))</f><v /></c><c r="BB300" s="25"><f>(IF(ABS(U300)&lt;1.05,"CONFORME",IF(ABS(AG300)&lt;1.05,"CONFORME",IF(ABS(AS300)&lt;2.55,"CONFORME","NO CONFORME"))))</f><v /></c><c r="BC300" s="5"><f>(IF(ABS(U300)&gt;2.05,"NO CONFORME",IF(ABS(AG300)&gt;2.05,"NO CONFORME",IF(ABS(AS300)&gt;5.05,"NO CONFORME","CONFORME"))))</f><v /></c><c r="BD300" s="374"><f>SIGN(U300)</f><v /></c><c r="BE300" s="374"><f>SIGN(AG300)</f><v /></c><c r="BF300" s="374"><f>SIGN(AS300)</f><v /></c><c r="BG300" s="374"><f>CONCATENATE(BD300,BE300,BF300)</f><v /></c><c r="BH300" s="374"><f>IF(BG300="111","SI","SD")</f><v /></c><c r="BI300" s="374"><f>IF(BG300="-1-1-1","SI","SD")</f><v /></c><c r="BJ300" s="374"><f>OR(BH300="SI",BI300="SI")</f><v /></c><c r="BK300" s="374"><f>IF(BJ300=FALSE,"SIGDIFERENTES","SIGIGUALES")</f><v /></c><c r="BL300" s="373"><f>IF(BC300="NO CONFORME","NO CONFORME",IF(BB300="CONFORME","CONFORME","NO CONFORME"))</f><v /></c></row><row r="301" ht="14.4" customHeight="1" thickBot="1"><c r="A301" s="443" t="n"><v>293</v></c><c r="B301" s="375"><f>B300</f><v /></c><c r="C301" s="375"><f>C300</f><v /></c><c r="D301" s="376"><f>D300</f><v /></c><c r="E301" s="377"><f>E300</f><v /></c><c r="F301" s="13" t="n" /><c r="G301" s="312" t="inlineStr"><is><t>PA25517001</t></is></c><c r="H301" s="313"><f>H300</f><v /></c><c r="I301" s="38"><f>I300</f><v /></c><c r="J301" s="314"><f>J300</f><v /></c><c r="K301" s="378"><f>K300</f><v /></c><c r="L301" s="378"><f>L300</f><v /></c><c r="M301" s="379" t="n"><v>78.48999999999999</v></c><c r="N301" s="379" t="n"><v>177.49</v></c><c r="O301" s="380"><f>O300</f><v /></c><c r="P301" s="381"><f>P300</f><v /></c><c r="Q301" s="382"><f>LEFT(P301,1)</f><v /></c><c r="R301" s="382"><f>RIGHT(P301,6)</f><v /></c><c r="S301" s="382"><f>+(Q301*60+R301)/(60*60)</f><v /></c><c r="T301" s="383"><f>+O301/S301</f><v /></c><c r="U301" s="384"><f>+(((N301-M301-O301)/O301)*100)</f><v /></c><c r="V301" s="317"><f>V300</f><v /></c><c r="W301" s="378"><f>W300</f><v /></c><c r="X301" s="378"><f>X300</f><v /></c><c r="Y301" s="379" t="n"><v>195.52</v></c><c r="Z301" s="379" t="n"><v>205.53</v></c><c r="AA301" s="386"><f>AA300</f><v /></c><c r="AB301" s="387"><f>AB300</f><v /></c><c r="AC301" s="382"><f>LEFT(AB301,2)</f><v /></c><c r="AD301" s="382"><f>RIGHT(AB301,6)</f><v /></c><c r="AE301" s="382"><f>+(AC301*60+AD301)/(60*60)</f><v /></c><c r="AF301" s="383"><f>+AA301/AE301</f><v /></c><c r="AG301" s="321"><f>+(((Z301-Y301-AA301)/AA301)*100)</f><v /></c><c r="AH301" s="317"><f>AH300</f><v /></c><c r="AI301" s="378"><f>AI300</f><v /></c><c r="AJ301" s="378"><f>AJ300</f><v /></c><c r="AK301" s="379"><f>Z301</f><v /></c><c r="AL301" s="379" t="n"><v>210.58</v></c><c r="AM301" s="388"><f>AM300</f><v /></c><c r="AN301" s="381"><f>AN300</f><v /></c><c r="AO301" s="382"><f>LEFT(AN301,2)</f><v /></c><c r="AP301" s="382"><f>RIGHT(AN301,6)</f><v /></c><c r="AQ301" s="382"><f>+(AO301*60+AP301)/(60*60)</f><v /></c><c r="AR301" s="383"><f>+AM301/AQ301</f><v /></c><c r="AS301" s="321"><f>+(((AL301-AK301-AM301)/AM301)*100)</f><v /></c><c r="AT301" s="389"><f>IF(I301&gt;=1,"NO CONFORME",IF(BK301="SIGDIFERENTES",BC301,BL301))</f><v /></c><c r="AU301" s="372"><f>B301=C301</f><v /></c><c r="AV301" s="372"><f>N301&lt;Y301</f><v /></c><c r="AW301" s="372"><f>Z301&lt;=AK301</f><v /></c><c r="AX301" s="372"><f>IF(I301&gt;=1,"Qcorrecto",IF(AND(AY301="aceptable",AZ301="aceptable",BA301="aceptable"),"Qcorrecto","Qincorrecto"))</f><v /></c><c r="AY301" s="390"><f>IF(AR301&lt;$AH$6,"error",IF(AR301&gt;$AH$6*1.1,"error","aceptable"))</f><v /></c><c r="AZ301" s="390"><f>IF(AF301&lt;$V$6,"error",IF(AF301&gt;$V$6*1.1,"error","aceptable"))</f><v /></c><c r="BA301" s="390"><f>IF(T301&lt;$J$6*0.9,"error",IF(T301&gt;$J$6,"error","aceptable"))</f><v /></c><c r="BB301" s="25"><f>(IF(ABS(U301)&lt;1.05,"CONFORME",IF(ABS(AG301)&lt;1.05,"CONFORME",IF(ABS(AS301)&lt;2.55,"CONFORME","NO CONFORME"))))</f><v /></c><c r="BC301" s="5"><f>(IF(ABS(U301)&gt;2.05,"NO CONFORME",IF(ABS(AG301)&gt;2.05,"NO CONFORME",IF(ABS(AS301)&gt;5.05,"NO CONFORME","CONFORME"))))</f><v /></c><c r="BD301" s="374"><f>SIGN(U301)</f><v /></c><c r="BE301" s="374"><f>SIGN(AG301)</f><v /></c><c r="BF301" s="374"><f>SIGN(AS301)</f><v /></c><c r="BG301" s="374"><f>CONCATENATE(BD301,BE301,BF301)</f><v /></c><c r="BH301" s="374"><f>IF(BG301="111","SI","SD")</f><v /></c><c r="BI301" s="374"><f>IF(BG301="-1-1-1","SI","SD")</f><v /></c><c r="BJ301" s="374"><f>OR(BH301="SI",BI301="SI")</f><v /></c><c r="BK301" s="374"><f>IF(BJ301=FALSE,"SIGDIFERENTES","SIGIGUALES")</f><v /></c><c r="BL301" s="390"><f>IF(BC301="NO CONFORME","NO CONFORME",IF(BB301="CONFORME","CONFORME","NO CONFORME"))</f><v /></c></row><row r="302" ht="14.4" customHeight="1" thickBot="1"><c r="A302" s="443" t="n"><v>294</v></c><c r="B302" s="375"><f>B301</f><v /></c><c r="C302" s="375"><f>C301</f><v /></c><c r="D302" s="376"><f>D301</f><v /></c><c r="E302" s="377"><f>E301</f><v /></c><c r="F302" s="13" t="n" /><c r="G302" s="312" t="inlineStr"><is><t>PA25517002</t></is></c><c r="H302" s="313"><f>H301</f><v /></c><c r="I302" s="38"><f>I301</f><v /></c><c r="J302" s="314"><f>J301</f><v /></c><c r="K302" s="378"><f>K301</f><v /></c><c r="L302" s="378"><f>L301</f><v /></c><c r="M302" s="379" t="n"><v>80</v></c><c r="N302" s="379" t="n"><v>179.78</v></c><c r="O302" s="380"><f>O301</f><v /></c><c r="P302" s="381"><f>P301</f><v /></c><c r="Q302" s="382"><f>LEFT(P302,1)</f><v /></c><c r="R302" s="382"><f>RIGHT(P302,6)</f><v /></c><c r="S302" s="382"><f>+(Q302*60+R302)/(60*60)</f><v /></c><c r="T302" s="383"><f>+O302/S302</f><v /></c><c r="U302" s="384"><f>+(((N302-M302-O302)/O302)*100)</f><v /></c><c r="V302" s="317"><f>V301</f><v /></c><c r="W302" s="378"><f>W301</f><v /></c><c r="X302" s="378"><f>X301</f><v /></c><c r="Y302" s="379" t="n"><v>197.94</v></c><c r="Z302" s="379" t="n"><v>208.04</v></c><c r="AA302" s="386"><f>AA301</f><v /></c><c r="AB302" s="387"><f>AB301</f><v /></c><c r="AC302" s="382"><f>LEFT(AB302,2)</f><v /></c><c r="AD302" s="382"><f>RIGHT(AB302,6)</f><v /></c><c r="AE302" s="382"><f>+(AC302*60+AD302)/(60*60)</f><v /></c><c r="AF302" s="383"><f>+AA302/AE302</f><v /></c><c r="AG302" s="321"><f>+(((Z302-Y302-AA302)/AA302)*100)</f><v /></c><c r="AH302" s="317"><f>AH301</f><v /></c><c r="AI302" s="378"><f>AI301</f><v /></c><c r="AJ302" s="378"><f>AJ301</f><v /></c><c r="AK302" s="379"><f>Z302</f><v /></c><c r="AL302" s="379" t="n"><v>213.16</v></c><c r="AM302" s="388"><f>AM301</f><v /></c><c r="AN302" s="381"><f>AN301</f><v /></c><c r="AO302" s="382"><f>LEFT(AN302,2)</f><v /></c><c r="AP302" s="382"><f>RIGHT(AN302,6)</f><v /></c><c r="AQ302" s="382"><f>+(AO302*60+AP302)/(60*60)</f><v /></c><c r="AR302" s="383"><f>+AM302/AQ302</f><v /></c><c r="AS302" s="321"><f>+(((AL302-AK302-AM302)/AM302)*100)</f><v /></c><c r="AT302" s="389"><f>IF(I302&gt;=1,"NO CONFORME",IF(BK302="SIGDIFERENTES",BC302,BL302))</f><v /></c><c r="AU302" s="372"><f>B302=C302</f><v /></c><c r="AV302" s="372"><f>N302&lt;Y302</f><v /></c><c r="AW302" s="372"><f>Z302&lt;=AK302</f><v /></c><c r="AX302" s="372"><f>IF(I302&gt;=1,"Qcorrecto",IF(AND(AY302="aceptable",AZ302="aceptable",BA302="aceptable"),"Qcorrecto","Qincorrecto"))</f><v /></c><c r="AY302" s="390"><f>IF(AR302&lt;$AH$6,"error",IF(AR302&gt;$AH$6*1.1,"error","aceptable"))</f><v /></c><c r="AZ302" s="390"><f>IF(AF302&lt;$V$6,"error",IF(AF302&gt;$V$6*1.1,"error","aceptable"))</f><v /></c><c r="BA302" s="390"><f>IF(T302&lt;$J$6*0.9,"error",IF(T302&gt;$J$6,"error","aceptable"))</f><v /></c><c r="BB302" s="25"><f>(IF(ABS(U302)&lt;1.05,"CONFORME",IF(ABS(AG302)&lt;1.05,"CONFORME",IF(ABS(AS302)&lt;2.55,"CONFORME","NO CONFORME"))))</f><v /></c><c r="BC302" s="5"><f>(IF(ABS(U302)&gt;2.05,"NO CONFORME",IF(ABS(AG302)&gt;2.05,"NO CONFORME",IF(ABS(AS302)&gt;5.05,"NO CONFORME","CONFORME"))))</f><v /></c><c r="BD302" s="374"><f>SIGN(U302)</f><v /></c><c r="BE302" s="374"><f>SIGN(AG302)</f><v /></c><c r="BF302" s="374"><f>SIGN(AS302)</f><v /></c><c r="BG302" s="374"><f>CONCATENATE(BD302,BE302,BF302)</f><v /></c><c r="BH302" s="374"><f>IF(BG302="111","SI","SD")</f><v /></c><c r="BI302" s="374"><f>IF(BG302="-1-1-1","SI","SD")</f><v /></c><c r="BJ302" s="374"><f>OR(BH302="SI",BI302="SI")</f><v /></c><c r="BK302" s="374"><f>IF(BJ302=FALSE,"SIGDIFERENTES","SIGIGUALES")</f><v /></c><c r="BL302" s="390"><f>IF(BC302="NO CONFORME","NO CONFORME",IF(BB302="CONFORME","CONFORME","NO CONFORME"))</f><v /></c></row><row r="303" ht="14.4" customHeight="1" thickBot="1"><c r="A303" s="443" t="n"><v>295</v></c><c r="B303" s="375"><f>B302</f><v /></c><c r="C303" s="375"><f>C302</f><v /></c><c r="D303" s="376"><f>D302</f><v /></c><c r="E303" s="377"><f>E302</f><v /></c><c r="F303" s="13" t="n" /><c r="G303" s="312" t="inlineStr"><is><t>PA25517003</t></is></c><c r="H303" s="313"><f>H302</f><v /></c><c r="I303" s="38"><f>I302</f><v /></c><c r="J303" s="314"><f>J302</f><v /></c><c r="K303" s="378"><f>K302</f><v /></c><c r="L303" s="378"><f>L302</f><v /></c><c r="M303" s="379" t="n"><v>84.13</v></c><c r="N303" s="379" t="n"><v>183.15</v></c><c r="O303" s="380"><f>O302</f><v /></c><c r="P303" s="381"><f>P302</f><v /></c><c r="Q303" s="382"><f>LEFT(P303,1)</f><v /></c><c r="R303" s="382"><f>RIGHT(P303,6)</f><v /></c><c r="S303" s="382"><f>+(Q303*60+R303)/(60*60)</f><v /></c><c r="T303" s="383"><f>+O303/S303</f><v /></c><c r="U303" s="384"><f>+(((N303-M303-O303)/O303)*100)</f><v /></c><c r="V303" s="317"><f>V302</f><v /></c><c r="W303" s="378"><f>W302</f><v /></c><c r="X303" s="378"><f>X302</f><v /></c><c r="Y303" s="379" t="n"><v>201.23</v></c><c r="Z303" s="379" t="n"><v>211.24</v></c><c r="AA303" s="386"><f>AA302</f><v /></c><c r="AB303" s="387"><f>AB302</f><v /></c><c r="AC303" s="382"><f>LEFT(AB303,2)</f><v /></c><c r="AD303" s="382"><f>RIGHT(AB303,6)</f><v /></c><c r="AE303" s="382"><f>+(AC303*60+AD303)/(60*60)</f><v /></c><c r="AF303" s="383"><f>+AA303/AE303</f><v /></c><c r="AG303" s="321"><f>+(((Z303-Y303-AA303)/AA303)*100)</f><v /></c><c r="AH303" s="317"><f>AH302</f><v /></c><c r="AI303" s="378"><f>AI302</f><v /></c><c r="AJ303" s="378"><f>AJ302</f><v /></c><c r="AK303" s="379"><f>Z303</f><v /></c><c r="AL303" s="379" t="n"><v>216.3</v></c><c r="AM303" s="388"><f>AM302</f><v /></c><c r="AN303" s="381"><f>AN302</f><v /></c><c r="AO303" s="382"><f>LEFT(AN303,2)</f><v /></c><c r="AP303" s="382"><f>RIGHT(AN303,6)</f><v /></c><c r="AQ303" s="382"><f>+(AO303*60+AP303)/(60*60)</f><v /></c><c r="AR303" s="383"><f>+AM303/AQ303</f><v /></c><c r="AS303" s="321"><f>+(((AL303-AK303-AM303)/AM303)*100)</f><v /></c><c r="AT303" s="389"><f>IF(I303&gt;=1,"NO CONFORME",IF(BK303="SIGDIFERENTES",BC303,BL303))</f><v /></c><c r="AU303" s="372"><f>B303=C303</f><v /></c><c r="AV303" s="372"><f>N303&lt;Y303</f><v /></c><c r="AW303" s="372"><f>Z303&lt;=AK303</f><v /></c><c r="AX303" s="372"><f>IF(I303&gt;=1,"Qcorrecto",IF(AND(AY303="aceptable",AZ303="aceptable",BA303="aceptable"),"Qcorrecto","Qincorrecto"))</f><v /></c><c r="AY303" s="390"><f>IF(AR303&lt;$AH$6,"error",IF(AR303&gt;$AH$6*1.1,"error","aceptable"))</f><v /></c><c r="AZ303" s="390"><f>IF(AF303&lt;$V$6,"error",IF(AF303&gt;$V$6*1.1,"error","aceptable"))</f><v /></c><c r="BA303" s="390"><f>IF(T303&lt;$J$6*0.9,"error",IF(T303&gt;$J$6,"error","aceptable"))</f><v /></c><c r="BB303" s="25"><f>(IF(ABS(U303)&lt;1.05,"CONFORME",IF(ABS(AG303)&lt;1.05,"CONFORME",IF(ABS(AS303)&lt;2.55,"CONFORME","NO CONFORME"))))</f><v /></c><c r="BC303" s="5"><f>(IF(ABS(U303)&gt;2.05,"NO CONFORME",IF(ABS(AG303)&gt;2.05,"NO CONFORME",IF(ABS(AS303)&gt;5.05,"NO CONFORME","CONFORME"))))</f><v /></c><c r="BD303" s="374"><f>SIGN(U303)</f><v /></c><c r="BE303" s="374"><f>SIGN(AG303)</f><v /></c><c r="BF303" s="374"><f>SIGN(AS303)</f><v /></c><c r="BG303" s="374"><f>CONCATENATE(BD303,BE303,BF303)</f><v /></c><c r="BH303" s="374"><f>IF(BG303="111","SI","SD")</f><v /></c><c r="BI303" s="374"><f>IF(BG303="-1-1-1","SI","SD")</f><v /></c><c r="BJ303" s="374"><f>OR(BH303="SI",BI303="SI")</f><v /></c><c r="BK303" s="374"><f>IF(BJ303=FALSE,"SIGDIFERENTES","SIGIGUALES")</f><v /></c><c r="BL303" s="390"><f>IF(BC303="NO CONFORME","NO CONFORME",IF(BB303="CONFORME","CONFORME","NO CONFORME"))</f><v /></c></row><row r="304" ht="14.4" customHeight="1" thickBot="1"><c r="A304" s="443" t="n"><v>296</v></c><c r="B304" s="375"><f>B303</f><v /></c><c r="C304" s="375"><f>C303</f><v /></c><c r="D304" s="376"><f>D303</f><v /></c><c r="E304" s="377"><f>E303</f><v /></c><c r="F304" s="13" t="n" /><c r="G304" s="312" t="inlineStr"><is><t>PA25517004</t></is></c><c r="H304" s="313"><f>H303</f><v /></c><c r="I304" s="38"><f>I303</f><v /></c><c r="J304" s="314"><f>J303</f><v /></c><c r="K304" s="378"><f>K303</f><v /></c><c r="L304" s="378"><f>L303</f><v /></c><c r="M304" s="379" t="n"><v>83.84</v></c><c r="N304" s="379" t="n"><v>182.58</v></c><c r="O304" s="380"><f>O303</f><v /></c><c r="P304" s="381"><f>P303</f><v /></c><c r="Q304" s="382"><f>LEFT(P304,1)</f><v /></c><c r="R304" s="382"><f>RIGHT(P304,6)</f><v /></c><c r="S304" s="382"><f>+(Q304*60+R304)/(60*60)</f><v /></c><c r="T304" s="383"><f>+O304/S304</f><v /></c><c r="U304" s="384"><f>+(((N304-M304-O304)/O304)*100)</f><v /></c><c r="V304" s="317"><f>V303</f><v /></c><c r="W304" s="378"><f>W303</f><v /></c><c r="X304" s="378"><f>X303</f><v /></c><c r="Y304" s="379" t="n"><v>200.6</v></c><c r="Z304" s="379" t="n"><v>210.62</v></c><c r="AA304" s="386"><f>AA303</f><v /></c><c r="AB304" s="387"><f>AB303</f><v /></c><c r="AC304" s="382"><f>LEFT(AB304,2)</f><v /></c><c r="AD304" s="382"><f>RIGHT(AB304,6)</f><v /></c><c r="AE304" s="382"><f>+(AC304*60+AD304)/(60*60)</f><v /></c><c r="AF304" s="383"><f>+AA304/AE304</f><v /></c><c r="AG304" s="321"><f>+(((Z304-Y304-AA304)/AA304)*100)</f><v /></c><c r="AH304" s="317"><f>AH303</f><v /></c><c r="AI304" s="378"><f>AI303</f><v /></c><c r="AJ304" s="378"><f>AJ303</f><v /></c><c r="AK304" s="379"><f>Z304</f><v /></c><c r="AL304" s="379" t="n"><v>215.68</v></c><c r="AM304" s="388"><f>AM303</f><v /></c><c r="AN304" s="381"><f>AN303</f><v /></c><c r="AO304" s="382"><f>LEFT(AN304,2)</f><v /></c><c r="AP304" s="382"><f>RIGHT(AN304,6)</f><v /></c><c r="AQ304" s="382"><f>+(AO304*60+AP304)/(60*60)</f><v /></c><c r="AR304" s="383"><f>+AM304/AQ304</f><v /></c><c r="AS304" s="321"><f>+(((AL304-AK304-AM304)/AM304)*100)</f><v /></c><c r="AT304" s="389"><f>IF(I304&gt;=1,"NO CONFORME",IF(BK304="SIGDIFERENTES",BC304,BL304))</f><v /></c><c r="AU304" s="372"><f>B304=C304</f><v /></c><c r="AV304" s="372"><f>N304&lt;Y304</f><v /></c><c r="AW304" s="372"><f>Z304&lt;=AK304</f><v /></c><c r="AX304" s="372"><f>IF(I304&gt;=1,"Qcorrecto",IF(AND(AY304="aceptable",AZ304="aceptable",BA304="aceptable"),"Qcorrecto","Qincorrecto"))</f><v /></c><c r="AY304" s="390"><f>IF(AR304&lt;$AH$6,"error",IF(AR304&gt;$AH$6*1.1,"error","aceptable"))</f><v /></c><c r="AZ304" s="390"><f>IF(AF304&lt;$V$6,"error",IF(AF304&gt;$V$6*1.1,"error","aceptable"))</f><v /></c><c r="BA304" s="390"><f>IF(T304&lt;$J$6*0.9,"error",IF(T304&gt;$J$6,"error","aceptable"))</f><v /></c><c r="BB304" s="25"><f>(IF(ABS(U304)&lt;1.05,"CONFORME",IF(ABS(AG304)&lt;1.05,"CONFORME",IF(ABS(AS304)&lt;2.55,"CONFORME","NO CONFORME"))))</f><v /></c><c r="BC304" s="5"><f>(IF(ABS(U304)&gt;2.05,"NO CONFORME",IF(ABS(AG304)&gt;2.05,"NO CONFORME",IF(ABS(AS304)&gt;5.05,"NO CONFORME","CONFORME"))))</f><v /></c><c r="BD304" s="374"><f>SIGN(U304)</f><v /></c><c r="BE304" s="374"><f>SIGN(AG304)</f><v /></c><c r="BF304" s="374"><f>SIGN(AS304)</f><v /></c><c r="BG304" s="374"><f>CONCATENATE(BD304,BE304,BF304)</f><v /></c><c r="BH304" s="374"><f>IF(BG304="111","SI","SD")</f><v /></c><c r="BI304" s="374"><f>IF(BG304="-1-1-1","SI","SD")</f><v /></c><c r="BJ304" s="374"><f>OR(BH304="SI",BI304="SI")</f><v /></c><c r="BK304" s="374"><f>IF(BJ304=FALSE,"SIGDIFERENTES","SIGIGUALES")</f><v /></c><c r="BL304" s="390"><f>IF(BC304="NO CONFORME","NO CONFORME",IF(BB304="CONFORME","CONFORME","NO CONFORME"))</f><v /></c></row><row r="305" ht="14.4" customHeight="1" thickBot="1"><c r="A305" s="443" t="n"><v>297</v></c><c r="B305" s="375"><f>B304</f><v /></c><c r="C305" s="375"><f>C304</f><v /></c><c r="D305" s="376"><f>D304</f><v /></c><c r="E305" s="377"><f>E304</f><v /></c><c r="F305" s="13" t="n" /><c r="G305" s="312" t="inlineStr"><is><t>PA25517005</t></is></c><c r="H305" s="313"><f>H304</f><v /></c><c r="I305" s="38"><f>I304</f><v /></c><c r="J305" s="314"><f>J304</f><v /></c><c r="K305" s="378"><f>K304</f><v /></c><c r="L305" s="378"><f>L304</f><v /></c><c r="M305" s="379" t="n"><v>84.52</v></c><c r="N305" s="379" t="n"><v>183.6</v></c><c r="O305" s="380"><f>O304</f><v /></c><c r="P305" s="381"><f>P304</f><v /></c><c r="Q305" s="382"><f>LEFT(P305,1)</f><v /></c><c r="R305" s="382"><f>RIGHT(P305,6)</f><v /></c><c r="S305" s="382"><f>+(Q305*60+R305)/(60*60)</f><v /></c><c r="T305" s="383"><f>+O305/S305</f><v /></c><c r="U305" s="384"><f>+(((N305-M305-O305)/O305)*100)</f><v /></c><c r="V305" s="317"><f>V304</f><v /></c><c r="W305" s="378"><f>W304</f><v /></c><c r="X305" s="378"><f>X304</f><v /></c><c r="Y305" s="379" t="n"><v>201.62</v></c><c r="Z305" s="379" t="n"><v>211.59</v></c><c r="AA305" s="386"><f>AA304</f><v /></c><c r="AB305" s="387"><f>AB304</f><v /></c><c r="AC305" s="382"><f>LEFT(AB305,2)</f><v /></c><c r="AD305" s="382"><f>RIGHT(AB305,6)</f><v /></c><c r="AE305" s="382"><f>+(AC305*60+AD305)/(60*60)</f><v /></c><c r="AF305" s="383"><f>+AA305/AE305</f><v /></c><c r="AG305" s="321"><f>+(((Z305-Y305-AA305)/AA305)*100)</f><v /></c><c r="AH305" s="317"><f>AH304</f><v /></c><c r="AI305" s="378"><f>AI304</f><v /></c><c r="AJ305" s="378"><f>AJ304</f><v /></c><c r="AK305" s="379"><f>Z305</f><v /></c><c r="AL305" s="379" t="n"><v>216.61</v></c><c r="AM305" s="388"><f>AM304</f><v /></c><c r="AN305" s="381"><f>AN304</f><v /></c><c r="AO305" s="382"><f>LEFT(AN305,2)</f><v /></c><c r="AP305" s="382"><f>RIGHT(AN305,6)</f><v /></c><c r="AQ305" s="382"><f>+(AO305*60+AP305)/(60*60)</f><v /></c><c r="AR305" s="383"><f>+AM305/AQ305</f><v /></c><c r="AS305" s="321"><f>+(((AL305-AK305-AM305)/AM305)*100)</f><v /></c><c r="AT305" s="389"><f>IF(I305&gt;=1,"NO CONFORME",IF(BK305="SIGDIFERENTES",BC305,BL305))</f><v /></c><c r="AU305" s="372"><f>B305=C305</f><v /></c><c r="AV305" s="372"><f>N305&lt;Y305</f><v /></c><c r="AW305" s="372"><f>Z305&lt;=AK305</f><v /></c><c r="AX305" s="372"><f>IF(I305&gt;=1,"Qcorrecto",IF(AND(AY305="aceptable",AZ305="aceptable",BA305="aceptable"),"Qcorrecto","Qincorrecto"))</f><v /></c><c r="AY305" s="390"><f>IF(AR305&lt;$AH$6,"error",IF(AR305&gt;$AH$6*1.1,"error","aceptable"))</f><v /></c><c r="AZ305" s="390"><f>IF(AF305&lt;$V$6,"error",IF(AF305&gt;$V$6*1.1,"error","aceptable"))</f><v /></c><c r="BA305" s="390"><f>IF(T305&lt;$J$6*0.9,"error",IF(T305&gt;$J$6,"error","aceptable"))</f><v /></c><c r="BB305" s="25"><f>(IF(ABS(U305)&lt;1.05,"CONFORME",IF(ABS(AG305)&lt;1.05,"CONFORME",IF(ABS(AS305)&lt;2.55,"CONFORME","NO CONFORME"))))</f><v /></c><c r="BC305" s="5"><f>(IF(ABS(U305)&gt;2.05,"NO CONFORME",IF(ABS(AG305)&gt;2.05,"NO CONFORME",IF(ABS(AS305)&gt;5.05,"NO CONFORME","CONFORME"))))</f><v /></c><c r="BD305" s="374"><f>SIGN(U305)</f><v /></c><c r="BE305" s="374"><f>SIGN(AG305)</f><v /></c><c r="BF305" s="374"><f>SIGN(AS305)</f><v /></c><c r="BG305" s="374"><f>CONCATENATE(BD305,BE305,BF305)</f><v /></c><c r="BH305" s="374"><f>IF(BG305="111","SI","SD")</f><v /></c><c r="BI305" s="374"><f>IF(BG305="-1-1-1","SI","SD")</f><v /></c><c r="BJ305" s="374"><f>OR(BH305="SI",BI305="SI")</f><v /></c><c r="BK305" s="374"><f>IF(BJ305=FALSE,"SIGDIFERENTES","SIGIGUALES")</f><v /></c><c r="BL305" s="390"><f>IF(BC305="NO CONFORME","NO CONFORME",IF(BB305="CONFORME","CONFORME","NO CONFORME"))</f><v /></c></row><row r="306" ht="14.4" customHeight="1" thickBot="1"><c r="A306" s="443" t="n"><v>298</v></c><c r="B306" s="375"><f>B305</f><v /></c><c r="C306" s="375"><f>C305</f><v /></c><c r="D306" s="376"><f>D305</f><v /></c><c r="E306" s="377"><f>E305</f><v /></c><c r="F306" s="13" t="n" /><c r="G306" s="312" t="inlineStr"><is><t>PA25517006</t></is></c><c r="H306" s="313"><f>H305</f><v /></c><c r="I306" s="38"><f>I305</f><v /></c><c r="J306" s="314"><f>J305</f><v /></c><c r="K306" s="378"><f>K305</f><v /></c><c r="L306" s="378"><f>L305</f><v /></c><c r="M306" s="379" t="n"><v>122.43</v></c><c r="N306" s="379" t="n"><v>221.64</v></c><c r="O306" s="380"><f>O305</f><v /></c><c r="P306" s="381"><f>P305</f><v /></c><c r="Q306" s="382"><f>LEFT(P306,1)</f><v /></c><c r="R306" s="382"><f>RIGHT(P306,6)</f><v /></c><c r="S306" s="382"><f>+(Q306*60+R306)/(60*60)</f><v /></c><c r="T306" s="383"><f>+O306/S306</f><v /></c><c r="U306" s="384"><f>+(((N306-M306-O306)/O306)*100)</f><v /></c><c r="V306" s="317"><f>V305</f><v /></c><c r="W306" s="378"><f>W305</f><v /></c><c r="X306" s="378"><f>X305</f><v /></c><c r="Y306" s="379" t="n"><v>239.74</v></c><c r="Z306" s="379" t="n"><v>249.76</v></c><c r="AA306" s="386"><f>AA305</f><v /></c><c r="AB306" s="387"><f>AB305</f><v /></c><c r="AC306" s="382"><f>LEFT(AB306,2)</f><v /></c><c r="AD306" s="382"><f>RIGHT(AB306,6)</f><v /></c><c r="AE306" s="382"><f>+(AC306*60+AD306)/(60*60)</f><v /></c><c r="AF306" s="383"><f>+AA306/AE306</f><v /></c><c r="AG306" s="321"><f>+(((Z306-Y306-AA306)/AA306)*100)</f><v /></c><c r="AH306" s="317"><f>AH305</f><v /></c><c r="AI306" s="378"><f>AI305</f><v /></c><c r="AJ306" s="378"><f>AJ305</f><v /></c><c r="AK306" s="379"><f>Z306</f><v /></c><c r="AL306" s="379" t="n"><v>254.84</v></c><c r="AM306" s="388"><f>AM305</f><v /></c><c r="AN306" s="381"><f>AN305</f><v /></c><c r="AO306" s="382"><f>LEFT(AN306,2)</f><v /></c><c r="AP306" s="382"><f>RIGHT(AN306,6)</f><v /></c><c r="AQ306" s="382"><f>+(AO306*60+AP306)/(60*60)</f><v /></c><c r="AR306" s="383"><f>+AM306/AQ306</f><v /></c><c r="AS306" s="321"><f>+(((AL306-AK306-AM306)/AM306)*100)</f><v /></c><c r="AT306" s="389"><f>IF(I306&gt;=1,"NO CONFORME",IF(BK306="SIGDIFERENTES",BC306,BL306))</f><v /></c><c r="AU306" s="372"><f>B306=C306</f><v /></c><c r="AV306" s="372"><f>N306&lt;Y306</f><v /></c><c r="AW306" s="372"><f>Z306&lt;=AK306</f><v /></c><c r="AX306" s="372"><f>IF(I306&gt;=1,"Qcorrecto",IF(AND(AY306="aceptable",AZ306="aceptable",BA306="aceptable"),"Qcorrecto","Qincorrecto"))</f><v /></c><c r="AY306" s="390"><f>IF(AR306&lt;$AH$6,"error",IF(AR306&gt;$AH$6*1.1,"error","aceptable"))</f><v /></c><c r="AZ306" s="390"><f>IF(AF306&lt;$V$6,"error",IF(AF306&gt;$V$6*1.1,"error","aceptable"))</f><v /></c><c r="BA306" s="390"><f>IF(T306&lt;$J$6*0.9,"error",IF(T306&gt;$J$6,"error","aceptable"))</f><v /></c><c r="BB306" s="25"><f>(IF(ABS(U306)&lt;1.05,"CONFORME",IF(ABS(AG306)&lt;1.05,"CONFORME",IF(ABS(AS306)&lt;2.55,"CONFORME","NO CONFORME"))))</f><v /></c><c r="BC306" s="5"><f>(IF(ABS(U306)&gt;2.05,"NO CONFORME",IF(ABS(AG306)&gt;2.05,"NO CONFORME",IF(ABS(AS306)&gt;5.05,"NO CONFORME","CONFORME"))))</f><v /></c><c r="BD306" s="374"><f>SIGN(U306)</f><v /></c><c r="BE306" s="374"><f>SIGN(AG306)</f><v /></c><c r="BF306" s="374"><f>SIGN(AS306)</f><v /></c><c r="BG306" s="374"><f>CONCATENATE(BD306,BE306,BF306)</f><v /></c><c r="BH306" s="374"><f>IF(BG306="111","SI","SD")</f><v /></c><c r="BI306" s="374"><f>IF(BG306="-1-1-1","SI","SD")</f><v /></c><c r="BJ306" s="374"><f>OR(BH306="SI",BI306="SI")</f><v /></c><c r="BK306" s="374"><f>IF(BJ306=FALSE,"SIGDIFERENTES","SIGIGUALES")</f><v /></c><c r="BL306" s="390"><f>IF(BC306="NO CONFORME","NO CONFORME",IF(BB306="CONFORME","CONFORME","NO CONFORME"))</f><v /></c></row><row r="307" ht="14.4" customHeight="1" thickBot="1"><c r="A307" s="443" t="n"><v>299</v></c><c r="B307" s="375"><f>B306</f><v /></c><c r="C307" s="375"><f>C306</f><v /></c><c r="D307" s="376"><f>D306</f><v /></c><c r="E307" s="377"><f>E306</f><v /></c><c r="F307" s="13" t="n" /><c r="G307" s="312" t="inlineStr"><is><t>PA25517007</t></is></c><c r="H307" s="313"><f>H306</f><v /></c><c r="I307" s="38"><f>I306</f><v /></c><c r="J307" s="314"><f>J306</f><v /></c><c r="K307" s="378"><f>K306</f><v /></c><c r="L307" s="378"><f>L306</f><v /></c><c r="M307" s="379" t="n"><v>83.38</v></c><c r="N307" s="379" t="n"><v>182.23</v></c><c r="O307" s="380"><f>O306</f><v /></c><c r="P307" s="381"><f>P306</f><v /></c><c r="Q307" s="382"><f>LEFT(P307,1)</f><v /></c><c r="R307" s="382"><f>RIGHT(P307,6)</f><v /></c><c r="S307" s="382"><f>+(Q307*60+R307)/(60*60)</f><v /></c><c r="T307" s="383"><f>+O307/S307</f><v /></c><c r="U307" s="384"><f>+(((N307-M307-O307)/O307)*100)</f><v /></c><c r="V307" s="317"><f>V306</f><v /></c><c r="W307" s="378"><f>W306</f><v /></c><c r="X307" s="378"><f>X306</f><v /></c><c r="Y307" s="379" t="n"><v>200.35</v></c><c r="Z307" s="379" t="n"><v>210.36</v></c><c r="AA307" s="386"><f>AA306</f><v /></c><c r="AB307" s="387"><f>AB306</f><v /></c><c r="AC307" s="382"><f>LEFT(AB307,2)</f><v /></c><c r="AD307" s="382"><f>RIGHT(AB307,6)</f><v /></c><c r="AE307" s="382"><f>+(AC307*60+AD307)/(60*60)</f><v /></c><c r="AF307" s="383"><f>+AA307/AE307</f><v /></c><c r="AG307" s="321"><f>+(((Z307-Y307-AA307)/AA307)*100)</f><v /></c><c r="AH307" s="317"><f>AH306</f><v /></c><c r="AI307" s="378"><f>AI306</f><v /></c><c r="AJ307" s="378"><f>AJ306</f><v /></c><c r="AK307" s="379"><f>Z307</f><v /></c><c r="AL307" s="379" t="n"><v>215.4</v></c><c r="AM307" s="388"><f>AM306</f><v /></c><c r="AN307" s="381"><f>AN306</f><v /></c><c r="AO307" s="382"><f>LEFT(AN307,2)</f><v /></c><c r="AP307" s="382"><f>RIGHT(AN307,6)</f><v /></c><c r="AQ307" s="382"><f>+(AO307*60+AP307)/(60*60)</f><v /></c><c r="AR307" s="383"><f>+AM307/AQ307</f><v /></c><c r="AS307" s="321"><f>+(((AL307-AK307-AM307)/AM307)*100)</f><v /></c><c r="AT307" s="389"><f>IF(I307&gt;=1,"NO CONFORME",IF(BK307="SIGDIFERENTES",BC307,BL307))</f><v /></c><c r="AU307" s="372"><f>B307=C307</f><v /></c><c r="AV307" s="372"><f>N307&lt;Y307</f><v /></c><c r="AW307" s="372"><f>Z307&lt;=AK307</f><v /></c><c r="AX307" s="372"><f>IF(I307&gt;=1,"Qcorrecto",IF(AND(AY307="aceptable",AZ307="aceptable",BA307="aceptable"),"Qcorrecto","Qincorrecto"))</f><v /></c><c r="AY307" s="390"><f>IF(AR307&lt;$AH$6,"error",IF(AR307&gt;$AH$6*1.1,"error","aceptable"))</f><v /></c><c r="AZ307" s="390"><f>IF(AF307&lt;$V$6,"error",IF(AF307&gt;$V$6*1.1,"error","aceptable"))</f><v /></c><c r="BA307" s="390"><f>IF(T307&lt;$J$6*0.9,"error",IF(T307&gt;$J$6,"error","aceptable"))</f><v /></c><c r="BB307" s="25"><f>(IF(ABS(U307)&lt;1.05,"CONFORME",IF(ABS(AG307)&lt;1.05,"CONFORME",IF(ABS(AS307)&lt;2.55,"CONFORME","NO CONFORME"))))</f><v /></c><c r="BC307" s="5"><f>(IF(ABS(U307)&gt;2.05,"NO CONFORME",IF(ABS(AG307)&gt;2.05,"NO CONFORME",IF(ABS(AS307)&gt;5.05,"NO CONFORME","CONFORME"))))</f><v /></c><c r="BD307" s="374"><f>SIGN(U307)</f><v /></c><c r="BE307" s="374"><f>SIGN(AG307)</f><v /></c><c r="BF307" s="374"><f>SIGN(AS307)</f><v /></c><c r="BG307" s="374"><f>CONCATENATE(BD307,BE307,BF307)</f><v /></c><c r="BH307" s="374"><f>IF(BG307="111","SI","SD")</f><v /></c><c r="BI307" s="374"><f>IF(BG307="-1-1-1","SI","SD")</f><v /></c><c r="BJ307" s="374"><f>OR(BH307="SI",BI307="SI")</f><v /></c><c r="BK307" s="374"><f>IF(BJ307=FALSE,"SIGDIFERENTES","SIGIGUALES")</f><v /></c><c r="BL307" s="390"><f>IF(BC307="NO CONFORME","NO CONFORME",IF(BB307="CONFORME","CONFORME","NO CONFORME"))</f><v /></c></row><row r="308" ht="14.4" customHeight="1" thickBot="1"><c r="A308" s="443" t="n"><v>300</v></c><c r="B308" s="375"><f>B307</f><v /></c><c r="C308" s="375"><f>C307</f><v /></c><c r="D308" s="376"><f>D307</f><v /></c><c r="E308" s="377"><f>E307</f><v /></c><c r="F308" s="13" t="n" /><c r="G308" s="312" t="inlineStr"><is><t>PA25517008</t></is></c><c r="H308" s="313"><f>H307</f><v /></c><c r="I308" s="38"><f>I307</f><v /></c><c r="J308" s="314"><f>J307</f><v /></c><c r="K308" s="378"><f>K307</f><v /></c><c r="L308" s="378"><f>L307</f><v /></c><c r="M308" s="379" t="n"><v>84.20999999999999</v></c><c r="N308" s="379" t="n"><v>183.61</v></c><c r="O308" s="380"><f>O307</f><v /></c><c r="P308" s="381"><f>P307</f><v /></c><c r="Q308" s="382"><f>LEFT(P308,1)</f><v /></c><c r="R308" s="382"><f>RIGHT(P308,6)</f><v /></c><c r="S308" s="382"><f>+(Q308*60+R308)/(60*60)</f><v /></c><c r="T308" s="383"><f>+O308/S308</f><v /></c><c r="U308" s="384"><f>+(((N308-M308-O308)/O308)*100)</f><v /></c><c r="V308" s="317"><f>V307</f><v /></c><c r="W308" s="378"><f>W307</f><v /></c><c r="X308" s="378"><f>X307</f><v /></c><c r="Y308" s="379" t="n"><v>201.75</v></c><c r="Z308" s="379" t="n"><v>211.8</v></c><c r="AA308" s="386"><f>AA307</f><v /></c><c r="AB308" s="387"><f>AB307</f><v /></c><c r="AC308" s="382"><f>LEFT(AB308,2)</f><v /></c><c r="AD308" s="382"><f>RIGHT(AB308,6)</f><v /></c><c r="AE308" s="382"><f>+(AC308*60+AD308)/(60*60)</f><v /></c><c r="AF308" s="383"><f>+AA308/AE308</f><v /></c><c r="AG308" s="321"><f>+(((Z308-Y308-AA308)/AA308)*100)</f><v /></c><c r="AH308" s="317"><f>AH307</f><v /></c><c r="AI308" s="378"><f>AI307</f><v /></c><c r="AJ308" s="378"><f>AJ307</f><v /></c><c r="AK308" s="379"><f>Z308</f><v /></c><c r="AL308" s="379" t="n"><v>216.88</v></c><c r="AM308" s="388"><f>AM307</f><v /></c><c r="AN308" s="381"><f>AN307</f><v /></c><c r="AO308" s="382"><f>LEFT(AN308,2)</f><v /></c><c r="AP308" s="382"><f>RIGHT(AN308,6)</f><v /></c><c r="AQ308" s="382"><f>+(AO308*60+AP308)/(60*60)</f><v /></c><c r="AR308" s="383"><f>+AM308/AQ308</f><v /></c><c r="AS308" s="321"><f>+(((AL308-AK308-AM308)/AM308)*100)</f><v /></c><c r="AT308" s="389"><f>IF(I308&gt;=1,"NO CONFORME",IF(BK308="SIGDIFERENTES",BC308,BL308))</f><v /></c><c r="AU308" s="372"><f>B308=C308</f><v /></c><c r="AV308" s="372"><f>N308&lt;Y308</f><v /></c><c r="AW308" s="372"><f>Z308&lt;=AK308</f><v /></c><c r="AX308" s="372"><f>IF(I308&gt;=1,"Qcorrecto",IF(AND(AY308="aceptable",AZ308="aceptable",BA308="aceptable"),"Qcorrecto","Qincorrecto"))</f><v /></c><c r="AY308" s="390"><f>IF(AR308&lt;$AH$6,"error",IF(AR308&gt;$AH$6*1.1,"error","aceptable"))</f><v /></c><c r="AZ308" s="390"><f>IF(AF308&lt;$V$6,"error",IF(AF308&gt;$V$6*1.1,"error","aceptable"))</f><v /></c><c r="BA308" s="390"><f>IF(T308&lt;$J$6*0.9,"error",IF(T308&gt;$J$6,"error","aceptable"))</f><v /></c><c r="BB308" s="25"><f>(IF(ABS(U308)&lt;1.05,"CONFORME",IF(ABS(AG308)&lt;1.05,"CONFORME",IF(ABS(AS308)&lt;2.55,"CONFORME","NO CONFORME"))))</f><v /></c><c r="BC308" s="5"><f>(IF(ABS(U308)&gt;2.05,"NO CONFORME",IF(ABS(AG308)&gt;2.05,"NO CONFORME",IF(ABS(AS308)&gt;5.05,"NO CONFORME","CONFORME"))))</f><v /></c><c r="BD308" s="374"><f>SIGN(U308)</f><v /></c><c r="BE308" s="374"><f>SIGN(AG308)</f><v /></c><c r="BF308" s="374"><f>SIGN(AS308)</f><v /></c><c r="BG308" s="374"><f>CONCATENATE(BD308,BE308,BF308)</f><v /></c><c r="BH308" s="374"><f>IF(BG308="111","SI","SD")</f><v /></c><c r="BI308" s="374"><f>IF(BG308="-1-1-1","SI","SD")</f><v /></c><c r="BJ308" s="374"><f>OR(BH308="SI",BI308="SI")</f><v /></c><c r="BK308" s="374"><f>IF(BJ308=FALSE,"SIGDIFERENTES","SIGIGUALES")</f><v /></c><c r="BL308" s="390"><f>IF(BC308="NO CONFORME","NO CONFORME",IF(BB308="CONFORME","CONFORME","NO CONFORME"))</f><v /></c></row><row r="309" ht="14.4" customHeight="1" thickBot="1"><c r="A309" s="443" t="n"><v>301</v></c><c r="B309" s="375"><f>B308</f><v /></c><c r="C309" s="375"><f>C308</f><v /></c><c r="D309" s="376"><f>D308</f><v /></c><c r="E309" s="377"><f>E308</f><v /></c><c r="F309" s="13" t="n" /><c r="G309" s="312" t="inlineStr"><is><t>PA25517009</t></is></c><c r="H309" s="313"><f>H308</f><v /></c><c r="I309" s="38"><f>I308</f><v /></c><c r="J309" s="314"><f>J308</f><v /></c><c r="K309" s="378"><f>K308</f><v /></c><c r="L309" s="378"><f>L308</f><v /></c><c r="M309" s="379" t="n"><v>83.95999999999999</v></c><c r="N309" s="379" t="n"><v>183.18</v></c><c r="O309" s="380"><f>O308</f><v /></c><c r="P309" s="381"><f>P308</f><v /></c><c r="Q309" s="382"><f>LEFT(P309,1)</f><v /></c><c r="R309" s="382"><f>RIGHT(P309,6)</f><v /></c><c r="S309" s="382"><f>+(Q309*60+R309)/(60*60)</f><v /></c><c r="T309" s="383"><f>+O309/S309</f><v /></c><c r="U309" s="384"><f>+(((N309-M309-O309)/O309)*100)</f><v /></c><c r="V309" s="317"><f>V308</f><v /></c><c r="W309" s="378"><f>W308</f><v /></c><c r="X309" s="378"><f>X308</f><v /></c><c r="Y309" s="379" t="n"><v>201.26</v></c><c r="Z309" s="379" t="n"><v>211.3</v></c><c r="AA309" s="386"><f>AA308</f><v /></c><c r="AB309" s="387"><f>AB308</f><v /></c><c r="AC309" s="382"><f>LEFT(AB309,2)</f><v /></c><c r="AD309" s="382"><f>RIGHT(AB309,6)</f><v /></c><c r="AE309" s="382"><f>+(AC309*60+AD309)/(60*60)</f><v /></c><c r="AF309" s="383"><f>+AA309/AE309</f><v /></c><c r="AG309" s="321"><f>+(((Z309-Y309-AA309)/AA309)*100)</f><v /></c><c r="AH309" s="317"><f>AH308</f><v /></c><c r="AI309" s="378"><f>AI308</f><v /></c><c r="AJ309" s="378"><f>AJ308</f><v /></c><c r="AK309" s="379"><f>Z309</f><v /></c><c r="AL309" s="379" t="n"><v>216.38</v></c><c r="AM309" s="388"><f>AM308</f><v /></c><c r="AN309" s="381"><f>AN308</f><v /></c><c r="AO309" s="382"><f>LEFT(AN309,2)</f><v /></c><c r="AP309" s="382"><f>RIGHT(AN309,6)</f><v /></c><c r="AQ309" s="382"><f>+(AO309*60+AP309)/(60*60)</f><v /></c><c r="AR309" s="383"><f>+AM309/AQ309</f><v /></c><c r="AS309" s="321"><f>+(((AL309-AK309-AM309)/AM309)*100)</f><v /></c><c r="AT309" s="389"><f>IF(I309&gt;=1,"NO CONFORME",IF(BK309="SIGDIFERENTES",BC309,BL309))</f><v /></c><c r="AU309" s="372"><f>B309=C309</f><v /></c><c r="AV309" s="372"><f>N309&lt;Y309</f><v /></c><c r="AW309" s="372"><f>Z309&lt;=AK309</f><v /></c><c r="AX309" s="372"><f>IF(I309&gt;=1,"Qcorrecto",IF(AND(AY309="aceptable",AZ309="aceptable",BA309="aceptable"),"Qcorrecto","Qincorrecto"))</f><v /></c><c r="AY309" s="390"><f>IF(AR309&lt;$AH$6,"error",IF(AR309&gt;$AH$6*1.1,"error","aceptable"))</f><v /></c><c r="AZ309" s="390"><f>IF(AF309&lt;$V$6,"error",IF(AF309&gt;$V$6*1.1,"error","aceptable"))</f><v /></c><c r="BA309" s="390"><f>IF(T309&lt;$J$6*0.9,"error",IF(T309&gt;$J$6,"error","aceptable"))</f><v /></c><c r="BB309" s="25"><f>(IF(ABS(U309)&lt;1.05,"CONFORME",IF(ABS(AG309)&lt;1.05,"CONFORME",IF(ABS(AS309)&lt;2.55,"CONFORME","NO CONFORME"))))</f><v /></c><c r="BC309" s="5"><f>(IF(ABS(U309)&gt;2.05,"NO CONFORME",IF(ABS(AG309)&gt;2.05,"NO CONFORME",IF(ABS(AS309)&gt;5.05,"NO CONFORME","CONFORME"))))</f><v /></c><c r="BD309" s="374"><f>SIGN(U309)</f><v /></c><c r="BE309" s="374"><f>SIGN(AG309)</f><v /></c><c r="BF309" s="374"><f>SIGN(AS309)</f><v /></c><c r="BG309" s="374"><f>CONCATENATE(BD309,BE309,BF309)</f><v /></c><c r="BH309" s="374"><f>IF(BG309="111","SI","SD")</f><v /></c><c r="BI309" s="374"><f>IF(BG309="-1-1-1","SI","SD")</f><v /></c><c r="BJ309" s="374"><f>OR(BH309="SI",BI309="SI")</f><v /></c><c r="BK309" s="374"><f>IF(BJ309=FALSE,"SIGDIFERENTES","SIGIGUALES")</f><v /></c><c r="BL309" s="390"><f>IF(BC309="NO CONFORME","NO CONFORME",IF(BB309="CONFORME","CONFORME","NO CONFORME"))</f><v /></c></row><row r="310" ht="14.4" customHeight="1" thickBot="1"><c r="A310" s="443" t="n"><v>302</v></c><c r="B310" s="375"><f>B309</f><v /></c><c r="C310" s="375"><f>C309</f><v /></c><c r="D310" s="376"><f>D309</f><v /></c><c r="E310" s="377"><f>E309</f><v /></c><c r="F310" s="13" t="n" /><c r="G310" s="312" t="inlineStr"><is><t>PA25517010</t></is></c><c r="H310" s="313"><f>H309</f><v /></c><c r="I310" s="38"><f>I309</f><v /></c><c r="J310" s="314"><f>J309</f><v /></c><c r="K310" s="378"><f>K309</f><v /></c><c r="L310" s="378"><f>L309</f><v /></c><c r="M310" s="379" t="n"><v>84.43000000000001</v></c><c r="N310" s="379" t="n"><v>183.89</v></c><c r="O310" s="380"><f>O309</f><v /></c><c r="P310" s="381"><f>P309</f><v /></c><c r="Q310" s="382"><f>LEFT(P310,1)</f><v /></c><c r="R310" s="382"><f>RIGHT(P310,6)</f><v /></c><c r="S310" s="382"><f>+(Q310*60+R310)/(60*60)</f><v /></c><c r="T310" s="383"><f>+O310/S310</f><v /></c><c r="U310" s="384"><f>+(((N310-M310-O310)/O310)*100)</f><v /></c><c r="V310" s="317"><f>V309</f><v /></c><c r="W310" s="378"><f>W309</f><v /></c><c r="X310" s="378"><f>X309</f><v /></c><c r="Y310" s="379" t="n"><v>202.04</v></c><c r="Z310" s="379" t="n"><v>212.1</v></c><c r="AA310" s="386"><f>AA309</f><v /></c><c r="AB310" s="387"><f>AB309</f><v /></c><c r="AC310" s="382"><f>LEFT(AB310,2)</f><v /></c><c r="AD310" s="382"><f>RIGHT(AB310,6)</f><v /></c><c r="AE310" s="382"><f>+(AC310*60+AD310)/(60*60)</f><v /></c><c r="AF310" s="383"><f>+AA310/AE310</f><v /></c><c r="AG310" s="321"><f>+(((Z310-Y310-AA310)/AA310)*100)</f><v /></c><c r="AH310" s="317"><f>AH309</f><v /></c><c r="AI310" s="378"><f>AI309</f><v /></c><c r="AJ310" s="378"><f>AJ309</f><v /></c><c r="AK310" s="379"><f>Z310</f><v /></c><c r="AL310" s="379" t="n"><v>217.19</v></c><c r="AM310" s="388"><f>AM309</f><v /></c><c r="AN310" s="381"><f>AN309</f><v /></c><c r="AO310" s="382"><f>LEFT(AN310,2)</f><v /></c><c r="AP310" s="382"><f>RIGHT(AN310,6)</f><v /></c><c r="AQ310" s="382"><f>+(AO310*60+AP310)/(60*60)</f><v /></c><c r="AR310" s="383"><f>+AM310/AQ310</f><v /></c><c r="AS310" s="321"><f>+(((AL310-AK310-AM310)/AM310)*100)</f><v /></c><c r="AT310" s="389"><f>IF(I310&gt;=1,"NO CONFORME",IF(BK310="SIGDIFERENTES",BC310,BL310))</f><v /></c><c r="AU310" s="372"><f>B310=C310</f><v /></c><c r="AV310" s="372"><f>N310&lt;Y310</f><v /></c><c r="AW310" s="372"><f>Z310&lt;=AK310</f><v /></c><c r="AX310" s="372"><f>IF(I310&gt;=1,"Qcorrecto",IF(AND(AY310="aceptable",AZ310="aceptable",BA310="aceptable"),"Qcorrecto","Qincorrecto"))</f><v /></c><c r="AY310" s="390"><f>IF(AR310&lt;$AH$6,"error",IF(AR310&gt;$AH$6*1.1,"error","aceptable"))</f><v /></c><c r="AZ310" s="390"><f>IF(AF310&lt;$V$6,"error",IF(AF310&gt;$V$6*1.1,"error","aceptable"))</f><v /></c><c r="BA310" s="390"><f>IF(T310&lt;$J$6*0.9,"error",IF(T310&gt;$J$6,"error","aceptable"))</f><v /></c><c r="BB310" s="25"><f>(IF(ABS(U310)&lt;1.05,"CONFORME",IF(ABS(AG310)&lt;1.05,"CONFORME",IF(ABS(AS310)&lt;2.55,"CONFORME","NO CONFORME"))))</f><v /></c><c r="BC310" s="5"><f>(IF(ABS(U310)&gt;2.05,"NO CONFORME",IF(ABS(AG310)&gt;2.05,"NO CONFORME",IF(ABS(AS310)&gt;5.05,"NO CONFORME","CONFORME"))))</f><v /></c><c r="BD310" s="374"><f>SIGN(U310)</f><v /></c><c r="BE310" s="374"><f>SIGN(AG310)</f><v /></c><c r="BF310" s="374"><f>SIGN(AS310)</f><v /></c><c r="BG310" s="374"><f>CONCATENATE(BD310,BE310,BF310)</f><v /></c><c r="BH310" s="374"><f>IF(BG310="111","SI","SD")</f><v /></c><c r="BI310" s="374"><f>IF(BG310="-1-1-1","SI","SD")</f><v /></c><c r="BJ310" s="374"><f>OR(BH310="SI",BI310="SI")</f><v /></c><c r="BK310" s="374"><f>IF(BJ310=FALSE,"SIGDIFERENTES","SIGIGUALES")</f><v /></c><c r="BL310" s="390"><f>IF(BC310="NO CONFORME","NO CONFORME",IF(BB310="CONFORME","CONFORME","NO CONFORME"))</f><v /></c></row><row r="311" ht="14.4" customHeight="1" thickBot="1"><c r="A311" s="443" t="n"><v>303</v></c><c r="B311" s="375"><f>B310</f><v /></c><c r="C311" s="375"><f>C310</f><v /></c><c r="D311" s="376"><f>D310</f><v /></c><c r="E311" s="377"><f>E310</f><v /></c><c r="F311" s="13" t="n" /><c r="G311" s="312" t="inlineStr"><is><t>PA25517011</t></is></c><c r="H311" s="313"><f>H310</f><v /></c><c r="I311" s="38"><f>I310</f><v /></c><c r="J311" s="314"><f>J310</f><v /></c><c r="K311" s="378"><f>K310</f><v /></c><c r="L311" s="378"><f>L310</f><v /></c><c r="M311" s="379" t="n"><v>85.08</v></c><c r="N311" s="379" t="n"><v>184.16</v></c><c r="O311" s="380"><f>O310</f><v /></c><c r="P311" s="381"><f>P310</f><v /></c><c r="Q311" s="382"><f>LEFT(P311,1)</f><v /></c><c r="R311" s="382"><f>RIGHT(P311,6)</f><v /></c><c r="S311" s="382"><f>+(Q311*60+R311)/(60*60)</f><v /></c><c r="T311" s="383"><f>+O311/S311</f><v /></c><c r="U311" s="384"><f>+(((N311-M311-O311)/O311)*100)</f><v /></c><c r="V311" s="317"><f>V310</f><v /></c><c r="W311" s="378"><f>W310</f><v /></c><c r="X311" s="378"><f>X310</f><v /></c><c r="Y311" s="379" t="n"><v>202.24</v></c><c r="Z311" s="379" t="n"><v>212.24</v></c><c r="AA311" s="386"><f>AA310</f><v /></c><c r="AB311" s="387"><f>AB310</f><v /></c><c r="AC311" s="382"><f>LEFT(AB311,2)</f><v /></c><c r="AD311" s="382"><f>RIGHT(AB311,6)</f><v /></c><c r="AE311" s="382"><f>+(AC311*60+AD311)/(60*60)</f><v /></c><c r="AF311" s="383"><f>+AA311/AE311</f><v /></c><c r="AG311" s="321"><f>+(((Z311-Y311-AA311)/AA311)*100)</f><v /></c><c r="AH311" s="317"><f>AH310</f><v /></c><c r="AI311" s="378"><f>AI310</f><v /></c><c r="AJ311" s="378"><f>AJ310</f><v /></c><c r="AK311" s="379"><f>Z311</f><v /></c><c r="AL311" s="379" t="n"><v>217.28</v></c><c r="AM311" s="388"><f>AM310</f><v /></c><c r="AN311" s="381"><f>AN310</f><v /></c><c r="AO311" s="382"><f>LEFT(AN311,2)</f><v /></c><c r="AP311" s="382"><f>RIGHT(AN311,6)</f><v /></c><c r="AQ311" s="382"><f>+(AO311*60+AP311)/(60*60)</f><v /></c><c r="AR311" s="383"><f>+AM311/AQ311</f><v /></c><c r="AS311" s="321"><f>+(((AL311-AK311-AM311)/AM311)*100)</f><v /></c><c r="AT311" s="389"><f>IF(I311&gt;=1,"NO CONFORME",IF(BK311="SIGDIFERENTES",BC311,BL311))</f><v /></c><c r="AU311" s="372"><f>B311=C311</f><v /></c><c r="AV311" s="372"><f>N311&lt;Y311</f><v /></c><c r="AW311" s="372"><f>Z311&lt;=AK311</f><v /></c><c r="AX311" s="372"><f>IF(I311&gt;=1,"Qcorrecto",IF(AND(AY311="aceptable",AZ311="aceptable",BA311="aceptable"),"Qcorrecto","Qincorrecto"))</f><v /></c><c r="AY311" s="390"><f>IF(AR311&lt;$AH$6,"error",IF(AR311&gt;$AH$6*1.1,"error","aceptable"))</f><v /></c><c r="AZ311" s="390"><f>IF(AF311&lt;$V$6,"error",IF(AF311&gt;$V$6*1.1,"error","aceptable"))</f><v /></c><c r="BA311" s="390"><f>IF(T311&lt;$J$6*0.9,"error",IF(T311&gt;$J$6,"error","aceptable"))</f><v /></c><c r="BB311" s="25"><f>(IF(ABS(U311)&lt;1.05,"CONFORME",IF(ABS(AG311)&lt;1.05,"CONFORME",IF(ABS(AS311)&lt;2.55,"CONFORME","NO CONFORME"))))</f><v /></c><c r="BC311" s="5"><f>(IF(ABS(U311)&gt;2.05,"NO CONFORME",IF(ABS(AG311)&gt;2.05,"NO CONFORME",IF(ABS(AS311)&gt;5.05,"NO CONFORME","CONFORME"))))</f><v /></c><c r="BD311" s="374"><f>SIGN(U311)</f><v /></c><c r="BE311" s="374"><f>SIGN(AG311)</f><v /></c><c r="BF311" s="374"><f>SIGN(AS311)</f><v /></c><c r="BG311" s="374"><f>CONCATENATE(BD311,BE311,BF311)</f><v /></c><c r="BH311" s="374"><f>IF(BG311="111","SI","SD")</f><v /></c><c r="BI311" s="374"><f>IF(BG311="-1-1-1","SI","SD")</f><v /></c><c r="BJ311" s="374"><f>OR(BH311="SI",BI311="SI")</f><v /></c><c r="BK311" s="374"><f>IF(BJ311=FALSE,"SIGDIFERENTES","SIGIGUALES")</f><v /></c><c r="BL311" s="390"><f>IF(BC311="NO CONFORME","NO CONFORME",IF(BB311="CONFORME","CONFORME","NO CONFORME"))</f><v /></c></row><row r="312" ht="14.4" customHeight="1" thickBot="1"><c r="A312" s="443" t="n"><v>304</v></c><c r="B312" s="375"><f>B311</f><v /></c><c r="C312" s="375"><f>C311</f><v /></c><c r="D312" s="376"><f>D311</f><v /></c><c r="E312" s="377"><f>E311</f><v /></c><c r="F312" s="13" t="n" /><c r="G312" s="312" t="inlineStr"><is><t>PA25517012</t></is></c><c r="H312" s="313"><f>H311</f><v /></c><c r="I312" s="38"><f>I311</f><v /></c><c r="J312" s="314"><f>J311</f><v /></c><c r="K312" s="378"><f>K311</f><v /></c><c r="L312" s="378"><f>L311</f><v /></c><c r="M312" s="379" t="n"><v>84.23</v></c><c r="N312" s="379" t="n"><v>183.94</v></c><c r="O312" s="380"><f>O311</f><v /></c><c r="P312" s="381"><f>P311</f><v /></c><c r="Q312" s="382"><f>LEFT(P312,1)</f><v /></c><c r="R312" s="382"><f>RIGHT(P312,6)</f><v /></c><c r="S312" s="382"><f>+(Q312*60+R312)/(60*60)</f><v /></c><c r="T312" s="383"><f>+O312/S312</f><v /></c><c r="U312" s="384"><f>+(((N312-M312-O312)/O312)*100)</f><v /></c><c r="V312" s="317"><f>V311</f><v /></c><c r="W312" s="378"><f>W311</f><v /></c><c r="X312" s="378"><f>X311</f><v /></c><c r="Y312" s="379" t="n"><v>202.12</v></c><c r="Z312" s="379" t="n"><v>212.14</v></c><c r="AA312" s="386"><f>AA311</f><v /></c><c r="AB312" s="387"><f>AB311</f><v /></c><c r="AC312" s="382"><f>LEFT(AB312,2)</f><v /></c><c r="AD312" s="382"><f>RIGHT(AB312,6)</f><v /></c><c r="AE312" s="382"><f>+(AC312*60+AD312)/(60*60)</f><v /></c><c r="AF312" s="383"><f>+AA312/AE312</f><v /></c><c r="AG312" s="321"><f>+(((Z312-Y312-AA312)/AA312)*100)</f><v /></c><c r="AH312" s="317"><f>AH311</f><v /></c><c r="AI312" s="378"><f>AI311</f><v /></c><c r="AJ312" s="378"><f>AJ311</f><v /></c><c r="AK312" s="379"><f>Z312</f><v /></c><c r="AL312" s="379" t="n"><v>217.23</v></c><c r="AM312" s="388"><f>AM311</f><v /></c><c r="AN312" s="381"><f>AN311</f><v /></c><c r="AO312" s="382"><f>LEFT(AN312,2)</f><v /></c><c r="AP312" s="382"><f>RIGHT(AN312,6)</f><v /></c><c r="AQ312" s="382"><f>+(AO312*60+AP312)/(60*60)</f><v /></c><c r="AR312" s="383"><f>+AM312/AQ312</f><v /></c><c r="AS312" s="321"><f>+(((AL312-AK312-AM312)/AM312)*100)</f><v /></c><c r="AT312" s="389"><f>IF(I312&gt;=1,"NO CONFORME",IF(BK312="SIGDIFERENTES",BC312,BL312))</f><v /></c><c r="AU312" s="372"><f>B312=C312</f><v /></c><c r="AV312" s="372"><f>N312&lt;Y312</f><v /></c><c r="AW312" s="372"><f>Z312&lt;=AK312</f><v /></c><c r="AX312" s="372"><f>IF(I312&gt;=1,"Qcorrecto",IF(AND(AY312="aceptable",AZ312="aceptable",BA312="aceptable"),"Qcorrecto","Qincorrecto"))</f><v /></c><c r="AY312" s="390"><f>IF(AR312&lt;$AH$6,"error",IF(AR312&gt;$AH$6*1.1,"error","aceptable"))</f><v /></c><c r="AZ312" s="390"><f>IF(AF312&lt;$V$6,"error",IF(AF312&gt;$V$6*1.1,"error","aceptable"))</f><v /></c><c r="BA312" s="390"><f>IF(T312&lt;$J$6*0.9,"error",IF(T312&gt;$J$6,"error","aceptable"))</f><v /></c><c r="BB312" s="25"><f>(IF(ABS(U312)&lt;1.05,"CONFORME",IF(ABS(AG312)&lt;1.05,"CONFORME",IF(ABS(AS312)&lt;2.55,"CONFORME","NO CONFORME"))))</f><v /></c><c r="BC312" s="5"><f>(IF(ABS(U312)&gt;2.05,"NO CONFORME",IF(ABS(AG312)&gt;2.05,"NO CONFORME",IF(ABS(AS312)&gt;5.05,"NO CONFORME","CONFORME"))))</f><v /></c><c r="BD312" s="374"><f>SIGN(U312)</f><v /></c><c r="BE312" s="374"><f>SIGN(AG312)</f><v /></c><c r="BF312" s="374"><f>SIGN(AS312)</f><v /></c><c r="BG312" s="374"><f>CONCATENATE(BD312,BE312,BF312)</f><v /></c><c r="BH312" s="374"><f>IF(BG312="111","SI","SD")</f><v /></c><c r="BI312" s="374"><f>IF(BG312="-1-1-1","SI","SD")</f><v /></c><c r="BJ312" s="374"><f>OR(BH312="SI",BI312="SI")</f><v /></c><c r="BK312" s="374"><f>IF(BJ312=FALSE,"SIGDIFERENTES","SIGIGUALES")</f><v /></c><c r="BL312" s="390"><f>IF(BC312="NO CONFORME","NO CONFORME",IF(BB312="CONFORME","CONFORME","NO CONFORME"))</f><v /></c></row><row r="313" ht="14.4" customHeight="1" thickBot="1"><c r="A313" s="443" t="n"><v>305</v></c><c r="B313" s="375"><f>B312</f><v /></c><c r="C313" s="375"><f>C312</f><v /></c><c r="D313" s="376"><f>D312</f><v /></c><c r="E313" s="377"><f>E312</f><v /></c><c r="F313" s="13" t="n" /><c r="G313" s="312" t="inlineStr"><is><t>PA25517013</t></is></c><c r="H313" s="313"><f>H312</f><v /></c><c r="I313" s="38"><f>I312</f><v /></c><c r="J313" s="314"><f>J312</f><v /></c><c r="K313" s="378"><f>K312</f><v /></c><c r="L313" s="378"><f>L312</f><v /></c><c r="M313" s="379" t="n"><v>155.03</v></c><c r="N313" s="379" t="n"><v>254.24</v></c><c r="O313" s="380"><f>O312</f><v /></c><c r="P313" s="381"><f>P312</f><v /></c><c r="Q313" s="382"><f>LEFT(P313,1)</f><v /></c><c r="R313" s="382"><f>RIGHT(P313,6)</f><v /></c><c r="S313" s="382"><f>+(Q313*60+R313)/(60*60)</f><v /></c><c r="T313" s="383"><f>+O313/S313</f><v /></c><c r="U313" s="384"><f>+(((N313-M313-O313)/O313)*100)</f><v /></c><c r="V313" s="317"><f>V312</f><v /></c><c r="W313" s="378"><f>W312</f><v /></c><c r="X313" s="378"><f>X312</f><v /></c><c r="Y313" s="379" t="n"><v>272.34</v></c><c r="Z313" s="379" t="n"><v>282.32</v></c><c r="AA313" s="386"><f>AA312</f><v /></c><c r="AB313" s="387"><f>AB312</f><v /></c><c r="AC313" s="382"><f>LEFT(AB313,2)</f><v /></c><c r="AD313" s="382"><f>RIGHT(AB313,6)</f><v /></c><c r="AE313" s="382"><f>+(AC313*60+AD313)/(60*60)</f><v /></c><c r="AF313" s="383"><f>+AA313/AE313</f><v /></c><c r="AG313" s="321"><f>+(((Z313-Y313-AA313)/AA313)*100)</f><v /></c><c r="AH313" s="317"><f>AH312</f><v /></c><c r="AI313" s="378"><f>AI312</f><v /></c><c r="AJ313" s="378"><f>AJ312</f><v /></c><c r="AK313" s="379"><f>Z313</f><v /></c><c r="AL313" s="379" t="n"><v>287.34</v></c><c r="AM313" s="388"><f>AM312</f><v /></c><c r="AN313" s="381"><f>AN312</f><v /></c><c r="AO313" s="382"><f>LEFT(AN313,2)</f><v /></c><c r="AP313" s="382"><f>RIGHT(AN313,6)</f><v /></c><c r="AQ313" s="382"><f>+(AO313*60+AP313)/(60*60)</f><v /></c><c r="AR313" s="383"><f>+AM313/AQ313</f><v /></c><c r="AS313" s="321"><f>+(((AL313-AK313-AM313)/AM313)*100)</f><v /></c><c r="AT313" s="389"><f>IF(I313&gt;=1,"NO CONFORME",IF(BK313="SIGDIFERENTES",BC313,BL313))</f><v /></c><c r="AU313" s="372"><f>B313=C313</f><v /></c><c r="AV313" s="372"><f>N313&lt;Y313</f><v /></c><c r="AW313" s="372"><f>Z313&lt;=AK313</f><v /></c><c r="AX313" s="372"><f>IF(I313&gt;=1,"Qcorrecto",IF(AND(AY313="aceptable",AZ313="aceptable",BA313="aceptable"),"Qcorrecto","Qincorrecto"))</f><v /></c><c r="AY313" s="390"><f>IF(AR313&lt;$AH$6,"error",IF(AR313&gt;$AH$6*1.1,"error","aceptable"))</f><v /></c><c r="AZ313" s="390"><f>IF(AF313&lt;$V$6,"error",IF(AF313&gt;$V$6*1.1,"error","aceptable"))</f><v /></c><c r="BA313" s="390"><f>IF(T313&lt;$J$6*0.9,"error",IF(T313&gt;$J$6,"error","aceptable"))</f><v /></c><c r="BB313" s="25"><f>(IF(ABS(U313)&lt;1.05,"CONFORME",IF(ABS(AG313)&lt;1.05,"CONFORME",IF(ABS(AS313)&lt;2.55,"CONFORME","NO CONFORME"))))</f><v /></c><c r="BC313" s="5"><f>(IF(ABS(U313)&gt;2.05,"NO CONFORME",IF(ABS(AG313)&gt;2.05,"NO CONFORME",IF(ABS(AS313)&gt;5.05,"NO CONFORME","CONFORME"))))</f><v /></c><c r="BD313" s="374"><f>SIGN(U313)</f><v /></c><c r="BE313" s="374"><f>SIGN(AG313)</f><v /></c><c r="BF313" s="374"><f>SIGN(AS313)</f><v /></c><c r="BG313" s="374"><f>CONCATENATE(BD313,BE313,BF313)</f><v /></c><c r="BH313" s="374"><f>IF(BG313="111","SI","SD")</f><v /></c><c r="BI313" s="374"><f>IF(BG313="-1-1-1","SI","SD")</f><v /></c><c r="BJ313" s="374"><f>OR(BH313="SI",BI313="SI")</f><v /></c><c r="BK313" s="374"><f>IF(BJ313=FALSE,"SIGDIFERENTES","SIGIGUALES")</f><v /></c><c r="BL313" s="390"><f>IF(BC313="NO CONFORME","NO CONFORME",IF(BB313="CONFORME","CONFORME","NO CONFORME"))</f><v /></c></row><row r="314" ht="14.4" customHeight="1" thickBot="1"><c r="A314" s="443" t="n"><v>306</v></c><c r="B314" s="375"><f>B313</f><v /></c><c r="C314" s="375"><f>C313</f><v /></c><c r="D314" s="376"><f>D313</f><v /></c><c r="E314" s="377"><f>E313</f><v /></c><c r="F314" s="13" t="n" /><c r="G314" s="312" t="inlineStr"><is><t>PA25517014</t></is></c><c r="H314" s="313"><f>H313</f><v /></c><c r="I314" s="38"><f>I313</f><v /></c><c r="J314" s="314"><f>J313</f><v /></c><c r="K314" s="378"><f>K313</f><v /></c><c r="L314" s="378"><f>L313</f><v /></c><c r="M314" s="379" t="n"><v>119.69</v></c><c r="N314" s="379" t="n"><v>218.29</v></c><c r="O314" s="380"><f>O313</f><v /></c><c r="P314" s="381"><f>P313</f><v /></c><c r="Q314" s="382"><f>LEFT(P314,1)</f><v /></c><c r="R314" s="382"><f>RIGHT(P314,6)</f><v /></c><c r="S314" s="382"><f>+(Q314*60+R314)/(60*60)</f><v /></c><c r="T314" s="383"><f>+O314/S314</f><v /></c><c r="U314" s="384"><f>+(((N314-M314-O314)/O314)*100)</f><v /></c><c r="V314" s="317"><f>V313</f><v /></c><c r="W314" s="378"><f>W313</f><v /></c><c r="X314" s="378"><f>X313</f><v /></c><c r="Y314" s="379" t="n"><v>236.33</v></c><c r="Z314" s="379" t="n"><v>246.3</v></c><c r="AA314" s="386"><f>AA313</f><v /></c><c r="AB314" s="387"><f>AB313</f><v /></c><c r="AC314" s="382"><f>LEFT(AB314,2)</f><v /></c><c r="AD314" s="382"><f>RIGHT(AB314,6)</f><v /></c><c r="AE314" s="382"><f>+(AC314*60+AD314)/(60*60)</f><v /></c><c r="AF314" s="383"><f>+AA314/AE314</f><v /></c><c r="AG314" s="321"><f>+(((Z314-Y314-AA314)/AA314)*100)</f><v /></c><c r="AH314" s="317"><f>AH313</f><v /></c><c r="AI314" s="378"><f>AI313</f><v /></c><c r="AJ314" s="378"><f>AJ313</f><v /></c><c r="AK314" s="379"><f>Z314</f><v /></c><c r="AL314" s="379" t="n"><v>251.32</v></c><c r="AM314" s="388"><f>AM313</f><v /></c><c r="AN314" s="381"><f>AN313</f><v /></c><c r="AO314" s="382"><f>LEFT(AN314,2)</f><v /></c><c r="AP314" s="382"><f>RIGHT(AN314,6)</f><v /></c><c r="AQ314" s="382"><f>+(AO314*60+AP314)/(60*60)</f><v /></c><c r="AR314" s="383"><f>+AM314/AQ314</f><v /></c><c r="AS314" s="321"><f>+(((AL314-AK314-AM314)/AM314)*100)</f><v /></c><c r="AT314" s="389"><f>IF(I314&gt;=1,"NO CONFORME",IF(BK314="SIGDIFERENTES",BC314,BL314))</f><v /></c><c r="AU314" s="372"><f>B314=C314</f><v /></c><c r="AV314" s="372"><f>N314&lt;Y314</f><v /></c><c r="AW314" s="372"><f>Z314&lt;=AK314</f><v /></c><c r="AX314" s="372"><f>IF(I314&gt;=1,"Qcorrecto",IF(AND(AY314="aceptable",AZ314="aceptable",BA314="aceptable"),"Qcorrecto","Qincorrecto"))</f><v /></c><c r="AY314" s="390"><f>IF(AR314&lt;$AH$6,"error",IF(AR314&gt;$AH$6*1.1,"error","aceptable"))</f><v /></c><c r="AZ314" s="390"><f>IF(AF314&lt;$V$6,"error",IF(AF314&gt;$V$6*1.1,"error","aceptable"))</f><v /></c><c r="BA314" s="390"><f>IF(T314&lt;$J$6*0.9,"error",IF(T314&gt;$J$6,"error","aceptable"))</f><v /></c><c r="BB314" s="25"><f>(IF(ABS(U314)&lt;1.05,"CONFORME",IF(ABS(AG314)&lt;1.05,"CONFORME",IF(ABS(AS314)&lt;2.55,"CONFORME","NO CONFORME"))))</f><v /></c><c r="BC314" s="5"><f>(IF(ABS(U314)&gt;2.05,"NO CONFORME",IF(ABS(AG314)&gt;2.05,"NO CONFORME",IF(ABS(AS314)&gt;5.05,"NO CONFORME","CONFORME"))))</f><v /></c><c r="BD314" s="374"><f>SIGN(U314)</f><v /></c><c r="BE314" s="374"><f>SIGN(AG314)</f><v /></c><c r="BF314" s="374"><f>SIGN(AS314)</f><v /></c><c r="BG314" s="374"><f>CONCATENATE(BD314,BE314,BF314)</f><v /></c><c r="BH314" s="374"><f>IF(BG314="111","SI","SD")</f><v /></c><c r="BI314" s="374"><f>IF(BG314="-1-1-1","SI","SD")</f><v /></c><c r="BJ314" s="374"><f>OR(BH314="SI",BI314="SI")</f><v /></c><c r="BK314" s="374"><f>IF(BJ314=FALSE,"SIGDIFERENTES","SIGIGUALES")</f><v /></c><c r="BL314" s="390"><f>IF(BC314="NO CONFORME","NO CONFORME",IF(BB314="CONFORME","CONFORME","NO CONFORME"))</f><v /></c></row><row r="315" ht="15" customHeight="1" thickBot="1"><c r="A315" s="445" t="n"><v>307</v></c><c r="B315" s="392"><f>B314</f><v /></c><c r="C315" s="392"><f>C314</f><v /></c><c r="D315" s="393"><f>D314</f><v /></c><c r="E315" s="394"><f>E314</f><v /></c><c r="F315" s="52" t="n" /><c r="G315" s="325" t="inlineStr"><is><t>PA25517015</t></is></c><c r="H315" s="326"><f>H314</f><v /></c><c r="I315" s="98"><f>I314</f><v /></c><c r="J315" s="327"><f>J314</f><v /></c><c r="K315" s="396"><f>K314</f><v /></c><c r="L315" s="396"><f>L314</f><v /></c><c r="M315" s="397" t="n"><v>82.56</v></c><c r="N315" s="397" t="n"><v>181.43</v></c><c r="O315" s="398"><f>O314</f><v /></c><c r="P315" s="399"><f>P314</f><v /></c><c r="Q315" s="400"><f>LEFT(P315,1)</f><v /></c><c r="R315" s="400"><f>RIGHT(P315,6)</f><v /></c><c r="S315" s="400"><f>+(Q315*60+R315)/(60*60)</f><v /></c><c r="T315" s="401"><f>+O315/S315</f><v /></c><c r="U315" s="402"><f>+(((N315-M315-O315)/O315)*100)</f><v /></c><c r="V315" s="329"><f>V314</f><v /></c><c r="W315" s="396"><f>W314</f><v /></c><c r="X315" s="396"><f>X314</f><v /></c><c r="Y315" s="397" t="n"><v>199.5</v></c><c r="Z315" s="397" t="n"><v>209.51</v></c><c r="AA315" s="404"><f>AA314</f><v /></c><c r="AB315" s="405"><f>AB314</f><v /></c><c r="AC315" s="400"><f>LEFT(AB315,2)</f><v /></c><c r="AD315" s="400"><f>RIGHT(AB315,6)</f><v /></c><c r="AE315" s="400"><f>+(AC315*60+AD315)/(60*60)</f><v /></c><c r="AF315" s="401"><f>+AA315/AE315</f><v /></c><c r="AG315" s="406"><f>+(((Z315-Y315-AA315)/AA315)*100)</f><v /></c><c r="AH315" s="329"><f>AH314</f><v /></c><c r="AI315" s="396"><f>AI314</f><v /></c><c r="AJ315" s="396"><f>AJ314</f><v /></c><c r="AK315" s="397"><f>Z315</f><v /></c><c r="AL315" s="397" t="n"><v>214.58</v></c><c r="AM315" s="407"><f>AM314</f><v /></c><c r="AN315" s="399"><f>AN314</f><v /></c><c r="AO315" s="400"><f>LEFT(AN315,2)</f><v /></c><c r="AP315" s="400"><f>RIGHT(AN315,6)</f><v /></c><c r="AQ315" s="400"><f>+(AO315*60+AP315)/(60*60)</f><v /></c><c r="AR315" s="401"><f>+AM315/AQ315</f><v /></c><c r="AS315" s="406"><f>+(((AL315-AK315-AM315)/AM315)*100)</f><v /></c><c r="AT315" s="408"><f>IF(I315&gt;=1,"NO CONFORME",IF(BK315="SIGDIFERENTES",BC315,BL315))</f><v /></c><c r="AU315" s="409"><f>B315=C315</f><v /></c><c r="AV315" s="409"><f>N315&lt;Y315</f><v /></c><c r="AW315" s="409"><f>Z315&lt;=AK315</f><v /></c><c r="AX315" s="409"><f>IF(I315&gt;=1,"Qcorrecto",IF(AND(AY315="aceptable",AZ315="aceptable",BA315="aceptable"),"Qcorrecto","Qincorrecto"))</f><v /></c><c r="AY315" s="410"><f>IF(AR315&lt;$AH$6,"error",IF(AR315&gt;$AH$6*1.1,"error","aceptable"))</f><v /></c><c r="AZ315" s="410"><f>IF(AF315&lt;$V$6,"error",IF(AF315&gt;$V$6*1.1,"error","aceptable"))</f><v /></c><c r="BA315" s="410"><f>IF(T315&lt;$J$6*0.9,"error",IF(T315&gt;$J$6,"error","aceptable"))</f><v /></c><c r="BB315" s="411"><f>(IF(ABS(U315)&lt;1.05,"CONFORME",IF(ABS(AG315)&lt;1.05,"CONFORME",IF(ABS(AS315)&lt;2.55,"CONFORME","NO CONFORME"))))</f><v /></c><c r="BC315" s="412"><f>(IF(ABS(U315)&gt;2.05,"NO CONFORME",IF(ABS(AG315)&gt;2.05,"NO CONFORME",IF(ABS(AS315)&gt;5.05,"NO CONFORME","CONFORME"))))</f><v /></c><c r="BD315" s="413"><f>SIGN(U315)</f><v /></c><c r="BE315" s="413"><f>SIGN(AG315)</f><v /></c><c r="BF315" s="413"><f>SIGN(AS315)</f><v /></c><c r="BG315" s="413"><f>CONCATENATE(BD315,BE315,BF315)</f><v /></c><c r="BH315" s="413"><f>IF(BG315="111","SI","SD")</f><v /></c><c r="BI315" s="413"><f>IF(BG315="-1-1-1","SI","SD")</f><v /></c><c r="BJ315" s="413"><f>OR(BH315="SI",BI315="SI")</f><v /></c><c r="BK315" s="413"><f>IF(BJ315=FALSE,"SIGDIFERENTES","SIGIGUALES")</f><v /></c><c r="BL315" s="410"><f>IF(BC315="NO CONFORME","NO CONFORME",IF(BB315="CONFORME","CONFORME","NO CONFORME"))</f><v /></c></row><row r="316" ht="15" customHeight="1" thickBot="1"><c r="A316" s="351" t="n"><v>308</v></c><c r="B316" s="454" t="n"><v>45920</v></c><c r="C316" s="454"><f>C315</f><v /></c><c r="D316" s="455" t="n"><v>6</v></c><c r="E316" s="456" t="n"><v>15</v></c><c r="F316" s="58" t="n" /><c r="G316" s="300" t="inlineStr"><is><t>PA25517016</t></is></c><c r="H316" s="301" t="n"><v>25.6</v></c><c r="I316" s="232" t="n"><v>0</v></c><c r="J316" s="302" t="n"><v>20</v></c><c r="K316" s="303" t="n"><v>7.898</v></c><c r="L316" s="303" t="n"><v>0.5570000000000001</v></c><c r="M316" s="359" t="n"><v>193.7</v></c><c r="N316" s="359" t="n"><v>293.49</v></c><c r="O316" s="457" t="n"><v>100.65</v></c><c r="P316" s="458" t="inlineStr"><is><t>2,29,920</t></is></c><c r="Q316" s="362"><f>LEFT(P316,1)</f><v /></c><c r="R316" s="362"><f>RIGHT(P316,6)</f><v /></c><c r="S316" s="362"><f>+(Q316*60+R316)/(60*60)</f><v /></c><c r="T316" s="363"><f>+O316/S316</f><v /></c><c r="U316" s="364"><f>+(((N316-M316-O316)/O316)*100)</f><v /></c><c r="V316" s="306" t="n"><v>20.2</v></c><c r="W316" s="307" t="n"><v>1.509</v></c><c r="X316" s="307" t="n"><v>1.507</v></c><c r="Y316" s="359" t="n"><v>299.6</v></c><c r="Z316" s="359" t="n"><v>309.65</v></c><c r="AA316" s="308" t="n"><v>10.018</v></c><c r="AB316" s="458" t="inlineStr"><is><t>22,21,430</t></is></c><c r="AC316" s="362"><f>LEFT(AB316,2)</f><v /></c><c r="AD316" s="362"><f>RIGHT(AB316,6)</f><v /></c><c r="AE316" s="362"><f>+(AC316*60+AD316)/(60*60)</f><v /></c><c r="AF316" s="363"><f>+AA316/AE316</f><v /></c><c r="AG316" s="369"><f>+(((Z316-Y316-AA316)/AA316)*100)</f><v /></c><c r="AH316" s="306" t="n"><v>20.3</v></c><c r="AI316" s="307" t="n"><v>1.507</v></c><c r="AJ316" s="307" t="n"><v>1.503</v></c><c r="AK316" s="359"><f>Z316</f><v /></c><c r="AL316" s="359" t="n"><v>314.59</v></c><c r="AM316" s="459" t="n"><v>5.02</v></c><c r="AN316" s="458" t="inlineStr"><is><t>17,59,000</t></is></c><c r="AO316" s="362"><f>LEFT(AN316,2)</f><v /></c><c r="AP316" s="362"><f>RIGHT(AN316,6)</f><v /></c><c r="AQ316" s="362"><f>+(AO316*60+AP316)/(60*60)</f><v /></c><c r="AR316" s="363"><f>+AM316/AQ316</f><v /></c><c r="AS316" s="369"><f>+(((AL316-AK316-AM316)/AM316)*100)</f><v /></c><c r="AT316" s="371"><f>IF(I316&gt;=1,"NO CONFORME",IF(BK316="SIGDIFERENTES",BC316,BL316))</f><v /></c><c r="AU316" s="372"><f>B316=C316</f><v /></c><c r="AV316" s="372"><f>N316&lt;Y316</f><v /></c><c r="AW316" s="372"><f>Z316&lt;=AK316</f><v /></c><c r="AX316" s="372"><f>IF(I316&gt;=1,"Qcorrecto",IF(AND(AY316="aceptable",AZ316="aceptable",BA316="aceptable"),"Qcorrecto","Qincorrecto"))</f><v /></c><c r="AY316" s="390"><f>IF(AR316&lt;$AH$6,"error",IF(AR316&gt;$AH$6*1.1,"error","aceptable"))</f><v /></c><c r="AZ316" s="390"><f>IF(AF316&lt;$V$6,"error",IF(AF316&gt;$V$6*1.1,"error","aceptable"))</f><v /></c><c r="BA316" s="390"><f>IF(T316&lt;$J$6*0.9,"error",IF(T316&gt;$J$6,"error","aceptable"))</f><v /></c><c r="BB316" s="25"><f>(IF(ABS(U316)&lt;1.05,"CONFORME",IF(ABS(AG316)&lt;1.05,"CONFORME",IF(ABS(AS316)&lt;2.55,"CONFORME","NO CONFORME"))))</f><v /></c><c r="BC316" s="5"><f>(IF(ABS(U316)&gt;2.05,"NO CONFORME",IF(ABS(AG316)&gt;2.05,"NO CONFORME",IF(ABS(AS316)&gt;5.05,"NO CONFORME","CONFORME"))))</f><v /></c><c r="BD316" s="374"><f>SIGN(U316)</f><v /></c><c r="BE316" s="374"><f>SIGN(AG316)</f><v /></c><c r="BF316" s="374"><f>SIGN(AS316)</f><v /></c><c r="BG316" s="374"><f>CONCATENATE(BD316,BE316,BF316)</f><v /></c><c r="BH316" s="374"><f>IF(BG316="111","SI","SD")</f><v /></c><c r="BI316" s="374"><f>IF(BG316="-1-1-1","SI","SD")</f><v /></c><c r="BJ316" s="374"><f>OR(BH316="SI",BI316="SI")</f><v /></c><c r="BK316" s="374"><f>IF(BJ316=FALSE,"SIGDIFERENTES","SIGIGUALES")</f><v /></c><c r="BL316" s="373"><f>IF(BC316="NO CONFORME","NO CONFORME",IF(BB316="CONFORME","CONFORME","NO CONFORME"))</f><v /></c></row><row r="317" ht="15" customHeight="1" thickBot="1"><c r="A317" s="443" t="n"><v>309</v></c><c r="B317" s="375"><f>B316</f><v /></c><c r="C317" s="375"><f>C316</f><v /></c><c r="D317" s="376"><f>D316</f><v /></c><c r="E317" s="377"><f>E316</f><v /></c><c r="F317" s="13" t="n" /><c r="G317" s="300" t="inlineStr"><is><t>PA25517017</t></is></c><c r="H317" s="313"><f>H316</f><v /></c><c r="I317" s="38"><f>I316</f><v /></c><c r="J317" s="314"><f>J316</f><v /></c><c r="K317" s="378"><f>K316</f><v /></c><c r="L317" s="378"><f>L316</f><v /></c><c r="M317" s="379" t="n"><v>156.2</v></c><c r="N317" s="379" t="n"><v>256.05</v></c><c r="O317" s="380"><f>O316</f><v /></c><c r="P317" s="381"><f>P316</f><v /></c><c r="Q317" s="382"><f>LEFT(P317,1)</f><v /></c><c r="R317" s="382"><f>RIGHT(P317,6)</f><v /></c><c r="S317" s="382"><f>+(Q317*60+R317)/(60*60)</f><v /></c><c r="T317" s="383"><f>+O317/S317</f><v /></c><c r="U317" s="384"><f>+(((N317-M317-O317)/O317)*100)</f><v /></c><c r="V317" s="317"><f>V316</f><v /></c><c r="W317" s="385"><f>W316</f><v /></c><c r="X317" s="385"><f>X316</f><v /></c><c r="Y317" s="379" t="n"><v>262.15</v></c><c r="Z317" s="379" t="n"><v>272.1</v></c><c r="AA317" s="386"><f>AA316</f><v /></c><c r="AB317" s="387"><f>AB316</f><v /></c><c r="AC317" s="382"><f>LEFT(AB317,2)</f><v /></c><c r="AD317" s="382"><f>RIGHT(AB317,6)</f><v /></c><c r="AE317" s="382"><f>+(AC317*60+AD317)/(60*60)</f><v /></c><c r="AF317" s="383"><f>+AA317/AE317</f><v /></c><c r="AG317" s="321"><f>+(((Z317-Y317-AA317)/AA317)*100)</f><v /></c><c r="AH317" s="317"><f>AH316</f><v /></c><c r="AI317" s="385"><f>AI316</f><v /></c><c r="AJ317" s="385"><f>AJ316</f><v /></c><c r="AK317" s="379"><f>Z317</f><v /></c><c r="AL317" s="379" t="n"><v>277.15</v></c><c r="AM317" s="388"><f>AM316</f><v /></c><c r="AN317" s="381"><f>AN316</f><v /></c><c r="AO317" s="382"><f>LEFT(AN317,2)</f><v /></c><c r="AP317" s="382"><f>RIGHT(AN317,6)</f><v /></c><c r="AQ317" s="382"><f>+(AO317*60+AP317)/(60*60)</f><v /></c><c r="AR317" s="383"><f>+AM317/AQ317</f><v /></c><c r="AS317" s="321"><f>+(((AL317-AK317-AM317)/AM317)*100)</f><v /></c><c r="AT317" s="389"><f>IF(I317&gt;=1,"NO CONFORME",IF(BK317="SIGDIFERENTES",BC317,BL317))</f><v /></c><c r="AU317" s="372"><f>B317=C317</f><v /></c><c r="AV317" s="372"><f>N317&lt;Y317</f><v /></c><c r="AW317" s="372"><f>Z317&lt;=AK317</f><v /></c><c r="AX317" s="372"><f>IF(I317&gt;=1,"Qcorrecto",IF(AND(AY317="aceptable",AZ317="aceptable",BA317="aceptable"),"Qcorrecto","Qincorrecto"))</f><v /></c><c r="AY317" s="390"><f>IF(AR317&lt;$AH$6,"error",IF(AR317&gt;$AH$6*1.1,"error","aceptable"))</f><v /></c><c r="AZ317" s="390"><f>IF(AF317&lt;$V$6,"error",IF(AF317&gt;$V$6*1.1,"error","aceptable"))</f><v /></c><c r="BA317" s="390"><f>IF(T317&lt;$J$6*0.9,"error",IF(T317&gt;$J$6,"error","aceptable"))</f><v /></c><c r="BB317" s="25"><f>(IF(ABS(U317)&lt;1.05,"CONFORME",IF(ABS(AG317)&lt;1.05,"CONFORME",IF(ABS(AS317)&lt;2.55,"CONFORME","NO CONFORME"))))</f><v /></c><c r="BC317" s="5"><f>(IF(ABS(U317)&gt;2.05,"NO CONFORME",IF(ABS(AG317)&gt;2.05,"NO CONFORME",IF(ABS(AS317)&gt;5.05,"NO CONFORME","CONFORME"))))</f><v /></c><c r="BD317" s="374"><f>SIGN(U317)</f><v /></c><c r="BE317" s="374"><f>SIGN(AG317)</f><v /></c><c r="BF317" s="374"><f>SIGN(AS317)</f><v /></c><c r="BG317" s="374"><f>CONCATENATE(BD317,BE317,BF317)</f><v /></c><c r="BH317" s="374"><f>IF(BG317="111","SI","SD")</f><v /></c><c r="BI317" s="374"><f>IF(BG317="-1-1-1","SI","SD")</f><v /></c><c r="BJ317" s="374"><f>OR(BH317="SI",BI317="SI")</f><v /></c><c r="BK317" s="374"><f>IF(BJ317=FALSE,"SIGDIFERENTES","SIGIGUALES")</f><v /></c><c r="BL317" s="390"><f>IF(BC317="NO CONFORME","NO CONFORME",IF(BB317="CONFORME","CONFORME","NO CONFORME"))</f><v /></c></row><row r="318" ht="15" customHeight="1" thickBot="1"><c r="A318" s="443" t="n"><v>310</v></c><c r="B318" s="375"><f>B317</f><v /></c><c r="C318" s="375"><f>C317</f><v /></c><c r="D318" s="376"><f>D317</f><v /></c><c r="E318" s="377"><f>E317</f><v /></c><c r="F318" s="13" t="n" /><c r="G318" s="300" t="inlineStr"><is><t>PA25517018</t></is></c><c r="H318" s="313"><f>H317</f><v /></c><c r="I318" s="38"><f>I317</f><v /></c><c r="J318" s="314"><f>J317</f><v /></c><c r="K318" s="378"><f>K317</f><v /></c><c r="L318" s="378"><f>L317</f><v /></c><c r="M318" s="379" t="n"><v>156.7</v></c><c r="N318" s="379" t="n"><v>256.6</v></c><c r="O318" s="380"><f>O317</f><v /></c><c r="P318" s="381"><f>P317</f><v /></c><c r="Q318" s="382"><f>LEFT(P318,1)</f><v /></c><c r="R318" s="382"><f>RIGHT(P318,6)</f><v /></c><c r="S318" s="382"><f>+(Q318*60+R318)/(60*60)</f><v /></c><c r="T318" s="383"><f>+O318/S318</f><v /></c><c r="U318" s="384"><f>+(((N318-M318-O318)/O318)*100)</f><v /></c><c r="V318" s="317"><f>V317</f><v /></c><c r="W318" s="385"><f>W317</f><v /></c><c r="X318" s="385"><f>X317</f><v /></c><c r="Y318" s="379" t="n"><v>262.72</v></c><c r="Z318" s="379" t="n"><v>272.74</v></c><c r="AA318" s="386"><f>AA317</f><v /></c><c r="AB318" s="387"><f>AB317</f><v /></c><c r="AC318" s="382"><f>LEFT(AB318,2)</f><v /></c><c r="AD318" s="382"><f>RIGHT(AB318,6)</f><v /></c><c r="AE318" s="382"><f>+(AC318*60+AD318)/(60*60)</f><v /></c><c r="AF318" s="383"><f>+AA318/AE318</f><v /></c><c r="AG318" s="321"><f>+(((Z318-Y318-AA318)/AA318)*100)</f><v /></c><c r="AH318" s="317"><f>AH317</f><v /></c><c r="AI318" s="385"><f>AI317</f><v /></c><c r="AJ318" s="385"><f>AJ317</f><v /></c><c r="AK318" s="379"><f>Z318</f><v /></c><c r="AL318" s="379" t="n"><v>277.79</v></c><c r="AM318" s="388"><f>AM317</f><v /></c><c r="AN318" s="381"><f>AN317</f><v /></c><c r="AO318" s="382"><f>LEFT(AN318,2)</f><v /></c><c r="AP318" s="382"><f>RIGHT(AN318,6)</f><v /></c><c r="AQ318" s="382"><f>+(AO318*60+AP318)/(60*60)</f><v /></c><c r="AR318" s="383"><f>+AM318/AQ318</f><v /></c><c r="AS318" s="321"><f>+(((AL318-AK318-AM318)/AM318)*100)</f><v /></c><c r="AT318" s="389"><f>IF(I318&gt;=1,"NO CONFORME",IF(BK318="SIGDIFERENTES",BC318,BL318))</f><v /></c><c r="AU318" s="372"><f>B318=C318</f><v /></c><c r="AV318" s="372"><f>N318&lt;Y318</f><v /></c><c r="AW318" s="372"><f>Z318&lt;=AK318</f><v /></c><c r="AX318" s="372"><f>IF(I318&gt;=1,"Qcorrecto",IF(AND(AY318="aceptable",AZ318="aceptable",BA318="aceptable"),"Qcorrecto","Qincorrecto"))</f><v /></c><c r="AY318" s="390"><f>IF(AR318&lt;$AH$6,"error",IF(AR318&gt;$AH$6*1.1,"error","aceptable"))</f><v /></c><c r="AZ318" s="390"><f>IF(AF318&lt;$V$6,"error",IF(AF318&gt;$V$6*1.1,"error","aceptable"))</f><v /></c><c r="BA318" s="390"><f>IF(T318&lt;$J$6*0.9,"error",IF(T318&gt;$J$6,"error","aceptable"))</f><v /></c><c r="BB318" s="25"><f>(IF(ABS(U318)&lt;1.05,"CONFORME",IF(ABS(AG318)&lt;1.05,"CONFORME",IF(ABS(AS318)&lt;2.55,"CONFORME","NO CONFORME"))))</f><v /></c><c r="BC318" s="5"><f>(IF(ABS(U318)&gt;2.05,"NO CONFORME",IF(ABS(AG318)&gt;2.05,"NO CONFORME",IF(ABS(AS318)&gt;5.05,"NO CONFORME","CONFORME"))))</f><v /></c><c r="BD318" s="374"><f>SIGN(U318)</f><v /></c><c r="BE318" s="374"><f>SIGN(AG318)</f><v /></c><c r="BF318" s="374"><f>SIGN(AS318)</f><v /></c><c r="BG318" s="374"><f>CONCATENATE(BD318,BE318,BF318)</f><v /></c><c r="BH318" s="374"><f>IF(BG318="111","SI","SD")</f><v /></c><c r="BI318" s="374"><f>IF(BG318="-1-1-1","SI","SD")</f><v /></c><c r="BJ318" s="374"><f>OR(BH318="SI",BI318="SI")</f><v /></c><c r="BK318" s="374"><f>IF(BJ318=FALSE,"SIGDIFERENTES","SIGIGUALES")</f><v /></c><c r="BL318" s="390"><f>IF(BC318="NO CONFORME","NO CONFORME",IF(BB318="CONFORME","CONFORME","NO CONFORME"))</f><v /></c></row><row r="319" ht="15" customHeight="1" thickBot="1"><c r="A319" s="443" t="n"><v>311</v></c><c r="B319" s="375"><f>B318</f><v /></c><c r="C319" s="375"><f>C318</f><v /></c><c r="D319" s="376"><f>D318</f><v /></c><c r="E319" s="377"><f>E318</f><v /></c><c r="F319" s="13" t="n" /><c r="G319" s="300" t="inlineStr"><is><t>PA25517019</t></is></c><c r="H319" s="313"><f>H318</f><v /></c><c r="I319" s="38"><f>I318</f><v /></c><c r="J319" s="314"><f>J318</f><v /></c><c r="K319" s="378"><f>K318</f><v /></c><c r="L319" s="378"><f>L318</f><v /></c><c r="M319" s="379" t="n"><v>156.55</v></c><c r="N319" s="379" t="n"><v>256.5</v></c><c r="O319" s="380"><f>O318</f><v /></c><c r="P319" s="381"><f>P318</f><v /></c><c r="Q319" s="382"><f>LEFT(P319,1)</f><v /></c><c r="R319" s="382"><f>RIGHT(P319,6)</f><v /></c><c r="S319" s="382"><f>+(Q319*60+R319)/(60*60)</f><v /></c><c r="T319" s="383"><f>+O319/S319</f><v /></c><c r="U319" s="384"><f>+(((N319-M319-O319)/O319)*100)</f><v /></c><c r="V319" s="317"><f>V318</f><v /></c><c r="W319" s="385"><f>W318</f><v /></c><c r="X319" s="385"><f>X318</f><v /></c><c r="Y319" s="379" t="n"><v>262.72</v></c><c r="Z319" s="379" t="n"><v>272.7</v></c><c r="AA319" s="386"><f>AA318</f><v /></c><c r="AB319" s="387"><f>AB318</f><v /></c><c r="AC319" s="382"><f>LEFT(AB319,2)</f><v /></c><c r="AD319" s="382"><f>RIGHT(AB319,6)</f><v /></c><c r="AE319" s="382"><f>+(AC319*60+AD319)/(60*60)</f><v /></c><c r="AF319" s="383"><f>+AA319/AE319</f><v /></c><c r="AG319" s="321"><f>+(((Z319-Y319-AA319)/AA319)*100)</f><v /></c><c r="AH319" s="317"><f>AH318</f><v /></c><c r="AI319" s="385"><f>AI318</f><v /></c><c r="AJ319" s="385"><f>AJ318</f><v /></c><c r="AK319" s="379"><f>Z319</f><v /></c><c r="AL319" s="379" t="n"><v>277.75</v></c><c r="AM319" s="388"><f>AM318</f><v /></c><c r="AN319" s="381"><f>AN318</f><v /></c><c r="AO319" s="382"><f>LEFT(AN319,2)</f><v /></c><c r="AP319" s="382"><f>RIGHT(AN319,6)</f><v /></c><c r="AQ319" s="382"><f>+(AO319*60+AP319)/(60*60)</f><v /></c><c r="AR319" s="383"><f>+AM319/AQ319</f><v /></c><c r="AS319" s="321"><f>+(((AL319-AK319-AM319)/AM319)*100)</f><v /></c><c r="AT319" s="389"><f>IF(I319&gt;=1,"NO CONFORME",IF(BK319="SIGDIFERENTES",BC319,BL319))</f><v /></c><c r="AU319" s="372"><f>B319=C319</f><v /></c><c r="AV319" s="372"><f>N319&lt;Y319</f><v /></c><c r="AW319" s="372"><f>Z319&lt;=AK319</f><v /></c><c r="AX319" s="372"><f>IF(I319&gt;=1,"Qcorrecto",IF(AND(AY319="aceptable",AZ319="aceptable",BA319="aceptable"),"Qcorrecto","Qincorrecto"))</f><v /></c><c r="AY319" s="390"><f>IF(AR319&lt;$AH$6,"error",IF(AR319&gt;$AH$6*1.1,"error","aceptable"))</f><v /></c><c r="AZ319" s="390"><f>IF(AF319&lt;$V$6,"error",IF(AF319&gt;$V$6*1.1,"error","aceptable"))</f><v /></c><c r="BA319" s="390"><f>IF(T319&lt;$J$6*0.9,"error",IF(T319&gt;$J$6,"error","aceptable"))</f><v /></c><c r="BB319" s="25"><f>(IF(ABS(U319)&lt;1.05,"CONFORME",IF(ABS(AG319)&lt;1.05,"CONFORME",IF(ABS(AS319)&lt;2.55,"CONFORME","NO CONFORME"))))</f><v /></c><c r="BC319" s="5"><f>(IF(ABS(U319)&gt;2.05,"NO CONFORME",IF(ABS(AG319)&gt;2.05,"NO CONFORME",IF(ABS(AS319)&gt;5.05,"NO CONFORME","CONFORME"))))</f><v /></c><c r="BD319" s="374"><f>SIGN(U319)</f><v /></c><c r="BE319" s="374"><f>SIGN(AG319)</f><v /></c><c r="BF319" s="374"><f>SIGN(AS319)</f><v /></c><c r="BG319" s="374"><f>CONCATENATE(BD319,BE319,BF319)</f><v /></c><c r="BH319" s="374"><f>IF(BG319="111","SI","SD")</f><v /></c><c r="BI319" s="374"><f>IF(BG319="-1-1-1","SI","SD")</f><v /></c><c r="BJ319" s="374"><f>OR(BH319="SI",BI319="SI")</f><v /></c><c r="BK319" s="374"><f>IF(BJ319=FALSE,"SIGDIFERENTES","SIGIGUALES")</f><v /></c><c r="BL319" s="390"><f>IF(BC319="NO CONFORME","NO CONFORME",IF(BB319="CONFORME","CONFORME","NO CONFORME"))</f><v /></c></row><row r="320" ht="15" customHeight="1" thickBot="1"><c r="A320" s="443" t="n"><v>312</v></c><c r="B320" s="375"><f>B319</f><v /></c><c r="C320" s="375"><f>C319</f><v /></c><c r="D320" s="376"><f>D319</f><v /></c><c r="E320" s="377"><f>E319</f><v /></c><c r="F320" s="13" t="n" /><c r="G320" s="300" t="inlineStr"><is><t>PA25517020</t></is></c><c r="H320" s="313"><f>H319</f><v /></c><c r="I320" s="38"><f>I319</f><v /></c><c r="J320" s="314"><f>J319</f><v /></c><c r="K320" s="378"><f>K319</f><v /></c><c r="L320" s="378"><f>L319</f><v /></c><c r="M320" s="379" t="n"><v>153.52</v></c><c r="N320" s="379" t="n"><v>253.2</v></c><c r="O320" s="380"><f>O319</f><v /></c><c r="P320" s="381"><f>P319</f><v /></c><c r="Q320" s="382"><f>LEFT(P320,1)</f><v /></c><c r="R320" s="382"><f>RIGHT(P320,6)</f><v /></c><c r="S320" s="382"><f>+(Q320*60+R320)/(60*60)</f><v /></c><c r="T320" s="383"><f>+O320/S320</f><v /></c><c r="U320" s="384"><f>+(((N320-M320-O320)/O320)*100)</f><v /></c><c r="V320" s="317"><f>V319</f><v /></c><c r="W320" s="385"><f>W319</f><v /></c><c r="X320" s="385"><f>X319</f><v /></c><c r="Y320" s="379" t="n"><v>259.35</v></c><c r="Z320" s="379" t="n"><v>269.34</v></c><c r="AA320" s="386"><f>AA319</f><v /></c><c r="AB320" s="387"><f>AB319</f><v /></c><c r="AC320" s="382"><f>LEFT(AB320,2)</f><v /></c><c r="AD320" s="382"><f>RIGHT(AB320,6)</f><v /></c><c r="AE320" s="382"><f>+(AC320*60+AD320)/(60*60)</f><v /></c><c r="AF320" s="383"><f>+AA320/AE320</f><v /></c><c r="AG320" s="321"><f>+(((Z320-Y320-AA320)/AA320)*100)</f><v /></c><c r="AH320" s="317"><f>AH319</f><v /></c><c r="AI320" s="385"><f>AI319</f><v /></c><c r="AJ320" s="385"><f>AJ319</f><v /></c><c r="AK320" s="379"><f>Z320</f><v /></c><c r="AL320" s="379" t="n"><v>274.35</v></c><c r="AM320" s="388"><f>AM319</f><v /></c><c r="AN320" s="381"><f>AN319</f><v /></c><c r="AO320" s="382"><f>LEFT(AN320,2)</f><v /></c><c r="AP320" s="382"><f>RIGHT(AN320,6)</f><v /></c><c r="AQ320" s="382"><f>+(AO320*60+AP320)/(60*60)</f><v /></c><c r="AR320" s="383"><f>+AM320/AQ320</f><v /></c><c r="AS320" s="321"><f>+(((AL320-AK320-AM320)/AM320)*100)</f><v /></c><c r="AT320" s="389"><f>IF(I320&gt;=1,"NO CONFORME",IF(BK320="SIGDIFERENTES",BC320,BL320))</f><v /></c><c r="AU320" s="372"><f>B320=C320</f><v /></c><c r="AV320" s="372"><f>N320&lt;Y320</f><v /></c><c r="AW320" s="372"><f>Z320&lt;=AK320</f><v /></c><c r="AX320" s="372"><f>IF(I320&gt;=1,"Qcorrecto",IF(AND(AY320="aceptable",AZ320="aceptable",BA320="aceptable"),"Qcorrecto","Qincorrecto"))</f><v /></c><c r="AY320" s="390"><f>IF(AR320&lt;$AH$6,"error",IF(AR320&gt;$AH$6*1.1,"error","aceptable"))</f><v /></c><c r="AZ320" s="390"><f>IF(AF320&lt;$V$6,"error",IF(AF320&gt;$V$6*1.1,"error","aceptable"))</f><v /></c><c r="BA320" s="390"><f>IF(T320&lt;$J$6*0.9,"error",IF(T320&gt;$J$6,"error","aceptable"))</f><v /></c><c r="BB320" s="25"><f>(IF(ABS(U320)&lt;1.05,"CONFORME",IF(ABS(AG320)&lt;1.05,"CONFORME",IF(ABS(AS320)&lt;2.55,"CONFORME","NO CONFORME"))))</f><v /></c><c r="BC320" s="5"><f>(IF(ABS(U320)&gt;2.05,"NO CONFORME",IF(ABS(AG320)&gt;2.05,"NO CONFORME",IF(ABS(AS320)&gt;5.05,"NO CONFORME","CONFORME"))))</f><v /></c><c r="BD320" s="374"><f>SIGN(U320)</f><v /></c><c r="BE320" s="374"><f>SIGN(AG320)</f><v /></c><c r="BF320" s="374"><f>SIGN(AS320)</f><v /></c><c r="BG320" s="374"><f>CONCATENATE(BD320,BE320,BF320)</f><v /></c><c r="BH320" s="374"><f>IF(BG320="111","SI","SD")</f><v /></c><c r="BI320" s="374"><f>IF(BG320="-1-1-1","SI","SD")</f><v /></c><c r="BJ320" s="374"><f>OR(BH320="SI",BI320="SI")</f><v /></c><c r="BK320" s="374"><f>IF(BJ320=FALSE,"SIGDIFERENTES","SIGIGUALES")</f><v /></c><c r="BL320" s="390"><f>IF(BC320="NO CONFORME","NO CONFORME",IF(BB320="CONFORME","CONFORME","NO CONFORME"))</f><v /></c></row><row r="321" ht="15" customHeight="1" thickBot="1"><c r="A321" s="443" t="n"><v>313</v></c><c r="B321" s="375"><f>B320</f><v /></c><c r="C321" s="375"><f>C320</f><v /></c><c r="D321" s="376"><f>D320</f><v /></c><c r="E321" s="377"><f>E320</f><v /></c><c r="F321" s="13" t="n" /><c r="G321" s="300" t="inlineStr"><is><t>PA25517021</t></is></c><c r="H321" s="313"><f>H320</f><v /></c><c r="I321" s="38"><f>I320</f><v /></c><c r="J321" s="314"><f>J320</f><v /></c><c r="K321" s="378"><f>K320</f><v /></c><c r="L321" s="378"><f>L320</f><v /></c><c r="M321" s="379" t="n"><v>154.92</v></c><c r="N321" s="379" t="n"><v>255.12</v></c><c r="O321" s="380"><f>O320</f><v /></c><c r="P321" s="381"><f>P320</f><v /></c><c r="Q321" s="382"><f>LEFT(P321,1)</f><v /></c><c r="R321" s="382"><f>RIGHT(P321,6)</f><v /></c><c r="S321" s="382"><f>+(Q321*60+R321)/(60*60)</f><v /></c><c r="T321" s="383"><f>+O321/S321</f><v /></c><c r="U321" s="384"><f>+(((N321-M321-O321)/O321)*100)</f><v /></c><c r="V321" s="317"><f>V320</f><v /></c><c r="W321" s="385"><f>W320</f><v /></c><c r="X321" s="385"><f>X320</f><v /></c><c r="Y321" s="379" t="n"><v>261.35</v></c><c r="Z321" s="379" t="n"><v>271.32</v></c><c r="AA321" s="386"><f>AA320</f><v /></c><c r="AB321" s="387"><f>AB320</f><v /></c><c r="AC321" s="382"><f>LEFT(AB321,2)</f><v /></c><c r="AD321" s="382"><f>RIGHT(AB321,6)</f><v /></c><c r="AE321" s="382"><f>+(AC321*60+AD321)/(60*60)</f><v /></c><c r="AF321" s="383"><f>+AA321/AE321</f><v /></c><c r="AG321" s="321"><f>+(((Z321-Y321-AA321)/AA321)*100)</f><v /></c><c r="AH321" s="317"><f>AH320</f><v /></c><c r="AI321" s="385"><f>AI320</f><v /></c><c r="AJ321" s="385"><f>AJ320</f><v /></c><c r="AK321" s="379"><f>Z321</f><v /></c><c r="AL321" s="379" t="n"><v>276.37</v></c><c r="AM321" s="388"><f>AM320</f><v /></c><c r="AN321" s="381"><f>AN320</f><v /></c><c r="AO321" s="382"><f>LEFT(AN321,2)</f><v /></c><c r="AP321" s="382"><f>RIGHT(AN321,6)</f><v /></c><c r="AQ321" s="382"><f>+(AO321*60+AP321)/(60*60)</f><v /></c><c r="AR321" s="383"><f>+AM321/AQ321</f><v /></c><c r="AS321" s="321"><f>+(((AL321-AK321-AM321)/AM321)*100)</f><v /></c><c r="AT321" s="389"><f>IF(I321&gt;=1,"NO CONFORME",IF(BK321="SIGDIFERENTES",BC321,BL321))</f><v /></c><c r="AU321" s="372"><f>B321=C321</f><v /></c><c r="AV321" s="372"><f>N321&lt;Y321</f><v /></c><c r="AW321" s="372"><f>Z321&lt;=AK321</f><v /></c><c r="AX321" s="372"><f>IF(I321&gt;=1,"Qcorrecto",IF(AND(AY321="aceptable",AZ321="aceptable",BA321="aceptable"),"Qcorrecto","Qincorrecto"))</f><v /></c><c r="AY321" s="390"><f>IF(AR321&lt;$AH$6,"error",IF(AR321&gt;$AH$6*1.1,"error","aceptable"))</f><v /></c><c r="AZ321" s="390"><f>IF(AF321&lt;$V$6,"error",IF(AF321&gt;$V$6*1.1,"error","aceptable"))</f><v /></c><c r="BA321" s="390"><f>IF(T321&lt;$J$6*0.9,"error",IF(T321&gt;$J$6,"error","aceptable"))</f><v /></c><c r="BB321" s="25"><f>(IF(ABS(U321)&lt;1.05,"CONFORME",IF(ABS(AG321)&lt;1.05,"CONFORME",IF(ABS(AS321)&lt;2.55,"CONFORME","NO CONFORME"))))</f><v /></c><c r="BC321" s="5"><f>(IF(ABS(U321)&gt;2.05,"NO CONFORME",IF(ABS(AG321)&gt;2.05,"NO CONFORME",IF(ABS(AS321)&gt;5.05,"NO CONFORME","CONFORME"))))</f><v /></c><c r="BD321" s="374"><f>SIGN(U321)</f><v /></c><c r="BE321" s="374"><f>SIGN(AG321)</f><v /></c><c r="BF321" s="374"><f>SIGN(AS321)</f><v /></c><c r="BG321" s="374"><f>CONCATENATE(BD321,BE321,BF321)</f><v /></c><c r="BH321" s="374"><f>IF(BG321="111","SI","SD")</f><v /></c><c r="BI321" s="374"><f>IF(BG321="-1-1-1","SI","SD")</f><v /></c><c r="BJ321" s="374"><f>OR(BH321="SI",BI321="SI")</f><v /></c><c r="BK321" s="374"><f>IF(BJ321=FALSE,"SIGDIFERENTES","SIGIGUALES")</f><v /></c><c r="BL321" s="390"><f>IF(BC321="NO CONFORME","NO CONFORME",IF(BB321="CONFORME","CONFORME","NO CONFORME"))</f><v /></c></row><row r="322" ht="15" customHeight="1" thickBot="1"><c r="A322" s="443" t="n"><v>314</v></c><c r="B322" s="375"><f>B321</f><v /></c><c r="C322" s="375"><f>C321</f><v /></c><c r="D322" s="376"><f>D321</f><v /></c><c r="E322" s="377"><f>E321</f><v /></c><c r="F322" s="13" t="n" /><c r="G322" s="300" t="inlineStr"><is><t>PA25517022</t></is></c><c r="H322" s="313"><f>H321</f><v /></c><c r="I322" s="38"><f>I321</f><v /></c><c r="J322" s="314"><f>J321</f><v /></c><c r="K322" s="378"><f>K321</f><v /></c><c r="L322" s="378"><f>L321</f><v /></c><c r="M322" s="379" t="n"><v>153.75</v></c><c r="N322" s="379" t="n"><v>253.52</v></c><c r="O322" s="380"><f>O321</f><v /></c><c r="P322" s="381"><f>P321</f><v /></c><c r="Q322" s="382"><f>LEFT(P322,1)</f><v /></c><c r="R322" s="382"><f>RIGHT(P322,6)</f><v /></c><c r="S322" s="382"><f>+(Q322*60+R322)/(60*60)</f><v /></c><c r="T322" s="383"><f>+O322/S322</f><v /></c><c r="U322" s="384"><f>+(((N322-M322-O322)/O322)*100)</f><v /></c><c r="V322" s="317"><f>V321</f><v /></c><c r="W322" s="385"><f>W321</f><v /></c><c r="X322" s="385"><f>X321</f><v /></c><c r="Y322" s="379" t="n"><v>259.6</v></c><c r="Z322" s="379" t="n"><v>269.54</v></c><c r="AA322" s="386"><f>AA321</f><v /></c><c r="AB322" s="387"><f>AB321</f><v /></c><c r="AC322" s="382"><f>LEFT(AB322,2)</f><v /></c><c r="AD322" s="382"><f>RIGHT(AB322,6)</f><v /></c><c r="AE322" s="382"><f>+(AC322*60+AD322)/(60*60)</f><v /></c><c r="AF322" s="383"><f>+AA322/AE322</f><v /></c><c r="AG322" s="321"><f>+(((Z322-Y322-AA322)/AA322)*100)</f><v /></c><c r="AH322" s="317"><f>AH321</f><v /></c><c r="AI322" s="385"><f>AI321</f><v /></c><c r="AJ322" s="385"><f>AJ321</f><v /></c><c r="AK322" s="379"><f>Z322</f><v /></c><c r="AL322" s="379" t="n"><v>274.58</v></c><c r="AM322" s="388"><f>AM321</f><v /></c><c r="AN322" s="381"><f>AN321</f><v /></c><c r="AO322" s="382"><f>LEFT(AN322,2)</f><v /></c><c r="AP322" s="382"><f>RIGHT(AN322,6)</f><v /></c><c r="AQ322" s="382"><f>+(AO322*60+AP322)/(60*60)</f><v /></c><c r="AR322" s="383"><f>+AM322/AQ322</f><v /></c><c r="AS322" s="321"><f>+(((AL322-AK322-AM322)/AM322)*100)</f><v /></c><c r="AT322" s="389"><f>IF(I322&gt;=1,"NO CONFORME",IF(BK322="SIGDIFERENTES",BC322,BL322))</f><v /></c><c r="AU322" s="372"><f>B322=C322</f><v /></c><c r="AV322" s="372"><f>N322&lt;Y322</f><v /></c><c r="AW322" s="372"><f>Z322&lt;=AK322</f><v /></c><c r="AX322" s="372"><f>IF(I322&gt;=1,"Qcorrecto",IF(AND(AY322="aceptable",AZ322="aceptable",BA322="aceptable"),"Qcorrecto","Qincorrecto"))</f><v /></c><c r="AY322" s="390"><f>IF(AR322&lt;$AH$6,"error",IF(AR322&gt;$AH$6*1.1,"error","aceptable"))</f><v /></c><c r="AZ322" s="390"><f>IF(AF322&lt;$V$6,"error",IF(AF322&gt;$V$6*1.1,"error","aceptable"))</f><v /></c><c r="BA322" s="390"><f>IF(T322&lt;$J$6*0.9,"error",IF(T322&gt;$J$6,"error","aceptable"))</f><v /></c><c r="BB322" s="25"><f>(IF(ABS(U322)&lt;1.05,"CONFORME",IF(ABS(AG322)&lt;1.05,"CONFORME",IF(ABS(AS322)&lt;2.55,"CONFORME","NO CONFORME"))))</f><v /></c><c r="BC322" s="5"><f>(IF(ABS(U322)&gt;2.05,"NO CONFORME",IF(ABS(AG322)&gt;2.05,"NO CONFORME",IF(ABS(AS322)&gt;5.05,"NO CONFORME","CONFORME"))))</f><v /></c><c r="BD322" s="374"><f>SIGN(U322)</f><v /></c><c r="BE322" s="374"><f>SIGN(AG322)</f><v /></c><c r="BF322" s="374"><f>SIGN(AS322)</f><v /></c><c r="BG322" s="374"><f>CONCATENATE(BD322,BE322,BF322)</f><v /></c><c r="BH322" s="374"><f>IF(BG322="111","SI","SD")</f><v /></c><c r="BI322" s="374"><f>IF(BG322="-1-1-1","SI","SD")</f><v /></c><c r="BJ322" s="374"><f>OR(BH322="SI",BI322="SI")</f><v /></c><c r="BK322" s="374"><f>IF(BJ322=FALSE,"SIGDIFERENTES","SIGIGUALES")</f><v /></c><c r="BL322" s="390"><f>IF(BC322="NO CONFORME","NO CONFORME",IF(BB322="CONFORME","CONFORME","NO CONFORME"))</f><v /></c></row><row r="323" ht="15" customHeight="1" thickBot="1"><c r="A323" s="443" t="n"><v>315</v></c><c r="B323" s="375"><f>B322</f><v /></c><c r="C323" s="375"><f>C322</f><v /></c><c r="D323" s="376"><f>D322</f><v /></c><c r="E323" s="377"><f>E322</f><v /></c><c r="F323" s="13" t="n" /><c r="G323" s="300" t="inlineStr"><is><t>PA25517023</t></is></c><c r="H323" s="313"><f>H322</f><v /></c><c r="I323" s="38"><f>I322</f><v /></c><c r="J323" s="314"><f>J322</f><v /></c><c r="K323" s="378"><f>K322</f><v /></c><c r="L323" s="378"><f>L322</f><v /></c><c r="M323" s="379" t="n"><v>154.7</v></c><c r="N323" s="379" t="n"><v>254.76</v></c><c r="O323" s="380"><f>O322</f><v /></c><c r="P323" s="381"><f>P322</f><v /></c><c r="Q323" s="382"><f>LEFT(P323,1)</f><v /></c><c r="R323" s="382"><f>RIGHT(P323,6)</f><v /></c><c r="S323" s="382"><f>+(Q323*60+R323)/(60*60)</f><v /></c><c r="T323" s="383"><f>+O323/S323</f><v /></c><c r="U323" s="384"><f>+(((N323-M323-O323)/O323)*100)</f><v /></c><c r="V323" s="317"><f>V322</f><v /></c><c r="W323" s="385"><f>W322</f><v /></c><c r="X323" s="385"><f>X322</f><v /></c><c r="Y323" s="379" t="n"><v>260.92</v></c><c r="Z323" s="379" t="n"><v>271.01</v></c><c r="AA323" s="386"><f>AA322</f><v /></c><c r="AB323" s="387"><f>AB322</f><v /></c><c r="AC323" s="382"><f>LEFT(AB323,2)</f><v /></c><c r="AD323" s="382"><f>RIGHT(AB323,6)</f><v /></c><c r="AE323" s="382"><f>+(AC323*60+AD323)/(60*60)</f><v /></c><c r="AF323" s="383"><f>+AA323/AE323</f><v /></c><c r="AG323" s="321"><f>+(((Z323-Y323-AA323)/AA323)*100)</f><v /></c><c r="AH323" s="317"><f>AH322</f><v /></c><c r="AI323" s="385"><f>AI322</f><v /></c><c r="AJ323" s="385"><f>AJ322</f><v /></c><c r="AK323" s="379"><f>Z323</f><v /></c><c r="AL323" s="379" t="n"><v>276.12</v></c><c r="AM323" s="388"><f>AM322</f><v /></c><c r="AN323" s="381"><f>AN322</f><v /></c><c r="AO323" s="382"><f>LEFT(AN323,2)</f><v /></c><c r="AP323" s="382"><f>RIGHT(AN323,6)</f><v /></c><c r="AQ323" s="382"><f>+(AO323*60+AP323)/(60*60)</f><v /></c><c r="AR323" s="383"><f>+AM323/AQ323</f><v /></c><c r="AS323" s="321"><f>+(((AL323-AK323-AM323)/AM323)*100)</f><v /></c><c r="AT323" s="389"><f>IF(I323&gt;=1,"NO CONFORME",IF(BK323="SIGDIFERENTES",BC323,BL323))</f><v /></c><c r="AU323" s="372"><f>B323=C323</f><v /></c><c r="AV323" s="372"><f>N323&lt;Y323</f><v /></c><c r="AW323" s="372"><f>Z323&lt;=AK323</f><v /></c><c r="AX323" s="372"><f>IF(I323&gt;=1,"Qcorrecto",IF(AND(AY323="aceptable",AZ323="aceptable",BA323="aceptable"),"Qcorrecto","Qincorrecto"))</f><v /></c><c r="AY323" s="390"><f>IF(AR323&lt;$AH$6,"error",IF(AR323&gt;$AH$6*1.1,"error","aceptable"))</f><v /></c><c r="AZ323" s="390"><f>IF(AF323&lt;$V$6,"error",IF(AF323&gt;$V$6*1.1,"error","aceptable"))</f><v /></c><c r="BA323" s="390"><f>IF(T323&lt;$J$6*0.9,"error",IF(T323&gt;$J$6,"error","aceptable"))</f><v /></c><c r="BB323" s="25"><f>(IF(ABS(U323)&lt;1.05,"CONFORME",IF(ABS(AG323)&lt;1.05,"CONFORME",IF(ABS(AS323)&lt;2.55,"CONFORME","NO CONFORME"))))</f><v /></c><c r="BC323" s="5"><f>(IF(ABS(U323)&gt;2.05,"NO CONFORME",IF(ABS(AG323)&gt;2.05,"NO CONFORME",IF(ABS(AS323)&gt;5.05,"NO CONFORME","CONFORME"))))</f><v /></c><c r="BD323" s="374"><f>SIGN(U323)</f><v /></c><c r="BE323" s="374"><f>SIGN(AG323)</f><v /></c><c r="BF323" s="374"><f>SIGN(AS323)</f><v /></c><c r="BG323" s="374"><f>CONCATENATE(BD323,BE323,BF323)</f><v /></c><c r="BH323" s="374"><f>IF(BG323="111","SI","SD")</f><v /></c><c r="BI323" s="374"><f>IF(BG323="-1-1-1","SI","SD")</f><v /></c><c r="BJ323" s="374"><f>OR(BH323="SI",BI323="SI")</f><v /></c><c r="BK323" s="374"><f>IF(BJ323=FALSE,"SIGDIFERENTES","SIGIGUALES")</f><v /></c><c r="BL323" s="390"><f>IF(BC323="NO CONFORME","NO CONFORME",IF(BB323="CONFORME","CONFORME","NO CONFORME"))</f><v /></c></row><row r="324" ht="15" customHeight="1" thickBot="1"><c r="A324" s="443" t="n"><v>316</v></c><c r="B324" s="375"><f>B323</f><v /></c><c r="C324" s="375"><f>C323</f><v /></c><c r="D324" s="376"><f>D323</f><v /></c><c r="E324" s="377"><f>E323</f><v /></c><c r="F324" s="13" t="n" /><c r="G324" s="300" t="inlineStr"><is><t>PA25517024</t></is></c><c r="H324" s="313"><f>H323</f><v /></c><c r="I324" s="38"><f>I323</f><v /></c><c r="J324" s="314"><f>J323</f><v /></c><c r="K324" s="378"><f>K323</f><v /></c><c r="L324" s="378"><f>L323</f><v /></c><c r="M324" s="379" t="n"><v>157.2</v></c><c r="N324" s="379" t="n"><v>256.74</v></c><c r="O324" s="380"><f>O323</f><v /></c><c r="P324" s="381"><f>P323</f><v /></c><c r="Q324" s="382"><f>LEFT(P324,1)</f><v /></c><c r="R324" s="382"><f>RIGHT(P324,6)</f><v /></c><c r="S324" s="382"><f>+(Q324*60+R324)/(60*60)</f><v /></c><c r="T324" s="383"><f>+O324/S324</f><v /></c><c r="U324" s="384"><f>+(((N324-M324-O324)/O324)*100)</f><v /></c><c r="V324" s="317"><f>V323</f><v /></c><c r="W324" s="385"><f>W323</f><v /></c><c r="X324" s="385"><f>X323</f><v /></c><c r="Y324" s="379" t="n"><v>262.85</v></c><c r="Z324" s="379" t="n"><v>272.85</v></c><c r="AA324" s="386"><f>AA323</f><v /></c><c r="AB324" s="387"><f>AB323</f><v /></c><c r="AC324" s="382"><f>LEFT(AB324,2)</f><v /></c><c r="AD324" s="382"><f>RIGHT(AB324,6)</f><v /></c><c r="AE324" s="382"><f>+(AC324*60+AD324)/(60*60)</f><v /></c><c r="AF324" s="383"><f>+AA324/AE324</f><v /></c><c r="AG324" s="321"><f>+(((Z324-Y324-AA324)/AA324)*100)</f><v /></c><c r="AH324" s="317"><f>AH323</f><v /></c><c r="AI324" s="385"><f>AI323</f><v /></c><c r="AJ324" s="385"><f>AJ323</f><v /></c><c r="AK324" s="379"><f>Z324</f><v /></c><c r="AL324" s="379" t="n"><v>277.86</v></c><c r="AM324" s="388"><f>AM323</f><v /></c><c r="AN324" s="381"><f>AN323</f><v /></c><c r="AO324" s="382"><f>LEFT(AN324,2)</f><v /></c><c r="AP324" s="382"><f>RIGHT(AN324,6)</f><v /></c><c r="AQ324" s="382"><f>+(AO324*60+AP324)/(60*60)</f><v /></c><c r="AR324" s="383"><f>+AM324/AQ324</f><v /></c><c r="AS324" s="321"><f>+(((AL324-AK324-AM324)/AM324)*100)</f><v /></c><c r="AT324" s="389"><f>IF(I324&gt;=1,"NO CONFORME",IF(BK324="SIGDIFERENTES",BC324,BL324))</f><v /></c><c r="AU324" s="372"><f>B324=C324</f><v /></c><c r="AV324" s="372"><f>N324&lt;Y324</f><v /></c><c r="AW324" s="372"><f>Z324&lt;=AK324</f><v /></c><c r="AX324" s="372"><f>IF(I324&gt;=1,"Qcorrecto",IF(AND(AY324="aceptable",AZ324="aceptable",BA324="aceptable"),"Qcorrecto","Qincorrecto"))</f><v /></c><c r="AY324" s="390"><f>IF(AR324&lt;$AH$6,"error",IF(AR324&gt;$AH$6*1.1,"error","aceptable"))</f><v /></c><c r="AZ324" s="390"><f>IF(AF324&lt;$V$6,"error",IF(AF324&gt;$V$6*1.1,"error","aceptable"))</f><v /></c><c r="BA324" s="390"><f>IF(T324&lt;$J$6*0.9,"error",IF(T324&gt;$J$6,"error","aceptable"))</f><v /></c><c r="BB324" s="25"><f>(IF(ABS(U324)&lt;1.05,"CONFORME",IF(ABS(AG324)&lt;1.05,"CONFORME",IF(ABS(AS324)&lt;2.55,"CONFORME","NO CONFORME"))))</f><v /></c><c r="BC324" s="5"><f>(IF(ABS(U324)&gt;2.05,"NO CONFORME",IF(ABS(AG324)&gt;2.05,"NO CONFORME",IF(ABS(AS324)&gt;5.05,"NO CONFORME","CONFORME"))))</f><v /></c><c r="BD324" s="374"><f>SIGN(U324)</f><v /></c><c r="BE324" s="374"><f>SIGN(AG324)</f><v /></c><c r="BF324" s="374"><f>SIGN(AS324)</f><v /></c><c r="BG324" s="374"><f>CONCATENATE(BD324,BE324,BF324)</f><v /></c><c r="BH324" s="374"><f>IF(BG324="111","SI","SD")</f><v /></c><c r="BI324" s="374"><f>IF(BG324="-1-1-1","SI","SD")</f><v /></c><c r="BJ324" s="374"><f>OR(BH324="SI",BI324="SI")</f><v /></c><c r="BK324" s="374"><f>IF(BJ324=FALSE,"SIGDIFERENTES","SIGIGUALES")</f><v /></c><c r="BL324" s="390"><f>IF(BC324="NO CONFORME","NO CONFORME",IF(BB324="CONFORME","CONFORME","NO CONFORME"))</f><v /></c></row><row r="325" ht="15" customHeight="1" thickBot="1"><c r="A325" s="443" t="n"><v>317</v></c><c r="B325" s="375"><f>B324</f><v /></c><c r="C325" s="375"><f>C324</f><v /></c><c r="D325" s="376"><f>D324</f><v /></c><c r="E325" s="377"><f>E324</f><v /></c><c r="F325" s="13" t="n" /><c r="G325" s="300" t="inlineStr"><is><t>PA25517025</t></is></c><c r="H325" s="313"><f>H324</f><v /></c><c r="I325" s="38"><f>I324</f><v /></c><c r="J325" s="314"><f>J324</f><v /></c><c r="K325" s="378"><f>K324</f><v /></c><c r="L325" s="378"><f>L324</f><v /></c><c r="M325" s="379" t="n"><v>200.4</v></c><c r="N325" s="379" t="n"><v>300.02</v></c><c r="O325" s="380"><f>O324</f><v /></c><c r="P325" s="381"><f>P324</f><v /></c><c r="Q325" s="382"><f>LEFT(P325,1)</f><v /></c><c r="R325" s="382"><f>RIGHT(P325,6)</f><v /></c><c r="S325" s="382"><f>+(Q325*60+R325)/(60*60)</f><v /></c><c r="T325" s="383"><f>+O325/S325</f><v /></c><c r="U325" s="384"><f>+(((N325-M325-O325)/O325)*100)</f><v /></c><c r="V325" s="317"><f>V324</f><v /></c><c r="W325" s="385"><f>W324</f><v /></c><c r="X325" s="385"><f>X324</f><v /></c><c r="Y325" s="379" t="n"><v>306.72</v></c><c r="Z325" s="379" t="n"><v>316.7</v></c><c r="AA325" s="386"><f>AA324</f><v /></c><c r="AB325" s="387"><f>AB324</f><v /></c><c r="AC325" s="382"><f>LEFT(AB325,2)</f><v /></c><c r="AD325" s="382"><f>RIGHT(AB325,6)</f><v /></c><c r="AE325" s="382"><f>+(AC325*60+AD325)/(60*60)</f><v /></c><c r="AF325" s="383"><f>+AA325/AE325</f><v /></c><c r="AG325" s="321"><f>+(((Z325-Y325-AA325)/AA325)*100)</f><v /></c><c r="AH325" s="317"><f>AH324</f><v /></c><c r="AI325" s="385"><f>AI324</f><v /></c><c r="AJ325" s="385"><f>AJ324</f><v /></c><c r="AK325" s="379"><f>Z325</f><v /></c><c r="AL325" s="379" t="n"><v>321.75</v></c><c r="AM325" s="388"><f>AM324</f><v /></c><c r="AN325" s="381"><f>AN324</f><v /></c><c r="AO325" s="382"><f>LEFT(AN325,2)</f><v /></c><c r="AP325" s="382"><f>RIGHT(AN325,6)</f><v /></c><c r="AQ325" s="382"><f>+(AO325*60+AP325)/(60*60)</f><v /></c><c r="AR325" s="383"><f>+AM325/AQ325</f><v /></c><c r="AS325" s="321"><f>+(((AL325-AK325-AM325)/AM325)*100)</f><v /></c><c r="AT325" s="389"><f>IF(I325&gt;=1,"NO CONFORME",IF(BK325="SIGDIFERENTES",BC325,BL325))</f><v /></c><c r="AU325" s="372"><f>B325=C325</f><v /></c><c r="AV325" s="372"><f>N325&lt;Y325</f><v /></c><c r="AW325" s="372"><f>Z325&lt;=AK325</f><v /></c><c r="AX325" s="372"><f>IF(I325&gt;=1,"Qcorrecto",IF(AND(AY325="aceptable",AZ325="aceptable",BA325="aceptable"),"Qcorrecto","Qincorrecto"))</f><v /></c><c r="AY325" s="390"><f>IF(AR325&lt;$AH$6,"error",IF(AR325&gt;$AH$6*1.1,"error","aceptable"))</f><v /></c><c r="AZ325" s="390"><f>IF(AF325&lt;$V$6,"error",IF(AF325&gt;$V$6*1.1,"error","aceptable"))</f><v /></c><c r="BA325" s="390"><f>IF(T325&lt;$J$6*0.9,"error",IF(T325&gt;$J$6,"error","aceptable"))</f><v /></c><c r="BB325" s="25"><f>(IF(ABS(U325)&lt;1.05,"CONFORME",IF(ABS(AG325)&lt;1.05,"CONFORME",IF(ABS(AS325)&lt;2.55,"CONFORME","NO CONFORME"))))</f><v /></c><c r="BC325" s="5"><f>(IF(ABS(U325)&gt;2.05,"NO CONFORME",IF(ABS(AG325)&gt;2.05,"NO CONFORME",IF(ABS(AS325)&gt;5.05,"NO CONFORME","CONFORME"))))</f><v /></c><c r="BD325" s="374"><f>SIGN(U325)</f><v /></c><c r="BE325" s="374"><f>SIGN(AG325)</f><v /></c><c r="BF325" s="374"><f>SIGN(AS325)</f><v /></c><c r="BG325" s="374"><f>CONCATENATE(BD325,BE325,BF325)</f><v /></c><c r="BH325" s="374"><f>IF(BG325="111","SI","SD")</f><v /></c><c r="BI325" s="374"><f>IF(BG325="-1-1-1","SI","SD")</f><v /></c><c r="BJ325" s="374"><f>OR(BH325="SI",BI325="SI")</f><v /></c><c r="BK325" s="374"><f>IF(BJ325=FALSE,"SIGDIFERENTES","SIGIGUALES")</f><v /></c><c r="BL325" s="390"><f>IF(BC325="NO CONFORME","NO CONFORME",IF(BB325="CONFORME","CONFORME","NO CONFORME"))</f><v /></c></row><row r="326" ht="15.75" customHeight="1" thickBot="1"><c r="A326" s="443" t="n"><v>318</v></c><c r="B326" s="375"><f>B325</f><v /></c><c r="C326" s="375"><f>C325</f><v /></c><c r="D326" s="376"><f>D325</f><v /></c><c r="E326" s="377"><f>E325</f><v /></c><c r="F326" s="13" t="n" /><c r="G326" s="300" t="inlineStr"><is><t>PA25517026</t></is></c><c r="H326" s="313"><f>H325</f><v /></c><c r="I326" s="38"><f>I325</f><v /></c><c r="J326" s="314"><f>J325</f><v /></c><c r="K326" s="378"><f>K325</f><v /></c><c r="L326" s="378"><f>L325</f><v /></c><c r="M326" s="379" t="n"><v>158.65</v></c><c r="N326" s="379" t="n"><v>259.02</v></c><c r="O326" s="380"><f>O325</f><v /></c><c r="P326" s="381"><f>P325</f><v /></c><c r="Q326" s="382"><f>LEFT(P326,1)</f><v /></c><c r="R326" s="382"><f>RIGHT(P326,6)</f><v /></c><c r="S326" s="382"><f>+(Q326*60+R326)/(60*60)</f><v /></c><c r="T326" s="383"><f>+O326/S326</f><v /></c><c r="U326" s="384"><f>+(((N326-M326-O326)/O326)*100)</f><v /></c><c r="V326" s="317"><f>V325</f><v /></c><c r="W326" s="385"><f>W325</f><v /></c><c r="X326" s="385"><f>X325</f><v /></c><c r="Y326" s="379" t="n"><v>265.12</v></c><c r="Z326" s="379" t="n"><v>275.14</v></c><c r="AA326" s="386"><f>AA325</f><v /></c><c r="AB326" s="387"><f>AB325</f><v /></c><c r="AC326" s="382"><f>LEFT(AB326,2)</f><v /></c><c r="AD326" s="382"><f>RIGHT(AB326,6)</f><v /></c><c r="AE326" s="382"><f>+(AC326*60+AD326)/(60*60)</f><v /></c><c r="AF326" s="383"><f>+AA326/AE326</f><v /></c><c r="AG326" s="321"><f>+(((Z326-Y326-AA326)/AA326)*100)</f><v /></c><c r="AH326" s="317"><f>AH325</f><v /></c><c r="AI326" s="385"><f>AI325</f><v /></c><c r="AJ326" s="385"><f>AJ325</f><v /></c><c r="AK326" s="379"><f>Z326</f><v /></c><c r="AL326" s="379" t="n"><v>280.16</v></c><c r="AM326" s="388"><f>AM325</f><v /></c><c r="AN326" s="381"><f>AN325</f><v /></c><c r="AO326" s="382"><f>LEFT(AN326,2)</f><v /></c><c r="AP326" s="382"><f>RIGHT(AN326,6)</f><v /></c><c r="AQ326" s="382"><f>+(AO326*60+AP326)/(60*60)</f><v /></c><c r="AR326" s="383"><f>+AM326/AQ326</f><v /></c><c r="AS326" s="321"><f>+(((AL326-AK326-AM326)/AM326)*100)</f><v /></c><c r="AT326" s="389"><f>IF(I326&gt;=1,"NO CONFORME",IF(BK326="SIGDIFERENTES",BC326,BL326))</f><v /></c><c r="AU326" s="372"><f>B326=C326</f><v /></c><c r="AV326" s="372"><f>N326&lt;Y326</f><v /></c><c r="AW326" s="372"><f>Z326&lt;=AK326</f><v /></c><c r="AX326" s="372"><f>IF(I326&gt;=1,"Qcorrecto",IF(AND(AY326="aceptable",AZ326="aceptable",BA326="aceptable"),"Qcorrecto","Qincorrecto"))</f><v /></c><c r="AY326" s="390"><f>IF(AR326&lt;$AH$6,"error",IF(AR326&gt;$AH$6*1.1,"error","aceptable"))</f><v /></c><c r="AZ326" s="390"><f>IF(AF326&lt;$V$6,"error",IF(AF326&gt;$V$6*1.1,"error","aceptable"))</f><v /></c><c r="BA326" s="390"><f>IF(T326&lt;$J$6*0.9,"error",IF(T326&gt;$J$6,"error","aceptable"))</f><v /></c><c r="BB326" s="25"><f>(IF(ABS(U326)&lt;1.05,"CONFORME",IF(ABS(AG326)&lt;1.05,"CONFORME",IF(ABS(AS326)&lt;2.55,"CONFORME","NO CONFORME"))))</f><v /></c><c r="BC326" s="5"><f>(IF(ABS(U326)&gt;2.05,"NO CONFORME",IF(ABS(AG326)&gt;2.05,"NO CONFORME",IF(ABS(AS326)&gt;5.05,"NO CONFORME","CONFORME"))))</f><v /></c><c r="BD326" s="374"><f>SIGN(U326)</f><v /></c><c r="BE326" s="374"><f>SIGN(AG326)</f><v /></c><c r="BF326" s="374"><f>SIGN(AS326)</f><v /></c><c r="BG326" s="374"><f>CONCATENATE(BD326,BE326,BF326)</f><v /></c><c r="BH326" s="374"><f>IF(BG326="111","SI","SD")</f><v /></c><c r="BI326" s="374"><f>IF(BG326="-1-1-1","SI","SD")</f><v /></c><c r="BJ326" s="374"><f>OR(BH326="SI",BI326="SI")</f><v /></c><c r="BK326" s="374"><f>IF(BJ326=FALSE,"SIGDIFERENTES","SIGIGUALES")</f><v /></c><c r="BL326" s="390"><f>IF(BC326="NO CONFORME","NO CONFORME",IF(BB326="CONFORME","CONFORME","NO CONFORME"))</f><v /></c></row><row r="327" ht="15" customHeight="1" thickBot="1"><c r="A327" s="443" t="n"><v>319</v></c><c r="B327" s="375"><f>B326</f><v /></c><c r="C327" s="375"><f>C326</f><v /></c><c r="D327" s="376"><f>D326</f><v /></c><c r="E327" s="377"><f>E326</f><v /></c><c r="F327" s="13" t="n" /><c r="G327" s="300" t="inlineStr"><is><t>PA25517027</t></is></c><c r="H327" s="313"><f>H326</f><v /></c><c r="I327" s="38"><f>I326</f><v /></c><c r="J327" s="314"><f>J326</f><v /></c><c r="K327" s="378"><f>K326</f><v /></c><c r="L327" s="378"><f>L326</f><v /></c><c r="M327" s="379" t="n"><v>157.85</v></c><c r="N327" s="379" t="n"><v>258.35</v></c><c r="O327" s="380"><f>O326</f><v /></c><c r="P327" s="381"><f>P326</f><v /></c><c r="Q327" s="382"><f>LEFT(P327,1)</f><v /></c><c r="R327" s="382"><f>RIGHT(P327,6)</f><v /></c><c r="S327" s="382"><f>+(Q327*60+R327)/(60*60)</f><v /></c><c r="T327" s="383"><f>+O327/S327</f><v /></c><c r="U327" s="384"><f>+(((N327-M327-O327)/O327)*100)</f><v /></c><c r="V327" s="317"><f>V326</f><v /></c><c r="W327" s="385"><f>W326</f><v /></c><c r="X327" s="385"><f>X326</f><v /></c><c r="Y327" s="379" t="n"><v>264.47</v></c><c r="Z327" s="379" t="n"><v>274.4</v></c><c r="AA327" s="386"><f>AA326</f><v /></c><c r="AB327" s="387"><f>AB326</f><v /></c><c r="AC327" s="382"><f>LEFT(AB327,2)</f><v /></c><c r="AD327" s="382"><f>RIGHT(AB327,6)</f><v /></c><c r="AE327" s="382"><f>+(AC327*60+AD327)/(60*60)</f><v /></c><c r="AF327" s="383"><f>+AA327/AE327</f><v /></c><c r="AG327" s="321"><f>+(((Z327-Y327-AA327)/AA327)*100)</f><v /></c><c r="AH327" s="317"><f>AH326</f><v /></c><c r="AI327" s="385"><f>AI326</f><v /></c><c r="AJ327" s="385"><f>AJ326</f><v /></c><c r="AK327" s="379"><f>Z327</f><v /></c><c r="AL327" s="379" t="n"><v>279.39</v></c><c r="AM327" s="388"><f>AM326</f><v /></c><c r="AN327" s="381"><f>AN326</f><v /></c><c r="AO327" s="382"><f>LEFT(AN327,2)</f><v /></c><c r="AP327" s="382"><f>RIGHT(AN327,6)</f><v /></c><c r="AQ327" s="382"><f>+(AO327*60+AP327)/(60*60)</f><v /></c><c r="AR327" s="383"><f>+AM327/AQ327</f><v /></c><c r="AS327" s="321"><f>+(((AL327-AK327-AM327)/AM327)*100)</f><v /></c><c r="AT327" s="389"><f>IF(I327&gt;=1,"NO CONFORME",IF(BK327="SIGDIFERENTES",BC327,BL327))</f><v /></c><c r="AU327" s="372"><f>B327=C327</f><v /></c><c r="AV327" s="372"><f>N327&lt;Y327</f><v /></c><c r="AW327" s="372"><f>Z327&lt;=AK327</f><v /></c><c r="AX327" s="372"><f>IF(I327&gt;=1,"Qcorrecto",IF(AND(AY327="aceptable",AZ327="aceptable",BA327="aceptable"),"Qcorrecto","Qincorrecto"))</f><v /></c><c r="AY327" s="390"><f>IF(AR327&lt;$AH$6,"error",IF(AR327&gt;$AH$6*1.1,"error","aceptable"))</f><v /></c><c r="AZ327" s="390"><f>IF(AF327&lt;$V$6,"error",IF(AF327&gt;$V$6*1.1,"error","aceptable"))</f><v /></c><c r="BA327" s="390"><f>IF(T327&lt;$J$6*0.9,"error",IF(T327&gt;$J$6,"error","aceptable"))</f><v /></c><c r="BB327" s="25"><f>(IF(ABS(U327)&lt;1.05,"CONFORME",IF(ABS(AG327)&lt;1.05,"CONFORME",IF(ABS(AS327)&lt;2.55,"CONFORME","NO CONFORME"))))</f><v /></c><c r="BC327" s="5"><f>(IF(ABS(U327)&gt;2.05,"NO CONFORME",IF(ABS(AG327)&gt;2.05,"NO CONFORME",IF(ABS(AS327)&gt;5.05,"NO CONFORME","CONFORME"))))</f><v /></c><c r="BD327" s="374"><f>SIGN(U327)</f><v /></c><c r="BE327" s="374"><f>SIGN(AG327)</f><v /></c><c r="BF327" s="374"><f>SIGN(AS327)</f><v /></c><c r="BG327" s="374"><f>CONCATENATE(BD327,BE327,BF327)</f><v /></c><c r="BH327" s="374"><f>IF(BG327="111","SI","SD")</f><v /></c><c r="BI327" s="374"><f>IF(BG327="-1-1-1","SI","SD")</f><v /></c><c r="BJ327" s="374"><f>OR(BH327="SI",BI327="SI")</f><v /></c><c r="BK327" s="374"><f>IF(BJ327=FALSE,"SIGDIFERENTES","SIGIGUALES")</f><v /></c><c r="BL327" s="390"><f>IF(BC327="NO CONFORME","NO CONFORME",IF(BB327="CONFORME","CONFORME","NO CONFORME"))</f><v /></c></row><row r="328" ht="15" customHeight="1" thickBot="1"><c r="A328" s="443" t="n"><v>320</v></c><c r="B328" s="375"><f>B327</f><v /></c><c r="C328" s="375"><f>C327</f><v /></c><c r="D328" s="376"><f>D327</f><v /></c><c r="E328" s="377"><f>E327</f><v /></c><c r="F328" s="13" t="n" /><c r="G328" s="300" t="inlineStr"><is><t>PA25517028</t></is></c><c r="H328" s="313"><f>H327</f><v /></c><c r="I328" s="38"><f>I327</f><v /></c><c r="J328" s="314"><f>J327</f><v /></c><c r="K328" s="378"><f>K327</f><v /></c><c r="L328" s="378"><f>L327</f><v /></c><c r="M328" s="379" t="n"><v>239.37</v></c><c r="N328" s="379" t="n"><v>339.46</v></c><c r="O328" s="380"><f>O327</f><v /></c><c r="P328" s="381"><f>P327</f><v /></c><c r="Q328" s="382"><f>LEFT(P328,1)</f><v /></c><c r="R328" s="382"><f>RIGHT(P328,6)</f><v /></c><c r="S328" s="382"><f>+(Q328*60+R328)/(60*60)</f><v /></c><c r="T328" s="383"><f>+O328/S328</f><v /></c><c r="U328" s="384"><f>+(((N328-M328-O328)/O328)*100)</f><v /></c><c r="V328" s="317"><f>V327</f><v /></c><c r="W328" s="385"><f>W327</f><v /></c><c r="X328" s="385"><f>X327</f><v /></c><c r="Y328" s="379" t="n"><v>345.56</v></c><c r="Z328" s="379" t="n"><v>355.44</v></c><c r="AA328" s="386"><f>AA327</f><v /></c><c r="AB328" s="387"><f>AB327</f><v /></c><c r="AC328" s="382"><f>LEFT(AB328,2)</f><v /></c><c r="AD328" s="382"><f>RIGHT(AB328,6)</f><v /></c><c r="AE328" s="382"><f>+(AC328*60+AD328)/(60*60)</f><v /></c><c r="AF328" s="383"><f>+AA328/AE328</f><v /></c><c r="AG328" s="321"><f>+(((Z328-Y328-AA328)/AA328)*100)</f><v /></c><c r="AH328" s="317"><f>AH327</f><v /></c><c r="AI328" s="385"><f>AI327</f><v /></c><c r="AJ328" s="385"><f>AJ327</f><v /></c><c r="AK328" s="379"><f>Z328</f><v /></c><c r="AL328" s="379" t="n"><v>360.4</v></c><c r="AM328" s="388"><f>AM327</f><v /></c><c r="AN328" s="381"><f>AN327</f><v /></c><c r="AO328" s="382"><f>LEFT(AN328,2)</f><v /></c><c r="AP328" s="382"><f>RIGHT(AN328,6)</f><v /></c><c r="AQ328" s="382"><f>+(AO328*60+AP328)/(60*60)</f><v /></c><c r="AR328" s="383"><f>+AM328/AQ328</f><v /></c><c r="AS328" s="321"><f>+(((AL328-AK328-AM328)/AM328)*100)</f><v /></c><c r="AT328" s="389"><f>IF(I328&gt;=1,"NO CONFORME",IF(BK328="SIGDIFERENTES",BC328,BL328))</f><v /></c><c r="AU328" s="372"><f>B328=C328</f><v /></c><c r="AV328" s="372"><f>N328&lt;Y328</f><v /></c><c r="AW328" s="372"><f>Z328&lt;=AK328</f><v /></c><c r="AX328" s="372"><f>IF(I328&gt;=1,"Qcorrecto",IF(AND(AY328="aceptable",AZ328="aceptable",BA328="aceptable"),"Qcorrecto","Qincorrecto"))</f><v /></c><c r="AY328" s="390"><f>IF(AR328&lt;$AH$6,"error",IF(AR328&gt;$AH$6*1.1,"error","aceptable"))</f><v /></c><c r="AZ328" s="390"><f>IF(AF328&lt;$V$6,"error",IF(AF328&gt;$V$6*1.1,"error","aceptable"))</f><v /></c><c r="BA328" s="390"><f>IF(T328&lt;$J$6*0.9,"error",IF(T328&gt;$J$6,"error","aceptable"))</f><v /></c><c r="BB328" s="25"><f>(IF(ABS(U328)&lt;1.05,"CONFORME",IF(ABS(AG328)&lt;1.05,"CONFORME",IF(ABS(AS328)&lt;2.55,"CONFORME","NO CONFORME"))))</f><v /></c><c r="BC328" s="5"><f>(IF(ABS(U328)&gt;2.05,"NO CONFORME",IF(ABS(AG328)&gt;2.05,"NO CONFORME",IF(ABS(AS328)&gt;5.05,"NO CONFORME","CONFORME"))))</f><v /></c><c r="BD328" s="374"><f>SIGN(U328)</f><v /></c><c r="BE328" s="374"><f>SIGN(AG328)</f><v /></c><c r="BF328" s="374"><f>SIGN(AS328)</f><v /></c><c r="BG328" s="374"><f>CONCATENATE(BD328,BE328,BF328)</f><v /></c><c r="BH328" s="374"><f>IF(BG328="111","SI","SD")</f><v /></c><c r="BI328" s="374"><f>IF(BG328="-1-1-1","SI","SD")</f><v /></c><c r="BJ328" s="374"><f>OR(BH328="SI",BI328="SI")</f><v /></c><c r="BK328" s="374"><f>IF(BJ328=FALSE,"SIGDIFERENTES","SIGIGUALES")</f><v /></c><c r="BL328" s="390"><f>IF(BC328="NO CONFORME","NO CONFORME",IF(BB328="CONFORME","CONFORME","NO CONFORME"))</f><v /></c></row><row r="329" ht="15.75" customHeight="1" thickBot="1"><c r="A329" s="443" t="n"><v>321</v></c><c r="B329" s="375"><f>B328</f><v /></c><c r="C329" s="375"><f>C328</f><v /></c><c r="D329" s="376"><f>D328</f><v /></c><c r="E329" s="377"><f>E328</f><v /></c><c r="F329" s="13" t="n" /><c r="G329" s="300" t="inlineStr"><is><t>PA25517029</t></is></c><c r="H329" s="313"><f>H328</f><v /></c><c r="I329" s="38"><f>I328</f><v /></c><c r="J329" s="314"><f>J328</f><v /></c><c r="K329" s="378"><f>K328</f><v /></c><c r="L329" s="378"><f>L328</f><v /></c><c r="M329" s="379" t="n"><v>156.85</v></c><c r="N329" s="379" t="n"><v>257.3</v></c><c r="O329" s="380"><f>O328</f><v /></c><c r="P329" s="381"><f>P328</f><v /></c><c r="Q329" s="382"><f>LEFT(P329,1)</f><v /></c><c r="R329" s="382"><f>RIGHT(P329,6)</f><v /></c><c r="S329" s="382"><f>+(Q329*60+R329)/(60*60)</f><v /></c><c r="T329" s="383"><f>+O329/S329</f><v /></c><c r="U329" s="384"><f>+(((N329-M329-O329)/O329)*100)</f><v /></c><c r="V329" s="317"><f>V328</f><v /></c><c r="W329" s="385"><f>W328</f><v /></c><c r="X329" s="385"><f>X328</f><v /></c><c r="Y329" s="379" t="n"><v>263.5</v></c><c r="Z329" s="379" t="n"><v>273.45</v></c><c r="AA329" s="386"><f>AA328</f><v /></c><c r="AB329" s="387"><f>AB328</f><v /></c><c r="AC329" s="382"><f>LEFT(AB329,2)</f><v /></c><c r="AD329" s="382"><f>RIGHT(AB329,6)</f><v /></c><c r="AE329" s="382"><f>+(AC329*60+AD329)/(60*60)</f><v /></c><c r="AF329" s="383"><f>+AA329/AE329</f><v /></c><c r="AG329" s="321"><f>+(((Z329-Y329-AA329)/AA329)*100)</f><v /></c><c r="AH329" s="317"><f>AH328</f><v /></c><c r="AI329" s="385"><f>AI328</f><v /></c><c r="AJ329" s="385"><f>AJ328</f><v /></c><c r="AK329" s="379"><f>Z329</f><v /></c><c r="AL329" s="379" t="n"><v>278.5</v></c><c r="AM329" s="388"><f>AM328</f><v /></c><c r="AN329" s="381"><f>AN328</f><v /></c><c r="AO329" s="382"><f>LEFT(AN329,2)</f><v /></c><c r="AP329" s="382"><f>RIGHT(AN329,6)</f><v /></c><c r="AQ329" s="382"><f>+(AO329*60+AP329)/(60*60)</f><v /></c><c r="AR329" s="383"><f>+AM329/AQ329</f><v /></c><c r="AS329" s="321"><f>+(((AL329-AK329-AM329)/AM329)*100)</f><v /></c><c r="AT329" s="389"><f>IF(I329&gt;=1,"NO CONFORME",IF(BK329="SIGDIFERENTES",BC329,BL329))</f><v /></c><c r="AU329" s="372"><f>B329=C329</f><v /></c><c r="AV329" s="372"><f>N329&lt;Y329</f><v /></c><c r="AW329" s="372"><f>Z329&lt;=AK329</f><v /></c><c r="AX329" s="372"><f>IF(I329&gt;=1,"Qcorrecto",IF(AND(AY329="aceptable",AZ329="aceptable",BA329="aceptable"),"Qcorrecto","Qincorrecto"))</f><v /></c><c r="AY329" s="390"><f>IF(AR329&lt;$AH$6,"error",IF(AR329&gt;$AH$6*1.1,"error","aceptable"))</f><v /></c><c r="AZ329" s="390"><f>IF(AF329&lt;$V$6,"error",IF(AF329&gt;$V$6*1.1,"error","aceptable"))</f><v /></c><c r="BA329" s="390"><f>IF(T329&lt;$J$6*0.9,"error",IF(T329&gt;$J$6,"error","aceptable"))</f><v /></c><c r="BB329" s="25"><f>(IF(ABS(U329)&lt;1.05,"CONFORME",IF(ABS(AG329)&lt;1.05,"CONFORME",IF(ABS(AS329)&lt;2.55,"CONFORME","NO CONFORME"))))</f><v /></c><c r="BC329" s="5"><f>(IF(ABS(U329)&gt;2.05,"NO CONFORME",IF(ABS(AG329)&gt;2.05,"NO CONFORME",IF(ABS(AS329)&gt;5.05,"NO CONFORME","CONFORME"))))</f><v /></c><c r="BD329" s="374"><f>SIGN(U329)</f><v /></c><c r="BE329" s="374"><f>SIGN(AG329)</f><v /></c><c r="BF329" s="374"><f>SIGN(AS329)</f><v /></c><c r="BG329" s="374"><f>CONCATENATE(BD329,BE329,BF329)</f><v /></c><c r="BH329" s="374"><f>IF(BG329="111","SI","SD")</f><v /></c><c r="BI329" s="374"><f>IF(BG329="-1-1-1","SI","SD")</f><v /></c><c r="BJ329" s="374"><f>OR(BH329="SI",BI329="SI")</f><v /></c><c r="BK329" s="374"><f>IF(BJ329=FALSE,"SIGDIFERENTES","SIGIGUALES")</f><v /></c><c r="BL329" s="390"><f>IF(BC329="NO CONFORME","NO CONFORME",IF(BB329="CONFORME","CONFORME","NO CONFORME"))</f><v /></c></row><row r="330" ht="15" customHeight="1" thickBot="1"><c r="A330" s="445" t="n"><v>322</v></c><c r="B330" s="392"><f>B329</f><v /></c><c r="C330" s="392"><f>C329</f><v /></c><c r="D330" s="393"><f>D329</f><v /></c><c r="E330" s="394"><f>E329</f><v /></c><c r="F330" s="52" t="n" /><c r="G330" s="300" t="inlineStr"><is><t>PA25517030</t></is></c><c r="H330" s="326"><f>H329</f><v /></c><c r="I330" s="98"><f>I329</f><v /></c><c r="J330" s="327"><f>J329</f><v /></c><c r="K330" s="396"><f>K329</f><v /></c><c r="L330" s="396"><f>L329</f><v /></c><c r="M330" s="397" t="n"><v>198.7</v></c><c r="N330" s="397" t="n"><v>298.99</v></c><c r="O330" s="398"><f>O329</f><v /></c><c r="P330" s="399"><f>P329</f><v /></c><c r="Q330" s="400"><f>LEFT(P330,1)</f><v /></c><c r="R330" s="400"><f>RIGHT(P330,6)</f><v /></c><c r="S330" s="400"><f>+(Q330*60+R330)/(60*60)</f><v /></c><c r="T330" s="401"><f>+O330/S330</f><v /></c><c r="U330" s="402"><f>+(((N330-M330-O330)/O330)*100)</f><v /></c><c r="V330" s="329"><f>V329</f><v /></c><c r="W330" s="403"><f>W329</f><v /></c><c r="X330" s="403"><f>X329</f><v /></c><c r="Y330" s="397" t="n"><v>305.15</v></c><c r="Z330" s="397" t="n"><v>315.2</v></c><c r="AA330" s="404"><f>AA329</f><v /></c><c r="AB330" s="405"><f>AB329</f><v /></c><c r="AC330" s="400"><f>LEFT(AB330,2)</f><v /></c><c r="AD330" s="400"><f>RIGHT(AB330,6)</f><v /></c><c r="AE330" s="400"><f>+(AC330*60+AD330)/(60*60)</f><v /></c><c r="AF330" s="401"><f>+AA330/AE330</f><v /></c><c r="AG330" s="406"><f>+(((Z330-Y330-AA330)/AA330)*100)</f><v /></c><c r="AH330" s="329"><f>AH329</f><v /></c><c r="AI330" s="403"><f>AI329</f><v /></c><c r="AJ330" s="403"><f>AJ329</f><v /></c><c r="AK330" s="397"><f>Z330</f><v /></c><c r="AL330" s="397" t="n"><v>320.29</v></c><c r="AM330" s="407"><f>AM329</f><v /></c><c r="AN330" s="399"><f>AN329</f><v /></c><c r="AO330" s="400"><f>LEFT(AN330,2)</f><v /></c><c r="AP330" s="400"><f>RIGHT(AN330,6)</f><v /></c><c r="AQ330" s="400"><f>+(AO330*60+AP330)/(60*60)</f><v /></c><c r="AR330" s="401"><f>+AM330/AQ330</f><v /></c><c r="AS330" s="406"><f>+(((AL330-AK330-AM330)/AM330)*100)</f><v /></c><c r="AT330" s="408"><f>IF(I330&gt;=1,"NO CONFORME",IF(BK330="SIGDIFERENTES",BC330,BL330))</f><v /></c><c r="AU330" s="409"><f>B330=C330</f><v /></c><c r="AV330" s="409"><f>N330&lt;Y330</f><v /></c><c r="AW330" s="409"><f>Z330&lt;=AK330</f><v /></c><c r="AX330" s="409"><f>IF(I330&gt;=1,"Qcorrecto",IF(AND(AY330="aceptable",AZ330="aceptable",BA330="aceptable"),"Qcorrecto","Qincorrecto"))</f><v /></c><c r="AY330" s="410"><f>IF(AR330&lt;$AH$6,"error",IF(AR330&gt;$AH$6*1.1,"error","aceptable"))</f><v /></c><c r="AZ330" s="410"><f>IF(AF330&lt;$V$6,"error",IF(AF330&gt;$V$6*1.1,"error","aceptable"))</f><v /></c><c r="BA330" s="410"><f>IF(T330&lt;$J$6*0.9,"error",IF(T330&gt;$J$6,"error","aceptable"))</f><v /></c><c r="BB330" s="411"><f>(IF(ABS(U330)&lt;1.05,"CONFORME",IF(ABS(AG330)&lt;1.05,"CONFORME",IF(ABS(AS330)&lt;2.55,"CONFORME","NO CONFORME"))))</f><v /></c><c r="BC330" s="412"><f>(IF(ABS(U330)&gt;2.05,"NO CONFORME",IF(ABS(AG330)&gt;2.05,"NO CONFORME",IF(ABS(AS330)&gt;5.05,"NO CONFORME","CONFORME"))))</f><v /></c><c r="BD330" s="413"><f>SIGN(U330)</f><v /></c><c r="BE330" s="413"><f>SIGN(AG330)</f><v /></c><c r="BF330" s="413"><f>SIGN(AS330)</f><v /></c><c r="BG330" s="413"><f>CONCATENATE(BD330,BE330,BF330)</f><v /></c><c r="BH330" s="413"><f>IF(BG330="111","SI","SD")</f><v /></c><c r="BI330" s="413"><f>IF(BG330="-1-1-1","SI","SD")</f><v /></c><c r="BJ330" s="413"><f>OR(BH330="SI",BI330="SI")</f><v /></c><c r="BK330" s="413"><f>IF(BJ330=FALSE,"SIGDIFERENTES","SIGIGUALES")</f><v /></c><c r="BL330" s="410"><f>IF(BC330="NO CONFORME","NO CONFORME",IF(BB330="CONFORME","CONFORME","NO CONFORME"))</f><v /></c></row><row r="331" ht="15" customHeight="1" thickBot="1"><c r="A331" s="351" t="n"><v>323</v></c><c r="B331" s="352"><f>B330</f><v /></c><c r="C331" s="352"><f>C330</f><v /></c><c r="D331" s="353"><f>D330</f><v /></c><c r="E331" s="354"><f>E330</f><v /></c><c r="F331" s="58" t="n" /><c r="G331" s="300" t="inlineStr"><is><t>PA25517031</t></is></c><c r="H331" s="356"><f>H330</f><v /></c><c r="I331" s="232"><f>I330</f><v /></c><c r="J331" s="357" t="n"><v>20.1</v></c><c r="K331" s="358" t="n"><v>7.898</v></c><c r="L331" s="358" t="n"><v>0.554</v></c><c r="M331" s="359" t="n"><v>159.7</v></c><c r="N331" s="359" t="n"><v>259.75</v></c><c r="O331" s="360" t="n"><v>100.63</v></c><c r="P331" s="361" t="inlineStr"><is><t>2,29,980</t></is></c><c r="Q331" s="362"><f>LEFT(P331,1)</f><v /></c><c r="R331" s="362"><f>RIGHT(P331,6)</f><v /></c><c r="S331" s="362"><f>+(Q331*60+R331)/(60*60)</f><v /></c><c r="T331" s="363"><f>+O331/S331</f><v /></c><c r="U331" s="364"><f>+(((N331-M331-O331)/O331)*100)</f><v /></c><c r="V331" s="365" t="n"><v>20.4</v></c><c r="W331" s="366" t="n"><v>1.507</v></c><c r="X331" s="366" t="n"><v>1.504</v></c><c r="Y331" s="359" t="n"><v>265.52</v></c><c r="Z331" s="359" t="n"><v>275.47</v></c><c r="AA331" s="367" t="n"><v>10.019</v></c><c r="AB331" s="368" t="inlineStr"><is><t>22,13,560</t></is></c><c r="AC331" s="362"><f>LEFT(AB331,2)</f><v /></c><c r="AD331" s="362"><f>RIGHT(AB331,6)</f><v /></c><c r="AE331" s="362"><f>+(AC331*60+AD331)/(60*60)</f><v /></c><c r="AF331" s="363"><f>+AA331/AE331</f><v /></c><c r="AG331" s="369"><f>+(((Z331-Y331-AA331)/AA331)*100)</f><v /></c><c r="AH331" s="365" t="n"><v>20.5</v></c><c r="AI331" s="366" t="n"><v>1.505</v></c><c r="AJ331" s="366" t="n"><v>1.503</v></c><c r="AK331" s="359"><f>Z331</f><v /></c><c r="AL331" s="359" t="n"><v>280.5</v></c><c r="AM331" s="370" t="n"><v>5.018</v></c><c r="AN331" s="361" t="inlineStr"><is><t>18,00,000</t></is></c><c r="AO331" s="362"><f>LEFT(AN331,2)</f><v /></c><c r="AP331" s="362"><f>RIGHT(AN331,6)</f><v /></c><c r="AQ331" s="362"><f>+(AO331*60+AP331)/(60*60)</f><v /></c><c r="AR331" s="363"><f>+AM331/AQ331</f><v /></c><c r="AS331" s="369"><f>+(((AL331-AK331-AM331)/AM331)*100)</f><v /></c><c r="AT331" s="371"><f>IF(I331&gt;=1,"NO CONFORME",IF(BK331="SIGDIFERENTES",BC331,BL331))</f><v /></c><c r="AU331" s="372"><f>B331=C331</f><v /></c><c r="AV331" s="372"><f>N331&lt;Y331</f><v /></c><c r="AW331" s="372"><f>Z331&lt;=AK331</f><v /></c><c r="AX331" s="372"><f>IF(I331&gt;=1,"Qcorrecto",IF(AND(AY331="aceptable",AZ331="aceptable",BA331="aceptable"),"Qcorrecto","Qincorrecto"))</f><v /></c><c r="AY331" s="373"><f>IF(AR331&lt;$AH$6,"error",IF(AR331&gt;$AH$6*1.1,"error","aceptable"))</f><v /></c><c r="AZ331" s="373"><f>IF(AF331&lt;$V$6,"error",IF(AF331&gt;$V$6*1.1,"error","aceptable"))</f><v /></c><c r="BA331" s="373"><f>IF(T331&lt;$J$6*0.9,"error",IF(T331&gt;$J$6,"error","aceptable"))</f><v /></c><c r="BB331" s="25"><f>(IF(ABS(U331)&lt;1.05,"CONFORME",IF(ABS(AG331)&lt;1.05,"CONFORME",IF(ABS(AS331)&lt;2.55,"CONFORME","NO CONFORME"))))</f><v /></c><c r="BC331" s="5"><f>(IF(ABS(U331)&gt;2.05,"NO CONFORME",IF(ABS(AG331)&gt;2.05,"NO CONFORME",IF(ABS(AS331)&gt;5.05,"NO CONFORME","CONFORME"))))</f><v /></c><c r="BD331" s="374"><f>SIGN(U331)</f><v /></c><c r="BE331" s="374"><f>SIGN(AG331)</f><v /></c><c r="BF331" s="374"><f>SIGN(AS331)</f><v /></c><c r="BG331" s="374"><f>CONCATENATE(BD331,BE331,BF331)</f><v /></c><c r="BH331" s="374"><f>IF(BG331="111","SI","SD")</f><v /></c><c r="BI331" s="374"><f>IF(BG331="-1-1-1","SI","SD")</f><v /></c><c r="BJ331" s="374"><f>OR(BH331="SI",BI331="SI")</f><v /></c><c r="BK331" s="374"><f>IF(BJ331=FALSE,"SIGDIFERENTES","SIGIGUALES")</f><v /></c><c r="BL331" s="373"><f>IF(BC331="NO CONFORME","NO CONFORME",IF(BB331="CONFORME","CONFORME","NO CONFORME"))</f><v /></c></row><row r="332" ht="15" customHeight="1" thickBot="1"><c r="A332" s="443" t="n"><v>324</v></c><c r="B332" s="375"><f>B331</f><v /></c><c r="C332" s="375"><f>C331</f><v /></c><c r="D332" s="376"><f>D331</f><v /></c><c r="E332" s="377"><f>E331</f><v /></c><c r="F332" s="13" t="n" /><c r="G332" s="300" t="inlineStr"><is><t>PA25517032</t></is></c><c r="H332" s="313"><f>H331</f><v /></c><c r="I332" s="38"><f>I331</f><v /></c><c r="J332" s="314"><f>J331</f><v /></c><c r="K332" s="378"><f>K331</f><v /></c><c r="L332" s="378"><f>L331</f><v /></c><c r="M332" s="379" t="n"><v>198.9</v></c><c r="N332" s="379" t="n"><v>298.6</v></c><c r="O332" s="380"><f>O331</f><v /></c><c r="P332" s="381"><f>P331</f><v /></c><c r="Q332" s="382"><f>LEFT(P332,1)</f><v /></c><c r="R332" s="382"><f>RIGHT(P332,6)</f><v /></c><c r="S332" s="382"><f>+(Q332*60+R332)/(60*60)</f><v /></c><c r="T332" s="383"><f>+O332/S332</f><v /></c><c r="U332" s="384"><f>+(((N332-M332-O332)/O332)*100)</f><v /></c><c r="V332" s="317"><f>V331</f><v /></c><c r="W332" s="385"><f>W331</f><v /></c><c r="X332" s="385"><f>X331</f><v /></c><c r="Y332" s="379" t="n"><v>304.37</v></c><c r="Z332" s="379" t="n"><v>314.27</v></c><c r="AA332" s="386"><f>AA331</f><v /></c><c r="AB332" s="387"><f>AB331</f><v /></c><c r="AC332" s="382"><f>LEFT(AB332,2)</f><v /></c><c r="AD332" s="382"><f>RIGHT(AB332,6)</f><v /></c><c r="AE332" s="382"><f>+(AC332*60+AD332)/(60*60)</f><v /></c><c r="AF332" s="383"><f>+AA332/AE332</f><v /></c><c r="AG332" s="321"><f>+(((Z332-Y332-AA332)/AA332)*100)</f><v /></c><c r="AH332" s="317"><f>AH331</f><v /></c><c r="AI332" s="385"><f>AI331</f><v /></c><c r="AJ332" s="385"><f>AJ331</f><v /></c><c r="AK332" s="379"><f>Z332</f><v /></c><c r="AL332" s="379" t="n"><v>319.37</v></c><c r="AM332" s="388"><f>AM331</f><v /></c><c r="AN332" s="381"><f>AN331</f><v /></c><c r="AO332" s="382"><f>LEFT(AN332,2)</f><v /></c><c r="AP332" s="382"><f>RIGHT(AN332,6)</f><v /></c><c r="AQ332" s="382"><f>+(AO332*60+AP332)/(60*60)</f><v /></c><c r="AR332" s="383"><f>+AM332/AQ332</f><v /></c><c r="AS332" s="321"><f>+(((AL332-AK332-AM332)/AM332)*100)</f><v /></c><c r="AT332" s="389"><f>IF(I332&gt;=1,"NO CONFORME",IF(BK332="SIGDIFERENTES",BC332,BL332))</f><v /></c><c r="AU332" s="372"><f>B332=C332</f><v /></c><c r="AV332" s="372"><f>N332&lt;Y332</f><v /></c><c r="AW332" s="372"><f>Z332&lt;=AK332</f><v /></c><c r="AX332" s="372"><f>IF(I332&gt;=1,"Qcorrecto",IF(AND(AY332="aceptable",AZ332="aceptable",BA332="aceptable"),"Qcorrecto","Qincorrecto"))</f><v /></c><c r="AY332" s="390"><f>IF(AR332&lt;$AH$6,"error",IF(AR332&gt;$AH$6*1.1,"error","aceptable"))</f><v /></c><c r="AZ332" s="390"><f>IF(AF332&lt;$V$6,"error",IF(AF332&gt;$V$6*1.1,"error","aceptable"))</f><v /></c><c r="BA332" s="390"><f>IF(T332&lt;$J$6*0.9,"error",IF(T332&gt;$J$6,"error","aceptable"))</f><v /></c><c r="BB332" s="25"><f>(IF(ABS(U332)&lt;1.05,"CONFORME",IF(ABS(AG332)&lt;1.05,"CONFORME",IF(ABS(AS332)&lt;2.55,"CONFORME","NO CONFORME"))))</f><v /></c><c r="BC332" s="5"><f>(IF(ABS(U332)&gt;2.05,"NO CONFORME",IF(ABS(AG332)&gt;2.05,"NO CONFORME",IF(ABS(AS332)&gt;5.05,"NO CONFORME","CONFORME"))))</f><v /></c><c r="BD332" s="374"><f>SIGN(U332)</f><v /></c><c r="BE332" s="374"><f>SIGN(AG332)</f><v /></c><c r="BF332" s="374"><f>SIGN(AS332)</f><v /></c><c r="BG332" s="374"><f>CONCATENATE(BD332,BE332,BF332)</f><v /></c><c r="BH332" s="374"><f>IF(BG332="111","SI","SD")</f><v /></c><c r="BI332" s="374"><f>IF(BG332="-1-1-1","SI","SD")</f><v /></c><c r="BJ332" s="374"><f>OR(BH332="SI",BI332="SI")</f><v /></c><c r="BK332" s="374"><f>IF(BJ332=FALSE,"SIGDIFERENTES","SIGIGUALES")</f><v /></c><c r="BL332" s="390"><f>IF(BC332="NO CONFORME","NO CONFORME",IF(BB332="CONFORME","CONFORME","NO CONFORME"))</f><v /></c></row><row r="333" ht="15" customHeight="1" thickBot="1"><c r="A333" s="443" t="n"><v>325</v></c><c r="B333" s="375"><f>B332</f><v /></c><c r="C333" s="375"><f>C332</f><v /></c><c r="D333" s="376"><f>D332</f><v /></c><c r="E333" s="377"><f>E332</f><v /></c><c r="F333" s="13" t="n" /><c r="G333" s="300" t="inlineStr"><is><t>PA25517033</t></is></c><c r="H333" s="313"><f>H332</f><v /></c><c r="I333" s="38"><f>I332</f><v /></c><c r="J333" s="314"><f>J332</f><v /></c><c r="K333" s="378"><f>K332</f><v /></c><c r="L333" s="378"><f>L332</f><v /></c><c r="M333" s="379" t="n"><v>118.42</v></c><c r="N333" s="379" t="n"><v>217.8</v></c><c r="O333" s="380"><f>O332</f><v /></c><c r="P333" s="381"><f>P332</f><v /></c><c r="Q333" s="382"><f>LEFT(P333,1)</f><v /></c><c r="R333" s="382"><f>RIGHT(P333,6)</f><v /></c><c r="S333" s="382"><f>+(Q333*60+R333)/(60*60)</f><v /></c><c r="T333" s="383"><f>+O333/S333</f><v /></c><c r="U333" s="384"><f>+(((N333-M333-O333)/O333)*100)</f><v /></c><c r="V333" s="317"><f>V332</f><v /></c><c r="W333" s="385"><f>W332</f><v /></c><c r="X333" s="385"><f>X332</f><v /></c><c r="Y333" s="379" t="n"><v>223.6</v></c><c r="Z333" s="379" t="n"><v>233.5</v></c><c r="AA333" s="386"><f>AA332</f><v /></c><c r="AB333" s="387"><f>AB332</f><v /></c><c r="AC333" s="382"><f>LEFT(AB333,2)</f><v /></c><c r="AD333" s="382"><f>RIGHT(AB333,6)</f><v /></c><c r="AE333" s="382"><f>+(AC333*60+AD333)/(60*60)</f><v /></c><c r="AF333" s="383"><f>+AA333/AE333</f><v /></c><c r="AG333" s="321"><f>+(((Z333-Y333-AA333)/AA333)*100)</f><v /></c><c r="AH333" s="317"><f>AH332</f><v /></c><c r="AI333" s="385"><f>AI332</f><v /></c><c r="AJ333" s="385"><f>AJ332</f><v /></c><c r="AK333" s="379"><f>Z333</f><v /></c><c r="AL333" s="379" t="n"><v>238.54</v></c><c r="AM333" s="388"><f>AM332</f><v /></c><c r="AN333" s="381"><f>AN332</f><v /></c><c r="AO333" s="382"><f>LEFT(AN333,2)</f><v /></c><c r="AP333" s="382"><f>RIGHT(AN333,6)</f><v /></c><c r="AQ333" s="382"><f>+(AO333*60+AP333)/(60*60)</f><v /></c><c r="AR333" s="383"><f>+AM333/AQ333</f><v /></c><c r="AS333" s="321"><f>+(((AL333-AK333-AM333)/AM333)*100)</f><v /></c><c r="AT333" s="389"><f>IF(I333&gt;=1,"NO CONFORME",IF(BK333="SIGDIFERENTES",BC333,BL333))</f><v /></c><c r="AU333" s="372"><f>B333=C333</f><v /></c><c r="AV333" s="372"><f>N333&lt;Y333</f><v /></c><c r="AW333" s="372"><f>Z333&lt;=AK333</f><v /></c><c r="AX333" s="372"><f>IF(I333&gt;=1,"Qcorrecto",IF(AND(AY333="aceptable",AZ333="aceptable",BA333="aceptable"),"Qcorrecto","Qincorrecto"))</f><v /></c><c r="AY333" s="390"><f>IF(AR333&lt;$AH$6,"error",IF(AR333&gt;$AH$6*1.1,"error","aceptable"))</f><v /></c><c r="AZ333" s="390"><f>IF(AF333&lt;$V$6,"error",IF(AF333&gt;$V$6*1.1,"error","aceptable"))</f><v /></c><c r="BA333" s="390"><f>IF(T333&lt;$J$6*0.9,"error",IF(T333&gt;$J$6,"error","aceptable"))</f><v /></c><c r="BB333" s="25"><f>(IF(ABS(U333)&lt;1.05,"CONFORME",IF(ABS(AG333)&lt;1.05,"CONFORME",IF(ABS(AS333)&lt;2.55,"CONFORME","NO CONFORME"))))</f><v /></c><c r="BC333" s="5"><f>(IF(ABS(U333)&gt;2.05,"NO CONFORME",IF(ABS(AG333)&gt;2.05,"NO CONFORME",IF(ABS(AS333)&gt;5.05,"NO CONFORME","CONFORME"))))</f><v /></c><c r="BD333" s="374"><f>SIGN(U333)</f><v /></c><c r="BE333" s="374"><f>SIGN(AG333)</f><v /></c><c r="BF333" s="374"><f>SIGN(AS333)</f><v /></c><c r="BG333" s="374"><f>CONCATENATE(BD333,BE333,BF333)</f><v /></c><c r="BH333" s="374"><f>IF(BG333="111","SI","SD")</f><v /></c><c r="BI333" s="374"><f>IF(BG333="-1-1-1","SI","SD")</f><v /></c><c r="BJ333" s="374"><f>OR(BH333="SI",BI333="SI")</f><v /></c><c r="BK333" s="374"><f>IF(BJ333=FALSE,"SIGDIFERENTES","SIGIGUALES")</f><v /></c><c r="BL333" s="390"><f>IF(BC333="NO CONFORME","NO CONFORME",IF(BB333="CONFORME","CONFORME","NO CONFORME"))</f><v /></c></row><row r="334" ht="15" customHeight="1" thickBot="1"><c r="A334" s="443" t="n"><v>326</v></c><c r="B334" s="375"><f>B333</f><v /></c><c r="C334" s="375"><f>C333</f><v /></c><c r="D334" s="376"><f>D333</f><v /></c><c r="E334" s="377"><f>E333</f><v /></c><c r="F334" s="13" t="n" /><c r="G334" s="300" t="inlineStr"><is><t>PA25517034</t></is></c><c r="H334" s="313"><f>H333</f><v /></c><c r="I334" s="38"><f>I333</f><v /></c><c r="J334" s="314"><f>J333</f><v /></c><c r="K334" s="378"><f>K333</f><v /></c><c r="L334" s="378"><f>L333</f><v /></c><c r="M334" s="379" t="n"><v>156.82</v></c><c r="N334" s="379" t="n"><v>256.36</v></c><c r="O334" s="380"><f>O333</f><v /></c><c r="P334" s="381"><f>P333</f><v /></c><c r="Q334" s="382"><f>LEFT(P334,1)</f><v /></c><c r="R334" s="382"><f>RIGHT(P334,6)</f><v /></c><c r="S334" s="382"><f>+(Q334*60+R334)/(60*60)</f><v /></c><c r="T334" s="383"><f>+O334/S334</f><v /></c><c r="U334" s="384"><f>+(((N334-M334-O334)/O334)*100)</f><v /></c><c r="V334" s="317"><f>V333</f><v /></c><c r="W334" s="385"><f>W333</f><v /></c><c r="X334" s="385"><f>X333</f><v /></c><c r="Y334" s="379" t="n"><v>262.05</v></c><c r="Z334" s="379" t="n"><v>272.02</v></c><c r="AA334" s="386"><f>AA333</f><v /></c><c r="AB334" s="387"><f>AB333</f><v /></c><c r="AC334" s="382"><f>LEFT(AB334,2)</f><v /></c><c r="AD334" s="382"><f>RIGHT(AB334,6)</f><v /></c><c r="AE334" s="382"><f>+(AC334*60+AD334)/(60*60)</f><v /></c><c r="AF334" s="383"><f>+AA334/AE334</f><v /></c><c r="AG334" s="321"><f>+(((Z334-Y334-AA334)/AA334)*100)</f><v /></c><c r="AH334" s="317"><f>AH333</f><v /></c><c r="AI334" s="385"><f>AI333</f><v /></c><c r="AJ334" s="385"><f>AJ333</f><v /></c><c r="AK334" s="379"><f>Z334</f><v /></c><c r="AL334" s="379" t="n"><v>277.06</v></c><c r="AM334" s="388"><f>AM333</f><v /></c><c r="AN334" s="381"><f>AN333</f><v /></c><c r="AO334" s="382"><f>LEFT(AN334,2)</f><v /></c><c r="AP334" s="382"><f>RIGHT(AN334,6)</f><v /></c><c r="AQ334" s="382"><f>+(AO334*60+AP334)/(60*60)</f><v /></c><c r="AR334" s="383"><f>+AM334/AQ334</f><v /></c><c r="AS334" s="321"><f>+(((AL334-AK334-AM334)/AM334)*100)</f><v /></c><c r="AT334" s="389"><f>IF(I334&gt;=1,"NO CONFORME",IF(BK334="SIGDIFERENTES",BC334,BL334))</f><v /></c><c r="AU334" s="372"><f>B334=C334</f><v /></c><c r="AV334" s="372"><f>N334&lt;Y334</f><v /></c><c r="AW334" s="372"><f>Z334&lt;=AK334</f><v /></c><c r="AX334" s="372"><f>IF(I334&gt;=1,"Qcorrecto",IF(AND(AY334="aceptable",AZ334="aceptable",BA334="aceptable"),"Qcorrecto","Qincorrecto"))</f><v /></c><c r="AY334" s="390"><f>IF(AR334&lt;$AH$6,"error",IF(AR334&gt;$AH$6*1.1,"error","aceptable"))</f><v /></c><c r="AZ334" s="390"><f>IF(AF334&lt;$V$6,"error",IF(AF334&gt;$V$6*1.1,"error","aceptable"))</f><v /></c><c r="BA334" s="390"><f>IF(T334&lt;$J$6*0.9,"error",IF(T334&gt;$J$6,"error","aceptable"))</f><v /></c><c r="BB334" s="25"><f>(IF(ABS(U334)&lt;1.05,"CONFORME",IF(ABS(AG334)&lt;1.05,"CONFORME",IF(ABS(AS334)&lt;2.55,"CONFORME","NO CONFORME"))))</f><v /></c><c r="BC334" s="5"><f>(IF(ABS(U334)&gt;2.05,"NO CONFORME",IF(ABS(AG334)&gt;2.05,"NO CONFORME",IF(ABS(AS334)&gt;5.05,"NO CONFORME","CONFORME"))))</f><v /></c><c r="BD334" s="374"><f>SIGN(U334)</f><v /></c><c r="BE334" s="374"><f>SIGN(AG334)</f><v /></c><c r="BF334" s="374"><f>SIGN(AS334)</f><v /></c><c r="BG334" s="374"><f>CONCATENATE(BD334,BE334,BF334)</f><v /></c><c r="BH334" s="374"><f>IF(BG334="111","SI","SD")</f><v /></c><c r="BI334" s="374"><f>IF(BG334="-1-1-1","SI","SD")</f><v /></c><c r="BJ334" s="374"><f>OR(BH334="SI",BI334="SI")</f><v /></c><c r="BK334" s="374"><f>IF(BJ334=FALSE,"SIGDIFERENTES","SIGIGUALES")</f><v /></c><c r="BL334" s="390"><f>IF(BC334="NO CONFORME","NO CONFORME",IF(BB334="CONFORME","CONFORME","NO CONFORME"))</f><v /></c></row><row r="335" ht="15" customHeight="1" thickBot="1"><c r="A335" s="443" t="n"><v>327</v></c><c r="B335" s="375"><f>B334</f><v /></c><c r="C335" s="375"><f>C334</f><v /></c><c r="D335" s="376"><f>D334</f><v /></c><c r="E335" s="377"><f>E334</f><v /></c><c r="F335" s="13" t="n" /><c r="G335" s="300" t="inlineStr"><is><t>PA25517035</t></is></c><c r="H335" s="313"><f>H334</f><v /></c><c r="I335" s="38"><f>I334</f><v /></c><c r="J335" s="314"><f>J334</f><v /></c><c r="K335" s="378"><f>K334</f><v /></c><c r="L335" s="378"><f>L334</f><v /></c><c r="M335" s="379" t="n"><v>199.21</v></c><c r="N335" s="379" t="n"><v>299.26</v></c><c r="O335" s="380"><f>O334</f><v /></c><c r="P335" s="381"><f>P334</f><v /></c><c r="Q335" s="382"><f>LEFT(P335,1)</f><v /></c><c r="R335" s="382"><f>RIGHT(P335,6)</f><v /></c><c r="S335" s="382"><f>+(Q335*60+R335)/(60*60)</f><v /></c><c r="T335" s="383"><f>+O335/S335</f><v /></c><c r="U335" s="384"><f>+(((N335-M335-O335)/O335)*100)</f><v /></c><c r="V335" s="317"><f>V334</f><v /></c><c r="W335" s="385"><f>W334</f><v /></c><c r="X335" s="385"><f>X334</f><v /></c><c r="Y335" s="379" t="n"><v>305</v></c><c r="Z335" s="379" t="n"><v>315.01</v></c><c r="AA335" s="386"><f>AA334</f><v /></c><c r="AB335" s="387"><f>AB334</f><v /></c><c r="AC335" s="382"><f>LEFT(AB335,2)</f><v /></c><c r="AD335" s="382"><f>RIGHT(AB335,6)</f><v /></c><c r="AE335" s="382"><f>+(AC335*60+AD335)/(60*60)</f><v /></c><c r="AF335" s="383"><f>+AA335/AE335</f><v /></c><c r="AG335" s="321"><f>+(((Z335-Y335-AA335)/AA335)*100)</f><v /></c><c r="AH335" s="317"><f>AH334</f><v /></c><c r="AI335" s="385"><f>AI334</f><v /></c><c r="AJ335" s="385"><f>AJ334</f><v /></c><c r="AK335" s="379"><f>Z335</f><v /></c><c r="AL335" s="379" t="n"><v>320.06</v></c><c r="AM335" s="388"><f>AM334</f><v /></c><c r="AN335" s="381"><f>AN334</f><v /></c><c r="AO335" s="382"><f>LEFT(AN335,2)</f><v /></c><c r="AP335" s="382"><f>RIGHT(AN335,6)</f><v /></c><c r="AQ335" s="382"><f>+(AO335*60+AP335)/(60*60)</f><v /></c><c r="AR335" s="383"><f>+AM335/AQ335</f><v /></c><c r="AS335" s="321"><f>+(((AL335-AK335-AM335)/AM335)*100)</f><v /></c><c r="AT335" s="389"><f>IF(I335&gt;=1,"NO CONFORME",IF(BK335="SIGDIFERENTES",BC335,BL335))</f><v /></c><c r="AU335" s="372"><f>B335=C335</f><v /></c><c r="AV335" s="372"><f>N335&lt;Y335</f><v /></c><c r="AW335" s="372"><f>Z335&lt;=AK335</f><v /></c><c r="AX335" s="372"><f>IF(I335&gt;=1,"Qcorrecto",IF(AND(AY335="aceptable",AZ335="aceptable",BA335="aceptable"),"Qcorrecto","Qincorrecto"))</f><v /></c><c r="AY335" s="390"><f>IF(AR335&lt;$AH$6,"error",IF(AR335&gt;$AH$6*1.1,"error","aceptable"))</f><v /></c><c r="AZ335" s="390"><f>IF(AF335&lt;$V$6,"error",IF(AF335&gt;$V$6*1.1,"error","aceptable"))</f><v /></c><c r="BA335" s="390"><f>IF(T335&lt;$J$6*0.9,"error",IF(T335&gt;$J$6,"error","aceptable"))</f><v /></c><c r="BB335" s="25"><f>(IF(ABS(U335)&lt;1.05,"CONFORME",IF(ABS(AG335)&lt;1.05,"CONFORME",IF(ABS(AS335)&lt;2.55,"CONFORME","NO CONFORME"))))</f><v /></c><c r="BC335" s="5"><f>(IF(ABS(U335)&gt;2.05,"NO CONFORME",IF(ABS(AG335)&gt;2.05,"NO CONFORME",IF(ABS(AS335)&gt;5.05,"NO CONFORME","CONFORME"))))</f><v /></c><c r="BD335" s="374"><f>SIGN(U335)</f><v /></c><c r="BE335" s="374"><f>SIGN(AG335)</f><v /></c><c r="BF335" s="374"><f>SIGN(AS335)</f><v /></c><c r="BG335" s="374"><f>CONCATENATE(BD335,BE335,BF335)</f><v /></c><c r="BH335" s="374"><f>IF(BG335="111","SI","SD")</f><v /></c><c r="BI335" s="374"><f>IF(BG335="-1-1-1","SI","SD")</f><v /></c><c r="BJ335" s="374"><f>OR(BH335="SI",BI335="SI")</f><v /></c><c r="BK335" s="374"><f>IF(BJ335=FALSE,"SIGDIFERENTES","SIGIGUALES")</f><v /></c><c r="BL335" s="390"><f>IF(BC335="NO CONFORME","NO CONFORME",IF(BB335="CONFORME","CONFORME","NO CONFORME"))</f><v /></c></row><row r="336" ht="15.75" customHeight="1" thickBot="1"><c r="A336" s="443" t="n"><v>328</v></c><c r="B336" s="375"><f>B335</f><v /></c><c r="C336" s="375"><f>C335</f><v /></c><c r="D336" s="376"><f>D335</f><v /></c><c r="E336" s="377"><f>E335</f><v /></c><c r="F336" s="13" t="n" /><c r="G336" s="300" t="inlineStr"><is><t>PA25517036</t></is></c><c r="H336" s="313"><f>H335</f><v /></c><c r="I336" s="38"><f>I335</f><v /></c><c r="J336" s="314"><f>J335</f><v /></c><c r="K336" s="378"><f>K335</f><v /></c><c r="L336" s="378"><f>L335</f><v /></c><c r="M336" s="379" t="n"><v>120.72</v></c><c r="N336" s="379" t="n"><v>220.75</v></c><c r="O336" s="380"><f>O335</f><v /></c><c r="P336" s="381"><f>P335</f><v /></c><c r="Q336" s="382"><f>LEFT(P336,1)</f><v /></c><c r="R336" s="382"><f>RIGHT(P336,6)</f><v /></c><c r="S336" s="382"><f>+(Q336*60+R336)/(60*60)</f><v /></c><c r="T336" s="383"><f>+O336/S336</f><v /></c><c r="U336" s="384"><f>+(((N336-M336-O336)/O336)*100)</f><v /></c><c r="V336" s="317"><f>V335</f><v /></c><c r="W336" s="385"><f>W335</f><v /></c><c r="X336" s="385"><f>X335</f><v /></c><c r="Y336" s="379" t="n"><v>226.5</v></c><c r="Z336" s="379" t="n"><v>236.4</v></c><c r="AA336" s="386"><f>AA335</f><v /></c><c r="AB336" s="387"><f>AB335</f><v /></c><c r="AC336" s="382"><f>LEFT(AB336,2)</f><v /></c><c r="AD336" s="382"><f>RIGHT(AB336,6)</f><v /></c><c r="AE336" s="382"><f>+(AC336*60+AD336)/(60*60)</f><v /></c><c r="AF336" s="383"><f>+AA336/AE336</f><v /></c><c r="AG336" s="321"><f>+(((Z336-Y336-AA336)/AA336)*100)</f><v /></c><c r="AH336" s="317"><f>AH335</f><v /></c><c r="AI336" s="385"><f>AI335</f><v /></c><c r="AJ336" s="385"><f>AJ335</f><v /></c><c r="AK336" s="379"><f>Z336</f><v /></c><c r="AL336" s="379" t="n"><v>241.45</v></c><c r="AM336" s="388"><f>AM335</f><v /></c><c r="AN336" s="381"><f>AN335</f><v /></c><c r="AO336" s="382"><f>LEFT(AN336,2)</f><v /></c><c r="AP336" s="382"><f>RIGHT(AN336,6)</f><v /></c><c r="AQ336" s="382"><f>+(AO336*60+AP336)/(60*60)</f><v /></c><c r="AR336" s="383"><f>+AM336/AQ336</f><v /></c><c r="AS336" s="321"><f>+(((AL336-AK336-AM336)/AM336)*100)</f><v /></c><c r="AT336" s="389"><f>IF(I336&gt;=1,"NO CONFORME",IF(BK336="SIGDIFERENTES",BC336,BL336))</f><v /></c><c r="AU336" s="372"><f>B336=C336</f><v /></c><c r="AV336" s="372"><f>N336&lt;Y336</f><v /></c><c r="AW336" s="372"><f>Z336&lt;=AK336</f><v /></c><c r="AX336" s="372"><f>IF(I336&gt;=1,"Qcorrecto",IF(AND(AY336="aceptable",AZ336="aceptable",BA336="aceptable"),"Qcorrecto","Qincorrecto"))</f><v /></c><c r="AY336" s="390"><f>IF(AR336&lt;$AH$6,"error",IF(AR336&gt;$AH$6*1.1,"error","aceptable"))</f><v /></c><c r="AZ336" s="390"><f>IF(AF336&lt;$V$6,"error",IF(AF336&gt;$V$6*1.1,"error","aceptable"))</f><v /></c><c r="BA336" s="390"><f>IF(T336&lt;$J$6*0.9,"error",IF(T336&gt;$J$6,"error","aceptable"))</f><v /></c><c r="BB336" s="25"><f>(IF(ABS(U336)&lt;1.05,"CONFORME",IF(ABS(AG336)&lt;1.05,"CONFORME",IF(ABS(AS336)&lt;2.55,"CONFORME","NO CONFORME"))))</f><v /></c><c r="BC336" s="5"><f>(IF(ABS(U336)&gt;2.05,"NO CONFORME",IF(ABS(AG336)&gt;2.05,"NO CONFORME",IF(ABS(AS336)&gt;5.05,"NO CONFORME","CONFORME"))))</f><v /></c><c r="BD336" s="374"><f>SIGN(U336)</f><v /></c><c r="BE336" s="374"><f>SIGN(AG336)</f><v /></c><c r="BF336" s="374"><f>SIGN(AS336)</f><v /></c><c r="BG336" s="374"><f>CONCATENATE(BD336,BE336,BF336)</f><v /></c><c r="BH336" s="374"><f>IF(BG336="111","SI","SD")</f><v /></c><c r="BI336" s="374"><f>IF(BG336="-1-1-1","SI","SD")</f><v /></c><c r="BJ336" s="374"><f>OR(BH336="SI",BI336="SI")</f><v /></c><c r="BK336" s="374"><f>IF(BJ336=FALSE,"SIGDIFERENTES","SIGIGUALES")</f><v /></c><c r="BL336" s="390"><f>IF(BC336="NO CONFORME","NO CONFORME",IF(BB336="CONFORME","CONFORME","NO CONFORME"))</f><v /></c></row><row r="337" ht="15" customHeight="1" thickBot="1"><c r="A337" s="443" t="n"><v>329</v></c><c r="B337" s="375"><f>B336</f><v /></c><c r="C337" s="375"><f>C336</f><v /></c><c r="D337" s="376"><f>D336</f><v /></c><c r="E337" s="377"><f>E336</f><v /></c><c r="F337" s="13" t="n" /><c r="G337" s="300" t="inlineStr"><is><t>PA25517037</t></is></c><c r="H337" s="313"><f>H336</f><v /></c><c r="I337" s="38"><f>I336</f><v /></c><c r="J337" s="314"><f>J336</f><v /></c><c r="K337" s="378"><f>K336</f><v /></c><c r="L337" s="378"><f>L336</f><v /></c><c r="M337" s="379" t="n"><v>116.2</v></c><c r="N337" s="379" t="n"><v>215.75</v></c><c r="O337" s="380"><f>O336</f><v /></c><c r="P337" s="381"><f>P336</f><v /></c><c r="Q337" s="382"><f>LEFT(P337,1)</f><v /></c><c r="R337" s="382"><f>RIGHT(P337,6)</f><v /></c><c r="S337" s="382"><f>+(Q337*60+R337)/(60*60)</f><v /></c><c r="T337" s="383"><f>+O337/S337</f><v /></c><c r="U337" s="384"><f>+(((N337-M337-O337)/O337)*100)</f><v /></c><c r="V337" s="317"><f>V336</f><v /></c><c r="W337" s="385"><f>W336</f><v /></c><c r="X337" s="385"><f>X336</f><v /></c><c r="Y337" s="379" t="n"><v>221.44</v></c><c r="Z337" s="379" t="n"><v>231.35</v></c><c r="AA337" s="386"><f>AA336</f><v /></c><c r="AB337" s="387"><f>AB336</f><v /></c><c r="AC337" s="382"><f>LEFT(AB337,2)</f><v /></c><c r="AD337" s="382"><f>RIGHT(AB337,6)</f><v /></c><c r="AE337" s="382"><f>+(AC337*60+AD337)/(60*60)</f><v /></c><c r="AF337" s="383"><f>+AA337/AE337</f><v /></c><c r="AG337" s="321"><f>+(((Z337-Y337-AA337)/AA337)*100)</f><v /></c><c r="AH337" s="317"><f>AH336</f><v /></c><c r="AI337" s="385"><f>AI336</f><v /></c><c r="AJ337" s="385"><f>AJ336</f><v /></c><c r="AK337" s="379"><f>Z337</f><v /></c><c r="AL337" s="379" t="n"><v>236.37</v></c><c r="AM337" s="388"><f>AM336</f><v /></c><c r="AN337" s="381"><f>AN336</f><v /></c><c r="AO337" s="382"><f>LEFT(AN337,2)</f><v /></c><c r="AP337" s="382"><f>RIGHT(AN337,6)</f><v /></c><c r="AQ337" s="382"><f>+(AO337*60+AP337)/(60*60)</f><v /></c><c r="AR337" s="383"><f>+AM337/AQ337</f><v /></c><c r="AS337" s="321"><f>+(((AL337-AK337-AM337)/AM337)*100)</f><v /></c><c r="AT337" s="389"><f>IF(I337&gt;=1,"NO CONFORME",IF(BK337="SIGDIFERENTES",BC337,BL337))</f><v /></c><c r="AU337" s="372"><f>B337=C337</f><v /></c><c r="AV337" s="372"><f>N337&lt;Y337</f><v /></c><c r="AW337" s="372"><f>Z337&lt;=AK337</f><v /></c><c r="AX337" s="372"><f>IF(I337&gt;=1,"Qcorrecto",IF(AND(AY337="aceptable",AZ337="aceptable",BA337="aceptable"),"Qcorrecto","Qincorrecto"))</f><v /></c><c r="AY337" s="390"><f>IF(AR337&lt;$AH$6,"error",IF(AR337&gt;$AH$6*1.1,"error","aceptable"))</f><v /></c><c r="AZ337" s="390"><f>IF(AF337&lt;$V$6,"error",IF(AF337&gt;$V$6*1.1,"error","aceptable"))</f><v /></c><c r="BA337" s="390"><f>IF(T337&lt;$J$6*0.9,"error",IF(T337&gt;$J$6,"error","aceptable"))</f><v /></c><c r="BB337" s="25"><f>(IF(ABS(U337)&lt;1.05,"CONFORME",IF(ABS(AG337)&lt;1.05,"CONFORME",IF(ABS(AS337)&lt;2.55,"CONFORME","NO CONFORME"))))</f><v /></c><c r="BC337" s="5"><f>(IF(ABS(U337)&gt;2.05,"NO CONFORME",IF(ABS(AG337)&gt;2.05,"NO CONFORME",IF(ABS(AS337)&gt;5.05,"NO CONFORME","CONFORME"))))</f><v /></c><c r="BD337" s="374"><f>SIGN(U337)</f><v /></c><c r="BE337" s="374"><f>SIGN(AG337)</f><v /></c><c r="BF337" s="374"><f>SIGN(AS337)</f><v /></c><c r="BG337" s="374"><f>CONCATENATE(BD337,BE337,BF337)</f><v /></c><c r="BH337" s="374"><f>IF(BG337="111","SI","SD")</f><v /></c><c r="BI337" s="374"><f>IF(BG337="-1-1-1","SI","SD")</f><v /></c><c r="BJ337" s="374"><f>OR(BH337="SI",BI337="SI")</f><v /></c><c r="BK337" s="374"><f>IF(BJ337=FALSE,"SIGDIFERENTES","SIGIGUALES")</f><v /></c><c r="BL337" s="390"><f>IF(BC337="NO CONFORME","NO CONFORME",IF(BB337="CONFORME","CONFORME","NO CONFORME"))</f><v /></c></row><row r="338" ht="15" customHeight="1" thickBot="1"><c r="A338" s="443" t="n"><v>330</v></c><c r="B338" s="375"><f>B337</f><v /></c><c r="C338" s="375"><f>C337</f><v /></c><c r="D338" s="376"><f>D337</f><v /></c><c r="E338" s="377"><f>E337</f><v /></c><c r="F338" s="13" t="n" /><c r="G338" s="300" t="inlineStr"><is><t>PA25517038</t></is></c><c r="H338" s="313"><f>H337</f><v /></c><c r="I338" s="38"><f>I337</f><v /></c><c r="J338" s="314"><f>J337</f><v /></c><c r="K338" s="378"><f>K337</f><v /></c><c r="L338" s="378"><f>L337</f><v /></c><c r="M338" s="379" t="n"><v>117.64</v></c><c r="N338" s="379" t="n"><v>217.4</v></c><c r="O338" s="380"><f>O337</f><v /></c><c r="P338" s="381"><f>P337</f><v /></c><c r="Q338" s="382"><f>LEFT(P338,1)</f><v /></c><c r="R338" s="382"><f>RIGHT(P338,6)</f><v /></c><c r="S338" s="382"><f>+(Q338*60+R338)/(60*60)</f><v /></c><c r="T338" s="383"><f>+O338/S338</f><v /></c><c r="U338" s="384"><f>+(((N338-M338-O338)/O338)*100)</f><v /></c><c r="V338" s="317"><f>V337</f><v /></c><c r="W338" s="385"><f>W337</f><v /></c><c r="X338" s="385"><f>X337</f><v /></c><c r="Y338" s="379" t="n"><v>223.06</v></c><c r="Z338" s="379" t="n"><v>233</v></c><c r="AA338" s="386"><f>AA337</f><v /></c><c r="AB338" s="387"><f>AB337</f><v /></c><c r="AC338" s="382"><f>LEFT(AB338,2)</f><v /></c><c r="AD338" s="382"><f>RIGHT(AB338,6)</f><v /></c><c r="AE338" s="382"><f>+(AC338*60+AD338)/(60*60)</f><v /></c><c r="AF338" s="383"><f>+AA338/AE338</f><v /></c><c r="AG338" s="321"><f>+(((Z338-Y338-AA338)/AA338)*100)</f><v /></c><c r="AH338" s="317"><f>AH337</f><v /></c><c r="AI338" s="385"><f>AI337</f><v /></c><c r="AJ338" s="385"><f>AJ337</f><v /></c><c r="AK338" s="379"><f>Z338</f><v /></c><c r="AL338" s="379" t="n"><v>237.95</v></c><c r="AM338" s="388"><f>AM337</f><v /></c><c r="AN338" s="381"><f>AN337</f><v /></c><c r="AO338" s="382"><f>LEFT(AN338,2)</f><v /></c><c r="AP338" s="382"><f>RIGHT(AN338,6)</f><v /></c><c r="AQ338" s="382"><f>+(AO338*60+AP338)/(60*60)</f><v /></c><c r="AR338" s="383"><f>+AM338/AQ338</f><v /></c><c r="AS338" s="321"><f>+(((AL338-AK338-AM338)/AM338)*100)</f><v /></c><c r="AT338" s="389"><f>IF(I338&gt;=1,"NO CONFORME",IF(BK338="SIGDIFERENTES",BC338,BL338))</f><v /></c><c r="AU338" s="372"><f>B338=C338</f><v /></c><c r="AV338" s="372"><f>N338&lt;Y338</f><v /></c><c r="AW338" s="372"><f>Z338&lt;=AK338</f><v /></c><c r="AX338" s="372"><f>IF(I338&gt;=1,"Qcorrecto",IF(AND(AY338="aceptable",AZ338="aceptable",BA338="aceptable"),"Qcorrecto","Qincorrecto"))</f><v /></c><c r="AY338" s="390"><f>IF(AR338&lt;$AH$6,"error",IF(AR338&gt;$AH$6*1.1,"error","aceptable"))</f><v /></c><c r="AZ338" s="390"><f>IF(AF338&lt;$V$6,"error",IF(AF338&gt;$V$6*1.1,"error","aceptable"))</f><v /></c><c r="BA338" s="390"><f>IF(T338&lt;$J$6*0.9,"error",IF(T338&gt;$J$6,"error","aceptable"))</f><v /></c><c r="BB338" s="25"><f>(IF(ABS(U338)&lt;1.05,"CONFORME",IF(ABS(AG338)&lt;1.05,"CONFORME",IF(ABS(AS338)&lt;2.55,"CONFORME","NO CONFORME"))))</f><v /></c><c r="BC338" s="5"><f>(IF(ABS(U338)&gt;2.05,"NO CONFORME",IF(ABS(AG338)&gt;2.05,"NO CONFORME",IF(ABS(AS338)&gt;5.05,"NO CONFORME","CONFORME"))))</f><v /></c><c r="BD338" s="374"><f>SIGN(U338)</f><v /></c><c r="BE338" s="374"><f>SIGN(AG338)</f><v /></c><c r="BF338" s="374"><f>SIGN(AS338)</f><v /></c><c r="BG338" s="374"><f>CONCATENATE(BD338,BE338,BF338)</f><v /></c><c r="BH338" s="374"><f>IF(BG338="111","SI","SD")</f><v /></c><c r="BI338" s="374"><f>IF(BG338="-1-1-1","SI","SD")</f><v /></c><c r="BJ338" s="374"><f>OR(BH338="SI",BI338="SI")</f><v /></c><c r="BK338" s="374"><f>IF(BJ338=FALSE,"SIGDIFERENTES","SIGIGUALES")</f><v /></c><c r="BL338" s="390"><f>IF(BC338="NO CONFORME","NO CONFORME",IF(BB338="CONFORME","CONFORME","NO CONFORME"))</f><v /></c></row><row r="339" ht="15" customHeight="1" thickBot="1"><c r="A339" s="443" t="n"><v>331</v></c><c r="B339" s="375"><f>B338</f><v /></c><c r="C339" s="375"><f>C338</f><v /></c><c r="D339" s="376"><f>D338</f><v /></c><c r="E339" s="377"><f>E338</f><v /></c><c r="F339" s="13" t="n" /><c r="G339" s="300" t="inlineStr"><is><t>PA25517039</t></is></c><c r="H339" s="313"><f>H338</f><v /></c><c r="I339" s="38"><f>I338</f><v /></c><c r="J339" s="314"><f>J338</f><v /></c><c r="K339" s="378"><f>K338</f><v /></c><c r="L339" s="378"><f>L338</f><v /></c><c r="M339" s="379" t="n"><v>114.86</v></c><c r="N339" s="379" t="n"><v>213.6</v></c><c r="O339" s="380"><f>O338</f><v /></c><c r="P339" s="381"><f>P338</f><v /></c><c r="Q339" s="382"><f>LEFT(P339,1)</f><v /></c><c r="R339" s="382"><f>RIGHT(P339,6)</f><v /></c><c r="S339" s="382"><f>+(Q339*60+R339)/(60*60)</f><v /></c><c r="T339" s="383"><f>+O339/S339</f><v /></c><c r="U339" s="384"><f>+(((N339-M339-O339)/O339)*100)</f><v /></c><c r="V339" s="317"><f>V338</f><v /></c><c r="W339" s="385"><f>W338</f><v /></c><c r="X339" s="385"><f>X338</f><v /></c><c r="Y339" s="379" t="n"><v>219.35</v></c><c r="Z339" s="379" t="n"><v>229.27</v></c><c r="AA339" s="386"><f>AA338</f><v /></c><c r="AB339" s="387"><f>AB338</f><v /></c><c r="AC339" s="382"><f>LEFT(AB339,2)</f><v /></c><c r="AD339" s="382"><f>RIGHT(AB339,6)</f><v /></c><c r="AE339" s="382"><f>+(AC339*60+AD339)/(60*60)</f><v /></c><c r="AF339" s="383"><f>+AA339/AE339</f><v /></c><c r="AG339" s="321"><f>+(((Z339-Y339-AA339)/AA339)*100)</f><v /></c><c r="AH339" s="317"><f>AH338</f><v /></c><c r="AI339" s="385"><f>AI338</f><v /></c><c r="AJ339" s="385"><f>AJ338</f><v /></c><c r="AK339" s="379"><f>Z339</f><v /></c><c r="AL339" s="379" t="n"><v>234.27</v></c><c r="AM339" s="388"><f>AM338</f><v /></c><c r="AN339" s="381"><f>AN338</f><v /></c><c r="AO339" s="382"><f>LEFT(AN339,2)</f><v /></c><c r="AP339" s="382"><f>RIGHT(AN339,6)</f><v /></c><c r="AQ339" s="382"><f>+(AO339*60+AP339)/(60*60)</f><v /></c><c r="AR339" s="383"><f>+AM339/AQ339</f><v /></c><c r="AS339" s="321"><f>+(((AL339-AK339-AM339)/AM339)*100)</f><v /></c><c r="AT339" s="389"><f>IF(I339&gt;=1,"NO CONFORME",IF(BK339="SIGDIFERENTES",BC339,BL339))</f><v /></c><c r="AU339" s="372"><f>B339=C339</f><v /></c><c r="AV339" s="372"><f>N339&lt;Y339</f><v /></c><c r="AW339" s="372"><f>Z339&lt;=AK339</f><v /></c><c r="AX339" s="372"><f>IF(I339&gt;=1,"Qcorrecto",IF(AND(AY339="aceptable",AZ339="aceptable",BA339="aceptable"),"Qcorrecto","Qincorrecto"))</f><v /></c><c r="AY339" s="390"><f>IF(AR339&lt;$AH$6,"error",IF(AR339&gt;$AH$6*1.1,"error","aceptable"))</f><v /></c><c r="AZ339" s="390"><f>IF(AF339&lt;$V$6,"error",IF(AF339&gt;$V$6*1.1,"error","aceptable"))</f><v /></c><c r="BA339" s="390"><f>IF(T339&lt;$J$6*0.9,"error",IF(T339&gt;$J$6,"error","aceptable"))</f><v /></c><c r="BB339" s="25"><f>(IF(ABS(U339)&lt;1.05,"CONFORME",IF(ABS(AG339)&lt;1.05,"CONFORME",IF(ABS(AS339)&lt;2.55,"CONFORME","NO CONFORME"))))</f><v /></c><c r="BC339" s="5"><f>(IF(ABS(U339)&gt;2.05,"NO CONFORME",IF(ABS(AG339)&gt;2.05,"NO CONFORME",IF(ABS(AS339)&gt;5.05,"NO CONFORME","CONFORME"))))</f><v /></c><c r="BD339" s="374"><f>SIGN(U339)</f><v /></c><c r="BE339" s="374"><f>SIGN(AG339)</f><v /></c><c r="BF339" s="374"><f>SIGN(AS339)</f><v /></c><c r="BG339" s="374"><f>CONCATENATE(BD339,BE339,BF339)</f><v /></c><c r="BH339" s="374"><f>IF(BG339="111","SI","SD")</f><v /></c><c r="BI339" s="374"><f>IF(BG339="-1-1-1","SI","SD")</f><v /></c><c r="BJ339" s="374"><f>OR(BH339="SI",BI339="SI")</f><v /></c><c r="BK339" s="374"><f>IF(BJ339=FALSE,"SIGDIFERENTES","SIGIGUALES")</f><v /></c><c r="BL339" s="390"><f>IF(BC339="NO CONFORME","NO CONFORME",IF(BB339="CONFORME","CONFORME","NO CONFORME"))</f><v /></c></row><row r="340" ht="15" customHeight="1" thickBot="1"><c r="A340" s="445" t="n"><v>332</v></c><c r="B340" s="392"><f>B339</f><v /></c><c r="C340" s="392"><f>C339</f><v /></c><c r="D340" s="393"><f>D339</f><v /></c><c r="E340" s="394"><f>E339</f><v /></c><c r="F340" s="52" t="n" /><c r="G340" s="337" t="inlineStr"><is><t>PA25517040</t></is></c><c r="H340" s="326"><f>H339</f><v /></c><c r="I340" s="98"><f>I339</f><v /></c><c r="J340" s="327"><f>J339</f><v /></c><c r="K340" s="396"><f>K339</f><v /></c><c r="L340" s="396"><f>L339</f><v /></c><c r="M340" s="397" t="n"><v>156.65</v></c><c r="N340" s="397" t="n"><v>256.85</v></c><c r="O340" s="398"><f>O339</f><v /></c><c r="P340" s="399"><f>P339</f><v /></c><c r="Q340" s="400"><f>LEFT(P340,1)</f><v /></c><c r="R340" s="400"><f>RIGHT(P340,6)</f><v /></c><c r="S340" s="400"><f>+(Q340*60+R340)/(60*60)</f><v /></c><c r="T340" s="401"><f>+O340/S340</f><v /></c><c r="U340" s="402"><f>+(((N340-M340-O340)/O340)*100)</f><v /></c><c r="V340" s="329"><f>V339</f><v /></c><c r="W340" s="403"><f>W339</f><v /></c><c r="X340" s="403"><f>X339</f><v /></c><c r="Y340" s="397" t="n"><v>262.62</v></c><c r="Z340" s="397" t="n"><v>272.59</v></c><c r="AA340" s="404"><f>AA339</f><v /></c><c r="AB340" s="405"><f>AB339</f><v /></c><c r="AC340" s="400"><f>LEFT(AB340,2)</f><v /></c><c r="AD340" s="400"><f>RIGHT(AB340,6)</f><v /></c><c r="AE340" s="400"><f>+(AC340*60+AD340)/(60*60)</f><v /></c><c r="AF340" s="401"><f>+AA340/AE340</f><v /></c><c r="AG340" s="406"><f>+(((Z340-Y340-AA340)/AA340)*100)</f><v /></c><c r="AH340" s="329"><f>AH339</f><v /></c><c r="AI340" s="403"><f>AI339</f><v /></c><c r="AJ340" s="403"><f>AJ339</f><v /></c><c r="AK340" s="397"><f>Z340</f><v /></c><c r="AL340" s="397" t="n"><v>277.63</v></c><c r="AM340" s="407"><f>AM339</f><v /></c><c r="AN340" s="399"><f>AN339</f><v /></c><c r="AO340" s="400"><f>LEFT(AN340,2)</f><v /></c><c r="AP340" s="400"><f>RIGHT(AN340,6)</f><v /></c><c r="AQ340" s="400"><f>+(AO340*60+AP340)/(60*60)</f><v /></c><c r="AR340" s="401"><f>+AM340/AQ340</f><v /></c><c r="AS340" s="406"><f>+(((AL340-AK340-AM340)/AM340)*100)</f><v /></c><c r="AT340" s="408"><f>IF(I340&gt;=1,"NO CONFORME",IF(BK340="SIGDIFERENTES",BC340,BL340))</f><v /></c><c r="AU340" s="409"><f>B340=C340</f><v /></c><c r="AV340" s="409"><f>N340&lt;Y340</f><v /></c><c r="AW340" s="409"><f>Z340&lt;=AK340</f><v /></c><c r="AX340" s="409"><f>IF(I340&gt;=1,"Qcorrecto",IF(AND(AY340="aceptable",AZ340="aceptable",BA340="aceptable"),"Qcorrecto","Qincorrecto"))</f><v /></c><c r="AY340" s="410"><f>IF(AR340&lt;$AH$6,"error",IF(AR340&gt;$AH$6*1.1,"error","aceptable"))</f><v /></c><c r="AZ340" s="410"><f>IF(AF340&lt;$V$6,"error",IF(AF340&gt;$V$6*1.1,"error","aceptable"))</f><v /></c><c r="BA340" s="410"><f>IF(T340&lt;$J$6*0.9,"error",IF(T340&gt;$J$6,"error","aceptable"))</f><v /></c><c r="BB340" s="411"><f>(IF(ABS(U340)&lt;1.05,"CONFORME",IF(ABS(AG340)&lt;1.05,"CONFORME",IF(ABS(AS340)&lt;2.55,"CONFORME","NO CONFORME"))))</f><v /></c><c r="BC340" s="412"><f>(IF(ABS(U340)&gt;2.05,"NO CONFORME",IF(ABS(AG340)&gt;2.05,"NO CONFORME",IF(ABS(AS340)&gt;5.05,"NO CONFORME","CONFORME"))))</f><v /></c><c r="BD340" s="413"><f>SIGN(U340)</f><v /></c><c r="BE340" s="413"><f>SIGN(AG340)</f><v /></c><c r="BF340" s="413"><f>SIGN(AS340)</f><v /></c><c r="BG340" s="413"><f>CONCATENATE(BD340,BE340,BF340)</f><v /></c><c r="BH340" s="413"><f>IF(BG340="111","SI","SD")</f><v /></c><c r="BI340" s="413"><f>IF(BG340="-1-1-1","SI","SD")</f><v /></c><c r="BJ340" s="413"><f>OR(BH340="SI",BI340="SI")</f><v /></c><c r="BK340" s="413"><f>IF(BJ340=FALSE,"SIGDIFERENTES","SIGIGUALES")</f><v /></c><c r="BL340" s="410"><f>IF(BC340="NO CONFORME","NO CONFORME",IF(BB340="CONFORME","CONFORME","NO CONFORME"))</f><v /></c></row><row r="341" ht="15" customHeight="1" thickBot="1"><c r="A341" s="351" t="n"><v>333</v></c><c r="B341" s="454" t="n"><v>45920</v></c><c r="C341" s="454"><f>C340</f><v /></c><c r="D341" s="455" t="n"><v>3</v></c><c r="E341" s="456" t="n"><v>11</v></c><c r="F341" s="58" t="n" /><c r="G341" s="355" t="inlineStr"><is><t>PA25517169</t></is></c><c r="H341" s="301" t="n"><v>25.6</v></c><c r="I341" s="232" t="n"><v>0</v></c><c r="J341" s="302" t="n"><v>22.4</v></c><c r="K341" s="303" t="n"><v>8.209</v></c><c r="L341" s="303" t="n"><v>0.588</v></c><c r="M341" s="359" t="n"><v>104.86</v></c><c r="N341" s="359" t="n"><v>204.45</v></c><c r="O341" s="457" t="n"><v>100.55</v></c><c r="P341" s="458" t="inlineStr"><is><t>2,32,330</t></is></c><c r="Q341" s="362"><f>LEFT(P341,1)</f><v /></c><c r="R341" s="362"><f>RIGHT(P341,6)</f><v /></c><c r="S341" s="362"><f>+(Q341*60+R341)/(60*60)</f><v /></c><c r="T341" s="363"><f>+O341/S341</f><v /></c><c r="U341" s="364"><f>+(((N341-M341-O341)/O341)*100)</f><v /></c><c r="V341" s="306" t="n"><v>21.4</v></c><c r="W341" s="307" t="n"><v>1.092</v></c><c r="X341" s="307" t="n"><v>1.084</v></c><c r="Y341" s="359" t="n"><v>212.32</v></c><c r="Z341" s="359" t="n"><v>222.31</v></c><c r="AA341" s="308" t="n"><v>10.025</v></c><c r="AB341" s="458" t="inlineStr"><is><t>22,23,380</t></is></c><c r="AC341" s="362"><f>LEFT(AB341,2)</f><v /></c><c r="AD341" s="362"><f>RIGHT(AB341,6)</f><v /></c><c r="AE341" s="362"><f>+(AC341*60+AD341)/(60*60)</f><v /></c><c r="AF341" s="363"><f>+AA341/AE341</f><v /></c><c r="AG341" s="369"><f>+(((Z341-Y341-AA341)/AA341)*100)</f><v /></c><c r="AH341" s="306" t="n"><v>21.1</v></c><c r="AI341" s="307" t="n"><v>1.076</v></c><c r="AJ341" s="307" t="n"><v>1.066</v></c><c r="AK341" s="359"><f>Z341</f><v /></c><c r="AL341" s="359" t="n"><v>227.3</v></c><c r="AM341" s="459" t="n"><v>5.01</v></c><c r="AN341" s="458" t="inlineStr"><is><t>18,28,500</t></is></c><c r="AO341" s="362"><f>LEFT(AN341,2)</f><v /></c><c r="AP341" s="362"><f>RIGHT(AN341,6)</f><v /></c><c r="AQ341" s="362"><f>+(AO341*60+AP341)/(60*60)</f><v /></c><c r="AR341" s="363"><f>+AM341/AQ341</f><v /></c><c r="AS341" s="369"><f>+(((AL341-AK341-AM341)/AM341)*100)</f><v /></c><c r="AT341" s="371"><f>IF(I341&gt;=1,"NO CONFORME",IF(BK341="SIGDIFERENTES",BC341,BL341))</f><v /></c><c r="AU341" s="372"><f>B341=C341</f><v /></c><c r="AV341" s="372"><f>N341&lt;Y341</f><v /></c><c r="AW341" s="372"><f>Z341&lt;=AK341</f><v /></c><c r="AX341" s="372"><f>IF(I341&gt;=1,"Qcorrecto",IF(AND(AY341="aceptable",AZ341="aceptable",BA341="aceptable"),"Qcorrecto","Qincorrecto"))</f><v /></c><c r="AY341" s="390"><f>IF(AR341&lt;$AH$6,"error",IF(AR341&gt;$AH$6*1.1,"error","aceptable"))</f><v /></c><c r="AZ341" s="390"><f>IF(AF341&lt;$V$6,"error",IF(AF341&gt;$V$6*1.1,"error","aceptable"))</f><v /></c><c r="BA341" s="390"><f>IF(T341&lt;$J$6*0.9,"error",IF(T341&gt;$J$6,"error","aceptable"))</f><v /></c><c r="BB341" s="25"><f>(IF(ABS(U341)&lt;1.05,"CONFORME",IF(ABS(AG341)&lt;1.05,"CONFORME",IF(ABS(AS341)&lt;2.55,"CONFORME","NO CONFORME"))))</f><v /></c><c r="BC341" s="5"><f>(IF(ABS(U341)&gt;2.05,"NO CONFORME",IF(ABS(AG341)&gt;2.05,"NO CONFORME",IF(ABS(AS341)&gt;5.05,"NO CONFORME","CONFORME"))))</f><v /></c><c r="BD341" s="374"><f>SIGN(U341)</f><v /></c><c r="BE341" s="374"><f>SIGN(AG341)</f><v /></c><c r="BF341" s="374"><f>SIGN(AS341)</f><v /></c><c r="BG341" s="374"><f>CONCATENATE(BD341,BE341,BF341)</f><v /></c><c r="BH341" s="374"><f>IF(BG341="111","SI","SD")</f><v /></c><c r="BI341" s="374"><f>IF(BG341="-1-1-1","SI","SD")</f><v /></c><c r="BJ341" s="374"><f>OR(BH341="SI",BI341="SI")</f><v /></c><c r="BK341" s="374"><f>IF(BJ341=FALSE,"SIGDIFERENTES","SIGIGUALES")</f><v /></c><c r="BL341" s="373"><f>IF(BC341="NO CONFORME","NO CONFORME",IF(BB341="CONFORME","CONFORME","NO CONFORME"))</f><v /></c></row><row r="342" ht="15" customHeight="1" thickBot="1"><c r="A342" s="351" t="n"><v>334</v></c><c r="B342" s="375"><f>B341</f><v /></c><c r="C342" s="375"><f>C341</f><v /></c><c r="D342" s="376"><f>D341</f><v /></c><c r="E342" s="377"><f>E341</f><v /></c><c r="F342" s="13" t="n" /><c r="G342" s="355" t="inlineStr"><is><t>PA25517170</t></is></c><c r="H342" s="313"><f>H341</f><v /></c><c r="I342" s="38"><f>I341</f><v /></c><c r="J342" s="314"><f>J341</f><v /></c><c r="K342" s="378"><f>K341</f><v /></c><c r="L342" s="378"><f>L341</f><v /></c><c r="M342" s="379" t="n"><v>103.1</v></c><c r="N342" s="379" t="n"><v>202.7</v></c><c r="O342" s="380"><f>O341</f><v /></c><c r="P342" s="381"><f>P341</f><v /></c><c r="Q342" s="382"><f>LEFT(P342,1)</f><v /></c><c r="R342" s="382"><f>RIGHT(P342,6)</f><v /></c><c r="S342" s="382"><f>+(Q342*60+R342)/(60*60)</f><v /></c><c r="T342" s="383"><f>+O342/S342</f><v /></c><c r="U342" s="384"><f>+(((N342-M342-O342)/O342)*100)</f><v /></c><c r="V342" s="317"><f>V341</f><v /></c><c r="W342" s="385"><f>W341</f><v /></c><c r="X342" s="385"><f>X341</f><v /></c><c r="Y342" s="379" t="n"><v>210.51</v></c><c r="Z342" s="379" t="n"><v>220.48</v></c><c r="AA342" s="386"><f>AA341</f><v /></c><c r="AB342" s="387"><f>AB341</f><v /></c><c r="AC342" s="382"><f>LEFT(AB342,2)</f><v /></c><c r="AD342" s="382"><f>RIGHT(AB342,6)</f><v /></c><c r="AE342" s="382"><f>+(AC342*60+AD342)/(60*60)</f><v /></c><c r="AF342" s="383"><f>+AA342/AE342</f><v /></c><c r="AG342" s="321"><f>+(((Z342-Y342-AA342)/AA342)*100)</f><v /></c><c r="AH342" s="317"><f>AH341</f><v /></c><c r="AI342" s="385"><f>AI341</f><v /></c><c r="AJ342" s="385"><f>AJ341</f><v /></c><c r="AK342" s="379"><f>Z342</f><v /></c><c r="AL342" s="379" t="n"><v>225.49</v></c><c r="AM342" s="388"><f>AM341</f><v /></c><c r="AN342" s="381"><f>AN341</f><v /></c><c r="AO342" s="382"><f>LEFT(AN342,2)</f><v /></c><c r="AP342" s="382"><f>RIGHT(AN342,6)</f><v /></c><c r="AQ342" s="382"><f>+(AO342*60+AP342)/(60*60)</f><v /></c><c r="AR342" s="383"><f>+AM342/AQ342</f><v /></c><c r="AS342" s="321"><f>+(((AL342-AK342-AM342)/AM342)*100)</f><v /></c><c r="AT342" s="389"><f>IF(I342&gt;=1,"NO CONFORME",IF(BK342="SIGDIFERENTES",BC342,BL342))</f><v /></c><c r="AU342" s="372"><f>B342=C342</f><v /></c><c r="AV342" s="372"><f>N342&lt;Y342</f><v /></c><c r="AW342" s="372"><f>Z342&lt;=AK342</f><v /></c><c r="AX342" s="372"><f>IF(I342&gt;=1,"Qcorrecto",IF(AND(AY342="aceptable",AZ342="aceptable",BA342="aceptable"),"Qcorrecto","Qincorrecto"))</f><v /></c><c r="AY342" s="390"><f>IF(AR342&lt;$AH$6,"error",IF(AR342&gt;$AH$6*1.1,"error","aceptable"))</f><v /></c><c r="AZ342" s="390"><f>IF(AF342&lt;$V$6,"error",IF(AF342&gt;$V$6*1.1,"error","aceptable"))</f><v /></c><c r="BA342" s="390"><f>IF(T342&lt;$J$6*0.9,"error",IF(T342&gt;$J$6,"error","aceptable"))</f><v /></c><c r="BB342" s="25"><f>(IF(ABS(U342)&lt;1.05,"CONFORME",IF(ABS(AG342)&lt;1.05,"CONFORME",IF(ABS(AS342)&lt;2.55,"CONFORME","NO CONFORME"))))</f><v /></c><c r="BC342" s="5"><f>(IF(ABS(U342)&gt;2.05,"NO CONFORME",IF(ABS(AG342)&gt;2.05,"NO CONFORME",IF(ABS(AS342)&gt;5.05,"NO CONFORME","CONFORME"))))</f><v /></c><c r="BD342" s="374"><f>SIGN(U342)</f><v /></c><c r="BE342" s="374"><f>SIGN(AG342)</f><v /></c><c r="BF342" s="374"><f>SIGN(AS342)</f><v /></c><c r="BG342" s="374"><f>CONCATENATE(BD342,BE342,BF342)</f><v /></c><c r="BH342" s="374"><f>IF(BG342="111","SI","SD")</f><v /></c><c r="BI342" s="374"><f>IF(BG342="-1-1-1","SI","SD")</f><v /></c><c r="BJ342" s="374"><f>OR(BH342="SI",BI342="SI")</f><v /></c><c r="BK342" s="374"><f>IF(BJ342=FALSE,"SIGDIFERENTES","SIGIGUALES")</f><v /></c><c r="BL342" s="390"><f>IF(BC342="NO CONFORME","NO CONFORME",IF(BB342="CONFORME","CONFORME","NO CONFORME"))</f><v /></c></row><row r="343" ht="15" customHeight="1" thickBot="1"><c r="A343" s="351" t="n"><v>335</v></c><c r="B343" s="375"><f>B342</f><v /></c><c r="C343" s="375"><f>C342</f><v /></c><c r="D343" s="376"><f>D342</f><v /></c><c r="E343" s="377"><f>E342</f><v /></c><c r="F343" s="13" t="n" /><c r="G343" s="355" t="inlineStr"><is><t>PA25517171</t></is></c><c r="H343" s="313"><f>H342</f><v /></c><c r="I343" s="38"><f>I342</f><v /></c><c r="J343" s="314"><f>J342</f><v /></c><c r="K343" s="378"><f>K342</f><v /></c><c r="L343" s="378"><f>L342</f><v /></c><c r="M343" s="379" t="n"><v>106.55</v></c><c r="N343" s="379" t="n"><v>206.51</v></c><c r="O343" s="380"><f>O342</f><v /></c><c r="P343" s="381"><f>P342</f><v /></c><c r="Q343" s="382"><f>LEFT(P343,1)</f><v /></c><c r="R343" s="382"><f>RIGHT(P343,6)</f><v /></c><c r="S343" s="382"><f>+(Q343*60+R343)/(60*60)</f><v /></c><c r="T343" s="383"><f>+O343/S343</f><v /></c><c r="U343" s="384"><f>+(((N343-M343-O343)/O343)*100)</f><v /></c><c r="V343" s="317"><f>V342</f><v /></c><c r="W343" s="385"><f>W342</f><v /></c><c r="X343" s="385"><f>X342</f><v /></c><c r="Y343" s="379" t="n"><v>214.35</v></c><c r="Z343" s="379" t="n"><v>224.33</v></c><c r="AA343" s="386"><f>AA342</f><v /></c><c r="AB343" s="387"><f>AB342</f><v /></c><c r="AC343" s="382"><f>LEFT(AB343,2)</f><v /></c><c r="AD343" s="382"><f>RIGHT(AB343,6)</f><v /></c><c r="AE343" s="382"><f>+(AC343*60+AD343)/(60*60)</f><v /></c><c r="AF343" s="383"><f>+AA343/AE343</f><v /></c><c r="AG343" s="321"><f>+(((Z343-Y343-AA343)/AA343)*100)</f><v /></c><c r="AH343" s="317"><f>AH342</f><v /></c><c r="AI343" s="385"><f>AI342</f><v /></c><c r="AJ343" s="385"><f>AJ342</f><v /></c><c r="AK343" s="379"><f>Z343</f><v /></c><c r="AL343" s="379" t="n"><v>229.35</v></c><c r="AM343" s="388"><f>AM342</f><v /></c><c r="AN343" s="381"><f>AN342</f><v /></c><c r="AO343" s="382"><f>LEFT(AN343,2)</f><v /></c><c r="AP343" s="382"><f>RIGHT(AN343,6)</f><v /></c><c r="AQ343" s="382"><f>+(AO343*60+AP343)/(60*60)</f><v /></c><c r="AR343" s="383"><f>+AM343/AQ343</f><v /></c><c r="AS343" s="321"><f>+(((AL343-AK343-AM343)/AM343)*100)</f><v /></c><c r="AT343" s="389"><f>IF(I343&gt;=1,"NO CONFORME",IF(BK343="SIGDIFERENTES",BC343,BL343))</f><v /></c><c r="AU343" s="372"><f>B343=C343</f><v /></c><c r="AV343" s="372"><f>N343&lt;Y343</f><v /></c><c r="AW343" s="372"><f>Z343&lt;=AK343</f><v /></c><c r="AX343" s="372"><f>IF(I343&gt;=1,"Qcorrecto",IF(AND(AY343="aceptable",AZ343="aceptable",BA343="aceptable"),"Qcorrecto","Qincorrecto"))</f><v /></c><c r="AY343" s="390"><f>IF(AR343&lt;$AH$6,"error",IF(AR343&gt;$AH$6*1.1,"error","aceptable"))</f><v /></c><c r="AZ343" s="390"><f>IF(AF343&lt;$V$6,"error",IF(AF343&gt;$V$6*1.1,"error","aceptable"))</f><v /></c><c r="BA343" s="390"><f>IF(T343&lt;$J$6*0.9,"error",IF(T343&gt;$J$6,"error","aceptable"))</f><v /></c><c r="BB343" s="25"><f>(IF(ABS(U343)&lt;1.05,"CONFORME",IF(ABS(AG343)&lt;1.05,"CONFORME",IF(ABS(AS343)&lt;2.55,"CONFORME","NO CONFORME"))))</f><v /></c><c r="BC343" s="5"><f>(IF(ABS(U343)&gt;2.05,"NO CONFORME",IF(ABS(AG343)&gt;2.05,"NO CONFORME",IF(ABS(AS343)&gt;5.05,"NO CONFORME","CONFORME"))))</f><v /></c><c r="BD343" s="374"><f>SIGN(U343)</f><v /></c><c r="BE343" s="374"><f>SIGN(AG343)</f><v /></c><c r="BF343" s="374"><f>SIGN(AS343)</f><v /></c><c r="BG343" s="374"><f>CONCATENATE(BD343,BE343,BF343)</f><v /></c><c r="BH343" s="374"><f>IF(BG343="111","SI","SD")</f><v /></c><c r="BI343" s="374"><f>IF(BG343="-1-1-1","SI","SD")</f><v /></c><c r="BJ343" s="374"><f>OR(BH343="SI",BI343="SI")</f><v /></c><c r="BK343" s="374"><f>IF(BJ343=FALSE,"SIGDIFERENTES","SIGIGUALES")</f><v /></c><c r="BL343" s="390"><f>IF(BC343="NO CONFORME","NO CONFORME",IF(BB343="CONFORME","CONFORME","NO CONFORME"))</f><v /></c></row><row r="344" ht="15" customHeight="1" thickBot="1"><c r="A344" s="351" t="n"><v>336</v></c><c r="B344" s="375"><f>B343</f><v /></c><c r="C344" s="375"><f>C343</f><v /></c><c r="D344" s="376"><f>D343</f><v /></c><c r="E344" s="377"><f>E343</f><v /></c><c r="F344" s="13" t="n" /><c r="G344" s="355" t="inlineStr"><is><t>PA25517172</t></is></c><c r="H344" s="313"><f>H343</f><v /></c><c r="I344" s="38"><f>I343</f><v /></c><c r="J344" s="314"><f>J343</f><v /></c><c r="K344" s="378"><f>K343</f><v /></c><c r="L344" s="378"><f>L343</f><v /></c><c r="M344" s="379" t="n"><v>108.16</v></c><c r="N344" s="379" t="n"><v>208.05</v></c><c r="O344" s="380"><f>O343</f><v /></c><c r="P344" s="381"><f>P343</f><v /></c><c r="Q344" s="382"><f>LEFT(P344,1)</f><v /></c><c r="R344" s="382"><f>RIGHT(P344,6)</f><v /></c><c r="S344" s="382"><f>+(Q344*60+R344)/(60*60)</f><v /></c><c r="T344" s="383"><f>+O344/S344</f><v /></c><c r="U344" s="384"><f>+(((N344-M344-O344)/O344)*100)</f><v /></c><c r="V344" s="317"><f>V343</f><v /></c><c r="W344" s="385"><f>W343</f><v /></c><c r="X344" s="385"><f>X343</f><v /></c><c r="Y344" s="379" t="n"><v>215.95</v></c><c r="Z344" s="379" t="n"><v>225.9</v></c><c r="AA344" s="386"><f>AA343</f><v /></c><c r="AB344" s="387"><f>AB343</f><v /></c><c r="AC344" s="382"><f>LEFT(AB344,2)</f><v /></c><c r="AD344" s="382"><f>RIGHT(AB344,6)</f><v /></c><c r="AE344" s="382"><f>+(AC344*60+AD344)/(60*60)</f><v /></c><c r="AF344" s="383"><f>+AA344/AE344</f><v /></c><c r="AG344" s="321"><f>+(((Z344-Y344-AA344)/AA344)*100)</f><v /></c><c r="AH344" s="317"><f>AH343</f><v /></c><c r="AI344" s="385"><f>AI343</f><v /></c><c r="AJ344" s="385"><f>AJ343</f><v /></c><c r="AK344" s="379"><f>Z344</f><v /></c><c r="AL344" s="379" t="n"><v>230.95</v></c><c r="AM344" s="388"><f>AM343</f><v /></c><c r="AN344" s="381"><f>AN343</f><v /></c><c r="AO344" s="382"><f>LEFT(AN344,2)</f><v /></c><c r="AP344" s="382"><f>RIGHT(AN344,6)</f><v /></c><c r="AQ344" s="382"><f>+(AO344*60+AP344)/(60*60)</f><v /></c><c r="AR344" s="383"><f>+AM344/AQ344</f><v /></c><c r="AS344" s="321"><f>+(((AL344-AK344-AM344)/AM344)*100)</f><v /></c><c r="AT344" s="389"><f>IF(I344&gt;=1,"NO CONFORME",IF(BK344="SIGDIFERENTES",BC344,BL344))</f><v /></c><c r="AU344" s="372"><f>B344=C344</f><v /></c><c r="AV344" s="372"><f>N344&lt;Y344</f><v /></c><c r="AW344" s="372"><f>Z344&lt;=AK344</f><v /></c><c r="AX344" s="372"><f>IF(I344&gt;=1,"Qcorrecto",IF(AND(AY344="aceptable",AZ344="aceptable",BA344="aceptable"),"Qcorrecto","Qincorrecto"))</f><v /></c><c r="AY344" s="390"><f>IF(AR344&lt;$AH$6,"error",IF(AR344&gt;$AH$6*1.1,"error","aceptable"))</f><v /></c><c r="AZ344" s="390"><f>IF(AF344&lt;$V$6,"error",IF(AF344&gt;$V$6*1.1,"error","aceptable"))</f><v /></c><c r="BA344" s="390"><f>IF(T344&lt;$J$6*0.9,"error",IF(T344&gt;$J$6,"error","aceptable"))</f><v /></c><c r="BB344" s="25"><f>(IF(ABS(U344)&lt;1.05,"CONFORME",IF(ABS(AG344)&lt;1.05,"CONFORME",IF(ABS(AS344)&lt;2.55,"CONFORME","NO CONFORME"))))</f><v /></c><c r="BC344" s="5"><f>(IF(ABS(U344)&gt;2.05,"NO CONFORME",IF(ABS(AG344)&gt;2.05,"NO CONFORME",IF(ABS(AS344)&gt;5.05,"NO CONFORME","CONFORME"))))</f><v /></c><c r="BD344" s="374"><f>SIGN(U344)</f><v /></c><c r="BE344" s="374"><f>SIGN(AG344)</f><v /></c><c r="BF344" s="374"><f>SIGN(AS344)</f><v /></c><c r="BG344" s="374"><f>CONCATENATE(BD344,BE344,BF344)</f><v /></c><c r="BH344" s="374"><f>IF(BG344="111","SI","SD")</f><v /></c><c r="BI344" s="374"><f>IF(BG344="-1-1-1","SI","SD")</f><v /></c><c r="BJ344" s="374"><f>OR(BH344="SI",BI344="SI")</f><v /></c><c r="BK344" s="374"><f>IF(BJ344=FALSE,"SIGDIFERENTES","SIGIGUALES")</f><v /></c><c r="BL344" s="390"><f>IF(BC344="NO CONFORME","NO CONFORME",IF(BB344="CONFORME","CONFORME","NO CONFORME"))</f><v /></c></row><row r="345" ht="15" customHeight="1" thickBot="1"><c r="A345" s="351" t="n"><v>337</v></c><c r="B345" s="375"><f>B344</f><v /></c><c r="C345" s="375"><f>C344</f><v /></c><c r="D345" s="376"><f>D344</f><v /></c><c r="E345" s="377"><f>E344</f><v /></c><c r="F345" s="13" t="n" /><c r="G345" s="355" t="inlineStr"><is><t>PA25517173</t></is></c><c r="H345" s="313"><f>H344</f><v /></c><c r="I345" s="38"><f>I344</f><v /></c><c r="J345" s="314"><f>J344</f><v /></c><c r="K345" s="378"><f>K344</f><v /></c><c r="L345" s="378"><f>L344</f><v /></c><c r="M345" s="379" t="n"><v>105.9</v></c><c r="N345" s="379" t="n"><v>205.72</v></c><c r="O345" s="380"><f>O344</f><v /></c><c r="P345" s="381"><f>P344</f><v /></c><c r="Q345" s="382"><f>LEFT(P345,1)</f><v /></c><c r="R345" s="382"><f>RIGHT(P345,6)</f><v /></c><c r="S345" s="382"><f>+(Q345*60+R345)/(60*60)</f><v /></c><c r="T345" s="383"><f>+O345/S345</f><v /></c><c r="U345" s="384"><f>+(((N345-M345-O345)/O345)*100)</f><v /></c><c r="V345" s="317"><f>V344</f><v /></c><c r="W345" s="385"><f>W344</f><v /></c><c r="X345" s="385"><f>X344</f><v /></c><c r="Y345" s="379" t="n"><v>213.56</v></c><c r="Z345" s="379" t="n"><v>223.55</v></c><c r="AA345" s="386"><f>AA344</f><v /></c><c r="AB345" s="387"><f>AB344</f><v /></c><c r="AC345" s="382"><f>LEFT(AB345,2)</f><v /></c><c r="AD345" s="382"><f>RIGHT(AB345,6)</f><v /></c><c r="AE345" s="382"><f>+(AC345*60+AD345)/(60*60)</f><v /></c><c r="AF345" s="383"><f>+AA345/AE345</f><v /></c><c r="AG345" s="321"><f>+(((Z345-Y345-AA345)/AA345)*100)</f><v /></c><c r="AH345" s="317"><f>AH344</f><v /></c><c r="AI345" s="385"><f>AI344</f><v /></c><c r="AJ345" s="385"><f>AJ344</f><v /></c><c r="AK345" s="379"><f>Z345</f><v /></c><c r="AL345" s="379" t="n"><v>228.58</v></c><c r="AM345" s="388"><f>AM344</f><v /></c><c r="AN345" s="381"><f>AN344</f><v /></c><c r="AO345" s="382"><f>LEFT(AN345,2)</f><v /></c><c r="AP345" s="382"><f>RIGHT(AN345,6)</f><v /></c><c r="AQ345" s="382"><f>+(AO345*60+AP345)/(60*60)</f><v /></c><c r="AR345" s="383"><f>+AM345/AQ345</f><v /></c><c r="AS345" s="321"><f>+(((AL345-AK345-AM345)/AM345)*100)</f><v /></c><c r="AT345" s="389"><f>IF(I345&gt;=1,"NO CONFORME",IF(BK345="SIGDIFERENTES",BC345,BL345))</f><v /></c><c r="AU345" s="372"><f>B345=C345</f><v /></c><c r="AV345" s="372"><f>N345&lt;Y345</f><v /></c><c r="AW345" s="372"><f>Z345&lt;=AK345</f><v /></c><c r="AX345" s="372"><f>IF(I345&gt;=1,"Qcorrecto",IF(AND(AY345="aceptable",AZ345="aceptable",BA345="aceptable"),"Qcorrecto","Qincorrecto"))</f><v /></c><c r="AY345" s="390"><f>IF(AR345&lt;$AH$6,"error",IF(AR345&gt;$AH$6*1.1,"error","aceptable"))</f><v /></c><c r="AZ345" s="390"><f>IF(AF345&lt;$V$6,"error",IF(AF345&gt;$V$6*1.1,"error","aceptable"))</f><v /></c><c r="BA345" s="390"><f>IF(T345&lt;$J$6*0.9,"error",IF(T345&gt;$J$6,"error","aceptable"))</f><v /></c><c r="BB345" s="25"><f>(IF(ABS(U345)&lt;1.05,"CONFORME",IF(ABS(AG345)&lt;1.05,"CONFORME",IF(ABS(AS345)&lt;2.55,"CONFORME","NO CONFORME"))))</f><v /></c><c r="BC345" s="5"><f>(IF(ABS(U345)&gt;2.05,"NO CONFORME",IF(ABS(AG345)&gt;2.05,"NO CONFORME",IF(ABS(AS345)&gt;5.05,"NO CONFORME","CONFORME"))))</f><v /></c><c r="BD345" s="374"><f>SIGN(U345)</f><v /></c><c r="BE345" s="374"><f>SIGN(AG345)</f><v /></c><c r="BF345" s="374"><f>SIGN(AS345)</f><v /></c><c r="BG345" s="374"><f>CONCATENATE(BD345,BE345,BF345)</f><v /></c><c r="BH345" s="374"><f>IF(BG345="111","SI","SD")</f><v /></c><c r="BI345" s="374"><f>IF(BG345="-1-1-1","SI","SD")</f><v /></c><c r="BJ345" s="374"><f>OR(BH345="SI",BI345="SI")</f><v /></c><c r="BK345" s="374"><f>IF(BJ345=FALSE,"SIGDIFERENTES","SIGIGUALES")</f><v /></c><c r="BL345" s="390"><f>IF(BC345="NO CONFORME","NO CONFORME",IF(BB345="CONFORME","CONFORME","NO CONFORME"))</f><v /></c></row><row r="346" ht="15" customHeight="1" thickBot="1"><c r="A346" s="351" t="n"><v>338</v></c><c r="B346" s="375"><f>B345</f><v /></c><c r="C346" s="375"><f>C345</f><v /></c><c r="D346" s="376"><f>D345</f><v /></c><c r="E346" s="377"><f>E345</f><v /></c><c r="F346" s="13" t="n" /><c r="G346" s="355" t="inlineStr"><is><t>PA25517174</t></is></c><c r="H346" s="313"><f>H345</f><v /></c><c r="I346" s="38"><f>I345</f><v /></c><c r="J346" s="314"><f>J345</f><v /></c><c r="K346" s="378"><f>K345</f><v /></c><c r="L346" s="378"><f>L345</f><v /></c><c r="M346" s="379" t="n"><v>105.95</v></c><c r="N346" s="379" t="n"><v>206.05</v></c><c r="O346" s="380"><f>O345</f><v /></c><c r="P346" s="381"><f>P345</f><v /></c><c r="Q346" s="382"><f>LEFT(P346,1)</f><v /></c><c r="R346" s="382"><f>RIGHT(P346,6)</f><v /></c><c r="S346" s="382"><f>+(Q346*60+R346)/(60*60)</f><v /></c><c r="T346" s="383"><f>+O346/S346</f><v /></c><c r="U346" s="384"><f>+(((N346-M346-O346)/O346)*100)</f><v /></c><c r="V346" s="317"><f>V345</f><v /></c><c r="W346" s="385"><f>W345</f><v /></c><c r="X346" s="385"><f>X345</f><v /></c><c r="Y346" s="379" t="n"><v>213.93</v></c><c r="Z346" s="379" t="n"><v>223.89</v></c><c r="AA346" s="386"><f>AA345</f><v /></c><c r="AB346" s="387"><f>AB345</f><v /></c><c r="AC346" s="382"><f>LEFT(AB346,2)</f><v /></c><c r="AD346" s="382"><f>RIGHT(AB346,6)</f><v /></c><c r="AE346" s="382"><f>+(AC346*60+AD346)/(60*60)</f><v /></c><c r="AF346" s="383"><f>+AA346/AE346</f><v /></c><c r="AG346" s="321"><f>+(((Z346-Y346-AA346)/AA346)*100)</f><v /></c><c r="AH346" s="317"><f>AH345</f><v /></c><c r="AI346" s="385"><f>AI345</f><v /></c><c r="AJ346" s="385"><f>AJ345</f><v /></c><c r="AK346" s="379"><f>Z346</f><v /></c><c r="AL346" s="379" t="n"><v>228.9</v></c><c r="AM346" s="388"><f>AM345</f><v /></c><c r="AN346" s="381"><f>AN345</f><v /></c><c r="AO346" s="382"><f>LEFT(AN346,2)</f><v /></c><c r="AP346" s="382"><f>RIGHT(AN346,6)</f><v /></c><c r="AQ346" s="382"><f>+(AO346*60+AP346)/(60*60)</f><v /></c><c r="AR346" s="383"><f>+AM346/AQ346</f><v /></c><c r="AS346" s="321"><f>+(((AL346-AK346-AM346)/AM346)*100)</f><v /></c><c r="AT346" s="389"><f>IF(I346&gt;=1,"NO CONFORME",IF(BK346="SIGDIFERENTES",BC346,BL346))</f><v /></c><c r="AU346" s="372"><f>B346=C346</f><v /></c><c r="AV346" s="372"><f>N346&lt;Y346</f><v /></c><c r="AW346" s="372"><f>Z346&lt;=AK346</f><v /></c><c r="AX346" s="372"><f>IF(I346&gt;=1,"Qcorrecto",IF(AND(AY346="aceptable",AZ346="aceptable",BA346="aceptable"),"Qcorrecto","Qincorrecto"))</f><v /></c><c r="AY346" s="390"><f>IF(AR346&lt;$AH$6,"error",IF(AR346&gt;$AH$6*1.1,"error","aceptable"))</f><v /></c><c r="AZ346" s="390"><f>IF(AF346&lt;$V$6,"error",IF(AF346&gt;$V$6*1.1,"error","aceptable"))</f><v /></c><c r="BA346" s="390"><f>IF(T346&lt;$J$6*0.9,"error",IF(T346&gt;$J$6,"error","aceptable"))</f><v /></c><c r="BB346" s="25"><f>(IF(ABS(U346)&lt;1.05,"CONFORME",IF(ABS(AG346)&lt;1.05,"CONFORME",IF(ABS(AS346)&lt;2.55,"CONFORME","NO CONFORME"))))</f><v /></c><c r="BC346" s="5"><f>(IF(ABS(U346)&gt;2.05,"NO CONFORME",IF(ABS(AG346)&gt;2.05,"NO CONFORME",IF(ABS(AS346)&gt;5.05,"NO CONFORME","CONFORME"))))</f><v /></c><c r="BD346" s="374"><f>SIGN(U346)</f><v /></c><c r="BE346" s="374"><f>SIGN(AG346)</f><v /></c><c r="BF346" s="374"><f>SIGN(AS346)</f><v /></c><c r="BG346" s="374"><f>CONCATENATE(BD346,BE346,BF346)</f><v /></c><c r="BH346" s="374"><f>IF(BG346="111","SI","SD")</f><v /></c><c r="BI346" s="374"><f>IF(BG346="-1-1-1","SI","SD")</f><v /></c><c r="BJ346" s="374"><f>OR(BH346="SI",BI346="SI")</f><v /></c><c r="BK346" s="374"><f>IF(BJ346=FALSE,"SIGDIFERENTES","SIGIGUALES")</f><v /></c><c r="BL346" s="390"><f>IF(BC346="NO CONFORME","NO CONFORME",IF(BB346="CONFORME","CONFORME","NO CONFORME"))</f><v /></c></row><row r="347" ht="15" customHeight="1" thickBot="1"><c r="A347" s="351" t="n"><v>339</v></c><c r="B347" s="375"><f>B346</f><v /></c><c r="C347" s="375"><f>C346</f><v /></c><c r="D347" s="376"><f>D346</f><v /></c><c r="E347" s="377"><f>E346</f><v /></c><c r="F347" s="13" t="n" /><c r="G347" s="355" t="inlineStr"><is><t>PA25517175</t></is></c><c r="H347" s="313"><f>H346</f><v /></c><c r="I347" s="38"><f>I346</f><v /></c><c r="J347" s="314"><f>J346</f><v /></c><c r="K347" s="378"><f>K346</f><v /></c><c r="L347" s="378"><f>L346</f><v /></c><c r="M347" s="379" t="n"><v>106.7</v></c><c r="N347" s="379" t="n"><v>206.71</v></c><c r="O347" s="380"><f>O346</f><v /></c><c r="P347" s="381"><f>P346</f><v /></c><c r="Q347" s="382"><f>LEFT(P347,1)</f><v /></c><c r="R347" s="382"><f>RIGHT(P347,6)</f><v /></c><c r="S347" s="382"><f>+(Q347*60+R347)/(60*60)</f><v /></c><c r="T347" s="383"><f>+O347/S347</f><v /></c><c r="U347" s="384"><f>+(((N347-M347-O347)/O347)*100)</f><v /></c><c r="V347" s="317"><f>V346</f><v /></c><c r="W347" s="385"><f>W346</f><v /></c><c r="X347" s="385"><f>X346</f><v /></c><c r="Y347" s="379" t="n"><v>214.6</v></c><c r="Z347" s="379" t="n"><v>224.56</v></c><c r="AA347" s="386"><f>AA346</f><v /></c><c r="AB347" s="387"><f>AB346</f><v /></c><c r="AC347" s="382"><f>LEFT(AB347,2)</f><v /></c><c r="AD347" s="382"><f>RIGHT(AB347,6)</f><v /></c><c r="AE347" s="382"><f>+(AC347*60+AD347)/(60*60)</f><v /></c><c r="AF347" s="383"><f>+AA347/AE347</f><v /></c><c r="AG347" s="321"><f>+(((Z347-Y347-AA347)/AA347)*100)</f><v /></c><c r="AH347" s="317"><f>AH346</f><v /></c><c r="AI347" s="385"><f>AI346</f><v /></c><c r="AJ347" s="385"><f>AJ346</f><v /></c><c r="AK347" s="379"><f>Z347</f><v /></c><c r="AL347" s="379" t="n"><v>229.6</v></c><c r="AM347" s="388"><f>AM346</f><v /></c><c r="AN347" s="381"><f>AN346</f><v /></c><c r="AO347" s="382"><f>LEFT(AN347,2)</f><v /></c><c r="AP347" s="382"><f>RIGHT(AN347,6)</f><v /></c><c r="AQ347" s="382"><f>+(AO347*60+AP347)/(60*60)</f><v /></c><c r="AR347" s="383"><f>+AM347/AQ347</f><v /></c><c r="AS347" s="321"><f>+(((AL347-AK347-AM347)/AM347)*100)</f><v /></c><c r="AT347" s="389"><f>IF(I347&gt;=1,"NO CONFORME",IF(BK347="SIGDIFERENTES",BC347,BL347))</f><v /></c><c r="AU347" s="372"><f>B347=C347</f><v /></c><c r="AV347" s="372"><f>N347&lt;Y347</f><v /></c><c r="AW347" s="372"><f>Z347&lt;=AK347</f><v /></c><c r="AX347" s="372"><f>IF(I347&gt;=1,"Qcorrecto",IF(AND(AY347="aceptable",AZ347="aceptable",BA347="aceptable"),"Qcorrecto","Qincorrecto"))</f><v /></c><c r="AY347" s="390"><f>IF(AR347&lt;$AH$6,"error",IF(AR347&gt;$AH$6*1.1,"error","aceptable"))</f><v /></c><c r="AZ347" s="390"><f>IF(AF347&lt;$V$6,"error",IF(AF347&gt;$V$6*1.1,"error","aceptable"))</f><v /></c><c r="BA347" s="390"><f>IF(T347&lt;$J$6*0.9,"error",IF(T347&gt;$J$6,"error","aceptable"))</f><v /></c><c r="BB347" s="25"><f>(IF(ABS(U347)&lt;1.05,"CONFORME",IF(ABS(AG347)&lt;1.05,"CONFORME",IF(ABS(AS347)&lt;2.55,"CONFORME","NO CONFORME"))))</f><v /></c><c r="BC347" s="5"><f>(IF(ABS(U347)&gt;2.05,"NO CONFORME",IF(ABS(AG347)&gt;2.05,"NO CONFORME",IF(ABS(AS347)&gt;5.05,"NO CONFORME","CONFORME"))))</f><v /></c><c r="BD347" s="374"><f>SIGN(U347)</f><v /></c><c r="BE347" s="374"><f>SIGN(AG347)</f><v /></c><c r="BF347" s="374"><f>SIGN(AS347)</f><v /></c><c r="BG347" s="374"><f>CONCATENATE(BD347,BE347,BF347)</f><v /></c><c r="BH347" s="374"><f>IF(BG347="111","SI","SD")</f><v /></c><c r="BI347" s="374"><f>IF(BG347="-1-1-1","SI","SD")</f><v /></c><c r="BJ347" s="374"><f>OR(BH347="SI",BI347="SI")</f><v /></c><c r="BK347" s="374"><f>IF(BJ347=FALSE,"SIGDIFERENTES","SIGIGUALES")</f><v /></c><c r="BL347" s="390"><f>IF(BC347="NO CONFORME","NO CONFORME",IF(BB347="CONFORME","CONFORME","NO CONFORME"))</f><v /></c></row><row r="348" ht="15" customHeight="1" thickBot="1"><c r="A348" s="351" t="n"><v>340</v></c><c r="B348" s="375"><f>B347</f><v /></c><c r="C348" s="375"><f>C347</f><v /></c><c r="D348" s="376"><f>D347</f><v /></c><c r="E348" s="377"><f>E347</f><v /></c><c r="F348" s="13" t="n" /><c r="G348" s="355" t="inlineStr"><is><t>PA25517176</t></is></c><c r="H348" s="313"><f>H347</f><v /></c><c r="I348" s="38"><f>I347</f><v /></c><c r="J348" s="314"><f>J347</f><v /></c><c r="K348" s="378"><f>K347</f><v /></c><c r="L348" s="378"><f>L347</f><v /></c><c r="M348" s="379" t="n"><v>107.64</v></c><c r="N348" s="379" t="n"><v>207.75</v></c><c r="O348" s="380"><f>O347</f><v /></c><c r="P348" s="381"><f>P347</f><v /></c><c r="Q348" s="382"><f>LEFT(P348,1)</f><v /></c><c r="R348" s="382"><f>RIGHT(P348,6)</f><v /></c><c r="S348" s="382"><f>+(Q348*60+R348)/(60*60)</f><v /></c><c r="T348" s="383"><f>+O348/S348</f><v /></c><c r="U348" s="384"><f>+(((N348-M348-O348)/O348)*100)</f><v /></c><c r="V348" s="317"><f>V347</f><v /></c><c r="W348" s="385"><f>W347</f><v /></c><c r="X348" s="385"><f>X347</f><v /></c><c r="Y348" s="379" t="n"><v>215.62</v></c><c r="Z348" s="379" t="n"><v>225.56</v></c><c r="AA348" s="386"><f>AA347</f><v /></c><c r="AB348" s="387"><f>AB347</f><v /></c><c r="AC348" s="382"><f>LEFT(AB348,2)</f><v /></c><c r="AD348" s="382"><f>RIGHT(AB348,6)</f><v /></c><c r="AE348" s="382"><f>+(AC348*60+AD348)/(60*60)</f><v /></c><c r="AF348" s="383"><f>+AA348/AE348</f><v /></c><c r="AG348" s="321"><f>+(((Z348-Y348-AA348)/AA348)*100)</f><v /></c><c r="AH348" s="317"><f>AH347</f><v /></c><c r="AI348" s="385"><f>AI347</f><v /></c><c r="AJ348" s="385"><f>AJ347</f><v /></c><c r="AK348" s="379"><f>Z348</f><v /></c><c r="AL348" s="379" t="n"><v>230.48</v></c><c r="AM348" s="388"><f>AM347</f><v /></c><c r="AN348" s="381"><f>AN347</f><v /></c><c r="AO348" s="382"><f>LEFT(AN348,2)</f><v /></c><c r="AP348" s="382"><f>RIGHT(AN348,6)</f><v /></c><c r="AQ348" s="382"><f>+(AO348*60+AP348)/(60*60)</f><v /></c><c r="AR348" s="383"><f>+AM348/AQ348</f><v /></c><c r="AS348" s="321"><f>+(((AL348-AK348-AM348)/AM348)*100)</f><v /></c><c r="AT348" s="389"><f>IF(I348&gt;=1,"NO CONFORME",IF(BK348="SIGDIFERENTES",BC348,BL348))</f><v /></c><c r="AU348" s="451"><f>B348=C348</f><v /></c><c r="AV348" s="451"><f>N348&lt;Y348</f><v /></c><c r="AW348" s="451"><f>Z348&lt;=AK348</f><v /></c><c r="AX348" s="451"><f>IF(I348&gt;=1,"Qcorrecto",IF(AND(AY348="aceptable",AZ348="aceptable",BA348="aceptable"),"Qcorrecto","Qincorrecto"))</f><v /></c><c r="AY348" s="390"><f>IF(AR348&lt;$AH$6,"error",IF(AR348&gt;$AH$6*1.1,"error","aceptable"))</f><v /></c><c r="AZ348" s="390"><f>IF(AF348&lt;$V$6,"error",IF(AF348&gt;$V$6*1.1,"error","aceptable"))</f><v /></c><c r="BA348" s="390"><f>IF(T348&lt;$J$6*0.9,"error",IF(T348&gt;$J$6,"error","aceptable"))</f><v /></c><c r="BB348" s="25"><f>(IF(ABS(U348)&lt;1.05,"CONFORME",IF(ABS(AG348)&lt;1.05,"CONFORME",IF(ABS(AS348)&lt;2.55,"CONFORME","NO CONFORME"))))</f><v /></c><c r="BC348" s="5"><f>(IF(ABS(U348)&gt;2.05,"NO CONFORME",IF(ABS(AG348)&gt;2.05,"NO CONFORME",IF(ABS(AS348)&gt;5.05,"NO CONFORME","CONFORME"))))</f><v /></c><c r="BD348" s="452"><f>SIGN(U348)</f><v /></c><c r="BE348" s="452"><f>SIGN(AG348)</f><v /></c><c r="BF348" s="452"><f>SIGN(AS348)</f><v /></c><c r="BG348" s="452"><f>CONCATENATE(BD348,BE348,BF348)</f><v /></c><c r="BH348" s="452"><f>IF(BG348="111","SI","SD")</f><v /></c><c r="BI348" s="452"><f>IF(BG348="-1-1-1","SI","SD")</f><v /></c><c r="BJ348" s="452"><f>OR(BH348="SI",BI348="SI")</f><v /></c><c r="BK348" s="452"><f>IF(BJ348=FALSE,"SIGDIFERENTES","SIGIGUALES")</f><v /></c><c r="BL348" s="390"><f>IF(BC348="NO CONFORME","NO CONFORME",IF(BB348="CONFORME","CONFORME","NO CONFORME"))</f><v /></c></row><row r="349" ht="15" customHeight="1" thickBot="1"><c r="A349" s="351" t="n"><v>341</v></c><c r="B349" s="352"><f>B348</f><v /></c><c r="C349" s="352"><f>C348</f><v /></c><c r="D349" s="353"><f>D348</f><v /></c><c r="E349" s="354"><f>E348</f><v /></c><c r="F349" s="58" t="n" /><c r="G349" s="355" t="inlineStr"><is><t>PA25517177</t></is></c><c r="H349" s="356"><f>H348</f><v /></c><c r="I349" s="232"><f>I348</f><v /></c><c r="J349" s="357"><f>J348</f><v /></c><c r="K349" s="358"><f>K348</f><v /></c><c r="L349" s="358"><f>L348</f><v /></c><c r="M349" s="359" t="n"><v>109</v></c><c r="N349" s="359" t="n"><v>209.36</v></c><c r="O349" s="360"><f>O348</f><v /></c><c r="P349" s="361"><f>P348</f><v /></c><c r="Q349" s="362"><f>LEFT(P349,1)</f><v /></c><c r="R349" s="362"><f>RIGHT(P349,6)</f><v /></c><c r="S349" s="362"><f>+(Q349*60+R349)/(60*60)</f><v /></c><c r="T349" s="363"><f>+O349/S349</f><v /></c><c r="U349" s="364"><f>+(((N349-M349-O349)/O349)*100)</f><v /></c><c r="V349" s="365"><f>V348</f><v /></c><c r="W349" s="366"><f>W348</f><v /></c><c r="X349" s="366"><f>X348</f><v /></c><c r="Y349" s="359" t="n"><v>217.26</v></c><c r="Z349" s="359" t="n"><v>227.25</v></c><c r="AA349" s="367"><f>AA348</f><v /></c><c r="AB349" s="368"><f>AB348</f><v /></c><c r="AC349" s="362"><f>LEFT(AB349,2)</f><v /></c><c r="AD349" s="362"><f>RIGHT(AB349,6)</f><v /></c><c r="AE349" s="362"><f>+(AC349*60+AD349)/(60*60)</f><v /></c><c r="AF349" s="363"><f>+AA349/AE349</f><v /></c><c r="AG349" s="369"><f>+(((Z349-Y349-AA349)/AA349)*100)</f><v /></c><c r="AH349" s="365"><f>AH348</f><v /></c><c r="AI349" s="366"><f>AI348</f><v /></c><c r="AJ349" s="366"><f>AJ348</f><v /></c><c r="AK349" s="359"><f>Z349</f><v /></c><c r="AL349" s="359" t="n"><v>232.3</v></c><c r="AM349" s="370"><f>AM348</f><v /></c><c r="AN349" s="361"><f>AN348</f><v /></c><c r="AO349" s="362"><f>LEFT(AN349,2)</f><v /></c><c r="AP349" s="362"><f>RIGHT(AN349,6)</f><v /></c><c r="AQ349" s="362"><f>+(AO349*60+AP349)/(60*60)</f><v /></c><c r="AR349" s="363"><f>+AM349/AQ349</f><v /></c><c r="AS349" s="369"><f>+(((AL349-AK349-AM349)/AM349)*100)</f><v /></c><c r="AT349" s="371"><f>IF(I349&gt;=1,"NO CONFORME",IF(BK349="SIGDIFERENTES",BC349,BL349))</f><v /></c><c r="AU349" s="372"><f>B349=C349</f><v /></c><c r="AV349" s="372"><f>N349&lt;Y349</f><v /></c><c r="AW349" s="372"><f>Z349&lt;=AK349</f><v /></c><c r="AX349" s="372"><f>IF(I349&gt;=1,"Qcorrecto",IF(AND(AY349="aceptable",AZ349="aceptable",BA349="aceptable"),"Qcorrecto","Qincorrecto"))</f><v /></c><c r="AY349" s="373"><f>IF(AR349&lt;$AH$6,"error",IF(AR349&gt;$AH$6*1.1,"error","aceptable"))</f><v /></c><c r="AZ349" s="373"><f>IF(AF349&lt;$V$6,"error",IF(AF349&gt;$V$6*1.1,"error","aceptable"))</f><v /></c><c r="BA349" s="373"><f>IF(T349&lt;$J$6*0.9,"error",IF(T349&gt;$J$6,"error","aceptable"))</f><v /></c><c r="BB349" s="25"><f>(IF(ABS(U349)&lt;1.05,"CONFORME",IF(ABS(AG349)&lt;1.05,"CONFORME",IF(ABS(AS349)&lt;2.55,"CONFORME","NO CONFORME"))))</f><v /></c><c r="BC349" s="5"><f>(IF(ABS(U349)&gt;2.05,"NO CONFORME",IF(ABS(AG349)&gt;2.05,"NO CONFORME",IF(ABS(AS349)&gt;5.05,"NO CONFORME","CONFORME"))))</f><v /></c><c r="BD349" s="374"><f>SIGN(U349)</f><v /></c><c r="BE349" s="374"><f>SIGN(AG349)</f><v /></c><c r="BF349" s="374"><f>SIGN(AS349)</f><v /></c><c r="BG349" s="374"><f>CONCATENATE(BD349,BE349,BF349)</f><v /></c><c r="BH349" s="374"><f>IF(BG349="111","SI","SD")</f><v /></c><c r="BI349" s="374"><f>IF(BG349="-1-1-1","SI","SD")</f><v /></c><c r="BJ349" s="374"><f>OR(BH349="SI",BI349="SI")</f><v /></c><c r="BK349" s="374"><f>IF(BJ349=FALSE,"SIGDIFERENTES","SIGIGUALES")</f><v /></c><c r="BL349" s="373"><f>IF(BC349="NO CONFORME","NO CONFORME",IF(BB349="CONFORME","CONFORME","NO CONFORME"))</f><v /></c></row><row r="350" ht="15" customHeight="1" thickBot="1"><c r="A350" s="351" t="n"><v>342</v></c><c r="B350" s="375"><f>B349</f><v /></c><c r="C350" s="375"><f>C349</f><v /></c><c r="D350" s="376"><f>D349</f><v /></c><c r="E350" s="377"><f>E349</f><v /></c><c r="F350" s="13" t="n" /><c r="G350" s="355" t="inlineStr"><is><t>PA25517178</t></is></c><c r="H350" s="313"><f>H349</f><v /></c><c r="I350" s="38"><f>I349</f><v /></c><c r="J350" s="314"><f>J349</f><v /></c><c r="K350" s="378"><f>K349</f><v /></c><c r="L350" s="378"><f>L349</f><v /></c><c r="M350" s="379" t="n"><v>108.96</v></c><c r="N350" s="379" t="n"><v>209.15</v></c><c r="O350" s="380"><f>O349</f><v /></c><c r="P350" s="381"><f>P349</f><v /></c><c r="Q350" s="382"><f>LEFT(P350,1)</f><v /></c><c r="R350" s="382"><f>RIGHT(P350,6)</f><v /></c><c r="S350" s="382"><f>+(Q350*60+R350)/(60*60)</f><v /></c><c r="T350" s="383"><f>+O350/S350</f><v /></c><c r="U350" s="384"><f>+(((N350-M350-O350)/O350)*100)</f><v /></c><c r="V350" s="317"><f>V349</f><v /></c><c r="W350" s="385"><f>W349</f><v /></c><c r="X350" s="385"><f>X349</f><v /></c><c r="Y350" s="379" t="n"><v>217.05</v></c><c r="Z350" s="379" t="n"><v>227.06</v></c><c r="AA350" s="386"><f>AA349</f><v /></c><c r="AB350" s="387"><f>AB349</f><v /></c><c r="AC350" s="382"><f>LEFT(AB350,2)</f><v /></c><c r="AD350" s="382"><f>RIGHT(AB350,6)</f><v /></c><c r="AE350" s="382"><f>+(AC350*60+AD350)/(60*60)</f><v /></c><c r="AF350" s="383"><f>+AA350/AE350</f><v /></c><c r="AG350" s="321"><f>+(((Z350-Y350-AA350)/AA350)*100)</f><v /></c><c r="AH350" s="317"><f>AH349</f><v /></c><c r="AI350" s="385"><f>AI349</f><v /></c><c r="AJ350" s="385"><f>AJ349</f><v /></c><c r="AK350" s="379"><f>Z350</f><v /></c><c r="AL350" s="379" t="n"><v>232.12</v></c><c r="AM350" s="388"><f>AM349</f><v /></c><c r="AN350" s="381"><f>AN349</f><v /></c><c r="AO350" s="382"><f>LEFT(AN350,2)</f><v /></c><c r="AP350" s="382"><f>RIGHT(AN350,6)</f><v /></c><c r="AQ350" s="382"><f>+(AO350*60+AP350)/(60*60)</f><v /></c><c r="AR350" s="383"><f>+AM350/AQ350</f><v /></c><c r="AS350" s="321"><f>+(((AL350-AK350-AM350)/AM350)*100)</f><v /></c><c r="AT350" s="389"><f>IF(I350&gt;=1,"NO CONFORME",IF(BK350="SIGDIFERENTES",BC350,BL350))</f><v /></c><c r="AU350" s="372"><f>B350=C350</f><v /></c><c r="AV350" s="372"><f>N350&lt;Y350</f><v /></c><c r="AW350" s="372"><f>Z350&lt;=AK350</f><v /></c><c r="AX350" s="372"><f>IF(I350&gt;=1,"Qcorrecto",IF(AND(AY350="aceptable",AZ350="aceptable",BA350="aceptable"),"Qcorrecto","Qincorrecto"))</f><v /></c><c r="AY350" s="390"><f>IF(AR350&lt;$AH$6,"error",IF(AR350&gt;$AH$6*1.1,"error","aceptable"))</f><v /></c><c r="AZ350" s="390"><f>IF(AF350&lt;$V$6,"error",IF(AF350&gt;$V$6*1.1,"error","aceptable"))</f><v /></c><c r="BA350" s="390"><f>IF(T350&lt;$J$6*0.9,"error",IF(T350&gt;$J$6,"error","aceptable"))</f><v /></c><c r="BB350" s="25"><f>(IF(ABS(U350)&lt;1.05,"CONFORME",IF(ABS(AG350)&lt;1.05,"CONFORME",IF(ABS(AS350)&lt;2.55,"CONFORME","NO CONFORME"))))</f><v /></c><c r="BC350" s="5"><f>(IF(ABS(U350)&gt;2.05,"NO CONFORME",IF(ABS(AG350)&gt;2.05,"NO CONFORME",IF(ABS(AS350)&gt;5.05,"NO CONFORME","CONFORME"))))</f><v /></c><c r="BD350" s="374"><f>SIGN(U350)</f><v /></c><c r="BE350" s="374"><f>SIGN(AG350)</f><v /></c><c r="BF350" s="374"><f>SIGN(AS350)</f><v /></c><c r="BG350" s="374"><f>CONCATENATE(BD350,BE350,BF350)</f><v /></c><c r="BH350" s="374"><f>IF(BG350="111","SI","SD")</f><v /></c><c r="BI350" s="374"><f>IF(BG350="-1-1-1","SI","SD")</f><v /></c><c r="BJ350" s="374"><f>OR(BH350="SI",BI350="SI")</f><v /></c><c r="BK350" s="374"><f>IF(BJ350=FALSE,"SIGDIFERENTES","SIGIGUALES")</f><v /></c><c r="BL350" s="390"><f>IF(BC350="NO CONFORME","NO CONFORME",IF(BB350="CONFORME","CONFORME","NO CONFORME"))</f><v /></c></row><row r="351" ht="15.75" customHeight="1" thickBot="1"><c r="A351" s="414" t="n"><v>343</v></c><c r="B351" s="415"><f>B350</f><v /></c><c r="C351" s="415"><f>C350</f><v /></c><c r="D351" s="416"><f>D350</f><v /></c><c r="E351" s="417"><f>E350</f><v /></c><c r="F351" s="56" t="n" /><c r="G351" s="355" t="inlineStr"><is><t>PA25517179</t></is></c><c r="H351" s="418"><f>H350</f><v /></c><c r="I351" s="419"><f>I350</f><v /></c><c r="J351" s="420"><f>J350</f><v /></c><c r="K351" s="421"><f>K350</f><v /></c><c r="L351" s="421"><f>L350</f><v /></c><c r="M351" s="422" t="n"><v>107.88</v></c><c r="N351" s="422" t="n"><v>207.66</v></c><c r="O351" s="423"><f>O350</f><v /></c><c r="P351" s="424"><f>P350</f><v /></c><c r="Q351" s="425"><f>LEFT(P351,1)</f><v /></c><c r="R351" s="425"><f>RIGHT(P351,6)</f><v /></c><c r="S351" s="425"><f>+(Q351*60+R351)/(60*60)</f><v /></c><c r="T351" s="426"><f>+O351/S351</f><v /></c><c r="U351" s="427"><f>+(((N351-M351-O351)/O351)*100)</f><v /></c><c r="V351" s="428"><f>V350</f><v /></c><c r="W351" s="429"><f>W350</f><v /></c><c r="X351" s="429"><f>X350</f><v /></c><c r="Y351" s="422" t="n"><v>215.54</v></c><c r="Z351" s="422" t="n"><v>225.54</v></c><c r="AA351" s="430"><f>AA350</f><v /></c><c r="AB351" s="431"><f>AB350</f><v /></c><c r="AC351" s="425"><f>LEFT(AB351,2)</f><v /></c><c r="AD351" s="425"><f>RIGHT(AB351,6)</f><v /></c><c r="AE351" s="425"><f>+(AC351*60+AD351)/(60*60)</f><v /></c><c r="AF351" s="426"><f>+AA351/AE351</f><v /></c><c r="AG351" s="432"><f>+(((Z351-Y351-AA351)/AA351)*100)</f><v /></c><c r="AH351" s="428"><f>AH350</f><v /></c><c r="AI351" s="429"><f>AI350</f><v /></c><c r="AJ351" s="429"><f>AJ350</f><v /></c><c r="AK351" s="422"><f>Z351</f><v /></c><c r="AL351" s="422" t="n"><v>230.55</v></c><c r="AM351" s="433"><f>AM350</f><v /></c><c r="AN351" s="424"><f>AN350</f><v /></c><c r="AO351" s="425"><f>LEFT(AN351,2)</f><v /></c><c r="AP351" s="425"><f>RIGHT(AN351,6)</f><v /></c><c r="AQ351" s="425"><f>+(AO351*60+AP351)/(60*60)</f><v /></c><c r="AR351" s="426"><f>+AM351/AQ351</f><v /></c><c r="AS351" s="432"><f>+(((AL351-AK351-AM351)/AM351)*100)</f><v /></c><c r="AT351" s="434"><f>IF(I351&gt;=1,"NO CONFORME",IF(BK351="SIGDIFERENTES",BC351,BL351))</f><v /></c><c r="AU351" s="372"><f>B351=C351</f><v /></c><c r="AV351" s="372"><f>N351&lt;Y351</f><v /></c><c r="AW351" s="372"><f>Z351&lt;=AK351</f><v /></c><c r="AX351" s="372"><f>IF(I351&gt;=1,"Qcorrecto",IF(AND(AY351="aceptable",AZ351="aceptable",BA351="aceptable"),"Qcorrecto","Qincorrecto"))</f><v /></c><c r="AY351" s="435"><f>IF(AR351&lt;$AH$6,"error",IF(AR351&gt;$AH$6*1.1,"error","aceptable"))</f><v /></c><c r="AZ351" s="435"><f>IF(AF351&lt;$V$6,"error",IF(AF351&gt;$V$6*1.1,"error","aceptable"))</f><v /></c><c r="BA351" s="435"><f>IF(T351&lt;$J$6*0.9,"error",IF(T351&gt;$J$6,"error","aceptable"))</f><v /></c><c r="BB351" s="436"><f>(IF(ABS(U351)&lt;1.05,"CONFORME",IF(ABS(AG351)&lt;1.05,"CONFORME",IF(ABS(AS351)&lt;2.55,"CONFORME","NO CONFORME"))))</f><v /></c><c r="BC351" s="437"><f>(IF(ABS(U351)&gt;2.05,"NO CONFORME",IF(ABS(AG351)&gt;2.05,"NO CONFORME",IF(ABS(AS351)&gt;5.05,"NO CONFORME","CONFORME"))))</f><v /></c><c r="BD351" s="374"><f>SIGN(U351)</f><v /></c><c r="BE351" s="374"><f>SIGN(AG351)</f><v /></c><c r="BF351" s="374"><f>SIGN(AS351)</f><v /></c><c r="BG351" s="374"><f>CONCATENATE(BD351,BE351,BF351)</f><v /></c><c r="BH351" s="374"><f>IF(BG351="111","SI","SD")</f><v /></c><c r="BI351" s="374"><f>IF(BG351="-1-1-1","SI","SD")</f><v /></c><c r="BJ351" s="374"><f>OR(BH351="SI",BI351="SI")</f><v /></c><c r="BK351" s="374"><f>IF(BJ351=FALSE,"SIGDIFERENTES","SIGIGUALES")</f><v /></c><c r="BL351" s="435"><f>IF(BC351="NO CONFORME","NO CONFORME",IF(BB351="CONFORME","CONFORME","NO CONFORME"))</f><v /></c></row><row r="352" ht="15" customHeight="1" thickBot="1"><c r="A352" s="394" t="n"><v>344</v></c><c r="B352" s="392"><f>B351</f><v /></c><c r="C352" s="392"><f>C351</f><v /></c><c r="D352" s="393"><f>D351</f><v /></c><c r="E352" s="394"><f>E351</f><v /></c><c r="F352" s="52" t="n" /><c r="G352" s="446" t="inlineStr"><is><t>PA25517180</t></is></c><c r="H352" s="326"><f>H351</f><v /></c><c r="I352" s="98"><f>I351</f><v /></c><c r="J352" s="327"><f>J351</f><v /></c><c r="K352" s="396"><f>K351</f><v /></c><c r="L352" s="396"><f>L351</f><v /></c><c r="M352" s="397" t="n"><v>108.3</v></c><c r="N352" s="397" t="n"><v>208.69</v></c><c r="O352" s="398"><f>O351</f><v /></c><c r="P352" s="399"><f>P351</f><v /></c><c r="Q352" s="400"><f>LEFT(P352,1)</f><v /></c><c r="R352" s="400"><f>RIGHT(P352,6)</f><v /></c><c r="S352" s="400"><f>+(Q352*60+R352)/(60*60)</f><v /></c><c r="T352" s="401"><f>+O352/S352</f><v /></c><c r="U352" s="402"><f>+(((N352-M352-O352)/O352)*100)</f><v /></c><c r="V352" s="329"><f>V351</f><v /></c><c r="W352" s="403"><f>W351</f><v /></c><c r="X352" s="403"><f>X351</f><v /></c><c r="Y352" s="397" t="n"><v>216.6</v></c><c r="Z352" s="397" t="n"><v>226.63</v></c><c r="AA352" s="404"><f>AA351</f><v /></c><c r="AB352" s="405"><f>AB351</f><v /></c><c r="AC352" s="400"><f>LEFT(AB352,2)</f><v /></c><c r="AD352" s="400"><f>RIGHT(AB352,6)</f><v /></c><c r="AE352" s="400"><f>+(AC352*60+AD352)/(60*60)</f><v /></c><c r="AF352" s="401"><f>+AA352/AE352</f><v /></c><c r="AG352" s="406"><f>+(((Z352-Y352-AA352)/AA352)*100)</f><v /></c><c r="AH352" s="329"><f>AH351</f><v /></c><c r="AI352" s="403"><f>AI351</f><v /></c><c r="AJ352" s="403"><f>AJ351</f><v /></c><c r="AK352" s="397"><f>Z352</f><v /></c><c r="AL352" s="397" t="n"><v>231.66</v></c><c r="AM352" s="407"><f>AM351</f><v /></c><c r="AN352" s="399"><f>AN351</f><v /></c><c r="AO352" s="400"><f>LEFT(AN352,2)</f><v /></c><c r="AP352" s="400"><f>RIGHT(AN352,6)</f><v /></c><c r="AQ352" s="400"><f>+(AO352*60+AP352)/(60*60)</f><v /></c><c r="AR352" s="401"><f>+AM352/AQ352</f><v /></c><c r="AS352" s="406"><f>+(((AL352-AK352-AM352)/AM352)*100)</f><v /></c><c r="AT352" s="408"><f>IF(I352&gt;=1,"NO CONFORME",IF(BK352="SIGDIFERENTES",BC352,BL352))</f><v /></c><c r="AU352" s="447"><f>B352=C352</f><v /></c><c r="AV352" s="447"><f>N352&lt;Y352</f><v /></c><c r="AW352" s="447"><f>Z352&lt;=AK352</f><v /></c><c r="AX352" s="447"><f>IF(I352&gt;=1,"Qcorrecto",IF(AND(AY352="aceptable",AZ352="aceptable",BA352="aceptable"),"Qcorrecto","Qincorrecto"))</f><v /></c><c r="AY352" s="410"><f>IF(AR352&lt;$AH$6,"error",IF(AR352&gt;$AH$6*1.1,"error","aceptable"))</f><v /></c><c r="AZ352" s="410"><f>IF(AF352&lt;$V$6,"error",IF(AF352&gt;$V$6*1.1,"error","aceptable"))</f><v /></c><c r="BA352" s="410"><f>IF(T352&lt;$J$6*0.9,"error",IF(T352&gt;$J$6,"error","aceptable"))</f><v /></c><c r="BB352" s="448"><f>(IF(ABS(U352)&lt;1.05,"CONFORME",IF(ABS(AG352)&lt;1.05,"CONFORME",IF(ABS(AS352)&lt;2.55,"CONFORME","NO CONFORME"))))</f><v /></c><c r="BC352" s="449"><f>(IF(ABS(U352)&gt;2.05,"NO CONFORME",IF(ABS(AG352)&gt;2.05,"NO CONFORME",IF(ABS(AS352)&gt;5.05,"NO CONFORME","CONFORME"))))</f><v /></c><c r="BD352" s="450"><f>SIGN(U352)</f><v /></c><c r="BE352" s="450"><f>SIGN(AG352)</f><v /></c><c r="BF352" s="450"><f>SIGN(AS352)</f><v /></c><c r="BG352" s="450"><f>CONCATENATE(BD352,BE352,BF352)</f><v /></c><c r="BH352" s="450"><f>IF(BG352="111","SI","SD")</f><v /></c><c r="BI352" s="450"><f>IF(BG352="-1-1-1","SI","SD")</f><v /></c><c r="BJ352" s="450"><f>OR(BH352="SI",BI352="SI")</f><v /></c><c r="BK352" s="450"><f>IF(BJ352=FALSE,"SIGDIFERENTES","SIGIGUALES")</f><v /></c><c r="BL352" s="410"><f>IF(BC352="NO CONFORME","NO CONFORME",IF(BB352="CONFORME","CONFORME","NO CONFORME"))</f><v /></c></row><row r="353" ht="15" customHeight="1" thickBot="1"><c r="A353" s="351" t="n"><v>345</v></c><c r="B353" s="454" t="n"><v>45919</v></c><c r="C353" s="454"><f>C352</f><v /></c><c r="D353" s="455" t="n"><v>6</v></c><c r="E353" s="456" t="n"><v>15</v></c><c r="F353" s="58" t="n" /><c r="G353" s="300" t="inlineStr"><is><t>PA25517181</t></is></c><c r="H353" s="301" t="n"><v>25.6</v></c><c r="I353" s="232" t="n"><v>0</v></c><c r="J353" s="302" t="n"><v>20.9</v></c><c r="K353" s="303" t="n"><v>7.883</v></c><c r="L353" s="303" t="n"><v>0.554</v></c><c r="M353" s="359" t="n"><v>113.47</v></c><c r="N353" s="359" t="n"><v>213.25</v></c><c r="O353" s="457" t="n"><v>100.62</v></c><c r="P353" s="458" t="inlineStr"><is><t>2,29,560</t></is></c><c r="Q353" s="362"><f>LEFT(P353,1)</f><v /></c><c r="R353" s="362"><f>RIGHT(P353,6)</f><v /></c><c r="S353" s="362"><f>+(Q353*60+R353)/(60*60)</f><v /></c><c r="T353" s="363"><f>+O353/S353</f><v /></c><c r="U353" s="364"><f>+(((N353-M353-O353)/O353)*100)</f><v /></c><c r="V353" s="306" t="n"><v>20.4</v></c><c r="W353" s="307" t="n"><v>1.507</v></c><c r="X353" s="307" t="n"><v>1.504</v></c><c r="Y353" s="359" t="n"><v>224.8</v></c><c r="Z353" s="359" t="n"><v>234.72</v></c><c r="AA353" s="308" t="n"><v>10.015</v></c><c r="AB353" s="458" t="inlineStr"><is><t>22,10,090</t></is></c><c r="AC353" s="362"><f>LEFT(AB353,2)</f><v /></c><c r="AD353" s="362"><f>RIGHT(AB353,6)</f><v /></c><c r="AE353" s="362"><f>+(AC353*60+AD353)/(60*60)</f><v /></c><c r="AF353" s="363"><f>+AA353/AE353</f><v /></c><c r="AG353" s="369"><f>+(((Z353-Y353-AA353)/AA353)*100)</f><v /></c><c r="AH353" s="306" t="n"><v>20.3</v></c><c r="AI353" s="307" t="n"><v>1.509</v></c><c r="AJ353" s="307" t="n"><v>1.504</v></c><c r="AK353" s="359"><f>Z353</f><v /></c><c r="AL353" s="359" t="n"><v>239.76</v></c><c r="AM353" s="459" t="n"><v>5.013</v></c><c r="AN353" s="458" t="inlineStr"><is><t>17,59,050</t></is></c><c r="AO353" s="362"><f>LEFT(AN353,2)</f><v /></c><c r="AP353" s="362"><f>RIGHT(AN353,6)</f><v /></c><c r="AQ353" s="362"><f>+(AO353*60+AP353)/(60*60)</f><v /></c><c r="AR353" s="363"><f>+AM353/AQ353</f><v /></c><c r="AS353" s="369"><f>+(((AL353-AK353-AM353)/AM353)*100)</f><v /></c><c r="AT353" s="371"><f>IF(I353&gt;=1,"NO CONFORME",IF(BK353="SIGDIFERENTES",BC353,BL353))</f><v /></c><c r="AU353" s="372"><f>B353=C353</f><v /></c><c r="AV353" s="372"><f>N353&lt;Y353</f><v /></c><c r="AW353" s="372"><f>Z353&lt;=AK353</f><v /></c><c r="AX353" s="372"><f>IF(I353&gt;=1,"Qcorrecto",IF(AND(AY353="aceptable",AZ353="aceptable",BA353="aceptable"),"Qcorrecto","Qincorrecto"))</f><v /></c><c r="AY353" s="390"><f>IF(AR353&lt;$AH$6,"error",IF(AR353&gt;$AH$6*1.1,"error","aceptable"))</f><v /></c><c r="AZ353" s="390"><f>IF(AF353&lt;$V$6,"error",IF(AF353&gt;$V$6*1.1,"error","aceptable"))</f><v /></c><c r="BA353" s="390"><f>IF(T353&lt;$J$6*0.9,"error",IF(T353&gt;$J$6,"error","aceptable"))</f><v /></c><c r="BB353" s="25"><f>(IF(ABS(U353)&lt;1.05,"CONFORME",IF(ABS(AG353)&lt;1.05,"CONFORME",IF(ABS(AS353)&lt;2.55,"CONFORME","NO CONFORME"))))</f><v /></c><c r="BC353" s="5"><f>(IF(ABS(U353)&gt;2.05,"NO CONFORME",IF(ABS(AG353)&gt;2.05,"NO CONFORME",IF(ABS(AS353)&gt;5.05,"NO CONFORME","CONFORME"))))</f><v /></c><c r="BD353" s="374"><f>SIGN(U353)</f><v /></c><c r="BE353" s="374"><f>SIGN(AG353)</f><v /></c><c r="BF353" s="374"><f>SIGN(AS353)</f><v /></c><c r="BG353" s="374"><f>CONCATENATE(BD353,BE353,BF353)</f><v /></c><c r="BH353" s="374"><f>IF(BG353="111","SI","SD")</f><v /></c><c r="BI353" s="374"><f>IF(BG353="-1-1-1","SI","SD")</f><v /></c><c r="BJ353" s="374"><f>OR(BH353="SI",BI353="SI")</f><v /></c><c r="BK353" s="374"><f>IF(BJ353=FALSE,"SIGDIFERENTES","SIGIGUALES")</f><v /></c><c r="BL353" s="373"><f>IF(BC353="NO CONFORME","NO CONFORME",IF(BB353="CONFORME","CONFORME","NO CONFORME"))</f><v /></c></row><row r="354" ht="15" customHeight="1" thickBot="1"><c r="A354" s="443" t="n"><v>346</v></c><c r="B354" s="375"><f>B353</f><v /></c><c r="C354" s="375"><f>C353</f><v /></c><c r="D354" s="376"><f>D353</f><v /></c><c r="E354" s="377"><f>E353</f><v /></c><c r="F354" s="13" t="n" /><c r="G354" s="300" t="inlineStr"><is><t>PA25517182</t></is></c><c r="H354" s="313"><f>H353</f><v /></c><c r="I354" s="38"><f>I353</f><v /></c><c r="J354" s="314"><f>J353</f><v /></c><c r="K354" s="378"><f>K353</f><v /></c><c r="L354" s="378"><f>L353</f><v /></c><c r="M354" s="379" t="n"><v>113.65</v></c><c r="N354" s="379" t="n"><v>214.16</v></c><c r="O354" s="380"><f>O353</f><v /></c><c r="P354" s="381"><f>P353</f><v /></c><c r="Q354" s="382"><f>LEFT(P354,1)</f><v /></c><c r="R354" s="382"><f>RIGHT(P354,6)</f><v /></c><c r="S354" s="382"><f>+(Q354*60+R354)/(60*60)</f><v /></c><c r="T354" s="383"><f>+O354/S354</f><v /></c><c r="U354" s="384"><f>+(((N354-M354-O354)/O354)*100)</f><v /></c><c r="V354" s="317"><f>V353</f><v /></c><c r="W354" s="385"><f>W353</f><v /></c><c r="X354" s="385"><f>X353</f><v /></c><c r="Y354" s="379" t="n"><v>225.78</v></c><c r="Z354" s="379" t="n"><v>235.75</v></c><c r="AA354" s="386"><f>AA353</f><v /></c><c r="AB354" s="387"><f>AB353</f><v /></c><c r="AC354" s="382"><f>LEFT(AB354,2)</f><v /></c><c r="AD354" s="382"><f>RIGHT(AB354,6)</f><v /></c><c r="AE354" s="382"><f>+(AC354*60+AD354)/(60*60)</f><v /></c><c r="AF354" s="383"><f>+AA354/AE354</f><v /></c><c r="AG354" s="321"><f>+(((Z354-Y354-AA354)/AA354)*100)</f><v /></c><c r="AH354" s="317"><f>AH353</f><v /></c><c r="AI354" s="385"><f>AI353</f><v /></c><c r="AJ354" s="385"><f>AJ353</f><v /></c><c r="AK354" s="379"><f>Z354</f><v /></c><c r="AL354" s="379" t="n"><v>240.81</v></c><c r="AM354" s="388"><f>AM353</f><v /></c><c r="AN354" s="381"><f>AN353</f><v /></c><c r="AO354" s="382"><f>LEFT(AN354,2)</f><v /></c><c r="AP354" s="382"><f>RIGHT(AN354,6)</f><v /></c><c r="AQ354" s="382"><f>+(AO354*60+AP354)/(60*60)</f><v /></c><c r="AR354" s="383"><f>+AM354/AQ354</f><v /></c><c r="AS354" s="321"><f>+(((AL354-AK354-AM354)/AM354)*100)</f><v /></c><c r="AT354" s="389"><f>IF(I354&gt;=1,"NO CONFORME",IF(BK354="SIGDIFERENTES",BC354,BL354))</f><v /></c><c r="AU354" s="372"><f>B354=C354</f><v /></c><c r="AV354" s="372"><f>N354&lt;Y354</f><v /></c><c r="AW354" s="372"><f>Z354&lt;=AK354</f><v /></c><c r="AX354" s="372"><f>IF(I354&gt;=1,"Qcorrecto",IF(AND(AY354="aceptable",AZ354="aceptable",BA354="aceptable"),"Qcorrecto","Qincorrecto"))</f><v /></c><c r="AY354" s="390"><f>IF(AR354&lt;$AH$6,"error",IF(AR354&gt;$AH$6*1.1,"error","aceptable"))</f><v /></c><c r="AZ354" s="390"><f>IF(AF354&lt;$V$6,"error",IF(AF354&gt;$V$6*1.1,"error","aceptable"))</f><v /></c><c r="BA354" s="390"><f>IF(T354&lt;$J$6*0.9,"error",IF(T354&gt;$J$6,"error","aceptable"))</f><v /></c><c r="BB354" s="25"><f>(IF(ABS(U354)&lt;1.05,"CONFORME",IF(ABS(AG354)&lt;1.05,"CONFORME",IF(ABS(AS354)&lt;2.55,"CONFORME","NO CONFORME"))))</f><v /></c><c r="BC354" s="5"><f>(IF(ABS(U354)&gt;2.05,"NO CONFORME",IF(ABS(AG354)&gt;2.05,"NO CONFORME",IF(ABS(AS354)&gt;5.05,"NO CONFORME","CONFORME"))))</f><v /></c><c r="BD354" s="374"><f>SIGN(U354)</f><v /></c><c r="BE354" s="374"><f>SIGN(AG354)</f><v /></c><c r="BF354" s="374"><f>SIGN(AS354)</f><v /></c><c r="BG354" s="374"><f>CONCATENATE(BD354,BE354,BF354)</f><v /></c><c r="BH354" s="374"><f>IF(BG354="111","SI","SD")</f><v /></c><c r="BI354" s="374"><f>IF(BG354="-1-1-1","SI","SD")</f><v /></c><c r="BJ354" s="374"><f>OR(BH354="SI",BI354="SI")</f><v /></c><c r="BK354" s="374"><f>IF(BJ354=FALSE,"SIGDIFERENTES","SIGIGUALES")</f><v /></c><c r="BL354" s="390"><f>IF(BC354="NO CONFORME","NO CONFORME",IF(BB354="CONFORME","CONFORME","NO CONFORME"))</f><v /></c></row><row r="355" ht="15" customHeight="1" thickBot="1"><c r="A355" s="443" t="n"><v>347</v></c><c r="B355" s="375"><f>B354</f><v /></c><c r="C355" s="375"><f>C354</f><v /></c><c r="D355" s="376"><f>D354</f><v /></c><c r="E355" s="377"><f>E354</f><v /></c><c r="F355" s="13" t="n" /><c r="G355" s="300" t="inlineStr"><is><t>PA25517183</t></is></c><c r="H355" s="313"><f>H354</f><v /></c><c r="I355" s="38"><f>I354</f><v /></c><c r="J355" s="314"><f>J354</f><v /></c><c r="K355" s="378"><f>K354</f><v /></c><c r="L355" s="378"><f>L354</f><v /></c><c r="M355" s="379" t="n"><v>112.12</v></c><c r="N355" s="379" t="n"><v>211</v></c><c r="O355" s="380"><f>O354</f><v /></c><c r="P355" s="381"><f>P354</f><v /></c><c r="Q355" s="382"><f>LEFT(P355,1)</f><v /></c><c r="R355" s="382"><f>RIGHT(P355,6)</f><v /></c><c r="S355" s="382"><f>+(Q355*60+R355)/(60*60)</f><v /></c><c r="T355" s="383"><f>+O355/S355</f><v /></c><c r="U355" s="384"><f>+(((N355-M355-O355)/O355)*100)</f><v /></c><c r="V355" s="317"><f>V354</f><v /></c><c r="W355" s="385"><f>W354</f><v /></c><c r="X355" s="385"><f>X354</f><v /></c><c r="Y355" s="379" t="n"><v>223.25</v></c><c r="Z355" s="379" t="n"><v>233.3</v></c><c r="AA355" s="386"><f>AA354</f><v /></c><c r="AB355" s="387"><f>AB354</f><v /></c><c r="AC355" s="382"><f>LEFT(AB355,2)</f><v /></c><c r="AD355" s="382"><f>RIGHT(AB355,6)</f><v /></c><c r="AE355" s="382"><f>+(AC355*60+AD355)/(60*60)</f><v /></c><c r="AF355" s="383"><f>+AA355/AE355</f><v /></c><c r="AG355" s="321"><f>+(((Z355-Y355-AA355)/AA355)*100)</f><v /></c><c r="AH355" s="317"><f>AH354</f><v /></c><c r="AI355" s="385"><f>AI354</f><v /></c><c r="AJ355" s="385"><f>AJ354</f><v /></c><c r="AK355" s="379"><f>Z355</f><v /></c><c r="AL355" s="379" t="n"><v>238.37</v></c><c r="AM355" s="388"><f>AM354</f><v /></c><c r="AN355" s="381"><f>AN354</f><v /></c><c r="AO355" s="382"><f>LEFT(AN355,2)</f><v /></c><c r="AP355" s="382"><f>RIGHT(AN355,6)</f><v /></c><c r="AQ355" s="382"><f>+(AO355*60+AP355)/(60*60)</f><v /></c><c r="AR355" s="383"><f>+AM355/AQ355</f><v /></c><c r="AS355" s="321"><f>+(((AL355-AK355-AM355)/AM355)*100)</f><v /></c><c r="AT355" s="389"><f>IF(I355&gt;=1,"NO CONFORME",IF(BK355="SIGDIFERENTES",BC355,BL355))</f><v /></c><c r="AU355" s="372"><f>B355=C355</f><v /></c><c r="AV355" s="372"><f>N355&lt;Y355</f><v /></c><c r="AW355" s="372"><f>Z355&lt;=AK355</f><v /></c><c r="AX355" s="372"><f>IF(I355&gt;=1,"Qcorrecto",IF(AND(AY355="aceptable",AZ355="aceptable",BA355="aceptable"),"Qcorrecto","Qincorrecto"))</f><v /></c><c r="AY355" s="390"><f>IF(AR355&lt;$AH$6,"error",IF(AR355&gt;$AH$6*1.1,"error","aceptable"))</f><v /></c><c r="AZ355" s="390"><f>IF(AF355&lt;$V$6,"error",IF(AF355&gt;$V$6*1.1,"error","aceptable"))</f><v /></c><c r="BA355" s="390"><f>IF(T355&lt;$J$6*0.9,"error",IF(T355&gt;$J$6,"error","aceptable"))</f><v /></c><c r="BB355" s="25"><f>(IF(ABS(U355)&lt;1.05,"CONFORME",IF(ABS(AG355)&lt;1.05,"CONFORME",IF(ABS(AS355)&lt;2.55,"CONFORME","NO CONFORME"))))</f><v /></c><c r="BC355" s="5"><f>(IF(ABS(U355)&gt;2.05,"NO CONFORME",IF(ABS(AG355)&gt;2.05,"NO CONFORME",IF(ABS(AS355)&gt;5.05,"NO CONFORME","CONFORME"))))</f><v /></c><c r="BD355" s="374"><f>SIGN(U355)</f><v /></c><c r="BE355" s="374"><f>SIGN(AG355)</f><v /></c><c r="BF355" s="374"><f>SIGN(AS355)</f><v /></c><c r="BG355" s="374"><f>CONCATENATE(BD355,BE355,BF355)</f><v /></c><c r="BH355" s="374"><f>IF(BG355="111","SI","SD")</f><v /></c><c r="BI355" s="374"><f>IF(BG355="-1-1-1","SI","SD")</f><v /></c><c r="BJ355" s="374"><f>OR(BH355="SI",BI355="SI")</f><v /></c><c r="BK355" s="374"><f>IF(BJ355=FALSE,"SIGDIFERENTES","SIGIGUALES")</f><v /></c><c r="BL355" s="390"><f>IF(BC355="NO CONFORME","NO CONFORME",IF(BB355="CONFORME","CONFORME","NO CONFORME"))</f><v /></c></row><row r="356" ht="15" customHeight="1" thickBot="1"><c r="A356" s="443" t="n"><v>348</v></c><c r="B356" s="375"><f>B355</f><v /></c><c r="C356" s="375"><f>C355</f><v /></c><c r="D356" s="376"><f>D355</f><v /></c><c r="E356" s="377"><f>E355</f><v /></c><c r="F356" s="13" t="n" /><c r="G356" s="300" t="inlineStr"><is><t>PA25517184</t></is></c><c r="H356" s="313"><f>H355</f><v /></c><c r="I356" s="38"><f>I355</f><v /></c><c r="J356" s="314"><f>J355</f><v /></c><c r="K356" s="378"><f>K355</f><v /></c><c r="L356" s="378"><f>L355</f><v /></c><c r="M356" s="379" t="n"><v>109.9</v></c><c r="N356" s="379" t="n"><v>210.24</v></c><c r="O356" s="380"><f>O355</f><v /></c><c r="P356" s="381"><f>P355</f><v /></c><c r="Q356" s="382"><f>LEFT(P356,1)</f><v /></c><c r="R356" s="382"><f>RIGHT(P356,6)</f><v /></c><c r="S356" s="382"><f>+(Q356*60+R356)/(60*60)</f><v /></c><c r="T356" s="383"><f>+O356/S356</f><v /></c><c r="U356" s="384"><f>+(((N356-M356-O356)/O356)*100)</f><v /></c><c r="V356" s="317"><f>V355</f><v /></c><c r="W356" s="385"><f>W355</f><v /></c><c r="X356" s="385"><f>X355</f><v /></c><c r="Y356" s="379" t="n"><v>221.86</v></c><c r="Z356" s="379" t="n"><v>231.8</v></c><c r="AA356" s="386"><f>AA355</f><v /></c><c r="AB356" s="387"><f>AB355</f><v /></c><c r="AC356" s="382"><f>LEFT(AB356,2)</f><v /></c><c r="AD356" s="382"><f>RIGHT(AB356,6)</f><v /></c><c r="AE356" s="382"><f>+(AC356*60+AD356)/(60*60)</f><v /></c><c r="AF356" s="383"><f>+AA356/AE356</f><v /></c><c r="AG356" s="321"><f>+(((Z356-Y356-AA356)/AA356)*100)</f><v /></c><c r="AH356" s="317"><f>AH355</f><v /></c><c r="AI356" s="385"><f>AI355</f><v /></c><c r="AJ356" s="385"><f>AJ355</f><v /></c><c r="AK356" s="379"><f>Z356</f><v /></c><c r="AL356" s="379" t="n"><v>236.81</v></c><c r="AM356" s="388"><f>AM355</f><v /></c><c r="AN356" s="381"><f>AN355</f><v /></c><c r="AO356" s="382"><f>LEFT(AN356,2)</f><v /></c><c r="AP356" s="382"><f>RIGHT(AN356,6)</f><v /></c><c r="AQ356" s="382"><f>+(AO356*60+AP356)/(60*60)</f><v /></c><c r="AR356" s="383"><f>+AM356/AQ356</f><v /></c><c r="AS356" s="321"><f>+(((AL356-AK356-AM356)/AM356)*100)</f><v /></c><c r="AT356" s="389"><f>IF(I356&gt;=1,"NO CONFORME",IF(BK356="SIGDIFERENTES",BC356,BL356))</f><v /></c><c r="AU356" s="372"><f>B356=C356</f><v /></c><c r="AV356" s="372"><f>N356&lt;Y356</f><v /></c><c r="AW356" s="372"><f>Z356&lt;=AK356</f><v /></c><c r="AX356" s="372"><f>IF(I356&gt;=1,"Qcorrecto",IF(AND(AY356="aceptable",AZ356="aceptable",BA356="aceptable"),"Qcorrecto","Qincorrecto"))</f><v /></c><c r="AY356" s="390"><f>IF(AR356&lt;$AH$6,"error",IF(AR356&gt;$AH$6*1.1,"error","aceptable"))</f><v /></c><c r="AZ356" s="390"><f>IF(AF356&lt;$V$6,"error",IF(AF356&gt;$V$6*1.1,"error","aceptable"))</f><v /></c><c r="BA356" s="390"><f>IF(T356&lt;$J$6*0.9,"error",IF(T356&gt;$J$6,"error","aceptable"))</f><v /></c><c r="BB356" s="25"><f>(IF(ABS(U356)&lt;1.05,"CONFORME",IF(ABS(AG356)&lt;1.05,"CONFORME",IF(ABS(AS356)&lt;2.55,"CONFORME","NO CONFORME"))))</f><v /></c><c r="BC356" s="5"><f>(IF(ABS(U356)&gt;2.05,"NO CONFORME",IF(ABS(AG356)&gt;2.05,"NO CONFORME",IF(ABS(AS356)&gt;5.05,"NO CONFORME","CONFORME"))))</f><v /></c><c r="BD356" s="374"><f>SIGN(U356)</f><v /></c><c r="BE356" s="374"><f>SIGN(AG356)</f><v /></c><c r="BF356" s="374"><f>SIGN(AS356)</f><v /></c><c r="BG356" s="374"><f>CONCATENATE(BD356,BE356,BF356)</f><v /></c><c r="BH356" s="374"><f>IF(BG356="111","SI","SD")</f><v /></c><c r="BI356" s="374"><f>IF(BG356="-1-1-1","SI","SD")</f><v /></c><c r="BJ356" s="374"><f>OR(BH356="SI",BI356="SI")</f><v /></c><c r="BK356" s="374"><f>IF(BJ356=FALSE,"SIGDIFERENTES","SIGIGUALES")</f><v /></c><c r="BL356" s="390"><f>IF(BC356="NO CONFORME","NO CONFORME",IF(BB356="CONFORME","CONFORME","NO CONFORME"))</f><v /></c></row><row r="357" ht="15" customHeight="1" thickBot="1"><c r="A357" s="443" t="n"><v>349</v></c><c r="B357" s="375"><f>B356</f><v /></c><c r="C357" s="375"><f>C356</f><v /></c><c r="D357" s="376"><f>D356</f><v /></c><c r="E357" s="377"><f>E356</f><v /></c><c r="F357" s="13" t="n" /><c r="G357" s="300" t="inlineStr"><is><t>PA25517185</t></is></c><c r="H357" s="313"><f>H356</f><v /></c><c r="I357" s="38"><f>I356</f><v /></c><c r="J357" s="314"><f>J356</f><v /></c><c r="K357" s="378"><f>K356</f><v /></c><c r="L357" s="378"><f>L356</f><v /></c><c r="M357" s="379" t="n"><v>112.81</v></c><c r="N357" s="379" t="n"><v>213.23</v></c><c r="O357" s="380"><f>O356</f><v /></c><c r="P357" s="381"><f>P356</f><v /></c><c r="Q357" s="382"><f>LEFT(P357,1)</f><v /></c><c r="R357" s="382"><f>RIGHT(P357,6)</f><v /></c><c r="S357" s="382"><f>+(Q357*60+R357)/(60*60)</f><v /></c><c r="T357" s="383"><f>+O357/S357</f><v /></c><c r="U357" s="384"><f>+(((N357-M357-O357)/O357)*100)</f><v /></c><c r="V357" s="317"><f>V356</f><v /></c><c r="W357" s="385"><f>W356</f><v /></c><c r="X357" s="385"><f>X356</f><v /></c><c r="Y357" s="379" t="n"><v>224.85</v></c><c r="Z357" s="379" t="n"><v>234.9</v></c><c r="AA357" s="386"><f>AA356</f><v /></c><c r="AB357" s="387"><f>AB356</f><v /></c><c r="AC357" s="382"><f>LEFT(AB357,2)</f><v /></c><c r="AD357" s="382"><f>RIGHT(AB357,6)</f><v /></c><c r="AE357" s="382"><f>+(AC357*60+AD357)/(60*60)</f><v /></c><c r="AF357" s="383"><f>+AA357/AE357</f><v /></c><c r="AG357" s="321"><f>+(((Z357-Y357-AA357)/AA357)*100)</f><v /></c><c r="AH357" s="317"><f>AH356</f><v /></c><c r="AI357" s="385"><f>AI356</f><v /></c><c r="AJ357" s="385"><f>AJ356</f><v /></c><c r="AK357" s="379"><f>Z357</f><v /></c><c r="AL357" s="379" t="n"><v>240.01</v></c><c r="AM357" s="388"><f>AM356</f><v /></c><c r="AN357" s="381"><f>AN356</f><v /></c><c r="AO357" s="382"><f>LEFT(AN357,2)</f><v /></c><c r="AP357" s="382"><f>RIGHT(AN357,6)</f><v /></c><c r="AQ357" s="382"><f>+(AO357*60+AP357)/(60*60)</f><v /></c><c r="AR357" s="383"><f>+AM357/AQ357</f><v /></c><c r="AS357" s="321"><f>+(((AL357-AK357-AM357)/AM357)*100)</f><v /></c><c r="AT357" s="389"><f>IF(I357&gt;=1,"NO CONFORME",IF(BK357="SIGDIFERENTES",BC357,BL357))</f><v /></c><c r="AU357" s="372"><f>B357=C357</f><v /></c><c r="AV357" s="372"><f>N357&lt;Y357</f><v /></c><c r="AW357" s="372"><f>Z357&lt;=AK357</f><v /></c><c r="AX357" s="372"><f>IF(I357&gt;=1,"Qcorrecto",IF(AND(AY357="aceptable",AZ357="aceptable",BA357="aceptable"),"Qcorrecto","Qincorrecto"))</f><v /></c><c r="AY357" s="390"><f>IF(AR357&lt;$AH$6,"error",IF(AR357&gt;$AH$6*1.1,"error","aceptable"))</f><v /></c><c r="AZ357" s="390"><f>IF(AF357&lt;$V$6,"error",IF(AF357&gt;$V$6*1.1,"error","aceptable"))</f><v /></c><c r="BA357" s="390"><f>IF(T357&lt;$J$6*0.9,"error",IF(T357&gt;$J$6,"error","aceptable"))</f><v /></c><c r="BB357" s="25"><f>(IF(ABS(U357)&lt;1.05,"CONFORME",IF(ABS(AG357)&lt;1.05,"CONFORME",IF(ABS(AS357)&lt;2.55,"CONFORME","NO CONFORME"))))</f><v /></c><c r="BC357" s="5"><f>(IF(ABS(U357)&gt;2.05,"NO CONFORME",IF(ABS(AG357)&gt;2.05,"NO CONFORME",IF(ABS(AS357)&gt;5.05,"NO CONFORME","CONFORME"))))</f><v /></c><c r="BD357" s="374"><f>SIGN(U357)</f><v /></c><c r="BE357" s="374"><f>SIGN(AG357)</f><v /></c><c r="BF357" s="374"><f>SIGN(AS357)</f><v /></c><c r="BG357" s="374"><f>CONCATENATE(BD357,BE357,BF357)</f><v /></c><c r="BH357" s="374"><f>IF(BG357="111","SI","SD")</f><v /></c><c r="BI357" s="374"><f>IF(BG357="-1-1-1","SI","SD")</f><v /></c><c r="BJ357" s="374"><f>OR(BH357="SI",BI357="SI")</f><v /></c><c r="BK357" s="374"><f>IF(BJ357=FALSE,"SIGDIFERENTES","SIGIGUALES")</f><v /></c><c r="BL357" s="390"><f>IF(BC357="NO CONFORME","NO CONFORME",IF(BB357="CONFORME","CONFORME","NO CONFORME"))</f><v /></c></row><row r="358" ht="15" customHeight="1" thickBot="1"><c r="A358" s="443" t="n"><v>350</v></c><c r="B358" s="375"><f>B357</f><v /></c><c r="C358" s="375"><f>C357</f><v /></c><c r="D358" s="376"><f>D357</f><v /></c><c r="E358" s="377"><f>E357</f><v /></c><c r="F358" s="13" t="n" /><c r="G358" s="300" t="inlineStr"><is><t>PA25517186</t></is></c><c r="H358" s="313"><f>H357</f><v /></c><c r="I358" s="38"><f>I357</f><v /></c><c r="J358" s="314"><f>J357</f><v /></c><c r="K358" s="378"><f>K357</f><v /></c><c r="L358" s="378"><f>L357</f><v /></c><c r="M358" s="379" t="n"><v>110.77</v></c><c r="N358" s="379" t="n"><v>211.25</v></c><c r="O358" s="380"><f>O357</f><v /></c><c r="P358" s="381"><f>P357</f><v /></c><c r="Q358" s="382"><f>LEFT(P358,1)</f><v /></c><c r="R358" s="382"><f>RIGHT(P358,6)</f><v /></c><c r="S358" s="382"><f>+(Q358*60+R358)/(60*60)</f><v /></c><c r="T358" s="383"><f>+O358/S358</f><v /></c><c r="U358" s="384"><f>+(((N358-M358-O358)/O358)*100)</f><v /></c><c r="V358" s="317"><f>V357</f><v /></c><c r="W358" s="385"><f>W357</f><v /></c><c r="X358" s="385"><f>X357</f><v /></c><c r="Y358" s="379" t="n"><v>222.87</v></c><c r="Z358" s="379" t="n"><v>232.85</v></c><c r="AA358" s="386"><f>AA357</f><v /></c><c r="AB358" s="387"><f>AB357</f><v /></c><c r="AC358" s="382"><f>LEFT(AB358,2)</f><v /></c><c r="AD358" s="382"><f>RIGHT(AB358,6)</f><v /></c><c r="AE358" s="382"><f>+(AC358*60+AD358)/(60*60)</f><v /></c><c r="AF358" s="383"><f>+AA358/AE358</f><v /></c><c r="AG358" s="321"><f>+(((Z358-Y358-AA358)/AA358)*100)</f><v /></c><c r="AH358" s="317"><f>AH357</f><v /></c><c r="AI358" s="385"><f>AI357</f><v /></c><c r="AJ358" s="385"><f>AJ357</f><v /></c><c r="AK358" s="379"><f>Z358</f><v /></c><c r="AL358" s="379" t="n"><v>237.94</v></c><c r="AM358" s="388"><f>AM357</f><v /></c><c r="AN358" s="381"><f>AN357</f><v /></c><c r="AO358" s="382"><f>LEFT(AN358,2)</f><v /></c><c r="AP358" s="382"><f>RIGHT(AN358,6)</f><v /></c><c r="AQ358" s="382"><f>+(AO358*60+AP358)/(60*60)</f><v /></c><c r="AR358" s="383"><f>+AM358/AQ358</f><v /></c><c r="AS358" s="321"><f>+(((AL358-AK358-AM358)/AM358)*100)</f><v /></c><c r="AT358" s="389"><f>IF(I358&gt;=1,"NO CONFORME",IF(BK358="SIGDIFERENTES",BC358,BL358))</f><v /></c><c r="AU358" s="372"><f>B358=C358</f><v /></c><c r="AV358" s="372"><f>N358&lt;Y358</f><v /></c><c r="AW358" s="372"><f>Z358&lt;=AK358</f><v /></c><c r="AX358" s="372"><f>IF(I358&gt;=1,"Qcorrecto",IF(AND(AY358="aceptable",AZ358="aceptable",BA358="aceptable"),"Qcorrecto","Qincorrecto"))</f><v /></c><c r="AY358" s="390"><f>IF(AR358&lt;$AH$6,"error",IF(AR358&gt;$AH$6*1.1,"error","aceptable"))</f><v /></c><c r="AZ358" s="390"><f>IF(AF358&lt;$V$6,"error",IF(AF358&gt;$V$6*1.1,"error","aceptable"))</f><v /></c><c r="BA358" s="390"><f>IF(T358&lt;$J$6*0.9,"error",IF(T358&gt;$J$6,"error","aceptable"))</f><v /></c><c r="BB358" s="25"><f>(IF(ABS(U358)&lt;1.05,"CONFORME",IF(ABS(AG358)&lt;1.05,"CONFORME",IF(ABS(AS358)&lt;2.55,"CONFORME","NO CONFORME"))))</f><v /></c><c r="BC358" s="5"><f>(IF(ABS(U358)&gt;2.05,"NO CONFORME",IF(ABS(AG358)&gt;2.05,"NO CONFORME",IF(ABS(AS358)&gt;5.05,"NO CONFORME","CONFORME"))))</f><v /></c><c r="BD358" s="374"><f>SIGN(U358)</f><v /></c><c r="BE358" s="374"><f>SIGN(AG358)</f><v /></c><c r="BF358" s="374"><f>SIGN(AS358)</f><v /></c><c r="BG358" s="374"><f>CONCATENATE(BD358,BE358,BF358)</f><v /></c><c r="BH358" s="374"><f>IF(BG358="111","SI","SD")</f><v /></c><c r="BI358" s="374"><f>IF(BG358="-1-1-1","SI","SD")</f><v /></c><c r="BJ358" s="374"><f>OR(BH358="SI",BI358="SI")</f><v /></c><c r="BK358" s="374"><f>IF(BJ358=FALSE,"SIGDIFERENTES","SIGIGUALES")</f><v /></c><c r="BL358" s="390"><f>IF(BC358="NO CONFORME","NO CONFORME",IF(BB358="CONFORME","CONFORME","NO CONFORME"))</f><v /></c></row><row r="359" ht="15" customHeight="1" thickBot="1"><c r="A359" s="443" t="n"><v>351</v></c><c r="B359" s="375"><f>B358</f><v /></c><c r="C359" s="375"><f>C358</f><v /></c><c r="D359" s="376"><f>D358</f><v /></c><c r="E359" s="377"><f>E358</f><v /></c><c r="F359" s="13" t="n" /><c r="G359" s="300" t="inlineStr"><is><t>PA25517187</t></is></c><c r="H359" s="313"><f>H358</f><v /></c><c r="I359" s="38"><f>I358</f><v /></c><c r="J359" s="314"><f>J358</f><v /></c><c r="K359" s="378"><f>K358</f><v /></c><c r="L359" s="378"><f>L358</f><v /></c><c r="M359" s="379" t="n"><v>110.7</v></c><c r="N359" s="379" t="n"><v>210.4</v></c><c r="O359" s="380"><f>O358</f><v /></c><c r="P359" s="381"><f>P358</f><v /></c><c r="Q359" s="382"><f>LEFT(P359,1)</f><v /></c><c r="R359" s="382"><f>RIGHT(P359,6)</f><v /></c><c r="S359" s="382"><f>+(Q359*60+R359)/(60*60)</f><v /></c><c r="T359" s="383"><f>+O359/S359</f><v /></c><c r="U359" s="384"><f>+(((N359-M359-O359)/O359)*100)</f><v /></c><c r="V359" s="317"><f>V358</f><v /></c><c r="W359" s="385"><f>W358</f><v /></c><c r="X359" s="385"><f>X358</f><v /></c><c r="Y359" s="379" t="n"><v>221.94</v></c><c r="Z359" s="379" t="n"><v>231.89</v></c><c r="AA359" s="386"><f>AA358</f><v /></c><c r="AB359" s="387"><f>AB358</f><v /></c><c r="AC359" s="382"><f>LEFT(AB359,2)</f><v /></c><c r="AD359" s="382"><f>RIGHT(AB359,6)</f><v /></c><c r="AE359" s="382"><f>+(AC359*60+AD359)/(60*60)</f><v /></c><c r="AF359" s="383"><f>+AA359/AE359</f><v /></c><c r="AG359" s="321"><f>+(((Z359-Y359-AA359)/AA359)*100)</f><v /></c><c r="AH359" s="317"><f>AH358</f><v /></c><c r="AI359" s="385"><f>AI358</f><v /></c><c r="AJ359" s="385"><f>AJ358</f><v /></c><c r="AK359" s="379"><f>Z359</f><v /></c><c r="AL359" s="379" t="n"><v>236.91</v></c><c r="AM359" s="388"><f>AM358</f><v /></c><c r="AN359" s="381"><f>AN358</f><v /></c><c r="AO359" s="382"><f>LEFT(AN359,2)</f><v /></c><c r="AP359" s="382"><f>RIGHT(AN359,6)</f><v /></c><c r="AQ359" s="382"><f>+(AO359*60+AP359)/(60*60)</f><v /></c><c r="AR359" s="383"><f>+AM359/AQ359</f><v /></c><c r="AS359" s="321"><f>+(((AL359-AK359-AM359)/AM359)*100)</f><v /></c><c r="AT359" s="389"><f>IF(I359&gt;=1,"NO CONFORME",IF(BK359="SIGDIFERENTES",BC359,BL359))</f><v /></c><c r="AU359" s="372"><f>B359=C359</f><v /></c><c r="AV359" s="372"><f>N359&lt;Y359</f><v /></c><c r="AW359" s="372"><f>Z359&lt;=AK359</f><v /></c><c r="AX359" s="372"><f>IF(I359&gt;=1,"Qcorrecto",IF(AND(AY359="aceptable",AZ359="aceptable",BA359="aceptable"),"Qcorrecto","Qincorrecto"))</f><v /></c><c r="AY359" s="390"><f>IF(AR359&lt;$AH$6,"error",IF(AR359&gt;$AH$6*1.1,"error","aceptable"))</f><v /></c><c r="AZ359" s="390"><f>IF(AF359&lt;$V$6,"error",IF(AF359&gt;$V$6*1.1,"error","aceptable"))</f><v /></c><c r="BA359" s="390"><f>IF(T359&lt;$J$6*0.9,"error",IF(T359&gt;$J$6,"error","aceptable"))</f><v /></c><c r="BB359" s="25"><f>(IF(ABS(U359)&lt;1.05,"CONFORME",IF(ABS(AG359)&lt;1.05,"CONFORME",IF(ABS(AS359)&lt;2.55,"CONFORME","NO CONFORME"))))</f><v /></c><c r="BC359" s="5"><f>(IF(ABS(U359)&gt;2.05,"NO CONFORME",IF(ABS(AG359)&gt;2.05,"NO CONFORME",IF(ABS(AS359)&gt;5.05,"NO CONFORME","CONFORME"))))</f><v /></c><c r="BD359" s="374"><f>SIGN(U359)</f><v /></c><c r="BE359" s="374"><f>SIGN(AG359)</f><v /></c><c r="BF359" s="374"><f>SIGN(AS359)</f><v /></c><c r="BG359" s="374"><f>CONCATENATE(BD359,BE359,BF359)</f><v /></c><c r="BH359" s="374"><f>IF(BG359="111","SI","SD")</f><v /></c><c r="BI359" s="374"><f>IF(BG359="-1-1-1","SI","SD")</f><v /></c><c r="BJ359" s="374"><f>OR(BH359="SI",BI359="SI")</f><v /></c><c r="BK359" s="374"><f>IF(BJ359=FALSE,"SIGDIFERENTES","SIGIGUALES")</f><v /></c><c r="BL359" s="390"><f>IF(BC359="NO CONFORME","NO CONFORME",IF(BB359="CONFORME","CONFORME","NO CONFORME"))</f><v /></c></row><row r="360" ht="15" customHeight="1" thickBot="1"><c r="A360" s="443" t="n"><v>352</v></c><c r="B360" s="375"><f>B359</f><v /></c><c r="C360" s="375"><f>C359</f><v /></c><c r="D360" s="376"><f>D359</f><v /></c><c r="E360" s="377"><f>E359</f><v /></c><c r="F360" s="13" t="n" /><c r="G360" s="300" t="inlineStr"><is><t>PA25517188</t></is></c><c r="H360" s="313"><f>H359</f><v /></c><c r="I360" s="38"><f>I359</f><v /></c><c r="J360" s="314"><f>J359</f><v /></c><c r="K360" s="378"><f>K359</f><v /></c><c r="L360" s="378"><f>L359</f><v /></c><c r="M360" s="379" t="n"><v>112.1</v></c><c r="N360" s="379" t="n"><v>212.35</v></c><c r="O360" s="380"><f>O359</f><v /></c><c r="P360" s="381"><f>P359</f><v /></c><c r="Q360" s="382"><f>LEFT(P360,1)</f><v /></c><c r="R360" s="382"><f>RIGHT(P360,6)</f><v /></c><c r="S360" s="382"><f>+(Q360*60+R360)/(60*60)</f><v /></c><c r="T360" s="383"><f>+O360/S360</f><v /></c><c r="U360" s="384"><f>+(((N360-M360-O360)/O360)*100)</f><v /></c><c r="V360" s="317"><f>V359</f><v /></c><c r="W360" s="385"><f>W359</f><v /></c><c r="X360" s="385"><f>X359</f><v /></c><c r="Y360" s="379" t="n"><v>223.97</v></c><c r="Z360" s="379" t="n"><v>234</v></c><c r="AA360" s="386"><f>AA359</f><v /></c><c r="AB360" s="387"><f>AB359</f><v /></c><c r="AC360" s="382"><f>LEFT(AB360,2)</f><v /></c><c r="AD360" s="382"><f>RIGHT(AB360,6)</f><v /></c><c r="AE360" s="382"><f>+(AC360*60+AD360)/(60*60)</f><v /></c><c r="AF360" s="383"><f>+AA360/AE360</f><v /></c><c r="AG360" s="321"><f>+(((Z360-Y360-AA360)/AA360)*100)</f><v /></c><c r="AH360" s="317"><f>AH359</f><v /></c><c r="AI360" s="385"><f>AI359</f><v /></c><c r="AJ360" s="385"><f>AJ359</f><v /></c><c r="AK360" s="379"><f>Z360</f><v /></c><c r="AL360" s="379" t="n"><v>239.1</v></c><c r="AM360" s="388"><f>AM359</f><v /></c><c r="AN360" s="381"><f>AN359</f><v /></c><c r="AO360" s="382"><f>LEFT(AN360,2)</f><v /></c><c r="AP360" s="382"><f>RIGHT(AN360,6)</f><v /></c><c r="AQ360" s="382"><f>+(AO360*60+AP360)/(60*60)</f><v /></c><c r="AR360" s="383"><f>+AM360/AQ360</f><v /></c><c r="AS360" s="321"><f>+(((AL360-AK360-AM360)/AM360)*100)</f><v /></c><c r="AT360" s="389"><f>IF(I360&gt;=1,"NO CONFORME",IF(BK360="SIGDIFERENTES",BC360,BL360))</f><v /></c><c r="AU360" s="372"><f>B360=C360</f><v /></c><c r="AV360" s="372"><f>N360&lt;Y360</f><v /></c><c r="AW360" s="372"><f>Z360&lt;=AK360</f><v /></c><c r="AX360" s="372"><f>IF(I360&gt;=1,"Qcorrecto",IF(AND(AY360="aceptable",AZ360="aceptable",BA360="aceptable"),"Qcorrecto","Qincorrecto"))</f><v /></c><c r="AY360" s="390"><f>IF(AR360&lt;$AH$6,"error",IF(AR360&gt;$AH$6*1.1,"error","aceptable"))</f><v /></c><c r="AZ360" s="390"><f>IF(AF360&lt;$V$6,"error",IF(AF360&gt;$V$6*1.1,"error","aceptable"))</f><v /></c><c r="BA360" s="390"><f>IF(T360&lt;$J$6*0.9,"error",IF(T360&gt;$J$6,"error","aceptable"))</f><v /></c><c r="BB360" s="25"><f>(IF(ABS(U360)&lt;1.05,"CONFORME",IF(ABS(AG360)&lt;1.05,"CONFORME",IF(ABS(AS360)&lt;2.55,"CONFORME","NO CONFORME"))))</f><v /></c><c r="BC360" s="5"><f>(IF(ABS(U360)&gt;2.05,"NO CONFORME",IF(ABS(AG360)&gt;2.05,"NO CONFORME",IF(ABS(AS360)&gt;5.05,"NO CONFORME","CONFORME"))))</f><v /></c><c r="BD360" s="374"><f>SIGN(U360)</f><v /></c><c r="BE360" s="374"><f>SIGN(AG360)</f><v /></c><c r="BF360" s="374"><f>SIGN(AS360)</f><v /></c><c r="BG360" s="374"><f>CONCATENATE(BD360,BE360,BF360)</f><v /></c><c r="BH360" s="374"><f>IF(BG360="111","SI","SD")</f><v /></c><c r="BI360" s="374"><f>IF(BG360="-1-1-1","SI","SD")</f><v /></c><c r="BJ360" s="374"><f>OR(BH360="SI",BI360="SI")</f><v /></c><c r="BK360" s="374"><f>IF(BJ360=FALSE,"SIGDIFERENTES","SIGIGUALES")</f><v /></c><c r="BL360" s="390"><f>IF(BC360="NO CONFORME","NO CONFORME",IF(BB360="CONFORME","CONFORME","NO CONFORME"))</f><v /></c></row><row r="361" ht="15" customHeight="1" thickBot="1"><c r="A361" s="443" t="n"><v>353</v></c><c r="B361" s="375"><f>B360</f><v /></c><c r="C361" s="375"><f>C360</f><v /></c><c r="D361" s="376"><f>D360</f><v /></c><c r="E361" s="377"><f>E360</f><v /></c><c r="F361" s="13" t="n" /><c r="G361" s="300" t="inlineStr"><is><t>PA25517189</t></is></c><c r="H361" s="313"><f>H360</f><v /></c><c r="I361" s="38"><f>I360</f><v /></c><c r="J361" s="314"><f>J360</f><v /></c><c r="K361" s="378"><f>K360</f><v /></c><c r="L361" s="378"><f>L360</f><v /></c><c r="M361" s="379" t="n"><v>111.1</v></c><c r="N361" s="379" t="n"><v>211.75</v></c><c r="O361" s="380"><f>O360</f><v /></c><c r="P361" s="381"><f>P360</f><v /></c><c r="Q361" s="382"><f>LEFT(P361,1)</f><v /></c><c r="R361" s="382"><f>RIGHT(P361,6)</f><v /></c><c r="S361" s="382"><f>+(Q361*60+R361)/(60*60)</f><v /></c><c r="T361" s="383"><f>+O361/S361</f><v /></c><c r="U361" s="384"><f>+(((N361-M361-O361)/O361)*100)</f><v /></c><c r="V361" s="317"><f>V360</f><v /></c><c r="W361" s="385"><f>W360</f><v /></c><c r="X361" s="385"><f>X360</f><v /></c><c r="Y361" s="379" t="n"><v>223.4</v></c><c r="Z361" s="379" t="n"><v>233.45</v></c><c r="AA361" s="386"><f>AA360</f><v /></c><c r="AB361" s="387"><f>AB360</f><v /></c><c r="AC361" s="382"><f>LEFT(AB361,2)</f><v /></c><c r="AD361" s="382"><f>RIGHT(AB361,6)</f><v /></c><c r="AE361" s="382"><f>+(AC361*60+AD361)/(60*60)</f><v /></c><c r="AF361" s="383"><f>+AA361/AE361</f><v /></c><c r="AG361" s="321"><f>+(((Z361-Y361-AA361)/AA361)*100)</f><v /></c><c r="AH361" s="317"><f>AH360</f><v /></c><c r="AI361" s="385"><f>AI360</f><v /></c><c r="AJ361" s="385"><f>AJ360</f><v /></c><c r="AK361" s="379"><f>Z361</f><v /></c><c r="AL361" s="379" t="n"><v>238.5</v></c><c r="AM361" s="388"><f>AM360</f><v /></c><c r="AN361" s="381"><f>AN360</f><v /></c><c r="AO361" s="382"><f>LEFT(AN361,2)</f><v /></c><c r="AP361" s="382"><f>RIGHT(AN361,6)</f><v /></c><c r="AQ361" s="382"><f>+(AO361*60+AP361)/(60*60)</f><v /></c><c r="AR361" s="383"><f>+AM361/AQ361</f><v /></c><c r="AS361" s="321"><f>+(((AL361-AK361-AM361)/AM361)*100)</f><v /></c><c r="AT361" s="389"><f>IF(I361&gt;=1,"NO CONFORME",IF(BK361="SIGDIFERENTES",BC361,BL361))</f><v /></c><c r="AU361" s="372"><f>B361=C361</f><v /></c><c r="AV361" s="372"><f>N361&lt;Y361</f><v /></c><c r="AW361" s="372"><f>Z361&lt;=AK361</f><v /></c><c r="AX361" s="372"><f>IF(I361&gt;=1,"Qcorrecto",IF(AND(AY361="aceptable",AZ361="aceptable",BA361="aceptable"),"Qcorrecto","Qincorrecto"))</f><v /></c><c r="AY361" s="390"><f>IF(AR361&lt;$AH$6,"error",IF(AR361&gt;$AH$6*1.1,"error","aceptable"))</f><v /></c><c r="AZ361" s="390"><f>IF(AF361&lt;$V$6,"error",IF(AF361&gt;$V$6*1.1,"error","aceptable"))</f><v /></c><c r="BA361" s="390"><f>IF(T361&lt;$J$6*0.9,"error",IF(T361&gt;$J$6,"error","aceptable"))</f><v /></c><c r="BB361" s="25"><f>(IF(ABS(U361)&lt;1.05,"CONFORME",IF(ABS(AG361)&lt;1.05,"CONFORME",IF(ABS(AS361)&lt;2.55,"CONFORME","NO CONFORME"))))</f><v /></c><c r="BC361" s="5"><f>(IF(ABS(U361)&gt;2.05,"NO CONFORME",IF(ABS(AG361)&gt;2.05,"NO CONFORME",IF(ABS(AS361)&gt;5.05,"NO CONFORME","CONFORME"))))</f><v /></c><c r="BD361" s="374"><f>SIGN(U361)</f><v /></c><c r="BE361" s="374"><f>SIGN(AG361)</f><v /></c><c r="BF361" s="374"><f>SIGN(AS361)</f><v /></c><c r="BG361" s="374"><f>CONCATENATE(BD361,BE361,BF361)</f><v /></c><c r="BH361" s="374"><f>IF(BG361="111","SI","SD")</f><v /></c><c r="BI361" s="374"><f>IF(BG361="-1-1-1","SI","SD")</f><v /></c><c r="BJ361" s="374"><f>OR(BH361="SI",BI361="SI")</f><v /></c><c r="BK361" s="374"><f>IF(BJ361=FALSE,"SIGDIFERENTES","SIGIGUALES")</f><v /></c><c r="BL361" s="390"><f>IF(BC361="NO CONFORME","NO CONFORME",IF(BB361="CONFORME","CONFORME","NO CONFORME"))</f><v /></c></row><row r="362" ht="15" customHeight="1" thickBot="1"><c r="A362" s="445" t="n"><v>354</v></c><c r="B362" s="392"><f>B361</f><v /></c><c r="C362" s="392"><f>C361</f><v /></c><c r="D362" s="393"><f>D361</f><v /></c><c r="E362" s="394"><f>E361</f><v /></c><c r="F362" s="52" t="n" /><c r="G362" s="337" t="inlineStr"><is><t>PA25517190</t></is></c><c r="H362" s="326"><f>H361</f><v /></c><c r="I362" s="98"><f>I361</f><v /></c><c r="J362" s="327"><f>J361</f><v /></c><c r="K362" s="396"><f>K361</f><v /></c><c r="L362" s="396"><f>L361</f><v /></c><c r="M362" s="397" t="n"><v>110.67</v></c><c r="N362" s="397" t="n"><v>210.99</v></c><c r="O362" s="398"><f>O361</f><v /></c><c r="P362" s="399"><f>P361</f><v /></c><c r="Q362" s="400"><f>LEFT(P362,1)</f><v /></c><c r="R362" s="400"><f>RIGHT(P362,6)</f><v /></c><c r="S362" s="400"><f>+(Q362*60+R362)/(60*60)</f><v /></c><c r="T362" s="401"><f>+O362/S362</f><v /></c><c r="U362" s="402"><f>+(((N362-M362-O362)/O362)*100)</f><v /></c><c r="V362" s="329"><f>V361</f><v /></c><c r="W362" s="403"><f>W361</f><v /></c><c r="X362" s="403"><f>X361</f><v /></c><c r="Y362" s="397" t="n"><v>222.65</v></c><c r="Z362" s="397" t="n"><v>232.75</v></c><c r="AA362" s="404"><f>AA361</f><v /></c><c r="AB362" s="405"><f>AB361</f><v /></c><c r="AC362" s="400"><f>LEFT(AB362,2)</f><v /></c><c r="AD362" s="400"><f>RIGHT(AB362,6)</f><v /></c><c r="AE362" s="400"><f>+(AC362*60+AD362)/(60*60)</f><v /></c><c r="AF362" s="401"><f>+AA362/AE362</f><v /></c><c r="AG362" s="406"><f>+(((Z362-Y362-AA362)/AA362)*100)</f><v /></c><c r="AH362" s="329"><f>AH361</f><v /></c><c r="AI362" s="403"><f>AI361</f><v /></c><c r="AJ362" s="403"><f>AJ361</f><v /></c><c r="AK362" s="397"><f>Z362</f><v /></c><c r="AL362" s="397" t="n"><v>237.84</v></c><c r="AM362" s="407"><f>AM361</f><v /></c><c r="AN362" s="399"><f>AN361</f><v /></c><c r="AO362" s="400"><f>LEFT(AN362,2)</f><v /></c><c r="AP362" s="400"><f>RIGHT(AN362,6)</f><v /></c><c r="AQ362" s="400"><f>+(AO362*60+AP362)/(60*60)</f><v /></c><c r="AR362" s="401"><f>+AM362/AQ362</f><v /></c><c r="AS362" s="406"><f>+(((AL362-AK362-AM362)/AM362)*100)</f><v /></c><c r="AT362" s="408"><f>IF(I362&gt;=1,"NO CONFORME",IF(BK362="SIGDIFERENTES",BC362,BL362))</f><v /></c><c r="AU362" s="409"><f>B362=C362</f><v /></c><c r="AV362" s="409"><f>N362&lt;Y362</f><v /></c><c r="AW362" s="409"><f>Z362&lt;=AK362</f><v /></c><c r="AX362" s="409"><f>IF(I362&gt;=1,"Qcorrecto",IF(AND(AY362="aceptable",AZ362="aceptable",BA362="aceptable"),"Qcorrecto","Qincorrecto"))</f><v /></c><c r="AY362" s="410"><f>IF(AR362&lt;$AH$6,"error",IF(AR362&gt;$AH$6*1.1,"error","aceptable"))</f><v /></c><c r="AZ362" s="410"><f>IF(AF362&lt;$V$6,"error",IF(AF362&gt;$V$6*1.1,"error","aceptable"))</f><v /></c><c r="BA362" s="410"><f>IF(T362&lt;$J$6*0.9,"error",IF(T362&gt;$J$6,"error","aceptable"))</f><v /></c><c r="BB362" s="411"><f>(IF(ABS(U362)&lt;1.05,"CONFORME",IF(ABS(AG362)&lt;1.05,"CONFORME",IF(ABS(AS362)&lt;2.55,"CONFORME","NO CONFORME"))))</f><v /></c><c r="BC362" s="412"><f>(IF(ABS(U362)&gt;2.05,"NO CONFORME",IF(ABS(AG362)&gt;2.05,"NO CONFORME",IF(ABS(AS362)&gt;5.05,"NO CONFORME","CONFORME"))))</f><v /></c><c r="BD362" s="413"><f>SIGN(U362)</f><v /></c><c r="BE362" s="413"><f>SIGN(AG362)</f><v /></c><c r="BF362" s="413"><f>SIGN(AS362)</f><v /></c><c r="BG362" s="413"><f>CONCATENATE(BD362,BE362,BF362)</f><v /></c><c r="BH362" s="413"><f>IF(BG362="111","SI","SD")</f><v /></c><c r="BI362" s="413"><f>IF(BG362="-1-1-1","SI","SD")</f><v /></c><c r="BJ362" s="413"><f>OR(BH362="SI",BI362="SI")</f><v /></c><c r="BK362" s="413"><f>IF(BJ362=FALSE,"SIGDIFERENTES","SIGIGUALES")</f><v /></c><c r="BL362" s="410"><f>IF(BC362="NO CONFORME","NO CONFORME",IF(BB362="CONFORME","CONFORME","NO CONFORME"))</f><v /></c></row><row r="363" ht="15.75" customHeight="1" thickBot="1"><c r="A363" s="351" t="n"><v>355</v></c><c r="B363" s="352"><f>B362</f><v /></c><c r="C363" s="352"><f>C362</f><v /></c><c r="D363" s="353"><f>D362</f><v /></c><c r="E363" s="354"><f>E362</f><v /></c><c r="F363" s="58" t="n" /><c r="G363" s="300" t="inlineStr"><is><t>PA25517191</t></is></c><c r="H363" s="356"><f>H362</f><v /></c><c r="I363" s="232"><f>I362</f><v /></c><c r="J363" s="357" t="n"><v>21</v></c><c r="K363" s="358" t="n"><v>7.892</v></c><c r="L363" s="358" t="n"><v>0.5570000000000001</v></c><c r="M363" s="359" t="n"><v>105.07</v></c><c r="N363" s="359" t="n"><v>205.25</v></c><c r="O363" s="360" t="n"><v>100.7</v></c><c r="P363" s="361" t="inlineStr"><is><t>2,29,640</t></is></c><c r="Q363" s="362"><f>LEFT(P363,1)</f><v /></c><c r="R363" s="362"><f>RIGHT(P363,6)</f><v /></c><c r="S363" s="362"><f>+(Q363*60+R363)/(60*60)</f><v /></c><c r="T363" s="363"><f>+O363/S363</f><v /></c><c r="U363" s="364"><f>+(((N363-M363-O363)/O363)*100)</f><v /></c><c r="V363" s="365" t="n"><v>20.9</v></c><c r="W363" s="366" t="n"><v>1.51</v></c><c r="X363" s="366" t="n"><v>1.509</v></c><c r="Y363" s="359" t="n"><v>210.5</v></c><c r="Z363" s="359" t="n"><v>220.5</v></c><c r="AA363" s="367" t="n"><v>10.011</v></c><c r="AB363" s="368" t="inlineStr"><is><t>22,11,640</t></is></c><c r="AC363" s="362"><f>LEFT(AB363,2)</f><v /></c><c r="AD363" s="362"><f>RIGHT(AB363,6)</f><v /></c><c r="AE363" s="362"><f>+(AC363*60+AD363)/(60*60)</f><v /></c><c r="AF363" s="363"><f>+AA363/AE363</f><v /></c><c r="AG363" s="369"><f>+(((Z363-Y363-AA363)/AA363)*100)</f><v /></c><c r="AH363" s="365" t="n"><v>20.8</v></c><c r="AI363" s="366" t="n"><v>1.51</v></c><c r="AJ363" s="366" t="n"><v>1.506</v></c><c r="AK363" s="359"><f>Z363</f><v /></c><c r="AL363" s="359" t="n"><v>225.54</v></c><c r="AM363" s="370" t="n"><v>5.014</v></c><c r="AN363" s="361" t="inlineStr"><is><t>17,59,710</t></is></c><c r="AO363" s="362"><f>LEFT(AN363,2)</f><v /></c><c r="AP363" s="362"><f>RIGHT(AN363,6)</f><v /></c><c r="AQ363" s="362"><f>+(AO363*60+AP363)/(60*60)</f><v /></c><c r="AR363" s="363"><f>+AM363/AQ363</f><v /></c><c r="AS363" s="369"><f>+(((AL363-AK363-AM363)/AM363)*100)</f><v /></c><c r="AT363" s="371"><f>IF(I363&gt;=1,"NO CONFORME",IF(BK363="SIGDIFERENTES",BC363,BL363))</f><v /></c><c r="AU363" s="372"><f>B363=C363</f><v /></c><c r="AV363" s="372"><f>N363&lt;Y363</f><v /></c><c r="AW363" s="372"><f>Z363&lt;=AK363</f><v /></c><c r="AX363" s="372"><f>IF(I363&gt;=1,"Qcorrecto",IF(AND(AY363="aceptable",AZ363="aceptable",BA363="aceptable"),"Qcorrecto","Qincorrecto"))</f><v /></c><c r="AY363" s="373"><f>IF(AR363&lt;$AH$6,"error",IF(AR363&gt;$AH$6*1.1,"error","aceptable"))</f><v /></c><c r="AZ363" s="373"><f>IF(AF363&lt;$V$6,"error",IF(AF363&gt;$V$6*1.1,"error","aceptable"))</f><v /></c><c r="BA363" s="373"><f>IF(T363&lt;$J$6*0.9,"error",IF(T363&gt;$J$6,"error","aceptable"))</f><v /></c><c r="BB363" s="25"><f>(IF(ABS(U363)&lt;1.05,"CONFORME",IF(ABS(AG363)&lt;1.05,"CONFORME",IF(ABS(AS363)&lt;2.55,"CONFORME","NO CONFORME"))))</f><v /></c><c r="BC363" s="5"><f>(IF(ABS(U363)&gt;2.05,"NO CONFORME",IF(ABS(AG363)&gt;2.05,"NO CONFORME",IF(ABS(AS363)&gt;5.05,"NO CONFORME","CONFORME"))))</f><v /></c><c r="BD363" s="374"><f>SIGN(U363)</f><v /></c><c r="BE363" s="374"><f>SIGN(AG363)</f><v /></c><c r="BF363" s="374"><f>SIGN(AS363)</f><v /></c><c r="BG363" s="374"><f>CONCATENATE(BD363,BE363,BF363)</f><v /></c><c r="BH363" s="374"><f>IF(BG363="111","SI","SD")</f><v /></c><c r="BI363" s="374"><f>IF(BG363="-1-1-1","SI","SD")</f><v /></c><c r="BJ363" s="374"><f>OR(BH363="SI",BI363="SI")</f><v /></c><c r="BK363" s="374"><f>IF(BJ363=FALSE,"SIGDIFERENTES","SIGIGUALES")</f><v /></c><c r="BL363" s="373"><f>IF(BC363="NO CONFORME","NO CONFORME",IF(BB363="CONFORME","CONFORME","NO CONFORME"))</f><v /></c></row><row r="364" ht="15" customHeight="1" thickBot="1"><c r="A364" s="443" t="n"><v>356</v></c><c r="B364" s="375"><f>B363</f><v /></c><c r="C364" s="375"><f>C363</f><v /></c><c r="D364" s="376"><f>D363</f><v /></c><c r="E364" s="377"><f>E363</f><v /></c><c r="F364" s="13" t="n" /><c r="G364" s="300" t="inlineStr"><is><t>PA25517192</t></is></c><c r="H364" s="313"><f>H363</f><v /></c><c r="I364" s="38"><f>I363</f><v /></c><c r="J364" s="314"><f>J363</f><v /></c><c r="K364" s="378"><f>K363</f><v /></c><c r="L364" s="378"><f>L363</f><v /></c><c r="M364" s="379" t="n"><v>108.3</v></c><c r="N364" s="379" t="n"><v>207.9</v></c><c r="O364" s="380"><f>O363</f><v /></c><c r="P364" s="381"><f>P363</f><v /></c><c r="Q364" s="382"><f>LEFT(P364,1)</f><v /></c><c r="R364" s="382"><f>RIGHT(P364,6)</f><v /></c><c r="S364" s="382"><f>+(Q364*60+R364)/(60*60)</f><v /></c><c r="T364" s="383"><f>+O364/S364</f><v /></c><c r="U364" s="384"><f>+(((N364-M364-O364)/O364)*100)</f><v /></c><c r="V364" s="317"><f>V363</f><v /></c><c r="W364" s="385"><f>W363</f><v /></c><c r="X364" s="385"><f>X363</f><v /></c><c r="Y364" s="379" t="n"><v>213.15</v></c><c r="Z364" s="379" t="n"><v>223.1</v></c><c r="AA364" s="386"><f>AA363</f><v /></c><c r="AB364" s="387"><f>AB363</f><v /></c><c r="AC364" s="382"><f>LEFT(AB364,2)</f><v /></c><c r="AD364" s="382"><f>RIGHT(AB364,6)</f><v /></c><c r="AE364" s="382"><f>+(AC364*60+AD364)/(60*60)</f><v /></c><c r="AF364" s="383"><f>+AA364/AE364</f><v /></c><c r="AG364" s="321"><f>+(((Z364-Y364-AA364)/AA364)*100)</f><v /></c><c r="AH364" s="317"><f>AH363</f><v /></c><c r="AI364" s="385"><f>AI363</f><v /></c><c r="AJ364" s="385"><f>AJ363</f><v /></c><c r="AK364" s="379"><f>Z364</f><v /></c><c r="AL364" s="379" t="n"><v>228.16</v></c><c r="AM364" s="388"><f>AM363</f><v /></c><c r="AN364" s="381"><f>AN363</f><v /></c><c r="AO364" s="382"><f>LEFT(AN364,2)</f><v /></c><c r="AP364" s="382"><f>RIGHT(AN364,6)</f><v /></c><c r="AQ364" s="382"><f>+(AO364*60+AP364)/(60*60)</f><v /></c><c r="AR364" s="383"><f>+AM364/AQ364</f><v /></c><c r="AS364" s="321"><f>+(((AL364-AK364-AM364)/AM364)*100)</f><v /></c><c r="AT364" s="389"><f>IF(I364&gt;=1,"NO CONFORME",IF(BK364="SIGDIFERENTES",BC364,BL364))</f><v /></c><c r="AU364" s="372"><f>B364=C364</f><v /></c><c r="AV364" s="372"><f>N364&lt;Y364</f><v /></c><c r="AW364" s="372"><f>Z364&lt;=AK364</f><v /></c><c r="AX364" s="372"><f>IF(I364&gt;=1,"Qcorrecto",IF(AND(AY364="aceptable",AZ364="aceptable",BA364="aceptable"),"Qcorrecto","Qincorrecto"))</f><v /></c><c r="AY364" s="390"><f>IF(AR364&lt;$AH$6,"error",IF(AR364&gt;$AH$6*1.1,"error","aceptable"))</f><v /></c><c r="AZ364" s="390"><f>IF(AF364&lt;$V$6,"error",IF(AF364&gt;$V$6*1.1,"error","aceptable"))</f><v /></c><c r="BA364" s="390"><f>IF(T364&lt;$J$6*0.9,"error",IF(T364&gt;$J$6,"error","aceptable"))</f><v /></c><c r="BB364" s="25"><f>(IF(ABS(U364)&lt;1.05,"CONFORME",IF(ABS(AG364)&lt;1.05,"CONFORME",IF(ABS(AS364)&lt;2.55,"CONFORME","NO CONFORME"))))</f><v /></c><c r="BC364" s="5"><f>(IF(ABS(U364)&gt;2.05,"NO CONFORME",IF(ABS(AG364)&gt;2.05,"NO CONFORME",IF(ABS(AS364)&gt;5.05,"NO CONFORME","CONFORME"))))</f><v /></c><c r="BD364" s="374"><f>SIGN(U364)</f><v /></c><c r="BE364" s="374"><f>SIGN(AG364)</f><v /></c><c r="BF364" s="374"><f>SIGN(AS364)</f><v /></c><c r="BG364" s="374"><f>CONCATENATE(BD364,BE364,BF364)</f><v /></c><c r="BH364" s="374"><f>IF(BG364="111","SI","SD")</f><v /></c><c r="BI364" s="374"><f>IF(BG364="-1-1-1","SI","SD")</f><v /></c><c r="BJ364" s="374"><f>OR(BH364="SI",BI364="SI")</f><v /></c><c r="BK364" s="374"><f>IF(BJ364=FALSE,"SIGDIFERENTES","SIGIGUALES")</f><v /></c><c r="BL364" s="390"><f>IF(BC364="NO CONFORME","NO CONFORME",IF(BB364="CONFORME","CONFORME","NO CONFORME"))</f><v /></c></row><row r="365" ht="15" customHeight="1" thickBot="1"><c r="A365" s="443" t="n"><v>357</v></c><c r="B365" s="375"><f>B364</f><v /></c><c r="C365" s="375"><f>C364</f><v /></c><c r="D365" s="376"><f>D364</f><v /></c><c r="E365" s="377"><f>E364</f><v /></c><c r="F365" s="13" t="n" /><c r="G365" s="300" t="inlineStr"><is><t>PA25517193</t></is></c><c r="H365" s="313"><f>H364</f><v /></c><c r="I365" s="38"><f>I364</f><v /></c><c r="J365" s="314"><f>J364</f><v /></c><c r="K365" s="378"><f>K364</f><v /></c><c r="L365" s="378"><f>L364</f><v /></c><c r="M365" s="379" t="n"><v>107.35</v></c><c r="N365" s="379" t="n"><v>207.2</v></c><c r="O365" s="380"><f>O364</f><v /></c><c r="P365" s="381"><f>P364</f><v /></c><c r="Q365" s="382"><f>LEFT(P365,1)</f><v /></c><c r="R365" s="382"><f>RIGHT(P365,6)</f><v /></c><c r="S365" s="382"><f>+(Q365*60+R365)/(60*60)</f><v /></c><c r="T365" s="383"><f>+O365/S365</f><v /></c><c r="U365" s="384"><f>+(((N365-M365-O365)/O365)*100)</f><v /></c><c r="V365" s="317"><f>V364</f><v /></c><c r="W365" s="385"><f>W364</f><v /></c><c r="X365" s="385"><f>X364</f><v /></c><c r="Y365" s="379" t="n"><v>212.45</v></c><c r="Z365" s="379" t="n"><v>222.42</v></c><c r="AA365" s="386"><f>AA364</f><v /></c><c r="AB365" s="387"><f>AB364</f><v /></c><c r="AC365" s="382"><f>LEFT(AB365,2)</f><v /></c><c r="AD365" s="382"><f>RIGHT(AB365,6)</f><v /></c><c r="AE365" s="382"><f>+(AC365*60+AD365)/(60*60)</f><v /></c><c r="AF365" s="383"><f>+AA365/AE365</f><v /></c><c r="AG365" s="321"><f>+(((Z365-Y365-AA365)/AA365)*100)</f><v /></c><c r="AH365" s="317"><f>AH364</f><v /></c><c r="AI365" s="385"><f>AI364</f><v /></c><c r="AJ365" s="385"><f>AJ364</f><v /></c><c r="AK365" s="379"><f>Z365</f><v /></c><c r="AL365" s="379" t="n"><v>227.45</v></c><c r="AM365" s="388"><f>AM364</f><v /></c><c r="AN365" s="381"><f>AN364</f><v /></c><c r="AO365" s="382"><f>LEFT(AN365,2)</f><v /></c><c r="AP365" s="382"><f>RIGHT(AN365,6)</f><v /></c><c r="AQ365" s="382"><f>+(AO365*60+AP365)/(60*60)</f><v /></c><c r="AR365" s="383"><f>+AM365/AQ365</f><v /></c><c r="AS365" s="321"><f>+(((AL365-AK365-AM365)/AM365)*100)</f><v /></c><c r="AT365" s="389"><f>IF(I365&gt;=1,"NO CONFORME",IF(BK365="SIGDIFERENTES",BC365,BL365))</f><v /></c><c r="AU365" s="372"><f>B365=C365</f><v /></c><c r="AV365" s="372"><f>N365&lt;Y365</f><v /></c><c r="AW365" s="372"><f>Z365&lt;=AK365</f><v /></c><c r="AX365" s="372"><f>IF(I365&gt;=1,"Qcorrecto",IF(AND(AY365="aceptable",AZ365="aceptable",BA365="aceptable"),"Qcorrecto","Qincorrecto"))</f><v /></c><c r="AY365" s="390"><f>IF(AR365&lt;$AH$6,"error",IF(AR365&gt;$AH$6*1.1,"error","aceptable"))</f><v /></c><c r="AZ365" s="390"><f>IF(AF365&lt;$V$6,"error",IF(AF365&gt;$V$6*1.1,"error","aceptable"))</f><v /></c><c r="BA365" s="390"><f>IF(T365&lt;$J$6*0.9,"error",IF(T365&gt;$J$6,"error","aceptable"))</f><v /></c><c r="BB365" s="25"><f>(IF(ABS(U365)&lt;1.05,"CONFORME",IF(ABS(AG365)&lt;1.05,"CONFORME",IF(ABS(AS365)&lt;2.55,"CONFORME","NO CONFORME"))))</f><v /></c><c r="BC365" s="5"><f>(IF(ABS(U365)&gt;2.05,"NO CONFORME",IF(ABS(AG365)&gt;2.05,"NO CONFORME",IF(ABS(AS365)&gt;5.05,"NO CONFORME","CONFORME"))))</f><v /></c><c r="BD365" s="374"><f>SIGN(U365)</f><v /></c><c r="BE365" s="374"><f>SIGN(AG365)</f><v /></c><c r="BF365" s="374"><f>SIGN(AS365)</f><v /></c><c r="BG365" s="374"><f>CONCATENATE(BD365,BE365,BF365)</f><v /></c><c r="BH365" s="374"><f>IF(BG365="111","SI","SD")</f><v /></c><c r="BI365" s="374"><f>IF(BG365="-1-1-1","SI","SD")</f><v /></c><c r="BJ365" s="374"><f>OR(BH365="SI",BI365="SI")</f><v /></c><c r="BK365" s="374"><f>IF(BJ365=FALSE,"SIGDIFERENTES","SIGIGUALES")</f><v /></c><c r="BL365" s="390"><f>IF(BC365="NO CONFORME","NO CONFORME",IF(BB365="CONFORME","CONFORME","NO CONFORME"))</f><v /></c></row><row r="366" ht="15.75" customHeight="1" thickBot="1"><c r="A366" s="443" t="n"><v>358</v></c><c r="B366" s="375"><f>B365</f><v /></c><c r="C366" s="375"><f>C365</f><v /></c><c r="D366" s="376"><f>D365</f><v /></c><c r="E366" s="377"><f>E365</f><v /></c><c r="F366" s="13" t="n" /><c r="G366" s="300" t="inlineStr"><is><t>PA25517194</t></is></c><c r="H366" s="313"><f>H365</f><v /></c><c r="I366" s="38"><f>I365</f><v /></c><c r="J366" s="314"><f>J365</f><v /></c><c r="K366" s="378"><f>K365</f><v /></c><c r="L366" s="378"><f>L365</f><v /></c><c r="M366" s="379" t="n"><v>104.58</v></c><c r="N366" s="379" t="n"><v>204.4</v></c><c r="O366" s="380"><f>O365</f><v /></c><c r="P366" s="381"><f>P365</f><v /></c><c r="Q366" s="382"><f>LEFT(P366,1)</f><v /></c><c r="R366" s="382"><f>RIGHT(P366,6)</f><v /></c><c r="S366" s="382"><f>+(Q366*60+R366)/(60*60)</f><v /></c><c r="T366" s="383"><f>+O366/S366</f><v /></c><c r="U366" s="384"><f>+(((N366-M366-O366)/O366)*100)</f><v /></c><c r="V366" s="317"><f>V365</f><v /></c><c r="W366" s="385"><f>W365</f><v /></c><c r="X366" s="385"><f>X365</f><v /></c><c r="Y366" s="379" t="n"><v>209.69</v></c><c r="Z366" s="379" t="n"><v>219.65</v></c><c r="AA366" s="386"><f>AA365</f><v /></c><c r="AB366" s="387"><f>AB365</f><v /></c><c r="AC366" s="382"><f>LEFT(AB366,2)</f><v /></c><c r="AD366" s="382"><f>RIGHT(AB366,6)</f><v /></c><c r="AE366" s="382"><f>+(AC366*60+AD366)/(60*60)</f><v /></c><c r="AF366" s="383"><f>+AA366/AE366</f><v /></c><c r="AG366" s="321"><f>+(((Z366-Y366-AA366)/AA366)*100)</f><v /></c><c r="AH366" s="317"><f>AH365</f><v /></c><c r="AI366" s="385"><f>AI365</f><v /></c><c r="AJ366" s="385"><f>AJ365</f><v /></c><c r="AK366" s="379"><f>Z366</f><v /></c><c r="AL366" s="379" t="n"><v>224.75</v></c><c r="AM366" s="388"><f>AM365</f><v /></c><c r="AN366" s="381"><f>AN365</f><v /></c><c r="AO366" s="382"><f>LEFT(AN366,2)</f><v /></c><c r="AP366" s="382"><f>RIGHT(AN366,6)</f><v /></c><c r="AQ366" s="382"><f>+(AO366*60+AP366)/(60*60)</f><v /></c><c r="AR366" s="383"><f>+AM366/AQ366</f><v /></c><c r="AS366" s="321"><f>+(((AL366-AK366-AM366)/AM366)*100)</f><v /></c><c r="AT366" s="389"><f>IF(I366&gt;=1,"NO CONFORME",IF(BK366="SIGDIFERENTES",BC366,BL366))</f><v /></c><c r="AU366" s="372"><f>B366=C366</f><v /></c><c r="AV366" s="372"><f>N366&lt;Y366</f><v /></c><c r="AW366" s="372"><f>Z366&lt;=AK366</f><v /></c><c r="AX366" s="372"><f>IF(I366&gt;=1,"Qcorrecto",IF(AND(AY366="aceptable",AZ366="aceptable",BA366="aceptable"),"Qcorrecto","Qincorrecto"))</f><v /></c><c r="AY366" s="390"><f>IF(AR366&lt;$AH$6,"error",IF(AR366&gt;$AH$6*1.1,"error","aceptable"))</f><v /></c><c r="AZ366" s="390"><f>IF(AF366&lt;$V$6,"error",IF(AF366&gt;$V$6*1.1,"error","aceptable"))</f><v /></c><c r="BA366" s="390"><f>IF(T366&lt;$J$6*0.9,"error",IF(T366&gt;$J$6,"error","aceptable"))</f><v /></c><c r="BB366" s="25"><f>(IF(ABS(U366)&lt;1.05,"CONFORME",IF(ABS(AG366)&lt;1.05,"CONFORME",IF(ABS(AS366)&lt;2.55,"CONFORME","NO CONFORME"))))</f><v /></c><c r="BC366" s="5"><f>(IF(ABS(U366)&gt;2.05,"NO CONFORME",IF(ABS(AG366)&gt;2.05,"NO CONFORME",IF(ABS(AS366)&gt;5.05,"NO CONFORME","CONFORME"))))</f><v /></c><c r="BD366" s="374"><f>SIGN(U366)</f><v /></c><c r="BE366" s="374"><f>SIGN(AG366)</f><v /></c><c r="BF366" s="374"><f>SIGN(AS366)</f><v /></c><c r="BG366" s="374"><f>CONCATENATE(BD366,BE366,BF366)</f><v /></c><c r="BH366" s="374"><f>IF(BG366="111","SI","SD")</f><v /></c><c r="BI366" s="374"><f>IF(BG366="-1-1-1","SI","SD")</f><v /></c><c r="BJ366" s="374"><f>OR(BH366="SI",BI366="SI")</f><v /></c><c r="BK366" s="374"><f>IF(BJ366=FALSE,"SIGDIFERENTES","SIGIGUALES")</f><v /></c><c r="BL366" s="390"><f>IF(BC366="NO CONFORME","NO CONFORME",IF(BB366="CONFORME","CONFORME","NO CONFORME"))</f><v /></c></row><row r="367" ht="15" customHeight="1" thickBot="1"><c r="A367" s="443" t="n"><v>359</v></c><c r="B367" s="375"><f>B366</f><v /></c><c r="C367" s="375"><f>C366</f><v /></c><c r="D367" s="376"><f>D366</f><v /></c><c r="E367" s="377"><f>E366</f><v /></c><c r="F367" s="13" t="n" /><c r="G367" s="300" t="inlineStr"><is><t>PA25517195</t></is></c><c r="H367" s="313"><f>H366</f><v /></c><c r="I367" s="38"><f>I366</f><v /></c><c r="J367" s="314"><f>J366</f><v /></c><c r="K367" s="378"><f>K366</f><v /></c><c r="L367" s="378"><f>L366</f><v /></c><c r="M367" s="379" t="n"><v>107.15</v></c><c r="N367" s="379" t="n"><v>207.5</v></c><c r="O367" s="380"><f>O366</f><v /></c><c r="P367" s="381"><f>P366</f><v /></c><c r="Q367" s="382"><f>LEFT(P367,1)</f><v /></c><c r="R367" s="382"><f>RIGHT(P367,6)</f><v /></c><c r="S367" s="382"><f>+(Q367*60+R367)/(60*60)</f><v /></c><c r="T367" s="383"><f>+O367/S367</f><v /></c><c r="U367" s="384"><f>+(((N367-M367-O367)/O367)*100)</f><v /></c><c r="V367" s="317"><f>V366</f><v /></c><c r="W367" s="385"><f>W366</f><v /></c><c r="X367" s="385"><f>X366</f><v /></c><c r="Y367" s="379" t="n"><v>212.78</v></c><c r="Z367" s="379" t="n"><v>222.75</v></c><c r="AA367" s="386"><f>AA366</f><v /></c><c r="AB367" s="387"><f>AB366</f><v /></c><c r="AC367" s="382"><f>LEFT(AB367,2)</f><v /></c><c r="AD367" s="382"><f>RIGHT(AB367,6)</f><v /></c><c r="AE367" s="382"><f>+(AC367*60+AD367)/(60*60)</f><v /></c><c r="AF367" s="383"><f>+AA367/AE367</f><v /></c><c r="AG367" s="321"><f>+(((Z367-Y367-AA367)/AA367)*100)</f><v /></c><c r="AH367" s="317"><f>AH366</f><v /></c><c r="AI367" s="385"><f>AI366</f><v /></c><c r="AJ367" s="385"><f>AJ366</f><v /></c><c r="AK367" s="379"><f>Z367</f><v /></c><c r="AL367" s="379" t="n"><v>227.75</v></c><c r="AM367" s="388"><f>AM366</f><v /></c><c r="AN367" s="381"><f>AN366</f><v /></c><c r="AO367" s="382"><f>LEFT(AN367,2)</f><v /></c><c r="AP367" s="382"><f>RIGHT(AN367,6)</f><v /></c><c r="AQ367" s="382"><f>+(AO367*60+AP367)/(60*60)</f><v /></c><c r="AR367" s="383"><f>+AM367/AQ367</f><v /></c><c r="AS367" s="321"><f>+(((AL367-AK367-AM367)/AM367)*100)</f><v /></c><c r="AT367" s="389"><f>IF(I367&gt;=1,"NO CONFORME",IF(BK367="SIGDIFERENTES",BC367,BL367))</f><v /></c><c r="AU367" s="372"><f>B367=C367</f><v /></c><c r="AV367" s="372"><f>N367&lt;Y367</f><v /></c><c r="AW367" s="372"><f>Z367&lt;=AK367</f><v /></c><c r="AX367" s="372"><f>IF(I367&gt;=1,"Qcorrecto",IF(AND(AY367="aceptable",AZ367="aceptable",BA367="aceptable"),"Qcorrecto","Qincorrecto"))</f><v /></c><c r="AY367" s="390"><f>IF(AR367&lt;$AH$6,"error",IF(AR367&gt;$AH$6*1.1,"error","aceptable"))</f><v /></c><c r="AZ367" s="390"><f>IF(AF367&lt;$V$6,"error",IF(AF367&gt;$V$6*1.1,"error","aceptable"))</f><v /></c><c r="BA367" s="390"><f>IF(T367&lt;$J$6*0.9,"error",IF(T367&gt;$J$6,"error","aceptable"))</f><v /></c><c r="BB367" s="25"><f>(IF(ABS(U367)&lt;1.05,"CONFORME",IF(ABS(AG367)&lt;1.05,"CONFORME",IF(ABS(AS367)&lt;2.55,"CONFORME","NO CONFORME"))))</f><v /></c><c r="BC367" s="5"><f>(IF(ABS(U367)&gt;2.05,"NO CONFORME",IF(ABS(AG367)&gt;2.05,"NO CONFORME",IF(ABS(AS367)&gt;5.05,"NO CONFORME","CONFORME"))))</f><v /></c><c r="BD367" s="374"><f>SIGN(U367)</f><v /></c><c r="BE367" s="374"><f>SIGN(AG367)</f><v /></c><c r="BF367" s="374"><f>SIGN(AS367)</f><v /></c><c r="BG367" s="374"><f>CONCATENATE(BD367,BE367,BF367)</f><v /></c><c r="BH367" s="374"><f>IF(BG367="111","SI","SD")</f><v /></c><c r="BI367" s="374"><f>IF(BG367="-1-1-1","SI","SD")</f><v /></c><c r="BJ367" s="374"><f>OR(BH367="SI",BI367="SI")</f><v /></c><c r="BK367" s="374"><f>IF(BJ367=FALSE,"SIGDIFERENTES","SIGIGUALES")</f><v /></c><c r="BL367" s="390"><f>IF(BC367="NO CONFORME","NO CONFORME",IF(BB367="CONFORME","CONFORME","NO CONFORME"))</f><v /></c></row><row r="368" ht="15" customHeight="1" thickBot="1"><c r="A368" s="443" t="n"><v>360</v></c><c r="B368" s="375"><f>B367</f><v /></c><c r="C368" s="375"><f>C367</f><v /></c><c r="D368" s="376"><f>D367</f><v /></c><c r="E368" s="377"><f>E367</f><v /></c><c r="F368" s="13" t="n" /><c r="G368" s="300" t="inlineStr"><is><t>PA25517196</t></is></c><c r="H368" s="313"><f>H367</f><v /></c><c r="I368" s="38"><f>I367</f><v /></c><c r="J368" s="314"><f>J367</f><v /></c><c r="K368" s="378"><f>K367</f><v /></c><c r="L368" s="378"><f>L367</f><v /></c><c r="M368" s="379" t="n"><v>110.62</v></c><c r="N368" s="379" t="n"><v>211.43</v></c><c r="O368" s="380"><f>O367</f><v /></c><c r="P368" s="381"><f>P367</f><v /></c><c r="Q368" s="382"><f>LEFT(P368,1)</f><v /></c><c r="R368" s="382"><f>RIGHT(P368,6)</f><v /></c><c r="S368" s="382"><f>+(Q368*60+R368)/(60*60)</f><v /></c><c r="T368" s="383"><f>+O368/S368</f><v /></c><c r="U368" s="384"><f>+(((N368-M368-O368)/O368)*100)</f><v /></c><c r="V368" s="317"><f>V367</f><v /></c><c r="W368" s="385"><f>W367</f><v /></c><c r="X368" s="385"><f>X367</f><v /></c><c r="Y368" s="379" t="n"><v>216.72</v></c><c r="Z368" s="379" t="n"><v>226.75</v></c><c r="AA368" s="386"><f>AA367</f><v /></c><c r="AB368" s="387"><f>AB367</f><v /></c><c r="AC368" s="382"><f>LEFT(AB368,2)</f><v /></c><c r="AD368" s="382"><f>RIGHT(AB368,6)</f><v /></c><c r="AE368" s="382"><f>+(AC368*60+AD368)/(60*60)</f><v /></c><c r="AF368" s="383"><f>+AA368/AE368</f><v /></c><c r="AG368" s="321"><f>+(((Z368-Y368-AA368)/AA368)*100)</f><v /></c><c r="AH368" s="317"><f>AH367</f><v /></c><c r="AI368" s="385"><f>AI367</f><v /></c><c r="AJ368" s="385"><f>AJ367</f><v /></c><c r="AK368" s="379"><f>Z368</f><v /></c><c r="AL368" s="379" t="n"><v>231.89</v></c><c r="AM368" s="388"><f>AM367</f><v /></c><c r="AN368" s="381"><f>AN367</f><v /></c><c r="AO368" s="382"><f>LEFT(AN368,2)</f><v /></c><c r="AP368" s="382"><f>RIGHT(AN368,6)</f><v /></c><c r="AQ368" s="382"><f>+(AO368*60+AP368)/(60*60)</f><v /></c><c r="AR368" s="383"><f>+AM368/AQ368</f><v /></c><c r="AS368" s="321"><f>+(((AL368-AK368-AM368)/AM368)*100)</f><v /></c><c r="AT368" s="389"><f>IF(I368&gt;=1,"NO CONFORME",IF(BK368="SIGDIFERENTES",BC368,BL368))</f><v /></c><c r="AU368" s="372"><f>B368=C368</f><v /></c><c r="AV368" s="372"><f>N368&lt;Y368</f><v /></c><c r="AW368" s="372"><f>Z368&lt;=AK368</f><v /></c><c r="AX368" s="372"><f>IF(I368&gt;=1,"Qcorrecto",IF(AND(AY368="aceptable",AZ368="aceptable",BA368="aceptable"),"Qcorrecto","Qincorrecto"))</f><v /></c><c r="AY368" s="390"><f>IF(AR368&lt;$AH$6,"error",IF(AR368&gt;$AH$6*1.1,"error","aceptable"))</f><v /></c><c r="AZ368" s="390"><f>IF(AF368&lt;$V$6,"error",IF(AF368&gt;$V$6*1.1,"error","aceptable"))</f><v /></c><c r="BA368" s="390"><f>IF(T368&lt;$J$6*0.9,"error",IF(T368&gt;$J$6,"error","aceptable"))</f><v /></c><c r="BB368" s="25"><f>(IF(ABS(U368)&lt;1.05,"CONFORME",IF(ABS(AG368)&lt;1.05,"CONFORME",IF(ABS(AS368)&lt;2.55,"CONFORME","NO CONFORME"))))</f><v /></c><c r="BC368" s="5"><f>(IF(ABS(U368)&gt;2.05,"NO CONFORME",IF(ABS(AG368)&gt;2.05,"NO CONFORME",IF(ABS(AS368)&gt;5.05,"NO CONFORME","CONFORME"))))</f><v /></c><c r="BD368" s="374"><f>SIGN(U368)</f><v /></c><c r="BE368" s="374"><f>SIGN(AG368)</f><v /></c><c r="BF368" s="374"><f>SIGN(AS368)</f><v /></c><c r="BG368" s="374"><f>CONCATENATE(BD368,BE368,BF368)</f><v /></c><c r="BH368" s="374"><f>IF(BG368="111","SI","SD")</f><v /></c><c r="BI368" s="374"><f>IF(BG368="-1-1-1","SI","SD")</f><v /></c><c r="BJ368" s="374"><f>OR(BH368="SI",BI368="SI")</f><v /></c><c r="BK368" s="374"><f>IF(BJ368=FALSE,"SIGDIFERENTES","SIGIGUALES")</f><v /></c><c r="BL368" s="390"><f>IF(BC368="NO CONFORME","NO CONFORME",IF(BB368="CONFORME","CONFORME","NO CONFORME"))</f><v /></c></row><row r="369" ht="15" customHeight="1" thickBot="1"><c r="A369" s="443" t="n"><v>361</v></c><c r="B369" s="375"><f>B368</f><v /></c><c r="C369" s="375"><f>C368</f><v /></c><c r="D369" s="376"><f>D368</f><v /></c><c r="E369" s="377"><f>E368</f><v /></c><c r="F369" s="13" t="n" /><c r="G369" s="300" t="inlineStr"><is><t>PA25517197</t></is></c><c r="H369" s="313"><f>H368</f><v /></c><c r="I369" s="38"><f>I368</f><v /></c><c r="J369" s="314"><f>J368</f><v /></c><c r="K369" s="378"><f>K368</f><v /></c><c r="L369" s="378"><f>L368</f><v /></c><c r="M369" s="379" t="n"><v>110.21</v></c><c r="N369" s="379" t="n"><v>210.82</v></c><c r="O369" s="380"><f>O368</f><v /></c><c r="P369" s="381"><f>P368</f><v /></c><c r="Q369" s="382"><f>LEFT(P369,1)</f><v /></c><c r="R369" s="382"><f>RIGHT(P369,6)</f><v /></c><c r="S369" s="382"><f>+(Q369*60+R369)/(60*60)</f><v /></c><c r="T369" s="383"><f>+O369/S369</f><v /></c><c r="U369" s="384"><f>+(((N369-M369-O369)/O369)*100)</f><v /></c><c r="V369" s="317"><f>V368</f><v /></c><c r="W369" s="385"><f>W368</f><v /></c><c r="X369" s="385"><f>X368</f><v /></c><c r="Y369" s="379" t="n"><v>216.07</v></c><c r="Z369" s="379" t="n"><v>226.05</v></c><c r="AA369" s="386"><f>AA368</f><v /></c><c r="AB369" s="387"><f>AB368</f><v /></c><c r="AC369" s="382"><f>LEFT(AB369,2)</f><v /></c><c r="AD369" s="382"><f>RIGHT(AB369,6)</f><v /></c><c r="AE369" s="382"><f>+(AC369*60+AD369)/(60*60)</f><v /></c><c r="AF369" s="383"><f>+AA369/AE369</f><v /></c><c r="AG369" s="321"><f>+(((Z369-Y369-AA369)/AA369)*100)</f><v /></c><c r="AH369" s="317"><f>AH368</f><v /></c><c r="AI369" s="385"><f>AI368</f><v /></c><c r="AJ369" s="385"><f>AJ368</f><v /></c><c r="AK369" s="379"><f>Z369</f><v /></c><c r="AL369" s="379" t="n"><v>231.09</v></c><c r="AM369" s="388"><f>AM368</f><v /></c><c r="AN369" s="381"><f>AN368</f><v /></c><c r="AO369" s="382"><f>LEFT(AN369,2)</f><v /></c><c r="AP369" s="382"><f>RIGHT(AN369,6)</f><v /></c><c r="AQ369" s="382"><f>+(AO369*60+AP369)/(60*60)</f><v /></c><c r="AR369" s="383"><f>+AM369/AQ369</f><v /></c><c r="AS369" s="321"><f>+(((AL369-AK369-AM369)/AM369)*100)</f><v /></c><c r="AT369" s="389"><f>IF(I369&gt;=1,"NO CONFORME",IF(BK369="SIGDIFERENTES",BC369,BL369))</f><v /></c><c r="AU369" s="372"><f>B369=C369</f><v /></c><c r="AV369" s="372"><f>N369&lt;Y369</f><v /></c><c r="AW369" s="372"><f>Z369&lt;=AK369</f><v /></c><c r="AX369" s="372"><f>IF(I369&gt;=1,"Qcorrecto",IF(AND(AY369="aceptable",AZ369="aceptable",BA369="aceptable"),"Qcorrecto","Qincorrecto"))</f><v /></c><c r="AY369" s="390"><f>IF(AR369&lt;$AH$6,"error",IF(AR369&gt;$AH$6*1.1,"error","aceptable"))</f><v /></c><c r="AZ369" s="390"><f>IF(AF369&lt;$V$6,"error",IF(AF369&gt;$V$6*1.1,"error","aceptable"))</f><v /></c><c r="BA369" s="390"><f>IF(T369&lt;$J$6*0.9,"error",IF(T369&gt;$J$6,"error","aceptable"))</f><v /></c><c r="BB369" s="25"><f>(IF(ABS(U369)&lt;1.05,"CONFORME",IF(ABS(AG369)&lt;1.05,"CONFORME",IF(ABS(AS369)&lt;2.55,"CONFORME","NO CONFORME"))))</f><v /></c><c r="BC369" s="5"><f>(IF(ABS(U369)&gt;2.05,"NO CONFORME",IF(ABS(AG369)&gt;2.05,"NO CONFORME",IF(ABS(AS369)&gt;5.05,"NO CONFORME","CONFORME"))))</f><v /></c><c r="BD369" s="374"><f>SIGN(U369)</f><v /></c><c r="BE369" s="374"><f>SIGN(AG369)</f><v /></c><c r="BF369" s="374"><f>SIGN(AS369)</f><v /></c><c r="BG369" s="374"><f>CONCATENATE(BD369,BE369,BF369)</f><v /></c><c r="BH369" s="374"><f>IF(BG369="111","SI","SD")</f><v /></c><c r="BI369" s="374"><f>IF(BG369="-1-1-1","SI","SD")</f><v /></c><c r="BJ369" s="374"><f>OR(BH369="SI",BI369="SI")</f><v /></c><c r="BK369" s="374"><f>IF(BJ369=FALSE,"SIGDIFERENTES","SIGIGUALES")</f><v /></c><c r="BL369" s="390"><f>IF(BC369="NO CONFORME","NO CONFORME",IF(BB369="CONFORME","CONFORME","NO CONFORME"))</f><v /></c></row><row r="370" ht="15" customHeight="1" thickBot="1"><c r="A370" s="443" t="n"><v>362</v></c><c r="B370" s="375"><f>B369</f><v /></c><c r="C370" s="375"><f>C369</f><v /></c><c r="D370" s="376"><f>D369</f><v /></c><c r="E370" s="377"><f>E369</f><v /></c><c r="F370" s="13" t="n" /><c r="G370" s="300" t="inlineStr"><is><t>PA25517198</t></is></c><c r="H370" s="313"><f>H369</f><v /></c><c r="I370" s="38"><f>I369</f><v /></c><c r="J370" s="314"><f>J369</f><v /></c><c r="K370" s="378"><f>K369</f><v /></c><c r="L370" s="378"><f>L369</f><v /></c><c r="M370" s="379" t="n"><v>110.4</v></c><c r="N370" s="379" t="n"><v>210.95</v></c><c r="O370" s="380"><f>O369</f><v /></c><c r="P370" s="381"><f>P369</f><v /></c><c r="Q370" s="382"><f>LEFT(P370,1)</f><v /></c><c r="R370" s="382"><f>RIGHT(P370,6)</f><v /></c><c r="S370" s="382"><f>+(Q370*60+R370)/(60*60)</f><v /></c><c r="T370" s="383"><f>+O370/S370</f><v /></c><c r="U370" s="384"><f>+(((N370-M370-O370)/O370)*100)</f><v /></c><c r="V370" s="317"><f>V369</f><v /></c><c r="W370" s="385"><f>W369</f><v /></c><c r="X370" s="385"><f>X369</f><v /></c><c r="Y370" s="379" t="n"><v>216.25</v></c><c r="Z370" s="379" t="n"><v>226.3</v></c><c r="AA370" s="386"><f>AA369</f><v /></c><c r="AB370" s="387"><f>AB369</f><v /></c><c r="AC370" s="382"><f>LEFT(AB370,2)</f><v /></c><c r="AD370" s="382"><f>RIGHT(AB370,6)</f><v /></c><c r="AE370" s="382"><f>+(AC370*60+AD370)/(60*60)</f><v /></c><c r="AF370" s="383"><f>+AA370/AE370</f><v /></c><c r="AG370" s="321"><f>+(((Z370-Y370-AA370)/AA370)*100)</f><v /></c><c r="AH370" s="317"><f>AH369</f><v /></c><c r="AI370" s="385"><f>AI369</f><v /></c><c r="AJ370" s="385"><f>AJ369</f><v /></c><c r="AK370" s="379"><f>Z370</f><v /></c><c r="AL370" s="379" t="n"><v>231.35</v></c><c r="AM370" s="388"><f>AM369</f><v /></c><c r="AN370" s="381"><f>AN369</f><v /></c><c r="AO370" s="382"><f>LEFT(AN370,2)</f><v /></c><c r="AP370" s="382"><f>RIGHT(AN370,6)</f><v /></c><c r="AQ370" s="382"><f>+(AO370*60+AP370)/(60*60)</f><v /></c><c r="AR370" s="383"><f>+AM370/AQ370</f><v /></c><c r="AS370" s="321"><f>+(((AL370-AK370-AM370)/AM370)*100)</f><v /></c><c r="AT370" s="389"><f>IF(I370&gt;=1,"NO CONFORME",IF(BK370="SIGDIFERENTES",BC370,BL370))</f><v /></c><c r="AU370" s="372"><f>B370=C370</f><v /></c><c r="AV370" s="372"><f>N370&lt;Y370</f><v /></c><c r="AW370" s="372"><f>Z370&lt;=AK370</f><v /></c><c r="AX370" s="372"><f>IF(I370&gt;=1,"Qcorrecto",IF(AND(AY370="aceptable",AZ370="aceptable",BA370="aceptable"),"Qcorrecto","Qincorrecto"))</f><v /></c><c r="AY370" s="390"><f>IF(AR370&lt;$AH$6,"error",IF(AR370&gt;$AH$6*1.1,"error","aceptable"))</f><v /></c><c r="AZ370" s="390"><f>IF(AF370&lt;$V$6,"error",IF(AF370&gt;$V$6*1.1,"error","aceptable"))</f><v /></c><c r="BA370" s="390"><f>IF(T370&lt;$J$6*0.9,"error",IF(T370&gt;$J$6,"error","aceptable"))</f><v /></c><c r="BB370" s="25"><f>(IF(ABS(U370)&lt;1.05,"CONFORME",IF(ABS(AG370)&lt;1.05,"CONFORME",IF(ABS(AS370)&lt;2.55,"CONFORME","NO CONFORME"))))</f><v /></c><c r="BC370" s="5"><f>(IF(ABS(U370)&gt;2.05,"NO CONFORME",IF(ABS(AG370)&gt;2.05,"NO CONFORME",IF(ABS(AS370)&gt;5.05,"NO CONFORME","CONFORME"))))</f><v /></c><c r="BD370" s="374"><f>SIGN(U370)</f><v /></c><c r="BE370" s="374"><f>SIGN(AG370)</f><v /></c><c r="BF370" s="374"><f>SIGN(AS370)</f><v /></c><c r="BG370" s="374"><f>CONCATENATE(BD370,BE370,BF370)</f><v /></c><c r="BH370" s="374"><f>IF(BG370="111","SI","SD")</f><v /></c><c r="BI370" s="374"><f>IF(BG370="-1-1-1","SI","SD")</f><v /></c><c r="BJ370" s="374"><f>OR(BH370="SI",BI370="SI")</f><v /></c><c r="BK370" s="374"><f>IF(BJ370=FALSE,"SIGDIFERENTES","SIGIGUALES")</f><v /></c><c r="BL370" s="390"><f>IF(BC370="NO CONFORME","NO CONFORME",IF(BB370="CONFORME","CONFORME","NO CONFORME"))</f><v /></c></row><row r="371" ht="15" customHeight="1" thickBot="1"><c r="A371" s="443" t="n"><v>363</v></c><c r="B371" s="375"><f>B370</f><v /></c><c r="C371" s="375"><f>C370</f><v /></c><c r="D371" s="376"><f>D370</f><v /></c><c r="E371" s="377"><f>E370</f><v /></c><c r="F371" s="13" t="n" /><c r="G371" s="300" t="inlineStr"><is><t>PA25517199</t></is></c><c r="H371" s="313"><f>H370</f><v /></c><c r="I371" s="38"><f>I370</f><v /></c><c r="J371" s="314"><f>J370</f><v /></c><c r="K371" s="378"><f>K370</f><v /></c><c r="L371" s="378"><f>L370</f><v /></c><c r="M371" s="379" t="n"><v>110</v></c><c r="N371" s="379" t="n"><v>210.37</v></c><c r="O371" s="380"><f>O370</f><v /></c><c r="P371" s="381"><f>P370</f><v /></c><c r="Q371" s="382"><f>LEFT(P371,1)</f><v /></c><c r="R371" s="382"><f>RIGHT(P371,6)</f><v /></c><c r="S371" s="382"><f>+(Q371*60+R371)/(60*60)</f><v /></c><c r="T371" s="383"><f>+O371/S371</f><v /></c><c r="U371" s="384"><f>+(((N371-M371-O371)/O371)*100)</f><v /></c><c r="V371" s="317"><f>V370</f><v /></c><c r="W371" s="385"><f>W370</f><v /></c><c r="X371" s="385"><f>X370</f><v /></c><c r="Y371" s="379" t="n"><v>215.64</v></c><c r="Z371" s="379" t="n"><v>225.62</v></c><c r="AA371" s="386"><f>AA370</f><v /></c><c r="AB371" s="387"><f>AB370</f><v /></c><c r="AC371" s="382"><f>LEFT(AB371,2)</f><v /></c><c r="AD371" s="382"><f>RIGHT(AB371,6)</f><v /></c><c r="AE371" s="382"><f>+(AC371*60+AD371)/(60*60)</f><v /></c><c r="AF371" s="383"><f>+AA371/AE371</f><v /></c><c r="AG371" s="321"><f>+(((Z371-Y371-AA371)/AA371)*100)</f><v /></c><c r="AH371" s="317"><f>AH370</f><v /></c><c r="AI371" s="385"><f>AI370</f><v /></c><c r="AJ371" s="385"><f>AJ370</f><v /></c><c r="AK371" s="379"><f>Z371</f><v /></c><c r="AL371" s="379" t="n"><v>230.65</v></c><c r="AM371" s="388"><f>AM370</f><v /></c><c r="AN371" s="381"><f>AN370</f><v /></c><c r="AO371" s="382"><f>LEFT(AN371,2)</f><v /></c><c r="AP371" s="382"><f>RIGHT(AN371,6)</f><v /></c><c r="AQ371" s="382"><f>+(AO371*60+AP371)/(60*60)</f><v /></c><c r="AR371" s="383"><f>+AM371/AQ371</f><v /></c><c r="AS371" s="321"><f>+(((AL371-AK371-AM371)/AM371)*100)</f><v /></c><c r="AT371" s="389"><f>IF(I371&gt;=1,"NO CONFORME",IF(BK371="SIGDIFERENTES",BC371,BL371))</f><v /></c><c r="AU371" s="372"><f>B371=C371</f><v /></c><c r="AV371" s="372"><f>N371&lt;Y371</f><v /></c><c r="AW371" s="372"><f>Z371&lt;=AK371</f><v /></c><c r="AX371" s="372"><f>IF(I371&gt;=1,"Qcorrecto",IF(AND(AY371="aceptable",AZ371="aceptable",BA371="aceptable"),"Qcorrecto","Qincorrecto"))</f><v /></c><c r="AY371" s="390"><f>IF(AR371&lt;$AH$6,"error",IF(AR371&gt;$AH$6*1.1,"error","aceptable"))</f><v /></c><c r="AZ371" s="390"><f>IF(AF371&lt;$V$6,"error",IF(AF371&gt;$V$6*1.1,"error","aceptable"))</f><v /></c><c r="BA371" s="390"><f>IF(T371&lt;$J$6*0.9,"error",IF(T371&gt;$J$6,"error","aceptable"))</f><v /></c><c r="BB371" s="25"><f>(IF(ABS(U371)&lt;1.05,"CONFORME",IF(ABS(AG371)&lt;1.05,"CONFORME",IF(ABS(AS371)&lt;2.55,"CONFORME","NO CONFORME"))))</f><v /></c><c r="BC371" s="5"><f>(IF(ABS(U371)&gt;2.05,"NO CONFORME",IF(ABS(AG371)&gt;2.05,"NO CONFORME",IF(ABS(AS371)&gt;5.05,"NO CONFORME","CONFORME"))))</f><v /></c><c r="BD371" s="374"><f>SIGN(U371)</f><v /></c><c r="BE371" s="374"><f>SIGN(AG371)</f><v /></c><c r="BF371" s="374"><f>SIGN(AS371)</f><v /></c><c r="BG371" s="374"><f>CONCATENATE(BD371,BE371,BF371)</f><v /></c><c r="BH371" s="374"><f>IF(BG371="111","SI","SD")</f><v /></c><c r="BI371" s="374"><f>IF(BG371="-1-1-1","SI","SD")</f><v /></c><c r="BJ371" s="374"><f>OR(BH371="SI",BI371="SI")</f><v /></c><c r="BK371" s="374"><f>IF(BJ371=FALSE,"SIGDIFERENTES","SIGIGUALES")</f><v /></c><c r="BL371" s="390"><f>IF(BC371="NO CONFORME","NO CONFORME",IF(BB371="CONFORME","CONFORME","NO CONFORME"))</f><v /></c></row><row r="372" ht="15" customHeight="1" thickBot="1"><c r="A372" s="443" t="n"><v>364</v></c><c r="B372" s="375"><f>B371</f><v /></c><c r="C372" s="375"><f>C371</f><v /></c><c r="D372" s="376"><f>D371</f><v /></c><c r="E372" s="377"><f>E371</f><v /></c><c r="F372" s="13" t="n" /><c r="G372" s="300" t="inlineStr"><is><t>PA25517200</t></is></c><c r="H372" s="313"><f>H371</f><v /></c><c r="I372" s="38"><f>I371</f><v /></c><c r="J372" s="314"><f>J371</f><v /></c><c r="K372" s="378"><f>K371</f><v /></c><c r="L372" s="378"><f>L371</f><v /></c><c r="M372" s="379" t="n"><v>111.41</v></c><c r="N372" s="379" t="n"><v>211.44</v></c><c r="O372" s="380"><f>O371</f><v /></c><c r="P372" s="381"><f>P371</f><v /></c><c r="Q372" s="382"><f>LEFT(P372,1)</f><v /></c><c r="R372" s="382"><f>RIGHT(P372,6)</f><v /></c><c r="S372" s="382"><f>+(Q372*60+R372)/(60*60)</f><v /></c><c r="T372" s="383"><f>+O372/S372</f><v /></c><c r="U372" s="384"><f>+(((N372-M372-O372)/O372)*100)</f><v /></c><c r="V372" s="317"><f>V371</f><v /></c><c r="W372" s="385"><f>W371</f><v /></c><c r="X372" s="385"><f>X371</f><v /></c><c r="Y372" s="379" t="n"><v>217.2</v></c><c r="Z372" s="379" t="n"><v>227.2</v></c><c r="AA372" s="386"><f>AA371</f><v /></c><c r="AB372" s="387"><f>AB371</f><v /></c><c r="AC372" s="382"><f>LEFT(AB372,2)</f><v /></c><c r="AD372" s="382"><f>RIGHT(AB372,6)</f><v /></c><c r="AE372" s="382"><f>+(AC372*60+AD372)/(60*60)</f><v /></c><c r="AF372" s="383"><f>+AA372/AE372</f><v /></c><c r="AG372" s="321"><f>+(((Z372-Y372-AA372)/AA372)*100)</f><v /></c><c r="AH372" s="317"><f>AH371</f><v /></c><c r="AI372" s="385"><f>AI371</f><v /></c><c r="AJ372" s="385"><f>AJ371</f><v /></c><c r="AK372" s="379"><f>Z372</f><v /></c><c r="AL372" s="379" t="n"><v>232.25</v></c><c r="AM372" s="388"><f>AM371</f><v /></c><c r="AN372" s="381"><f>AN371</f><v /></c><c r="AO372" s="382"><f>LEFT(AN372,2)</f><v /></c><c r="AP372" s="382"><f>RIGHT(AN372,6)</f><v /></c><c r="AQ372" s="382"><f>+(AO372*60+AP372)/(60*60)</f><v /></c><c r="AR372" s="383"><f>+AM372/AQ372</f><v /></c><c r="AS372" s="321"><f>+(((AL372-AK372-AM372)/AM372)*100)</f><v /></c><c r="AT372" s="389"><f>IF(I372&gt;=1,"NO CONFORME",IF(BK372="SIGDIFERENTES",BC372,BL372))</f><v /></c><c r="AU372" s="372"><f>B372=C372</f><v /></c><c r="AV372" s="372"><f>N372&lt;Y372</f><v /></c><c r="AW372" s="372"><f>Z372&lt;=AK372</f><v /></c><c r="AX372" s="372"><f>IF(I372&gt;=1,"Qcorrecto",IF(AND(AY372="aceptable",AZ372="aceptable",BA372="aceptable"),"Qcorrecto","Qincorrecto"))</f><v /></c><c r="AY372" s="390"><f>IF(AR372&lt;$AH$6,"error",IF(AR372&gt;$AH$6*1.1,"error","aceptable"))</f><v /></c><c r="AZ372" s="390"><f>IF(AF372&lt;$V$6,"error",IF(AF372&gt;$V$6*1.1,"error","aceptable"))</f><v /></c><c r="BA372" s="390"><f>IF(T372&lt;$J$6*0.9,"error",IF(T372&gt;$J$6,"error","aceptable"))</f><v /></c><c r="BB372" s="25"><f>(IF(ABS(U372)&lt;1.05,"CONFORME",IF(ABS(AG372)&lt;1.05,"CONFORME",IF(ABS(AS372)&lt;2.55,"CONFORME","NO CONFORME"))))</f><v /></c><c r="BC372" s="5"><f>(IF(ABS(U372)&gt;2.05,"NO CONFORME",IF(ABS(AG372)&gt;2.05,"NO CONFORME",IF(ABS(AS372)&gt;5.05,"NO CONFORME","CONFORME"))))</f><v /></c><c r="BD372" s="374"><f>SIGN(U372)</f><v /></c><c r="BE372" s="374"><f>SIGN(AG372)</f><v /></c><c r="BF372" s="374"><f>SIGN(AS372)</f><v /></c><c r="BG372" s="374"><f>CONCATENATE(BD372,BE372,BF372)</f><v /></c><c r="BH372" s="374"><f>IF(BG372="111","SI","SD")</f><v /></c><c r="BI372" s="374"><f>IF(BG372="-1-1-1","SI","SD")</f><v /></c><c r="BJ372" s="374"><f>OR(BH372="SI",BI372="SI")</f><v /></c><c r="BK372" s="374"><f>IF(BJ372=FALSE,"SIGDIFERENTES","SIGIGUALES")</f><v /></c><c r="BL372" s="390"><f>IF(BC372="NO CONFORME","NO CONFORME",IF(BB372="CONFORME","CONFORME","NO CONFORME"))</f><v /></c></row><row r="373" ht="15.75" customHeight="1" thickBot="1"><c r="A373" s="443" t="n"><v>365</v></c><c r="B373" s="375"><f>B372</f><v /></c><c r="C373" s="375"><f>C372</f><v /></c><c r="D373" s="376"><f>D372</f><v /></c><c r="E373" s="377"><f>E372</f><v /></c><c r="F373" s="13" t="n" /><c r="G373" s="300" t="inlineStr"><is><t>PA25517201</t></is></c><c r="H373" s="313"><f>H372</f><v /></c><c r="I373" s="38"><f>I372</f><v /></c><c r="J373" s="314"><f>J372</f><v /></c><c r="K373" s="378"><f>K372</f><v /></c><c r="L373" s="378"><f>L372</f><v /></c><c r="M373" s="379" t="n"><v>110.95</v></c><c r="N373" s="379" t="n"><v>211.87</v></c><c r="O373" s="380"><f>O372</f><v /></c><c r="P373" s="381"><f>P372</f><v /></c><c r="Q373" s="382"><f>LEFT(P373,1)</f><v /></c><c r="R373" s="382"><f>RIGHT(P373,6)</f><v /></c><c r="S373" s="382"><f>+(Q373*60+R373)/(60*60)</f><v /></c><c r="T373" s="383"><f>+O373/S373</f><v /></c><c r="U373" s="384"><f>+(((N373-M373-O373)/O373)*100)</f><v /></c><c r="V373" s="317"><f>V372</f><v /></c><c r="W373" s="385"><f>W372</f><v /></c><c r="X373" s="385"><f>X372</f><v /></c><c r="Y373" s="379" t="n"><v>217.15</v></c><c r="Z373" s="379" t="n"><v>227.15</v></c><c r="AA373" s="386"><f>AA372</f><v /></c><c r="AB373" s="387"><f>AB372</f><v /></c><c r="AC373" s="382"><f>LEFT(AB373,2)</f><v /></c><c r="AD373" s="382"><f>RIGHT(AB373,6)</f><v /></c><c r="AE373" s="382"><f>+(AC373*60+AD373)/(60*60)</f><v /></c><c r="AF373" s="383"><f>+AA373/AE373</f><v /></c><c r="AG373" s="321"><f>+(((Z373-Y373-AA373)/AA373)*100)</f><v /></c><c r="AH373" s="317"><f>AH372</f><v /></c><c r="AI373" s="385"><f>AI372</f><v /></c><c r="AJ373" s="385"><f>AJ372</f><v /></c><c r="AK373" s="379"><f>Z373</f><v /></c><c r="AL373" s="379" t="n"><v>232.21</v></c><c r="AM373" s="388"><f>AM372</f><v /></c><c r="AN373" s="381"><f>AN372</f><v /></c><c r="AO373" s="382"><f>LEFT(AN373,2)</f><v /></c><c r="AP373" s="382"><f>RIGHT(AN373,6)</f><v /></c><c r="AQ373" s="382"><f>+(AO373*60+AP373)/(60*60)</f><v /></c><c r="AR373" s="383"><f>+AM373/AQ373</f><v /></c><c r="AS373" s="321"><f>+(((AL373-AK373-AM373)/AM373)*100)</f><v /></c><c r="AT373" s="389"><f>IF(I373&gt;=1,"NO CONFORME",IF(BK373="SIGDIFERENTES",BC373,BL373))</f><v /></c><c r="AU373" s="372"><f>B373=C373</f><v /></c><c r="AV373" s="372"><f>N373&lt;Y373</f><v /></c><c r="AW373" s="372"><f>Z373&lt;=AK373</f><v /></c><c r="AX373" s="372"><f>IF(I373&gt;=1,"Qcorrecto",IF(AND(AY373="aceptable",AZ373="aceptable",BA373="aceptable"),"Qcorrecto","Qincorrecto"))</f><v /></c><c r="AY373" s="390"><f>IF(AR373&lt;$AH$6,"error",IF(AR373&gt;$AH$6*1.1,"error","aceptable"))</f><v /></c><c r="AZ373" s="390"><f>IF(AF373&lt;$V$6,"error",IF(AF373&gt;$V$6*1.1,"error","aceptable"))</f><v /></c><c r="BA373" s="390"><f>IF(T373&lt;$J$6*0.9,"error",IF(T373&gt;$J$6,"error","aceptable"))</f><v /></c><c r="BB373" s="25"><f>(IF(ABS(U373)&lt;1.05,"CONFORME",IF(ABS(AG373)&lt;1.05,"CONFORME",IF(ABS(AS373)&lt;2.55,"CONFORME","NO CONFORME"))))</f><v /></c><c r="BC373" s="5"><f>(IF(ABS(U373)&gt;2.05,"NO CONFORME",IF(ABS(AG373)&gt;2.05,"NO CONFORME",IF(ABS(AS373)&gt;5.05,"NO CONFORME","CONFORME"))))</f><v /></c><c r="BD373" s="374"><f>SIGN(U373)</f><v /></c><c r="BE373" s="374"><f>SIGN(AG373)</f><v /></c><c r="BF373" s="374"><f>SIGN(AS373)</f><v /></c><c r="BG373" s="374"><f>CONCATENATE(BD373,BE373,BF373)</f><v /></c><c r="BH373" s="374"><f>IF(BG373="111","SI","SD")</f><v /></c><c r="BI373" s="374"><f>IF(BG373="-1-1-1","SI","SD")</f><v /></c><c r="BJ373" s="374"><f>OR(BH373="SI",BI373="SI")</f><v /></c><c r="BK373" s="374"><f>IF(BJ373=FALSE,"SIGDIFERENTES","SIGIGUALES")</f><v /></c><c r="BL373" s="390"><f>IF(BC373="NO CONFORME","NO CONFORME",IF(BB373="CONFORME","CONFORME","NO CONFORME"))</f><v /></c></row><row r="374" ht="15" customHeight="1" thickBot="1"><c r="A374" s="443" t="n"><v>366</v></c><c r="B374" s="375"><f>B373</f><v /></c><c r="C374" s="375"><f>C373</f><v /></c><c r="D374" s="376"><f>D373</f><v /></c><c r="E374" s="377"><f>E373</f><v /></c><c r="F374" s="13" t="n" /><c r="G374" s="300" t="inlineStr"><is><t>PA25517202</t></is></c><c r="H374" s="313"><f>H373</f><v /></c><c r="I374" s="38"><f>I373</f><v /></c><c r="J374" s="314"><f>J373</f><v /></c><c r="K374" s="378"><f>K373</f><v /></c><c r="L374" s="378"><f>L373</f><v /></c><c r="M374" s="379" t="n"><v>110.78</v></c><c r="N374" s="379" t="n"><v>211.17</v></c><c r="O374" s="380"><f>O373</f><v /></c><c r="P374" s="381"><f>P373</f><v /></c><c r="Q374" s="382"><f>LEFT(P374,1)</f><v /></c><c r="R374" s="382"><f>RIGHT(P374,6)</f><v /></c><c r="S374" s="382"><f>+(Q374*60+R374)/(60*60)</f><v /></c><c r="T374" s="383"><f>+O374/S374</f><v /></c><c r="U374" s="384"><f>+(((N374-M374-O374)/O374)*100)</f><v /></c><c r="V374" s="317"><f>V373</f><v /></c><c r="W374" s="385"><f>W373</f><v /></c><c r="X374" s="385"><f>X373</f><v /></c><c r="Y374" s="379" t="n"><v>216.45</v></c><c r="Z374" s="379" t="n"><v>226.46</v></c><c r="AA374" s="386"><f>AA373</f><v /></c><c r="AB374" s="387"><f>AB373</f><v /></c><c r="AC374" s="382"><f>LEFT(AB374,2)</f><v /></c><c r="AD374" s="382"><f>RIGHT(AB374,6)</f><v /></c><c r="AE374" s="382"><f>+(AC374*60+AD374)/(60*60)</f><v /></c><c r="AF374" s="383"><f>+AA374/AE374</f><v /></c><c r="AG374" s="321"><f>+(((Z374-Y374-AA374)/AA374)*100)</f><v /></c><c r="AH374" s="317"><f>AH373</f><v /></c><c r="AI374" s="385"><f>AI373</f><v /></c><c r="AJ374" s="385"><f>AJ373</f><v /></c><c r="AK374" s="379"><f>Z374</f><v /></c><c r="AL374" s="379" t="n"><v>231.4</v></c><c r="AM374" s="388"><f>AM373</f><v /></c><c r="AN374" s="381"><f>AN373</f><v /></c><c r="AO374" s="382"><f>LEFT(AN374,2)</f><v /></c><c r="AP374" s="382"><f>RIGHT(AN374,6)</f><v /></c><c r="AQ374" s="382"><f>+(AO374*60+AP374)/(60*60)</f><v /></c><c r="AR374" s="383"><f>+AM374/AQ374</f><v /></c><c r="AS374" s="321"><f>+(((AL374-AK374-AM374)/AM374)*100)</f><v /></c><c r="AT374" s="389"><f>IF(I374&gt;=1,"NO CONFORME",IF(BK374="SIGDIFERENTES",BC374,BL374))</f><v /></c><c r="AU374" s="372"><f>B374=C374</f><v /></c><c r="AV374" s="372"><f>N374&lt;Y374</f><v /></c><c r="AW374" s="372"><f>Z374&lt;=AK374</f><v /></c><c r="AX374" s="372"><f>IF(I374&gt;=1,"Qcorrecto",IF(AND(AY374="aceptable",AZ374="aceptable",BA374="aceptable"),"Qcorrecto","Qincorrecto"))</f><v /></c><c r="AY374" s="390"><f>IF(AR374&lt;$AH$6,"error",IF(AR374&gt;$AH$6*1.1,"error","aceptable"))</f><v /></c><c r="AZ374" s="390"><f>IF(AF374&lt;$V$6,"error",IF(AF374&gt;$V$6*1.1,"error","aceptable"))</f><v /></c><c r="BA374" s="390"><f>IF(T374&lt;$J$6*0.9,"error",IF(T374&gt;$J$6,"error","aceptable"))</f><v /></c><c r="BB374" s="25"><f>(IF(ABS(U374)&lt;1.05,"CONFORME",IF(ABS(AG374)&lt;1.05,"CONFORME",IF(ABS(AS374)&lt;2.55,"CONFORME","NO CONFORME"))))</f><v /></c><c r="BC374" s="5"><f>(IF(ABS(U374)&gt;2.05,"NO CONFORME",IF(ABS(AG374)&gt;2.05,"NO CONFORME",IF(ABS(AS374)&gt;5.05,"NO CONFORME","CONFORME"))))</f><v /></c><c r="BD374" s="374"><f>SIGN(U374)</f><v /></c><c r="BE374" s="374"><f>SIGN(AG374)</f><v /></c><c r="BF374" s="374"><f>SIGN(AS374)</f><v /></c><c r="BG374" s="374"><f>CONCATENATE(BD374,BE374,BF374)</f><v /></c><c r="BH374" s="374"><f>IF(BG374="111","SI","SD")</f><v /></c><c r="BI374" s="374"><f>IF(BG374="-1-1-1","SI","SD")</f><v /></c><c r="BJ374" s="374"><f>OR(BH374="SI",BI374="SI")</f><v /></c><c r="BK374" s="374"><f>IF(BJ374=FALSE,"SIGDIFERENTES","SIGIGUALES")</f><v /></c><c r="BL374" s="390"><f>IF(BC374="NO CONFORME","NO CONFORME",IF(BB374="CONFORME","CONFORME","NO CONFORME"))</f><v /></c></row><row r="375" ht="15" customHeight="1" thickBot="1"><c r="A375" s="443" t="n"><v>367</v></c><c r="B375" s="375"><f>B374</f><v /></c><c r="C375" s="375"><f>C374</f><v /></c><c r="D375" s="376"><f>D374</f><v /></c><c r="E375" s="377"><f>E374</f><v /></c><c r="F375" s="13" t="n" /><c r="G375" s="300" t="inlineStr"><is><t>PA25517203</t></is></c><c r="H375" s="313"><f>H374</f><v /></c><c r="I375" s="38"><f>I374</f><v /></c><c r="J375" s="314"><f>J374</f><v /></c><c r="K375" s="378"><f>K374</f><v /></c><c r="L375" s="378"><f>L374</f><v /></c><c r="M375" s="379" t="n"><v>109.72</v></c><c r="N375" s="379" t="n"><v>210.15</v></c><c r="O375" s="380"><f>O374</f><v /></c><c r="P375" s="381"><f>P374</f><v /></c><c r="Q375" s="382"><f>LEFT(P375,1)</f><v /></c><c r="R375" s="382"><f>RIGHT(P375,6)</f><v /></c><c r="S375" s="382"><f>+(Q375*60+R375)/(60*60)</f><v /></c><c r="T375" s="383"><f>+O375/S375</f><v /></c><c r="U375" s="384"><f>+(((N375-M375-O375)/O375)*100)</f><v /></c><c r="V375" s="317"><f>V374</f><v /></c><c r="W375" s="385"><f>W374</f><v /></c><c r="X375" s="385"><f>X374</f><v /></c><c r="Y375" s="379" t="n"><v>215.33</v></c><c r="Z375" s="379" t="n"><v>225.32</v></c><c r="AA375" s="386"><f>AA374</f><v /></c><c r="AB375" s="387"><f>AB374</f><v /></c><c r="AC375" s="382"><f>LEFT(AB375,2)</f><v /></c><c r="AD375" s="382"><f>RIGHT(AB375,6)</f><v /></c><c r="AE375" s="382"><f>+(AC375*60+AD375)/(60*60)</f><v /></c><c r="AF375" s="383"><f>+AA375/AE375</f><v /></c><c r="AG375" s="321"><f>+(((Z375-Y375-AA375)/AA375)*100)</f><v /></c><c r="AH375" s="317"><f>AH374</f><v /></c><c r="AI375" s="385"><f>AI374</f><v /></c><c r="AJ375" s="385"><f>AJ374</f><v /></c><c r="AK375" s="379"><f>Z375</f><v /></c><c r="AL375" s="379" t="n"><v>230.4</v></c><c r="AM375" s="388"><f>AM374</f><v /></c><c r="AN375" s="381"><f>AN374</f><v /></c><c r="AO375" s="382"><f>LEFT(AN375,2)</f><v /></c><c r="AP375" s="382"><f>RIGHT(AN375,6)</f><v /></c><c r="AQ375" s="382"><f>+(AO375*60+AP375)/(60*60)</f><v /></c><c r="AR375" s="383"><f>+AM375/AQ375</f><v /></c><c r="AS375" s="321"><f>+(((AL375-AK375-AM375)/AM375)*100)</f><v /></c><c r="AT375" s="389"><f>IF(I375&gt;=1,"NO CONFORME",IF(BK375="SIGDIFERENTES",BC375,BL375))</f><v /></c><c r="AU375" s="372"><f>B375=C375</f><v /></c><c r="AV375" s="372"><f>N375&lt;Y375</f><v /></c><c r="AW375" s="372"><f>Z375&lt;=AK375</f><v /></c><c r="AX375" s="372"><f>IF(I375&gt;=1,"Qcorrecto",IF(AND(AY375="aceptable",AZ375="aceptable",BA375="aceptable"),"Qcorrecto","Qincorrecto"))</f><v /></c><c r="AY375" s="390"><f>IF(AR375&lt;$AH$6,"error",IF(AR375&gt;$AH$6*1.1,"error","aceptable"))</f><v /></c><c r="AZ375" s="390"><f>IF(AF375&lt;$V$6,"error",IF(AF375&gt;$V$6*1.1,"error","aceptable"))</f><v /></c><c r="BA375" s="390"><f>IF(T375&lt;$J$6*0.9,"error",IF(T375&gt;$J$6,"error","aceptable"))</f><v /></c><c r="BB375" s="25"><f>(IF(ABS(U375)&lt;1.05,"CONFORME",IF(ABS(AG375)&lt;1.05,"CONFORME",IF(ABS(AS375)&lt;2.55,"CONFORME","NO CONFORME"))))</f><v /></c><c r="BC375" s="5"><f>(IF(ABS(U375)&gt;2.05,"NO CONFORME",IF(ABS(AG375)&gt;2.05,"NO CONFORME",IF(ABS(AS375)&gt;5.05,"NO CONFORME","CONFORME"))))</f><v /></c><c r="BD375" s="374"><f>SIGN(U375)</f><v /></c><c r="BE375" s="374"><f>SIGN(AG375)</f><v /></c><c r="BF375" s="374"><f>SIGN(AS375)</f><v /></c><c r="BG375" s="374"><f>CONCATENATE(BD375,BE375,BF375)</f><v /></c><c r="BH375" s="374"><f>IF(BG375="111","SI","SD")</f><v /></c><c r="BI375" s="374"><f>IF(BG375="-1-1-1","SI","SD")</f><v /></c><c r="BJ375" s="374"><f>OR(BH375="SI",BI375="SI")</f><v /></c><c r="BK375" s="374"><f>IF(BJ375=FALSE,"SIGDIFERENTES","SIGIGUALES")</f><v /></c><c r="BL375" s="390"><f>IF(BC375="NO CONFORME","NO CONFORME",IF(BB375="CONFORME","CONFORME","NO CONFORME"))</f><v /></c></row><row r="376" ht="15" customHeight="1" thickBot="1"><c r="A376" s="443" t="n"><v>368</v></c><c r="B376" s="375"><f>B375</f><v /></c><c r="C376" s="375"><f>C375</f><v /></c><c r="D376" s="376"><f>D375</f><v /></c><c r="E376" s="377"><f>E375</f><v /></c><c r="F376" s="13" t="n" /><c r="G376" s="300" t="inlineStr"><is><t>PA25517204</t></is></c><c r="H376" s="313"><f>H375</f><v /></c><c r="I376" s="38"><f>I375</f><v /></c><c r="J376" s="314"><f>J375</f><v /></c><c r="K376" s="378"><f>K375</f><v /></c><c r="L376" s="378"><f>L375</f><v /></c><c r="M376" s="379" t="n"><v>109.9</v></c><c r="N376" s="379" t="n"><v>209.9</v></c><c r="O376" s="380"><f>O375</f><v /></c><c r="P376" s="381"><f>P375</f><v /></c><c r="Q376" s="382"><f>LEFT(P376,1)</f><v /></c><c r="R376" s="382"><f>RIGHT(P376,6)</f><v /></c><c r="S376" s="382"><f>+(Q376*60+R376)/(60*60)</f><v /></c><c r="T376" s="383"><f>+O376/S376</f><v /></c><c r="U376" s="384"><f>+(((N376-M376-O376)/O376)*100)</f><v /></c><c r="V376" s="317"><f>V375</f><v /></c><c r="W376" s="385"><f>W375</f><v /></c><c r="X376" s="385"><f>X375</f><v /></c><c r="Y376" s="379" t="n"><v>215.2</v></c><c r="Z376" s="379" t="n"><v>225.15</v></c><c r="AA376" s="386"><f>AA375</f><v /></c><c r="AB376" s="387"><f>AB375</f><v /></c><c r="AC376" s="382"><f>LEFT(AB376,2)</f><v /></c><c r="AD376" s="382"><f>RIGHT(AB376,6)</f><v /></c><c r="AE376" s="382"><f>+(AC376*60+AD376)/(60*60)</f><v /></c><c r="AF376" s="383"><f>+AA376/AE376</f><v /></c><c r="AG376" s="321"><f>+(((Z376-Y376-AA376)/AA376)*100)</f><v /></c><c r="AH376" s="317"><f>AH375</f><v /></c><c r="AI376" s="385"><f>AI375</f><v /></c><c r="AJ376" s="385"><f>AJ375</f><v /></c><c r="AK376" s="379"><f>Z376</f><v /></c><c r="AL376" s="379" t="n"><v>230.22</v></c><c r="AM376" s="388"><f>AM375</f><v /></c><c r="AN376" s="381"><f>AN375</f><v /></c><c r="AO376" s="382"><f>LEFT(AN376,2)</f><v /></c><c r="AP376" s="382"><f>RIGHT(AN376,6)</f><v /></c><c r="AQ376" s="382"><f>+(AO376*60+AP376)/(60*60)</f><v /></c><c r="AR376" s="383"><f>+AM376/AQ376</f><v /></c><c r="AS376" s="321"><f>+(((AL376-AK376-AM376)/AM376)*100)</f><v /></c><c r="AT376" s="389"><f>IF(I376&gt;=1,"NO CONFORME",IF(BK376="SIGDIFERENTES",BC376,BL376))</f><v /></c><c r="AU376" s="372"><f>B376=C376</f><v /></c><c r="AV376" s="372"><f>N376&lt;Y376</f><v /></c><c r="AW376" s="372"><f>Z376&lt;=AK376</f><v /></c><c r="AX376" s="372"><f>IF(I376&gt;=1,"Qcorrecto",IF(AND(AY376="aceptable",AZ376="aceptable",BA376="aceptable"),"Qcorrecto","Qincorrecto"))</f><v /></c><c r="AY376" s="390"><f>IF(AR376&lt;$AH$6,"error",IF(AR376&gt;$AH$6*1.1,"error","aceptable"))</f><v /></c><c r="AZ376" s="390"><f>IF(AF376&lt;$V$6,"error",IF(AF376&gt;$V$6*1.1,"error","aceptable"))</f><v /></c><c r="BA376" s="390"><f>IF(T376&lt;$J$6*0.9,"error",IF(T376&gt;$J$6,"error","aceptable"))</f><v /></c><c r="BB376" s="25"><f>(IF(ABS(U376)&lt;1.05,"CONFORME",IF(ABS(AG376)&lt;1.05,"CONFORME",IF(ABS(AS376)&lt;2.55,"CONFORME","NO CONFORME"))))</f><v /></c><c r="BC376" s="5"><f>(IF(ABS(U376)&gt;2.05,"NO CONFORME",IF(ABS(AG376)&gt;2.05,"NO CONFORME",IF(ABS(AS376)&gt;5.05,"NO CONFORME","CONFORME"))))</f><v /></c><c r="BD376" s="374"><f>SIGN(U376)</f><v /></c><c r="BE376" s="374"><f>SIGN(AG376)</f><v /></c><c r="BF376" s="374"><f>SIGN(AS376)</f><v /></c><c r="BG376" s="374"><f>CONCATENATE(BD376,BE376,BF376)</f><v /></c><c r="BH376" s="374"><f>IF(BG376="111","SI","SD")</f><v /></c><c r="BI376" s="374"><f>IF(BG376="-1-1-1","SI","SD")</f><v /></c><c r="BJ376" s="374"><f>OR(BH376="SI",BI376="SI")</f><v /></c><c r="BK376" s="374"><f>IF(BJ376=FALSE,"SIGDIFERENTES","SIGIGUALES")</f><v /></c><c r="BL376" s="390"><f>IF(BC376="NO CONFORME","NO CONFORME",IF(BB376="CONFORME","CONFORME","NO CONFORME"))</f><v /></c></row><row r="377" ht="15" customHeight="1" thickBot="1"><c r="A377" s="445" t="n"><v>369</v></c><c r="B377" s="392"><f>B376</f><v /></c><c r="C377" s="392"><f>C376</f><v /></c><c r="D377" s="393"><f>D376</f><v /></c><c r="E377" s="394"><f>E376</f><v /></c><c r="F377" s="52" t="n" /><c r="G377" s="337" t="inlineStr"><is><t>PA25517205</t></is></c><c r="H377" s="326"><f>H376</f><v /></c><c r="I377" s="98"><f>I376</f><v /></c><c r="J377" s="327"><f>J376</f><v /></c><c r="K377" s="396"><f>K376</f><v /></c><c r="L377" s="396"><f>L376</f><v /></c><c r="M377" s="397" t="n"><v>110.4</v></c><c r="N377" s="397" t="n"><v>211.1</v></c><c r="O377" s="398"><f>O376</f><v /></c><c r="P377" s="399"><f>P376</f><v /></c><c r="Q377" s="400"><f>LEFT(P377,1)</f><v /></c><c r="R377" s="400"><f>RIGHT(P377,6)</f><v /></c><c r="S377" s="400"><f>+(Q377*60+R377)/(60*60)</f><v /></c><c r="T377" s="401"><f>+O377/S377</f><v /></c><c r="U377" s="402"><f>+(((N377-M377-O377)/O377)*100)</f><v /></c><c r="V377" s="329"><f>V376</f><v /></c><c r="W377" s="403"><f>W376</f><v /></c><c r="X377" s="403"><f>X376</f><v /></c><c r="Y377" s="397" t="n"><v>216.25</v></c><c r="Z377" s="397" t="n"><v>226.28</v></c><c r="AA377" s="404"><f>AA376</f><v /></c><c r="AB377" s="405"><f>AB376</f><v /></c><c r="AC377" s="400"><f>LEFT(AB377,2)</f><v /></c><c r="AD377" s="400"><f>RIGHT(AB377,6)</f><v /></c><c r="AE377" s="400"><f>+(AC377*60+AD377)/(60*60)</f><v /></c><c r="AF377" s="401"><f>+AA377/AE377</f><v /></c><c r="AG377" s="406"><f>+(((Z377-Y377-AA377)/AA377)*100)</f><v /></c><c r="AH377" s="329"><f>AH376</f><v /></c><c r="AI377" s="403"><f>AI376</f><v /></c><c r="AJ377" s="403"><f>AJ376</f><v /></c><c r="AK377" s="397"><f>Z377</f><v /></c><c r="AL377" s="397" t="n"><v>231.32</v></c><c r="AM377" s="407"><f>AM376</f><v /></c><c r="AN377" s="399"><f>AN376</f><v /></c><c r="AO377" s="400"><f>LEFT(AN377,2)</f><v /></c><c r="AP377" s="400"><f>RIGHT(AN377,6)</f><v /></c><c r="AQ377" s="400"><f>+(AO377*60+AP377)/(60*60)</f><v /></c><c r="AR377" s="401"><f>+AM377/AQ377</f><v /></c><c r="AS377" s="406"><f>+(((AL377-AK377-AM377)/AM377)*100)</f><v /></c><c r="AT377" s="408"><f>IF(I377&gt;=1,"NO CONFORME",IF(BK377="SIGDIFERENTES",BC377,BL377))</f><v /></c><c r="AU377" s="409"><f>B377=C377</f><v /></c><c r="AV377" s="409"><f>N377&lt;Y377</f><v /></c><c r="AW377" s="409"><f>Z377&lt;=AK377</f><v /></c><c r="AX377" s="409"><f>IF(I377&gt;=1,"Qcorrecto",IF(AND(AY377="aceptable",AZ377="aceptable",BA377="aceptable"),"Qcorrecto","Qincorrecto"))</f><v /></c><c r="AY377" s="410"><f>IF(AR377&lt;$AH$6,"error",IF(AR377&gt;$AH$6*1.1,"error","aceptable"))</f><v /></c><c r="AZ377" s="410"><f>IF(AF377&lt;$V$6,"error",IF(AF377&gt;$V$6*1.1,"error","aceptable"))</f><v /></c><c r="BA377" s="410"><f>IF(T377&lt;$J$6*0.9,"error",IF(T377&gt;$J$6,"error","aceptable"))</f><v /></c><c r="BB377" s="411"><f>(IF(ABS(U377)&lt;1.05,"CONFORME",IF(ABS(AG377)&lt;1.05,"CONFORME",IF(ABS(AS377)&lt;2.55,"CONFORME","NO CONFORME"))))</f><v /></c><c r="BC377" s="412"><f>(IF(ABS(U377)&gt;2.05,"NO CONFORME",IF(ABS(AG377)&gt;2.05,"NO CONFORME",IF(ABS(AS377)&gt;5.05,"NO CONFORME","CONFORME"))))</f><v /></c><c r="BD377" s="413"><f>SIGN(U377)</f><v /></c><c r="BE377" s="413"><f>SIGN(AG377)</f><v /></c><c r="BF377" s="413"><f>SIGN(AS377)</f><v /></c><c r="BG377" s="413"><f>CONCATENATE(BD377,BE377,BF377)</f><v /></c><c r="BH377" s="413"><f>IF(BG377="111","SI","SD")</f><v /></c><c r="BI377" s="413"><f>IF(BG377="-1-1-1","SI","SD")</f><v /></c><c r="BJ377" s="413"><f>OR(BH377="SI",BI377="SI")</f><v /></c><c r="BK377" s="413"><f>IF(BJ377=FALSE,"SIGDIFERENTES","SIGIGUALES")</f><v /></c><c r="BL377" s="410"><f>IF(BC377="NO CONFORME","NO CONFORME",IF(BB377="CONFORME","CONFORME","NO CONFORME"))</f><v /></c></row><row r="378" ht="15" customHeight="1" thickBot="1"><c r="A378" s="351" t="n"><v>370</v></c><c r="B378" s="352"><f>B377</f><v /></c><c r="C378" s="352"><f>C377</f><v /></c><c r="D378" s="353"><f>D377</f><v /></c><c r="E378" s="354"><f>E377</f><v /></c><c r="F378" s="58" t="n" /><c r="G378" s="300" t="inlineStr"><is><t>PA25517206</t></is></c><c r="H378" s="356"><f>H377</f><v /></c><c r="I378" s="232"><f>I377</f><v /></c><c r="J378" s="357" t="n"><v>21</v></c><c r="K378" s="358" t="n"><v>7.897</v></c><c r="L378" s="358" t="n"><v>0.5570000000000001</v></c><c r="M378" s="359" t="n"><v>113.46</v></c><c r="N378" s="359" t="n"><v>213.16</v></c><c r="O378" s="360" t="n"><v>100.7</v></c><c r="P378" s="361" t="inlineStr"><is><t>2,29,810</t></is></c><c r="Q378" s="362"><f>LEFT(P378,1)</f><v /></c><c r="R378" s="362"><f>RIGHT(P378,6)</f><v /></c><c r="S378" s="362"><f>+(Q378*60+R378)/(60*60)</f><v /></c><c r="T378" s="363"><f>+O378/S378</f><v /></c><c r="U378" s="364"><f>+(((N378-M378-O378)/O378)*100)</f><v /></c><c r="V378" s="365" t="n"><v>21.2</v></c><c r="W378" s="366" t="n"><v>1.509</v></c><c r="X378" s="366" t="n"><v>1.506</v></c><c r="Y378" s="359" t="n"><v>218.95</v></c><c r="Z378" s="359" t="n"><v>228.9</v></c><c r="AA378" s="367" t="n"><v>10.015</v></c><c r="AB378" s="368" t="inlineStr"><is><t>22,21,390</t></is></c><c r="AC378" s="362"><f>LEFT(AB378,2)</f><v /></c><c r="AD378" s="362"><f>RIGHT(AB378,6)</f><v /></c><c r="AE378" s="362"><f>+(AC378*60+AD378)/(60*60)</f><v /></c><c r="AF378" s="363"><f>+AA378/AE378</f><v /></c><c r="AG378" s="369"><f>+(((Z378-Y378-AA378)/AA378)*100)</f><v /></c><c r="AH378" s="365" t="n"><v>21.1</v></c><c r="AI378" s="366" t="n"><v>1.509</v></c><c r="AJ378" s="366" t="n"><v>1.504</v></c><c r="AK378" s="359"><f>Z378</f><v /></c><c r="AL378" s="359" t="n"><v>233.92</v></c><c r="AM378" s="370" t="n"><v>5.015</v></c><c r="AN378" s="361" t="inlineStr"><is><t>18,01,670</t></is></c><c r="AO378" s="362"><f>LEFT(AN378,2)</f><v /></c><c r="AP378" s="362"><f>RIGHT(AN378,6)</f><v /></c><c r="AQ378" s="362"><f>+(AO378*60+AP378)/(60*60)</f><v /></c><c r="AR378" s="363"><f>+AM378/AQ378</f><v /></c><c r="AS378" s="369"><f>+(((AL378-AK378-AM378)/AM378)*100)</f><v /></c><c r="AT378" s="371"><f>IF(I378&gt;=1,"NO CONFORME",IF(BK378="SIGDIFERENTES",BC378,BL378))</f><v /></c><c r="AU378" s="451"><f>B378=C378</f><v /></c><c r="AV378" s="451"><f>N378&lt;Y378</f><v /></c><c r="AW378" s="451"><f>Z378&lt;=AK378</f><v /></c><c r="AX378" s="451"><f>IF(I378&gt;=1,"Qcorrecto",IF(AND(AY378="aceptable",AZ378="aceptable",BA378="aceptable"),"Qcorrecto","Qincorrecto"))</f><v /></c><c r="AY378" s="373"><f>IF(AR378&lt;$AH$6,"error",IF(AR378&gt;$AH$6*1.1,"error","aceptable"))</f><v /></c><c r="AZ378" s="373"><f>IF(AF378&lt;$V$6,"error",IF(AF378&gt;$V$6*1.1,"error","aceptable"))</f><v /></c><c r="BA378" s="373"><f>IF(T378&lt;$J$6*0.9,"error",IF(T378&gt;$J$6,"error","aceptable"))</f><v /></c><c r="BB378" s="25"><f>(IF(ABS(U378)&lt;1.05,"CONFORME",IF(ABS(AG378)&lt;1.05,"CONFORME",IF(ABS(AS378)&lt;2.55,"CONFORME","NO CONFORME"))))</f><v /></c><c r="BC378" s="5"><f>(IF(ABS(U378)&gt;2.05,"NO CONFORME",IF(ABS(AG378)&gt;2.05,"NO CONFORME",IF(ABS(AS378)&gt;5.05,"NO CONFORME","CONFORME"))))</f><v /></c><c r="BD378" s="452"><f>SIGN(U378)</f><v /></c><c r="BE378" s="452"><f>SIGN(AG378)</f><v /></c><c r="BF378" s="452"><f>SIGN(AS378)</f><v /></c><c r="BG378" s="452"><f>CONCATENATE(BD378,BE378,BF378)</f><v /></c><c r="BH378" s="452"><f>IF(BG378="111","SI","SD")</f><v /></c><c r="BI378" s="452"><f>IF(BG378="-1-1-1","SI","SD")</f><v /></c><c r="BJ378" s="452"><f>OR(BH378="SI",BI378="SI")</f><v /></c><c r="BK378" s="452"><f>IF(BJ378=FALSE,"SIGDIFERENTES","SIGIGUALES")</f><v /></c><c r="BL378" s="373"><f>IF(BC378="NO CONFORME","NO CONFORME",IF(BB378="CONFORME","CONFORME","NO CONFORME"))</f><v /></c></row><row r="379" ht="15" customHeight="1" thickBot="1"><c r="A379" s="351" t="n"><v>371</v></c><c r="B379" s="352"><f>B378</f><v /></c><c r="C379" s="352"><f>C378</f><v /></c><c r="D379" s="353"><f>D378</f><v /></c><c r="E379" s="354"><f>E378</f><v /></c><c r="F379" s="58" t="n" /><c r="G379" s="300" t="inlineStr"><is><t>PA25517207</t></is></c><c r="H379" s="356"><f>H378</f><v /></c><c r="I379" s="232"><f>I378</f><v /></c><c r="J379" s="357"><f>J378</f><v /></c><c r="K379" s="358"><f>K378</f><v /></c><c r="L379" s="358"><f>L378</f><v /></c><c r="M379" s="359" t="n"><v>114.1</v></c><c r="N379" s="359" t="n"><v>214.11</v></c><c r="O379" s="360"><f>O378</f><v /></c><c r="P379" s="361"><f>P378</f><v /></c><c r="Q379" s="362"><f>LEFT(P379,1)</f><v /></c><c r="R379" s="362"><f>RIGHT(P379,6)</f><v /></c><c r="S379" s="362"><f>+(Q379*60+R379)/(60*60)</f><v /></c><c r="T379" s="363"><f>+O379/S379</f><v /></c><c r="U379" s="364"><f>+(((N379-M379-O379)/O379)*100)</f><v /></c><c r="V379" s="365"><f>V378</f><v /></c><c r="W379" s="366"><f>W378</f><v /></c><c r="X379" s="366"><f>X378</f><v /></c><c r="Y379" s="359" t="n"><v>219.87</v></c><c r="Z379" s="359" t="n"><v>229.82</v></c><c r="AA379" s="367"><f>AA378</f><v /></c><c r="AB379" s="368"><f>AB378</f><v /></c><c r="AC379" s="362"><f>LEFT(AB379,2)</f><v /></c><c r="AD379" s="362"><f>RIGHT(AB379,6)</f><v /></c><c r="AE379" s="362"><f>+(AC379*60+AD379)/(60*60)</f><v /></c><c r="AF379" s="363"><f>+AA379/AE379</f><v /></c><c r="AG379" s="369"><f>+(((Z379-Y379-AA379)/AA379)*100)</f><v /></c><c r="AH379" s="365"><f>AH378</f><v /></c><c r="AI379" s="366"><f>AI378</f><v /></c><c r="AJ379" s="366"><f>AJ378</f><v /></c><c r="AK379" s="359"><f>Z379</f><v /></c><c r="AL379" s="359" t="n"><v>234.85</v></c><c r="AM379" s="370"><f>AM378</f><v /></c><c r="AN379" s="361"><f>AN378</f><v /></c><c r="AO379" s="362"><f>LEFT(AN379,2)</f><v /></c><c r="AP379" s="362"><f>RIGHT(AN379,6)</f><v /></c><c r="AQ379" s="362"><f>+(AO379*60+AP379)/(60*60)</f><v /></c><c r="AR379" s="363"><f>+AM379/AQ379</f><v /></c><c r="AS379" s="369"><f>+(((AL379-AK379-AM379)/AM379)*100)</f><v /></c><c r="AT379" s="371"><f>IF(I379&gt;=1,"NO CONFORME",IF(BK379="SIGDIFERENTES",BC379,BL379))</f><v /></c><c r="AU379" s="372"><f>B379=C379</f><v /></c><c r="AV379" s="372"><f>N379&lt;Y379</f><v /></c><c r="AW379" s="372"><f>Z379&lt;=AK379</f><v /></c><c r="AX379" s="372"><f>IF(I379&gt;=1,"Qcorrecto",IF(AND(AY379="aceptable",AZ379="aceptable",BA379="aceptable"),"Qcorrecto","Qincorrecto"))</f><v /></c><c r="AY379" s="373"><f>IF(AR379&lt;$AH$6,"error",IF(AR379&gt;$AH$6*1.1,"error","aceptable"))</f><v /></c><c r="AZ379" s="373"><f>IF(AF379&lt;$V$6,"error",IF(AF379&gt;$V$6*1.1,"error","aceptable"))</f><v /></c><c r="BA379" s="373"><f>IF(T379&lt;$J$6*0.9,"error",IF(T379&gt;$J$6,"error","aceptable"))</f><v /></c><c r="BB379" s="25"><f>(IF(ABS(U379)&lt;1.05,"CONFORME",IF(ABS(AG379)&lt;1.05,"CONFORME",IF(ABS(AS379)&lt;2.55,"CONFORME","NO CONFORME"))))</f><v /></c><c r="BC379" s="5"><f>(IF(ABS(U379)&gt;2.05,"NO CONFORME",IF(ABS(AG379)&gt;2.05,"NO CONFORME",IF(ABS(AS379)&gt;5.05,"NO CONFORME","CONFORME"))))</f><v /></c><c r="BD379" s="374"><f>SIGN(U379)</f><v /></c><c r="BE379" s="374"><f>SIGN(AG379)</f><v /></c><c r="BF379" s="374"><f>SIGN(AS379)</f><v /></c><c r="BG379" s="374"><f>CONCATENATE(BD379,BE379,BF379)</f><v /></c><c r="BH379" s="374"><f>IF(BG379="111","SI","SD")</f><v /></c><c r="BI379" s="374"><f>IF(BG379="-1-1-1","SI","SD")</f><v /></c><c r="BJ379" s="374"><f>OR(BH379="SI",BI379="SI")</f><v /></c><c r="BK379" s="374"><f>IF(BJ379=FALSE,"SIGDIFERENTES","SIGIGUALES")</f><v /></c><c r="BL379" s="373"><f>IF(BC379="NO CONFORME","NO CONFORME",IF(BB379="CONFORME","CONFORME","NO CONFORME"))</f><v /></c></row><row r="380" ht="15.75" customHeight="1" thickBot="1"><c r="A380" s="443" t="n"><v>372</v></c><c r="B380" s="375"><f>B379</f><v /></c><c r="C380" s="375"><f>C379</f><v /></c><c r="D380" s="376"><f>D379</f><v /></c><c r="E380" s="377"><f>E379</f><v /></c><c r="F380" s="13" t="n" /><c r="G380" s="300" t="inlineStr"><is><t>PA25517208</t></is></c><c r="H380" s="313"><f>H379</f><v /></c><c r="I380" s="38"><f>I379</f><v /></c><c r="J380" s="314"><f>J379</f><v /></c><c r="K380" s="378"><f>K379</f><v /></c><c r="L380" s="378"><f>L379</f><v /></c><c r="M380" s="379" t="n"><v>117.12</v></c><c r="N380" s="379" t="n"><v>218.15</v></c><c r="O380" s="380"><f>O379</f><v /></c><c r="P380" s="381"><f>P379</f><v /></c><c r="Q380" s="382"><f>LEFT(P380,1)</f><v /></c><c r="R380" s="382"><f>RIGHT(P380,6)</f><v /></c><c r="S380" s="382"><f>+(Q380*60+R380)/(60*60)</f><v /></c><c r="T380" s="383"><f>+O380/S380</f><v /></c><c r="U380" s="384"><f>+(((N380-M380-O380)/O380)*100)</f><v /></c><c r="V380" s="317"><f>V379</f><v /></c><c r="W380" s="385"><f>W379</f><v /></c><c r="X380" s="385"><f>X379</f><v /></c><c r="Y380" s="379" t="n"><v>223.95</v></c><c r="Z380" s="379" t="n"><v>233.95</v></c><c r="AA380" s="386"><f>AA379</f><v /></c><c r="AB380" s="387"><f>AB379</f><v /></c><c r="AC380" s="382"><f>LEFT(AB380,2)</f><v /></c><c r="AD380" s="382"><f>RIGHT(AB380,6)</f><v /></c><c r="AE380" s="382"><f>+(AC380*60+AD380)/(60*60)</f><v /></c><c r="AF380" s="383"><f>+AA380/AE380</f><v /></c><c r="AG380" s="321"><f>+(((Z380-Y380-AA380)/AA380)*100)</f><v /></c><c r="AH380" s="317"><f>AH379</f><v /></c><c r="AI380" s="385"><f>AI379</f><v /></c><c r="AJ380" s="385"><f>AJ379</f><v /></c><c r="AK380" s="379"><f>Z380</f><v /></c><c r="AL380" s="379" t="n"><v>239</v></c><c r="AM380" s="388"><f>AM379</f><v /></c><c r="AN380" s="381"><f>AN379</f><v /></c><c r="AO380" s="382"><f>LEFT(AN380,2)</f><v /></c><c r="AP380" s="382"><f>RIGHT(AN380,6)</f><v /></c><c r="AQ380" s="382"><f>+(AO380*60+AP380)/(60*60)</f><v /></c><c r="AR380" s="383"><f>+AM380/AQ380</f><v /></c><c r="AS380" s="321"><f>+(((AL380-AK380-AM380)/AM380)*100)</f><v /></c><c r="AT380" s="389"><f>IF(I380&gt;=1,"NO CONFORME",IF(BK380="SIGDIFERENTES",BC380,BL380))</f><v /></c><c r="AU380" s="372"><f>B380=C380</f><v /></c><c r="AV380" s="372"><f>N380&lt;Y380</f><v /></c><c r="AW380" s="372"><f>Z380&lt;=AK380</f><v /></c><c r="AX380" s="372"><f>IF(I380&gt;=1,"Qcorrecto",IF(AND(AY380="aceptable",AZ380="aceptable",BA380="aceptable"),"Qcorrecto","Qincorrecto"))</f><v /></c><c r="AY380" s="390"><f>IF(AR380&lt;$AH$6,"error",IF(AR380&gt;$AH$6*1.1,"error","aceptable"))</f><v /></c><c r="AZ380" s="390"><f>IF(AF380&lt;$V$6,"error",IF(AF380&gt;$V$6*1.1,"error","aceptable"))</f><v /></c><c r="BA380" s="390"><f>IF(T380&lt;$J$6*0.9,"error",IF(T380&gt;$J$6,"error","aceptable"))</f><v /></c><c r="BB380" s="25"><f>(IF(ABS(U380)&lt;1.05,"CONFORME",IF(ABS(AG380)&lt;1.05,"CONFORME",IF(ABS(AS380)&lt;2.55,"CONFORME","NO CONFORME"))))</f><v /></c><c r="BC380" s="5"><f>(IF(ABS(U380)&gt;2.05,"NO CONFORME",IF(ABS(AG380)&gt;2.05,"NO CONFORME",IF(ABS(AS380)&gt;5.05,"NO CONFORME","CONFORME"))))</f><v /></c><c r="BD380" s="374"><f>SIGN(U380)</f><v /></c><c r="BE380" s="374"><f>SIGN(AG380)</f><v /></c><c r="BF380" s="374"><f>SIGN(AS380)</f><v /></c><c r="BG380" s="374"><f>CONCATENATE(BD380,BE380,BF380)</f><v /></c><c r="BH380" s="374"><f>IF(BG380="111","SI","SD")</f><v /></c><c r="BI380" s="374"><f>IF(BG380="-1-1-1","SI","SD")</f><v /></c><c r="BJ380" s="374"><f>OR(BH380="SI",BI380="SI")</f><v /></c><c r="BK380" s="374"><f>IF(BJ380=FALSE,"SIGDIFERENTES","SIGIGUALES")</f><v /></c><c r="BL380" s="390"><f>IF(BC380="NO CONFORME","NO CONFORME",IF(BB380="CONFORME","CONFORME","NO CONFORME"))</f><v /></c></row><row r="381" ht="14.4" customHeight="1" thickBot="1"><c r="A381" s="443" t="n"><v>373</v></c><c r="B381" s="375"><f>B380</f><v /></c><c r="C381" s="375"><f>C380</f><v /></c><c r="D381" s="376"><f>D380</f><v /></c><c r="E381" s="377"><f>E380</f><v /></c><c r="F381" s="13" t="n" /><c r="G381" s="300" t="inlineStr"><is><t>PA25517209</t></is></c><c r="H381" s="313"><f>H380</f><v /></c><c r="I381" s="38"><f>I380</f><v /></c><c r="J381" s="314"><f>J380</f><v /></c><c r="K381" s="378"><f>K380</f><v /></c><c r="L381" s="378"><f>L380</f><v /></c><c r="M381" s="379" t="n"><v>117.65</v></c><c r="N381" s="379" t="n"><v>218.6</v></c><c r="O381" s="380"><f>O380</f><v /></c><c r="P381" s="381"><f>P380</f><v /></c><c r="Q381" s="382"><f>LEFT(P381,1)</f><v /></c><c r="R381" s="382"><f>RIGHT(P381,6)</f><v /></c><c r="S381" s="382"><f>+(Q381*60+R381)/(60*60)</f><v /></c><c r="T381" s="383"><f>+O381/S381</f><v /></c><c r="U381" s="384"><f>+(((N381-M381-O381)/O381)*100)</f><v /></c><c r="V381" s="317"><f>V380</f><v /></c><c r="W381" s="385"><f>W380</f><v /></c><c r="X381" s="385"><f>X380</f><v /></c><c r="Y381" s="379" t="n"><v>224.43</v></c><c r="Z381" s="379" t="n"><v>234.48</v></c><c r="AA381" s="386"><f>AA380</f><v /></c><c r="AB381" s="387"><f>AB380</f><v /></c><c r="AC381" s="382"><f>LEFT(AB381,2)</f><v /></c><c r="AD381" s="382"><f>RIGHT(AB381,6)</f><v /></c><c r="AE381" s="382"><f>+(AC381*60+AD381)/(60*60)</f><v /></c><c r="AF381" s="383"><f>+AA381/AE381</f><v /></c><c r="AG381" s="321"><f>+(((Z381-Y381-AA381)/AA381)*100)</f><v /></c><c r="AH381" s="317"><f>AH380</f><v /></c><c r="AI381" s="385"><f>AI380</f><v /></c><c r="AJ381" s="385"><f>AJ380</f><v /></c><c r="AK381" s="379"><f>Z381</f><v /></c><c r="AL381" s="379" t="n"><v>239.52</v></c><c r="AM381" s="388"><f>AM380</f><v /></c><c r="AN381" s="381"><f>AN380</f><v /></c><c r="AO381" s="382"><f>LEFT(AN381,2)</f><v /></c><c r="AP381" s="382"><f>RIGHT(AN381,6)</f><v /></c><c r="AQ381" s="382"><f>+(AO381*60+AP381)/(60*60)</f><v /></c><c r="AR381" s="383"><f>+AM381/AQ381</f><v /></c><c r="AS381" s="321"><f>+(((AL381-AK381-AM381)/AM381)*100)</f><v /></c><c r="AT381" s="389"><f>IF(I381&gt;=1,"NO CONFORME",IF(BK381="SIGDIFERENTES",BC381,BL381))</f><v /></c><c r="AU381" s="372"><f>B381=C381</f><v /></c><c r="AV381" s="372"><f>N381&lt;Y381</f><v /></c><c r="AW381" s="372"><f>Z381&lt;=AK381</f><v /></c><c r="AX381" s="372"><f>IF(I381&gt;=1,"Qcorrecto",IF(AND(AY381="aceptable",AZ381="aceptable",BA381="aceptable"),"Qcorrecto","Qincorrecto"))</f><v /></c><c r="AY381" s="390"><f>IF(AR381&lt;$AH$6,"error",IF(AR381&gt;$AH$6*1.1,"error","aceptable"))</f><v /></c><c r="AZ381" s="390"><f>IF(AF381&lt;$V$6,"error",IF(AF381&gt;$V$6*1.1,"error","aceptable"))</f><v /></c><c r="BA381" s="390"><f>IF(T381&lt;$J$6*0.9,"error",IF(T381&gt;$J$6,"error","aceptable"))</f><v /></c><c r="BB381" s="25"><f>(IF(ABS(U381)&lt;1.05,"CONFORME",IF(ABS(AG381)&lt;1.05,"CONFORME",IF(ABS(AS381)&lt;2.55,"CONFORME","NO CONFORME"))))</f><v /></c><c r="BC381" s="5"><f>(IF(ABS(U381)&gt;2.05,"NO CONFORME",IF(ABS(AG381)&gt;2.05,"NO CONFORME",IF(ABS(AS381)&gt;5.05,"NO CONFORME","CONFORME"))))</f><v /></c><c r="BD381" s="374"><f>SIGN(U381)</f><v /></c><c r="BE381" s="374"><f>SIGN(AG381)</f><v /></c><c r="BF381" s="374"><f>SIGN(AS381)</f><v /></c><c r="BG381" s="374"><f>CONCATENATE(BD381,BE381,BF381)</f><v /></c><c r="BH381" s="374"><f>IF(BG381="111","SI","SD")</f><v /></c><c r="BI381" s="374"><f>IF(BG381="-1-1-1","SI","SD")</f><v /></c><c r="BJ381" s="374"><f>OR(BH381="SI",BI381="SI")</f><v /></c><c r="BK381" s="374"><f>IF(BJ381=FALSE,"SIGDIFERENTES","SIGIGUALES")</f><v /></c><c r="BL381" s="390"><f>IF(BC381="NO CONFORME","NO CONFORME",IF(BB381="CONFORME","CONFORME","NO CONFORME"))</f><v /></c></row><row r="382" ht="14.4" customHeight="1" thickBot="1"><c r="A382" s="443" t="n"><v>374</v></c><c r="B382" s="375"><f>B381</f><v /></c><c r="C382" s="375"><f>C381</f><v /></c><c r="D382" s="376"><f>D381</f><v /></c><c r="E382" s="377"><f>E381</f><v /></c><c r="F382" s="13" t="n" /><c r="G382" s="300" t="inlineStr"><is><t>PA25517210</t></is></c><c r="H382" s="313"><f>H381</f><v /></c><c r="I382" s="38"><f>I381</f><v /></c><c r="J382" s="314"><f>J381</f><v /></c><c r="K382" s="378"><f>K381</f><v /></c><c r="L382" s="378"><f>L381</f><v /></c><c r="M382" s="379" t="n"><v>116.4</v></c><c r="N382" s="379" t="n"><v>216.5</v></c><c r="O382" s="380"><f>O381</f><v /></c><c r="P382" s="381"><f>P381</f><v /></c><c r="Q382" s="382"><f>LEFT(P382,1)</f><v /></c><c r="R382" s="382"><f>RIGHT(P382,6)</f><v /></c><c r="S382" s="382"><f>+(Q382*60+R382)/(60*60)</f><v /></c><c r="T382" s="383"><f>+O382/S382</f><v /></c><c r="U382" s="384"><f>+(((N382-M382-O382)/O382)*100)</f><v /></c><c r="V382" s="317"><f>V381</f><v /></c><c r="W382" s="385"><f>W381</f><v /></c><c r="X382" s="385"><f>X381</f><v /></c><c r="Y382" s="379" t="n"><v>222.3</v></c><c r="Z382" s="379" t="n"><v>232.27</v></c><c r="AA382" s="386"><f>AA381</f><v /></c><c r="AB382" s="387"><f>AB381</f><v /></c><c r="AC382" s="382"><f>LEFT(AB382,2)</f><v /></c><c r="AD382" s="382"><f>RIGHT(AB382,6)</f><v /></c><c r="AE382" s="382"><f>+(AC382*60+AD382)/(60*60)</f><v /></c><c r="AF382" s="383"><f>+AA382/AE382</f><v /></c><c r="AG382" s="321"><f>+(((Z382-Y382-AA382)/AA382)*100)</f><v /></c><c r="AH382" s="317"><f>AH381</f><v /></c><c r="AI382" s="385"><f>AI381</f><v /></c><c r="AJ382" s="385"><f>AJ381</f><v /></c><c r="AK382" s="379"><f>Z382</f><v /></c><c r="AL382" s="379" t="n"><v>237.34</v></c><c r="AM382" s="388"><f>AM381</f><v /></c><c r="AN382" s="381"><f>AN381</f><v /></c><c r="AO382" s="382"><f>LEFT(AN382,2)</f><v /></c><c r="AP382" s="382"><f>RIGHT(AN382,6)</f><v /></c><c r="AQ382" s="382"><f>+(AO382*60+AP382)/(60*60)</f><v /></c><c r="AR382" s="383"><f>+AM382/AQ382</f><v /></c><c r="AS382" s="321"><f>+(((AL382-AK382-AM382)/AM382)*100)</f><v /></c><c r="AT382" s="389"><f>IF(I382&gt;=1,"NO CONFORME",IF(BK382="SIGDIFERENTES",BC382,BL382))</f><v /></c><c r="AU382" s="372"><f>B382=C382</f><v /></c><c r="AV382" s="372"><f>N382&lt;Y382</f><v /></c><c r="AW382" s="372"><f>Z382&lt;=AK382</f><v /></c><c r="AX382" s="372"><f>IF(I382&gt;=1,"Qcorrecto",IF(AND(AY382="aceptable",AZ382="aceptable",BA382="aceptable"),"Qcorrecto","Qincorrecto"))</f><v /></c><c r="AY382" s="390"><f>IF(AR382&lt;$AH$6,"error",IF(AR382&gt;$AH$6*1.1,"error","aceptable"))</f><v /></c><c r="AZ382" s="390"><f>IF(AF382&lt;$V$6,"error",IF(AF382&gt;$V$6*1.1,"error","aceptable"))</f><v /></c><c r="BA382" s="390"><f>IF(T382&lt;$J$6*0.9,"error",IF(T382&gt;$J$6,"error","aceptable"))</f><v /></c><c r="BB382" s="25"><f>(IF(ABS(U382)&lt;1.05,"CONFORME",IF(ABS(AG382)&lt;1.05,"CONFORME",IF(ABS(AS382)&lt;2.55,"CONFORME","NO CONFORME"))))</f><v /></c><c r="BC382" s="5"><f>(IF(ABS(U382)&gt;2.05,"NO CONFORME",IF(ABS(AG382)&gt;2.05,"NO CONFORME",IF(ABS(AS382)&gt;5.05,"NO CONFORME","CONFORME"))))</f><v /></c><c r="BD382" s="374"><f>SIGN(U382)</f><v /></c><c r="BE382" s="374"><f>SIGN(AG382)</f><v /></c><c r="BF382" s="374"><f>SIGN(AS382)</f><v /></c><c r="BG382" s="374"><f>CONCATENATE(BD382,BE382,BF382)</f><v /></c><c r="BH382" s="374"><f>IF(BG382="111","SI","SD")</f><v /></c><c r="BI382" s="374"><f>IF(BG382="-1-1-1","SI","SD")</f><v /></c><c r="BJ382" s="374"><f>OR(BH382="SI",BI382="SI")</f><v /></c><c r="BK382" s="374"><f>IF(BJ382=FALSE,"SIGDIFERENTES","SIGIGUALES")</f><v /></c><c r="BL382" s="390"><f>IF(BC382="NO CONFORME","NO CONFORME",IF(BB382="CONFORME","CONFORME","NO CONFORME"))</f><v /></c></row><row r="383" ht="14.4" customHeight="1" thickBot="1"><c r="A383" s="443" t="n"><v>375</v></c><c r="B383" s="375"><f>B382</f><v /></c><c r="C383" s="375"><f>C382</f><v /></c><c r="D383" s="376"><f>D382</f><v /></c><c r="E383" s="377"><f>E382</f><v /></c><c r="F383" s="13" t="n" /><c r="G383" s="300" t="inlineStr"><is><t>PA25517211</t></is></c><c r="H383" s="313"><f>H382</f><v /></c><c r="I383" s="38"><f>I382</f><v /></c><c r="J383" s="314"><f>J382</f><v /></c><c r="K383" s="378"><f>K382</f><v /></c><c r="L383" s="378"><f>L382</f><v /></c><c r="M383" s="379" t="n"><v>116.2</v></c><c r="N383" s="379" t="n"><v>216.7</v></c><c r="O383" s="380"><f>O382</f><v /></c><c r="P383" s="381"><f>P382</f><v /></c><c r="Q383" s="382"><f>LEFT(P383,1)</f><v /></c><c r="R383" s="382"><f>RIGHT(P383,6)</f><v /></c><c r="S383" s="382"><f>+(Q383*60+R383)/(60*60)</f><v /></c><c r="T383" s="383"><f>+O383/S383</f><v /></c><c r="U383" s="384"><f>+(((N383-M383-O383)/O383)*100)</f><v /></c><c r="V383" s="317"><f>V382</f><v /></c><c r="W383" s="385"><f>W382</f><v /></c><c r="X383" s="385"><f>X382</f><v /></c><c r="Y383" s="379" t="n"><v>222.51</v></c><c r="Z383" s="379" t="n"><v>232.54</v></c><c r="AA383" s="386"><f>AA382</f><v /></c><c r="AB383" s="387"><f>AB382</f><v /></c><c r="AC383" s="382"><f>LEFT(AB383,2)</f><v /></c><c r="AD383" s="382"><f>RIGHT(AB383,6)</f><v /></c><c r="AE383" s="382"><f>+(AC383*60+AD383)/(60*60)</f><v /></c><c r="AF383" s="383"><f>+AA383/AE383</f><v /></c><c r="AG383" s="321"><f>+(((Z383-Y383-AA383)/AA383)*100)</f><v /></c><c r="AH383" s="317"><f>AH382</f><v /></c><c r="AI383" s="385"><f>AI382</f><v /></c><c r="AJ383" s="385"><f>AJ382</f><v /></c><c r="AK383" s="379"><f>Z383</f><v /></c><c r="AL383" s="379" t="n"><v>237.62</v></c><c r="AM383" s="388"><f>AM382</f><v /></c><c r="AN383" s="381"><f>AN382</f><v /></c><c r="AO383" s="382"><f>LEFT(AN383,2)</f><v /></c><c r="AP383" s="382"><f>RIGHT(AN383,6)</f><v /></c><c r="AQ383" s="382"><f>+(AO383*60+AP383)/(60*60)</f><v /></c><c r="AR383" s="383"><f>+AM383/AQ383</f><v /></c><c r="AS383" s="321"><f>+(((AL383-AK383-AM383)/AM383)*100)</f><v /></c><c r="AT383" s="389"><f>IF(I383&gt;=1,"NO CONFORME",IF(BK383="SIGDIFERENTES",BC383,BL383))</f><v /></c><c r="AU383" s="372"><f>B383=C383</f><v /></c><c r="AV383" s="372"><f>N383&lt;Y383</f><v /></c><c r="AW383" s="372"><f>Z383&lt;=AK383</f><v /></c><c r="AX383" s="372"><f>IF(I383&gt;=1,"Qcorrecto",IF(AND(AY383="aceptable",AZ383="aceptable",BA383="aceptable"),"Qcorrecto","Qincorrecto"))</f><v /></c><c r="AY383" s="390"><f>IF(AR383&lt;$AH$6,"error",IF(AR383&gt;$AH$6*1.1,"error","aceptable"))</f><v /></c><c r="AZ383" s="390"><f>IF(AF383&lt;$V$6,"error",IF(AF383&gt;$V$6*1.1,"error","aceptable"))</f><v /></c><c r="BA383" s="390"><f>IF(T383&lt;$J$6*0.9,"error",IF(T383&gt;$J$6,"error","aceptable"))</f><v /></c><c r="BB383" s="25"><f>(IF(ABS(U383)&lt;1.05,"CONFORME",IF(ABS(AG383)&lt;1.05,"CONFORME",IF(ABS(AS383)&lt;2.55,"CONFORME","NO CONFORME"))))</f><v /></c><c r="BC383" s="5"><f>(IF(ABS(U383)&gt;2.05,"NO CONFORME",IF(ABS(AG383)&gt;2.05,"NO CONFORME",IF(ABS(AS383)&gt;5.05,"NO CONFORME","CONFORME"))))</f><v /></c><c r="BD383" s="374"><f>SIGN(U383)</f><v /></c><c r="BE383" s="374"><f>SIGN(AG383)</f><v /></c><c r="BF383" s="374"><f>SIGN(AS383)</f><v /></c><c r="BG383" s="374"><f>CONCATENATE(BD383,BE383,BF383)</f><v /></c><c r="BH383" s="374"><f>IF(BG383="111","SI","SD")</f><v /></c><c r="BI383" s="374"><f>IF(BG383="-1-1-1","SI","SD")</f><v /></c><c r="BJ383" s="374"><f>OR(BH383="SI",BI383="SI")</f><v /></c><c r="BK383" s="374"><f>IF(BJ383=FALSE,"SIGDIFERENTES","SIGIGUALES")</f><v /></c><c r="BL383" s="390"><f>IF(BC383="NO CONFORME","NO CONFORME",IF(BB383="CONFORME","CONFORME","NO CONFORME"))</f><v /></c></row><row r="384" ht="14.4" customHeight="1" thickBot="1"><c r="A384" s="443" t="n"><v>376</v></c><c r="B384" s="375"><f>B383</f><v /></c><c r="C384" s="375"><f>C383</f><v /></c><c r="D384" s="376"><f>D383</f><v /></c><c r="E384" s="377"><f>E383</f><v /></c><c r="F384" s="13" t="n" /><c r="G384" s="300" t="inlineStr"><is><t>PA25517212</t></is></c><c r="H384" s="313"><f>H383</f><v /></c><c r="I384" s="38"><f>I383</f><v /></c><c r="J384" s="314"><f>J383</f><v /></c><c r="K384" s="378"><f>K383</f><v /></c><c r="L384" s="378"><f>L383</f><v /></c><c r="M384" s="379" t="n"><v>112.06</v></c><c r="N384" s="379" t="n"><v>211.35</v></c><c r="O384" s="380"><f>O383</f><v /></c><c r="P384" s="381"><f>P383</f><v /></c><c r="Q384" s="382"><f>LEFT(P384,1)</f><v /></c><c r="R384" s="382"><f>RIGHT(P384,6)</f><v /></c><c r="S384" s="382"><f>+(Q384*60+R384)/(60*60)</f><v /></c><c r="T384" s="383"><f>+O384/S384</f><v /></c><c r="U384" s="384"><f>+(((N384-M384-O384)/O384)*100)</f><v /></c><c r="V384" s="317"><f>V383</f><v /></c><c r="W384" s="385"><f>W383</f><v /></c><c r="X384" s="385"><f>X383</f><v /></c><c r="Y384" s="379" t="n"><v>217.1</v></c><c r="Z384" s="379" t="n"><v>226.97</v></c><c r="AA384" s="386"><f>AA383</f><v /></c><c r="AB384" s="387"><f>AB383</f><v /></c><c r="AC384" s="382"><f>LEFT(AB384,2)</f><v /></c><c r="AD384" s="382"><f>RIGHT(AB384,6)</f><v /></c><c r="AE384" s="382"><f>+(AC384*60+AD384)/(60*60)</f><v /></c><c r="AF384" s="383"><f>+AA384/AE384</f><v /></c><c r="AG384" s="321"><f>+(((Z384-Y384-AA384)/AA384)*100)</f><v /></c><c r="AH384" s="317"><f>AH383</f><v /></c><c r="AI384" s="385"><f>AI383</f><v /></c><c r="AJ384" s="385"><f>AJ383</f><v /></c><c r="AK384" s="379"><f>Z384</f><v /></c><c r="AL384" s="379" t="n"><v>231.95</v></c><c r="AM384" s="388"><f>AM383</f><v /></c><c r="AN384" s="381"><f>AN383</f><v /></c><c r="AO384" s="382"><f>LEFT(AN384,2)</f><v /></c><c r="AP384" s="382"><f>RIGHT(AN384,6)</f><v /></c><c r="AQ384" s="382"><f>+(AO384*60+AP384)/(60*60)</f><v /></c><c r="AR384" s="383"><f>+AM384/AQ384</f><v /></c><c r="AS384" s="321"><f>+(((AL384-AK384-AM384)/AM384)*100)</f><v /></c><c r="AT384" s="389"><f>IF(I384&gt;=1,"NO CONFORME",IF(BK384="SIGDIFERENTES",BC384,BL384))</f><v /></c><c r="AU384" s="372"><f>B384=C384</f><v /></c><c r="AV384" s="372"><f>N384&lt;Y384</f><v /></c><c r="AW384" s="372"><f>Z384&lt;=AK384</f><v /></c><c r="AX384" s="372"><f>IF(I384&gt;=1,"Qcorrecto",IF(AND(AY384="aceptable",AZ384="aceptable",BA384="aceptable"),"Qcorrecto","Qincorrecto"))</f><v /></c><c r="AY384" s="390"><f>IF(AR384&lt;$AH$6,"error",IF(AR384&gt;$AH$6*1.1,"error","aceptable"))</f><v /></c><c r="AZ384" s="390"><f>IF(AF384&lt;$V$6,"error",IF(AF384&gt;$V$6*1.1,"error","aceptable"))</f><v /></c><c r="BA384" s="390"><f>IF(T384&lt;$J$6*0.9,"error",IF(T384&gt;$J$6,"error","aceptable"))</f><v /></c><c r="BB384" s="25"><f>(IF(ABS(U384)&lt;1.05,"CONFORME",IF(ABS(AG384)&lt;1.05,"CONFORME",IF(ABS(AS384)&lt;2.55,"CONFORME","NO CONFORME"))))</f><v /></c><c r="BC384" s="5"><f>(IF(ABS(U384)&gt;2.05,"NO CONFORME",IF(ABS(AG384)&gt;2.05,"NO CONFORME",IF(ABS(AS384)&gt;5.05,"NO CONFORME","CONFORME"))))</f><v /></c><c r="BD384" s="374"><f>SIGN(U384)</f><v /></c><c r="BE384" s="374"><f>SIGN(AG384)</f><v /></c><c r="BF384" s="374"><f>SIGN(AS384)</f><v /></c><c r="BG384" s="374"><f>CONCATENATE(BD384,BE384,BF384)</f><v /></c><c r="BH384" s="374"><f>IF(BG384="111","SI","SD")</f><v /></c><c r="BI384" s="374"><f>IF(BG384="-1-1-1","SI","SD")</f><v /></c><c r="BJ384" s="374"><f>OR(BH384="SI",BI384="SI")</f><v /></c><c r="BK384" s="374"><f>IF(BJ384=FALSE,"SIGDIFERENTES","SIGIGUALES")</f><v /></c><c r="BL384" s="390"><f>IF(BC384="NO CONFORME","NO CONFORME",IF(BB384="CONFORME","CONFORME","NO CONFORME"))</f><v /></c></row><row r="385" ht="14.4" customHeight="1" thickBot="1"><c r="A385" s="443" t="n"><v>377</v></c><c r="B385" s="375"><f>B384</f><v /></c><c r="C385" s="375"><f>C384</f><v /></c><c r="D385" s="376"><f>D384</f><v /></c><c r="E385" s="377"><f>E384</f><v /></c><c r="F385" s="13" t="n" /><c r="G385" s="300" t="inlineStr"><is><t>PA25517213</t></is></c><c r="H385" s="313"><f>H384</f><v /></c><c r="I385" s="38"><f>I384</f><v /></c><c r="J385" s="314"><f>J384</f><v /></c><c r="K385" s="378"><f>K384</f><v /></c><c r="L385" s="378"><f>L384</f><v /></c><c r="M385" s="379" t="n"><v>116.65</v></c><c r="N385" s="379" t="n"><v>216.85</v></c><c r="O385" s="380"><f>O384</f><v /></c><c r="P385" s="381"><f>P384</f><v /></c><c r="Q385" s="382"><f>LEFT(P385,1)</f><v /></c><c r="R385" s="382"><f>RIGHT(P385,6)</f><v /></c><c r="S385" s="382"><f>+(Q385*60+R385)/(60*60)</f><v /></c><c r="T385" s="383"><f>+O385/S385</f><v /></c><c r="U385" s="384"><f>+(((N385-M385-O385)/O385)*100)</f><v /></c><c r="V385" s="317"><f>V384</f><v /></c><c r="W385" s="385"><f>W384</f><v /></c><c r="X385" s="385"><f>X384</f><v /></c><c r="Y385" s="379" t="n"><v>222.69</v></c><c r="Z385" s="379" t="n"><v>232.65</v></c><c r="AA385" s="386"><f>AA384</f><v /></c><c r="AB385" s="387"><f>AB384</f><v /></c><c r="AC385" s="382"><f>LEFT(AB385,2)</f><v /></c><c r="AD385" s="382"><f>RIGHT(AB385,6)</f><v /></c><c r="AE385" s="382"><f>+(AC385*60+AD385)/(60*60)</f><v /></c><c r="AF385" s="383"><f>+AA385/AE385</f><v /></c><c r="AG385" s="321"><f>+(((Z385-Y385-AA385)/AA385)*100)</f><v /></c><c r="AH385" s="317"><f>AH384</f><v /></c><c r="AI385" s="385"><f>AI384</f><v /></c><c r="AJ385" s="385"><f>AJ384</f><v /></c><c r="AK385" s="379"><f>Z385</f><v /></c><c r="AL385" s="379" t="n"><v>237.72</v></c><c r="AM385" s="388"><f>AM384</f><v /></c><c r="AN385" s="381"><f>AN384</f><v /></c><c r="AO385" s="382"><f>LEFT(AN385,2)</f><v /></c><c r="AP385" s="382"><f>RIGHT(AN385,6)</f><v /></c><c r="AQ385" s="382"><f>+(AO385*60+AP385)/(60*60)</f><v /></c><c r="AR385" s="383"><f>+AM385/AQ385</f><v /></c><c r="AS385" s="321"><f>+(((AL385-AK385-AM385)/AM385)*100)</f><v /></c><c r="AT385" s="389"><f>IF(I385&gt;=1,"NO CONFORME",IF(BK385="SIGDIFERENTES",BC385,BL385))</f><v /></c><c r="AU385" s="372"><f>B385=C385</f><v /></c><c r="AV385" s="372"><f>N385&lt;Y385</f><v /></c><c r="AW385" s="372"><f>Z385&lt;=AK385</f><v /></c><c r="AX385" s="372"><f>IF(I385&gt;=1,"Qcorrecto",IF(AND(AY385="aceptable",AZ385="aceptable",BA385="aceptable"),"Qcorrecto","Qincorrecto"))</f><v /></c><c r="AY385" s="390"><f>IF(AR385&lt;$AH$6,"error",IF(AR385&gt;$AH$6*1.1,"error","aceptable"))</f><v /></c><c r="AZ385" s="390"><f>IF(AF385&lt;$V$6,"error",IF(AF385&gt;$V$6*1.1,"error","aceptable"))</f><v /></c><c r="BA385" s="390"><f>IF(T385&lt;$J$6*0.9,"error",IF(T385&gt;$J$6,"error","aceptable"))</f><v /></c><c r="BB385" s="25"><f>(IF(ABS(U385)&lt;1.05,"CONFORME",IF(ABS(AG385)&lt;1.05,"CONFORME",IF(ABS(AS385)&lt;2.55,"CONFORME","NO CONFORME"))))</f><v /></c><c r="BC385" s="5"><f>(IF(ABS(U385)&gt;2.05,"NO CONFORME",IF(ABS(AG385)&gt;2.05,"NO CONFORME",IF(ABS(AS385)&gt;5.05,"NO CONFORME","CONFORME"))))</f><v /></c><c r="BD385" s="374"><f>SIGN(U385)</f><v /></c><c r="BE385" s="374"><f>SIGN(AG385)</f><v /></c><c r="BF385" s="374"><f>SIGN(AS385)</f><v /></c><c r="BG385" s="374"><f>CONCATENATE(BD385,BE385,BF385)</f><v /></c><c r="BH385" s="374"><f>IF(BG385="111","SI","SD")</f><v /></c><c r="BI385" s="374"><f>IF(BG385="-1-1-1","SI","SD")</f><v /></c><c r="BJ385" s="374"><f>OR(BH385="SI",BI385="SI")</f><v /></c><c r="BK385" s="374"><f>IF(BJ385=FALSE,"SIGDIFERENTES","SIGIGUALES")</f><v /></c><c r="BL385" s="390"><f>IF(BC385="NO CONFORME","NO CONFORME",IF(BB385="CONFORME","CONFORME","NO CONFORME"))</f><v /></c></row><row r="386" ht="14.4" customHeight="1" thickBot="1"><c r="A386" s="443" t="n"><v>378</v></c><c r="B386" s="375"><f>B385</f><v /></c><c r="C386" s="375"><f>C385</f><v /></c><c r="D386" s="376"><f>D385</f><v /></c><c r="E386" s="377"><f>E385</f><v /></c><c r="F386" s="13" t="n" /><c r="G386" s="300" t="inlineStr"><is><t>PA25517214</t></is></c><c r="H386" s="313"><f>H385</f><v /></c><c r="I386" s="38"><f>I385</f><v /></c><c r="J386" s="314"><f>J385</f><v /></c><c r="K386" s="378"><f>K385</f><v /></c><c r="L386" s="378"><f>L385</f><v /></c><c r="M386" s="379" t="n"><v>117.25</v></c><c r="N386" s="379" t="n"><v>217.6</v></c><c r="O386" s="380"><f>O385</f><v /></c><c r="P386" s="381"><f>P385</f><v /></c><c r="Q386" s="382"><f>LEFT(P386,1)</f><v /></c><c r="R386" s="382"><f>RIGHT(P386,6)</f><v /></c><c r="S386" s="382"><f>+(Q386*60+R386)/(60*60)</f><v /></c><c r="T386" s="383"><f>+O386/S386</f><v /></c><c r="U386" s="384"><f>+(((N386-M386-O386)/O386)*100)</f><v /></c><c r="V386" s="317"><f>V385</f><v /></c><c r="W386" s="385"><f>W385</f><v /></c><c r="X386" s="385"><f>X385</f><v /></c><c r="Y386" s="379" t="n"><v>223.4</v></c><c r="Z386" s="379" t="n"><v>233.4</v></c><c r="AA386" s="386"><f>AA385</f><v /></c><c r="AB386" s="387"><f>AB385</f><v /></c><c r="AC386" s="382"><f>LEFT(AB386,2)</f><v /></c><c r="AD386" s="382"><f>RIGHT(AB386,6)</f><v /></c><c r="AE386" s="382"><f>+(AC386*60+AD386)/(60*60)</f><v /></c><c r="AF386" s="383"><f>+AA386/AE386</f><v /></c><c r="AG386" s="321"><f>+(((Z386-Y386-AA386)/AA386)*100)</f><v /></c><c r="AH386" s="317"><f>AH385</f><v /></c><c r="AI386" s="385"><f>AI385</f><v /></c><c r="AJ386" s="385"><f>AJ385</f><v /></c><c r="AK386" s="379"><f>Z386</f><v /></c><c r="AL386" s="379" t="n"><v>238.46</v></c><c r="AM386" s="388"><f>AM385</f><v /></c><c r="AN386" s="381"><f>AN385</f><v /></c><c r="AO386" s="382"><f>LEFT(AN386,2)</f><v /></c><c r="AP386" s="382"><f>RIGHT(AN386,6)</f><v /></c><c r="AQ386" s="382"><f>+(AO386*60+AP386)/(60*60)</f><v /></c><c r="AR386" s="383"><f>+AM386/AQ386</f><v /></c><c r="AS386" s="321"><f>+(((AL386-AK386-AM386)/AM386)*100)</f><v /></c><c r="AT386" s="389"><f>IF(I386&gt;=1,"NO CONFORME",IF(BK386="SIGDIFERENTES",BC386,BL386))</f><v /></c><c r="AU386" s="372"><f>B386=C386</f><v /></c><c r="AV386" s="372"><f>N386&lt;Y386</f><v /></c><c r="AW386" s="372"><f>Z386&lt;=AK386</f><v /></c><c r="AX386" s="372"><f>IF(I386&gt;=1,"Qcorrecto",IF(AND(AY386="aceptable",AZ386="aceptable",BA386="aceptable"),"Qcorrecto","Qincorrecto"))</f><v /></c><c r="AY386" s="390"><f>IF(AR386&lt;$AH$6,"error",IF(AR386&gt;$AH$6*1.1,"error","aceptable"))</f><v /></c><c r="AZ386" s="390"><f>IF(AF386&lt;$V$6,"error",IF(AF386&gt;$V$6*1.1,"error","aceptable"))</f><v /></c><c r="BA386" s="390"><f>IF(T386&lt;$J$6*0.9,"error",IF(T386&gt;$J$6,"error","aceptable"))</f><v /></c><c r="BB386" s="25"><f>(IF(ABS(U386)&lt;1.05,"CONFORME",IF(ABS(AG386)&lt;1.05,"CONFORME",IF(ABS(AS386)&lt;2.55,"CONFORME","NO CONFORME"))))</f><v /></c><c r="BC386" s="5"><f>(IF(ABS(U386)&gt;2.05,"NO CONFORME",IF(ABS(AG386)&gt;2.05,"NO CONFORME",IF(ABS(AS386)&gt;5.05,"NO CONFORME","CONFORME"))))</f><v /></c><c r="BD386" s="374"><f>SIGN(U386)</f><v /></c><c r="BE386" s="374"><f>SIGN(AG386)</f><v /></c><c r="BF386" s="374"><f>SIGN(AS386)</f><v /></c><c r="BG386" s="374"><f>CONCATENATE(BD386,BE386,BF386)</f><v /></c><c r="BH386" s="374"><f>IF(BG386="111","SI","SD")</f><v /></c><c r="BI386" s="374"><f>IF(BG386="-1-1-1","SI","SD")</f><v /></c><c r="BJ386" s="374"><f>OR(BH386="SI",BI386="SI")</f><v /></c><c r="BK386" s="374"><f>IF(BJ386=FALSE,"SIGDIFERENTES","SIGIGUALES")</f><v /></c><c r="BL386" s="390"><f>IF(BC386="NO CONFORME","NO CONFORME",IF(BB386="CONFORME","CONFORME","NO CONFORME"))</f><v /></c></row><row r="387" ht="14.4" customHeight="1" thickBot="1"><c r="A387" s="443" t="n"><v>379</v></c><c r="B387" s="375"><f>B386</f><v /></c><c r="C387" s="375"><f>C386</f><v /></c><c r="D387" s="376"><f>D386</f><v /></c><c r="E387" s="377"><f>E386</f><v /></c><c r="F387" s="13" t="n" /><c r="G387" s="300" t="inlineStr"><is><t>PA25517215</t></is></c><c r="H387" s="313"><f>H386</f><v /></c><c r="I387" s="38"><f>I386</f><v /></c><c r="J387" s="314"><f>J386</f><v /></c><c r="K387" s="378"><f>K386</f><v /></c><c r="L387" s="378"><f>L386</f><v /></c><c r="M387" s="379" t="n"><v>115.65</v></c><c r="N387" s="379" t="n"><v>216.2</v></c><c r="O387" s="380"><f>O386</f><v /></c><c r="P387" s="381"><f>P386</f><v /></c><c r="Q387" s="382"><f>LEFT(P387,1)</f><v /></c><c r="R387" s="382"><f>RIGHT(P387,6)</f><v /></c><c r="S387" s="382"><f>+(Q387*60+R387)/(60*60)</f><v /></c><c r="T387" s="383"><f>+O387/S387</f><v /></c><c r="U387" s="384"><f>+(((N387-M387-O387)/O387)*100)</f><v /></c><c r="V387" s="317"><f>V386</f><v /></c><c r="W387" s="385"><f>W386</f><v /></c><c r="X387" s="385"><f>X386</f><v /></c><c r="Y387" s="379" t="n"><v>222</v></c><c r="Z387" s="379" t="n"><v>231.97</v></c><c r="AA387" s="386"><f>AA386</f><v /></c><c r="AB387" s="387"><f>AB386</f><v /></c><c r="AC387" s="382"><f>LEFT(AB387,2)</f><v /></c><c r="AD387" s="382"><f>RIGHT(AB387,6)</f><v /></c><c r="AE387" s="382"><f>+(AC387*60+AD387)/(60*60)</f><v /></c><c r="AF387" s="383"><f>+AA387/AE387</f><v /></c><c r="AG387" s="321"><f>+(((Z387-Y387-AA387)/AA387)*100)</f><v /></c><c r="AH387" s="317"><f>AH386</f><v /></c><c r="AI387" s="385"><f>AI386</f><v /></c><c r="AJ387" s="385"><f>AJ386</f><v /></c><c r="AK387" s="379"><f>Z387</f><v /></c><c r="AL387" s="379" t="n"><v>237.03</v></c><c r="AM387" s="388"><f>AM386</f><v /></c><c r="AN387" s="381"><f>AN386</f><v /></c><c r="AO387" s="382"><f>LEFT(AN387,2)</f><v /></c><c r="AP387" s="382"><f>RIGHT(AN387,6)</f><v /></c><c r="AQ387" s="382"><f>+(AO387*60+AP387)/(60*60)</f><v /></c><c r="AR387" s="383"><f>+AM387/AQ387</f><v /></c><c r="AS387" s="321"><f>+(((AL387-AK387-AM387)/AM387)*100)</f><v /></c><c r="AT387" s="389"><f>IF(I387&gt;=1,"NO CONFORME",IF(BK387="SIGDIFERENTES",BC387,BL387))</f><v /></c><c r="AU387" s="372"><f>B387=C387</f><v /></c><c r="AV387" s="372"><f>N387&lt;Y387</f><v /></c><c r="AW387" s="372"><f>Z387&lt;=AK387</f><v /></c><c r="AX387" s="372"><f>IF(I387&gt;=1,"Qcorrecto",IF(AND(AY387="aceptable",AZ387="aceptable",BA387="aceptable"),"Qcorrecto","Qincorrecto"))</f><v /></c><c r="AY387" s="390"><f>IF(AR387&lt;$AH$6,"error",IF(AR387&gt;$AH$6*1.1,"error","aceptable"))</f><v /></c><c r="AZ387" s="390"><f>IF(AF387&lt;$V$6,"error",IF(AF387&gt;$V$6*1.1,"error","aceptable"))</f><v /></c><c r="BA387" s="390"><f>IF(T387&lt;$J$6*0.9,"error",IF(T387&gt;$J$6,"error","aceptable"))</f><v /></c><c r="BB387" s="25"><f>(IF(ABS(U387)&lt;1.05,"CONFORME",IF(ABS(AG387)&lt;1.05,"CONFORME",IF(ABS(AS387)&lt;2.55,"CONFORME","NO CONFORME"))))</f><v /></c><c r="BC387" s="5"><f>(IF(ABS(U387)&gt;2.05,"NO CONFORME",IF(ABS(AG387)&gt;2.05,"NO CONFORME",IF(ABS(AS387)&gt;5.05,"NO CONFORME","CONFORME"))))</f><v /></c><c r="BD387" s="374"><f>SIGN(U387)</f><v /></c><c r="BE387" s="374"><f>SIGN(AG387)</f><v /></c><c r="BF387" s="374"><f>SIGN(AS387)</f><v /></c><c r="BG387" s="374"><f>CONCATENATE(BD387,BE387,BF387)</f><v /></c><c r="BH387" s="374"><f>IF(BG387="111","SI","SD")</f><v /></c><c r="BI387" s="374"><f>IF(BG387="-1-1-1","SI","SD")</f><v /></c><c r="BJ387" s="374"><f>OR(BH387="SI",BI387="SI")</f><v /></c><c r="BK387" s="374"><f>IF(BJ387=FALSE,"SIGDIFERENTES","SIGIGUALES")</f><v /></c><c r="BL387" s="390"><f>IF(BC387="NO CONFORME","NO CONFORME",IF(BB387="CONFORME","CONFORME","NO CONFORME"))</f><v /></c></row><row r="388" ht="14.4" customHeight="1" thickBot="1"><c r="A388" s="443" t="n"><v>380</v></c><c r="B388" s="375"><f>B387</f><v /></c><c r="C388" s="375"><f>C387</f><v /></c><c r="D388" s="376"><f>D387</f><v /></c><c r="E388" s="377"><f>E387</f><v /></c><c r="F388" s="13" t="n" /><c r="G388" s="300" t="inlineStr"><is><t>PA25517216</t></is></c><c r="H388" s="313"><f>H387</f><v /></c><c r="I388" s="38"><f>I387</f><v /></c><c r="J388" s="314"><f>J387</f><v /></c><c r="K388" s="378"><f>K387</f><v /></c><c r="L388" s="378"><f>L387</f><v /></c><c r="M388" s="379" t="n"><v>116</v></c><c r="N388" s="379" t="n"><v>216.31</v></c><c r="O388" s="380"><f>O387</f><v /></c><c r="P388" s="381"><f>P387</f><v /></c><c r="Q388" s="382"><f>LEFT(P388,1)</f><v /></c><c r="R388" s="382"><f>RIGHT(P388,6)</f><v /></c><c r="S388" s="382"><f>+(Q388*60+R388)/(60*60)</f><v /></c><c r="T388" s="383"><f>+O388/S388</f><v /></c><c r="U388" s="384"><f>+(((N388-M388-O388)/O388)*100)</f><v /></c><c r="V388" s="317"><f>V387</f><v /></c><c r="W388" s="385"><f>W387</f><v /></c><c r="X388" s="385"><f>X387</f><v /></c><c r="Y388" s="379" t="n"><v>222.1</v></c><c r="Z388" s="379" t="n"><v>232.06</v></c><c r="AA388" s="386"><f>AA387</f><v /></c><c r="AB388" s="387"><f>AB387</f><v /></c><c r="AC388" s="382"><f>LEFT(AB388,2)</f><v /></c><c r="AD388" s="382"><f>RIGHT(AB388,6)</f><v /></c><c r="AE388" s="382"><f>+(AC388*60+AD388)/(60*60)</f><v /></c><c r="AF388" s="383"><f>+AA388/AE388</f><v /></c><c r="AG388" s="321"><f>+(((Z388-Y388-AA388)/AA388)*100)</f><v /></c><c r="AH388" s="317"><f>AH387</f><v /></c><c r="AI388" s="385"><f>AI387</f><v /></c><c r="AJ388" s="385"><f>AJ387</f><v /></c><c r="AK388" s="379"><f>Z388</f><v /></c><c r="AL388" s="379" t="n"><v>237.13</v></c><c r="AM388" s="388"><f>AM387</f><v /></c><c r="AN388" s="381"><f>AN387</f><v /></c><c r="AO388" s="382"><f>LEFT(AN388,2)</f><v /></c><c r="AP388" s="382"><f>RIGHT(AN388,6)</f><v /></c><c r="AQ388" s="382"><f>+(AO388*60+AP388)/(60*60)</f><v /></c><c r="AR388" s="383"><f>+AM388/AQ388</f><v /></c><c r="AS388" s="321"><f>+(((AL388-AK388-AM388)/AM388)*100)</f><v /></c><c r="AT388" s="389"><f>IF(I388&gt;=1,"NO CONFORME",IF(BK388="SIGDIFERENTES",BC388,BL388))</f><v /></c><c r="AU388" s="372"><f>B388=C388</f><v /></c><c r="AV388" s="372"><f>N388&lt;Y388</f><v /></c><c r="AW388" s="372"><f>Z388&lt;=AK388</f><v /></c><c r="AX388" s="372"><f>IF(I388&gt;=1,"Qcorrecto",IF(AND(AY388="aceptable",AZ388="aceptable",BA388="aceptable"),"Qcorrecto","Qincorrecto"))</f><v /></c><c r="AY388" s="390"><f>IF(AR388&lt;$AH$6,"error",IF(AR388&gt;$AH$6*1.1,"error","aceptable"))</f><v /></c><c r="AZ388" s="390"><f>IF(AF388&lt;$V$6,"error",IF(AF388&gt;$V$6*1.1,"error","aceptable"))</f><v /></c><c r="BA388" s="390"><f>IF(T388&lt;$J$6*0.9,"error",IF(T388&gt;$J$6,"error","aceptable"))</f><v /></c><c r="BB388" s="25"><f>(IF(ABS(U388)&lt;1.05,"CONFORME",IF(ABS(AG388)&lt;1.05,"CONFORME",IF(ABS(AS388)&lt;2.55,"CONFORME","NO CONFORME"))))</f><v /></c><c r="BC388" s="5"><f>(IF(ABS(U388)&gt;2.05,"NO CONFORME",IF(ABS(AG388)&gt;2.05,"NO CONFORME",IF(ABS(AS388)&gt;5.05,"NO CONFORME","CONFORME"))))</f><v /></c><c r="BD388" s="374"><f>SIGN(U388)</f><v /></c><c r="BE388" s="374"><f>SIGN(AG388)</f><v /></c><c r="BF388" s="374"><f>SIGN(AS388)</f><v /></c><c r="BG388" s="374"><f>CONCATENATE(BD388,BE388,BF388)</f><v /></c><c r="BH388" s="374"><f>IF(BG388="111","SI","SD")</f><v /></c><c r="BI388" s="374"><f>IF(BG388="-1-1-1","SI","SD")</f><v /></c><c r="BJ388" s="374"><f>OR(BH388="SI",BI388="SI")</f><v /></c><c r="BK388" s="374"><f>IF(BJ388=FALSE,"SIGDIFERENTES","SIGIGUALES")</f><v /></c><c r="BL388" s="390"><f>IF(BC388="NO CONFORME","NO CONFORME",IF(BB388="CONFORME","CONFORME","NO CONFORME"))</f><v /></c></row><row r="389" ht="14.4" customHeight="1" thickBot="1"><c r="A389" s="443" t="n"><v>381</v></c><c r="B389" s="375"><f>B388</f><v /></c><c r="C389" s="375"><f>C388</f><v /></c><c r="D389" s="376"><f>D388</f><v /></c><c r="E389" s="377"><f>E388</f><v /></c><c r="F389" s="13" t="n" /><c r="G389" s="300" t="inlineStr"><is><t>PA25517217</t></is></c><c r="H389" s="313"><f>H388</f><v /></c><c r="I389" s="38"><f>I388</f><v /></c><c r="J389" s="314"><f>J388</f><v /></c><c r="K389" s="378"><f>K388</f><v /></c><c r="L389" s="378"><f>L388</f><v /></c><c r="M389" s="379" t="n"><v>115.2</v></c><c r="N389" s="379" t="n"><v>215.7</v></c><c r="O389" s="380"><f>O388</f><v /></c><c r="P389" s="381"><f>P388</f><v /></c><c r="Q389" s="382"><f>LEFT(P389,1)</f><v /></c><c r="R389" s="382"><f>RIGHT(P389,6)</f><v /></c><c r="S389" s="382"><f>+(Q389*60+R389)/(60*60)</f><v /></c><c r="T389" s="383"><f>+O389/S389</f><v /></c><c r="U389" s="384"><f>+(((N389-M389-O389)/O389)*100)</f><v /></c><c r="V389" s="317"><f>V388</f><v /></c><c r="W389" s="385"><f>W388</f><v /></c><c r="X389" s="385"><f>X388</f><v /></c><c r="Y389" s="379" t="n"><v>221.5</v></c><c r="Z389" s="379" t="n"><v>231.49</v></c><c r="AA389" s="386"><f>AA388</f><v /></c><c r="AB389" s="387"><f>AB388</f><v /></c><c r="AC389" s="382"><f>LEFT(AB389,2)</f><v /></c><c r="AD389" s="382"><f>RIGHT(AB389,6)</f><v /></c><c r="AE389" s="382"><f>+(AC389*60+AD389)/(60*60)</f><v /></c><c r="AF389" s="383"><f>+AA389/AE389</f><v /></c><c r="AG389" s="321"><f>+(((Z389-Y389-AA389)/AA389)*100)</f><v /></c><c r="AH389" s="317"><f>AH388</f><v /></c><c r="AI389" s="385"><f>AI388</f><v /></c><c r="AJ389" s="385"><f>AJ388</f><v /></c><c r="AK389" s="379"><f>Z389</f><v /></c><c r="AL389" s="379" t="n"><v>236.52</v></c><c r="AM389" s="388"><f>AM388</f><v /></c><c r="AN389" s="381"><f>AN388</f><v /></c><c r="AO389" s="382"><f>LEFT(AN389,2)</f><v /></c><c r="AP389" s="382"><f>RIGHT(AN389,6)</f><v /></c><c r="AQ389" s="382"><f>+(AO389*60+AP389)/(60*60)</f><v /></c><c r="AR389" s="383"><f>+AM389/AQ389</f><v /></c><c r="AS389" s="321"><f>+(((AL389-AK389-AM389)/AM389)*100)</f><v /></c><c r="AT389" s="389"><f>IF(I389&gt;=1,"NO CONFORME",IF(BK389="SIGDIFERENTES",BC389,BL389))</f><v /></c><c r="AU389" s="372"><f>B389=C389</f><v /></c><c r="AV389" s="372"><f>N389&lt;Y389</f><v /></c><c r="AW389" s="372"><f>Z389&lt;=AK389</f><v /></c><c r="AX389" s="372"><f>IF(I389&gt;=1,"Qcorrecto",IF(AND(AY389="aceptable",AZ389="aceptable",BA389="aceptable"),"Qcorrecto","Qincorrecto"))</f><v /></c><c r="AY389" s="390"><f>IF(AR389&lt;$AH$6,"error",IF(AR389&gt;$AH$6*1.1,"error","aceptable"))</f><v /></c><c r="AZ389" s="390"><f>IF(AF389&lt;$V$6,"error",IF(AF389&gt;$V$6*1.1,"error","aceptable"))</f><v /></c><c r="BA389" s="390"><f>IF(T389&lt;$J$6*0.9,"error",IF(T389&gt;$J$6,"error","aceptable"))</f><v /></c><c r="BB389" s="25"><f>(IF(ABS(U389)&lt;1.05,"CONFORME",IF(ABS(AG389)&lt;1.05,"CONFORME",IF(ABS(AS389)&lt;2.55,"CONFORME","NO CONFORME"))))</f><v /></c><c r="BC389" s="5"><f>(IF(ABS(U389)&gt;2.05,"NO CONFORME",IF(ABS(AG389)&gt;2.05,"NO CONFORME",IF(ABS(AS389)&gt;5.05,"NO CONFORME","CONFORME"))))</f><v /></c><c r="BD389" s="374"><f>SIGN(U389)</f><v /></c><c r="BE389" s="374"><f>SIGN(AG389)</f><v /></c><c r="BF389" s="374"><f>SIGN(AS389)</f><v /></c><c r="BG389" s="374"><f>CONCATENATE(BD389,BE389,BF389)</f><v /></c><c r="BH389" s="374"><f>IF(BG389="111","SI","SD")</f><v /></c><c r="BI389" s="374"><f>IF(BG389="-1-1-1","SI","SD")</f><v /></c><c r="BJ389" s="374"><f>OR(BH389="SI",BI389="SI")</f><v /></c><c r="BK389" s="374"><f>IF(BJ389=FALSE,"SIGDIFERENTES","SIGIGUALES")</f><v /></c><c r="BL389" s="390"><f>IF(BC389="NO CONFORME","NO CONFORME",IF(BB389="CONFORME","CONFORME","NO CONFORME"))</f><v /></c></row><row r="390" ht="14.4" customHeight="1" thickBot="1"><c r="A390" s="443" t="n"><v>382</v></c><c r="B390" s="375"><f>B389</f><v /></c><c r="C390" s="375"><f>C389</f><v /></c><c r="D390" s="376"><f>D389</f><v /></c><c r="E390" s="377"><f>E389</f><v /></c><c r="F390" s="13" t="n" /><c r="G390" s="300" t="inlineStr"><is><t>PA25517218</t></is></c><c r="H390" s="313"><f>H389</f><v /></c><c r="I390" s="38"><f>I389</f><v /></c><c r="J390" s="314"><f>J389</f><v /></c><c r="K390" s="378"><f>K389</f><v /></c><c r="L390" s="378"><f>L389</f><v /></c><c r="M390" s="379" t="n"><v>114.2</v></c><c r="N390" s="379" t="n"><v>215.25</v></c><c r="O390" s="380"><f>O389</f><v /></c><c r="P390" s="381"><f>P389</f><v /></c><c r="Q390" s="382"><f>LEFT(P390,1)</f><v /></c><c r="R390" s="382"><f>RIGHT(P390,6)</f><v /></c><c r="S390" s="382"><f>+(Q390*60+R390)/(60*60)</f><v /></c><c r="T390" s="383"><f>+O390/S390</f><v /></c><c r="U390" s="384"><f>+(((N390-M390-O390)/O390)*100)</f><v /></c><c r="V390" s="317"><f>V389</f><v /></c><c r="W390" s="385"><f>W389</f><v /></c><c r="X390" s="385"><f>X389</f><v /></c><c r="Y390" s="379" t="n"><v>221.06</v></c><c r="Z390" s="379" t="n"><v>231.04</v></c><c r="AA390" s="386"><f>AA389</f><v /></c><c r="AB390" s="387"><f>AB389</f><v /></c><c r="AC390" s="382"><f>LEFT(AB390,2)</f><v /></c><c r="AD390" s="382"><f>RIGHT(AB390,6)</f><v /></c><c r="AE390" s="382"><f>+(AC390*60+AD390)/(60*60)</f><v /></c><c r="AF390" s="383"><f>+AA390/AE390</f><v /></c><c r="AG390" s="321"><f>+(((Z390-Y390-AA390)/AA390)*100)</f><v /></c><c r="AH390" s="317"><f>AH389</f><v /></c><c r="AI390" s="385"><f>AI389</f><v /></c><c r="AJ390" s="385"><f>AJ389</f><v /></c><c r="AK390" s="379"><f>Z390</f><v /></c><c r="AL390" s="379" t="n"><v>236.06</v></c><c r="AM390" s="388"><f>AM389</f><v /></c><c r="AN390" s="381"><f>AN389</f><v /></c><c r="AO390" s="382"><f>LEFT(AN390,2)</f><v /></c><c r="AP390" s="382"><f>RIGHT(AN390,6)</f><v /></c><c r="AQ390" s="382"><f>+(AO390*60+AP390)/(60*60)</f><v /></c><c r="AR390" s="383"><f>+AM390/AQ390</f><v /></c><c r="AS390" s="321"><f>+(((AL390-AK390-AM390)/AM390)*100)</f><v /></c><c r="AT390" s="389"><f>IF(I390&gt;=1,"NO CONFORME",IF(BK390="SIGDIFERENTES",BC390,BL390))</f><v /></c><c r="AU390" s="372"><f>B390=C390</f><v /></c><c r="AV390" s="372"><f>N390&lt;Y390</f><v /></c><c r="AW390" s="372"><f>Z390&lt;=AK390</f><v /></c><c r="AX390" s="372"><f>IF(I390&gt;=1,"Qcorrecto",IF(AND(AY390="aceptable",AZ390="aceptable",BA390="aceptable"),"Qcorrecto","Qincorrecto"))</f><v /></c><c r="AY390" s="390"><f>IF(AR390&lt;$AH$6,"error",IF(AR390&gt;$AH$6*1.1,"error","aceptable"))</f><v /></c><c r="AZ390" s="390"><f>IF(AF390&lt;$V$6,"error",IF(AF390&gt;$V$6*1.1,"error","aceptable"))</f><v /></c><c r="BA390" s="390"><f>IF(T390&lt;$J$6*0.9,"error",IF(T390&gt;$J$6,"error","aceptable"))</f><v /></c><c r="BB390" s="25"><f>(IF(ABS(U390)&lt;1.05,"CONFORME",IF(ABS(AG390)&lt;1.05,"CONFORME",IF(ABS(AS390)&lt;2.55,"CONFORME","NO CONFORME"))))</f><v /></c><c r="BC390" s="5"><f>(IF(ABS(U390)&gt;2.05,"NO CONFORME",IF(ABS(AG390)&gt;2.05,"NO CONFORME",IF(ABS(AS390)&gt;5.05,"NO CONFORME","CONFORME"))))</f><v /></c><c r="BD390" s="374"><f>SIGN(U390)</f><v /></c><c r="BE390" s="374"><f>SIGN(AG390)</f><v /></c><c r="BF390" s="374"><f>SIGN(AS390)</f><v /></c><c r="BG390" s="374"><f>CONCATENATE(BD390,BE390,BF390)</f><v /></c><c r="BH390" s="374"><f>IF(BG390="111","SI","SD")</f><v /></c><c r="BI390" s="374"><f>IF(BG390="-1-1-1","SI","SD")</f><v /></c><c r="BJ390" s="374"><f>OR(BH390="SI",BI390="SI")</f><v /></c><c r="BK390" s="374"><f>IF(BJ390=FALSE,"SIGDIFERENTES","SIGIGUALES")</f><v /></c><c r="BL390" s="390"><f>IF(BC390="NO CONFORME","NO CONFORME",IF(BB390="CONFORME","CONFORME","NO CONFORME"))</f><v /></c></row><row r="391" ht="14.4" customHeight="1" thickBot="1"><c r="A391" s="443" t="n"><v>383</v></c><c r="B391" s="375"><f>B390</f><v /></c><c r="C391" s="375"><f>C390</f><v /></c><c r="D391" s="376"><f>D390</f><v /></c><c r="E391" s="377"><f>E390</f><v /></c><c r="F391" s="13" t="n" /><c r="G391" s="300" t="inlineStr"><is><t>PA25517219</t></is></c><c r="H391" s="313"><f>H390</f><v /></c><c r="I391" s="38"><f>I390</f><v /></c><c r="J391" s="314"><f>J390</f><v /></c><c r="K391" s="378"><f>K390</f><v /></c><c r="L391" s="378"><f>L390</f><v /></c><c r="M391" s="379" t="n"><v>117.66</v></c><c r="N391" s="379" t="n"><v>218.3</v></c><c r="O391" s="380"><f>O390</f><v /></c><c r="P391" s="381"><f>P390</f><v /></c><c r="Q391" s="382"><f>LEFT(P391,1)</f><v /></c><c r="R391" s="382"><f>RIGHT(P391,6)</f><v /></c><c r="S391" s="382"><f>+(Q391*60+R391)/(60*60)</f><v /></c><c r="T391" s="383"><f>+O391/S391</f><v /></c><c r="U391" s="384"><f>+(((N391-M391-O391)/O391)*100)</f><v /></c><c r="V391" s="317"><f>V390</f><v /></c><c r="W391" s="385"><f>W390</f><v /></c><c r="X391" s="385"><f>X390</f><v /></c><c r="Y391" s="379" t="n"><v>224.1</v></c><c r="Z391" s="379" t="n"><v>234.15</v></c><c r="AA391" s="386"><f>AA390</f><v /></c><c r="AB391" s="387"><f>AB390</f><v /></c><c r="AC391" s="382"><f>LEFT(AB391,2)</f><v /></c><c r="AD391" s="382"><f>RIGHT(AB391,6)</f><v /></c><c r="AE391" s="382"><f>+(AC391*60+AD391)/(60*60)</f><v /></c><c r="AF391" s="383"><f>+AA391/AE391</f><v /></c><c r="AG391" s="321"><f>+(((Z391-Y391-AA391)/AA391)*100)</f><v /></c><c r="AH391" s="317"><f>AH390</f><v /></c><c r="AI391" s="385"><f>AI390</f><v /></c><c r="AJ391" s="385"><f>AJ390</f><v /></c><c r="AK391" s="379"><f>Z391</f><v /></c><c r="AL391" s="379" t="n"><v>239.21</v></c><c r="AM391" s="388"><f>AM390</f><v /></c><c r="AN391" s="381"><f>AN390</f><v /></c><c r="AO391" s="382"><f>LEFT(AN391,2)</f><v /></c><c r="AP391" s="382"><f>RIGHT(AN391,6)</f><v /></c><c r="AQ391" s="382"><f>+(AO391*60+AP391)/(60*60)</f><v /></c><c r="AR391" s="383"><f>+AM391/AQ391</f><v /></c><c r="AS391" s="321"><f>+(((AL391-AK391-AM391)/AM391)*100)</f><v /></c><c r="AT391" s="389"><f>IF(I391&gt;=1,"NO CONFORME",IF(BK391="SIGDIFERENTES",BC391,BL391))</f><v /></c><c r="AU391" s="372"><f>B391=C391</f><v /></c><c r="AV391" s="372"><f>N391&lt;Y391</f><v /></c><c r="AW391" s="372"><f>Z391&lt;=AK391</f><v /></c><c r="AX391" s="372"><f>IF(I391&gt;=1,"Qcorrecto",IF(AND(AY391="aceptable",AZ391="aceptable",BA391="aceptable"),"Qcorrecto","Qincorrecto"))</f><v /></c><c r="AY391" s="390"><f>IF(AR391&lt;$AH$6,"error",IF(AR391&gt;$AH$6*1.1,"error","aceptable"))</f><v /></c><c r="AZ391" s="390"><f>IF(AF391&lt;$V$6,"error",IF(AF391&gt;$V$6*1.1,"error","aceptable"))</f><v /></c><c r="BA391" s="390"><f>IF(T391&lt;$J$6*0.9,"error",IF(T391&gt;$J$6,"error","aceptable"))</f><v /></c><c r="BB391" s="25"><f>(IF(ABS(U391)&lt;1.05,"CONFORME",IF(ABS(AG391)&lt;1.05,"CONFORME",IF(ABS(AS391)&lt;2.55,"CONFORME","NO CONFORME"))))</f><v /></c><c r="BC391" s="5"><f>(IF(ABS(U391)&gt;2.05,"NO CONFORME",IF(ABS(AG391)&gt;2.05,"NO CONFORME",IF(ABS(AS391)&gt;5.05,"NO CONFORME","CONFORME"))))</f><v /></c><c r="BD391" s="374"><f>SIGN(U391)</f><v /></c><c r="BE391" s="374"><f>SIGN(AG391)</f><v /></c><c r="BF391" s="374"><f>SIGN(AS391)</f><v /></c><c r="BG391" s="374"><f>CONCATENATE(BD391,BE391,BF391)</f><v /></c><c r="BH391" s="374"><f>IF(BG391="111","SI","SD")</f><v /></c><c r="BI391" s="374"><f>IF(BG391="-1-1-1","SI","SD")</f><v /></c><c r="BJ391" s="374"><f>OR(BH391="SI",BI391="SI")</f><v /></c><c r="BK391" s="374"><f>IF(BJ391=FALSE,"SIGDIFERENTES","SIGIGUALES")</f><v /></c><c r="BL391" s="390"><f>IF(BC391="NO CONFORME","NO CONFORME",IF(BB391="CONFORME","CONFORME","NO CONFORME"))</f><v /></c></row><row r="392" ht="15" customHeight="1" thickBot="1"><c r="A392" s="445" t="n"><v>384</v></c><c r="B392" s="392"><f>B391</f><v /></c><c r="C392" s="392"><f>C391</f><v /></c><c r="D392" s="393"><f>D391</f><v /></c><c r="E392" s="394"><f>E391</f><v /></c><c r="F392" s="52" t="n" /><c r="G392" s="337" t="inlineStr"><is><t>PA25517220</t></is></c><c r="H392" s="326"><f>H391</f><v /></c><c r="I392" s="98"><f>I391</f><v /></c><c r="J392" s="327"><f>J391</f><v /></c><c r="K392" s="396"><f>K391</f><v /></c><c r="L392" s="396"><f>L391</f><v /></c><c r="M392" s="397" t="n"><v>113.37</v></c><c r="N392" s="397" t="n"><v>214.15</v></c><c r="O392" s="398"><f>O391</f><v /></c><c r="P392" s="399"><f>P391</f><v /></c><c r="Q392" s="400"><f>LEFT(P392,1)</f><v /></c><c r="R392" s="400"><f>RIGHT(P392,6)</f><v /></c><c r="S392" s="400"><f>+(Q392*60+R392)/(60*60)</f><v /></c><c r="T392" s="401"><f>+O392/S392</f><v /></c><c r="U392" s="402"><f>+(((N392-M392-O392)/O392)*100)</f><v /></c><c r="V392" s="329"><f>V391</f><v /></c><c r="W392" s="403"><f>W391</f><v /></c><c r="X392" s="403"><f>X391</f><v /></c><c r="Y392" s="397" t="n"><v>219.95</v></c><c r="Z392" s="397" t="n"><v>230.02</v></c><c r="AA392" s="404"><f>AA391</f><v /></c><c r="AB392" s="405"><f>AB391</f><v /></c><c r="AC392" s="400"><f>LEFT(AB392,2)</f><v /></c><c r="AD392" s="400"><f>RIGHT(AB392,6)</f><v /></c><c r="AE392" s="400"><f>+(AC392*60+AD392)/(60*60)</f><v /></c><c r="AF392" s="401"><f>+AA392/AE392</f><v /></c><c r="AG392" s="406"><f>+(((Z392-Y392-AA392)/AA392)*100)</f><v /></c><c r="AH392" s="329"><f>AH391</f><v /></c><c r="AI392" s="403"><f>AI391</f><v /></c><c r="AJ392" s="403"><f>AJ391</f><v /></c><c r="AK392" s="397"><f>Z392</f><v /></c><c r="AL392" s="397" t="n"><v>235.14</v></c><c r="AM392" s="407"><f>AM391</f><v /></c><c r="AN392" s="399"><f>AN391</f><v /></c><c r="AO392" s="400"><f>LEFT(AN392,2)</f><v /></c><c r="AP392" s="400"><f>RIGHT(AN392,6)</f><v /></c><c r="AQ392" s="400"><f>+(AO392*60+AP392)/(60*60)</f><v /></c><c r="AR392" s="401"><f>+AM392/AQ392</f><v /></c><c r="AS392" s="406"><f>+(((AL392-AK392-AM392)/AM392)*100)</f><v /></c><c r="AT392" s="408"><f>IF(I392&gt;=1,"NO CONFORME",IF(BK392="SIGDIFERENTES",BC392,BL392))</f><v /></c><c r="AU392" s="409"><f>B392=C392</f><v /></c><c r="AV392" s="409"><f>N392&lt;Y392</f><v /></c><c r="AW392" s="409"><f>Z392&lt;=AK392</f><v /></c><c r="AX392" s="409"><f>IF(I392&gt;=1,"Qcorrecto",IF(AND(AY392="aceptable",AZ392="aceptable",BA392="aceptable"),"Qcorrecto","Qincorrecto"))</f><v /></c><c r="AY392" s="410"><f>IF(AR392&lt;$AH$6,"error",IF(AR392&gt;$AH$6*1.1,"error","aceptable"))</f><v /></c><c r="AZ392" s="410"><f>IF(AF392&lt;$V$6,"error",IF(AF392&gt;$V$6*1.1,"error","aceptable"))</f><v /></c><c r="BA392" s="410"><f>IF(T392&lt;$J$6*0.9,"error",IF(T392&gt;$J$6,"error","aceptable"))</f><v /></c><c r="BB392" s="411"><f>(IF(ABS(U392)&lt;1.05,"CONFORME",IF(ABS(AG392)&lt;1.05,"CONFORME",IF(ABS(AS392)&lt;2.55,"CONFORME","NO CONFORME"))))</f><v /></c><c r="BC392" s="412"><f>(IF(ABS(U392)&gt;2.05,"NO CONFORME",IF(ABS(AG392)&gt;2.05,"NO CONFORME",IF(ABS(AS392)&gt;5.05,"NO CONFORME","CONFORME"))))</f><v /></c><c r="BD392" s="413"><f>SIGN(U392)</f><v /></c><c r="BE392" s="413"><f>SIGN(AG392)</f><v /></c><c r="BF392" s="413"><f>SIGN(AS392)</f><v /></c><c r="BG392" s="413"><f>CONCATENATE(BD392,BE392,BF392)</f><v /></c><c r="BH392" s="413"><f>IF(BG392="111","SI","SD")</f><v /></c><c r="BI392" s="413"><f>IF(BG392="-1-1-1","SI","SD")</f><v /></c><c r="BJ392" s="413"><f>OR(BH392="SI",BI392="SI")</f><v /></c><c r="BK392" s="413"><f>IF(BJ392=FALSE,"SIGDIFERENTES","SIGIGUALES")</f><v /></c><c r="BL392" s="410"><f>IF(BC392="NO CONFORME","NO CONFORME",IF(BB392="CONFORME","CONFORME","NO CONFORME"))</f><v /></c></row><row r="393" ht="15" customHeight="1" thickBot="1"><c r="A393" s="351" t="n"><v>385</v></c><c r="B393" s="352"><f>B392</f><v /></c><c r="C393" s="352"><f>C392</f><v /></c><c r="D393" s="353"><f>D392</f><v /></c><c r="E393" s="354"><f>E392</f><v /></c><c r="F393" s="58" t="n" /><c r="G393" s="337" t="inlineStr"><is><t>PA25517221</t></is></c><c r="H393" s="356"><f>H392</f><v /></c><c r="I393" s="232"><f>I392</f><v /></c><c r="J393" s="357" t="n"><v>21.1</v></c><c r="K393" s="358" t="n"><v>7.893</v></c><c r="L393" s="358" t="n"><v>0.5580000000000001</v></c><c r="M393" s="359" t="n"><v>108.04</v></c><c r="N393" s="359" t="n"><v>208.16</v></c><c r="O393" s="360" t="n"><v>100.6</v></c><c r="P393" s="361" t="inlineStr"><is><t>2,29,460</t></is></c><c r="Q393" s="362"><f>LEFT(P393,1)</f><v /></c><c r="R393" s="362"><f>RIGHT(P393,6)</f><v /></c><c r="S393" s="362"><f>+(Q393*60+R393)/(60*60)</f><v /></c><c r="T393" s="363"><f>+O393/S393</f><v /></c><c r="U393" s="364"><f>+(((N393-M393-O393)/O393)*100)</f><v /></c><c r="V393" s="365" t="n"><v>21.2</v></c><c r="W393" s="366" t="n"><v>1.509</v></c><c r="X393" s="366" t="n"><v>1.504</v></c><c r="Y393" s="359" t="n"><v>213.8</v></c><c r="Z393" s="359" t="n"><v>223.8</v></c><c r="AA393" s="367" t="n"><v>10.015</v></c><c r="AB393" s="368" t="inlineStr"><is><t>22,08,570</t></is></c><c r="AC393" s="362"><f>LEFT(AB393,2)</f><v /></c><c r="AD393" s="362"><f>RIGHT(AB393,6)</f><v /></c><c r="AE393" s="362"><f>+(AC393*60+AD393)/(60*60)</f><v /></c><c r="AF393" s="363"><f>+AA393/AE393</f><v /></c><c r="AG393" s="369"><f>+(((Z393-Y393-AA393)/AA393)*100)</f><v /></c><c r="AH393" s="365" t="n"><v>21.2</v></c><c r="AI393" s="366" t="n"><v>1.508</v></c><c r="AJ393" s="366" t="n"><v>1.507</v></c><c r="AK393" s="359"><f>Z393</f><v /></c><c r="AL393" s="359" t="n"><v>228.87</v></c><c r="AM393" s="370" t="n"><v>5.016</v></c><c r="AN393" s="361" t="inlineStr"><is><t>17,57,310</t></is></c><c r="AO393" s="362"><f>LEFT(AN393,2)</f><v /></c><c r="AP393" s="362"><f>RIGHT(AN393,6)</f><v /></c><c r="AQ393" s="362"><f>+(AO393*60+AP393)/(60*60)</f><v /></c><c r="AR393" s="363"><f>+AM393/AQ393</f><v /></c><c r="AS393" s="369"><f>+(((AL393-AK393-AM393)/AM393)*100)</f><v /></c><c r="AT393" s="371"><f>IF(I393&gt;=1,"NO CONFORME",IF(BK393="SIGDIFERENTES",BC393,BL393))</f><v /></c><c r="AU393" s="372"><f>B393=C393</f><v /></c><c r="AV393" s="372"><f>N393&lt;Y393</f><v /></c><c r="AW393" s="372"><f>Z393&lt;=AK393</f><v /></c><c r="AX393" s="372"><f>IF(I393&gt;=1,"Qcorrecto",IF(AND(AY393="aceptable",AZ393="aceptable",BA393="aceptable"),"Qcorrecto","Qincorrecto"))</f><v /></c><c r="AY393" s="373"><f>IF(AR393&lt;$AH$6,"error",IF(AR393&gt;$AH$6*1.1,"error","aceptable"))</f><v /></c><c r="AZ393" s="373"><f>IF(AF393&lt;$V$6,"error",IF(AF393&gt;$V$6*1.1,"error","aceptable"))</f><v /></c><c r="BA393" s="373"><f>IF(T393&lt;$J$6*0.9,"error",IF(T393&gt;$J$6,"error","aceptable"))</f><v /></c><c r="BB393" s="25"><f>(IF(ABS(U393)&lt;1.05,"CONFORME",IF(ABS(AG393)&lt;1.05,"CONFORME",IF(ABS(AS393)&lt;2.55,"CONFORME","NO CONFORME"))))</f><v /></c><c r="BC393" s="5"><f>(IF(ABS(U393)&gt;2.05,"NO CONFORME",IF(ABS(AG393)&gt;2.05,"NO CONFORME",IF(ABS(AS393)&gt;5.05,"NO CONFORME","CONFORME"))))</f><v /></c><c r="BD393" s="374"><f>SIGN(U393)</f><v /></c><c r="BE393" s="374"><f>SIGN(AG393)</f><v /></c><c r="BF393" s="374"><f>SIGN(AS393)</f><v /></c><c r="BG393" s="374"><f>CONCATENATE(BD393,BE393,BF393)</f><v /></c><c r="BH393" s="374"><f>IF(BG393="111","SI","SD")</f><v /></c><c r="BI393" s="374"><f>IF(BG393="-1-1-1","SI","SD")</f><v /></c><c r="BJ393" s="374"><f>OR(BH393="SI",BI393="SI")</f><v /></c><c r="BK393" s="374"><f>IF(BJ393=FALSE,"SIGDIFERENTES","SIGIGUALES")</f><v /></c><c r="BL393" s="373"><f>IF(BC393="NO CONFORME","NO CONFORME",IF(BB393="CONFORME","CONFORME","NO CONFORME"))</f><v /></c></row><row r="394" ht="15" customHeight="1" thickBot="1"><c r="A394" s="443" t="n"><v>386</v></c><c r="B394" s="375"><f>B393</f><v /></c><c r="C394" s="375"><f>C393</f><v /></c><c r="D394" s="376"><f>D393</f><v /></c><c r="E394" s="377"><f>E393</f><v /></c><c r="F394" s="13" t="n" /><c r="G394" s="337" t="inlineStr"><is><t>PA25517222</t></is></c><c r="H394" s="313"><f>H393</f><v /></c><c r="I394" s="38"><f>I393</f><v /></c><c r="J394" s="314"><f>J393</f><v /></c><c r="K394" s="378"><f>K393</f><v /></c><c r="L394" s="378"><f>L393</f><v /></c><c r="M394" s="379" t="n"><v>103.25</v></c><c r="N394" s="379" t="n"><v>202.85</v></c><c r="O394" s="380"><f>O393</f><v /></c><c r="P394" s="381"><f>P393</f><v /></c><c r="Q394" s="382"><f>LEFT(P394,1)</f><v /></c><c r="R394" s="382"><f>RIGHT(P394,6)</f><v /></c><c r="S394" s="382"><f>+(Q394*60+R394)/(60*60)</f><v /></c><c r="T394" s="383"><f>+O394/S394</f><v /></c><c r="U394" s="384"><f>+(((N394-M394-O394)/O394)*100)</f><v /></c><c r="V394" s="317"><f>V393</f><v /></c><c r="W394" s="385"><f>W393</f><v /></c><c r="X394" s="385"><f>X393</f><v /></c><c r="Y394" s="379" t="n"><v>208.46</v></c><c r="Z394" s="379" t="n"><v>218.45</v></c><c r="AA394" s="386"><f>AA393</f><v /></c><c r="AB394" s="387"><f>AB393</f><v /></c><c r="AC394" s="382"><f>LEFT(AB394,2)</f><v /></c><c r="AD394" s="382"><f>RIGHT(AB394,6)</f><v /></c><c r="AE394" s="382"><f>+(AC394*60+AD394)/(60*60)</f><v /></c><c r="AF394" s="383"><f>+AA394/AE394</f><v /></c><c r="AG394" s="321"><f>+(((Z394-Y394-AA394)/AA394)*100)</f><v /></c><c r="AH394" s="317"><f>AH393</f><v /></c><c r="AI394" s="385"><f>AI393</f><v /></c><c r="AJ394" s="385"><f>AJ393</f><v /></c><c r="AK394" s="379"><f>Z394</f><v /></c><c r="AL394" s="379" t="n"><v>223.49</v></c><c r="AM394" s="388"><f>AM393</f><v /></c><c r="AN394" s="381"><f>AN393</f><v /></c><c r="AO394" s="382"><f>LEFT(AN394,2)</f><v /></c><c r="AP394" s="382"><f>RIGHT(AN394,6)</f><v /></c><c r="AQ394" s="382"><f>+(AO394*60+AP394)/(60*60)</f><v /></c><c r="AR394" s="383"><f>+AM394/AQ394</f><v /></c><c r="AS394" s="321"><f>+(((AL394-AK394-AM394)/AM394)*100)</f><v /></c><c r="AT394" s="389"><f>IF(I394&gt;=1,"NO CONFORME",IF(BK394="SIGDIFERENTES",BC394,BL394))</f><v /></c><c r="AU394" s="372"><f>B394=C394</f><v /></c><c r="AV394" s="372"><f>N394&lt;Y394</f><v /></c><c r="AW394" s="372"><f>Z394&lt;=AK394</f><v /></c><c r="AX394" s="372"><f>IF(I394&gt;=1,"Qcorrecto",IF(AND(AY394="aceptable",AZ394="aceptable",BA394="aceptable"),"Qcorrecto","Qincorrecto"))</f><v /></c><c r="AY394" s="390"><f>IF(AR394&lt;$AH$6,"error",IF(AR394&gt;$AH$6*1.1,"error","aceptable"))</f><v /></c><c r="AZ394" s="390"><f>IF(AF394&lt;$V$6,"error",IF(AF394&gt;$V$6*1.1,"error","aceptable"))</f><v /></c><c r="BA394" s="390"><f>IF(T394&lt;$J$6*0.9,"error",IF(T394&gt;$J$6,"error","aceptable"))</f><v /></c><c r="BB394" s="25"><f>(IF(ABS(U394)&lt;1.05,"CONFORME",IF(ABS(AG394)&lt;1.05,"CONFORME",IF(ABS(AS394)&lt;2.55,"CONFORME","NO CONFORME"))))</f><v /></c><c r="BC394" s="5"><f>(IF(ABS(U394)&gt;2.05,"NO CONFORME",IF(ABS(AG394)&gt;2.05,"NO CONFORME",IF(ABS(AS394)&gt;5.05,"NO CONFORME","CONFORME"))))</f><v /></c><c r="BD394" s="374"><f>SIGN(U394)</f><v /></c><c r="BE394" s="374"><f>SIGN(AG394)</f><v /></c><c r="BF394" s="374"><f>SIGN(AS394)</f><v /></c><c r="BG394" s="374"><f>CONCATENATE(BD394,BE394,BF394)</f><v /></c><c r="BH394" s="374"><f>IF(BG394="111","SI","SD")</f><v /></c><c r="BI394" s="374"><f>IF(BG394="-1-1-1","SI","SD")</f><v /></c><c r="BJ394" s="374"><f>OR(BH394="SI",BI394="SI")</f><v /></c><c r="BK394" s="374"><f>IF(BJ394=FALSE,"SIGDIFERENTES","SIGIGUALES")</f><v /></c><c r="BL394" s="390"><f>IF(BC394="NO CONFORME","NO CONFORME",IF(BB394="CONFORME","CONFORME","NO CONFORME"))</f><v /></c></row><row r="395" ht="15" customHeight="1" thickBot="1"><c r="A395" s="443" t="n"><v>387</v></c><c r="B395" s="375"><f>B394</f><v /></c><c r="C395" s="375"><f>C394</f><v /></c><c r="D395" s="376"><f>D394</f><v /></c><c r="E395" s="377"><f>E394</f><v /></c><c r="F395" s="13" t="n" /><c r="G395" s="337" t="inlineStr"><is><t>PA25517223</t></is></c><c r="H395" s="313"><f>H394</f><v /></c><c r="I395" s="38"><f>I394</f><v /></c><c r="J395" s="314"><f>J394</f><v /></c><c r="K395" s="378"><f>K394</f><v /></c><c r="L395" s="378"><f>L394</f><v /></c><c r="M395" s="379" t="n"><v>103</v></c><c r="N395" s="379" t="n"><v>202.75</v></c><c r="O395" s="380"><f>O394</f><v /></c><c r="P395" s="381"><f>P394</f><v /></c><c r="Q395" s="382"><f>LEFT(P395,1)</f><v /></c><c r="R395" s="382"><f>RIGHT(P395,6)</f><v /></c><c r="S395" s="382"><f>+(Q395*60+R395)/(60*60)</f><v /></c><c r="T395" s="383"><f>+O395/S395</f><v /></c><c r="U395" s="384"><f>+(((N395-M395-O395)/O395)*100)</f><v /></c><c r="V395" s="317"><f>V394</f><v /></c><c r="W395" s="385"><f>W394</f><v /></c><c r="X395" s="385"><f>X394</f><v /></c><c r="Y395" s="379" t="n"><v>208.4</v></c><c r="Z395" s="379" t="n"><v>218.37</v></c><c r="AA395" s="386"><f>AA394</f><v /></c><c r="AB395" s="387"><f>AB394</f><v /></c><c r="AC395" s="382"><f>LEFT(AB395,2)</f><v /></c><c r="AD395" s="382"><f>RIGHT(AB395,6)</f><v /></c><c r="AE395" s="382"><f>+(AC395*60+AD395)/(60*60)</f><v /></c><c r="AF395" s="383"><f>+AA395/AE395</f><v /></c><c r="AG395" s="321"><f>+(((Z395-Y395-AA395)/AA395)*100)</f><v /></c><c r="AH395" s="317"><f>AH394</f><v /></c><c r="AI395" s="385"><f>AI394</f><v /></c><c r="AJ395" s="385"><f>AJ394</f><v /></c><c r="AK395" s="379"><f>Z395</f><v /></c><c r="AL395" s="379" t="n"><v>223.32</v></c><c r="AM395" s="388"><f>AM394</f><v /></c><c r="AN395" s="381"><f>AN394</f><v /></c><c r="AO395" s="382"><f>LEFT(AN395,2)</f><v /></c><c r="AP395" s="382"><f>RIGHT(AN395,6)</f><v /></c><c r="AQ395" s="382"><f>+(AO395*60+AP395)/(60*60)</f><v /></c><c r="AR395" s="383"><f>+AM395/AQ395</f><v /></c><c r="AS395" s="321"><f>+(((AL395-AK395-AM395)/AM395)*100)</f><v /></c><c r="AT395" s="389"><f>IF(I395&gt;=1,"NO CONFORME",IF(BK395="SIGDIFERENTES",BC395,BL395))</f><v /></c><c r="AU395" s="372"><f>B395=C395</f><v /></c><c r="AV395" s="372"><f>N395&lt;Y395</f><v /></c><c r="AW395" s="372"><f>Z395&lt;=AK395</f><v /></c><c r="AX395" s="372"><f>IF(I395&gt;=1,"Qcorrecto",IF(AND(AY395="aceptable",AZ395="aceptable",BA395="aceptable"),"Qcorrecto","Qincorrecto"))</f><v /></c><c r="AY395" s="390"><f>IF(AR395&lt;$AH$6,"error",IF(AR395&gt;$AH$6*1.1,"error","aceptable"))</f><v /></c><c r="AZ395" s="390"><f>IF(AF395&lt;$V$6,"error",IF(AF395&gt;$V$6*1.1,"error","aceptable"))</f><v /></c><c r="BA395" s="390"><f>IF(T395&lt;$J$6*0.9,"error",IF(T395&gt;$J$6,"error","aceptable"))</f><v /></c><c r="BB395" s="25"><f>(IF(ABS(U395)&lt;1.05,"CONFORME",IF(ABS(AG395)&lt;1.05,"CONFORME",IF(ABS(AS395)&lt;2.55,"CONFORME","NO CONFORME"))))</f><v /></c><c r="BC395" s="5"><f>(IF(ABS(U395)&gt;2.05,"NO CONFORME",IF(ABS(AG395)&gt;2.05,"NO CONFORME",IF(ABS(AS395)&gt;5.05,"NO CONFORME","CONFORME"))))</f><v /></c><c r="BD395" s="374"><f>SIGN(U395)</f><v /></c><c r="BE395" s="374"><f>SIGN(AG395)</f><v /></c><c r="BF395" s="374"><f>SIGN(AS395)</f><v /></c><c r="BG395" s="374"><f>CONCATENATE(BD395,BE395,BF395)</f><v /></c><c r="BH395" s="374"><f>IF(BG395="111","SI","SD")</f><v /></c><c r="BI395" s="374"><f>IF(BG395="-1-1-1","SI","SD")</f><v /></c><c r="BJ395" s="374"><f>OR(BH395="SI",BI395="SI")</f><v /></c><c r="BK395" s="374"><f>IF(BJ395=FALSE,"SIGDIFERENTES","SIGIGUALES")</f><v /></c><c r="BL395" s="390"><f>IF(BC395="NO CONFORME","NO CONFORME",IF(BB395="CONFORME","CONFORME","NO CONFORME"))</f><v /></c></row><row r="396" ht="15" customHeight="1" thickBot="1"><c r="A396" s="443" t="n"><v>388</v></c><c r="B396" s="375"><f>B395</f><v /></c><c r="C396" s="375"><f>C395</f><v /></c><c r="D396" s="376"><f>D395</f><v /></c><c r="E396" s="377"><f>E395</f><v /></c><c r="F396" s="13" t="n" /><c r="G396" s="337" t="inlineStr"><is><t>PA25517224</t></is></c><c r="H396" s="313"><f>H395</f><v /></c><c r="I396" s="38"><f>I395</f><v /></c><c r="J396" s="314"><f>J395</f><v /></c><c r="K396" s="378"><f>K395</f><v /></c><c r="L396" s="378"><f>L395</f><v /></c><c r="M396" s="379" t="n"><v>106.45</v></c><c r="N396" s="379" t="n"><v>206.46</v></c><c r="O396" s="380"><f>O395</f><v /></c><c r="P396" s="381"><f>P395</f><v /></c><c r="Q396" s="382"><f>LEFT(P396,1)</f><v /></c><c r="R396" s="382"><f>RIGHT(P396,6)</f><v /></c><c r="S396" s="382"><f>+(Q396*60+R396)/(60*60)</f><v /></c><c r="T396" s="383"><f>+O396/S396</f><v /></c><c r="U396" s="384"><f>+(((N396-M396-O396)/O396)*100)</f><v /></c><c r="V396" s="317"><f>V395</f><v /></c><c r="W396" s="385"><f>W395</f><v /></c><c r="X396" s="385"><f>X395</f><v /></c><c r="Y396" s="379" t="n"><v>212.1</v></c><c r="Z396" s="379" t="n"><v>222.1</v></c><c r="AA396" s="386"><f>AA395</f><v /></c><c r="AB396" s="387"><f>AB395</f><v /></c><c r="AC396" s="382"><f>LEFT(AB396,2)</f><v /></c><c r="AD396" s="382"><f>RIGHT(AB396,6)</f><v /></c><c r="AE396" s="382"><f>+(AC396*60+AD396)/(60*60)</f><v /></c><c r="AF396" s="383"><f>+AA396/AE396</f><v /></c><c r="AG396" s="321"><f>+(((Z396-Y396-AA396)/AA396)*100)</f><v /></c><c r="AH396" s="317"><f>AH395</f><v /></c><c r="AI396" s="385"><f>AI395</f><v /></c><c r="AJ396" s="385"><f>AJ395</f><v /></c><c r="AK396" s="379"><f>Z396</f><v /></c><c r="AL396" s="379" t="n"><v>227.15</v></c><c r="AM396" s="388"><f>AM395</f><v /></c><c r="AN396" s="381"><f>AN395</f><v /></c><c r="AO396" s="382"><f>LEFT(AN396,2)</f><v /></c><c r="AP396" s="382"><f>RIGHT(AN396,6)</f><v /></c><c r="AQ396" s="382"><f>+(AO396*60+AP396)/(60*60)</f><v /></c><c r="AR396" s="383"><f>+AM396/AQ396</f><v /></c><c r="AS396" s="321"><f>+(((AL396-AK396-AM396)/AM396)*100)</f><v /></c><c r="AT396" s="389"><f>IF(I396&gt;=1,"NO CONFORME",IF(BK396="SIGDIFERENTES",BC396,BL396))</f><v /></c><c r="AU396" s="372"><f>B396=C396</f><v /></c><c r="AV396" s="372"><f>N396&lt;Y396</f><v /></c><c r="AW396" s="372"><f>Z396&lt;=AK396</f><v /></c><c r="AX396" s="372"><f>IF(I396&gt;=1,"Qcorrecto",IF(AND(AY396="aceptable",AZ396="aceptable",BA396="aceptable"),"Qcorrecto","Qincorrecto"))</f><v /></c><c r="AY396" s="390"><f>IF(AR396&lt;$AH$6,"error",IF(AR396&gt;$AH$6*1.1,"error","aceptable"))</f><v /></c><c r="AZ396" s="390"><f>IF(AF396&lt;$V$6,"error",IF(AF396&gt;$V$6*1.1,"error","aceptable"))</f><v /></c><c r="BA396" s="390"><f>IF(T396&lt;$J$6*0.9,"error",IF(T396&gt;$J$6,"error","aceptable"))</f><v /></c><c r="BB396" s="25"><f>(IF(ABS(U396)&lt;1.05,"CONFORME",IF(ABS(AG396)&lt;1.05,"CONFORME",IF(ABS(AS396)&lt;2.55,"CONFORME","NO CONFORME"))))</f><v /></c><c r="BC396" s="5"><f>(IF(ABS(U396)&gt;2.05,"NO CONFORME",IF(ABS(AG396)&gt;2.05,"NO CONFORME",IF(ABS(AS396)&gt;5.05,"NO CONFORME","CONFORME"))))</f><v /></c><c r="BD396" s="374"><f>SIGN(U396)</f><v /></c><c r="BE396" s="374"><f>SIGN(AG396)</f><v /></c><c r="BF396" s="374"><f>SIGN(AS396)</f><v /></c><c r="BG396" s="374"><f>CONCATENATE(BD396,BE396,BF396)</f><v /></c><c r="BH396" s="374"><f>IF(BG396="111","SI","SD")</f><v /></c><c r="BI396" s="374"><f>IF(BG396="-1-1-1","SI","SD")</f><v /></c><c r="BJ396" s="374"><f>OR(BH396="SI",BI396="SI")</f><v /></c><c r="BK396" s="374"><f>IF(BJ396=FALSE,"SIGDIFERENTES","SIGIGUALES")</f><v /></c><c r="BL396" s="390"><f>IF(BC396="NO CONFORME","NO CONFORME",IF(BB396="CONFORME","CONFORME","NO CONFORME"))</f><v /></c></row><row r="397" ht="15" customHeight="1" thickBot="1"><c r="A397" s="443" t="n"><v>389</v></c><c r="B397" s="375"><f>B396</f><v /></c><c r="C397" s="375"><f>C396</f><v /></c><c r="D397" s="376"><f>D396</f><v /></c><c r="E397" s="377"><f>E396</f><v /></c><c r="F397" s="13" t="n" /><c r="G397" s="337" t="inlineStr"><is><t>PA25517225</t></is></c><c r="H397" s="313"><f>H396</f><v /></c><c r="I397" s="38"><f>I396</f><v /></c><c r="J397" s="314"><f>J396</f><v /></c><c r="K397" s="378"><f>K396</f><v /></c><c r="L397" s="378"><f>L396</f><v /></c><c r="M397" s="379" t="n"><v>105.64</v></c><c r="N397" s="379" t="n"><v>205.56</v></c><c r="O397" s="380"><f>O396</f><v /></c><c r="P397" s="381"><f>P396</f><v /></c><c r="Q397" s="382"><f>LEFT(P397,1)</f><v /></c><c r="R397" s="382"><f>RIGHT(P397,6)</f><v /></c><c r="S397" s="382"><f>+(Q397*60+R397)/(60*60)</f><v /></c><c r="T397" s="383"><f>+O397/S397</f><v /></c><c r="U397" s="384"><f>+(((N397-M397-O397)/O397)*100)</f><v /></c><c r="V397" s="317"><f>V396</f><v /></c><c r="W397" s="385"><f>W396</f><v /></c><c r="X397" s="385"><f>X396</f><v /></c><c r="Y397" s="379" t="n"><v>211.2</v></c><c r="Z397" s="379" t="n"><v>221.15</v></c><c r="AA397" s="386"><f>AA396</f><v /></c><c r="AB397" s="387"><f>AB396</f><v /></c><c r="AC397" s="382"><f>LEFT(AB397,2)</f><v /></c><c r="AD397" s="382"><f>RIGHT(AB397,6)</f><v /></c><c r="AE397" s="382"><f>+(AC397*60+AD397)/(60*60)</f><v /></c><c r="AF397" s="383"><f>+AA397/AE397</f><v /></c><c r="AG397" s="321"><f>+(((Z397-Y397-AA397)/AA397)*100)</f><v /></c><c r="AH397" s="317"><f>AH396</f><v /></c><c r="AI397" s="385"><f>AI396</f><v /></c><c r="AJ397" s="385"><f>AJ396</f><v /></c><c r="AK397" s="379"><f>Z397</f><v /></c><c r="AL397" s="379" t="n"><v>226.16</v></c><c r="AM397" s="388"><f>AM396</f><v /></c><c r="AN397" s="381"><f>AN396</f><v /></c><c r="AO397" s="382"><f>LEFT(AN397,2)</f><v /></c><c r="AP397" s="382"><f>RIGHT(AN397,6)</f><v /></c><c r="AQ397" s="382"><f>+(AO397*60+AP397)/(60*60)</f><v /></c><c r="AR397" s="383"><f>+AM397/AQ397</f><v /></c><c r="AS397" s="321"><f>+(((AL397-AK397-AM397)/AM397)*100)</f><v /></c><c r="AT397" s="389"><f>IF(I397&gt;=1,"NO CONFORME",IF(BK397="SIGDIFERENTES",BC397,BL397))</f><v /></c><c r="AU397" s="372"><f>B397=C397</f><v /></c><c r="AV397" s="372"><f>N397&lt;Y397</f><v /></c><c r="AW397" s="372"><f>Z397&lt;=AK397</f><v /></c><c r="AX397" s="372"><f>IF(I397&gt;=1,"Qcorrecto",IF(AND(AY397="aceptable",AZ397="aceptable",BA397="aceptable"),"Qcorrecto","Qincorrecto"))</f><v /></c><c r="AY397" s="390"><f>IF(AR397&lt;$AH$6,"error",IF(AR397&gt;$AH$6*1.1,"error","aceptable"))</f><v /></c><c r="AZ397" s="390"><f>IF(AF397&lt;$V$6,"error",IF(AF397&gt;$V$6*1.1,"error","aceptable"))</f><v /></c><c r="BA397" s="390"><f>IF(T397&lt;$J$6*0.9,"error",IF(T397&gt;$J$6,"error","aceptable"))</f><v /></c><c r="BB397" s="25"><f>(IF(ABS(U397)&lt;1.05,"CONFORME",IF(ABS(AG397)&lt;1.05,"CONFORME",IF(ABS(AS397)&lt;2.55,"CONFORME","NO CONFORME"))))</f><v /></c><c r="BC397" s="5"><f>(IF(ABS(U397)&gt;2.05,"NO CONFORME",IF(ABS(AG397)&gt;2.05,"NO CONFORME",IF(ABS(AS397)&gt;5.05,"NO CONFORME","CONFORME"))))</f><v /></c><c r="BD397" s="374"><f>SIGN(U397)</f><v /></c><c r="BE397" s="374"><f>SIGN(AG397)</f><v /></c><c r="BF397" s="374"><f>SIGN(AS397)</f><v /></c><c r="BG397" s="374"><f>CONCATENATE(BD397,BE397,BF397)</f><v /></c><c r="BH397" s="374"><f>IF(BG397="111","SI","SD")</f><v /></c><c r="BI397" s="374"><f>IF(BG397="-1-1-1","SI","SD")</f><v /></c><c r="BJ397" s="374"><f>OR(BH397="SI",BI397="SI")</f><v /></c><c r="BK397" s="374"><f>IF(BJ397=FALSE,"SIGDIFERENTES","SIGIGUALES")</f><v /></c><c r="BL397" s="390"><f>IF(BC397="NO CONFORME","NO CONFORME",IF(BB397="CONFORME","CONFORME","NO CONFORME"))</f><v /></c></row><row r="398" ht="15" customHeight="1" thickBot="1"><c r="A398" s="443" t="n"><v>390</v></c><c r="B398" s="375"><f>B397</f><v /></c><c r="C398" s="375"><f>C397</f><v /></c><c r="D398" s="376"><f>D397</f><v /></c><c r="E398" s="377"><f>E397</f><v /></c><c r="F398" s="13" t="n" /><c r="G398" s="337" t="inlineStr"><is><t>PA25517226</t></is></c><c r="H398" s="313"><f>H397</f><v /></c><c r="I398" s="38"><f>I397</f><v /></c><c r="J398" s="314"><f>J397</f><v /></c><c r="K398" s="378"><f>K397</f><v /></c><c r="L398" s="378"><f>L397</f><v /></c><c r="M398" s="379" t="n"><v>107.2</v></c><c r="N398" s="379" t="n"><v>207.9</v></c><c r="O398" s="380"><f>O397</f><v /></c><c r="P398" s="381"><f>P397</f><v /></c><c r="Q398" s="382"><f>LEFT(P398,1)</f><v /></c><c r="R398" s="382"><f>RIGHT(P398,6)</f><v /></c><c r="S398" s="382"><f>+(Q398*60+R398)/(60*60)</f><v /></c><c r="T398" s="383"><f>+O398/S398</f><v /></c><c r="U398" s="384"><f>+(((N398-M398-O398)/O398)*100)</f><v /></c><c r="V398" s="317"><f>V397</f><v /></c><c r="W398" s="385"><f>W397</f><v /></c><c r="X398" s="385"><f>X397</f><v /></c><c r="Y398" s="379" t="n"><v>213.57</v></c><c r="Z398" s="379" t="n"><v>223.62</v></c><c r="AA398" s="386"><f>AA397</f><v /></c><c r="AB398" s="387"><f>AB397</f><v /></c><c r="AC398" s="382"><f>LEFT(AB398,2)</f><v /></c><c r="AD398" s="382"><f>RIGHT(AB398,6)</f><v /></c><c r="AE398" s="382"><f>+(AC398*60+AD398)/(60*60)</f><v /></c><c r="AF398" s="383"><f>+AA398/AE398</f><v /></c><c r="AG398" s="321"><f>+(((Z398-Y398-AA398)/AA398)*100)</f><v /></c><c r="AH398" s="317"><f>AH397</f><v /></c><c r="AI398" s="385"><f>AI397</f><v /></c><c r="AJ398" s="385"><f>AJ397</f><v /></c><c r="AK398" s="379"><f>Z398</f><v /></c><c r="AL398" s="379" t="n"><v>228.7</v></c><c r="AM398" s="388"><f>AM397</f><v /></c><c r="AN398" s="381"><f>AN397</f><v /></c><c r="AO398" s="382"><f>LEFT(AN398,2)</f><v /></c><c r="AP398" s="382"><f>RIGHT(AN398,6)</f><v /></c><c r="AQ398" s="382"><f>+(AO398*60+AP398)/(60*60)</f><v /></c><c r="AR398" s="383"><f>+AM398/AQ398</f><v /></c><c r="AS398" s="321"><f>+(((AL398-AK398-AM398)/AM398)*100)</f><v /></c><c r="AT398" s="389"><f>IF(I398&gt;=1,"NO CONFORME",IF(BK398="SIGDIFERENTES",BC398,BL398))</f><v /></c><c r="AU398" s="372"><f>B398=C398</f><v /></c><c r="AV398" s="372"><f>N398&lt;Y398</f><v /></c><c r="AW398" s="372"><f>Z398&lt;=AK398</f><v /></c><c r="AX398" s="372"><f>IF(I398&gt;=1,"Qcorrecto",IF(AND(AY398="aceptable",AZ398="aceptable",BA398="aceptable"),"Qcorrecto","Qincorrecto"))</f><v /></c><c r="AY398" s="390"><f>IF(AR398&lt;$AH$6,"error",IF(AR398&gt;$AH$6*1.1,"error","aceptable"))</f><v /></c><c r="AZ398" s="390"><f>IF(AF398&lt;$V$6,"error",IF(AF398&gt;$V$6*1.1,"error","aceptable"))</f><v /></c><c r="BA398" s="390"><f>IF(T398&lt;$J$6*0.9,"error",IF(T398&gt;$J$6,"error","aceptable"))</f><v /></c><c r="BB398" s="25"><f>(IF(ABS(U398)&lt;1.05,"CONFORME",IF(ABS(AG398)&lt;1.05,"CONFORME",IF(ABS(AS398)&lt;2.55,"CONFORME","NO CONFORME"))))</f><v /></c><c r="BC398" s="5"><f>(IF(ABS(U398)&gt;2.05,"NO CONFORME",IF(ABS(AG398)&gt;2.05,"NO CONFORME",IF(ABS(AS398)&gt;5.05,"NO CONFORME","CONFORME"))))</f><v /></c><c r="BD398" s="374"><f>SIGN(U398)</f><v /></c><c r="BE398" s="374"><f>SIGN(AG398)</f><v /></c><c r="BF398" s="374"><f>SIGN(AS398)</f><v /></c><c r="BG398" s="374"><f>CONCATENATE(BD398,BE398,BF398)</f><v /></c><c r="BH398" s="374"><f>IF(BG398="111","SI","SD")</f><v /></c><c r="BI398" s="374"><f>IF(BG398="-1-1-1","SI","SD")</f><v /></c><c r="BJ398" s="374"><f>OR(BH398="SI",BI398="SI")</f><v /></c><c r="BK398" s="374"><f>IF(BJ398=FALSE,"SIGDIFERENTES","SIGIGUALES")</f><v /></c><c r="BL398" s="390"><f>IF(BC398="NO CONFORME","NO CONFORME",IF(BB398="CONFORME","CONFORME","NO CONFORME"))</f><v /></c></row><row r="399" ht="15" customHeight="1" thickBot="1"><c r="A399" s="443" t="n"><v>391</v></c><c r="B399" s="375"><f>B398</f><v /></c><c r="C399" s="375"><f>C398</f><v /></c><c r="D399" s="376"><f>D398</f><v /></c><c r="E399" s="377"><f>E398</f><v /></c><c r="F399" s="13" t="n" /><c r="G399" s="337" t="inlineStr"><is><t>PA25517227</t></is></c><c r="H399" s="313"><f>H398</f><v /></c><c r="I399" s="38"><f>I398</f><v /></c><c r="J399" s="314"><f>J398</f><v /></c><c r="K399" s="378"><f>K398</f><v /></c><c r="L399" s="378"><f>L398</f><v /></c><c r="M399" s="379" t="n"><v>106.43</v></c><c r="N399" s="379" t="n"><v>206.84</v></c><c r="O399" s="380"><f>O398</f><v /></c><c r="P399" s="381"><f>P398</f><v /></c><c r="Q399" s="382"><f>LEFT(P399,1)</f><v /></c><c r="R399" s="382"><f>RIGHT(P399,6)</f><v /></c><c r="S399" s="382"><f>+(Q399*60+R399)/(60*60)</f><v /></c><c r="T399" s="383"><f>+O399/S399</f><v /></c><c r="U399" s="384"><f>+(((N399-M399-O399)/O399)*100)</f><v /></c><c r="V399" s="317"><f>V398</f><v /></c><c r="W399" s="385"><f>W398</f><v /></c><c r="X399" s="385"><f>X398</f><v /></c><c r="Y399" s="379" t="n"><v>212.51</v></c><c r="Z399" s="379" t="n"><v>222.51</v></c><c r="AA399" s="386"><f>AA398</f><v /></c><c r="AB399" s="387"><f>AB398</f><v /></c><c r="AC399" s="382"><f>LEFT(AB399,2)</f><v /></c><c r="AD399" s="382"><f>RIGHT(AB399,6)</f><v /></c><c r="AE399" s="382"><f>+(AC399*60+AD399)/(60*60)</f><v /></c><c r="AF399" s="383"><f>+AA399/AE399</f><v /></c><c r="AG399" s="321"><f>+(((Z399-Y399-AA399)/AA399)*100)</f><v /></c><c r="AH399" s="317"><f>AH398</f><v /></c><c r="AI399" s="385"><f>AI398</f><v /></c><c r="AJ399" s="385"><f>AJ398</f><v /></c><c r="AK399" s="379"><f>Z399</f><v /></c><c r="AL399" s="379" t="n"><v>227.56</v></c><c r="AM399" s="388"><f>AM398</f><v /></c><c r="AN399" s="381"><f>AN398</f><v /></c><c r="AO399" s="382"><f>LEFT(AN399,2)</f><v /></c><c r="AP399" s="382"><f>RIGHT(AN399,6)</f><v /></c><c r="AQ399" s="382"><f>+(AO399*60+AP399)/(60*60)</f><v /></c><c r="AR399" s="383"><f>+AM399/AQ399</f><v /></c><c r="AS399" s="321"><f>+(((AL399-AK399-AM399)/AM399)*100)</f><v /></c><c r="AT399" s="389"><f>IF(I399&gt;=1,"NO CONFORME",IF(BK399="SIGDIFERENTES",BC399,BL399))</f><v /></c><c r="AU399" s="372"><f>B399=C399</f><v /></c><c r="AV399" s="372"><f>N399&lt;Y399</f><v /></c><c r="AW399" s="372"><f>Z399&lt;=AK399</f><v /></c><c r="AX399" s="372"><f>IF(I399&gt;=1,"Qcorrecto",IF(AND(AY399="aceptable",AZ399="aceptable",BA399="aceptable"),"Qcorrecto","Qincorrecto"))</f><v /></c><c r="AY399" s="390"><f>IF(AR399&lt;$AH$6,"error",IF(AR399&gt;$AH$6*1.1,"error","aceptable"))</f><v /></c><c r="AZ399" s="390"><f>IF(AF399&lt;$V$6,"error",IF(AF399&gt;$V$6*1.1,"error","aceptable"))</f><v /></c><c r="BA399" s="390"><f>IF(T399&lt;$J$6*0.9,"error",IF(T399&gt;$J$6,"error","aceptable"))</f><v /></c><c r="BB399" s="25"><f>(IF(ABS(U399)&lt;1.05,"CONFORME",IF(ABS(AG399)&lt;1.05,"CONFORME",IF(ABS(AS399)&lt;2.55,"CONFORME","NO CONFORME"))))</f><v /></c><c r="BC399" s="5"><f>(IF(ABS(U399)&gt;2.05,"NO CONFORME",IF(ABS(AG399)&gt;2.05,"NO CONFORME",IF(ABS(AS399)&gt;5.05,"NO CONFORME","CONFORME"))))</f><v /></c><c r="BD399" s="374"><f>SIGN(U399)</f><v /></c><c r="BE399" s="374"><f>SIGN(AG399)</f><v /></c><c r="BF399" s="374"><f>SIGN(AS399)</f><v /></c><c r="BG399" s="374"><f>CONCATENATE(BD399,BE399,BF399)</f><v /></c><c r="BH399" s="374"><f>IF(BG399="111","SI","SD")</f><v /></c><c r="BI399" s="374"><f>IF(BG399="-1-1-1","SI","SD")</f><v /></c><c r="BJ399" s="374"><f>OR(BH399="SI",BI399="SI")</f><v /></c><c r="BK399" s="374"><f>IF(BJ399=FALSE,"SIGDIFERENTES","SIGIGUALES")</f><v /></c><c r="BL399" s="390"><f>IF(BC399="NO CONFORME","NO CONFORME",IF(BB399="CONFORME","CONFORME","NO CONFORME"))</f><v /></c></row><row r="400" ht="15" customHeight="1" thickBot="1"><c r="A400" s="443" t="n"><v>392</v></c><c r="B400" s="375"><f>B399</f><v /></c><c r="C400" s="375"><f>C399</f><v /></c><c r="D400" s="376"><f>D399</f><v /></c><c r="E400" s="377"><f>E399</f><v /></c><c r="F400" s="13" t="n" /><c r="G400" s="337" t="inlineStr"><is><t>PA25517228</t></is></c><c r="H400" s="313"><f>H399</f><v /></c><c r="I400" s="38"><f>I399</f><v /></c><c r="J400" s="314"><f>J399</f><v /></c><c r="K400" s="378"><f>K399</f><v /></c><c r="L400" s="378"><f>L399</f><v /></c><c r="M400" s="379" t="n"><v>107.05</v></c><c r="N400" s="379" t="n"><v>207.25</v></c><c r="O400" s="380"><f>O399</f><v /></c><c r="P400" s="381"><f>P399</f><v /></c><c r="Q400" s="382"><f>LEFT(P400,1)</f><v /></c><c r="R400" s="382"><f>RIGHT(P400,6)</f><v /></c><c r="S400" s="382"><f>+(Q400*60+R400)/(60*60)</f><v /></c><c r="T400" s="383"><f>+O400/S400</f><v /></c><c r="U400" s="384"><f>+(((N400-M400-O400)/O400)*100)</f><v /></c><c r="V400" s="317"><f>V399</f><v /></c><c r="W400" s="385"><f>W399</f><v /></c><c r="X400" s="385"><f>X399</f><v /></c><c r="Y400" s="379" t="n"><v>212.89</v></c><c r="Z400" s="379" t="n"><v>222.91</v></c><c r="AA400" s="386"><f>AA399</f><v /></c><c r="AB400" s="387"><f>AB399</f><v /></c><c r="AC400" s="382"><f>LEFT(AB400,2)</f><v /></c><c r="AD400" s="382"><f>RIGHT(AB400,6)</f><v /></c><c r="AE400" s="382"><f>+(AC400*60+AD400)/(60*60)</f><v /></c><c r="AF400" s="383"><f>+AA400/AE400</f><v /></c><c r="AG400" s="321"><f>+(((Z400-Y400-AA400)/AA400)*100)</f><v /></c><c r="AH400" s="317"><f>AH399</f><v /></c><c r="AI400" s="385"><f>AI399</f><v /></c><c r="AJ400" s="385"><f>AJ399</f><v /></c><c r="AK400" s="379"><f>Z400</f><v /></c><c r="AL400" s="379" t="n"><v>228.02</v></c><c r="AM400" s="388"><f>AM399</f><v /></c><c r="AN400" s="381"><f>AN399</f><v /></c><c r="AO400" s="382"><f>LEFT(AN400,2)</f><v /></c><c r="AP400" s="382"><f>RIGHT(AN400,6)</f><v /></c><c r="AQ400" s="382"><f>+(AO400*60+AP400)/(60*60)</f><v /></c><c r="AR400" s="383"><f>+AM400/AQ400</f><v /></c><c r="AS400" s="321"><f>+(((AL400-AK400-AM400)/AM400)*100)</f><v /></c><c r="AT400" s="389"><f>IF(I400&gt;=1,"NO CONFORME",IF(BK400="SIGDIFERENTES",BC400,BL400))</f><v /></c><c r="AU400" s="372"><f>B400=C400</f><v /></c><c r="AV400" s="372"><f>N400&lt;Y400</f><v /></c><c r="AW400" s="372"><f>Z400&lt;=AK400</f><v /></c><c r="AX400" s="372"><f>IF(I400&gt;=1,"Qcorrecto",IF(AND(AY400="aceptable",AZ400="aceptable",BA400="aceptable"),"Qcorrecto","Qincorrecto"))</f><v /></c><c r="AY400" s="390"><f>IF(AR400&lt;$AH$6,"error",IF(AR400&gt;$AH$6*1.1,"error","aceptable"))</f><v /></c><c r="AZ400" s="390"><f>IF(AF400&lt;$V$6,"error",IF(AF400&gt;$V$6*1.1,"error","aceptable"))</f><v /></c><c r="BA400" s="390"><f>IF(T400&lt;$J$6*0.9,"error",IF(T400&gt;$J$6,"error","aceptable"))</f><v /></c><c r="BB400" s="25"><f>(IF(ABS(U400)&lt;1.05,"CONFORME",IF(ABS(AG400)&lt;1.05,"CONFORME",IF(ABS(AS400)&lt;2.55,"CONFORME","NO CONFORME"))))</f><v /></c><c r="BC400" s="5"><f>(IF(ABS(U400)&gt;2.05,"NO CONFORME",IF(ABS(AG400)&gt;2.05,"NO CONFORME",IF(ABS(AS400)&gt;5.05,"NO CONFORME","CONFORME"))))</f><v /></c><c r="BD400" s="374"><f>SIGN(U400)</f><v /></c><c r="BE400" s="374"><f>SIGN(AG400)</f><v /></c><c r="BF400" s="374"><f>SIGN(AS400)</f><v /></c><c r="BG400" s="374"><f>CONCATENATE(BD400,BE400,BF400)</f><v /></c><c r="BH400" s="374"><f>IF(BG400="111","SI","SD")</f><v /></c><c r="BI400" s="374"><f>IF(BG400="-1-1-1","SI","SD")</f><v /></c><c r="BJ400" s="374"><f>OR(BH400="SI",BI400="SI")</f><v /></c><c r="BK400" s="374"><f>IF(BJ400=FALSE,"SIGDIFERENTES","SIGIGUALES")</f><v /></c><c r="BL400" s="390"><f>IF(BC400="NO CONFORME","NO CONFORME",IF(BB400="CONFORME","CONFORME","NO CONFORME"))</f><v /></c></row><row r="401" ht="15" customHeight="1" thickBot="1"><c r="A401" s="443" t="n"><v>393</v></c><c r="B401" s="375"><f>B400</f><v /></c><c r="C401" s="375"><f>C400</f><v /></c><c r="D401" s="376"><f>D400</f><v /></c><c r="E401" s="377"><f>E400</f><v /></c><c r="F401" s="13" t="n" /><c r="G401" s="337" t="inlineStr"><is><t>PA25517229</t></is></c><c r="H401" s="313"><f>H400</f><v /></c><c r="I401" s="38"><f>I400</f><v /></c><c r="J401" s="314"><f>J400</f><v /></c><c r="K401" s="378"><f>K400</f><v /></c><c r="L401" s="378"><f>L400</f><v /></c><c r="M401" s="379" t="n"><v>108.7</v></c><c r="N401" s="379" t="n"><v>208.84</v></c><c r="O401" s="380"><f>O400</f><v /></c><c r="P401" s="381"><f>P400</f><v /></c><c r="Q401" s="382"><f>LEFT(P401,1)</f><v /></c><c r="R401" s="382"><f>RIGHT(P401,6)</f><v /></c><c r="S401" s="382"><f>+(Q401*60+R401)/(60*60)</f><v /></c><c r="T401" s="383"><f>+O401/S401</f><v /></c><c r="U401" s="384"><f>+(((N401-M401-O401)/O401)*100)</f><v /></c><c r="V401" s="317"><f>V400</f><v /></c><c r="W401" s="385"><f>W400</f><v /></c><c r="X401" s="385"><f>X400</f><v /></c><c r="Y401" s="379" t="n"><v>214.5</v></c><c r="Z401" s="379" t="n"><v>224.52</v></c><c r="AA401" s="386"><f>AA400</f><v /></c><c r="AB401" s="387"><f>AB400</f><v /></c><c r="AC401" s="382"><f>LEFT(AB401,2)</f><v /></c><c r="AD401" s="382"><f>RIGHT(AB401,6)</f><v /></c><c r="AE401" s="382"><f>+(AC401*60+AD401)/(60*60)</f><v /></c><c r="AF401" s="383"><f>+AA401/AE401</f><v /></c><c r="AG401" s="321"><f>+(((Z401-Y401-AA401)/AA401)*100)</f><v /></c><c r="AH401" s="317"><f>AH400</f><v /></c><c r="AI401" s="385"><f>AI400</f><v /></c><c r="AJ401" s="385"><f>AJ400</f><v /></c><c r="AK401" s="379"><f>Z401</f><v /></c><c r="AL401" s="379" t="n"><v>229.6</v></c><c r="AM401" s="388"><f>AM400</f><v /></c><c r="AN401" s="381"><f>AN400</f><v /></c><c r="AO401" s="382"><f>LEFT(AN401,2)</f><v /></c><c r="AP401" s="382"><f>RIGHT(AN401,6)</f><v /></c><c r="AQ401" s="382"><f>+(AO401*60+AP401)/(60*60)</f><v /></c><c r="AR401" s="383"><f>+AM401/AQ401</f><v /></c><c r="AS401" s="321"><f>+(((AL401-AK401-AM401)/AM401)*100)</f><v /></c><c r="AT401" s="389"><f>IF(I401&gt;=1,"NO CONFORME",IF(BK401="SIGDIFERENTES",BC401,BL401))</f><v /></c><c r="AU401" s="372"><f>B401=C401</f><v /></c><c r="AV401" s="372"><f>N401&lt;Y401</f><v /></c><c r="AW401" s="372"><f>Z401&lt;=AK401</f><v /></c><c r="AX401" s="372"><f>IF(I401&gt;=1,"Qcorrecto",IF(AND(AY401="aceptable",AZ401="aceptable",BA401="aceptable"),"Qcorrecto","Qincorrecto"))</f><v /></c><c r="AY401" s="390"><f>IF(AR401&lt;$AH$6,"error",IF(AR401&gt;$AH$6*1.1,"error","aceptable"))</f><v /></c><c r="AZ401" s="390"><f>IF(AF401&lt;$V$6,"error",IF(AF401&gt;$V$6*1.1,"error","aceptable"))</f><v /></c><c r="BA401" s="390"><f>IF(T401&lt;$J$6*0.9,"error",IF(T401&gt;$J$6,"error","aceptable"))</f><v /></c><c r="BB401" s="25"><f>(IF(ABS(U401)&lt;1.05,"CONFORME",IF(ABS(AG401)&lt;1.05,"CONFORME",IF(ABS(AS401)&lt;2.55,"CONFORME","NO CONFORME"))))</f><v /></c><c r="BC401" s="5"><f>(IF(ABS(U401)&gt;2.05,"NO CONFORME",IF(ABS(AG401)&gt;2.05,"NO CONFORME",IF(ABS(AS401)&gt;5.05,"NO CONFORME","CONFORME"))))</f><v /></c><c r="BD401" s="374"><f>SIGN(U401)</f><v /></c><c r="BE401" s="374"><f>SIGN(AG401)</f><v /></c><c r="BF401" s="374"><f>SIGN(AS401)</f><v /></c><c r="BG401" s="374"><f>CONCATENATE(BD401,BE401,BF401)</f><v /></c><c r="BH401" s="374"><f>IF(BG401="111","SI","SD")</f><v /></c><c r="BI401" s="374"><f>IF(BG401="-1-1-1","SI","SD")</f><v /></c><c r="BJ401" s="374"><f>OR(BH401="SI",BI401="SI")</f><v /></c><c r="BK401" s="374"><f>IF(BJ401=FALSE,"SIGDIFERENTES","SIGIGUALES")</f><v /></c><c r="BL401" s="390"><f>IF(BC401="NO CONFORME","NO CONFORME",IF(BB401="CONFORME","CONFORME","NO CONFORME"))</f><v /></c></row><row r="402" ht="15" customHeight="1" thickBot="1"><c r="A402" s="443" t="n"><v>394</v></c><c r="B402" s="375"><f>B401</f><v /></c><c r="C402" s="375"><f>C401</f><v /></c><c r="D402" s="376"><f>D401</f><v /></c><c r="E402" s="377"><f>E401</f><v /></c><c r="F402" s="13" t="n" /><c r="G402" s="337" t="inlineStr"><is><t>PA25517230</t></is></c><c r="H402" s="313"><f>H401</f><v /></c><c r="I402" s="38"><f>I401</f><v /></c><c r="J402" s="314"><f>J401</f><v /></c><c r="K402" s="378"><f>K401</f><v /></c><c r="L402" s="378"><f>L401</f><v /></c><c r="M402" s="379" t="n"><v>104.71</v></c><c r="N402" s="379" t="n"><v>205.2</v></c><c r="O402" s="380"><f>O401</f><v /></c><c r="P402" s="381"><f>P401</f><v /></c><c r="Q402" s="382"><f>LEFT(P402,1)</f><v /></c><c r="R402" s="382"><f>RIGHT(P402,6)</f><v /></c><c r="S402" s="382"><f>+(Q402*60+R402)/(60*60)</f><v /></c><c r="T402" s="383"><f>+O402/S402</f><v /></c><c r="U402" s="384"><f>+(((N402-M402-O402)/O402)*100)</f><v /></c><c r="V402" s="317"><f>V401</f><v /></c><c r="W402" s="385"><f>W401</f><v /></c><c r="X402" s="385"><f>X401</f><v /></c><c r="Y402" s="379" t="n"><v>210.82</v></c><c r="Z402" s="379" t="n"><v>220.85</v></c><c r="AA402" s="386"><f>AA401</f><v /></c><c r="AB402" s="387"><f>AB401</f><v /></c><c r="AC402" s="382"><f>LEFT(AB402,2)</f><v /></c><c r="AD402" s="382"><f>RIGHT(AB402,6)</f><v /></c><c r="AE402" s="382"><f>+(AC402*60+AD402)/(60*60)</f><v /></c><c r="AF402" s="383"><f>+AA402/AE402</f><v /></c><c r="AG402" s="321"><f>+(((Z402-Y402-AA402)/AA402)*100)</f><v /></c><c r="AH402" s="317"><f>AH401</f><v /></c><c r="AI402" s="385"><f>AI401</f><v /></c><c r="AJ402" s="385"><f>AJ401</f><v /></c><c r="AK402" s="379"><f>Z402</f><v /></c><c r="AL402" s="379" t="n"><v>225.93</v></c><c r="AM402" s="388"><f>AM401</f><v /></c><c r="AN402" s="381"><f>AN401</f><v /></c><c r="AO402" s="382"><f>LEFT(AN402,2)</f><v /></c><c r="AP402" s="382"><f>RIGHT(AN402,6)</f><v /></c><c r="AQ402" s="382"><f>+(AO402*60+AP402)/(60*60)</f><v /></c><c r="AR402" s="383"><f>+AM402/AQ402</f><v /></c><c r="AS402" s="321"><f>+(((AL402-AK402-AM402)/AM402)*100)</f><v /></c><c r="AT402" s="389"><f>IF(I402&gt;=1,"NO CONFORME",IF(BK402="SIGDIFERENTES",BC402,BL402))</f><v /></c><c r="AU402" s="372"><f>B402=C402</f><v /></c><c r="AV402" s="372"><f>N402&lt;Y402</f><v /></c><c r="AW402" s="372"><f>Z402&lt;=AK402</f><v /></c><c r="AX402" s="372"><f>IF(I402&gt;=1,"Qcorrecto",IF(AND(AY402="aceptable",AZ402="aceptable",BA402="aceptable"),"Qcorrecto","Qincorrecto"))</f><v /></c><c r="AY402" s="390"><f>IF(AR402&lt;$AH$6,"error",IF(AR402&gt;$AH$6*1.1,"error","aceptable"))</f><v /></c><c r="AZ402" s="390"><f>IF(AF402&lt;$V$6,"error",IF(AF402&gt;$V$6*1.1,"error","aceptable"))</f><v /></c><c r="BA402" s="390"><f>IF(T402&lt;$J$6*0.9,"error",IF(T402&gt;$J$6,"error","aceptable"))</f><v /></c><c r="BB402" s="25"><f>(IF(ABS(U402)&lt;1.05,"CONFORME",IF(ABS(AG402)&lt;1.05,"CONFORME",IF(ABS(AS402)&lt;2.55,"CONFORME","NO CONFORME"))))</f><v /></c><c r="BC402" s="5"><f>(IF(ABS(U402)&gt;2.05,"NO CONFORME",IF(ABS(AG402)&gt;2.05,"NO CONFORME",IF(ABS(AS402)&gt;5.05,"NO CONFORME","CONFORME"))))</f><v /></c><c r="BD402" s="374"><f>SIGN(U402)</f><v /></c><c r="BE402" s="374"><f>SIGN(AG402)</f><v /></c><c r="BF402" s="374"><f>SIGN(AS402)</f><v /></c><c r="BG402" s="374"><f>CONCATENATE(BD402,BE402,BF402)</f><v /></c><c r="BH402" s="374"><f>IF(BG402="111","SI","SD")</f><v /></c><c r="BI402" s="374"><f>IF(BG402="-1-1-1","SI","SD")</f><v /></c><c r="BJ402" s="374"><f>OR(BH402="SI",BI402="SI")</f><v /></c><c r="BK402" s="374"><f>IF(BJ402=FALSE,"SIGDIFERENTES","SIGIGUALES")</f><v /></c><c r="BL402" s="390"><f>IF(BC402="NO CONFORME","NO CONFORME",IF(BB402="CONFORME","CONFORME","NO CONFORME"))</f><v /></c></row><row r="403" ht="15" customHeight="1" thickBot="1"><c r="A403" s="443" t="n"><v>395</v></c><c r="B403" s="375"><f>B402</f><v /></c><c r="C403" s="375"><f>C402</f><v /></c><c r="D403" s="376"><f>D402</f><v /></c><c r="E403" s="377"><f>E402</f><v /></c><c r="F403" s="13" t="n" /><c r="G403" s="337" t="inlineStr"><is><t>PA25517231</t></is></c><c r="H403" s="313"><f>H402</f><v /></c><c r="I403" s="38"><f>I402</f><v /></c><c r="J403" s="314"><f>J402</f><v /></c><c r="K403" s="378"><f>K402</f><v /></c><c r="L403" s="378"><f>L402</f><v /></c><c r="M403" s="379" t="n"><v>108.2</v></c><c r="N403" s="379" t="n"><v>208.15</v></c><c r="O403" s="380"><f>O402</f><v /></c><c r="P403" s="381"><f>P402</f><v /></c><c r="Q403" s="382"><f>LEFT(P403,1)</f><v /></c><c r="R403" s="382"><f>RIGHT(P403,6)</f><v /></c><c r="S403" s="382"><f>+(Q403*60+R403)/(60*60)</f><v /></c><c r="T403" s="383"><f>+O403/S403</f><v /></c><c r="U403" s="384"><f>+(((N403-M403-O403)/O403)*100)</f><v /></c><c r="V403" s="317"><f>V402</f><v /></c><c r="W403" s="385"><f>W402</f><v /></c><c r="X403" s="385"><f>X402</f><v /></c><c r="Y403" s="379" t="n"><v>213.75</v></c><c r="Z403" s="379" t="n"><v>223.65</v></c><c r="AA403" s="386"><f>AA402</f><v /></c><c r="AB403" s="387"><f>AB402</f><v /></c><c r="AC403" s="382"><f>LEFT(AB403,2)</f><v /></c><c r="AD403" s="382"><f>RIGHT(AB403,6)</f><v /></c><c r="AE403" s="382"><f>+(AC403*60+AD403)/(60*60)</f><v /></c><c r="AF403" s="383"><f>+AA403/AE403</f><v /></c><c r="AG403" s="321"><f>+(((Z403-Y403-AA403)/AA403)*100)</f><v /></c><c r="AH403" s="317"><f>AH402</f><v /></c><c r="AI403" s="385"><f>AI402</f><v /></c><c r="AJ403" s="385"><f>AJ402</f><v /></c><c r="AK403" s="379"><f>Z403</f><v /></c><c r="AL403" s="379" t="n"><v>228.9</v></c><c r="AM403" s="388"><f>AM402</f><v /></c><c r="AN403" s="381"><f>AN402</f><v /></c><c r="AO403" s="382"><f>LEFT(AN403,2)</f><v /></c><c r="AP403" s="382"><f>RIGHT(AN403,6)</f><v /></c><c r="AQ403" s="382"><f>+(AO403*60+AP403)/(60*60)</f><v /></c><c r="AR403" s="383"><f>+AM403/AQ403</f><v /></c><c r="AS403" s="321"><f>+(((AL403-AK403-AM403)/AM403)*100)</f><v /></c><c r="AT403" s="389"><f>IF(I403&gt;=1,"NO CONFORME",IF(BK403="SIGDIFERENTES",BC403,BL403))</f><v /></c><c r="AU403" s="372"><f>B403=C403</f><v /></c><c r="AV403" s="372"><f>N403&lt;Y403</f><v /></c><c r="AW403" s="372"><f>Z403&lt;=AK403</f><v /></c><c r="AX403" s="372"><f>IF(I403&gt;=1,"Qcorrecto",IF(AND(AY403="aceptable",AZ403="aceptable",BA403="aceptable"),"Qcorrecto","Qincorrecto"))</f><v /></c><c r="AY403" s="390"><f>IF(AR403&lt;$AH$6,"error",IF(AR403&gt;$AH$6*1.1,"error","aceptable"))</f><v /></c><c r="AZ403" s="390"><f>IF(AF403&lt;$V$6,"error",IF(AF403&gt;$V$6*1.1,"error","aceptable"))</f><v /></c><c r="BA403" s="390"><f>IF(T403&lt;$J$6*0.9,"error",IF(T403&gt;$J$6,"error","aceptable"))</f><v /></c><c r="BB403" s="25"><f>(IF(ABS(U403)&lt;1.05,"CONFORME",IF(ABS(AG403)&lt;1.05,"CONFORME",IF(ABS(AS403)&lt;2.55,"CONFORME","NO CONFORME"))))</f><v /></c><c r="BC403" s="5"><f>(IF(ABS(U403)&gt;2.05,"NO CONFORME",IF(ABS(AG403)&gt;2.05,"NO CONFORME",IF(ABS(AS403)&gt;5.05,"NO CONFORME","CONFORME"))))</f><v /></c><c r="BD403" s="374"><f>SIGN(U403)</f><v /></c><c r="BE403" s="374"><f>SIGN(AG403)</f><v /></c><c r="BF403" s="374"><f>SIGN(AS403)</f><v /></c><c r="BG403" s="374"><f>CONCATENATE(BD403,BE403,BF403)</f><v /></c><c r="BH403" s="374"><f>IF(BG403="111","SI","SD")</f><v /></c><c r="BI403" s="374"><f>IF(BG403="-1-1-1","SI","SD")</f><v /></c><c r="BJ403" s="374"><f>OR(BH403="SI",BI403="SI")</f><v /></c><c r="BK403" s="374"><f>IF(BJ403=FALSE,"SIGDIFERENTES","SIGIGUALES")</f><v /></c><c r="BL403" s="390"><f>IF(BC403="NO CONFORME","NO CONFORME",IF(BB403="CONFORME","CONFORME","NO CONFORME"))</f><v /></c></row><row r="404" ht="15" customHeight="1" thickBot="1"><c r="A404" s="443" t="n"><v>396</v></c><c r="B404" s="375"><f>B403</f><v /></c><c r="C404" s="375"><f>C403</f><v /></c><c r="D404" s="376"><f>D403</f><v /></c><c r="E404" s="377"><f>E403</f><v /></c><c r="F404" s="13" t="n" /><c r="G404" s="337" t="inlineStr"><is><t>PA25517232</t></is></c><c r="H404" s="313"><f>H403</f><v /></c><c r="I404" s="38"><f>I403</f><v /></c><c r="J404" s="314"><f>J403</f><v /></c><c r="K404" s="378"><f>K403</f><v /></c><c r="L404" s="378"><f>L403</f><v /></c><c r="M404" s="379" t="n"><v>106.2</v></c><c r="N404" s="379" t="n"><v>205.68</v></c><c r="O404" s="380"><f>O403</f><v /></c><c r="P404" s="381"><f>P403</f><v /></c><c r="Q404" s="382"><f>LEFT(P404,1)</f><v /></c><c r="R404" s="382"><f>RIGHT(P404,6)</f><v /></c><c r="S404" s="382"><f>+(Q404*60+R404)/(60*60)</f><v /></c><c r="T404" s="383"><f>+O404/S404</f><v /></c><c r="U404" s="384"><f>+(((N404-M404-O404)/O404)*100)</f><v /></c><c r="V404" s="317"><f>V403</f><v /></c><c r="W404" s="385"><f>W403</f><v /></c><c r="X404" s="385"><f>X403</f><v /></c><c r="Y404" s="379" t="n"><v>211.3</v></c><c r="Z404" s="379" t="n"><v>221.25</v></c><c r="AA404" s="386"><f>AA403</f><v /></c><c r="AB404" s="387"><f>AB403</f><v /></c><c r="AC404" s="382"><f>LEFT(AB404,2)</f><v /></c><c r="AD404" s="382"><f>RIGHT(AB404,6)</f><v /></c><c r="AE404" s="382"><f>+(AC404*60+AD404)/(60*60)</f><v /></c><c r="AF404" s="383"><f>+AA404/AE404</f><v /></c><c r="AG404" s="321"><f>+(((Z404-Y404-AA404)/AA404)*100)</f><v /></c><c r="AH404" s="317"><f>AH403</f><v /></c><c r="AI404" s="385"><f>AI403</f><v /></c><c r="AJ404" s="385"><f>AJ403</f><v /></c><c r="AK404" s="379"><f>Z404</f><v /></c><c r="AL404" s="379" t="n"><v>226.26</v></c><c r="AM404" s="388"><f>AM403</f><v /></c><c r="AN404" s="381"><f>AN403</f><v /></c><c r="AO404" s="382"><f>LEFT(AN404,2)</f><v /></c><c r="AP404" s="382"><f>RIGHT(AN404,6)</f><v /></c><c r="AQ404" s="382"><f>+(AO404*60+AP404)/(60*60)</f><v /></c><c r="AR404" s="383"><f>+AM404/AQ404</f><v /></c><c r="AS404" s="321"><f>+(((AL404-AK404-AM404)/AM404)*100)</f><v /></c><c r="AT404" s="389"><f>IF(I404&gt;=1,"NO CONFORME",IF(BK404="SIGDIFERENTES",BC404,BL404))</f><v /></c><c r="AU404" s="372"><f>B404=C404</f><v /></c><c r="AV404" s="372"><f>N404&lt;Y404</f><v /></c><c r="AW404" s="372"><f>Z404&lt;=AK404</f><v /></c><c r="AX404" s="372"><f>IF(I404&gt;=1,"Qcorrecto",IF(AND(AY404="aceptable",AZ404="aceptable",BA404="aceptable"),"Qcorrecto","Qincorrecto"))</f><v /></c><c r="AY404" s="390"><f>IF(AR404&lt;$AH$6,"error",IF(AR404&gt;$AH$6*1.1,"error","aceptable"))</f><v /></c><c r="AZ404" s="390"><f>IF(AF404&lt;$V$6,"error",IF(AF404&gt;$V$6*1.1,"error","aceptable"))</f><v /></c><c r="BA404" s="390"><f>IF(T404&lt;$J$6*0.9,"error",IF(T404&gt;$J$6,"error","aceptable"))</f><v /></c><c r="BB404" s="25"><f>(IF(ABS(U404)&lt;1.05,"CONFORME",IF(ABS(AG404)&lt;1.05,"CONFORME",IF(ABS(AS404)&lt;2.55,"CONFORME","NO CONFORME"))))</f><v /></c><c r="BC404" s="5"><f>(IF(ABS(U404)&gt;2.05,"NO CONFORME",IF(ABS(AG404)&gt;2.05,"NO CONFORME",IF(ABS(AS404)&gt;5.05,"NO CONFORME","CONFORME"))))</f><v /></c><c r="BD404" s="374"><f>SIGN(U404)</f><v /></c><c r="BE404" s="374"><f>SIGN(AG404)</f><v /></c><c r="BF404" s="374"><f>SIGN(AS404)</f><v /></c><c r="BG404" s="374"><f>CONCATENATE(BD404,BE404,BF404)</f><v /></c><c r="BH404" s="374"><f>IF(BG404="111","SI","SD")</f><v /></c><c r="BI404" s="374"><f>IF(BG404="-1-1-1","SI","SD")</f><v /></c><c r="BJ404" s="374"><f>OR(BH404="SI",BI404="SI")</f><v /></c><c r="BK404" s="374"><f>IF(BJ404=FALSE,"SIGDIFERENTES","SIGIGUALES")</f><v /></c><c r="BL404" s="390"><f>IF(BC404="NO CONFORME","NO CONFORME",IF(BB404="CONFORME","CONFORME","NO CONFORME"))</f><v /></c></row><row r="405" ht="15" customHeight="1" thickBot="1"><c r="A405" s="443" t="n"><v>397</v></c><c r="B405" s="375"><f>B404</f><v /></c><c r="C405" s="375"><f>C404</f><v /></c><c r="D405" s="376"><f>D404</f><v /></c><c r="E405" s="377"><f>E404</f><v /></c><c r="F405" s="13" t="n" /><c r="G405" s="337" t="inlineStr"><is><t>PA25517233</t></is></c><c r="H405" s="313"><f>H404</f><v /></c><c r="I405" s="38"><f>I404</f><v /></c><c r="J405" s="314"><f>J404</f><v /></c><c r="K405" s="378"><f>K404</f><v /></c><c r="L405" s="378"><f>L404</f><v /></c><c r="M405" s="379" t="n"><v>108.94</v></c><c r="N405" s="379" t="n"><v>208.73</v></c><c r="O405" s="380"><f>O404</f><v /></c><c r="P405" s="381"><f>P404</f><v /></c><c r="Q405" s="382"><f>LEFT(P405,1)</f><v /></c><c r="R405" s="382"><f>RIGHT(P405,6)</f><v /></c><c r="S405" s="382"><f>+(Q405*60+R405)/(60*60)</f><v /></c><c r="T405" s="383"><f>+O405/S405</f><v /></c><c r="U405" s="384"><f>+(((N405-M405-O405)/O405)*100)</f><v /></c><c r="V405" s="317"><f>V404</f><v /></c><c r="W405" s="385"><f>W404</f><v /></c><c r="X405" s="385"><f>X404</f><v /></c><c r="Y405" s="379" t="n"><v>214.35</v></c><c r="Z405" s="379" t="n"><v>224.35</v></c><c r="AA405" s="386"><f>AA404</f><v /></c><c r="AB405" s="387"><f>AB404</f><v /></c><c r="AC405" s="382"><f>LEFT(AB405,2)</f><v /></c><c r="AD405" s="382"><f>RIGHT(AB405,6)</f><v /></c><c r="AE405" s="382"><f>+(AC405*60+AD405)/(60*60)</f><v /></c><c r="AF405" s="383"><f>+AA405/AE405</f><v /></c><c r="AG405" s="321"><f>+(((Z405-Y405-AA405)/AA405)*100)</f><v /></c><c r="AH405" s="317"><f>AH404</f><v /></c><c r="AI405" s="385"><f>AI404</f><v /></c><c r="AJ405" s="385"><f>AJ404</f><v /></c><c r="AK405" s="379"><f>Z405</f><v /></c><c r="AL405" s="379" t="n"><v>229.37</v></c><c r="AM405" s="388"><f>AM404</f><v /></c><c r="AN405" s="381"><f>AN404</f><v /></c><c r="AO405" s="382"><f>LEFT(AN405,2)</f><v /></c><c r="AP405" s="382"><f>RIGHT(AN405,6)</f><v /></c><c r="AQ405" s="382"><f>+(AO405*60+AP405)/(60*60)</f><v /></c><c r="AR405" s="383"><f>+AM405/AQ405</f><v /></c><c r="AS405" s="321"><f>+(((AL405-AK405-AM405)/AM405)*100)</f><v /></c><c r="AT405" s="389"><f>IF(I405&gt;=1,"NO CONFORME",IF(BK405="SIGDIFERENTES",BC405,BL405))</f><v /></c><c r="AU405" s="372"><f>B405=C405</f><v /></c><c r="AV405" s="372"><f>N405&lt;Y405</f><v /></c><c r="AW405" s="372"><f>Z405&lt;=AK405</f><v /></c><c r="AX405" s="372"><f>IF(I405&gt;=1,"Qcorrecto",IF(AND(AY405="aceptable",AZ405="aceptable",BA405="aceptable"),"Qcorrecto","Qincorrecto"))</f><v /></c><c r="AY405" s="390"><f>IF(AR405&lt;$AH$6,"error",IF(AR405&gt;$AH$6*1.1,"error","aceptable"))</f><v /></c><c r="AZ405" s="390"><f>IF(AF405&lt;$V$6,"error",IF(AF405&gt;$V$6*1.1,"error","aceptable"))</f><v /></c><c r="BA405" s="390"><f>IF(T405&lt;$J$6*0.9,"error",IF(T405&gt;$J$6,"error","aceptable"))</f><v /></c><c r="BB405" s="25"><f>(IF(ABS(U405)&lt;1.05,"CONFORME",IF(ABS(AG405)&lt;1.05,"CONFORME",IF(ABS(AS405)&lt;2.55,"CONFORME","NO CONFORME"))))</f><v /></c><c r="BC405" s="5"><f>(IF(ABS(U405)&gt;2.05,"NO CONFORME",IF(ABS(AG405)&gt;2.05,"NO CONFORME",IF(ABS(AS405)&gt;5.05,"NO CONFORME","CONFORME"))))</f><v /></c><c r="BD405" s="374"><f>SIGN(U405)</f><v /></c><c r="BE405" s="374"><f>SIGN(AG405)</f><v /></c><c r="BF405" s="374"><f>SIGN(AS405)</f><v /></c><c r="BG405" s="374"><f>CONCATENATE(BD405,BE405,BF405)</f><v /></c><c r="BH405" s="374"><f>IF(BG405="111","SI","SD")</f><v /></c><c r="BI405" s="374"><f>IF(BG405="-1-1-1","SI","SD")</f><v /></c><c r="BJ405" s="374"><f>OR(BH405="SI",BI405="SI")</f><v /></c><c r="BK405" s="374"><f>IF(BJ405=FALSE,"SIGDIFERENTES","SIGIGUALES")</f><v /></c><c r="BL405" s="390"><f>IF(BC405="NO CONFORME","NO CONFORME",IF(BB405="CONFORME","CONFORME","NO CONFORME"))</f><v /></c></row><row r="406" ht="15" customHeight="1" thickBot="1"><c r="A406" s="443" t="n"><v>398</v></c><c r="B406" s="375"><f>B405</f><v /></c><c r="C406" s="375"><f>C405</f><v /></c><c r="D406" s="376"><f>D405</f><v /></c><c r="E406" s="377"><f>E405</f><v /></c><c r="F406" s="13" t="n" /><c r="G406" s="337" t="inlineStr"><is><t>PA25517234</t></is></c><c r="H406" s="313"><f>H405</f><v /></c><c r="I406" s="38"><f>I405</f><v /></c><c r="J406" s="314"><f>J405</f><v /></c><c r="K406" s="378"><f>K405</f><v /></c><c r="L406" s="378"><f>L405</f><v /></c><c r="M406" s="379" t="n"><v>107.35</v></c><c r="N406" s="379" t="n"><v>207.6</v></c><c r="O406" s="380"><f>O405</f><v /></c><c r="P406" s="381"><f>P405</f><v /></c><c r="Q406" s="382"><f>LEFT(P406,1)</f><v /></c><c r="R406" s="382"><f>RIGHT(P406,6)</f><v /></c><c r="S406" s="382"><f>+(Q406*60+R406)/(60*60)</f><v /></c><c r="T406" s="383"><f>+O406/S406</f><v /></c><c r="U406" s="384"><f>+(((N406-M406-O406)/O406)*100)</f><v /></c><c r="V406" s="317"><f>V405</f><v /></c><c r="W406" s="385"><f>W405</f><v /></c><c r="X406" s="385"><f>X405</f><v /></c><c r="Y406" s="379" t="n"><v>213.27</v></c><c r="Z406" s="379" t="n"><v>223.3</v></c><c r="AA406" s="386"><f>AA405</f><v /></c><c r="AB406" s="387"><f>AB405</f><v /></c><c r="AC406" s="382"><f>LEFT(AB406,2)</f><v /></c><c r="AD406" s="382"><f>RIGHT(AB406,6)</f><v /></c><c r="AE406" s="382"><f>+(AC406*60+AD406)/(60*60)</f><v /></c><c r="AF406" s="383"><f>+AA406/AE406</f><v /></c><c r="AG406" s="321"><f>+(((Z406-Y406-AA406)/AA406)*100)</f><v /></c><c r="AH406" s="317"><f>AH405</f><v /></c><c r="AI406" s="385"><f>AI405</f><v /></c><c r="AJ406" s="385"><f>AJ405</f><v /></c><c r="AK406" s="379"><f>Z406</f><v /></c><c r="AL406" s="379" t="n"><v>228.37</v></c><c r="AM406" s="388"><f>AM405</f><v /></c><c r="AN406" s="381"><f>AN405</f><v /></c><c r="AO406" s="382"><f>LEFT(AN406,2)</f><v /></c><c r="AP406" s="382"><f>RIGHT(AN406,6)</f><v /></c><c r="AQ406" s="382"><f>+(AO406*60+AP406)/(60*60)</f><v /></c><c r="AR406" s="383"><f>+AM406/AQ406</f><v /></c><c r="AS406" s="321"><f>+(((AL406-AK406-AM406)/AM406)*100)</f><v /></c><c r="AT406" s="389"><f>IF(I406&gt;=1,"NO CONFORME",IF(BK406="SIGDIFERENTES",BC406,BL406))</f><v /></c><c r="AU406" s="372"><f>B406=C406</f><v /></c><c r="AV406" s="372"><f>N406&lt;Y406</f><v /></c><c r="AW406" s="372"><f>Z406&lt;=AK406</f><v /></c><c r="AX406" s="372"><f>IF(I406&gt;=1,"Qcorrecto",IF(AND(AY406="aceptable",AZ406="aceptable",BA406="aceptable"),"Qcorrecto","Qincorrecto"))</f><v /></c><c r="AY406" s="390"><f>IF(AR406&lt;$AH$6,"error",IF(AR406&gt;$AH$6*1.1,"error","aceptable"))</f><v /></c><c r="AZ406" s="390"><f>IF(AF406&lt;$V$6,"error",IF(AF406&gt;$V$6*1.1,"error","aceptable"))</f><v /></c><c r="BA406" s="390"><f>IF(T406&lt;$J$6*0.9,"error",IF(T406&gt;$J$6,"error","aceptable"))</f><v /></c><c r="BB406" s="25"><f>(IF(ABS(U406)&lt;1.05,"CONFORME",IF(ABS(AG406)&lt;1.05,"CONFORME",IF(ABS(AS406)&lt;2.55,"CONFORME","NO CONFORME"))))</f><v /></c><c r="BC406" s="5"><f>(IF(ABS(U406)&gt;2.05,"NO CONFORME",IF(ABS(AG406)&gt;2.05,"NO CONFORME",IF(ABS(AS406)&gt;5.05,"NO CONFORME","CONFORME"))))</f><v /></c><c r="BD406" s="374"><f>SIGN(U406)</f><v /></c><c r="BE406" s="374"><f>SIGN(AG406)</f><v /></c><c r="BF406" s="374"><f>SIGN(AS406)</f><v /></c><c r="BG406" s="374"><f>CONCATENATE(BD406,BE406,BF406)</f><v /></c><c r="BH406" s="374"><f>IF(BG406="111","SI","SD")</f><v /></c><c r="BI406" s="374"><f>IF(BG406="-1-1-1","SI","SD")</f><v /></c><c r="BJ406" s="374"><f>OR(BH406="SI",BI406="SI")</f><v /></c><c r="BK406" s="374"><f>IF(BJ406=FALSE,"SIGDIFERENTES","SIGIGUALES")</f><v /></c><c r="BL406" s="390"><f>IF(BC406="NO CONFORME","NO CONFORME",IF(BB406="CONFORME","CONFORME","NO CONFORME"))</f><v /></c></row><row r="407" ht="15" customHeight="1" thickBot="1"><c r="A407" s="445" t="n"><v>399</v></c><c r="B407" s="392"><f>B406</f><v /></c><c r="C407" s="392"><f>C406</f><v /></c><c r="D407" s="393"><f>D406</f><v /></c><c r="E407" s="394"><f>E406</f><v /></c><c r="F407" s="52" t="n" /><c r="G407" s="337" t="inlineStr"><is><t>PA25517235</t></is></c><c r="H407" s="326"><f>H406</f><v /></c><c r="I407" s="98"><f>I406</f><v /></c><c r="J407" s="327"><f>J406</f><v /></c><c r="K407" s="396"><f>K406</f><v /></c><c r="L407" s="396"><f>L406</f><v /></c><c r="M407" s="397" t="n"><v>106</v></c><c r="N407" s="397" t="n"><v>206.61</v></c><c r="O407" s="398"><f>O406</f><v /></c><c r="P407" s="399"><f>P406</f><v /></c><c r="Q407" s="400"><f>LEFT(P407,1)</f><v /></c><c r="R407" s="400"><f>RIGHT(P407,6)</f><v /></c><c r="S407" s="400"><f>+(Q407*60+R407)/(60*60)</f><v /></c><c r="T407" s="401"><f>+O407/S407</f><v /></c><c r="U407" s="402"><f>+(((N407-M407-O407)/O407)*100)</f><v /></c><c r="V407" s="329"><f>V406</f><v /></c><c r="W407" s="403"><f>W406</f><v /></c><c r="X407" s="403"><f>X406</f><v /></c><c r="Y407" s="397" t="n"><v>212.3</v></c><c r="Z407" s="397" t="n"><v>222.36</v></c><c r="AA407" s="404"><f>AA406</f><v /></c><c r="AB407" s="405"><f>AB406</f><v /></c><c r="AC407" s="400"><f>LEFT(AB407,2)</f><v /></c><c r="AD407" s="400"><f>RIGHT(AB407,6)</f><v /></c><c r="AE407" s="400"><f>+(AC407*60+AD407)/(60*60)</f><v /></c><c r="AF407" s="401"><f>+AA407/AE407</f><v /></c><c r="AG407" s="406"><f>+(((Z407-Y407-AA407)/AA407)*100)</f><v /></c><c r="AH407" s="329"><f>AH406</f><v /></c><c r="AI407" s="403"><f>AI406</f><v /></c><c r="AJ407" s="403"><f>AJ406</f><v /></c><c r="AK407" s="397"><f>Z407</f><v /></c><c r="AL407" s="397" t="n"><v>227.4</v></c><c r="AM407" s="407"><f>AM406</f><v /></c><c r="AN407" s="399"><f>AN406</f><v /></c><c r="AO407" s="400"><f>LEFT(AN407,2)</f><v /></c><c r="AP407" s="400"><f>RIGHT(AN407,6)</f><v /></c><c r="AQ407" s="400"><f>+(AO407*60+AP407)/(60*60)</f><v /></c><c r="AR407" s="401"><f>+AM407/AQ407</f><v /></c><c r="AS407" s="406"><f>+(((AL407-AK407-AM407)/AM407)*100)</f><v /></c><c r="AT407" s="408"><f>IF(I407&gt;=1,"NO CONFORME",IF(BK407="SIGDIFERENTES",BC407,BL407))</f><v /></c><c r="AU407" s="409"><f>B407=C407</f><v /></c><c r="AV407" s="409"><f>N407&lt;Y407</f><v /></c><c r="AW407" s="409"><f>Z407&lt;=AK407</f><v /></c><c r="AX407" s="409"><f>IF(I407&gt;=1,"Qcorrecto",IF(AND(AY407="aceptable",AZ407="aceptable",BA407="aceptable"),"Qcorrecto","Qincorrecto"))</f><v /></c><c r="AY407" s="410"><f>IF(AR407&lt;$AH$6,"error",IF(AR407&gt;$AH$6*1.1,"error","aceptable"))</f><v /></c><c r="AZ407" s="410"><f>IF(AF407&lt;$V$6,"error",IF(AF407&gt;$V$6*1.1,"error","aceptable"))</f><v /></c><c r="BA407" s="410"><f>IF(T407&lt;$J$6*0.9,"error",IF(T407&gt;$J$6,"error","aceptable"))</f><v /></c><c r="BB407" s="411"><f>(IF(ABS(U407)&lt;1.05,"CONFORME",IF(ABS(AG407)&lt;1.05,"CONFORME",IF(ABS(AS407)&lt;2.55,"CONFORME","NO CONFORME"))))</f><v /></c><c r="BC407" s="412"><f>(IF(ABS(U407)&gt;2.05,"NO CONFORME",IF(ABS(AG407)&gt;2.05,"NO CONFORME",IF(ABS(AS407)&gt;5.05,"NO CONFORME","CONFORME"))))</f><v /></c><c r="BD407" s="413"><f>SIGN(U407)</f><v /></c><c r="BE407" s="413"><f>SIGN(AG407)</f><v /></c><c r="BF407" s="413"><f>SIGN(AS407)</f><v /></c><c r="BG407" s="413"><f>CONCATENATE(BD407,BE407,BF407)</f><v /></c><c r="BH407" s="413"><f>IF(BG407="111","SI","SD")</f><v /></c><c r="BI407" s="413"><f>IF(BG407="-1-1-1","SI","SD")</f><v /></c><c r="BJ407" s="413"><f>OR(BH407="SI",BI407="SI")</f><v /></c><c r="BK407" s="413"><f>IF(BJ407=FALSE,"SIGDIFERENTES","SIGIGUALES")</f><v /></c><c r="BL407" s="410"><f>IF(BC407="NO CONFORME","NO CONFORME",IF(BB407="CONFORME","CONFORME","NO CONFORME"))</f><v /></c></row><row r="408" ht="15" customHeight="1" thickBot="1"><c r="A408" s="351" t="n"><v>400</v></c><c r="B408" s="352"><f>B407</f><v /></c><c r="C408" s="352"><f>C407</f><v /></c><c r="D408" s="353"><f>D407</f><v /></c><c r="E408" s="354"><f>E407</f><v /></c><c r="F408" s="58" t="n" /><c r="G408" s="337" t="inlineStr"><is><t>PA25517236</t></is></c><c r="H408" s="356"><f>H407</f><v /></c><c r="I408" s="232"><f>I407</f><v /></c><c r="J408" s="357" t="n"><v>21.3</v></c><c r="K408" s="358" t="n"><v>7.889</v></c><c r="L408" s="358" t="n"><v>0.556</v></c><c r="M408" s="359" t="n"><v>106.25</v></c><c r="N408" s="359" t="n"><v>206.15</v></c><c r="O408" s="360" t="n"><v>100.6</v></c><c r="P408" s="361" t="inlineStr"><is><t>2,30,980</t></is></c><c r="Q408" s="362"><f>LEFT(P408,1)</f><v /></c><c r="R408" s="362"><f>RIGHT(P408,6)</f><v /></c><c r="S408" s="362"><f>+(Q408*60+R408)/(60*60)</f><v /></c><c r="T408" s="363"><f>+O408/S408</f><v /></c><c r="U408" s="364"><f>+(((N408-M408-O408)/O408)*100)</f><v /></c><c r="V408" s="365" t="n"><v>21.2</v></c><c r="W408" s="366" t="n"><v>1.508</v></c><c r="X408" s="366" t="n"><v>1.504</v></c><c r="Y408" s="359" t="n"><v>214.03</v></c><c r="Z408" s="359" t="n"><v>224</v></c><c r="AA408" s="367" t="n"><v>10.01</v></c><c r="AB408" s="368" t="inlineStr"><is><t>22,12,050</t></is></c><c r="AC408" s="362"><f>LEFT(AB408,2)</f><v /></c><c r="AD408" s="362"><f>RIGHT(AB408,6)</f><v /></c><c r="AE408" s="362"><f>+(AC408*60+AD408)/(60*60)</f><v /></c><c r="AF408" s="363"><f>+AA408/AE408</f><v /></c><c r="AG408" s="369"><f>+(((Z408-Y408-AA408)/AA408)*100)</f><v /></c><c r="AH408" s="365" t="n"><v>21</v></c><c r="AI408" s="366" t="n"><v>1.509</v></c><c r="AJ408" s="366" t="n"><v>1.507</v></c><c r="AK408" s="359"><f>Z408</f><v /></c><c r="AL408" s="359" t="n"><v>229.02</v></c><c r="AM408" s="370" t="n"><v>5.015</v></c><c r="AN408" s="361" t="inlineStr"><is><t>17,58,370</t></is></c><c r="AO408" s="362"><f>LEFT(AN408,2)</f><v /></c><c r="AP408" s="362"><f>RIGHT(AN408,6)</f><v /></c><c r="AQ408" s="362"><f>+(AO408*60+AP408)/(60*60)</f><v /></c><c r="AR408" s="363"><f>+AM408/AQ408</f><v /></c><c r="AS408" s="369"><f>+(((AL408-AK408-AM408)/AM408)*100)</f><v /></c><c r="AT408" s="371"><f>IF(I408&gt;=1,"NO CONFORME",IF(BK408="SIGDIFERENTES",BC408,BL408))</f><v /></c><c r="AU408" s="372"><f>B408=C408</f><v /></c><c r="AV408" s="372"><f>N408&lt;Y408</f><v /></c><c r="AW408" s="372"><f>Z408&lt;=AK408</f><v /></c><c r="AX408" s="372"><f>IF(I408&gt;=1,"Qcorrecto",IF(AND(AY408="aceptable",AZ408="aceptable",BA408="aceptable"),"Qcorrecto","Qincorrecto"))</f><v /></c><c r="AY408" s="373"><f>IF(AR408&lt;$AH$6,"error",IF(AR408&gt;$AH$6*1.1,"error","aceptable"))</f><v /></c><c r="AZ408" s="373"><f>IF(AF408&lt;$V$6,"error",IF(AF408&gt;$V$6*1.1,"error","aceptable"))</f><v /></c><c r="BA408" s="373"><f>IF(T408&lt;$J$6*0.9,"error",IF(T408&gt;$J$6,"error","aceptable"))</f><v /></c><c r="BB408" s="25"><f>(IF(ABS(U408)&lt;1.05,"CONFORME",IF(ABS(AG408)&lt;1.05,"CONFORME",IF(ABS(AS408)&lt;2.55,"CONFORME","NO CONFORME"))))</f><v /></c><c r="BC408" s="5"><f>(IF(ABS(U408)&gt;2.05,"NO CONFORME",IF(ABS(AG408)&gt;2.05,"NO CONFORME",IF(ABS(AS408)&gt;5.05,"NO CONFORME","CONFORME"))))</f><v /></c><c r="BD408" s="374"><f>SIGN(U408)</f><v /></c><c r="BE408" s="374"><f>SIGN(AG408)</f><v /></c><c r="BF408" s="374"><f>SIGN(AS408)</f><v /></c><c r="BG408" s="374"><f>CONCATENATE(BD408,BE408,BF408)</f><v /></c><c r="BH408" s="374"><f>IF(BG408="111","SI","SD")</f><v /></c><c r="BI408" s="374"><f>IF(BG408="-1-1-1","SI","SD")</f><v /></c><c r="BJ408" s="374"><f>OR(BH408="SI",BI408="SI")</f><v /></c><c r="BK408" s="374"><f>IF(BJ408=FALSE,"SIGDIFERENTES","SIGIGUALES")</f><v /></c><c r="BL408" s="373"><f>IF(BC408="NO CONFORME","NO CONFORME",IF(BB408="CONFORME","CONFORME","NO CONFORME"))</f><v /></c></row><row r="409" ht="15" customHeight="1" thickBot="1"><c r="A409" s="443" t="n"><v>401</v></c><c r="B409" s="375"><f>B408</f><v /></c><c r="C409" s="375"><f>C408</f><v /></c><c r="D409" s="376"><f>D408</f><v /></c><c r="E409" s="377"><f>E408</f><v /></c><c r="F409" s="13" t="n" /><c r="G409" s="337" t="inlineStr"><is><t>PA25517237</t></is></c><c r="H409" s="313"><f>H408</f><v /></c><c r="I409" s="38"><f>I408</f><v /></c><c r="J409" s="314"><f>J408</f><v /></c><c r="K409" s="378"><f>K408</f><v /></c><c r="L409" s="378"><f>L408</f><v /></c><c r="M409" s="379" t="n"><v>103.8</v></c><c r="N409" s="379" t="n"><v>203.12</v></c><c r="O409" s="380"><f>O408</f><v /></c><c r="P409" s="381"><f>P408</f><v /></c><c r="Q409" s="382"><f>LEFT(P409,1)</f><v /></c><c r="R409" s="382"><f>RIGHT(P409,6)</f><v /></c><c r="S409" s="382"><f>+(Q409*60+R409)/(60*60)</f><v /></c><c r="T409" s="383"><f>+O409/S409</f><v /></c><c r="U409" s="384"><f>+(((N409-M409-O409)/O409)*100)</f><v /></c><c r="V409" s="317"><f>V408</f><v /></c><c r="W409" s="385"><f>W408</f><v /></c><c r="X409" s="385"><f>X408</f><v /></c><c r="Y409" s="379" t="n"><v>210.96</v></c><c r="Z409" s="379" t="n"><v>220.85</v></c><c r="AA409" s="386"><f>AA408</f><v /></c><c r="AB409" s="387"><f>AB408</f><v /></c><c r="AC409" s="382"><f>LEFT(AB409,2)</f><v /></c><c r="AD409" s="382"><f>RIGHT(AB409,6)</f><v /></c><c r="AE409" s="382"><f>+(AC409*60+AD409)/(60*60)</f><v /></c><c r="AF409" s="383"><f>+AA409/AE409</f><v /></c><c r="AG409" s="321"><f>+(((Z409-Y409-AA409)/AA409)*100)</f><v /></c><c r="AH409" s="317"><f>AH408</f><v /></c><c r="AI409" s="385"><f>AI408</f><v /></c><c r="AJ409" s="385"><f>AJ408</f><v /></c><c r="AK409" s="379"><f>Z409</f><v /></c><c r="AL409" s="379" t="n"><v>225.85</v></c><c r="AM409" s="388"><f>AM408</f><v /></c><c r="AN409" s="381"><f>AN408</f><v /></c><c r="AO409" s="382"><f>LEFT(AN409,2)</f><v /></c><c r="AP409" s="382"><f>RIGHT(AN409,6)</f><v /></c><c r="AQ409" s="382"><f>+(AO409*60+AP409)/(60*60)</f><v /></c><c r="AR409" s="383"><f>+AM409/AQ409</f><v /></c><c r="AS409" s="321"><f>+(((AL409-AK409-AM409)/AM409)*100)</f><v /></c><c r="AT409" s="389"><f>IF(I409&gt;=1,"NO CONFORME",IF(BK409="SIGDIFERENTES",BC409,BL409))</f><v /></c><c r="AU409" s="372"><f>B409=C409</f><v /></c><c r="AV409" s="372"><f>N409&lt;Y409</f><v /></c><c r="AW409" s="372"><f>Z409&lt;=AK409</f><v /></c><c r="AX409" s="372"><f>IF(I409&gt;=1,"Qcorrecto",IF(AND(AY409="aceptable",AZ409="aceptable",BA409="aceptable"),"Qcorrecto","Qincorrecto"))</f><v /></c><c r="AY409" s="390"><f>IF(AR409&lt;$AH$6,"error",IF(AR409&gt;$AH$6*1.1,"error","aceptable"))</f><v /></c><c r="AZ409" s="390"><f>IF(AF409&lt;$V$6,"error",IF(AF409&gt;$V$6*1.1,"error","aceptable"))</f><v /></c><c r="BA409" s="390"><f>IF(T409&lt;$J$6*0.9,"error",IF(T409&gt;$J$6,"error","aceptable"))</f><v /></c><c r="BB409" s="25"><f>(IF(ABS(U409)&lt;1.05,"CONFORME",IF(ABS(AG409)&lt;1.05,"CONFORME",IF(ABS(AS409)&lt;2.55,"CONFORME","NO CONFORME"))))</f><v /></c><c r="BC409" s="5"><f>(IF(ABS(U409)&gt;2.05,"NO CONFORME",IF(ABS(AG409)&gt;2.05,"NO CONFORME",IF(ABS(AS409)&gt;5.05,"NO CONFORME","CONFORME"))))</f><v /></c><c r="BD409" s="374"><f>SIGN(U409)</f><v /></c><c r="BE409" s="374"><f>SIGN(AG409)</f><v /></c><c r="BF409" s="374"><f>SIGN(AS409)</f><v /></c><c r="BG409" s="374"><f>CONCATENATE(BD409,BE409,BF409)</f><v /></c><c r="BH409" s="374"><f>IF(BG409="111","SI","SD")</f><v /></c><c r="BI409" s="374"><f>IF(BG409="-1-1-1","SI","SD")</f><v /></c><c r="BJ409" s="374"><f>OR(BH409="SI",BI409="SI")</f><v /></c><c r="BK409" s="374"><f>IF(BJ409=FALSE,"SIGDIFERENTES","SIGIGUALES")</f><v /></c><c r="BL409" s="390"><f>IF(BC409="NO CONFORME","NO CONFORME",IF(BB409="CONFORME","CONFORME","NO CONFORME"))</f><v /></c></row><row r="410" ht="15" customHeight="1" thickBot="1"><c r="A410" s="443" t="n"><v>402</v></c><c r="B410" s="375"><f>B409</f><v /></c><c r="C410" s="375"><f>C409</f><v /></c><c r="D410" s="376"><f>D409</f><v /></c><c r="E410" s="377"><f>E409</f><v /></c><c r="F410" s="13" t="n" /><c r="G410" s="337" t="inlineStr"><is><t>PA25517238</t></is></c><c r="H410" s="313"><f>H409</f><v /></c><c r="I410" s="38"><f>I409</f><v /></c><c r="J410" s="314"><f>J409</f><v /></c><c r="K410" s="378"><f>K409</f><v /></c><c r="L410" s="378"><f>L409</f><v /></c><c r="M410" s="379" t="n"><v>103.62</v></c><c r="N410" s="379" t="n"><v>203.74</v></c><c r="O410" s="380"><f>O409</f><v /></c><c r="P410" s="381"><f>P409</f><v /></c><c r="Q410" s="382"><f>LEFT(P410,1)</f><v /></c><c r="R410" s="382"><f>RIGHT(P410,6)</f><v /></c><c r="S410" s="382"><f>+(Q410*60+R410)/(60*60)</f><v /></c><c r="T410" s="383"><f>+O410/S410</f><v /></c><c r="U410" s="384"><f>+(((N410-M410-O410)/O410)*100)</f><v /></c><c r="V410" s="317"><f>V409</f><v /></c><c r="W410" s="385"><f>W409</f><v /></c><c r="X410" s="385"><f>X409</f><v /></c><c r="Y410" s="379" t="n"><v>211.65</v></c><c r="Z410" s="379" t="n"><v>221.7</v></c><c r="AA410" s="386"><f>AA409</f><v /></c><c r="AB410" s="387"><f>AB409</f><v /></c><c r="AC410" s="382"><f>LEFT(AB410,2)</f><v /></c><c r="AD410" s="382"><f>RIGHT(AB410,6)</f><v /></c><c r="AE410" s="382"><f>+(AC410*60+AD410)/(60*60)</f><v /></c><c r="AF410" s="383"><f>+AA410/AE410</f><v /></c><c r="AG410" s="321"><f>+(((Z410-Y410-AA410)/AA410)*100)</f><v /></c><c r="AH410" s="317"><f>AH409</f><v /></c><c r="AI410" s="385"><f>AI409</f><v /></c><c r="AJ410" s="385"><f>AJ409</f><v /></c><c r="AK410" s="379"><f>Z410</f><v /></c><c r="AL410" s="379" t="n"><v>226.78</v></c><c r="AM410" s="388"><f>AM409</f><v /></c><c r="AN410" s="381"><f>AN409</f><v /></c><c r="AO410" s="382"><f>LEFT(AN410,2)</f><v /></c><c r="AP410" s="382"><f>RIGHT(AN410,6)</f><v /></c><c r="AQ410" s="382"><f>+(AO410*60+AP410)/(60*60)</f><v /></c><c r="AR410" s="383"><f>+AM410/AQ410</f><v /></c><c r="AS410" s="321"><f>+(((AL410-AK410-AM410)/AM410)*100)</f><v /></c><c r="AT410" s="389"><f>IF(I410&gt;=1,"NO CONFORME",IF(BK410="SIGDIFERENTES",BC410,BL410))</f><v /></c><c r="AU410" s="372"><f>B410=C410</f><v /></c><c r="AV410" s="372"><f>N410&lt;Y410</f><v /></c><c r="AW410" s="372"><f>Z410&lt;=AK410</f><v /></c><c r="AX410" s="372"><f>IF(I410&gt;=1,"Qcorrecto",IF(AND(AY410="aceptable",AZ410="aceptable",BA410="aceptable"),"Qcorrecto","Qincorrecto"))</f><v /></c><c r="AY410" s="390"><f>IF(AR410&lt;$AH$6,"error",IF(AR410&gt;$AH$6*1.1,"error","aceptable"))</f><v /></c><c r="AZ410" s="390"><f>IF(AF410&lt;$V$6,"error",IF(AF410&gt;$V$6*1.1,"error","aceptable"))</f><v /></c><c r="BA410" s="390"><f>IF(T410&lt;$J$6*0.9,"error",IF(T410&gt;$J$6,"error","aceptable"))</f><v /></c><c r="BB410" s="25"><f>(IF(ABS(U410)&lt;1.05,"CONFORME",IF(ABS(AG410)&lt;1.05,"CONFORME",IF(ABS(AS410)&lt;2.55,"CONFORME","NO CONFORME"))))</f><v /></c><c r="BC410" s="5"><f>(IF(ABS(U410)&gt;2.05,"NO CONFORME",IF(ABS(AG410)&gt;2.05,"NO CONFORME",IF(ABS(AS410)&gt;5.05,"NO CONFORME","CONFORME"))))</f><v /></c><c r="BD410" s="374"><f>SIGN(U410)</f><v /></c><c r="BE410" s="374"><f>SIGN(AG410)</f><v /></c><c r="BF410" s="374"><f>SIGN(AS410)</f><v /></c><c r="BG410" s="374"><f>CONCATENATE(BD410,BE410,BF410)</f><v /></c><c r="BH410" s="374"><f>IF(BG410="111","SI","SD")</f><v /></c><c r="BI410" s="374"><f>IF(BG410="-1-1-1","SI","SD")</f><v /></c><c r="BJ410" s="374"><f>OR(BH410="SI",BI410="SI")</f><v /></c><c r="BK410" s="374"><f>IF(BJ410=FALSE,"SIGDIFERENTES","SIGIGUALES")</f><v /></c><c r="BL410" s="390"><f>IF(BC410="NO CONFORME","NO CONFORME",IF(BB410="CONFORME","CONFORME","NO CONFORME"))</f><v /></c></row><row r="411" ht="15" customHeight="1" thickBot="1"><c r="A411" s="443" t="n"><v>403</v></c><c r="B411" s="375"><f>B410</f><v /></c><c r="C411" s="375"><f>C410</f><v /></c><c r="D411" s="376"><f>D410</f><v /></c><c r="E411" s="377"><f>E410</f><v /></c><c r="F411" s="13" t="n" /><c r="G411" s="337" t="inlineStr"><is><t>PA25517239</t></is></c><c r="H411" s="313"><f>H410</f><v /></c><c r="I411" s="38"><f>I410</f><v /></c><c r="J411" s="314"><f>J410</f><v /></c><c r="K411" s="378"><f>K410</f><v /></c><c r="L411" s="378"><f>L410</f><v /></c><c r="M411" s="379" t="n"><v>108.6</v></c><c r="N411" s="379" t="n"><v>208.55</v></c><c r="O411" s="380"><f>O410</f><v /></c><c r="P411" s="381"><f>P410</f><v /></c><c r="Q411" s="382"><f>LEFT(P411,1)</f><v /></c><c r="R411" s="382"><f>RIGHT(P411,6)</f><v /></c><c r="S411" s="382"><f>+(Q411*60+R411)/(60*60)</f><v /></c><c r="T411" s="383"><f>+O411/S411</f><v /></c><c r="U411" s="384"><f>+(((N411-M411-O411)/O411)*100)</f><v /></c><c r="V411" s="317"><f>V410</f><v /></c><c r="W411" s="385"><f>W410</f><v /></c><c r="X411" s="385"><f>X410</f><v /></c><c r="Y411" s="379" t="n"><v>216.39</v></c><c r="Z411" s="379" t="n"><v>226.42</v></c><c r="AA411" s="386"><f>AA410</f><v /></c><c r="AB411" s="387"><f>AB410</f><v /></c><c r="AC411" s="382"><f>LEFT(AB411,2)</f><v /></c><c r="AD411" s="382"><f>RIGHT(AB411,6)</f><v /></c><c r="AE411" s="382"><f>+(AC411*60+AD411)/(60*60)</f><v /></c><c r="AF411" s="383"><f>+AA411/AE411</f><v /></c><c r="AG411" s="321"><f>+(((Z411-Y411-AA411)/AA411)*100)</f><v /></c><c r="AH411" s="317"><f>AH410</f><v /></c><c r="AI411" s="385"><f>AI410</f><v /></c><c r="AJ411" s="385"><f>AJ410</f><v /></c><c r="AK411" s="379"><f>Z411</f><v /></c><c r="AL411" s="379" t="n"><v>231.46</v></c><c r="AM411" s="388"><f>AM410</f><v /></c><c r="AN411" s="381"><f>AN410</f><v /></c><c r="AO411" s="382"><f>LEFT(AN411,2)</f><v /></c><c r="AP411" s="382"><f>RIGHT(AN411,6)</f><v /></c><c r="AQ411" s="382"><f>+(AO411*60+AP411)/(60*60)</f><v /></c><c r="AR411" s="383"><f>+AM411/AQ411</f><v /></c><c r="AS411" s="321"><f>+(((AL411-AK411-AM411)/AM411)*100)</f><v /></c><c r="AT411" s="389"><f>IF(I411&gt;=1,"NO CONFORME",IF(BK411="SIGDIFERENTES",BC411,BL411))</f><v /></c><c r="AU411" s="372"><f>B411=C411</f><v /></c><c r="AV411" s="372"><f>N411&lt;Y411</f><v /></c><c r="AW411" s="372"><f>Z411&lt;=AK411</f><v /></c><c r="AX411" s="372"><f>IF(I411&gt;=1,"Qcorrecto",IF(AND(AY411="aceptable",AZ411="aceptable",BA411="aceptable"),"Qcorrecto","Qincorrecto"))</f><v /></c><c r="AY411" s="390"><f>IF(AR411&lt;$AH$6,"error",IF(AR411&gt;$AH$6*1.1,"error","aceptable"))</f><v /></c><c r="AZ411" s="390"><f>IF(AF411&lt;$V$6,"error",IF(AF411&gt;$V$6*1.1,"error","aceptable"))</f><v /></c><c r="BA411" s="390"><f>IF(T411&lt;$J$6*0.9,"error",IF(T411&gt;$J$6,"error","aceptable"))</f><v /></c><c r="BB411" s="25"><f>(IF(ABS(U411)&lt;1.05,"CONFORME",IF(ABS(AG411)&lt;1.05,"CONFORME",IF(ABS(AS411)&lt;2.55,"CONFORME","NO CONFORME"))))</f><v /></c><c r="BC411" s="5"><f>(IF(ABS(U411)&gt;2.05,"NO CONFORME",IF(ABS(AG411)&gt;2.05,"NO CONFORME",IF(ABS(AS411)&gt;5.05,"NO CONFORME","CONFORME"))))</f><v /></c><c r="BD411" s="374"><f>SIGN(U411)</f><v /></c><c r="BE411" s="374"><f>SIGN(AG411)</f><v /></c><c r="BF411" s="374"><f>SIGN(AS411)</f><v /></c><c r="BG411" s="374"><f>CONCATENATE(BD411,BE411,BF411)</f><v /></c><c r="BH411" s="374"><f>IF(BG411="111","SI","SD")</f><v /></c><c r="BI411" s="374"><f>IF(BG411="-1-1-1","SI","SD")</f><v /></c><c r="BJ411" s="374"><f>OR(BH411="SI",BI411="SI")</f><v /></c><c r="BK411" s="374"><f>IF(BJ411=FALSE,"SIGDIFERENTES","SIGIGUALES")</f><v /></c><c r="BL411" s="390"><f>IF(BC411="NO CONFORME","NO CONFORME",IF(BB411="CONFORME","CONFORME","NO CONFORME"))</f><v /></c></row><row r="412" ht="15" customHeight="1" thickBot="1"><c r="A412" s="443" t="n"><v>404</v></c><c r="B412" s="375"><f>B411</f><v /></c><c r="C412" s="375"><f>C411</f><v /></c><c r="D412" s="376"><f>D411</f><v /></c><c r="E412" s="377"><f>E411</f><v /></c><c r="F412" s="13" t="n" /><c r="G412" s="337" t="inlineStr"><is><t>PA25517240</t></is></c><c r="H412" s="313"><f>H411</f><v /></c><c r="I412" s="38"><f>I411</f><v /></c><c r="J412" s="314"><f>J411</f><v /></c><c r="K412" s="378"><f>K411</f><v /></c><c r="L412" s="378"><f>L411</f><v /></c><c r="M412" s="379" t="n"><v>107.7</v></c><c r="N412" s="379" t="n"><v>207.95</v></c><c r="O412" s="380"><f>O411</f><v /></c><c r="P412" s="381"><f>P411</f><v /></c><c r="Q412" s="382"><f>LEFT(P412,1)</f><v /></c><c r="R412" s="382"><f>RIGHT(P412,6)</f><v /></c><c r="S412" s="382"><f>+(Q412*60+R412)/(60*60)</f><v /></c><c r="T412" s="383"><f>+O412/S412</f><v /></c><c r="U412" s="384"><f>+(((N412-M412-O412)/O412)*100)</f><v /></c><c r="V412" s="317"><f>V411</f><v /></c><c r="W412" s="385"><f>W411</f><v /></c><c r="X412" s="385"><f>X411</f><v /></c><c r="Y412" s="379" t="n"><v>215.85</v></c><c r="Z412" s="379" t="n"><v>225.71</v></c><c r="AA412" s="386"><f>AA411</f><v /></c><c r="AB412" s="387"><f>AB411</f><v /></c><c r="AC412" s="382"><f>LEFT(AB412,2)</f><v /></c><c r="AD412" s="382"><f>RIGHT(AB412,6)</f><v /></c><c r="AE412" s="382"><f>+(AC412*60+AD412)/(60*60)</f><v /></c><c r="AF412" s="383"><f>+AA412/AE412</f><v /></c><c r="AG412" s="321"><f>+(((Z412-Y412-AA412)/AA412)*100)</f><v /></c><c r="AH412" s="317"><f>AH411</f><v /></c><c r="AI412" s="385"><f>AI411</f><v /></c><c r="AJ412" s="385"><f>AJ411</f><v /></c><c r="AK412" s="379"><f>Z412</f><v /></c><c r="AL412" s="379" t="n"><v>230.65</v></c><c r="AM412" s="388"><f>AM411</f><v /></c><c r="AN412" s="381"><f>AN411</f><v /></c><c r="AO412" s="382"><f>LEFT(AN412,2)</f><v /></c><c r="AP412" s="382"><f>RIGHT(AN412,6)</f><v /></c><c r="AQ412" s="382"><f>+(AO412*60+AP412)/(60*60)</f><v /></c><c r="AR412" s="383"><f>+AM412/AQ412</f><v /></c><c r="AS412" s="321"><f>+(((AL412-AK412-AM412)/AM412)*100)</f><v /></c><c r="AT412" s="389"><f>IF(I412&gt;=1,"NO CONFORME",IF(BK412="SIGDIFERENTES",BC412,BL412))</f><v /></c><c r="AU412" s="372"><f>B412=C412</f><v /></c><c r="AV412" s="372"><f>N412&lt;Y412</f><v /></c><c r="AW412" s="372"><f>Z412&lt;=AK412</f><v /></c><c r="AX412" s="372"><f>IF(I412&gt;=1,"Qcorrecto",IF(AND(AY412="aceptable",AZ412="aceptable",BA412="aceptable"),"Qcorrecto","Qincorrecto"))</f><v /></c><c r="AY412" s="390"><f>IF(AR412&lt;$AH$6,"error",IF(AR412&gt;$AH$6*1.1,"error","aceptable"))</f><v /></c><c r="AZ412" s="390"><f>IF(AF412&lt;$V$6,"error",IF(AF412&gt;$V$6*1.1,"error","aceptable"))</f><v /></c><c r="BA412" s="390"><f>IF(T412&lt;$J$6*0.9,"error",IF(T412&gt;$J$6,"error","aceptable"))</f><v /></c><c r="BB412" s="25"><f>(IF(ABS(U412)&lt;1.05,"CONFORME",IF(ABS(AG412)&lt;1.05,"CONFORME",IF(ABS(AS412)&lt;2.55,"CONFORME","NO CONFORME"))))</f><v /></c><c r="BC412" s="5"><f>(IF(ABS(U412)&gt;2.05,"NO CONFORME",IF(ABS(AG412)&gt;2.05,"NO CONFORME",IF(ABS(AS412)&gt;5.05,"NO CONFORME","CONFORME"))))</f><v /></c><c r="BD412" s="374"><f>SIGN(U412)</f><v /></c><c r="BE412" s="374"><f>SIGN(AG412)</f><v /></c><c r="BF412" s="374"><f>SIGN(AS412)</f><v /></c><c r="BG412" s="374"><f>CONCATENATE(BD412,BE412,BF412)</f><v /></c><c r="BH412" s="374"><f>IF(BG412="111","SI","SD")</f><v /></c><c r="BI412" s="374"><f>IF(BG412="-1-1-1","SI","SD")</f><v /></c><c r="BJ412" s="374"><f>OR(BH412="SI",BI412="SI")</f><v /></c><c r="BK412" s="374"><f>IF(BJ412=FALSE,"SIGDIFERENTES","SIGIGUALES")</f><v /></c><c r="BL412" s="390"><f>IF(BC412="NO CONFORME","NO CONFORME",IF(BB412="CONFORME","CONFORME","NO CONFORME"))</f><v /></c></row><row r="413" ht="15" customHeight="1" thickBot="1"><c r="A413" s="443" t="n"><v>405</v></c><c r="B413" s="375"><f>B412</f><v /></c><c r="C413" s="375"><f>C412</f><v /></c><c r="D413" s="376"><f>D412</f><v /></c><c r="E413" s="377"><f>E412</f><v /></c><c r="F413" s="13" t="n" /><c r="G413" s="337" t="inlineStr"><is><t>PA25517241</t></is></c><c r="H413" s="313"><f>H412</f><v /></c><c r="I413" s="38"><f>I412</f><v /></c><c r="J413" s="314"><f>J412</f><v /></c><c r="K413" s="378"><f>K412</f><v /></c><c r="L413" s="378"><f>L412</f><v /></c><c r="M413" s="379" t="n"><v>107.4</v></c><c r="N413" s="379" t="n"><v>207.56</v></c><c r="O413" s="380"><f>O412</f><v /></c><c r="P413" s="381"><f>P412</f><v /></c><c r="Q413" s="382"><f>LEFT(P413,1)</f><v /></c><c r="R413" s="382"><f>RIGHT(P413,6)</f><v /></c><c r="S413" s="382"><f>+(Q413*60+R413)/(60*60)</f><v /></c><c r="T413" s="383"><f>+O413/S413</f><v /></c><c r="U413" s="384"><f>+(((N413-M413-O413)/O413)*100)</f><v /></c><c r="V413" s="317"><f>V412</f><v /></c><c r="W413" s="385"><f>W412</f><v /></c><c r="X413" s="385"><f>X412</f><v /></c><c r="Y413" s="379" t="n"><v>215.45</v></c><c r="Z413" s="379" t="n"><v>225.45</v></c><c r="AA413" s="386"><f>AA412</f><v /></c><c r="AB413" s="387"><f>AB412</f><v /></c><c r="AC413" s="382"><f>LEFT(AB413,2)</f><v /></c><c r="AD413" s="382"><f>RIGHT(AB413,6)</f><v /></c><c r="AE413" s="382"><f>+(AC413*60+AD413)/(60*60)</f><v /></c><c r="AF413" s="383"><f>+AA413/AE413</f><v /></c><c r="AG413" s="321"><f>+(((Z413-Y413-AA413)/AA413)*100)</f><v /></c><c r="AH413" s="317"><f>AH412</f><v /></c><c r="AI413" s="385"><f>AI412</f><v /></c><c r="AJ413" s="385"><f>AJ412</f><v /></c><c r="AK413" s="379"><f>Z413</f><v /></c><c r="AL413" s="379" t="n"><v>230.46</v></c><c r="AM413" s="388"><f>AM412</f><v /></c><c r="AN413" s="381"><f>AN412</f><v /></c><c r="AO413" s="382"><f>LEFT(AN413,2)</f><v /></c><c r="AP413" s="382"><f>RIGHT(AN413,6)</f><v /></c><c r="AQ413" s="382"><f>+(AO413*60+AP413)/(60*60)</f><v /></c><c r="AR413" s="383"><f>+AM413/AQ413</f><v /></c><c r="AS413" s="321"><f>+(((AL413-AK413-AM413)/AM413)*100)</f><v /></c><c r="AT413" s="389"><f>IF(I413&gt;=1,"NO CONFORME",IF(BK413="SIGDIFERENTES",BC413,BL413))</f><v /></c><c r="AU413" s="372"><f>B413=C413</f><v /></c><c r="AV413" s="372"><f>N413&lt;Y413</f><v /></c><c r="AW413" s="372"><f>Z413&lt;=AK413</f><v /></c><c r="AX413" s="372"><f>IF(I413&gt;=1,"Qcorrecto",IF(AND(AY413="aceptable",AZ413="aceptable",BA413="aceptable"),"Qcorrecto","Qincorrecto"))</f><v /></c><c r="AY413" s="390"><f>IF(AR413&lt;$AH$6,"error",IF(AR413&gt;$AH$6*1.1,"error","aceptable"))</f><v /></c><c r="AZ413" s="390"><f>IF(AF413&lt;$V$6,"error",IF(AF413&gt;$V$6*1.1,"error","aceptable"))</f><v /></c><c r="BA413" s="390"><f>IF(T413&lt;$J$6*0.9,"error",IF(T413&gt;$J$6,"error","aceptable"))</f><v /></c><c r="BB413" s="25"><f>(IF(ABS(U413)&lt;1.05,"CONFORME",IF(ABS(AG413)&lt;1.05,"CONFORME",IF(ABS(AS413)&lt;2.55,"CONFORME","NO CONFORME"))))</f><v /></c><c r="BC413" s="5"><f>(IF(ABS(U413)&gt;2.05,"NO CONFORME",IF(ABS(AG413)&gt;2.05,"NO CONFORME",IF(ABS(AS413)&gt;5.05,"NO CONFORME","CONFORME"))))</f><v /></c><c r="BD413" s="374"><f>SIGN(U413)</f><v /></c><c r="BE413" s="374"><f>SIGN(AG413)</f><v /></c><c r="BF413" s="374"><f>SIGN(AS413)</f><v /></c><c r="BG413" s="374"><f>CONCATENATE(BD413,BE413,BF413)</f><v /></c><c r="BH413" s="374"><f>IF(BG413="111","SI","SD")</f><v /></c><c r="BI413" s="374"><f>IF(BG413="-1-1-1","SI","SD")</f><v /></c><c r="BJ413" s="374"><f>OR(BH413="SI",BI413="SI")</f><v /></c><c r="BK413" s="374"><f>IF(BJ413=FALSE,"SIGDIFERENTES","SIGIGUALES")</f><v /></c><c r="BL413" s="390"><f>IF(BC413="NO CONFORME","NO CONFORME",IF(BB413="CONFORME","CONFORME","NO CONFORME"))</f><v /></c></row><row r="414" ht="15" customHeight="1" thickBot="1"><c r="A414" s="443" t="n"><v>406</v></c><c r="B414" s="375"><f>B413</f><v /></c><c r="C414" s="375"><f>C413</f><v /></c><c r="D414" s="376"><f>D413</f><v /></c><c r="E414" s="377"><f>E413</f><v /></c><c r="F414" s="13" t="n" /><c r="G414" s="337" t="inlineStr"><is><t>PA25517242</t></is></c><c r="H414" s="313"><f>H413</f><v /></c><c r="I414" s="38"><f>I413</f><v /></c><c r="J414" s="314"><f>J413</f><v /></c><c r="K414" s="378"><f>K413</f><v /></c><c r="L414" s="378"><f>L413</f><v /></c><c r="M414" s="379" t="n"><v>108.46</v></c><c r="N414" s="379" t="n"><v>208.5</v></c><c r="O414" s="380"><f>O413</f><v /></c><c r="P414" s="381"><f>P413</f><v /></c><c r="Q414" s="382"><f>LEFT(P414,1)</f><v /></c><c r="R414" s="382"><f>RIGHT(P414,6)</f><v /></c><c r="S414" s="382"><f>+(Q414*60+R414)/(60*60)</f><v /></c><c r="T414" s="383"><f>+O414/S414</f><v /></c><c r="U414" s="384"><f>+(((N414-M414-O414)/O414)*100)</f><v /></c><c r="V414" s="317"><f>V413</f><v /></c><c r="W414" s="385"><f>W413</f><v /></c><c r="X414" s="385"><f>X413</f><v /></c><c r="Y414" s="379" t="n"><v>216.36</v></c><c r="Z414" s="379" t="n"><v>226.35</v></c><c r="AA414" s="386"><f>AA413</f><v /></c><c r="AB414" s="387"><f>AB413</f><v /></c><c r="AC414" s="382"><f>LEFT(AB414,2)</f><v /></c><c r="AD414" s="382"><f>RIGHT(AB414,6)</f><v /></c><c r="AE414" s="382"><f>+(AC414*60+AD414)/(60*60)</f><v /></c><c r="AF414" s="383"><f>+AA414/AE414</f><v /></c><c r="AG414" s="321"><f>+(((Z414-Y414-AA414)/AA414)*100)</f><v /></c><c r="AH414" s="317"><f>AH413</f><v /></c><c r="AI414" s="385"><f>AI413</f><v /></c><c r="AJ414" s="385"><f>AJ413</f><v /></c><c r="AK414" s="379"><f>Z414</f><v /></c><c r="AL414" s="379" t="n"><v>231.37</v></c><c r="AM414" s="388"><f>AM413</f><v /></c><c r="AN414" s="381"><f>AN413</f><v /></c><c r="AO414" s="382"><f>LEFT(AN414,2)</f><v /></c><c r="AP414" s="382"><f>RIGHT(AN414,6)</f><v /></c><c r="AQ414" s="382"><f>+(AO414*60+AP414)/(60*60)</f><v /></c><c r="AR414" s="383"><f>+AM414/AQ414</f><v /></c><c r="AS414" s="321"><f>+(((AL414-AK414-AM414)/AM414)*100)</f><v /></c><c r="AT414" s="389"><f>IF(I414&gt;=1,"NO CONFORME",IF(BK414="SIGDIFERENTES",BC414,BL414))</f><v /></c><c r="AU414" s="372"><f>B414=C414</f><v /></c><c r="AV414" s="372"><f>N414&lt;Y414</f><v /></c><c r="AW414" s="372"><f>Z414&lt;=AK414</f><v /></c><c r="AX414" s="372"><f>IF(I414&gt;=1,"Qcorrecto",IF(AND(AY414="aceptable",AZ414="aceptable",BA414="aceptable"),"Qcorrecto","Qincorrecto"))</f><v /></c><c r="AY414" s="390"><f>IF(AR414&lt;$AH$6,"error",IF(AR414&gt;$AH$6*1.1,"error","aceptable"))</f><v /></c><c r="AZ414" s="390"><f>IF(AF414&lt;$V$6,"error",IF(AF414&gt;$V$6*1.1,"error","aceptable"))</f><v /></c><c r="BA414" s="390"><f>IF(T414&lt;$J$6*0.9,"error",IF(T414&gt;$J$6,"error","aceptable"))</f><v /></c><c r="BB414" s="25"><f>(IF(ABS(U414)&lt;1.05,"CONFORME",IF(ABS(AG414)&lt;1.05,"CONFORME",IF(ABS(AS414)&lt;2.55,"CONFORME","NO CONFORME"))))</f><v /></c><c r="BC414" s="5"><f>(IF(ABS(U414)&gt;2.05,"NO CONFORME",IF(ABS(AG414)&gt;2.05,"NO CONFORME",IF(ABS(AS414)&gt;5.05,"NO CONFORME","CONFORME"))))</f><v /></c><c r="BD414" s="374"><f>SIGN(U414)</f><v /></c><c r="BE414" s="374"><f>SIGN(AG414)</f><v /></c><c r="BF414" s="374"><f>SIGN(AS414)</f><v /></c><c r="BG414" s="374"><f>CONCATENATE(BD414,BE414,BF414)</f><v /></c><c r="BH414" s="374"><f>IF(BG414="111","SI","SD")</f><v /></c><c r="BI414" s="374"><f>IF(BG414="-1-1-1","SI","SD")</f><v /></c><c r="BJ414" s="374"><f>OR(BH414="SI",BI414="SI")</f><v /></c><c r="BK414" s="374"><f>IF(BJ414=FALSE,"SIGDIFERENTES","SIGIGUALES")</f><v /></c><c r="BL414" s="390"><f>IF(BC414="NO CONFORME","NO CONFORME",IF(BB414="CONFORME","CONFORME","NO CONFORME"))</f><v /></c></row><row r="415" ht="15" customHeight="1" thickBot="1"><c r="A415" s="443" t="n"><v>407</v></c><c r="B415" s="375"><f>B414</f><v /></c><c r="C415" s="375"><f>C414</f><v /></c><c r="D415" s="376"><f>D414</f><v /></c><c r="E415" s="377"><f>E414</f><v /></c><c r="F415" s="13" t="n" /><c r="G415" s="337" t="inlineStr"><is><t>PA25517243</t></is></c><c r="H415" s="313"><f>H414</f><v /></c><c r="I415" s="38"><f>I414</f><v /></c><c r="J415" s="314"><f>J414</f><v /></c><c r="K415" s="378"><f>K414</f><v /></c><c r="L415" s="378"><f>L414</f><v /></c><c r="M415" s="379" t="n"><v>150.6</v></c><c r="N415" s="379" t="n"><v>250.5</v></c><c r="O415" s="380"><f>O414</f><v /></c><c r="P415" s="381"><f>P414</f><v /></c><c r="Q415" s="382"><f>LEFT(P415,1)</f><v /></c><c r="R415" s="382"><f>RIGHT(P415,6)</f><v /></c><c r="S415" s="382"><f>+(Q415*60+R415)/(60*60)</f><v /></c><c r="T415" s="383"><f>+O415/S415</f><v /></c><c r="U415" s="384"><f>+(((N415-M415-O415)/O415)*100)</f><v /></c><c r="V415" s="317"><f>V414</f><v /></c><c r="W415" s="385"><f>W414</f><v /></c><c r="X415" s="385"><f>X414</f><v /></c><c r="Y415" s="379" t="n"><v>258.3</v></c><c r="Z415" s="379" t="n"><v>268.32</v></c><c r="AA415" s="386"><f>AA414</f><v /></c><c r="AB415" s="387"><f>AB414</f><v /></c><c r="AC415" s="382"><f>LEFT(AB415,2)</f><v /></c><c r="AD415" s="382"><f>RIGHT(AB415,6)</f><v /></c><c r="AE415" s="382"><f>+(AC415*60+AD415)/(60*60)</f><v /></c><c r="AF415" s="383"><f>+AA415/AE415</f><v /></c><c r="AG415" s="321"><f>+(((Z415-Y415-AA415)/AA415)*100)</f><v /></c><c r="AH415" s="317"><f>AH414</f><v /></c><c r="AI415" s="385"><f>AI414</f><v /></c><c r="AJ415" s="385"><f>AJ414</f><v /></c><c r="AK415" s="379"><f>Z415</f><v /></c><c r="AL415" s="379" t="n"><v>273.37</v></c><c r="AM415" s="388"><f>AM414</f><v /></c><c r="AN415" s="381"><f>AN414</f><v /></c><c r="AO415" s="382"><f>LEFT(AN415,2)</f><v /></c><c r="AP415" s="382"><f>RIGHT(AN415,6)</f><v /></c><c r="AQ415" s="382"><f>+(AO415*60+AP415)/(60*60)</f><v /></c><c r="AR415" s="383"><f>+AM415/AQ415</f><v /></c><c r="AS415" s="321"><f>+(((AL415-AK415-AM415)/AM415)*100)</f><v /></c><c r="AT415" s="389"><f>IF(I415&gt;=1,"NO CONFORME",IF(BK415="SIGDIFERENTES",BC415,BL415))</f><v /></c><c r="AU415" s="372"><f>B415=C415</f><v /></c><c r="AV415" s="372"><f>N415&lt;Y415</f><v /></c><c r="AW415" s="372"><f>Z415&lt;=AK415</f><v /></c><c r="AX415" s="372"><f>IF(I415&gt;=1,"Qcorrecto",IF(AND(AY415="aceptable",AZ415="aceptable",BA415="aceptable"),"Qcorrecto","Qincorrecto"))</f><v /></c><c r="AY415" s="390"><f>IF(AR415&lt;$AH$6,"error",IF(AR415&gt;$AH$6*1.1,"error","aceptable"))</f><v /></c><c r="AZ415" s="390"><f>IF(AF415&lt;$V$6,"error",IF(AF415&gt;$V$6*1.1,"error","aceptable"))</f><v /></c><c r="BA415" s="390"><f>IF(T415&lt;$J$6*0.9,"error",IF(T415&gt;$J$6,"error","aceptable"))</f><v /></c><c r="BB415" s="25"><f>(IF(ABS(U415)&lt;1.05,"CONFORME",IF(ABS(AG415)&lt;1.05,"CONFORME",IF(ABS(AS415)&lt;2.55,"CONFORME","NO CONFORME"))))</f><v /></c><c r="BC415" s="5"><f>(IF(ABS(U415)&gt;2.05,"NO CONFORME",IF(ABS(AG415)&gt;2.05,"NO CONFORME",IF(ABS(AS415)&gt;5.05,"NO CONFORME","CONFORME"))))</f><v /></c><c r="BD415" s="374"><f>SIGN(U415)</f><v /></c><c r="BE415" s="374"><f>SIGN(AG415)</f><v /></c><c r="BF415" s="374"><f>SIGN(AS415)</f><v /></c><c r="BG415" s="374"><f>CONCATENATE(BD415,BE415,BF415)</f><v /></c><c r="BH415" s="374"><f>IF(BG415="111","SI","SD")</f><v /></c><c r="BI415" s="374"><f>IF(BG415="-1-1-1","SI","SD")</f><v /></c><c r="BJ415" s="374"><f>OR(BH415="SI",BI415="SI")</f><v /></c><c r="BK415" s="374"><f>IF(BJ415=FALSE,"SIGDIFERENTES","SIGIGUALES")</f><v /></c><c r="BL415" s="390"><f>IF(BC415="NO CONFORME","NO CONFORME",IF(BB415="CONFORME","CONFORME","NO CONFORME"))</f><v /></c></row><row r="416" ht="15" customHeight="1" thickBot="1"><c r="A416" s="443" t="n"><v>408</v></c><c r="B416" s="375"><f>B415</f><v /></c><c r="C416" s="375"><f>C415</f><v /></c><c r="D416" s="376"><f>D415</f><v /></c><c r="E416" s="377"><f>E415</f><v /></c><c r="F416" s="13" t="n" /><c r="G416" s="337" t="inlineStr"><is><t>PA25517244</t></is></c><c r="H416" s="313"><f>H415</f><v /></c><c r="I416" s="38"><f>I415</f><v /></c><c r="J416" s="314"><f>J415</f><v /></c><c r="K416" s="378"><f>K415</f><v /></c><c r="L416" s="378"><f>L415</f><v /></c><c r="M416" s="379" t="n"><v>108.64</v></c><c r="N416" s="379" t="n"><v>208.63</v></c><c r="O416" s="380"><f>O415</f><v /></c><c r="P416" s="381"><f>P415</f><v /></c><c r="Q416" s="382"><f>LEFT(P416,1)</f><v /></c><c r="R416" s="382"><f>RIGHT(P416,6)</f><v /></c><c r="S416" s="382"><f>+(Q416*60+R416)/(60*60)</f><v /></c><c r="T416" s="383"><f>+O416/S416</f><v /></c><c r="U416" s="384"><f>+(((N416-M416-O416)/O416)*100)</f><v /></c><c r="V416" s="317"><f>V415</f><v /></c><c r="W416" s="385"><f>W415</f><v /></c><c r="X416" s="385"><f>X415</f><v /></c><c r="Y416" s="379" t="n"><v>216.5</v></c><c r="Z416" s="379" t="n"><v>226.49</v></c><c r="AA416" s="386"><f>AA415</f><v /></c><c r="AB416" s="387"><f>AB415</f><v /></c><c r="AC416" s="382"><f>LEFT(AB416,2)</f><v /></c><c r="AD416" s="382"><f>RIGHT(AB416,6)</f><v /></c><c r="AE416" s="382"><f>+(AC416*60+AD416)/(60*60)</f><v /></c><c r="AF416" s="383"><f>+AA416/AE416</f><v /></c><c r="AG416" s="321"><f>+(((Z416-Y416-AA416)/AA416)*100)</f><v /></c><c r="AH416" s="317"><f>AH415</f><v /></c><c r="AI416" s="385"><f>AI415</f><v /></c><c r="AJ416" s="385"><f>AJ415</f><v /></c><c r="AK416" s="379"><f>Z416</f><v /></c><c r="AL416" s="379" t="n"><v>231.55</v></c><c r="AM416" s="388"><f>AM415</f><v /></c><c r="AN416" s="381"><f>AN415</f><v /></c><c r="AO416" s="382"><f>LEFT(AN416,2)</f><v /></c><c r="AP416" s="382"><f>RIGHT(AN416,6)</f><v /></c><c r="AQ416" s="382"><f>+(AO416*60+AP416)/(60*60)</f><v /></c><c r="AR416" s="383"><f>+AM416/AQ416</f><v /></c><c r="AS416" s="321"><f>+(((AL416-AK416-AM416)/AM416)*100)</f><v /></c><c r="AT416" s="389"><f>IF(I416&gt;=1,"NO CONFORME",IF(BK416="SIGDIFERENTES",BC416,BL416))</f><v /></c><c r="AU416" s="372"><f>B416=C416</f><v /></c><c r="AV416" s="372"><f>N416&lt;Y416</f><v /></c><c r="AW416" s="372"><f>Z416&lt;=AK416</f><v /></c><c r="AX416" s="372"><f>IF(I416&gt;=1,"Qcorrecto",IF(AND(AY416="aceptable",AZ416="aceptable",BA416="aceptable"),"Qcorrecto","Qincorrecto"))</f><v /></c><c r="AY416" s="390"><f>IF(AR416&lt;$AH$6,"error",IF(AR416&gt;$AH$6*1.1,"error","aceptable"))</f><v /></c><c r="AZ416" s="390"><f>IF(AF416&lt;$V$6,"error",IF(AF416&gt;$V$6*1.1,"error","aceptable"))</f><v /></c><c r="BA416" s="390"><f>IF(T416&lt;$J$6*0.9,"error",IF(T416&gt;$J$6,"error","aceptable"))</f><v /></c><c r="BB416" s="25"><f>(IF(ABS(U416)&lt;1.05,"CONFORME",IF(ABS(AG416)&lt;1.05,"CONFORME",IF(ABS(AS416)&lt;2.55,"CONFORME","NO CONFORME"))))</f><v /></c><c r="BC416" s="5"><f>(IF(ABS(U416)&gt;2.05,"NO CONFORME",IF(ABS(AG416)&gt;2.05,"NO CONFORME",IF(ABS(AS416)&gt;5.05,"NO CONFORME","CONFORME"))))</f><v /></c><c r="BD416" s="374"><f>SIGN(U416)</f><v /></c><c r="BE416" s="374"><f>SIGN(AG416)</f><v /></c><c r="BF416" s="374"><f>SIGN(AS416)</f><v /></c><c r="BG416" s="374"><f>CONCATENATE(BD416,BE416,BF416)</f><v /></c><c r="BH416" s="374"><f>IF(BG416="111","SI","SD")</f><v /></c><c r="BI416" s="374"><f>IF(BG416="-1-1-1","SI","SD")</f><v /></c><c r="BJ416" s="374"><f>OR(BH416="SI",BI416="SI")</f><v /></c><c r="BK416" s="374"><f>IF(BJ416=FALSE,"SIGDIFERENTES","SIGIGUALES")</f><v /></c><c r="BL416" s="390"><f>IF(BC416="NO CONFORME","NO CONFORME",IF(BB416="CONFORME","CONFORME","NO CONFORME"))</f><v /></c></row><row r="417" ht="15" customHeight="1" thickBot="1"><c r="A417" s="443" t="n"><v>409</v></c><c r="B417" s="375"><f>B416</f><v /></c><c r="C417" s="375"><f>C416</f><v /></c><c r="D417" s="376"><f>D416</f><v /></c><c r="E417" s="377"><f>E416</f><v /></c><c r="F417" s="13" t="n" /><c r="G417" s="337" t="inlineStr"><is><t>PA25517245</t></is></c><c r="H417" s="313"><f>H416</f><v /></c><c r="I417" s="38"><f>I416</f><v /></c><c r="J417" s="314"><f>J416</f><v /></c><c r="K417" s="378"><f>K416</f><v /></c><c r="L417" s="378"><f>L416</f><v /></c><c r="M417" s="379" t="n"><v>105.22</v></c><c r="N417" s="379" t="n"><v>205.8</v></c><c r="O417" s="380"><f>O416</f><v /></c><c r="P417" s="381"><f>P416</f><v /></c><c r="Q417" s="382"><f>LEFT(P417,1)</f><v /></c><c r="R417" s="382"><f>RIGHT(P417,6)</f><v /></c><c r="S417" s="382"><f>+(Q417*60+R417)/(60*60)</f><v /></c><c r="T417" s="383"><f>+O417/S417</f><v /></c><c r="U417" s="384"><f>+(((N417-M417-O417)/O417)*100)</f><v /></c><c r="V417" s="317"><f>V416</f><v /></c><c r="W417" s="385"><f>W416</f><v /></c><c r="X417" s="385"><f>X416</f><v /></c><c r="Y417" s="379" t="n"><v>213.69</v></c><c r="Z417" s="379" t="n"><v>223.64</v></c><c r="AA417" s="386"><f>AA416</f><v /></c><c r="AB417" s="387"><f>AB416</f><v /></c><c r="AC417" s="382"><f>LEFT(AB417,2)</f><v /></c><c r="AD417" s="382"><f>RIGHT(AB417,6)</f><v /></c><c r="AE417" s="382"><f>+(AC417*60+AD417)/(60*60)</f><v /></c><c r="AF417" s="383"><f>+AA417/AE417</f><v /></c><c r="AG417" s="321"><f>+(((Z417-Y417-AA417)/AA417)*100)</f><v /></c><c r="AH417" s="317"><f>AH416</f><v /></c><c r="AI417" s="385"><f>AI416</f><v /></c><c r="AJ417" s="385"><f>AJ416</f><v /></c><c r="AK417" s="379"><f>Z417</f><v /></c><c r="AL417" s="379" t="n"><v>228.6</v></c><c r="AM417" s="388"><f>AM416</f><v /></c><c r="AN417" s="381"><f>AN416</f><v /></c><c r="AO417" s="382"><f>LEFT(AN417,2)</f><v /></c><c r="AP417" s="382"><f>RIGHT(AN417,6)</f><v /></c><c r="AQ417" s="382"><f>+(AO417*60+AP417)/(60*60)</f><v /></c><c r="AR417" s="383"><f>+AM417/AQ417</f><v /></c><c r="AS417" s="321"><f>+(((AL417-AK417-AM417)/AM417)*100)</f><v /></c><c r="AT417" s="389"><f>IF(I417&gt;=1,"NO CONFORME",IF(BK417="SIGDIFERENTES",BC417,BL417))</f><v /></c><c r="AU417" s="372"><f>B417=C417</f><v /></c><c r="AV417" s="372"><f>N417&lt;Y417</f><v /></c><c r="AW417" s="372"><f>Z417&lt;=AK417</f><v /></c><c r="AX417" s="372"><f>IF(I417&gt;=1,"Qcorrecto",IF(AND(AY417="aceptable",AZ417="aceptable",BA417="aceptable"),"Qcorrecto","Qincorrecto"))</f><v /></c><c r="AY417" s="390"><f>IF(AR417&lt;$AH$6,"error",IF(AR417&gt;$AH$6*1.1,"error","aceptable"))</f><v /></c><c r="AZ417" s="390"><f>IF(AF417&lt;$V$6,"error",IF(AF417&gt;$V$6*1.1,"error","aceptable"))</f><v /></c><c r="BA417" s="390"><f>IF(T417&lt;$J$6*0.9,"error",IF(T417&gt;$J$6,"error","aceptable"))</f><v /></c><c r="BB417" s="25"><f>(IF(ABS(U417)&lt;1.05,"CONFORME",IF(ABS(AG417)&lt;1.05,"CONFORME",IF(ABS(AS417)&lt;2.55,"CONFORME","NO CONFORME"))))</f><v /></c><c r="BC417" s="5"><f>(IF(ABS(U417)&gt;2.05,"NO CONFORME",IF(ABS(AG417)&gt;2.05,"NO CONFORME",IF(ABS(AS417)&gt;5.05,"NO CONFORME","CONFORME"))))</f><v /></c><c r="BD417" s="374"><f>SIGN(U417)</f><v /></c><c r="BE417" s="374"><f>SIGN(AG417)</f><v /></c><c r="BF417" s="374"><f>SIGN(AS417)</f><v /></c><c r="BG417" s="374"><f>CONCATENATE(BD417,BE417,BF417)</f><v /></c><c r="BH417" s="374"><f>IF(BG417="111","SI","SD")</f><v /></c><c r="BI417" s="374"><f>IF(BG417="-1-1-1","SI","SD")</f><v /></c><c r="BJ417" s="374"><f>OR(BH417="SI",BI417="SI")</f><v /></c><c r="BK417" s="374"><f>IF(BJ417=FALSE,"SIGDIFERENTES","SIGIGUALES")</f><v /></c><c r="BL417" s="390"><f>IF(BC417="NO CONFORME","NO CONFORME",IF(BB417="CONFORME","CONFORME","NO CONFORME"))</f><v /></c></row><row r="418" ht="15" customHeight="1" thickBot="1"><c r="A418" s="443" t="n"><v>410</v></c><c r="B418" s="375"><f>B417</f><v /></c><c r="C418" s="375"><f>C417</f><v /></c><c r="D418" s="376"><f>D417</f><v /></c><c r="E418" s="377"><f>E417</f><v /></c><c r="F418" s="13" t="n" /><c r="G418" s="337" t="inlineStr"><is><t>PA25517246</t></is></c><c r="H418" s="313"><f>H417</f><v /></c><c r="I418" s="38"><f>I417</f><v /></c><c r="J418" s="314"><f>J417</f><v /></c><c r="K418" s="378"><f>K417</f><v /></c><c r="L418" s="378"><f>L417</f><v /></c><c r="M418" s="379" t="n"><v>109.12</v></c><c r="N418" s="379" t="n"><v>209.35</v></c><c r="O418" s="380"><f>O417</f><v /></c><c r="P418" s="381"><f>P417</f><v /></c><c r="Q418" s="382"><f>LEFT(P418,1)</f><v /></c><c r="R418" s="382"><f>RIGHT(P418,6)</f><v /></c><c r="S418" s="382"><f>+(Q418*60+R418)/(60*60)</f><v /></c><c r="T418" s="383"><f>+O418/S418</f><v /></c><c r="U418" s="384"><f>+(((N418-M418-O418)/O418)*100)</f><v /></c><c r="V418" s="317"><f>V417</f><v /></c><c r="W418" s="385"><f>W417</f><v /></c><c r="X418" s="385"><f>X417</f><v /></c><c r="Y418" s="379" t="n"><v>217.2</v></c><c r="Z418" s="379" t="n"><v>227.24</v></c><c r="AA418" s="386"><f>AA417</f><v /></c><c r="AB418" s="387"><f>AB417</f><v /></c><c r="AC418" s="382"><f>LEFT(AB418,2)</f><v /></c><c r="AD418" s="382"><f>RIGHT(AB418,6)</f><v /></c><c r="AE418" s="382"><f>+(AC418*60+AD418)/(60*60)</f><v /></c><c r="AF418" s="383"><f>+AA418/AE418</f><v /></c><c r="AG418" s="321"><f>+(((Z418-Y418-AA418)/AA418)*100)</f><v /></c><c r="AH418" s="317"><f>AH417</f><v /></c><c r="AI418" s="385"><f>AI417</f><v /></c><c r="AJ418" s="385"><f>AJ417</f><v /></c><c r="AK418" s="379"><f>Z418</f><v /></c><c r="AL418" s="379" t="n"><v>232.3</v></c><c r="AM418" s="388"><f>AM417</f><v /></c><c r="AN418" s="381"><f>AN417</f><v /></c><c r="AO418" s="382"><f>LEFT(AN418,2)</f><v /></c><c r="AP418" s="382"><f>RIGHT(AN418,6)</f><v /></c><c r="AQ418" s="382"><f>+(AO418*60+AP418)/(60*60)</f><v /></c><c r="AR418" s="383"><f>+AM418/AQ418</f><v /></c><c r="AS418" s="321"><f>+(((AL418-AK418-AM418)/AM418)*100)</f><v /></c><c r="AT418" s="389"><f>IF(I418&gt;=1,"NO CONFORME",IF(BK418="SIGDIFERENTES",BC418,BL418))</f><v /></c><c r="AU418" s="372"><f>B418=C418</f><v /></c><c r="AV418" s="372"><f>N418&lt;Y418</f><v /></c><c r="AW418" s="372"><f>Z418&lt;=AK418</f><v /></c><c r="AX418" s="372"><f>IF(I418&gt;=1,"Qcorrecto",IF(AND(AY418="aceptable",AZ418="aceptable",BA418="aceptable"),"Qcorrecto","Qincorrecto"))</f><v /></c><c r="AY418" s="390"><f>IF(AR418&lt;$AH$6,"error",IF(AR418&gt;$AH$6*1.1,"error","aceptable"))</f><v /></c><c r="AZ418" s="390"><f>IF(AF418&lt;$V$6,"error",IF(AF418&gt;$V$6*1.1,"error","aceptable"))</f><v /></c><c r="BA418" s="390"><f>IF(T418&lt;$J$6*0.9,"error",IF(T418&gt;$J$6,"error","aceptable"))</f><v /></c><c r="BB418" s="25"><f>(IF(ABS(U418)&lt;1.05,"CONFORME",IF(ABS(AG418)&lt;1.05,"CONFORME",IF(ABS(AS418)&lt;2.55,"CONFORME","NO CONFORME"))))</f><v /></c><c r="BC418" s="5"><f>(IF(ABS(U418)&gt;2.05,"NO CONFORME",IF(ABS(AG418)&gt;2.05,"NO CONFORME",IF(ABS(AS418)&gt;5.05,"NO CONFORME","CONFORME"))))</f><v /></c><c r="BD418" s="374"><f>SIGN(U418)</f><v /></c><c r="BE418" s="374"><f>SIGN(AG418)</f><v /></c><c r="BF418" s="374"><f>SIGN(AS418)</f><v /></c><c r="BG418" s="374"><f>CONCATENATE(BD418,BE418,BF418)</f><v /></c><c r="BH418" s="374"><f>IF(BG418="111","SI","SD")</f><v /></c><c r="BI418" s="374"><f>IF(BG418="-1-1-1","SI","SD")</f><v /></c><c r="BJ418" s="374"><f>OR(BH418="SI",BI418="SI")</f><v /></c><c r="BK418" s="374"><f>IF(BJ418=FALSE,"SIGDIFERENTES","SIGIGUALES")</f><v /></c><c r="BL418" s="390"><f>IF(BC418="NO CONFORME","NO CONFORME",IF(BB418="CONFORME","CONFORME","NO CONFORME"))</f><v /></c></row><row r="419" ht="15" customHeight="1" thickBot="1"><c r="A419" s="443" t="n"><v>411</v></c><c r="B419" s="375"><f>B418</f><v /></c><c r="C419" s="375"><f>C418</f><v /></c><c r="D419" s="376"><f>D418</f><v /></c><c r="E419" s="377"><f>E418</f><v /></c><c r="F419" s="13" t="n" /><c r="G419" s="337" t="inlineStr"><is><t>PA25517247</t></is></c><c r="H419" s="313"><f>H418</f><v /></c><c r="I419" s="38"><f>I418</f><v /></c><c r="J419" s="314"><f>J418</f><v /></c><c r="K419" s="378"><f>K418</f><v /></c><c r="L419" s="378"><f>L418</f><v /></c><c r="M419" s="379" t="n"><v>104.06</v></c><c r="N419" s="379" t="n"><v>204.05</v></c><c r="O419" s="380"><f>O418</f><v /></c><c r="P419" s="381"><f>P418</f><v /></c><c r="Q419" s="382"><f>LEFT(P419,1)</f><v /></c><c r="R419" s="382"><f>RIGHT(P419,6)</f><v /></c><c r="S419" s="382"><f>+(Q419*60+R419)/(60*60)</f><v /></c><c r="T419" s="383"><f>+O419/S419</f><v /></c><c r="U419" s="384"><f>+(((N419-M419-O419)/O419)*100)</f><v /></c><c r="V419" s="317"><f>V418</f><v /></c><c r="W419" s="385"><f>W418</f><v /></c><c r="X419" s="385"><f>X418</f><v /></c><c r="Y419" s="379" t="n"><v>211.89</v></c><c r="Z419" s="379" t="n"><v>221.86</v></c><c r="AA419" s="386"><f>AA418</f><v /></c><c r="AB419" s="387"><f>AB418</f><v /></c><c r="AC419" s="382"><f>LEFT(AB419,2)</f><v /></c><c r="AD419" s="382"><f>RIGHT(AB419,6)</f><v /></c><c r="AE419" s="382"><f>+(AC419*60+AD419)/(60*60)</f><v /></c><c r="AF419" s="383"><f>+AA419/AE419</f><v /></c><c r="AG419" s="321"><f>+(((Z419-Y419-AA419)/AA419)*100)</f><v /></c><c r="AH419" s="317"><f>AH418</f><v /></c><c r="AI419" s="385"><f>AI418</f><v /></c><c r="AJ419" s="385"><f>AJ418</f><v /></c><c r="AK419" s="379"><f>Z419</f><v /></c><c r="AL419" s="379" t="n"><v>226.91</v></c><c r="AM419" s="388"><f>AM418</f><v /></c><c r="AN419" s="381"><f>AN418</f><v /></c><c r="AO419" s="382"><f>LEFT(AN419,2)</f><v /></c><c r="AP419" s="382"><f>RIGHT(AN419,6)</f><v /></c><c r="AQ419" s="382"><f>+(AO419*60+AP419)/(60*60)</f><v /></c><c r="AR419" s="383"><f>+AM419/AQ419</f><v /></c><c r="AS419" s="321"><f>+(((AL419-AK419-AM419)/AM419)*100)</f><v /></c><c r="AT419" s="389"><f>IF(I419&gt;=1,"NO CONFORME",IF(BK419="SIGDIFERENTES",BC419,BL419))</f><v /></c><c r="AU419" s="372"><f>B419=C419</f><v /></c><c r="AV419" s="372"><f>N419&lt;Y419</f><v /></c><c r="AW419" s="372"><f>Z419&lt;=AK419</f><v /></c><c r="AX419" s="372"><f>IF(I419&gt;=1,"Qcorrecto",IF(AND(AY419="aceptable",AZ419="aceptable",BA419="aceptable"),"Qcorrecto","Qincorrecto"))</f><v /></c><c r="AY419" s="390"><f>IF(AR419&lt;$AH$6,"error",IF(AR419&gt;$AH$6*1.1,"error","aceptable"))</f><v /></c><c r="AZ419" s="390"><f>IF(AF419&lt;$V$6,"error",IF(AF419&gt;$V$6*1.1,"error","aceptable"))</f><v /></c><c r="BA419" s="390"><f>IF(T419&lt;$J$6*0.9,"error",IF(T419&gt;$J$6,"error","aceptable"))</f><v /></c><c r="BB419" s="25"><f>(IF(ABS(U419)&lt;1.05,"CONFORME",IF(ABS(AG419)&lt;1.05,"CONFORME",IF(ABS(AS419)&lt;2.55,"CONFORME","NO CONFORME"))))</f><v /></c><c r="BC419" s="5"><f>(IF(ABS(U419)&gt;2.05,"NO CONFORME",IF(ABS(AG419)&gt;2.05,"NO CONFORME",IF(ABS(AS419)&gt;5.05,"NO CONFORME","CONFORME"))))</f><v /></c><c r="BD419" s="374"><f>SIGN(U419)</f><v /></c><c r="BE419" s="374"><f>SIGN(AG419)</f><v /></c><c r="BF419" s="374"><f>SIGN(AS419)</f><v /></c><c r="BG419" s="374"><f>CONCATENATE(BD419,BE419,BF419)</f><v /></c><c r="BH419" s="374"><f>IF(BG419="111","SI","SD")</f><v /></c><c r="BI419" s="374"><f>IF(BG419="-1-1-1","SI","SD")</f><v /></c><c r="BJ419" s="374"><f>OR(BH419="SI",BI419="SI")</f><v /></c><c r="BK419" s="374"><f>IF(BJ419=FALSE,"SIGDIFERENTES","SIGIGUALES")</f><v /></c><c r="BL419" s="390"><f>IF(BC419="NO CONFORME","NO CONFORME",IF(BB419="CONFORME","CONFORME","NO CONFORME"))</f><v /></c></row><row r="420" ht="15" customHeight="1" thickBot="1"><c r="A420" s="443" t="n"><v>412</v></c><c r="B420" s="375"><f>B419</f><v /></c><c r="C420" s="375"><f>C419</f><v /></c><c r="D420" s="376"><f>D419</f><v /></c><c r="E420" s="377"><f>E419</f><v /></c><c r="F420" s="13" t="n" /><c r="G420" s="337" t="inlineStr"><is><t>PA25517248</t></is></c><c r="H420" s="313"><f>H419</f><v /></c><c r="I420" s="38"><f>I419</f><v /></c><c r="J420" s="314"><f>J419</f><v /></c><c r="K420" s="378"><f>K419</f><v /></c><c r="L420" s="378"><f>L419</f><v /></c><c r="M420" s="379" t="n"><v>105.4</v></c><c r="N420" s="379" t="n"><v>205.08</v></c><c r="O420" s="380"><f>O419</f><v /></c><c r="P420" s="381"><f>P419</f><v /></c><c r="Q420" s="382"><f>LEFT(P420,1)</f><v /></c><c r="R420" s="382"><f>RIGHT(P420,6)</f><v /></c><c r="S420" s="382"><f>+(Q420*60+R420)/(60*60)</f><v /></c><c r="T420" s="383"><f>+O420/S420</f><v /></c><c r="U420" s="384"><f>+(((N420-M420-O420)/O420)*100)</f><v /></c><c r="V420" s="317"><f>V419</f><v /></c><c r="W420" s="385"><f>W419</f><v /></c><c r="X420" s="385"><f>X419</f><v /></c><c r="Y420" s="379" t="n"><v>213.54</v></c><c r="Z420" s="379" t="n"><v>223.55</v></c><c r="AA420" s="386"><f>AA419</f><v /></c><c r="AB420" s="387"><f>AB419</f><v /></c><c r="AC420" s="382"><f>LEFT(AB420,2)</f><v /></c><c r="AD420" s="382"><f>RIGHT(AB420,6)</f><v /></c><c r="AE420" s="382"><f>+(AC420*60+AD420)/(60*60)</f><v /></c><c r="AF420" s="383"><f>+AA420/AE420</f><v /></c><c r="AG420" s="321"><f>+(((Z420-Y420-AA420)/AA420)*100)</f><v /></c><c r="AH420" s="317"><f>AH419</f><v /></c><c r="AI420" s="385"><f>AI419</f><v /></c><c r="AJ420" s="385"><f>AJ419</f><v /></c><c r="AK420" s="379"><f>Z420</f><v /></c><c r="AL420" s="379" t="n"><v>228.6</v></c><c r="AM420" s="388"><f>AM419</f><v /></c><c r="AN420" s="381"><f>AN419</f><v /></c><c r="AO420" s="382"><f>LEFT(AN420,2)</f><v /></c><c r="AP420" s="382"><f>RIGHT(AN420,6)</f><v /></c><c r="AQ420" s="382"><f>+(AO420*60+AP420)/(60*60)</f><v /></c><c r="AR420" s="383"><f>+AM420/AQ420</f><v /></c><c r="AS420" s="321"><f>+(((AL420-AK420-AM420)/AM420)*100)</f><v /></c><c r="AT420" s="389"><f>IF(I420&gt;=1,"NO CONFORME",IF(BK420="SIGDIFERENTES",BC420,BL420))</f><v /></c><c r="AU420" s="372"><f>B420=C420</f><v /></c><c r="AV420" s="372"><f>N420&lt;Y420</f><v /></c><c r="AW420" s="372"><f>Z420&lt;=AK420</f><v /></c><c r="AX420" s="372"><f>IF(I420&gt;=1,"Qcorrecto",IF(AND(AY420="aceptable",AZ420="aceptable",BA420="aceptable"),"Qcorrecto","Qincorrecto"))</f><v /></c><c r="AY420" s="390"><f>IF(AR420&lt;$AH$6,"error",IF(AR420&gt;$AH$6*1.1,"error","aceptable"))</f><v /></c><c r="AZ420" s="390"><f>IF(AF420&lt;$V$6,"error",IF(AF420&gt;$V$6*1.1,"error","aceptable"))</f><v /></c><c r="BA420" s="390"><f>IF(T420&lt;$J$6*0.9,"error",IF(T420&gt;$J$6,"error","aceptable"))</f><v /></c><c r="BB420" s="25"><f>(IF(ABS(U420)&lt;1.05,"CONFORME",IF(ABS(AG420)&lt;1.05,"CONFORME",IF(ABS(AS420)&lt;2.55,"CONFORME","NO CONFORME"))))</f><v /></c><c r="BC420" s="5"><f>(IF(ABS(U420)&gt;2.05,"NO CONFORME",IF(ABS(AG420)&gt;2.05,"NO CONFORME",IF(ABS(AS420)&gt;5.05,"NO CONFORME","CONFORME"))))</f><v /></c><c r="BD420" s="374"><f>SIGN(U420)</f><v /></c><c r="BE420" s="374"><f>SIGN(AG420)</f><v /></c><c r="BF420" s="374"><f>SIGN(AS420)</f><v /></c><c r="BG420" s="374"><f>CONCATENATE(BD420,BE420,BF420)</f><v /></c><c r="BH420" s="374"><f>IF(BG420="111","SI","SD")</f><v /></c><c r="BI420" s="374"><f>IF(BG420="-1-1-1","SI","SD")</f><v /></c><c r="BJ420" s="374"><f>OR(BH420="SI",BI420="SI")</f><v /></c><c r="BK420" s="374"><f>IF(BJ420=FALSE,"SIGDIFERENTES","SIGIGUALES")</f><v /></c><c r="BL420" s="390"><f>IF(BC420="NO CONFORME","NO CONFORME",IF(BB420="CONFORME","CONFORME","NO CONFORME"))</f><v /></c></row><row r="421" ht="15" customHeight="1" thickBot="1"><c r="A421" s="443" t="n"><v>413</v></c><c r="B421" s="375"><f>B420</f><v /></c><c r="C421" s="375"><f>C420</f><v /></c><c r="D421" s="376"><f>D420</f><v /></c><c r="E421" s="377"><f>E420</f><v /></c><c r="F421" s="13" t="n" /><c r="G421" s="337" t="inlineStr"><is><t>PA25517249</t></is></c><c r="H421" s="313"><f>H420</f><v /></c><c r="I421" s="38"><f>I420</f><v /></c><c r="J421" s="314"><f>J420</f><v /></c><c r="K421" s="378"><f>K420</f><v /></c><c r="L421" s="378"><f>L420</f><v /></c><c r="M421" s="379" t="n"><v>111.75</v></c><c r="N421" s="379" t="n"><v>211.6</v></c><c r="O421" s="380"><f>O420</f><v /></c><c r="P421" s="381"><f>P420</f><v /></c><c r="Q421" s="382"><f>LEFT(P421,1)</f><v /></c><c r="R421" s="382"><f>RIGHT(P421,6)</f><v /></c><c r="S421" s="382"><f>+(Q421*60+R421)/(60*60)</f><v /></c><c r="T421" s="383"><f>+O421/S421</f><v /></c><c r="U421" s="384"><f>+(((N421-M421-O421)/O421)*100)</f><v /></c><c r="V421" s="317"><f>V420</f><v /></c><c r="W421" s="385"><f>W420</f><v /></c><c r="X421" s="385"><f>X420</f><v /></c><c r="Y421" s="379" t="n"><v>219.43</v></c><c r="Z421" s="379" t="n"><v>229.55</v></c><c r="AA421" s="386"><f>AA420</f><v /></c><c r="AB421" s="387"><f>AB420</f><v /></c><c r="AC421" s="382"><f>LEFT(AB421,2)</f><v /></c><c r="AD421" s="382"><f>RIGHT(AB421,6)</f><v /></c><c r="AE421" s="382"><f>+(AC421*60+AD421)/(60*60)</f><v /></c><c r="AF421" s="383"><f>+AA421/AE421</f><v /></c><c r="AG421" s="321"><f>+(((Z421-Y421-AA421)/AA421)*100)</f><v /></c><c r="AH421" s="317"><f>AH420</f><v /></c><c r="AI421" s="385"><f>AI420</f><v /></c><c r="AJ421" s="385"><f>AJ420</f><v /></c><c r="AK421" s="379"><f>Z421</f><v /></c><c r="AL421" s="379" t="n"><v>234.65</v></c><c r="AM421" s="388"><f>AM420</f><v /></c><c r="AN421" s="381"><f>AN420</f><v /></c><c r="AO421" s="382"><f>LEFT(AN421,2)</f><v /></c><c r="AP421" s="382"><f>RIGHT(AN421,6)</f><v /></c><c r="AQ421" s="382"><f>+(AO421*60+AP421)/(60*60)</f><v /></c><c r="AR421" s="383"><f>+AM421/AQ421</f><v /></c><c r="AS421" s="321"><f>+(((AL421-AK421-AM421)/AM421)*100)</f><v /></c><c r="AT421" s="389"><f>IF(I421&gt;=1,"NO CONFORME",IF(BK421="SIGDIFERENTES",BC421,BL421))</f><v /></c><c r="AU421" s="372"><f>B421=C421</f><v /></c><c r="AV421" s="372"><f>N421&lt;Y421</f><v /></c><c r="AW421" s="372"><f>Z421&lt;=AK421</f><v /></c><c r="AX421" s="372"><f>IF(I421&gt;=1,"Qcorrecto",IF(AND(AY421="aceptable",AZ421="aceptable",BA421="aceptable"),"Qcorrecto","Qincorrecto"))</f><v /></c><c r="AY421" s="390"><f>IF(AR421&lt;$AH$6,"error",IF(AR421&gt;$AH$6*1.1,"error","aceptable"))</f><v /></c><c r="AZ421" s="390"><f>IF(AF421&lt;$V$6,"error",IF(AF421&gt;$V$6*1.1,"error","aceptable"))</f><v /></c><c r="BA421" s="390"><f>IF(T421&lt;$J$6*0.9,"error",IF(T421&gt;$J$6,"error","aceptable"))</f><v /></c><c r="BB421" s="25"><f>(IF(ABS(U421)&lt;1.05,"CONFORME",IF(ABS(AG421)&lt;1.05,"CONFORME",IF(ABS(AS421)&lt;2.55,"CONFORME","NO CONFORME"))))</f><v /></c><c r="BC421" s="5"><f>(IF(ABS(U421)&gt;2.05,"NO CONFORME",IF(ABS(AG421)&gt;2.05,"NO CONFORME",IF(ABS(AS421)&gt;5.05,"NO CONFORME","CONFORME"))))</f><v /></c><c r="BD421" s="374"><f>SIGN(U421)</f><v /></c><c r="BE421" s="374"><f>SIGN(AG421)</f><v /></c><c r="BF421" s="374"><f>SIGN(AS421)</f><v /></c><c r="BG421" s="374"><f>CONCATENATE(BD421,BE421,BF421)</f><v /></c><c r="BH421" s="374"><f>IF(BG421="111","SI","SD")</f><v /></c><c r="BI421" s="374"><f>IF(BG421="-1-1-1","SI","SD")</f><v /></c><c r="BJ421" s="374"><f>OR(BH421="SI",BI421="SI")</f><v /></c><c r="BK421" s="374"><f>IF(BJ421=FALSE,"SIGDIFERENTES","SIGIGUALES")</f><v /></c><c r="BL421" s="390"><f>IF(BC421="NO CONFORME","NO CONFORME",IF(BB421="CONFORME","CONFORME","NO CONFORME"))</f><v /></c></row><row r="422" ht="15" customHeight="1" thickBot="1"><c r="A422" s="445" t="n"><v>414</v></c><c r="B422" s="392"><f>B421</f><v /></c><c r="C422" s="392"><f>C421</f><v /></c><c r="D422" s="393"><f>D421</f><v /></c><c r="E422" s="394"><f>E421</f><v /></c><c r="F422" s="52" t="n" /><c r="G422" s="337" t="inlineStr"><is><t>PA25517250</t></is></c><c r="H422" s="326"><f>H421</f><v /></c><c r="I422" s="98"><f>I421</f><v /></c><c r="J422" s="327"><f>J421</f><v /></c><c r="K422" s="396"><f>K421</f><v /></c><c r="L422" s="396"><f>L421</f><v /></c><c r="M422" s="397" t="n"><v>110.45</v></c><c r="N422" s="397" t="n"><v>211.3</v></c><c r="O422" s="398"><f>O421</f><v /></c><c r="P422" s="399"><f>P421</f><v /></c><c r="Q422" s="400"><f>LEFT(P422,1)</f><v /></c><c r="R422" s="400"><f>RIGHT(P422,6)</f><v /></c><c r="S422" s="400"><f>+(Q422*60+R422)/(60*60)</f><v /></c><c r="T422" s="401"><f>+O422/S422</f><v /></c><c r="U422" s="402"><f>+(((N422-M422-O422)/O422)*100)</f><v /></c><c r="V422" s="329"><f>V421</f><v /></c><c r="W422" s="403"><f>W421</f><v /></c><c r="X422" s="403"><f>X421</f><v /></c><c r="Y422" s="397" t="n"><v>219.12</v></c><c r="Z422" s="397" t="n"><v>229.3</v></c><c r="AA422" s="404"><f>AA421</f><v /></c><c r="AB422" s="405"><f>AB421</f><v /></c><c r="AC422" s="400"><f>LEFT(AB422,2)</f><v /></c><c r="AD422" s="400"><f>RIGHT(AB422,6)</f><v /></c><c r="AE422" s="400"><f>+(AC422*60+AD422)/(60*60)</f><v /></c><c r="AF422" s="401"><f>+AA422/AE422</f><v /></c><c r="AG422" s="406"><f>+(((Z422-Y422-AA422)/AA422)*100)</f><v /></c><c r="AH422" s="329"><f>AH421</f><v /></c><c r="AI422" s="403"><f>AI421</f><v /></c><c r="AJ422" s="403"><f>AJ421</f><v /></c><c r="AK422" s="397"><f>Z422</f><v /></c><c r="AL422" s="397" t="n"><v>234.43</v></c><c r="AM422" s="407"><f>AM421</f><v /></c><c r="AN422" s="399"><f>AN421</f><v /></c><c r="AO422" s="400"><f>LEFT(AN422,2)</f><v /></c><c r="AP422" s="400"><f>RIGHT(AN422,6)</f><v /></c><c r="AQ422" s="400"><f>+(AO422*60+AP422)/(60*60)</f><v /></c><c r="AR422" s="401"><f>+AM422/AQ422</f><v /></c><c r="AS422" s="406"><f>+(((AL422-AK422-AM422)/AM422)*100)</f><v /></c><c r="AT422" s="408"><f>IF(I422&gt;=1,"NO CONFORME",IF(BK422="SIGDIFERENTES",BC422,BL422))</f><v /></c><c r="AU422" s="409"><f>B422=C422</f><v /></c><c r="AV422" s="409"><f>N422&lt;Y422</f><v /></c><c r="AW422" s="409"><f>Z422&lt;=AK422</f><v /></c><c r="AX422" s="409"><f>IF(I422&gt;=1,"Qcorrecto",IF(AND(AY422="aceptable",AZ422="aceptable",BA422="aceptable"),"Qcorrecto","Qincorrecto"))</f><v /></c><c r="AY422" s="410"><f>IF(AR422&lt;$AH$6,"error",IF(AR422&gt;$AH$6*1.1,"error","aceptable"))</f><v /></c><c r="AZ422" s="410"><f>IF(AF422&lt;$V$6,"error",IF(AF422&gt;$V$6*1.1,"error","aceptable"))</f><v /></c><c r="BA422" s="410"><f>IF(T422&lt;$J$6*0.9,"error",IF(T422&gt;$J$6,"error","aceptable"))</f><v /></c><c r="BB422" s="411"><f>(IF(ABS(U422)&lt;1.05,"CONFORME",IF(ABS(AG422)&lt;1.05,"CONFORME",IF(ABS(AS422)&lt;2.55,"CONFORME","NO CONFORME"))))</f><v /></c><c r="BC422" s="412"><f>(IF(ABS(U422)&gt;2.05,"NO CONFORME",IF(ABS(AG422)&gt;2.05,"NO CONFORME",IF(ABS(AS422)&gt;5.05,"NO CONFORME","CONFORME"))))</f><v /></c><c r="BD422" s="413"><f>SIGN(U422)</f><v /></c><c r="BE422" s="413"><f>SIGN(AG422)</f><v /></c><c r="BF422" s="413"><f>SIGN(AS422)</f><v /></c><c r="BG422" s="413"><f>CONCATENATE(BD422,BE422,BF422)</f><v /></c><c r="BH422" s="413"><f>IF(BG422="111","SI","SD")</f><v /></c><c r="BI422" s="413"><f>IF(BG422="-1-1-1","SI","SD")</f><v /></c><c r="BJ422" s="413"><f>OR(BH422="SI",BI422="SI")</f><v /></c><c r="BK422" s="413"><f>IF(BJ422=FALSE,"SIGDIFERENTES","SIGIGUALES")</f><v /></c><c r="BL422" s="410"><f>IF(BC422="NO CONFORME","NO CONFORME",IF(BB422="CONFORME","CONFORME","NO CONFORME"))</f><v /></c></row><row r="423" ht="15" customHeight="1" thickBot="1"><c r="A423" s="351" t="n"><v>415</v></c><c r="B423" s="352"><f>B422</f><v /></c><c r="C423" s="352"><f>C422</f><v /></c><c r="D423" s="353"><f>D422</f><v /></c><c r="E423" s="354"><f>E422</f><v /></c><c r="F423" s="58" t="n" /><c r="G423" s="337" t="inlineStr"><is><t>PA25517251</t></is></c><c r="H423" s="356"><f>H422</f><v /></c><c r="I423" s="232"><f>I422</f><v /></c><c r="J423" s="357" t="n"><v>21.4</v></c><c r="K423" s="358" t="n"><v>7.897</v></c><c r="L423" s="358" t="n"><v>0.5639999999999999</v></c><c r="M423" s="359" t="n"><v>146.35</v></c><c r="N423" s="359" t="n"><v>246.52</v></c><c r="O423" s="360" t="n"><v>100.8</v></c><c r="P423" s="361" t="inlineStr"><is><t>2,29,840</t></is></c><c r="Q423" s="362"><f>LEFT(P423,1)</f><v /></c><c r="R423" s="362"><f>RIGHT(P423,6)</f><v /></c><c r="S423" s="362"><f>+(Q423*60+R423)/(60*60)</f><v /></c><c r="T423" s="363"><f>+O423/S423</f><v /></c><c r="U423" s="364"><f>+(((N423-M423-O423)/O423)*100)</f><v /></c><c r="V423" s="365" t="n"><v>21.3</v></c><c r="W423" s="366" t="n"><v>1.509</v></c><c r="X423" s="366" t="n"><v>1.504</v></c><c r="Y423" s="359" t="n"><v>253.64</v></c><c r="Z423" s="359" t="n"><v>263.66</v></c><c r="AA423" s="367" t="n"><v>10.011</v></c><c r="AB423" s="368" t="inlineStr"><is><t>22,14,040</t></is></c><c r="AC423" s="362"><f>LEFT(AB423,2)</f><v /></c><c r="AD423" s="362"><f>RIGHT(AB423,6)</f><v /></c><c r="AE423" s="362"><f>+(AC423*60+AD423)/(60*60)</f><v /></c><c r="AF423" s="363"><f>+AA423/AE423</f><v /></c><c r="AG423" s="369"><f>+(((Z423-Y423-AA423)/AA423)*100)</f><v /></c><c r="AH423" s="365" t="n"><v>21.2</v></c><c r="AI423" s="366" t="n"><v>1.506</v></c><c r="AJ423" s="366" t="n"><v>1.503</v></c><c r="AK423" s="359"><f>Z423</f><v /></c><c r="AL423" s="359" t="n"><v>268.74</v></c><c r="AM423" s="370" t="n"><v>5.02</v></c><c r="AN423" s="361" t="inlineStr"><is><t>17,59,600</t></is></c><c r="AO423" s="362"><f>LEFT(AN423,2)</f><v /></c><c r="AP423" s="362"><f>RIGHT(AN423,6)</f><v /></c><c r="AQ423" s="362"><f>+(AO423*60+AP423)/(60*60)</f><v /></c><c r="AR423" s="363"><f>+AM423/AQ423</f><v /></c><c r="AS423" s="369"><f>+(((AL423-AK423-AM423)/AM423)*100)</f><v /></c><c r="AT423" s="371"><f>IF(I423&gt;=1,"NO CONFORME",IF(BK423="SIGDIFERENTES",BC423,BL423))</f><v /></c><c r="AU423" s="372"><f>B423=C423</f><v /></c><c r="AV423" s="372"><f>N423&lt;Y423</f><v /></c><c r="AW423" s="372"><f>Z423&lt;=AK423</f><v /></c><c r="AX423" s="372"><f>IF(I423&gt;=1,"Qcorrecto",IF(AND(AY423="aceptable",AZ423="aceptable",BA423="aceptable"),"Qcorrecto","Qincorrecto"))</f><v /></c><c r="AY423" s="373"><f>IF(AR423&lt;$AH$6,"error",IF(AR423&gt;$AH$6*1.1,"error","aceptable"))</f><v /></c><c r="AZ423" s="373"><f>IF(AF423&lt;$V$6,"error",IF(AF423&gt;$V$6*1.1,"error","aceptable"))</f><v /></c><c r="BA423" s="373"><f>IF(T423&lt;$J$6*0.9,"error",IF(T423&gt;$J$6,"error","aceptable"))</f><v /></c><c r="BB423" s="25"><f>(IF(ABS(U423)&lt;1.05,"CONFORME",IF(ABS(AG423)&lt;1.05,"CONFORME",IF(ABS(AS423)&lt;2.55,"CONFORME","NO CONFORME"))))</f><v /></c><c r="BC423" s="5"><f>(IF(ABS(U423)&gt;2.05,"NO CONFORME",IF(ABS(AG423)&gt;2.05,"NO CONFORME",IF(ABS(AS423)&gt;5.05,"NO CONFORME","CONFORME"))))</f><v /></c><c r="BD423" s="374"><f>SIGN(U423)</f><v /></c><c r="BE423" s="374"><f>SIGN(AG423)</f><v /></c><c r="BF423" s="374"><f>SIGN(AS423)</f><v /></c><c r="BG423" s="374"><f>CONCATENATE(BD423,BE423,BF423)</f><v /></c><c r="BH423" s="374"><f>IF(BG423="111","SI","SD")</f><v /></c><c r="BI423" s="374"><f>IF(BG423="-1-1-1","SI","SD")</f><v /></c><c r="BJ423" s="374"><f>OR(BH423="SI",BI423="SI")</f><v /></c><c r="BK423" s="374"><f>IF(BJ423=FALSE,"SIGDIFERENTES","SIGIGUALES")</f><v /></c><c r="BL423" s="373"><f>IF(BC423="NO CONFORME","NO CONFORME",IF(BB423="CONFORME","CONFORME","NO CONFORME"))</f><v /></c></row><row r="424" ht="15" customHeight="1" thickBot="1"><c r="A424" s="443" t="n"><v>416</v></c><c r="B424" s="375"><f>B423</f><v /></c><c r="C424" s="375"><f>C423</f><v /></c><c r="D424" s="376"><f>D423</f><v /></c><c r="E424" s="377"><f>E423</f><v /></c><c r="F424" s="13" t="n" /><c r="G424" s="337" t="inlineStr"><is><t>PA25517252</t></is></c><c r="H424" s="313"><f>H423</f><v /></c><c r="I424" s="38"><f>I423</f><v /></c><c r="J424" s="314"><f>J423</f><v /></c><c r="K424" s="378"><f>K423</f><v /></c><c r="L424" s="378"><f>L423</f><v /></c><c r="M424" s="379" t="n"><v>102.8</v></c><c r="N424" s="379" t="n"><v>202.95</v></c><c r="O424" s="380"><f>O423</f><v /></c><c r="P424" s="381"><f>P423</f><v /></c><c r="Q424" s="382"><f>LEFT(P424,1)</f><v /></c><c r="R424" s="382"><f>RIGHT(P424,6)</f><v /></c><c r="S424" s="382"><f>+(Q424*60+R424)/(60*60)</f><v /></c><c r="T424" s="383"><f>+O424/S424</f><v /></c><c r="U424" s="384"><f>+(((N424-M424-O424)/O424)*100)</f><v /></c><c r="V424" s="317"><f>V423</f><v /></c><c r="W424" s="385"><f>W423</f><v /></c><c r="X424" s="385"><f>X423</f><v /></c><c r="Y424" s="379" t="n"><v>210.05</v></c><c r="Z424" s="379" t="n"><v>220.05</v></c><c r="AA424" s="386"><f>AA423</f><v /></c><c r="AB424" s="387"><f>AB423</f><v /></c><c r="AC424" s="382"><f>LEFT(AB424,2)</f><v /></c><c r="AD424" s="382"><f>RIGHT(AB424,6)</f><v /></c><c r="AE424" s="382"><f>+(AC424*60+AD424)/(60*60)</f><v /></c><c r="AF424" s="383"><f>+AA424/AE424</f><v /></c><c r="AG424" s="321"><f>+(((Z424-Y424-AA424)/AA424)*100)</f><v /></c><c r="AH424" s="317"><f>AH423</f><v /></c><c r="AI424" s="385"><f>AI423</f><v /></c><c r="AJ424" s="385"><f>AJ423</f><v /></c><c r="AK424" s="379"><f>Z424</f><v /></c><c r="AL424" s="379" t="n"><v>225.06</v></c><c r="AM424" s="388"><f>AM423</f><v /></c><c r="AN424" s="381"><f>AN423</f><v /></c><c r="AO424" s="382"><f>LEFT(AN424,2)</f><v /></c><c r="AP424" s="382"><f>RIGHT(AN424,6)</f><v /></c><c r="AQ424" s="382"><f>+(AO424*60+AP424)/(60*60)</f><v /></c><c r="AR424" s="383"><f>+AM424/AQ424</f><v /></c><c r="AS424" s="321"><f>+(((AL424-AK424-AM424)/AM424)*100)</f><v /></c><c r="AT424" s="389"><f>IF(I424&gt;=1,"NO CONFORME",IF(BK424="SIGDIFERENTES",BC424,BL424))</f><v /></c><c r="AU424" s="372"><f>B424=C424</f><v /></c><c r="AV424" s="372"><f>N424&lt;Y424</f><v /></c><c r="AW424" s="372"><f>Z424&lt;=AK424</f><v /></c><c r="AX424" s="372"><f>IF(I424&gt;=1,"Qcorrecto",IF(AND(AY424="aceptable",AZ424="aceptable",BA424="aceptable"),"Qcorrecto","Qincorrecto"))</f><v /></c><c r="AY424" s="390"><f>IF(AR424&lt;$AH$6,"error",IF(AR424&gt;$AH$6*1.1,"error","aceptable"))</f><v /></c><c r="AZ424" s="390"><f>IF(AF424&lt;$V$6,"error",IF(AF424&gt;$V$6*1.1,"error","aceptable"))</f><v /></c><c r="BA424" s="390"><f>IF(T424&lt;$J$6*0.9,"error",IF(T424&gt;$J$6,"error","aceptable"))</f><v /></c><c r="BB424" s="25"><f>(IF(ABS(U424)&lt;1.05,"CONFORME",IF(ABS(AG424)&lt;1.05,"CONFORME",IF(ABS(AS424)&lt;2.55,"CONFORME","NO CONFORME"))))</f><v /></c><c r="BC424" s="5"><f>(IF(ABS(U424)&gt;2.05,"NO CONFORME",IF(ABS(AG424)&gt;2.05,"NO CONFORME",IF(ABS(AS424)&gt;5.05,"NO CONFORME","CONFORME"))))</f><v /></c><c r="BD424" s="374"><f>SIGN(U424)</f><v /></c><c r="BE424" s="374"><f>SIGN(AG424)</f><v /></c><c r="BF424" s="374"><f>SIGN(AS424)</f><v /></c><c r="BG424" s="374"><f>CONCATENATE(BD424,BE424,BF424)</f><v /></c><c r="BH424" s="374"><f>IF(BG424="111","SI","SD")</f><v /></c><c r="BI424" s="374"><f>IF(BG424="-1-1-1","SI","SD")</f><v /></c><c r="BJ424" s="374"><f>OR(BH424="SI",BI424="SI")</f><v /></c><c r="BK424" s="374"><f>IF(BJ424=FALSE,"SIGDIFERENTES","SIGIGUALES")</f><v /></c><c r="BL424" s="390"><f>IF(BC424="NO CONFORME","NO CONFORME",IF(BB424="CONFORME","CONFORME","NO CONFORME"))</f><v /></c></row><row r="425" ht="15" customHeight="1" thickBot="1"><c r="A425" s="443" t="n"><v>417</v></c><c r="B425" s="375"><f>B424</f><v /></c><c r="C425" s="375"><f>C424</f><v /></c><c r="D425" s="376"><f>D424</f><v /></c><c r="E425" s="377"><f>E424</f><v /></c><c r="F425" s="13" t="n" /><c r="G425" s="337" t="inlineStr"><is><t>PA25517253</t></is></c><c r="H425" s="313"><f>H424</f><v /></c><c r="I425" s="38"><f>I424</f><v /></c><c r="J425" s="314"><f>J424</f><v /></c><c r="K425" s="378"><f>K424</f><v /></c><c r="L425" s="378"><f>L424</f><v /></c><c r="M425" s="379" t="n"><v>107.7</v></c><c r="N425" s="379" t="n"><v>207.55</v></c><c r="O425" s="380"><f>O424</f><v /></c><c r="P425" s="381"><f>P424</f><v /></c><c r="Q425" s="382"><f>LEFT(P425,1)</f><v /></c><c r="R425" s="382"><f>RIGHT(P425,6)</f><v /></c><c r="S425" s="382"><f>+(Q425*60+R425)/(60*60)</f><v /></c><c r="T425" s="383"><f>+O425/S425</f><v /></c><c r="U425" s="384"><f>+(((N425-M425-O425)/O425)*100)</f><v /></c><c r="V425" s="317"><f>V424</f><v /></c><c r="W425" s="385"><f>W424</f><v /></c><c r="X425" s="385"><f>X424</f><v /></c><c r="Y425" s="379" t="n"><v>214.64</v></c><c r="Z425" s="379" t="n"><v>224.57</v></c><c r="AA425" s="386"><f>AA424</f><v /></c><c r="AB425" s="387"><f>AB424</f><v /></c><c r="AC425" s="382"><f>LEFT(AB425,2)</f><v /></c><c r="AD425" s="382"><f>RIGHT(AB425,6)</f><v /></c><c r="AE425" s="382"><f>+(AC425*60+AD425)/(60*60)</f><v /></c><c r="AF425" s="383"><f>+AA425/AE425</f><v /></c><c r="AG425" s="321"><f>+(((Z425-Y425-AA425)/AA425)*100)</f><v /></c><c r="AH425" s="317"><f>AH424</f><v /></c><c r="AI425" s="385"><f>AI424</f><v /></c><c r="AJ425" s="385"><f>AJ424</f><v /></c><c r="AK425" s="379"><f>Z425</f><v /></c><c r="AL425" s="379" t="n"><v>229.6</v></c><c r="AM425" s="388"><f>AM424</f><v /></c><c r="AN425" s="381"><f>AN424</f><v /></c><c r="AO425" s="382"><f>LEFT(AN425,2)</f><v /></c><c r="AP425" s="382"><f>RIGHT(AN425,6)</f><v /></c><c r="AQ425" s="382"><f>+(AO425*60+AP425)/(60*60)</f><v /></c><c r="AR425" s="383"><f>+AM425/AQ425</f><v /></c><c r="AS425" s="321"><f>+(((AL425-AK425-AM425)/AM425)*100)</f><v /></c><c r="AT425" s="389"><f>IF(I425&gt;=1,"NO CONFORME",IF(BK425="SIGDIFERENTES",BC425,BL425))</f><v /></c><c r="AU425" s="372"><f>B425=C425</f><v /></c><c r="AV425" s="372"><f>N425&lt;Y425</f><v /></c><c r="AW425" s="372"><f>Z425&lt;=AK425</f><v /></c><c r="AX425" s="372"><f>IF(I425&gt;=1,"Qcorrecto",IF(AND(AY425="aceptable",AZ425="aceptable",BA425="aceptable"),"Qcorrecto","Qincorrecto"))</f><v /></c><c r="AY425" s="390"><f>IF(AR425&lt;$AH$6,"error",IF(AR425&gt;$AH$6*1.1,"error","aceptable"))</f><v /></c><c r="AZ425" s="390"><f>IF(AF425&lt;$V$6,"error",IF(AF425&gt;$V$6*1.1,"error","aceptable"))</f><v /></c><c r="BA425" s="390"><f>IF(T425&lt;$J$6*0.9,"error",IF(T425&gt;$J$6,"error","aceptable"))</f><v /></c><c r="BB425" s="25"><f>(IF(ABS(U425)&lt;1.05,"CONFORME",IF(ABS(AG425)&lt;1.05,"CONFORME",IF(ABS(AS425)&lt;2.55,"CONFORME","NO CONFORME"))))</f><v /></c><c r="BC425" s="5"><f>(IF(ABS(U425)&gt;2.05,"NO CONFORME",IF(ABS(AG425)&gt;2.05,"NO CONFORME",IF(ABS(AS425)&gt;5.05,"NO CONFORME","CONFORME"))))</f><v /></c><c r="BD425" s="374"><f>SIGN(U425)</f><v /></c><c r="BE425" s="374"><f>SIGN(AG425)</f><v /></c><c r="BF425" s="374"><f>SIGN(AS425)</f><v /></c><c r="BG425" s="374"><f>CONCATENATE(BD425,BE425,BF425)</f><v /></c><c r="BH425" s="374"><f>IF(BG425="111","SI","SD")</f><v /></c><c r="BI425" s="374"><f>IF(BG425="-1-1-1","SI","SD")</f><v /></c><c r="BJ425" s="374"><f>OR(BH425="SI",BI425="SI")</f><v /></c><c r="BK425" s="374"><f>IF(BJ425=FALSE,"SIGDIFERENTES","SIGIGUALES")</f><v /></c><c r="BL425" s="390"><f>IF(BC425="NO CONFORME","NO CONFORME",IF(BB425="CONFORME","CONFORME","NO CONFORME"))</f><v /></c></row><row r="426" ht="15" customHeight="1" thickBot="1"><c r="A426" s="443" t="n"><v>418</v></c><c r="B426" s="375"><f>B425</f><v /></c><c r="C426" s="375"><f>C425</f><v /></c><c r="D426" s="376"><f>D425</f><v /></c><c r="E426" s="377"><f>E425</f><v /></c><c r="F426" s="13" t="n" /><c r="G426" s="337" t="inlineStr"><is><t>PA25517254</t></is></c><c r="H426" s="313"><f>H425</f><v /></c><c r="I426" s="38"><f>I425</f><v /></c><c r="J426" s="314"><f>J425</f><v /></c><c r="K426" s="378"><f>K425</f><v /></c><c r="L426" s="378"><f>L425</f><v /></c><c r="M426" s="379" t="n"><v>105.8</v></c><c r="N426" s="379" t="n"><v>206.12</v></c><c r="O426" s="380"><f>O425</f><v /></c><c r="P426" s="381"><f>P425</f><v /></c><c r="Q426" s="382"><f>LEFT(P426,1)</f><v /></c><c r="R426" s="382"><f>RIGHT(P426,6)</f><v /></c><c r="S426" s="382"><f>+(Q426*60+R426)/(60*60)</f><v /></c><c r="T426" s="383"><f>+O426/S426</f><v /></c><c r="U426" s="384"><f>+(((N426-M426-O426)/O426)*100)</f><v /></c><c r="V426" s="317"><f>V425</f><v /></c><c r="W426" s="385"><f>W425</f><v /></c><c r="X426" s="385"><f>X425</f><v /></c><c r="Y426" s="379" t="n"><v>213.25</v></c><c r="Z426" s="379" t="n"><v>223.26</v></c><c r="AA426" s="386"><f>AA425</f><v /></c><c r="AB426" s="387"><f>AB425</f><v /></c><c r="AC426" s="382"><f>LEFT(AB426,2)</f><v /></c><c r="AD426" s="382"><f>RIGHT(AB426,6)</f><v /></c><c r="AE426" s="382"><f>+(AC426*60+AD426)/(60*60)</f><v /></c><c r="AF426" s="383"><f>+AA426/AE426</f><v /></c><c r="AG426" s="321"><f>+(((Z426-Y426-AA426)/AA426)*100)</f><v /></c><c r="AH426" s="317"><f>AH425</f><v /></c><c r="AI426" s="385"><f>AI425</f><v /></c><c r="AJ426" s="385"><f>AJ425</f><v /></c><c r="AK426" s="379"><f>Z426</f><v /></c><c r="AL426" s="379" t="n"><v>228.32</v></c><c r="AM426" s="388"><f>AM425</f><v /></c><c r="AN426" s="381"><f>AN425</f><v /></c><c r="AO426" s="382"><f>LEFT(AN426,2)</f><v /></c><c r="AP426" s="382"><f>RIGHT(AN426,6)</f><v /></c><c r="AQ426" s="382"><f>+(AO426*60+AP426)/(60*60)</f><v /></c><c r="AR426" s="383"><f>+AM426/AQ426</f><v /></c><c r="AS426" s="321"><f>+(((AL426-AK426-AM426)/AM426)*100)</f><v /></c><c r="AT426" s="389"><f>IF(I426&gt;=1,"NO CONFORME",IF(BK426="SIGDIFERENTES",BC426,BL426))</f><v /></c><c r="AU426" s="372"><f>B426=C426</f><v /></c><c r="AV426" s="372"><f>N426&lt;Y426</f><v /></c><c r="AW426" s="372"><f>Z426&lt;=AK426</f><v /></c><c r="AX426" s="372"><f>IF(I426&gt;=1,"Qcorrecto",IF(AND(AY426="aceptable",AZ426="aceptable",BA426="aceptable"),"Qcorrecto","Qincorrecto"))</f><v /></c><c r="AY426" s="390"><f>IF(AR426&lt;$AH$6,"error",IF(AR426&gt;$AH$6*1.1,"error","aceptable"))</f><v /></c><c r="AZ426" s="390"><f>IF(AF426&lt;$V$6,"error",IF(AF426&gt;$V$6*1.1,"error","aceptable"))</f><v /></c><c r="BA426" s="390"><f>IF(T426&lt;$J$6*0.9,"error",IF(T426&gt;$J$6,"error","aceptable"))</f><v /></c><c r="BB426" s="25"><f>(IF(ABS(U426)&lt;1.05,"CONFORME",IF(ABS(AG426)&lt;1.05,"CONFORME",IF(ABS(AS426)&lt;2.55,"CONFORME","NO CONFORME"))))</f><v /></c><c r="BC426" s="5"><f>(IF(ABS(U426)&gt;2.05,"NO CONFORME",IF(ABS(AG426)&gt;2.05,"NO CONFORME",IF(ABS(AS426)&gt;5.05,"NO CONFORME","CONFORME"))))</f><v /></c><c r="BD426" s="374"><f>SIGN(U426)</f><v /></c><c r="BE426" s="374"><f>SIGN(AG426)</f><v /></c><c r="BF426" s="374"><f>SIGN(AS426)</f><v /></c><c r="BG426" s="374"><f>CONCATENATE(BD426,BE426,BF426)</f><v /></c><c r="BH426" s="374"><f>IF(BG426="111","SI","SD")</f><v /></c><c r="BI426" s="374"><f>IF(BG426="-1-1-1","SI","SD")</f><v /></c><c r="BJ426" s="374"><f>OR(BH426="SI",BI426="SI")</f><v /></c><c r="BK426" s="374"><f>IF(BJ426=FALSE,"SIGDIFERENTES","SIGIGUALES")</f><v /></c><c r="BL426" s="390"><f>IF(BC426="NO CONFORME","NO CONFORME",IF(BB426="CONFORME","CONFORME","NO CONFORME"))</f><v /></c></row><row r="427" ht="15" customHeight="1" thickBot="1"><c r="A427" s="443" t="n"><v>419</v></c><c r="B427" s="375"><f>B426</f><v /></c><c r="C427" s="375"><f>C426</f><v /></c><c r="D427" s="376"><f>D426</f><v /></c><c r="E427" s="377"><f>E426</f><v /></c><c r="F427" s="13" t="n" /><c r="G427" s="337" t="inlineStr"><is><t>PA25517255</t></is></c><c r="H427" s="313"><f>H426</f><v /></c><c r="I427" s="38"><f>I426</f><v /></c><c r="J427" s="314"><f>J426</f><v /></c><c r="K427" s="378"><f>K426</f><v /></c><c r="L427" s="378"><f>L426</f><v /></c><c r="M427" s="379" t="n"><v>106.5</v></c><c r="N427" s="379" t="n"><v>206.25</v></c><c r="O427" s="380"><f>O426</f><v /></c><c r="P427" s="381"><f>P426</f><v /></c><c r="Q427" s="382"><f>LEFT(P427,1)</f><v /></c><c r="R427" s="382"><f>RIGHT(P427,6)</f><v /></c><c r="S427" s="382"><f>+(Q427*60+R427)/(60*60)</f><v /></c><c r="T427" s="383"><f>+O427/S427</f><v /></c><c r="U427" s="384"><f>+(((N427-M427-O427)/O427)*100)</f><v /></c><c r="V427" s="317"><f>V426</f><v /></c><c r="W427" s="385"><f>W426</f><v /></c><c r="X427" s="385"><f>X426</f><v /></c><c r="Y427" s="379" t="n"><v>213.17</v></c><c r="Z427" s="379" t="n"><v>223.2</v></c><c r="AA427" s="386"><f>AA426</f><v /></c><c r="AB427" s="387"><f>AB426</f><v /></c><c r="AC427" s="382"><f>LEFT(AB427,2)</f><v /></c><c r="AD427" s="382"><f>RIGHT(AB427,6)</f><v /></c><c r="AE427" s="382"><f>+(AC427*60+AD427)/(60*60)</f><v /></c><c r="AF427" s="383"><f>+AA427/AE427</f><v /></c><c r="AG427" s="321"><f>+(((Z427-Y427-AA427)/AA427)*100)</f><v /></c><c r="AH427" s="317"><f>AH426</f><v /></c><c r="AI427" s="385"><f>AI426</f><v /></c><c r="AJ427" s="385"><f>AJ426</f><v /></c><c r="AK427" s="379"><f>Z427</f><v /></c><c r="AL427" s="379" t="n"><v>228.25</v></c><c r="AM427" s="388"><f>AM426</f><v /></c><c r="AN427" s="381"><f>AN426</f><v /></c><c r="AO427" s="382"><f>LEFT(AN427,2)</f><v /></c><c r="AP427" s="382"><f>RIGHT(AN427,6)</f><v /></c><c r="AQ427" s="382"><f>+(AO427*60+AP427)/(60*60)</f><v /></c><c r="AR427" s="383"><f>+AM427/AQ427</f><v /></c><c r="AS427" s="321"><f>+(((AL427-AK427-AM427)/AM427)*100)</f><v /></c><c r="AT427" s="389"><f>IF(I427&gt;=1,"NO CONFORME",IF(BK427="SIGDIFERENTES",BC427,BL427))</f><v /></c><c r="AU427" s="372"><f>B427=C427</f><v /></c><c r="AV427" s="372"><f>N427&lt;Y427</f><v /></c><c r="AW427" s="372"><f>Z427&lt;=AK427</f><v /></c><c r="AX427" s="372"><f>IF(I427&gt;=1,"Qcorrecto",IF(AND(AY427="aceptable",AZ427="aceptable",BA427="aceptable"),"Qcorrecto","Qincorrecto"))</f><v /></c><c r="AY427" s="390"><f>IF(AR427&lt;$AH$6,"error",IF(AR427&gt;$AH$6*1.1,"error","aceptable"))</f><v /></c><c r="AZ427" s="390"><f>IF(AF427&lt;$V$6,"error",IF(AF427&gt;$V$6*1.1,"error","aceptable"))</f><v /></c><c r="BA427" s="390"><f>IF(T427&lt;$J$6*0.9,"error",IF(T427&gt;$J$6,"error","aceptable"))</f><v /></c><c r="BB427" s="25"><f>(IF(ABS(U427)&lt;1.05,"CONFORME",IF(ABS(AG427)&lt;1.05,"CONFORME",IF(ABS(AS427)&lt;2.55,"CONFORME","NO CONFORME"))))</f><v /></c><c r="BC427" s="5"><f>(IF(ABS(U427)&gt;2.05,"NO CONFORME",IF(ABS(AG427)&gt;2.05,"NO CONFORME",IF(ABS(AS427)&gt;5.05,"NO CONFORME","CONFORME"))))</f><v /></c><c r="BD427" s="374"><f>SIGN(U427)</f><v /></c><c r="BE427" s="374"><f>SIGN(AG427)</f><v /></c><c r="BF427" s="374"><f>SIGN(AS427)</f><v /></c><c r="BG427" s="374"><f>CONCATENATE(BD427,BE427,BF427)</f><v /></c><c r="BH427" s="374"><f>IF(BG427="111","SI","SD")</f><v /></c><c r="BI427" s="374"><f>IF(BG427="-1-1-1","SI","SD")</f><v /></c><c r="BJ427" s="374"><f>OR(BH427="SI",BI427="SI")</f><v /></c><c r="BK427" s="374"><f>IF(BJ427=FALSE,"SIGDIFERENTES","SIGIGUALES")</f><v /></c><c r="BL427" s="390"><f>IF(BC427="NO CONFORME","NO CONFORME",IF(BB427="CONFORME","CONFORME","NO CONFORME"))</f><v /></c></row><row r="428" ht="15" customHeight="1" thickBot="1"><c r="A428" s="443" t="n"><v>420</v></c><c r="B428" s="375"><f>B427</f><v /></c><c r="C428" s="375"><f>C427</f><v /></c><c r="D428" s="376"><f>D427</f><v /></c><c r="E428" s="377"><f>E427</f><v /></c><c r="F428" s="13" t="n" /><c r="G428" s="337" t="inlineStr"><is><t>PA25517256</t></is></c><c r="H428" s="313"><f>H427</f><v /></c><c r="I428" s="38"><f>I427</f><v /></c><c r="J428" s="314"><f>J427</f><v /></c><c r="K428" s="378"><f>K427</f><v /></c><c r="L428" s="378"><f>L427</f><v /></c><c r="M428" s="379" t="n"><v>105.9</v></c><c r="N428" s="379" t="n"><v>205.82</v></c><c r="O428" s="380"><f>O427</f><v /></c><c r="P428" s="381"><f>P427</f><v /></c><c r="Q428" s="382"><f>LEFT(P428,1)</f><v /></c><c r="R428" s="382"><f>RIGHT(P428,6)</f><v /></c><c r="S428" s="382"><f>+(Q428*60+R428)/(60*60)</f><v /></c><c r="T428" s="383"><f>+O428/S428</f><v /></c><c r="U428" s="384"><f>+(((N428-M428-O428)/O428)*100)</f><v /></c><c r="V428" s="317"><f>V427</f><v /></c><c r="W428" s="385"><f>W427</f><v /></c><c r="X428" s="385"><f>X427</f><v /></c><c r="Y428" s="379" t="n"><v>212.94</v></c><c r="Z428" s="379" t="n"><v>222.9</v></c><c r="AA428" s="386"><f>AA427</f><v /></c><c r="AB428" s="387"><f>AB427</f><v /></c><c r="AC428" s="382"><f>LEFT(AB428,2)</f><v /></c><c r="AD428" s="382"><f>RIGHT(AB428,6)</f><v /></c><c r="AE428" s="382"><f>+(AC428*60+AD428)/(60*60)</f><v /></c><c r="AF428" s="383"><f>+AA428/AE428</f><v /></c><c r="AG428" s="321"><f>+(((Z428-Y428-AA428)/AA428)*100)</f><v /></c><c r="AH428" s="317"><f>AH427</f><v /></c><c r="AI428" s="385"><f>AI427</f><v /></c><c r="AJ428" s="385"><f>AJ427</f><v /></c><c r="AK428" s="379"><f>Z428</f><v /></c><c r="AL428" s="379" t="n"><v>227.95</v></c><c r="AM428" s="388"><f>AM427</f><v /></c><c r="AN428" s="381"><f>AN427</f><v /></c><c r="AO428" s="382"><f>LEFT(AN428,2)</f><v /></c><c r="AP428" s="382"><f>RIGHT(AN428,6)</f><v /></c><c r="AQ428" s="382"><f>+(AO428*60+AP428)/(60*60)</f><v /></c><c r="AR428" s="383"><f>+AM428/AQ428</f><v /></c><c r="AS428" s="321"><f>+(((AL428-AK428-AM428)/AM428)*100)</f><v /></c><c r="AT428" s="389"><f>IF(I428&gt;=1,"NO CONFORME",IF(BK428="SIGDIFERENTES",BC428,BL428))</f><v /></c><c r="AU428" s="372"><f>B428=C428</f><v /></c><c r="AV428" s="372"><f>N428&lt;Y428</f><v /></c><c r="AW428" s="372"><f>Z428&lt;=AK428</f><v /></c><c r="AX428" s="372"><f>IF(I428&gt;=1,"Qcorrecto",IF(AND(AY428="aceptable",AZ428="aceptable",BA428="aceptable"),"Qcorrecto","Qincorrecto"))</f><v /></c><c r="AY428" s="390"><f>IF(AR428&lt;$AH$6,"error",IF(AR428&gt;$AH$6*1.1,"error","aceptable"))</f><v /></c><c r="AZ428" s="390"><f>IF(AF428&lt;$V$6,"error",IF(AF428&gt;$V$6*1.1,"error","aceptable"))</f><v /></c><c r="BA428" s="390"><f>IF(T428&lt;$J$6*0.9,"error",IF(T428&gt;$J$6,"error","aceptable"))</f><v /></c><c r="BB428" s="25"><f>(IF(ABS(U428)&lt;1.05,"CONFORME",IF(ABS(AG428)&lt;1.05,"CONFORME",IF(ABS(AS428)&lt;2.55,"CONFORME","NO CONFORME"))))</f><v /></c><c r="BC428" s="5"><f>(IF(ABS(U428)&gt;2.05,"NO CONFORME",IF(ABS(AG428)&gt;2.05,"NO CONFORME",IF(ABS(AS428)&gt;5.05,"NO CONFORME","CONFORME"))))</f><v /></c><c r="BD428" s="374"><f>SIGN(U428)</f><v /></c><c r="BE428" s="374"><f>SIGN(AG428)</f><v /></c><c r="BF428" s="374"><f>SIGN(AS428)</f><v /></c><c r="BG428" s="374"><f>CONCATENATE(BD428,BE428,BF428)</f><v /></c><c r="BH428" s="374"><f>IF(BG428="111","SI","SD")</f><v /></c><c r="BI428" s="374"><f>IF(BG428="-1-1-1","SI","SD")</f><v /></c><c r="BJ428" s="374"><f>OR(BH428="SI",BI428="SI")</f><v /></c><c r="BK428" s="374"><f>IF(BJ428=FALSE,"SIGDIFERENTES","SIGIGUALES")</f><v /></c><c r="BL428" s="390"><f>IF(BC428="NO CONFORME","NO CONFORME",IF(BB428="CONFORME","CONFORME","NO CONFORME"))</f><v /></c></row><row r="429" ht="15" customHeight="1" thickBot="1"><c r="A429" s="443" t="n"><v>421</v></c><c r="B429" s="375"><f>B428</f><v /></c><c r="C429" s="375"><f>C428</f><v /></c><c r="D429" s="376"><f>D428</f><v /></c><c r="E429" s="377"><f>E428</f><v /></c><c r="F429" s="13" t="n" /><c r="G429" s="337" t="inlineStr"><is><t>PA25517257</t></is></c><c r="H429" s="313"><f>H428</f><v /></c><c r="I429" s="38"><f>I428</f><v /></c><c r="J429" s="314"><f>J428</f><v /></c><c r="K429" s="378"><f>K428</f><v /></c><c r="L429" s="378"><f>L428</f><v /></c><c r="M429" s="379" t="n"><v>106.5</v></c><c r="N429" s="379" t="n"><v>206.65</v></c><c r="O429" s="380"><f>O428</f><v /></c><c r="P429" s="381"><f>P428</f><v /></c><c r="Q429" s="382"><f>LEFT(P429,1)</f><v /></c><c r="R429" s="382"><f>RIGHT(P429,6)</f><v /></c><c r="S429" s="382"><f>+(Q429*60+R429)/(60*60)</f><v /></c><c r="T429" s="383"><f>+O429/S429</f><v /></c><c r="U429" s="384"><f>+(((N429-M429-O429)/O429)*100)</f><v /></c><c r="V429" s="317"><f>V428</f><v /></c><c r="W429" s="385"><f>W428</f><v /></c><c r="X429" s="385"><f>X428</f><v /></c><c r="Y429" s="379" t="n"><v>213.75</v></c><c r="Z429" s="379" t="n"><v>223.84</v></c><c r="AA429" s="386"><f>AA428</f><v /></c><c r="AB429" s="387"><f>AB428</f><v /></c><c r="AC429" s="382"><f>LEFT(AB429,2)</f><v /></c><c r="AD429" s="382"><f>RIGHT(AB429,6)</f><v /></c><c r="AE429" s="382"><f>+(AC429*60+AD429)/(60*60)</f><v /></c><c r="AF429" s="383"><f>+AA429/AE429</f><v /></c><c r="AG429" s="321"><f>+(((Z429-Y429-AA429)/AA429)*100)</f><v /></c><c r="AH429" s="317"><f>AH428</f><v /></c><c r="AI429" s="385"><f>AI428</f><v /></c><c r="AJ429" s="385"><f>AJ428</f><v /></c><c r="AK429" s="379"><f>Z429</f><v /></c><c r="AL429" s="379" t="n"><v>228.96</v></c><c r="AM429" s="388"><f>AM428</f><v /></c><c r="AN429" s="381"><f>AN428</f><v /></c><c r="AO429" s="382"><f>LEFT(AN429,2)</f><v /></c><c r="AP429" s="382"><f>RIGHT(AN429,6)</f><v /></c><c r="AQ429" s="382"><f>+(AO429*60+AP429)/(60*60)</f><v /></c><c r="AR429" s="383"><f>+AM429/AQ429</f><v /></c><c r="AS429" s="321"><f>+(((AL429-AK429-AM429)/AM429)*100)</f><v /></c><c r="AT429" s="389"><f>IF(I429&gt;=1,"NO CONFORME",IF(BK429="SIGDIFERENTES",BC429,BL429))</f><v /></c><c r="AU429" s="372"><f>B429=C429</f><v /></c><c r="AV429" s="372"><f>N429&lt;Y429</f><v /></c><c r="AW429" s="372"><f>Z429&lt;=AK429</f><v /></c><c r="AX429" s="372"><f>IF(I429&gt;=1,"Qcorrecto",IF(AND(AY429="aceptable",AZ429="aceptable",BA429="aceptable"),"Qcorrecto","Qincorrecto"))</f><v /></c><c r="AY429" s="390"><f>IF(AR429&lt;$AH$6,"error",IF(AR429&gt;$AH$6*1.1,"error","aceptable"))</f><v /></c><c r="AZ429" s="390"><f>IF(AF429&lt;$V$6,"error",IF(AF429&gt;$V$6*1.1,"error","aceptable"))</f><v /></c><c r="BA429" s="390"><f>IF(T429&lt;$J$6*0.9,"error",IF(T429&gt;$J$6,"error","aceptable"))</f><v /></c><c r="BB429" s="25"><f>(IF(ABS(U429)&lt;1.05,"CONFORME",IF(ABS(AG429)&lt;1.05,"CONFORME",IF(ABS(AS429)&lt;2.55,"CONFORME","NO CONFORME"))))</f><v /></c><c r="BC429" s="5"><f>(IF(ABS(U429)&gt;2.05,"NO CONFORME",IF(ABS(AG429)&gt;2.05,"NO CONFORME",IF(ABS(AS429)&gt;5.05,"NO CONFORME","CONFORME"))))</f><v /></c><c r="BD429" s="374"><f>SIGN(U429)</f><v /></c><c r="BE429" s="374"><f>SIGN(AG429)</f><v /></c><c r="BF429" s="374"><f>SIGN(AS429)</f><v /></c><c r="BG429" s="374"><f>CONCATENATE(BD429,BE429,BF429)</f><v /></c><c r="BH429" s="374"><f>IF(BG429="111","SI","SD")</f><v /></c><c r="BI429" s="374"><f>IF(BG429="-1-1-1","SI","SD")</f><v /></c><c r="BJ429" s="374"><f>OR(BH429="SI",BI429="SI")</f><v /></c><c r="BK429" s="374"><f>IF(BJ429=FALSE,"SIGDIFERENTES","SIGIGUALES")</f><v /></c><c r="BL429" s="390"><f>IF(BC429="NO CONFORME","NO CONFORME",IF(BB429="CONFORME","CONFORME","NO CONFORME"))</f><v /></c></row><row r="430" ht="15" customHeight="1" thickBot="1"><c r="A430" s="443" t="n"><v>422</v></c><c r="B430" s="375"><f>B429</f><v /></c><c r="C430" s="375"><f>C429</f><v /></c><c r="D430" s="376"><f>D429</f><v /></c><c r="E430" s="377"><f>E429</f><v /></c><c r="F430" s="13" t="n" /><c r="G430" s="337" t="inlineStr"><is><t>PA25517258</t></is></c><c r="H430" s="313"><f>H429</f><v /></c><c r="I430" s="38"><f>I429</f><v /></c><c r="J430" s="314"><f>J429</f><v /></c><c r="K430" s="378"><f>K429</f><v /></c><c r="L430" s="378"><f>L429</f><v /></c><c r="M430" s="379" t="n"><v>106.86</v></c><c r="N430" s="379" t="n"><v>206.05</v></c><c r="O430" s="380"><f>O429</f><v /></c><c r="P430" s="381"><f>P429</f><v /></c><c r="Q430" s="382"><f>LEFT(P430,1)</f><v /></c><c r="R430" s="382"><f>RIGHT(P430,6)</f><v /></c><c r="S430" s="382"><f>+(Q430*60+R430)/(60*60)</f><v /></c><c r="T430" s="383"><f>+O430/S430</f><v /></c><c r="U430" s="384"><f>+(((N430-M430-O430)/O430)*100)</f><v /></c><c r="V430" s="317"><f>V429</f><v /></c><c r="W430" s="385"><f>W429</f><v /></c><c r="X430" s="385"><f>X429</f><v /></c><c r="Y430" s="379" t="n"><v>213.15</v></c><c r="Z430" s="379" t="n"><v>223.17</v></c><c r="AA430" s="386"><f>AA429</f><v /></c><c r="AB430" s="387"><f>AB429</f><v /></c><c r="AC430" s="382"><f>LEFT(AB430,2)</f><v /></c><c r="AD430" s="382"><f>RIGHT(AB430,6)</f><v /></c><c r="AE430" s="382"><f>+(AC430*60+AD430)/(60*60)</f><v /></c><c r="AF430" s="383"><f>+AA430/AE430</f><v /></c><c r="AG430" s="321"><f>+(((Z430-Y430-AA430)/AA430)*100)</f><v /></c><c r="AH430" s="317"><f>AH429</f><v /></c><c r="AI430" s="385"><f>AI429</f><v /></c><c r="AJ430" s="385"><f>AJ429</f><v /></c><c r="AK430" s="379"><f>Z430</f><v /></c><c r="AL430" s="379" t="n"><v>228.27</v></c><c r="AM430" s="388"><f>AM429</f><v /></c><c r="AN430" s="381"><f>AN429</f><v /></c><c r="AO430" s="382"><f>LEFT(AN430,2)</f><v /></c><c r="AP430" s="382"><f>RIGHT(AN430,6)</f><v /></c><c r="AQ430" s="382"><f>+(AO430*60+AP430)/(60*60)</f><v /></c><c r="AR430" s="383"><f>+AM430/AQ430</f><v /></c><c r="AS430" s="321"><f>+(((AL430-AK430-AM430)/AM430)*100)</f><v /></c><c r="AT430" s="389"><f>IF(I430&gt;=1,"NO CONFORME",IF(BK430="SIGDIFERENTES",BC430,BL430))</f><v /></c><c r="AU430" s="372"><f>B430=C430</f><v /></c><c r="AV430" s="372"><f>N430&lt;Y430</f><v /></c><c r="AW430" s="372"><f>Z430&lt;=AK430</f><v /></c><c r="AX430" s="372"><f>IF(I430&gt;=1,"Qcorrecto",IF(AND(AY430="aceptable",AZ430="aceptable",BA430="aceptable"),"Qcorrecto","Qincorrecto"))</f><v /></c><c r="AY430" s="390"><f>IF(AR430&lt;$AH$6,"error",IF(AR430&gt;$AH$6*1.1,"error","aceptable"))</f><v /></c><c r="AZ430" s="390"><f>IF(AF430&lt;$V$6,"error",IF(AF430&gt;$V$6*1.1,"error","aceptable"))</f><v /></c><c r="BA430" s="390"><f>IF(T430&lt;$J$6*0.9,"error",IF(T430&gt;$J$6,"error","aceptable"))</f><v /></c><c r="BB430" s="25"><f>(IF(ABS(U430)&lt;1.05,"CONFORME",IF(ABS(AG430)&lt;1.05,"CONFORME",IF(ABS(AS430)&lt;2.55,"CONFORME","NO CONFORME"))))</f><v /></c><c r="BC430" s="5"><f>(IF(ABS(U430)&gt;2.05,"NO CONFORME",IF(ABS(AG430)&gt;2.05,"NO CONFORME",IF(ABS(AS430)&gt;5.05,"NO CONFORME","CONFORME"))))</f><v /></c><c r="BD430" s="374"><f>SIGN(U430)</f><v /></c><c r="BE430" s="374"><f>SIGN(AG430)</f><v /></c><c r="BF430" s="374"><f>SIGN(AS430)</f><v /></c><c r="BG430" s="374"><f>CONCATENATE(BD430,BE430,BF430)</f><v /></c><c r="BH430" s="374"><f>IF(BG430="111","SI","SD")</f><v /></c><c r="BI430" s="374"><f>IF(BG430="-1-1-1","SI","SD")</f><v /></c><c r="BJ430" s="374"><f>OR(BH430="SI",BI430="SI")</f><v /></c><c r="BK430" s="374"><f>IF(BJ430=FALSE,"SIGDIFERENTES","SIGIGUALES")</f><v /></c><c r="BL430" s="390"><f>IF(BC430="NO CONFORME","NO CONFORME",IF(BB430="CONFORME","CONFORME","NO CONFORME"))</f><v /></c></row><row r="431" ht="15" customHeight="1" thickBot="1"><c r="A431" s="443" t="n"><v>423</v></c><c r="B431" s="375"><f>B430</f><v /></c><c r="C431" s="375"><f>C430</f><v /></c><c r="D431" s="376"><f>D430</f><v /></c><c r="E431" s="377"><f>E430</f><v /></c><c r="F431" s="13" t="n" /><c r="G431" s="337" t="inlineStr"><is><t>PA25517259</t></is></c><c r="H431" s="313"><f>H430</f><v /></c><c r="I431" s="38"><f>I430</f><v /></c><c r="J431" s="314"><f>J430</f><v /></c><c r="K431" s="378"><f>K430</f><v /></c><c r="L431" s="378"><f>L430</f><v /></c><c r="M431" s="379" t="n"><v>149.12</v></c><c r="N431" s="379" t="n"><v>250.25</v></c><c r="O431" s="380"><f>O430</f><v /></c><c r="P431" s="381"><f>P430</f><v /></c><c r="Q431" s="382"><f>LEFT(P431,1)</f><v /></c><c r="R431" s="382"><f>RIGHT(P431,6)</f><v /></c><c r="S431" s="382"><f>+(Q431*60+R431)/(60*60)</f><v /></c><c r="T431" s="383"><f>+O431/S431</f><v /></c><c r="U431" s="384"><f>+(((N431-M431-O431)/O431)*100)</f><v /></c><c r="V431" s="317"><f>V430</f><v /></c><c r="W431" s="385"><f>W430</f><v /></c><c r="X431" s="385"><f>X430</f><v /></c><c r="Y431" s="379" t="n"><v>257.37</v></c><c r="Z431" s="379" t="n"><v>267.45</v></c><c r="AA431" s="386"><f>AA430</f><v /></c><c r="AB431" s="387"><f>AB430</f><v /></c><c r="AC431" s="382"><f>LEFT(AB431,2)</f><v /></c><c r="AD431" s="382"><f>RIGHT(AB431,6)</f><v /></c><c r="AE431" s="382"><f>+(AC431*60+AD431)/(60*60)</f><v /></c><c r="AF431" s="383"><f>+AA431/AE431</f><v /></c><c r="AG431" s="321"><f>+(((Z431-Y431-AA431)/AA431)*100)</f><v /></c><c r="AH431" s="317"><f>AH430</f><v /></c><c r="AI431" s="385"><f>AI430</f><v /></c><c r="AJ431" s="385"><f>AJ430</f><v /></c><c r="AK431" s="379"><f>Z431</f><v /></c><c r="AL431" s="379" t="n"><v>272.52</v></c><c r="AM431" s="388"><f>AM430</f><v /></c><c r="AN431" s="381"><f>AN430</f><v /></c><c r="AO431" s="382"><f>LEFT(AN431,2)</f><v /></c><c r="AP431" s="382"><f>RIGHT(AN431,6)</f><v /></c><c r="AQ431" s="382"><f>+(AO431*60+AP431)/(60*60)</f><v /></c><c r="AR431" s="383"><f>+AM431/AQ431</f><v /></c><c r="AS431" s="321"><f>+(((AL431-AK431-AM431)/AM431)*100)</f><v /></c><c r="AT431" s="389"><f>IF(I431&gt;=1,"NO CONFORME",IF(BK431="SIGDIFERENTES",BC431,BL431))</f><v /></c><c r="AU431" s="372"><f>B431=C431</f><v /></c><c r="AV431" s="372"><f>N431&lt;Y431</f><v /></c><c r="AW431" s="372"><f>Z431&lt;=AK431</f><v /></c><c r="AX431" s="372"><f>IF(I431&gt;=1,"Qcorrecto",IF(AND(AY431="aceptable",AZ431="aceptable",BA431="aceptable"),"Qcorrecto","Qincorrecto"))</f><v /></c><c r="AY431" s="390"><f>IF(AR431&lt;$AH$6,"error",IF(AR431&gt;$AH$6*1.1,"error","aceptable"))</f><v /></c><c r="AZ431" s="390"><f>IF(AF431&lt;$V$6,"error",IF(AF431&gt;$V$6*1.1,"error","aceptable"))</f><v /></c><c r="BA431" s="390"><f>IF(T431&lt;$J$6*0.9,"error",IF(T431&gt;$J$6,"error","aceptable"))</f><v /></c><c r="BB431" s="25"><f>(IF(ABS(U431)&lt;1.05,"CONFORME",IF(ABS(AG431)&lt;1.05,"CONFORME",IF(ABS(AS431)&lt;2.55,"CONFORME","NO CONFORME"))))</f><v /></c><c r="BC431" s="5"><f>(IF(ABS(U431)&gt;2.05,"NO CONFORME",IF(ABS(AG431)&gt;2.05,"NO CONFORME",IF(ABS(AS431)&gt;5.05,"NO CONFORME","CONFORME"))))</f><v /></c><c r="BD431" s="374"><f>SIGN(U431)</f><v /></c><c r="BE431" s="374"><f>SIGN(AG431)</f><v /></c><c r="BF431" s="374"><f>SIGN(AS431)</f><v /></c><c r="BG431" s="374"><f>CONCATENATE(BD431,BE431,BF431)</f><v /></c><c r="BH431" s="374"><f>IF(BG431="111","SI","SD")</f><v /></c><c r="BI431" s="374"><f>IF(BG431="-1-1-1","SI","SD")</f><v /></c><c r="BJ431" s="374"><f>OR(BH431="SI",BI431="SI")</f><v /></c><c r="BK431" s="374"><f>IF(BJ431=FALSE,"SIGDIFERENTES","SIGIGUALES")</f><v /></c><c r="BL431" s="390"><f>IF(BC431="NO CONFORME","NO CONFORME",IF(BB431="CONFORME","CONFORME","NO CONFORME"))</f><v /></c></row><row r="432" ht="15" customHeight="1" thickBot="1"><c r="A432" s="443" t="n"><v>424</v></c><c r="B432" s="375"><f>B431</f><v /></c><c r="C432" s="375"><f>C431</f><v /></c><c r="D432" s="376"><f>D431</f><v /></c><c r="E432" s="377"><f>E431</f><v /></c><c r="F432" s="13" t="n" /><c r="G432" s="337" t="inlineStr"><is><t>PA25517260</t></is></c><c r="H432" s="313"><f>H431</f><v /></c><c r="I432" s="38"><f>I431</f><v /></c><c r="J432" s="314"><f>J431</f><v /></c><c r="K432" s="378"><f>K431</f><v /></c><c r="L432" s="378"><f>L431</f><v /></c><c r="M432" s="379" t="n"><v>109.85</v></c><c r="N432" s="379" t="n"><v>210.6</v></c><c r="O432" s="380"><f>O431</f><v /></c><c r="P432" s="381"><f>P431</f><v /></c><c r="Q432" s="382"><f>LEFT(P432,1)</f><v /></c><c r="R432" s="382"><f>RIGHT(P432,6)</f><v /></c><c r="S432" s="382"><f>+(Q432*60+R432)/(60*60)</f><v /></c><c r="T432" s="383"><f>+O432/S432</f><v /></c><c r="U432" s="384"><f>+(((N432-M432-O432)/O432)*100)</f><v /></c><c r="V432" s="317"><f>V431</f><v /></c><c r="W432" s="385"><f>W431</f><v /></c><c r="X432" s="385"><f>X431</f><v /></c><c r="Y432" s="379" t="n"><v>217.65</v></c><c r="Z432" s="379" t="n"><v>227.7</v></c><c r="AA432" s="386"><f>AA431</f><v /></c><c r="AB432" s="387"><f>AB431</f><v /></c><c r="AC432" s="382"><f>LEFT(AB432,2)</f><v /></c><c r="AD432" s="382"><f>RIGHT(AB432,6)</f><v /></c><c r="AE432" s="382"><f>+(AC432*60+AD432)/(60*60)</f><v /></c><c r="AF432" s="383"><f>+AA432/AE432</f><v /></c><c r="AG432" s="321"><f>+(((Z432-Y432-AA432)/AA432)*100)</f><v /></c><c r="AH432" s="317"><f>AH431</f><v /></c><c r="AI432" s="385"><f>AI431</f><v /></c><c r="AJ432" s="385"><f>AJ431</f><v /></c><c r="AK432" s="379"><f>Z432</f><v /></c><c r="AL432" s="379" t="n"><v>232.85</v></c><c r="AM432" s="388"><f>AM431</f><v /></c><c r="AN432" s="381"><f>AN431</f><v /></c><c r="AO432" s="382"><f>LEFT(AN432,2)</f><v /></c><c r="AP432" s="382"><f>RIGHT(AN432,6)</f><v /></c><c r="AQ432" s="382"><f>+(AO432*60+AP432)/(60*60)</f><v /></c><c r="AR432" s="383"><f>+AM432/AQ432</f><v /></c><c r="AS432" s="321"><f>+(((AL432-AK432-AM432)/AM432)*100)</f><v /></c><c r="AT432" s="389"><f>IF(I432&gt;=1,"NO CONFORME",IF(BK432="SIGDIFERENTES",BC432,BL432))</f><v /></c><c r="AU432" s="372"><f>B432=C432</f><v /></c><c r="AV432" s="372"><f>N432&lt;Y432</f><v /></c><c r="AW432" s="372"><f>Z432&lt;=AK432</f><v /></c><c r="AX432" s="372"><f>IF(I432&gt;=1,"Qcorrecto",IF(AND(AY432="aceptable",AZ432="aceptable",BA432="aceptable"),"Qcorrecto","Qincorrecto"))</f><v /></c><c r="AY432" s="390"><f>IF(AR432&lt;$AH$6,"error",IF(AR432&gt;$AH$6*1.1,"error","aceptable"))</f><v /></c><c r="AZ432" s="390"><f>IF(AF432&lt;$V$6,"error",IF(AF432&gt;$V$6*1.1,"error","aceptable"))</f><v /></c><c r="BA432" s="390"><f>IF(T432&lt;$J$6*0.9,"error",IF(T432&gt;$J$6,"error","aceptable"))</f><v /></c><c r="BB432" s="25"><f>(IF(ABS(U432)&lt;1.05,"CONFORME",IF(ABS(AG432)&lt;1.05,"CONFORME",IF(ABS(AS432)&lt;2.55,"CONFORME","NO CONFORME"))))</f><v /></c><c r="BC432" s="5"><f>(IF(ABS(U432)&gt;2.05,"NO CONFORME",IF(ABS(AG432)&gt;2.05,"NO CONFORME",IF(ABS(AS432)&gt;5.05,"NO CONFORME","CONFORME"))))</f><v /></c><c r="BD432" s="374"><f>SIGN(U432)</f><v /></c><c r="BE432" s="374"><f>SIGN(AG432)</f><v /></c><c r="BF432" s="374"><f>SIGN(AS432)</f><v /></c><c r="BG432" s="374"><f>CONCATENATE(BD432,BE432,BF432)</f><v /></c><c r="BH432" s="374"><f>IF(BG432="111","SI","SD")</f><v /></c><c r="BI432" s="374"><f>IF(BG432="-1-1-1","SI","SD")</f><v /></c><c r="BJ432" s="374"><f>OR(BH432="SI",BI432="SI")</f><v /></c><c r="BK432" s="374"><f>IF(BJ432=FALSE,"SIGDIFERENTES","SIGIGUALES")</f><v /></c><c r="BL432" s="390"><f>IF(BC432="NO CONFORME","NO CONFORME",IF(BB432="CONFORME","CONFORME","NO CONFORME"))</f><v /></c></row><row r="433" ht="15" customHeight="1" thickBot="1"><c r="A433" s="443" t="n"><v>425</v></c><c r="B433" s="375"><f>B432</f><v /></c><c r="C433" s="375"><f>C432</f><v /></c><c r="D433" s="376"><f>D432</f><v /></c><c r="E433" s="377"><f>E432</f><v /></c><c r="F433" s="13" t="n" /><c r="G433" s="337" t="inlineStr"><is><t>PA25517261</t></is></c><c r="H433" s="313"><f>H432</f><v /></c><c r="I433" s="38"><f>I432</f><v /></c><c r="J433" s="314"><f>J432</f><v /></c><c r="K433" s="378"><f>K432</f><v /></c><c r="L433" s="378"><f>L432</f><v /></c><c r="M433" s="379" t="n"><v>108.8</v></c><c r="N433" s="379" t="n"><v>208.7</v></c><c r="O433" s="380"><f>O432</f><v /></c><c r="P433" s="381"><f>P432</f><v /></c><c r="Q433" s="382"><f>LEFT(P433,1)</f><v /></c><c r="R433" s="382"><f>RIGHT(P433,6)</f><v /></c><c r="S433" s="382"><f>+(Q433*60+R433)/(60*60)</f><v /></c><c r="T433" s="383"><f>+O433/S433</f><v /></c><c r="U433" s="384"><f>+(((N433-M433-O433)/O433)*100)</f><v /></c><c r="V433" s="317"><f>V432</f><v /></c><c r="W433" s="385"><f>W432</f><v /></c><c r="X433" s="385"><f>X432</f><v /></c><c r="Y433" s="379" t="n"><v>215.72</v></c><c r="Z433" s="379" t="n"><v>225.75</v></c><c r="AA433" s="386"><f>AA432</f><v /></c><c r="AB433" s="387"><f>AB432</f><v /></c><c r="AC433" s="382"><f>LEFT(AB433,2)</f><v /></c><c r="AD433" s="382"><f>RIGHT(AB433,6)</f><v /></c><c r="AE433" s="382"><f>+(AC433*60+AD433)/(60*60)</f><v /></c><c r="AF433" s="383"><f>+AA433/AE433</f><v /></c><c r="AG433" s="321"><f>+(((Z433-Y433-AA433)/AA433)*100)</f><v /></c><c r="AH433" s="317"><f>AH432</f><v /></c><c r="AI433" s="385"><f>AI432</f><v /></c><c r="AJ433" s="385"><f>AJ432</f><v /></c><c r="AK433" s="379"><f>Z433</f><v /></c><c r="AL433" s="379" t="n"><v>230.86</v></c><c r="AM433" s="388"><f>AM432</f><v /></c><c r="AN433" s="381"><f>AN432</f><v /></c><c r="AO433" s="382"><f>LEFT(AN433,2)</f><v /></c><c r="AP433" s="382"><f>RIGHT(AN433,6)</f><v /></c><c r="AQ433" s="382"><f>+(AO433*60+AP433)/(60*60)</f><v /></c><c r="AR433" s="383"><f>+AM433/AQ433</f><v /></c><c r="AS433" s="321"><f>+(((AL433-AK433-AM433)/AM433)*100)</f><v /></c><c r="AT433" s="389"><f>IF(I433&gt;=1,"NO CONFORME",IF(BK433="SIGDIFERENTES",BC433,BL433))</f><v /></c><c r="AU433" s="372"><f>B433=C433</f><v /></c><c r="AV433" s="372"><f>N433&lt;Y433</f><v /></c><c r="AW433" s="372"><f>Z433&lt;=AK433</f><v /></c><c r="AX433" s="372"><f>IF(I433&gt;=1,"Qcorrecto",IF(AND(AY433="aceptable",AZ433="aceptable",BA433="aceptable"),"Qcorrecto","Qincorrecto"))</f><v /></c><c r="AY433" s="390"><f>IF(AR433&lt;$AH$6,"error",IF(AR433&gt;$AH$6*1.1,"error","aceptable"))</f><v /></c><c r="AZ433" s="390"><f>IF(AF433&lt;$V$6,"error",IF(AF433&gt;$V$6*1.1,"error","aceptable"))</f><v /></c><c r="BA433" s="390"><f>IF(T433&lt;$J$6*0.9,"error",IF(T433&gt;$J$6,"error","aceptable"))</f><v /></c><c r="BB433" s="25"><f>(IF(ABS(U433)&lt;1.05,"CONFORME",IF(ABS(AG433)&lt;1.05,"CONFORME",IF(ABS(AS433)&lt;2.55,"CONFORME","NO CONFORME"))))</f><v /></c><c r="BC433" s="5"><f>(IF(ABS(U433)&gt;2.05,"NO CONFORME",IF(ABS(AG433)&gt;2.05,"NO CONFORME",IF(ABS(AS433)&gt;5.05,"NO CONFORME","CONFORME"))))</f><v /></c><c r="BD433" s="374"><f>SIGN(U433)</f><v /></c><c r="BE433" s="374"><f>SIGN(AG433)</f><v /></c><c r="BF433" s="374"><f>SIGN(AS433)</f><v /></c><c r="BG433" s="374"><f>CONCATENATE(BD433,BE433,BF433)</f><v /></c><c r="BH433" s="374"><f>IF(BG433="111","SI","SD")</f><v /></c><c r="BI433" s="374"><f>IF(BG433="-1-1-1","SI","SD")</f><v /></c><c r="BJ433" s="374"><f>OR(BH433="SI",BI433="SI")</f><v /></c><c r="BK433" s="374"><f>IF(BJ433=FALSE,"SIGDIFERENTES","SIGIGUALES")</f><v /></c><c r="BL433" s="390"><f>IF(BC433="NO CONFORME","NO CONFORME",IF(BB433="CONFORME","CONFORME","NO CONFORME"))</f><v /></c></row><row r="434" ht="15" customHeight="1" thickBot="1"><c r="A434" s="443" t="n"><v>426</v></c><c r="B434" s="375"><f>B433</f><v /></c><c r="C434" s="375"><f>C433</f><v /></c><c r="D434" s="376"><f>D433</f><v /></c><c r="E434" s="377"><f>E433</f><v /></c><c r="F434" s="13" t="n" /><c r="G434" s="337" t="inlineStr"><is><t>PA25517262</t></is></c><c r="H434" s="313"><f>H433</f><v /></c><c r="I434" s="38"><f>I433</f><v /></c><c r="J434" s="314"><f>J433</f><v /></c><c r="K434" s="378"><f>K433</f><v /></c><c r="L434" s="378"><f>L433</f><v /></c><c r="M434" s="379" t="n"><v>109.31</v></c><c r="N434" s="379" t="n"><v>209.67</v></c><c r="O434" s="380"><f>O433</f><v /></c><c r="P434" s="381"><f>P433</f><v /></c><c r="Q434" s="382"><f>LEFT(P434,1)</f><v /></c><c r="R434" s="382"><f>RIGHT(P434,6)</f><v /></c><c r="S434" s="382"><f>+(Q434*60+R434)/(60*60)</f><v /></c><c r="T434" s="383"><f>+O434/S434</f><v /></c><c r="U434" s="384"><f>+(((N434-M434-O434)/O434)*100)</f><v /></c><c r="V434" s="317"><f>V433</f><v /></c><c r="W434" s="385"><f>W433</f><v /></c><c r="X434" s="385"><f>X433</f><v /></c><c r="Y434" s="379" t="n"><v>216.72</v></c><c r="Z434" s="379" t="n"><v>226.7</v></c><c r="AA434" s="386"><f>AA433</f><v /></c><c r="AB434" s="387"><f>AB433</f><v /></c><c r="AC434" s="382"><f>LEFT(AB434,2)</f><v /></c><c r="AD434" s="382"><f>RIGHT(AB434,6)</f><v /></c><c r="AE434" s="382"><f>+(AC434*60+AD434)/(60*60)</f><v /></c><c r="AF434" s="383"><f>+AA434/AE434</f><v /></c><c r="AG434" s="321"><f>+(((Z434-Y434-AA434)/AA434)*100)</f><v /></c><c r="AH434" s="317"><f>AH433</f><v /></c><c r="AI434" s="385"><f>AI433</f><v /></c><c r="AJ434" s="385"><f>AJ433</f><v /></c><c r="AK434" s="379"><f>Z434</f><v /></c><c r="AL434" s="379" t="n"><v>231.66</v></c><c r="AM434" s="388"><f>AM433</f><v /></c><c r="AN434" s="381"><f>AN433</f><v /></c><c r="AO434" s="382"><f>LEFT(AN434,2)</f><v /></c><c r="AP434" s="382"><f>RIGHT(AN434,6)</f><v /></c><c r="AQ434" s="382"><f>+(AO434*60+AP434)/(60*60)</f><v /></c><c r="AR434" s="383"><f>+AM434/AQ434</f><v /></c><c r="AS434" s="321"><f>+(((AL434-AK434-AM434)/AM434)*100)</f><v /></c><c r="AT434" s="389"><f>IF(I434&gt;=1,"NO CONFORME",IF(BK434="SIGDIFERENTES",BC434,BL434))</f><v /></c><c r="AU434" s="372"><f>B434=C434</f><v /></c><c r="AV434" s="372"><f>N434&lt;Y434</f><v /></c><c r="AW434" s="372"><f>Z434&lt;=AK434</f><v /></c><c r="AX434" s="372"><f>IF(I434&gt;=1,"Qcorrecto",IF(AND(AY434="aceptable",AZ434="aceptable",BA434="aceptable"),"Qcorrecto","Qincorrecto"))</f><v /></c><c r="AY434" s="390"><f>IF(AR434&lt;$AH$6,"error",IF(AR434&gt;$AH$6*1.1,"error","aceptable"))</f><v /></c><c r="AZ434" s="390"><f>IF(AF434&lt;$V$6,"error",IF(AF434&gt;$V$6*1.1,"error","aceptable"))</f><v /></c><c r="BA434" s="390"><f>IF(T434&lt;$J$6*0.9,"error",IF(T434&gt;$J$6,"error","aceptable"))</f><v /></c><c r="BB434" s="25"><f>(IF(ABS(U434)&lt;1.05,"CONFORME",IF(ABS(AG434)&lt;1.05,"CONFORME",IF(ABS(AS434)&lt;2.55,"CONFORME","NO CONFORME"))))</f><v /></c><c r="BC434" s="5"><f>(IF(ABS(U434)&gt;2.05,"NO CONFORME",IF(ABS(AG434)&gt;2.05,"NO CONFORME",IF(ABS(AS434)&gt;5.05,"NO CONFORME","CONFORME"))))</f><v /></c><c r="BD434" s="374"><f>SIGN(U434)</f><v /></c><c r="BE434" s="374"><f>SIGN(AG434)</f><v /></c><c r="BF434" s="374"><f>SIGN(AS434)</f><v /></c><c r="BG434" s="374"><f>CONCATENATE(BD434,BE434,BF434)</f><v /></c><c r="BH434" s="374"><f>IF(BG434="111","SI","SD")</f><v /></c><c r="BI434" s="374"><f>IF(BG434="-1-1-1","SI","SD")</f><v /></c><c r="BJ434" s="374"><f>OR(BH434="SI",BI434="SI")</f><v /></c><c r="BK434" s="374"><f>IF(BJ434=FALSE,"SIGDIFERENTES","SIGIGUALES")</f><v /></c><c r="BL434" s="390"><f>IF(BC434="NO CONFORME","NO CONFORME",IF(BB434="CONFORME","CONFORME","NO CONFORME"))</f><v /></c></row><row r="435" ht="15" customHeight="1" thickBot="1"><c r="A435" s="443" t="n"><v>427</v></c><c r="B435" s="375"><f>B434</f><v /></c><c r="C435" s="375"><f>C434</f><v /></c><c r="D435" s="376"><f>D434</f><v /></c><c r="E435" s="377"><f>E434</f><v /></c><c r="F435" s="13" t="n" /><c r="G435" s="337" t="inlineStr"><is><t>PA25517263</t></is></c><c r="H435" s="313"><f>H434</f><v /></c><c r="I435" s="38"><f>I434</f><v /></c><c r="J435" s="314"><f>J434</f><v /></c><c r="K435" s="378"><f>K434</f><v /></c><c r="L435" s="378"><f>L434</f><v /></c><c r="M435" s="379" t="n"><v>110.13</v></c><c r="N435" s="379" t="n"><v>210.87</v></c><c r="O435" s="380"><f>O434</f><v /></c><c r="P435" s="381"><f>P434</f><v /></c><c r="Q435" s="382"><f>LEFT(P435,1)</f><v /></c><c r="R435" s="382"><f>RIGHT(P435,6)</f><v /></c><c r="S435" s="382"><f>+(Q435*60+R435)/(60*60)</f><v /></c><c r="T435" s="383"><f>+O435/S435</f><v /></c><c r="U435" s="384"><f>+(((N435-M435-O435)/O435)*100)</f><v /></c><c r="V435" s="317"><f>V434</f><v /></c><c r="W435" s="385"><f>W434</f><v /></c><c r="X435" s="385"><f>X434</f><v /></c><c r="Y435" s="379" t="n"><v>217.94</v></c><c r="Z435" s="379" t="n"><v>228</v></c><c r="AA435" s="386"><f>AA434</f><v /></c><c r="AB435" s="387"><f>AB434</f><v /></c><c r="AC435" s="382"><f>LEFT(AB435,2)</f><v /></c><c r="AD435" s="382"><f>RIGHT(AB435,6)</f><v /></c><c r="AE435" s="382"><f>+(AC435*60+AD435)/(60*60)</f><v /></c><c r="AF435" s="383"><f>+AA435/AE435</f><v /></c><c r="AG435" s="321"><f>+(((Z435-Y435-AA435)/AA435)*100)</f><v /></c><c r="AH435" s="317"><f>AH434</f><v /></c><c r="AI435" s="385"><f>AI434</f><v /></c><c r="AJ435" s="385"><f>AJ434</f><v /></c><c r="AK435" s="379"><f>Z435</f><v /></c><c r="AL435" s="379" t="n"><v>233.05</v></c><c r="AM435" s="388"><f>AM434</f><v /></c><c r="AN435" s="381"><f>AN434</f><v /></c><c r="AO435" s="382"><f>LEFT(AN435,2)</f><v /></c><c r="AP435" s="382"><f>RIGHT(AN435,6)</f><v /></c><c r="AQ435" s="382"><f>+(AO435*60+AP435)/(60*60)</f><v /></c><c r="AR435" s="383"><f>+AM435/AQ435</f><v /></c><c r="AS435" s="321"><f>+(((AL435-AK435-AM435)/AM435)*100)</f><v /></c><c r="AT435" s="389"><f>IF(I435&gt;=1,"NO CONFORME",IF(BK435="SIGDIFERENTES",BC435,BL435))</f><v /></c><c r="AU435" s="372"><f>B435=C435</f><v /></c><c r="AV435" s="372"><f>N435&lt;Y435</f><v /></c><c r="AW435" s="372"><f>Z435&lt;=AK435</f><v /></c><c r="AX435" s="372"><f>IF(I435&gt;=1,"Qcorrecto",IF(AND(AY435="aceptable",AZ435="aceptable",BA435="aceptable"),"Qcorrecto","Qincorrecto"))</f><v /></c><c r="AY435" s="390"><f>IF(AR435&lt;$AH$6,"error",IF(AR435&gt;$AH$6*1.1,"error","aceptable"))</f><v /></c><c r="AZ435" s="390"><f>IF(AF435&lt;$V$6,"error",IF(AF435&gt;$V$6*1.1,"error","aceptable"))</f><v /></c><c r="BA435" s="390"><f>IF(T435&lt;$J$6*0.9,"error",IF(T435&gt;$J$6,"error","aceptable"))</f><v /></c><c r="BB435" s="25"><f>(IF(ABS(U435)&lt;1.05,"CONFORME",IF(ABS(AG435)&lt;1.05,"CONFORME",IF(ABS(AS435)&lt;2.55,"CONFORME","NO CONFORME"))))</f><v /></c><c r="BC435" s="5"><f>(IF(ABS(U435)&gt;2.05,"NO CONFORME",IF(ABS(AG435)&gt;2.05,"NO CONFORME",IF(ABS(AS435)&gt;5.05,"NO CONFORME","CONFORME"))))</f><v /></c><c r="BD435" s="374"><f>SIGN(U435)</f><v /></c><c r="BE435" s="374"><f>SIGN(AG435)</f><v /></c><c r="BF435" s="374"><f>SIGN(AS435)</f><v /></c><c r="BG435" s="374"><f>CONCATENATE(BD435,BE435,BF435)</f><v /></c><c r="BH435" s="374"><f>IF(BG435="111","SI","SD")</f><v /></c><c r="BI435" s="374"><f>IF(BG435="-1-1-1","SI","SD")</f><v /></c><c r="BJ435" s="374"><f>OR(BH435="SI",BI435="SI")</f><v /></c><c r="BK435" s="374"><f>IF(BJ435=FALSE,"SIGDIFERENTES","SIGIGUALES")</f><v /></c><c r="BL435" s="390"><f>IF(BC435="NO CONFORME","NO CONFORME",IF(BB435="CONFORME","CONFORME","NO CONFORME"))</f><v /></c></row><row r="436" ht="15" customHeight="1" thickBot="1"><c r="A436" s="443" t="n"><v>428</v></c><c r="B436" s="375"><f>B435</f><v /></c><c r="C436" s="375"><f>C435</f><v /></c><c r="D436" s="376"><f>D435</f><v /></c><c r="E436" s="377"><f>E435</f><v /></c><c r="F436" s="13" t="n" /><c r="G436" s="337" t="inlineStr"><is><t>PA25517264</t></is></c><c r="H436" s="313"><f>H435</f><v /></c><c r="I436" s="38"><f>I435</f><v /></c><c r="J436" s="314"><f>J435</f><v /></c><c r="K436" s="378"><f>K435</f><v /></c><c r="L436" s="378"><f>L435</f><v /></c><c r="M436" s="379" t="n"><v>145.96</v></c><c r="N436" s="379" t="n"><v>245.95</v></c><c r="O436" s="380"><f>O435</f><v /></c><c r="P436" s="381"><f>P435</f><v /></c><c r="Q436" s="382"><f>LEFT(P436,1)</f><v /></c><c r="R436" s="382"><f>RIGHT(P436,6)</f><v /></c><c r="S436" s="382"><f>+(Q436*60+R436)/(60*60)</f><v /></c><c r="T436" s="383"><f>+O436/S436</f><v /></c><c r="U436" s="384"><f>+(((N436-M436-O436)/O436)*100)</f><v /></c><c r="V436" s="317"><f>V435</f><v /></c><c r="W436" s="385"><f>W435</f><v /></c><c r="X436" s="385"><f>X435</f><v /></c><c r="Y436" s="379" t="n"><v>252.9</v></c><c r="Z436" s="379" t="n"><v>262.9</v></c><c r="AA436" s="386"><f>AA435</f><v /></c><c r="AB436" s="387"><f>AB435</f><v /></c><c r="AC436" s="382"><f>LEFT(AB436,2)</f><v /></c><c r="AD436" s="382"><f>RIGHT(AB436,6)</f><v /></c><c r="AE436" s="382"><f>+(AC436*60+AD436)/(60*60)</f><v /></c><c r="AF436" s="383"><f>+AA436/AE436</f><v /></c><c r="AG436" s="321"><f>+(((Z436-Y436-AA436)/AA436)*100)</f><v /></c><c r="AH436" s="317"><f>AH435</f><v /></c><c r="AI436" s="385"><f>AI435</f><v /></c><c r="AJ436" s="385"><f>AJ435</f><v /></c><c r="AK436" s="379"><f>Z436</f><v /></c><c r="AL436" s="379" t="n"><v>267.95</v></c><c r="AM436" s="388"><f>AM435</f><v /></c><c r="AN436" s="381"><f>AN435</f><v /></c><c r="AO436" s="382"><f>LEFT(AN436,2)</f><v /></c><c r="AP436" s="382"><f>RIGHT(AN436,6)</f><v /></c><c r="AQ436" s="382"><f>+(AO436*60+AP436)/(60*60)</f><v /></c><c r="AR436" s="383"><f>+AM436/AQ436</f><v /></c><c r="AS436" s="321"><f>+(((AL436-AK436-AM436)/AM436)*100)</f><v /></c><c r="AT436" s="389"><f>IF(I436&gt;=1,"NO CONFORME",IF(BK436="SIGDIFERENTES",BC436,BL436))</f><v /></c><c r="AU436" s="372"><f>B436=C436</f><v /></c><c r="AV436" s="372"><f>N436&lt;Y436</f><v /></c><c r="AW436" s="372"><f>Z436&lt;=AK436</f><v /></c><c r="AX436" s="372"><f>IF(I436&gt;=1,"Qcorrecto",IF(AND(AY436="aceptable",AZ436="aceptable",BA436="aceptable"),"Qcorrecto","Qincorrecto"))</f><v /></c><c r="AY436" s="390"><f>IF(AR436&lt;$AH$6,"error",IF(AR436&gt;$AH$6*1.1,"error","aceptable"))</f><v /></c><c r="AZ436" s="390"><f>IF(AF436&lt;$V$6,"error",IF(AF436&gt;$V$6*1.1,"error","aceptable"))</f><v /></c><c r="BA436" s="390"><f>IF(T436&lt;$J$6*0.9,"error",IF(T436&gt;$J$6,"error","aceptable"))</f><v /></c><c r="BB436" s="25"><f>(IF(ABS(U436)&lt;1.05,"CONFORME",IF(ABS(AG436)&lt;1.05,"CONFORME",IF(ABS(AS436)&lt;2.55,"CONFORME","NO CONFORME"))))</f><v /></c><c r="BC436" s="5"><f>(IF(ABS(U436)&gt;2.05,"NO CONFORME",IF(ABS(AG436)&gt;2.05,"NO CONFORME",IF(ABS(AS436)&gt;5.05,"NO CONFORME","CONFORME"))))</f><v /></c><c r="BD436" s="374"><f>SIGN(U436)</f><v /></c><c r="BE436" s="374"><f>SIGN(AG436)</f><v /></c><c r="BF436" s="374"><f>SIGN(AS436)</f><v /></c><c r="BG436" s="374"><f>CONCATENATE(BD436,BE436,BF436)</f><v /></c><c r="BH436" s="374"><f>IF(BG436="111","SI","SD")</f><v /></c><c r="BI436" s="374"><f>IF(BG436="-1-1-1","SI","SD")</f><v /></c><c r="BJ436" s="374"><f>OR(BH436="SI",BI436="SI")</f><v /></c><c r="BK436" s="374"><f>IF(BJ436=FALSE,"SIGDIFERENTES","SIGIGUALES")</f><v /></c><c r="BL436" s="390"><f>IF(BC436="NO CONFORME","NO CONFORME",IF(BB436="CONFORME","CONFORME","NO CONFORME"))</f><v /></c></row><row r="437" ht="15" customHeight="1" thickBot="1"><c r="A437" s="445" t="n"><v>429</v></c><c r="B437" s="392"><f>B436</f><v /></c><c r="C437" s="392"><f>C436</f><v /></c><c r="D437" s="393"><f>D436</f><v /></c><c r="E437" s="394"><f>E436</f><v /></c><c r="F437" s="52" t="n" /><c r="G437" s="337" t="inlineStr"><is><t>PA25517265</t></is></c><c r="H437" s="326"><f>H436</f><v /></c><c r="I437" s="98"><f>I436</f><v /></c><c r="J437" s="327"><f>J436</f><v /></c><c r="K437" s="396"><f>K436</f><v /></c><c r="L437" s="396"><f>L436</f><v /></c><c r="M437" s="397" t="n"><v>185.3</v></c><c r="N437" s="397" t="n"><v>285.35</v></c><c r="O437" s="398"><f>O436</f><v /></c><c r="P437" s="399"><f>P436</f><v /></c><c r="Q437" s="400"><f>LEFT(P437,1)</f><v /></c><c r="R437" s="400"><f>RIGHT(P437,6)</f><v /></c><c r="S437" s="400"><f>+(Q437*60+R437)/(60*60)</f><v /></c><c r="T437" s="401"><f>+O437/S437</f><v /></c><c r="U437" s="402"><f>+(((N437-M437-O437)/O437)*100)</f><v /></c><c r="V437" s="329"><f>V436</f><v /></c><c r="W437" s="403"><f>W436</f><v /></c><c r="X437" s="403"><f>X436</f><v /></c><c r="Y437" s="397" t="n"><v>292.37</v></c><c r="Z437" s="397" t="n"><v>302.44</v></c><c r="AA437" s="404"><f>AA436</f><v /></c><c r="AB437" s="405"><f>AB436</f><v /></c><c r="AC437" s="400"><f>LEFT(AB437,2)</f><v /></c><c r="AD437" s="400"><f>RIGHT(AB437,6)</f><v /></c><c r="AE437" s="400"><f>+(AC437*60+AD437)/(60*60)</f><v /></c><c r="AF437" s="401"><f>+AA437/AE437</f><v /></c><c r="AG437" s="406"><f>+(((Z437-Y437-AA437)/AA437)*100)</f><v /></c><c r="AH437" s="329"><f>AH436</f><v /></c><c r="AI437" s="403"><f>AI436</f><v /></c><c r="AJ437" s="403"><f>AJ436</f><v /></c><c r="AK437" s="397"><f>Z437</f><v /></c><c r="AL437" s="397" t="n"><v>307.52</v></c><c r="AM437" s="407"><f>AM436</f><v /></c><c r="AN437" s="399"><f>AN436</f><v /></c><c r="AO437" s="400"><f>LEFT(AN437,2)</f><v /></c><c r="AP437" s="400"><f>RIGHT(AN437,6)</f><v /></c><c r="AQ437" s="400"><f>+(AO437*60+AP437)/(60*60)</f><v /></c><c r="AR437" s="401"><f>+AM437/AQ437</f><v /></c><c r="AS437" s="406"><f>+(((AL437-AK437-AM437)/AM437)*100)</f><v /></c><c r="AT437" s="408"><f>IF(I437&gt;=1,"NO CONFORME",IF(BK437="SIGDIFERENTES",BC437,BL437))</f><v /></c><c r="AU437" s="409"><f>B437=C437</f><v /></c><c r="AV437" s="409"><f>N437&lt;Y437</f><v /></c><c r="AW437" s="409"><f>Z437&lt;=AK437</f><v /></c><c r="AX437" s="409"><f>IF(I437&gt;=1,"Qcorrecto",IF(AND(AY437="aceptable",AZ437="aceptable",BA437="aceptable"),"Qcorrecto","Qincorrecto"))</f><v /></c><c r="AY437" s="410"><f>IF(AR437&lt;$AH$6,"error",IF(AR437&gt;$AH$6*1.1,"error","aceptable"))</f><v /></c><c r="AZ437" s="410"><f>IF(AF437&lt;$V$6,"error",IF(AF437&gt;$V$6*1.1,"error","aceptable"))</f><v /></c><c r="BA437" s="410"><f>IF(T437&lt;$J$6*0.9,"error",IF(T437&gt;$J$6,"error","aceptable"))</f><v /></c><c r="BB437" s="411"><f>(IF(ABS(U437)&lt;1.05,"CONFORME",IF(ABS(AG437)&lt;1.05,"CONFORME",IF(ABS(AS437)&lt;2.55,"CONFORME","NO CONFORME"))))</f><v /></c><c r="BC437" s="412"><f>(IF(ABS(U437)&gt;2.05,"NO CONFORME",IF(ABS(AG437)&gt;2.05,"NO CONFORME",IF(ABS(AS437)&gt;5.05,"NO CONFORME","CONFORME"))))</f><v /></c><c r="BD437" s="413"><f>SIGN(U437)</f><v /></c><c r="BE437" s="413"><f>SIGN(AG437)</f><v /></c><c r="BF437" s="413"><f>SIGN(AS437)</f><v /></c><c r="BG437" s="413"><f>CONCATENATE(BD437,BE437,BF437)</f><v /></c><c r="BH437" s="413"><f>IF(BG437="111","SI","SD")</f><v /></c><c r="BI437" s="413"><f>IF(BG437="-1-1-1","SI","SD")</f><v /></c><c r="BJ437" s="413"><f>OR(BH437="SI",BI437="SI")</f><v /></c><c r="BK437" s="413"><f>IF(BJ437=FALSE,"SIGDIFERENTES","SIGIGUALES")</f><v /></c><c r="BL437" s="410"><f>IF(BC437="NO CONFORME","NO CONFORME",IF(BB437="CONFORME","CONFORME","NO CONFORME"))</f><v /></c></row><row r="438" ht="15" customHeight="1" thickBot="1"><c r="A438" s="351" t="n"><v>430</v></c><c r="B438" s="454" t="n"><v>45920</v></c><c r="C438" s="454"><f>C437</f><v /></c><c r="D438" s="455" t="n"><v>4</v></c><c r="E438" s="456" t="n"><v>1</v></c><c r="F438" s="58" t="n" /><c r="G438" s="300" t="inlineStr"><is><t>PA25517266</t></is></c><c r="H438" s="301" t="n"><v>25.6</v></c><c r="I438" s="232" t="n"><v>0</v></c><c r="J438" s="302" t="n"><v>21.1</v></c><c r="K438" s="303" t="n"><v>8.315</v></c><c r="L438" s="303" t="n"><v>0.552</v></c><c r="M438" s="359" t="n"><v>178.22</v></c><c r="N438" s="359" t="n"><v>278.24</v></c><c r="O438" s="457" t="n"><v>100.4</v></c><c r="P438" s="458" t="inlineStr"><is><t>2,30,990</t></is></c><c r="Q438" s="362"><f>LEFT(P438,1)</f><v /></c><c r="R438" s="362"><f>RIGHT(P438,6)</f><v /></c><c r="S438" s="362"><f>+(Q438*60+R438)/(60*60)</f><v /></c><c r="T438" s="363"><f>+O438/S438</f><v /></c><c r="U438" s="364"><f>+(((N438-M438-O438)/O438)*100)</f><v /></c><c r="V438" s="306" t="n"><v>21.1</v></c><c r="W438" s="303" t="n"><v>1.391</v></c><c r="X438" s="303" t="n"><v>1.391</v></c><c r="Y438" s="359" t="n"><v>283.43</v></c><c r="Z438" s="359" t="n"><v>293.48</v></c><c r="AA438" s="308" t="n"><v>10.012</v></c><c r="AB438" s="458" t="inlineStr"><is><t>22,43,570</t></is></c><c r="AC438" s="362"><f>LEFT(AB438,2)</f><v /></c><c r="AD438" s="362"><f>RIGHT(AB438,6)</f><v /></c><c r="AE438" s="362"><f>+(AC438*60+AD438)/(60*60)</f><v /></c><c r="AF438" s="363"><f>+AA438/AE438</f><v /></c><c r="AG438" s="369"><f>+(((Z438-Y438-AA438)/AA438)*100)</f><v /></c><c r="AH438" s="306" t="n"><v>21.1</v></c><c r="AI438" s="303" t="n"><v>1.393</v></c><c r="AJ438" s="303" t="n"><v>1.39</v></c><c r="AK438" s="359"><f>Z438</f><v /></c><c r="AL438" s="359" t="n"><v>298.56</v></c><c r="AM438" s="459" t="n"><v>5.018</v></c><c r="AN438" s="458" t="inlineStr"><is><t>18,08,810</t></is></c><c r="AO438" s="362"><f>LEFT(AN438,2)</f><v /></c><c r="AP438" s="362"><f>RIGHT(AN438,6)</f><v /></c><c r="AQ438" s="362"><f>+(AO438*60+AP438)/(60*60)</f><v /></c><c r="AR438" s="363"><f>+AM438/AQ438</f><v /></c><c r="AS438" s="369"><f>+(((AL438-AK438-AM438)/AM438)*100)</f><v /></c><c r="AT438" s="371"><f>IF(I438&gt;=1,"NO CONFORME",IF(BK438="SIGDIFERENTES",BC438,BL438))</f><v /></c><c r="AU438" s="372"><f>B438=C438</f><v /></c><c r="AV438" s="372"><f>N438&lt;Y438</f><v /></c><c r="AW438" s="372"><f>Z438&lt;=AK438</f><v /></c><c r="AX438" s="372"><f>IF(I438&gt;=1,"Qcorrecto",IF(AND(AY438="aceptable",AZ438="aceptable",BA438="aceptable"),"Qcorrecto","Qincorrecto"))</f><v /></c><c r="AY438" s="390"><f>IF(AR438&lt;$AH$6,"error",IF(AR438&gt;$AH$6*1.1,"error","aceptable"))</f><v /></c><c r="AZ438" s="390"><f>IF(AF438&lt;$V$6,"error",IF(AF438&gt;$V$6*1.1,"error","aceptable"))</f><v /></c><c r="BA438" s="390"><f>IF(T438&lt;$J$6*0.9,"error",IF(T438&gt;$J$6,"error","aceptable"))</f><v /></c><c r="BB438" s="25"><f>(IF(ABS(U438)&lt;1.05,"CONFORME",IF(ABS(AG438)&lt;1.05,"CONFORME",IF(ABS(AS438)&lt;2.55,"CONFORME","NO CONFORME"))))</f><v /></c><c r="BC438" s="5"><f>(IF(ABS(U438)&gt;2.05,"NO CONFORME",IF(ABS(AG438)&gt;2.05,"NO CONFORME",IF(ABS(AS438)&gt;5.05,"NO CONFORME","CONFORME"))))</f><v /></c><c r="BD438" s="374"><f>SIGN(U438)</f><v /></c><c r="BE438" s="374"><f>SIGN(AG438)</f><v /></c><c r="BF438" s="374"><f>SIGN(AS438)</f><v /></c><c r="BG438" s="374"><f>CONCATENATE(BD438,BE438,BF438)</f><v /></c><c r="BH438" s="374"><f>IF(BG438="111","SI","SD")</f><v /></c><c r="BI438" s="374"><f>IF(BG438="-1-1-1","SI","SD")</f><v /></c><c r="BJ438" s="374"><f>OR(BH438="SI",BI438="SI")</f><v /></c><c r="BK438" s="374"><f>IF(BJ438=FALSE,"SIGDIFERENTES","SIGIGUALES")</f><v /></c><c r="BL438" s="373"><f>IF(BC438="NO CONFORME","NO CONFORME",IF(BB438="CONFORME","CONFORME","NO CONFORME"))</f><v /></c></row><row r="439" ht="15" customHeight="1" thickBot="1"><c r="A439" s="443" t="n"><v>431</v></c><c r="B439" s="375"><f>B438</f><v /></c><c r="C439" s="375"><f>C438</f><v /></c><c r="D439" s="376"><f>D438</f><v /></c><c r="E439" s="377"><f>E438</f><v /></c><c r="F439" s="13" t="n" /><c r="G439" s="300" t="inlineStr"><is><t>PA25517267</t></is></c><c r="H439" s="313"><f>H438</f><v /></c><c r="I439" s="38"><f>I438</f><v /></c><c r="J439" s="314"><f>J438</f><v /></c><c r="K439" s="378"><f>K438</f><v /></c><c r="L439" s="378"><f>L438</f><v /></c><c r="M439" s="379" t="n"><v>177.58</v></c><c r="N439" s="379" t="n"><v>277.2</v></c><c r="O439" s="380"><f>O438</f><v /></c><c r="P439" s="381"><f>P438</f><v /></c><c r="Q439" s="382"><f>LEFT(P439,1)</f><v /></c><c r="R439" s="382"><f>RIGHT(P439,6)</f><v /></c><c r="S439" s="382"><f>+(Q439*60+R439)/(60*60)</f><v /></c><c r="T439" s="383"><f>+O439/S439</f><v /></c><c r="U439" s="384"><f>+(((N439-M439-O439)/O439)*100)</f><v /></c><c r="V439" s="317"><f>V438</f><v /></c><c r="W439" s="378"><f>W438</f><v /></c><c r="X439" s="378"><f>X438</f><v /></c><c r="Y439" s="379" t="n"><v>282.38</v></c><c r="Z439" s="379" t="n"><v>292.4</v></c><c r="AA439" s="386"><f>AA438</f><v /></c><c r="AB439" s="387"><f>AB438</f><v /></c><c r="AC439" s="382"><f>LEFT(AB439,2)</f><v /></c><c r="AD439" s="382"><f>RIGHT(AB439,6)</f><v /></c><c r="AE439" s="382"><f>+(AC439*60+AD439)/(60*60)</f><v /></c><c r="AF439" s="383"><f>+AA439/AE439</f><v /></c><c r="AG439" s="321"><f>+(((Z439-Y439-AA439)/AA439)*100)</f><v /></c><c r="AH439" s="317"><f>AH438</f><v /></c><c r="AI439" s="378"><f>AI438</f><v /></c><c r="AJ439" s="378"><f>AJ438</f><v /></c><c r="AK439" s="379"><f>Z439</f><v /></c><c r="AL439" s="379" t="n"><v>297.48</v></c><c r="AM439" s="388"><f>AM438</f><v /></c><c r="AN439" s="381"><f>AN438</f><v /></c><c r="AO439" s="382"><f>LEFT(AN439,2)</f><v /></c><c r="AP439" s="382"><f>RIGHT(AN439,6)</f><v /></c><c r="AQ439" s="382"><f>+(AO439*60+AP439)/(60*60)</f><v /></c><c r="AR439" s="383"><f>+AM439/AQ439</f><v /></c><c r="AS439" s="321"><f>+(((AL439-AK439-AM439)/AM439)*100)</f><v /></c><c r="AT439" s="389"><f>IF(I439&gt;=1,"NO CONFORME",IF(BK439="SIGDIFERENTES",BC439,BL439))</f><v /></c><c r="AU439" s="372"><f>B439=C439</f><v /></c><c r="AV439" s="372"><f>N439&lt;Y439</f><v /></c><c r="AW439" s="372"><f>Z439&lt;=AK439</f><v /></c><c r="AX439" s="372"><f>IF(I439&gt;=1,"Qcorrecto",IF(AND(AY439="aceptable",AZ439="aceptable",BA439="aceptable"),"Qcorrecto","Qincorrecto"))</f><v /></c><c r="AY439" s="390"><f>IF(AR439&lt;$AH$6,"error",IF(AR439&gt;$AH$6*1.1,"error","aceptable"))</f><v /></c><c r="AZ439" s="390"><f>IF(AF439&lt;$V$6,"error",IF(AF439&gt;$V$6*1.1,"error","aceptable"))</f><v /></c><c r="BA439" s="390"><f>IF(T439&lt;$J$6*0.9,"error",IF(T439&gt;$J$6,"error","aceptable"))</f><v /></c><c r="BB439" s="25"><f>(IF(ABS(U439)&lt;1.05,"CONFORME",IF(ABS(AG439)&lt;1.05,"CONFORME",IF(ABS(AS439)&lt;2.55,"CONFORME","NO CONFORME"))))</f><v /></c><c r="BC439" s="5"><f>(IF(ABS(U439)&gt;2.05,"NO CONFORME",IF(ABS(AG439)&gt;2.05,"NO CONFORME",IF(ABS(AS439)&gt;5.05,"NO CONFORME","CONFORME"))))</f><v /></c><c r="BD439" s="374"><f>SIGN(U439)</f><v /></c><c r="BE439" s="374"><f>SIGN(AG439)</f><v /></c><c r="BF439" s="374"><f>SIGN(AS439)</f><v /></c><c r="BG439" s="374"><f>CONCATENATE(BD439,BE439,BF439)</f><v /></c><c r="BH439" s="374"><f>IF(BG439="111","SI","SD")</f><v /></c><c r="BI439" s="374"><f>IF(BG439="-1-1-1","SI","SD")</f><v /></c><c r="BJ439" s="374"><f>OR(BH439="SI",BI439="SI")</f><v /></c><c r="BK439" s="374"><f>IF(BJ439=FALSE,"SIGDIFERENTES","SIGIGUALES")</f><v /></c><c r="BL439" s="390"><f>IF(BC439="NO CONFORME","NO CONFORME",IF(BB439="CONFORME","CONFORME","NO CONFORME"))</f><v /></c></row><row r="440" ht="15" customHeight="1" thickBot="1"><c r="A440" s="443" t="n"><v>432</v></c><c r="B440" s="375"><f>B439</f><v /></c><c r="C440" s="375"><f>C439</f><v /></c><c r="D440" s="376"><f>D439</f><v /></c><c r="E440" s="377"><f>E439</f><v /></c><c r="F440" s="13" t="n" /><c r="G440" s="300" t="inlineStr"><is><t>PA25517268</t></is></c><c r="H440" s="313"><f>H439</f><v /></c><c r="I440" s="38"><f>I439</f><v /></c><c r="J440" s="314"><f>J439</f><v /></c><c r="K440" s="378"><f>K439</f><v /></c><c r="L440" s="378"><f>L439</f><v /></c><c r="M440" s="379" t="n"><v>138.37</v></c><c r="N440" s="379" t="n"><v>237.96</v></c><c r="O440" s="380"><f>O439</f><v /></c><c r="P440" s="381"><f>P439</f><v /></c><c r="Q440" s="382"><f>LEFT(P440,1)</f><v /></c><c r="R440" s="382"><f>RIGHT(P440,6)</f><v /></c><c r="S440" s="382"><f>+(Q440*60+R440)/(60*60)</f><v /></c><c r="T440" s="383"><f>+O440/S440</f><v /></c><c r="U440" s="384"><f>+(((N440-M440-O440)/O440)*100)</f><v /></c><c r="V440" s="317"><f>V439</f><v /></c><c r="W440" s="378"><f>W439</f><v /></c><c r="X440" s="378"><f>X439</f><v /></c><c r="Y440" s="379" t="n"><v>243.14</v></c><c r="Z440" s="379" t="n"><v>253.16</v></c><c r="AA440" s="386"><f>AA439</f><v /></c><c r="AB440" s="387"><f>AB439</f><v /></c><c r="AC440" s="382"><f>LEFT(AB440,2)</f><v /></c><c r="AD440" s="382"><f>RIGHT(AB440,6)</f><v /></c><c r="AE440" s="382"><f>+(AC440*60+AD440)/(60*60)</f><v /></c><c r="AF440" s="383"><f>+AA440/AE440</f><v /></c><c r="AG440" s="321"><f>+(((Z440-Y440-AA440)/AA440)*100)</f><v /></c><c r="AH440" s="317"><f>AH439</f><v /></c><c r="AI440" s="378"><f>AI439</f><v /></c><c r="AJ440" s="378"><f>AJ439</f><v /></c><c r="AK440" s="379"><f>Z440</f><v /></c><c r="AL440" s="379" t="n"><v>258.22</v></c><c r="AM440" s="388"><f>AM439</f><v /></c><c r="AN440" s="381"><f>AN439</f><v /></c><c r="AO440" s="382"><f>LEFT(AN440,2)</f><v /></c><c r="AP440" s="382"><f>RIGHT(AN440,6)</f><v /></c><c r="AQ440" s="382"><f>+(AO440*60+AP440)/(60*60)</f><v /></c><c r="AR440" s="383"><f>+AM440/AQ440</f><v /></c><c r="AS440" s="321"><f>+(((AL440-AK440-AM440)/AM440)*100)</f><v /></c><c r="AT440" s="389"><f>IF(I440&gt;=1,"NO CONFORME",IF(BK440="SIGDIFERENTES",BC440,BL440))</f><v /></c><c r="AU440" s="372"><f>B440=C440</f><v /></c><c r="AV440" s="372"><f>N440&lt;Y440</f><v /></c><c r="AW440" s="372"><f>Z440&lt;=AK440</f><v /></c><c r="AX440" s="372"><f>IF(I440&gt;=1,"Qcorrecto",IF(AND(AY440="aceptable",AZ440="aceptable",BA440="aceptable"),"Qcorrecto","Qincorrecto"))</f><v /></c><c r="AY440" s="390"><f>IF(AR440&lt;$AH$6,"error",IF(AR440&gt;$AH$6*1.1,"error","aceptable"))</f><v /></c><c r="AZ440" s="390"><f>IF(AF440&lt;$V$6,"error",IF(AF440&gt;$V$6*1.1,"error","aceptable"))</f><v /></c><c r="BA440" s="390"><f>IF(T440&lt;$J$6*0.9,"error",IF(T440&gt;$J$6,"error","aceptable"))</f><v /></c><c r="BB440" s="25"><f>(IF(ABS(U440)&lt;1.05,"CONFORME",IF(ABS(AG440)&lt;1.05,"CONFORME",IF(ABS(AS440)&lt;2.55,"CONFORME","NO CONFORME"))))</f><v /></c><c r="BC440" s="5"><f>(IF(ABS(U440)&gt;2.05,"NO CONFORME",IF(ABS(AG440)&gt;2.05,"NO CONFORME",IF(ABS(AS440)&gt;5.05,"NO CONFORME","CONFORME"))))</f><v /></c><c r="BD440" s="374"><f>SIGN(U440)</f><v /></c><c r="BE440" s="374"><f>SIGN(AG440)</f><v /></c><c r="BF440" s="374"><f>SIGN(AS440)</f><v /></c><c r="BG440" s="374"><f>CONCATENATE(BD440,BE440,BF440)</f><v /></c><c r="BH440" s="374"><f>IF(BG440="111","SI","SD")</f><v /></c><c r="BI440" s="374"><f>IF(BG440="-1-1-1","SI","SD")</f><v /></c><c r="BJ440" s="374"><f>OR(BH440="SI",BI440="SI")</f><v /></c><c r="BK440" s="374"><f>IF(BJ440=FALSE,"SIGDIFERENTES","SIGIGUALES")</f><v /></c><c r="BL440" s="390"><f>IF(BC440="NO CONFORME","NO CONFORME",IF(BB440="CONFORME","CONFORME","NO CONFORME"))</f><v /></c></row><row r="441" ht="15" customHeight="1" thickBot="1"><c r="A441" s="443" t="n"><v>433</v></c><c r="B441" s="375"><f>B440</f><v /></c><c r="C441" s="375"><f>C440</f><v /></c><c r="D441" s="376"><f>D440</f><v /></c><c r="E441" s="377"><f>E440</f><v /></c><c r="F441" s="13" t="n" /><c r="G441" s="300" t="inlineStr"><is><t>PA25517269</t></is></c><c r="H441" s="313"><f>H440</f><v /></c><c r="I441" s="38"><f>I440</f><v /></c><c r="J441" s="314"><f>J440</f><v /></c><c r="K441" s="378"><f>K440</f><v /></c><c r="L441" s="378"><f>L440</f><v /></c><c r="M441" s="379" t="n"><v>176.19</v></c><c r="N441" s="379" t="n"><v>276</v></c><c r="O441" s="380"><f>O440</f><v /></c><c r="P441" s="381"><f>P440</f><v /></c><c r="Q441" s="382"><f>LEFT(P441,1)</f><v /></c><c r="R441" s="382"><f>RIGHT(P441,6)</f><v /></c><c r="S441" s="382"><f>+(Q441*60+R441)/(60*60)</f><v /></c><c r="T441" s="383"><f>+O441/S441</f><v /></c><c r="U441" s="384"><f>+(((N441-M441-O441)/O441)*100)</f><v /></c><c r="V441" s="317"><f>V440</f><v /></c><c r="W441" s="378"><f>W440</f><v /></c><c r="X441" s="378"><f>X440</f><v /></c><c r="Y441" s="379" t="n"><v>281.16</v></c><c r="Z441" s="379" t="n"><v>291.18</v></c><c r="AA441" s="386"><f>AA440</f><v /></c><c r="AB441" s="387"><f>AB440</f><v /></c><c r="AC441" s="382"><f>LEFT(AB441,2)</f><v /></c><c r="AD441" s="382"><f>RIGHT(AB441,6)</f><v /></c><c r="AE441" s="382"><f>+(AC441*60+AD441)/(60*60)</f><v /></c><c r="AF441" s="383"><f>+AA441/AE441</f><v /></c><c r="AG441" s="321"><f>+(((Z441-Y441-AA441)/AA441)*100)</f><v /></c><c r="AH441" s="317"><f>AH440</f><v /></c><c r="AI441" s="378"><f>AI440</f><v /></c><c r="AJ441" s="378"><f>AJ440</f><v /></c><c r="AK441" s="379"><f>Z441</f><v /></c><c r="AL441" s="379" t="n"><v>296.25</v></c><c r="AM441" s="388"><f>AM440</f><v /></c><c r="AN441" s="381"><f>AN440</f><v /></c><c r="AO441" s="382"><f>LEFT(AN441,2)</f><v /></c><c r="AP441" s="382"><f>RIGHT(AN441,6)</f><v /></c><c r="AQ441" s="382"><f>+(AO441*60+AP441)/(60*60)</f><v /></c><c r="AR441" s="383"><f>+AM441/AQ441</f><v /></c><c r="AS441" s="321"><f>+(((AL441-AK441-AM441)/AM441)*100)</f><v /></c><c r="AT441" s="389"><f>IF(I441&gt;=1,"NO CONFORME",IF(BK441="SIGDIFERENTES",BC441,BL441))</f><v /></c><c r="AU441" s="372"><f>B441=C441</f><v /></c><c r="AV441" s="372"><f>N441&lt;Y441</f><v /></c><c r="AW441" s="372"><f>Z441&lt;=AK441</f><v /></c><c r="AX441" s="372"><f>IF(I441&gt;=1,"Qcorrecto",IF(AND(AY441="aceptable",AZ441="aceptable",BA441="aceptable"),"Qcorrecto","Qincorrecto"))</f><v /></c><c r="AY441" s="390"><f>IF(AR441&lt;$AH$6,"error",IF(AR441&gt;$AH$6*1.1,"error","aceptable"))</f><v /></c><c r="AZ441" s="390"><f>IF(AF441&lt;$V$6,"error",IF(AF441&gt;$V$6*1.1,"error","aceptable"))</f><v /></c><c r="BA441" s="390"><f>IF(T441&lt;$J$6*0.9,"error",IF(T441&gt;$J$6,"error","aceptable"))</f><v /></c><c r="BB441" s="25"><f>(IF(ABS(U441)&lt;1.05,"CONFORME",IF(ABS(AG441)&lt;1.05,"CONFORME",IF(ABS(AS441)&lt;2.55,"CONFORME","NO CONFORME"))))</f><v /></c><c r="BC441" s="5"><f>(IF(ABS(U441)&gt;2.05,"NO CONFORME",IF(ABS(AG441)&gt;2.05,"NO CONFORME",IF(ABS(AS441)&gt;5.05,"NO CONFORME","CONFORME"))))</f><v /></c><c r="BD441" s="374"><f>SIGN(U441)</f><v /></c><c r="BE441" s="374"><f>SIGN(AG441)</f><v /></c><c r="BF441" s="374"><f>SIGN(AS441)</f><v /></c><c r="BG441" s="374"><f>CONCATENATE(BD441,BE441,BF441)</f><v /></c><c r="BH441" s="374"><f>IF(BG441="111","SI","SD")</f><v /></c><c r="BI441" s="374"><f>IF(BG441="-1-1-1","SI","SD")</f><v /></c><c r="BJ441" s="374"><f>OR(BH441="SI",BI441="SI")</f><v /></c><c r="BK441" s="374"><f>IF(BJ441=FALSE,"SIGDIFERENTES","SIGIGUALES")</f><v /></c><c r="BL441" s="390"><f>IF(BC441="NO CONFORME","NO CONFORME",IF(BB441="CONFORME","CONFORME","NO CONFORME"))</f><v /></c></row><row r="442" ht="15" customHeight="1" thickBot="1"><c r="A442" s="443" t="n"><v>434</v></c><c r="B442" s="375"><f>B441</f><v /></c><c r="C442" s="375"><f>C441</f><v /></c><c r="D442" s="376"><f>D441</f><v /></c><c r="E442" s="377"><f>E441</f><v /></c><c r="F442" s="13" t="n" /><c r="G442" s="300" t="inlineStr"><is><t>PA25517270</t></is></c><c r="H442" s="313"><f>H441</f><v /></c><c r="I442" s="38"><f>I441</f><v /></c><c r="J442" s="314"><f>J441</f><v /></c><c r="K442" s="378"><f>K441</f><v /></c><c r="L442" s="378"><f>L441</f><v /></c><c r="M442" s="379" t="n"><v>136.3</v></c><c r="N442" s="379" t="n"><v>236.21</v></c><c r="O442" s="380"><f>O441</f><v /></c><c r="P442" s="381"><f>P441</f><v /></c><c r="Q442" s="382"><f>LEFT(P442,1)</f><v /></c><c r="R442" s="382"><f>RIGHT(P442,6)</f><v /></c><c r="S442" s="382"><f>+(Q442*60+R442)/(60*60)</f><v /></c><c r="T442" s="383"><f>+O442/S442</f><v /></c><c r="U442" s="384"><f>+(((N442-M442-O442)/O442)*100)</f><v /></c><c r="V442" s="317"><f>V441</f><v /></c><c r="W442" s="378"><f>W441</f><v /></c><c r="X442" s="378"><f>X441</f><v /></c><c r="Y442" s="379" t="n"><v>241.39</v></c><c r="Z442" s="379" t="n"><v>251.48</v></c><c r="AA442" s="386"><f>AA441</f><v /></c><c r="AB442" s="387"><f>AB441</f><v /></c><c r="AC442" s="382"><f>LEFT(AB442,2)</f><v /></c><c r="AD442" s="382"><f>RIGHT(AB442,6)</f><v /></c><c r="AE442" s="382"><f>+(AC442*60+AD442)/(60*60)</f><v /></c><c r="AF442" s="383"><f>+AA442/AE442</f><v /></c><c r="AG442" s="321"><f>+(((Z442-Y442-AA442)/AA442)*100)</f><v /></c><c r="AH442" s="317"><f>AH441</f><v /></c><c r="AI442" s="378"><f>AI441</f><v /></c><c r="AJ442" s="378"><f>AJ441</f><v /></c><c r="AK442" s="379"><f>Z442</f><v /></c><c r="AL442" s="379" t="n"><v>256.58</v></c><c r="AM442" s="388"><f>AM441</f><v /></c><c r="AN442" s="381"><f>AN441</f><v /></c><c r="AO442" s="382"><f>LEFT(AN442,2)</f><v /></c><c r="AP442" s="382"><f>RIGHT(AN442,6)</f><v /></c><c r="AQ442" s="382"><f>+(AO442*60+AP442)/(60*60)</f><v /></c><c r="AR442" s="383"><f>+AM442/AQ442</f><v /></c><c r="AS442" s="321"><f>+(((AL442-AK442-AM442)/AM442)*100)</f><v /></c><c r="AT442" s="389"><f>IF(I442&gt;=1,"NO CONFORME",IF(BK442="SIGDIFERENTES",BC442,BL442))</f><v /></c><c r="AU442" s="372"><f>B442=C442</f><v /></c><c r="AV442" s="372"><f>N442&lt;Y442</f><v /></c><c r="AW442" s="372"><f>Z442&lt;=AK442</f><v /></c><c r="AX442" s="372"><f>IF(I442&gt;=1,"Qcorrecto",IF(AND(AY442="aceptable",AZ442="aceptable",BA442="aceptable"),"Qcorrecto","Qincorrecto"))</f><v /></c><c r="AY442" s="390"><f>IF(AR442&lt;$AH$6,"error",IF(AR442&gt;$AH$6*1.1,"error","aceptable"))</f><v /></c><c r="AZ442" s="390"><f>IF(AF442&lt;$V$6,"error",IF(AF442&gt;$V$6*1.1,"error","aceptable"))</f><v /></c><c r="BA442" s="390"><f>IF(T442&lt;$J$6*0.9,"error",IF(T442&gt;$J$6,"error","aceptable"))</f><v /></c><c r="BB442" s="25"><f>(IF(ABS(U442)&lt;1.05,"CONFORME",IF(ABS(AG442)&lt;1.05,"CONFORME",IF(ABS(AS442)&lt;2.55,"CONFORME","NO CONFORME"))))</f><v /></c><c r="BC442" s="5"><f>(IF(ABS(U442)&gt;2.05,"NO CONFORME",IF(ABS(AG442)&gt;2.05,"NO CONFORME",IF(ABS(AS442)&gt;5.05,"NO CONFORME","CONFORME"))))</f><v /></c><c r="BD442" s="374"><f>SIGN(U442)</f><v /></c><c r="BE442" s="374"><f>SIGN(AG442)</f><v /></c><c r="BF442" s="374"><f>SIGN(AS442)</f><v /></c><c r="BG442" s="374"><f>CONCATENATE(BD442,BE442,BF442)</f><v /></c><c r="BH442" s="374"><f>IF(BG442="111","SI","SD")</f><v /></c><c r="BI442" s="374"><f>IF(BG442="-1-1-1","SI","SD")</f><v /></c><c r="BJ442" s="374"><f>OR(BH442="SI",BI442="SI")</f><v /></c><c r="BK442" s="374"><f>IF(BJ442=FALSE,"SIGDIFERENTES","SIGIGUALES")</f><v /></c><c r="BL442" s="390"><f>IF(BC442="NO CONFORME","NO CONFORME",IF(BB442="CONFORME","CONFORME","NO CONFORME"))</f><v /></c></row><row r="443" ht="15" customHeight="1" thickBot="1"><c r="A443" s="443" t="n"><v>435</v></c><c r="B443" s="375"><f>B442</f><v /></c><c r="C443" s="375"><f>C442</f><v /></c><c r="D443" s="376"><f>D442</f><v /></c><c r="E443" s="377"><f>E442</f><v /></c><c r="F443" s="13" t="n" /><c r="G443" s="300" t="inlineStr"><is><t>PA25517271</t></is></c><c r="H443" s="313"><f>H442</f><v /></c><c r="I443" s="38"><f>I442</f><v /></c><c r="J443" s="314"><f>J442</f><v /></c><c r="K443" s="378"><f>K442</f><v /></c><c r="L443" s="378"><f>L442</f><v /></c><c r="M443" s="379" t="n"><v>138.16</v></c><c r="N443" s="379" t="n"><v>237.68</v></c><c r="O443" s="380"><f>O442</f><v /></c><c r="P443" s="381"><f>P442</f><v /></c><c r="Q443" s="382"><f>LEFT(P443,1)</f><v /></c><c r="R443" s="382"><f>RIGHT(P443,6)</f><v /></c><c r="S443" s="382"><f>+(Q443*60+R443)/(60*60)</f><v /></c><c r="T443" s="383"><f>+O443/S443</f><v /></c><c r="U443" s="384"><f>+(((N443-M443-O443)/O443)*100)</f><v /></c><c r="V443" s="317"><f>V442</f><v /></c><c r="W443" s="378"><f>W442</f><v /></c><c r="X443" s="378"><f>X442</f><v /></c><c r="Y443" s="379" t="n"><v>242.84</v></c><c r="Z443" s="379" t="n"><v>252.91</v></c><c r="AA443" s="386"><f>AA442</f><v /></c><c r="AB443" s="387"><f>AB442</f><v /></c><c r="AC443" s="382"><f>LEFT(AB443,2)</f><v /></c><c r="AD443" s="382"><f>RIGHT(AB443,6)</f><v /></c><c r="AE443" s="382"><f>+(AC443*60+AD443)/(60*60)</f><v /></c><c r="AF443" s="383"><f>+AA443/AE443</f><v /></c><c r="AG443" s="321"><f>+(((Z443-Y443-AA443)/AA443)*100)</f><v /></c><c r="AH443" s="317"><f>AH442</f><v /></c><c r="AI443" s="378"><f>AI442</f><v /></c><c r="AJ443" s="378"><f>AJ442</f><v /></c><c r="AK443" s="379"><f>Z443</f><v /></c><c r="AL443" s="379" t="n"><v>258.02</v></c><c r="AM443" s="388"><f>AM442</f><v /></c><c r="AN443" s="381"><f>AN442</f><v /></c><c r="AO443" s="382"><f>LEFT(AN443,2)</f><v /></c><c r="AP443" s="382"><f>RIGHT(AN443,6)</f><v /></c><c r="AQ443" s="382"><f>+(AO443*60+AP443)/(60*60)</f><v /></c><c r="AR443" s="383"><f>+AM443/AQ443</f><v /></c><c r="AS443" s="321"><f>+(((AL443-AK443-AM443)/AM443)*100)</f><v /></c><c r="AT443" s="389"><f>IF(I443&gt;=1,"NO CONFORME",IF(BK443="SIGDIFERENTES",BC443,BL443))</f><v /></c><c r="AU443" s="372"><f>B443=C443</f><v /></c><c r="AV443" s="372"><f>N443&lt;Y443</f><v /></c><c r="AW443" s="372"><f>Z443&lt;=AK443</f><v /></c><c r="AX443" s="372"><f>IF(I443&gt;=1,"Qcorrecto",IF(AND(AY443="aceptable",AZ443="aceptable",BA443="aceptable"),"Qcorrecto","Qincorrecto"))</f><v /></c><c r="AY443" s="390"><f>IF(AR443&lt;$AH$6,"error",IF(AR443&gt;$AH$6*1.1,"error","aceptable"))</f><v /></c><c r="AZ443" s="390"><f>IF(AF443&lt;$V$6,"error",IF(AF443&gt;$V$6*1.1,"error","aceptable"))</f><v /></c><c r="BA443" s="390"><f>IF(T443&lt;$J$6*0.9,"error",IF(T443&gt;$J$6,"error","aceptable"))</f><v /></c><c r="BB443" s="25"><f>(IF(ABS(U443)&lt;1.05,"CONFORME",IF(ABS(AG443)&lt;1.05,"CONFORME",IF(ABS(AS443)&lt;2.55,"CONFORME","NO CONFORME"))))</f><v /></c><c r="BC443" s="5"><f>(IF(ABS(U443)&gt;2.05,"NO CONFORME",IF(ABS(AG443)&gt;2.05,"NO CONFORME",IF(ABS(AS443)&gt;5.05,"NO CONFORME","CONFORME"))))</f><v /></c><c r="BD443" s="374"><f>SIGN(U443)</f><v /></c><c r="BE443" s="374"><f>SIGN(AG443)</f><v /></c><c r="BF443" s="374"><f>SIGN(AS443)</f><v /></c><c r="BG443" s="374"><f>CONCATENATE(BD443,BE443,BF443)</f><v /></c><c r="BH443" s="374"><f>IF(BG443="111","SI","SD")</f><v /></c><c r="BI443" s="374"><f>IF(BG443="-1-1-1","SI","SD")</f><v /></c><c r="BJ443" s="374"><f>OR(BH443="SI",BI443="SI")</f><v /></c><c r="BK443" s="374"><f>IF(BJ443=FALSE,"SIGDIFERENTES","SIGIGUALES")</f><v /></c><c r="BL443" s="390"><f>IF(BC443="NO CONFORME","NO CONFORME",IF(BB443="CONFORME","CONFORME","NO CONFORME"))</f><v /></c></row><row r="444" ht="15" customHeight="1" thickBot="1"><c r="A444" s="443" t="n"><v>436</v></c><c r="B444" s="375"><f>B443</f><v /></c><c r="C444" s="375"><f>C443</f><v /></c><c r="D444" s="376"><f>D443</f><v /></c><c r="E444" s="377"><f>E443</f><v /></c><c r="F444" s="13" t="n" /><c r="G444" s="300" t="inlineStr"><is><t>PA25517272</t></is></c><c r="H444" s="313"><f>H443</f><v /></c><c r="I444" s="38"><f>I443</f><v /></c><c r="J444" s="314"><f>J443</f><v /></c><c r="K444" s="378"><f>K443</f><v /></c><c r="L444" s="378"><f>L443</f><v /></c><c r="M444" s="379" t="n"><v>181.83</v></c><c r="N444" s="379" t="n"><v>281.62</v></c><c r="O444" s="380"><f>O443</f><v /></c><c r="P444" s="381"><f>P443</f><v /></c><c r="Q444" s="382"><f>LEFT(P444,1)</f><v /></c><c r="R444" s="382"><f>RIGHT(P444,6)</f><v /></c><c r="S444" s="382"><f>+(Q444*60+R444)/(60*60)</f><v /></c><c r="T444" s="383"><f>+O444/S444</f><v /></c><c r="U444" s="384"><f>+(((N444-M444-O444)/O444)*100)</f><v /></c><c r="V444" s="317"><f>V443</f><v /></c><c r="W444" s="378"><f>W443</f><v /></c><c r="X444" s="378"><f>X443</f><v /></c><c r="Y444" s="379" t="n"><v>286.82</v></c><c r="Z444" s="379" t="n"><v>296.83</v></c><c r="AA444" s="386"><f>AA443</f><v /></c><c r="AB444" s="387"><f>AB443</f><v /></c><c r="AC444" s="382"><f>LEFT(AB444,2)</f><v /></c><c r="AD444" s="382"><f>RIGHT(AB444,6)</f><v /></c><c r="AE444" s="382"><f>+(AC444*60+AD444)/(60*60)</f><v /></c><c r="AF444" s="383"><f>+AA444/AE444</f><v /></c><c r="AG444" s="321"><f>+(((Z444-Y444-AA444)/AA444)*100)</f><v /></c><c r="AH444" s="317"><f>AH443</f><v /></c><c r="AI444" s="378"><f>AI443</f><v /></c><c r="AJ444" s="378"><f>AJ443</f><v /></c><c r="AK444" s="379"><f>Z444</f><v /></c><c r="AL444" s="379" t="n"><v>301.89</v></c><c r="AM444" s="388"><f>AM443</f><v /></c><c r="AN444" s="381"><f>AN443</f><v /></c><c r="AO444" s="382"><f>LEFT(AN444,2)</f><v /></c><c r="AP444" s="382"><f>RIGHT(AN444,6)</f><v /></c><c r="AQ444" s="382"><f>+(AO444*60+AP444)/(60*60)</f><v /></c><c r="AR444" s="383"><f>+AM444/AQ444</f><v /></c><c r="AS444" s="321"><f>+(((AL444-AK444-AM444)/AM444)*100)</f><v /></c><c r="AT444" s="389"><f>IF(I444&gt;=1,"NO CONFORME",IF(BK444="SIGDIFERENTES",BC444,BL444))</f><v /></c><c r="AU444" s="372"><f>B444=C444</f><v /></c><c r="AV444" s="372"><f>N444&lt;Y444</f><v /></c><c r="AW444" s="372"><f>Z444&lt;=AK444</f><v /></c><c r="AX444" s="372"><f>IF(I444&gt;=1,"Qcorrecto",IF(AND(AY444="aceptable",AZ444="aceptable",BA444="aceptable"),"Qcorrecto","Qincorrecto"))</f><v /></c><c r="AY444" s="390"><f>IF(AR444&lt;$AH$6,"error",IF(AR444&gt;$AH$6*1.1,"error","aceptable"))</f><v /></c><c r="AZ444" s="390"><f>IF(AF444&lt;$V$6,"error",IF(AF444&gt;$V$6*1.1,"error","aceptable"))</f><v /></c><c r="BA444" s="390"><f>IF(T444&lt;$J$6*0.9,"error",IF(T444&gt;$J$6,"error","aceptable"))</f><v /></c><c r="BB444" s="25"><f>(IF(ABS(U444)&lt;1.05,"CONFORME",IF(ABS(AG444)&lt;1.05,"CONFORME",IF(ABS(AS444)&lt;2.55,"CONFORME","NO CONFORME"))))</f><v /></c><c r="BC444" s="5"><f>(IF(ABS(U444)&gt;2.05,"NO CONFORME",IF(ABS(AG444)&gt;2.05,"NO CONFORME",IF(ABS(AS444)&gt;5.05,"NO CONFORME","CONFORME"))))</f><v /></c><c r="BD444" s="374"><f>SIGN(U444)</f><v /></c><c r="BE444" s="374"><f>SIGN(AG444)</f><v /></c><c r="BF444" s="374"><f>SIGN(AS444)</f><v /></c><c r="BG444" s="374"><f>CONCATENATE(BD444,BE444,BF444)</f><v /></c><c r="BH444" s="374"><f>IF(BG444="111","SI","SD")</f><v /></c><c r="BI444" s="374"><f>IF(BG444="-1-1-1","SI","SD")</f><v /></c><c r="BJ444" s="374"><f>OR(BH444="SI",BI444="SI")</f><v /></c><c r="BK444" s="374"><f>IF(BJ444=FALSE,"SIGDIFERENTES","SIGIGUALES")</f><v /></c><c r="BL444" s="390"><f>IF(BC444="NO CONFORME","NO CONFORME",IF(BB444="CONFORME","CONFORME","NO CONFORME"))</f><v /></c></row><row r="445" ht="15" customHeight="1" thickBot="1"><c r="A445" s="445" t="n"><v>437</v></c><c r="B445" s="392"><f>B444</f><v /></c><c r="C445" s="392"><f>C444</f><v /></c><c r="D445" s="393"><f>D444</f><v /></c><c r="E445" s="394"><f>E444</f><v /></c><c r="F445" s="52" t="n" /><c r="G445" s="337" t="inlineStr"><is><t>PA25517273</t></is></c><c r="H445" s="326"><f>H444</f><v /></c><c r="I445" s="98"><f>I444</f><v /></c><c r="J445" s="327"><f>J444</f><v /></c><c r="K445" s="396"><f>K444</f><v /></c><c r="L445" s="396"><f>L444</f><v /></c><c r="M445" s="397" t="n"><v>137.29</v></c><c r="N445" s="397" t="n"><v>237.69</v></c><c r="O445" s="398"><f>O444</f><v /></c><c r="P445" s="399"><f>P444</f><v /></c><c r="Q445" s="400"><f>LEFT(P445,1)</f><v /></c><c r="R445" s="400"><f>RIGHT(P445,6)</f><v /></c><c r="S445" s="400"><f>+(Q445*60+R445)/(60*60)</f><v /></c><c r="T445" s="401"><f>+O445/S445</f><v /></c><c r="U445" s="402"><f>+(((N445-M445-O445)/O445)*100)</f><v /></c><c r="V445" s="329"><f>V444</f><v /></c><c r="W445" s="396"><f>W444</f><v /></c><c r="X445" s="396"><f>X444</f><v /></c><c r="Y445" s="397" t="n"><v>242.89</v></c><c r="Z445" s="397" t="n"><v>252.98</v></c><c r="AA445" s="404"><f>AA444</f><v /></c><c r="AB445" s="405"><f>AB444</f><v /></c><c r="AC445" s="400"><f>LEFT(AB445,2)</f><v /></c><c r="AD445" s="400"><f>RIGHT(AB445,6)</f><v /></c><c r="AE445" s="400"><f>+(AC445*60+AD445)/(60*60)</f><v /></c><c r="AF445" s="401"><f>+AA445/AE445</f><v /></c><c r="AG445" s="406"><f>+(((Z445-Y445-AA445)/AA445)*100)</f><v /></c><c r="AH445" s="329"><f>AH444</f><v /></c><c r="AI445" s="396"><f>AI444</f><v /></c><c r="AJ445" s="396"><f>AJ444</f><v /></c><c r="AK445" s="397"><f>Z445</f><v /></c><c r="AL445" s="397" t="n"><v>258.1</v></c><c r="AM445" s="407"><f>AM444</f><v /></c><c r="AN445" s="399"><f>AN444</f><v /></c><c r="AO445" s="400"><f>LEFT(AN445,2)</f><v /></c><c r="AP445" s="400"><f>RIGHT(AN445,6)</f><v /></c><c r="AQ445" s="400"><f>+(AO445*60+AP445)/(60*60)</f><v /></c><c r="AR445" s="401"><f>+AM445/AQ445</f><v /></c><c r="AS445" s="406"><f>+(((AL445-AK445-AM445)/AM445)*100)</f><v /></c><c r="AT445" s="408"><f>IF(I445&gt;=1,"NO CONFORME",IF(BK445="SIGDIFERENTES",BC445,BL445))</f><v /></c><c r="AU445" s="409"><f>B445=C445</f><v /></c><c r="AV445" s="409"><f>N445&lt;Y445</f><v /></c><c r="AW445" s="409"><f>Z445&lt;=AK445</f><v /></c><c r="AX445" s="409"><f>IF(I445&gt;=1,"Qcorrecto",IF(AND(AY445="aceptable",AZ445="aceptable",BA445="aceptable"),"Qcorrecto","Qincorrecto"))</f><v /></c><c r="AY445" s="410"><f>IF(AR445&lt;$AH$6,"error",IF(AR445&gt;$AH$6*1.1,"error","aceptable"))</f><v /></c><c r="AZ445" s="410"><f>IF(AF445&lt;$V$6,"error",IF(AF445&gt;$V$6*1.1,"error","aceptable"))</f><v /></c><c r="BA445" s="410"><f>IF(T445&lt;$J$6*0.9,"error",IF(T445&gt;$J$6,"error","aceptable"))</f><v /></c><c r="BB445" s="411"><f>(IF(ABS(U445)&lt;1.05,"CONFORME",IF(ABS(AG445)&lt;1.05,"CONFORME",IF(ABS(AS445)&lt;2.55,"CONFORME","NO CONFORME"))))</f><v /></c><c r="BC445" s="412"><f>(IF(ABS(U445)&gt;2.05,"NO CONFORME",IF(ABS(AG445)&gt;2.05,"NO CONFORME",IF(ABS(AS445)&gt;5.05,"NO CONFORME","CONFORME"))))</f><v /></c><c r="BD445" s="413"><f>SIGN(U445)</f><v /></c><c r="BE445" s="413"><f>SIGN(AG445)</f><v /></c><c r="BF445" s="413"><f>SIGN(AS445)</f><v /></c><c r="BG445" s="413"><f>CONCATENATE(BD445,BE445,BF445)</f><v /></c><c r="BH445" s="413"><f>IF(BG445="111","SI","SD")</f><v /></c><c r="BI445" s="413"><f>IF(BG445="-1-1-1","SI","SD")</f><v /></c><c r="BJ445" s="413"><f>OR(BH445="SI",BI445="SI")</f><v /></c><c r="BK445" s="413"><f>IF(BJ445=FALSE,"SIGDIFERENTES","SIGIGUALES")</f><v /></c><c r="BL445" s="410"><f>IF(BC445="NO CONFORME","NO CONFORME",IF(BB445="CONFORME","CONFORME","NO CONFORME"))</f><v /></c></row><row r="446" ht="15" customHeight="1" thickBot="1"><c r="A446" s="351" t="n"><v>438</v></c><c r="B446" s="352"><f>B445</f><v /></c><c r="C446" s="352"><f>C445</f><v /></c><c r="D446" s="353"><f>D445</f><v /></c><c r="E446" s="354"><f>E445</f><v /></c><c r="F446" s="58" t="n" /><c r="G446" s="300" t="inlineStr"><is><t>PA25517274</t></is></c><c r="H446" s="356"><f>H445</f><v /></c><c r="I446" s="232"><f>I445</f><v /></c><c r="J446" s="357" t="n"><v>21</v></c><c r="K446" s="358" t="n"><v>8.313000000000001</v></c><c r="L446" s="358" t="n"><v>0.539</v></c><c r="M446" s="359" t="n"><v>91.59999999999999</v></c><c r="N446" s="359" t="n"><v>190.98</v></c><c r="O446" s="360" t="n"><v>100.45</v></c><c r="P446" s="361" t="inlineStr"><is><t>2,30,120</t></is></c><c r="Q446" s="362"><f>LEFT(P446,1)</f><v /></c><c r="R446" s="362"><f>RIGHT(P446,6)</f><v /></c><c r="S446" s="362"><f>+(Q446*60+R446)/(60*60)</f><v /></c><c r="T446" s="363"><f>+O446/S446</f><v /></c><c r="U446" s="364"><f>+(((N446-M446-O446)/O446)*100)</f><v /></c><c r="V446" s="365" t="n"><v>21.1</v></c><c r="W446" s="358" t="n"><v>1.401</v></c><c r="X446" s="358" t="n"><v>1.402</v></c><c r="Y446" s="359" t="n"><v>199.03</v></c><c r="Z446" s="359" t="n"><v>209.02</v></c><c r="AA446" s="367" t="n"><v>10.038</v></c><c r="AB446" s="368" t="inlineStr"><is><t>22,42,720</t></is></c><c r="AC446" s="362"><f>LEFT(AB446,2)</f><v /></c><c r="AD446" s="362"><f>RIGHT(AB446,6)</f><v /></c><c r="AE446" s="362"><f>+(AC446*60+AD446)/(60*60)</f><v /></c><c r="AF446" s="363"><f>+AA446/AE446</f><v /></c><c r="AG446" s="369"><f>+(((Z446-Y446-AA446)/AA446)*100)</f><v /></c><c r="AH446" s="365" t="n"><v>21</v></c><c r="AI446" s="358" t="n"><v>1.4</v></c><c r="AJ446" s="358" t="n"><v>1.399</v></c><c r="AK446" s="359"><f>Z446</f><v /></c><c r="AL446" s="359" t="n"><v>214.05</v></c><c r="AM446" s="370" t="n"><v>5.05</v></c><c r="AN446" s="361" t="inlineStr"><is><t>18,10,810</t></is></c><c r="AO446" s="362"><f>LEFT(AN446,2)</f><v /></c><c r="AP446" s="362"><f>RIGHT(AN446,6)</f><v /></c><c r="AQ446" s="362"><f>+(AO446*60+AP446)/(60*60)</f><v /></c><c r="AR446" s="363"><f>+AM446/AQ446</f><v /></c><c r="AS446" s="369"><f>+(((AL446-AK446-AM446)/AM446)*100)</f><v /></c><c r="AT446" s="371"><f>IF(I446&gt;=1,"NO CONFORME",IF(BK446="SIGDIFERENTES",BC446,BL446))</f><v /></c><c r="AU446" s="372"><f>B446=C446</f><v /></c><c r="AV446" s="372"><f>N446&lt;Y446</f><v /></c><c r="AW446" s="372"><f>Z446&lt;=AK446</f><v /></c><c r="AX446" s="372"><f>IF(I446&gt;=1,"Qcorrecto",IF(AND(AY446="aceptable",AZ446="aceptable",BA446="aceptable"),"Qcorrecto","Qincorrecto"))</f><v /></c><c r="AY446" s="373"><f>IF(AR446&lt;$AH$6,"error",IF(AR446&gt;$AH$6*1.1,"error","aceptable"))</f><v /></c><c r="AZ446" s="373"><f>IF(AF446&lt;$V$6,"error",IF(AF446&gt;$V$6*1.1,"error","aceptable"))</f><v /></c><c r="BA446" s="373"><f>IF(T446&lt;$J$6*0.9,"error",IF(T446&gt;$J$6,"error","aceptable"))</f><v /></c><c r="BB446" s="25"><f>(IF(ABS(U446)&lt;1.05,"CONFORME",IF(ABS(AG446)&lt;1.05,"CONFORME",IF(ABS(AS446)&lt;2.55,"CONFORME","NO CONFORME"))))</f><v /></c><c r="BC446" s="5"><f>(IF(ABS(U446)&gt;2.05,"NO CONFORME",IF(ABS(AG446)&gt;2.05,"NO CONFORME",IF(ABS(AS446)&gt;5.05,"NO CONFORME","CONFORME"))))</f><v /></c><c r="BD446" s="374"><f>SIGN(U446)</f><v /></c><c r="BE446" s="374"><f>SIGN(AG446)</f><v /></c><c r="BF446" s="374"><f>SIGN(AS446)</f><v /></c><c r="BG446" s="374"><f>CONCATENATE(BD446,BE446,BF446)</f><v /></c><c r="BH446" s="374"><f>IF(BG446="111","SI","SD")</f><v /></c><c r="BI446" s="374"><f>IF(BG446="-1-1-1","SI","SD")</f><v /></c><c r="BJ446" s="374"><f>OR(BH446="SI",BI446="SI")</f><v /></c><c r="BK446" s="374"><f>IF(BJ446=FALSE,"SIGDIFERENTES","SIGIGUALES")</f><v /></c><c r="BL446" s="373"><f>IF(BC446="NO CONFORME","NO CONFORME",IF(BB446="CONFORME","CONFORME","NO CONFORME"))</f><v /></c></row><row r="447" ht="15" customHeight="1" thickBot="1"><c r="A447" s="443" t="n"><v>439</v></c><c r="B447" s="375"><f>B446</f><v /></c><c r="C447" s="375"><f>C446</f><v /></c><c r="D447" s="376"><f>D446</f><v /></c><c r="E447" s="377"><f>E446</f><v /></c><c r="F447" s="13" t="n" /><c r="G447" s="300" t="inlineStr"><is><t>PA25517275</t></is></c><c r="H447" s="313"><f>H446</f><v /></c><c r="I447" s="38"><f>I446</f><v /></c><c r="J447" s="314"><f>J446</f><v /></c><c r="K447" s="378"><f>K446</f><v /></c><c r="L447" s="378"><f>L446</f><v /></c><c r="M447" s="379" t="n"><v>132.35</v></c><c r="N447" s="379" t="n"><v>232.28</v></c><c r="O447" s="380"><f>O446</f><v /></c><c r="P447" s="381"><f>P446</f><v /></c><c r="Q447" s="382"><f>LEFT(P447,1)</f><v /></c><c r="R447" s="382"><f>RIGHT(P447,6)</f><v /></c><c r="S447" s="382"><f>+(Q447*60+R447)/(60*60)</f><v /></c><c r="T447" s="383"><f>+O447/S447</f><v /></c><c r="U447" s="384"><f>+(((N447-M447-O447)/O447)*100)</f><v /></c><c r="V447" s="317"><f>V446</f><v /></c><c r="W447" s="378"><f>W446</f><v /></c><c r="X447" s="378"><f>X446</f><v /></c><c r="Y447" s="379" t="n"><v>240.33</v></c><c r="Z447" s="379" t="n"><v>250.32</v></c><c r="AA447" s="386"><f>AA446</f><v /></c><c r="AB447" s="387"><f>AB446</f><v /></c><c r="AC447" s="382"><f>LEFT(AB447,2)</f><v /></c><c r="AD447" s="382"><f>RIGHT(AB447,6)</f><v /></c><c r="AE447" s="382"><f>+(AC447*60+AD447)/(60*60)</f><v /></c><c r="AF447" s="383"><f>+AA447/AE447</f><v /></c><c r="AG447" s="321"><f>+(((Z447-Y447-AA447)/AA447)*100)</f><v /></c><c r="AH447" s="317"><f>AH446</f><v /></c><c r="AI447" s="378"><f>AI446</f><v /></c><c r="AJ447" s="378"><f>AJ446</f><v /></c><c r="AK447" s="379"><f>Z447</f><v /></c><c r="AL447" s="379" t="n"><v>255.39</v></c><c r="AM447" s="388"><f>AM446</f><v /></c><c r="AN447" s="381"><f>AN446</f><v /></c><c r="AO447" s="382"><f>LEFT(AN447,2)</f><v /></c><c r="AP447" s="382"><f>RIGHT(AN447,6)</f><v /></c><c r="AQ447" s="382"><f>+(AO447*60+AP447)/(60*60)</f><v /></c><c r="AR447" s="383"><f>+AM447/AQ447</f><v /></c><c r="AS447" s="321"><f>+(((AL447-AK447-AM447)/AM447)*100)</f><v /></c><c r="AT447" s="389"><f>IF(I447&gt;=1,"NO CONFORME",IF(BK447="SIGDIFERENTES",BC447,BL447))</f><v /></c><c r="AU447" s="372"><f>B447=C447</f><v /></c><c r="AV447" s="372"><f>N447&lt;Y447</f><v /></c><c r="AW447" s="372"><f>Z447&lt;=AK447</f><v /></c><c r="AX447" s="372"><f>IF(I447&gt;=1,"Qcorrecto",IF(AND(AY447="aceptable",AZ447="aceptable",BA447="aceptable"),"Qcorrecto","Qincorrecto"))</f><v /></c><c r="AY447" s="390"><f>IF(AR447&lt;$AH$6,"error",IF(AR447&gt;$AH$6*1.1,"error","aceptable"))</f><v /></c><c r="AZ447" s="390"><f>IF(AF447&lt;$V$6,"error",IF(AF447&gt;$V$6*1.1,"error","aceptable"))</f><v /></c><c r="BA447" s="390"><f>IF(T447&lt;$J$6*0.9,"error",IF(T447&gt;$J$6,"error","aceptable"))</f><v /></c><c r="BB447" s="25"><f>(IF(ABS(U447)&lt;1.05,"CONFORME",IF(ABS(AG447)&lt;1.05,"CONFORME",IF(ABS(AS447)&lt;2.55,"CONFORME","NO CONFORME"))))</f><v /></c><c r="BC447" s="5"><f>(IF(ABS(U447)&gt;2.05,"NO CONFORME",IF(ABS(AG447)&gt;2.05,"NO CONFORME",IF(ABS(AS447)&gt;5.05,"NO CONFORME","CONFORME"))))</f><v /></c><c r="BD447" s="374"><f>SIGN(U447)</f><v /></c><c r="BE447" s="374"><f>SIGN(AG447)</f><v /></c><c r="BF447" s="374"><f>SIGN(AS447)</f><v /></c><c r="BG447" s="374"><f>CONCATENATE(BD447,BE447,BF447)</f><v /></c><c r="BH447" s="374"><f>IF(BG447="111","SI","SD")</f><v /></c><c r="BI447" s="374"><f>IF(BG447="-1-1-1","SI","SD")</f><v /></c><c r="BJ447" s="374"><f>OR(BH447="SI",BI447="SI")</f><v /></c><c r="BK447" s="374"><f>IF(BJ447=FALSE,"SIGDIFERENTES","SIGIGUALES")</f><v /></c><c r="BL447" s="390"><f>IF(BC447="NO CONFORME","NO CONFORME",IF(BB447="CONFORME","CONFORME","NO CONFORME"))</f><v /></c></row><row r="448" ht="15.75" customHeight="1" thickBot="1"><c r="A448" s="443" t="n"><v>440</v></c><c r="B448" s="375"><f>B447</f><v /></c><c r="C448" s="375"><f>C447</f><v /></c><c r="D448" s="376"><f>D447</f><v /></c><c r="E448" s="377"><f>E447</f><v /></c><c r="F448" s="13" t="n" /><c r="G448" s="300" t="inlineStr"><is><t>PA25517276</t></is></c><c r="H448" s="313"><f>H447</f><v /></c><c r="I448" s="38"><f>I447</f><v /></c><c r="J448" s="314"><f>J447</f><v /></c><c r="K448" s="378"><f>K447</f><v /></c><c r="L448" s="378"><f>L447</f><v /></c><c r="M448" s="379" t="n"><v>92.77</v></c><c r="N448" s="379" t="n"><v>192.35</v></c><c r="O448" s="380"><f>O447</f><v /></c><c r="P448" s="381"><f>P447</f><v /></c><c r="Q448" s="382"><f>LEFT(P448,1)</f><v /></c><c r="R448" s="382"><f>RIGHT(P448,6)</f><v /></c><c r="S448" s="382"><f>+(Q448*60+R448)/(60*60)</f><v /></c><c r="T448" s="383"><f>+O448/S448</f><v /></c><c r="U448" s="384"><f>+(((N448-M448-O448)/O448)*100)</f><v /></c><c r="V448" s="317"><f>V447</f><v /></c><c r="W448" s="378"><f>W447</f><v /></c><c r="X448" s="378"><f>X447</f><v /></c><c r="Y448" s="379" t="n"><v>200.4</v></c><c r="Z448" s="379" t="n"><v>210.37</v></c><c r="AA448" s="386"><f>AA447</f><v /></c><c r="AB448" s="387"><f>AB447</f><v /></c><c r="AC448" s="382"><f>LEFT(AB448,2)</f><v /></c><c r="AD448" s="382"><f>RIGHT(AB448,6)</f><v /></c><c r="AE448" s="382"><f>+(AC448*60+AD448)/(60*60)</f><v /></c><c r="AF448" s="383"><f>+AA448/AE448</f><v /></c><c r="AG448" s="321"><f>+(((Z448-Y448-AA448)/AA448)*100)</f><v /></c><c r="AH448" s="317"><f>AH447</f><v /></c><c r="AI448" s="378"><f>AI447</f><v /></c><c r="AJ448" s="378"><f>AJ447</f><v /></c><c r="AK448" s="379"><f>Z448</f><v /></c><c r="AL448" s="379" t="n"><v>215.37</v></c><c r="AM448" s="388"><f>AM447</f><v /></c><c r="AN448" s="381"><f>AN447</f><v /></c><c r="AO448" s="382"><f>LEFT(AN448,2)</f><v /></c><c r="AP448" s="382"><f>RIGHT(AN448,6)</f><v /></c><c r="AQ448" s="382"><f>+(AO448*60+AP448)/(60*60)</f><v /></c><c r="AR448" s="383"><f>+AM448/AQ448</f><v /></c><c r="AS448" s="321"><f>+(((AL448-AK448-AM448)/AM448)*100)</f><v /></c><c r="AT448" s="389"><f>IF(I448&gt;=1,"NO CONFORME",IF(BK448="SIGDIFERENTES",BC448,BL448))</f><v /></c><c r="AU448" s="372"><f>B448=C448</f><v /></c><c r="AV448" s="372"><f>N448&lt;Y448</f><v /></c><c r="AW448" s="372"><f>Z448&lt;=AK448</f><v /></c><c r="AX448" s="372"><f>IF(I448&gt;=1,"Qcorrecto",IF(AND(AY448="aceptable",AZ448="aceptable",BA448="aceptable"),"Qcorrecto","Qincorrecto"))</f><v /></c><c r="AY448" s="390"><f>IF(AR448&lt;$AH$6,"error",IF(AR448&gt;$AH$6*1.1,"error","aceptable"))</f><v /></c><c r="AZ448" s="390"><f>IF(AF448&lt;$V$6,"error",IF(AF448&gt;$V$6*1.1,"error","aceptable"))</f><v /></c><c r="BA448" s="390"><f>IF(T448&lt;$J$6*0.9,"error",IF(T448&gt;$J$6,"error","aceptable"))</f><v /></c><c r="BB448" s="25"><f>(IF(ABS(U448)&lt;1.05,"CONFORME",IF(ABS(AG448)&lt;1.05,"CONFORME",IF(ABS(AS448)&lt;2.55,"CONFORME","NO CONFORME"))))</f><v /></c><c r="BC448" s="5"><f>(IF(ABS(U448)&gt;2.05,"NO CONFORME",IF(ABS(AG448)&gt;2.05,"NO CONFORME",IF(ABS(AS448)&gt;5.05,"NO CONFORME","CONFORME"))))</f><v /></c><c r="BD448" s="374"><f>SIGN(U448)</f><v /></c><c r="BE448" s="374"><f>SIGN(AG448)</f><v /></c><c r="BF448" s="374"><f>SIGN(AS448)</f><v /></c><c r="BG448" s="374"><f>CONCATENATE(BD448,BE448,BF448)</f><v /></c><c r="BH448" s="374"><f>IF(BG448="111","SI","SD")</f><v /></c><c r="BI448" s="374"><f>IF(BG448="-1-1-1","SI","SD")</f><v /></c><c r="BJ448" s="374"><f>OR(BH448="SI",BI448="SI")</f><v /></c><c r="BK448" s="374"><f>IF(BJ448=FALSE,"SIGDIFERENTES","SIGIGUALES")</f><v /></c><c r="BL448" s="390"><f>IF(BC448="NO CONFORME","NO CONFORME",IF(BB448="CONFORME","CONFORME","NO CONFORME"))</f><v /></c></row><row r="449" ht="15" customHeight="1" thickBot="1"><c r="A449" s="443" t="n"><v>441</v></c><c r="B449" s="375"><f>B448</f><v /></c><c r="C449" s="375"><f>C448</f><v /></c><c r="D449" s="376"><f>D448</f><v /></c><c r="E449" s="377"><f>E448</f><v /></c><c r="F449" s="13" t="n" /><c r="G449" s="300" t="inlineStr"><is><t>PA25517277</t></is></c><c r="H449" s="313"><f>H448</f><v /></c><c r="I449" s="38"><f>I448</f><v /></c><c r="J449" s="314"><f>J448</f><v /></c><c r="K449" s="378"><f>K448</f><v /></c><c r="L449" s="378"><f>L448</f><v /></c><c r="M449" s="379" t="n"><v>92.5</v></c><c r="N449" s="379" t="n"><v>192.48</v></c><c r="O449" s="380"><f>O448</f><v /></c><c r="P449" s="381"><f>P448</f><v /></c><c r="Q449" s="382"><f>LEFT(P449,1)</f><v /></c><c r="R449" s="382"><f>RIGHT(P449,6)</f><v /></c><c r="S449" s="382"><f>+(Q449*60+R449)/(60*60)</f><v /></c><c r="T449" s="383"><f>+O449/S449</f><v /></c><c r="U449" s="384"><f>+(((N449-M449-O449)/O449)*100)</f><v /></c><c r="V449" s="317"><f>V448</f><v /></c><c r="W449" s="378"><f>W448</f><v /></c><c r="X449" s="378"><f>X448</f><v /></c><c r="Y449" s="379" t="n"><v>200.52</v></c><c r="Z449" s="379" t="n"><v>210.59</v></c><c r="AA449" s="386"><f>AA448</f><v /></c><c r="AB449" s="387"><f>AB448</f><v /></c><c r="AC449" s="382"><f>LEFT(AB449,2)</f><v /></c><c r="AD449" s="382"><f>RIGHT(AB449,6)</f><v /></c><c r="AE449" s="382"><f>+(AC449*60+AD449)/(60*60)</f><v /></c><c r="AF449" s="383"><f>+AA449/AE449</f><v /></c><c r="AG449" s="321"><f>+(((Z449-Y449-AA449)/AA449)*100)</f><v /></c><c r="AH449" s="317"><f>AH448</f><v /></c><c r="AI449" s="378"><f>AI448</f><v /></c><c r="AJ449" s="378"><f>AJ448</f><v /></c><c r="AK449" s="379"><f>Z449</f><v /></c><c r="AL449" s="379" t="n"><v>215.68</v></c><c r="AM449" s="388"><f>AM448</f><v /></c><c r="AN449" s="381"><f>AN448</f><v /></c><c r="AO449" s="382"><f>LEFT(AN449,2)</f><v /></c><c r="AP449" s="382"><f>RIGHT(AN449,6)</f><v /></c><c r="AQ449" s="382"><f>+(AO449*60+AP449)/(60*60)</f><v /></c><c r="AR449" s="383"><f>+AM449/AQ449</f><v /></c><c r="AS449" s="321"><f>+(((AL449-AK449-AM449)/AM449)*100)</f><v /></c><c r="AT449" s="389"><f>IF(I449&gt;=1,"NO CONFORME",IF(BK449="SIGDIFERENTES",BC449,BL449))</f><v /></c><c r="AU449" s="372"><f>B449=C449</f><v /></c><c r="AV449" s="372"><f>N449&lt;Y449</f><v /></c><c r="AW449" s="372"><f>Z449&lt;=AK449</f><v /></c><c r="AX449" s="372"><f>IF(I449&gt;=1,"Qcorrecto",IF(AND(AY449="aceptable",AZ449="aceptable",BA449="aceptable"),"Qcorrecto","Qincorrecto"))</f><v /></c><c r="AY449" s="390"><f>IF(AR449&lt;$AH$6,"error",IF(AR449&gt;$AH$6*1.1,"error","aceptable"))</f><v /></c><c r="AZ449" s="390"><f>IF(AF449&lt;$V$6,"error",IF(AF449&gt;$V$6*1.1,"error","aceptable"))</f><v /></c><c r="BA449" s="390"><f>IF(T449&lt;$J$6*0.9,"error",IF(T449&gt;$J$6,"error","aceptable"))</f><v /></c><c r="BB449" s="25"><f>(IF(ABS(U449)&lt;1.05,"CONFORME",IF(ABS(AG449)&lt;1.05,"CONFORME",IF(ABS(AS449)&lt;2.55,"CONFORME","NO CONFORME"))))</f><v /></c><c r="BC449" s="5"><f>(IF(ABS(U449)&gt;2.05,"NO CONFORME",IF(ABS(AG449)&gt;2.05,"NO CONFORME",IF(ABS(AS449)&gt;5.05,"NO CONFORME","CONFORME"))))</f><v /></c><c r="BD449" s="374"><f>SIGN(U449)</f><v /></c><c r="BE449" s="374"><f>SIGN(AG449)</f><v /></c><c r="BF449" s="374"><f>SIGN(AS449)</f><v /></c><c r="BG449" s="374"><f>CONCATENATE(BD449,BE449,BF449)</f><v /></c><c r="BH449" s="374"><f>IF(BG449="111","SI","SD")</f><v /></c><c r="BI449" s="374"><f>IF(BG449="-1-1-1","SI","SD")</f><v /></c><c r="BJ449" s="374"><f>OR(BH449="SI",BI449="SI")</f><v /></c><c r="BK449" s="374"><f>IF(BJ449=FALSE,"SIGDIFERENTES","SIGIGUALES")</f><v /></c><c r="BL449" s="390"><f>IF(BC449="NO CONFORME","NO CONFORME",IF(BB449="CONFORME","CONFORME","NO CONFORME"))</f><v /></c></row><row r="450" ht="15" customHeight="1" thickBot="1"><c r="A450" s="443" t="n"><v>442</v></c><c r="B450" s="375"><f>B449</f><v /></c><c r="C450" s="375"><f>C449</f><v /></c><c r="D450" s="376"><f>D449</f><v /></c><c r="E450" s="377"><f>E449</f><v /></c><c r="F450" s="13" t="n" /><c r="G450" s="300" t="inlineStr"><is><t>PA25517278</t></is></c><c r="H450" s="313"><f>H449</f><v /></c><c r="I450" s="38"><f>I449</f><v /></c><c r="J450" s="314"><f>J449</f><v /></c><c r="K450" s="378"><f>K449</f><v /></c><c r="L450" s="378"><f>L449</f><v /></c><c r="M450" s="379" t="n"><v>93.58</v></c><c r="N450" s="379" t="n"><v>193.89</v></c><c r="O450" s="380"><f>O449</f><v /></c><c r="P450" s="381"><f>P449</f><v /></c><c r="Q450" s="382"><f>LEFT(P450,1)</f><v /></c><c r="R450" s="382"><f>RIGHT(P450,6)</f><v /></c><c r="S450" s="382"><f>+(Q450*60+R450)/(60*60)</f><v /></c><c r="T450" s="383"><f>+O450/S450</f><v /></c><c r="U450" s="384"><f>+(((N450-M450-O450)/O450)*100)</f><v /></c><c r="V450" s="317"><f>V449</f><v /></c><c r="W450" s="378"><f>W449</f><v /></c><c r="X450" s="378"><f>X449</f><v /></c><c r="Y450" s="379" t="n"><v>201.94</v></c><c r="Z450" s="379" t="n"><v>212</v></c><c r="AA450" s="386"><f>AA449</f><v /></c><c r="AB450" s="387"><f>AB449</f><v /></c><c r="AC450" s="382"><f>LEFT(AB450,2)</f><v /></c><c r="AD450" s="382"><f>RIGHT(AB450,6)</f><v /></c><c r="AE450" s="382"><f>+(AC450*60+AD450)/(60*60)</f><v /></c><c r="AF450" s="383"><f>+AA450/AE450</f><v /></c><c r="AG450" s="321"><f>+(((Z450-Y450-AA450)/AA450)*100)</f><v /></c><c r="AH450" s="317"><f>AH449</f><v /></c><c r="AI450" s="378"><f>AI449</f><v /></c><c r="AJ450" s="378"><f>AJ449</f><v /></c><c r="AK450" s="379"><f>Z450</f><v /></c><c r="AL450" s="379" t="n"><v>217.06</v></c><c r="AM450" s="388"><f>AM449</f><v /></c><c r="AN450" s="381"><f>AN449</f><v /></c><c r="AO450" s="382"><f>LEFT(AN450,2)</f><v /></c><c r="AP450" s="382"><f>RIGHT(AN450,6)</f><v /></c><c r="AQ450" s="382"><f>+(AO450*60+AP450)/(60*60)</f><v /></c><c r="AR450" s="383"><f>+AM450/AQ450</f><v /></c><c r="AS450" s="321"><f>+(((AL450-AK450-AM450)/AM450)*100)</f><v /></c><c r="AT450" s="389"><f>IF(I450&gt;=1,"NO CONFORME",IF(BK450="SIGDIFERENTES",BC450,BL450))</f><v /></c><c r="AU450" s="372"><f>B450=C450</f><v /></c><c r="AV450" s="372"><f>N450&lt;Y450</f><v /></c><c r="AW450" s="372"><f>Z450&lt;=AK450</f><v /></c><c r="AX450" s="372"><f>IF(I450&gt;=1,"Qcorrecto",IF(AND(AY450="aceptable",AZ450="aceptable",BA450="aceptable"),"Qcorrecto","Qincorrecto"))</f><v /></c><c r="AY450" s="390"><f>IF(AR450&lt;$AH$6,"error",IF(AR450&gt;$AH$6*1.1,"error","aceptable"))</f><v /></c><c r="AZ450" s="390"><f>IF(AF450&lt;$V$6,"error",IF(AF450&gt;$V$6*1.1,"error","aceptable"))</f><v /></c><c r="BA450" s="390"><f>IF(T450&lt;$J$6*0.9,"error",IF(T450&gt;$J$6,"error","aceptable"))</f><v /></c><c r="BB450" s="25"><f>(IF(ABS(U450)&lt;1.05,"CONFORME",IF(ABS(AG450)&lt;1.05,"CONFORME",IF(ABS(AS450)&lt;2.55,"CONFORME","NO CONFORME"))))</f><v /></c><c r="BC450" s="5"><f>(IF(ABS(U450)&gt;2.05,"NO CONFORME",IF(ABS(AG450)&gt;2.05,"NO CONFORME",IF(ABS(AS450)&gt;5.05,"NO CONFORME","CONFORME"))))</f><v /></c><c r="BD450" s="374"><f>SIGN(U450)</f><v /></c><c r="BE450" s="374"><f>SIGN(AG450)</f><v /></c><c r="BF450" s="374"><f>SIGN(AS450)</f><v /></c><c r="BG450" s="374"><f>CONCATENATE(BD450,BE450,BF450)</f><v /></c><c r="BH450" s="374"><f>IF(BG450="111","SI","SD")</f><v /></c><c r="BI450" s="374"><f>IF(BG450="-1-1-1","SI","SD")</f><v /></c><c r="BJ450" s="374"><f>OR(BH450="SI",BI450="SI")</f><v /></c><c r="BK450" s="374"><f>IF(BJ450=FALSE,"SIGDIFERENTES","SIGIGUALES")</f><v /></c><c r="BL450" s="390"><f>IF(BC450="NO CONFORME","NO CONFORME",IF(BB450="CONFORME","CONFORME","NO CONFORME"))</f><v /></c></row><row r="451" ht="15.75" customHeight="1" thickBot="1"><c r="A451" s="443" t="n"><v>443</v></c><c r="B451" s="375"><f>B450</f><v /></c><c r="C451" s="375"><f>C450</f><v /></c><c r="D451" s="376"><f>D450</f><v /></c><c r="E451" s="377"><f>E450</f><v /></c><c r="F451" s="13" t="n" /><c r="G451" s="300" t="inlineStr"><is><t>PA25517279</t></is></c><c r="H451" s="313"><f>H450</f><v /></c><c r="I451" s="38"><f>I450</f><v /></c><c r="J451" s="314"><f>J450</f><v /></c><c r="K451" s="378"><f>K450</f><v /></c><c r="L451" s="378"><f>L450</f><v /></c><c r="M451" s="379" t="n"><v>92.14</v></c><c r="N451" s="379" t="n"><v>191.46</v></c><c r="O451" s="380"><f>O450</f><v /></c><c r="P451" s="381"><f>P450</f><v /></c><c r="Q451" s="382"><f>LEFT(P451,1)</f><v /></c><c r="R451" s="382"><f>RIGHT(P451,6)</f><v /></c><c r="S451" s="382"><f>+(Q451*60+R451)/(60*60)</f><v /></c><c r="T451" s="383"><f>+O451/S451</f><v /></c><c r="U451" s="384"><f>+(((N451-M451-O451)/O451)*100)</f><v /></c><c r="V451" s="317"><f>V450</f><v /></c><c r="W451" s="378"><f>W450</f><v /></c><c r="X451" s="378"><f>X450</f><v /></c><c r="Y451" s="379" t="n"><v>199.48</v></c><c r="Z451" s="379" t="n"><v>209.48</v></c><c r="AA451" s="386"><f>AA450</f><v /></c><c r="AB451" s="387"><f>AB450</f><v /></c><c r="AC451" s="382"><f>LEFT(AB451,2)</f><v /></c><c r="AD451" s="382"><f>RIGHT(AB451,6)</f><v /></c><c r="AE451" s="382"><f>+(AC451*60+AD451)/(60*60)</f><v /></c><c r="AF451" s="383"><f>+AA451/AE451</f><v /></c><c r="AG451" s="321"><f>+(((Z451-Y451-AA451)/AA451)*100)</f><v /></c><c r="AH451" s="317"><f>AH450</f><v /></c><c r="AI451" s="378"><f>AI450</f><v /></c><c r="AJ451" s="378"><f>AJ450</f><v /></c><c r="AK451" s="379"><f>Z451</f><v /></c><c r="AL451" s="379" t="n"><v>214.58</v></c><c r="AM451" s="388"><f>AM450</f><v /></c><c r="AN451" s="381"><f>AN450</f><v /></c><c r="AO451" s="382"><f>LEFT(AN451,2)</f><v /></c><c r="AP451" s="382"><f>RIGHT(AN451,6)</f><v /></c><c r="AQ451" s="382"><f>+(AO451*60+AP451)/(60*60)</f><v /></c><c r="AR451" s="383"><f>+AM451/AQ451</f><v /></c><c r="AS451" s="321"><f>+(((AL451-AK451-AM451)/AM451)*100)</f><v /></c><c r="AT451" s="389"><f>IF(I451&gt;=1,"NO CONFORME",IF(BK451="SIGDIFERENTES",BC451,BL451))</f><v /></c><c r="AU451" s="372"><f>B451=C451</f><v /></c><c r="AV451" s="372"><f>N451&lt;Y451</f><v /></c><c r="AW451" s="372"><f>Z451&lt;=AK451</f><v /></c><c r="AX451" s="372"><f>IF(I451&gt;=1,"Qcorrecto",IF(AND(AY451="aceptable",AZ451="aceptable",BA451="aceptable"),"Qcorrecto","Qincorrecto"))</f><v /></c><c r="AY451" s="390"><f>IF(AR451&lt;$AH$6,"error",IF(AR451&gt;$AH$6*1.1,"error","aceptable"))</f><v /></c><c r="AZ451" s="390"><f>IF(AF451&lt;$V$6,"error",IF(AF451&gt;$V$6*1.1,"error","aceptable"))</f><v /></c><c r="BA451" s="390"><f>IF(T451&lt;$J$6*0.9,"error",IF(T451&gt;$J$6,"error","aceptable"))</f><v /></c><c r="BB451" s="25"><f>(IF(ABS(U451)&lt;1.05,"CONFORME",IF(ABS(AG451)&lt;1.05,"CONFORME",IF(ABS(AS451)&lt;2.55,"CONFORME","NO CONFORME"))))</f><v /></c><c r="BC451" s="5"><f>(IF(ABS(U451)&gt;2.05,"NO CONFORME",IF(ABS(AG451)&gt;2.05,"NO CONFORME",IF(ABS(AS451)&gt;5.05,"NO CONFORME","CONFORME"))))</f><v /></c><c r="BD451" s="374"><f>SIGN(U451)</f><v /></c><c r="BE451" s="374"><f>SIGN(AG451)</f><v /></c><c r="BF451" s="374"><f>SIGN(AS451)</f><v /></c><c r="BG451" s="374"><f>CONCATENATE(BD451,BE451,BF451)</f><v /></c><c r="BH451" s="374"><f>IF(BG451="111","SI","SD")</f><v /></c><c r="BI451" s="374"><f>IF(BG451="-1-1-1","SI","SD")</f><v /></c><c r="BJ451" s="374"><f>OR(BH451="SI",BI451="SI")</f><v /></c><c r="BK451" s="374"><f>IF(BJ451=FALSE,"SIGDIFERENTES","SIGIGUALES")</f><v /></c><c r="BL451" s="390"><f>IF(BC451="NO CONFORME","NO CONFORME",IF(BB451="CONFORME","CONFORME","NO CONFORME"))</f><v /></c></row><row r="452" ht="15" customHeight="1" thickBot="1"><c r="A452" s="443" t="n"><v>444</v></c><c r="B452" s="375"><f>B451</f><v /></c><c r="C452" s="375"><f>C451</f><v /></c><c r="D452" s="376"><f>D451</f><v /></c><c r="E452" s="377"><f>E451</f><v /></c><c r="F452" s="13" t="n" /><c r="G452" s="300" t="inlineStr"><is><t>PA25517280</t></is></c><c r="H452" s="313"><f>H451</f><v /></c><c r="I452" s="38"><f>I451</f><v /></c><c r="J452" s="314"><f>J451</f><v /></c><c r="K452" s="378"><f>K451</f><v /></c><c r="L452" s="378"><f>L451</f><v /></c><c r="M452" s="379" t="n"><v>92.48</v></c><c r="N452" s="379" t="n"><v>191.88</v></c><c r="O452" s="380"><f>O451</f><v /></c><c r="P452" s="381"><f>P451</f><v /></c><c r="Q452" s="382"><f>LEFT(P452,1)</f><v /></c><c r="R452" s="382"><f>RIGHT(P452,6)</f><v /></c><c r="S452" s="382"><f>+(Q452*60+R452)/(60*60)</f><v /></c><c r="T452" s="383"><f>+O452/S452</f><v /></c><c r="U452" s="384"><f>+(((N452-M452-O452)/O452)*100)</f><v /></c><c r="V452" s="317"><f>V451</f><v /></c><c r="W452" s="378"><f>W451</f><v /></c><c r="X452" s="378"><f>X451</f><v /></c><c r="Y452" s="379" t="n"><v>199.89</v></c><c r="Z452" s="379" t="n"><v>209.93</v></c><c r="AA452" s="386"><f>AA451</f><v /></c><c r="AB452" s="387"><f>AB451</f><v /></c><c r="AC452" s="382"><f>LEFT(AB452,2)</f><v /></c><c r="AD452" s="382"><f>RIGHT(AB452,6)</f><v /></c><c r="AE452" s="382"><f>+(AC452*60+AD452)/(60*60)</f><v /></c><c r="AF452" s="383"><f>+AA452/AE452</f><v /></c><c r="AG452" s="321"><f>+(((Z452-Y452-AA452)/AA452)*100)</f><v /></c><c r="AH452" s="317"><f>AH451</f><v /></c><c r="AI452" s="378"><f>AI451</f><v /></c><c r="AJ452" s="378"><f>AJ451</f><v /></c><c r="AK452" s="379"><f>Z452</f><v /></c><c r="AL452" s="379" t="n"><v>215</v></c><c r="AM452" s="388"><f>AM451</f><v /></c><c r="AN452" s="381"><f>AN451</f><v /></c><c r="AO452" s="382"><f>LEFT(AN452,2)</f><v /></c><c r="AP452" s="382"><f>RIGHT(AN452,6)</f><v /></c><c r="AQ452" s="382"><f>+(AO452*60+AP452)/(60*60)</f><v /></c><c r="AR452" s="383"><f>+AM452/AQ452</f><v /></c><c r="AS452" s="321"><f>+(((AL452-AK452-AM452)/AM452)*100)</f><v /></c><c r="AT452" s="389"><f>IF(I452&gt;=1,"NO CONFORME",IF(BK452="SIGDIFERENTES",BC452,BL452))</f><v /></c><c r="AU452" s="372"><f>B452=C452</f><v /></c><c r="AV452" s="372"><f>N452&lt;Y452</f><v /></c><c r="AW452" s="372"><f>Z452&lt;=AK452</f><v /></c><c r="AX452" s="372"><f>IF(I452&gt;=1,"Qcorrecto",IF(AND(AY452="aceptable",AZ452="aceptable",BA452="aceptable"),"Qcorrecto","Qincorrecto"))</f><v /></c><c r="AY452" s="390"><f>IF(AR452&lt;$AH$6,"error",IF(AR452&gt;$AH$6*1.1,"error","aceptable"))</f><v /></c><c r="AZ452" s="390"><f>IF(AF452&lt;$V$6,"error",IF(AF452&gt;$V$6*1.1,"error","aceptable"))</f><v /></c><c r="BA452" s="390"><f>IF(T452&lt;$J$6*0.9,"error",IF(T452&gt;$J$6,"error","aceptable"))</f><v /></c><c r="BB452" s="25"><f>(IF(ABS(U452)&lt;1.05,"CONFORME",IF(ABS(AG452)&lt;1.05,"CONFORME",IF(ABS(AS452)&lt;2.55,"CONFORME","NO CONFORME"))))</f><v /></c><c r="BC452" s="5"><f>(IF(ABS(U452)&gt;2.05,"NO CONFORME",IF(ABS(AG452)&gt;2.05,"NO CONFORME",IF(ABS(AS452)&gt;5.05,"NO CONFORME","CONFORME"))))</f><v /></c><c r="BD452" s="374"><f>SIGN(U452)</f><v /></c><c r="BE452" s="374"><f>SIGN(AG452)</f><v /></c><c r="BF452" s="374"><f>SIGN(AS452)</f><v /></c><c r="BG452" s="374"><f>CONCATENATE(BD452,BE452,BF452)</f><v /></c><c r="BH452" s="374"><f>IF(BG452="111","SI","SD")</f><v /></c><c r="BI452" s="374"><f>IF(BG452="-1-1-1","SI","SD")</f><v /></c><c r="BJ452" s="374"><f>OR(BH452="SI",BI452="SI")</f><v /></c><c r="BK452" s="374"><f>IF(BJ452=FALSE,"SIGDIFERENTES","SIGIGUALES")</f><v /></c><c r="BL452" s="390"><f>IF(BC452="NO CONFORME","NO CONFORME",IF(BB452="CONFORME","CONFORME","NO CONFORME"))</f><v /></c></row><row r="453" ht="15" customHeight="1" thickBot="1"><c r="A453" s="443" t="n"><v>445</v></c><c r="B453" s="375"><f>B452</f><v /></c><c r="C453" s="375"><f>C452</f><v /></c><c r="D453" s="376"><f>D452</f><v /></c><c r="E453" s="377"><f>E452</f><v /></c><c r="F453" s="13" t="n" /><c r="G453" s="300" t="inlineStr"><is><t>PA25517281</t></is></c><c r="H453" s="313"><f>H452</f><v /></c><c r="I453" s="38"><f>I452</f><v /></c><c r="J453" s="314"><f>J452</f><v /></c><c r="K453" s="378"><f>K452</f><v /></c><c r="L453" s="378"><f>L452</f><v /></c><c r="M453" s="379" t="n"><v>93</v></c><c r="N453" s="379" t="n"><v>193.13</v></c><c r="O453" s="380"><f>O452</f><v /></c><c r="P453" s="381"><f>P452</f><v /></c><c r="Q453" s="382"><f>LEFT(P453,1)</f><v /></c><c r="R453" s="382"><f>RIGHT(P453,6)</f><v /></c><c r="S453" s="382"><f>+(Q453*60+R453)/(60*60)</f><v /></c><c r="T453" s="383"><f>+O453/S453</f><v /></c><c r="U453" s="384"><f>+(((N453-M453-O453)/O453)*100)</f><v /></c><c r="V453" s="317"><f>V452</f><v /></c><c r="W453" s="378"><f>W452</f><v /></c><c r="X453" s="378"><f>X452</f><v /></c><c r="Y453" s="379" t="n"><v>201.18</v></c><c r="Z453" s="379" t="n"><v>211.28</v></c><c r="AA453" s="386"><f>AA452</f><v /></c><c r="AB453" s="387"><f>AB452</f><v /></c><c r="AC453" s="382"><f>LEFT(AB453,2)</f><v /></c><c r="AD453" s="382"><f>RIGHT(AB453,6)</f><v /></c><c r="AE453" s="382"><f>+(AC453*60+AD453)/(60*60)</f><v /></c><c r="AF453" s="383"><f>+AA453/AE453</f><v /></c><c r="AG453" s="321"><f>+(((Z453-Y453-AA453)/AA453)*100)</f><v /></c><c r="AH453" s="317"><f>AH452</f><v /></c><c r="AI453" s="378"><f>AI452</f><v /></c><c r="AJ453" s="378"><f>AJ452</f><v /></c><c r="AK453" s="379"><f>Z453</f><v /></c><c r="AL453" s="379" t="n"><v>216.4</v></c><c r="AM453" s="388"><f>AM452</f><v /></c><c r="AN453" s="381"><f>AN452</f><v /></c><c r="AO453" s="382"><f>LEFT(AN453,2)</f><v /></c><c r="AP453" s="382"><f>RIGHT(AN453,6)</f><v /></c><c r="AQ453" s="382"><f>+(AO453*60+AP453)/(60*60)</f><v /></c><c r="AR453" s="383"><f>+AM453/AQ453</f><v /></c><c r="AS453" s="321"><f>+(((AL453-AK453-AM453)/AM453)*100)</f><v /></c><c r="AT453" s="389"><f>IF(I453&gt;=1,"NO CONFORME",IF(BK453="SIGDIFERENTES",BC453,BL453))</f><v /></c><c r="AU453" s="372"><f>B453=C453</f><v /></c><c r="AV453" s="372"><f>N453&lt;Y453</f><v /></c><c r="AW453" s="372"><f>Z453&lt;=AK453</f><v /></c><c r="AX453" s="372"><f>IF(I453&gt;=1,"Qcorrecto",IF(AND(AY453="aceptable",AZ453="aceptable",BA453="aceptable"),"Qcorrecto","Qincorrecto"))</f><v /></c><c r="AY453" s="390"><f>IF(AR453&lt;$AH$6,"error",IF(AR453&gt;$AH$6*1.1,"error","aceptable"))</f><v /></c><c r="AZ453" s="390"><f>IF(AF453&lt;$V$6,"error",IF(AF453&gt;$V$6*1.1,"error","aceptable"))</f><v /></c><c r="BA453" s="390"><f>IF(T453&lt;$J$6*0.9,"error",IF(T453&gt;$J$6,"error","aceptable"))</f><v /></c><c r="BB453" s="25"><f>(IF(ABS(U453)&lt;1.05,"CONFORME",IF(ABS(AG453)&lt;1.05,"CONFORME",IF(ABS(AS453)&lt;2.55,"CONFORME","NO CONFORME"))))</f><v /></c><c r="BC453" s="5"><f>(IF(ABS(U453)&gt;2.05,"NO CONFORME",IF(ABS(AG453)&gt;2.05,"NO CONFORME",IF(ABS(AS453)&gt;5.05,"NO CONFORME","CONFORME"))))</f><v /></c><c r="BD453" s="374"><f>SIGN(U453)</f><v /></c><c r="BE453" s="374"><f>SIGN(AG453)</f><v /></c><c r="BF453" s="374"><f>SIGN(AS453)</f><v /></c><c r="BG453" s="374"><f>CONCATENATE(BD453,BE453,BF453)</f><v /></c><c r="BH453" s="374"><f>IF(BG453="111","SI","SD")</f><v /></c><c r="BI453" s="374"><f>IF(BG453="-1-1-1","SI","SD")</f><v /></c><c r="BJ453" s="374"><f>OR(BH453="SI",BI453="SI")</f><v /></c><c r="BK453" s="374"><f>IF(BJ453=FALSE,"SIGDIFERENTES","SIGIGUALES")</f><v /></c><c r="BL453" s="390"><f>IF(BC453="NO CONFORME","NO CONFORME",IF(BB453="CONFORME","CONFORME","NO CONFORME"))</f><v /></c></row><row r="454" ht="15" customHeight="1" thickBot="1"><c r="A454" s="443" t="n"><v>446</v></c><c r="B454" s="375"><f>B453</f><v /></c><c r="C454" s="375"><f>C453</f><v /></c><c r="D454" s="376"><f>D453</f><v /></c><c r="E454" s="377"><f>E453</f><v /></c><c r="F454" s="13" t="n" /><c r="G454" s="300" t="inlineStr"><is><t>PA25517282</t></is></c><c r="H454" s="313"><f>H453</f><v /></c><c r="I454" s="38"><f>I453</f><v /></c><c r="J454" s="314"><f>J453</f><v /></c><c r="K454" s="378"><f>K453</f><v /></c><c r="L454" s="378"><f>L453</f><v /></c><c r="M454" s="379" t="n"><v>93.3</v></c><c r="N454" s="379" t="n"><v>192.9</v></c><c r="O454" s="380"><f>O453</f><v /></c><c r="P454" s="381"><f>P453</f><v /></c><c r="Q454" s="382"><f>LEFT(P454,1)</f><v /></c><c r="R454" s="382"><f>RIGHT(P454,6)</f><v /></c><c r="S454" s="382"><f>+(Q454*60+R454)/(60*60)</f><v /></c><c r="T454" s="383"><f>+O454/S454</f><v /></c><c r="U454" s="384"><f>+(((N454-M454-O454)/O454)*100)</f><v /></c><c r="V454" s="317"><f>V453</f><v /></c><c r="W454" s="378"><f>W453</f><v /></c><c r="X454" s="378"><f>X453</f><v /></c><c r="Y454" s="379" t="n"><v>200.9</v></c><c r="Z454" s="379" t="n"><v>210.87</v></c><c r="AA454" s="386"><f>AA453</f><v /></c><c r="AB454" s="387"><f>AB453</f><v /></c><c r="AC454" s="382"><f>LEFT(AB454,2)</f><v /></c><c r="AD454" s="382"><f>RIGHT(AB454,6)</f><v /></c><c r="AE454" s="382"><f>+(AC454*60+AD454)/(60*60)</f><v /></c><c r="AF454" s="383"><f>+AA454/AE454</f><v /></c><c r="AG454" s="321"><f>+(((Z454-Y454-AA454)/AA454)*100)</f><v /></c><c r="AH454" s="317"><f>AH453</f><v /></c><c r="AI454" s="378"><f>AI453</f><v /></c><c r="AJ454" s="378"><f>AJ453</f><v /></c><c r="AK454" s="379"><f>Z454</f><v /></c><c r="AL454" s="379" t="n"><v>215.92</v></c><c r="AM454" s="388"><f>AM453</f><v /></c><c r="AN454" s="381"><f>AN453</f><v /></c><c r="AO454" s="382"><f>LEFT(AN454,2)</f><v /></c><c r="AP454" s="382"><f>RIGHT(AN454,6)</f><v /></c><c r="AQ454" s="382"><f>+(AO454*60+AP454)/(60*60)</f><v /></c><c r="AR454" s="383"><f>+AM454/AQ454</f><v /></c><c r="AS454" s="321"><f>+(((AL454-AK454-AM454)/AM454)*100)</f><v /></c><c r="AT454" s="389"><f>IF(I454&gt;=1,"NO CONFORME",IF(BK454="SIGDIFERENTES",BC454,BL454))</f><v /></c><c r="AU454" s="372"><f>B454=C454</f><v /></c><c r="AV454" s="372"><f>N454&lt;Y454</f><v /></c><c r="AW454" s="372"><f>Z454&lt;=AK454</f><v /></c><c r="AX454" s="372"><f>IF(I454&gt;=1,"Qcorrecto",IF(AND(AY454="aceptable",AZ454="aceptable",BA454="aceptable"),"Qcorrecto","Qincorrecto"))</f><v /></c><c r="AY454" s="390"><f>IF(AR454&lt;$AH$6,"error",IF(AR454&gt;$AH$6*1.1,"error","aceptable"))</f><v /></c><c r="AZ454" s="390"><f>IF(AF454&lt;$V$6,"error",IF(AF454&gt;$V$6*1.1,"error","aceptable"))</f><v /></c><c r="BA454" s="390"><f>IF(T454&lt;$J$6*0.9,"error",IF(T454&gt;$J$6,"error","aceptable"))</f><v /></c><c r="BB454" s="25"><f>(IF(ABS(U454)&lt;1.05,"CONFORME",IF(ABS(AG454)&lt;1.05,"CONFORME",IF(ABS(AS454)&lt;2.55,"CONFORME","NO CONFORME"))))</f><v /></c><c r="BC454" s="5"><f>(IF(ABS(U454)&gt;2.05,"NO CONFORME",IF(ABS(AG454)&gt;2.05,"NO CONFORME",IF(ABS(AS454)&gt;5.05,"NO CONFORME","CONFORME"))))</f><v /></c><c r="BD454" s="374"><f>SIGN(U454)</f><v /></c><c r="BE454" s="374"><f>SIGN(AG454)</f><v /></c><c r="BF454" s="374"><f>SIGN(AS454)</f><v /></c><c r="BG454" s="374"><f>CONCATENATE(BD454,BE454,BF454)</f><v /></c><c r="BH454" s="374"><f>IF(BG454="111","SI","SD")</f><v /></c><c r="BI454" s="374"><f>IF(BG454="-1-1-1","SI","SD")</f><v /></c><c r="BJ454" s="374"><f>OR(BH454="SI",BI454="SI")</f><v /></c><c r="BK454" s="374"><f>IF(BJ454=FALSE,"SIGDIFERENTES","SIGIGUALES")</f><v /></c><c r="BL454" s="390"><f>IF(BC454="NO CONFORME","NO CONFORME",IF(BB454="CONFORME","CONFORME","NO CONFORME"))</f><v /></c></row><row r="455" ht="14.4" customHeight="1" thickBot="1"><c r="A455" s="443" t="n"><v>447</v></c><c r="B455" s="375"><f>B454</f><v /></c><c r="C455" s="375"><f>C454</f><v /></c><c r="D455" s="376"><f>D454</f><v /></c><c r="E455" s="377"><f>E454</f><v /></c><c r="F455" s="13" t="n" /><c r="G455" s="300" t="inlineStr"><is><t>PA25517283</t></is></c><c r="H455" s="313"><f>H454</f><v /></c><c r="I455" s="38"><f>I454</f><v /></c><c r="J455" s="314"><f>J454</f><v /></c><c r="K455" s="378"><f>K454</f><v /></c><c r="L455" s="378"><f>L454</f><v /></c><c r="M455" s="379" t="n"><v>132.06</v></c><c r="N455" s="379" t="n"><v>232.24</v></c><c r="O455" s="380"><f>O454</f><v /></c><c r="P455" s="381"><f>P454</f><v /></c><c r="Q455" s="382"><f>LEFT(P455,1)</f><v /></c><c r="R455" s="382"><f>RIGHT(P455,6)</f><v /></c><c r="S455" s="382"><f>+(Q455*60+R455)/(60*60)</f><v /></c><c r="T455" s="383"><f>+O455/S455</f><v /></c><c r="U455" s="384"><f>+(((N455-M455-O455)/O455)*100)</f><v /></c><c r="V455" s="317"><f>V454</f><v /></c><c r="W455" s="378"><f>W454</f><v /></c><c r="X455" s="378"><f>X454</f><v /></c><c r="Y455" s="379" t="n"><v>240.32</v></c><c r="Z455" s="379" t="n"><v>250.4</v></c><c r="AA455" s="386"><f>AA454</f><v /></c><c r="AB455" s="387"><f>AB454</f><v /></c><c r="AC455" s="382"><f>LEFT(AB455,2)</f><v /></c><c r="AD455" s="382"><f>RIGHT(AB455,6)</f><v /></c><c r="AE455" s="382"><f>+(AC455*60+AD455)/(60*60)</f><v /></c><c r="AF455" s="383"><f>+AA455/AE455</f><v /></c><c r="AG455" s="321"><f>+(((Z455-Y455-AA455)/AA455)*100)</f><v /></c><c r="AH455" s="317"><f>AH454</f><v /></c><c r="AI455" s="378"><f>AI454</f><v /></c><c r="AJ455" s="378"><f>AJ454</f><v /></c><c r="AK455" s="379"><f>Z455</f><v /></c><c r="AL455" s="379" t="n"><v>255.49</v></c><c r="AM455" s="388"><f>AM454</f><v /></c><c r="AN455" s="381"><f>AN454</f><v /></c><c r="AO455" s="382"><f>LEFT(AN455,2)</f><v /></c><c r="AP455" s="382"><f>RIGHT(AN455,6)</f><v /></c><c r="AQ455" s="382"><f>+(AO455*60+AP455)/(60*60)</f><v /></c><c r="AR455" s="383"><f>+AM455/AQ455</f><v /></c><c r="AS455" s="321"><f>+(((AL455-AK455-AM455)/AM455)*100)</f><v /></c><c r="AT455" s="389"><f>IF(I455&gt;=1,"NO CONFORME",IF(BK455="SIGDIFERENTES",BC455,BL455))</f><v /></c><c r="AU455" s="372"><f>B455=C455</f><v /></c><c r="AV455" s="372"><f>N455&lt;Y455</f><v /></c><c r="AW455" s="372"><f>Z455&lt;=AK455</f><v /></c><c r="AX455" s="372"><f>IF(I455&gt;=1,"Qcorrecto",IF(AND(AY455="aceptable",AZ455="aceptable",BA455="aceptable"),"Qcorrecto","Qincorrecto"))</f><v /></c><c r="AY455" s="390"><f>IF(AR455&lt;$AH$6,"error",IF(AR455&gt;$AH$6*1.1,"error","aceptable"))</f><v /></c><c r="AZ455" s="390"><f>IF(AF455&lt;$V$6,"error",IF(AF455&gt;$V$6*1.1,"error","aceptable"))</f><v /></c><c r="BA455" s="390"><f>IF(T455&lt;$J$6*0.9,"error",IF(T455&gt;$J$6,"error","aceptable"))</f><v /></c><c r="BB455" s="25"><f>(IF(ABS(U455)&lt;1.05,"CONFORME",IF(ABS(AG455)&lt;1.05,"CONFORME",IF(ABS(AS455)&lt;2.55,"CONFORME","NO CONFORME"))))</f><v /></c><c r="BC455" s="5"><f>(IF(ABS(U455)&gt;2.05,"NO CONFORME",IF(ABS(AG455)&gt;2.05,"NO CONFORME",IF(ABS(AS455)&gt;5.05,"NO CONFORME","CONFORME"))))</f><v /></c><c r="BD455" s="374"><f>SIGN(U455)</f><v /></c><c r="BE455" s="374"><f>SIGN(AG455)</f><v /></c><c r="BF455" s="374"><f>SIGN(AS455)</f><v /></c><c r="BG455" s="374"><f>CONCATENATE(BD455,BE455,BF455)</f><v /></c><c r="BH455" s="374"><f>IF(BG455="111","SI","SD")</f><v /></c><c r="BI455" s="374"><f>IF(BG455="-1-1-1","SI","SD")</f><v /></c><c r="BJ455" s="374"><f>OR(BH455="SI",BI455="SI")</f><v /></c><c r="BK455" s="374"><f>IF(BJ455=FALSE,"SIGDIFERENTES","SIGIGUALES")</f><v /></c><c r="BL455" s="390"><f>IF(BC455="NO CONFORME","NO CONFORME",IF(BB455="CONFORME","CONFORME","NO CONFORME"))</f><v /></c></row><row r="456" ht="15" customHeight="1" thickBot="1"><c r="A456" s="443" t="n"><v>448</v></c><c r="B456" s="375"><f>B455</f><v /></c><c r="C456" s="375"><f>C455</f><v /></c><c r="D456" s="376"><f>D455</f><v /></c><c r="E456" s="377"><f>E455</f><v /></c><c r="F456" s="13" t="n" /><c r="G456" s="442" t="inlineStr"><is><t>PA25517284</t></is></c><c r="H456" s="313"><f>H455</f><v /></c><c r="I456" s="38"><f>I455</f><v /></c><c r="J456" s="314"><f>J455</f><v /></c><c r="K456" s="378"><f>K455</f><v /></c><c r="L456" s="378"><f>L455</f><v /></c><c r="M456" s="379" t="n"><v>93.23</v></c><c r="N456" s="379" t="n"><v>193.22</v></c><c r="O456" s="380"><f>O455</f><v /></c><c r="P456" s="381"><f>P455</f><v /></c><c r="Q456" s="382"><f>LEFT(P456,1)</f><v /></c><c r="R456" s="382"><f>RIGHT(P456,6)</f><v /></c><c r="S456" s="382"><f>+(Q456*60+R456)/(60*60)</f><v /></c><c r="T456" s="383"><f>+O456/S456</f><v /></c><c r="U456" s="384"><f>+(((N456-M456-O456)/O456)*100)</f><v /></c><c r="V456" s="317"><f>V455</f><v /></c><c r="W456" s="378"><f>W455</f><v /></c><c r="X456" s="378"><f>X455</f><v /></c><c r="Y456" s="379" t="n"><v>201.24</v></c><c r="Z456" s="379" t="n"><v>211.02</v></c><c r="AA456" s="386"><f>AA455</f><v /></c><c r="AB456" s="387"><f>AB455</f><v /></c><c r="AC456" s="382"><f>LEFT(AB456,2)</f><v /></c><c r="AD456" s="382"><f>RIGHT(AB456,6)</f><v /></c><c r="AE456" s="382"><f>+(AC456*60+AD456)/(60*60)</f><v /></c><c r="AF456" s="383"><f>+AA456/AE456</f><v /></c><c r="AG456" s="321"><f>+(((Z456-Y456-AA456)/AA456)*100)</f><v /></c><c r="AH456" s="317"><f>AH455</f><v /></c><c r="AI456" s="378"><f>AI455</f><v /></c><c r="AJ456" s="378"><f>AJ455</f><v /></c><c r="AK456" s="379"><f>Z456</f><v /></c><c r="AL456" s="379" t="n"><v>215.8</v></c><c r="AM456" s="388"><f>AM455</f><v /></c><c r="AN456" s="381"><f>AN455</f><v /></c><c r="AO456" s="382"><f>LEFT(AN456,2)</f><v /></c><c r="AP456" s="382"><f>RIGHT(AN456,6)</f><v /></c><c r="AQ456" s="382"><f>+(AO456*60+AP456)/(60*60)</f><v /></c><c r="AR456" s="383"><f>+AM456/AQ456</f><v /></c><c r="AS456" s="321"><f>+(((AL456-AK456-AM456)/AM456)*100)</f><v /></c><c r="AT456" s="389"><f>IF(I456&gt;=1,"NO CONFORME",IF(BK456="SIGDIFERENTES",BC456,BL456))</f><v /></c><c r="AU456" s="372"><f>B456=C456</f><v /></c><c r="AV456" s="372"><f>N456&lt;Y456</f><v /></c><c r="AW456" s="372"><f>Z456&lt;=AK456</f><v /></c><c r="AX456" s="372"><f>IF(I456&gt;=1,"Qcorrecto",IF(AND(AY456="aceptable",AZ456="aceptable",BA456="aceptable"),"Qcorrecto","Qincorrecto"))</f><v /></c><c r="AY456" s="390"><f>IF(AR456&lt;$AH$6,"error",IF(AR456&gt;$AH$6*1.1,"error","aceptable"))</f><v /></c><c r="AZ456" s="390"><f>IF(AF456&lt;$V$6,"error",IF(AF456&gt;$V$6*1.1,"error","aceptable"))</f><v /></c><c r="BA456" s="390"><f>IF(T456&lt;$J$6*0.9,"error",IF(T456&gt;$J$6,"error","aceptable"))</f><v /></c><c r="BB456" s="25"><f>(IF(ABS(U456)&lt;1.05,"CONFORME",IF(ABS(AG456)&lt;1.05,"CONFORME",IF(ABS(AS456)&lt;2.55,"CONFORME","NO CONFORME"))))</f><v /></c><c r="BC456" s="5"><f>(IF(ABS(U456)&gt;2.05,"NO CONFORME",IF(ABS(AG456)&gt;2.05,"NO CONFORME",IF(ABS(AS456)&gt;5.05,"NO CONFORME","CONFORME"))))</f><v /></c><c r="BD456" s="374"><f>SIGN(U456)</f><v /></c><c r="BE456" s="374"><f>SIGN(AG456)</f><v /></c><c r="BF456" s="374"><f>SIGN(AS456)</f><v /></c><c r="BG456" s="374"><f>CONCATENATE(BD456,BE456,BF456)</f><v /></c><c r="BH456" s="374"><f>IF(BG456="111","SI","SD")</f><v /></c><c r="BI456" s="374"><f>IF(BG456="-1-1-1","SI","SD")</f><v /></c><c r="BJ456" s="374"><f>OR(BH456="SI",BI456="SI")</f><v /></c><c r="BK456" s="374"><f>IF(BJ456=FALSE,"SIGDIFERENTES","SIGIGUALES")</f><v /></c><c r="BL456" s="390"><f>IF(BC456="NO CONFORME","NO CONFORME",IF(BB456="CONFORME","CONFORME","NO CONFORME"))</f><v /></c></row><row r="457" ht="15" customHeight="1" thickBot="1"><c r="A457" s="443" t="n"><v>449</v></c><c r="B457" s="375"><f>B456</f><v /></c><c r="C457" s="375"><f>C456</f><v /></c><c r="D457" s="376"><f>D456</f><v /></c><c r="E457" s="377"><f>E456</f><v /></c><c r="F457" s="13" t="n" /><c r="G457" s="300" t="inlineStr"><is><t>PA25517285</t></is></c><c r="H457" s="313"><f>H456</f><v /></c><c r="I457" s="38"><f>I456</f><v /></c><c r="J457" s="314"><f>J456</f><v /></c><c r="K457" s="378"><f>K456</f><v /></c><c r="L457" s="378"><f>L456</f><v /></c><c r="M457" s="379" t="n"><v>94.94</v></c><c r="N457" s="379" t="n"><v>195.2</v></c><c r="O457" s="380"><f>O456</f><v /></c><c r="P457" s="381"><f>P456</f><v /></c><c r="Q457" s="382"><f>LEFT(P457,1)</f><v /></c><c r="R457" s="382"><f>RIGHT(P457,6)</f><v /></c><c r="S457" s="382"><f>+(Q457*60+R457)/(60*60)</f><v /></c><c r="T457" s="383"><f>+O457/S457</f><v /></c><c r="U457" s="384"><f>+(((N457-M457-O457)/O457)*100)</f><v /></c><c r="V457" s="317"><f>V456</f><v /></c><c r="W457" s="378"><f>W456</f><v /></c><c r="X457" s="378"><f>X456</f><v /></c><c r="Y457" s="379" t="n"><v>203.29</v></c><c r="Z457" s="379" t="n"><v>213.35</v></c><c r="AA457" s="386"><f>AA456</f><v /></c><c r="AB457" s="387"><f>AB456</f><v /></c><c r="AC457" s="382"><f>LEFT(AB457,2)</f><v /></c><c r="AD457" s="382"><f>RIGHT(AB457,6)</f><v /></c><c r="AE457" s="382"><f>+(AC457*60+AD457)/(60*60)</f><v /></c><c r="AF457" s="383"><f>+AA457/AE457</f><v /></c><c r="AG457" s="321"><f>+(((Z457-Y457-AA457)/AA457)*100)</f><v /></c><c r="AH457" s="317"><f>AH456</f><v /></c><c r="AI457" s="378"><f>AI456</f><v /></c><c r="AJ457" s="378"><f>AJ456</f><v /></c><c r="AK457" s="379"><f>Z457</f><v /></c><c r="AL457" s="379" t="n"><v>218.42</v></c><c r="AM457" s="388"><f>AM456</f><v /></c><c r="AN457" s="381"><f>AN456</f><v /></c><c r="AO457" s="382"><f>LEFT(AN457,2)</f><v /></c><c r="AP457" s="382"><f>RIGHT(AN457,6)</f><v /></c><c r="AQ457" s="382"><f>+(AO457*60+AP457)/(60*60)</f><v /></c><c r="AR457" s="383"><f>+AM457/AQ457</f><v /></c><c r="AS457" s="321"><f>+(((AL457-AK457-AM457)/AM457)*100)</f><v /></c><c r="AT457" s="389"><f>IF(I457&gt;=1,"NO CONFORME",IF(BK457="SIGDIFERENTES",BC457,BL457))</f><v /></c><c r="AU457" s="372"><f>B457=C457</f><v /></c><c r="AV457" s="372"><f>N457&lt;Y457</f><v /></c><c r="AW457" s="372"><f>Z457&lt;=AK457</f><v /></c><c r="AX457" s="372"><f>IF(I457&gt;=1,"Qcorrecto",IF(AND(AY457="aceptable",AZ457="aceptable",BA457="aceptable"),"Qcorrecto","Qincorrecto"))</f><v /></c><c r="AY457" s="390"><f>IF(AR457&lt;$AH$6,"error",IF(AR457&gt;$AH$6*1.1,"error","aceptable"))</f><v /></c><c r="AZ457" s="390"><f>IF(AF457&lt;$V$6,"error",IF(AF457&gt;$V$6*1.1,"error","aceptable"))</f><v /></c><c r="BA457" s="390"><f>IF(T457&lt;$J$6*0.9,"error",IF(T457&gt;$J$6,"error","aceptable"))</f><v /></c><c r="BB457" s="25"><f>(IF(ABS(U457)&lt;1.05,"CONFORME",IF(ABS(AG457)&lt;1.05,"CONFORME",IF(ABS(AS457)&lt;2.55,"CONFORME","NO CONFORME"))))</f><v /></c><c r="BC457" s="5"><f>(IF(ABS(U457)&gt;2.05,"NO CONFORME",IF(ABS(AG457)&gt;2.05,"NO CONFORME",IF(ABS(AS457)&gt;5.05,"NO CONFORME","CONFORME"))))</f><v /></c><c r="BD457" s="374"><f>SIGN(U457)</f><v /></c><c r="BE457" s="374"><f>SIGN(AG457)</f><v /></c><c r="BF457" s="374"><f>SIGN(AS457)</f><v /></c><c r="BG457" s="374"><f>CONCATENATE(BD457,BE457,BF457)</f><v /></c><c r="BH457" s="374"><f>IF(BG457="111","SI","SD")</f><v /></c><c r="BI457" s="374"><f>IF(BG457="-1-1-1","SI","SD")</f><v /></c><c r="BJ457" s="374"><f>OR(BH457="SI",BI457="SI")</f><v /></c><c r="BK457" s="374"><f>IF(BJ457=FALSE,"SIGDIFERENTES","SIGIGUALES")</f><v /></c><c r="BL457" s="390"><f>IF(BC457="NO CONFORME","NO CONFORME",IF(BB457="CONFORME","CONFORME","NO CONFORME"))</f><v /></c></row><row r="458" ht="15.75" customHeight="1" thickBot="1"><c r="A458" s="443" t="n"><v>450</v></c><c r="B458" s="375"><f>B457</f><v /></c><c r="C458" s="375"><f>C457</f><v /></c><c r="D458" s="376"><f>D457</f><v /></c><c r="E458" s="377"><f>E457</f><v /></c><c r="F458" s="13" t="n" /><c r="G458" s="300" t="inlineStr"><is><t>PA25517286</t></is></c><c r="H458" s="313"><f>H457</f><v /></c><c r="I458" s="38"><f>I457</f><v /></c><c r="J458" s="314"><f>J457</f><v /></c><c r="K458" s="378"><f>K457</f><v /></c><c r="L458" s="378"><f>L457</f><v /></c><c r="M458" s="379" t="n"><v>95.83</v></c><c r="N458" s="379" t="n"><v>195.82</v></c><c r="O458" s="380"><f>O457</f><v /></c><c r="P458" s="381"><f>P457</f><v /></c><c r="Q458" s="382"><f>LEFT(P458,1)</f><v /></c><c r="R458" s="382"><f>RIGHT(P458,6)</f><v /></c><c r="S458" s="382"><f>+(Q458*60+R458)/(60*60)</f><v /></c><c r="T458" s="383"><f>+O458/S458</f><v /></c><c r="U458" s="384"><f>+(((N458-M458-O458)/O458)*100)</f><v /></c><c r="V458" s="317"><f>V457</f><v /></c><c r="W458" s="378"><f>W457</f><v /></c><c r="X458" s="378"><f>X457</f><v /></c><c r="Y458" s="379" t="n"><v>203.86</v></c><c r="Z458" s="379" t="n"><v>213.89</v></c><c r="AA458" s="386"><f>AA457</f><v /></c><c r="AB458" s="387"><f>AB457</f><v /></c><c r="AC458" s="382"><f>LEFT(AB458,2)</f><v /></c><c r="AD458" s="382"><f>RIGHT(AB458,6)</f><v /></c><c r="AE458" s="382"><f>+(AC458*60+AD458)/(60*60)</f><v /></c><c r="AF458" s="383"><f>+AA458/AE458</f><v /></c><c r="AG458" s="321"><f>+(((Z458-Y458-AA458)/AA458)*100)</f><v /></c><c r="AH458" s="317"><f>AH457</f><v /></c><c r="AI458" s="378"><f>AI457</f><v /></c><c r="AJ458" s="378"><f>AJ457</f><v /></c><c r="AK458" s="379"><f>Z458</f><v /></c><c r="AL458" s="379" t="n"><v>219.02</v></c><c r="AM458" s="388"><f>AM457</f><v /></c><c r="AN458" s="381"><f>AN457</f><v /></c><c r="AO458" s="382"><f>LEFT(AN458,2)</f><v /></c><c r="AP458" s="382"><f>RIGHT(AN458,6)</f><v /></c><c r="AQ458" s="382"><f>+(AO458*60+AP458)/(60*60)</f><v /></c><c r="AR458" s="383"><f>+AM458/AQ458</f><v /></c><c r="AS458" s="321"><f>+(((AL458-AK458-AM458)/AM458)*100)</f><v /></c><c r="AT458" s="389"><f>IF(I458&gt;=1,"NO CONFORME",IF(BK458="SIGDIFERENTES",BC458,BL458))</f><v /></c><c r="AU458" s="372"><f>B458=C458</f><v /></c><c r="AV458" s="372"><f>N458&lt;Y458</f><v /></c><c r="AW458" s="372"><f>Z458&lt;=AK458</f><v /></c><c r="AX458" s="372"><f>IF(I458&gt;=1,"Qcorrecto",IF(AND(AY458="aceptable",AZ458="aceptable",BA458="aceptable"),"Qcorrecto","Qincorrecto"))</f><v /></c><c r="AY458" s="390"><f>IF(AR458&lt;$AH$6,"error",IF(AR458&gt;$AH$6*1.1,"error","aceptable"))</f><v /></c><c r="AZ458" s="390"><f>IF(AF458&lt;$V$6,"error",IF(AF458&gt;$V$6*1.1,"error","aceptable"))</f><v /></c><c r="BA458" s="390"><f>IF(T458&lt;$J$6*0.9,"error",IF(T458&gt;$J$6,"error","aceptable"))</f><v /></c><c r="BB458" s="25"><f>(IF(ABS(U458)&lt;1.05,"CONFORME",IF(ABS(AG458)&lt;1.05,"CONFORME",IF(ABS(AS458)&lt;2.55,"CONFORME","NO CONFORME"))))</f><v /></c><c r="BC458" s="5"><f>(IF(ABS(U458)&gt;2.05,"NO CONFORME",IF(ABS(AG458)&gt;2.05,"NO CONFORME",IF(ABS(AS458)&gt;5.05,"NO CONFORME","CONFORME"))))</f><v /></c><c r="BD458" s="374"><f>SIGN(U458)</f><v /></c><c r="BE458" s="374"><f>SIGN(AG458)</f><v /></c><c r="BF458" s="374"><f>SIGN(AS458)</f><v /></c><c r="BG458" s="374"><f>CONCATENATE(BD458,BE458,BF458)</f><v /></c><c r="BH458" s="374"><f>IF(BG458="111","SI","SD")</f><v /></c><c r="BI458" s="374"><f>IF(BG458="-1-1-1","SI","SD")</f><v /></c><c r="BJ458" s="374"><f>OR(BH458="SI",BI458="SI")</f><v /></c><c r="BK458" s="374"><f>IF(BJ458=FALSE,"SIGDIFERENTES","SIGIGUALES")</f><v /></c><c r="BL458" s="390"><f>IF(BC458="NO CONFORME","NO CONFORME",IF(BB458="CONFORME","CONFORME","NO CONFORME"))</f><v /></c></row><row r="459" ht="15" customHeight="1" thickBot="1"><c r="A459" s="443" t="n"><v>451</v></c><c r="B459" s="375"><f>B458</f><v /></c><c r="C459" s="375"><f>C458</f><v /></c><c r="D459" s="376"><f>D458</f><v /></c><c r="E459" s="377"><f>E458</f><v /></c><c r="F459" s="13" t="n" /><c r="G459" s="300" t="inlineStr"><is><t>PA25517287</t></is></c><c r="H459" s="313"><f>H458</f><v /></c><c r="I459" s="38"><f>I458</f><v /></c><c r="J459" s="314"><f>J458</f><v /></c><c r="K459" s="378"><f>K458</f><v /></c><c r="L459" s="378"><f>L458</f><v /></c><c r="M459" s="379" t="n"><v>92.5</v></c><c r="N459" s="379" t="n"><v>192.14</v></c><c r="O459" s="380"><f>O458</f><v /></c><c r="P459" s="381"><f>P458</f><v /></c><c r="Q459" s="382"><f>LEFT(P459,1)</f><v /></c><c r="R459" s="382"><f>RIGHT(P459,6)</f><v /></c><c r="S459" s="382"><f>+(Q459*60+R459)/(60*60)</f><v /></c><c r="T459" s="383"><f>+O459/S459</f><v /></c><c r="U459" s="384"><f>+(((N459-M459-O459)/O459)*100)</f><v /></c><c r="V459" s="317"><f>V458</f><v /></c><c r="W459" s="378"><f>W458</f><v /></c><c r="X459" s="378"><f>X458</f><v /></c><c r="Y459" s="379" t="n"><v>200.18</v></c><c r="Z459" s="379" t="n"><v>210.25</v></c><c r="AA459" s="386"><f>AA458</f><v /></c><c r="AB459" s="387"><f>AB458</f><v /></c><c r="AC459" s="382"><f>LEFT(AB459,2)</f><v /></c><c r="AD459" s="382"><f>RIGHT(AB459,6)</f><v /></c><c r="AE459" s="382"><f>+(AC459*60+AD459)/(60*60)</f><v /></c><c r="AF459" s="383"><f>+AA459/AE459</f><v /></c><c r="AG459" s="321"><f>+(((Z459-Y459-AA459)/AA459)*100)</f><v /></c><c r="AH459" s="317"><f>AH458</f><v /></c><c r="AI459" s="378"><f>AI458</f><v /></c><c r="AJ459" s="378"><f>AJ458</f><v /></c><c r="AK459" s="379"><f>Z459</f><v /></c><c r="AL459" s="379" t="n"><v>215.38</v></c><c r="AM459" s="388"><f>AM458</f><v /></c><c r="AN459" s="381"><f>AN458</f><v /></c><c r="AO459" s="382"><f>LEFT(AN459,2)</f><v /></c><c r="AP459" s="382"><f>RIGHT(AN459,6)</f><v /></c><c r="AQ459" s="382"><f>+(AO459*60+AP459)/(60*60)</f><v /></c><c r="AR459" s="383"><f>+AM459/AQ459</f><v /></c><c r="AS459" s="321"><f>+(((AL459-AK459-AM459)/AM459)*100)</f><v /></c><c r="AT459" s="389"><f>IF(I459&gt;=1,"NO CONFORME",IF(BK459="SIGDIFERENTES",BC459,BL459))</f><v /></c><c r="AU459" s="372"><f>B459=C459</f><v /></c><c r="AV459" s="372"><f>N459&lt;Y459</f><v /></c><c r="AW459" s="372"><f>Z459&lt;=AK459</f><v /></c><c r="AX459" s="372"><f>IF(I459&gt;=1,"Qcorrecto",IF(AND(AY459="aceptable",AZ459="aceptable",BA459="aceptable"),"Qcorrecto","Qincorrecto"))</f><v /></c><c r="AY459" s="390"><f>IF(AR459&lt;$AH$6,"error",IF(AR459&gt;$AH$6*1.1,"error","aceptable"))</f><v /></c><c r="AZ459" s="390"><f>IF(AF459&lt;$V$6,"error",IF(AF459&gt;$V$6*1.1,"error","aceptable"))</f><v /></c><c r="BA459" s="390"><f>IF(T459&lt;$J$6*0.9,"error",IF(T459&gt;$J$6,"error","aceptable"))</f><v /></c><c r="BB459" s="25"><f>(IF(ABS(U459)&lt;1.05,"CONFORME",IF(ABS(AG459)&lt;1.05,"CONFORME",IF(ABS(AS459)&lt;2.55,"CONFORME","NO CONFORME"))))</f><v /></c><c r="BC459" s="5"><f>(IF(ABS(U459)&gt;2.05,"NO CONFORME",IF(ABS(AG459)&gt;2.05,"NO CONFORME",IF(ABS(AS459)&gt;5.05,"NO CONFORME","CONFORME"))))</f><v /></c><c r="BD459" s="374"><f>SIGN(U459)</f><v /></c><c r="BE459" s="374"><f>SIGN(AG459)</f><v /></c><c r="BF459" s="374"><f>SIGN(AS459)</f><v /></c><c r="BG459" s="374"><f>CONCATENATE(BD459,BE459,BF459)</f><v /></c><c r="BH459" s="374"><f>IF(BG459="111","SI","SD")</f><v /></c><c r="BI459" s="374"><f>IF(BG459="-1-1-1","SI","SD")</f><v /></c><c r="BJ459" s="374"><f>OR(BH459="SI",BI459="SI")</f><v /></c><c r="BK459" s="374"><f>IF(BJ459=FALSE,"SIGDIFERENTES","SIGIGUALES")</f><v /></c><c r="BL459" s="390"><f>IF(BC459="NO CONFORME","NO CONFORME",IF(BB459="CONFORME","CONFORME","NO CONFORME"))</f><v /></c></row><row r="460" ht="15" customHeight="1" thickBot="1"><c r="A460" s="443" t="n"><v>452</v></c><c r="B460" s="375"><f>B459</f><v /></c><c r="C460" s="375"><f>C459</f><v /></c><c r="D460" s="376"><f>D459</f><v /></c><c r="E460" s="377"><f>E459</f><v /></c><c r="F460" s="13" t="n" /><c r="G460" s="300" t="inlineStr"><is><t>PA25517288</t></is></c><c r="H460" s="313"><f>H459</f><v /></c><c r="I460" s="38"><f>I459</f><v /></c><c r="J460" s="314"><f>J459</f><v /></c><c r="K460" s="378"><f>K459</f><v /></c><c r="L460" s="378"><f>L459</f><v /></c><c r="M460" s="379" t="n"><v>96.54000000000001</v></c><c r="N460" s="379" t="n"><v>196.69</v></c><c r="O460" s="380"><f>O459</f><v /></c><c r="P460" s="381"><f>P459</f><v /></c><c r="Q460" s="382"><f>LEFT(P460,1)</f><v /></c><c r="R460" s="382"><f>RIGHT(P460,6)</f><v /></c><c r="S460" s="382"><f>+(Q460*60+R460)/(60*60)</f><v /></c><c r="T460" s="383"><f>+O460/S460</f><v /></c><c r="U460" s="384"><f>+(((N460-M460-O460)/O460)*100)</f><v /></c><c r="V460" s="317"><f>V459</f><v /></c><c r="W460" s="378"><f>W459</f><v /></c><c r="X460" s="378"><f>X459</f><v /></c><c r="Y460" s="379" t="n"><v>204.75</v></c><c r="Z460" s="379" t="n"><v>214.78</v></c><c r="AA460" s="386"><f>AA459</f><v /></c><c r="AB460" s="387"><f>AB459</f><v /></c><c r="AC460" s="382"><f>LEFT(AB460,2)</f><v /></c><c r="AD460" s="382"><f>RIGHT(AB460,6)</f><v /></c><c r="AE460" s="382"><f>+(AC460*60+AD460)/(60*60)</f><v /></c><c r="AF460" s="383"><f>+AA460/AE460</f><v /></c><c r="AG460" s="321"><f>+(((Z460-Y460-AA460)/AA460)*100)</f><v /></c><c r="AH460" s="317"><f>AH459</f><v /></c><c r="AI460" s="378"><f>AI459</f><v /></c><c r="AJ460" s="378"><f>AJ459</f><v /></c><c r="AK460" s="379"><f>Z460</f><v /></c><c r="AL460" s="379" t="n"><v>219.82</v></c><c r="AM460" s="388"><f>AM459</f><v /></c><c r="AN460" s="381"><f>AN459</f><v /></c><c r="AO460" s="382"><f>LEFT(AN460,2)</f><v /></c><c r="AP460" s="382"><f>RIGHT(AN460,6)</f><v /></c><c r="AQ460" s="382"><f>+(AO460*60+AP460)/(60*60)</f><v /></c><c r="AR460" s="383"><f>+AM460/AQ460</f><v /></c><c r="AS460" s="321"><f>+(((AL460-AK460-AM460)/AM460)*100)</f><v /></c><c r="AT460" s="389"><f>IF(I460&gt;=1,"NO CONFORME",IF(BK460="SIGDIFERENTES",BC460,BL460))</f><v /></c><c r="AU460" s="372"><f>B460=C460</f><v /></c><c r="AV460" s="372"><f>N460&lt;Y460</f><v /></c><c r="AW460" s="372"><f>Z460&lt;=AK460</f><v /></c><c r="AX460" s="372"><f>IF(I460&gt;=1,"Qcorrecto",IF(AND(AY460="aceptable",AZ460="aceptable",BA460="aceptable"),"Qcorrecto","Qincorrecto"))</f><v /></c><c r="AY460" s="390"><f>IF(AR460&lt;$AH$6,"error",IF(AR460&gt;$AH$6*1.1,"error","aceptable"))</f><v /></c><c r="AZ460" s="390"><f>IF(AF460&lt;$V$6,"error",IF(AF460&gt;$V$6*1.1,"error","aceptable"))</f><v /></c><c r="BA460" s="390"><f>IF(T460&lt;$J$6*0.9,"error",IF(T460&gt;$J$6,"error","aceptable"))</f><v /></c><c r="BB460" s="25"><f>(IF(ABS(U460)&lt;1.05,"CONFORME",IF(ABS(AG460)&lt;1.05,"CONFORME",IF(ABS(AS460)&lt;2.55,"CONFORME","NO CONFORME"))))</f><v /></c><c r="BC460" s="5"><f>(IF(ABS(U460)&gt;2.05,"NO CONFORME",IF(ABS(AG460)&gt;2.05,"NO CONFORME",IF(ABS(AS460)&gt;5.05,"NO CONFORME","CONFORME"))))</f><v /></c><c r="BD460" s="374"><f>SIGN(U460)</f><v /></c><c r="BE460" s="374"><f>SIGN(AG460)</f><v /></c><c r="BF460" s="374"><f>SIGN(AS460)</f><v /></c><c r="BG460" s="374"><f>CONCATENATE(BD460,BE460,BF460)</f><v /></c><c r="BH460" s="374"><f>IF(BG460="111","SI","SD")</f><v /></c><c r="BI460" s="374"><f>IF(BG460="-1-1-1","SI","SD")</f><v /></c><c r="BJ460" s="374"><f>OR(BH460="SI",BI460="SI")</f><v /></c><c r="BK460" s="374"><f>IF(BJ460=FALSE,"SIGDIFERENTES","SIGIGUALES")</f><v /></c><c r="BL460" s="390"><f>IF(BC460="NO CONFORME","NO CONFORME",IF(BB460="CONFORME","CONFORME","NO CONFORME"))</f><v /></c></row><row r="461" ht="15" customHeight="1" thickBot="1"><c r="A461" s="445" t="n"><v>453</v></c><c r="B461" s="392"><f>B460</f><v /></c><c r="C461" s="392"><f>C460</f><v /></c><c r="D461" s="393"><f>D460</f><v /></c><c r="E461" s="394"><f>E460</f><v /></c><c r="F461" s="52" t="n" /><c r="G461" s="337" t="inlineStr"><is><t>PA25517289</t></is></c><c r="H461" s="326"><f>H460</f><v /></c><c r="I461" s="98"><f>I460</f><v /></c><c r="J461" s="327"><f>J460</f><v /></c><c r="K461" s="396"><f>K460</f><v /></c><c r="L461" s="396"><f>L460</f><v /></c><c r="M461" s="397" t="n"><v>96.23</v></c><c r="N461" s="397" t="n"><v>196.32</v></c><c r="O461" s="398"><f>O460</f><v /></c><c r="P461" s="399"><f>P460</f><v /></c><c r="Q461" s="400"><f>LEFT(P461,1)</f><v /></c><c r="R461" s="400"><f>RIGHT(P461,6)</f><v /></c><c r="S461" s="400"><f>+(Q461*60+R461)/(60*60)</f><v /></c><c r="T461" s="401"><f>+O461/S461</f><v /></c><c r="U461" s="402"><f>+(((N461-M461-O461)/O461)*100)</f><v /></c><c r="V461" s="329"><f>V460</f><v /></c><c r="W461" s="396"><f>W460</f><v /></c><c r="X461" s="396"><f>X460</f><v /></c><c r="Y461" s="397" t="n"><v>204.39</v></c><c r="Z461" s="397" t="n"><v>214.49</v></c><c r="AA461" s="404"><f>AA460</f><v /></c><c r="AB461" s="405"><f>AB460</f><v /></c><c r="AC461" s="400"><f>LEFT(AB461,2)</f><v /></c><c r="AD461" s="400"><f>RIGHT(AB461,6)</f><v /></c><c r="AE461" s="400"><f>+(AC461*60+AD461)/(60*60)</f><v /></c><c r="AF461" s="401"><f>+AA461/AE461</f><v /></c><c r="AG461" s="406"><f>+(((Z461-Y461-AA461)/AA461)*100)</f><v /></c><c r="AH461" s="329"><f>AH460</f><v /></c><c r="AI461" s="396"><f>AI460</f><v /></c><c r="AJ461" s="396"><f>AJ460</f><v /></c><c r="AK461" s="397"><f>Z461</f><v /></c><c r="AL461" s="397" t="n"><v>219.63</v></c><c r="AM461" s="407"><f>AM460</f><v /></c><c r="AN461" s="399"><f>AN460</f><v /></c><c r="AO461" s="400"><f>LEFT(AN461,2)</f><v /></c><c r="AP461" s="400"><f>RIGHT(AN461,6)</f><v /></c><c r="AQ461" s="400"><f>+(AO461*60+AP461)/(60*60)</f><v /></c><c r="AR461" s="401"><f>+AM461/AQ461</f><v /></c><c r="AS461" s="406"><f>+(((AL461-AK461-AM461)/AM461)*100)</f><v /></c><c r="AT461" s="408"><f>IF(I461&gt;=1,"NO CONFORME",IF(BK461="SIGDIFERENTES",BC461,BL461))</f><v /></c><c r="AU461" s="409"><f>B461=C461</f><v /></c><c r="AV461" s="409"><f>N461&lt;Y461</f><v /></c><c r="AW461" s="409"><f>Z461&lt;=AK461</f><v /></c><c r="AX461" s="409"><f>IF(I461&gt;=1,"Qcorrecto",IF(AND(AY461="aceptable",AZ461="aceptable",BA461="aceptable"),"Qcorrecto","Qincorrecto"))</f><v /></c><c r="AY461" s="410"><f>IF(AR461&lt;$AH$6,"error",IF(AR461&gt;$AH$6*1.1,"error","aceptable"))</f><v /></c><c r="AZ461" s="410"><f>IF(AF461&lt;$V$6,"error",IF(AF461&gt;$V$6*1.1,"error","aceptable"))</f><v /></c><c r="BA461" s="410"><f>IF(T461&lt;$J$6*0.9,"error",IF(T461&gt;$J$6,"error","aceptable"))</f><v /></c><c r="BB461" s="411"><f>(IF(ABS(U461)&lt;1.05,"CONFORME",IF(ABS(AG461)&lt;1.05,"CONFORME",IF(ABS(AS461)&lt;2.55,"CONFORME","NO CONFORME"))))</f><v /></c><c r="BC461" s="412"><f>(IF(ABS(U461)&gt;2.05,"NO CONFORME",IF(ABS(AG461)&gt;2.05,"NO CONFORME",IF(ABS(AS461)&gt;5.05,"NO CONFORME","CONFORME"))))</f><v /></c><c r="BD461" s="413"><f>SIGN(U461)</f><v /></c><c r="BE461" s="413"><f>SIGN(AG461)</f><v /></c><c r="BF461" s="413"><f>SIGN(AS461)</f><v /></c><c r="BG461" s="413"><f>CONCATENATE(BD461,BE461,BF461)</f><v /></c><c r="BH461" s="413"><f>IF(BG461="111","SI","SD")</f><v /></c><c r="BI461" s="413"><f>IF(BG461="-1-1-1","SI","SD")</f><v /></c><c r="BJ461" s="413"><f>OR(BH461="SI",BI461="SI")</f><v /></c><c r="BK461" s="413"><f>IF(BJ461=FALSE,"SIGDIFERENTES","SIGIGUALES")</f><v /></c><c r="BL461" s="410"><f>IF(BC461="NO CONFORME","NO CONFORME",IF(BB461="CONFORME","CONFORME","NO CONFORME"))</f><v /></c></row><row r="462" ht="15" customHeight="1" thickBot="1"><c r="A462" s="351" t="n"><v>454</v></c><c r="B462" s="352"><f>B461</f><v /></c><c r="C462" s="352"><f>C461</f><v /></c><c r="D462" s="353"><f>D461</f><v /></c><c r="E462" s="354"><f>E461</f><v /></c><c r="F462" s="58" t="n" /><c r="G462" s="300" t="inlineStr"><is><t>PA25517290</t></is></c><c r="H462" s="356"><f>H461</f><v /></c><c r="I462" s="232"><f>I461</f><v /></c><c r="J462" s="357" t="n"><v>21</v></c><c r="K462" s="358" t="n"><v>8.314</v></c><c r="L462" s="358" t="n"><v>0.553</v></c><c r="M462" s="359" t="n"><v>165.58</v></c><c r="N462" s="359" t="n"><v>265.96</v></c><c r="O462" s="360" t="n"><v>100.5</v></c><c r="P462" s="361" t="inlineStr"><is><t>2,30,400</t></is></c><c r="Q462" s="362"><f>LEFT(P462,1)</f><v /></c><c r="R462" s="362"><f>RIGHT(P462,6)</f><v /></c><c r="S462" s="362"><f>+(Q462*60+R462)/(60*60)</f><v /></c><c r="T462" s="363"><f>+O462/S462</f><v /></c><c r="U462" s="364"><f>+(((N462-M462-O462)/O462)*100)</f><v /></c><c r="V462" s="365" t="n"><v>21.1</v></c><c r="W462" s="358" t="n"><v>1.403</v></c><c r="X462" s="358" t="n"><v>1.405</v></c><c r="Y462" s="359" t="n"><v>275.63</v></c><c r="Z462" s="359" t="n"><v>285.72</v></c><c r="AA462" s="367" t="n"><v>10.032</v></c><c r="AB462" s="368" t="inlineStr"><is><t>22,47,990</t></is></c><c r="AC462" s="362"><f>LEFT(AB462,2)</f><v /></c><c r="AD462" s="362"><f>RIGHT(AB462,6)</f><v /></c><c r="AE462" s="362"><f>+(AC462*60+AD462)/(60*60)</f><v /></c><c r="AF462" s="363"><f>+AA462/AE462</f><v /></c><c r="AG462" s="369"><f>+(((Z462-Y462-AA462)/AA462)*100)</f><v /></c><c r="AH462" s="365" t="n"><v>21</v></c><c r="AI462" s="358" t="n"><v>1.399</v></c><c r="AJ462" s="358" t="n"><v>1.401</v></c><c r="AK462" s="359"><f>Z462</f><v /></c><c r="AL462" s="359" t="n"><v>290.84</v></c><c r="AM462" s="370" t="n"><v>5.032</v></c><c r="AN462" s="361" t="inlineStr"><is><t>18,06,970</t></is></c><c r="AO462" s="362"><f>LEFT(AN462,2)</f><v /></c><c r="AP462" s="362"><f>RIGHT(AN462,6)</f><v /></c><c r="AQ462" s="362"><f>+(AO462*60+AP462)/(60*60)</f><v /></c><c r="AR462" s="363"><f>+AM462/AQ462</f><v /></c><c r="AS462" s="369"><f>+(((AL462-AK462-AM462)/AM462)*100)</f><v /></c><c r="AT462" s="371"><f>IF(I462&gt;=1,"NO CONFORME",IF(BK462="SIGDIFERENTES",BC462,BL462))</f><v /></c><c r="AU462" s="372"><f>B462=C462</f><v /></c><c r="AV462" s="372"><f>N462&lt;Y462</f><v /></c><c r="AW462" s="372"><f>Z462&lt;=AK462</f><v /></c><c r="AX462" s="372"><f>IF(I462&gt;=1,"Qcorrecto",IF(AND(AY462="aceptable",AZ462="aceptable",BA462="aceptable"),"Qcorrecto","Qincorrecto"))</f><v /></c><c r="AY462" s="373"><f>IF(AR462&lt;$AH$6,"error",IF(AR462&gt;$AH$6*1.1,"error","aceptable"))</f><v /></c><c r="AZ462" s="373"><f>IF(AF462&lt;$V$6,"error",IF(AF462&gt;$V$6*1.1,"error","aceptable"))</f><v /></c><c r="BA462" s="373"><f>IF(T462&lt;$J$6*0.9,"error",IF(T462&gt;$J$6,"error","aceptable"))</f><v /></c><c r="BB462" s="25"><f>(IF(ABS(U462)&lt;1.05,"CONFORME",IF(ABS(AG462)&lt;1.05,"CONFORME",IF(ABS(AS462)&lt;2.55,"CONFORME","NO CONFORME"))))</f><v /></c><c r="BC462" s="5"><f>(IF(ABS(U462)&gt;2.05,"NO CONFORME",IF(ABS(AG462)&gt;2.05,"NO CONFORME",IF(ABS(AS462)&gt;5.05,"NO CONFORME","CONFORME"))))</f><v /></c><c r="BD462" s="374"><f>SIGN(U462)</f><v /></c><c r="BE462" s="374"><f>SIGN(AG462)</f><v /></c><c r="BF462" s="374"><f>SIGN(AS462)</f><v /></c><c r="BG462" s="374"><f>CONCATENATE(BD462,BE462,BF462)</f><v /></c><c r="BH462" s="374"><f>IF(BG462="111","SI","SD")</f><v /></c><c r="BI462" s="374"><f>IF(BG462="-1-1-1","SI","SD")</f><v /></c><c r="BJ462" s="374"><f>OR(BH462="SI",BI462="SI")</f><v /></c><c r="BK462" s="374"><f>IF(BJ462=FALSE,"SIGDIFERENTES","SIGIGUALES")</f><v /></c><c r="BL462" s="373"><f>IF(BC462="NO CONFORME","NO CONFORME",IF(BB462="CONFORME","CONFORME","NO CONFORME"))</f><v /></c></row><row r="463" ht="15" customHeight="1" thickBot="1"><c r="A463" s="443" t="n"><v>455</v></c><c r="B463" s="375"><f>B462</f><v /></c><c r="C463" s="375"><f>C462</f><v /></c><c r="D463" s="376"><f>D462</f><v /></c><c r="E463" s="377"><f>E462</f><v /></c><c r="F463" s="13" t="n" /><c r="G463" s="300" t="inlineStr"><is><t>PA25517291</t></is></c><c r="H463" s="313"><f>H462</f><v /></c><c r="I463" s="38"><f>I462</f><v /></c><c r="J463" s="314"><f>J462</f><v /></c><c r="K463" s="378"><f>K462</f><v /></c><c r="L463" s="378"><f>L462</f><v /></c><c r="M463" s="379" t="n"><v>163.7</v></c><c r="N463" s="379" t="n"><v>264.14</v></c><c r="O463" s="380"><f>O462</f><v /></c><c r="P463" s="381"><f>P462</f><v /></c><c r="Q463" s="382"><f>LEFT(P463,1)</f><v /></c><c r="R463" s="382"><f>RIGHT(P463,6)</f><v /></c><c r="S463" s="382"><f>+(Q463*60+R463)/(60*60)</f><v /></c><c r="T463" s="383"><f>+O463/S463</f><v /></c><c r="U463" s="384"><f>+(((N463-M463-O463)/O463)*100)</f><v /></c><c r="V463" s="317"><f>V462</f><v /></c><c r="W463" s="378"><f>W462</f><v /></c><c r="X463" s="378"><f>X462</f><v /></c><c r="Y463" s="379" t="n"><v>273.8</v></c><c r="Z463" s="379" t="n"><v>283.94</v></c><c r="AA463" s="386"><f>AA462</f><v /></c><c r="AB463" s="387"><f>AB462</f><v /></c><c r="AC463" s="382"><f>LEFT(AB463,2)</f><v /></c><c r="AD463" s="382"><f>RIGHT(AB463,6)</f><v /></c><c r="AE463" s="382"><f>+(AC463*60+AD463)/(60*60)</f><v /></c><c r="AF463" s="383"><f>+AA463/AE463</f><v /></c><c r="AG463" s="321"><f>+(((Z463-Y463-AA463)/AA463)*100)</f><v /></c><c r="AH463" s="317"><f>AH462</f><v /></c><c r="AI463" s="378"><f>AI462</f><v /></c><c r="AJ463" s="378"><f>AJ462</f><v /></c><c r="AK463" s="379"><f>Z463</f><v /></c><c r="AL463" s="379" t="n"><v>289.11</v></c><c r="AM463" s="388"><f>AM462</f><v /></c><c r="AN463" s="381"><f>AN462</f><v /></c><c r="AO463" s="382"><f>LEFT(AN463,2)</f><v /></c><c r="AP463" s="382"><f>RIGHT(AN463,6)</f><v /></c><c r="AQ463" s="382"><f>+(AO463*60+AP463)/(60*60)</f><v /></c><c r="AR463" s="383"><f>+AM463/AQ463</f><v /></c><c r="AS463" s="321"><f>+(((AL463-AK463-AM463)/AM463)*100)</f><v /></c><c r="AT463" s="389"><f>IF(I463&gt;=1,"NO CONFORME",IF(BK463="SIGDIFERENTES",BC463,BL463))</f><v /></c><c r="AU463" s="372"><f>B463=C463</f><v /></c><c r="AV463" s="372"><f>N463&lt;Y463</f><v /></c><c r="AW463" s="372"><f>Z463&lt;=AK463</f><v /></c><c r="AX463" s="372"><f>IF(I463&gt;=1,"Qcorrecto",IF(AND(AY463="aceptable",AZ463="aceptable",BA463="aceptable"),"Qcorrecto","Qincorrecto"))</f><v /></c><c r="AY463" s="390"><f>IF(AR463&lt;$AH$6,"error",IF(AR463&gt;$AH$6*1.1,"error","aceptable"))</f><v /></c><c r="AZ463" s="390"><f>IF(AF463&lt;$V$6,"error",IF(AF463&gt;$V$6*1.1,"error","aceptable"))</f><v /></c><c r="BA463" s="390"><f>IF(T463&lt;$J$6*0.9,"error",IF(T463&gt;$J$6,"error","aceptable"))</f><v /></c><c r="BB463" s="25"><f>(IF(ABS(U463)&lt;1.05,"CONFORME",IF(ABS(AG463)&lt;1.05,"CONFORME",IF(ABS(AS463)&lt;2.55,"CONFORME","NO CONFORME"))))</f><v /></c><c r="BC463" s="5"><f>(IF(ABS(U463)&gt;2.05,"NO CONFORME",IF(ABS(AG463)&gt;2.05,"NO CONFORME",IF(ABS(AS463)&gt;5.05,"NO CONFORME","CONFORME"))))</f><v /></c><c r="BD463" s="374"><f>SIGN(U463)</f><v /></c><c r="BE463" s="374"><f>SIGN(AG463)</f><v /></c><c r="BF463" s="374"><f>SIGN(AS463)</f><v /></c><c r="BG463" s="374"><f>CONCATENATE(BD463,BE463,BF463)</f><v /></c><c r="BH463" s="374"><f>IF(BG463="111","SI","SD")</f><v /></c><c r="BI463" s="374"><f>IF(BG463="-1-1-1","SI","SD")</f><v /></c><c r="BJ463" s="374"><f>OR(BH463="SI",BI463="SI")</f><v /></c><c r="BK463" s="374"><f>IF(BJ463=FALSE,"SIGDIFERENTES","SIGIGUALES")</f><v /></c><c r="BL463" s="390"><f>IF(BC463="NO CONFORME","NO CONFORME",IF(BB463="CONFORME","CONFORME","NO CONFORME"))</f><v /></c></row><row r="464" ht="15" customHeight="1" thickBot="1"><c r="A464" s="443" t="n"><v>456</v></c><c r="B464" s="375"><f>B463</f><v /></c><c r="C464" s="375"><f>C463</f><v /></c><c r="D464" s="376"><f>D463</f><v /></c><c r="E464" s="377"><f>E463</f><v /></c><c r="F464" s="13" t="n" /><c r="G464" s="300" t="inlineStr"><is><t>PA25517292</t></is></c><c r="H464" s="313"><f>H463</f><v /></c><c r="I464" s="38"><f>I463</f><v /></c><c r="J464" s="314"><f>J463</f><v /></c><c r="K464" s="378"><f>K463</f><v /></c><c r="L464" s="378"><f>L463</f><v /></c><c r="M464" s="379" t="n"><v>163.42</v></c><c r="N464" s="379" t="n"><v>264.27</v></c><c r="O464" s="380"><f>O463</f><v /></c><c r="P464" s="381"><f>P463</f><v /></c><c r="Q464" s="382"><f>LEFT(P464,1)</f><v /></c><c r="R464" s="382"><f>RIGHT(P464,6)</f><v /></c><c r="S464" s="382"><f>+(Q464*60+R464)/(60*60)</f><v /></c><c r="T464" s="383"><f>+O464/S464</f><v /></c><c r="U464" s="384"><f>+(((N464-M464-O464)/O464)*100)</f><v /></c><c r="V464" s="317"><f>V463</f><v /></c><c r="W464" s="378"><f>W463</f><v /></c><c r="X464" s="378"><f>X463</f><v /></c><c r="Y464" s="379" t="n"><v>273.96</v></c><c r="Z464" s="379" t="n"><v>284.09</v></c><c r="AA464" s="386"><f>AA463</f><v /></c><c r="AB464" s="387"><f>AB463</f><v /></c><c r="AC464" s="382"><f>LEFT(AB464,2)</f><v /></c><c r="AD464" s="382"><f>RIGHT(AB464,6)</f><v /></c><c r="AE464" s="382"><f>+(AC464*60+AD464)/(60*60)</f><v /></c><c r="AF464" s="383"><f>+AA464/AE464</f><v /></c><c r="AG464" s="321"><f>+(((Z464-Y464-AA464)/AA464)*100)</f><v /></c><c r="AH464" s="317"><f>AH463</f><v /></c><c r="AI464" s="378"><f>AI463</f><v /></c><c r="AJ464" s="378"><f>AJ463</f><v /></c><c r="AK464" s="379"><f>Z464</f><v /></c><c r="AL464" s="379" t="n"><v>289.16</v></c><c r="AM464" s="388"><f>AM463</f><v /></c><c r="AN464" s="381"><f>AN463</f><v /></c><c r="AO464" s="382"><f>LEFT(AN464,2)</f><v /></c><c r="AP464" s="382"><f>RIGHT(AN464,6)</f><v /></c><c r="AQ464" s="382"><f>+(AO464*60+AP464)/(60*60)</f><v /></c><c r="AR464" s="383"><f>+AM464/AQ464</f><v /></c><c r="AS464" s="321"><f>+(((AL464-AK464-AM464)/AM464)*100)</f><v /></c><c r="AT464" s="389"><f>IF(I464&gt;=1,"NO CONFORME",IF(BK464="SIGDIFERENTES",BC464,BL464))</f><v /></c><c r="AU464" s="372"><f>B464=C464</f><v /></c><c r="AV464" s="372"><f>N464&lt;Y464</f><v /></c><c r="AW464" s="372"><f>Z464&lt;=AK464</f><v /></c><c r="AX464" s="372"><f>IF(I464&gt;=1,"Qcorrecto",IF(AND(AY464="aceptable",AZ464="aceptable",BA464="aceptable"),"Qcorrecto","Qincorrecto"))</f><v /></c><c r="AY464" s="390"><f>IF(AR464&lt;$AH$6,"error",IF(AR464&gt;$AH$6*1.1,"error","aceptable"))</f><v /></c><c r="AZ464" s="390"><f>IF(AF464&lt;$V$6,"error",IF(AF464&gt;$V$6*1.1,"error","aceptable"))</f><v /></c><c r="BA464" s="390"><f>IF(T464&lt;$J$6*0.9,"error",IF(T464&gt;$J$6,"error","aceptable"))</f><v /></c><c r="BB464" s="25"><f>(IF(ABS(U464)&lt;1.05,"CONFORME",IF(ABS(AG464)&lt;1.05,"CONFORME",IF(ABS(AS464)&lt;2.55,"CONFORME","NO CONFORME"))))</f><v /></c><c r="BC464" s="5"><f>(IF(ABS(U464)&gt;2.05,"NO CONFORME",IF(ABS(AG464)&gt;2.05,"NO CONFORME",IF(ABS(AS464)&gt;5.05,"NO CONFORME","CONFORME"))))</f><v /></c><c r="BD464" s="374"><f>SIGN(U464)</f><v /></c><c r="BE464" s="374"><f>SIGN(AG464)</f><v /></c><c r="BF464" s="374"><f>SIGN(AS464)</f><v /></c><c r="BG464" s="374"><f>CONCATENATE(BD464,BE464,BF464)</f><v /></c><c r="BH464" s="374"><f>IF(BG464="111","SI","SD")</f><v /></c><c r="BI464" s="374"><f>IF(BG464="-1-1-1","SI","SD")</f><v /></c><c r="BJ464" s="374"><f>OR(BH464="SI",BI464="SI")</f><v /></c><c r="BK464" s="374"><f>IF(BJ464=FALSE,"SIGDIFERENTES","SIGIGUALES")</f><v /></c><c r="BL464" s="390"><f>IF(BC464="NO CONFORME","NO CONFORME",IF(BB464="CONFORME","CONFORME","NO CONFORME"))</f><v /></c></row><row r="465" ht="15.75" customHeight="1" thickBot="1"><c r="A465" s="443" t="n"><v>457</v></c><c r="B465" s="375"><f>B464</f><v /></c><c r="C465" s="375"><f>C464</f><v /></c><c r="D465" s="376"><f>D464</f><v /></c><c r="E465" s="377"><f>E464</f><v /></c><c r="F465" s="13" t="n" /><c r="G465" s="300" t="inlineStr"><is><t>PA25517293</t></is></c><c r="H465" s="313"><f>H464</f><v /></c><c r="I465" s="38"><f>I464</f><v /></c><c r="J465" s="314"><f>J464</f><v /></c><c r="K465" s="378"><f>K464</f><v /></c><c r="L465" s="378"><f>L464</f><v /></c><c r="M465" s="379" t="n"><v>164.47</v></c><c r="N465" s="379" t="n"><v>264.85</v></c><c r="O465" s="380"><f>O464</f><v /></c><c r="P465" s="381"><f>P464</f><v /></c><c r="Q465" s="382"><f>LEFT(P465,1)</f><v /></c><c r="R465" s="382"><f>RIGHT(P465,6)</f><v /></c><c r="S465" s="382"><f>+(Q465*60+R465)/(60*60)</f><v /></c><c r="T465" s="383"><f>+O465/S465</f><v /></c><c r="U465" s="384"><f>+(((N465-M465-O465)/O465)*100)</f><v /></c><c r="V465" s="317"><f>V464</f><v /></c><c r="W465" s="378"><f>W464</f><v /></c><c r="X465" s="378"><f>X464</f><v /></c><c r="Y465" s="379" t="n"><v>274.48</v></c><c r="Z465" s="379" t="n"><v>284.53</v></c><c r="AA465" s="386"><f>AA464</f><v /></c><c r="AB465" s="387"><f>AB464</f><v /></c><c r="AC465" s="382"><f>LEFT(AB465,2)</f><v /></c><c r="AD465" s="382"><f>RIGHT(AB465,6)</f><v /></c><c r="AE465" s="382"><f>+(AC465*60+AD465)/(60*60)</f><v /></c><c r="AF465" s="383"><f>+AA465/AE465</f><v /></c><c r="AG465" s="321"><f>+(((Z465-Y465-AA465)/AA465)*100)</f><v /></c><c r="AH465" s="317"><f>AH464</f><v /></c><c r="AI465" s="378"><f>AI464</f><v /></c><c r="AJ465" s="378"><f>AJ464</f><v /></c><c r="AK465" s="379"><f>Z465</f><v /></c><c r="AL465" s="379" t="n"><v>289.64</v></c><c r="AM465" s="388"><f>AM464</f><v /></c><c r="AN465" s="381"><f>AN464</f><v /></c><c r="AO465" s="382"><f>LEFT(AN465,2)</f><v /></c><c r="AP465" s="382"><f>RIGHT(AN465,6)</f><v /></c><c r="AQ465" s="382"><f>+(AO465*60+AP465)/(60*60)</f><v /></c><c r="AR465" s="383"><f>+AM465/AQ465</f><v /></c><c r="AS465" s="321"><f>+(((AL465-AK465-AM465)/AM465)*100)</f><v /></c><c r="AT465" s="389"><f>IF(I465&gt;=1,"NO CONFORME",IF(BK465="SIGDIFERENTES",BC465,BL465))</f><v /></c><c r="AU465" s="372"><f>B465=C465</f><v /></c><c r="AV465" s="372"><f>N465&lt;Y465</f><v /></c><c r="AW465" s="372"><f>Z465&lt;=AK465</f><v /></c><c r="AX465" s="372"><f>IF(I465&gt;=1,"Qcorrecto",IF(AND(AY465="aceptable",AZ465="aceptable",BA465="aceptable"),"Qcorrecto","Qincorrecto"))</f><v /></c><c r="AY465" s="390"><f>IF(AR465&lt;$AH$6,"error",IF(AR465&gt;$AH$6*1.1,"error","aceptable"))</f><v /></c><c r="AZ465" s="390"><f>IF(AF465&lt;$V$6,"error",IF(AF465&gt;$V$6*1.1,"error","aceptable"))</f><v /></c><c r="BA465" s="390"><f>IF(T465&lt;$J$6*0.9,"error",IF(T465&gt;$J$6,"error","aceptable"))</f><v /></c><c r="BB465" s="25"><f>(IF(ABS(U465)&lt;1.05,"CONFORME",IF(ABS(AG465)&lt;1.05,"CONFORME",IF(ABS(AS465)&lt;2.55,"CONFORME","NO CONFORME"))))</f><v /></c><c r="BC465" s="5"><f>(IF(ABS(U465)&gt;2.05,"NO CONFORME",IF(ABS(AG465)&gt;2.05,"NO CONFORME",IF(ABS(AS465)&gt;5.05,"NO CONFORME","CONFORME"))))</f><v /></c><c r="BD465" s="374"><f>SIGN(U465)</f><v /></c><c r="BE465" s="374"><f>SIGN(AG465)</f><v /></c><c r="BF465" s="374"><f>SIGN(AS465)</f><v /></c><c r="BG465" s="374"><f>CONCATENATE(BD465,BE465,BF465)</f><v /></c><c r="BH465" s="374"><f>IF(BG465="111","SI","SD")</f><v /></c><c r="BI465" s="374"><f>IF(BG465="-1-1-1","SI","SD")</f><v /></c><c r="BJ465" s="374"><f>OR(BH465="SI",BI465="SI")</f><v /></c><c r="BK465" s="374"><f>IF(BJ465=FALSE,"SIGDIFERENTES","SIGIGUALES")</f><v /></c><c r="BL465" s="390"><f>IF(BC465="NO CONFORME","NO CONFORME",IF(BB465="CONFORME","CONFORME","NO CONFORME"))</f><v /></c></row><row r="466" ht="14.4" customHeight="1" thickBot="1"><c r="A466" s="443" t="n"><v>458</v></c><c r="B466" s="375"><f>B465</f><v /></c><c r="C466" s="375"><f>C465</f><v /></c><c r="D466" s="376"><f>D465</f><v /></c><c r="E466" s="377"><f>E465</f><v /></c><c r="F466" s="13" t="n" /><c r="G466" s="300" t="inlineStr"><is><t>PA25517294</t></is></c><c r="H466" s="313"><f>H465</f><v /></c><c r="I466" s="38"><f>I465</f><v /></c><c r="J466" s="314"><f>J465</f><v /></c><c r="K466" s="378"><f>K465</f><v /></c><c r="L466" s="378"><f>L465</f><v /></c><c r="M466" s="379" t="n"><v>162.13</v></c><c r="N466" s="379" t="n"><v>261.8</v></c><c r="O466" s="380"><f>O465</f><v /></c><c r="P466" s="381"><f>P465</f><v /></c><c r="Q466" s="382"><f>LEFT(P466,1)</f><v /></c><c r="R466" s="382"><f>RIGHT(P466,6)</f><v /></c><c r="S466" s="382"><f>+(Q466*60+R466)/(60*60)</f><v /></c><c r="T466" s="383"><f>+O466/S466</f><v /></c><c r="U466" s="384"><f>+(((N466-M466-O466)/O466)*100)</f><v /></c><c r="V466" s="317"><f>V465</f><v /></c><c r="W466" s="378"><f>W465</f><v /></c><c r="X466" s="378"><f>X465</f><v /></c><c r="Y466" s="379" t="n"><v>271.38</v></c><c r="Z466" s="379" t="n"><v>281.45</v></c><c r="AA466" s="386"><f>AA465</f><v /></c><c r="AB466" s="387"><f>AB465</f><v /></c><c r="AC466" s="382"><f>LEFT(AB466,2)</f><v /></c><c r="AD466" s="382"><f>RIGHT(AB466,6)</f><v /></c><c r="AE466" s="382"><f>+(AC466*60+AD466)/(60*60)</f><v /></c><c r="AF466" s="383"><f>+AA466/AE466</f><v /></c><c r="AG466" s="321"><f>+(((Z466-Y466-AA466)/AA466)*100)</f><v /></c><c r="AH466" s="317"><f>AH465</f><v /></c><c r="AI466" s="378"><f>AI465</f><v /></c><c r="AJ466" s="378"><f>AJ465</f><v /></c><c r="AK466" s="379"><f>Z466</f><v /></c><c r="AL466" s="379" t="n"><v>286.52</v></c><c r="AM466" s="388"><f>AM465</f><v /></c><c r="AN466" s="381"><f>AN465</f><v /></c><c r="AO466" s="382"><f>LEFT(AN466,2)</f><v /></c><c r="AP466" s="382"><f>RIGHT(AN466,6)</f><v /></c><c r="AQ466" s="382"><f>+(AO466*60+AP466)/(60*60)</f><v /></c><c r="AR466" s="383"><f>+AM466/AQ466</f><v /></c><c r="AS466" s="321"><f>+(((AL466-AK466-AM466)/AM466)*100)</f><v /></c><c r="AT466" s="389"><f>IF(I466&gt;=1,"NO CONFORME",IF(BK466="SIGDIFERENTES",BC466,BL466))</f><v /></c><c r="AU466" s="372"><f>B466=C466</f><v /></c><c r="AV466" s="372"><f>N466&lt;Y466</f><v /></c><c r="AW466" s="372"><f>Z466&lt;=AK466</f><v /></c><c r="AX466" s="372"><f>IF(I466&gt;=1,"Qcorrecto",IF(AND(AY466="aceptable",AZ466="aceptable",BA466="aceptable"),"Qcorrecto","Qincorrecto"))</f><v /></c><c r="AY466" s="390"><f>IF(AR466&lt;$AH$6,"error",IF(AR466&gt;$AH$6*1.1,"error","aceptable"))</f><v /></c><c r="AZ466" s="390"><f>IF(AF466&lt;$V$6,"error",IF(AF466&gt;$V$6*1.1,"error","aceptable"))</f><v /></c><c r="BA466" s="390"><f>IF(T466&lt;$J$6*0.9,"error",IF(T466&gt;$J$6,"error","aceptable"))</f><v /></c><c r="BB466" s="25"><f>(IF(ABS(U466)&lt;1.05,"CONFORME",IF(ABS(AG466)&lt;1.05,"CONFORME",IF(ABS(AS466)&lt;2.55,"CONFORME","NO CONFORME"))))</f><v /></c><c r="BC466" s="5"><f>(IF(ABS(U466)&gt;2.05,"NO CONFORME",IF(ABS(AG466)&gt;2.05,"NO CONFORME",IF(ABS(AS466)&gt;5.05,"NO CONFORME","CONFORME"))))</f><v /></c><c r="BD466" s="374"><f>SIGN(U466)</f><v /></c><c r="BE466" s="374"><f>SIGN(AG466)</f><v /></c><c r="BF466" s="374"><f>SIGN(AS466)</f><v /></c><c r="BG466" s="374"><f>CONCATENATE(BD466,BE466,BF466)</f><v /></c><c r="BH466" s="374"><f>IF(BG466="111","SI","SD")</f><v /></c><c r="BI466" s="374"><f>IF(BG466="-1-1-1","SI","SD")</f><v /></c><c r="BJ466" s="374"><f>OR(BH466="SI",BI466="SI")</f><v /></c><c r="BK466" s="374"><f>IF(BJ466=FALSE,"SIGDIFERENTES","SIGIGUALES")</f><v /></c><c r="BL466" s="390"><f>IF(BC466="NO CONFORME","NO CONFORME",IF(BB466="CONFORME","CONFORME","NO CONFORME"))</f><v /></c></row><row r="467" ht="14.4" customHeight="1" thickBot="1"><c r="A467" s="443" t="n"><v>459</v></c><c r="B467" s="375"><f>B466</f><v /></c><c r="C467" s="375"><f>C466</f><v /></c><c r="D467" s="376"><f>D466</f><v /></c><c r="E467" s="377"><f>E466</f><v /></c><c r="F467" s="13" t="n" /><c r="G467" s="300" t="inlineStr"><is><t>PA25517295</t></is></c><c r="H467" s="313"><f>H466</f><v /></c><c r="I467" s="38"><f>I466</f><v /></c><c r="J467" s="314"><f>J466</f><v /></c><c r="K467" s="378"><f>K466</f><v /></c><c r="L467" s="378"><f>L466</f><v /></c><c r="M467" s="379" t="n"><v>164.38</v></c><c r="N467" s="379" t="n"><v>264.48</v></c><c r="O467" s="380"><f>O466</f><v /></c><c r="P467" s="381"><f>P466</f><v /></c><c r="Q467" s="382"><f>LEFT(P467,1)</f><v /></c><c r="R467" s="382"><f>RIGHT(P467,6)</f><v /></c><c r="S467" s="382"><f>+(Q467*60+R467)/(60*60)</f><v /></c><c r="T467" s="383"><f>+O467/S467</f><v /></c><c r="U467" s="384"><f>+(((N467-M467-O467)/O467)*100)</f><v /></c><c r="V467" s="317"><f>V466</f><v /></c><c r="W467" s="378"><f>W466</f><v /></c><c r="X467" s="378"><f>X466</f><v /></c><c r="Y467" s="379" t="n"><v>274.04</v></c><c r="Z467" s="379" t="n"><v>284.16</v></c><c r="AA467" s="386"><f>AA466</f><v /></c><c r="AB467" s="387"><f>AB466</f><v /></c><c r="AC467" s="382"><f>LEFT(AB467,2)</f><v /></c><c r="AD467" s="382"><f>RIGHT(AB467,6)</f><v /></c><c r="AE467" s="382"><f>+(AC467*60+AD467)/(60*60)</f><v /></c><c r="AF467" s="383"><f>+AA467/AE467</f><v /></c><c r="AG467" s="321"><f>+(((Z467-Y467-AA467)/AA467)*100)</f><v /></c><c r="AH467" s="317"><f>AH466</f><v /></c><c r="AI467" s="378"><f>AI466</f><v /></c><c r="AJ467" s="378"><f>AJ466</f><v /></c><c r="AK467" s="379"><f>Z467</f><v /></c><c r="AL467" s="379" t="n"><v>289.26</v></c><c r="AM467" s="388"><f>AM466</f><v /></c><c r="AN467" s="381"><f>AN466</f><v /></c><c r="AO467" s="382"><f>LEFT(AN467,2)</f><v /></c><c r="AP467" s="382"><f>RIGHT(AN467,6)</f><v /></c><c r="AQ467" s="382"><f>+(AO467*60+AP467)/(60*60)</f><v /></c><c r="AR467" s="383"><f>+AM467/AQ467</f><v /></c><c r="AS467" s="321"><f>+(((AL467-AK467-AM467)/AM467)*100)</f><v /></c><c r="AT467" s="389"><f>IF(I467&gt;=1,"NO CONFORME",IF(BK467="SIGDIFERENTES",BC467,BL467))</f><v /></c><c r="AU467" s="372"><f>B467=C467</f><v /></c><c r="AV467" s="372"><f>N467&lt;Y467</f><v /></c><c r="AW467" s="372"><f>Z467&lt;=AK467</f><v /></c><c r="AX467" s="372"><f>IF(I467&gt;=1,"Qcorrecto",IF(AND(AY467="aceptable",AZ467="aceptable",BA467="aceptable"),"Qcorrecto","Qincorrecto"))</f><v /></c><c r="AY467" s="390"><f>IF(AR467&lt;$AH$6,"error",IF(AR467&gt;$AH$6*1.1,"error","aceptable"))</f><v /></c><c r="AZ467" s="390"><f>IF(AF467&lt;$V$6,"error",IF(AF467&gt;$V$6*1.1,"error","aceptable"))</f><v /></c><c r="BA467" s="390"><f>IF(T467&lt;$J$6*0.9,"error",IF(T467&gt;$J$6,"error","aceptable"))</f><v /></c><c r="BB467" s="25"><f>(IF(ABS(U467)&lt;1.05,"CONFORME",IF(ABS(AG467)&lt;1.05,"CONFORME",IF(ABS(AS467)&lt;2.55,"CONFORME","NO CONFORME"))))</f><v /></c><c r="BC467" s="5"><f>(IF(ABS(U467)&gt;2.05,"NO CONFORME",IF(ABS(AG467)&gt;2.05,"NO CONFORME",IF(ABS(AS467)&gt;5.05,"NO CONFORME","CONFORME"))))</f><v /></c><c r="BD467" s="374"><f>SIGN(U467)</f><v /></c><c r="BE467" s="374"><f>SIGN(AG467)</f><v /></c><c r="BF467" s="374"><f>SIGN(AS467)</f><v /></c><c r="BG467" s="374"><f>CONCATENATE(BD467,BE467,BF467)</f><v /></c><c r="BH467" s="374"><f>IF(BG467="111","SI","SD")</f><v /></c><c r="BI467" s="374"><f>IF(BG467="-1-1-1","SI","SD")</f><v /></c><c r="BJ467" s="374"><f>OR(BH467="SI",BI467="SI")</f><v /></c><c r="BK467" s="374"><f>IF(BJ467=FALSE,"SIGDIFERENTES","SIGIGUALES")</f><v /></c><c r="BL467" s="390"><f>IF(BC467="NO CONFORME","NO CONFORME",IF(BB467="CONFORME","CONFORME","NO CONFORME"))</f><v /></c></row><row r="468" ht="14.4" customHeight="1" thickBot="1"><c r="A468" s="443" t="n"><v>460</v></c><c r="B468" s="375"><f>B467</f><v /></c><c r="C468" s="375"><f>C467</f><v /></c><c r="D468" s="376"><f>D467</f><v /></c><c r="E468" s="377"><f>E467</f><v /></c><c r="F468" s="13" t="n" /><c r="G468" s="300" t="inlineStr"><is><t>PA25517296</t></is></c><c r="H468" s="313"><f>H467</f><v /></c><c r="I468" s="38"><f>I467</f><v /></c><c r="J468" s="314"><f>J467</f><v /></c><c r="K468" s="378"><f>K467</f><v /></c><c r="L468" s="378"><f>L467</f><v /></c><c r="M468" s="379" t="n"><v>163.82</v></c><c r="N468" s="379" t="n"><v>264.28</v></c><c r="O468" s="380"><f>O467</f><v /></c><c r="P468" s="381"><f>P467</f><v /></c><c r="Q468" s="382"><f>LEFT(P468,1)</f><v /></c><c r="R468" s="382"><f>RIGHT(P468,6)</f><v /></c><c r="S468" s="382"><f>+(Q468*60+R468)/(60*60)</f><v /></c><c r="T468" s="383"><f>+O468/S468</f><v /></c><c r="U468" s="384"><f>+(((N468-M468-O468)/O468)*100)</f><v /></c><c r="V468" s="317"><f>V467</f><v /></c><c r="W468" s="378"><f>W467</f><v /></c><c r="X468" s="378"><f>X467</f><v /></c><c r="Y468" s="379" t="n"><v>273.88</v></c><c r="Z468" s="379" t="n"><v>283.9</v></c><c r="AA468" s="386"><f>AA467</f><v /></c><c r="AB468" s="387"><f>AB467</f><v /></c><c r="AC468" s="382"><f>LEFT(AB468,2)</f><v /></c><c r="AD468" s="382"><f>RIGHT(AB468,6)</f><v /></c><c r="AE468" s="382"><f>+(AC468*60+AD468)/(60*60)</f><v /></c><c r="AF468" s="383"><f>+AA468/AE468</f><v /></c><c r="AG468" s="321"><f>+(((Z468-Y468-AA468)/AA468)*100)</f><v /></c><c r="AH468" s="317"><f>AH467</f><v /></c><c r="AI468" s="378"><f>AI467</f><v /></c><c r="AJ468" s="378"><f>AJ467</f><v /></c><c r="AK468" s="379"><f>Z468</f><v /></c><c r="AL468" s="379" t="n"><v>288.96</v></c><c r="AM468" s="388"><f>AM467</f><v /></c><c r="AN468" s="381"><f>AN467</f><v /></c><c r="AO468" s="382"><f>LEFT(AN468,2)</f><v /></c><c r="AP468" s="382"><f>RIGHT(AN468,6)</f><v /></c><c r="AQ468" s="382"><f>+(AO468*60+AP468)/(60*60)</f><v /></c><c r="AR468" s="383"><f>+AM468/AQ468</f><v /></c><c r="AS468" s="321"><f>+(((AL468-AK468-AM468)/AM468)*100)</f><v /></c><c r="AT468" s="389"><f>IF(I468&gt;=1,"NO CONFORME",IF(BK468="SIGDIFERENTES",BC468,BL468))</f><v /></c><c r="AU468" s="372"><f>B468=C468</f><v /></c><c r="AV468" s="372"><f>N468&lt;Y468</f><v /></c><c r="AW468" s="372"><f>Z468&lt;=AK468</f><v /></c><c r="AX468" s="372"><f>IF(I468&gt;=1,"Qcorrecto",IF(AND(AY468="aceptable",AZ468="aceptable",BA468="aceptable"),"Qcorrecto","Qincorrecto"))</f><v /></c><c r="AY468" s="390"><f>IF(AR468&lt;$AH$6,"error",IF(AR468&gt;$AH$6*1.1,"error","aceptable"))</f><v /></c><c r="AZ468" s="390"><f>IF(AF468&lt;$V$6,"error",IF(AF468&gt;$V$6*1.1,"error","aceptable"))</f><v /></c><c r="BA468" s="390"><f>IF(T468&lt;$J$6*0.9,"error",IF(T468&gt;$J$6,"error","aceptable"))</f><v /></c><c r="BB468" s="25"><f>(IF(ABS(U468)&lt;1.05,"CONFORME",IF(ABS(AG468)&lt;1.05,"CONFORME",IF(ABS(AS468)&lt;2.55,"CONFORME","NO CONFORME"))))</f><v /></c><c r="BC468" s="5"><f>(IF(ABS(U468)&gt;2.05,"NO CONFORME",IF(ABS(AG468)&gt;2.05,"NO CONFORME",IF(ABS(AS468)&gt;5.05,"NO CONFORME","CONFORME"))))</f><v /></c><c r="BD468" s="374"><f>SIGN(U468)</f><v /></c><c r="BE468" s="374"><f>SIGN(AG468)</f><v /></c><c r="BF468" s="374"><f>SIGN(AS468)</f><v /></c><c r="BG468" s="374"><f>CONCATENATE(BD468,BE468,BF468)</f><v /></c><c r="BH468" s="374"><f>IF(BG468="111","SI","SD")</f><v /></c><c r="BI468" s="374"><f>IF(BG468="-1-1-1","SI","SD")</f><v /></c><c r="BJ468" s="374"><f>OR(BH468="SI",BI468="SI")</f><v /></c><c r="BK468" s="374"><f>IF(BJ468=FALSE,"SIGDIFERENTES","SIGIGUALES")</f><v /></c><c r="BL468" s="390"><f>IF(BC468="NO CONFORME","NO CONFORME",IF(BB468="CONFORME","CONFORME","NO CONFORME"))</f><v /></c></row><row r="469" ht="14.4" customHeight="1" thickBot="1"><c r="A469" s="443" t="n"><v>461</v></c><c r="B469" s="375"><f>B468</f><v /></c><c r="C469" s="375"><f>C468</f><v /></c><c r="D469" s="376"><f>D468</f><v /></c><c r="E469" s="377"><f>E468</f><v /></c><c r="F469" s="13" t="n" /><c r="G469" s="300" t="inlineStr"><is><t>PA25517297</t></is></c><c r="H469" s="313"><f>H468</f><v /></c><c r="I469" s="38"><f>I468</f><v /></c><c r="J469" s="314"><f>J468</f><v /></c><c r="K469" s="378"><f>K468</f><v /></c><c r="L469" s="378"><f>L468</f><v /></c><c r="M469" s="379" t="n"><v>165.48</v></c><c r="N469" s="379" t="n"><v>266.02</v></c><c r="O469" s="380"><f>O468</f><v /></c><c r="P469" s="381"><f>P468</f><v /></c><c r="Q469" s="382"><f>LEFT(P469,1)</f><v /></c><c r="R469" s="382"><f>RIGHT(P469,6)</f><v /></c><c r="S469" s="382"><f>+(Q469*60+R469)/(60*60)</f><v /></c><c r="T469" s="383"><f>+O469/S469</f><v /></c><c r="U469" s="384"><f>+(((N469-M469-O469)/O469)*100)</f><v /></c><c r="V469" s="317"><f>V468</f><v /></c><c r="W469" s="378"><f>W468</f><v /></c><c r="X469" s="378"><f>X468</f><v /></c><c r="Y469" s="379" t="n"><v>275.7</v></c><c r="Z469" s="379" t="n"><v>285.82</v></c><c r="AA469" s="386"><f>AA468</f><v /></c><c r="AB469" s="387"><f>AB468</f><v /></c><c r="AC469" s="382"><f>LEFT(AB469,2)</f><v /></c><c r="AD469" s="382"><f>RIGHT(AB469,6)</f><v /></c><c r="AE469" s="382"><f>+(AC469*60+AD469)/(60*60)</f><v /></c><c r="AF469" s="383"><f>+AA469/AE469</f><v /></c><c r="AG469" s="321"><f>+(((Z469-Y469-AA469)/AA469)*100)</f><v /></c><c r="AH469" s="317"><f>AH468</f><v /></c><c r="AI469" s="378"><f>AI468</f><v /></c><c r="AJ469" s="378"><f>AJ468</f><v /></c><c r="AK469" s="379"><f>Z469</f><v /></c><c r="AL469" s="379" t="n"><v>290.92</v></c><c r="AM469" s="388"><f>AM468</f><v /></c><c r="AN469" s="381"><f>AN468</f><v /></c><c r="AO469" s="382"><f>LEFT(AN469,2)</f><v /></c><c r="AP469" s="382"><f>RIGHT(AN469,6)</f><v /></c><c r="AQ469" s="382"><f>+(AO469*60+AP469)/(60*60)</f><v /></c><c r="AR469" s="383"><f>+AM469/AQ469</f><v /></c><c r="AS469" s="321"><f>+(((AL469-AK469-AM469)/AM469)*100)</f><v /></c><c r="AT469" s="389"><f>IF(I469&gt;=1,"NO CONFORME",IF(BK469="SIGDIFERENTES",BC469,BL469))</f><v /></c><c r="AU469" s="372"><f>B469=C469</f><v /></c><c r="AV469" s="372"><f>N469&lt;Y469</f><v /></c><c r="AW469" s="372"><f>Z469&lt;=AK469</f><v /></c><c r="AX469" s="372"><f>IF(I469&gt;=1,"Qcorrecto",IF(AND(AY469="aceptable",AZ469="aceptable",BA469="aceptable"),"Qcorrecto","Qincorrecto"))</f><v /></c><c r="AY469" s="390"><f>IF(AR469&lt;$AH$6,"error",IF(AR469&gt;$AH$6*1.1,"error","aceptable"))</f><v /></c><c r="AZ469" s="390"><f>IF(AF469&lt;$V$6,"error",IF(AF469&gt;$V$6*1.1,"error","aceptable"))</f><v /></c><c r="BA469" s="390"><f>IF(T469&lt;$J$6*0.9,"error",IF(T469&gt;$J$6,"error","aceptable"))</f><v /></c><c r="BB469" s="25"><f>(IF(ABS(U469)&lt;1.05,"CONFORME",IF(ABS(AG469)&lt;1.05,"CONFORME",IF(ABS(AS469)&lt;2.55,"CONFORME","NO CONFORME"))))</f><v /></c><c r="BC469" s="5"><f>(IF(ABS(U469)&gt;2.05,"NO CONFORME",IF(ABS(AG469)&gt;2.05,"NO CONFORME",IF(ABS(AS469)&gt;5.05,"NO CONFORME","CONFORME"))))</f><v /></c><c r="BD469" s="374"><f>SIGN(U469)</f><v /></c><c r="BE469" s="374"><f>SIGN(AG469)</f><v /></c><c r="BF469" s="374"><f>SIGN(AS469)</f><v /></c><c r="BG469" s="374"><f>CONCATENATE(BD469,BE469,BF469)</f><v /></c><c r="BH469" s="374"><f>IF(BG469="111","SI","SD")</f><v /></c><c r="BI469" s="374"><f>IF(BG469="-1-1-1","SI","SD")</f><v /></c><c r="BJ469" s="374"><f>OR(BH469="SI",BI469="SI")</f><v /></c><c r="BK469" s="374"><f>IF(BJ469=FALSE,"SIGDIFERENTES","SIGIGUALES")</f><v /></c><c r="BL469" s="390"><f>IF(BC469="NO CONFORME","NO CONFORME",IF(BB469="CONFORME","CONFORME","NO CONFORME"))</f><v /></c></row><row r="470" ht="14.4" customHeight="1" thickBot="1"><c r="A470" s="443" t="n"><v>462</v></c><c r="B470" s="375"><f>B469</f><v /></c><c r="C470" s="375"><f>C469</f><v /></c><c r="D470" s="376"><f>D469</f><v /></c><c r="E470" s="377"><f>E469</f><v /></c><c r="F470" s="13" t="n" /><c r="G470" s="300" t="inlineStr"><is><t>PA25517298</t></is></c><c r="H470" s="313"><f>H469</f><v /></c><c r="I470" s="38"><f>I469</f><v /></c><c r="J470" s="314"><f>J469</f><v /></c><c r="K470" s="378"><f>K469</f><v /></c><c r="L470" s="378"><f>L469</f><v /></c><c r="M470" s="379" t="n"><v>166.3</v></c><c r="N470" s="379" t="n"><v>266.25</v></c><c r="O470" s="380"><f>O469</f><v /></c><c r="P470" s="381"><f>P469</f><v /></c><c r="Q470" s="382"><f>LEFT(P470,1)</f><v /></c><c r="R470" s="382"><f>RIGHT(P470,6)</f><v /></c><c r="S470" s="382"><f>+(Q470*60+R470)/(60*60)</f><v /></c><c r="T470" s="383"><f>+O470/S470</f><v /></c><c r="U470" s="384"><f>+(((N470-M470-O470)/O470)*100)</f><v /></c><c r="V470" s="317"><f>V469</f><v /></c><c r="W470" s="378"><f>W469</f><v /></c><c r="X470" s="378"><f>X469</f><v /></c><c r="Y470" s="379" t="n"><v>275.84</v></c><c r="Z470" s="379" t="n"><v>285.95</v></c><c r="AA470" s="386"><f>AA469</f><v /></c><c r="AB470" s="387"><f>AB469</f><v /></c><c r="AC470" s="382"><f>LEFT(AB470,2)</f><v /></c><c r="AD470" s="382"><f>RIGHT(AB470,6)</f><v /></c><c r="AE470" s="382"><f>+(AC470*60+AD470)/(60*60)</f><v /></c><c r="AF470" s="383"><f>+AA470/AE470</f><v /></c><c r="AG470" s="321"><f>+(((Z470-Y470-AA470)/AA470)*100)</f><v /></c><c r="AH470" s="317"><f>AH469</f><v /></c><c r="AI470" s="378"><f>AI469</f><v /></c><c r="AJ470" s="378"><f>AJ469</f><v /></c><c r="AK470" s="379"><f>Z470</f><v /></c><c r="AL470" s="379" t="n"><v>291.11</v></c><c r="AM470" s="388"><f>AM469</f><v /></c><c r="AN470" s="381"><f>AN469</f><v /></c><c r="AO470" s="382"><f>LEFT(AN470,2)</f><v /></c><c r="AP470" s="382"><f>RIGHT(AN470,6)</f><v /></c><c r="AQ470" s="382"><f>+(AO470*60+AP470)/(60*60)</f><v /></c><c r="AR470" s="383"><f>+AM470/AQ470</f><v /></c><c r="AS470" s="321"><f>+(((AL470-AK470-AM470)/AM470)*100)</f><v /></c><c r="AT470" s="389"><f>IF(I470&gt;=1,"NO CONFORME",IF(BK470="SIGDIFERENTES",BC470,BL470))</f><v /></c><c r="AU470" s="372"><f>B470=C470</f><v /></c><c r="AV470" s="372"><f>N470&lt;Y470</f><v /></c><c r="AW470" s="372"><f>Z470&lt;=AK470</f><v /></c><c r="AX470" s="372"><f>IF(I470&gt;=1,"Qcorrecto",IF(AND(AY470="aceptable",AZ470="aceptable",BA470="aceptable"),"Qcorrecto","Qincorrecto"))</f><v /></c><c r="AY470" s="390"><f>IF(AR470&lt;$AH$6,"error",IF(AR470&gt;$AH$6*1.1,"error","aceptable"))</f><v /></c><c r="AZ470" s="390"><f>IF(AF470&lt;$V$6,"error",IF(AF470&gt;$V$6*1.1,"error","aceptable"))</f><v /></c><c r="BA470" s="390"><f>IF(T470&lt;$J$6*0.9,"error",IF(T470&gt;$J$6,"error","aceptable"))</f><v /></c><c r="BB470" s="25"><f>(IF(ABS(U470)&lt;1.05,"CONFORME",IF(ABS(AG470)&lt;1.05,"CONFORME",IF(ABS(AS470)&lt;2.55,"CONFORME","NO CONFORME"))))</f><v /></c><c r="BC470" s="5"><f>(IF(ABS(U470)&gt;2.05,"NO CONFORME",IF(ABS(AG470)&gt;2.05,"NO CONFORME",IF(ABS(AS470)&gt;5.05,"NO CONFORME","CONFORME"))))</f><v /></c><c r="BD470" s="374"><f>SIGN(U470)</f><v /></c><c r="BE470" s="374"><f>SIGN(AG470)</f><v /></c><c r="BF470" s="374"><f>SIGN(AS470)</f><v /></c><c r="BG470" s="374"><f>CONCATENATE(BD470,BE470,BF470)</f><v /></c><c r="BH470" s="374"><f>IF(BG470="111","SI","SD")</f><v /></c><c r="BI470" s="374"><f>IF(BG470="-1-1-1","SI","SD")</f><v /></c><c r="BJ470" s="374"><f>OR(BH470="SI",BI470="SI")</f><v /></c><c r="BK470" s="374"><f>IF(BJ470=FALSE,"SIGDIFERENTES","SIGIGUALES")</f><v /></c><c r="BL470" s="390"><f>IF(BC470="NO CONFORME","NO CONFORME",IF(BB470="CONFORME","CONFORME","NO CONFORME"))</f><v /></c></row><row r="471" ht="14.4" customHeight="1" thickBot="1"><c r="A471" s="443" t="n"><v>463</v></c><c r="B471" s="375"><f>B470</f><v /></c><c r="C471" s="375"><f>C470</f><v /></c><c r="D471" s="376"><f>D470</f><v /></c><c r="E471" s="377"><f>E470</f><v /></c><c r="F471" s="13" t="n" /><c r="G471" s="300" t="inlineStr"><is><t>PA25517299</t></is></c><c r="H471" s="313"><f>H470</f><v /></c><c r="I471" s="38"><f>I470</f><v /></c><c r="J471" s="314"><f>J470</f><v /></c><c r="K471" s="378"><f>K470</f><v /></c><c r="L471" s="378"><f>L470</f><v /></c><c r="M471" s="379" t="n"><v>164.63</v></c><c r="N471" s="379" t="n"><v>264.94</v></c><c r="O471" s="380"><f>O470</f><v /></c><c r="P471" s="381"><f>P470</f><v /></c><c r="Q471" s="382"><f>LEFT(P471,1)</f><v /></c><c r="R471" s="382"><f>RIGHT(P471,6)</f><v /></c><c r="S471" s="382"><f>+(Q471*60+R471)/(60*60)</f><v /></c><c r="T471" s="383"><f>+O471/S471</f><v /></c><c r="U471" s="384"><f>+(((N471-M471-O471)/O471)*100)</f><v /></c><c r="V471" s="317"><f>V470</f><v /></c><c r="W471" s="378"><f>W470</f><v /></c><c r="X471" s="378"><f>X470</f><v /></c><c r="Y471" s="379" t="n"><v>274.57</v></c><c r="Z471" s="379" t="n"><v>284.64</v></c><c r="AA471" s="386"><f>AA470</f><v /></c><c r="AB471" s="387"><f>AB470</f><v /></c><c r="AC471" s="382"><f>LEFT(AB471,2)</f><v /></c><c r="AD471" s="382"><f>RIGHT(AB471,6)</f><v /></c><c r="AE471" s="382"><f>+(AC471*60+AD471)/(60*60)</f><v /></c><c r="AF471" s="383"><f>+AA471/AE471</f><v /></c><c r="AG471" s="321"><f>+(((Z471-Y471-AA471)/AA471)*100)</f><v /></c><c r="AH471" s="317"><f>AH470</f><v /></c><c r="AI471" s="378"><f>AI470</f><v /></c><c r="AJ471" s="378"><f>AJ470</f><v /></c><c r="AK471" s="379"><f>Z471</f><v /></c><c r="AL471" s="379" t="n"><v>289.75</v></c><c r="AM471" s="388"><f>AM470</f><v /></c><c r="AN471" s="381"><f>AN470</f><v /></c><c r="AO471" s="382"><f>LEFT(AN471,2)</f><v /></c><c r="AP471" s="382"><f>RIGHT(AN471,6)</f><v /></c><c r="AQ471" s="382"><f>+(AO471*60+AP471)/(60*60)</f><v /></c><c r="AR471" s="383"><f>+AM471/AQ471</f><v /></c><c r="AS471" s="321"><f>+(((AL471-AK471-AM471)/AM471)*100)</f><v /></c><c r="AT471" s="389"><f>IF(I471&gt;=1,"NO CONFORME",IF(BK471="SIGDIFERENTES",BC471,BL471))</f><v /></c><c r="AU471" s="372"><f>B471=C471</f><v /></c><c r="AV471" s="372"><f>N471&lt;Y471</f><v /></c><c r="AW471" s="372"><f>Z471&lt;=AK471</f><v /></c><c r="AX471" s="372"><f>IF(I471&gt;=1,"Qcorrecto",IF(AND(AY471="aceptable",AZ471="aceptable",BA471="aceptable"),"Qcorrecto","Qincorrecto"))</f><v /></c><c r="AY471" s="390"><f>IF(AR471&lt;$AH$6,"error",IF(AR471&gt;$AH$6*1.1,"error","aceptable"))</f><v /></c><c r="AZ471" s="390"><f>IF(AF471&lt;$V$6,"error",IF(AF471&gt;$V$6*1.1,"error","aceptable"))</f><v /></c><c r="BA471" s="390"><f>IF(T471&lt;$J$6*0.9,"error",IF(T471&gt;$J$6,"error","aceptable"))</f><v /></c><c r="BB471" s="25"><f>(IF(ABS(U471)&lt;1.05,"CONFORME",IF(ABS(AG471)&lt;1.05,"CONFORME",IF(ABS(AS471)&lt;2.55,"CONFORME","NO CONFORME"))))</f><v /></c><c r="BC471" s="5"><f>(IF(ABS(U471)&gt;2.05,"NO CONFORME",IF(ABS(AG471)&gt;2.05,"NO CONFORME",IF(ABS(AS471)&gt;5.05,"NO CONFORME","CONFORME"))))</f><v /></c><c r="BD471" s="374"><f>SIGN(U471)</f><v /></c><c r="BE471" s="374"><f>SIGN(AG471)</f><v /></c><c r="BF471" s="374"><f>SIGN(AS471)</f><v /></c><c r="BG471" s="374"><f>CONCATENATE(BD471,BE471,BF471)</f><v /></c><c r="BH471" s="374"><f>IF(BG471="111","SI","SD")</f><v /></c><c r="BI471" s="374"><f>IF(BG471="-1-1-1","SI","SD")</f><v /></c><c r="BJ471" s="374"><f>OR(BH471="SI",BI471="SI")</f><v /></c><c r="BK471" s="374"><f>IF(BJ471=FALSE,"SIGDIFERENTES","SIGIGUALES")</f><v /></c><c r="BL471" s="390"><f>IF(BC471="NO CONFORME","NO CONFORME",IF(BB471="CONFORME","CONFORME","NO CONFORME"))</f><v /></c></row><row r="472" ht="15" customHeight="1" thickBot="1"><c r="A472" s="445" t="n"><v>464</v></c><c r="B472" s="392"><f>B471</f><v /></c><c r="C472" s="392"><f>C471</f><v /></c><c r="D472" s="393"><f>D471</f><v /></c><c r="E472" s="394"><f>E471</f><v /></c><c r="F472" s="52" t="n" /><c r="G472" s="337" t="inlineStr"><is><t>PA25517300</t></is></c><c r="H472" s="326"><f>H471</f><v /></c><c r="I472" s="98"><f>I471</f><v /></c><c r="J472" s="327"><f>J471</f><v /></c><c r="K472" s="396"><f>K471</f><v /></c><c r="L472" s="396"><f>L471</f><v /></c><c r="M472" s="397" t="n"><v>169.5</v></c><c r="N472" s="397" t="n"><v>269.98</v></c><c r="O472" s="398"><f>O471</f><v /></c><c r="P472" s="399"><f>P471</f><v /></c><c r="Q472" s="400"><f>LEFT(P472,1)</f><v /></c><c r="R472" s="400"><f>RIGHT(P472,6)</f><v /></c><c r="S472" s="400"><f>+(Q472*60+R472)/(60*60)</f><v /></c><c r="T472" s="401"><f>+O472/S472</f><v /></c><c r="U472" s="402"><f>+(((N472-M472-O472)/O472)*100)</f><v /></c><c r="V472" s="329"><f>V471</f><v /></c><c r="W472" s="396"><f>W471</f><v /></c><c r="X472" s="396"><f>X471</f><v /></c><c r="Y472" s="397" t="n"><v>279.52</v></c><c r="Z472" s="397" t="n"><v>289.65</v></c><c r="AA472" s="404"><f>AA471</f><v /></c><c r="AB472" s="405"><f>AB471</f><v /></c><c r="AC472" s="400"><f>LEFT(AB472,2)</f><v /></c><c r="AD472" s="400"><f>RIGHT(AB472,6)</f><v /></c><c r="AE472" s="400"><f>+(AC472*60+AD472)/(60*60)</f><v /></c><c r="AF472" s="401"><f>+AA472/AE472</f><v /></c><c r="AG472" s="406"><f>+(((Z472-Y472-AA472)/AA472)*100)</f><v /></c><c r="AH472" s="329"><f>AH471</f><v /></c><c r="AI472" s="396"><f>AI471</f><v /></c><c r="AJ472" s="396"><f>AJ471</f><v /></c><c r="AK472" s="397"><f>Z472</f><v /></c><c r="AL472" s="397" t="n"><v>294.81</v></c><c r="AM472" s="407"><f>AM471</f><v /></c><c r="AN472" s="399"><f>AN471</f><v /></c><c r="AO472" s="400"><f>LEFT(AN472,2)</f><v /></c><c r="AP472" s="400"><f>RIGHT(AN472,6)</f><v /></c><c r="AQ472" s="400"><f>+(AO472*60+AP472)/(60*60)</f><v /></c><c r="AR472" s="401"><f>+AM472/AQ472</f><v /></c><c r="AS472" s="406"><f>+(((AL472-AK472-AM472)/AM472)*100)</f><v /></c><c r="AT472" s="408"><f>IF(I472&gt;=1,"NO CONFORME",IF(BK472="SIGDIFERENTES",BC472,BL472))</f><v /></c><c r="AU472" s="409"><f>B472=C472</f><v /></c><c r="AV472" s="409"><f>N472&lt;Y472</f><v /></c><c r="AW472" s="409"><f>Z472&lt;=AK472</f><v /></c><c r="AX472" s="409"><f>IF(I472&gt;=1,"Qcorrecto",IF(AND(AY472="aceptable",AZ472="aceptable",BA472="aceptable"),"Qcorrecto","Qincorrecto"))</f><v /></c><c r="AY472" s="410"><f>IF(AR472&lt;$AH$6,"error",IF(AR472&gt;$AH$6*1.1,"error","aceptable"))</f><v /></c><c r="AZ472" s="410"><f>IF(AF472&lt;$V$6,"error",IF(AF472&gt;$V$6*1.1,"error","aceptable"))</f><v /></c><c r="BA472" s="410"><f>IF(T472&lt;$J$6*0.9,"error",IF(T472&gt;$J$6,"error","aceptable"))</f><v /></c><c r="BB472" s="411"><f>(IF(ABS(U472)&lt;1.05,"CONFORME",IF(ABS(AG472)&lt;1.05,"CONFORME",IF(ABS(AS472)&lt;2.55,"CONFORME","NO CONFORME"))))</f><v /></c><c r="BC472" s="412"><f>(IF(ABS(U472)&gt;2.05,"NO CONFORME",IF(ABS(AG472)&gt;2.05,"NO CONFORME",IF(ABS(AS472)&gt;5.05,"NO CONFORME","CONFORME"))))</f><v /></c><c r="BD472" s="413"><f>SIGN(U472)</f><v /></c><c r="BE472" s="413"><f>SIGN(AG472)</f><v /></c><c r="BF472" s="413"><f>SIGN(AS472)</f><v /></c><c r="BG472" s="413"><f>CONCATENATE(BD472,BE472,BF472)</f><v /></c><c r="BH472" s="413"><f>IF(BG472="111","SI","SD")</f><v /></c><c r="BI472" s="413"><f>IF(BG472="-1-1-1","SI","SD")</f><v /></c><c r="BJ472" s="413"><f>OR(BH472="SI",BI472="SI")</f><v /></c><c r="BK472" s="413"><f>IF(BJ472=FALSE,"SIGDIFERENTES","SIGIGUALES")</f><v /></c><c r="BL472" s="410"><f>IF(BC472="NO CONFORME","NO CONFORME",IF(BB472="CONFORME","CONFORME","NO CONFORME"))</f><v /></c></row><row r="473" ht="15.75" customHeight="1" thickBot="1"><c r="A473" s="37" t="n"><v>465</v></c><c r="B473" s="324"><f>B472</f><v /></c><c r="C473" s="324"><f>C472</f><v /></c><c r="D473" s="94"><f>D472</f><v /></c><c r="E473" s="95"><f>E472</f><v /></c><c r="F473" s="46" t="n" /><c r="G473" s="335" t="n" /><c r="H473" s="326"><f>H472</f><v /></c><c r="I473" s="98"><f>I472</f><v /></c><c r="J473" s="327"><f>J472</f><v /></c><c r="K473" s="327"><f>K472</f><v /></c><c r="L473" s="327"><f>L472</f><v /></c><c r="M473" s="47" t="n" /><c r="N473" s="47" t="n" /><c r="O473" s="100"><f>O472</f><v /></c><c r="P473" s="328"><f>P472</f><v /></c><c r="Q473" s="11"><f>LEFT(P473,1)</f><v /></c><c r="R473" s="11"><f>RIGHT(P473,6)</f><v /></c><c r="S473" s="11"><f>+(Q473*60+R473)/(60*60)</f><v /></c><c r="T473" s="14"><f>+O473/S473</f><v /></c><c r="U473" s="316"><f>+(((N473-M473-O473)/O473)*100)</f><v /></c><c r="V473" s="329"><f>V472</f><v /></c><c r="W473" s="329"><f>W472</f><v /></c><c r="X473" s="330"><f>X472</f><v /></c><c r="Y473" s="47" t="n" /><c r="Z473" s="47" t="n" /><c r="AA473" s="331"><f>AA472</f><v /></c><c r="AB473" s="332"><f>AB472</f><v /></c><c r="AC473" s="11"><f>LEFT(AB473,2)</f><v /></c><c r="AD473" s="11"><f>RIGHT(AB473,6)</f><v /></c><c r="AE473" s="11"><f>+(AC473*60+AD473)/(60*60)</f><v /></c><c r="AF473" s="14"><f>+AA473/AE473</f><v /></c><c r="AG473" s="321"><f>+(((Z473-Y473-AA473)/AA473)*100)</f><v /></c><c r="AH473" s="329"><f>AH472</f><v /></c><c r="AI473" s="329"><f>AI472</f><v /></c><c r="AJ473" s="329"><f>AJ472</f><v /></c><c r="AK473" s="53"><f>Z473</f><v /></c><c r="AL473" s="47" t="n" /><c r="AM473" s="333"><f>AM472</f><v /></c><c r="AN473" s="328"><f>AN472</f><v /></c><c r="AO473" s="11"><f>LEFT(AN473,2)</f><v /></c><c r="AP473" s="11"><f>RIGHT(AN473,6)</f><v /></c><c r="AQ473" s="11"><f>+(AO473*60+AP473)/(60*60)</f><v /></c><c r="AR473" s="14"><f>+AM473/AQ473</f><v /></c><c r="AS473" s="321"><f>+(((AL473-AK473-AM473)/AM473)*100)</f><v /></c><c r="AT473" s="43"><f>IF(I473&gt;=1,"NO CONFORME",IF(BK473="SIGDIFERENTES",BC473,BL473))</f><v /></c><c r="AU473" s="8"><f>B473=C473</f><v /></c><c r="AV473" s="8"><f>N473&lt;Y473</f><v /></c><c r="AW473" s="8"><f>Z473&lt;=AK473</f><v /></c><c r="AX473" s="8"><f>IF(I473&gt;=1,"Qcorrecto",IF(AND(AY473="aceptable",AZ473="aceptable",BA473="aceptable"),"Qcorrecto","Qincorrecto"))</f><v /></c><c r="AY473" s="22"><f>IF(AR473&lt;$AH$6,"error",IF(AR473&gt;$AH$6*1.1,"error","aceptable"))</f><v /></c><c r="AZ473" s="22"><f>IF(AF473&lt;$V$6,"error",IF(AF473&gt;$V$6*1.1,"error","aceptable"))</f><v /></c><c r="BA473" s="22"><f>IF(T473&lt;$J$6*0.9,"error",IF(T473&gt;$J$6,"error","aceptable"))</f><v /></c><c r="BB473" s="25"><f>(IF(ABS(U473)&lt;1.05,"CONFORME",IF(ABS(AG473)&lt;1.05,"CONFORME",IF(ABS(AS473)&lt;2.55,"CONFORME","NO CONFORME"))))</f><v /></c><c r="BC473" s="5"><f>(IF(ABS(U473)&gt;2.05,"NO CONFORME",IF(ABS(AG473)&gt;2.05,"NO CONFORME",IF(ABS(AS473)&gt;5.05,"NO CONFORME","CONFORME"))))</f><v /></c><c r="BD473" s="15"><f>SIGN(U473)</f><v /></c><c r="BE473" s="15"><f>SIGN(AG473)</f><v /></c><c r="BF473" s="15"><f>SIGN(AS473)</f><v /></c><c r="BG473" s="15"><f>CONCATENATE(BD473,BE473,BF473)</f><v /></c><c r="BH473" s="15"><f>IF(BG473="111","SI","SD")</f><v /></c><c r="BI473" s="15"><f>IF(BG473="-1-1-1","SI","SD")</f><v /></c><c r="BJ473" s="15"><f>OR(BH473="SI",BI473="SI")</f><v /></c><c r="BK473" s="15"><f>IF(BJ473=FALSE,"SIGDIFERENTES","SIGIGUALES")</f><v /></c><c r="BL473" s="22"><f>IF(BC473="NO CONFORME","NO CONFORME",IF(BB473="CONFORME","CONFORME","NO CONFORME"))</f><v /></c></row><row r="474" ht="15.75" customHeight="1" thickBot="1"><c r="A474" s="37" t="n"><v>466</v></c><c r="B474" s="324"><f>B473</f><v /></c><c r="C474" s="324"><f>C473</f><v /></c><c r="D474" s="94"><f>D473</f><v /></c><c r="E474" s="95"><f>E473</f><v /></c><c r="F474" s="13" t="n" /><c r="G474" s="312" t="n" /><c r="H474" s="326"><f>H473</f><v /></c><c r="I474" s="98"><f>I473</f><v /></c><c r="J474" s="327"><f>J473</f><v /></c><c r="K474" s="327"><f>K473</f><v /></c><c r="L474" s="327"><f>L473</f><v /></c><c r="M474" s="45" t="n" /><c r="N474" s="45" t="n" /><c r="O474" s="100"><f>O473</f><v /></c><c r="P474" s="328"><f>P473</f><v /></c><c r="Q474" s="11"><f>LEFT(P474,1)</f><v /></c><c r="R474" s="11"><f>RIGHT(P474,6)</f><v /></c><c r="S474" s="11"><f>+(Q474*60+R474)/(60*60)</f><v /></c><c r="T474" s="14"><f>+O474/S474</f><v /></c><c r="U474" s="316"><f>+(((N474-M474-O474)/O474)*100)</f><v /></c><c r="V474" s="329"><f>V473</f><v /></c><c r="W474" s="329"><f>W473</f><v /></c><c r="X474" s="330"><f>X473</f><v /></c><c r="Y474" s="45" t="n" /><c r="Z474" s="45" t="n" /><c r="AA474" s="331"><f>AA473</f><v /></c><c r="AB474" s="332"><f>AB473</f><v /></c><c r="AC474" s="11"><f>LEFT(AB474,2)</f><v /></c><c r="AD474" s="11"><f>RIGHT(AB474,6)</f><v /></c><c r="AE474" s="11"><f>+(AC474*60+AD474)/(60*60)</f><v /></c><c r="AF474" s="14"><f>+AA474/AE474</f><v /></c><c r="AG474" s="321"><f>+(((Z474-Y474-AA474)/AA474)*100)</f><v /></c><c r="AH474" s="329"><f>AH473</f><v /></c><c r="AI474" s="329"><f>AI473</f><v /></c><c r="AJ474" s="329"><f>AJ473</f><v /></c><c r="AK474" s="53"><f>Z474</f><v /></c><c r="AL474" s="45" t="n" /><c r="AM474" s="333"><f>AM473</f><v /></c><c r="AN474" s="328"><f>AN473</f><v /></c><c r="AO474" s="11"><f>LEFT(AN474,2)</f><v /></c><c r="AP474" s="11"><f>RIGHT(AN474,6)</f><v /></c><c r="AQ474" s="11"><f>+(AO474*60+AP474)/(60*60)</f><v /></c><c r="AR474" s="14"><f>+AM474/AQ474</f><v /></c><c r="AS474" s="321"><f>+(((AL474-AK474-AM474)/AM474)*100)</f><v /></c><c r="AT474" s="43"><f>IF(I474&gt;=1,"NO CONFORME",IF(BK474="SIGDIFERENTES",BC474,BL474))</f><v /></c><c r="AU474" s="8"><f>B474=C474</f><v /></c><c r="AV474" s="8"><f>N474&lt;Y474</f><v /></c><c r="AW474" s="8"><f>Z474&lt;=AK474</f><v /></c><c r="AX474" s="8"><f>IF(I474&gt;=1,"Qcorrecto",IF(AND(AY474="aceptable",AZ474="aceptable",BA474="aceptable"),"Qcorrecto","Qincorrecto"))</f><v /></c><c r="AY474" s="22"><f>IF(AR474&lt;$AH$6,"error",IF(AR474&gt;$AH$6*1.1,"error","aceptable"))</f><v /></c><c r="AZ474" s="22"><f>IF(AF474&lt;$V$6,"error",IF(AF474&gt;$V$6*1.1,"error","aceptable"))</f><v /></c><c r="BA474" s="22"><f>IF(T474&lt;$J$6*0.9,"error",IF(T474&gt;$J$6,"error","aceptable"))</f><v /></c><c r="BB474" s="25"><f>(IF(ABS(U474)&lt;1.05,"CONFORME",IF(ABS(AG474)&lt;1.05,"CONFORME",IF(ABS(AS474)&lt;2.55,"CONFORME","NO CONFORME"))))</f><v /></c><c r="BC474" s="5"><f>(IF(ABS(U474)&gt;2.05,"NO CONFORME",IF(ABS(AG474)&gt;2.05,"NO CONFORME",IF(ABS(AS474)&gt;5.05,"NO CONFORME","CONFORME"))))</f><v /></c><c r="BD474" s="15"><f>SIGN(U474)</f><v /></c><c r="BE474" s="15"><f>SIGN(AG474)</f><v /></c><c r="BF474" s="15"><f>SIGN(AS474)</f><v /></c><c r="BG474" s="15"><f>CONCATENATE(BD474,BE474,BF474)</f><v /></c><c r="BH474" s="15"><f>IF(BG474="111","SI","SD")</f><v /></c><c r="BI474" s="15"><f>IF(BG474="-1-1-1","SI","SD")</f><v /></c><c r="BJ474" s="15"><f>OR(BH474="SI",BI474="SI")</f><v /></c><c r="BK474" s="15"><f>IF(BJ474=FALSE,"SIGDIFERENTES","SIGIGUALES")</f><v /></c><c r="BL474" s="22"><f>IF(BC474="NO CONFORME","NO CONFORME",IF(BB474="CONFORME","CONFORME","NO CONFORME"))</f><v /></c></row><row r="475" ht="15.75" customHeight="1" thickBot="1"><c r="A475" s="37" t="n"><v>467</v></c><c r="B475" s="324"><f>B474</f><v /></c><c r="C475" s="324"><f>C474</f><v /></c><c r="D475" s="94"><f>D474</f><v /></c><c r="E475" s="95"><f>E474</f><v /></c><c r="F475" s="13" t="n" /><c r="G475" s="312" t="n" /><c r="H475" s="326"><f>H474</f><v /></c><c r="I475" s="98"><f>I474</f><v /></c><c r="J475" s="327"><f>J474</f><v /></c><c r="K475" s="327"><f>K474</f><v /></c><c r="L475" s="327"><f>L474</f><v /></c><c r="M475" s="45" t="n" /><c r="N475" s="45" t="n" /><c r="O475" s="100"><f>O474</f><v /></c><c r="P475" s="328"><f>P474</f><v /></c><c r="Q475" s="11"><f>LEFT(P475,1)</f><v /></c><c r="R475" s="11"><f>RIGHT(P475,6)</f><v /></c><c r="S475" s="11"><f>+(Q475*60+R475)/(60*60)</f><v /></c><c r="T475" s="14"><f>+O475/S475</f><v /></c><c r="U475" s="316"><f>+(((N475-M475-O475)/O475)*100)</f><v /></c><c r="V475" s="329"><f>V474</f><v /></c><c r="W475" s="329"><f>W474</f><v /></c><c r="X475" s="330"><f>X474</f><v /></c><c r="Y475" s="45" t="n" /><c r="Z475" s="45" t="n" /><c r="AA475" s="331"><f>AA474</f><v /></c><c r="AB475" s="332"><f>AB474</f><v /></c><c r="AC475" s="11"><f>LEFT(AB475,2)</f><v /></c><c r="AD475" s="11"><f>RIGHT(AB475,6)</f><v /></c><c r="AE475" s="11"><f>+(AC475*60+AD475)/(60*60)</f><v /></c><c r="AF475" s="14"><f>+AA475/AE475</f><v /></c><c r="AG475" s="321"><f>+(((Z475-Y475-AA475)/AA475)*100)</f><v /></c><c r="AH475" s="329"><f>AH474</f><v /></c><c r="AI475" s="329"><f>AI474</f><v /></c><c r="AJ475" s="329"><f>AJ474</f><v /></c><c r="AK475" s="53"><f>Z475</f><v /></c><c r="AL475" s="45" t="n" /><c r="AM475" s="333"><f>AM474</f><v /></c><c r="AN475" s="328"><f>AN474</f><v /></c><c r="AO475" s="11"><f>LEFT(AN475,2)</f><v /></c><c r="AP475" s="11"><f>RIGHT(AN475,6)</f><v /></c><c r="AQ475" s="11"><f>+(AO475*60+AP475)/(60*60)</f><v /></c><c r="AR475" s="14"><f>+AM475/AQ475</f><v /></c><c r="AS475" s="321"><f>+(((AL475-AK475-AM475)/AM475)*100)</f><v /></c><c r="AT475" s="43"><f>IF(I475&gt;=1,"NO CONFORME",IF(BK475="SIGDIFERENTES",BC475,BL475))</f><v /></c><c r="AU475" s="8"><f>B475=C475</f><v /></c><c r="AV475" s="8"><f>N475&lt;Y475</f><v /></c><c r="AW475" s="8"><f>Z475&lt;=AK475</f><v /></c><c r="AX475" s="8"><f>IF(I475&gt;=1,"Qcorrecto",IF(AND(AY475="aceptable",AZ475="aceptable",BA475="aceptable"),"Qcorrecto","Qincorrecto"))</f><v /></c><c r="AY475" s="22"><f>IF(AR475&lt;$AH$6,"error",IF(AR475&gt;$AH$6*1.1,"error","aceptable"))</f><v /></c><c r="AZ475" s="22"><f>IF(AF475&lt;$V$6,"error",IF(AF475&gt;$V$6*1.1,"error","aceptable"))</f><v /></c><c r="BA475" s="22"><f>IF(T475&lt;$J$6*0.9,"error",IF(T475&gt;$J$6,"error","aceptable"))</f><v /></c><c r="BB475" s="25"><f>(IF(ABS(U475)&lt;1.05,"CONFORME",IF(ABS(AG475)&lt;1.05,"CONFORME",IF(ABS(AS475)&lt;2.55,"CONFORME","NO CONFORME"))))</f><v /></c><c r="BC475" s="5"><f>(IF(ABS(U475)&gt;2.05,"NO CONFORME",IF(ABS(AG475)&gt;2.05,"NO CONFORME",IF(ABS(AS475)&gt;5.05,"NO CONFORME","CONFORME"))))</f><v /></c><c r="BD475" s="15"><f>SIGN(U475)</f><v /></c><c r="BE475" s="15"><f>SIGN(AG475)</f><v /></c><c r="BF475" s="15"><f>SIGN(AS475)</f><v /></c><c r="BG475" s="15"><f>CONCATENATE(BD475,BE475,BF475)</f><v /></c><c r="BH475" s="15"><f>IF(BG475="111","SI","SD")</f><v /></c><c r="BI475" s="15"><f>IF(BG475="-1-1-1","SI","SD")</f><v /></c><c r="BJ475" s="15"><f>OR(BH475="SI",BI475="SI")</f><v /></c><c r="BK475" s="15"><f>IF(BJ475=FALSE,"SIGDIFERENTES","SIGIGUALES")</f><v /></c><c r="BL475" s="22"><f>IF(BC475="NO CONFORME","NO CONFORME",IF(BB475="CONFORME","CONFORME","NO CONFORME"))</f><v /></c></row><row r="476" ht="15.75" customHeight="1" thickBot="1"><c r="A476" s="37" t="n"><v>468</v></c><c r="B476" s="324"><f>B475</f><v /></c><c r="C476" s="324"><f>C475</f><v /></c><c r="D476" s="94"><f>D475</f><v /></c><c r="E476" s="95"><f>E475</f><v /></c><c r="F476" s="13" t="n" /><c r="G476" s="312" t="n" /><c r="H476" s="326"><f>H475</f><v /></c><c r="I476" s="98"><f>I475</f><v /></c><c r="J476" s="327"><f>J475</f><v /></c><c r="K476" s="327"><f>K475</f><v /></c><c r="L476" s="327"><f>L475</f><v /></c><c r="M476" s="45" t="n" /><c r="N476" s="45" t="n" /><c r="O476" s="100"><f>O475</f><v /></c><c r="P476" s="328"><f>P475</f><v /></c><c r="Q476" s="11"><f>LEFT(P476,1)</f><v /></c><c r="R476" s="11"><f>RIGHT(P476,6)</f><v /></c><c r="S476" s="11"><f>+(Q476*60+R476)/(60*60)</f><v /></c><c r="T476" s="14"><f>+O476/S476</f><v /></c><c r="U476" s="316"><f>+(((N476-M476-O476)/O476)*100)</f><v /></c><c r="V476" s="329"><f>V475</f><v /></c><c r="W476" s="329"><f>W475</f><v /></c><c r="X476" s="330"><f>X475</f><v /></c><c r="Y476" s="45" t="n" /><c r="Z476" s="45" t="n" /><c r="AA476" s="331"><f>AA475</f><v /></c><c r="AB476" s="332"><f>AB475</f><v /></c><c r="AC476" s="11"><f>LEFT(AB476,2)</f><v /></c><c r="AD476" s="11"><f>RIGHT(AB476,6)</f><v /></c><c r="AE476" s="11"><f>+(AC476*60+AD476)/(60*60)</f><v /></c><c r="AF476" s="14"><f>+AA476/AE476</f><v /></c><c r="AG476" s="321"><f>+(((Z476-Y476-AA476)/AA476)*100)</f><v /></c><c r="AH476" s="329"><f>AH475</f><v /></c><c r="AI476" s="329"><f>AI475</f><v /></c><c r="AJ476" s="329"><f>AJ475</f><v /></c><c r="AK476" s="53"><f>Z476</f><v /></c><c r="AL476" s="45" t="n" /><c r="AM476" s="333"><f>AM475</f><v /></c><c r="AN476" s="328"><f>AN475</f><v /></c><c r="AO476" s="11"><f>LEFT(AN476,2)</f><v /></c><c r="AP476" s="11"><f>RIGHT(AN476,6)</f><v /></c><c r="AQ476" s="11"><f>+(AO476*60+AP476)/(60*60)</f><v /></c><c r="AR476" s="14"><f>+AM476/AQ476</f><v /></c><c r="AS476" s="321"><f>+(((AL476-AK476-AM476)/AM476)*100)</f><v /></c><c r="AT476" s="43"><f>IF(I476&gt;=1,"NO CONFORME",IF(BK476="SIGDIFERENTES",BC476,BL476))</f><v /></c><c r="AU476" s="8"><f>B476=C476</f><v /></c><c r="AV476" s="8"><f>N476&lt;Y476</f><v /></c><c r="AW476" s="8"><f>Z476&lt;=AK476</f><v /></c><c r="AX476" s="8"><f>IF(I476&gt;=1,"Qcorrecto",IF(AND(AY476="aceptable",AZ476="aceptable",BA476="aceptable"),"Qcorrecto","Qincorrecto"))</f><v /></c><c r="AY476" s="22"><f>IF(AR476&lt;$AH$6,"error",IF(AR476&gt;$AH$6*1.1,"error","aceptable"))</f><v /></c><c r="AZ476" s="22"><f>IF(AF476&lt;$V$6,"error",IF(AF476&gt;$V$6*1.1,"error","aceptable"))</f><v /></c><c r="BA476" s="22"><f>IF(T476&lt;$J$6*0.9,"error",IF(T476&gt;$J$6,"error","aceptable"))</f><v /></c><c r="BB476" s="25"><f>(IF(ABS(U476)&lt;1.05,"CONFORME",IF(ABS(AG476)&lt;1.05,"CONFORME",IF(ABS(AS476)&lt;2.55,"CONFORME","NO CONFORME"))))</f><v /></c><c r="BC476" s="5"><f>(IF(ABS(U476)&gt;2.05,"NO CONFORME",IF(ABS(AG476)&gt;2.05,"NO CONFORME",IF(ABS(AS476)&gt;5.05,"NO CONFORME","CONFORME"))))</f><v /></c><c r="BD476" s="15"><f>SIGN(U476)</f><v /></c><c r="BE476" s="15"><f>SIGN(AG476)</f><v /></c><c r="BF476" s="15"><f>SIGN(AS476)</f><v /></c><c r="BG476" s="15"><f>CONCATENATE(BD476,BE476,BF476)</f><v /></c><c r="BH476" s="15"><f>IF(BG476="111","SI","SD")</f><v /></c><c r="BI476" s="15"><f>IF(BG476="-1-1-1","SI","SD")</f><v /></c><c r="BJ476" s="15"><f>OR(BH476="SI",BI476="SI")</f><v /></c><c r="BK476" s="15"><f>IF(BJ476=FALSE,"SIGDIFERENTES","SIGIGUALES")</f><v /></c><c r="BL476" s="22"><f>IF(BC476="NO CONFORME","NO CONFORME",IF(BB476="CONFORME","CONFORME","NO CONFORME"))</f><v /></c></row><row r="477" ht="15.75" customHeight="1" thickBot="1"><c r="A477" s="37" t="n"><v>469</v></c><c r="B477" s="324"><f>B476</f><v /></c><c r="C477" s="324"><f>C476</f><v /></c><c r="D477" s="94"><f>D476</f><v /></c><c r="E477" s="95"><f>E476</f><v /></c><c r="F477" s="13" t="n" /><c r="G477" s="334" t="n" /><c r="H477" s="326"><f>H476</f><v /></c><c r="I477" s="98"><f>I476</f><v /></c><c r="J477" s="327"><f>J476</f><v /></c><c r="K477" s="327"><f>K476</f><v /></c><c r="L477" s="327"><f>L476</f><v /></c><c r="M477" s="45" t="n" /><c r="N477" s="45" t="n" /><c r="O477" s="100"><f>O476</f><v /></c><c r="P477" s="328"><f>P476</f><v /></c><c r="Q477" s="11"><f>LEFT(P477,1)</f><v /></c><c r="R477" s="11"><f>RIGHT(P477,6)</f><v /></c><c r="S477" s="11"><f>+(Q477*60+R477)/(60*60)</f><v /></c><c r="T477" s="14"><f>+O477/S477</f><v /></c><c r="U477" s="316"><f>+(((N477-M477-O477)/O477)*100)</f><v /></c><c r="V477" s="329"><f>V476</f><v /></c><c r="W477" s="329"><f>W476</f><v /></c><c r="X477" s="330"><f>X476</f><v /></c><c r="Y477" s="45" t="n" /><c r="Z477" s="45" t="n" /><c r="AA477" s="331"><f>AA476</f><v /></c><c r="AB477" s="332"><f>AB476</f><v /></c><c r="AC477" s="11"><f>LEFT(AB477,2)</f><v /></c><c r="AD477" s="11"><f>RIGHT(AB477,6)</f><v /></c><c r="AE477" s="11"><f>+(AC477*60+AD477)/(60*60)</f><v /></c><c r="AF477" s="14"><f>+AA477/AE477</f><v /></c><c r="AG477" s="321"><f>+(((Z477-Y477-AA477)/AA477)*100)</f><v /></c><c r="AH477" s="329"><f>AH476</f><v /></c><c r="AI477" s="329"><f>AI476</f><v /></c><c r="AJ477" s="329"><f>AJ476</f><v /></c><c r="AK477" s="53"><f>Z477</f><v /></c><c r="AL477" s="45" t="n" /><c r="AM477" s="333"><f>AM476</f><v /></c><c r="AN477" s="328"><f>AN476</f><v /></c><c r="AO477" s="11"><f>LEFT(AN477,2)</f><v /></c><c r="AP477" s="11"><f>RIGHT(AN477,6)</f><v /></c><c r="AQ477" s="11"><f>+(AO477*60+AP477)/(60*60)</f><v /></c><c r="AR477" s="14"><f>+AM477/AQ477</f><v /></c><c r="AS477" s="321"><f>+(((AL477-AK477-AM477)/AM477)*100)</f><v /></c><c r="AT477" s="43"><f>IF(I477&gt;=1,"NO CONFORME",IF(BK477="SIGDIFERENTES",BC477,BL477))</f><v /></c><c r="AU477" s="8"><f>B477=C477</f><v /></c><c r="AV477" s="8"><f>N477&lt;Y477</f><v /></c><c r="AW477" s="8"><f>Z477&lt;=AK477</f><v /></c><c r="AX477" s="8"><f>IF(I477&gt;=1,"Qcorrecto",IF(AND(AY477="aceptable",AZ477="aceptable",BA477="aceptable"),"Qcorrecto","Qincorrecto"))</f><v /></c><c r="AY477" s="22"><f>IF(AR477&lt;$AH$6,"error",IF(AR477&gt;$AH$6*1.1,"error","aceptable"))</f><v /></c><c r="AZ477" s="22"><f>IF(AF477&lt;$V$6,"error",IF(AF477&gt;$V$6*1.1,"error","aceptable"))</f><v /></c><c r="BA477" s="22"><f>IF(T477&lt;$J$6*0.9,"error",IF(T477&gt;$J$6,"error","aceptable"))</f><v /></c><c r="BB477" s="25"><f>(IF(ABS(U477)&lt;1.05,"CONFORME",IF(ABS(AG477)&lt;1.05,"CONFORME",IF(ABS(AS477)&lt;2.55,"CONFORME","NO CONFORME"))))</f><v /></c><c r="BC477" s="5"><f>(IF(ABS(U477)&gt;2.05,"NO CONFORME",IF(ABS(AG477)&gt;2.05,"NO CONFORME",IF(ABS(AS477)&gt;5.05,"NO CONFORME","CONFORME"))))</f><v /></c><c r="BD477" s="15"><f>SIGN(U477)</f><v /></c><c r="BE477" s="15"><f>SIGN(AG477)</f><v /></c><c r="BF477" s="15"><f>SIGN(AS477)</f><v /></c><c r="BG477" s="15"><f>CONCATENATE(BD477,BE477,BF477)</f><v /></c><c r="BH477" s="15"><f>IF(BG477="111","SI","SD")</f><v /></c><c r="BI477" s="15"><f>IF(BG477="-1-1-1","SI","SD")</f><v /></c><c r="BJ477" s="15"><f>OR(BH477="SI",BI477="SI")</f><v /></c><c r="BK477" s="15"><f>IF(BJ477=FALSE,"SIGDIFERENTES","SIGIGUALES")</f><v /></c><c r="BL477" s="22"><f>IF(BC477="NO CONFORME","NO CONFORME",IF(BB477="CONFORME","CONFORME","NO CONFORME"))</f><v /></c></row><row r="478" ht="15.75" customHeight="1" thickBot="1"><c r="A478" s="37" t="n"><v>470</v></c><c r="B478" s="324"><f>B477</f><v /></c><c r="C478" s="324"><f>C477</f><v /></c><c r="D478" s="94"><f>D477</f><v /></c><c r="E478" s="95"><f>E477</f><v /></c><c r="F478" s="13" t="n" /><c r="G478" s="312" t="n" /><c r="H478" s="326"><f>H477</f><v /></c><c r="I478" s="98"><f>I477</f><v /></c><c r="J478" s="327"><f>J477</f><v /></c><c r="K478" s="327"><f>K477</f><v /></c><c r="L478" s="327"><f>L477</f><v /></c><c r="M478" s="45" t="n" /><c r="N478" s="45" t="n" /><c r="O478" s="100"><f>O477</f><v /></c><c r="P478" s="328"><f>P477</f><v /></c><c r="Q478" s="11"><f>LEFT(P478,1)</f><v /></c><c r="R478" s="11"><f>RIGHT(P478,6)</f><v /></c><c r="S478" s="11"><f>+(Q478*60+R478)/(60*60)</f><v /></c><c r="T478" s="14"><f>+O478/S478</f><v /></c><c r="U478" s="316"><f>+(((N478-M478-O478)/O478)*100)</f><v /></c><c r="V478" s="329"><f>V477</f><v /></c><c r="W478" s="329"><f>W477</f><v /></c><c r="X478" s="330"><f>X477</f><v /></c><c r="Y478" s="45" t="n" /><c r="Z478" s="45" t="n" /><c r="AA478" s="331"><f>AA477</f><v /></c><c r="AB478" s="332"><f>AB477</f><v /></c><c r="AC478" s="11"><f>LEFT(AB478,2)</f><v /></c><c r="AD478" s="11"><f>RIGHT(AB478,6)</f><v /></c><c r="AE478" s="11"><f>+(AC478*60+AD478)/(60*60)</f><v /></c><c r="AF478" s="14"><f>+AA478/AE478</f><v /></c><c r="AG478" s="321"><f>+(((Z478-Y478-AA478)/AA478)*100)</f><v /></c><c r="AH478" s="329"><f>AH477</f><v /></c><c r="AI478" s="329"><f>AI477</f><v /></c><c r="AJ478" s="329"><f>AJ477</f><v /></c><c r="AK478" s="53"><f>Z478</f><v /></c><c r="AL478" s="45" t="n" /><c r="AM478" s="333"><f>AM477</f><v /></c><c r="AN478" s="328"><f>AN477</f><v /></c><c r="AO478" s="11"><f>LEFT(AN478,2)</f><v /></c><c r="AP478" s="11"><f>RIGHT(AN478,6)</f><v /></c><c r="AQ478" s="11"><f>+(AO478*60+AP478)/(60*60)</f><v /></c><c r="AR478" s="14"><f>+AM478/AQ478</f><v /></c><c r="AS478" s="321"><f>+(((AL478-AK478-AM478)/AM478)*100)</f><v /></c><c r="AT478" s="43"><f>IF(I478&gt;=1,"NO CONFORME",IF(BK478="SIGDIFERENTES",BC478,BL478))</f><v /></c><c r="AU478" s="8"><f>B478=C478</f><v /></c><c r="AV478" s="8"><f>N478&lt;Y478</f><v /></c><c r="AW478" s="8"><f>Z478&lt;=AK478</f><v /></c><c r="AX478" s="8"><f>IF(I478&gt;=1,"Qcorrecto",IF(AND(AY478="aceptable",AZ478="aceptable",BA478="aceptable"),"Qcorrecto","Qincorrecto"))</f><v /></c><c r="AY478" s="22"><f>IF(AR478&lt;$AH$6,"error",IF(AR478&gt;$AH$6*1.1,"error","aceptable"))</f><v /></c><c r="AZ478" s="22"><f>IF(AF478&lt;$V$6,"error",IF(AF478&gt;$V$6*1.1,"error","aceptable"))</f><v /></c><c r="BA478" s="22"><f>IF(T478&lt;$J$6*0.9,"error",IF(T478&gt;$J$6,"error","aceptable"))</f><v /></c><c r="BB478" s="25"><f>(IF(ABS(U478)&lt;1.05,"CONFORME",IF(ABS(AG478)&lt;1.05,"CONFORME",IF(ABS(AS478)&lt;2.55,"CONFORME","NO CONFORME"))))</f><v /></c><c r="BC478" s="5"><f>(IF(ABS(U478)&gt;2.05,"NO CONFORME",IF(ABS(AG478)&gt;2.05,"NO CONFORME",IF(ABS(AS478)&gt;5.05,"NO CONFORME","CONFORME"))))</f><v /></c><c r="BD478" s="15"><f>SIGN(U478)</f><v /></c><c r="BE478" s="15"><f>SIGN(AG478)</f><v /></c><c r="BF478" s="15"><f>SIGN(AS478)</f><v /></c><c r="BG478" s="15"><f>CONCATENATE(BD478,BE478,BF478)</f><v /></c><c r="BH478" s="15"><f>IF(BG478="111","SI","SD")</f><v /></c><c r="BI478" s="15"><f>IF(BG478="-1-1-1","SI","SD")</f><v /></c><c r="BJ478" s="15"><f>OR(BH478="SI",BI478="SI")</f><v /></c><c r="BK478" s="15"><f>IF(BJ478=FALSE,"SIGDIFERENTES","SIGIGUALES")</f><v /></c><c r="BL478" s="22"><f>IF(BC478="NO CONFORME","NO CONFORME",IF(BB478="CONFORME","CONFORME","NO CONFORME"))</f><v /></c></row><row r="479" ht="15.75" customHeight="1" thickBot="1"><c r="A479" s="37" t="n"><v>471</v></c><c r="B479" s="324"><f>B478</f><v /></c><c r="C479" s="324"><f>C478</f><v /></c><c r="D479" s="94"><f>D478</f><v /></c><c r="E479" s="95"><f>E478</f><v /></c><c r="F479" s="13" t="n" /><c r="G479" s="312" t="n" /><c r="H479" s="326"><f>H478</f><v /></c><c r="I479" s="98"><f>I478</f><v /></c><c r="J479" s="327"><f>J478</f><v /></c><c r="K479" s="327"><f>K478</f><v /></c><c r="L479" s="327"><f>L478</f><v /></c><c r="M479" s="45" t="n" /><c r="N479" s="45" t="n" /><c r="O479" s="100"><f>O478</f><v /></c><c r="P479" s="328"><f>P478</f><v /></c><c r="Q479" s="11"><f>LEFT(P479,1)</f><v /></c><c r="R479" s="11"><f>RIGHT(P479,6)</f><v /></c><c r="S479" s="11"><f>+(Q479*60+R479)/(60*60)</f><v /></c><c r="T479" s="14"><f>+O479/S479</f><v /></c><c r="U479" s="316"><f>+(((N479-M479-O479)/O479)*100)</f><v /></c><c r="V479" s="329"><f>V478</f><v /></c><c r="W479" s="329"><f>W478</f><v /></c><c r="X479" s="330"><f>X478</f><v /></c><c r="Y479" s="45" t="n" /><c r="Z479" s="45" t="n" /><c r="AA479" s="331"><f>AA478</f><v /></c><c r="AB479" s="332"><f>AB478</f><v /></c><c r="AC479" s="11"><f>LEFT(AB479,2)</f><v /></c><c r="AD479" s="11"><f>RIGHT(AB479,6)</f><v /></c><c r="AE479" s="11"><f>+(AC479*60+AD479)/(60*60)</f><v /></c><c r="AF479" s="14"><f>+AA479/AE479</f><v /></c><c r="AG479" s="321"><f>+(((Z479-Y479-AA479)/AA479)*100)</f><v /></c><c r="AH479" s="329"><f>AH478</f><v /></c><c r="AI479" s="329"><f>AI478</f><v /></c><c r="AJ479" s="329"><f>AJ478</f><v /></c><c r="AK479" s="53"><f>Z479</f><v /></c><c r="AL479" s="45" t="n" /><c r="AM479" s="333"><f>AM478</f><v /></c><c r="AN479" s="328"><f>AN478</f><v /></c><c r="AO479" s="11"><f>LEFT(AN479,2)</f><v /></c><c r="AP479" s="11"><f>RIGHT(AN479,6)</f><v /></c><c r="AQ479" s="11"><f>+(AO479*60+AP479)/(60*60)</f><v /></c><c r="AR479" s="14"><f>+AM479/AQ479</f><v /></c><c r="AS479" s="321"><f>+(((AL479-AK479-AM479)/AM479)*100)</f><v /></c><c r="AT479" s="43"><f>IF(I479&gt;=1,"NO CONFORME",IF(BK479="SIGDIFERENTES",BC479,BL479))</f><v /></c><c r="AU479" s="8"><f>B479=C479</f><v /></c><c r="AV479" s="8"><f>N479&lt;Y479</f><v /></c><c r="AW479" s="8"><f>Z479&lt;=AK479</f><v /></c><c r="AX479" s="8"><f>IF(I479&gt;=1,"Qcorrecto",IF(AND(AY479="aceptable",AZ479="aceptable",BA479="aceptable"),"Qcorrecto","Qincorrecto"))</f><v /></c><c r="AY479" s="22"><f>IF(AR479&lt;$AH$6,"error",IF(AR479&gt;$AH$6*1.1,"error","aceptable"))</f><v /></c><c r="AZ479" s="22"><f>IF(AF479&lt;$V$6,"error",IF(AF479&gt;$V$6*1.1,"error","aceptable"))</f><v /></c><c r="BA479" s="22"><f>IF(T479&lt;$J$6*0.9,"error",IF(T479&gt;$J$6,"error","aceptable"))</f><v /></c><c r="BB479" s="25"><f>(IF(ABS(U479)&lt;1.05,"CONFORME",IF(ABS(AG479)&lt;1.05,"CONFORME",IF(ABS(AS479)&lt;2.55,"CONFORME","NO CONFORME"))))</f><v /></c><c r="BC479" s="5"><f>(IF(ABS(U479)&gt;2.05,"NO CONFORME",IF(ABS(AG479)&gt;2.05,"NO CONFORME",IF(ABS(AS479)&gt;5.05,"NO CONFORME","CONFORME"))))</f><v /></c><c r="BD479" s="15"><f>SIGN(U479)</f><v /></c><c r="BE479" s="15"><f>SIGN(AG479)</f><v /></c><c r="BF479" s="15"><f>SIGN(AS479)</f><v /></c><c r="BG479" s="15"><f>CONCATENATE(BD479,BE479,BF479)</f><v /></c><c r="BH479" s="15"><f>IF(BG479="111","SI","SD")</f><v /></c><c r="BI479" s="15"><f>IF(BG479="-1-1-1","SI","SD")</f><v /></c><c r="BJ479" s="15"><f>OR(BH479="SI",BI479="SI")</f><v /></c><c r="BK479" s="15"><f>IF(BJ479=FALSE,"SIGDIFERENTES","SIGIGUALES")</f><v /></c><c r="BL479" s="22"><f>IF(BC479="NO CONFORME","NO CONFORME",IF(BB479="CONFORME","CONFORME","NO CONFORME"))</f><v /></c></row><row r="480" ht="15.75" customHeight="1" thickBot="1"><c r="A480" s="37" t="n"><v>472</v></c><c r="B480" s="324"><f>B479</f><v /></c><c r="C480" s="324"><f>C479</f><v /></c><c r="D480" s="94"><f>D479</f><v /></c><c r="E480" s="95"><f>E479</f><v /></c><c r="F480" s="13" t="n" /><c r="G480" s="312" t="n" /><c r="H480" s="326"><f>H479</f><v /></c><c r="I480" s="98"><f>I479</f><v /></c><c r="J480" s="327"><f>J479</f><v /></c><c r="K480" s="327"><f>K479</f><v /></c><c r="L480" s="327"><f>L479</f><v /></c><c r="M480" s="45" t="n" /><c r="N480" s="45" t="n" /><c r="O480" s="100"><f>O479</f><v /></c><c r="P480" s="328"><f>P479</f><v /></c><c r="Q480" s="11"><f>LEFT(P480,1)</f><v /></c><c r="R480" s="11"><f>RIGHT(P480,6)</f><v /></c><c r="S480" s="11"><f>+(Q480*60+R480)/(60*60)</f><v /></c><c r="T480" s="14"><f>+O480/S480</f><v /></c><c r="U480" s="316"><f>+(((N480-M480-O480)/O480)*100)</f><v /></c><c r="V480" s="329"><f>V479</f><v /></c><c r="W480" s="329"><f>W479</f><v /></c><c r="X480" s="330"><f>X479</f><v /></c><c r="Y480" s="45" t="n" /><c r="Z480" s="45" t="n" /><c r="AA480" s="331"><f>AA479</f><v /></c><c r="AB480" s="332"><f>AB479</f><v /></c><c r="AC480" s="11"><f>LEFT(AB480,2)</f><v /></c><c r="AD480" s="11"><f>RIGHT(AB480,6)</f><v /></c><c r="AE480" s="11"><f>+(AC480*60+AD480)/(60*60)</f><v /></c><c r="AF480" s="14"><f>+AA480/AE480</f><v /></c><c r="AG480" s="321"><f>+(((Z480-Y480-AA480)/AA480)*100)</f><v /></c><c r="AH480" s="329"><f>AH479</f><v /></c><c r="AI480" s="329"><f>AI479</f><v /></c><c r="AJ480" s="329"><f>AJ479</f><v /></c><c r="AK480" s="53"><f>Z480</f><v /></c><c r="AL480" s="45" t="n" /><c r="AM480" s="333"><f>AM479</f><v /></c><c r="AN480" s="328"><f>AN479</f><v /></c><c r="AO480" s="11"><f>LEFT(AN480,2)</f><v /></c><c r="AP480" s="11"><f>RIGHT(AN480,6)</f><v /></c><c r="AQ480" s="11"><f>+(AO480*60+AP480)/(60*60)</f><v /></c><c r="AR480" s="14"><f>+AM480/AQ480</f><v /></c><c r="AS480" s="321"><f>+(((AL480-AK480-AM480)/AM480)*100)</f><v /></c><c r="AT480" s="43"><f>IF(I480&gt;=1,"NO CONFORME",IF(BK480="SIGDIFERENTES",BC480,BL480))</f><v /></c><c r="AU480" s="8"><f>B480=C480</f><v /></c><c r="AV480" s="8"><f>N480&lt;Y480</f><v /></c><c r="AW480" s="8"><f>Z480&lt;=AK480</f><v /></c><c r="AX480" s="8"><f>IF(I480&gt;=1,"Qcorrecto",IF(AND(AY480="aceptable",AZ480="aceptable",BA480="aceptable"),"Qcorrecto","Qincorrecto"))</f><v /></c><c r="AY480" s="22"><f>IF(AR480&lt;$AH$6,"error",IF(AR480&gt;$AH$6*1.1,"error","aceptable"))</f><v /></c><c r="AZ480" s="22"><f>IF(AF480&lt;$V$6,"error",IF(AF480&gt;$V$6*1.1,"error","aceptable"))</f><v /></c><c r="BA480" s="22"><f>IF(T480&lt;$J$6*0.9,"error",IF(T480&gt;$J$6,"error","aceptable"))</f><v /></c><c r="BB480" s="25"><f>(IF(ABS(U480)&lt;1.05,"CONFORME",IF(ABS(AG480)&lt;1.05,"CONFORME",IF(ABS(AS480)&lt;2.55,"CONFORME","NO CONFORME"))))</f><v /></c><c r="BC480" s="5"><f>(IF(ABS(U480)&gt;2.05,"NO CONFORME",IF(ABS(AG480)&gt;2.05,"NO CONFORME",IF(ABS(AS480)&gt;5.05,"NO CONFORME","CONFORME"))))</f><v /></c><c r="BD480" s="15"><f>SIGN(U480)</f><v /></c><c r="BE480" s="15"><f>SIGN(AG480)</f><v /></c><c r="BF480" s="15"><f>SIGN(AS480)</f><v /></c><c r="BG480" s="15"><f>CONCATENATE(BD480,BE480,BF480)</f><v /></c><c r="BH480" s="15"><f>IF(BG480="111","SI","SD")</f><v /></c><c r="BI480" s="15"><f>IF(BG480="-1-1-1","SI","SD")</f><v /></c><c r="BJ480" s="15"><f>OR(BH480="SI",BI480="SI")</f><v /></c><c r="BK480" s="15"><f>IF(BJ480=FALSE,"SIGDIFERENTES","SIGIGUALES")</f><v /></c><c r="BL480" s="22"><f>IF(BC480="NO CONFORME","NO CONFORME",IF(BB480="CONFORME","CONFORME","NO CONFORME"))</f><v /></c></row><row r="481" ht="15.75" customHeight="1" thickBot="1"><c r="A481" s="37" t="n"><v>473</v></c><c r="B481" s="324"><f>B480</f><v /></c><c r="C481" s="324"><f>C480</f><v /></c><c r="D481" s="94"><f>D480</f><v /></c><c r="E481" s="95"><f>E480</f><v /></c><c r="F481" s="13" t="n" /><c r="G481" s="312" t="n" /><c r="H481" s="326"><f>H480</f><v /></c><c r="I481" s="98"><f>I480</f><v /></c><c r="J481" s="327"><f>J480</f><v /></c><c r="K481" s="327"><f>K480</f><v /></c><c r="L481" s="327"><f>L480</f><v /></c><c r="M481" s="45" t="n" /><c r="N481" s="45" t="n" /><c r="O481" s="100"><f>O480</f><v /></c><c r="P481" s="328"><f>P480</f><v /></c><c r="Q481" s="11"><f>LEFT(P481,1)</f><v /></c><c r="R481" s="11"><f>RIGHT(P481,6)</f><v /></c><c r="S481" s="11"><f>+(Q481*60+R481)/(60*60)</f><v /></c><c r="T481" s="14"><f>+O481/S481</f><v /></c><c r="U481" s="316"><f>+(((N481-M481-O481)/O481)*100)</f><v /></c><c r="V481" s="329"><f>V480</f><v /></c><c r="W481" s="329"><f>W480</f><v /></c><c r="X481" s="330"><f>X480</f><v /></c><c r="Y481" s="45" t="n" /><c r="Z481" s="45" t="n" /><c r="AA481" s="331"><f>AA480</f><v /></c><c r="AB481" s="332"><f>AB480</f><v /></c><c r="AC481" s="11"><f>LEFT(AB481,2)</f><v /></c><c r="AD481" s="11"><f>RIGHT(AB481,6)</f><v /></c><c r="AE481" s="11"><f>+(AC481*60+AD481)/(60*60)</f><v /></c><c r="AF481" s="14"><f>+AA481/AE481</f><v /></c><c r="AG481" s="321"><f>+(((Z481-Y481-AA481)/AA481)*100)</f><v /></c><c r="AH481" s="329"><f>AH480</f><v /></c><c r="AI481" s="329"><f>AI480</f><v /></c><c r="AJ481" s="329"><f>AJ480</f><v /></c><c r="AK481" s="53"><f>Z481</f><v /></c><c r="AL481" s="45" t="n" /><c r="AM481" s="333"><f>AM480</f><v /></c><c r="AN481" s="328"><f>AN480</f><v /></c><c r="AO481" s="11"><f>LEFT(AN481,2)</f><v /></c><c r="AP481" s="11"><f>RIGHT(AN481,6)</f><v /></c><c r="AQ481" s="11"><f>+(AO481*60+AP481)/(60*60)</f><v /></c><c r="AR481" s="14"><f>+AM481/AQ481</f><v /></c><c r="AS481" s="321"><f>+(((AL481-AK481-AM481)/AM481)*100)</f><v /></c><c r="AT481" s="43"><f>IF(I481&gt;=1,"NO CONFORME",IF(BK481="SIGDIFERENTES",BC481,BL481))</f><v /></c><c r="AU481" s="8"><f>B481=C481</f><v /></c><c r="AV481" s="8"><f>N481&lt;Y481</f><v /></c><c r="AW481" s="8"><f>Z481&lt;=AK481</f><v /></c><c r="AX481" s="8"><f>IF(I481&gt;=1,"Qcorrecto",IF(AND(AY481="aceptable",AZ481="aceptable",BA481="aceptable"),"Qcorrecto","Qincorrecto"))</f><v /></c><c r="AY481" s="22"><f>IF(AR481&lt;$AH$6,"error",IF(AR481&gt;$AH$6*1.1,"error","aceptable"))</f><v /></c><c r="AZ481" s="22"><f>IF(AF481&lt;$V$6,"error",IF(AF481&gt;$V$6*1.1,"error","aceptable"))</f><v /></c><c r="BA481" s="22"><f>IF(T481&lt;$J$6*0.9,"error",IF(T481&gt;$J$6,"error","aceptable"))</f><v /></c><c r="BB481" s="25"><f>(IF(ABS(U481)&lt;1.05,"CONFORME",IF(ABS(AG481)&lt;1.05,"CONFORME",IF(ABS(AS481)&lt;2.55,"CONFORME","NO CONFORME"))))</f><v /></c><c r="BC481" s="5"><f>(IF(ABS(U481)&gt;2.05,"NO CONFORME",IF(ABS(AG481)&gt;2.05,"NO CONFORME",IF(ABS(AS481)&gt;5.05,"NO CONFORME","CONFORME"))))</f><v /></c><c r="BD481" s="15"><f>SIGN(U481)</f><v /></c><c r="BE481" s="15"><f>SIGN(AG481)</f><v /></c><c r="BF481" s="15"><f>SIGN(AS481)</f><v /></c><c r="BG481" s="15"><f>CONCATENATE(BD481,BE481,BF481)</f><v /></c><c r="BH481" s="15"><f>IF(BG481="111","SI","SD")</f><v /></c><c r="BI481" s="15"><f>IF(BG481="-1-1-1","SI","SD")</f><v /></c><c r="BJ481" s="15"><f>OR(BH481="SI",BI481="SI")</f><v /></c><c r="BK481" s="15"><f>IF(BJ481=FALSE,"SIGDIFERENTES","SIGIGUALES")</f><v /></c><c r="BL481" s="22"><f>IF(BC481="NO CONFORME","NO CONFORME",IF(BB481="CONFORME","CONFORME","NO CONFORME"))</f><v /></c></row><row r="482" ht="15.75" customHeight="1" thickBot="1"><c r="A482" s="37" t="n"><v>474</v></c><c r="B482" s="324"><f>B481</f><v /></c><c r="C482" s="324"><f>C481</f><v /></c><c r="D482" s="94"><f>D481</f><v /></c><c r="E482" s="95"><f>E481</f><v /></c><c r="F482" s="13" t="n" /><c r="G482" s="312" t="n" /><c r="H482" s="326"><f>H481</f><v /></c><c r="I482" s="98"><f>I481</f><v /></c><c r="J482" s="327"><f>J481</f><v /></c><c r="K482" s="327"><f>K481</f><v /></c><c r="L482" s="327"><f>L481</f><v /></c><c r="M482" s="45" t="n" /><c r="N482" s="45" t="n" /><c r="O482" s="100"><f>O481</f><v /></c><c r="P482" s="328"><f>P481</f><v /></c><c r="Q482" s="11"><f>LEFT(P482,1)</f><v /></c><c r="R482" s="11"><f>RIGHT(P482,6)</f><v /></c><c r="S482" s="11"><f>+(Q482*60+R482)/(60*60)</f><v /></c><c r="T482" s="14"><f>+O482/S482</f><v /></c><c r="U482" s="316"><f>+(((N482-M482-O482)/O482)*100)</f><v /></c><c r="V482" s="329"><f>V481</f><v /></c><c r="W482" s="329"><f>W481</f><v /></c><c r="X482" s="330"><f>X481</f><v /></c><c r="Y482" s="45" t="n" /><c r="Z482" s="45" t="n" /><c r="AA482" s="331"><f>AA481</f><v /></c><c r="AB482" s="332"><f>AB481</f><v /></c><c r="AC482" s="11"><f>LEFT(AB482,2)</f><v /></c><c r="AD482" s="11"><f>RIGHT(AB482,6)</f><v /></c><c r="AE482" s="11"><f>+(AC482*60+AD482)/(60*60)</f><v /></c><c r="AF482" s="14"><f>+AA482/AE482</f><v /></c><c r="AG482" s="321"><f>+(((Z482-Y482-AA482)/AA482)*100)</f><v /></c><c r="AH482" s="329"><f>AH481</f><v /></c><c r="AI482" s="329"><f>AI481</f><v /></c><c r="AJ482" s="329"><f>AJ481</f><v /></c><c r="AK482" s="53"><f>Z482</f><v /></c><c r="AL482" s="45" t="n" /><c r="AM482" s="333"><f>AM481</f><v /></c><c r="AN482" s="328"><f>AN481</f><v /></c><c r="AO482" s="11"><f>LEFT(AN482,2)</f><v /></c><c r="AP482" s="11"><f>RIGHT(AN482,6)</f><v /></c><c r="AQ482" s="11"><f>+(AO482*60+AP482)/(60*60)</f><v /></c><c r="AR482" s="14"><f>+AM482/AQ482</f><v /></c><c r="AS482" s="321"><f>+(((AL482-AK482-AM482)/AM482)*100)</f><v /></c><c r="AT482" s="43"><f>IF(I482&gt;=1,"NO CONFORME",IF(BK482="SIGDIFERENTES",BC482,BL482))</f><v /></c><c r="AU482" s="8"><f>B482=C482</f><v /></c><c r="AV482" s="8"><f>N482&lt;Y482</f><v /></c><c r="AW482" s="8"><f>Z482&lt;=AK482</f><v /></c><c r="AX482" s="8"><f>IF(I482&gt;=1,"Qcorrecto",IF(AND(AY482="aceptable",AZ482="aceptable",BA482="aceptable"),"Qcorrecto","Qincorrecto"))</f><v /></c><c r="AY482" s="22"><f>IF(AR482&lt;$AH$6,"error",IF(AR482&gt;$AH$6*1.1,"error","aceptable"))</f><v /></c><c r="AZ482" s="22"><f>IF(AF482&lt;$V$6,"error",IF(AF482&gt;$V$6*1.1,"error","aceptable"))</f><v /></c><c r="BA482" s="22"><f>IF(T482&lt;$J$6*0.9,"error",IF(T482&gt;$J$6,"error","aceptable"))</f><v /></c><c r="BB482" s="25"><f>(IF(ABS(U482)&lt;1.05,"CONFORME",IF(ABS(AG482)&lt;1.05,"CONFORME",IF(ABS(AS482)&lt;2.55,"CONFORME","NO CONFORME"))))</f><v /></c><c r="BC482" s="5"><f>(IF(ABS(U482)&gt;2.05,"NO CONFORME",IF(ABS(AG482)&gt;2.05,"NO CONFORME",IF(ABS(AS482)&gt;5.05,"NO CONFORME","CONFORME"))))</f><v /></c><c r="BD482" s="15"><f>SIGN(U482)</f><v /></c><c r="BE482" s="15"><f>SIGN(AG482)</f><v /></c><c r="BF482" s="15"><f>SIGN(AS482)</f><v /></c><c r="BG482" s="15"><f>CONCATENATE(BD482,BE482,BF482)</f><v /></c><c r="BH482" s="15"><f>IF(BG482="111","SI","SD")</f><v /></c><c r="BI482" s="15"><f>IF(BG482="-1-1-1","SI","SD")</f><v /></c><c r="BJ482" s="15"><f>OR(BH482="SI",BI482="SI")</f><v /></c><c r="BK482" s="15"><f>IF(BJ482=FALSE,"SIGDIFERENTES","SIGIGUALES")</f><v /></c><c r="BL482" s="22"><f>IF(BC482="NO CONFORME","NO CONFORME",IF(BB482="CONFORME","CONFORME","NO CONFORME"))</f><v /></c></row><row r="483" ht="15.75" customHeight="1" thickBot="1"><c r="A483" s="37" t="n"><v>475</v></c><c r="B483" s="324"><f>B482</f><v /></c><c r="C483" s="324"><f>C482</f><v /></c><c r="D483" s="94"><f>D482</f><v /></c><c r="E483" s="95"><f>E482</f><v /></c><c r="F483" s="13" t="n" /><c r="G483" s="312" t="n" /><c r="H483" s="326"><f>H482</f><v /></c><c r="I483" s="98"><f>I482</f><v /></c><c r="J483" s="327"><f>J482</f><v /></c><c r="K483" s="327"><f>K482</f><v /></c><c r="L483" s="327"><f>L482</f><v /></c><c r="M483" s="45" t="n" /><c r="N483" s="45" t="n" /><c r="O483" s="100"><f>O482</f><v /></c><c r="P483" s="328"><f>P482</f><v /></c><c r="Q483" s="11"><f>LEFT(P483,1)</f><v /></c><c r="R483" s="11"><f>RIGHT(P483,6)</f><v /></c><c r="S483" s="11"><f>+(Q483*60+R483)/(60*60)</f><v /></c><c r="T483" s="14"><f>+O483/S483</f><v /></c><c r="U483" s="316"><f>+(((N483-M483-O483)/O483)*100)</f><v /></c><c r="V483" s="329"><f>V482</f><v /></c><c r="W483" s="329"><f>W482</f><v /></c><c r="X483" s="330"><f>X482</f><v /></c><c r="Y483" s="45" t="n" /><c r="Z483" s="45" t="n" /><c r="AA483" s="331"><f>AA482</f><v /></c><c r="AB483" s="332"><f>AB482</f><v /></c><c r="AC483" s="11"><f>LEFT(AB483,2)</f><v /></c><c r="AD483" s="11"><f>RIGHT(AB483,6)</f><v /></c><c r="AE483" s="11"><f>+(AC483*60+AD483)/(60*60)</f><v /></c><c r="AF483" s="14"><f>+AA483/AE483</f><v /></c><c r="AG483" s="321"><f>+(((Z483-Y483-AA483)/AA483)*100)</f><v /></c><c r="AH483" s="329"><f>AH482</f><v /></c><c r="AI483" s="329"><f>AI482</f><v /></c><c r="AJ483" s="329"><f>AJ482</f><v /></c><c r="AK483" s="53"><f>Z483</f><v /></c><c r="AL483" s="45" t="n" /><c r="AM483" s="333"><f>AM482</f><v /></c><c r="AN483" s="328"><f>AN482</f><v /></c><c r="AO483" s="11"><f>LEFT(AN483,2)</f><v /></c><c r="AP483" s="11"><f>RIGHT(AN483,6)</f><v /></c><c r="AQ483" s="11"><f>+(AO483*60+AP483)/(60*60)</f><v /></c><c r="AR483" s="14"><f>+AM483/AQ483</f><v /></c><c r="AS483" s="321"><f>+(((AL483-AK483-AM483)/AM483)*100)</f><v /></c><c r="AT483" s="43"><f>IF(I483&gt;=1,"NO CONFORME",IF(BK483="SIGDIFERENTES",BC483,BL483))</f><v /></c><c r="AU483" s="8"><f>B483=C483</f><v /></c><c r="AV483" s="8"><f>N483&lt;Y483</f><v /></c><c r="AW483" s="8"><f>Z483&lt;=AK483</f><v /></c><c r="AX483" s="8"><f>IF(I483&gt;=1,"Qcorrecto",IF(AND(AY483="aceptable",AZ483="aceptable",BA483="aceptable"),"Qcorrecto","Qincorrecto"))</f><v /></c><c r="AY483" s="22"><f>IF(AR483&lt;$AH$6,"error",IF(AR483&gt;$AH$6*1.1,"error","aceptable"))</f><v /></c><c r="AZ483" s="22"><f>IF(AF483&lt;$V$6,"error",IF(AF483&gt;$V$6*1.1,"error","aceptable"))</f><v /></c><c r="BA483" s="22"><f>IF(T483&lt;$J$6*0.9,"error",IF(T483&gt;$J$6,"error","aceptable"))</f><v /></c><c r="BB483" s="25"><f>(IF(ABS(U483)&lt;1.05,"CONFORME",IF(ABS(AG483)&lt;1.05,"CONFORME",IF(ABS(AS483)&lt;2.55,"CONFORME","NO CONFORME"))))</f><v /></c><c r="BC483" s="5"><f>(IF(ABS(U483)&gt;2.05,"NO CONFORME",IF(ABS(AG483)&gt;2.05,"NO CONFORME",IF(ABS(AS483)&gt;5.05,"NO CONFORME","CONFORME"))))</f><v /></c><c r="BD483" s="15"><f>SIGN(U483)</f><v /></c><c r="BE483" s="15"><f>SIGN(AG483)</f><v /></c><c r="BF483" s="15"><f>SIGN(AS483)</f><v /></c><c r="BG483" s="15"><f>CONCATENATE(BD483,BE483,BF483)</f><v /></c><c r="BH483" s="15"><f>IF(BG483="111","SI","SD")</f><v /></c><c r="BI483" s="15"><f>IF(BG483="-1-1-1","SI","SD")</f><v /></c><c r="BJ483" s="15"><f>OR(BH483="SI",BI483="SI")</f><v /></c><c r="BK483" s="15"><f>IF(BJ483=FALSE,"SIGDIFERENTES","SIGIGUALES")</f><v /></c><c r="BL483" s="22"><f>IF(BC483="NO CONFORME","NO CONFORME",IF(BB483="CONFORME","CONFORME","NO CONFORME"))</f><v /></c></row><row r="484" ht="15.75" customHeight="1" thickBot="1"><c r="A484" s="37" t="n"><v>476</v></c><c r="B484" s="324"><f>B483</f><v /></c><c r="C484" s="324"><f>C483</f><v /></c><c r="D484" s="94"><f>D483</f><v /></c><c r="E484" s="95"><f>E483</f><v /></c><c r="F484" s="13" t="n" /><c r="G484" s="312" t="n" /><c r="H484" s="326"><f>H483</f><v /></c><c r="I484" s="98"><f>I483</f><v /></c><c r="J484" s="327"><f>J483</f><v /></c><c r="K484" s="327"><f>K483</f><v /></c><c r="L484" s="327"><f>L483</f><v /></c><c r="M484" s="45" t="n" /><c r="N484" s="45" t="n" /><c r="O484" s="100"><f>O483</f><v /></c><c r="P484" s="328"><f>P483</f><v /></c><c r="Q484" s="11"><f>LEFT(P484,1)</f><v /></c><c r="R484" s="11"><f>RIGHT(P484,6)</f><v /></c><c r="S484" s="11"><f>+(Q484*60+R484)/(60*60)</f><v /></c><c r="T484" s="14"><f>+O484/S484</f><v /></c><c r="U484" s="316"><f>+(((N484-M484-O484)/O484)*100)</f><v /></c><c r="V484" s="329"><f>V483</f><v /></c><c r="W484" s="329"><f>W483</f><v /></c><c r="X484" s="330"><f>X483</f><v /></c><c r="Y484" s="45" t="n" /><c r="Z484" s="45" t="n" /><c r="AA484" s="331"><f>AA483</f><v /></c><c r="AB484" s="332"><f>AB483</f><v /></c><c r="AC484" s="11"><f>LEFT(AB484,2)</f><v /></c><c r="AD484" s="11"><f>RIGHT(AB484,6)</f><v /></c><c r="AE484" s="11"><f>+(AC484*60+AD484)/(60*60)</f><v /></c><c r="AF484" s="14"><f>+AA484/AE484</f><v /></c><c r="AG484" s="321"><f>+(((Z484-Y484-AA484)/AA484)*100)</f><v /></c><c r="AH484" s="329"><f>AH483</f><v /></c><c r="AI484" s="329"><f>AI483</f><v /></c><c r="AJ484" s="329"><f>AJ483</f><v /></c><c r="AK484" s="53"><f>Z484</f><v /></c><c r="AL484" s="45" t="n" /><c r="AM484" s="333"><f>AM483</f><v /></c><c r="AN484" s="328"><f>AN483</f><v /></c><c r="AO484" s="11"><f>LEFT(AN484,2)</f><v /></c><c r="AP484" s="11"><f>RIGHT(AN484,6)</f><v /></c><c r="AQ484" s="11"><f>+(AO484*60+AP484)/(60*60)</f><v /></c><c r="AR484" s="14"><f>+AM484/AQ484</f><v /></c><c r="AS484" s="321"><f>+(((AL484-AK484-AM484)/AM484)*100)</f><v /></c><c r="AT484" s="43"><f>IF(I484&gt;=1,"NO CONFORME",IF(BK484="SIGDIFERENTES",BC484,BL484))</f><v /></c><c r="AU484" s="8"><f>B484=C484</f><v /></c><c r="AV484" s="8"><f>N484&lt;Y484</f><v /></c><c r="AW484" s="8"><f>Z484&lt;=AK484</f><v /></c><c r="AX484" s="8"><f>IF(I484&gt;=1,"Qcorrecto",IF(AND(AY484="aceptable",AZ484="aceptable",BA484="aceptable"),"Qcorrecto","Qincorrecto"))</f><v /></c><c r="AY484" s="22"><f>IF(AR484&lt;$AH$6,"error",IF(AR484&gt;$AH$6*1.1,"error","aceptable"))</f><v /></c><c r="AZ484" s="22"><f>IF(AF484&lt;$V$6,"error",IF(AF484&gt;$V$6*1.1,"error","aceptable"))</f><v /></c><c r="BA484" s="22"><f>IF(T484&lt;$J$6*0.9,"error",IF(T484&gt;$J$6,"error","aceptable"))</f><v /></c><c r="BB484" s="25"><f>(IF(ABS(U484)&lt;1.05,"CONFORME",IF(ABS(AG484)&lt;1.05,"CONFORME",IF(ABS(AS484)&lt;2.55,"CONFORME","NO CONFORME"))))</f><v /></c><c r="BC484" s="5"><f>(IF(ABS(U484)&gt;2.05,"NO CONFORME",IF(ABS(AG484)&gt;2.05,"NO CONFORME",IF(ABS(AS484)&gt;5.05,"NO CONFORME","CONFORME"))))</f><v /></c><c r="BD484" s="15"><f>SIGN(U484)</f><v /></c><c r="BE484" s="15"><f>SIGN(AG484)</f><v /></c><c r="BF484" s="15"><f>SIGN(AS484)</f><v /></c><c r="BG484" s="15"><f>CONCATENATE(BD484,BE484,BF484)</f><v /></c><c r="BH484" s="15"><f>IF(BG484="111","SI","SD")</f><v /></c><c r="BI484" s="15"><f>IF(BG484="-1-1-1","SI","SD")</f><v /></c><c r="BJ484" s="15"><f>OR(BH484="SI",BI484="SI")</f><v /></c><c r="BK484" s="15"><f>IF(BJ484=FALSE,"SIGDIFERENTES","SIGIGUALES")</f><v /></c><c r="BL484" s="22"><f>IF(BC484="NO CONFORME","NO CONFORME",IF(BB484="CONFORME","CONFORME","NO CONFORME"))</f><v /></c></row><row r="485" ht="15.75" customHeight="1" thickBot="1"><c r="A485" s="37" t="n"><v>477</v></c><c r="B485" s="324"><f>B484</f><v /></c><c r="C485" s="324"><f>C484</f><v /></c><c r="D485" s="94"><f>D484</f><v /></c><c r="E485" s="95"><f>E484</f><v /></c><c r="F485" s="13" t="n" /><c r="G485" s="312" t="n" /><c r="H485" s="326"><f>H484</f><v /></c><c r="I485" s="98"><f>I484</f><v /></c><c r="J485" s="327"><f>J484</f><v /></c><c r="K485" s="327"><f>K484</f><v /></c><c r="L485" s="327"><f>L484</f><v /></c><c r="M485" s="45" t="n" /><c r="N485" s="45" t="n" /><c r="O485" s="100"><f>O484</f><v /></c><c r="P485" s="328"><f>P484</f><v /></c><c r="Q485" s="11"><f>LEFT(P485,1)</f><v /></c><c r="R485" s="11"><f>RIGHT(P485,6)</f><v /></c><c r="S485" s="11"><f>+(Q485*60+R485)/(60*60)</f><v /></c><c r="T485" s="14"><f>+O485/S485</f><v /></c><c r="U485" s="316"><f>+(((N485-M485-O485)/O485)*100)</f><v /></c><c r="V485" s="329"><f>V484</f><v /></c><c r="W485" s="329"><f>W484</f><v /></c><c r="X485" s="330"><f>X484</f><v /></c><c r="Y485" s="45" t="n" /><c r="Z485" s="45" t="n" /><c r="AA485" s="331"><f>AA484</f><v /></c><c r="AB485" s="332"><f>AB484</f><v /></c><c r="AC485" s="11"><f>LEFT(AB485,2)</f><v /></c><c r="AD485" s="11"><f>RIGHT(AB485,6)</f><v /></c><c r="AE485" s="11"><f>+(AC485*60+AD485)/(60*60)</f><v /></c><c r="AF485" s="14"><f>+AA485/AE485</f><v /></c><c r="AG485" s="321"><f>+(((Z485-Y485-AA485)/AA485)*100)</f><v /></c><c r="AH485" s="329"><f>AH484</f><v /></c><c r="AI485" s="329"><f>AI484</f><v /></c><c r="AJ485" s="329"><f>AJ484</f><v /></c><c r="AK485" s="53"><f>Z485</f><v /></c><c r="AL485" s="45" t="n" /><c r="AM485" s="333"><f>AM484</f><v /></c><c r="AN485" s="328"><f>AN484</f><v /></c><c r="AO485" s="11"><f>LEFT(AN485,2)</f><v /></c><c r="AP485" s="11"><f>RIGHT(AN485,6)</f><v /></c><c r="AQ485" s="11"><f>+(AO485*60+AP485)/(60*60)</f><v /></c><c r="AR485" s="14"><f>+AM485/AQ485</f><v /></c><c r="AS485" s="321"><f>+(((AL485-AK485-AM485)/AM485)*100)</f><v /></c><c r="AT485" s="43"><f>IF(I485&gt;=1,"NO CONFORME",IF(BK485="SIGDIFERENTES",BC485,BL485))</f><v /></c><c r="AU485" s="8"><f>B485=C485</f><v /></c><c r="AV485" s="8"><f>N485&lt;Y485</f><v /></c><c r="AW485" s="8"><f>Z485&lt;=AK485</f><v /></c><c r="AX485" s="8"><f>IF(I485&gt;=1,"Qcorrecto",IF(AND(AY485="aceptable",AZ485="aceptable",BA485="aceptable"),"Qcorrecto","Qincorrecto"))</f><v /></c><c r="AY485" s="22"><f>IF(AR485&lt;$AH$6,"error",IF(AR485&gt;$AH$6*1.1,"error","aceptable"))</f><v /></c><c r="AZ485" s="22"><f>IF(AF485&lt;$V$6,"error",IF(AF485&gt;$V$6*1.1,"error","aceptable"))</f><v /></c><c r="BA485" s="22"><f>IF(T485&lt;$J$6*0.9,"error",IF(T485&gt;$J$6,"error","aceptable"))</f><v /></c><c r="BB485" s="25"><f>(IF(ABS(U485)&lt;1.05,"CONFORME",IF(ABS(AG485)&lt;1.05,"CONFORME",IF(ABS(AS485)&lt;2.55,"CONFORME","NO CONFORME"))))</f><v /></c><c r="BC485" s="5"><f>(IF(ABS(U485)&gt;2.05,"NO CONFORME",IF(ABS(AG485)&gt;2.05,"NO CONFORME",IF(ABS(AS485)&gt;5.05,"NO CONFORME","CONFORME"))))</f><v /></c><c r="BD485" s="15"><f>SIGN(U485)</f><v /></c><c r="BE485" s="15"><f>SIGN(AG485)</f><v /></c><c r="BF485" s="15"><f>SIGN(AS485)</f><v /></c><c r="BG485" s="15"><f>CONCATENATE(BD485,BE485,BF485)</f><v /></c><c r="BH485" s="15"><f>IF(BG485="111","SI","SD")</f><v /></c><c r="BI485" s="15"><f>IF(BG485="-1-1-1","SI","SD")</f><v /></c><c r="BJ485" s="15"><f>OR(BH485="SI",BI485="SI")</f><v /></c><c r="BK485" s="15"><f>IF(BJ485=FALSE,"SIGDIFERENTES","SIGIGUALES")</f><v /></c><c r="BL485" s="22"><f>IF(BC485="NO CONFORME","NO CONFORME",IF(BB485="CONFORME","CONFORME","NO CONFORME"))</f><v /></c></row><row r="486" ht="15.75" customHeight="1" thickBot="1"><c r="A486" s="37" t="n"><v>478</v></c><c r="B486" s="324"><f>B485</f><v /></c><c r="C486" s="324"><f>C485</f><v /></c><c r="D486" s="94"><f>D485</f><v /></c><c r="E486" s="95"><f>E485</f><v /></c><c r="F486" s="13" t="n" /><c r="G486" s="312" t="n" /><c r="H486" s="326"><f>H485</f><v /></c><c r="I486" s="98"><f>I485</f><v /></c><c r="J486" s="327"><f>J485</f><v /></c><c r="K486" s="327"><f>K485</f><v /></c><c r="L486" s="327"><f>L485</f><v /></c><c r="M486" s="45" t="n" /><c r="N486" s="45" t="n" /><c r="O486" s="100"><f>O485</f><v /></c><c r="P486" s="328"><f>P485</f><v /></c><c r="Q486" s="11"><f>LEFT(P486,1)</f><v /></c><c r="R486" s="11"><f>RIGHT(P486,6)</f><v /></c><c r="S486" s="11"><f>+(Q486*60+R486)/(60*60)</f><v /></c><c r="T486" s="14"><f>+O486/S486</f><v /></c><c r="U486" s="316"><f>+(((N486-M486-O486)/O486)*100)</f><v /></c><c r="V486" s="329"><f>V485</f><v /></c><c r="W486" s="329"><f>W485</f><v /></c><c r="X486" s="330"><f>X485</f><v /></c><c r="Y486" s="45" t="n" /><c r="Z486" s="45" t="n" /><c r="AA486" s="331"><f>AA485</f><v /></c><c r="AB486" s="332"><f>AB485</f><v /></c><c r="AC486" s="11"><f>LEFT(AB486,2)</f><v /></c><c r="AD486" s="11"><f>RIGHT(AB486,6)</f><v /></c><c r="AE486" s="11"><f>+(AC486*60+AD486)/(60*60)</f><v /></c><c r="AF486" s="14"><f>+AA486/AE486</f><v /></c><c r="AG486" s="321"><f>+(((Z486-Y486-AA486)/AA486)*100)</f><v /></c><c r="AH486" s="329"><f>AH485</f><v /></c><c r="AI486" s="329"><f>AI485</f><v /></c><c r="AJ486" s="329"><f>AJ485</f><v /></c><c r="AK486" s="53"><f>Z486</f><v /></c><c r="AL486" s="45" t="n" /><c r="AM486" s="333"><f>AM485</f><v /></c><c r="AN486" s="328"><f>AN485</f><v /></c><c r="AO486" s="11"><f>LEFT(AN486,2)</f><v /></c><c r="AP486" s="11"><f>RIGHT(AN486,6)</f><v /></c><c r="AQ486" s="11"><f>+(AO486*60+AP486)/(60*60)</f><v /></c><c r="AR486" s="14"><f>+AM486/AQ486</f><v /></c><c r="AS486" s="321"><f>+(((AL486-AK486-AM486)/AM486)*100)</f><v /></c><c r="AT486" s="43"><f>IF(I486&gt;=1,"NO CONFORME",IF(BK486="SIGDIFERENTES",BC486,BL486))</f><v /></c><c r="AU486" s="8"><f>B486=C486</f><v /></c><c r="AV486" s="8"><f>N486&lt;Y486</f><v /></c><c r="AW486" s="8"><f>Z486&lt;=AK486</f><v /></c><c r="AX486" s="8"><f>IF(I486&gt;=1,"Qcorrecto",IF(AND(AY486="aceptable",AZ486="aceptable",BA486="aceptable"),"Qcorrecto","Qincorrecto"))</f><v /></c><c r="AY486" s="22"><f>IF(AR486&lt;$AH$6,"error",IF(AR486&gt;$AH$6*1.1,"error","aceptable"))</f><v /></c><c r="AZ486" s="22"><f>IF(AF486&lt;$V$6,"error",IF(AF486&gt;$V$6*1.1,"error","aceptable"))</f><v /></c><c r="BA486" s="22"><f>IF(T486&lt;$J$6*0.9,"error",IF(T486&gt;$J$6,"error","aceptable"))</f><v /></c><c r="BB486" s="25"><f>(IF(ABS(U486)&lt;1.05,"CONFORME",IF(ABS(AG486)&lt;1.05,"CONFORME",IF(ABS(AS486)&lt;2.55,"CONFORME","NO CONFORME"))))</f><v /></c><c r="BC486" s="5"><f>(IF(ABS(U486)&gt;2.05,"NO CONFORME",IF(ABS(AG486)&gt;2.05,"NO CONFORME",IF(ABS(AS486)&gt;5.05,"NO CONFORME","CONFORME"))))</f><v /></c><c r="BD486" s="15"><f>SIGN(U486)</f><v /></c><c r="BE486" s="15"><f>SIGN(AG486)</f><v /></c><c r="BF486" s="15"><f>SIGN(AS486)</f><v /></c><c r="BG486" s="15"><f>CONCATENATE(BD486,BE486,BF486)</f><v /></c><c r="BH486" s="15"><f>IF(BG486="111","SI","SD")</f><v /></c><c r="BI486" s="15"><f>IF(BG486="-1-1-1","SI","SD")</f><v /></c><c r="BJ486" s="15"><f>OR(BH486="SI",BI486="SI")</f><v /></c><c r="BK486" s="15"><f>IF(BJ486=FALSE,"SIGDIFERENTES","SIGIGUALES")</f><v /></c><c r="BL486" s="22"><f>IF(BC486="NO CONFORME","NO CONFORME",IF(BB486="CONFORME","CONFORME","NO CONFORME"))</f><v /></c></row><row r="487" ht="15.75" customHeight="1" thickBot="1"><c r="A487" s="37" t="n"><v>479</v></c><c r="B487" s="324"><f>B486</f><v /></c><c r="C487" s="324"><f>C486</f><v /></c><c r="D487" s="94"><f>D486</f><v /></c><c r="E487" s="95"><f>E486</f><v /></c><c r="F487" s="13" t="n" /><c r="G487" s="312" t="n" /><c r="H487" s="326"><f>H486</f><v /></c><c r="I487" s="98"><f>I486</f><v /></c><c r="J487" s="327"><f>J486</f><v /></c><c r="K487" s="327"><f>K486</f><v /></c><c r="L487" s="327"><f>L486</f><v /></c><c r="M487" s="45" t="n" /><c r="N487" s="45" t="n" /><c r="O487" s="100"><f>O486</f><v /></c><c r="P487" s="328"><f>P486</f><v /></c><c r="Q487" s="11"><f>LEFT(P487,1)</f><v /></c><c r="R487" s="11"><f>RIGHT(P487,6)</f><v /></c><c r="S487" s="11"><f>+(Q487*60+R487)/(60*60)</f><v /></c><c r="T487" s="14"><f>+O487/S487</f><v /></c><c r="U487" s="316"><f>+(((N487-M487-O487)/O487)*100)</f><v /></c><c r="V487" s="329"><f>V486</f><v /></c><c r="W487" s="329"><f>W486</f><v /></c><c r="X487" s="330"><f>X486</f><v /></c><c r="Y487" s="45" t="n" /><c r="Z487" s="45" t="n" /><c r="AA487" s="331"><f>AA486</f><v /></c><c r="AB487" s="332"><f>AB486</f><v /></c><c r="AC487" s="11"><f>LEFT(AB487,2)</f><v /></c><c r="AD487" s="11"><f>RIGHT(AB487,6)</f><v /></c><c r="AE487" s="11"><f>+(AC487*60+AD487)/(60*60)</f><v /></c><c r="AF487" s="14"><f>+AA487/AE487</f><v /></c><c r="AG487" s="321"><f>+(((Z487-Y487-AA487)/AA487)*100)</f><v /></c><c r="AH487" s="329"><f>AH486</f><v /></c><c r="AI487" s="329"><f>AI486</f><v /></c><c r="AJ487" s="329"><f>AJ486</f><v /></c><c r="AK487" s="53"><f>Z487</f><v /></c><c r="AL487" s="45" t="n" /><c r="AM487" s="333"><f>AM486</f><v /></c><c r="AN487" s="328"><f>AN486</f><v /></c><c r="AO487" s="11"><f>LEFT(AN487,2)</f><v /></c><c r="AP487" s="11"><f>RIGHT(AN487,6)</f><v /></c><c r="AQ487" s="11"><f>+(AO487*60+AP487)/(60*60)</f><v /></c><c r="AR487" s="14"><f>+AM487/AQ487</f><v /></c><c r="AS487" s="321"><f>+(((AL487-AK487-AM487)/AM487)*100)</f><v /></c><c r="AT487" s="43"><f>IF(I487&gt;=1,"NO CONFORME",IF(BK487="SIGDIFERENTES",BC487,BL487))</f><v /></c><c r="AU487" s="8"><f>B487=C487</f><v /></c><c r="AV487" s="8"><f>N487&lt;Y487</f><v /></c><c r="AW487" s="8"><f>Z487&lt;=AK487</f><v /></c><c r="AX487" s="8"><f>IF(I487&gt;=1,"Qcorrecto",IF(AND(AY487="aceptable",AZ487="aceptable",BA487="aceptable"),"Qcorrecto","Qincorrecto"))</f><v /></c><c r="AY487" s="22"><f>IF(AR487&lt;$AH$6,"error",IF(AR487&gt;$AH$6*1.1,"error","aceptable"))</f><v /></c><c r="AZ487" s="22"><f>IF(AF487&lt;$V$6,"error",IF(AF487&gt;$V$6*1.1,"error","aceptable"))</f><v /></c><c r="BA487" s="22"><f>IF(T487&lt;$J$6*0.9,"error",IF(T487&gt;$J$6,"error","aceptable"))</f><v /></c><c r="BB487" s="25"><f>(IF(ABS(U487)&lt;1.05,"CONFORME",IF(ABS(AG487)&lt;1.05,"CONFORME",IF(ABS(AS487)&lt;2.55,"CONFORME","NO CONFORME"))))</f><v /></c><c r="BC487" s="5"><f>(IF(ABS(U487)&gt;2.05,"NO CONFORME",IF(ABS(AG487)&gt;2.05,"NO CONFORME",IF(ABS(AS487)&gt;5.05,"NO CONFORME","CONFORME"))))</f><v /></c><c r="BD487" s="15"><f>SIGN(U487)</f><v /></c><c r="BE487" s="15"><f>SIGN(AG487)</f><v /></c><c r="BF487" s="15"><f>SIGN(AS487)</f><v /></c><c r="BG487" s="15"><f>CONCATENATE(BD487,BE487,BF487)</f><v /></c><c r="BH487" s="15"><f>IF(BG487="111","SI","SD")</f><v /></c><c r="BI487" s="15"><f>IF(BG487="-1-1-1","SI","SD")</f><v /></c><c r="BJ487" s="15"><f>OR(BH487="SI",BI487="SI")</f><v /></c><c r="BK487" s="15"><f>IF(BJ487=FALSE,"SIGDIFERENTES","SIGIGUALES")</f><v /></c><c r="BL487" s="22"><f>IF(BC487="NO CONFORME","NO CONFORME",IF(BB487="CONFORME","CONFORME","NO CONFORME"))</f><v /></c></row><row r="488" ht="15.75" customHeight="1" thickBot="1"><c r="A488" s="37" t="n"><v>480</v></c><c r="B488" s="324"><f>B487</f><v /></c><c r="C488" s="324"><f>C487</f><v /></c><c r="D488" s="94"><f>D487</f><v /></c><c r="E488" s="95"><f>E487</f><v /></c><c r="F488" s="52" t="n" /><c r="G488" s="325" t="n" /><c r="H488" s="326"><f>H487</f><v /></c><c r="I488" s="98"><f>I487</f><v /></c><c r="J488" s="327"><f>J487</f><v /></c><c r="K488" s="327"><f>K487</f><v /></c><c r="L488" s="327"><f>L487</f><v /></c><c r="M488" s="53" t="n" /><c r="N488" s="53" t="n" /><c r="O488" s="100"><f>O487</f><v /></c><c r="P488" s="328"><f>P487</f><v /></c><c r="Q488" s="11"><f>LEFT(P488,1)</f><v /></c><c r="R488" s="11"><f>RIGHT(P488,6)</f><v /></c><c r="S488" s="11"><f>+(Q488*60+R488)/(60*60)</f><v /></c><c r="T488" s="14"><f>+O488/S488</f><v /></c><c r="U488" s="316"><f>+(((N488-M488-O488)/O488)*100)</f><v /></c><c r="V488" s="329"><f>V487</f><v /></c><c r="W488" s="329"><f>W487</f><v /></c><c r="X488" s="330"><f>X487</f><v /></c><c r="Y488" s="53" t="n" /><c r="Z488" s="53" t="n" /><c r="AA488" s="331"><f>AA487</f><v /></c><c r="AB488" s="332"><f>AB487</f><v /></c><c r="AC488" s="11"><f>LEFT(AB488,2)</f><v /></c><c r="AD488" s="11"><f>RIGHT(AB488,6)</f><v /></c><c r="AE488" s="11"><f>+(AC488*60+AD488)/(60*60)</f><v /></c><c r="AF488" s="14"><f>+AA488/AE488</f><v /></c><c r="AG488" s="321"><f>+(((Z488-Y488-AA488)/AA488)*100)</f><v /></c><c r="AH488" s="329"><f>AH487</f><v /></c><c r="AI488" s="329"><f>AI487</f><v /></c><c r="AJ488" s="329"><f>AJ487</f><v /></c><c r="AK488" s="53"><f>Z488</f><v /></c><c r="AL488" s="53" t="n" /><c r="AM488" s="333"><f>AM487</f><v /></c><c r="AN488" s="328"><f>AN487</f><v /></c><c r="AO488" s="11"><f>LEFT(AN488,2)</f><v /></c><c r="AP488" s="11"><f>RIGHT(AN488,6)</f><v /></c><c r="AQ488" s="11"><f>+(AO488*60+AP488)/(60*60)</f><v /></c><c r="AR488" s="14"><f>+AM488/AQ488</f><v /></c><c r="AS488" s="321"><f>+(((AL488-AK488-AM488)/AM488)*100)</f><v /></c><c r="AT488" s="43"><f>IF(I488&gt;=1,"NO CONFORME",IF(BK488="SIGDIFERENTES",BC488,BL488))</f><v /></c><c r="AU488" s="8"><f>B488=C488</f><v /></c><c r="AV488" s="8"><f>N488&lt;Y488</f><v /></c><c r="AW488" s="8"><f>Z488&lt;=AK488</f><v /></c><c r="AX488" s="8"><f>IF(I488&gt;=1,"Qcorrecto",IF(AND(AY488="aceptable",AZ488="aceptable",BA488="aceptable"),"Qcorrecto","Qincorrecto"))</f><v /></c><c r="AY488" s="22"><f>IF(AR488&lt;$AH$6,"error",IF(AR488&gt;$AH$6*1.1,"error","aceptable"))</f><v /></c><c r="AZ488" s="22"><f>IF(AF488&lt;$V$6,"error",IF(AF488&gt;$V$6*1.1,"error","aceptable"))</f><v /></c><c r="BA488" s="22"><f>IF(T488&lt;$J$6*0.9,"error",IF(T488&gt;$J$6,"error","aceptable"))</f><v /></c><c r="BB488" s="25"><f>(IF(ABS(U488)&lt;1.05,"CONFORME",IF(ABS(AG488)&lt;1.05,"CONFORME",IF(ABS(AS488)&lt;2.55,"CONFORME","NO CONFORME"))))</f><v /></c><c r="BC488" s="5"><f>(IF(ABS(U488)&gt;2.05,"NO CONFORME",IF(ABS(AG488)&gt;2.05,"NO CONFORME",IF(ABS(AS488)&gt;5.05,"NO CONFORME","CONFORME"))))</f><v /></c><c r="BD488" s="15"><f>SIGN(U488)</f><v /></c><c r="BE488" s="15"><f>SIGN(AG488)</f><v /></c><c r="BF488" s="15"><f>SIGN(AS488)</f><v /></c><c r="BG488" s="15"><f>CONCATENATE(BD488,BE488,BF488)</f><v /></c><c r="BH488" s="15"><f>IF(BG488="111","SI","SD")</f><v /></c><c r="BI488" s="15"><f>IF(BG488="-1-1-1","SI","SD")</f><v /></c><c r="BJ488" s="15"><f>OR(BH488="SI",BI488="SI")</f><v /></c><c r="BK488" s="15"><f>IF(BJ488=FALSE,"SIGDIFERENTES","SIGIGUALES")</f><v /></c><c r="BL488" s="22"><f>IF(BC488="NO CONFORME","NO CONFORME",IF(BB488="CONFORME","CONFORME","NO CONFORME"))</f><v /></c></row><row r="489" ht="15.75" customHeight="1" thickBot="1"><c r="A489" s="37" t="n"><v>481</v></c><c r="B489" s="324"><f>B488</f><v /></c><c r="C489" s="324"><f>C488</f><v /></c><c r="D489" s="94"><f>D488</f><v /></c><c r="E489" s="95"><f>E488</f><v /></c><c r="F489" s="46" t="n" /><c r="G489" s="335" t="n" /><c r="H489" s="326"><f>H488</f><v /></c><c r="I489" s="98"><f>I488</f><v /></c><c r="J489" s="327"><f>J488</f><v /></c><c r="K489" s="327"><f>K488</f><v /></c><c r="L489" s="327"><f>L488</f><v /></c><c r="M489" s="47" t="n" /><c r="N489" s="47" t="n" /><c r="O489" s="100"><f>O488</f><v /></c><c r="P489" s="328"><f>P488</f><v /></c><c r="Q489" s="11"><f>LEFT(P489,1)</f><v /></c><c r="R489" s="11"><f>RIGHT(P489,6)</f><v /></c><c r="S489" s="11"><f>+(Q489*60+R489)/(60*60)</f><v /></c><c r="T489" s="14"><f>+O489/S489</f><v /></c><c r="U489" s="316"><f>+(((N489-M489-O489)/O489)*100)</f><v /></c><c r="V489" s="329"><f>V488</f><v /></c><c r="W489" s="329"><f>W488</f><v /></c><c r="X489" s="330"><f>X488</f><v /></c><c r="Y489" s="47" t="n" /><c r="Z489" s="47" t="n" /><c r="AA489" s="331"><f>AA488</f><v /></c><c r="AB489" s="332"><f>AB488</f><v /></c><c r="AC489" s="11"><f>LEFT(AB489,2)</f><v /></c><c r="AD489" s="11"><f>RIGHT(AB489,6)</f><v /></c><c r="AE489" s="11"><f>+(AC489*60+AD489)/(60*60)</f><v /></c><c r="AF489" s="14"><f>+AA489/AE489</f><v /></c><c r="AG489" s="321"><f>+(((Z489-Y489-AA489)/AA489)*100)</f><v /></c><c r="AH489" s="329"><f>AH488</f><v /></c><c r="AI489" s="329"><f>AI488</f><v /></c><c r="AJ489" s="329"><f>AJ488</f><v /></c><c r="AK489" s="53"><f>Z489</f><v /></c><c r="AL489" s="47" t="n" /><c r="AM489" s="333"><f>AM488</f><v /></c><c r="AN489" s="328"><f>AN488</f><v /></c><c r="AO489" s="11"><f>LEFT(AN489,2)</f><v /></c><c r="AP489" s="11"><f>RIGHT(AN489,6)</f><v /></c><c r="AQ489" s="11"><f>+(AO489*60+AP489)/(60*60)</f><v /></c><c r="AR489" s="14"><f>+AM489/AQ489</f><v /></c><c r="AS489" s="321"><f>+(((AL489-AK489-AM489)/AM489)*100)</f><v /></c><c r="AT489" s="43"><f>IF(I489&gt;=1,"NO CONFORME",IF(BK489="SIGDIFERENTES",BC489,BL489))</f><v /></c><c r="AU489" s="8"><f>B489=C489</f><v /></c><c r="AV489" s="8"><f>N489&lt;Y489</f><v /></c><c r="AW489" s="8"><f>Z489&lt;=AK489</f><v /></c><c r="AX489" s="8"><f>IF(I489&gt;=1,"Qcorrecto",IF(AND(AY489="aceptable",AZ489="aceptable",BA489="aceptable"),"Qcorrecto","Qincorrecto"))</f><v /></c><c r="AY489" s="22"><f>IF(AR489&lt;$AH$6,"error",IF(AR489&gt;$AH$6*1.1,"error","aceptable"))</f><v /></c><c r="AZ489" s="22"><f>IF(AF489&lt;$V$6,"error",IF(AF489&gt;$V$6*1.1,"error","aceptable"))</f><v /></c><c r="BA489" s="22"><f>IF(T489&lt;$J$6*0.9,"error",IF(T489&gt;$J$6,"error","aceptable"))</f><v /></c><c r="BB489" s="25"><f>(IF(ABS(U489)&lt;1.05,"CONFORME",IF(ABS(AG489)&lt;1.05,"CONFORME",IF(ABS(AS489)&lt;2.55,"CONFORME","NO CONFORME"))))</f><v /></c><c r="BC489" s="5"><f>(IF(ABS(U489)&gt;2.05,"NO CONFORME",IF(ABS(AG489)&gt;2.05,"NO CONFORME",IF(ABS(AS489)&gt;5.05,"NO CONFORME","CONFORME"))))</f><v /></c><c r="BD489" s="15"><f>SIGN(U489)</f><v /></c><c r="BE489" s="15"><f>SIGN(AG489)</f><v /></c><c r="BF489" s="15"><f>SIGN(AS489)</f><v /></c><c r="BG489" s="15"><f>CONCATENATE(BD489,BE489,BF489)</f><v /></c><c r="BH489" s="15"><f>IF(BG489="111","SI","SD")</f><v /></c><c r="BI489" s="15"><f>IF(BG489="-1-1-1","SI","SD")</f><v /></c><c r="BJ489" s="15"><f>OR(BH489="SI",BI489="SI")</f><v /></c><c r="BK489" s="15"><f>IF(BJ489=FALSE,"SIGDIFERENTES","SIGIGUALES")</f><v /></c><c r="BL489" s="22"><f>IF(BC489="NO CONFORME","NO CONFORME",IF(BB489="CONFORME","CONFORME","NO CONFORME"))</f><v /></c></row><row r="490" ht="15.75" customHeight="1" thickBot="1"><c r="A490" s="37" t="n"><v>482</v></c><c r="B490" s="324"><f>B489</f><v /></c><c r="C490" s="324"><f>C489</f><v /></c><c r="D490" s="94"><f>D489</f><v /></c><c r="E490" s="95"><f>E489</f><v /></c><c r="F490" s="13" t="n" /><c r="G490" s="312" t="n" /><c r="H490" s="326"><f>H489</f><v /></c><c r="I490" s="98"><f>I489</f><v /></c><c r="J490" s="327"><f>J489</f><v /></c><c r="K490" s="327"><f>K489</f><v /></c><c r="L490" s="327"><f>L489</f><v /></c><c r="M490" s="45" t="n" /><c r="N490" s="45" t="n" /><c r="O490" s="100"><f>O489</f><v /></c><c r="P490" s="328"><f>P489</f><v /></c><c r="Q490" s="11"><f>LEFT(P490,1)</f><v /></c><c r="R490" s="11"><f>RIGHT(P490,6)</f><v /></c><c r="S490" s="11"><f>+(Q490*60+R490)/(60*60)</f><v /></c><c r="T490" s="14"><f>+O490/S490</f><v /></c><c r="U490" s="316"><f>+(((N490-M490-O490)/O490)*100)</f><v /></c><c r="V490" s="329"><f>V489</f><v /></c><c r="W490" s="329"><f>W489</f><v /></c><c r="X490" s="330"><f>X489</f><v /></c><c r="Y490" s="45" t="n" /><c r="Z490" s="45" t="n" /><c r="AA490" s="331"><f>AA489</f><v /></c><c r="AB490" s="332"><f>AB489</f><v /></c><c r="AC490" s="11"><f>LEFT(AB490,2)</f><v /></c><c r="AD490" s="11"><f>RIGHT(AB490,6)</f><v /></c><c r="AE490" s="11"><f>+(AC490*60+AD490)/(60*60)</f><v /></c><c r="AF490" s="14"><f>+AA490/AE490</f><v /></c><c r="AG490" s="321"><f>+(((Z490-Y490-AA490)/AA490)*100)</f><v /></c><c r="AH490" s="329"><f>AH489</f><v /></c><c r="AI490" s="329"><f>AI489</f><v /></c><c r="AJ490" s="329"><f>AJ489</f><v /></c><c r="AK490" s="53"><f>Z490</f><v /></c><c r="AL490" s="45" t="n" /><c r="AM490" s="333"><f>AM489</f><v /></c><c r="AN490" s="328"><f>AN489</f><v /></c><c r="AO490" s="11"><f>LEFT(AN490,2)</f><v /></c><c r="AP490" s="11"><f>RIGHT(AN490,6)</f><v /></c><c r="AQ490" s="11"><f>+(AO490*60+AP490)/(60*60)</f><v /></c><c r="AR490" s="14"><f>+AM490/AQ490</f><v /></c><c r="AS490" s="321"><f>+(((AL490-AK490-AM490)/AM490)*100)</f><v /></c><c r="AT490" s="43"><f>IF(I490&gt;=1,"NO CONFORME",IF(BK490="SIGDIFERENTES",BC490,BL490))</f><v /></c><c r="AU490" s="8"><f>B490=C490</f><v /></c><c r="AV490" s="8"><f>N490&lt;Y490</f><v /></c><c r="AW490" s="8"><f>Z490&lt;=AK490</f><v /></c><c r="AX490" s="8"><f>IF(I490&gt;=1,"Qcorrecto",IF(AND(AY490="aceptable",AZ490="aceptable",BA490="aceptable"),"Qcorrecto","Qincorrecto"))</f><v /></c><c r="AY490" s="22"><f>IF(AR490&lt;$AH$6,"error",IF(AR490&gt;$AH$6*1.1,"error","aceptable"))</f><v /></c><c r="AZ490" s="22"><f>IF(AF490&lt;$V$6,"error",IF(AF490&gt;$V$6*1.1,"error","aceptable"))</f><v /></c><c r="BA490" s="22"><f>IF(T490&lt;$J$6*0.9,"error",IF(T490&gt;$J$6,"error","aceptable"))</f><v /></c><c r="BB490" s="25"><f>(IF(ABS(U490)&lt;1.05,"CONFORME",IF(ABS(AG490)&lt;1.05,"CONFORME",IF(ABS(AS490)&lt;2.55,"CONFORME","NO CONFORME"))))</f><v /></c><c r="BC490" s="5"><f>(IF(ABS(U490)&gt;2.05,"NO CONFORME",IF(ABS(AG490)&gt;2.05,"NO CONFORME",IF(ABS(AS490)&gt;5.05,"NO CONFORME","CONFORME"))))</f><v /></c><c r="BD490" s="15"><f>SIGN(U490)</f><v /></c><c r="BE490" s="15"><f>SIGN(AG490)</f><v /></c><c r="BF490" s="15"><f>SIGN(AS490)</f><v /></c><c r="BG490" s="15"><f>CONCATENATE(BD490,BE490,BF490)</f><v /></c><c r="BH490" s="15"><f>IF(BG490="111","SI","SD")</f><v /></c><c r="BI490" s="15"><f>IF(BG490="-1-1-1","SI","SD")</f><v /></c><c r="BJ490" s="15"><f>OR(BH490="SI",BI490="SI")</f><v /></c><c r="BK490" s="15"><f>IF(BJ490=FALSE,"SIGDIFERENTES","SIGIGUALES")</f><v /></c><c r="BL490" s="22"><f>IF(BC490="NO CONFORME","NO CONFORME",IF(BB490="CONFORME","CONFORME","NO CONFORME"))</f><v /></c></row><row r="491" ht="15.75" customHeight="1" thickBot="1"><c r="A491" s="37" t="n"><v>483</v></c><c r="B491" s="324"><f>B490</f><v /></c><c r="C491" s="324"><f>C490</f><v /></c><c r="D491" s="94"><f>D490</f><v /></c><c r="E491" s="95"><f>E490</f><v /></c><c r="F491" s="13" t="n" /><c r="G491" s="312" t="n" /><c r="H491" s="326"><f>H490</f><v /></c><c r="I491" s="98"><f>I490</f><v /></c><c r="J491" s="327"><f>J490</f><v /></c><c r="K491" s="327"><f>K490</f><v /></c><c r="L491" s="327"><f>L490</f><v /></c><c r="M491" s="45" t="n" /><c r="N491" s="45" t="n" /><c r="O491" s="100"><f>O490</f><v /></c><c r="P491" s="328"><f>P490</f><v /></c><c r="Q491" s="11"><f>LEFT(P491,1)</f><v /></c><c r="R491" s="11"><f>RIGHT(P491,6)</f><v /></c><c r="S491" s="11"><f>+(Q491*60+R491)/(60*60)</f><v /></c><c r="T491" s="14"><f>+O491/S491</f><v /></c><c r="U491" s="316"><f>+(((N491-M491-O491)/O491)*100)</f><v /></c><c r="V491" s="329"><f>V490</f><v /></c><c r="W491" s="329"><f>W490</f><v /></c><c r="X491" s="330"><f>X490</f><v /></c><c r="Y491" s="45" t="n" /><c r="Z491" s="45" t="n" /><c r="AA491" s="331"><f>AA490</f><v /></c><c r="AB491" s="332"><f>AB490</f><v /></c><c r="AC491" s="11"><f>LEFT(AB491,2)</f><v /></c><c r="AD491" s="11"><f>RIGHT(AB491,6)</f><v /></c><c r="AE491" s="11"><f>+(AC491*60+AD491)/(60*60)</f><v /></c><c r="AF491" s="14"><f>+AA491/AE491</f><v /></c><c r="AG491" s="321"><f>+(((Z491-Y491-AA491)/AA491)*100)</f><v /></c><c r="AH491" s="329"><f>AH490</f><v /></c><c r="AI491" s="329"><f>AI490</f><v /></c><c r="AJ491" s="329"><f>AJ490</f><v /></c><c r="AK491" s="53"><f>Z491</f><v /></c><c r="AL491" s="45" t="n" /><c r="AM491" s="333"><f>AM490</f><v /></c><c r="AN491" s="328"><f>AN490</f><v /></c><c r="AO491" s="11"><f>LEFT(AN491,2)</f><v /></c><c r="AP491" s="11"><f>RIGHT(AN491,6)</f><v /></c><c r="AQ491" s="11"><f>+(AO491*60+AP491)/(60*60)</f><v /></c><c r="AR491" s="14"><f>+AM491/AQ491</f><v /></c><c r="AS491" s="321"><f>+(((AL491-AK491-AM491)/AM491)*100)</f><v /></c><c r="AT491" s="43"><f>IF(I491&gt;=1,"NO CONFORME",IF(BK491="SIGDIFERENTES",BC491,BL491))</f><v /></c><c r="AU491" s="8"><f>B491=C491</f><v /></c><c r="AV491" s="8"><f>N491&lt;Y491</f><v /></c><c r="AW491" s="8"><f>Z491&lt;=AK491</f><v /></c><c r="AX491" s="8"><f>IF(I491&gt;=1,"Qcorrecto",IF(AND(AY491="aceptable",AZ491="aceptable",BA491="aceptable"),"Qcorrecto","Qincorrecto"))</f><v /></c><c r="AY491" s="22"><f>IF(AR491&lt;$AH$6,"error",IF(AR491&gt;$AH$6*1.1,"error","aceptable"))</f><v /></c><c r="AZ491" s="22"><f>IF(AF491&lt;$V$6,"error",IF(AF491&gt;$V$6*1.1,"error","aceptable"))</f><v /></c><c r="BA491" s="22"><f>IF(T491&lt;$J$6*0.9,"error",IF(T491&gt;$J$6,"error","aceptable"))</f><v /></c><c r="BB491" s="25"><f>(IF(ABS(U491)&lt;1.05,"CONFORME",IF(ABS(AG491)&lt;1.05,"CONFORME",IF(ABS(AS491)&lt;2.55,"CONFORME","NO CONFORME"))))</f><v /></c><c r="BC491" s="5"><f>(IF(ABS(U491)&gt;2.05,"NO CONFORME",IF(ABS(AG491)&gt;2.05,"NO CONFORME",IF(ABS(AS491)&gt;5.05,"NO CONFORME","CONFORME"))))</f><v /></c><c r="BD491" s="15"><f>SIGN(U491)</f><v /></c><c r="BE491" s="15"><f>SIGN(AG491)</f><v /></c><c r="BF491" s="15"><f>SIGN(AS491)</f><v /></c><c r="BG491" s="15"><f>CONCATENATE(BD491,BE491,BF491)</f><v /></c><c r="BH491" s="15"><f>IF(BG491="111","SI","SD")</f><v /></c><c r="BI491" s="15"><f>IF(BG491="-1-1-1","SI","SD")</f><v /></c><c r="BJ491" s="15"><f>OR(BH491="SI",BI491="SI")</f><v /></c><c r="BK491" s="15"><f>IF(BJ491=FALSE,"SIGDIFERENTES","SIGIGUALES")</f><v /></c><c r="BL491" s="22"><f>IF(BC491="NO CONFORME","NO CONFORME",IF(BB491="CONFORME","CONFORME","NO CONFORME"))</f><v /></c></row><row r="492" ht="15.75" customHeight="1" thickBot="1"><c r="A492" s="37" t="n"><v>484</v></c><c r="B492" s="324"><f>B491</f><v /></c><c r="C492" s="324"><f>C491</f><v /></c><c r="D492" s="94"><f>D491</f><v /></c><c r="E492" s="95"><f>E491</f><v /></c><c r="F492" s="13" t="n" /><c r="G492" s="312" t="n" /><c r="H492" s="326"><f>H491</f><v /></c><c r="I492" s="98"><f>I491</f><v /></c><c r="J492" s="327"><f>J491</f><v /></c><c r="K492" s="327"><f>K491</f><v /></c><c r="L492" s="327"><f>L491</f><v /></c><c r="M492" s="45" t="n" /><c r="N492" s="45" t="n" /><c r="O492" s="100"><f>O491</f><v /></c><c r="P492" s="328"><f>P491</f><v /></c><c r="Q492" s="11"><f>LEFT(P492,1)</f><v /></c><c r="R492" s="11"><f>RIGHT(P492,6)</f><v /></c><c r="S492" s="11"><f>+(Q492*60+R492)/(60*60)</f><v /></c><c r="T492" s="14"><f>+O492/S492</f><v /></c><c r="U492" s="316"><f>+(((N492-M492-O492)/O492)*100)</f><v /></c><c r="V492" s="329"><f>V491</f><v /></c><c r="W492" s="329"><f>W491</f><v /></c><c r="X492" s="330"><f>X491</f><v /></c><c r="Y492" s="45" t="n" /><c r="Z492" s="45" t="n" /><c r="AA492" s="331"><f>AA491</f><v /></c><c r="AB492" s="332"><f>AB491</f><v /></c><c r="AC492" s="11"><f>LEFT(AB492,2)</f><v /></c><c r="AD492" s="11"><f>RIGHT(AB492,6)</f><v /></c><c r="AE492" s="11"><f>+(AC492*60+AD492)/(60*60)</f><v /></c><c r="AF492" s="14"><f>+AA492/AE492</f><v /></c><c r="AG492" s="321"><f>+(((Z492-Y492-AA492)/AA492)*100)</f><v /></c><c r="AH492" s="329"><f>AH491</f><v /></c><c r="AI492" s="329"><f>AI491</f><v /></c><c r="AJ492" s="329"><f>AJ491</f><v /></c><c r="AK492" s="53"><f>Z492</f><v /></c><c r="AL492" s="45" t="n" /><c r="AM492" s="333"><f>AM491</f><v /></c><c r="AN492" s="328"><f>AN491</f><v /></c><c r="AO492" s="11"><f>LEFT(AN492,2)</f><v /></c><c r="AP492" s="11"><f>RIGHT(AN492,6)</f><v /></c><c r="AQ492" s="11"><f>+(AO492*60+AP492)/(60*60)</f><v /></c><c r="AR492" s="14"><f>+AM492/AQ492</f><v /></c><c r="AS492" s="321"><f>+(((AL492-AK492-AM492)/AM492)*100)</f><v /></c><c r="AT492" s="43"><f>IF(I492&gt;=1,"NO CONFORME",IF(BK492="SIGDIFERENTES",BC492,BL492))</f><v /></c><c r="AU492" s="8"><f>B492=C492</f><v /></c><c r="AV492" s="8"><f>N492&lt;Y492</f><v /></c><c r="AW492" s="8"><f>Z492&lt;=AK492</f><v /></c><c r="AX492" s="8"><f>IF(I492&gt;=1,"Qcorrecto",IF(AND(AY492="aceptable",AZ492="aceptable",BA492="aceptable"),"Qcorrecto","Qincorrecto"))</f><v /></c><c r="AY492" s="22"><f>IF(AR492&lt;$AH$6,"error",IF(AR492&gt;$AH$6*1.1,"error","aceptable"))</f><v /></c><c r="AZ492" s="22"><f>IF(AF492&lt;$V$6,"error",IF(AF492&gt;$V$6*1.1,"error","aceptable"))</f><v /></c><c r="BA492" s="22"><f>IF(T492&lt;$J$6*0.9,"error",IF(T492&gt;$J$6,"error","aceptable"))</f><v /></c><c r="BB492" s="25"><f>(IF(ABS(U492)&lt;1.05,"CONFORME",IF(ABS(AG492)&lt;1.05,"CONFORME",IF(ABS(AS492)&lt;2.55,"CONFORME","NO CONFORME"))))</f><v /></c><c r="BC492" s="5"><f>(IF(ABS(U492)&gt;2.05,"NO CONFORME",IF(ABS(AG492)&gt;2.05,"NO CONFORME",IF(ABS(AS492)&gt;5.05,"NO CONFORME","CONFORME"))))</f><v /></c><c r="BD492" s="15"><f>SIGN(U492)</f><v /></c><c r="BE492" s="15"><f>SIGN(AG492)</f><v /></c><c r="BF492" s="15"><f>SIGN(AS492)</f><v /></c><c r="BG492" s="15"><f>CONCATENATE(BD492,BE492,BF492)</f><v /></c><c r="BH492" s="15"><f>IF(BG492="111","SI","SD")</f><v /></c><c r="BI492" s="15"><f>IF(BG492="-1-1-1","SI","SD")</f><v /></c><c r="BJ492" s="15"><f>OR(BH492="SI",BI492="SI")</f><v /></c><c r="BK492" s="15"><f>IF(BJ492=FALSE,"SIGDIFERENTES","SIGIGUALES")</f><v /></c><c r="BL492" s="22"><f>IF(BC492="NO CONFORME","NO CONFORME",IF(BB492="CONFORME","CONFORME","NO CONFORME"))</f><v /></c></row><row r="493" ht="15.75" customHeight="1" thickBot="1"><c r="A493" s="37" t="n"><v>485</v></c><c r="B493" s="324"><f>B492</f><v /></c><c r="C493" s="324"><f>C492</f><v /></c><c r="D493" s="94"><f>D492</f><v /></c><c r="E493" s="95"><f>E492</f><v /></c><c r="F493" s="13" t="n" /><c r="G493" s="312" t="n" /><c r="H493" s="326"><f>H492</f><v /></c><c r="I493" s="98"><f>I492</f><v /></c><c r="J493" s="327"><f>J492</f><v /></c><c r="K493" s="327"><f>K492</f><v /></c><c r="L493" s="327"><f>L492</f><v /></c><c r="M493" s="45" t="n" /><c r="N493" s="45" t="n" /><c r="O493" s="100"><f>O492</f><v /></c><c r="P493" s="328"><f>P492</f><v /></c><c r="Q493" s="11"><f>LEFT(P493,1)</f><v /></c><c r="R493" s="11"><f>RIGHT(P493,6)</f><v /></c><c r="S493" s="11"><f>+(Q493*60+R493)/(60*60)</f><v /></c><c r="T493" s="14"><f>+O493/S493</f><v /></c><c r="U493" s="316"><f>+(((N493-M493-O493)/O493)*100)</f><v /></c><c r="V493" s="329"><f>V492</f><v /></c><c r="W493" s="329"><f>W492</f><v /></c><c r="X493" s="330"><f>X492</f><v /></c><c r="Y493" s="45" t="n" /><c r="Z493" s="45" t="n" /><c r="AA493" s="331"><f>AA492</f><v /></c><c r="AB493" s="332"><f>AB492</f><v /></c><c r="AC493" s="11"><f>LEFT(AB493,2)</f><v /></c><c r="AD493" s="11"><f>RIGHT(AB493,6)</f><v /></c><c r="AE493" s="11"><f>+(AC493*60+AD493)/(60*60)</f><v /></c><c r="AF493" s="14"><f>+AA493/AE493</f><v /></c><c r="AG493" s="321"><f>+(((Z493-Y493-AA493)/AA493)*100)</f><v /></c><c r="AH493" s="329"><f>AH492</f><v /></c><c r="AI493" s="329"><f>AI492</f><v /></c><c r="AJ493" s="329"><f>AJ492</f><v /></c><c r="AK493" s="53"><f>Z493</f><v /></c><c r="AL493" s="45" t="n" /><c r="AM493" s="333"><f>AM492</f><v /></c><c r="AN493" s="328"><f>AN492</f><v /></c><c r="AO493" s="11"><f>LEFT(AN493,2)</f><v /></c><c r="AP493" s="11"><f>RIGHT(AN493,6)</f><v /></c><c r="AQ493" s="11"><f>+(AO493*60+AP493)/(60*60)</f><v /></c><c r="AR493" s="14"><f>+AM493/AQ493</f><v /></c><c r="AS493" s="321"><f>+(((AL493-AK493-AM493)/AM493)*100)</f><v /></c><c r="AT493" s="43"><f>IF(I493&gt;=1,"NO CONFORME",IF(BK493="SIGDIFERENTES",BC493,BL493))</f><v /></c><c r="AU493" s="8"><f>B493=C493</f><v /></c><c r="AV493" s="8"><f>N493&lt;Y493</f><v /></c><c r="AW493" s="8"><f>Z493&lt;=AK493</f><v /></c><c r="AX493" s="8"><f>IF(I493&gt;=1,"Qcorrecto",IF(AND(AY493="aceptable",AZ493="aceptable",BA493="aceptable"),"Qcorrecto","Qincorrecto"))</f><v /></c><c r="AY493" s="22"><f>IF(AR493&lt;$AH$6,"error",IF(AR493&gt;$AH$6*1.1,"error","aceptable"))</f><v /></c><c r="AZ493" s="22"><f>IF(AF493&lt;$V$6,"error",IF(AF493&gt;$V$6*1.1,"error","aceptable"))</f><v /></c><c r="BA493" s="22"><f>IF(T493&lt;$J$6*0.9,"error",IF(T493&gt;$J$6,"error","aceptable"))</f><v /></c><c r="BB493" s="25"><f>(IF(ABS(U493)&lt;1.05,"CONFORME",IF(ABS(AG493)&lt;1.05,"CONFORME",IF(ABS(AS493)&lt;2.55,"CONFORME","NO CONFORME"))))</f><v /></c><c r="BC493" s="5"><f>(IF(ABS(U493)&gt;2.05,"NO CONFORME",IF(ABS(AG493)&gt;2.05,"NO CONFORME",IF(ABS(AS493)&gt;5.05,"NO CONFORME","CONFORME"))))</f><v /></c><c r="BD493" s="15"><f>SIGN(U493)</f><v /></c><c r="BE493" s="15"><f>SIGN(AG493)</f><v /></c><c r="BF493" s="15"><f>SIGN(AS493)</f><v /></c><c r="BG493" s="15"><f>CONCATENATE(BD493,BE493,BF493)</f><v /></c><c r="BH493" s="15"><f>IF(BG493="111","SI","SD")</f><v /></c><c r="BI493" s="15"><f>IF(BG493="-1-1-1","SI","SD")</f><v /></c><c r="BJ493" s="15"><f>OR(BH493="SI",BI493="SI")</f><v /></c><c r="BK493" s="15"><f>IF(BJ493=FALSE,"SIGDIFERENTES","SIGIGUALES")</f><v /></c><c r="BL493" s="22"><f>IF(BC493="NO CONFORME","NO CONFORME",IF(BB493="CONFORME","CONFORME","NO CONFORME"))</f><v /></c></row><row r="494" ht="15.75" customHeight="1" thickBot="1"><c r="A494" s="37" t="n"><v>486</v></c><c r="B494" s="324"><f>B493</f><v /></c><c r="C494" s="324"><f>C493</f><v /></c><c r="D494" s="94"><f>D493</f><v /></c><c r="E494" s="95"><f>E493</f><v /></c><c r="F494" s="13" t="n" /><c r="G494" s="312" t="n" /><c r="H494" s="326"><f>H493</f><v /></c><c r="I494" s="98"><f>I493</f><v /></c><c r="J494" s="327"><f>J493</f><v /></c><c r="K494" s="327"><f>K493</f><v /></c><c r="L494" s="327"><f>L493</f><v /></c><c r="M494" s="45" t="n" /><c r="N494" s="45" t="n" /><c r="O494" s="100"><f>O493</f><v /></c><c r="P494" s="328"><f>P493</f><v /></c><c r="Q494" s="11"><f>LEFT(P494,1)</f><v /></c><c r="R494" s="11"><f>RIGHT(P494,6)</f><v /></c><c r="S494" s="11"><f>+(Q494*60+R494)/(60*60)</f><v /></c><c r="T494" s="14"><f>+O494/S494</f><v /></c><c r="U494" s="316"><f>+(((N494-M494-O494)/O494)*100)</f><v /></c><c r="V494" s="329"><f>V493</f><v /></c><c r="W494" s="329"><f>W493</f><v /></c><c r="X494" s="330"><f>X493</f><v /></c><c r="Y494" s="45" t="n" /><c r="Z494" s="45" t="n" /><c r="AA494" s="331"><f>AA493</f><v /></c><c r="AB494" s="332"><f>AB493</f><v /></c><c r="AC494" s="11"><f>LEFT(AB494,2)</f><v /></c><c r="AD494" s="11"><f>RIGHT(AB494,6)</f><v /></c><c r="AE494" s="11"><f>+(AC494*60+AD494)/(60*60)</f><v /></c><c r="AF494" s="14"><f>+AA494/AE494</f><v /></c><c r="AG494" s="321"><f>+(((Z494-Y494-AA494)/AA494)*100)</f><v /></c><c r="AH494" s="329"><f>AH493</f><v /></c><c r="AI494" s="329"><f>AI493</f><v /></c><c r="AJ494" s="329"><f>AJ493</f><v /></c><c r="AK494" s="53"><f>Z494</f><v /></c><c r="AL494" s="45" t="n" /><c r="AM494" s="333"><f>AM493</f><v /></c><c r="AN494" s="328"><f>AN493</f><v /></c><c r="AO494" s="11"><f>LEFT(AN494,2)</f><v /></c><c r="AP494" s="11"><f>RIGHT(AN494,6)</f><v /></c><c r="AQ494" s="11"><f>+(AO494*60+AP494)/(60*60)</f><v /></c><c r="AR494" s="14"><f>+AM494/AQ494</f><v /></c><c r="AS494" s="321"><f>+(((AL494-AK494-AM494)/AM494)*100)</f><v /></c><c r="AT494" s="43"><f>IF(I494&gt;=1,"NO CONFORME",IF(BK494="SIGDIFERENTES",BC494,BL494))</f><v /></c><c r="AU494" s="8"><f>B494=C494</f><v /></c><c r="AV494" s="8"><f>N494&lt;Y494</f><v /></c><c r="AW494" s="8"><f>Z494&lt;=AK494</f><v /></c><c r="AX494" s="8"><f>IF(I494&gt;=1,"Qcorrecto",IF(AND(AY494="aceptable",AZ494="aceptable",BA494="aceptable"),"Qcorrecto","Qincorrecto"))</f><v /></c><c r="AY494" s="22"><f>IF(AR494&lt;$AH$6,"error",IF(AR494&gt;$AH$6*1.1,"error","aceptable"))</f><v /></c><c r="AZ494" s="22"><f>IF(AF494&lt;$V$6,"error",IF(AF494&gt;$V$6*1.1,"error","aceptable"))</f><v /></c><c r="BA494" s="22"><f>IF(T494&lt;$J$6*0.9,"error",IF(T494&gt;$J$6,"error","aceptable"))</f><v /></c><c r="BB494" s="25"><f>(IF(ABS(U494)&lt;1.05,"CONFORME",IF(ABS(AG494)&lt;1.05,"CONFORME",IF(ABS(AS494)&lt;2.55,"CONFORME","NO CONFORME"))))</f><v /></c><c r="BC494" s="5"><f>(IF(ABS(U494)&gt;2.05,"NO CONFORME",IF(ABS(AG494)&gt;2.05,"NO CONFORME",IF(ABS(AS494)&gt;5.05,"NO CONFORME","CONFORME"))))</f><v /></c><c r="BD494" s="15"><f>SIGN(U494)</f><v /></c><c r="BE494" s="15"><f>SIGN(AG494)</f><v /></c><c r="BF494" s="15"><f>SIGN(AS494)</f><v /></c><c r="BG494" s="15"><f>CONCATENATE(BD494,BE494,BF494)</f><v /></c><c r="BH494" s="15"><f>IF(BG494="111","SI","SD")</f><v /></c><c r="BI494" s="15"><f>IF(BG494="-1-1-1","SI","SD")</f><v /></c><c r="BJ494" s="15"><f>OR(BH494="SI",BI494="SI")</f><v /></c><c r="BK494" s="15"><f>IF(BJ494=FALSE,"SIGDIFERENTES","SIGIGUALES")</f><v /></c><c r="BL494" s="22"><f>IF(BC494="NO CONFORME","NO CONFORME",IF(BB494="CONFORME","CONFORME","NO CONFORME"))</f><v /></c></row><row r="495" ht="15.75" customHeight="1" thickBot="1"><c r="A495" s="37" t="n"><v>487</v></c><c r="B495" s="324"><f>B494</f><v /></c><c r="C495" s="324"><f>C494</f><v /></c><c r="D495" s="94"><f>D494</f><v /></c><c r="E495" s="95"><f>E494</f><v /></c><c r="F495" s="13" t="n" /><c r="G495" s="312" t="n" /><c r="H495" s="326"><f>H494</f><v /></c><c r="I495" s="98"><f>I494</f><v /></c><c r="J495" s="327"><f>J494</f><v /></c><c r="K495" s="327"><f>K494</f><v /></c><c r="L495" s="327"><f>L494</f><v /></c><c r="M495" s="45" t="n" /><c r="N495" s="45" t="n" /><c r="O495" s="100"><f>O494</f><v /></c><c r="P495" s="328"><f>P494</f><v /></c><c r="Q495" s="11"><f>LEFT(P495,1)</f><v /></c><c r="R495" s="11"><f>RIGHT(P495,6)</f><v /></c><c r="S495" s="11"><f>+(Q495*60+R495)/(60*60)</f><v /></c><c r="T495" s="14"><f>+O495/S495</f><v /></c><c r="U495" s="316"><f>+(((N495-M495-O495)/O495)*100)</f><v /></c><c r="V495" s="329"><f>V494</f><v /></c><c r="W495" s="329"><f>W494</f><v /></c><c r="X495" s="330"><f>X494</f><v /></c><c r="Y495" s="45" t="n" /><c r="Z495" s="45" t="n" /><c r="AA495" s="331"><f>AA494</f><v /></c><c r="AB495" s="332"><f>AB494</f><v /></c><c r="AC495" s="11"><f>LEFT(AB495,2)</f><v /></c><c r="AD495" s="11"><f>RIGHT(AB495,6)</f><v /></c><c r="AE495" s="11"><f>+(AC495*60+AD495)/(60*60)</f><v /></c><c r="AF495" s="14"><f>+AA495/AE495</f><v /></c><c r="AG495" s="321"><f>+(((Z495-Y495-AA495)/AA495)*100)</f><v /></c><c r="AH495" s="329"><f>AH494</f><v /></c><c r="AI495" s="329"><f>AI494</f><v /></c><c r="AJ495" s="329"><f>AJ494</f><v /></c><c r="AK495" s="53"><f>Z495</f><v /></c><c r="AL495" s="45" t="n" /><c r="AM495" s="333"><f>AM494</f><v /></c><c r="AN495" s="328"><f>AN494</f><v /></c><c r="AO495" s="11"><f>LEFT(AN495,2)</f><v /></c><c r="AP495" s="11"><f>RIGHT(AN495,6)</f><v /></c><c r="AQ495" s="11"><f>+(AO495*60+AP495)/(60*60)</f><v /></c><c r="AR495" s="14"><f>+AM495/AQ495</f><v /></c><c r="AS495" s="321"><f>+(((AL495-AK495-AM495)/AM495)*100)</f><v /></c><c r="AT495" s="43"><f>IF(I495&gt;=1,"NO CONFORME",IF(BK495="SIGDIFERENTES",BC495,BL495))</f><v /></c><c r="AU495" s="8"><f>B495=C495</f><v /></c><c r="AV495" s="8"><f>N495&lt;Y495</f><v /></c><c r="AW495" s="8"><f>Z495&lt;=AK495</f><v /></c><c r="AX495" s="8"><f>IF(I495&gt;=1,"Qcorrecto",IF(AND(AY495="aceptable",AZ495="aceptable",BA495="aceptable"),"Qcorrecto","Qincorrecto"))</f><v /></c><c r="AY495" s="22"><f>IF(AR495&lt;$AH$6,"error",IF(AR495&gt;$AH$6*1.1,"error","aceptable"))</f><v /></c><c r="AZ495" s="22"><f>IF(AF495&lt;$V$6,"error",IF(AF495&gt;$V$6*1.1,"error","aceptable"))</f><v /></c><c r="BA495" s="22"><f>IF(T495&lt;$J$6*0.9,"error",IF(T495&gt;$J$6,"error","aceptable"))</f><v /></c><c r="BB495" s="25"><f>(IF(ABS(U495)&lt;1.05,"CONFORME",IF(ABS(AG495)&lt;1.05,"CONFORME",IF(ABS(AS495)&lt;2.55,"CONFORME","NO CONFORME"))))</f><v /></c><c r="BC495" s="5"><f>(IF(ABS(U495)&gt;2.05,"NO CONFORME",IF(ABS(AG495)&gt;2.05,"NO CONFORME",IF(ABS(AS495)&gt;5.05,"NO CONFORME","CONFORME"))))</f><v /></c><c r="BD495" s="15"><f>SIGN(U495)</f><v /></c><c r="BE495" s="15"><f>SIGN(AG495)</f><v /></c><c r="BF495" s="15"><f>SIGN(AS495)</f><v /></c><c r="BG495" s="15"><f>CONCATENATE(BD495,BE495,BF495)</f><v /></c><c r="BH495" s="15"><f>IF(BG495="111","SI","SD")</f><v /></c><c r="BI495" s="15"><f>IF(BG495="-1-1-1","SI","SD")</f><v /></c><c r="BJ495" s="15"><f>OR(BH495="SI",BI495="SI")</f><v /></c><c r="BK495" s="15"><f>IF(BJ495=FALSE,"SIGDIFERENTES","SIGIGUALES")</f><v /></c><c r="BL495" s="22"><f>IF(BC495="NO CONFORME","NO CONFORME",IF(BB495="CONFORME","CONFORME","NO CONFORME"))</f><v /></c></row><row r="496" ht="15.75" customHeight="1" thickBot="1"><c r="A496" s="37" t="n"><v>488</v></c><c r="B496" s="324"><f>B495</f><v /></c><c r="C496" s="324"><f>C495</f><v /></c><c r="D496" s="94"><f>D495</f><v /></c><c r="E496" s="95"><f>E495</f><v /></c><c r="F496" s="13" t="n" /><c r="G496" s="334" t="n" /><c r="H496" s="326"><f>H495</f><v /></c><c r="I496" s="98"><f>I495</f><v /></c><c r="J496" s="327"><f>J495</f><v /></c><c r="K496" s="327"><f>K495</f><v /></c><c r="L496" s="327"><f>L495</f><v /></c><c r="M496" s="45" t="n" /><c r="N496" s="45" t="n" /><c r="O496" s="100"><f>O495</f><v /></c><c r="P496" s="328"><f>P495</f><v /></c><c r="Q496" s="11"><f>LEFT(P496,1)</f><v /></c><c r="R496" s="11"><f>RIGHT(P496,6)</f><v /></c><c r="S496" s="11"><f>+(Q496*60+R496)/(60*60)</f><v /></c><c r="T496" s="14"><f>+O496/S496</f><v /></c><c r="U496" s="316"><f>+(((N496-M496-O496)/O496)*100)</f><v /></c><c r="V496" s="329"><f>V495</f><v /></c><c r="W496" s="329"><f>W495</f><v /></c><c r="X496" s="330"><f>X495</f><v /></c><c r="Y496" s="45" t="n" /><c r="Z496" s="45" t="n" /><c r="AA496" s="331"><f>AA495</f><v /></c><c r="AB496" s="332"><f>AB495</f><v /></c><c r="AC496" s="11"><f>LEFT(AB496,2)</f><v /></c><c r="AD496" s="11"><f>RIGHT(AB496,6)</f><v /></c><c r="AE496" s="11"><f>+(AC496*60+AD496)/(60*60)</f><v /></c><c r="AF496" s="14"><f>+AA496/AE496</f><v /></c><c r="AG496" s="321"><f>+(((Z496-Y496-AA496)/AA496)*100)</f><v /></c><c r="AH496" s="329"><f>AH495</f><v /></c><c r="AI496" s="329"><f>AI495</f><v /></c><c r="AJ496" s="329"><f>AJ495</f><v /></c><c r="AK496" s="53"><f>Z496</f><v /></c><c r="AL496" s="45" t="n" /><c r="AM496" s="333"><f>AM495</f><v /></c><c r="AN496" s="328"><f>AN495</f><v /></c><c r="AO496" s="11"><f>LEFT(AN496,2)</f><v /></c><c r="AP496" s="11"><f>RIGHT(AN496,6)</f><v /></c><c r="AQ496" s="11"><f>+(AO496*60+AP496)/(60*60)</f><v /></c><c r="AR496" s="14"><f>+AM496/AQ496</f><v /></c><c r="AS496" s="321"><f>+(((AL496-AK496-AM496)/AM496)*100)</f><v /></c><c r="AT496" s="43"><f>IF(I496&gt;=1,"NO CONFORME",IF(BK496="SIGDIFERENTES",BC496,BL496))</f><v /></c><c r="AU496" s="8"><f>B496=C496</f><v /></c><c r="AV496" s="8"><f>N496&lt;Y496</f><v /></c><c r="AW496" s="8"><f>Z496&lt;=AK496</f><v /></c><c r="AX496" s="8"><f>IF(I496&gt;=1,"Qcorrecto",IF(AND(AY496="aceptable",AZ496="aceptable",BA496="aceptable"),"Qcorrecto","Qincorrecto"))</f><v /></c><c r="AY496" s="22"><f>IF(AR496&lt;$AH$6,"error",IF(AR496&gt;$AH$6*1.1,"error","aceptable"))</f><v /></c><c r="AZ496" s="22"><f>IF(AF496&lt;$V$6,"error",IF(AF496&gt;$V$6*1.1,"error","aceptable"))</f><v /></c><c r="BA496" s="22"><f>IF(T496&lt;$J$6*0.9,"error",IF(T496&gt;$J$6,"error","aceptable"))</f><v /></c><c r="BB496" s="25"><f>(IF(ABS(U496)&lt;1.05,"CONFORME",IF(ABS(AG496)&lt;1.05,"CONFORME",IF(ABS(AS496)&lt;2.55,"CONFORME","NO CONFORME"))))</f><v /></c><c r="BC496" s="5"><f>(IF(ABS(U496)&gt;2.05,"NO CONFORME",IF(ABS(AG496)&gt;2.05,"NO CONFORME",IF(ABS(AS496)&gt;5.05,"NO CONFORME","CONFORME"))))</f><v /></c><c r="BD496" s="15"><f>SIGN(U496)</f><v /></c><c r="BE496" s="15"><f>SIGN(AG496)</f><v /></c><c r="BF496" s="15"><f>SIGN(AS496)</f><v /></c><c r="BG496" s="15"><f>CONCATENATE(BD496,BE496,BF496)</f><v /></c><c r="BH496" s="15"><f>IF(BG496="111","SI","SD")</f><v /></c><c r="BI496" s="15"><f>IF(BG496="-1-1-1","SI","SD")</f><v /></c><c r="BJ496" s="15"><f>OR(BH496="SI",BI496="SI")</f><v /></c><c r="BK496" s="15"><f>IF(BJ496=FALSE,"SIGDIFERENTES","SIGIGUALES")</f><v /></c><c r="BL496" s="22"><f>IF(BC496="NO CONFORME","NO CONFORME",IF(BB496="CONFORME","CONFORME","NO CONFORME"))</f><v /></c></row><row r="497" ht="15.75" customHeight="1" thickBot="1"><c r="A497" s="37" t="n"><v>489</v></c><c r="B497" s="324"><f>B496</f><v /></c><c r="C497" s="324"><f>C496</f><v /></c><c r="D497" s="94"><f>D496</f><v /></c><c r="E497" s="95"><f>E496</f><v /></c><c r="F497" s="13" t="n" /><c r="G497" s="312" t="n" /><c r="H497" s="326"><f>H496</f><v /></c><c r="I497" s="98"><f>I496</f><v /></c><c r="J497" s="327"><f>J496</f><v /></c><c r="K497" s="327"><f>K496</f><v /></c><c r="L497" s="327"><f>L496</f><v /></c><c r="M497" s="45" t="n" /><c r="N497" s="45" t="n" /><c r="O497" s="100"><f>O496</f><v /></c><c r="P497" s="328"><f>P496</f><v /></c><c r="Q497" s="11"><f>LEFT(P497,1)</f><v /></c><c r="R497" s="11"><f>RIGHT(P497,6)</f><v /></c><c r="S497" s="11"><f>+(Q497*60+R497)/(60*60)</f><v /></c><c r="T497" s="14"><f>+O497/S497</f><v /></c><c r="U497" s="316"><f>+(((N497-M497-O497)/O497)*100)</f><v /></c><c r="V497" s="329"><f>V496</f><v /></c><c r="W497" s="329"><f>W496</f><v /></c><c r="X497" s="330"><f>X496</f><v /></c><c r="Y497" s="45" t="n" /><c r="Z497" s="45" t="n" /><c r="AA497" s="331"><f>AA496</f><v /></c><c r="AB497" s="332"><f>AB496</f><v /></c><c r="AC497" s="11"><f>LEFT(AB497,2)</f><v /></c><c r="AD497" s="11"><f>RIGHT(AB497,6)</f><v /></c><c r="AE497" s="11"><f>+(AC497*60+AD497)/(60*60)</f><v /></c><c r="AF497" s="14"><f>+AA497/AE497</f><v /></c><c r="AG497" s="321"><f>+(((Z497-Y497-AA497)/AA497)*100)</f><v /></c><c r="AH497" s="329"><f>AH496</f><v /></c><c r="AI497" s="329"><f>AI496</f><v /></c><c r="AJ497" s="329"><f>AJ496</f><v /></c><c r="AK497" s="53"><f>Z497</f><v /></c><c r="AL497" s="45" t="n" /><c r="AM497" s="333"><f>AM496</f><v /></c><c r="AN497" s="328"><f>AN496</f><v /></c><c r="AO497" s="11"><f>LEFT(AN497,2)</f><v /></c><c r="AP497" s="11"><f>RIGHT(AN497,6)</f><v /></c><c r="AQ497" s="11"><f>+(AO497*60+AP497)/(60*60)</f><v /></c><c r="AR497" s="14"><f>+AM497/AQ497</f><v /></c><c r="AS497" s="321"><f>+(((AL497-AK497-AM497)/AM497)*100)</f><v /></c><c r="AT497" s="43"><f>IF(I497&gt;=1,"NO CONFORME",IF(BK497="SIGDIFERENTES",BC497,BL497))</f><v /></c><c r="AU497" s="8"><f>B497=C497</f><v /></c><c r="AV497" s="8"><f>N497&lt;Y497</f><v /></c><c r="AW497" s="8"><f>Z497&lt;=AK497</f><v /></c><c r="AX497" s="8"><f>IF(I497&gt;=1,"Qcorrecto",IF(AND(AY497="aceptable",AZ497="aceptable",BA497="aceptable"),"Qcorrecto","Qincorrecto"))</f><v /></c><c r="AY497" s="22"><f>IF(AR497&lt;$AH$6,"error",IF(AR497&gt;$AH$6*1.1,"error","aceptable"))</f><v /></c><c r="AZ497" s="22"><f>IF(AF497&lt;$V$6,"error",IF(AF497&gt;$V$6*1.1,"error","aceptable"))</f><v /></c><c r="BA497" s="22"><f>IF(T497&lt;$J$6*0.9,"error",IF(T497&gt;$J$6,"error","aceptable"))</f><v /></c><c r="BB497" s="25"><f>(IF(ABS(U497)&lt;1.05,"CONFORME",IF(ABS(AG497)&lt;1.05,"CONFORME",IF(ABS(AS497)&lt;2.55,"CONFORME","NO CONFORME"))))</f><v /></c><c r="BC497" s="5"><f>(IF(ABS(U497)&gt;2.05,"NO CONFORME",IF(ABS(AG497)&gt;2.05,"NO CONFORME",IF(ABS(AS497)&gt;5.05,"NO CONFORME","CONFORME"))))</f><v /></c><c r="BD497" s="15"><f>SIGN(U497)</f><v /></c><c r="BE497" s="15"><f>SIGN(AG497)</f><v /></c><c r="BF497" s="15"><f>SIGN(AS497)</f><v /></c><c r="BG497" s="15"><f>CONCATENATE(BD497,BE497,BF497)</f><v /></c><c r="BH497" s="15"><f>IF(BG497="111","SI","SD")</f><v /></c><c r="BI497" s="15"><f>IF(BG497="-1-1-1","SI","SD")</f><v /></c><c r="BJ497" s="15"><f>OR(BH497="SI",BI497="SI")</f><v /></c><c r="BK497" s="15"><f>IF(BJ497=FALSE,"SIGDIFERENTES","SIGIGUALES")</f><v /></c><c r="BL497" s="22"><f>IF(BC497="NO CONFORME","NO CONFORME",IF(BB497="CONFORME","CONFORME","NO CONFORME"))</f><v /></c></row><row r="498" ht="15.75" customHeight="1" thickBot="1"><c r="A498" s="37" t="n"><v>490</v></c><c r="B498" s="324"><f>B497</f><v /></c><c r="C498" s="324"><f>C497</f><v /></c><c r="D498" s="94"><f>D497</f><v /></c><c r="E498" s="95"><f>E497</f><v /></c><c r="F498" s="13" t="n" /><c r="G498" s="312" t="n" /><c r="H498" s="326"><f>H497</f><v /></c><c r="I498" s="98"><f>I497</f><v /></c><c r="J498" s="327"><f>J497</f><v /></c><c r="K498" s="327"><f>K497</f><v /></c><c r="L498" s="327"><f>L497</f><v /></c><c r="M498" s="45" t="n" /><c r="N498" s="45" t="n" /><c r="O498" s="100"><f>O497</f><v /></c><c r="P498" s="328"><f>P497</f><v /></c><c r="Q498" s="11"><f>LEFT(P498,1)</f><v /></c><c r="R498" s="11"><f>RIGHT(P498,6)</f><v /></c><c r="S498" s="11"><f>+(Q498*60+R498)/(60*60)</f><v /></c><c r="T498" s="14"><f>+O498/S498</f><v /></c><c r="U498" s="316"><f>+(((N498-M498-O498)/O498)*100)</f><v /></c><c r="V498" s="329"><f>V497</f><v /></c><c r="W498" s="329"><f>W497</f><v /></c><c r="X498" s="330"><f>X497</f><v /></c><c r="Y498" s="45" t="n" /><c r="Z498" s="45" t="n" /><c r="AA498" s="331"><f>AA497</f><v /></c><c r="AB498" s="332"><f>AB497</f><v /></c><c r="AC498" s="11"><f>LEFT(AB498,2)</f><v /></c><c r="AD498" s="11"><f>RIGHT(AB498,6)</f><v /></c><c r="AE498" s="11"><f>+(AC498*60+AD498)/(60*60)</f><v /></c><c r="AF498" s="14"><f>+AA498/AE498</f><v /></c><c r="AG498" s="321"><f>+(((Z498-Y498-AA498)/AA498)*100)</f><v /></c><c r="AH498" s="329"><f>AH497</f><v /></c><c r="AI498" s="329"><f>AI497</f><v /></c><c r="AJ498" s="329"><f>AJ497</f><v /></c><c r="AK498" s="53"><f>Z498</f><v /></c><c r="AL498" s="45" t="n" /><c r="AM498" s="333"><f>AM497</f><v /></c><c r="AN498" s="328"><f>AN497</f><v /></c><c r="AO498" s="11"><f>LEFT(AN498,2)</f><v /></c><c r="AP498" s="11"><f>RIGHT(AN498,6)</f><v /></c><c r="AQ498" s="11"><f>+(AO498*60+AP498)/(60*60)</f><v /></c><c r="AR498" s="14"><f>+AM498/AQ498</f><v /></c><c r="AS498" s="321"><f>+(((AL498-AK498-AM498)/AM498)*100)</f><v /></c><c r="AT498" s="43"><f>IF(I498&gt;=1,"NO CONFORME",IF(BK498="SIGDIFERENTES",BC498,BL498))</f><v /></c><c r="AU498" s="8"><f>B498=C498</f><v /></c><c r="AV498" s="8"><f>N498&lt;Y498</f><v /></c><c r="AW498" s="8"><f>Z498&lt;=AK498</f><v /></c><c r="AX498" s="8"><f>IF(I498&gt;=1,"Qcorrecto",IF(AND(AY498="aceptable",AZ498="aceptable",BA498="aceptable"),"Qcorrecto","Qincorrecto"))</f><v /></c><c r="AY498" s="22"><f>IF(AR498&lt;$AH$6,"error",IF(AR498&gt;$AH$6*1.1,"error","aceptable"))</f><v /></c><c r="AZ498" s="22"><f>IF(AF498&lt;$V$6,"error",IF(AF498&gt;$V$6*1.1,"error","aceptable"))</f><v /></c><c r="BA498" s="22"><f>IF(T498&lt;$J$6*0.9,"error",IF(T498&gt;$J$6,"error","aceptable"))</f><v /></c><c r="BB498" s="25"><f>(IF(ABS(U498)&lt;1.05,"CONFORME",IF(ABS(AG498)&lt;1.05,"CONFORME",IF(ABS(AS498)&lt;2.55,"CONFORME","NO CONFORME"))))</f><v /></c><c r="BC498" s="5"><f>(IF(ABS(U498)&gt;2.05,"NO CONFORME",IF(ABS(AG498)&gt;2.05,"NO CONFORME",IF(ABS(AS498)&gt;5.05,"NO CONFORME","CONFORME"))))</f><v /></c><c r="BD498" s="15"><f>SIGN(U498)</f><v /></c><c r="BE498" s="15"><f>SIGN(AG498)</f><v /></c><c r="BF498" s="15"><f>SIGN(AS498)</f><v /></c><c r="BG498" s="15"><f>CONCATENATE(BD498,BE498,BF498)</f><v /></c><c r="BH498" s="15"><f>IF(BG498="111","SI","SD")</f><v /></c><c r="BI498" s="15"><f>IF(BG498="-1-1-1","SI","SD")</f><v /></c><c r="BJ498" s="15"><f>OR(BH498="SI",BI498="SI")</f><v /></c><c r="BK498" s="15"><f>IF(BJ498=FALSE,"SIGDIFERENTES","SIGIGUALES")</f><v /></c><c r="BL498" s="22"><f>IF(BC498="NO CONFORME","NO CONFORME",IF(BB498="CONFORME","CONFORME","NO CONFORME"))</f><v /></c></row><row r="499" ht="15.75" customHeight="1" thickBot="1"><c r="A499" s="37" t="n"><v>491</v></c><c r="B499" s="324"><f>B498</f><v /></c><c r="C499" s="324"><f>C498</f><v /></c><c r="D499" s="94"><f>D498</f><v /></c><c r="E499" s="95"><f>E498</f><v /></c><c r="F499" s="13" t="n" /><c r="G499" s="312" t="n" /><c r="H499" s="326"><f>H498</f><v /></c><c r="I499" s="98"><f>I498</f><v /></c><c r="J499" s="327"><f>J498</f><v /></c><c r="K499" s="327"><f>K498</f><v /></c><c r="L499" s="327"><f>L498</f><v /></c><c r="M499" s="45" t="n" /><c r="N499" s="45" t="n" /><c r="O499" s="100"><f>O498</f><v /></c><c r="P499" s="328"><f>P498</f><v /></c><c r="Q499" s="11"><f>LEFT(P499,1)</f><v /></c><c r="R499" s="11"><f>RIGHT(P499,6)</f><v /></c><c r="S499" s="11"><f>+(Q499*60+R499)/(60*60)</f><v /></c><c r="T499" s="14"><f>+O499/S499</f><v /></c><c r="U499" s="316"><f>+(((N499-M499-O499)/O499)*100)</f><v /></c><c r="V499" s="329"><f>V498</f><v /></c><c r="W499" s="329"><f>W498</f><v /></c><c r="X499" s="330"><f>X498</f><v /></c><c r="Y499" s="45" t="n" /><c r="Z499" s="45" t="n" /><c r="AA499" s="331"><f>AA498</f><v /></c><c r="AB499" s="332"><f>AB498</f><v /></c><c r="AC499" s="11"><f>LEFT(AB499,2)</f><v /></c><c r="AD499" s="11"><f>RIGHT(AB499,6)</f><v /></c><c r="AE499" s="11"><f>+(AC499*60+AD499)/(60*60)</f><v /></c><c r="AF499" s="14"><f>+AA499/AE499</f><v /></c><c r="AG499" s="321"><f>+(((Z499-Y499-AA499)/AA499)*100)</f><v /></c><c r="AH499" s="329"><f>AH498</f><v /></c><c r="AI499" s="329"><f>AI498</f><v /></c><c r="AJ499" s="329"><f>AJ498</f><v /></c><c r="AK499" s="53"><f>Z499</f><v /></c><c r="AL499" s="45" t="n" /><c r="AM499" s="333"><f>AM498</f><v /></c><c r="AN499" s="328"><f>AN498</f><v /></c><c r="AO499" s="11"><f>LEFT(AN499,2)</f><v /></c><c r="AP499" s="11"><f>RIGHT(AN499,6)</f><v /></c><c r="AQ499" s="11"><f>+(AO499*60+AP499)/(60*60)</f><v /></c><c r="AR499" s="14"><f>+AM499/AQ499</f><v /></c><c r="AS499" s="321"><f>+(((AL499-AK499-AM499)/AM499)*100)</f><v /></c><c r="AT499" s="43"><f>IF(I499&gt;=1,"NO CONFORME",IF(BK499="SIGDIFERENTES",BC499,BL499))</f><v /></c><c r="AU499" s="8"><f>B499=C499</f><v /></c><c r="AV499" s="8"><f>N499&lt;Y499</f><v /></c><c r="AW499" s="8"><f>Z499&lt;=AK499</f><v /></c><c r="AX499" s="8"><f>IF(I499&gt;=1,"Qcorrecto",IF(AND(AY499="aceptable",AZ499="aceptable",BA499="aceptable"),"Qcorrecto","Qincorrecto"))</f><v /></c><c r="AY499" s="22"><f>IF(AR499&lt;$AH$6,"error",IF(AR499&gt;$AH$6*1.1,"error","aceptable"))</f><v /></c><c r="AZ499" s="22"><f>IF(AF499&lt;$V$6,"error",IF(AF499&gt;$V$6*1.1,"error","aceptable"))</f><v /></c><c r="BA499" s="22"><f>IF(T499&lt;$J$6*0.9,"error",IF(T499&gt;$J$6,"error","aceptable"))</f><v /></c><c r="BB499" s="25"><f>(IF(ABS(U499)&lt;1.05,"CONFORME",IF(ABS(AG499)&lt;1.05,"CONFORME",IF(ABS(AS499)&lt;2.55,"CONFORME","NO CONFORME"))))</f><v /></c><c r="BC499" s="5"><f>(IF(ABS(U499)&gt;2.05,"NO CONFORME",IF(ABS(AG499)&gt;2.05,"NO CONFORME",IF(ABS(AS499)&gt;5.05,"NO CONFORME","CONFORME"))))</f><v /></c><c r="BD499" s="15"><f>SIGN(U499)</f><v /></c><c r="BE499" s="15"><f>SIGN(AG499)</f><v /></c><c r="BF499" s="15"><f>SIGN(AS499)</f><v /></c><c r="BG499" s="15"><f>CONCATENATE(BD499,BE499,BF499)</f><v /></c><c r="BH499" s="15"><f>IF(BG499="111","SI","SD")</f><v /></c><c r="BI499" s="15"><f>IF(BG499="-1-1-1","SI","SD")</f><v /></c><c r="BJ499" s="15"><f>OR(BH499="SI",BI499="SI")</f><v /></c><c r="BK499" s="15"><f>IF(BJ499=FALSE,"SIGDIFERENTES","SIGIGUALES")</f><v /></c><c r="BL499" s="22"><f>IF(BC499="NO CONFORME","NO CONFORME",IF(BB499="CONFORME","CONFORME","NO CONFORME"))</f><v /></c></row><row r="500" ht="15.75" customHeight="1" thickBot="1"><c r="A500" s="37" t="n"><v>492</v></c><c r="B500" s="324"><f>B499</f><v /></c><c r="C500" s="324"><f>C499</f><v /></c><c r="D500" s="94"><f>D499</f><v /></c><c r="E500" s="95"><f>E499</f><v /></c><c r="F500" s="13" t="n" /><c r="G500" s="334" t="n" /><c r="H500" s="326"><f>H499</f><v /></c><c r="I500" s="98"><f>I499</f><v /></c><c r="J500" s="327"><f>J499</f><v /></c><c r="K500" s="327"><f>K499</f><v /></c><c r="L500" s="327"><f>L499</f><v /></c><c r="M500" s="45" t="n" /><c r="N500" s="45" t="n" /><c r="O500" s="100"><f>O499</f><v /></c><c r="P500" s="328"><f>P499</f><v /></c><c r="Q500" s="11"><f>LEFT(P500,1)</f><v /></c><c r="R500" s="11"><f>RIGHT(P500,6)</f><v /></c><c r="S500" s="11"><f>+(Q500*60+R500)/(60*60)</f><v /></c><c r="T500" s="14"><f>+O500/S500</f><v /></c><c r="U500" s="316"><f>+(((N500-M500-O500)/O500)*100)</f><v /></c><c r="V500" s="329"><f>V499</f><v /></c><c r="W500" s="329"><f>W499</f><v /></c><c r="X500" s="330"><f>X499</f><v /></c><c r="Y500" s="45" t="n" /><c r="Z500" s="45" t="n" /><c r="AA500" s="331"><f>AA499</f><v /></c><c r="AB500" s="332"><f>AB499</f><v /></c><c r="AC500" s="11"><f>LEFT(AB500,2)</f><v /></c><c r="AD500" s="11"><f>RIGHT(AB500,6)</f><v /></c><c r="AE500" s="11"><f>+(AC500*60+AD500)/(60*60)</f><v /></c><c r="AF500" s="14"><f>+AA500/AE500</f><v /></c><c r="AG500" s="321"><f>+(((Z500-Y500-AA500)/AA500)*100)</f><v /></c><c r="AH500" s="329"><f>AH499</f><v /></c><c r="AI500" s="329"><f>AI499</f><v /></c><c r="AJ500" s="329"><f>AJ499</f><v /></c><c r="AK500" s="53"><f>Z500</f><v /></c><c r="AL500" s="45" t="n" /><c r="AM500" s="333"><f>AM499</f><v /></c><c r="AN500" s="328"><f>AN499</f><v /></c><c r="AO500" s="11"><f>LEFT(AN500,2)</f><v /></c><c r="AP500" s="11"><f>RIGHT(AN500,6)</f><v /></c><c r="AQ500" s="11"><f>+(AO500*60+AP500)/(60*60)</f><v /></c><c r="AR500" s="14"><f>+AM500/AQ500</f><v /></c><c r="AS500" s="321"><f>+(((AL500-AK500-AM500)/AM500)*100)</f><v /></c><c r="AT500" s="43"><f>IF(I500&gt;=1,"NO CONFORME",IF(BK500="SIGDIFERENTES",BC500,BL500))</f><v /></c><c r="AU500" s="8"><f>B500=C500</f><v /></c><c r="AV500" s="8"><f>N500&lt;Y500</f><v /></c><c r="AW500" s="8"><f>Z500&lt;=AK500</f><v /></c><c r="AX500" s="8"><f>IF(I500&gt;=1,"Qcorrecto",IF(AND(AY500="aceptable",AZ500="aceptable",BA500="aceptable"),"Qcorrecto","Qincorrecto"))</f><v /></c><c r="AY500" s="22"><f>IF(AR500&lt;$AH$6,"error",IF(AR500&gt;$AH$6*1.1,"error","aceptable"))</f><v /></c><c r="AZ500" s="22"><f>IF(AF500&lt;$V$6,"error",IF(AF500&gt;$V$6*1.1,"error","aceptable"))</f><v /></c><c r="BA500" s="22"><f>IF(T500&lt;$J$6*0.9,"error",IF(T500&gt;$J$6,"error","aceptable"))</f><v /></c><c r="BB500" s="25"><f>(IF(ABS(U500)&lt;1.05,"CONFORME",IF(ABS(AG500)&lt;1.05,"CONFORME",IF(ABS(AS500)&lt;2.55,"CONFORME","NO CONFORME"))))</f><v /></c><c r="BC500" s="5"><f>(IF(ABS(U500)&gt;2.05,"NO CONFORME",IF(ABS(AG500)&gt;2.05,"NO CONFORME",IF(ABS(AS500)&gt;5.05,"NO CONFORME","CONFORME"))))</f><v /></c><c r="BD500" s="15"><f>SIGN(U500)</f><v /></c><c r="BE500" s="15"><f>SIGN(AG500)</f><v /></c><c r="BF500" s="15"><f>SIGN(AS500)</f><v /></c><c r="BG500" s="15"><f>CONCATENATE(BD500,BE500,BF500)</f><v /></c><c r="BH500" s="15"><f>IF(BG500="111","SI","SD")</f><v /></c><c r="BI500" s="15"><f>IF(BG500="-1-1-1","SI","SD")</f><v /></c><c r="BJ500" s="15"><f>OR(BH500="SI",BI500="SI")</f><v /></c><c r="BK500" s="15"><f>IF(BJ500=FALSE,"SIGDIFERENTES","SIGIGUALES")</f><v /></c><c r="BL500" s="22"><f>IF(BC500="NO CONFORME","NO CONFORME",IF(BB500="CONFORME","CONFORME","NO CONFORME"))</f><v /></c></row><row r="501" ht="15.75" customHeight="1" thickBot="1"><c r="A501" s="37" t="n"><v>493</v></c><c r="B501" s="324"><f>B500</f><v /></c><c r="C501" s="324"><f>C500</f><v /></c><c r="D501" s="94"><f>D500</f><v /></c><c r="E501" s="95"><f>E500</f><v /></c><c r="F501" s="13" t="n" /><c r="G501" s="312" t="n" /><c r="H501" s="326"><f>H500</f><v /></c><c r="I501" s="98"><f>I500</f><v /></c><c r="J501" s="327"><f>J500</f><v /></c><c r="K501" s="327"><f>K500</f><v /></c><c r="L501" s="327"><f>L500</f><v /></c><c r="M501" s="45" t="n" /><c r="N501" s="45" t="n" /><c r="O501" s="100"><f>O500</f><v /></c><c r="P501" s="328"><f>P500</f><v /></c><c r="Q501" s="11"><f>LEFT(P501,1)</f><v /></c><c r="R501" s="11"><f>RIGHT(P501,6)</f><v /></c><c r="S501" s="11"><f>+(Q501*60+R501)/(60*60)</f><v /></c><c r="T501" s="14"><f>+O501/S501</f><v /></c><c r="U501" s="316"><f>+(((N501-M501-O501)/O501)*100)</f><v /></c><c r="V501" s="329"><f>V500</f><v /></c><c r="W501" s="329"><f>W500</f><v /></c><c r="X501" s="330"><f>X500</f><v /></c><c r="Y501" s="45" t="n" /><c r="Z501" s="45" t="n" /><c r="AA501" s="331"><f>AA500</f><v /></c><c r="AB501" s="332"><f>AB500</f><v /></c><c r="AC501" s="11"><f>LEFT(AB501,2)</f><v /></c><c r="AD501" s="11"><f>RIGHT(AB501,6)</f><v /></c><c r="AE501" s="11"><f>+(AC501*60+AD501)/(60*60)</f><v /></c><c r="AF501" s="14"><f>+AA501/AE501</f><v /></c><c r="AG501" s="321"><f>+(((Z501-Y501-AA501)/AA501)*100)</f><v /></c><c r="AH501" s="329"><f>AH500</f><v /></c><c r="AI501" s="329"><f>AI500</f><v /></c><c r="AJ501" s="329"><f>AJ500</f><v /></c><c r="AK501" s="53"><f>Z501</f><v /></c><c r="AL501" s="45" t="n" /><c r="AM501" s="333"><f>AM500</f><v /></c><c r="AN501" s="328"><f>AN500</f><v /></c><c r="AO501" s="11"><f>LEFT(AN501,2)</f><v /></c><c r="AP501" s="11"><f>RIGHT(AN501,6)</f><v /></c><c r="AQ501" s="11"><f>+(AO501*60+AP501)/(60*60)</f><v /></c><c r="AR501" s="14"><f>+AM501/AQ501</f><v /></c><c r="AS501" s="321"><f>+(((AL501-AK501-AM501)/AM501)*100)</f><v /></c><c r="AT501" s="43"><f>IF(I501&gt;=1,"NO CONFORME",IF(BK501="SIGDIFERENTES",BC501,BL501))</f><v /></c><c r="AU501" s="8"><f>B501=C501</f><v /></c><c r="AV501" s="8"><f>N501&lt;Y501</f><v /></c><c r="AW501" s="8"><f>Z501&lt;=AK501</f><v /></c><c r="AX501" s="8"><f>IF(I501&gt;=1,"Qcorrecto",IF(AND(AY501="aceptable",AZ501="aceptable",BA501="aceptable"),"Qcorrecto","Qincorrecto"))</f><v /></c><c r="AY501" s="22"><f>IF(AR501&lt;$AH$6,"error",IF(AR501&gt;$AH$6*1.1,"error","aceptable"))</f><v /></c><c r="AZ501" s="22"><f>IF(AF501&lt;$V$6,"error",IF(AF501&gt;$V$6*1.1,"error","aceptable"))</f><v /></c><c r="BA501" s="22"><f>IF(T501&lt;$J$6*0.9,"error",IF(T501&gt;$J$6,"error","aceptable"))</f><v /></c><c r="BB501" s="25"><f>(IF(ABS(U501)&lt;1.05,"CONFORME",IF(ABS(AG501)&lt;1.05,"CONFORME",IF(ABS(AS501)&lt;2.55,"CONFORME","NO CONFORME"))))</f><v /></c><c r="BC501" s="5"><f>(IF(ABS(U501)&gt;2.05,"NO CONFORME",IF(ABS(AG501)&gt;2.05,"NO CONFORME",IF(ABS(AS501)&gt;5.05,"NO CONFORME","CONFORME"))))</f><v /></c><c r="BD501" s="15"><f>SIGN(U501)</f><v /></c><c r="BE501" s="15"><f>SIGN(AG501)</f><v /></c><c r="BF501" s="15"><f>SIGN(AS501)</f><v /></c><c r="BG501" s="15"><f>CONCATENATE(BD501,BE501,BF501)</f><v /></c><c r="BH501" s="15"><f>IF(BG501="111","SI","SD")</f><v /></c><c r="BI501" s="15"><f>IF(BG501="-1-1-1","SI","SD")</f><v /></c><c r="BJ501" s="15"><f>OR(BH501="SI",BI501="SI")</f><v /></c><c r="BK501" s="15"><f>IF(BJ501=FALSE,"SIGDIFERENTES","SIGIGUALES")</f><v /></c><c r="BL501" s="22"><f>IF(BC501="NO CONFORME","NO CONFORME",IF(BB501="CONFORME","CONFORME","NO CONFORME"))</f><v /></c></row><row r="502" ht="15.75" customHeight="1" thickBot="1"><c r="A502" s="37" t="n"><v>494</v></c><c r="B502" s="324"><f>B501</f><v /></c><c r="C502" s="324"><f>C501</f><v /></c><c r="D502" s="94"><f>D501</f><v /></c><c r="E502" s="95"><f>E501</f><v /></c><c r="F502" s="13" t="n" /><c r="G502" s="312" t="n" /><c r="H502" s="326"><f>H501</f><v /></c><c r="I502" s="98"><f>I501</f><v /></c><c r="J502" s="327"><f>J501</f><v /></c><c r="K502" s="327"><f>K501</f><v /></c><c r="L502" s="327"><f>L501</f><v /></c><c r="M502" s="45" t="n" /><c r="N502" s="45" t="n" /><c r="O502" s="100"><f>O501</f><v /></c><c r="P502" s="328"><f>P501</f><v /></c><c r="Q502" s="11"><f>LEFT(P502,1)</f><v /></c><c r="R502" s="11"><f>RIGHT(P502,6)</f><v /></c><c r="S502" s="11"><f>+(Q502*60+R502)/(60*60)</f><v /></c><c r="T502" s="14"><f>+O502/S502</f><v /></c><c r="U502" s="316"><f>+(((N502-M502-O502)/O502)*100)</f><v /></c><c r="V502" s="329"><f>V501</f><v /></c><c r="W502" s="329"><f>W501</f><v /></c><c r="X502" s="330"><f>X501</f><v /></c><c r="Y502" s="45" t="n" /><c r="Z502" s="45" t="n" /><c r="AA502" s="331"><f>AA501</f><v /></c><c r="AB502" s="332"><f>AB501</f><v /></c><c r="AC502" s="11"><f>LEFT(AB502,2)</f><v /></c><c r="AD502" s="11"><f>RIGHT(AB502,6)</f><v /></c><c r="AE502" s="11"><f>+(AC502*60+AD502)/(60*60)</f><v /></c><c r="AF502" s="14"><f>+AA502/AE502</f><v /></c><c r="AG502" s="321"><f>+(((Z502-Y502-AA502)/AA502)*100)</f><v /></c><c r="AH502" s="329"><f>AH501</f><v /></c><c r="AI502" s="329"><f>AI501</f><v /></c><c r="AJ502" s="329"><f>AJ501</f><v /></c><c r="AK502" s="53"><f>Z502</f><v /></c><c r="AL502" s="45" t="n" /><c r="AM502" s="333"><f>AM501</f><v /></c><c r="AN502" s="328"><f>AN501</f><v /></c><c r="AO502" s="11"><f>LEFT(AN502,2)</f><v /></c><c r="AP502" s="11"><f>RIGHT(AN502,6)</f><v /></c><c r="AQ502" s="11"><f>+(AO502*60+AP502)/(60*60)</f><v /></c><c r="AR502" s="14"><f>+AM502/AQ502</f><v /></c><c r="AS502" s="321"><f>+(((AL502-AK502-AM502)/AM502)*100)</f><v /></c><c r="AT502" s="43"><f>IF(I502&gt;=1,"NO CONFORME",IF(BK502="SIGDIFERENTES",BC502,BL502))</f><v /></c><c r="AU502" s="8"><f>B502=C502</f><v /></c><c r="AV502" s="8"><f>N502&lt;Y502</f><v /></c><c r="AW502" s="8"><f>Z502&lt;=AK502</f><v /></c><c r="AX502" s="8"><f>IF(I502&gt;=1,"Qcorrecto",IF(AND(AY502="aceptable",AZ502="aceptable",BA502="aceptable"),"Qcorrecto","Qincorrecto"))</f><v /></c><c r="AY502" s="22"><f>IF(AR502&lt;$AH$6,"error",IF(AR502&gt;$AH$6*1.1,"error","aceptable"))</f><v /></c><c r="AZ502" s="22"><f>IF(AF502&lt;$V$6,"error",IF(AF502&gt;$V$6*1.1,"error","aceptable"))</f><v /></c><c r="BA502" s="22"><f>IF(T502&lt;$J$6*0.9,"error",IF(T502&gt;$J$6,"error","aceptable"))</f><v /></c><c r="BB502" s="25"><f>(IF(ABS(U502)&lt;1.05,"CONFORME",IF(ABS(AG502)&lt;1.05,"CONFORME",IF(ABS(AS502)&lt;2.55,"CONFORME","NO CONFORME"))))</f><v /></c><c r="BC502" s="5"><f>(IF(ABS(U502)&gt;2.05,"NO CONFORME",IF(ABS(AG502)&gt;2.05,"NO CONFORME",IF(ABS(AS502)&gt;5.05,"NO CONFORME","CONFORME"))))</f><v /></c><c r="BD502" s="15"><f>SIGN(U502)</f><v /></c><c r="BE502" s="15"><f>SIGN(AG502)</f><v /></c><c r="BF502" s="15"><f>SIGN(AS502)</f><v /></c><c r="BG502" s="15"><f>CONCATENATE(BD502,BE502,BF502)</f><v /></c><c r="BH502" s="15"><f>IF(BG502="111","SI","SD")</f><v /></c><c r="BI502" s="15"><f>IF(BG502="-1-1-1","SI","SD")</f><v /></c><c r="BJ502" s="15"><f>OR(BH502="SI",BI502="SI")</f><v /></c><c r="BK502" s="15"><f>IF(BJ502=FALSE,"SIGDIFERENTES","SIGIGUALES")</f><v /></c><c r="BL502" s="22"><f>IF(BC502="NO CONFORME","NO CONFORME",IF(BB502="CONFORME","CONFORME","NO CONFORME"))</f><v /></c></row><row r="503" ht="15.75" customHeight="1" thickBot="1"><c r="A503" s="37" t="n"><v>495</v></c><c r="B503" s="324"><f>B502</f><v /></c><c r="C503" s="324"><f>C502</f><v /></c><c r="D503" s="94"><f>D502</f><v /></c><c r="E503" s="95"><f>E502</f><v /></c><c r="F503" s="13" t="n" /><c r="G503" s="334" t="n" /><c r="H503" s="326"><f>H502</f><v /></c><c r="I503" s="98"><f>I502</f><v /></c><c r="J503" s="327"><f>J502</f><v /></c><c r="K503" s="327"><f>K502</f><v /></c><c r="L503" s="327"><f>L502</f><v /></c><c r="M503" s="45" t="n" /><c r="N503" s="45" t="n" /><c r="O503" s="100"><f>O502</f><v /></c><c r="P503" s="328"><f>P502</f><v /></c><c r="Q503" s="11"><f>LEFT(P503,1)</f><v /></c><c r="R503" s="11"><f>RIGHT(P503,6)</f><v /></c><c r="S503" s="11"><f>+(Q503*60+R503)/(60*60)</f><v /></c><c r="T503" s="14"><f>+O503/S503</f><v /></c><c r="U503" s="316"><f>+(((N503-M503-O503)/O503)*100)</f><v /></c><c r="V503" s="329"><f>V502</f><v /></c><c r="W503" s="329"><f>W502</f><v /></c><c r="X503" s="330"><f>X502</f><v /></c><c r="Y503" s="45" t="n" /><c r="Z503" s="45" t="n" /><c r="AA503" s="331"><f>AA502</f><v /></c><c r="AB503" s="332"><f>AB502</f><v /></c><c r="AC503" s="11"><f>LEFT(AB503,2)</f><v /></c><c r="AD503" s="11"><f>RIGHT(AB503,6)</f><v /></c><c r="AE503" s="11"><f>+(AC503*60+AD503)/(60*60)</f><v /></c><c r="AF503" s="14"><f>+AA503/AE503</f><v /></c><c r="AG503" s="321"><f>+(((Z503-Y503-AA503)/AA503)*100)</f><v /></c><c r="AH503" s="329"><f>AH502</f><v /></c><c r="AI503" s="329"><f>AI502</f><v /></c><c r="AJ503" s="329"><f>AJ502</f><v /></c><c r="AK503" s="53"><f>Z503</f><v /></c><c r="AL503" s="45" t="n" /><c r="AM503" s="333"><f>AM502</f><v /></c><c r="AN503" s="328"><f>AN502</f><v /></c><c r="AO503" s="11"><f>LEFT(AN503,2)</f><v /></c><c r="AP503" s="11"><f>RIGHT(AN503,6)</f><v /></c><c r="AQ503" s="11"><f>+(AO503*60+AP503)/(60*60)</f><v /></c><c r="AR503" s="14"><f>+AM503/AQ503</f><v /></c><c r="AS503" s="321"><f>+(((AL503-AK503-AM503)/AM503)*100)</f><v /></c><c r="AT503" s="43"><f>IF(I503&gt;=1,"NO CONFORME",IF(BK503="SIGDIFERENTES",BC503,BL503))</f><v /></c><c r="AU503" s="8"><f>B503=C503</f><v /></c><c r="AV503" s="8"><f>N503&lt;Y503</f><v /></c><c r="AW503" s="8"><f>Z503&lt;=AK503</f><v /></c><c r="AX503" s="8"><f>IF(I503&gt;=1,"Qcorrecto",IF(AND(AY503="aceptable",AZ503="aceptable",BA503="aceptable"),"Qcorrecto","Qincorrecto"))</f><v /></c><c r="AY503" s="22"><f>IF(AR503&lt;$AH$6,"error",IF(AR503&gt;$AH$6*1.1,"error","aceptable"))</f><v /></c><c r="AZ503" s="22"><f>IF(AF503&lt;$V$6,"error",IF(AF503&gt;$V$6*1.1,"error","aceptable"))</f><v /></c><c r="BA503" s="22"><f>IF(T503&lt;$J$6*0.9,"error",IF(T503&gt;$J$6,"error","aceptable"))</f><v /></c><c r="BB503" s="25"><f>(IF(ABS(U503)&lt;1.05,"CONFORME",IF(ABS(AG503)&lt;1.05,"CONFORME",IF(ABS(AS503)&lt;2.55,"CONFORME","NO CONFORME"))))</f><v /></c><c r="BC503" s="5"><f>(IF(ABS(U503)&gt;2.05,"NO CONFORME",IF(ABS(AG503)&gt;2.05,"NO CONFORME",IF(ABS(AS503)&gt;5.05,"NO CONFORME","CONFORME"))))</f><v /></c><c r="BD503" s="15"><f>SIGN(U503)</f><v /></c><c r="BE503" s="15"><f>SIGN(AG503)</f><v /></c><c r="BF503" s="15"><f>SIGN(AS503)</f><v /></c><c r="BG503" s="15"><f>CONCATENATE(BD503,BE503,BF503)</f><v /></c><c r="BH503" s="15"><f>IF(BG503="111","SI","SD")</f><v /></c><c r="BI503" s="15"><f>IF(BG503="-1-1-1","SI","SD")</f><v /></c><c r="BJ503" s="15"><f>OR(BH503="SI",BI503="SI")</f><v /></c><c r="BK503" s="15"><f>IF(BJ503=FALSE,"SIGDIFERENTES","SIGIGUALES")</f><v /></c><c r="BL503" s="22"><f>IF(BC503="NO CONFORME","NO CONFORME",IF(BB503="CONFORME","CONFORME","NO CONFORME"))</f><v /></c></row><row r="504" ht="15.75" customHeight="1" thickBot="1"><c r="A504" s="37" t="n"><v>496</v></c><c r="B504" s="324"><f>B503</f><v /></c><c r="C504" s="324"><f>C503</f><v /></c><c r="D504" s="94"><f>D503</f><v /></c><c r="E504" s="95"><f>E503</f><v /></c><c r="F504" s="52" t="n" /><c r="G504" s="325" t="n" /><c r="H504" s="326"><f>H503</f><v /></c><c r="I504" s="98"><f>I503</f><v /></c><c r="J504" s="327"><f>J503</f><v /></c><c r="K504" s="327"><f>K503</f><v /></c><c r="L504" s="327"><f>L503</f><v /></c><c r="M504" s="53" t="n" /><c r="N504" s="53" t="n" /><c r="O504" s="100"><f>O503</f><v /></c><c r="P504" s="328"><f>P503</f><v /></c><c r="Q504" s="11"><f>LEFT(P504,1)</f><v /></c><c r="R504" s="11"><f>RIGHT(P504,6)</f><v /></c><c r="S504" s="11"><f>+(Q504*60+R504)/(60*60)</f><v /></c><c r="T504" s="14"><f>+O504/S504</f><v /></c><c r="U504" s="316"><f>+(((N504-M504-O504)/O504)*100)</f><v /></c><c r="V504" s="329"><f>V503</f><v /></c><c r="W504" s="329"><f>W503</f><v /></c><c r="X504" s="330"><f>X503</f><v /></c><c r="Y504" s="53" t="n" /><c r="Z504" s="53" t="n" /><c r="AA504" s="331"><f>AA503</f><v /></c><c r="AB504" s="332"><f>AB503</f><v /></c><c r="AC504" s="11"><f>LEFT(AB504,2)</f><v /></c><c r="AD504" s="11"><f>RIGHT(AB504,6)</f><v /></c><c r="AE504" s="11"><f>+(AC504*60+AD504)/(60*60)</f><v /></c><c r="AF504" s="14"><f>+AA504/AE504</f><v /></c><c r="AG504" s="321"><f>+(((Z504-Y504-AA504)/AA504)*100)</f><v /></c><c r="AH504" s="329"><f>AH503</f><v /></c><c r="AI504" s="329"><f>AI503</f><v /></c><c r="AJ504" s="329"><f>AJ503</f><v /></c><c r="AK504" s="53"><f>Z504</f><v /></c><c r="AL504" s="53" t="n" /><c r="AM504" s="333"><f>AM503</f><v /></c><c r="AN504" s="328"><f>AN503</f><v /></c><c r="AO504" s="11"><f>LEFT(AN504,2)</f><v /></c><c r="AP504" s="11"><f>RIGHT(AN504,6)</f><v /></c><c r="AQ504" s="11"><f>+(AO504*60+AP504)/(60*60)</f><v /></c><c r="AR504" s="14"><f>+AM504/AQ504</f><v /></c><c r="AS504" s="321"><f>+(((AL504-AK504-AM504)/AM504)*100)</f><v /></c><c r="AT504" s="43"><f>IF(I504&gt;=1,"NO CONFORME",IF(BK504="SIGDIFERENTES",BC504,BL504))</f><v /></c><c r="AU504" s="8"><f>B504=C504</f><v /></c><c r="AV504" s="8"><f>N504&lt;Y504</f><v /></c><c r="AW504" s="8"><f>Z504&lt;=AK504</f><v /></c><c r="AX504" s="8"><f>IF(I504&gt;=1,"Qcorrecto",IF(AND(AY504="aceptable",AZ504="aceptable",BA504="aceptable"),"Qcorrecto","Qincorrecto"))</f><v /></c><c r="AY504" s="22"><f>IF(AR504&lt;$AH$6,"error",IF(AR504&gt;$AH$6*1.1,"error","aceptable"))</f><v /></c><c r="AZ504" s="22"><f>IF(AF504&lt;$V$6,"error",IF(AF504&gt;$V$6*1.1,"error","aceptable"))</f><v /></c><c r="BA504" s="22"><f>IF(T504&lt;$J$6*0.9,"error",IF(T504&gt;$J$6,"error","aceptable"))</f><v /></c><c r="BB504" s="25"><f>(IF(ABS(U504)&lt;1.05,"CONFORME",IF(ABS(AG504)&lt;1.05,"CONFORME",IF(ABS(AS504)&lt;2.55,"CONFORME","NO CONFORME"))))</f><v /></c><c r="BC504" s="5"><f>(IF(ABS(U504)&gt;2.05,"NO CONFORME",IF(ABS(AG504)&gt;2.05,"NO CONFORME",IF(ABS(AS504)&gt;5.05,"NO CONFORME","CONFORME"))))</f><v /></c><c r="BD504" s="15"><f>SIGN(U504)</f><v /></c><c r="BE504" s="15"><f>SIGN(AG504)</f><v /></c><c r="BF504" s="15"><f>SIGN(AS504)</f><v /></c><c r="BG504" s="15"><f>CONCATENATE(BD504,BE504,BF504)</f><v /></c><c r="BH504" s="15"><f>IF(BG504="111","SI","SD")</f><v /></c><c r="BI504" s="15"><f>IF(BG504="-1-1-1","SI","SD")</f><v /></c><c r="BJ504" s="15"><f>OR(BH504="SI",BI504="SI")</f><v /></c><c r="BK504" s="15"><f>IF(BJ504=FALSE,"SIGDIFERENTES","SIGIGUALES")</f><v /></c><c r="BL504" s="22"><f>IF(BC504="NO CONFORME","NO CONFORME",IF(BB504="CONFORME","CONFORME","NO CONFORME"))</f><v /></c></row><row r="505" ht="15.75" customHeight="1" thickBot="1"><c r="A505" s="37" t="n"><v>497</v></c><c r="B505" s="324"><f>B504</f><v /></c><c r="C505" s="324"><f>C504</f><v /></c><c r="D505" s="94"><f>D504</f><v /></c><c r="E505" s="95"><f>E504</f><v /></c><c r="F505" s="13" t="n" /><c r="G505" s="312" t="n" /><c r="H505" s="326"><f>H504</f><v /></c><c r="I505" s="98"><f>I504</f><v /></c><c r="J505" s="327"><f>J504</f><v /></c><c r="K505" s="327"><f>K504</f><v /></c><c r="L505" s="327"><f>L504</f><v /></c><c r="M505" s="45" t="n" /><c r="N505" s="45" t="n" /><c r="O505" s="100"><f>O504</f><v /></c><c r="P505" s="328"><f>P504</f><v /></c><c r="Q505" s="11"><f>LEFT(P505,1)</f><v /></c><c r="R505" s="11"><f>RIGHT(P505,6)</f><v /></c><c r="S505" s="11"><f>+(Q505*60+R505)/(60*60)</f><v /></c><c r="T505" s="14"><f>+O505/S505</f><v /></c><c r="U505" s="316"><f>+(((N505-M505-O505)/O505)*100)</f><v /></c><c r="V505" s="329"><f>V504</f><v /></c><c r="W505" s="329"><f>W504</f><v /></c><c r="X505" s="330"><f>X504</f><v /></c><c r="Y505" s="45" t="n" /><c r="Z505" s="45" t="n" /><c r="AA505" s="331"><f>AA504</f><v /></c><c r="AB505" s="332"><f>AB504</f><v /></c><c r="AC505" s="11"><f>LEFT(AB505,2)</f><v /></c><c r="AD505" s="11"><f>RIGHT(AB505,6)</f><v /></c><c r="AE505" s="11"><f>+(AC505*60+AD505)/(60*60)</f><v /></c><c r="AF505" s="14"><f>+AA505/AE505</f><v /></c><c r="AG505" s="321"><f>+(((Z505-Y505-AA505)/AA505)*100)</f><v /></c><c r="AH505" s="329"><f>AH504</f><v /></c><c r="AI505" s="329"><f>AI504</f><v /></c><c r="AJ505" s="329"><f>AJ504</f><v /></c><c r="AK505" s="53"><f>Z505</f><v /></c><c r="AL505" s="45" t="n" /><c r="AM505" s="333"><f>AM504</f><v /></c><c r="AN505" s="328"><f>AN504</f><v /></c><c r="AO505" s="11"><f>LEFT(AN505,2)</f><v /></c><c r="AP505" s="11"><f>RIGHT(AN505,6)</f><v /></c><c r="AQ505" s="11"><f>+(AO505*60+AP505)/(60*60)</f><v /></c><c r="AR505" s="14"><f>+AM505/AQ505</f><v /></c><c r="AS505" s="321"><f>+(((AL505-AK505-AM505)/AM505)*100)</f><v /></c><c r="AT505" s="43"><f>IF(I505&gt;=1,"NO CONFORME",IF(BK505="SIGDIFERENTES",BC505,BL505))</f><v /></c><c r="AU505" s="8"><f>B505=C505</f><v /></c><c r="AV505" s="8"><f>N505&lt;Y505</f><v /></c><c r="AW505" s="8"><f>Z505&lt;=AK505</f><v /></c><c r="AX505" s="8"><f>IF(I505&gt;=1,"Qcorrecto",IF(AND(AY505="aceptable",AZ505="aceptable",BA505="aceptable"),"Qcorrecto","Qincorrecto"))</f><v /></c><c r="AY505" s="22"><f>IF(AR505&lt;$AH$6,"error",IF(AR505&gt;$AH$6*1.1,"error","aceptable"))</f><v /></c><c r="AZ505" s="22"><f>IF(AF505&lt;$V$6,"error",IF(AF505&gt;$V$6*1.1,"error","aceptable"))</f><v /></c><c r="BA505" s="22"><f>IF(T505&lt;$J$6*0.9,"error",IF(T505&gt;$J$6,"error","aceptable"))</f><v /></c><c r="BB505" s="25"><f>(IF(ABS(U505)&lt;1.05,"CONFORME",IF(ABS(AG505)&lt;1.05,"CONFORME",IF(ABS(AS505)&lt;2.55,"CONFORME","NO CONFORME"))))</f><v /></c><c r="BC505" s="5"><f>(IF(ABS(U505)&gt;2.05,"NO CONFORME",IF(ABS(AG505)&gt;2.05,"NO CONFORME",IF(ABS(AS505)&gt;5.05,"NO CONFORME","CONFORME"))))</f><v /></c><c r="BD505" s="15"><f>SIGN(U505)</f><v /></c><c r="BE505" s="15"><f>SIGN(AG505)</f><v /></c><c r="BF505" s="15"><f>SIGN(AS505)</f><v /></c><c r="BG505" s="15"><f>CONCATENATE(BD505,BE505,BF505)</f><v /></c><c r="BH505" s="15"><f>IF(BG505="111","SI","SD")</f><v /></c><c r="BI505" s="15"><f>IF(BG505="-1-1-1","SI","SD")</f><v /></c><c r="BJ505" s="15"><f>OR(BH505="SI",BI505="SI")</f><v /></c><c r="BK505" s="15"><f>IF(BJ505=FALSE,"SIGDIFERENTES","SIGIGUALES")</f><v /></c><c r="BL505" s="22"><f>IF(BC505="NO CONFORME","NO CONFORME",IF(BB505="CONFORME","CONFORME","NO CONFORME"))</f><v /></c></row><row r="506" ht="15.75" customHeight="1" thickBot="1"><c r="A506" s="37" t="n"><v>498</v></c><c r="B506" s="324"><f>B505</f><v /></c><c r="C506" s="324"><f>C505</f><v /></c><c r="D506" s="94"><f>D505</f><v /></c><c r="E506" s="95"><f>E505</f><v /></c><c r="F506" s="13" t="n" /><c r="G506" s="312" t="n" /><c r="H506" s="326"><f>H505</f><v /></c><c r="I506" s="98"><f>I505</f><v /></c><c r="J506" s="327"><f>J505</f><v /></c><c r="K506" s="327"><f>K505</f><v /></c><c r="L506" s="327"><f>L505</f><v /></c><c r="M506" s="45" t="n" /><c r="N506" s="45" t="n" /><c r="O506" s="100"><f>O505</f><v /></c><c r="P506" s="328"><f>P505</f><v /></c><c r="Q506" s="11"><f>LEFT(P506,1)</f><v /></c><c r="R506" s="11"><f>RIGHT(P506,6)</f><v /></c><c r="S506" s="11"><f>+(Q506*60+R506)/(60*60)</f><v /></c><c r="T506" s="14"><f>+O506/S506</f><v /></c><c r="U506" s="316"><f>+(((N506-M506-O506)/O506)*100)</f><v /></c><c r="V506" s="329"><f>V505</f><v /></c><c r="W506" s="329"><f>W505</f><v /></c><c r="X506" s="330"><f>X505</f><v /></c><c r="Y506" s="45" t="n" /><c r="Z506" s="45" t="n" /><c r="AA506" s="331"><f>AA505</f><v /></c><c r="AB506" s="332"><f>AB505</f><v /></c><c r="AC506" s="11"><f>LEFT(AB506,2)</f><v /></c><c r="AD506" s="11"><f>RIGHT(AB506,6)</f><v /></c><c r="AE506" s="11"><f>+(AC506*60+AD506)/(60*60)</f><v /></c><c r="AF506" s="14"><f>+AA506/AE506</f><v /></c><c r="AG506" s="321"><f>+(((Z506-Y506-AA506)/AA506)*100)</f><v /></c><c r="AH506" s="329"><f>AH505</f><v /></c><c r="AI506" s="329"><f>AI505</f><v /></c><c r="AJ506" s="329"><f>AJ505</f><v /></c><c r="AK506" s="53"><f>Z506</f><v /></c><c r="AL506" s="45" t="n" /><c r="AM506" s="333"><f>AM505</f><v /></c><c r="AN506" s="328"><f>AN505</f><v /></c><c r="AO506" s="11"><f>LEFT(AN506,2)</f><v /></c><c r="AP506" s="11"><f>RIGHT(AN506,6)</f><v /></c><c r="AQ506" s="11"><f>+(AO506*60+AP506)/(60*60)</f><v /></c><c r="AR506" s="14"><f>+AM506/AQ506</f><v /></c><c r="AS506" s="321"><f>+(((AL506-AK506-AM506)/AM506)*100)</f><v /></c><c r="AT506" s="43"><f>IF(I506&gt;=1,"NO CONFORME",IF(BK506="SIGDIFERENTES",BC506,BL506))</f><v /></c><c r="AU506" s="8"><f>B506=C506</f><v /></c><c r="AV506" s="8"><f>N506&lt;Y506</f><v /></c><c r="AW506" s="8"><f>Z506&lt;=AK506</f><v /></c><c r="AX506" s="8"><f>IF(I506&gt;=1,"Qcorrecto",IF(AND(AY506="aceptable",AZ506="aceptable",BA506="aceptable"),"Qcorrecto","Qincorrecto"))</f><v /></c><c r="AY506" s="22"><f>IF(AR506&lt;$AH$6,"error",IF(AR506&gt;$AH$6*1.1,"error","aceptable"))</f><v /></c><c r="AZ506" s="22"><f>IF(AF506&lt;$V$6,"error",IF(AF506&gt;$V$6*1.1,"error","aceptable"))</f><v /></c><c r="BA506" s="22"><f>IF(T506&lt;$J$6*0.9,"error",IF(T506&gt;$J$6,"error","aceptable"))</f><v /></c><c r="BB506" s="25"><f>(IF(ABS(U506)&lt;1.05,"CONFORME",IF(ABS(AG506)&lt;1.05,"CONFORME",IF(ABS(AS506)&lt;2.55,"CONFORME","NO CONFORME"))))</f><v /></c><c r="BC506" s="5"><f>(IF(ABS(U506)&gt;2.05,"NO CONFORME",IF(ABS(AG506)&gt;2.05,"NO CONFORME",IF(ABS(AS506)&gt;5.05,"NO CONFORME","CONFORME"))))</f><v /></c><c r="BD506" s="15"><f>SIGN(U506)</f><v /></c><c r="BE506" s="15"><f>SIGN(AG506)</f><v /></c><c r="BF506" s="15"><f>SIGN(AS506)</f><v /></c><c r="BG506" s="15"><f>CONCATENATE(BD506,BE506,BF506)</f><v /></c><c r="BH506" s="15"><f>IF(BG506="111","SI","SD")</f><v /></c><c r="BI506" s="15"><f>IF(BG506="-1-1-1","SI","SD")</f><v /></c><c r="BJ506" s="15"><f>OR(BH506="SI",BI506="SI")</f><v /></c><c r="BK506" s="15"><f>IF(BJ506=FALSE,"SIGDIFERENTES","SIGIGUALES")</f><v /></c><c r="BL506" s="22"><f>IF(BC506="NO CONFORME","NO CONFORME",IF(BB506="CONFORME","CONFORME","NO CONFORME"))</f><v /></c></row><row r="507" ht="15.75" customHeight="1" thickBot="1"><c r="A507" s="37" t="n"><v>499</v></c><c r="B507" s="324"><f>B506</f><v /></c><c r="C507" s="324"><f>C506</f><v /></c><c r="D507" s="94"><f>D506</f><v /></c><c r="E507" s="95"><f>E506</f><v /></c><c r="F507" s="13" t="n" /><c r="G507" s="312" t="n" /><c r="H507" s="326"><f>H506</f><v /></c><c r="I507" s="98"><f>I506</f><v /></c><c r="J507" s="327"><f>J506</f><v /></c><c r="K507" s="327"><f>K506</f><v /></c><c r="L507" s="327"><f>L506</f><v /></c><c r="M507" s="45" t="n" /><c r="N507" s="45" t="n" /><c r="O507" s="100"><f>O506</f><v /></c><c r="P507" s="328"><f>P506</f><v /></c><c r="Q507" s="11"><f>LEFT(P507,1)</f><v /></c><c r="R507" s="11"><f>RIGHT(P507,6)</f><v /></c><c r="S507" s="11"><f>+(Q507*60+R507)/(60*60)</f><v /></c><c r="T507" s="14"><f>+O507/S507</f><v /></c><c r="U507" s="316"><f>+(((N507-M507-O507)/O507)*100)</f><v /></c><c r="V507" s="329"><f>V506</f><v /></c><c r="W507" s="329"><f>W506</f><v /></c><c r="X507" s="330"><f>X506</f><v /></c><c r="Y507" s="45" t="n" /><c r="Z507" s="45" t="n" /><c r="AA507" s="331"><f>AA506</f><v /></c><c r="AB507" s="332"><f>AB506</f><v /></c><c r="AC507" s="11"><f>LEFT(AB507,2)</f><v /></c><c r="AD507" s="11"><f>RIGHT(AB507,6)</f><v /></c><c r="AE507" s="11"><f>+(AC507*60+AD507)/(60*60)</f><v /></c><c r="AF507" s="14"><f>+AA507/AE507</f><v /></c><c r="AG507" s="321"><f>+(((Z507-Y507-AA507)/AA507)*100)</f><v /></c><c r="AH507" s="329"><f>AH506</f><v /></c><c r="AI507" s="329"><f>AI506</f><v /></c><c r="AJ507" s="329"><f>AJ506</f><v /></c><c r="AK507" s="53"><f>Z507</f><v /></c><c r="AL507" s="45" t="n" /><c r="AM507" s="333"><f>AM506</f><v /></c><c r="AN507" s="328"><f>AN506</f><v /></c><c r="AO507" s="11"><f>LEFT(AN507,2)</f><v /></c><c r="AP507" s="11"><f>RIGHT(AN507,6)</f><v /></c><c r="AQ507" s="11"><f>+(AO507*60+AP507)/(60*60)</f><v /></c><c r="AR507" s="14"><f>+AM507/AQ507</f><v /></c><c r="AS507" s="321"><f>+(((AL507-AK507-AM507)/AM507)*100)</f><v /></c><c r="AT507" s="43"><f>IF(I507&gt;=1,"NO CONFORME",IF(BK507="SIGDIFERENTES",BC507,BL507))</f><v /></c><c r="AU507" s="8"><f>B507=C507</f><v /></c><c r="AV507" s="8"><f>N507&lt;Y507</f><v /></c><c r="AW507" s="8"><f>Z507&lt;=AK507</f><v /></c><c r="AX507" s="8"><f>IF(I507&gt;=1,"Qcorrecto",IF(AND(AY507="aceptable",AZ507="aceptable",BA507="aceptable"),"Qcorrecto","Qincorrecto"))</f><v /></c><c r="AY507" s="22"><f>IF(AR507&lt;$AH$6,"error",IF(AR507&gt;$AH$6*1.1,"error","aceptable"))</f><v /></c><c r="AZ507" s="22"><f>IF(AF507&lt;$V$6,"error",IF(AF507&gt;$V$6*1.1,"error","aceptable"))</f><v /></c><c r="BA507" s="22"><f>IF(T507&lt;$J$6*0.9,"error",IF(T507&gt;$J$6,"error","aceptable"))</f><v /></c><c r="BB507" s="25"><f>(IF(ABS(U507)&lt;1.05,"CONFORME",IF(ABS(AG507)&lt;1.05,"CONFORME",IF(ABS(AS507)&lt;2.55,"CONFORME","NO CONFORME"))))</f><v /></c><c r="BC507" s="5"><f>(IF(ABS(U507)&gt;2.05,"NO CONFORME",IF(ABS(AG507)&gt;2.05,"NO CONFORME",IF(ABS(AS507)&gt;5.05,"NO CONFORME","CONFORME"))))</f><v /></c><c r="BD507" s="15"><f>SIGN(U507)</f><v /></c><c r="BE507" s="15"><f>SIGN(AG507)</f><v /></c><c r="BF507" s="15"><f>SIGN(AS507)</f><v /></c><c r="BG507" s="15"><f>CONCATENATE(BD507,BE507,BF507)</f><v /></c><c r="BH507" s="15"><f>IF(BG507="111","SI","SD")</f><v /></c><c r="BI507" s="15"><f>IF(BG507="-1-1-1","SI","SD")</f><v /></c><c r="BJ507" s="15"><f>OR(BH507="SI",BI507="SI")</f><v /></c><c r="BK507" s="15"><f>IF(BJ507=FALSE,"SIGDIFERENTES","SIGIGUALES")</f><v /></c><c r="BL507" s="22"><f>IF(BC507="NO CONFORME","NO CONFORME",IF(BB507="CONFORME","CONFORME","NO CONFORME"))</f><v /></c></row><row r="508" ht="15.75" customHeight="1" thickBot="1"><c r="A508" s="37" t="n"><v>500</v></c><c r="B508" s="324"><f>B507</f><v /></c><c r="C508" s="324"><f>C507</f><v /></c><c r="D508" s="94"><f>D507</f><v /></c><c r="E508" s="95"><f>E507</f><v /></c><c r="F508" s="56" t="n" /><c r="G508" s="312" t="n" /><c r="H508" s="326"><f>H507</f><v /></c><c r="I508" s="98"><f>I507</f><v /></c><c r="J508" s="327"><f>J507</f><v /></c><c r="K508" s="327"><f>K507</f><v /></c><c r="L508" s="327"><f>L507</f><v /></c><c r="M508" s="57" t="n" /><c r="N508" s="57" t="n" /><c r="O508" s="100"><f>O507</f><v /></c><c r="P508" s="328"><f>P507</f><v /></c><c r="Q508" s="11"><f>LEFT(P508,1)</f><v /></c><c r="R508" s="11"><f>RIGHT(P508,6)</f><v /></c><c r="S508" s="11"><f>+(Q508*60+R508)/(60*60)</f><v /></c><c r="T508" s="14"><f>+O508/S508</f><v /></c><c r="U508" s="316"><f>+(((N508-M508-O508)/O508)*100)</f><v /></c><c r="V508" s="329"><f>V507</f><v /></c><c r="W508" s="329"><f>W507</f><v /></c><c r="X508" s="330"><f>X507</f><v /></c><c r="Y508" s="57" t="n" /><c r="Z508" s="57" t="n" /><c r="AA508" s="331"><f>AA507</f><v /></c><c r="AB508" s="332"><f>AB507</f><v /></c><c r="AC508" s="11"><f>LEFT(AB508,2)</f><v /></c><c r="AD508" s="11"><f>RIGHT(AB508,6)</f><v /></c><c r="AE508" s="11"><f>+(AC508*60+AD508)/(60*60)</f><v /></c><c r="AF508" s="14"><f>+AA508/AE508</f><v /></c><c r="AG508" s="321"><f>+(((Z508-Y508-AA508)/AA508)*100)</f><v /></c><c r="AH508" s="329"><f>AH507</f><v /></c><c r="AI508" s="329"><f>AI507</f><v /></c><c r="AJ508" s="329"><f>AJ507</f><v /></c><c r="AK508" s="53"><f>Z508</f><v /></c><c r="AL508" s="57" t="n" /><c r="AM508" s="333"><f>AM507</f><v /></c><c r="AN508" s="328"><f>AN507</f><v /></c><c r="AO508" s="11"><f>LEFT(AN508,2)</f><v /></c><c r="AP508" s="11"><f>RIGHT(AN508,6)</f><v /></c><c r="AQ508" s="11"><f>+(AO508*60+AP508)/(60*60)</f><v /></c><c r="AR508" s="14"><f>+AM508/AQ508</f><v /></c><c r="AS508" s="321"><f>+(((AL508-AK508-AM508)/AM508)*100)</f><v /></c><c r="AT508" s="43"><f>IF(I508&gt;=1,"NO CONFORME",IF(BK508="SIGDIFERENTES",BC508,BL508))</f><v /></c><c r="AU508" s="8"><f>B508=C508</f><v /></c><c r="AV508" s="8"><f>N508&lt;Y508</f><v /></c><c r="AW508" s="8"><f>Z508&lt;=AK508</f><v /></c><c r="AX508" s="8"><f>IF(I508&gt;=1,"Qcorrecto",IF(AND(AY508="aceptable",AZ508="aceptable",BA508="aceptable"),"Qcorrecto","Qincorrecto"))</f><v /></c><c r="AY508" s="22"><f>IF(AR508&lt;$AH$6,"error",IF(AR508&gt;$AH$6*1.1,"error","aceptable"))</f><v /></c><c r="AZ508" s="22"><f>IF(AF508&lt;$V$6,"error",IF(AF508&gt;$V$6*1.1,"error","aceptable"))</f><v /></c><c r="BA508" s="22"><f>IF(T508&lt;$J$6*0.9,"error",IF(T508&gt;$J$6,"error","aceptable"))</f><v /></c><c r="BB508" s="25"><f>(IF(ABS(U508)&lt;1.05,"CONFORME",IF(ABS(AG508)&lt;1.05,"CONFORME",IF(ABS(AS508)&lt;2.55,"CONFORME","NO CONFORME"))))</f><v /></c><c r="BC508" s="5"><f>(IF(ABS(U508)&gt;2.05,"NO CONFORME",IF(ABS(AG508)&gt;2.05,"NO CONFORME",IF(ABS(AS508)&gt;5.05,"NO CONFORME","CONFORME"))))</f><v /></c><c r="BD508" s="15"><f>SIGN(U508)</f><v /></c><c r="BE508" s="15"><f>SIGN(AG508)</f><v /></c><c r="BF508" s="15"><f>SIGN(AS508)</f><v /></c><c r="BG508" s="15"><f>CONCATENATE(BD508,BE508,BF508)</f><v /></c><c r="BH508" s="15"><f>IF(BG508="111","SI","SD")</f><v /></c><c r="BI508" s="15"><f>IF(BG508="-1-1-1","SI","SD")</f><v /></c><c r="BJ508" s="15"><f>OR(BH508="SI",BI508="SI")</f><v /></c><c r="BK508" s="15"><f>IF(BJ508=FALSE,"SIGDIFERENTES","SIGIGUALES")</f><v /></c><c r="BL508" s="22"><f>IF(BC508="NO CONFORME","NO CONFORME",IF(BB508="CONFORME","CONFORME","NO CONFORME"))</f><v /></c></row><row r="509" ht="15.75" customHeight="1" thickBot="1"><c r="A509" s="37" t="n"><v>501</v></c><c r="B509" s="324"><f>B508</f><v /></c><c r="C509" s="324"><f>C508</f><v /></c><c r="D509" s="94"><f>D508</f><v /></c><c r="E509" s="95"><f>E508</f><v /></c><c r="F509" s="13" t="n" /><c r="G509" s="312" t="n" /><c r="H509" s="326"><f>H508</f><v /></c><c r="I509" s="98"><f>I508</f><v /></c><c r="J509" s="327"><f>J508</f><v /></c><c r="K509" s="327"><f>K508</f><v /></c><c r="L509" s="327"><f>L508</f><v /></c><c r="M509" s="45" t="n" /><c r="N509" s="45" t="n" /><c r="O509" s="100"><f>O508</f><v /></c><c r="P509" s="328"><f>P508</f><v /></c><c r="Q509" s="11"><f>LEFT(P509,1)</f><v /></c><c r="R509" s="11"><f>RIGHT(P509,6)</f><v /></c><c r="S509" s="11"><f>+(Q509*60+R509)/(60*60)</f><v /></c><c r="T509" s="14"><f>+O509/S509</f><v /></c><c r="U509" s="316"><f>+(((N509-M509-O509)/O509)*100)</f><v /></c><c r="V509" s="329"><f>V508</f><v /></c><c r="W509" s="329"><f>W508</f><v /></c><c r="X509" s="330"><f>X508</f><v /></c><c r="Y509" s="45" t="n" /><c r="Z509" s="45" t="n" /><c r="AA509" s="331"><f>AA508</f><v /></c><c r="AB509" s="332"><f>AB508</f><v /></c><c r="AC509" s="11"><f>LEFT(AB509,2)</f><v /></c><c r="AD509" s="11"><f>RIGHT(AB509,6)</f><v /></c><c r="AE509" s="11"><f>+(AC509*60+AD509)/(60*60)</f><v /></c><c r="AF509" s="14"><f>+AA509/AE509</f><v /></c><c r="AG509" s="321"><f>+(((Z509-Y509-AA509)/AA509)*100)</f><v /></c><c r="AH509" s="329"><f>AH508</f><v /></c><c r="AI509" s="329"><f>AI508</f><v /></c><c r="AJ509" s="329"><f>AJ508</f><v /></c><c r="AK509" s="53"><f>Z509</f><v /></c><c r="AL509" s="45" t="n" /><c r="AM509" s="333"><f>AM508</f><v /></c><c r="AN509" s="328"><f>AN508</f><v /></c><c r="AO509" s="11"><f>LEFT(AN509,2)</f><v /></c><c r="AP509" s="11"><f>RIGHT(AN509,6)</f><v /></c><c r="AQ509" s="11"><f>+(AO509*60+AP509)/(60*60)</f><v /></c><c r="AR509" s="14"><f>+AM509/AQ509</f><v /></c><c r="AS509" s="321"><f>+(((AL509-AK509-AM509)/AM509)*100)</f><v /></c><c r="AT509" s="43"><f>IF(I509&gt;=1,"NO CONFORME",IF(BK509="SIGDIFERENTES",BC509,BL509))</f><v /></c><c r="AU509" s="8"><f>B509=C509</f><v /></c><c r="AV509" s="8"><f>N509&lt;Y509</f><v /></c><c r="AW509" s="8"><f>Z509&lt;=AK509</f><v /></c><c r="AX509" s="8"><f>IF(I509&gt;=1,"Qcorrecto",IF(AND(AY509="aceptable",AZ509="aceptable",BA509="aceptable"),"Qcorrecto","Qincorrecto"))</f><v /></c><c r="AY509" s="22"><f>IF(AR509&lt;$AH$6,"error",IF(AR509&gt;$AH$6*1.1,"error","aceptable"))</f><v /></c><c r="AZ509" s="22"><f>IF(AF509&lt;$V$6,"error",IF(AF509&gt;$V$6*1.1,"error","aceptable"))</f><v /></c><c r="BA509" s="22"><f>IF(T509&lt;$J$6*0.9,"error",IF(T509&gt;$J$6,"error","aceptable"))</f><v /></c><c r="BB509" s="25"><f>(IF(ABS(U509)&lt;1.05,"CONFORME",IF(ABS(AG509)&lt;1.05,"CONFORME",IF(ABS(AS509)&lt;2.55,"CONFORME","NO CONFORME"))))</f><v /></c><c r="BC509" s="5"><f>(IF(ABS(U509)&gt;2.05,"NO CONFORME",IF(ABS(AG509)&gt;2.05,"NO CONFORME",IF(ABS(AS509)&gt;5.05,"NO CONFORME","CONFORME"))))</f><v /></c><c r="BD509" s="15"><f>SIGN(U509)</f><v /></c><c r="BE509" s="15"><f>SIGN(AG509)</f><v /></c><c r="BF509" s="15"><f>SIGN(AS509)</f><v /></c><c r="BG509" s="15"><f>CONCATENATE(BD509,BE509,BF509)</f><v /></c><c r="BH509" s="15"><f>IF(BG509="111","SI","SD")</f><v /></c><c r="BI509" s="15"><f>IF(BG509="-1-1-1","SI","SD")</f><v /></c><c r="BJ509" s="15"><f>OR(BH509="SI",BI509="SI")</f><v /></c><c r="BK509" s="15"><f>IF(BJ509=FALSE,"SIGDIFERENTES","SIGIGUALES")</f><v /></c><c r="BL509" s="26"><f>IF(BC509="NO CONFORME","NO CONFORME",IF(BB509="CONFORME","CONFORME","NO CONFORME"))</f><v /></c></row><row r="510" ht="15.75" customHeight="1" thickBot="1"><c r="A510" s="37" t="n"><v>502</v></c><c r="B510" s="324"><f>B509</f><v /></c><c r="C510" s="324"><f>C509</f><v /></c><c r="D510" s="94"><f>D509</f><v /></c><c r="E510" s="95"><f>E509</f><v /></c><c r="F510" s="58" t="n" /><c r="G510" s="312" t="n" /><c r="H510" s="326"><f>H509</f><v /></c><c r="I510" s="98"><f>I509</f><v /></c><c r="J510" s="327"><f>J509</f><v /></c><c r="K510" s="327"><f>K509</f><v /></c><c r="L510" s="327"><f>L509</f><v /></c><c r="M510" s="59" t="n" /><c r="N510" s="59" t="n" /><c r="O510" s="100"><f>O509</f><v /></c><c r="P510" s="328"><f>P509</f><v /></c><c r="Q510" s="11"><f>LEFT(P510,1)</f><v /></c><c r="R510" s="11"><f>RIGHT(P510,6)</f><v /></c><c r="S510" s="11"><f>+(Q510*60+R510)/(60*60)</f><v /></c><c r="T510" s="14"><f>+O510/S510</f><v /></c><c r="U510" s="316"><f>+(((N510-M510-O510)/O510)*100)</f><v /></c><c r="V510" s="329"><f>V509</f><v /></c><c r="W510" s="329"><f>W509</f><v /></c><c r="X510" s="330"><f>X509</f><v /></c><c r="Y510" s="59" t="n" /><c r="Z510" s="59" t="n" /><c r="AA510" s="331"><f>AA509</f><v /></c><c r="AB510" s="332"><f>AB509</f><v /></c><c r="AC510" s="11"><f>LEFT(AB510,2)</f><v /></c><c r="AD510" s="11"><f>RIGHT(AB510,6)</f><v /></c><c r="AE510" s="11"><f>+(AC510*60+AD510)/(60*60)</f><v /></c><c r="AF510" s="14"><f>+AA510/AE510</f><v /></c><c r="AG510" s="321"><f>+(((Z510-Y510-AA510)/AA510)*100)</f><v /></c><c r="AH510" s="329"><f>AH509</f><v /></c><c r="AI510" s="329"><f>AI509</f><v /></c><c r="AJ510" s="329"><f>AJ509</f><v /></c><c r="AK510" s="53"><f>Z510</f><v /></c><c r="AL510" s="59" t="n" /><c r="AM510" s="333"><f>AM509</f><v /></c><c r="AN510" s="328"><f>AN509</f><v /></c><c r="AO510" s="11"><f>LEFT(AN510,2)</f><v /></c><c r="AP510" s="11"><f>RIGHT(AN510,6)</f><v /></c><c r="AQ510" s="11"><f>+(AO510*60+AP510)/(60*60)</f><v /></c><c r="AR510" s="14"><f>+AM510/AQ510</f><v /></c><c r="AS510" s="321"><f>+(((AL510-AK510-AM510)/AM510)*100)</f><v /></c><c r="AT510" s="43"><f>IF(I510&gt;=1,"NO CONFORME",IF(BK510="SIGDIFERENTES",BC510,BL510))</f><v /></c><c r="AU510" s="8"><f>B510=C510</f><v /></c><c r="AV510" s="8"><f>N510&lt;Y510</f><v /></c><c r="AW510" s="8"><f>Z510&lt;=AK510</f><v /></c><c r="AX510" s="8"><f>IF(I510&gt;=1,"Qcorrecto",IF(AND(AY510="aceptable",AZ510="aceptable",BA510="aceptable"),"Qcorrecto","Qincorrecto"))</f><v /></c><c r="AY510" s="22"><f>IF(AR510&lt;$AH$6,"error",IF(AR510&gt;$AH$6*1.1,"error","aceptable"))</f><v /></c><c r="AZ510" s="22"><f>IF(AF510&lt;$V$6,"error",IF(AF510&gt;$V$6*1.1,"error","aceptable"))</f><v /></c><c r="BA510" s="22"><f>IF(T510&lt;$J$6*0.9,"error",IF(T510&gt;$J$6,"error","aceptable"))</f><v /></c><c r="BB510" s="25"><f>(IF(ABS(U510)&lt;1.05,"CONFORME",IF(ABS(AG510)&lt;1.05,"CONFORME",IF(ABS(AS510)&lt;2.55,"CONFORME","NO CONFORME"))))</f><v /></c><c r="BC510" s="5"><f>(IF(ABS(U510)&gt;2.05,"NO CONFORME",IF(ABS(AG510)&gt;2.05,"NO CONFORME",IF(ABS(AS510)&gt;5.05,"NO CONFORME","CONFORME"))))</f><v /></c><c r="BD510" s="15"><f>SIGN(U510)</f><v /></c><c r="BE510" s="15"><f>SIGN(AG510)</f><v /></c><c r="BF510" s="15"><f>SIGN(AS510)</f><v /></c><c r="BG510" s="15"><f>CONCATENATE(BD510,BE510,BF510)</f><v /></c><c r="BH510" s="15"><f>IF(BG510="111","SI","SD")</f><v /></c><c r="BI510" s="15"><f>IF(BG510="-1-1-1","SI","SD")</f><v /></c><c r="BJ510" s="15"><f>OR(BH510="SI",BI510="SI")</f><v /></c><c r="BK510" s="15"><f>IF(BJ510=FALSE,"SIGDIFERENTES","SIGIGUALES")</f><v /></c><c r="BL510" s="22"><f>IF(BC510="NO CONFORME","NO CONFORME",IF(BB510="CONFORME","CONFORME","NO CONFORME"))</f><v /></c></row><row r="511" ht="15.75" customHeight="1" thickBot="1"><c r="A511" s="37" t="n"><v>503</v></c><c r="B511" s="324"><f>B510</f><v /></c><c r="C511" s="324"><f>C510</f><v /></c><c r="D511" s="94"><f>D510</f><v /></c><c r="E511" s="95"><f>E510</f><v /></c><c r="F511" s="13" t="n" /><c r="G511" s="312" t="n" /><c r="H511" s="326"><f>H510</f><v /></c><c r="I511" s="98"><f>I510</f><v /></c><c r="J511" s="327"><f>J510</f><v /></c><c r="K511" s="327"><f>K510</f><v /></c><c r="L511" s="327"><f>L510</f><v /></c><c r="M511" s="45" t="n" /><c r="N511" s="45" t="n" /><c r="O511" s="100"><f>O510</f><v /></c><c r="P511" s="328"><f>P510</f><v /></c><c r="Q511" s="11"><f>LEFT(P511,1)</f><v /></c><c r="R511" s="11"><f>RIGHT(P511,6)</f><v /></c><c r="S511" s="11"><f>+(Q511*60+R511)/(60*60)</f><v /></c><c r="T511" s="14"><f>+O511/S511</f><v /></c><c r="U511" s="316"><f>+(((N511-M511-O511)/O511)*100)</f><v /></c><c r="V511" s="329"><f>V510</f><v /></c><c r="W511" s="329"><f>W510</f><v /></c><c r="X511" s="330"><f>X510</f><v /></c><c r="Y511" s="45" t="n" /><c r="Z511" s="45" t="n" /><c r="AA511" s="331"><f>AA510</f><v /></c><c r="AB511" s="332"><f>AB510</f><v /></c><c r="AC511" s="11"><f>LEFT(AB511,2)</f><v /></c><c r="AD511" s="11"><f>RIGHT(AB511,6)</f><v /></c><c r="AE511" s="11"><f>+(AC511*60+AD511)/(60*60)</f><v /></c><c r="AF511" s="14"><f>+AA511/AE511</f><v /></c><c r="AG511" s="321"><f>+(((Z511-Y511-AA511)/AA511)*100)</f><v /></c><c r="AH511" s="329"><f>AH510</f><v /></c><c r="AI511" s="329"><f>AI510</f><v /></c><c r="AJ511" s="329"><f>AJ510</f><v /></c><c r="AK511" s="53"><f>Z511</f><v /></c><c r="AL511" s="45" t="n" /><c r="AM511" s="333"><f>AM510</f><v /></c><c r="AN511" s="328"><f>AN510</f><v /></c><c r="AO511" s="11"><f>LEFT(AN511,2)</f><v /></c><c r="AP511" s="11"><f>RIGHT(AN511,6)</f><v /></c><c r="AQ511" s="11"><f>+(AO511*60+AP511)/(60*60)</f><v /></c><c r="AR511" s="14"><f>+AM511/AQ511</f><v /></c><c r="AS511" s="321"><f>+(((AL511-AK511-AM511)/AM511)*100)</f><v /></c><c r="AT511" s="43"><f>IF(I511&gt;=1,"NO CONFORME",IF(BK511="SIGDIFERENTES",BC511,BL511))</f><v /></c><c r="AU511" s="8"><f>B511=C511</f><v /></c><c r="AV511" s="8"><f>N511&lt;Y511</f><v /></c><c r="AW511" s="8"><f>Z511&lt;=AK511</f><v /></c><c r="AX511" s="8"><f>IF(I511&gt;=1,"Qcorrecto",IF(AND(AY511="aceptable",AZ511="aceptable",BA511="aceptable"),"Qcorrecto","Qincorrecto"))</f><v /></c><c r="AY511" s="22"><f>IF(AR511&lt;$AH$6,"error",IF(AR511&gt;$AH$6*1.1,"error","aceptable"))</f><v /></c><c r="AZ511" s="22"><f>IF(AF511&lt;$V$6,"error",IF(AF511&gt;$V$6*1.1,"error","aceptable"))</f><v /></c><c r="BA511" s="22"><f>IF(T511&lt;$J$6*0.9,"error",IF(T511&gt;$J$6,"error","aceptable"))</f><v /></c><c r="BB511" s="25"><f>(IF(ABS(U511)&lt;1.05,"CONFORME",IF(ABS(AG511)&lt;1.05,"CONFORME",IF(ABS(AS511)&lt;2.55,"CONFORME","NO CONFORME"))))</f><v /></c><c r="BC511" s="5"><f>(IF(ABS(U511)&gt;2.05,"NO CONFORME",IF(ABS(AG511)&gt;2.05,"NO CONFORME",IF(ABS(AS511)&gt;5.05,"NO CONFORME","CONFORME"))))</f><v /></c><c r="BD511" s="15"><f>SIGN(U511)</f><v /></c><c r="BE511" s="15"><f>SIGN(AG511)</f><v /></c><c r="BF511" s="15"><f>SIGN(AS511)</f><v /></c><c r="BG511" s="15"><f>CONCATENATE(BD511,BE511,BF511)</f><v /></c><c r="BH511" s="15"><f>IF(BG511="111","SI","SD")</f><v /></c><c r="BI511" s="15"><f>IF(BG511="-1-1-1","SI","SD")</f><v /></c><c r="BJ511" s="15"><f>OR(BH511="SI",BI511="SI")</f><v /></c><c r="BK511" s="15"><f>IF(BJ511=FALSE,"SIGDIFERENTES","SIGIGUALES")</f><v /></c><c r="BL511" s="22"><f>IF(BC511="NO CONFORME","NO CONFORME",IF(BB511="CONFORME","CONFORME","NO CONFORME"))</f><v /></c></row><row r="512" ht="15.75" customHeight="1" thickBot="1"><c r="A512" s="37" t="n"><v>504</v></c><c r="B512" s="324"><f>B511</f><v /></c><c r="C512" s="324"><f>C511</f><v /></c><c r="D512" s="94"><f>D511</f><v /></c><c r="E512" s="95"><f>E511</f><v /></c><c r="F512" s="13" t="n" /><c r="G512" s="312" t="n" /><c r="H512" s="326"><f>H511</f><v /></c><c r="I512" s="98"><f>I511</f><v /></c><c r="J512" s="327"><f>J511</f><v /></c><c r="K512" s="327"><f>K511</f><v /></c><c r="L512" s="327"><f>L511</f><v /></c><c r="M512" s="45" t="n" /><c r="N512" s="45" t="n" /><c r="O512" s="100"><f>O511</f><v /></c><c r="P512" s="328"><f>P511</f><v /></c><c r="Q512" s="11"><f>LEFT(P512,1)</f><v /></c><c r="R512" s="11"><f>RIGHT(P512,6)</f><v /></c><c r="S512" s="11"><f>+(Q512*60+R512)/(60*60)</f><v /></c><c r="T512" s="14"><f>+O512/S512</f><v /></c><c r="U512" s="316"><f>+(((N512-M512-O512)/O512)*100)</f><v /></c><c r="V512" s="329"><f>V511</f><v /></c><c r="W512" s="329"><f>W511</f><v /></c><c r="X512" s="330"><f>X511</f><v /></c><c r="Y512" s="45" t="n" /><c r="Z512" s="45" t="n" /><c r="AA512" s="331"><f>AA511</f><v /></c><c r="AB512" s="332"><f>AB511</f><v /></c><c r="AC512" s="11"><f>LEFT(AB512,2)</f><v /></c><c r="AD512" s="11"><f>RIGHT(AB512,6)</f><v /></c><c r="AE512" s="11"><f>+(AC512*60+AD512)/(60*60)</f><v /></c><c r="AF512" s="14"><f>+AA512/AE512</f><v /></c><c r="AG512" s="321"><f>+(((Z512-Y512-AA512)/AA512)*100)</f><v /></c><c r="AH512" s="329"><f>AH511</f><v /></c><c r="AI512" s="329"><f>AI511</f><v /></c><c r="AJ512" s="329"><f>AJ511</f><v /></c><c r="AK512" s="53"><f>Z512</f><v /></c><c r="AL512" s="45" t="n" /><c r="AM512" s="333"><f>AM511</f><v /></c><c r="AN512" s="328"><f>AN511</f><v /></c><c r="AO512" s="11"><f>LEFT(AN512,2)</f><v /></c><c r="AP512" s="11"><f>RIGHT(AN512,6)</f><v /></c><c r="AQ512" s="11"><f>+(AO512*60+AP512)/(60*60)</f><v /></c><c r="AR512" s="14"><f>+AM512/AQ512</f><v /></c><c r="AS512" s="321"><f>+(((AL512-AK512-AM512)/AM512)*100)</f><v /></c><c r="AT512" s="43"><f>IF(I512&gt;=1,"NO CONFORME",IF(BK512="SIGDIFERENTES",BC512,BL512))</f><v /></c><c r="AU512" s="8"><f>B512=C512</f><v /></c><c r="AV512" s="8"><f>N512&lt;Y512</f><v /></c><c r="AW512" s="8"><f>Z512&lt;=AK512</f><v /></c><c r="AX512" s="8"><f>IF(I512&gt;=1,"Qcorrecto",IF(AND(AY512="aceptable",AZ512="aceptable",BA512="aceptable"),"Qcorrecto","Qincorrecto"))</f><v /></c><c r="AY512" s="22"><f>IF(AR512&lt;$AH$6,"error",IF(AR512&gt;$AH$6*1.1,"error","aceptable"))</f><v /></c><c r="AZ512" s="22"><f>IF(AF512&lt;$V$6,"error",IF(AF512&gt;$V$6*1.1,"error","aceptable"))</f><v /></c><c r="BA512" s="22"><f>IF(T512&lt;$J$6*0.9,"error",IF(T512&gt;$J$6,"error","aceptable"))</f><v /></c><c r="BB512" s="25"><f>(IF(ABS(U512)&lt;1.05,"CONFORME",IF(ABS(AG512)&lt;1.05,"CONFORME",IF(ABS(AS512)&lt;2.55,"CONFORME","NO CONFORME"))))</f><v /></c><c r="BC512" s="5"><f>(IF(ABS(U512)&gt;2.05,"NO CONFORME",IF(ABS(AG512)&gt;2.05,"NO CONFORME",IF(ABS(AS512)&gt;5.05,"NO CONFORME","CONFORME"))))</f><v /></c><c r="BD512" s="15"><f>SIGN(U512)</f><v /></c><c r="BE512" s="15"><f>SIGN(AG512)</f><v /></c><c r="BF512" s="15"><f>SIGN(AS512)</f><v /></c><c r="BG512" s="15"><f>CONCATENATE(BD512,BE512,BF512)</f><v /></c><c r="BH512" s="15"><f>IF(BG512="111","SI","SD")</f><v /></c><c r="BI512" s="15"><f>IF(BG512="-1-1-1","SI","SD")</f><v /></c><c r="BJ512" s="15"><f>OR(BH512="SI",BI512="SI")</f><v /></c><c r="BK512" s="15"><f>IF(BJ512=FALSE,"SIGDIFERENTES","SIGIGUALES")</f><v /></c><c r="BL512" s="22"><f>IF(BC512="NO CONFORME","NO CONFORME",IF(BB512="CONFORME","CONFORME","NO CONFORME"))</f><v /></c></row><row r="513" ht="15.75" customHeight="1" thickBot="1"><c r="A513" s="37" t="n"><v>505</v></c><c r="B513" s="324"><f>B512</f><v /></c><c r="C513" s="324"><f>C512</f><v /></c><c r="D513" s="94"><f>D512</f><v /></c><c r="E513" s="95"><f>E512</f><v /></c><c r="F513" s="13" t="n" /><c r="G513" s="312" t="n" /><c r="H513" s="326"><f>H512</f><v /></c><c r="I513" s="98"><f>I512</f><v /></c><c r="J513" s="327"><f>J512</f><v /></c><c r="K513" s="327"><f>K512</f><v /></c><c r="L513" s="327"><f>L512</f><v /></c><c r="M513" s="45" t="n" /><c r="N513" s="45" t="n" /><c r="O513" s="100"><f>O512</f><v /></c><c r="P513" s="328"><f>P512</f><v /></c><c r="Q513" s="11"><f>LEFT(P513,1)</f><v /></c><c r="R513" s="11"><f>RIGHT(P513,6)</f><v /></c><c r="S513" s="11"><f>+(Q513*60+R513)/(60*60)</f><v /></c><c r="T513" s="14"><f>+O513/S513</f><v /></c><c r="U513" s="316"><f>+(((N513-M513-O513)/O513)*100)</f><v /></c><c r="V513" s="329"><f>V512</f><v /></c><c r="W513" s="329"><f>W512</f><v /></c><c r="X513" s="330"><f>X512</f><v /></c><c r="Y513" s="45" t="n" /><c r="Z513" s="45" t="n" /><c r="AA513" s="331"><f>AA512</f><v /></c><c r="AB513" s="332"><f>AB512</f><v /></c><c r="AC513" s="11"><f>LEFT(AB513,2)</f><v /></c><c r="AD513" s="11"><f>RIGHT(AB513,6)</f><v /></c><c r="AE513" s="11"><f>+(AC513*60+AD513)/(60*60)</f><v /></c><c r="AF513" s="14"><f>+AA513/AE513</f><v /></c><c r="AG513" s="321"><f>+(((Z513-Y513-AA513)/AA513)*100)</f><v /></c><c r="AH513" s="329"><f>AH512</f><v /></c><c r="AI513" s="329"><f>AI512</f><v /></c><c r="AJ513" s="329"><f>AJ512</f><v /></c><c r="AK513" s="53"><f>Z513</f><v /></c><c r="AL513" s="45" t="n" /><c r="AM513" s="333"><f>AM512</f><v /></c><c r="AN513" s="328"><f>AN512</f><v /></c><c r="AO513" s="11"><f>LEFT(AN513,2)</f><v /></c><c r="AP513" s="11"><f>RIGHT(AN513,6)</f><v /></c><c r="AQ513" s="11"><f>+(AO513*60+AP513)/(60*60)</f><v /></c><c r="AR513" s="14"><f>+AM513/AQ513</f><v /></c><c r="AS513" s="321"><f>+(((AL513-AK513-AM513)/AM513)*100)</f><v /></c><c r="AT513" s="43"><f>IF(I513&gt;=1,"NO CONFORME",IF(BK513="SIGDIFERENTES",BC513,BL513))</f><v /></c><c r="AU513" s="8"><f>B513=C513</f><v /></c><c r="AV513" s="8"><f>N513&lt;Y513</f><v /></c><c r="AW513" s="8"><f>Z513&lt;=AK513</f><v /></c><c r="AX513" s="8"><f>IF(I513&gt;=1,"Qcorrecto",IF(AND(AY513="aceptable",AZ513="aceptable",BA513="aceptable"),"Qcorrecto","Qincorrecto"))</f><v /></c><c r="AY513" s="22"><f>IF(AR513&lt;$AH$6,"error",IF(AR513&gt;$AH$6*1.1,"error","aceptable"))</f><v /></c><c r="AZ513" s="22"><f>IF(AF513&lt;$V$6,"error",IF(AF513&gt;$V$6*1.1,"error","aceptable"))</f><v /></c><c r="BA513" s="22"><f>IF(T513&lt;$J$6*0.9,"error",IF(T513&gt;$J$6,"error","aceptable"))</f><v /></c><c r="BB513" s="25"><f>(IF(ABS(U513)&lt;1.05,"CONFORME",IF(ABS(AG513)&lt;1.05,"CONFORME",IF(ABS(AS513)&lt;2.55,"CONFORME","NO CONFORME"))))</f><v /></c><c r="BC513" s="5"><f>(IF(ABS(U513)&gt;2.05,"NO CONFORME",IF(ABS(AG513)&gt;2.05,"NO CONFORME",IF(ABS(AS513)&gt;5.05,"NO CONFORME","CONFORME"))))</f><v /></c><c r="BD513" s="15"><f>SIGN(U513)</f><v /></c><c r="BE513" s="15"><f>SIGN(AG513)</f><v /></c><c r="BF513" s="15"><f>SIGN(AS513)</f><v /></c><c r="BG513" s="15"><f>CONCATENATE(BD513,BE513,BF513)</f><v /></c><c r="BH513" s="15"><f>IF(BG513="111","SI","SD")</f><v /></c><c r="BI513" s="15"><f>IF(BG513="-1-1-1","SI","SD")</f><v /></c><c r="BJ513" s="15"><f>OR(BH513="SI",BI513="SI")</f><v /></c><c r="BK513" s="15"><f>IF(BJ513=FALSE,"SIGDIFERENTES","SIGIGUALES")</f><v /></c><c r="BL513" s="22"><f>IF(BC513="NO CONFORME","NO CONFORME",IF(BB513="CONFORME","CONFORME","NO CONFORME"))</f><v /></c></row><row r="514" ht="15.75" customHeight="1" thickBot="1"><c r="A514" s="37" t="n"><v>506</v></c><c r="B514" s="324"><f>B513</f><v /></c><c r="C514" s="324"><f>C513</f><v /></c><c r="D514" s="94"><f>D513</f><v /></c><c r="E514" s="95"><f>E513</f><v /></c><c r="F514" s="13" t="n" /><c r="G514" s="312" t="n" /><c r="H514" s="326"><f>H513</f><v /></c><c r="I514" s="98"><f>I513</f><v /></c><c r="J514" s="327"><f>J513</f><v /></c><c r="K514" s="327"><f>K513</f><v /></c><c r="L514" s="327"><f>L513</f><v /></c><c r="M514" s="45" t="n" /><c r="N514" s="45" t="n" /><c r="O514" s="100"><f>O513</f><v /></c><c r="P514" s="328"><f>P513</f><v /></c><c r="Q514" s="11"><f>LEFT(P514,1)</f><v /></c><c r="R514" s="11"><f>RIGHT(P514,6)</f><v /></c><c r="S514" s="11"><f>+(Q514*60+R514)/(60*60)</f><v /></c><c r="T514" s="14"><f>+O514/S514</f><v /></c><c r="U514" s="316"><f>+(((N514-M514-O514)/O514)*100)</f><v /></c><c r="V514" s="329"><f>V513</f><v /></c><c r="W514" s="329"><f>W513</f><v /></c><c r="X514" s="330"><f>X513</f><v /></c><c r="Y514" s="45" t="n" /><c r="Z514" s="45" t="n" /><c r="AA514" s="331"><f>AA513</f><v /></c><c r="AB514" s="332"><f>AB513</f><v /></c><c r="AC514" s="11"><f>LEFT(AB514,2)</f><v /></c><c r="AD514" s="11"><f>RIGHT(AB514,6)</f><v /></c><c r="AE514" s="11"><f>+(AC514*60+AD514)/(60*60)</f><v /></c><c r="AF514" s="14"><f>+AA514/AE514</f><v /></c><c r="AG514" s="321"><f>+(((Z514-Y514-AA514)/AA514)*100)</f><v /></c><c r="AH514" s="329"><f>AH513</f><v /></c><c r="AI514" s="329"><f>AI513</f><v /></c><c r="AJ514" s="329"><f>AJ513</f><v /></c><c r="AK514" s="53"><f>Z514</f><v /></c><c r="AL514" s="45" t="n" /><c r="AM514" s="333"><f>AM513</f><v /></c><c r="AN514" s="328"><f>AN513</f><v /></c><c r="AO514" s="11"><f>LEFT(AN514,2)</f><v /></c><c r="AP514" s="11"><f>RIGHT(AN514,6)</f><v /></c><c r="AQ514" s="11"><f>+(AO514*60+AP514)/(60*60)</f><v /></c><c r="AR514" s="14"><f>+AM514/AQ514</f><v /></c><c r="AS514" s="321"><f>+(((AL514-AK514-AM514)/AM514)*100)</f><v /></c><c r="AT514" s="43"><f>IF(I514&gt;=1,"NO CONFORME",IF(BK514="SIGDIFERENTES",BC514,BL514))</f><v /></c><c r="AU514" s="8"><f>B514=C514</f><v /></c><c r="AV514" s="8"><f>N514&lt;Y514</f><v /></c><c r="AW514" s="8"><f>Z514&lt;=AK514</f><v /></c><c r="AX514" s="8"><f>IF(I514&gt;=1,"Qcorrecto",IF(AND(AY514="aceptable",AZ514="aceptable",BA514="aceptable"),"Qcorrecto","Qincorrecto"))</f><v /></c><c r="AY514" s="22"><f>IF(AR514&lt;$AH$6,"error",IF(AR514&gt;$AH$6*1.1,"error","aceptable"))</f><v /></c><c r="AZ514" s="22"><f>IF(AF514&lt;$V$6,"error",IF(AF514&gt;$V$6*1.1,"error","aceptable"))</f><v /></c><c r="BA514" s="22"><f>IF(T514&lt;$J$6*0.9,"error",IF(T514&gt;$J$6,"error","aceptable"))</f><v /></c><c r="BB514" s="25"><f>(IF(ABS(U514)&lt;1.05,"CONFORME",IF(ABS(AG514)&lt;1.05,"CONFORME",IF(ABS(AS514)&lt;2.55,"CONFORME","NO CONFORME"))))</f><v /></c><c r="BC514" s="5"><f>(IF(ABS(U514)&gt;2.05,"NO CONFORME",IF(ABS(AG514)&gt;2.05,"NO CONFORME",IF(ABS(AS514)&gt;5.05,"NO CONFORME","CONFORME"))))</f><v /></c><c r="BD514" s="15"><f>SIGN(U514)</f><v /></c><c r="BE514" s="15"><f>SIGN(AG514)</f><v /></c><c r="BF514" s="15"><f>SIGN(AS514)</f><v /></c><c r="BG514" s="15"><f>CONCATENATE(BD514,BE514,BF514)</f><v /></c><c r="BH514" s="15"><f>IF(BG514="111","SI","SD")</f><v /></c><c r="BI514" s="15"><f>IF(BG514="-1-1-1","SI","SD")</f><v /></c><c r="BJ514" s="15"><f>OR(BH514="SI",BI514="SI")</f><v /></c><c r="BK514" s="15"><f>IF(BJ514=FALSE,"SIGDIFERENTES","SIGIGUALES")</f><v /></c><c r="BL514" s="22"><f>IF(BC514="NO CONFORME","NO CONFORME",IF(BB514="CONFORME","CONFORME","NO CONFORME"))</f><v /></c></row><row r="515" ht="15.75" customHeight="1" thickBot="1"><c r="A515" s="37" t="n"><v>507</v></c><c r="B515" s="324"><f>B514</f><v /></c><c r="C515" s="324"><f>C514</f><v /></c><c r="D515" s="94"><f>D514</f><v /></c><c r="E515" s="95"><f>E514</f><v /></c><c r="F515" s="13" t="n" /><c r="G515" s="312" t="n" /><c r="H515" s="326"><f>H514</f><v /></c><c r="I515" s="98"><f>I514</f><v /></c><c r="J515" s="327"><f>J514</f><v /></c><c r="K515" s="327"><f>K514</f><v /></c><c r="L515" s="327"><f>L514</f><v /></c><c r="M515" s="45" t="n" /><c r="N515" s="45" t="n" /><c r="O515" s="100"><f>O514</f><v /></c><c r="P515" s="328"><f>P514</f><v /></c><c r="Q515" s="11"><f>LEFT(P515,1)</f><v /></c><c r="R515" s="11"><f>RIGHT(P515,6)</f><v /></c><c r="S515" s="11"><f>+(Q515*60+R515)/(60*60)</f><v /></c><c r="T515" s="14"><f>+O515/S515</f><v /></c><c r="U515" s="316"><f>+(((N515-M515-O515)/O515)*100)</f><v /></c><c r="V515" s="329"><f>V514</f><v /></c><c r="W515" s="329"><f>W514</f><v /></c><c r="X515" s="330"><f>X514</f><v /></c><c r="Y515" s="45" t="n" /><c r="Z515" s="45" t="n" /><c r="AA515" s="331"><f>AA514</f><v /></c><c r="AB515" s="332"><f>AB514</f><v /></c><c r="AC515" s="11"><f>LEFT(AB515,2)</f><v /></c><c r="AD515" s="11"><f>RIGHT(AB515,6)</f><v /></c><c r="AE515" s="11"><f>+(AC515*60+AD515)/(60*60)</f><v /></c><c r="AF515" s="14"><f>+AA515/AE515</f><v /></c><c r="AG515" s="321"><f>+(((Z515-Y515-AA515)/AA515)*100)</f><v /></c><c r="AH515" s="329"><f>AH514</f><v /></c><c r="AI515" s="329"><f>AI514</f><v /></c><c r="AJ515" s="329"><f>AJ514</f><v /></c><c r="AK515" s="53"><f>Z515</f><v /></c><c r="AL515" s="45" t="n" /><c r="AM515" s="333"><f>AM514</f><v /></c><c r="AN515" s="328"><f>AN514</f><v /></c><c r="AO515" s="11"><f>LEFT(AN515,2)</f><v /></c><c r="AP515" s="11"><f>RIGHT(AN515,6)</f><v /></c><c r="AQ515" s="11"><f>+(AO515*60+AP515)/(60*60)</f><v /></c><c r="AR515" s="14"><f>+AM515/AQ515</f><v /></c><c r="AS515" s="321"><f>+(((AL515-AK515-AM515)/AM515)*100)</f><v /></c><c r="AT515" s="43"><f>IF(I515&gt;=1,"NO CONFORME",IF(BK515="SIGDIFERENTES",BC515,BL515))</f><v /></c><c r="AU515" s="8"><f>B515=C515</f><v /></c><c r="AV515" s="8"><f>N515&lt;Y515</f><v /></c><c r="AW515" s="8"><f>Z515&lt;=AK515</f><v /></c><c r="AX515" s="8"><f>IF(I515&gt;=1,"Qcorrecto",IF(AND(AY515="aceptable",AZ515="aceptable",BA515="aceptable"),"Qcorrecto","Qincorrecto"))</f><v /></c><c r="AY515" s="22"><f>IF(AR515&lt;$AH$6,"error",IF(AR515&gt;$AH$6*1.1,"error","aceptable"))</f><v /></c><c r="AZ515" s="22"><f>IF(AF515&lt;$V$6,"error",IF(AF515&gt;$V$6*1.1,"error","aceptable"))</f><v /></c><c r="BA515" s="22"><f>IF(T515&lt;$J$6*0.9,"error",IF(T515&gt;$J$6,"error","aceptable"))</f><v /></c><c r="BB515" s="25"><f>(IF(ABS(U515)&lt;1.05,"CONFORME",IF(ABS(AG515)&lt;1.05,"CONFORME",IF(ABS(AS515)&lt;2.55,"CONFORME","NO CONFORME"))))</f><v /></c><c r="BC515" s="5"><f>(IF(ABS(U515)&gt;2.05,"NO CONFORME",IF(ABS(AG515)&gt;2.05,"NO CONFORME",IF(ABS(AS515)&gt;5.05,"NO CONFORME","CONFORME"))))</f><v /></c><c r="BD515" s="15"><f>SIGN(U515)</f><v /></c><c r="BE515" s="15"><f>SIGN(AG515)</f><v /></c><c r="BF515" s="15"><f>SIGN(AS515)</f><v /></c><c r="BG515" s="15"><f>CONCATENATE(BD515,BE515,BF515)</f><v /></c><c r="BH515" s="15"><f>IF(BG515="111","SI","SD")</f><v /></c><c r="BI515" s="15"><f>IF(BG515="-1-1-1","SI","SD")</f><v /></c><c r="BJ515" s="15"><f>OR(BH515="SI",BI515="SI")</f><v /></c><c r="BK515" s="15"><f>IF(BJ515=FALSE,"SIGDIFERENTES","SIGIGUALES")</f><v /></c><c r="BL515" s="22"><f>IF(BC515="NO CONFORME","NO CONFORME",IF(BB515="CONFORME","CONFORME","NO CONFORME"))</f><v /></c></row><row r="516" ht="15.75" customHeight="1" thickBot="1"><c r="A516" s="37" t="n"><v>508</v></c><c r="B516" s="324"><f>B515</f><v /></c><c r="C516" s="324"><f>C515</f><v /></c><c r="D516" s="94"><f>D515</f><v /></c><c r="E516" s="95"><f>E515</f><v /></c><c r="F516" s="13" t="n" /><c r="G516" s="312" t="n" /><c r="H516" s="326"><f>H515</f><v /></c><c r="I516" s="98"><f>I515</f><v /></c><c r="J516" s="327"><f>J515</f><v /></c><c r="K516" s="327"><f>K515</f><v /></c><c r="L516" s="327"><f>L515</f><v /></c><c r="M516" s="45" t="n" /><c r="N516" s="45" t="n" /><c r="O516" s="100"><f>O515</f><v /></c><c r="P516" s="328"><f>P515</f><v /></c><c r="Q516" s="11"><f>LEFT(P516,1)</f><v /></c><c r="R516" s="11"><f>RIGHT(P516,6)</f><v /></c><c r="S516" s="11"><f>+(Q516*60+R516)/(60*60)</f><v /></c><c r="T516" s="14"><f>+O516/S516</f><v /></c><c r="U516" s="316"><f>+(((N516-M516-O516)/O516)*100)</f><v /></c><c r="V516" s="329"><f>V515</f><v /></c><c r="W516" s="329"><f>W515</f><v /></c><c r="X516" s="330"><f>X515</f><v /></c><c r="Y516" s="45" t="n" /><c r="Z516" s="45" t="n" /><c r="AA516" s="331"><f>AA515</f><v /></c><c r="AB516" s="332"><f>AB515</f><v /></c><c r="AC516" s="11"><f>LEFT(AB516,2)</f><v /></c><c r="AD516" s="11"><f>RIGHT(AB516,6)</f><v /></c><c r="AE516" s="11"><f>+(AC516*60+AD516)/(60*60)</f><v /></c><c r="AF516" s="14"><f>+AA516/AE516</f><v /></c><c r="AG516" s="321"><f>+(((Z516-Y516-AA516)/AA516)*100)</f><v /></c><c r="AH516" s="329"><f>AH515</f><v /></c><c r="AI516" s="329"><f>AI515</f><v /></c><c r="AJ516" s="329"><f>AJ515</f><v /></c><c r="AK516" s="53"><f>Z516</f><v /></c><c r="AL516" s="45" t="n" /><c r="AM516" s="333"><f>AM515</f><v /></c><c r="AN516" s="328"><f>AN515</f><v /></c><c r="AO516" s="11"><f>LEFT(AN516,2)</f><v /></c><c r="AP516" s="11"><f>RIGHT(AN516,6)</f><v /></c><c r="AQ516" s="11"><f>+(AO516*60+AP516)/(60*60)</f><v /></c><c r="AR516" s="14"><f>+AM516/AQ516</f><v /></c><c r="AS516" s="321"><f>+(((AL516-AK516-AM516)/AM516)*100)</f><v /></c><c r="AT516" s="43"><f>IF(I516&gt;=1,"NO CONFORME",IF(BK516="SIGDIFERENTES",BC516,BL516))</f><v /></c><c r="AU516" s="8"><f>B516=C516</f><v /></c><c r="AV516" s="8"><f>N516&lt;Y516</f><v /></c><c r="AW516" s="8"><f>Z516&lt;=AK516</f><v /></c><c r="AX516" s="8"><f>IF(I516&gt;=1,"Qcorrecto",IF(AND(AY516="aceptable",AZ516="aceptable",BA516="aceptable"),"Qcorrecto","Qincorrecto"))</f><v /></c><c r="AY516" s="22"><f>IF(AR516&lt;$AH$6,"error",IF(AR516&gt;$AH$6*1.1,"error","aceptable"))</f><v /></c><c r="AZ516" s="22"><f>IF(AF516&lt;$V$6,"error",IF(AF516&gt;$V$6*1.1,"error","aceptable"))</f><v /></c><c r="BA516" s="22"><f>IF(T516&lt;$J$6*0.9,"error",IF(T516&gt;$J$6,"error","aceptable"))</f><v /></c><c r="BB516" s="25"><f>(IF(ABS(U516)&lt;1.05,"CONFORME",IF(ABS(AG516)&lt;1.05,"CONFORME",IF(ABS(AS516)&lt;2.55,"CONFORME","NO CONFORME"))))</f><v /></c><c r="BC516" s="5"><f>(IF(ABS(U516)&gt;2.05,"NO CONFORME",IF(ABS(AG516)&gt;2.05,"NO CONFORME",IF(ABS(AS516)&gt;5.05,"NO CONFORME","CONFORME"))))</f><v /></c><c r="BD516" s="15"><f>SIGN(U516)</f><v /></c><c r="BE516" s="15"><f>SIGN(AG516)</f><v /></c><c r="BF516" s="15"><f>SIGN(AS516)</f><v /></c><c r="BG516" s="15"><f>CONCATENATE(BD516,BE516,BF516)</f><v /></c><c r="BH516" s="15"><f>IF(BG516="111","SI","SD")</f><v /></c><c r="BI516" s="15"><f>IF(BG516="-1-1-1","SI","SD")</f><v /></c><c r="BJ516" s="15"><f>OR(BH516="SI",BI516="SI")</f><v /></c><c r="BK516" s="15"><f>IF(BJ516=FALSE,"SIGDIFERENTES","SIGIGUALES")</f><v /></c><c r="BL516" s="22"><f>IF(BC516="NO CONFORME","NO CONFORME",IF(BB516="CONFORME","CONFORME","NO CONFORME"))</f><v /></c></row><row r="517" ht="15.75" customHeight="1" thickBot="1"><c r="A517" s="37" t="n"><v>509</v></c><c r="B517" s="324"><f>B516</f><v /></c><c r="C517" s="324"><f>C516</f><v /></c><c r="D517" s="94"><f>D516</f><v /></c><c r="E517" s="95"><f>E516</f><v /></c><c r="F517" s="13" t="n" /><c r="G517" s="312" t="n" /><c r="H517" s="326"><f>H516</f><v /></c><c r="I517" s="98"><f>I516</f><v /></c><c r="J517" s="327"><f>J516</f><v /></c><c r="K517" s="327"><f>K516</f><v /></c><c r="L517" s="327"><f>L516</f><v /></c><c r="M517" s="45" t="n" /><c r="N517" s="45" t="n" /><c r="O517" s="100"><f>O516</f><v /></c><c r="P517" s="328"><f>P516</f><v /></c><c r="Q517" s="11"><f>LEFT(P517,1)</f><v /></c><c r="R517" s="11"><f>RIGHT(P517,6)</f><v /></c><c r="S517" s="11"><f>+(Q517*60+R517)/(60*60)</f><v /></c><c r="T517" s="14"><f>+O517/S517</f><v /></c><c r="U517" s="316"><f>+(((N517-M517-O517)/O517)*100)</f><v /></c><c r="V517" s="329"><f>V516</f><v /></c><c r="W517" s="329"><f>W516</f><v /></c><c r="X517" s="330"><f>X516</f><v /></c><c r="Y517" s="45" t="n" /><c r="Z517" s="45" t="n" /><c r="AA517" s="331"><f>AA516</f><v /></c><c r="AB517" s="332"><f>AB516</f><v /></c><c r="AC517" s="11"><f>LEFT(AB517,2)</f><v /></c><c r="AD517" s="11"><f>RIGHT(AB517,6)</f><v /></c><c r="AE517" s="11"><f>+(AC517*60+AD517)/(60*60)</f><v /></c><c r="AF517" s="14"><f>+AA517/AE517</f><v /></c><c r="AG517" s="321"><f>+(((Z517-Y517-AA517)/AA517)*100)</f><v /></c><c r="AH517" s="329"><f>AH516</f><v /></c><c r="AI517" s="329"><f>AI516</f><v /></c><c r="AJ517" s="329"><f>AJ516</f><v /></c><c r="AK517" s="53"><f>Z517</f><v /></c><c r="AL517" s="45" t="n" /><c r="AM517" s="333"><f>AM516</f><v /></c><c r="AN517" s="328"><f>AN516</f><v /></c><c r="AO517" s="11"><f>LEFT(AN517,2)</f><v /></c><c r="AP517" s="11"><f>RIGHT(AN517,6)</f><v /></c><c r="AQ517" s="11"><f>+(AO517*60+AP517)/(60*60)</f><v /></c><c r="AR517" s="14"><f>+AM517/AQ517</f><v /></c><c r="AS517" s="321"><f>+(((AL517-AK517-AM517)/AM517)*100)</f><v /></c><c r="AT517" s="43"><f>IF(I517&gt;=1,"NO CONFORME",IF(BK517="SIGDIFERENTES",BC517,BL517))</f><v /></c><c r="AU517" s="8"><f>B517=C517</f><v /></c><c r="AV517" s="8"><f>N517&lt;Y517</f><v /></c><c r="AW517" s="8"><f>Z517&lt;=AK517</f><v /></c><c r="AX517" s="8"><f>IF(I517&gt;=1,"Qcorrecto",IF(AND(AY517="aceptable",AZ517="aceptable",BA517="aceptable"),"Qcorrecto","Qincorrecto"))</f><v /></c><c r="AY517" s="22"><f>IF(AR517&lt;$AH$6,"error",IF(AR517&gt;$AH$6*1.1,"error","aceptable"))</f><v /></c><c r="AZ517" s="22"><f>IF(AF517&lt;$V$6,"error",IF(AF517&gt;$V$6*1.1,"error","aceptable"))</f><v /></c><c r="BA517" s="22"><f>IF(T517&lt;$J$6*0.9,"error",IF(T517&gt;$J$6,"error","aceptable"))</f><v /></c><c r="BB517" s="25"><f>(IF(ABS(U517)&lt;1.05,"CONFORME",IF(ABS(AG517)&lt;1.05,"CONFORME",IF(ABS(AS517)&lt;2.55,"CONFORME","NO CONFORME"))))</f><v /></c><c r="BC517" s="5"><f>(IF(ABS(U517)&gt;2.05,"NO CONFORME",IF(ABS(AG517)&gt;2.05,"NO CONFORME",IF(ABS(AS517)&gt;5.05,"NO CONFORME","CONFORME"))))</f><v /></c><c r="BD517" s="15"><f>SIGN(U517)</f><v /></c><c r="BE517" s="15"><f>SIGN(AG517)</f><v /></c><c r="BF517" s="15"><f>SIGN(AS517)</f><v /></c><c r="BG517" s="15"><f>CONCATENATE(BD517,BE517,BF517)</f><v /></c><c r="BH517" s="15"><f>IF(BG517="111","SI","SD")</f><v /></c><c r="BI517" s="15"><f>IF(BG517="-1-1-1","SI","SD")</f><v /></c><c r="BJ517" s="15"><f>OR(BH517="SI",BI517="SI")</f><v /></c><c r="BK517" s="15"><f>IF(BJ517=FALSE,"SIGDIFERENTES","SIGIGUALES")</f><v /></c><c r="BL517" s="22"><f>IF(BC517="NO CONFORME","NO CONFORME",IF(BB517="CONFORME","CONFORME","NO CONFORME"))</f><v /></c></row><row r="518" ht="15.75" customHeight="1" thickBot="1"><c r="A518" s="37" t="n"><v>510</v></c><c r="B518" s="324"><f>B517</f><v /></c><c r="C518" s="324"><f>C517</f><v /></c><c r="D518" s="94"><f>D517</f><v /></c><c r="E518" s="95"><f>E517</f><v /></c><c r="F518" s="13" t="n" /><c r="G518" s="312" t="n" /><c r="H518" s="326"><f>H517</f><v /></c><c r="I518" s="98"><f>I517</f><v /></c><c r="J518" s="327"><f>J517</f><v /></c><c r="K518" s="327"><f>K517</f><v /></c><c r="L518" s="327"><f>L517</f><v /></c><c r="M518" s="45" t="n" /><c r="N518" s="45" t="n" /><c r="O518" s="100"><f>O517</f><v /></c><c r="P518" s="328"><f>P517</f><v /></c><c r="Q518" s="11"><f>LEFT(P518,1)</f><v /></c><c r="R518" s="11"><f>RIGHT(P518,6)</f><v /></c><c r="S518" s="11"><f>+(Q518*60+R518)/(60*60)</f><v /></c><c r="T518" s="14"><f>+O518/S518</f><v /></c><c r="U518" s="316"><f>+(((N518-M518-O518)/O518)*100)</f><v /></c><c r="V518" s="329"><f>V517</f><v /></c><c r="W518" s="329"><f>W517</f><v /></c><c r="X518" s="330"><f>X517</f><v /></c><c r="Y518" s="45" t="n" /><c r="Z518" s="45" t="n" /><c r="AA518" s="331"><f>AA517</f><v /></c><c r="AB518" s="332"><f>AB517</f><v /></c><c r="AC518" s="11"><f>LEFT(AB518,2)</f><v /></c><c r="AD518" s="11"><f>RIGHT(AB518,6)</f><v /></c><c r="AE518" s="11"><f>+(AC518*60+AD518)/(60*60)</f><v /></c><c r="AF518" s="14"><f>+AA518/AE518</f><v /></c><c r="AG518" s="321"><f>+(((Z518-Y518-AA518)/AA518)*100)</f><v /></c><c r="AH518" s="329"><f>AH517</f><v /></c><c r="AI518" s="329"><f>AI517</f><v /></c><c r="AJ518" s="329"><f>AJ517</f><v /></c><c r="AK518" s="53"><f>Z518</f><v /></c><c r="AL518" s="45" t="n" /><c r="AM518" s="333"><f>AM517</f><v /></c><c r="AN518" s="328"><f>AN517</f><v /></c><c r="AO518" s="11"><f>LEFT(AN518,2)</f><v /></c><c r="AP518" s="11"><f>RIGHT(AN518,6)</f><v /></c><c r="AQ518" s="11"><f>+(AO518*60+AP518)/(60*60)</f><v /></c><c r="AR518" s="14"><f>+AM518/AQ518</f><v /></c><c r="AS518" s="321"><f>+(((AL518-AK518-AM518)/AM518)*100)</f><v /></c><c r="AT518" s="43"><f>IF(I518&gt;=1,"NO CONFORME",IF(BK518="SIGDIFERENTES",BC518,BL518))</f><v /></c><c r="AU518" s="8"><f>B518=C518</f><v /></c><c r="AV518" s="8"><f>N518&lt;Y518</f><v /></c><c r="AW518" s="8"><f>Z518&lt;=AK518</f><v /></c><c r="AX518" s="8"><f>IF(I518&gt;=1,"Qcorrecto",IF(AND(AY518="aceptable",AZ518="aceptable",BA518="aceptable"),"Qcorrecto","Qincorrecto"))</f><v /></c><c r="AY518" s="22"><f>IF(AR518&lt;$AH$6,"error",IF(AR518&gt;$AH$6*1.1,"error","aceptable"))</f><v /></c><c r="AZ518" s="22"><f>IF(AF518&lt;$V$6,"error",IF(AF518&gt;$V$6*1.1,"error","aceptable"))</f><v /></c><c r="BA518" s="22"><f>IF(T518&lt;$J$6*0.9,"error",IF(T518&gt;$J$6,"error","aceptable"))</f><v /></c><c r="BB518" s="25"><f>(IF(ABS(U518)&lt;1.05,"CONFORME",IF(ABS(AG518)&lt;1.05,"CONFORME",IF(ABS(AS518)&lt;2.55,"CONFORME","NO CONFORME"))))</f><v /></c><c r="BC518" s="5"><f>(IF(ABS(U518)&gt;2.05,"NO CONFORME",IF(ABS(AG518)&gt;2.05,"NO CONFORME",IF(ABS(AS518)&gt;5.05,"NO CONFORME","CONFORME"))))</f><v /></c><c r="BD518" s="15"><f>SIGN(U518)</f><v /></c><c r="BE518" s="15"><f>SIGN(AG518)</f><v /></c><c r="BF518" s="15"><f>SIGN(AS518)</f><v /></c><c r="BG518" s="15"><f>CONCATENATE(BD518,BE518,BF518)</f><v /></c><c r="BH518" s="15"><f>IF(BG518="111","SI","SD")</f><v /></c><c r="BI518" s="15"><f>IF(BG518="-1-1-1","SI","SD")</f><v /></c><c r="BJ518" s="15"><f>OR(BH518="SI",BI518="SI")</f><v /></c><c r="BK518" s="15"><f>IF(BJ518=FALSE,"SIGDIFERENTES","SIGIGUALES")</f><v /></c><c r="BL518" s="22"><f>IF(BC518="NO CONFORME","NO CONFORME",IF(BB518="CONFORME","CONFORME","NO CONFORME"))</f><v /></c></row><row r="519" ht="15.75" customHeight="1" thickBot="1"><c r="A519" s="37" t="n"><v>511</v></c><c r="B519" s="324"><f>B518</f><v /></c><c r="C519" s="324"><f>C518</f><v /></c><c r="D519" s="94"><f>D518</f><v /></c><c r="E519" s="95"><f>E518</f><v /></c><c r="F519" s="13" t="n" /><c r="G519" s="312" t="n" /><c r="H519" s="326"><f>H518</f><v /></c><c r="I519" s="98"><f>I518</f><v /></c><c r="J519" s="327"><f>J518</f><v /></c><c r="K519" s="327"><f>K518</f><v /></c><c r="L519" s="327"><f>L518</f><v /></c><c r="M519" s="45" t="n" /><c r="N519" s="45" t="n" /><c r="O519" s="100"><f>O518</f><v /></c><c r="P519" s="328"><f>P518</f><v /></c><c r="Q519" s="11"><f>LEFT(P519,1)</f><v /></c><c r="R519" s="11"><f>RIGHT(P519,6)</f><v /></c><c r="S519" s="11"><f>+(Q519*60+R519)/(60*60)</f><v /></c><c r="T519" s="14"><f>+O519/S519</f><v /></c><c r="U519" s="316"><f>+(((N519-M519-O519)/O519)*100)</f><v /></c><c r="V519" s="329"><f>V518</f><v /></c><c r="W519" s="329"><f>W518</f><v /></c><c r="X519" s="330"><f>X518</f><v /></c><c r="Y519" s="45" t="n" /><c r="Z519" s="45" t="n" /><c r="AA519" s="331"><f>AA518</f><v /></c><c r="AB519" s="332"><f>AB518</f><v /></c><c r="AC519" s="11"><f>LEFT(AB519,2)</f><v /></c><c r="AD519" s="11"><f>RIGHT(AB519,6)</f><v /></c><c r="AE519" s="11"><f>+(AC519*60+AD519)/(60*60)</f><v /></c><c r="AF519" s="14"><f>+AA519/AE519</f><v /></c><c r="AG519" s="321"><f>+(((Z519-Y519-AA519)/AA519)*100)</f><v /></c><c r="AH519" s="329"><f>AH518</f><v /></c><c r="AI519" s="329"><f>AI518</f><v /></c><c r="AJ519" s="329"><f>AJ518</f><v /></c><c r="AK519" s="53"><f>Z519</f><v /></c><c r="AL519" s="45" t="n" /><c r="AM519" s="333"><f>AM518</f><v /></c><c r="AN519" s="328"><f>AN518</f><v /></c><c r="AO519" s="11"><f>LEFT(AN519,2)</f><v /></c><c r="AP519" s="11"><f>RIGHT(AN519,6)</f><v /></c><c r="AQ519" s="11"><f>+(AO519*60+AP519)/(60*60)</f><v /></c><c r="AR519" s="14"><f>+AM519/AQ519</f><v /></c><c r="AS519" s="321"><f>+(((AL519-AK519-AM519)/AM519)*100)</f><v /></c><c r="AT519" s="43"><f>IF(I519&gt;=1,"NO CONFORME",IF(BK519="SIGDIFERENTES",BC519,BL519))</f><v /></c><c r="AU519" s="8"><f>B519=C519</f><v /></c><c r="AV519" s="8"><f>N519&lt;Y519</f><v /></c><c r="AW519" s="8"><f>Z519&lt;=AK519</f><v /></c><c r="AX519" s="8"><f>IF(I519&gt;=1,"Qcorrecto",IF(AND(AY519="aceptable",AZ519="aceptable",BA519="aceptable"),"Qcorrecto","Qincorrecto"))</f><v /></c><c r="AY519" s="22"><f>IF(AR519&lt;$AH$6,"error",IF(AR519&gt;$AH$6*1.1,"error","aceptable"))</f><v /></c><c r="AZ519" s="22"><f>IF(AF519&lt;$V$6,"error",IF(AF519&gt;$V$6*1.1,"error","aceptable"))</f><v /></c><c r="BA519" s="22"><f>IF(T519&lt;$J$6*0.9,"error",IF(T519&gt;$J$6,"error","aceptable"))</f><v /></c><c r="BB519" s="25"><f>(IF(ABS(U519)&lt;1.05,"CONFORME",IF(ABS(AG519)&lt;1.05,"CONFORME",IF(ABS(AS519)&lt;2.55,"CONFORME","NO CONFORME"))))</f><v /></c><c r="BC519" s="5"><f>(IF(ABS(U519)&gt;2.05,"NO CONFORME",IF(ABS(AG519)&gt;2.05,"NO CONFORME",IF(ABS(AS519)&gt;5.05,"NO CONFORME","CONFORME"))))</f><v /></c><c r="BD519" s="15"><f>SIGN(U519)</f><v /></c><c r="BE519" s="15"><f>SIGN(AG519)</f><v /></c><c r="BF519" s="15"><f>SIGN(AS519)</f><v /></c><c r="BG519" s="15"><f>CONCATENATE(BD519,BE519,BF519)</f><v /></c><c r="BH519" s="15"><f>IF(BG519="111","SI","SD")</f><v /></c><c r="BI519" s="15"><f>IF(BG519="-1-1-1","SI","SD")</f><v /></c><c r="BJ519" s="15"><f>OR(BH519="SI",BI519="SI")</f><v /></c><c r="BK519" s="15"><f>IF(BJ519=FALSE,"SIGDIFERENTES","SIGIGUALES")</f><v /></c><c r="BL519" s="22"><f>IF(BC519="NO CONFORME","NO CONFORME",IF(BB519="CONFORME","CONFORME","NO CONFORME"))</f><v /></c></row><row r="520" ht="15.75" customHeight="1" thickBot="1"><c r="A520" s="37" t="n"><v>512</v></c><c r="B520" s="324"><f>B519</f><v /></c><c r="C520" s="324"><f>C519</f><v /></c><c r="D520" s="94"><f>D519</f><v /></c><c r="E520" s="95"><f>E519</f><v /></c><c r="F520" s="52" t="n" /><c r="G520" s="325" t="n" /><c r="H520" s="326"><f>H519</f><v /></c><c r="I520" s="98"><f>I519</f><v /></c><c r="J520" s="327"><f>J519</f><v /></c><c r="K520" s="327"><f>K519</f><v /></c><c r="L520" s="327"><f>L519</f><v /></c><c r="M520" s="53" t="n" /><c r="N520" s="53" t="n" /><c r="O520" s="100"><f>O519</f><v /></c><c r="P520" s="328"><f>P519</f><v /></c><c r="Q520" s="11"><f>LEFT(P520,1)</f><v /></c><c r="R520" s="11"><f>RIGHT(P520,6)</f><v /></c><c r="S520" s="11"><f>+(Q520*60+R520)/(60*60)</f><v /></c><c r="T520" s="14"><f>+O520/S520</f><v /></c><c r="U520" s="316"><f>+(((N520-M520-O520)/O520)*100)</f><v /></c><c r="V520" s="329"><f>V519</f><v /></c><c r="W520" s="329"><f>W519</f><v /></c><c r="X520" s="330"><f>X519</f><v /></c><c r="Y520" s="53" t="n" /><c r="Z520" s="53" t="n" /><c r="AA520" s="331"><f>AA519</f><v /></c><c r="AB520" s="332"><f>AB519</f><v /></c><c r="AC520" s="11"><f>LEFT(AB520,2)</f><v /></c><c r="AD520" s="11"><f>RIGHT(AB520,6)</f><v /></c><c r="AE520" s="11"><f>+(AC520*60+AD520)/(60*60)</f><v /></c><c r="AF520" s="14"><f>+AA520/AE520</f><v /></c><c r="AG520" s="321"><f>+(((Z520-Y520-AA520)/AA520)*100)</f><v /></c><c r="AH520" s="329"><f>AH519</f><v /></c><c r="AI520" s="329"><f>AI519</f><v /></c><c r="AJ520" s="329"><f>AJ519</f><v /></c><c r="AK520" s="53"><f>Z520</f><v /></c><c r="AL520" s="53" t="n" /><c r="AM520" s="333"><f>AM519</f><v /></c><c r="AN520" s="328"><f>AN519</f><v /></c><c r="AO520" s="11"><f>LEFT(AN520,2)</f><v /></c><c r="AP520" s="11"><f>RIGHT(AN520,6)</f><v /></c><c r="AQ520" s="11"><f>+(AO520*60+AP520)/(60*60)</f><v /></c><c r="AR520" s="14"><f>+AM520/AQ520</f><v /></c><c r="AS520" s="321"><f>+(((AL520-AK520-AM520)/AM520)*100)</f><v /></c><c r="AT520" s="43"><f>IF(I520&gt;=1,"NO CONFORME",IF(BK520="SIGDIFERENTES",BC520,BL520))</f><v /></c><c r="AU520" s="8"><f>B520=C520</f><v /></c><c r="AV520" s="8"><f>N520&lt;Y520</f><v /></c><c r="AW520" s="8"><f>Z520&lt;=AK520</f><v /></c><c r="AX520" s="8"><f>IF(I520&gt;=1,"Qcorrecto",IF(AND(AY520="aceptable",AZ520="aceptable",BA520="aceptable"),"Qcorrecto","Qincorrecto"))</f><v /></c><c r="AY520" s="22"><f>IF(AR520&lt;$AH$6,"error",IF(AR520&gt;$AH$6*1.1,"error","aceptable"))</f><v /></c><c r="AZ520" s="22"><f>IF(AF520&lt;$V$6,"error",IF(AF520&gt;$V$6*1.1,"error","aceptable"))</f><v /></c><c r="BA520" s="22"><f>IF(T520&lt;$J$6*0.9,"error",IF(T520&gt;$J$6,"error","aceptable"))</f><v /></c><c r="BB520" s="25"><f>(IF(ABS(U520)&lt;1.05,"CONFORME",IF(ABS(AG520)&lt;1.05,"CONFORME",IF(ABS(AS520)&lt;2.55,"CONFORME","NO CONFORME"))))</f><v /></c><c r="BC520" s="5"><f>(IF(ABS(U520)&gt;2.05,"NO CONFORME",IF(ABS(AG520)&gt;2.05,"NO CONFORME",IF(ABS(AS520)&gt;5.05,"NO CONFORME","CONFORME"))))</f><v /></c><c r="BD520" s="15"><f>SIGN(U520)</f><v /></c><c r="BE520" s="15"><f>SIGN(AG520)</f><v /></c><c r="BF520" s="15"><f>SIGN(AS520)</f><v /></c><c r="BG520" s="15"><f>CONCATENATE(BD520,BE520,BF520)</f><v /></c><c r="BH520" s="15"><f>IF(BG520="111","SI","SD")</f><v /></c><c r="BI520" s="15"><f>IF(BG520="-1-1-1","SI","SD")</f><v /></c><c r="BJ520" s="15"><f>OR(BH520="SI",BI520="SI")</f><v /></c><c r="BK520" s="15"><f>IF(BJ520=FALSE,"SIGDIFERENTES","SIGIGUALES")</f><v /></c><c r="BL520" s="22"><f>IF(BC520="NO CONFORME","NO CONFORME",IF(BB520="CONFORME","CONFORME","NO CONFORME"))</f><v /></c></row><row r="521" ht="15.75" customHeight="1" thickBot="1"><c r="A521" s="37" t="n"><v>513</v></c><c r="B521" s="324"><f>B520</f><v /></c><c r="C521" s="324"><f>C520</f><v /></c><c r="D521" s="94"><f>D520</f><v /></c><c r="E521" s="95"><f>E520</f><v /></c><c r="F521" s="58" t="n" /><c r="G521" s="300" t="n" /><c r="H521" s="326"><f>H520</f><v /></c><c r="I521" s="98"><f>I520</f><v /></c><c r="J521" s="327"><f>J520</f><v /></c><c r="K521" s="327"><f>K520</f><v /></c><c r="L521" s="327"><f>L520</f><v /></c><c r="M521" s="59" t="n" /><c r="N521" s="59" t="n" /><c r="O521" s="100"><f>O520</f><v /></c><c r="P521" s="328"><f>P520</f><v /></c><c r="Q521" s="11"><f>LEFT(P521,1)</f><v /></c><c r="R521" s="11"><f>RIGHT(P521,6)</f><v /></c><c r="S521" s="11"><f>+(Q521*60+R521)/(60*60)</f><v /></c><c r="T521" s="14"><f>+O521/S521</f><v /></c><c r="U521" s="316"><f>+(((N521-M521-O521)/O521)*100)</f><v /></c><c r="V521" s="329"><f>V520</f><v /></c><c r="W521" s="329"><f>W520</f><v /></c><c r="X521" s="330"><f>X520</f><v /></c><c r="Y521" s="59" t="n" /><c r="Z521" s="59" t="n" /><c r="AA521" s="331"><f>AA520</f><v /></c><c r="AB521" s="332"><f>AB520</f><v /></c><c r="AC521" s="11"><f>LEFT(AB521,2)</f><v /></c><c r="AD521" s="11"><f>RIGHT(AB521,6)</f><v /></c><c r="AE521" s="11"><f>+(AC521*60+AD521)/(60*60)</f><v /></c><c r="AF521" s="14"><f>+AA521/AE521</f><v /></c><c r="AG521" s="321"><f>+(((Z521-Y521-AA521)/AA521)*100)</f><v /></c><c r="AH521" s="329"><f>AH520</f><v /></c><c r="AI521" s="329"><f>AI520</f><v /></c><c r="AJ521" s="329"><f>AJ520</f><v /></c><c r="AK521" s="53"><f>Z521</f><v /></c><c r="AL521" s="59" t="n" /><c r="AM521" s="333"><f>AM520</f><v /></c><c r="AN521" s="328"><f>AN520</f><v /></c><c r="AO521" s="11"><f>LEFT(AN521,2)</f><v /></c><c r="AP521" s="11"><f>RIGHT(AN521,6)</f><v /></c><c r="AQ521" s="11"><f>+(AO521*60+AP521)/(60*60)</f><v /></c><c r="AR521" s="14"><f>+AM521/AQ521</f><v /></c><c r="AS521" s="321"><f>+(((AL521-AK521-AM521)/AM521)*100)</f><v /></c><c r="AT521" s="43"><f>IF(I521&gt;=1,"NO CONFORME",IF(BK521="SIGDIFERENTES",BC521,BL521))</f><v /></c><c r="AU521" s="8"><f>B521=C521</f><v /></c><c r="AV521" s="8"><f>N521&lt;Y521</f><v /></c><c r="AW521" s="8"><f>Z521&lt;=AK521</f><v /></c><c r="AX521" s="8"><f>IF(I521&gt;=1,"Qcorrecto",IF(AND(AY521="aceptable",AZ521="aceptable",BA521="aceptable"),"Qcorrecto","Qincorrecto"))</f><v /></c><c r="AY521" s="22"><f>IF(AR521&lt;$AH$6,"error",IF(AR521&gt;$AH$6*1.1,"error","aceptable"))</f><v /></c><c r="AZ521" s="22"><f>IF(AF521&lt;$V$6,"error",IF(AF521&gt;$V$6*1.1,"error","aceptable"))</f><v /></c><c r="BA521" s="22"><f>IF(T521&lt;$J$6*0.9,"error",IF(T521&gt;$J$6,"error","aceptable"))</f><v /></c><c r="BB521" s="25"><f>(IF(ABS(U521)&lt;1.05,"CONFORME",IF(ABS(AG521)&lt;1.05,"CONFORME",IF(ABS(AS521)&lt;2.55,"CONFORME","NO CONFORME"))))</f><v /></c><c r="BC521" s="5"><f>(IF(ABS(U521)&gt;2.05,"NO CONFORME",IF(ABS(AG521)&gt;2.05,"NO CONFORME",IF(ABS(AS521)&gt;5.05,"NO CONFORME","CONFORME"))))</f><v /></c><c r="BD521" s="15"><f>SIGN(U521)</f><v /></c><c r="BE521" s="15"><f>SIGN(AG521)</f><v /></c><c r="BF521" s="15"><f>SIGN(AS521)</f><v /></c><c r="BG521" s="15"><f>CONCATENATE(BD521,BE521,BF521)</f><v /></c><c r="BH521" s="15"><f>IF(BG521="111","SI","SD")</f><v /></c><c r="BI521" s="15"><f>IF(BG521="-1-1-1","SI","SD")</f><v /></c><c r="BJ521" s="15"><f>OR(BH521="SI",BI521="SI")</f><v /></c><c r="BK521" s="15"><f>IF(BJ521=FALSE,"SIGDIFERENTES","SIGIGUALES")</f><v /></c><c r="BL521" s="22"><f>IF(BC521="NO CONFORME","NO CONFORME",IF(BB521="CONFORME","CONFORME","NO CONFORME"))</f><v /></c></row><row r="522" ht="15.75" customHeight="1" thickBot="1"><c r="A522" s="37" t="n"><v>514</v></c><c r="B522" s="324"><f>B521</f><v /></c><c r="C522" s="324"><f>C521</f><v /></c><c r="D522" s="94"><f>D521</f><v /></c><c r="E522" s="95"><f>E521</f><v /></c><c r="F522" s="13" t="n" /><c r="G522" s="312" t="n" /><c r="H522" s="326"><f>H521</f><v /></c><c r="I522" s="98"><f>I521</f><v /></c><c r="J522" s="327"><f>J521</f><v /></c><c r="K522" s="327"><f>K521</f><v /></c><c r="L522" s="327"><f>L521</f><v /></c><c r="M522" s="45" t="n" /><c r="N522" s="45" t="n" /><c r="O522" s="100"><f>O521</f><v /></c><c r="P522" s="328"><f>P521</f><v /></c><c r="Q522" s="11"><f>LEFT(P522,1)</f><v /></c><c r="R522" s="11"><f>RIGHT(P522,6)</f><v /></c><c r="S522" s="11"><f>+(Q522*60+R522)/(60*60)</f><v /></c><c r="T522" s="14"><f>+O522/S522</f><v /></c><c r="U522" s="316"><f>+(((N522-M522-O522)/O522)*100)</f><v /></c><c r="V522" s="329"><f>V521</f><v /></c><c r="W522" s="329"><f>W521</f><v /></c><c r="X522" s="330"><f>X521</f><v /></c><c r="Y522" s="45" t="n" /><c r="Z522" s="45" t="n" /><c r="AA522" s="331"><f>AA521</f><v /></c><c r="AB522" s="332"><f>AB521</f><v /></c><c r="AC522" s="11"><f>LEFT(AB522,2)</f><v /></c><c r="AD522" s="11"><f>RIGHT(AB522,6)</f><v /></c><c r="AE522" s="11"><f>+(AC522*60+AD522)/(60*60)</f><v /></c><c r="AF522" s="14"><f>+AA522/AE522</f><v /></c><c r="AG522" s="321"><f>+(((Z522-Y522-AA522)/AA522)*100)</f><v /></c><c r="AH522" s="329"><f>AH521</f><v /></c><c r="AI522" s="329"><f>AI521</f><v /></c><c r="AJ522" s="329"><f>AJ521</f><v /></c><c r="AK522" s="53"><f>Z522</f><v /></c><c r="AL522" s="45" t="n" /><c r="AM522" s="333"><f>AM521</f><v /></c><c r="AN522" s="328"><f>AN521</f><v /></c><c r="AO522" s="11"><f>LEFT(AN522,2)</f><v /></c><c r="AP522" s="11"><f>RIGHT(AN522,6)</f><v /></c><c r="AQ522" s="11"><f>+(AO522*60+AP522)/(60*60)</f><v /></c><c r="AR522" s="14"><f>+AM522/AQ522</f><v /></c><c r="AS522" s="321"><f>+(((AL522-AK522-AM522)/AM522)*100)</f><v /></c><c r="AT522" s="43"><f>IF(I522&gt;=1,"NO CONFORME",IF(BK522="SIGDIFERENTES",BC522,BL522))</f><v /></c><c r="AU522" s="8"><f>B522=C522</f><v /></c><c r="AV522" s="8"><f>N522&lt;Y522</f><v /></c><c r="AW522" s="8"><f>Z522&lt;=AK522</f><v /></c><c r="AX522" s="8"><f>IF(I522&gt;=1,"Qcorrecto",IF(AND(AY522="aceptable",AZ522="aceptable",BA522="aceptable"),"Qcorrecto","Qincorrecto"))</f><v /></c><c r="AY522" s="22"><f>IF(AR522&lt;$AH$6,"error",IF(AR522&gt;$AH$6*1.1,"error","aceptable"))</f><v /></c><c r="AZ522" s="22"><f>IF(AF522&lt;$V$6,"error",IF(AF522&gt;$V$6*1.1,"error","aceptable"))</f><v /></c><c r="BA522" s="22"><f>IF(T522&lt;$J$6*0.9,"error",IF(T522&gt;$J$6,"error","aceptable"))</f><v /></c><c r="BB522" s="25"><f>(IF(ABS(U522)&lt;1.05,"CONFORME",IF(ABS(AG522)&lt;1.05,"CONFORME",IF(ABS(AS522)&lt;2.55,"CONFORME","NO CONFORME"))))</f><v /></c><c r="BC522" s="5"><f>(IF(ABS(U522)&gt;2.05,"NO CONFORME",IF(ABS(AG522)&gt;2.05,"NO CONFORME",IF(ABS(AS522)&gt;5.05,"NO CONFORME","CONFORME"))))</f><v /></c><c r="BD522" s="15"><f>SIGN(U522)</f><v /></c><c r="BE522" s="15"><f>SIGN(AG522)</f><v /></c><c r="BF522" s="15"><f>SIGN(AS522)</f><v /></c><c r="BG522" s="15"><f>CONCATENATE(BD522,BE522,BF522)</f><v /></c><c r="BH522" s="15"><f>IF(BG522="111","SI","SD")</f><v /></c><c r="BI522" s="15"><f>IF(BG522="-1-1-1","SI","SD")</f><v /></c><c r="BJ522" s="15"><f>OR(BH522="SI",BI522="SI")</f><v /></c><c r="BK522" s="15"><f>IF(BJ522=FALSE,"SIGDIFERENTES","SIGIGUALES")</f><v /></c><c r="BL522" s="22"><f>IF(BC522="NO CONFORME","NO CONFORME",IF(BB522="CONFORME","CONFORME","NO CONFORME"))</f><v /></c></row><row r="523" ht="15.75" customHeight="1" thickBot="1"><c r="A523" s="37" t="n"><v>515</v></c><c r="B523" s="324"><f>B522</f><v /></c><c r="C523" s="324"><f>C522</f><v /></c><c r="D523" s="94"><f>D522</f><v /></c><c r="E523" s="95"><f>E522</f><v /></c><c r="F523" s="13" t="n" /><c r="G523" s="312" t="n" /><c r="H523" s="326"><f>H522</f><v /></c><c r="I523" s="98"><f>I522</f><v /></c><c r="J523" s="327"><f>J522</f><v /></c><c r="K523" s="327"><f>K522</f><v /></c><c r="L523" s="327"><f>L522</f><v /></c><c r="M523" s="45" t="n" /><c r="N523" s="45" t="n" /><c r="O523" s="100"><f>O522</f><v /></c><c r="P523" s="328"><f>P522</f><v /></c><c r="Q523" s="11"><f>LEFT(P523,1)</f><v /></c><c r="R523" s="11"><f>RIGHT(P523,6)</f><v /></c><c r="S523" s="11"><f>+(Q523*60+R523)/(60*60)</f><v /></c><c r="T523" s="14"><f>+O523/S523</f><v /></c><c r="U523" s="316"><f>+(((N523-M523-O523)/O523)*100)</f><v /></c><c r="V523" s="329"><f>V522</f><v /></c><c r="W523" s="329"><f>W522</f><v /></c><c r="X523" s="330"><f>X522</f><v /></c><c r="Y523" s="45" t="n" /><c r="Z523" s="45" t="n" /><c r="AA523" s="331"><f>AA522</f><v /></c><c r="AB523" s="332"><f>AB522</f><v /></c><c r="AC523" s="11"><f>LEFT(AB523,2)</f><v /></c><c r="AD523" s="11"><f>RIGHT(AB523,6)</f><v /></c><c r="AE523" s="11"><f>+(AC523*60+AD523)/(60*60)</f><v /></c><c r="AF523" s="14"><f>+AA523/AE523</f><v /></c><c r="AG523" s="321"><f>+(((Z523-Y523-AA523)/AA523)*100)</f><v /></c><c r="AH523" s="329"><f>AH522</f><v /></c><c r="AI523" s="329"><f>AI522</f><v /></c><c r="AJ523" s="329"><f>AJ522</f><v /></c><c r="AK523" s="53"><f>Z523</f><v /></c><c r="AL523" s="45" t="n" /><c r="AM523" s="333"><f>AM522</f><v /></c><c r="AN523" s="328"><f>AN522</f><v /></c><c r="AO523" s="11"><f>LEFT(AN523,2)</f><v /></c><c r="AP523" s="11"><f>RIGHT(AN523,6)</f><v /></c><c r="AQ523" s="11"><f>+(AO523*60+AP523)/(60*60)</f><v /></c><c r="AR523" s="14"><f>+AM523/AQ523</f><v /></c><c r="AS523" s="321"><f>+(((AL523-AK523-AM523)/AM523)*100)</f><v /></c><c r="AT523" s="43"><f>IF(I523&gt;=1,"NO CONFORME",IF(BK523="SIGDIFERENTES",BC523,BL523))</f><v /></c><c r="AU523" s="8"><f>B523=C523</f><v /></c><c r="AV523" s="8"><f>N523&lt;Y523</f><v /></c><c r="AW523" s="8"><f>Z523&lt;=AK523</f><v /></c><c r="AX523" s="8"><f>IF(I523&gt;=1,"Qcorrecto",IF(AND(AY523="aceptable",AZ523="aceptable",BA523="aceptable"),"Qcorrecto","Qincorrecto"))</f><v /></c><c r="AY523" s="22"><f>IF(AR523&lt;$AH$6,"error",IF(AR523&gt;$AH$6*1.1,"error","aceptable"))</f><v /></c><c r="AZ523" s="22"><f>IF(AF523&lt;$V$6,"error",IF(AF523&gt;$V$6*1.1,"error","aceptable"))</f><v /></c><c r="BA523" s="22"><f>IF(T523&lt;$J$6*0.9,"error",IF(T523&gt;$J$6,"error","aceptable"))</f><v /></c><c r="BB523" s="25"><f>(IF(ABS(U523)&lt;1.05,"CONFORME",IF(ABS(AG523)&lt;1.05,"CONFORME",IF(ABS(AS523)&lt;2.55,"CONFORME","NO CONFORME"))))</f><v /></c><c r="BC523" s="5"><f>(IF(ABS(U523)&gt;2.05,"NO CONFORME",IF(ABS(AG523)&gt;2.05,"NO CONFORME",IF(ABS(AS523)&gt;5.05,"NO CONFORME","CONFORME"))))</f><v /></c><c r="BD523" s="15"><f>SIGN(U523)</f><v /></c><c r="BE523" s="15"><f>SIGN(AG523)</f><v /></c><c r="BF523" s="15"><f>SIGN(AS523)</f><v /></c><c r="BG523" s="15"><f>CONCATENATE(BD523,BE523,BF523)</f><v /></c><c r="BH523" s="15"><f>IF(BG523="111","SI","SD")</f><v /></c><c r="BI523" s="15"><f>IF(BG523="-1-1-1","SI","SD")</f><v /></c><c r="BJ523" s="15"><f>OR(BH523="SI",BI523="SI")</f><v /></c><c r="BK523" s="15"><f>IF(BJ523=FALSE,"SIGDIFERENTES","SIGIGUALES")</f><v /></c><c r="BL523" s="22"><f>IF(BC523="NO CONFORME","NO CONFORME",IF(BB523="CONFORME","CONFORME","NO CONFORME"))</f><v /></c></row><row r="524" ht="15.75" customHeight="1" thickBot="1"><c r="A524" s="37" t="n"><v>516</v></c><c r="B524" s="324"><f>B523</f><v /></c><c r="C524" s="324"><f>C523</f><v /></c><c r="D524" s="94"><f>D523</f><v /></c><c r="E524" s="95"><f>E523</f><v /></c><c r="F524" s="13" t="n" /><c r="G524" s="312" t="n" /><c r="H524" s="326"><f>H523</f><v /></c><c r="I524" s="98"><f>I523</f><v /></c><c r="J524" s="327"><f>J523</f><v /></c><c r="K524" s="327"><f>K523</f><v /></c><c r="L524" s="327"><f>L523</f><v /></c><c r="M524" s="45" t="n" /><c r="N524" s="45" t="n" /><c r="O524" s="100"><f>O523</f><v /></c><c r="P524" s="328"><f>P523</f><v /></c><c r="Q524" s="11"><f>LEFT(P524,1)</f><v /></c><c r="R524" s="11"><f>RIGHT(P524,6)</f><v /></c><c r="S524" s="11"><f>+(Q524*60+R524)/(60*60)</f><v /></c><c r="T524" s="14"><f>+O524/S524</f><v /></c><c r="U524" s="316"><f>+(((N524-M524-O524)/O524)*100)</f><v /></c><c r="V524" s="329"><f>V523</f><v /></c><c r="W524" s="329"><f>W523</f><v /></c><c r="X524" s="330"><f>X523</f><v /></c><c r="Y524" s="45" t="n" /><c r="Z524" s="45" t="n" /><c r="AA524" s="331"><f>AA523</f><v /></c><c r="AB524" s="332"><f>AB523</f><v /></c><c r="AC524" s="11"><f>LEFT(AB524,2)</f><v /></c><c r="AD524" s="11"><f>RIGHT(AB524,6)</f><v /></c><c r="AE524" s="11"><f>+(AC524*60+AD524)/(60*60)</f><v /></c><c r="AF524" s="14"><f>+AA524/AE524</f><v /></c><c r="AG524" s="321"><f>+(((Z524-Y524-AA524)/AA524)*100)</f><v /></c><c r="AH524" s="329"><f>AH523</f><v /></c><c r="AI524" s="329"><f>AI523</f><v /></c><c r="AJ524" s="329"><f>AJ523</f><v /></c><c r="AK524" s="53"><f>Z524</f><v /></c><c r="AL524" s="45" t="n" /><c r="AM524" s="333"><f>AM523</f><v /></c><c r="AN524" s="328"><f>AN523</f><v /></c><c r="AO524" s="11"><f>LEFT(AN524,2)</f><v /></c><c r="AP524" s="11"><f>RIGHT(AN524,6)</f><v /></c><c r="AQ524" s="11"><f>+(AO524*60+AP524)/(60*60)</f><v /></c><c r="AR524" s="14"><f>+AM524/AQ524</f><v /></c><c r="AS524" s="321"><f>+(((AL524-AK524-AM524)/AM524)*100)</f><v /></c><c r="AT524" s="43"><f>IF(I524&gt;=1,"NO CONFORME",IF(BK524="SIGDIFERENTES",BC524,BL524))</f><v /></c><c r="AU524" s="8"><f>B524=C524</f><v /></c><c r="AV524" s="8"><f>N524&lt;Y524</f><v /></c><c r="AW524" s="8"><f>Z524&lt;=AK524</f><v /></c><c r="AX524" s="8"><f>IF(I524&gt;=1,"Qcorrecto",IF(AND(AY524="aceptable",AZ524="aceptable",BA524="aceptable"),"Qcorrecto","Qincorrecto"))</f><v /></c><c r="AY524" s="22"><f>IF(AR524&lt;$AH$6,"error",IF(AR524&gt;$AH$6*1.1,"error","aceptable"))</f><v /></c><c r="AZ524" s="22"><f>IF(AF524&lt;$V$6,"error",IF(AF524&gt;$V$6*1.1,"error","aceptable"))</f><v /></c><c r="BA524" s="22"><f>IF(T524&lt;$J$6*0.9,"error",IF(T524&gt;$J$6,"error","aceptable"))</f><v /></c><c r="BB524" s="25"><f>(IF(ABS(U524)&lt;1.05,"CONFORME",IF(ABS(AG524)&lt;1.05,"CONFORME",IF(ABS(AS524)&lt;2.55,"CONFORME","NO CONFORME"))))</f><v /></c><c r="BC524" s="5"><f>(IF(ABS(U524)&gt;2.05,"NO CONFORME",IF(ABS(AG524)&gt;2.05,"NO CONFORME",IF(ABS(AS524)&gt;5.05,"NO CONFORME","CONFORME"))))</f><v /></c><c r="BD524" s="15"><f>SIGN(U524)</f><v /></c><c r="BE524" s="15"><f>SIGN(AG524)</f><v /></c><c r="BF524" s="15"><f>SIGN(AS524)</f><v /></c><c r="BG524" s="15"><f>CONCATENATE(BD524,BE524,BF524)</f><v /></c><c r="BH524" s="15"><f>IF(BG524="111","SI","SD")</f><v /></c><c r="BI524" s="15"><f>IF(BG524="-1-1-1","SI","SD")</f><v /></c><c r="BJ524" s="15"><f>OR(BH524="SI",BI524="SI")</f><v /></c><c r="BK524" s="15"><f>IF(BJ524=FALSE,"SIGDIFERENTES","SIGIGUALES")</f><v /></c><c r="BL524" s="22"><f>IF(BC524="NO CONFORME","NO CONFORME",IF(BB524="CONFORME","CONFORME","NO CONFORME"))</f><v /></c></row><row r="525" ht="15.75" customHeight="1" thickBot="1"><c r="A525" s="37" t="n"><v>517</v></c><c r="B525" s="324"><f>B524</f><v /></c><c r="C525" s="324"><f>C524</f><v /></c><c r="D525" s="94"><f>D524</f><v /></c><c r="E525" s="95"><f>E524</f><v /></c><c r="F525" s="13" t="n" /><c r="G525" s="312" t="n" /><c r="H525" s="326"><f>H524</f><v /></c><c r="I525" s="98"><f>I524</f><v /></c><c r="J525" s="327"><f>J524</f><v /></c><c r="K525" s="327"><f>K524</f><v /></c><c r="L525" s="327"><f>L524</f><v /></c><c r="M525" s="45" t="n" /><c r="N525" s="45" t="n" /><c r="O525" s="100"><f>O524</f><v /></c><c r="P525" s="328"><f>P524</f><v /></c><c r="Q525" s="11"><f>LEFT(P525,1)</f><v /></c><c r="R525" s="11"><f>RIGHT(P525,6)</f><v /></c><c r="S525" s="11"><f>+(Q525*60+R525)/(60*60)</f><v /></c><c r="T525" s="14"><f>+O525/S525</f><v /></c><c r="U525" s="316"><f>+(((N525-M525-O525)/O525)*100)</f><v /></c><c r="V525" s="329"><f>V524</f><v /></c><c r="W525" s="329"><f>W524</f><v /></c><c r="X525" s="330"><f>X524</f><v /></c><c r="Y525" s="45" t="n" /><c r="Z525" s="45" t="n" /><c r="AA525" s="331"><f>AA524</f><v /></c><c r="AB525" s="332"><f>AB524</f><v /></c><c r="AC525" s="11"><f>LEFT(AB525,2)</f><v /></c><c r="AD525" s="11"><f>RIGHT(AB525,6)</f><v /></c><c r="AE525" s="11"><f>+(AC525*60+AD525)/(60*60)</f><v /></c><c r="AF525" s="14"><f>+AA525/AE525</f><v /></c><c r="AG525" s="321"><f>+(((Z525-Y525-AA525)/AA525)*100)</f><v /></c><c r="AH525" s="329"><f>AH524</f><v /></c><c r="AI525" s="329"><f>AI524</f><v /></c><c r="AJ525" s="329"><f>AJ524</f><v /></c><c r="AK525" s="53"><f>Z525</f><v /></c><c r="AL525" s="45" t="n" /><c r="AM525" s="333"><f>AM524</f><v /></c><c r="AN525" s="328"><f>AN524</f><v /></c><c r="AO525" s="11"><f>LEFT(AN525,2)</f><v /></c><c r="AP525" s="11"><f>RIGHT(AN525,6)</f><v /></c><c r="AQ525" s="11"><f>+(AO525*60+AP525)/(60*60)</f><v /></c><c r="AR525" s="14"><f>+AM525/AQ525</f><v /></c><c r="AS525" s="321"><f>+(((AL525-AK525-AM525)/AM525)*100)</f><v /></c><c r="AT525" s="43"><f>IF(I525&gt;=1,"NO CONFORME",IF(BK525="SIGDIFERENTES",BC525,BL525))</f><v /></c><c r="AU525" s="8"><f>B525=C525</f><v /></c><c r="AV525" s="8"><f>N525&lt;Y525</f><v /></c><c r="AW525" s="8"><f>Z525&lt;=AK525</f><v /></c><c r="AX525" s="8"><f>IF(I525&gt;=1,"Qcorrecto",IF(AND(AY525="aceptable",AZ525="aceptable",BA525="aceptable"),"Qcorrecto","Qincorrecto"))</f><v /></c><c r="AY525" s="22"><f>IF(AR525&lt;$AH$6,"error",IF(AR525&gt;$AH$6*1.1,"error","aceptable"))</f><v /></c><c r="AZ525" s="22"><f>IF(AF525&lt;$V$6,"error",IF(AF525&gt;$V$6*1.1,"error","aceptable"))</f><v /></c><c r="BA525" s="22"><f>IF(T525&lt;$J$6*0.9,"error",IF(T525&gt;$J$6,"error","aceptable"))</f><v /></c><c r="BB525" s="25"><f>(IF(ABS(U525)&lt;1.05,"CONFORME",IF(ABS(AG525)&lt;1.05,"CONFORME",IF(ABS(AS525)&lt;2.55,"CONFORME","NO CONFORME"))))</f><v /></c><c r="BC525" s="5"><f>(IF(ABS(U525)&gt;2.05,"NO CONFORME",IF(ABS(AG525)&gt;2.05,"NO CONFORME",IF(ABS(AS525)&gt;5.05,"NO CONFORME","CONFORME"))))</f><v /></c><c r="BD525" s="15"><f>SIGN(U525)</f><v /></c><c r="BE525" s="15"><f>SIGN(AG525)</f><v /></c><c r="BF525" s="15"><f>SIGN(AS525)</f><v /></c><c r="BG525" s="15"><f>CONCATENATE(BD525,BE525,BF525)</f><v /></c><c r="BH525" s="15"><f>IF(BG525="111","SI","SD")</f><v /></c><c r="BI525" s="15"><f>IF(BG525="-1-1-1","SI","SD")</f><v /></c><c r="BJ525" s="15"><f>OR(BH525="SI",BI525="SI")</f><v /></c><c r="BK525" s="15"><f>IF(BJ525=FALSE,"SIGDIFERENTES","SIGIGUALES")</f><v /></c><c r="BL525" s="22"><f>IF(BC525="NO CONFORME","NO CONFORME",IF(BB525="CONFORME","CONFORME","NO CONFORME"))</f><v /></c></row><row r="526" ht="15.75" customHeight="1" thickBot="1"><c r="A526" s="37" t="n"><v>518</v></c><c r="B526" s="324"><f>B525</f><v /></c><c r="C526" s="324"><f>C525</f><v /></c><c r="D526" s="94"><f>D525</f><v /></c><c r="E526" s="95"><f>E525</f><v /></c><c r="F526" s="13" t="n" /><c r="G526" s="312" t="n" /><c r="H526" s="326"><f>H525</f><v /></c><c r="I526" s="98"><f>I525</f><v /></c><c r="J526" s="327"><f>J525</f><v /></c><c r="K526" s="327"><f>K525</f><v /></c><c r="L526" s="327"><f>L525</f><v /></c><c r="M526" s="45" t="n" /><c r="N526" s="45" t="n" /><c r="O526" s="100"><f>O525</f><v /></c><c r="P526" s="328"><f>P525</f><v /></c><c r="Q526" s="11"><f>LEFT(P526,1)</f><v /></c><c r="R526" s="11"><f>RIGHT(P526,6)</f><v /></c><c r="S526" s="11"><f>+(Q526*60+R526)/(60*60)</f><v /></c><c r="T526" s="14"><f>+O526/S526</f><v /></c><c r="U526" s="316"><f>+(((N526-M526-O526)/O526)*100)</f><v /></c><c r="V526" s="329"><f>V525</f><v /></c><c r="W526" s="329"><f>W525</f><v /></c><c r="X526" s="330"><f>X525</f><v /></c><c r="Y526" s="45" t="n" /><c r="Z526" s="45" t="n" /><c r="AA526" s="331"><f>AA525</f><v /></c><c r="AB526" s="332"><f>AB525</f><v /></c><c r="AC526" s="11"><f>LEFT(AB526,2)</f><v /></c><c r="AD526" s="11"><f>RIGHT(AB526,6)</f><v /></c><c r="AE526" s="11"><f>+(AC526*60+AD526)/(60*60)</f><v /></c><c r="AF526" s="14"><f>+AA526/AE526</f><v /></c><c r="AG526" s="321"><f>+(((Z526-Y526-AA526)/AA526)*100)</f><v /></c><c r="AH526" s="329"><f>AH525</f><v /></c><c r="AI526" s="329"><f>AI525</f><v /></c><c r="AJ526" s="329"><f>AJ525</f><v /></c><c r="AK526" s="53"><f>Z526</f><v /></c><c r="AL526" s="45" t="n" /><c r="AM526" s="333"><f>AM525</f><v /></c><c r="AN526" s="328"><f>AN525</f><v /></c><c r="AO526" s="11"><f>LEFT(AN526,2)</f><v /></c><c r="AP526" s="11"><f>RIGHT(AN526,6)</f><v /></c><c r="AQ526" s="11"><f>+(AO526*60+AP526)/(60*60)</f><v /></c><c r="AR526" s="14"><f>+AM526/AQ526</f><v /></c><c r="AS526" s="321"><f>+(((AL526-AK526-AM526)/AM526)*100)</f><v /></c><c r="AT526" s="43"><f>IF(I526&gt;=1,"NO CONFORME",IF(BK526="SIGDIFERENTES",BC526,BL526))</f><v /></c><c r="AU526" s="8"><f>B526=C526</f><v /></c><c r="AV526" s="8"><f>N526&lt;Y526</f><v /></c><c r="AW526" s="8"><f>Z526&lt;=AK526</f><v /></c><c r="AX526" s="8"><f>IF(I526&gt;=1,"Qcorrecto",IF(AND(AY526="aceptable",AZ526="aceptable",BA526="aceptable"),"Qcorrecto","Qincorrecto"))</f><v /></c><c r="AY526" s="22"><f>IF(AR526&lt;$AH$6,"error",IF(AR526&gt;$AH$6*1.1,"error","aceptable"))</f><v /></c><c r="AZ526" s="22"><f>IF(AF526&lt;$V$6,"error",IF(AF526&gt;$V$6*1.1,"error","aceptable"))</f><v /></c><c r="BA526" s="22"><f>IF(T526&lt;$J$6*0.9,"error",IF(T526&gt;$J$6,"error","aceptable"))</f><v /></c><c r="BB526" s="25"><f>(IF(ABS(U526)&lt;1.05,"CONFORME",IF(ABS(AG526)&lt;1.05,"CONFORME",IF(ABS(AS526)&lt;2.55,"CONFORME","NO CONFORME"))))</f><v /></c><c r="BC526" s="5"><f>(IF(ABS(U526)&gt;2.05,"NO CONFORME",IF(ABS(AG526)&gt;2.05,"NO CONFORME",IF(ABS(AS526)&gt;5.05,"NO CONFORME","CONFORME"))))</f><v /></c><c r="BD526" s="15"><f>SIGN(U526)</f><v /></c><c r="BE526" s="15"><f>SIGN(AG526)</f><v /></c><c r="BF526" s="15"><f>SIGN(AS526)</f><v /></c><c r="BG526" s="15"><f>CONCATENATE(BD526,BE526,BF526)</f><v /></c><c r="BH526" s="15"><f>IF(BG526="111","SI","SD")</f><v /></c><c r="BI526" s="15"><f>IF(BG526="-1-1-1","SI","SD")</f><v /></c><c r="BJ526" s="15"><f>OR(BH526="SI",BI526="SI")</f><v /></c><c r="BK526" s="15"><f>IF(BJ526=FALSE,"SIGDIFERENTES","SIGIGUALES")</f><v /></c><c r="BL526" s="22"><f>IF(BC526="NO CONFORME","NO CONFORME",IF(BB526="CONFORME","CONFORME","NO CONFORME"))</f><v /></c></row><row r="527" ht="15.75" customHeight="1" thickBot="1"><c r="A527" s="37" t="n"><v>519</v></c><c r="B527" s="324"><f>B526</f><v /></c><c r="C527" s="324"><f>C526</f><v /></c><c r="D527" s="94"><f>D526</f><v /></c><c r="E527" s="95"><f>E526</f><v /></c><c r="F527" s="13" t="n" /><c r="G527" s="312" t="n" /><c r="H527" s="326"><f>H526</f><v /></c><c r="I527" s="98"><f>I526</f><v /></c><c r="J527" s="327"><f>J526</f><v /></c><c r="K527" s="327"><f>K526</f><v /></c><c r="L527" s="327"><f>L526</f><v /></c><c r="M527" s="45" t="n" /><c r="N527" s="45" t="n" /><c r="O527" s="100"><f>O526</f><v /></c><c r="P527" s="328"><f>P526</f><v /></c><c r="Q527" s="11"><f>LEFT(P527,1)</f><v /></c><c r="R527" s="11"><f>RIGHT(P527,6)</f><v /></c><c r="S527" s="11"><f>+(Q527*60+R527)/(60*60)</f><v /></c><c r="T527" s="14"><f>+O527/S527</f><v /></c><c r="U527" s="316"><f>+(((N527-M527-O527)/O527)*100)</f><v /></c><c r="V527" s="329"><f>V526</f><v /></c><c r="W527" s="329"><f>W526</f><v /></c><c r="X527" s="330"><f>X526</f><v /></c><c r="Y527" s="45" t="n" /><c r="Z527" s="45" t="n" /><c r="AA527" s="331"><f>AA526</f><v /></c><c r="AB527" s="332"><f>AB526</f><v /></c><c r="AC527" s="11"><f>LEFT(AB527,2)</f><v /></c><c r="AD527" s="11"><f>RIGHT(AB527,6)</f><v /></c><c r="AE527" s="11"><f>+(AC527*60+AD527)/(60*60)</f><v /></c><c r="AF527" s="14"><f>+AA527/AE527</f><v /></c><c r="AG527" s="321"><f>+(((Z527-Y527-AA527)/AA527)*100)</f><v /></c><c r="AH527" s="329"><f>AH526</f><v /></c><c r="AI527" s="329"><f>AI526</f><v /></c><c r="AJ527" s="329"><f>AJ526</f><v /></c><c r="AK527" s="53"><f>Z527</f><v /></c><c r="AL527" s="45" t="n" /><c r="AM527" s="333"><f>AM526</f><v /></c><c r="AN527" s="328"><f>AN526</f><v /></c><c r="AO527" s="11"><f>LEFT(AN527,2)</f><v /></c><c r="AP527" s="11"><f>RIGHT(AN527,6)</f><v /></c><c r="AQ527" s="11"><f>+(AO527*60+AP527)/(60*60)</f><v /></c><c r="AR527" s="14"><f>+AM527/AQ527</f><v /></c><c r="AS527" s="321"><f>+(((AL527-AK527-AM527)/AM527)*100)</f><v /></c><c r="AT527" s="43"><f>IF(I527&gt;=1,"NO CONFORME",IF(BK527="SIGDIFERENTES",BC527,BL527))</f><v /></c><c r="AU527" s="8"><f>B527=C527</f><v /></c><c r="AV527" s="8"><f>N527&lt;Y527</f><v /></c><c r="AW527" s="8"><f>Z527&lt;=AK527</f><v /></c><c r="AX527" s="8"><f>IF(I527&gt;=1,"Qcorrecto",IF(AND(AY527="aceptable",AZ527="aceptable",BA527="aceptable"),"Qcorrecto","Qincorrecto"))</f><v /></c><c r="AY527" s="22"><f>IF(AR527&lt;$AH$6,"error",IF(AR527&gt;$AH$6*1.1,"error","aceptable"))</f><v /></c><c r="AZ527" s="22"><f>IF(AF527&lt;$V$6,"error",IF(AF527&gt;$V$6*1.1,"error","aceptable"))</f><v /></c><c r="BA527" s="22"><f>IF(T527&lt;$J$6*0.9,"error",IF(T527&gt;$J$6,"error","aceptable"))</f><v /></c><c r="BB527" s="25"><f>(IF(ABS(U527)&lt;1.05,"CONFORME",IF(ABS(AG527)&lt;1.05,"CONFORME",IF(ABS(AS527)&lt;2.55,"CONFORME","NO CONFORME"))))</f><v /></c><c r="BC527" s="5"><f>(IF(ABS(U527)&gt;2.05,"NO CONFORME",IF(ABS(AG527)&gt;2.05,"NO CONFORME",IF(ABS(AS527)&gt;5.05,"NO CONFORME","CONFORME"))))</f><v /></c><c r="BD527" s="15"><f>SIGN(U527)</f><v /></c><c r="BE527" s="15"><f>SIGN(AG527)</f><v /></c><c r="BF527" s="15"><f>SIGN(AS527)</f><v /></c><c r="BG527" s="15"><f>CONCATENATE(BD527,BE527,BF527)</f><v /></c><c r="BH527" s="15"><f>IF(BG527="111","SI","SD")</f><v /></c><c r="BI527" s="15"><f>IF(BG527="-1-1-1","SI","SD")</f><v /></c><c r="BJ527" s="15"><f>OR(BH527="SI",BI527="SI")</f><v /></c><c r="BK527" s="15"><f>IF(BJ527=FALSE,"SIGDIFERENTES","SIGIGUALES")</f><v /></c><c r="BL527" s="22"><f>IF(BC527="NO CONFORME","NO CONFORME",IF(BB527="CONFORME","CONFORME","NO CONFORME"))</f><v /></c></row><row r="528" ht="15.75" customHeight="1" thickBot="1"><c r="A528" s="37" t="n"><v>520</v></c><c r="B528" s="324"><f>B527</f><v /></c><c r="C528" s="324"><f>C527</f><v /></c><c r="D528" s="94"><f>D527</f><v /></c><c r="E528" s="95"><f>E527</f><v /></c><c r="F528" s="13" t="n" /><c r="G528" s="312" t="n" /><c r="H528" s="326"><f>H527</f><v /></c><c r="I528" s="98"><f>I527</f><v /></c><c r="J528" s="327"><f>J527</f><v /></c><c r="K528" s="327"><f>K527</f><v /></c><c r="L528" s="327"><f>L527</f><v /></c><c r="M528" s="45" t="n" /><c r="N528" s="45" t="n" /><c r="O528" s="100"><f>O527</f><v /></c><c r="P528" s="328"><f>P527</f><v /></c><c r="Q528" s="11"><f>LEFT(P528,1)</f><v /></c><c r="R528" s="11"><f>RIGHT(P528,6)</f><v /></c><c r="S528" s="11"><f>+(Q528*60+R528)/(60*60)</f><v /></c><c r="T528" s="14"><f>+O528/S528</f><v /></c><c r="U528" s="316"><f>+(((N528-M528-O528)/O528)*100)</f><v /></c><c r="V528" s="329"><f>V527</f><v /></c><c r="W528" s="329"><f>W527</f><v /></c><c r="X528" s="330"><f>X527</f><v /></c><c r="Y528" s="45" t="n" /><c r="Z528" s="45" t="n" /><c r="AA528" s="331"><f>AA527</f><v /></c><c r="AB528" s="332"><f>AB527</f><v /></c><c r="AC528" s="11"><f>LEFT(AB528,2)</f><v /></c><c r="AD528" s="11"><f>RIGHT(AB528,6)</f><v /></c><c r="AE528" s="11"><f>+(AC528*60+AD528)/(60*60)</f><v /></c><c r="AF528" s="14"><f>+AA528/AE528</f><v /></c><c r="AG528" s="321"><f>+(((Z528-Y528-AA528)/AA528)*100)</f><v /></c><c r="AH528" s="329"><f>AH527</f><v /></c><c r="AI528" s="329"><f>AI527</f><v /></c><c r="AJ528" s="329"><f>AJ527</f><v /></c><c r="AK528" s="53"><f>Z528</f><v /></c><c r="AL528" s="45" t="n" /><c r="AM528" s="333"><f>AM527</f><v /></c><c r="AN528" s="328"><f>AN527</f><v /></c><c r="AO528" s="11"><f>LEFT(AN528,2)</f><v /></c><c r="AP528" s="11"><f>RIGHT(AN528,6)</f><v /></c><c r="AQ528" s="11"><f>+(AO528*60+AP528)/(60*60)</f><v /></c><c r="AR528" s="14"><f>+AM528/AQ528</f><v /></c><c r="AS528" s="321"><f>+(((AL528-AK528-AM528)/AM528)*100)</f><v /></c><c r="AT528" s="43"><f>IF(I528&gt;=1,"NO CONFORME",IF(BK528="SIGDIFERENTES",BC528,BL528))</f><v /></c><c r="AU528" s="8"><f>B528=C528</f><v /></c><c r="AV528" s="8"><f>N528&lt;Y528</f><v /></c><c r="AW528" s="8"><f>Z528&lt;=AK528</f><v /></c><c r="AX528" s="8"><f>IF(I528&gt;=1,"Qcorrecto",IF(AND(AY528="aceptable",AZ528="aceptable",BA528="aceptable"),"Qcorrecto","Qincorrecto"))</f><v /></c><c r="AY528" s="22"><f>IF(AR528&lt;$AH$6,"error",IF(AR528&gt;$AH$6*1.1,"error","aceptable"))</f><v /></c><c r="AZ528" s="22"><f>IF(AF528&lt;$V$6,"error",IF(AF528&gt;$V$6*1.1,"error","aceptable"))</f><v /></c><c r="BA528" s="22"><f>IF(T528&lt;$J$6*0.9,"error",IF(T528&gt;$J$6,"error","aceptable"))</f><v /></c><c r="BB528" s="25"><f>(IF(ABS(U528)&lt;1.05,"CONFORME",IF(ABS(AG528)&lt;1.05,"CONFORME",IF(ABS(AS528)&lt;2.55,"CONFORME","NO CONFORME"))))</f><v /></c><c r="BC528" s="5"><f>(IF(ABS(U528)&gt;2.05,"NO CONFORME",IF(ABS(AG528)&gt;2.05,"NO CONFORME",IF(ABS(AS528)&gt;5.05,"NO CONFORME","CONFORME"))))</f><v /></c><c r="BD528" s="15"><f>SIGN(U528)</f><v /></c><c r="BE528" s="15"><f>SIGN(AG528)</f><v /></c><c r="BF528" s="15"><f>SIGN(AS528)</f><v /></c><c r="BG528" s="15"><f>CONCATENATE(BD528,BE528,BF528)</f><v /></c><c r="BH528" s="15"><f>IF(BG528="111","SI","SD")</f><v /></c><c r="BI528" s="15"><f>IF(BG528="-1-1-1","SI","SD")</f><v /></c><c r="BJ528" s="15"><f>OR(BH528="SI",BI528="SI")</f><v /></c><c r="BK528" s="15"><f>IF(BJ528=FALSE,"SIGDIFERENTES","SIGIGUALES")</f><v /></c><c r="BL528" s="22"><f>IF(BC528="NO CONFORME","NO CONFORME",IF(BB528="CONFORME","CONFORME","NO CONFORME"))</f><v /></c></row><row r="529" ht="15.75" customHeight="1" thickBot="1"><c r="A529" s="37" t="n"><v>521</v></c><c r="B529" s="324"><f>B528</f><v /></c><c r="C529" s="324"><f>C528</f><v /></c><c r="D529" s="94"><f>D528</f><v /></c><c r="E529" s="95"><f>E528</f><v /></c><c r="F529" s="13" t="n" /><c r="G529" s="312" t="n" /><c r="H529" s="326"><f>H528</f><v /></c><c r="I529" s="98"><f>I528</f><v /></c><c r="J529" s="327"><f>J528</f><v /></c><c r="K529" s="327"><f>K528</f><v /></c><c r="L529" s="327"><f>L528</f><v /></c><c r="M529" s="45" t="n" /><c r="N529" s="45" t="n" /><c r="O529" s="100"><f>O528</f><v /></c><c r="P529" s="328"><f>P528</f><v /></c><c r="Q529" s="11"><f>LEFT(P529,1)</f><v /></c><c r="R529" s="11"><f>RIGHT(P529,6)</f><v /></c><c r="S529" s="11"><f>+(Q529*60+R529)/(60*60)</f><v /></c><c r="T529" s="14"><f>+O529/S529</f><v /></c><c r="U529" s="316"><f>+(((N529-M529-O529)/O529)*100)</f><v /></c><c r="V529" s="329"><f>V528</f><v /></c><c r="W529" s="329"><f>W528</f><v /></c><c r="X529" s="330"><f>X528</f><v /></c><c r="Y529" s="45" t="n" /><c r="Z529" s="45" t="n" /><c r="AA529" s="331"><f>AA528</f><v /></c><c r="AB529" s="332"><f>AB528</f><v /></c><c r="AC529" s="11"><f>LEFT(AB529,2)</f><v /></c><c r="AD529" s="11"><f>RIGHT(AB529,6)</f><v /></c><c r="AE529" s="11"><f>+(AC529*60+AD529)/(60*60)</f><v /></c><c r="AF529" s="14"><f>+AA529/AE529</f><v /></c><c r="AG529" s="321"><f>+(((Z529-Y529-AA529)/AA529)*100)</f><v /></c><c r="AH529" s="329"><f>AH528</f><v /></c><c r="AI529" s="329"><f>AI528</f><v /></c><c r="AJ529" s="329"><f>AJ528</f><v /></c><c r="AK529" s="53"><f>Z529</f><v /></c><c r="AL529" s="45" t="n" /><c r="AM529" s="333"><f>AM528</f><v /></c><c r="AN529" s="328"><f>AN528</f><v /></c><c r="AO529" s="11"><f>LEFT(AN529,2)</f><v /></c><c r="AP529" s="11"><f>RIGHT(AN529,6)</f><v /></c><c r="AQ529" s="11"><f>+(AO529*60+AP529)/(60*60)</f><v /></c><c r="AR529" s="14"><f>+AM529/AQ529</f><v /></c><c r="AS529" s="321"><f>+(((AL529-AK529-AM529)/AM529)*100)</f><v /></c><c r="AT529" s="43"><f>IF(I529&gt;=1,"NO CONFORME",IF(BK529="SIGDIFERENTES",BC529,BL529))</f><v /></c><c r="AU529" s="8"><f>B529=C529</f><v /></c><c r="AV529" s="8"><f>N529&lt;Y529</f><v /></c><c r="AW529" s="8"><f>Z529&lt;=AK529</f><v /></c><c r="AX529" s="8"><f>IF(I529&gt;=1,"Qcorrecto",IF(AND(AY529="aceptable",AZ529="aceptable",BA529="aceptable"),"Qcorrecto","Qincorrecto"))</f><v /></c><c r="AY529" s="22"><f>IF(AR529&lt;$AH$6,"error",IF(AR529&gt;$AH$6*1.1,"error","aceptable"))</f><v /></c><c r="AZ529" s="22"><f>IF(AF529&lt;$V$6,"error",IF(AF529&gt;$V$6*1.1,"error","aceptable"))</f><v /></c><c r="BA529" s="22"><f>IF(T529&lt;$J$6*0.9,"error",IF(T529&gt;$J$6,"error","aceptable"))</f><v /></c><c r="BB529" s="25"><f>(IF(ABS(U529)&lt;1.05,"CONFORME",IF(ABS(AG529)&lt;1.05,"CONFORME",IF(ABS(AS529)&lt;2.55,"CONFORME","NO CONFORME"))))</f><v /></c><c r="BC529" s="5"><f>(IF(ABS(U529)&gt;2.05,"NO CONFORME",IF(ABS(AG529)&gt;2.05,"NO CONFORME",IF(ABS(AS529)&gt;5.05,"NO CONFORME","CONFORME"))))</f><v /></c><c r="BD529" s="15"><f>SIGN(U529)</f><v /></c><c r="BE529" s="15"><f>SIGN(AG529)</f><v /></c><c r="BF529" s="15"><f>SIGN(AS529)</f><v /></c><c r="BG529" s="15"><f>CONCATENATE(BD529,BE529,BF529)</f><v /></c><c r="BH529" s="15"><f>IF(BG529="111","SI","SD")</f><v /></c><c r="BI529" s="15"><f>IF(BG529="-1-1-1","SI","SD")</f><v /></c><c r="BJ529" s="15"><f>OR(BH529="SI",BI529="SI")</f><v /></c><c r="BK529" s="15"><f>IF(BJ529=FALSE,"SIGDIFERENTES","SIGIGUALES")</f><v /></c><c r="BL529" s="22"><f>IF(BC529="NO CONFORME","NO CONFORME",IF(BB529="CONFORME","CONFORME","NO CONFORME"))</f><v /></c></row><row r="530" ht="15.75" customHeight="1" thickBot="1"><c r="A530" s="37" t="n"><v>522</v></c><c r="B530" s="324"><f>B529</f><v /></c><c r="C530" s="324"><f>C529</f><v /></c><c r="D530" s="94"><f>D529</f><v /></c><c r="E530" s="95"><f>E529</f><v /></c><c r="F530" s="13" t="n" /><c r="G530" s="312" t="n" /><c r="H530" s="326"><f>H529</f><v /></c><c r="I530" s="98"><f>I529</f><v /></c><c r="J530" s="327"><f>J529</f><v /></c><c r="K530" s="327"><f>K529</f><v /></c><c r="L530" s="327"><f>L529</f><v /></c><c r="M530" s="45" t="n" /><c r="N530" s="45" t="n" /><c r="O530" s="100"><f>O529</f><v /></c><c r="P530" s="328"><f>P529</f><v /></c><c r="Q530" s="11"><f>LEFT(P530,1)</f><v /></c><c r="R530" s="11"><f>RIGHT(P530,6)</f><v /></c><c r="S530" s="11"><f>+(Q530*60+R530)/(60*60)</f><v /></c><c r="T530" s="14"><f>+O530/S530</f><v /></c><c r="U530" s="316"><f>+(((N530-M530-O530)/O530)*100)</f><v /></c><c r="V530" s="329"><f>V529</f><v /></c><c r="W530" s="329"><f>W529</f><v /></c><c r="X530" s="330"><f>X529</f><v /></c><c r="Y530" s="45" t="n" /><c r="Z530" s="45" t="n" /><c r="AA530" s="331"><f>AA529</f><v /></c><c r="AB530" s="332"><f>AB529</f><v /></c><c r="AC530" s="11"><f>LEFT(AB530,2)</f><v /></c><c r="AD530" s="11"><f>RIGHT(AB530,6)</f><v /></c><c r="AE530" s="11"><f>+(AC530*60+AD530)/(60*60)</f><v /></c><c r="AF530" s="14"><f>+AA530/AE530</f><v /></c><c r="AG530" s="321"><f>+(((Z530-Y530-AA530)/AA530)*100)</f><v /></c><c r="AH530" s="329"><f>AH529</f><v /></c><c r="AI530" s="329"><f>AI529</f><v /></c><c r="AJ530" s="329"><f>AJ529</f><v /></c><c r="AK530" s="53"><f>Z530</f><v /></c><c r="AL530" s="45" t="n" /><c r="AM530" s="333"><f>AM529</f><v /></c><c r="AN530" s="328"><f>AN529</f><v /></c><c r="AO530" s="11"><f>LEFT(AN530,2)</f><v /></c><c r="AP530" s="11"><f>RIGHT(AN530,6)</f><v /></c><c r="AQ530" s="11"><f>+(AO530*60+AP530)/(60*60)</f><v /></c><c r="AR530" s="14"><f>+AM530/AQ530</f><v /></c><c r="AS530" s="321"><f>+(((AL530-AK530-AM530)/AM530)*100)</f><v /></c><c r="AT530" s="43"><f>IF(I530&gt;=1,"NO CONFORME",IF(BK530="SIGDIFERENTES",BC530,BL530))</f><v /></c><c r="AU530" s="8"><f>B530=C530</f><v /></c><c r="AV530" s="8"><f>N530&lt;Y530</f><v /></c><c r="AW530" s="8"><f>Z530&lt;=AK530</f><v /></c><c r="AX530" s="8"><f>IF(I530&gt;=1,"Qcorrecto",IF(AND(AY530="aceptable",AZ530="aceptable",BA530="aceptable"),"Qcorrecto","Qincorrecto"))</f><v /></c><c r="AY530" s="22"><f>IF(AR530&lt;$AH$6,"error",IF(AR530&gt;$AH$6*1.1,"error","aceptable"))</f><v /></c><c r="AZ530" s="22"><f>IF(AF530&lt;$V$6,"error",IF(AF530&gt;$V$6*1.1,"error","aceptable"))</f><v /></c><c r="BA530" s="22"><f>IF(T530&lt;$J$6*0.9,"error",IF(T530&gt;$J$6,"error","aceptable"))</f><v /></c><c r="BB530" s="25"><f>(IF(ABS(U530)&lt;1.05,"CONFORME",IF(ABS(AG530)&lt;1.05,"CONFORME",IF(ABS(AS530)&lt;2.55,"CONFORME","NO CONFORME"))))</f><v /></c><c r="BC530" s="5"><f>(IF(ABS(U530)&gt;2.05,"NO CONFORME",IF(ABS(AG530)&gt;2.05,"NO CONFORME",IF(ABS(AS530)&gt;5.05,"NO CONFORME","CONFORME"))))</f><v /></c><c r="BD530" s="15"><f>SIGN(U530)</f><v /></c><c r="BE530" s="15"><f>SIGN(AG530)</f><v /></c><c r="BF530" s="15"><f>SIGN(AS530)</f><v /></c><c r="BG530" s="15"><f>CONCATENATE(BD530,BE530,BF530)</f><v /></c><c r="BH530" s="15"><f>IF(BG530="111","SI","SD")</f><v /></c><c r="BI530" s="15"><f>IF(BG530="-1-1-1","SI","SD")</f><v /></c><c r="BJ530" s="15"><f>OR(BH530="SI",BI530="SI")</f><v /></c><c r="BK530" s="15"><f>IF(BJ530=FALSE,"SIGDIFERENTES","SIGIGUALES")</f><v /></c><c r="BL530" s="22"><f>IF(BC530="NO CONFORME","NO CONFORME",IF(BB530="CONFORME","CONFORME","NO CONFORME"))</f><v /></c></row><row r="531" ht="15.75" customHeight="1" thickBot="1"><c r="A531" s="37" t="n"><v>523</v></c><c r="B531" s="324"><f>B530</f><v /></c><c r="C531" s="324"><f>C530</f><v /></c><c r="D531" s="94"><f>D530</f><v /></c><c r="E531" s="95"><f>E530</f><v /></c><c r="F531" s="13" t="n" /><c r="G531" s="334" t="n" /><c r="H531" s="326"><f>H530</f><v /></c><c r="I531" s="98"><f>I530</f><v /></c><c r="J531" s="327"><f>J530</f><v /></c><c r="K531" s="327"><f>K530</f><v /></c><c r="L531" s="327"><f>L530</f><v /></c><c r="M531" s="45" t="n" /><c r="N531" s="45" t="n" /><c r="O531" s="100"><f>O530</f><v /></c><c r="P531" s="328"><f>P530</f><v /></c><c r="Q531" s="11"><f>LEFT(P531,1)</f><v /></c><c r="R531" s="11"><f>RIGHT(P531,6)</f><v /></c><c r="S531" s="11"><f>+(Q531*60+R531)/(60*60)</f><v /></c><c r="T531" s="14"><f>+O531/S531</f><v /></c><c r="U531" s="316"><f>+(((N531-M531-O531)/O531)*100)</f><v /></c><c r="V531" s="329"><f>V530</f><v /></c><c r="W531" s="329"><f>W530</f><v /></c><c r="X531" s="330"><f>X530</f><v /></c><c r="Y531" s="45" t="n" /><c r="Z531" s="45" t="n" /><c r="AA531" s="331"><f>AA530</f><v /></c><c r="AB531" s="332"><f>AB530</f><v /></c><c r="AC531" s="11"><f>LEFT(AB531,2)</f><v /></c><c r="AD531" s="11"><f>RIGHT(AB531,6)</f><v /></c><c r="AE531" s="11"><f>+(AC531*60+AD531)/(60*60)</f><v /></c><c r="AF531" s="14"><f>+AA531/AE531</f><v /></c><c r="AG531" s="321"><f>+(((Z531-Y531-AA531)/AA531)*100)</f><v /></c><c r="AH531" s="329"><f>AH530</f><v /></c><c r="AI531" s="329"><f>AI530</f><v /></c><c r="AJ531" s="329"><f>AJ530</f><v /></c><c r="AK531" s="53"><f>Z531</f><v /></c><c r="AL531" s="45" t="n" /><c r="AM531" s="333"><f>AM530</f><v /></c><c r="AN531" s="328"><f>AN530</f><v /></c><c r="AO531" s="11"><f>LEFT(AN531,2)</f><v /></c><c r="AP531" s="11"><f>RIGHT(AN531,6)</f><v /></c><c r="AQ531" s="11"><f>+(AO531*60+AP531)/(60*60)</f><v /></c><c r="AR531" s="14"><f>+AM531/AQ531</f><v /></c><c r="AS531" s="321"><f>+(((AL531-AK531-AM531)/AM531)*100)</f><v /></c><c r="AT531" s="43"><f>IF(I531&gt;=1,"NO CONFORME",IF(BK531="SIGDIFERENTES",BC531,BL531))</f><v /></c><c r="AU531" s="8"><f>B531=C531</f><v /></c><c r="AV531" s="8"><f>N531&lt;Y531</f><v /></c><c r="AW531" s="8"><f>Z531&lt;=AK531</f><v /></c><c r="AX531" s="8"><f>IF(I531&gt;=1,"Qcorrecto",IF(AND(AY531="aceptable",AZ531="aceptable",BA531="aceptable"),"Qcorrecto","Qincorrecto"))</f><v /></c><c r="AY531" s="22"><f>IF(AR531&lt;$AH$6,"error",IF(AR531&gt;$AH$6*1.1,"error","aceptable"))</f><v /></c><c r="AZ531" s="22"><f>IF(AF531&lt;$V$6,"error",IF(AF531&gt;$V$6*1.1,"error","aceptable"))</f><v /></c><c r="BA531" s="22"><f>IF(T531&lt;$J$6*0.9,"error",IF(T531&gt;$J$6,"error","aceptable"))</f><v /></c><c r="BB531" s="25"><f>(IF(ABS(U531)&lt;1.05,"CONFORME",IF(ABS(AG531)&lt;1.05,"CONFORME",IF(ABS(AS531)&lt;2.55,"CONFORME","NO CONFORME"))))</f><v /></c><c r="BC531" s="5"><f>(IF(ABS(U531)&gt;2.05,"NO CONFORME",IF(ABS(AG531)&gt;2.05,"NO CONFORME",IF(ABS(AS531)&gt;5.05,"NO CONFORME","CONFORME"))))</f><v /></c><c r="BD531" s="15"><f>SIGN(U531)</f><v /></c><c r="BE531" s="15"><f>SIGN(AG531)</f><v /></c><c r="BF531" s="15"><f>SIGN(AS531)</f><v /></c><c r="BG531" s="15"><f>CONCATENATE(BD531,BE531,BF531)</f><v /></c><c r="BH531" s="15"><f>IF(BG531="111","SI","SD")</f><v /></c><c r="BI531" s="15"><f>IF(BG531="-1-1-1","SI","SD")</f><v /></c><c r="BJ531" s="15"><f>OR(BH531="SI",BI531="SI")</f><v /></c><c r="BK531" s="15"><f>IF(BJ531=FALSE,"SIGDIFERENTES","SIGIGUALES")</f><v /></c><c r="BL531" s="22"><f>IF(BC531="NO CONFORME","NO CONFORME",IF(BB531="CONFORME","CONFORME","NO CONFORME"))</f><v /></c></row><row r="532" ht="15.75" customHeight="1" thickBot="1"><c r="A532" s="37" t="n"><v>524</v></c><c r="B532" s="324"><f>B531</f><v /></c><c r="C532" s="324"><f>C531</f><v /></c><c r="D532" s="94"><f>D531</f><v /></c><c r="E532" s="95"><f>E531</f><v /></c><c r="F532" s="13" t="n" /><c r="G532" s="312" t="n" /><c r="H532" s="326"><f>H531</f><v /></c><c r="I532" s="98"><f>I531</f><v /></c><c r="J532" s="327"><f>J531</f><v /></c><c r="K532" s="327"><f>K531</f><v /></c><c r="L532" s="327"><f>L531</f><v /></c><c r="M532" s="45" t="n" /><c r="N532" s="45" t="n" /><c r="O532" s="100"><f>O531</f><v /></c><c r="P532" s="328"><f>P531</f><v /></c><c r="Q532" s="11"><f>LEFT(P532,1)</f><v /></c><c r="R532" s="11"><f>RIGHT(P532,6)</f><v /></c><c r="S532" s="11"><f>+(Q532*60+R532)/(60*60)</f><v /></c><c r="T532" s="14"><f>+O532/S532</f><v /></c><c r="U532" s="316"><f>+(((N532-M532-O532)/O532)*100)</f><v /></c><c r="V532" s="329"><f>V531</f><v /></c><c r="W532" s="329"><f>W531</f><v /></c><c r="X532" s="330"><f>X531</f><v /></c><c r="Y532" s="45" t="n" /><c r="Z532" s="45" t="n" /><c r="AA532" s="331"><f>AA531</f><v /></c><c r="AB532" s="332"><f>AB531</f><v /></c><c r="AC532" s="11"><f>LEFT(AB532,2)</f><v /></c><c r="AD532" s="11"><f>RIGHT(AB532,6)</f><v /></c><c r="AE532" s="11"><f>+(AC532*60+AD532)/(60*60)</f><v /></c><c r="AF532" s="14"><f>+AA532/AE532</f><v /></c><c r="AG532" s="321"><f>+(((Z532-Y532-AA532)/AA532)*100)</f><v /></c><c r="AH532" s="329"><f>AH531</f><v /></c><c r="AI532" s="329"><f>AI531</f><v /></c><c r="AJ532" s="329"><f>AJ531</f><v /></c><c r="AK532" s="53"><f>Z532</f><v /></c><c r="AL532" s="45" t="n" /><c r="AM532" s="333"><f>AM531</f><v /></c><c r="AN532" s="328"><f>AN531</f><v /></c><c r="AO532" s="11"><f>LEFT(AN532,2)</f><v /></c><c r="AP532" s="11"><f>RIGHT(AN532,6)</f><v /></c><c r="AQ532" s="11"><f>+(AO532*60+AP532)/(60*60)</f><v /></c><c r="AR532" s="14"><f>+AM532/AQ532</f><v /></c><c r="AS532" s="321"><f>+(((AL532-AK532-AM532)/AM532)*100)</f><v /></c><c r="AT532" s="43"><f>IF(I532&gt;=1,"NO CONFORME",IF(BK532="SIGDIFERENTES",BC532,BL532))</f><v /></c><c r="AU532" s="8"><f>B532=C532</f><v /></c><c r="AV532" s="8"><f>N532&lt;Y532</f><v /></c><c r="AW532" s="8"><f>Z532&lt;=AK532</f><v /></c><c r="AX532" s="8"><f>IF(I532&gt;=1,"Qcorrecto",IF(AND(AY532="aceptable",AZ532="aceptable",BA532="aceptable"),"Qcorrecto","Qincorrecto"))</f><v /></c><c r="AY532" s="22"><f>IF(AR532&lt;$AH$6,"error",IF(AR532&gt;$AH$6*1.1,"error","aceptable"))</f><v /></c><c r="AZ532" s="22"><f>IF(AF532&lt;$V$6,"error",IF(AF532&gt;$V$6*1.1,"error","aceptable"))</f><v /></c><c r="BA532" s="22"><f>IF(T532&lt;$J$6*0.9,"error",IF(T532&gt;$J$6,"error","aceptable"))</f><v /></c><c r="BB532" s="25"><f>(IF(ABS(U532)&lt;1.05,"CONFORME",IF(ABS(AG532)&lt;1.05,"CONFORME",IF(ABS(AS532)&lt;2.55,"CONFORME","NO CONFORME"))))</f><v /></c><c r="BC532" s="5"><f>(IF(ABS(U532)&gt;2.05,"NO CONFORME",IF(ABS(AG532)&gt;2.05,"NO CONFORME",IF(ABS(AS532)&gt;5.05,"NO CONFORME","CONFORME"))))</f><v /></c><c r="BD532" s="15"><f>SIGN(U532)</f><v /></c><c r="BE532" s="15"><f>SIGN(AG532)</f><v /></c><c r="BF532" s="15"><f>SIGN(AS532)</f><v /></c><c r="BG532" s="15"><f>CONCATENATE(BD532,BE532,BF532)</f><v /></c><c r="BH532" s="15"><f>IF(BG532="111","SI","SD")</f><v /></c><c r="BI532" s="15"><f>IF(BG532="-1-1-1","SI","SD")</f><v /></c><c r="BJ532" s="15"><f>OR(BH532="SI",BI532="SI")</f><v /></c><c r="BK532" s="15"><f>IF(BJ532=FALSE,"SIGDIFERENTES","SIGIGUALES")</f><v /></c><c r="BL532" s="22"><f>IF(BC532="NO CONFORME","NO CONFORME",IF(BB532="CONFORME","CONFORME","NO CONFORME"))</f><v /></c></row><row r="533" ht="15.75" customHeight="1" thickBot="1"><c r="A533" s="37" t="n"><v>525</v></c><c r="B533" s="324"><f>B532</f><v /></c><c r="C533" s="324"><f>C532</f><v /></c><c r="D533" s="94"><f>D532</f><v /></c><c r="E533" s="95"><f>E532</f><v /></c><c r="F533" s="13" t="n" /><c r="G533" s="312" t="n" /><c r="H533" s="326"><f>H532</f><v /></c><c r="I533" s="98"><f>I532</f><v /></c><c r="J533" s="327"><f>J532</f><v /></c><c r="K533" s="327"><f>K532</f><v /></c><c r="L533" s="327"><f>L532</f><v /></c><c r="M533" s="45" t="n" /><c r="N533" s="45" t="n" /><c r="O533" s="100"><f>O532</f><v /></c><c r="P533" s="328"><f>P532</f><v /></c><c r="Q533" s="11"><f>LEFT(P533,1)</f><v /></c><c r="R533" s="11"><f>RIGHT(P533,6)</f><v /></c><c r="S533" s="11"><f>+(Q533*60+R533)/(60*60)</f><v /></c><c r="T533" s="14"><f>+O533/S533</f><v /></c><c r="U533" s="316"><f>+(((N533-M533-O533)/O533)*100)</f><v /></c><c r="V533" s="329"><f>V532</f><v /></c><c r="W533" s="329"><f>W532</f><v /></c><c r="X533" s="330"><f>X532</f><v /></c><c r="Y533" s="45" t="n" /><c r="Z533" s="45" t="n" /><c r="AA533" s="331"><f>AA532</f><v /></c><c r="AB533" s="332"><f>AB532</f><v /></c><c r="AC533" s="11"><f>LEFT(AB533,2)</f><v /></c><c r="AD533" s="11"><f>RIGHT(AB533,6)</f><v /></c><c r="AE533" s="11"><f>+(AC533*60+AD533)/(60*60)</f><v /></c><c r="AF533" s="14"><f>+AA533/AE533</f><v /></c><c r="AG533" s="321"><f>+(((Z533-Y533-AA533)/AA533)*100)</f><v /></c><c r="AH533" s="329"><f>AH532</f><v /></c><c r="AI533" s="329"><f>AI532</f><v /></c><c r="AJ533" s="329"><f>AJ532</f><v /></c><c r="AK533" s="53"><f>Z533</f><v /></c><c r="AL533" s="45" t="n" /><c r="AM533" s="333"><f>AM532</f><v /></c><c r="AN533" s="328"><f>AN532</f><v /></c><c r="AO533" s="11"><f>LEFT(AN533,2)</f><v /></c><c r="AP533" s="11"><f>RIGHT(AN533,6)</f><v /></c><c r="AQ533" s="11"><f>+(AO533*60+AP533)/(60*60)</f><v /></c><c r="AR533" s="14"><f>+AM533/AQ533</f><v /></c><c r="AS533" s="321"><f>+(((AL533-AK533-AM533)/AM533)*100)</f><v /></c><c r="AT533" s="43"><f>IF(I533&gt;=1,"NO CONFORME",IF(BK533="SIGDIFERENTES",BC533,BL533))</f><v /></c><c r="AU533" s="8"><f>B533=C533</f><v /></c><c r="AV533" s="8"><f>N533&lt;Y533</f><v /></c><c r="AW533" s="8"><f>Z533&lt;=AK533</f><v /></c><c r="AX533" s="8"><f>IF(I533&gt;=1,"Qcorrecto",IF(AND(AY533="aceptable",AZ533="aceptable",BA533="aceptable"),"Qcorrecto","Qincorrecto"))</f><v /></c><c r="AY533" s="22"><f>IF(AR533&lt;$AH$6,"error",IF(AR533&gt;$AH$6*1.1,"error","aceptable"))</f><v /></c><c r="AZ533" s="22"><f>IF(AF533&lt;$V$6,"error",IF(AF533&gt;$V$6*1.1,"error","aceptable"))</f><v /></c><c r="BA533" s="22"><f>IF(T533&lt;$J$6*0.9,"error",IF(T533&gt;$J$6,"error","aceptable"))</f><v /></c><c r="BB533" s="25"><f>(IF(ABS(U533)&lt;1.05,"CONFORME",IF(ABS(AG533)&lt;1.05,"CONFORME",IF(ABS(AS533)&lt;2.55,"CONFORME","NO CONFORME"))))</f><v /></c><c r="BC533" s="5"><f>(IF(ABS(U533)&gt;2.05,"NO CONFORME",IF(ABS(AG533)&gt;2.05,"NO CONFORME",IF(ABS(AS533)&gt;5.05,"NO CONFORME","CONFORME"))))</f><v /></c><c r="BD533" s="15"><f>SIGN(U533)</f><v /></c><c r="BE533" s="15"><f>SIGN(AG533)</f><v /></c><c r="BF533" s="15"><f>SIGN(AS533)</f><v /></c><c r="BG533" s="15"><f>CONCATENATE(BD533,BE533,BF533)</f><v /></c><c r="BH533" s="15"><f>IF(BG533="111","SI","SD")</f><v /></c><c r="BI533" s="15"><f>IF(BG533="-1-1-1","SI","SD")</f><v /></c><c r="BJ533" s="15"><f>OR(BH533="SI",BI533="SI")</f><v /></c><c r="BK533" s="15"><f>IF(BJ533=FALSE,"SIGDIFERENTES","SIGIGUALES")</f><v /></c><c r="BL533" s="22"><f>IF(BC533="NO CONFORME","NO CONFORME",IF(BB533="CONFORME","CONFORME","NO CONFORME"))</f><v /></c></row><row r="534" ht="15.75" customHeight="1" thickBot="1"><c r="A534" s="37" t="n"><v>526</v></c><c r="B534" s="324"><f>B533</f><v /></c><c r="C534" s="324"><f>C533</f><v /></c><c r="D534" s="94"><f>D533</f><v /></c><c r="E534" s="95"><f>E533</f><v /></c><c r="F534" s="13" t="n" /><c r="G534" s="312" t="n" /><c r="H534" s="326"><f>H533</f><v /></c><c r="I534" s="98"><f>I533</f><v /></c><c r="J534" s="327"><f>J533</f><v /></c><c r="K534" s="327"><f>K533</f><v /></c><c r="L534" s="327"><f>L533</f><v /></c><c r="M534" s="45" t="n" /><c r="N534" s="45" t="n" /><c r="O534" s="100"><f>O533</f><v /></c><c r="P534" s="328"><f>P533</f><v /></c><c r="Q534" s="11"><f>LEFT(P534,1)</f><v /></c><c r="R534" s="11"><f>RIGHT(P534,6)</f><v /></c><c r="S534" s="11"><f>+(Q534*60+R534)/(60*60)</f><v /></c><c r="T534" s="14"><f>+O534/S534</f><v /></c><c r="U534" s="316"><f>+(((N534-M534-O534)/O534)*100)</f><v /></c><c r="V534" s="329"><f>V533</f><v /></c><c r="W534" s="329"><f>W533</f><v /></c><c r="X534" s="330"><f>X533</f><v /></c><c r="Y534" s="45" t="n" /><c r="Z534" s="45" t="n" /><c r="AA534" s="331"><f>AA533</f><v /></c><c r="AB534" s="332"><f>AB533</f><v /></c><c r="AC534" s="11"><f>LEFT(AB534,2)</f><v /></c><c r="AD534" s="11"><f>RIGHT(AB534,6)</f><v /></c><c r="AE534" s="11"><f>+(AC534*60+AD534)/(60*60)</f><v /></c><c r="AF534" s="14"><f>+AA534/AE534</f><v /></c><c r="AG534" s="321"><f>+(((Z534-Y534-AA534)/AA534)*100)</f><v /></c><c r="AH534" s="329"><f>AH533</f><v /></c><c r="AI534" s="329"><f>AI533</f><v /></c><c r="AJ534" s="329"><f>AJ533</f><v /></c><c r="AK534" s="53"><f>Z534</f><v /></c><c r="AL534" s="45" t="n" /><c r="AM534" s="333"><f>AM533</f><v /></c><c r="AN534" s="328"><f>AN533</f><v /></c><c r="AO534" s="11"><f>LEFT(AN534,2)</f><v /></c><c r="AP534" s="11"><f>RIGHT(AN534,6)</f><v /></c><c r="AQ534" s="11"><f>+(AO534*60+AP534)/(60*60)</f><v /></c><c r="AR534" s="14"><f>+AM534/AQ534</f><v /></c><c r="AS534" s="321"><f>+(((AL534-AK534-AM534)/AM534)*100)</f><v /></c><c r="AT534" s="43"><f>IF(I534&gt;=1,"NO CONFORME",IF(BK534="SIGDIFERENTES",BC534,BL534))</f><v /></c><c r="AU534" s="8"><f>B534=C534</f><v /></c><c r="AV534" s="8"><f>N534&lt;Y534</f><v /></c><c r="AW534" s="8"><f>Z534&lt;=AK534</f><v /></c><c r="AX534" s="8"><f>IF(I534&gt;=1,"Qcorrecto",IF(AND(AY534="aceptable",AZ534="aceptable",BA534="aceptable"),"Qcorrecto","Qincorrecto"))</f><v /></c><c r="AY534" s="22"><f>IF(AR534&lt;$AH$6,"error",IF(AR534&gt;$AH$6*1.1,"error","aceptable"))</f><v /></c><c r="AZ534" s="22"><f>IF(AF534&lt;$V$6,"error",IF(AF534&gt;$V$6*1.1,"error","aceptable"))</f><v /></c><c r="BA534" s="22"><f>IF(T534&lt;$J$6*0.9,"error",IF(T534&gt;$J$6,"error","aceptable"))</f><v /></c><c r="BB534" s="25"><f>(IF(ABS(U534)&lt;1.05,"CONFORME",IF(ABS(AG534)&lt;1.05,"CONFORME",IF(ABS(AS534)&lt;2.55,"CONFORME","NO CONFORME"))))</f><v /></c><c r="BC534" s="5"><f>(IF(ABS(U534)&gt;2.05,"NO CONFORME",IF(ABS(AG534)&gt;2.05,"NO CONFORME",IF(ABS(AS534)&gt;5.05,"NO CONFORME","CONFORME"))))</f><v /></c><c r="BD534" s="15"><f>SIGN(U534)</f><v /></c><c r="BE534" s="15"><f>SIGN(AG534)</f><v /></c><c r="BF534" s="15"><f>SIGN(AS534)</f><v /></c><c r="BG534" s="15"><f>CONCATENATE(BD534,BE534,BF534)</f><v /></c><c r="BH534" s="15"><f>IF(BG534="111","SI","SD")</f><v /></c><c r="BI534" s="15"><f>IF(BG534="-1-1-1","SI","SD")</f><v /></c><c r="BJ534" s="15"><f>OR(BH534="SI",BI534="SI")</f><v /></c><c r="BK534" s="15"><f>IF(BJ534=FALSE,"SIGDIFERENTES","SIGIGUALES")</f><v /></c><c r="BL534" s="22"><f>IF(BC534="NO CONFORME","NO CONFORME",IF(BB534="CONFORME","CONFORME","NO CONFORME"))</f><v /></c></row><row r="535" ht="15.75" customHeight="1" thickBot="1"><c r="A535" s="37" t="n"><v>527</v></c><c r="B535" s="324"><f>B534</f><v /></c><c r="C535" s="324"><f>C534</f><v /></c><c r="D535" s="94"><f>D534</f><v /></c><c r="E535" s="95"><f>E534</f><v /></c><c r="F535" s="13" t="n" /><c r="G535" s="312" t="n" /><c r="H535" s="326"><f>H534</f><v /></c><c r="I535" s="98"><f>I534</f><v /></c><c r="J535" s="327"><f>J534</f><v /></c><c r="K535" s="327"><f>K534</f><v /></c><c r="L535" s="327"><f>L534</f><v /></c><c r="M535" s="45" t="n" /><c r="N535" s="45" t="n" /><c r="O535" s="100"><f>O534</f><v /></c><c r="P535" s="328"><f>P534</f><v /></c><c r="Q535" s="11"><f>LEFT(P535,1)</f><v /></c><c r="R535" s="11"><f>RIGHT(P535,6)</f><v /></c><c r="S535" s="11"><f>+(Q535*60+R535)/(60*60)</f><v /></c><c r="T535" s="14"><f>+O535/S535</f><v /></c><c r="U535" s="316"><f>+(((N535-M535-O535)/O535)*100)</f><v /></c><c r="V535" s="329"><f>V534</f><v /></c><c r="W535" s="329"><f>W534</f><v /></c><c r="X535" s="330"><f>X534</f><v /></c><c r="Y535" s="45" t="n" /><c r="Z535" s="45" t="n" /><c r="AA535" s="331"><f>AA534</f><v /></c><c r="AB535" s="332"><f>AB534</f><v /></c><c r="AC535" s="11"><f>LEFT(AB535,2)</f><v /></c><c r="AD535" s="11"><f>RIGHT(AB535,6)</f><v /></c><c r="AE535" s="11"><f>+(AC535*60+AD535)/(60*60)</f><v /></c><c r="AF535" s="14"><f>+AA535/AE535</f><v /></c><c r="AG535" s="321"><f>+(((Z535-Y535-AA535)/AA535)*100)</f><v /></c><c r="AH535" s="329"><f>AH534</f><v /></c><c r="AI535" s="329"><f>AI534</f><v /></c><c r="AJ535" s="329"><f>AJ534</f><v /></c><c r="AK535" s="53"><f>Z535</f><v /></c><c r="AL535" s="45" t="n" /><c r="AM535" s="333"><f>AM534</f><v /></c><c r="AN535" s="328"><f>AN534</f><v /></c><c r="AO535" s="11"><f>LEFT(AN535,2)</f><v /></c><c r="AP535" s="11"><f>RIGHT(AN535,6)</f><v /></c><c r="AQ535" s="11"><f>+(AO535*60+AP535)/(60*60)</f><v /></c><c r="AR535" s="14"><f>+AM535/AQ535</f><v /></c><c r="AS535" s="321"><f>+(((AL535-AK535-AM535)/AM535)*100)</f><v /></c><c r="AT535" s="43"><f>IF(I535&gt;=1,"NO CONFORME",IF(BK535="SIGDIFERENTES",BC535,BL535))</f><v /></c><c r="AU535" s="8"><f>B535=C535</f><v /></c><c r="AV535" s="8"><f>N535&lt;Y535</f><v /></c><c r="AW535" s="8"><f>Z535&lt;=AK535</f><v /></c><c r="AX535" s="8"><f>IF(I535&gt;=1,"Qcorrecto",IF(AND(AY535="aceptable",AZ535="aceptable",BA535="aceptable"),"Qcorrecto","Qincorrecto"))</f><v /></c><c r="AY535" s="22"><f>IF(AR535&lt;$AH$6,"error",IF(AR535&gt;$AH$6*1.1,"error","aceptable"))</f><v /></c><c r="AZ535" s="22"><f>IF(AF535&lt;$V$6,"error",IF(AF535&gt;$V$6*1.1,"error","aceptable"))</f><v /></c><c r="BA535" s="22"><f>IF(T535&lt;$J$6*0.9,"error",IF(T535&gt;$J$6,"error","aceptable"))</f><v /></c><c r="BB535" s="25"><f>(IF(ABS(U535)&lt;1.05,"CONFORME",IF(ABS(AG535)&lt;1.05,"CONFORME",IF(ABS(AS535)&lt;2.55,"CONFORME","NO CONFORME"))))</f><v /></c><c r="BC535" s="5"><f>(IF(ABS(U535)&gt;2.05,"NO CONFORME",IF(ABS(AG535)&gt;2.05,"NO CONFORME",IF(ABS(AS535)&gt;5.05,"NO CONFORME","CONFORME"))))</f><v /></c><c r="BD535" s="15"><f>SIGN(U535)</f><v /></c><c r="BE535" s="15"><f>SIGN(AG535)</f><v /></c><c r="BF535" s="15"><f>SIGN(AS535)</f><v /></c><c r="BG535" s="15"><f>CONCATENATE(BD535,BE535,BF535)</f><v /></c><c r="BH535" s="15"><f>IF(BG535="111","SI","SD")</f><v /></c><c r="BI535" s="15"><f>IF(BG535="-1-1-1","SI","SD")</f><v /></c><c r="BJ535" s="15"><f>OR(BH535="SI",BI535="SI")</f><v /></c><c r="BK535" s="15"><f>IF(BJ535=FALSE,"SIGDIFERENTES","SIGIGUALES")</f><v /></c><c r="BL535" s="22"><f>IF(BC535="NO CONFORME","NO CONFORME",IF(BB535="CONFORME","CONFORME","NO CONFORME"))</f><v /></c></row><row r="536" ht="15.75" customHeight="1" thickBot="1"><c r="A536" s="37" t="n"><v>528</v></c><c r="B536" s="324"><f>B535</f><v /></c><c r="C536" s="324"><f>C535</f><v /></c><c r="D536" s="94"><f>D535</f><v /></c><c r="E536" s="95"><f>E535</f><v /></c><c r="F536" s="52" t="n" /><c r="G536" s="325" t="n" /><c r="H536" s="326"><f>H535</f><v /></c><c r="I536" s="98"><f>I535</f><v /></c><c r="J536" s="327"><f>J535</f><v /></c><c r="K536" s="327"><f>K535</f><v /></c><c r="L536" s="327"><f>L535</f><v /></c><c r="M536" s="53" t="n" /><c r="N536" s="53" t="n" /><c r="O536" s="100"><f>O535</f><v /></c><c r="P536" s="328"><f>P535</f><v /></c><c r="Q536" s="11"><f>LEFT(P536,1)</f><v /></c><c r="R536" s="11"><f>RIGHT(P536,6)</f><v /></c><c r="S536" s="11"><f>+(Q536*60+R536)/(60*60)</f><v /></c><c r="T536" s="14"><f>+O536/S536</f><v /></c><c r="U536" s="316"><f>+(((N536-M536-O536)/O536)*100)</f><v /></c><c r="V536" s="329"><f>V535</f><v /></c><c r="W536" s="329"><f>W535</f><v /></c><c r="X536" s="330"><f>X535</f><v /></c><c r="Y536" s="53" t="n" /><c r="Z536" s="53" t="n" /><c r="AA536" s="331"><f>AA535</f><v /></c><c r="AB536" s="332"><f>AB535</f><v /></c><c r="AC536" s="11"><f>LEFT(AB536,2)</f><v /></c><c r="AD536" s="11"><f>RIGHT(AB536,6)</f><v /></c><c r="AE536" s="11"><f>+(AC536*60+AD536)/(60*60)</f><v /></c><c r="AF536" s="14"><f>+AA536/AE536</f><v /></c><c r="AG536" s="321"><f>+(((Z536-Y536-AA536)/AA536)*100)</f><v /></c><c r="AH536" s="329"><f>AH535</f><v /></c><c r="AI536" s="329"><f>AI535</f><v /></c><c r="AJ536" s="329"><f>AJ535</f><v /></c><c r="AK536" s="53"><f>Z536</f><v /></c><c r="AL536" s="53" t="n" /><c r="AM536" s="333"><f>AM535</f><v /></c><c r="AN536" s="328"><f>AN535</f><v /></c><c r="AO536" s="11"><f>LEFT(AN536,2)</f><v /></c><c r="AP536" s="11"><f>RIGHT(AN536,6)</f><v /></c><c r="AQ536" s="11"><f>+(AO536*60+AP536)/(60*60)</f><v /></c><c r="AR536" s="14"><f>+AM536/AQ536</f><v /></c><c r="AS536" s="321"><f>+(((AL536-AK536-AM536)/AM536)*100)</f><v /></c><c r="AT536" s="43"><f>IF(I536&gt;=1,"NO CONFORME",IF(BK536="SIGDIFERENTES",BC536,BL536))</f><v /></c><c r="AU536" s="8"><f>B536=C536</f><v /></c><c r="AV536" s="8"><f>N536&lt;Y536</f><v /></c><c r="AW536" s="8"><f>Z536&lt;=AK536</f><v /></c><c r="AX536" s="8"><f>IF(I536&gt;=1,"Qcorrecto",IF(AND(AY536="aceptable",AZ536="aceptable",BA536="aceptable"),"Qcorrecto","Qincorrecto"))</f><v /></c><c r="AY536" s="22"><f>IF(AR536&lt;$AH$6,"error",IF(AR536&gt;$AH$6*1.1,"error","aceptable"))</f><v /></c><c r="AZ536" s="22"><f>IF(AF536&lt;$V$6,"error",IF(AF536&gt;$V$6*1.1,"error","aceptable"))</f><v /></c><c r="BA536" s="22"><f>IF(T536&lt;$J$6*0.9,"error",IF(T536&gt;$J$6,"error","aceptable"))</f><v /></c><c r="BB536" s="25"><f>(IF(ABS(U536)&lt;1.05,"CONFORME",IF(ABS(AG536)&lt;1.05,"CONFORME",IF(ABS(AS536)&lt;2.55,"CONFORME","NO CONFORME"))))</f><v /></c><c r="BC536" s="5"><f>(IF(ABS(U536)&gt;2.05,"NO CONFORME",IF(ABS(AG536)&gt;2.05,"NO CONFORME",IF(ABS(AS536)&gt;5.05,"NO CONFORME","CONFORME"))))</f><v /></c><c r="BD536" s="15"><f>SIGN(U536)</f><v /></c><c r="BE536" s="15"><f>SIGN(AG536)</f><v /></c><c r="BF536" s="15"><f>SIGN(AS536)</f><v /></c><c r="BG536" s="15"><f>CONCATENATE(BD536,BE536,BF536)</f><v /></c><c r="BH536" s="15"><f>IF(BG536="111","SI","SD")</f><v /></c><c r="BI536" s="15"><f>IF(BG536="-1-1-1","SI","SD")</f><v /></c><c r="BJ536" s="15"><f>OR(BH536="SI",BI536="SI")</f><v /></c><c r="BK536" s="15"><f>IF(BJ536=FALSE,"SIGDIFERENTES","SIGIGUALES")</f><v /></c><c r="BL536" s="22"><f>IF(BC536="NO CONFORME","NO CONFORME",IF(BB536="CONFORME","CONFORME","NO CONFORME"))</f><v /></c></row><row r="537" ht="15.75" customHeight="1" thickBot="1"><c r="A537" s="37" t="n"><v>529</v></c><c r="B537" s="324"><f>B536</f><v /></c><c r="C537" s="324"><f>C536</f><v /></c><c r="D537" s="94"><f>D536</f><v /></c><c r="E537" s="95"><f>E536</f><v /></c><c r="F537" s="58" t="n" /><c r="G537" s="300" t="n" /><c r="H537" s="326"><f>H536</f><v /></c><c r="I537" s="98"><f>I536</f><v /></c><c r="J537" s="327"><f>J536</f><v /></c><c r="K537" s="327"><f>K536</f><v /></c><c r="L537" s="327"><f>L536</f><v /></c><c r="M537" s="59" t="n" /><c r="N537" s="59" t="n" /><c r="O537" s="100"><f>O536</f><v /></c><c r="P537" s="328"><f>P536</f><v /></c><c r="Q537" s="11"><f>LEFT(P537,1)</f><v /></c><c r="R537" s="11"><f>RIGHT(P537,6)</f><v /></c><c r="S537" s="11"><f>+(Q537*60+R537)/(60*60)</f><v /></c><c r="T537" s="14"><f>+O537/S537</f><v /></c><c r="U537" s="316"><f>+(((N537-M537-O537)/O537)*100)</f><v /></c><c r="V537" s="329"><f>V536</f><v /></c><c r="W537" s="329"><f>W536</f><v /></c><c r="X537" s="330"><f>X536</f><v /></c><c r="Y537" s="59" t="n" /><c r="Z537" s="59" t="n" /><c r="AA537" s="331"><f>AA536</f><v /></c><c r="AB537" s="332"><f>AB536</f><v /></c><c r="AC537" s="11"><f>LEFT(AB537,2)</f><v /></c><c r="AD537" s="11"><f>RIGHT(AB537,6)</f><v /></c><c r="AE537" s="11"><f>+(AC537*60+AD537)/(60*60)</f><v /></c><c r="AF537" s="14"><f>+AA537/AE537</f><v /></c><c r="AG537" s="321"><f>+(((Z537-Y537-AA537)/AA537)*100)</f><v /></c><c r="AH537" s="329"><f>AH536</f><v /></c><c r="AI537" s="329"><f>AI536</f><v /></c><c r="AJ537" s="329"><f>AJ536</f><v /></c><c r="AK537" s="53"><f>Z537</f><v /></c><c r="AL537" s="59" t="n" /><c r="AM537" s="333"><f>AM536</f><v /></c><c r="AN537" s="328"><f>AN536</f><v /></c><c r="AO537" s="11"><f>LEFT(AN537,2)</f><v /></c><c r="AP537" s="11"><f>RIGHT(AN537,6)</f><v /></c><c r="AQ537" s="11"><f>+(AO537*60+AP537)/(60*60)</f><v /></c><c r="AR537" s="14"><f>+AM537/AQ537</f><v /></c><c r="AS537" s="321"><f>+(((AL537-AK537-AM537)/AM537)*100)</f><v /></c><c r="AT537" s="43"><f>IF(I537&gt;=1,"NO CONFORME",IF(BK537="SIGDIFERENTES",BC537,BL537))</f><v /></c><c r="AU537" s="8"><f>B537=C537</f><v /></c><c r="AV537" s="8"><f>N537&lt;Y537</f><v /></c><c r="AW537" s="8"><f>Z537&lt;=AK537</f><v /></c><c r="AX537" s="8"><f>IF(I537&gt;=1,"Qcorrecto",IF(AND(AY537="aceptable",AZ537="aceptable",BA537="aceptable"),"Qcorrecto","Qincorrecto"))</f><v /></c><c r="AY537" s="22"><f>IF(AR537&lt;$AH$6,"error",IF(AR537&gt;$AH$6*1.1,"error","aceptable"))</f><v /></c><c r="AZ537" s="22"><f>IF(AF537&lt;$V$6,"error",IF(AF537&gt;$V$6*1.1,"error","aceptable"))</f><v /></c><c r="BA537" s="22"><f>IF(T537&lt;$J$6*0.9,"error",IF(T537&gt;$J$6,"error","aceptable"))</f><v /></c><c r="BB537" s="25"><f>(IF(ABS(U537)&lt;1.05,"CONFORME",IF(ABS(AG537)&lt;1.05,"CONFORME",IF(ABS(AS537)&lt;2.55,"CONFORME","NO CONFORME"))))</f><v /></c><c r="BC537" s="5"><f>(IF(ABS(U537)&gt;2.05,"NO CONFORME",IF(ABS(AG537)&gt;2.05,"NO CONFORME",IF(ABS(AS537)&gt;5.05,"NO CONFORME","CONFORME"))))</f><v /></c><c r="BD537" s="15"><f>SIGN(U537)</f><v /></c><c r="BE537" s="15"><f>SIGN(AG537)</f><v /></c><c r="BF537" s="15"><f>SIGN(AS537)</f><v /></c><c r="BG537" s="15"><f>CONCATENATE(BD537,BE537,BF537)</f><v /></c><c r="BH537" s="15"><f>IF(BG537="111","SI","SD")</f><v /></c><c r="BI537" s="15"><f>IF(BG537="-1-1-1","SI","SD")</f><v /></c><c r="BJ537" s="15"><f>OR(BH537="SI",BI537="SI")</f><v /></c><c r="BK537" s="15"><f>IF(BJ537=FALSE,"SIGDIFERENTES","SIGIGUALES")</f><v /></c><c r="BL537" s="22"><f>IF(BC537="NO CONFORME","NO CONFORME",IF(BB537="CONFORME","CONFORME","NO CONFORME"))</f><v /></c></row><row r="538" ht="15.75" customHeight="1" thickBot="1"><c r="A538" s="37" t="n"><v>530</v></c><c r="B538" s="324"><f>B537</f><v /></c><c r="C538" s="324"><f>C537</f><v /></c><c r="D538" s="94"><f>D537</f><v /></c><c r="E538" s="95"><f>E537</f><v /></c><c r="F538" s="13" t="n" /><c r="G538" s="312" t="n" /><c r="H538" s="326"><f>H537</f><v /></c><c r="I538" s="98"><f>I537</f><v /></c><c r="J538" s="327"><f>J537</f><v /></c><c r="K538" s="327"><f>K537</f><v /></c><c r="L538" s="327"><f>L537</f><v /></c><c r="M538" s="45" t="n" /><c r="N538" s="45" t="n" /><c r="O538" s="100"><f>O537</f><v /></c><c r="P538" s="328"><f>P537</f><v /></c><c r="Q538" s="11"><f>LEFT(P538,1)</f><v /></c><c r="R538" s="11"><f>RIGHT(P538,6)</f><v /></c><c r="S538" s="11"><f>+(Q538*60+R538)/(60*60)</f><v /></c><c r="T538" s="14"><f>+O538/S538</f><v /></c><c r="U538" s="316"><f>+(((N538-M538-O538)/O538)*100)</f><v /></c><c r="V538" s="329"><f>V537</f><v /></c><c r="W538" s="329"><f>W537</f><v /></c><c r="X538" s="330"><f>X537</f><v /></c><c r="Y538" s="45" t="n" /><c r="Z538" s="45" t="n" /><c r="AA538" s="331"><f>AA537</f><v /></c><c r="AB538" s="332"><f>AB537</f><v /></c><c r="AC538" s="11"><f>LEFT(AB538,2)</f><v /></c><c r="AD538" s="11"><f>RIGHT(AB538,6)</f><v /></c><c r="AE538" s="11"><f>+(AC538*60+AD538)/(60*60)</f><v /></c><c r="AF538" s="14"><f>+AA538/AE538</f><v /></c><c r="AG538" s="321"><f>+(((Z538-Y538-AA538)/AA538)*100)</f><v /></c><c r="AH538" s="329"><f>AH537</f><v /></c><c r="AI538" s="329"><f>AI537</f><v /></c><c r="AJ538" s="329"><f>AJ537</f><v /></c><c r="AK538" s="53"><f>Z538</f><v /></c><c r="AL538" s="45" t="n" /><c r="AM538" s="333"><f>AM537</f><v /></c><c r="AN538" s="328"><f>AN537</f><v /></c><c r="AO538" s="11"><f>LEFT(AN538,2)</f><v /></c><c r="AP538" s="11"><f>RIGHT(AN538,6)</f><v /></c><c r="AQ538" s="11"><f>+(AO538*60+AP538)/(60*60)</f><v /></c><c r="AR538" s="14"><f>+AM538/AQ538</f><v /></c><c r="AS538" s="321"><f>+(((AL538-AK538-AM538)/AM538)*100)</f><v /></c><c r="AT538" s="43"><f>IF(I538&gt;=1,"NO CONFORME",IF(BK538="SIGDIFERENTES",BC538,BL538))</f><v /></c><c r="AU538" s="8"><f>B538=C538</f><v /></c><c r="AV538" s="8"><f>N538&lt;Y538</f><v /></c><c r="AW538" s="8"><f>Z538&lt;=AK538</f><v /></c><c r="AX538" s="8"><f>IF(I538&gt;=1,"Qcorrecto",IF(AND(AY538="aceptable",AZ538="aceptable",BA538="aceptable"),"Qcorrecto","Qincorrecto"))</f><v /></c><c r="AY538" s="22"><f>IF(AR538&lt;$AH$6,"error",IF(AR538&gt;$AH$6*1.1,"error","aceptable"))</f><v /></c><c r="AZ538" s="22"><f>IF(AF538&lt;$V$6,"error",IF(AF538&gt;$V$6*1.1,"error","aceptable"))</f><v /></c><c r="BA538" s="22"><f>IF(T538&lt;$J$6*0.9,"error",IF(T538&gt;$J$6,"error","aceptable"))</f><v /></c><c r="BB538" s="25"><f>(IF(ABS(U538)&lt;1.05,"CONFORME",IF(ABS(AG538)&lt;1.05,"CONFORME",IF(ABS(AS538)&lt;2.55,"CONFORME","NO CONFORME"))))</f><v /></c><c r="BC538" s="5"><f>(IF(ABS(U538)&gt;2.05,"NO CONFORME",IF(ABS(AG538)&gt;2.05,"NO CONFORME",IF(ABS(AS538)&gt;5.05,"NO CONFORME","CONFORME"))))</f><v /></c><c r="BD538" s="15"><f>SIGN(U538)</f><v /></c><c r="BE538" s="15"><f>SIGN(AG538)</f><v /></c><c r="BF538" s="15"><f>SIGN(AS538)</f><v /></c><c r="BG538" s="15"><f>CONCATENATE(BD538,BE538,BF538)</f><v /></c><c r="BH538" s="15"><f>IF(BG538="111","SI","SD")</f><v /></c><c r="BI538" s="15"><f>IF(BG538="-1-1-1","SI","SD")</f><v /></c><c r="BJ538" s="15"><f>OR(BH538="SI",BI538="SI")</f><v /></c><c r="BK538" s="15"><f>IF(BJ538=FALSE,"SIGDIFERENTES","SIGIGUALES")</f><v /></c><c r="BL538" s="22"><f>IF(BC538="NO CONFORME","NO CONFORME",IF(BB538="CONFORME","CONFORME","NO CONFORME"))</f><v /></c></row><row r="539" ht="15.75" customHeight="1" thickBot="1"><c r="A539" s="37" t="n"><v>531</v></c><c r="B539" s="324"><f>B538</f><v /></c><c r="C539" s="324"><f>C538</f><v /></c><c r="D539" s="94"><f>D538</f><v /></c><c r="E539" s="95"><f>E538</f><v /></c><c r="F539" s="13" t="n" /><c r="G539" s="312" t="n" /><c r="H539" s="326"><f>H538</f><v /></c><c r="I539" s="98"><f>I538</f><v /></c><c r="J539" s="327"><f>J538</f><v /></c><c r="K539" s="327"><f>K538</f><v /></c><c r="L539" s="327"><f>L538</f><v /></c><c r="M539" s="45" t="n" /><c r="N539" s="45" t="n" /><c r="O539" s="100"><f>O538</f><v /></c><c r="P539" s="328"><f>P538</f><v /></c><c r="Q539" s="11"><f>LEFT(P539,1)</f><v /></c><c r="R539" s="11"><f>RIGHT(P539,6)</f><v /></c><c r="S539" s="11"><f>+(Q539*60+R539)/(60*60)</f><v /></c><c r="T539" s="14"><f>+O539/S539</f><v /></c><c r="U539" s="316"><f>+(((N539-M539-O539)/O539)*100)</f><v /></c><c r="V539" s="329"><f>V538</f><v /></c><c r="W539" s="329"><f>W538</f><v /></c><c r="X539" s="330"><f>X538</f><v /></c><c r="Y539" s="45" t="n" /><c r="Z539" s="45" t="n" /><c r="AA539" s="331"><f>AA538</f><v /></c><c r="AB539" s="332"><f>AB538</f><v /></c><c r="AC539" s="11"><f>LEFT(AB539,2)</f><v /></c><c r="AD539" s="11"><f>RIGHT(AB539,6)</f><v /></c><c r="AE539" s="11"><f>+(AC539*60+AD539)/(60*60)</f><v /></c><c r="AF539" s="14"><f>+AA539/AE539</f><v /></c><c r="AG539" s="321"><f>+(((Z539-Y539-AA539)/AA539)*100)</f><v /></c><c r="AH539" s="329"><f>AH538</f><v /></c><c r="AI539" s="329"><f>AI538</f><v /></c><c r="AJ539" s="329"><f>AJ538</f><v /></c><c r="AK539" s="53"><f>Z539</f><v /></c><c r="AL539" s="45" t="n" /><c r="AM539" s="333"><f>AM538</f><v /></c><c r="AN539" s="328"><f>AN538</f><v /></c><c r="AO539" s="11"><f>LEFT(AN539,2)</f><v /></c><c r="AP539" s="11"><f>RIGHT(AN539,6)</f><v /></c><c r="AQ539" s="11"><f>+(AO539*60+AP539)/(60*60)</f><v /></c><c r="AR539" s="14"><f>+AM539/AQ539</f><v /></c><c r="AS539" s="321"><f>+(((AL539-AK539-AM539)/AM539)*100)</f><v /></c><c r="AT539" s="43"><f>IF(I539&gt;=1,"NO CONFORME",IF(BK539="SIGDIFERENTES",BC539,BL539))</f><v /></c><c r="AU539" s="8"><f>B539=C539</f><v /></c><c r="AV539" s="8"><f>N539&lt;Y539</f><v /></c><c r="AW539" s="8"><f>Z539&lt;=AK539</f><v /></c><c r="AX539" s="8"><f>IF(I539&gt;=1,"Qcorrecto",IF(AND(AY539="aceptable",AZ539="aceptable",BA539="aceptable"),"Qcorrecto","Qincorrecto"))</f><v /></c><c r="AY539" s="22"><f>IF(AR539&lt;$AH$6,"error",IF(AR539&gt;$AH$6*1.1,"error","aceptable"))</f><v /></c><c r="AZ539" s="22"><f>IF(AF539&lt;$V$6,"error",IF(AF539&gt;$V$6*1.1,"error","aceptable"))</f><v /></c><c r="BA539" s="22"><f>IF(T539&lt;$J$6*0.9,"error",IF(T539&gt;$J$6,"error","aceptable"))</f><v /></c><c r="BB539" s="25"><f>(IF(ABS(U539)&lt;1.05,"CONFORME",IF(ABS(AG539)&lt;1.05,"CONFORME",IF(ABS(AS539)&lt;2.55,"CONFORME","NO CONFORME"))))</f><v /></c><c r="BC539" s="5"><f>(IF(ABS(U539)&gt;2.05,"NO CONFORME",IF(ABS(AG539)&gt;2.05,"NO CONFORME",IF(ABS(AS539)&gt;5.05,"NO CONFORME","CONFORME"))))</f><v /></c><c r="BD539" s="15"><f>SIGN(U539)</f><v /></c><c r="BE539" s="15"><f>SIGN(AG539)</f><v /></c><c r="BF539" s="15"><f>SIGN(AS539)</f><v /></c><c r="BG539" s="15"><f>CONCATENATE(BD539,BE539,BF539)</f><v /></c><c r="BH539" s="15"><f>IF(BG539="111","SI","SD")</f><v /></c><c r="BI539" s="15"><f>IF(BG539="-1-1-1","SI","SD")</f><v /></c><c r="BJ539" s="15"><f>OR(BH539="SI",BI539="SI")</f><v /></c><c r="BK539" s="15"><f>IF(BJ539=FALSE,"SIGDIFERENTES","SIGIGUALES")</f><v /></c><c r="BL539" s="22"><f>IF(BC539="NO CONFORME","NO CONFORME",IF(BB539="CONFORME","CONFORME","NO CONFORME"))</f><v /></c></row><row r="540" ht="15.75" customHeight="1" thickBot="1"><c r="A540" s="37" t="n"><v>532</v></c><c r="B540" s="324"><f>B539</f><v /></c><c r="C540" s="324"><f>C539</f><v /></c><c r="D540" s="94"><f>D539</f><v /></c><c r="E540" s="95"><f>E539</f><v /></c><c r="F540" s="13" t="n" /><c r="G540" s="312" t="n" /><c r="H540" s="326"><f>H539</f><v /></c><c r="I540" s="98"><f>I539</f><v /></c><c r="J540" s="327"><f>J539</f><v /></c><c r="K540" s="327"><f>K539</f><v /></c><c r="L540" s="327"><f>L539</f><v /></c><c r="M540" s="45" t="n" /><c r="N540" s="45" t="n" /><c r="O540" s="100"><f>O539</f><v /></c><c r="P540" s="328"><f>P539</f><v /></c><c r="Q540" s="11"><f>LEFT(P540,1)</f><v /></c><c r="R540" s="11"><f>RIGHT(P540,6)</f><v /></c><c r="S540" s="11"><f>+(Q540*60+R540)/(60*60)</f><v /></c><c r="T540" s="14"><f>+O540/S540</f><v /></c><c r="U540" s="316"><f>+(((N540-M540-O540)/O540)*100)</f><v /></c><c r="V540" s="329"><f>V539</f><v /></c><c r="W540" s="329"><f>W539</f><v /></c><c r="X540" s="330"><f>X539</f><v /></c><c r="Y540" s="45" t="n" /><c r="Z540" s="45" t="n" /><c r="AA540" s="331"><f>AA539</f><v /></c><c r="AB540" s="332"><f>AB539</f><v /></c><c r="AC540" s="11"><f>LEFT(AB540,2)</f><v /></c><c r="AD540" s="11"><f>RIGHT(AB540,6)</f><v /></c><c r="AE540" s="11"><f>+(AC540*60+AD540)/(60*60)</f><v /></c><c r="AF540" s="14"><f>+AA540/AE540</f><v /></c><c r="AG540" s="321"><f>+(((Z540-Y540-AA540)/AA540)*100)</f><v /></c><c r="AH540" s="329"><f>AH539</f><v /></c><c r="AI540" s="329"><f>AI539</f><v /></c><c r="AJ540" s="329"><f>AJ539</f><v /></c><c r="AK540" s="53"><f>Z540</f><v /></c><c r="AL540" s="45" t="n" /><c r="AM540" s="333"><f>AM539</f><v /></c><c r="AN540" s="328"><f>AN539</f><v /></c><c r="AO540" s="11"><f>LEFT(AN540,2)</f><v /></c><c r="AP540" s="11"><f>RIGHT(AN540,6)</f><v /></c><c r="AQ540" s="11"><f>+(AO540*60+AP540)/(60*60)</f><v /></c><c r="AR540" s="14"><f>+AM540/AQ540</f><v /></c><c r="AS540" s="321"><f>+(((AL540-AK540-AM540)/AM540)*100)</f><v /></c><c r="AT540" s="43"><f>IF(I540&gt;=1,"NO CONFORME",IF(BK540="SIGDIFERENTES",BC540,BL540))</f><v /></c><c r="AU540" s="8"><f>B540=C540</f><v /></c><c r="AV540" s="8"><f>N540&lt;Y540</f><v /></c><c r="AW540" s="8"><f>Z540&lt;=AK540</f><v /></c><c r="AX540" s="8"><f>IF(I540&gt;=1,"Qcorrecto",IF(AND(AY540="aceptable",AZ540="aceptable",BA540="aceptable"),"Qcorrecto","Qincorrecto"))</f><v /></c><c r="AY540" s="22"><f>IF(AR540&lt;$AH$6,"error",IF(AR540&gt;$AH$6*1.1,"error","aceptable"))</f><v /></c><c r="AZ540" s="22"><f>IF(AF540&lt;$V$6,"error",IF(AF540&gt;$V$6*1.1,"error","aceptable"))</f><v /></c><c r="BA540" s="22"><f>IF(T540&lt;$J$6*0.9,"error",IF(T540&gt;$J$6,"error","aceptable"))</f><v /></c><c r="BB540" s="25"><f>(IF(ABS(U540)&lt;1.05,"CONFORME",IF(ABS(AG540)&lt;1.05,"CONFORME",IF(ABS(AS540)&lt;2.55,"CONFORME","NO CONFORME"))))</f><v /></c><c r="BC540" s="5"><f>(IF(ABS(U540)&gt;2.05,"NO CONFORME",IF(ABS(AG540)&gt;2.05,"NO CONFORME",IF(ABS(AS540)&gt;5.05,"NO CONFORME","CONFORME"))))</f><v /></c><c r="BD540" s="15"><f>SIGN(U540)</f><v /></c><c r="BE540" s="15"><f>SIGN(AG540)</f><v /></c><c r="BF540" s="15"><f>SIGN(AS540)</f><v /></c><c r="BG540" s="15"><f>CONCATENATE(BD540,BE540,BF540)</f><v /></c><c r="BH540" s="15"><f>IF(BG540="111","SI","SD")</f><v /></c><c r="BI540" s="15"><f>IF(BG540="-1-1-1","SI","SD")</f><v /></c><c r="BJ540" s="15"><f>OR(BH540="SI",BI540="SI")</f><v /></c><c r="BK540" s="15"><f>IF(BJ540=FALSE,"SIGDIFERENTES","SIGIGUALES")</f><v /></c><c r="BL540" s="22"><f>IF(BC540="NO CONFORME","NO CONFORME",IF(BB540="CONFORME","CONFORME","NO CONFORME"))</f><v /></c></row><row r="541" ht="15.75" customHeight="1" thickBot="1"><c r="A541" s="37" t="n"><v>533</v></c><c r="B541" s="324"><f>B540</f><v /></c><c r="C541" s="324"><f>C540</f><v /></c><c r="D541" s="94"><f>D540</f><v /></c><c r="E541" s="95"><f>E540</f><v /></c><c r="F541" s="13" t="n" /><c r="G541" s="334" t="n" /><c r="H541" s="326"><f>H540</f><v /></c><c r="I541" s="98"><f>I540</f><v /></c><c r="J541" s="327"><f>J540</f><v /></c><c r="K541" s="327"><f>K540</f><v /></c><c r="L541" s="327"><f>L540</f><v /></c><c r="M541" s="45" t="n" /><c r="N541" s="45" t="n" /><c r="O541" s="100"><f>O540</f><v /></c><c r="P541" s="328"><f>P540</f><v /></c><c r="Q541" s="11"><f>LEFT(P541,1)</f><v /></c><c r="R541" s="11"><f>RIGHT(P541,6)</f><v /></c><c r="S541" s="11"><f>+(Q541*60+R541)/(60*60)</f><v /></c><c r="T541" s="14"><f>+O541/S541</f><v /></c><c r="U541" s="316"><f>+(((N541-M541-O541)/O541)*100)</f><v /></c><c r="V541" s="329"><f>V540</f><v /></c><c r="W541" s="329"><f>W540</f><v /></c><c r="X541" s="330"><f>X540</f><v /></c><c r="Y541" s="45" t="n" /><c r="Z541" s="45" t="n" /><c r="AA541" s="331"><f>AA540</f><v /></c><c r="AB541" s="332"><f>AB540</f><v /></c><c r="AC541" s="11"><f>LEFT(AB541,2)</f><v /></c><c r="AD541" s="11"><f>RIGHT(AB541,6)</f><v /></c><c r="AE541" s="11"><f>+(AC541*60+AD541)/(60*60)</f><v /></c><c r="AF541" s="14"><f>+AA541/AE541</f><v /></c><c r="AG541" s="321"><f>+(((Z541-Y541-AA541)/AA541)*100)</f><v /></c><c r="AH541" s="329"><f>AH540</f><v /></c><c r="AI541" s="329"><f>AI540</f><v /></c><c r="AJ541" s="329"><f>AJ540</f><v /></c><c r="AK541" s="53"><f>Z541</f><v /></c><c r="AL541" s="45" t="n" /><c r="AM541" s="333"><f>AM540</f><v /></c><c r="AN541" s="328"><f>AN540</f><v /></c><c r="AO541" s="11"><f>LEFT(AN541,2)</f><v /></c><c r="AP541" s="11"><f>RIGHT(AN541,6)</f><v /></c><c r="AQ541" s="11"><f>+(AO541*60+AP541)/(60*60)</f><v /></c><c r="AR541" s="14"><f>+AM541/AQ541</f><v /></c><c r="AS541" s="321"><f>+(((AL541-AK541-AM541)/AM541)*100)</f><v /></c><c r="AT541" s="43"><f>IF(I541&gt;=1,"NO CONFORME",IF(BK541="SIGDIFERENTES",BC541,BL541))</f><v /></c><c r="AU541" s="8"><f>B541=C541</f><v /></c><c r="AV541" s="8"><f>N541&lt;Y541</f><v /></c><c r="AW541" s="8"><f>Z541&lt;=AK541</f><v /></c><c r="AX541" s="8"><f>IF(I541&gt;=1,"Qcorrecto",IF(AND(AY541="aceptable",AZ541="aceptable",BA541="aceptable"),"Qcorrecto","Qincorrecto"))</f><v /></c><c r="AY541" s="22"><f>IF(AR541&lt;$AH$6,"error",IF(AR541&gt;$AH$6*1.1,"error","aceptable"))</f><v /></c><c r="AZ541" s="22"><f>IF(AF541&lt;$V$6,"error",IF(AF541&gt;$V$6*1.1,"error","aceptable"))</f><v /></c><c r="BA541" s="22"><f>IF(T541&lt;$J$6*0.9,"error",IF(T541&gt;$J$6,"error","aceptable"))</f><v /></c><c r="BB541" s="25"><f>(IF(ABS(U541)&lt;1.05,"CONFORME",IF(ABS(AG541)&lt;1.05,"CONFORME",IF(ABS(AS541)&lt;2.55,"CONFORME","NO CONFORME"))))</f><v /></c><c r="BC541" s="5"><f>(IF(ABS(U541)&gt;2.05,"NO CONFORME",IF(ABS(AG541)&gt;2.05,"NO CONFORME",IF(ABS(AS541)&gt;5.05,"NO CONFORME","CONFORME"))))</f><v /></c><c r="BD541" s="15"><f>SIGN(U541)</f><v /></c><c r="BE541" s="15"><f>SIGN(AG541)</f><v /></c><c r="BF541" s="15"><f>SIGN(AS541)</f><v /></c><c r="BG541" s="15"><f>CONCATENATE(BD541,BE541,BF541)</f><v /></c><c r="BH541" s="15"><f>IF(BG541="111","SI","SD")</f><v /></c><c r="BI541" s="15"><f>IF(BG541="-1-1-1","SI","SD")</f><v /></c><c r="BJ541" s="15"><f>OR(BH541="SI",BI541="SI")</f><v /></c><c r="BK541" s="15"><f>IF(BJ541=FALSE,"SIGDIFERENTES","SIGIGUALES")</f><v /></c><c r="BL541" s="22"><f>IF(BC541="NO CONFORME","NO CONFORME",IF(BB541="CONFORME","CONFORME","NO CONFORME"))</f><v /></c></row><row r="542" ht="15.75" customHeight="1" thickBot="1"><c r="A542" s="37" t="n"><v>534</v></c><c r="B542" s="324"><f>B541</f><v /></c><c r="C542" s="324"><f>C541</f><v /></c><c r="D542" s="94"><f>D541</f><v /></c><c r="E542" s="95"><f>E541</f><v /></c><c r="F542" s="13" t="n" /><c r="G542" s="334" t="n" /><c r="H542" s="326"><f>H541</f><v /></c><c r="I542" s="98"><f>I541</f><v /></c><c r="J542" s="327"><f>J541</f><v /></c><c r="K542" s="327"><f>K541</f><v /></c><c r="L542" s="327"><f>L541</f><v /></c><c r="M542" s="45" t="n" /><c r="N542" s="45" t="n" /><c r="O542" s="100"><f>O541</f><v /></c><c r="P542" s="328"><f>P541</f><v /></c><c r="Q542" s="11"><f>LEFT(P542,1)</f><v /></c><c r="R542" s="11"><f>RIGHT(P542,6)</f><v /></c><c r="S542" s="11"><f>+(Q542*60+R542)/(60*60)</f><v /></c><c r="T542" s="14"><f>+O542/S542</f><v /></c><c r="U542" s="316"><f>+(((N542-M542-O542)/O542)*100)</f><v /></c><c r="V542" s="329"><f>V541</f><v /></c><c r="W542" s="329"><f>W541</f><v /></c><c r="X542" s="330"><f>X541</f><v /></c><c r="Y542" s="45" t="n" /><c r="Z542" s="45" t="n" /><c r="AA542" s="331"><f>AA541</f><v /></c><c r="AB542" s="332"><f>AB541</f><v /></c><c r="AC542" s="11"><f>LEFT(AB542,2)</f><v /></c><c r="AD542" s="11"><f>RIGHT(AB542,6)</f><v /></c><c r="AE542" s="11"><f>+(AC542*60+AD542)/(60*60)</f><v /></c><c r="AF542" s="14"><f>+AA542/AE542</f><v /></c><c r="AG542" s="321"><f>+(((Z542-Y542-AA542)/AA542)*100)</f><v /></c><c r="AH542" s="329"><f>AH541</f><v /></c><c r="AI542" s="329"><f>AI541</f><v /></c><c r="AJ542" s="329"><f>AJ541</f><v /></c><c r="AK542" s="53"><f>Z542</f><v /></c><c r="AL542" s="45" t="n" /><c r="AM542" s="333"><f>AM541</f><v /></c><c r="AN542" s="328"><f>AN541</f><v /></c><c r="AO542" s="11"><f>LEFT(AN542,2)</f><v /></c><c r="AP542" s="11"><f>RIGHT(AN542,6)</f><v /></c><c r="AQ542" s="11"><f>+(AO542*60+AP542)/(60*60)</f><v /></c><c r="AR542" s="14"><f>+AM542/AQ542</f><v /></c><c r="AS542" s="321"><f>+(((AL542-AK542-AM542)/AM542)*100)</f><v /></c><c r="AT542" s="43"><f>IF(I542&gt;=1,"NO CONFORME",IF(BK542="SIGDIFERENTES",BC542,BL542))</f><v /></c><c r="AU542" s="8"><f>B542=C542</f><v /></c><c r="AV542" s="8"><f>N542&lt;Y542</f><v /></c><c r="AW542" s="8"><f>Z542&lt;=AK542</f><v /></c><c r="AX542" s="8"><f>IF(I542&gt;=1,"Qcorrecto",IF(AND(AY542="aceptable",AZ542="aceptable",BA542="aceptable"),"Qcorrecto","Qincorrecto"))</f><v /></c><c r="AY542" s="22"><f>IF(AR542&lt;$AH$6,"error",IF(AR542&gt;$AH$6*1.1,"error","aceptable"))</f><v /></c><c r="AZ542" s="22"><f>IF(AF542&lt;$V$6,"error",IF(AF542&gt;$V$6*1.1,"error","aceptable"))</f><v /></c><c r="BA542" s="22"><f>IF(T542&lt;$J$6*0.9,"error",IF(T542&gt;$J$6,"error","aceptable"))</f><v /></c><c r="BB542" s="25"><f>(IF(ABS(U542)&lt;1.05,"CONFORME",IF(ABS(AG542)&lt;1.05,"CONFORME",IF(ABS(AS542)&lt;2.55,"CONFORME","NO CONFORME"))))</f><v /></c><c r="BC542" s="5"><f>(IF(ABS(U542)&gt;2.05,"NO CONFORME",IF(ABS(AG542)&gt;2.05,"NO CONFORME",IF(ABS(AS542)&gt;5.05,"NO CONFORME","CONFORME"))))</f><v /></c><c r="BD542" s="15"><f>SIGN(U542)</f><v /></c><c r="BE542" s="15"><f>SIGN(AG542)</f><v /></c><c r="BF542" s="15"><f>SIGN(AS542)</f><v /></c><c r="BG542" s="15"><f>CONCATENATE(BD542,BE542,BF542)</f><v /></c><c r="BH542" s="15"><f>IF(BG542="111","SI","SD")</f><v /></c><c r="BI542" s="15"><f>IF(BG542="-1-1-1","SI","SD")</f><v /></c><c r="BJ542" s="15"><f>OR(BH542="SI",BI542="SI")</f><v /></c><c r="BK542" s="15"><f>IF(BJ542=FALSE,"SIGDIFERENTES","SIGIGUALES")</f><v /></c><c r="BL542" s="22"><f>IF(BC542="NO CONFORME","NO CONFORME",IF(BB542="CONFORME","CONFORME","NO CONFORME"))</f><v /></c></row><row r="543" ht="15.75" customHeight="1" thickBot="1"><c r="A543" s="37" t="n"><v>535</v></c><c r="B543" s="324"><f>B542</f><v /></c><c r="C543" s="324"><f>C542</f><v /></c><c r="D543" s="94"><f>D542</f><v /></c><c r="E543" s="95"><f>E542</f><v /></c><c r="F543" s="13" t="n" /><c r="G543" s="334" t="n" /><c r="H543" s="326"><f>H542</f><v /></c><c r="I543" s="98"><f>I542</f><v /></c><c r="J543" s="327"><f>J542</f><v /></c><c r="K543" s="327"><f>K542</f><v /></c><c r="L543" s="327"><f>L542</f><v /></c><c r="M543" s="45" t="n" /><c r="N543" s="45" t="n" /><c r="O543" s="100"><f>O542</f><v /></c><c r="P543" s="328"><f>P542</f><v /></c><c r="Q543" s="11"><f>LEFT(P543,1)</f><v /></c><c r="R543" s="11"><f>RIGHT(P543,6)</f><v /></c><c r="S543" s="11"><f>+(Q543*60+R543)/(60*60)</f><v /></c><c r="T543" s="14"><f>+O543/S543</f><v /></c><c r="U543" s="316"><f>+(((N543-M543-O543)/O543)*100)</f><v /></c><c r="V543" s="329"><f>V542</f><v /></c><c r="W543" s="329"><f>W542</f><v /></c><c r="X543" s="330"><f>X542</f><v /></c><c r="Y543" s="45" t="n" /><c r="Z543" s="45" t="n" /><c r="AA543" s="331"><f>AA542</f><v /></c><c r="AB543" s="332"><f>AB542</f><v /></c><c r="AC543" s="11"><f>LEFT(AB543,2)</f><v /></c><c r="AD543" s="11"><f>RIGHT(AB543,6)</f><v /></c><c r="AE543" s="11"><f>+(AC543*60+AD543)/(60*60)</f><v /></c><c r="AF543" s="14"><f>+AA543/AE543</f><v /></c><c r="AG543" s="321"><f>+(((Z543-Y543-AA543)/AA543)*100)</f><v /></c><c r="AH543" s="329"><f>AH542</f><v /></c><c r="AI543" s="329"><f>AI542</f><v /></c><c r="AJ543" s="329"><f>AJ542</f><v /></c><c r="AK543" s="53"><f>Z543</f><v /></c><c r="AL543" s="45" t="n" /><c r="AM543" s="333"><f>AM542</f><v /></c><c r="AN543" s="328"><f>AN542</f><v /></c><c r="AO543" s="11"><f>LEFT(AN543,2)</f><v /></c><c r="AP543" s="11"><f>RIGHT(AN543,6)</f><v /></c><c r="AQ543" s="11"><f>+(AO543*60+AP543)/(60*60)</f><v /></c><c r="AR543" s="14"><f>+AM543/AQ543</f><v /></c><c r="AS543" s="321"><f>+(((AL543-AK543-AM543)/AM543)*100)</f><v /></c><c r="AT543" s="43"><f>IF(I543&gt;=1,"NO CONFORME",IF(BK543="SIGDIFERENTES",BC543,BL543))</f><v /></c><c r="AU543" s="8"><f>B543=C543</f><v /></c><c r="AV543" s="8"><f>N543&lt;Y543</f><v /></c><c r="AW543" s="8"><f>Z543&lt;=AK543</f><v /></c><c r="AX543" s="8"><f>IF(I543&gt;=1,"Qcorrecto",IF(AND(AY543="aceptable",AZ543="aceptable",BA543="aceptable"),"Qcorrecto","Qincorrecto"))</f><v /></c><c r="AY543" s="22"><f>IF(AR543&lt;$AH$6,"error",IF(AR543&gt;$AH$6*1.1,"error","aceptable"))</f><v /></c><c r="AZ543" s="22"><f>IF(AF543&lt;$V$6,"error",IF(AF543&gt;$V$6*1.1,"error","aceptable"))</f><v /></c><c r="BA543" s="22"><f>IF(T543&lt;$J$6*0.9,"error",IF(T543&gt;$J$6,"error","aceptable"))</f><v /></c><c r="BB543" s="25"><f>(IF(ABS(U543)&lt;1.05,"CONFORME",IF(ABS(AG543)&lt;1.05,"CONFORME",IF(ABS(AS543)&lt;2.55,"CONFORME","NO CONFORME"))))</f><v /></c><c r="BC543" s="5"><f>(IF(ABS(U543)&gt;2.05,"NO CONFORME",IF(ABS(AG543)&gt;2.05,"NO CONFORME",IF(ABS(AS543)&gt;5.05,"NO CONFORME","CONFORME"))))</f><v /></c><c r="BD543" s="15"><f>SIGN(U543)</f><v /></c><c r="BE543" s="15"><f>SIGN(AG543)</f><v /></c><c r="BF543" s="15"><f>SIGN(AS543)</f><v /></c><c r="BG543" s="15"><f>CONCATENATE(BD543,BE543,BF543)</f><v /></c><c r="BH543" s="15"><f>IF(BG543="111","SI","SD")</f><v /></c><c r="BI543" s="15"><f>IF(BG543="-1-1-1","SI","SD")</f><v /></c><c r="BJ543" s="15"><f>OR(BH543="SI",BI543="SI")</f><v /></c><c r="BK543" s="15"><f>IF(BJ543=FALSE,"SIGDIFERENTES","SIGIGUALES")</f><v /></c><c r="BL543" s="22"><f>IF(BC543="NO CONFORME","NO CONFORME",IF(BB543="CONFORME","CONFORME","NO CONFORME"))</f><v /></c></row><row r="544" ht="15.75" customHeight="1" thickBot="1"><c r="A544" s="37" t="n"><v>536</v></c><c r="B544" s="324"><f>B543</f><v /></c><c r="C544" s="324"><f>C543</f><v /></c><c r="D544" s="94"><f>D543</f><v /></c><c r="E544" s="95"><f>E543</f><v /></c><c r="F544" s="13" t="n" /><c r="G544" s="312" t="n" /><c r="H544" s="326"><f>H543</f><v /></c><c r="I544" s="98"><f>I543</f><v /></c><c r="J544" s="327"><f>J543</f><v /></c><c r="K544" s="327"><f>K543</f><v /></c><c r="L544" s="327"><f>L543</f><v /></c><c r="M544" s="45" t="n" /><c r="N544" s="45" t="n" /><c r="O544" s="100"><f>O543</f><v /></c><c r="P544" s="328"><f>P543</f><v /></c><c r="Q544" s="11"><f>LEFT(P544,1)</f><v /></c><c r="R544" s="11"><f>RIGHT(P544,6)</f><v /></c><c r="S544" s="11"><f>+(Q544*60+R544)/(60*60)</f><v /></c><c r="T544" s="14"><f>+O544/S544</f><v /></c><c r="U544" s="316"><f>+(((N544-M544-O544)/O544)*100)</f><v /></c><c r="V544" s="329"><f>V543</f><v /></c><c r="W544" s="329"><f>W543</f><v /></c><c r="X544" s="330"><f>X543</f><v /></c><c r="Y544" s="45" t="n" /><c r="Z544" s="45" t="n" /><c r="AA544" s="331"><f>AA543</f><v /></c><c r="AB544" s="332"><f>AB543</f><v /></c><c r="AC544" s="11"><f>LEFT(AB544,2)</f><v /></c><c r="AD544" s="11"><f>RIGHT(AB544,6)</f><v /></c><c r="AE544" s="11"><f>+(AC544*60+AD544)/(60*60)</f><v /></c><c r="AF544" s="14"><f>+AA544/AE544</f><v /></c><c r="AG544" s="321"><f>+(((Z544-Y544-AA544)/AA544)*100)</f><v /></c><c r="AH544" s="329"><f>AH543</f><v /></c><c r="AI544" s="329"><f>AI543</f><v /></c><c r="AJ544" s="329"><f>AJ543</f><v /></c><c r="AK544" s="53"><f>Z544</f><v /></c><c r="AL544" s="45" t="n" /><c r="AM544" s="333"><f>AM543</f><v /></c><c r="AN544" s="328"><f>AN543</f><v /></c><c r="AO544" s="11"><f>LEFT(AN544,2)</f><v /></c><c r="AP544" s="11"><f>RIGHT(AN544,6)</f><v /></c><c r="AQ544" s="11"><f>+(AO544*60+AP544)/(60*60)</f><v /></c><c r="AR544" s="14"><f>+AM544/AQ544</f><v /></c><c r="AS544" s="321"><f>+(((AL544-AK544-AM544)/AM544)*100)</f><v /></c><c r="AT544" s="43"><f>IF(I544&gt;=1,"NO CONFORME",IF(BK544="SIGDIFERENTES",BC544,BL544))</f><v /></c><c r="AU544" s="8"><f>B544=C544</f><v /></c><c r="AV544" s="8"><f>N544&lt;Y544</f><v /></c><c r="AW544" s="8"><f>Z544&lt;=AK544</f><v /></c><c r="AX544" s="8"><f>IF(I544&gt;=1,"Qcorrecto",IF(AND(AY544="aceptable",AZ544="aceptable",BA544="aceptable"),"Qcorrecto","Qincorrecto"))</f><v /></c><c r="AY544" s="22"><f>IF(AR544&lt;$AH$6,"error",IF(AR544&gt;$AH$6*1.1,"error","aceptable"))</f><v /></c><c r="AZ544" s="22"><f>IF(AF544&lt;$V$6,"error",IF(AF544&gt;$V$6*1.1,"error","aceptable"))</f><v /></c><c r="BA544" s="22"><f>IF(T544&lt;$J$6*0.9,"error",IF(T544&gt;$J$6,"error","aceptable"))</f><v /></c><c r="BB544" s="25"><f>(IF(ABS(U544)&lt;1.05,"CONFORME",IF(ABS(AG544)&lt;1.05,"CONFORME",IF(ABS(AS544)&lt;2.55,"CONFORME","NO CONFORME"))))</f><v /></c><c r="BC544" s="5"><f>(IF(ABS(U544)&gt;2.05,"NO CONFORME",IF(ABS(AG544)&gt;2.05,"NO CONFORME",IF(ABS(AS544)&gt;5.05,"NO CONFORME","CONFORME"))))</f><v /></c><c r="BD544" s="15"><f>SIGN(U544)</f><v /></c><c r="BE544" s="15"><f>SIGN(AG544)</f><v /></c><c r="BF544" s="15"><f>SIGN(AS544)</f><v /></c><c r="BG544" s="15"><f>CONCATENATE(BD544,BE544,BF544)</f><v /></c><c r="BH544" s="15"><f>IF(BG544="111","SI","SD")</f><v /></c><c r="BI544" s="15"><f>IF(BG544="-1-1-1","SI","SD")</f><v /></c><c r="BJ544" s="15"><f>OR(BH544="SI",BI544="SI")</f><v /></c><c r="BK544" s="15"><f>IF(BJ544=FALSE,"SIGDIFERENTES","SIGIGUALES")</f><v /></c><c r="BL544" s="22"><f>IF(BC544="NO CONFORME","NO CONFORME",IF(BB544="CONFORME","CONFORME","NO CONFORME"))</f><v /></c></row><row r="545" ht="15.75" customHeight="1" thickBot="1"><c r="A545" s="37" t="n"><v>537</v></c><c r="B545" s="324"><f>B544</f><v /></c><c r="C545" s="324"><f>C544</f><v /></c><c r="D545" s="94"><f>D544</f><v /></c><c r="E545" s="95"><f>E544</f><v /></c><c r="F545" s="13" t="n" /><c r="G545" s="312" t="n" /><c r="H545" s="326"><f>H544</f><v /></c><c r="I545" s="98"><f>I544</f><v /></c><c r="J545" s="327"><f>J544</f><v /></c><c r="K545" s="327"><f>K544</f><v /></c><c r="L545" s="327"><f>L544</f><v /></c><c r="M545" s="45" t="n" /><c r="N545" s="45" t="n" /><c r="O545" s="100"><f>O544</f><v /></c><c r="P545" s="328"><f>P544</f><v /></c><c r="Q545" s="11"><f>LEFT(P545,1)</f><v /></c><c r="R545" s="11"><f>RIGHT(P545,6)</f><v /></c><c r="S545" s="11"><f>+(Q545*60+R545)/(60*60)</f><v /></c><c r="T545" s="14"><f>+O545/S545</f><v /></c><c r="U545" s="316"><f>+(((N545-M545-O545)/O545)*100)</f><v /></c><c r="V545" s="329"><f>V544</f><v /></c><c r="W545" s="329"><f>W544</f><v /></c><c r="X545" s="330"><f>X544</f><v /></c><c r="Y545" s="45" t="n" /><c r="Z545" s="45" t="n" /><c r="AA545" s="331"><f>AA544</f><v /></c><c r="AB545" s="332"><f>AB544</f><v /></c><c r="AC545" s="11"><f>LEFT(AB545,2)</f><v /></c><c r="AD545" s="11"><f>RIGHT(AB545,6)</f><v /></c><c r="AE545" s="11"><f>+(AC545*60+AD545)/(60*60)</f><v /></c><c r="AF545" s="14"><f>+AA545/AE545</f><v /></c><c r="AG545" s="321"><f>+(((Z545-Y545-AA545)/AA545)*100)</f><v /></c><c r="AH545" s="329"><f>AH544</f><v /></c><c r="AI545" s="329"><f>AI544</f><v /></c><c r="AJ545" s="329"><f>AJ544</f><v /></c><c r="AK545" s="53"><f>Z545</f><v /></c><c r="AL545" s="45" t="n" /><c r="AM545" s="333"><f>AM544</f><v /></c><c r="AN545" s="328"><f>AN544</f><v /></c><c r="AO545" s="11"><f>LEFT(AN545,2)</f><v /></c><c r="AP545" s="11"><f>RIGHT(AN545,6)</f><v /></c><c r="AQ545" s="11"><f>+(AO545*60+AP545)/(60*60)</f><v /></c><c r="AR545" s="14"><f>+AM545/AQ545</f><v /></c><c r="AS545" s="321"><f>+(((AL545-AK545-AM545)/AM545)*100)</f><v /></c><c r="AT545" s="43"><f>IF(I545&gt;=1,"NO CONFORME",IF(BK545="SIGDIFERENTES",BC545,BL545))</f><v /></c><c r="AU545" s="8"><f>B545=C545</f><v /></c><c r="AV545" s="8"><f>N545&lt;Y545</f><v /></c><c r="AW545" s="8"><f>Z545&lt;=AK545</f><v /></c><c r="AX545" s="8"><f>IF(I545&gt;=1,"Qcorrecto",IF(AND(AY545="aceptable",AZ545="aceptable",BA545="aceptable"),"Qcorrecto","Qincorrecto"))</f><v /></c><c r="AY545" s="22"><f>IF(AR545&lt;$AH$6,"error",IF(AR545&gt;$AH$6*1.1,"error","aceptable"))</f><v /></c><c r="AZ545" s="22"><f>IF(AF545&lt;$V$6,"error",IF(AF545&gt;$V$6*1.1,"error","aceptable"))</f><v /></c><c r="BA545" s="22"><f>IF(T545&lt;$J$6*0.9,"error",IF(T545&gt;$J$6,"error","aceptable"))</f><v /></c><c r="BB545" s="25"><f>(IF(ABS(U545)&lt;1.05,"CONFORME",IF(ABS(AG545)&lt;1.05,"CONFORME",IF(ABS(AS545)&lt;2.55,"CONFORME","NO CONFORME"))))</f><v /></c><c r="BC545" s="5"><f>(IF(ABS(U545)&gt;2.05,"NO CONFORME",IF(ABS(AG545)&gt;2.05,"NO CONFORME",IF(ABS(AS545)&gt;5.05,"NO CONFORME","CONFORME"))))</f><v /></c><c r="BD545" s="15"><f>SIGN(U545)</f><v /></c><c r="BE545" s="15"><f>SIGN(AG545)</f><v /></c><c r="BF545" s="15"><f>SIGN(AS545)</f><v /></c><c r="BG545" s="15"><f>CONCATENATE(BD545,BE545,BF545)</f><v /></c><c r="BH545" s="15"><f>IF(BG545="111","SI","SD")</f><v /></c><c r="BI545" s="15"><f>IF(BG545="-1-1-1","SI","SD")</f><v /></c><c r="BJ545" s="15"><f>OR(BH545="SI",BI545="SI")</f><v /></c><c r="BK545" s="15"><f>IF(BJ545=FALSE,"SIGDIFERENTES","SIGIGUALES")</f><v /></c><c r="BL545" s="22"><f>IF(BC545="NO CONFORME","NO CONFORME",IF(BB545="CONFORME","CONFORME","NO CONFORME"))</f><v /></c></row><row r="546" ht="15.75" customHeight="1" thickBot="1"><c r="A546" s="37" t="n"><v>538</v></c><c r="B546" s="324"><f>B545</f><v /></c><c r="C546" s="324"><f>C545</f><v /></c><c r="D546" s="94"><f>D545</f><v /></c><c r="E546" s="95"><f>E545</f><v /></c><c r="F546" s="13" t="n" /><c r="G546" s="312" t="n" /><c r="H546" s="326"><f>H545</f><v /></c><c r="I546" s="98"><f>I545</f><v /></c><c r="J546" s="327"><f>J545</f><v /></c><c r="K546" s="327"><f>K545</f><v /></c><c r="L546" s="327"><f>L545</f><v /></c><c r="M546" s="45" t="n" /><c r="N546" s="45" t="n" /><c r="O546" s="100"><f>O545</f><v /></c><c r="P546" s="328"><f>P545</f><v /></c><c r="Q546" s="11"><f>LEFT(P546,1)</f><v /></c><c r="R546" s="11"><f>RIGHT(P546,6)</f><v /></c><c r="S546" s="11"><f>+(Q546*60+R546)/(60*60)</f><v /></c><c r="T546" s="14"><f>+O546/S546</f><v /></c><c r="U546" s="316"><f>+(((N546-M546-O546)/O546)*100)</f><v /></c><c r="V546" s="329"><f>V545</f><v /></c><c r="W546" s="329"><f>W545</f><v /></c><c r="X546" s="330"><f>X545</f><v /></c><c r="Y546" s="45" t="n" /><c r="Z546" s="45" t="n" /><c r="AA546" s="331"><f>AA545</f><v /></c><c r="AB546" s="332"><f>AB545</f><v /></c><c r="AC546" s="11"><f>LEFT(AB546,2)</f><v /></c><c r="AD546" s="11"><f>RIGHT(AB546,6)</f><v /></c><c r="AE546" s="11"><f>+(AC546*60+AD546)/(60*60)</f><v /></c><c r="AF546" s="14"><f>+AA546/AE546</f><v /></c><c r="AG546" s="321"><f>+(((Z546-Y546-AA546)/AA546)*100)</f><v /></c><c r="AH546" s="329"><f>AH545</f><v /></c><c r="AI546" s="329"><f>AI545</f><v /></c><c r="AJ546" s="329"><f>AJ545</f><v /></c><c r="AK546" s="53"><f>Z546</f><v /></c><c r="AL546" s="45" t="n" /><c r="AM546" s="333"><f>AM545</f><v /></c><c r="AN546" s="328"><f>AN545</f><v /></c><c r="AO546" s="11"><f>LEFT(AN546,2)</f><v /></c><c r="AP546" s="11"><f>RIGHT(AN546,6)</f><v /></c><c r="AQ546" s="11"><f>+(AO546*60+AP546)/(60*60)</f><v /></c><c r="AR546" s="14"><f>+AM546/AQ546</f><v /></c><c r="AS546" s="321"><f>+(((AL546-AK546-AM546)/AM546)*100)</f><v /></c><c r="AT546" s="43"><f>IF(I546&gt;=1,"NO CONFORME",IF(BK546="SIGDIFERENTES",BC546,BL546))</f><v /></c><c r="AU546" s="8"><f>B546=C546</f><v /></c><c r="AV546" s="8"><f>N546&lt;Y546</f><v /></c><c r="AW546" s="8"><f>Z546&lt;=AK546</f><v /></c><c r="AX546" s="8"><f>IF(I546&gt;=1,"Qcorrecto",IF(AND(AY546="aceptable",AZ546="aceptable",BA546="aceptable"),"Qcorrecto","Qincorrecto"))</f><v /></c><c r="AY546" s="22"><f>IF(AR546&lt;$AH$6,"error",IF(AR546&gt;$AH$6*1.1,"error","aceptable"))</f><v /></c><c r="AZ546" s="22"><f>IF(AF546&lt;$V$6,"error",IF(AF546&gt;$V$6*1.1,"error","aceptable"))</f><v /></c><c r="BA546" s="22"><f>IF(T546&lt;$J$6*0.9,"error",IF(T546&gt;$J$6,"error","aceptable"))</f><v /></c><c r="BB546" s="25"><f>(IF(ABS(U546)&lt;1.05,"CONFORME",IF(ABS(AG546)&lt;1.05,"CONFORME",IF(ABS(AS546)&lt;2.55,"CONFORME","NO CONFORME"))))</f><v /></c><c r="BC546" s="5"><f>(IF(ABS(U546)&gt;2.05,"NO CONFORME",IF(ABS(AG546)&gt;2.05,"NO CONFORME",IF(ABS(AS546)&gt;5.05,"NO CONFORME","CONFORME"))))</f><v /></c><c r="BD546" s="15"><f>SIGN(U546)</f><v /></c><c r="BE546" s="15"><f>SIGN(AG546)</f><v /></c><c r="BF546" s="15"><f>SIGN(AS546)</f><v /></c><c r="BG546" s="15"><f>CONCATENATE(BD546,BE546,BF546)</f><v /></c><c r="BH546" s="15"><f>IF(BG546="111","SI","SD")</f><v /></c><c r="BI546" s="15"><f>IF(BG546="-1-1-1","SI","SD")</f><v /></c><c r="BJ546" s="15"><f>OR(BH546="SI",BI546="SI")</f><v /></c><c r="BK546" s="15"><f>IF(BJ546=FALSE,"SIGDIFERENTES","SIGIGUALES")</f><v /></c><c r="BL546" s="22"><f>IF(BC546="NO CONFORME","NO CONFORME",IF(BB546="CONFORME","CONFORME","NO CONFORME"))</f><v /></c></row><row r="547" ht="15.75" customHeight="1" thickBot="1"><c r="A547" s="37" t="n"><v>539</v></c><c r="B547" s="324"><f>B546</f><v /></c><c r="C547" s="324"><f>C546</f><v /></c><c r="D547" s="94"><f>D546</f><v /></c><c r="E547" s="95"><f>E546</f><v /></c><c r="F547" s="13" t="n" /><c r="G547" s="312" t="n" /><c r="H547" s="326"><f>H546</f><v /></c><c r="I547" s="98"><f>I546</f><v /></c><c r="J547" s="327"><f>J546</f><v /></c><c r="K547" s="327"><f>K546</f><v /></c><c r="L547" s="327"><f>L546</f><v /></c><c r="M547" s="45" t="n" /><c r="N547" s="45" t="n" /><c r="O547" s="100"><f>O546</f><v /></c><c r="P547" s="328"><f>P546</f><v /></c><c r="Q547" s="11"><f>LEFT(P547,1)</f><v /></c><c r="R547" s="11"><f>RIGHT(P547,6)</f><v /></c><c r="S547" s="11"><f>+(Q547*60+R547)/(60*60)</f><v /></c><c r="T547" s="14"><f>+O547/S547</f><v /></c><c r="U547" s="316"><f>+(((N547-M547-O547)/O547)*100)</f><v /></c><c r="V547" s="329"><f>V546</f><v /></c><c r="W547" s="329"><f>W546</f><v /></c><c r="X547" s="330"><f>X546</f><v /></c><c r="Y547" s="45" t="n" /><c r="Z547" s="45" t="n" /><c r="AA547" s="331"><f>AA546</f><v /></c><c r="AB547" s="332"><f>AB546</f><v /></c><c r="AC547" s="11"><f>LEFT(AB547,2)</f><v /></c><c r="AD547" s="11"><f>RIGHT(AB547,6)</f><v /></c><c r="AE547" s="11"><f>+(AC547*60+AD547)/(60*60)</f><v /></c><c r="AF547" s="14"><f>+AA547/AE547</f><v /></c><c r="AG547" s="321"><f>+(((Z547-Y547-AA547)/AA547)*100)</f><v /></c><c r="AH547" s="329"><f>AH546</f><v /></c><c r="AI547" s="329"><f>AI546</f><v /></c><c r="AJ547" s="329"><f>AJ546</f><v /></c><c r="AK547" s="53"><f>Z547</f><v /></c><c r="AL547" s="45" t="n" /><c r="AM547" s="333"><f>AM546</f><v /></c><c r="AN547" s="328"><f>AN546</f><v /></c><c r="AO547" s="11"><f>LEFT(AN547,2)</f><v /></c><c r="AP547" s="11"><f>RIGHT(AN547,6)</f><v /></c><c r="AQ547" s="11"><f>+(AO547*60+AP547)/(60*60)</f><v /></c><c r="AR547" s="14"><f>+AM547/AQ547</f><v /></c><c r="AS547" s="321"><f>+(((AL547-AK547-AM547)/AM547)*100)</f><v /></c><c r="AT547" s="43"><f>IF(I547&gt;=1,"NO CONFORME",IF(BK547="SIGDIFERENTES",BC547,BL547))</f><v /></c><c r="AU547" s="8"><f>B547=C547</f><v /></c><c r="AV547" s="8"><f>N547&lt;Y547</f><v /></c><c r="AW547" s="8"><f>Z547&lt;=AK547</f><v /></c><c r="AX547" s="8"><f>IF(I547&gt;=1,"Qcorrecto",IF(AND(AY547="aceptable",AZ547="aceptable",BA547="aceptable"),"Qcorrecto","Qincorrecto"))</f><v /></c><c r="AY547" s="22"><f>IF(AR547&lt;$AH$6,"error",IF(AR547&gt;$AH$6*1.1,"error","aceptable"))</f><v /></c><c r="AZ547" s="22"><f>IF(AF547&lt;$V$6,"error",IF(AF547&gt;$V$6*1.1,"error","aceptable"))</f><v /></c><c r="BA547" s="22"><f>IF(T547&lt;$J$6*0.9,"error",IF(T547&gt;$J$6,"error","aceptable"))</f><v /></c><c r="BB547" s="25"><f>(IF(ABS(U547)&lt;1.05,"CONFORME",IF(ABS(AG547)&lt;1.05,"CONFORME",IF(ABS(AS547)&lt;2.55,"CONFORME","NO CONFORME"))))</f><v /></c><c r="BC547" s="5"><f>(IF(ABS(U547)&gt;2.05,"NO CONFORME",IF(ABS(AG547)&gt;2.05,"NO CONFORME",IF(ABS(AS547)&gt;5.05,"NO CONFORME","CONFORME"))))</f><v /></c><c r="BD547" s="15"><f>SIGN(U547)</f><v /></c><c r="BE547" s="15"><f>SIGN(AG547)</f><v /></c><c r="BF547" s="15"><f>SIGN(AS547)</f><v /></c><c r="BG547" s="15"><f>CONCATENATE(BD547,BE547,BF547)</f><v /></c><c r="BH547" s="15"><f>IF(BG547="111","SI","SD")</f><v /></c><c r="BI547" s="15"><f>IF(BG547="-1-1-1","SI","SD")</f><v /></c><c r="BJ547" s="15"><f>OR(BH547="SI",BI547="SI")</f><v /></c><c r="BK547" s="15"><f>IF(BJ547=FALSE,"SIGDIFERENTES","SIGIGUALES")</f><v /></c><c r="BL547" s="22"><f>IF(BC547="NO CONFORME","NO CONFORME",IF(BB547="CONFORME","CONFORME","NO CONFORME"))</f><v /></c></row><row r="548" ht="15.75" customHeight="1" thickBot="1"><c r="A548" s="37" t="n"><v>540</v></c><c r="B548" s="324"><f>B547</f><v /></c><c r="C548" s="324"><f>C547</f><v /></c><c r="D548" s="94"><f>D547</f><v /></c><c r="E548" s="95"><f>E547</f><v /></c><c r="F548" s="52" t="n" /><c r="G548" s="336" t="n" /><c r="H548" s="326"><f>H547</f><v /></c><c r="I548" s="98"><f>I547</f><v /></c><c r="J548" s="327"><f>J547</f><v /></c><c r="K548" s="327"><f>K547</f><v /></c><c r="L548" s="327"><f>L547</f><v /></c><c r="M548" s="53" t="n" /><c r="N548" s="53" t="n" /><c r="O548" s="100"><f>O547</f><v /></c><c r="P548" s="328"><f>P547</f><v /></c><c r="Q548" s="11"><f>LEFT(P548,1)</f><v /></c><c r="R548" s="11"><f>RIGHT(P548,6)</f><v /></c><c r="S548" s="11"><f>+(Q548*60+R548)/(60*60)</f><v /></c><c r="T548" s="14"><f>+O548/S548</f><v /></c><c r="U548" s="316"><f>+(((N548-M548-O548)/O548)*100)</f><v /></c><c r="V548" s="329"><f>V547</f><v /></c><c r="W548" s="329"><f>W547</f><v /></c><c r="X548" s="330"><f>X547</f><v /></c><c r="Y548" s="53" t="n" /><c r="Z548" s="53" t="n" /><c r="AA548" s="331"><f>AA547</f><v /></c><c r="AB548" s="332"><f>AB547</f><v /></c><c r="AC548" s="11"><f>LEFT(AB548,2)</f><v /></c><c r="AD548" s="11"><f>RIGHT(AB548,6)</f><v /></c><c r="AE548" s="11"><f>+(AC548*60+AD548)/(60*60)</f><v /></c><c r="AF548" s="14"><f>+AA548/AE548</f><v /></c><c r="AG548" s="321"><f>+(((Z548-Y548-AA548)/AA548)*100)</f><v /></c><c r="AH548" s="329"><f>AH547</f><v /></c><c r="AI548" s="329"><f>AI547</f><v /></c><c r="AJ548" s="329"><f>AJ547</f><v /></c><c r="AK548" s="53"><f>Z548</f><v /></c><c r="AL548" s="53" t="n" /><c r="AM548" s="333"><f>AM547</f><v /></c><c r="AN548" s="328"><f>AN547</f><v /></c><c r="AO548" s="11"><f>LEFT(AN548,2)</f><v /></c><c r="AP548" s="11"><f>RIGHT(AN548,6)</f><v /></c><c r="AQ548" s="11"><f>+(AO548*60+AP548)/(60*60)</f><v /></c><c r="AR548" s="14"><f>+AM548/AQ548</f><v /></c><c r="AS548" s="321"><f>+(((AL548-AK548-AM548)/AM548)*100)</f><v /></c><c r="AT548" s="43"><f>IF(I548&gt;=1,"NO CONFORME",IF(BK548="SIGDIFERENTES",BC548,BL548))</f><v /></c><c r="AU548" s="8"><f>B548=C548</f><v /></c><c r="AV548" s="8"><f>N548&lt;Y548</f><v /></c><c r="AW548" s="8"><f>Z548&lt;=AK548</f><v /></c><c r="AX548" s="8"><f>IF(I548&gt;=1,"Qcorrecto",IF(AND(AY548="aceptable",AZ548="aceptable",BA548="aceptable"),"Qcorrecto","Qincorrecto"))</f><v /></c><c r="AY548" s="22"><f>IF(AR548&lt;$AH$6,"error",IF(AR548&gt;$AH$6*1.1,"error","aceptable"))</f><v /></c><c r="AZ548" s="22"><f>IF(AF548&lt;$V$6,"error",IF(AF548&gt;$V$6*1.1,"error","aceptable"))</f><v /></c><c r="BA548" s="22"><f>IF(T548&lt;$J$6*0.9,"error",IF(T548&gt;$J$6,"error","aceptable"))</f><v /></c><c r="BB548" s="25"><f>(IF(ABS(U548)&lt;1.05,"CONFORME",IF(ABS(AG548)&lt;1.05,"CONFORME",IF(ABS(AS548)&lt;2.55,"CONFORME","NO CONFORME"))))</f><v /></c><c r="BC548" s="5"><f>(IF(ABS(U548)&gt;2.05,"NO CONFORME",IF(ABS(AG548)&gt;2.05,"NO CONFORME",IF(ABS(AS548)&gt;5.05,"NO CONFORME","CONFORME"))))</f><v /></c><c r="BD548" s="15"><f>SIGN(U548)</f><v /></c><c r="BE548" s="15"><f>SIGN(AG548)</f><v /></c><c r="BF548" s="15"><f>SIGN(AS548)</f><v /></c><c r="BG548" s="15"><f>CONCATENATE(BD548,BE548,BF548)</f><v /></c><c r="BH548" s="15"><f>IF(BG548="111","SI","SD")</f><v /></c><c r="BI548" s="15"><f>IF(BG548="-1-1-1","SI","SD")</f><v /></c><c r="BJ548" s="15"><f>OR(BH548="SI",BI548="SI")</f><v /></c><c r="BK548" s="15"><f>IF(BJ548=FALSE,"SIGDIFERENTES","SIGIGUALES")</f><v /></c><c r="BL548" s="22"><f>IF(BC548="NO CONFORME","NO CONFORME",IF(BB548="CONFORME","CONFORME","NO CONFORME"))</f><v /></c></row><row r="549" ht="15.75" customHeight="1" thickBot="1"><c r="A549" s="37" t="n"><v>541</v></c><c r="B549" s="324"><f>B548</f><v /></c><c r="C549" s="324"><f>C548</f><v /></c><c r="D549" s="94"><f>D548</f><v /></c><c r="E549" s="95"><f>E548</f><v /></c><c r="F549" s="46" t="n" /><c r="G549" s="335" t="n" /><c r="H549" s="326"><f>H548</f><v /></c><c r="I549" s="98"><f>I548</f><v /></c><c r="J549" s="327"><f>J548</f><v /></c><c r="K549" s="327"><f>K548</f><v /></c><c r="L549" s="327"><f>L548</f><v /></c><c r="M549" s="47" t="n" /><c r="N549" s="47" t="n" /><c r="O549" s="100"><f>O548</f><v /></c><c r="P549" s="328"><f>P548</f><v /></c><c r="Q549" s="11"><f>LEFT(P549,1)</f><v /></c><c r="R549" s="11"><f>RIGHT(P549,6)</f><v /></c><c r="S549" s="11"><f>+(Q549*60+R549)/(60*60)</f><v /></c><c r="T549" s="14"><f>+O549/S549</f><v /></c><c r="U549" s="316"><f>+(((N549-M549-O549)/O549)*100)</f><v /></c><c r="V549" s="329"><f>V548</f><v /></c><c r="W549" s="329"><f>W548</f><v /></c><c r="X549" s="330"><f>X548</f><v /></c><c r="Y549" s="47" t="n" /><c r="Z549" s="47" t="n" /><c r="AA549" s="331"><f>AA548</f><v /></c><c r="AB549" s="332"><f>AB548</f><v /></c><c r="AC549" s="11"><f>LEFT(AB549,2)</f><v /></c><c r="AD549" s="11"><f>RIGHT(AB549,6)</f><v /></c><c r="AE549" s="11"><f>+(AC549*60+AD549)/(60*60)</f><v /></c><c r="AF549" s="14"><f>+AA549/AE549</f><v /></c><c r="AG549" s="321"><f>+(((Z549-Y549-AA549)/AA549)*100)</f><v /></c><c r="AH549" s="329"><f>AH548</f><v /></c><c r="AI549" s="329"><f>AI548</f><v /></c><c r="AJ549" s="329"><f>AJ548</f><v /></c><c r="AK549" s="53"><f>Z549</f><v /></c><c r="AL549" s="47" t="n" /><c r="AM549" s="333"><f>AM548</f><v /></c><c r="AN549" s="328"><f>AN548</f><v /></c><c r="AO549" s="11"><f>LEFT(AN549,2)</f><v /></c><c r="AP549" s="11"><f>RIGHT(AN549,6)</f><v /></c><c r="AQ549" s="11"><f>+(AO549*60+AP549)/(60*60)</f><v /></c><c r="AR549" s="14"><f>+AM549/AQ549</f><v /></c><c r="AS549" s="321"><f>+(((AL549-AK549-AM549)/AM549)*100)</f><v /></c><c r="AT549" s="43"><f>IF(I549&gt;=1,"NO CONFORME",IF(BK549="SIGDIFERENTES",BC549,BL549))</f><v /></c><c r="AU549" s="8"><f>B549=C549</f><v /></c><c r="AV549" s="8"><f>N549&lt;Y549</f><v /></c><c r="AW549" s="8"><f>Z549&lt;=AK549</f><v /></c><c r="AX549" s="8"><f>IF(I549&gt;=1,"Qcorrecto",IF(AND(AY549="aceptable",AZ549="aceptable",BA549="aceptable"),"Qcorrecto","Qincorrecto"))</f><v /></c><c r="AY549" s="22"><f>IF(AR549&lt;$AH$6,"error",IF(AR549&gt;$AH$6*1.1,"error","aceptable"))</f><v /></c><c r="AZ549" s="22"><f>IF(AF549&lt;$V$6,"error",IF(AF549&gt;$V$6*1.1,"error","aceptable"))</f><v /></c><c r="BA549" s="22"><f>IF(T549&lt;$J$6*0.9,"error",IF(T549&gt;$J$6,"error","aceptable"))</f><v /></c><c r="BB549" s="25"><f>(IF(ABS(U549)&lt;1.05,"CONFORME",IF(ABS(AG549)&lt;1.05,"CONFORME",IF(ABS(AS549)&lt;2.55,"CONFORME","NO CONFORME"))))</f><v /></c><c r="BC549" s="5"><f>(IF(ABS(U549)&gt;2.05,"NO CONFORME",IF(ABS(AG549)&gt;2.05,"NO CONFORME",IF(ABS(AS549)&gt;5.05,"NO CONFORME","CONFORME"))))</f><v /></c><c r="BD549" s="15"><f>SIGN(U549)</f><v /></c><c r="BE549" s="15"><f>SIGN(AG549)</f><v /></c><c r="BF549" s="15"><f>SIGN(AS549)</f><v /></c><c r="BG549" s="15"><f>CONCATENATE(BD549,BE549,BF549)</f><v /></c><c r="BH549" s="15"><f>IF(BG549="111","SI","SD")</f><v /></c><c r="BI549" s="15"><f>IF(BG549="-1-1-1","SI","SD")</f><v /></c><c r="BJ549" s="15"><f>OR(BH549="SI",BI549="SI")</f><v /></c><c r="BK549" s="15"><f>IF(BJ549=FALSE,"SIGDIFERENTES","SIGIGUALES")</f><v /></c><c r="BL549" s="22"><f>IF(BC549="NO CONFORME","NO CONFORME",IF(BB549="CONFORME","CONFORME","NO CONFORME"))</f><v /></c></row><row r="550" ht="15.75" customHeight="1" thickBot="1"><c r="A550" s="37" t="n"><v>542</v></c><c r="B550" s="324"><f>B549</f><v /></c><c r="C550" s="324"><f>C549</f><v /></c><c r="D550" s="94"><f>D549</f><v /></c><c r="E550" s="95"><f>E549</f><v /></c><c r="F550" s="13" t="n" /><c r="G550" s="300" t="n" /><c r="H550" s="326"><f>H549</f><v /></c><c r="I550" s="98"><f>I549</f><v /></c><c r="J550" s="327"><f>J549</f><v /></c><c r="K550" s="327"><f>K549</f><v /></c><c r="L550" s="327"><f>L549</f><v /></c><c r="M550" s="45" t="n" /><c r="N550" s="45" t="n" /><c r="O550" s="100"><f>O549</f><v /></c><c r="P550" s="328"><f>P549</f><v /></c><c r="Q550" s="11"><f>LEFT(P550,1)</f><v /></c><c r="R550" s="11"><f>RIGHT(P550,6)</f><v /></c><c r="S550" s="11"><f>+(Q550*60+R550)/(60*60)</f><v /></c><c r="T550" s="14"><f>+O550/S550</f><v /></c><c r="U550" s="316"><f>+(((N550-M550-O550)/O550)*100)</f><v /></c><c r="V550" s="329"><f>V549</f><v /></c><c r="W550" s="329"><f>W549</f><v /></c><c r="X550" s="330"><f>X549</f><v /></c><c r="Y550" s="45" t="n" /><c r="Z550" s="45" t="n" /><c r="AA550" s="331"><f>AA549</f><v /></c><c r="AB550" s="332"><f>AB549</f><v /></c><c r="AC550" s="11"><f>LEFT(AB550,2)</f><v /></c><c r="AD550" s="11"><f>RIGHT(AB550,6)</f><v /></c><c r="AE550" s="11"><f>+(AC550*60+AD550)/(60*60)</f><v /></c><c r="AF550" s="14"><f>+AA550/AE550</f><v /></c><c r="AG550" s="321"><f>+(((Z550-Y550-AA550)/AA550)*100)</f><v /></c><c r="AH550" s="329"><f>AH549</f><v /></c><c r="AI550" s="329"><f>AI549</f><v /></c><c r="AJ550" s="329"><f>AJ549</f><v /></c><c r="AK550" s="53"><f>Z550</f><v /></c><c r="AL550" s="45" t="n" /><c r="AM550" s="333"><f>AM549</f><v /></c><c r="AN550" s="328"><f>AN549</f><v /></c><c r="AO550" s="11"><f>LEFT(AN550,2)</f><v /></c><c r="AP550" s="11"><f>RIGHT(AN550,6)</f><v /></c><c r="AQ550" s="11"><f>+(AO550*60+AP550)/(60*60)</f><v /></c><c r="AR550" s="14"><f>+AM550/AQ550</f><v /></c><c r="AS550" s="321"><f>+(((AL550-AK550-AM550)/AM550)*100)</f><v /></c><c r="AT550" s="43"><f>IF(I550&gt;=1,"NO CONFORME",IF(BK550="SIGDIFERENTES",BC550,BL550))</f><v /></c><c r="AU550" s="8"><f>B550=C550</f><v /></c><c r="AV550" s="8"><f>N550&lt;Y550</f><v /></c><c r="AW550" s="8"><f>Z550&lt;=AK550</f><v /></c><c r="AX550" s="8"><f>IF(I550&gt;=1,"Qcorrecto",IF(AND(AY550="aceptable",AZ550="aceptable",BA550="aceptable"),"Qcorrecto","Qincorrecto"))</f><v /></c><c r="AY550" s="22"><f>IF(AR550&lt;$AH$6,"error",IF(AR550&gt;$AH$6*1.1,"error","aceptable"))</f><v /></c><c r="AZ550" s="22"><f>IF(AF550&lt;$V$6,"error",IF(AF550&gt;$V$6*1.1,"error","aceptable"))</f><v /></c><c r="BA550" s="22"><f>IF(T550&lt;$J$6*0.9,"error",IF(T550&gt;$J$6,"error","aceptable"))</f><v /></c><c r="BB550" s="25"><f>(IF(ABS(U550)&lt;1.05,"CONFORME",IF(ABS(AG550)&lt;1.05,"CONFORME",IF(ABS(AS550)&lt;2.55,"CONFORME","NO CONFORME"))))</f><v /></c><c r="BC550" s="5"><f>(IF(ABS(U550)&gt;2.05,"NO CONFORME",IF(ABS(AG550)&gt;2.05,"NO CONFORME",IF(ABS(AS550)&gt;5.05,"NO CONFORME","CONFORME"))))</f><v /></c><c r="BD550" s="15"><f>SIGN(U550)</f><v /></c><c r="BE550" s="15"><f>SIGN(AG550)</f><v /></c><c r="BF550" s="15"><f>SIGN(AS550)</f><v /></c><c r="BG550" s="15"><f>CONCATENATE(BD550,BE550,BF550)</f><v /></c><c r="BH550" s="15"><f>IF(BG550="111","SI","SD")</f><v /></c><c r="BI550" s="15"><f>IF(BG550="-1-1-1","SI","SD")</f><v /></c><c r="BJ550" s="15"><f>OR(BH550="SI",BI550="SI")</f><v /></c><c r="BK550" s="15"><f>IF(BJ550=FALSE,"SIGDIFERENTES","SIGIGUALES")</f><v /></c><c r="BL550" s="22"><f>IF(BC550="NO CONFORME","NO CONFORME",IF(BB550="CONFORME","CONFORME","NO CONFORME"))</f><v /></c></row><row r="551" ht="15.75" customHeight="1" thickBot="1"><c r="A551" s="37" t="n"><v>543</v></c><c r="B551" s="324"><f>B550</f><v /></c><c r="C551" s="324"><f>C550</f><v /></c><c r="D551" s="94"><f>D550</f><v /></c><c r="E551" s="95"><f>E550</f><v /></c><c r="F551" s="13" t="n" /><c r="G551" s="300" t="n" /><c r="H551" s="326"><f>H550</f><v /></c><c r="I551" s="98"><f>I550</f><v /></c><c r="J551" s="327"><f>J550</f><v /></c><c r="K551" s="327"><f>K550</f><v /></c><c r="L551" s="327"><f>L550</f><v /></c><c r="M551" s="45" t="n" /><c r="N551" s="45" t="n" /><c r="O551" s="100"><f>O550</f><v /></c><c r="P551" s="328"><f>P550</f><v /></c><c r="Q551" s="11"><f>LEFT(P551,1)</f><v /></c><c r="R551" s="11"><f>RIGHT(P551,6)</f><v /></c><c r="S551" s="11"><f>+(Q551*60+R551)/(60*60)</f><v /></c><c r="T551" s="14"><f>+O551/S551</f><v /></c><c r="U551" s="316"><f>+(((N551-M551-O551)/O551)*100)</f><v /></c><c r="V551" s="329"><f>V550</f><v /></c><c r="W551" s="329"><f>W550</f><v /></c><c r="X551" s="330"><f>X550</f><v /></c><c r="Y551" s="45" t="n" /><c r="Z551" s="45" t="n" /><c r="AA551" s="331"><f>AA550</f><v /></c><c r="AB551" s="332"><f>AB550</f><v /></c><c r="AC551" s="11"><f>LEFT(AB551,2)</f><v /></c><c r="AD551" s="11"><f>RIGHT(AB551,6)</f><v /></c><c r="AE551" s="11"><f>+(AC551*60+AD551)/(60*60)</f><v /></c><c r="AF551" s="14"><f>+AA551/AE551</f><v /></c><c r="AG551" s="321"><f>+(((Z551-Y551-AA551)/AA551)*100)</f><v /></c><c r="AH551" s="329"><f>AH550</f><v /></c><c r="AI551" s="329"><f>AI550</f><v /></c><c r="AJ551" s="329"><f>AJ550</f><v /></c><c r="AK551" s="53"><f>Z551</f><v /></c><c r="AL551" s="45" t="n" /><c r="AM551" s="333"><f>AM550</f><v /></c><c r="AN551" s="328"><f>AN550</f><v /></c><c r="AO551" s="11"><f>LEFT(AN551,2)</f><v /></c><c r="AP551" s="11"><f>RIGHT(AN551,6)</f><v /></c><c r="AQ551" s="11"><f>+(AO551*60+AP551)/(60*60)</f><v /></c><c r="AR551" s="14"><f>+AM551/AQ551</f><v /></c><c r="AS551" s="321"><f>+(((AL551-AK551-AM551)/AM551)*100)</f><v /></c><c r="AT551" s="43"><f>IF(I551&gt;=1,"NO CONFORME",IF(BK551="SIGDIFERENTES",BC551,BL551))</f><v /></c><c r="AU551" s="8"><f>B551=C551</f><v /></c><c r="AV551" s="8"><f>N551&lt;Y551</f><v /></c><c r="AW551" s="8"><f>Z551&lt;=AK551</f><v /></c><c r="AX551" s="8"><f>IF(I551&gt;=1,"Qcorrecto",IF(AND(AY551="aceptable",AZ551="aceptable",BA551="aceptable"),"Qcorrecto","Qincorrecto"))</f><v /></c><c r="AY551" s="22"><f>IF(AR551&lt;$AH$6,"error",IF(AR551&gt;$AH$6*1.1,"error","aceptable"))</f><v /></c><c r="AZ551" s="22"><f>IF(AF551&lt;$V$6,"error",IF(AF551&gt;$V$6*1.1,"error","aceptable"))</f><v /></c><c r="BA551" s="22"><f>IF(T551&lt;$J$6*0.9,"error",IF(T551&gt;$J$6,"error","aceptable"))</f><v /></c><c r="BB551" s="25"><f>(IF(ABS(U551)&lt;1.05,"CONFORME",IF(ABS(AG551)&lt;1.05,"CONFORME",IF(ABS(AS551)&lt;2.55,"CONFORME","NO CONFORME"))))</f><v /></c><c r="BC551" s="5"><f>(IF(ABS(U551)&gt;2.05,"NO CONFORME",IF(ABS(AG551)&gt;2.05,"NO CONFORME",IF(ABS(AS551)&gt;5.05,"NO CONFORME","CONFORME"))))</f><v /></c><c r="BD551" s="15"><f>SIGN(U551)</f><v /></c><c r="BE551" s="15"><f>SIGN(AG551)</f><v /></c><c r="BF551" s="15"><f>SIGN(AS551)</f><v /></c><c r="BG551" s="15"><f>CONCATENATE(BD551,BE551,BF551)</f><v /></c><c r="BH551" s="15"><f>IF(BG551="111","SI","SD")</f><v /></c><c r="BI551" s="15"><f>IF(BG551="-1-1-1","SI","SD")</f><v /></c><c r="BJ551" s="15"><f>OR(BH551="SI",BI551="SI")</f><v /></c><c r="BK551" s="15"><f>IF(BJ551=FALSE,"SIGDIFERENTES","SIGIGUALES")</f><v /></c><c r="BL551" s="22"><f>IF(BC551="NO CONFORME","NO CONFORME",IF(BB551="CONFORME","CONFORME","NO CONFORME"))</f><v /></c></row><row r="552" ht="15.75" customHeight="1" thickBot="1"><c r="A552" s="37" t="n"><v>544</v></c><c r="B552" s="324"><f>B551</f><v /></c><c r="C552" s="324"><f>C551</f><v /></c><c r="D552" s="94"><f>D551</f><v /></c><c r="E552" s="95"><f>E551</f><v /></c><c r="F552" s="13" t="n" /><c r="G552" s="300" t="n" /><c r="H552" s="326"><f>H551</f><v /></c><c r="I552" s="98"><f>I551</f><v /></c><c r="J552" s="327"><f>J551</f><v /></c><c r="K552" s="327"><f>K551</f><v /></c><c r="L552" s="327"><f>L551</f><v /></c><c r="M552" s="45" t="n" /><c r="N552" s="45" t="n" /><c r="O552" s="100"><f>O551</f><v /></c><c r="P552" s="328"><f>P551</f><v /></c><c r="Q552" s="11"><f>LEFT(P552,1)</f><v /></c><c r="R552" s="11"><f>RIGHT(P552,6)</f><v /></c><c r="S552" s="11"><f>+(Q552*60+R552)/(60*60)</f><v /></c><c r="T552" s="14"><f>+O552/S552</f><v /></c><c r="U552" s="316"><f>+(((N552-M552-O552)/O552)*100)</f><v /></c><c r="V552" s="329"><f>V551</f><v /></c><c r="W552" s="329"><f>W551</f><v /></c><c r="X552" s="330"><f>X551</f><v /></c><c r="Y552" s="45" t="n" /><c r="Z552" s="45" t="n" /><c r="AA552" s="331"><f>AA551</f><v /></c><c r="AB552" s="332"><f>AB551</f><v /></c><c r="AC552" s="11"><f>LEFT(AB552,2)</f><v /></c><c r="AD552" s="11"><f>RIGHT(AB552,6)</f><v /></c><c r="AE552" s="11"><f>+(AC552*60+AD552)/(60*60)</f><v /></c><c r="AF552" s="14"><f>+AA552/AE552</f><v /></c><c r="AG552" s="321"><f>+(((Z552-Y552-AA552)/AA552)*100)</f><v /></c><c r="AH552" s="329"><f>AH551</f><v /></c><c r="AI552" s="329"><f>AI551</f><v /></c><c r="AJ552" s="329"><f>AJ551</f><v /></c><c r="AK552" s="53"><f>Z552</f><v /></c><c r="AL552" s="45" t="n" /><c r="AM552" s="333"><f>AM551</f><v /></c><c r="AN552" s="328"><f>AN551</f><v /></c><c r="AO552" s="11"><f>LEFT(AN552,2)</f><v /></c><c r="AP552" s="11"><f>RIGHT(AN552,6)</f><v /></c><c r="AQ552" s="11"><f>+(AO552*60+AP552)/(60*60)</f><v /></c><c r="AR552" s="14"><f>+AM552/AQ552</f><v /></c><c r="AS552" s="321"><f>+(((AL552-AK552-AM552)/AM552)*100)</f><v /></c><c r="AT552" s="43"><f>IF(I552&gt;=1,"NO CONFORME",IF(BK552="SIGDIFERENTES",BC552,BL552))</f><v /></c><c r="AU552" s="8"><f>B552=C552</f><v /></c><c r="AV552" s="8"><f>N552&lt;Y552</f><v /></c><c r="AW552" s="8"><f>Z552&lt;=AK552</f><v /></c><c r="AX552" s="8"><f>IF(I552&gt;=1,"Qcorrecto",IF(AND(AY552="aceptable",AZ552="aceptable",BA552="aceptable"),"Qcorrecto","Qincorrecto"))</f><v /></c><c r="AY552" s="22"><f>IF(AR552&lt;$AH$6,"error",IF(AR552&gt;$AH$6*1.1,"error","aceptable"))</f><v /></c><c r="AZ552" s="22"><f>IF(AF552&lt;$V$6,"error",IF(AF552&gt;$V$6*1.1,"error","aceptable"))</f><v /></c><c r="BA552" s="22"><f>IF(T552&lt;$J$6*0.9,"error",IF(T552&gt;$J$6,"error","aceptable"))</f><v /></c><c r="BB552" s="25"><f>(IF(ABS(U552)&lt;1.05,"CONFORME",IF(ABS(AG552)&lt;1.05,"CONFORME",IF(ABS(AS552)&lt;2.55,"CONFORME","NO CONFORME"))))</f><v /></c><c r="BC552" s="5"><f>(IF(ABS(U552)&gt;2.05,"NO CONFORME",IF(ABS(AG552)&gt;2.05,"NO CONFORME",IF(ABS(AS552)&gt;5.05,"NO CONFORME","CONFORME"))))</f><v /></c><c r="BD552" s="15"><f>SIGN(U552)</f><v /></c><c r="BE552" s="15"><f>SIGN(AG552)</f><v /></c><c r="BF552" s="15"><f>SIGN(AS552)</f><v /></c><c r="BG552" s="15"><f>CONCATENATE(BD552,BE552,BF552)</f><v /></c><c r="BH552" s="15"><f>IF(BG552="111","SI","SD")</f><v /></c><c r="BI552" s="15"><f>IF(BG552="-1-1-1","SI","SD")</f><v /></c><c r="BJ552" s="15"><f>OR(BH552="SI",BI552="SI")</f><v /></c><c r="BK552" s="15"><f>IF(BJ552=FALSE,"SIGDIFERENTES","SIGIGUALES")</f><v /></c><c r="BL552" s="22"><f>IF(BC552="NO CONFORME","NO CONFORME",IF(BB552="CONFORME","CONFORME","NO CONFORME"))</f><v /></c></row><row r="553" ht="15.75" customHeight="1" thickBot="1"><c r="A553" s="37" t="n"><v>545</v></c><c r="B553" s="324"><f>B552</f><v /></c><c r="C553" s="324"><f>C552</f><v /></c><c r="D553" s="94"><f>D552</f><v /></c><c r="E553" s="95"><f>E552</f><v /></c><c r="F553" s="13" t="n" /><c r="G553" s="300" t="n" /><c r="H553" s="326"><f>H552</f><v /></c><c r="I553" s="98"><f>I552</f><v /></c><c r="J553" s="327"><f>J552</f><v /></c><c r="K553" s="327"><f>K552</f><v /></c><c r="L553" s="327"><f>L552</f><v /></c><c r="M553" s="45" t="n" /><c r="N553" s="45" t="n" /><c r="O553" s="100"><f>O552</f><v /></c><c r="P553" s="328"><f>P552</f><v /></c><c r="Q553" s="11"><f>LEFT(P553,1)</f><v /></c><c r="R553" s="11"><f>RIGHT(P553,6)</f><v /></c><c r="S553" s="11"><f>+(Q553*60+R553)/(60*60)</f><v /></c><c r="T553" s="14"><f>+O553/S553</f><v /></c><c r="U553" s="316"><f>+(((N553-M553-O553)/O553)*100)</f><v /></c><c r="V553" s="329"><f>V552</f><v /></c><c r="W553" s="329"><f>W552</f><v /></c><c r="X553" s="330"><f>X552</f><v /></c><c r="Y553" s="45" t="n" /><c r="Z553" s="45" t="n" /><c r="AA553" s="331"><f>AA552</f><v /></c><c r="AB553" s="332"><f>AB552</f><v /></c><c r="AC553" s="11"><f>LEFT(AB553,2)</f><v /></c><c r="AD553" s="11"><f>RIGHT(AB553,6)</f><v /></c><c r="AE553" s="11"><f>+(AC553*60+AD553)/(60*60)</f><v /></c><c r="AF553" s="14"><f>+AA553/AE553</f><v /></c><c r="AG553" s="321"><f>+(((Z553-Y553-AA553)/AA553)*100)</f><v /></c><c r="AH553" s="329"><f>AH552</f><v /></c><c r="AI553" s="329"><f>AI552</f><v /></c><c r="AJ553" s="329"><f>AJ552</f><v /></c><c r="AK553" s="53"><f>Z553</f><v /></c><c r="AL553" s="45" t="n" /><c r="AM553" s="333"><f>AM552</f><v /></c><c r="AN553" s="328"><f>AN552</f><v /></c><c r="AO553" s="11"><f>LEFT(AN553,2)</f><v /></c><c r="AP553" s="11"><f>RIGHT(AN553,6)</f><v /></c><c r="AQ553" s="11"><f>+(AO553*60+AP553)/(60*60)</f><v /></c><c r="AR553" s="14"><f>+AM553/AQ553</f><v /></c><c r="AS553" s="321"><f>+(((AL553-AK553-AM553)/AM553)*100)</f><v /></c><c r="AT553" s="43"><f>IF(I553&gt;=1,"NO CONFORME",IF(BK553="SIGDIFERENTES",BC553,BL553))</f><v /></c><c r="AU553" s="8"><f>B553=C553</f><v /></c><c r="AV553" s="8"><f>N553&lt;Y553</f><v /></c><c r="AW553" s="8"><f>Z553&lt;=AK553</f><v /></c><c r="AX553" s="8"><f>IF(I553&gt;=1,"Qcorrecto",IF(AND(AY553="aceptable",AZ553="aceptable",BA553="aceptable"),"Qcorrecto","Qincorrecto"))</f><v /></c><c r="AY553" s="22"><f>IF(AR553&lt;$AH$6,"error",IF(AR553&gt;$AH$6*1.1,"error","aceptable"))</f><v /></c><c r="AZ553" s="22"><f>IF(AF553&lt;$V$6,"error",IF(AF553&gt;$V$6*1.1,"error","aceptable"))</f><v /></c><c r="BA553" s="22"><f>IF(T553&lt;$J$6*0.9,"error",IF(T553&gt;$J$6,"error","aceptable"))</f><v /></c><c r="BB553" s="25"><f>(IF(ABS(U553)&lt;1.05,"CONFORME",IF(ABS(AG553)&lt;1.05,"CONFORME",IF(ABS(AS553)&lt;2.55,"CONFORME","NO CONFORME"))))</f><v /></c><c r="BC553" s="5"><f>(IF(ABS(U553)&gt;2.05,"NO CONFORME",IF(ABS(AG553)&gt;2.05,"NO CONFORME",IF(ABS(AS553)&gt;5.05,"NO CONFORME","CONFORME"))))</f><v /></c><c r="BD553" s="15"><f>SIGN(U553)</f><v /></c><c r="BE553" s="15"><f>SIGN(AG553)</f><v /></c><c r="BF553" s="15"><f>SIGN(AS553)</f><v /></c><c r="BG553" s="15"><f>CONCATENATE(BD553,BE553,BF553)</f><v /></c><c r="BH553" s="15"><f>IF(BG553="111","SI","SD")</f><v /></c><c r="BI553" s="15"><f>IF(BG553="-1-1-1","SI","SD")</f><v /></c><c r="BJ553" s="15"><f>OR(BH553="SI",BI553="SI")</f><v /></c><c r="BK553" s="15"><f>IF(BJ553=FALSE,"SIGDIFERENTES","SIGIGUALES")</f><v /></c><c r="BL553" s="22"><f>IF(BC553="NO CONFORME","NO CONFORME",IF(BB553="CONFORME","CONFORME","NO CONFORME"))</f><v /></c></row><row r="554" ht="15.75" customHeight="1" thickBot="1"><c r="A554" s="37" t="n"><v>546</v></c><c r="B554" s="324"><f>B553</f><v /></c><c r="C554" s="324"><f>C553</f><v /></c><c r="D554" s="94"><f>D553</f><v /></c><c r="E554" s="95"><f>E553</f><v /></c><c r="F554" s="13" t="n" /><c r="G554" s="300" t="n" /><c r="H554" s="326"><f>H553</f><v /></c><c r="I554" s="98"><f>I553</f><v /></c><c r="J554" s="327"><f>J553</f><v /></c><c r="K554" s="327"><f>K553</f><v /></c><c r="L554" s="327"><f>L553</f><v /></c><c r="M554" s="45" t="n" /><c r="N554" s="45" t="n" /><c r="O554" s="100"><f>O553</f><v /></c><c r="P554" s="328"><f>P553</f><v /></c><c r="Q554" s="11"><f>LEFT(P554,1)</f><v /></c><c r="R554" s="11"><f>RIGHT(P554,6)</f><v /></c><c r="S554" s="11"><f>+(Q554*60+R554)/(60*60)</f><v /></c><c r="T554" s="14"><f>+O554/S554</f><v /></c><c r="U554" s="316"><f>+(((N554-M554-O554)/O554)*100)</f><v /></c><c r="V554" s="329"><f>V553</f><v /></c><c r="W554" s="329"><f>W553</f><v /></c><c r="X554" s="330"><f>X553</f><v /></c><c r="Y554" s="45" t="n" /><c r="Z554" s="45" t="n" /><c r="AA554" s="331"><f>AA553</f><v /></c><c r="AB554" s="332"><f>AB553</f><v /></c><c r="AC554" s="11"><f>LEFT(AB554,2)</f><v /></c><c r="AD554" s="11"><f>RIGHT(AB554,6)</f><v /></c><c r="AE554" s="11"><f>+(AC554*60+AD554)/(60*60)</f><v /></c><c r="AF554" s="14"><f>+AA554/AE554</f><v /></c><c r="AG554" s="321"><f>+(((Z554-Y554-AA554)/AA554)*100)</f><v /></c><c r="AH554" s="329"><f>AH553</f><v /></c><c r="AI554" s="329"><f>AI553</f><v /></c><c r="AJ554" s="329"><f>AJ553</f><v /></c><c r="AK554" s="53"><f>Z554</f><v /></c><c r="AL554" s="45" t="n" /><c r="AM554" s="333"><f>AM553</f><v /></c><c r="AN554" s="328"><f>AN553</f><v /></c><c r="AO554" s="11"><f>LEFT(AN554,2)</f><v /></c><c r="AP554" s="11"><f>RIGHT(AN554,6)</f><v /></c><c r="AQ554" s="11"><f>+(AO554*60+AP554)/(60*60)</f><v /></c><c r="AR554" s="14"><f>+AM554/AQ554</f><v /></c><c r="AS554" s="321"><f>+(((AL554-AK554-AM554)/AM554)*100)</f><v /></c><c r="AT554" s="43"><f>IF(I554&gt;=1,"NO CONFORME",IF(BK554="SIGDIFERENTES",BC554,BL554))</f><v /></c><c r="AU554" s="8"><f>B554=C554</f><v /></c><c r="AV554" s="8"><f>N554&lt;Y554</f><v /></c><c r="AW554" s="8"><f>Z554&lt;=AK554</f><v /></c><c r="AX554" s="8"><f>IF(I554&gt;=1,"Qcorrecto",IF(AND(AY554="aceptable",AZ554="aceptable",BA554="aceptable"),"Qcorrecto","Qincorrecto"))</f><v /></c><c r="AY554" s="22"><f>IF(AR554&lt;$AH$6,"error",IF(AR554&gt;$AH$6*1.1,"error","aceptable"))</f><v /></c><c r="AZ554" s="22"><f>IF(AF554&lt;$V$6,"error",IF(AF554&gt;$V$6*1.1,"error","aceptable"))</f><v /></c><c r="BA554" s="22"><f>IF(T554&lt;$J$6*0.9,"error",IF(T554&gt;$J$6,"error","aceptable"))</f><v /></c><c r="BB554" s="25"><f>(IF(ABS(U554)&lt;1.05,"CONFORME",IF(ABS(AG554)&lt;1.05,"CONFORME",IF(ABS(AS554)&lt;2.55,"CONFORME","NO CONFORME"))))</f><v /></c><c r="BC554" s="5"><f>(IF(ABS(U554)&gt;2.05,"NO CONFORME",IF(ABS(AG554)&gt;2.05,"NO CONFORME",IF(ABS(AS554)&gt;5.05,"NO CONFORME","CONFORME"))))</f><v /></c><c r="BD554" s="15"><f>SIGN(U554)</f><v /></c><c r="BE554" s="15"><f>SIGN(AG554)</f><v /></c><c r="BF554" s="15"><f>SIGN(AS554)</f><v /></c><c r="BG554" s="15"><f>CONCATENATE(BD554,BE554,BF554)</f><v /></c><c r="BH554" s="15"><f>IF(BG554="111","SI","SD")</f><v /></c><c r="BI554" s="15"><f>IF(BG554="-1-1-1","SI","SD")</f><v /></c><c r="BJ554" s="15"><f>OR(BH554="SI",BI554="SI")</f><v /></c><c r="BK554" s="15"><f>IF(BJ554=FALSE,"SIGDIFERENTES","SIGIGUALES")</f><v /></c><c r="BL554" s="22"><f>IF(BC554="NO CONFORME","NO CONFORME",IF(BB554="CONFORME","CONFORME","NO CONFORME"))</f><v /></c></row><row r="555" ht="15.75" customHeight="1" thickBot="1"><c r="A555" s="37" t="n"><v>547</v></c><c r="B555" s="324"><f>B554</f><v /></c><c r="C555" s="324"><f>C554</f><v /></c><c r="D555" s="94"><f>D554</f><v /></c><c r="E555" s="95"><f>E554</f><v /></c><c r="F555" s="13" t="n" /><c r="G555" s="300" t="n" /><c r="H555" s="326"><f>H554</f><v /></c><c r="I555" s="98"><f>I554</f><v /></c><c r="J555" s="327"><f>J554</f><v /></c><c r="K555" s="327"><f>K554</f><v /></c><c r="L555" s="327"><f>L554</f><v /></c><c r="M555" s="45" t="n" /><c r="N555" s="45" t="n" /><c r="O555" s="100"><f>O554</f><v /></c><c r="P555" s="328"><f>P554</f><v /></c><c r="Q555" s="11"><f>LEFT(P555,1)</f><v /></c><c r="R555" s="11"><f>RIGHT(P555,6)</f><v /></c><c r="S555" s="11"><f>+(Q555*60+R555)/(60*60)</f><v /></c><c r="T555" s="14"><f>+O555/S555</f><v /></c><c r="U555" s="316"><f>+(((N555-M555-O555)/O555)*100)</f><v /></c><c r="V555" s="329"><f>V554</f><v /></c><c r="W555" s="329"><f>W554</f><v /></c><c r="X555" s="330"><f>X554</f><v /></c><c r="Y555" s="45" t="n" /><c r="Z555" s="45" t="n" /><c r="AA555" s="331"><f>AA554</f><v /></c><c r="AB555" s="332"><f>AB554</f><v /></c><c r="AC555" s="11"><f>LEFT(AB555,2)</f><v /></c><c r="AD555" s="11"><f>RIGHT(AB555,6)</f><v /></c><c r="AE555" s="11"><f>+(AC555*60+AD555)/(60*60)</f><v /></c><c r="AF555" s="14"><f>+AA555/AE555</f><v /></c><c r="AG555" s="321"><f>+(((Z555-Y555-AA555)/AA555)*100)</f><v /></c><c r="AH555" s="329"><f>AH554</f><v /></c><c r="AI555" s="329"><f>AI554</f><v /></c><c r="AJ555" s="329"><f>AJ554</f><v /></c><c r="AK555" s="53"><f>Z555</f><v /></c><c r="AL555" s="45" t="n" /><c r="AM555" s="333"><f>AM554</f><v /></c><c r="AN555" s="328"><f>AN554</f><v /></c><c r="AO555" s="11"><f>LEFT(AN555,2)</f><v /></c><c r="AP555" s="11"><f>RIGHT(AN555,6)</f><v /></c><c r="AQ555" s="11"><f>+(AO555*60+AP555)/(60*60)</f><v /></c><c r="AR555" s="14"><f>+AM555/AQ555</f><v /></c><c r="AS555" s="321"><f>+(((AL555-AK555-AM555)/AM555)*100)</f><v /></c><c r="AT555" s="43"><f>IF(I555&gt;=1,"NO CONFORME",IF(BK555="SIGDIFERENTES",BC555,BL555))</f><v /></c><c r="AU555" s="8"><f>B555=C555</f><v /></c><c r="AV555" s="8"><f>N555&lt;Y555</f><v /></c><c r="AW555" s="8"><f>Z555&lt;=AK555</f><v /></c><c r="AX555" s="8"><f>IF(I555&gt;=1,"Qcorrecto",IF(AND(AY555="aceptable",AZ555="aceptable",BA555="aceptable"),"Qcorrecto","Qincorrecto"))</f><v /></c><c r="AY555" s="22"><f>IF(AR555&lt;$AH$6,"error",IF(AR555&gt;$AH$6*1.1,"error","aceptable"))</f><v /></c><c r="AZ555" s="22"><f>IF(AF555&lt;$V$6,"error",IF(AF555&gt;$V$6*1.1,"error","aceptable"))</f><v /></c><c r="BA555" s="22"><f>IF(T555&lt;$J$6*0.9,"error",IF(T555&gt;$J$6,"error","aceptable"))</f><v /></c><c r="BB555" s="25"><f>(IF(ABS(U555)&lt;1.05,"CONFORME",IF(ABS(AG555)&lt;1.05,"CONFORME",IF(ABS(AS555)&lt;2.55,"CONFORME","NO CONFORME"))))</f><v /></c><c r="BC555" s="5"><f>(IF(ABS(U555)&gt;2.05,"NO CONFORME",IF(ABS(AG555)&gt;2.05,"NO CONFORME",IF(ABS(AS555)&gt;5.05,"NO CONFORME","CONFORME"))))</f><v /></c><c r="BD555" s="15"><f>SIGN(U555)</f><v /></c><c r="BE555" s="15"><f>SIGN(AG555)</f><v /></c><c r="BF555" s="15"><f>SIGN(AS555)</f><v /></c><c r="BG555" s="15"><f>CONCATENATE(BD555,BE555,BF555)</f><v /></c><c r="BH555" s="15"><f>IF(BG555="111","SI","SD")</f><v /></c><c r="BI555" s="15"><f>IF(BG555="-1-1-1","SI","SD")</f><v /></c><c r="BJ555" s="15"><f>OR(BH555="SI",BI555="SI")</f><v /></c><c r="BK555" s="15"><f>IF(BJ555=FALSE,"SIGDIFERENTES","SIGIGUALES")</f><v /></c><c r="BL555" s="22"><f>IF(BC555="NO CONFORME","NO CONFORME",IF(BB555="CONFORME","CONFORME","NO CONFORME"))</f><v /></c></row><row r="556" ht="15.75" customHeight="1" thickBot="1"><c r="A556" s="37" t="n"><v>548</v></c><c r="B556" s="324"><f>B555</f><v /></c><c r="C556" s="324"><f>C555</f><v /></c><c r="D556" s="94"><f>D555</f><v /></c><c r="E556" s="95"><f>E555</f><v /></c><c r="F556" s="13" t="n" /><c r="G556" s="300" t="n" /><c r="H556" s="326"><f>H555</f><v /></c><c r="I556" s="98"><f>I555</f><v /></c><c r="J556" s="327"><f>J555</f><v /></c><c r="K556" s="327"><f>K555</f><v /></c><c r="L556" s="327"><f>L555</f><v /></c><c r="M556" s="45" t="n" /><c r="N556" s="45" t="n" /><c r="O556" s="100"><f>O555</f><v /></c><c r="P556" s="328"><f>P555</f><v /></c><c r="Q556" s="11"><f>LEFT(P556,1)</f><v /></c><c r="R556" s="11"><f>RIGHT(P556,6)</f><v /></c><c r="S556" s="11"><f>+(Q556*60+R556)/(60*60)</f><v /></c><c r="T556" s="14"><f>+O556/S556</f><v /></c><c r="U556" s="316"><f>+(((N556-M556-O556)/O556)*100)</f><v /></c><c r="V556" s="329"><f>V555</f><v /></c><c r="W556" s="329"><f>W555</f><v /></c><c r="X556" s="330"><f>X555</f><v /></c><c r="Y556" s="45" t="n" /><c r="Z556" s="45" t="n" /><c r="AA556" s="331"><f>AA555</f><v /></c><c r="AB556" s="332"><f>AB555</f><v /></c><c r="AC556" s="11"><f>LEFT(AB556,2)</f><v /></c><c r="AD556" s="11"><f>RIGHT(AB556,6)</f><v /></c><c r="AE556" s="11"><f>+(AC556*60+AD556)/(60*60)</f><v /></c><c r="AF556" s="14"><f>+AA556/AE556</f><v /></c><c r="AG556" s="321"><f>+(((Z556-Y556-AA556)/AA556)*100)</f><v /></c><c r="AH556" s="329"><f>AH555</f><v /></c><c r="AI556" s="329"><f>AI555</f><v /></c><c r="AJ556" s="329"><f>AJ555</f><v /></c><c r="AK556" s="53"><f>Z556</f><v /></c><c r="AL556" s="45" t="n" /><c r="AM556" s="333"><f>AM555</f><v /></c><c r="AN556" s="328"><f>AN555</f><v /></c><c r="AO556" s="11"><f>LEFT(AN556,2)</f><v /></c><c r="AP556" s="11"><f>RIGHT(AN556,6)</f><v /></c><c r="AQ556" s="11"><f>+(AO556*60+AP556)/(60*60)</f><v /></c><c r="AR556" s="14"><f>+AM556/AQ556</f><v /></c><c r="AS556" s="321"><f>+(((AL556-AK556-AM556)/AM556)*100)</f><v /></c><c r="AT556" s="43"><f>IF(I556&gt;=1,"NO CONFORME",IF(BK556="SIGDIFERENTES",BC556,BL556))</f><v /></c><c r="AU556" s="8"><f>B556=C556</f><v /></c><c r="AV556" s="8"><f>N556&lt;Y556</f><v /></c><c r="AW556" s="8"><f>Z556&lt;=AK556</f><v /></c><c r="AX556" s="8"><f>IF(I556&gt;=1,"Qcorrecto",IF(AND(AY556="aceptable",AZ556="aceptable",BA556="aceptable"),"Qcorrecto","Qincorrecto"))</f><v /></c><c r="AY556" s="22"><f>IF(AR556&lt;$AH$6,"error",IF(AR556&gt;$AH$6*1.1,"error","aceptable"))</f><v /></c><c r="AZ556" s="22"><f>IF(AF556&lt;$V$6,"error",IF(AF556&gt;$V$6*1.1,"error","aceptable"))</f><v /></c><c r="BA556" s="22"><f>IF(T556&lt;$J$6*0.9,"error",IF(T556&gt;$J$6,"error","aceptable"))</f><v /></c><c r="BB556" s="25"><f>(IF(ABS(U556)&lt;1.05,"CONFORME",IF(ABS(AG556)&lt;1.05,"CONFORME",IF(ABS(AS556)&lt;2.55,"CONFORME","NO CONFORME"))))</f><v /></c><c r="BC556" s="5"><f>(IF(ABS(U556)&gt;2.05,"NO CONFORME",IF(ABS(AG556)&gt;2.05,"NO CONFORME",IF(ABS(AS556)&gt;5.05,"NO CONFORME","CONFORME"))))</f><v /></c><c r="BD556" s="15"><f>SIGN(U556)</f><v /></c><c r="BE556" s="15"><f>SIGN(AG556)</f><v /></c><c r="BF556" s="15"><f>SIGN(AS556)</f><v /></c><c r="BG556" s="15"><f>CONCATENATE(BD556,BE556,BF556)</f><v /></c><c r="BH556" s="15"><f>IF(BG556="111","SI","SD")</f><v /></c><c r="BI556" s="15"><f>IF(BG556="-1-1-1","SI","SD")</f><v /></c><c r="BJ556" s="15"><f>OR(BH556="SI",BI556="SI")</f><v /></c><c r="BK556" s="15"><f>IF(BJ556=FALSE,"SIGDIFERENTES","SIGIGUALES")</f><v /></c><c r="BL556" s="22"><f>IF(BC556="NO CONFORME","NO CONFORME",IF(BB556="CONFORME","CONFORME","NO CONFORME"))</f><v /></c></row><row r="557" ht="15.75" customHeight="1" thickBot="1"><c r="A557" s="37" t="n"><v>549</v></c><c r="B557" s="324"><f>B556</f><v /></c><c r="C557" s="324"><f>C556</f><v /></c><c r="D557" s="94"><f>D556</f><v /></c><c r="E557" s="95"><f>E556</f><v /></c><c r="F557" s="13" t="n" /><c r="G557" s="300" t="n" /><c r="H557" s="326"><f>H556</f><v /></c><c r="I557" s="98"><f>I556</f><v /></c><c r="J557" s="327"><f>J556</f><v /></c><c r="K557" s="327"><f>K556</f><v /></c><c r="L557" s="327"><f>L556</f><v /></c><c r="M557" s="45" t="n" /><c r="N557" s="45" t="n" /><c r="O557" s="100"><f>O556</f><v /></c><c r="P557" s="328"><f>P556</f><v /></c><c r="Q557" s="11"><f>LEFT(P557,1)</f><v /></c><c r="R557" s="11"><f>RIGHT(P557,6)</f><v /></c><c r="S557" s="11"><f>+(Q557*60+R557)/(60*60)</f><v /></c><c r="T557" s="14"><f>+O557/S557</f><v /></c><c r="U557" s="316"><f>+(((N557-M557-O557)/O557)*100)</f><v /></c><c r="V557" s="329"><f>V556</f><v /></c><c r="W557" s="329"><f>W556</f><v /></c><c r="X557" s="330"><f>X556</f><v /></c><c r="Y557" s="45" t="n" /><c r="Z557" s="45" t="n" /><c r="AA557" s="331"><f>AA556</f><v /></c><c r="AB557" s="332"><f>AB556</f><v /></c><c r="AC557" s="11"><f>LEFT(AB557,2)</f><v /></c><c r="AD557" s="11"><f>RIGHT(AB557,6)</f><v /></c><c r="AE557" s="11"><f>+(AC557*60+AD557)/(60*60)</f><v /></c><c r="AF557" s="14"><f>+AA557/AE557</f><v /></c><c r="AG557" s="321"><f>+(((Z557-Y557-AA557)/AA557)*100)</f><v /></c><c r="AH557" s="329"><f>AH556</f><v /></c><c r="AI557" s="329"><f>AI556</f><v /></c><c r="AJ557" s="329"><f>AJ556</f><v /></c><c r="AK557" s="53"><f>Z557</f><v /></c><c r="AL557" s="45" t="n" /><c r="AM557" s="333"><f>AM556</f><v /></c><c r="AN557" s="328"><f>AN556</f><v /></c><c r="AO557" s="11"><f>LEFT(AN557,2)</f><v /></c><c r="AP557" s="11"><f>RIGHT(AN557,6)</f><v /></c><c r="AQ557" s="11"><f>+(AO557*60+AP557)/(60*60)</f><v /></c><c r="AR557" s="14"><f>+AM557/AQ557</f><v /></c><c r="AS557" s="321"><f>+(((AL557-AK557-AM557)/AM557)*100)</f><v /></c><c r="AT557" s="43"><f>IF(I557&gt;=1,"NO CONFORME",IF(BK557="SIGDIFERENTES",BC557,BL557))</f><v /></c><c r="AU557" s="8"><f>B557=C557</f><v /></c><c r="AV557" s="8"><f>N557&lt;Y557</f><v /></c><c r="AW557" s="8"><f>Z557&lt;=AK557</f><v /></c><c r="AX557" s="8"><f>IF(I557&gt;=1,"Qcorrecto",IF(AND(AY557="aceptable",AZ557="aceptable",BA557="aceptable"),"Qcorrecto","Qincorrecto"))</f><v /></c><c r="AY557" s="22"><f>IF(AR557&lt;$AH$6,"error",IF(AR557&gt;$AH$6*1.1,"error","aceptable"))</f><v /></c><c r="AZ557" s="22"><f>IF(AF557&lt;$V$6,"error",IF(AF557&gt;$V$6*1.1,"error","aceptable"))</f><v /></c><c r="BA557" s="22"><f>IF(T557&lt;$J$6*0.9,"error",IF(T557&gt;$J$6,"error","aceptable"))</f><v /></c><c r="BB557" s="25"><f>(IF(ABS(U557)&lt;1.05,"CONFORME",IF(ABS(AG557)&lt;1.05,"CONFORME",IF(ABS(AS557)&lt;2.55,"CONFORME","NO CONFORME"))))</f><v /></c><c r="BC557" s="5"><f>(IF(ABS(U557)&gt;2.05,"NO CONFORME",IF(ABS(AG557)&gt;2.05,"NO CONFORME",IF(ABS(AS557)&gt;5.05,"NO CONFORME","CONFORME"))))</f><v /></c><c r="BD557" s="15"><f>SIGN(U557)</f><v /></c><c r="BE557" s="15"><f>SIGN(AG557)</f><v /></c><c r="BF557" s="15"><f>SIGN(AS557)</f><v /></c><c r="BG557" s="15"><f>CONCATENATE(BD557,BE557,BF557)</f><v /></c><c r="BH557" s="15"><f>IF(BG557="111","SI","SD")</f><v /></c><c r="BI557" s="15"><f>IF(BG557="-1-1-1","SI","SD")</f><v /></c><c r="BJ557" s="15"><f>OR(BH557="SI",BI557="SI")</f><v /></c><c r="BK557" s="15"><f>IF(BJ557=FALSE,"SIGDIFERENTES","SIGIGUALES")</f><v /></c><c r="BL557" s="22"><f>IF(BC557="NO CONFORME","NO CONFORME",IF(BB557="CONFORME","CONFORME","NO CONFORME"))</f><v /></c></row><row r="558" ht="15.75" customHeight="1" thickBot="1"><c r="A558" s="37" t="n"><v>550</v></c><c r="B558" s="324"><f>B557</f><v /></c><c r="C558" s="324"><f>C557</f><v /></c><c r="D558" s="94"><f>D557</f><v /></c><c r="E558" s="95"><f>E557</f><v /></c><c r="F558" s="13" t="n" /><c r="G558" s="300" t="n" /><c r="H558" s="326"><f>H557</f><v /></c><c r="I558" s="98"><f>I557</f><v /></c><c r="J558" s="327"><f>J557</f><v /></c><c r="K558" s="327"><f>K557</f><v /></c><c r="L558" s="327"><f>L557</f><v /></c><c r="M558" s="45" t="n" /><c r="N558" s="45" t="n" /><c r="O558" s="100"><f>O557</f><v /></c><c r="P558" s="328"><f>P557</f><v /></c><c r="Q558" s="11"><f>LEFT(P558,1)</f><v /></c><c r="R558" s="11"><f>RIGHT(P558,6)</f><v /></c><c r="S558" s="11"><f>+(Q558*60+R558)/(60*60)</f><v /></c><c r="T558" s="14"><f>+O558/S558</f><v /></c><c r="U558" s="316"><f>+(((N558-M558-O558)/O558)*100)</f><v /></c><c r="V558" s="329"><f>V557</f><v /></c><c r="W558" s="329"><f>W557</f><v /></c><c r="X558" s="330"><f>X557</f><v /></c><c r="Y558" s="45" t="n" /><c r="Z558" s="45" t="n" /><c r="AA558" s="331"><f>AA557</f><v /></c><c r="AB558" s="332"><f>AB557</f><v /></c><c r="AC558" s="11"><f>LEFT(AB558,2)</f><v /></c><c r="AD558" s="11"><f>RIGHT(AB558,6)</f><v /></c><c r="AE558" s="11"><f>+(AC558*60+AD558)/(60*60)</f><v /></c><c r="AF558" s="14"><f>+AA558/AE558</f><v /></c><c r="AG558" s="321"><f>+(((Z558-Y558-AA558)/AA558)*100)</f><v /></c><c r="AH558" s="329"><f>AH557</f><v /></c><c r="AI558" s="329"><f>AI557</f><v /></c><c r="AJ558" s="329"><f>AJ557</f><v /></c><c r="AK558" s="53"><f>Z558</f><v /></c><c r="AL558" s="45" t="n" /><c r="AM558" s="333"><f>AM557</f><v /></c><c r="AN558" s="328"><f>AN557</f><v /></c><c r="AO558" s="11"><f>LEFT(AN558,2)</f><v /></c><c r="AP558" s="11"><f>RIGHT(AN558,6)</f><v /></c><c r="AQ558" s="11"><f>+(AO558*60+AP558)/(60*60)</f><v /></c><c r="AR558" s="14"><f>+AM558/AQ558</f><v /></c><c r="AS558" s="321"><f>+(((AL558-AK558-AM558)/AM558)*100)</f><v /></c><c r="AT558" s="43"><f>IF(I558&gt;=1,"NO CONFORME",IF(BK558="SIGDIFERENTES",BC558,BL558))</f><v /></c><c r="AU558" s="8"><f>B558=C558</f><v /></c><c r="AV558" s="8"><f>N558&lt;Y558</f><v /></c><c r="AW558" s="8"><f>Z558&lt;=AK558</f><v /></c><c r="AX558" s="8"><f>IF(I558&gt;=1,"Qcorrecto",IF(AND(AY558="aceptable",AZ558="aceptable",BA558="aceptable"),"Qcorrecto","Qincorrecto"))</f><v /></c><c r="AY558" s="22"><f>IF(AR558&lt;$AH$6,"error",IF(AR558&gt;$AH$6*1.1,"error","aceptable"))</f><v /></c><c r="AZ558" s="22"><f>IF(AF558&lt;$V$6,"error",IF(AF558&gt;$V$6*1.1,"error","aceptable"))</f><v /></c><c r="BA558" s="22"><f>IF(T558&lt;$J$6*0.9,"error",IF(T558&gt;$J$6,"error","aceptable"))</f><v /></c><c r="BB558" s="25"><f>(IF(ABS(U558)&lt;1.05,"CONFORME",IF(ABS(AG558)&lt;1.05,"CONFORME",IF(ABS(AS558)&lt;2.55,"CONFORME","NO CONFORME"))))</f><v /></c><c r="BC558" s="5"><f>(IF(ABS(U558)&gt;2.05,"NO CONFORME",IF(ABS(AG558)&gt;2.05,"NO CONFORME",IF(ABS(AS558)&gt;5.05,"NO CONFORME","CONFORME"))))</f><v /></c><c r="BD558" s="15"><f>SIGN(U558)</f><v /></c><c r="BE558" s="15"><f>SIGN(AG558)</f><v /></c><c r="BF558" s="15"><f>SIGN(AS558)</f><v /></c><c r="BG558" s="15"><f>CONCATENATE(BD558,BE558,BF558)</f><v /></c><c r="BH558" s="15"><f>IF(BG558="111","SI","SD")</f><v /></c><c r="BI558" s="15"><f>IF(BG558="-1-1-1","SI","SD")</f><v /></c><c r="BJ558" s="15"><f>OR(BH558="SI",BI558="SI")</f><v /></c><c r="BK558" s="15"><f>IF(BJ558=FALSE,"SIGDIFERENTES","SIGIGUALES")</f><v /></c><c r="BL558" s="22"><f>IF(BC558="NO CONFORME","NO CONFORME",IF(BB558="CONFORME","CONFORME","NO CONFORME"))</f><v /></c></row><row r="559" ht="15.75" customHeight="1" thickBot="1"><c r="A559" s="37" t="n"><v>551</v></c><c r="B559" s="324"><f>B558</f><v /></c><c r="C559" s="324"><f>C558</f><v /></c><c r="D559" s="94"><f>D558</f><v /></c><c r="E559" s="95"><f>E558</f><v /></c><c r="F559" s="13" t="n" /><c r="G559" s="300" t="n" /><c r="H559" s="326"><f>H558</f><v /></c><c r="I559" s="98"><f>I558</f><v /></c><c r="J559" s="327"><f>J558</f><v /></c><c r="K559" s="327"><f>K558</f><v /></c><c r="L559" s="327"><f>L558</f><v /></c><c r="M559" s="45" t="n" /><c r="N559" s="45" t="n" /><c r="O559" s="100"><f>O558</f><v /></c><c r="P559" s="328"><f>P558</f><v /></c><c r="Q559" s="11"><f>LEFT(P559,1)</f><v /></c><c r="R559" s="11"><f>RIGHT(P559,6)</f><v /></c><c r="S559" s="11"><f>+(Q559*60+R559)/(60*60)</f><v /></c><c r="T559" s="14"><f>+O559/S559</f><v /></c><c r="U559" s="316"><f>+(((N559-M559-O559)/O559)*100)</f><v /></c><c r="V559" s="329"><f>V558</f><v /></c><c r="W559" s="329"><f>W558</f><v /></c><c r="X559" s="330"><f>X558</f><v /></c><c r="Y559" s="45" t="n" /><c r="Z559" s="45" t="n" /><c r="AA559" s="331"><f>AA558</f><v /></c><c r="AB559" s="332"><f>AB558</f><v /></c><c r="AC559" s="11"><f>LEFT(AB559,2)</f><v /></c><c r="AD559" s="11"><f>RIGHT(AB559,6)</f><v /></c><c r="AE559" s="11"><f>+(AC559*60+AD559)/(60*60)</f><v /></c><c r="AF559" s="14"><f>+AA559/AE559</f><v /></c><c r="AG559" s="321"><f>+(((Z559-Y559-AA559)/AA559)*100)</f><v /></c><c r="AH559" s="329"><f>AH558</f><v /></c><c r="AI559" s="329"><f>AI558</f><v /></c><c r="AJ559" s="329"><f>AJ558</f><v /></c><c r="AK559" s="53"><f>Z559</f><v /></c><c r="AL559" s="45" t="n" /><c r="AM559" s="333"><f>AM558</f><v /></c><c r="AN559" s="328"><f>AN558</f><v /></c><c r="AO559" s="11"><f>LEFT(AN559,2)</f><v /></c><c r="AP559" s="11"><f>RIGHT(AN559,6)</f><v /></c><c r="AQ559" s="11"><f>+(AO559*60+AP559)/(60*60)</f><v /></c><c r="AR559" s="14"><f>+AM559/AQ559</f><v /></c><c r="AS559" s="321"><f>+(((AL559-AK559-AM559)/AM559)*100)</f><v /></c><c r="AT559" s="43"><f>IF(I559&gt;=1,"NO CONFORME",IF(BK559="SIGDIFERENTES",BC559,BL559))</f><v /></c><c r="AU559" s="8"><f>B559=C559</f><v /></c><c r="AV559" s="8"><f>N559&lt;Y559</f><v /></c><c r="AW559" s="8"><f>Z559&lt;=AK559</f><v /></c><c r="AX559" s="8"><f>IF(I559&gt;=1,"Qcorrecto",IF(AND(AY559="aceptable",AZ559="aceptable",BA559="aceptable"),"Qcorrecto","Qincorrecto"))</f><v /></c><c r="AY559" s="22"><f>IF(AR559&lt;$AH$6,"error",IF(AR559&gt;$AH$6*1.1,"error","aceptable"))</f><v /></c><c r="AZ559" s="22"><f>IF(AF559&lt;$V$6,"error",IF(AF559&gt;$V$6*1.1,"error","aceptable"))</f><v /></c><c r="BA559" s="22"><f>IF(T559&lt;$J$6*0.9,"error",IF(T559&gt;$J$6,"error","aceptable"))</f><v /></c><c r="BB559" s="25"><f>(IF(ABS(U559)&lt;1.05,"CONFORME",IF(ABS(AG559)&lt;1.05,"CONFORME",IF(ABS(AS559)&lt;2.55,"CONFORME","NO CONFORME"))))</f><v /></c><c r="BC559" s="5"><f>(IF(ABS(U559)&gt;2.05,"NO CONFORME",IF(ABS(AG559)&gt;2.05,"NO CONFORME",IF(ABS(AS559)&gt;5.05,"NO CONFORME","CONFORME"))))</f><v /></c><c r="BD559" s="15"><f>SIGN(U559)</f><v /></c><c r="BE559" s="15"><f>SIGN(AG559)</f><v /></c><c r="BF559" s="15"><f>SIGN(AS559)</f><v /></c><c r="BG559" s="15"><f>CONCATENATE(BD559,BE559,BF559)</f><v /></c><c r="BH559" s="15"><f>IF(BG559="111","SI","SD")</f><v /></c><c r="BI559" s="15"><f>IF(BG559="-1-1-1","SI","SD")</f><v /></c><c r="BJ559" s="15"><f>OR(BH559="SI",BI559="SI")</f><v /></c><c r="BK559" s="15"><f>IF(BJ559=FALSE,"SIGDIFERENTES","SIGIGUALES")</f><v /></c><c r="BL559" s="22"><f>IF(BC559="NO CONFORME","NO CONFORME",IF(BB559="CONFORME","CONFORME","NO CONFORME"))</f><v /></c></row><row r="560" ht="15.75" customHeight="1" thickBot="1"><c r="A560" s="37" t="n"><v>552</v></c><c r="B560" s="324"><f>B559</f><v /></c><c r="C560" s="324"><f>C559</f><v /></c><c r="D560" s="94"><f>D559</f><v /></c><c r="E560" s="95"><f>E559</f><v /></c><c r="F560" s="13" t="n" /><c r="G560" s="300" t="n" /><c r="H560" s="326"><f>H559</f><v /></c><c r="I560" s="98"><f>I559</f><v /></c><c r="J560" s="327"><f>J559</f><v /></c><c r="K560" s="327"><f>K559</f><v /></c><c r="L560" s="327"><f>L559</f><v /></c><c r="M560" s="45" t="n" /><c r="N560" s="45" t="n" /><c r="O560" s="100"><f>O559</f><v /></c><c r="P560" s="328"><f>P559</f><v /></c><c r="Q560" s="11"><f>LEFT(P560,1)</f><v /></c><c r="R560" s="11"><f>RIGHT(P560,6)</f><v /></c><c r="S560" s="11"><f>+(Q560*60+R560)/(60*60)</f><v /></c><c r="T560" s="14"><f>+O560/S560</f><v /></c><c r="U560" s="316"><f>+(((N560-M560-O560)/O560)*100)</f><v /></c><c r="V560" s="329"><f>V559</f><v /></c><c r="W560" s="329"><f>W559</f><v /></c><c r="X560" s="330"><f>X559</f><v /></c><c r="Y560" s="45" t="n" /><c r="Z560" s="45" t="n" /><c r="AA560" s="331"><f>AA559</f><v /></c><c r="AB560" s="332"><f>AB559</f><v /></c><c r="AC560" s="11"><f>LEFT(AB560,2)</f><v /></c><c r="AD560" s="11"><f>RIGHT(AB560,6)</f><v /></c><c r="AE560" s="11"><f>+(AC560*60+AD560)/(60*60)</f><v /></c><c r="AF560" s="14"><f>+AA560/AE560</f><v /></c><c r="AG560" s="321"><f>+(((Z560-Y560-AA560)/AA560)*100)</f><v /></c><c r="AH560" s="329"><f>AH559</f><v /></c><c r="AI560" s="329"><f>AI559</f><v /></c><c r="AJ560" s="329"><f>AJ559</f><v /></c><c r="AK560" s="53"><f>Z560</f><v /></c><c r="AL560" s="45" t="n" /><c r="AM560" s="333"><f>AM559</f><v /></c><c r="AN560" s="328"><f>AN559</f><v /></c><c r="AO560" s="11"><f>LEFT(AN560,2)</f><v /></c><c r="AP560" s="11"><f>RIGHT(AN560,6)</f><v /></c><c r="AQ560" s="11"><f>+(AO560*60+AP560)/(60*60)</f><v /></c><c r="AR560" s="14"><f>+AM560/AQ560</f><v /></c><c r="AS560" s="321"><f>+(((AL560-AK560-AM560)/AM560)*100)</f><v /></c><c r="AT560" s="43"><f>IF(I560&gt;=1,"NO CONFORME",IF(BK560="SIGDIFERENTES",BC560,BL560))</f><v /></c><c r="AU560" s="8"><f>B560=C560</f><v /></c><c r="AV560" s="8"><f>N560&lt;Y560</f><v /></c><c r="AW560" s="8"><f>Z560&lt;=AK560</f><v /></c><c r="AX560" s="8"><f>IF(I560&gt;=1,"Qcorrecto",IF(AND(AY560="aceptable",AZ560="aceptable",BA560="aceptable"),"Qcorrecto","Qincorrecto"))</f><v /></c><c r="AY560" s="22"><f>IF(AR560&lt;$AH$6,"error",IF(AR560&gt;$AH$6*1.1,"error","aceptable"))</f><v /></c><c r="AZ560" s="22"><f>IF(AF560&lt;$V$6,"error",IF(AF560&gt;$V$6*1.1,"error","aceptable"))</f><v /></c><c r="BA560" s="22"><f>IF(T560&lt;$J$6*0.9,"error",IF(T560&gt;$J$6,"error","aceptable"))</f><v /></c><c r="BB560" s="25"><f>(IF(ABS(U560)&lt;1.05,"CONFORME",IF(ABS(AG560)&lt;1.05,"CONFORME",IF(ABS(AS560)&lt;2.55,"CONFORME","NO CONFORME"))))</f><v /></c><c r="BC560" s="5"><f>(IF(ABS(U560)&gt;2.05,"NO CONFORME",IF(ABS(AG560)&gt;2.05,"NO CONFORME",IF(ABS(AS560)&gt;5.05,"NO CONFORME","CONFORME"))))</f><v /></c><c r="BD560" s="15"><f>SIGN(U560)</f><v /></c><c r="BE560" s="15"><f>SIGN(AG560)</f><v /></c><c r="BF560" s="15"><f>SIGN(AS560)</f><v /></c><c r="BG560" s="15"><f>CONCATENATE(BD560,BE560,BF560)</f><v /></c><c r="BH560" s="15"><f>IF(BG560="111","SI","SD")</f><v /></c><c r="BI560" s="15"><f>IF(BG560="-1-1-1","SI","SD")</f><v /></c><c r="BJ560" s="15"><f>OR(BH560="SI",BI560="SI")</f><v /></c><c r="BK560" s="15"><f>IF(BJ560=FALSE,"SIGDIFERENTES","SIGIGUALES")</f><v /></c><c r="BL560" s="22"><f>IF(BC560="NO CONFORME","NO CONFORME",IF(BB560="CONFORME","CONFORME","NO CONFORME"))</f><v /></c></row><row r="561" ht="15.75" customHeight="1" thickBot="1"><c r="A561" s="37" t="n"><v>553</v></c><c r="B561" s="324"><f>B560</f><v /></c><c r="C561" s="324"><f>C560</f><v /></c><c r="D561" s="94"><f>D560</f><v /></c><c r="E561" s="95"><f>E560</f><v /></c><c r="F561" s="13" t="n" /><c r="G561" s="300" t="n" /><c r="H561" s="326"><f>H560</f><v /></c><c r="I561" s="98"><f>I560</f><v /></c><c r="J561" s="327"><f>J560</f><v /></c><c r="K561" s="327"><f>K560</f><v /></c><c r="L561" s="327"><f>L560</f><v /></c><c r="M561" s="45" t="n" /><c r="N561" s="45" t="n" /><c r="O561" s="100"><f>O560</f><v /></c><c r="P561" s="328"><f>P560</f><v /></c><c r="Q561" s="11"><f>LEFT(P561,1)</f><v /></c><c r="R561" s="11"><f>RIGHT(P561,6)</f><v /></c><c r="S561" s="11"><f>+(Q561*60+R561)/(60*60)</f><v /></c><c r="T561" s="14"><f>+O561/S561</f><v /></c><c r="U561" s="316"><f>+(((N561-M561-O561)/O561)*100)</f><v /></c><c r="V561" s="329"><f>V560</f><v /></c><c r="W561" s="329"><f>W560</f><v /></c><c r="X561" s="330"><f>X560</f><v /></c><c r="Y561" s="45" t="n" /><c r="Z561" s="45" t="n" /><c r="AA561" s="331"><f>AA560</f><v /></c><c r="AB561" s="332"><f>AB560</f><v /></c><c r="AC561" s="11"><f>LEFT(AB561,2)</f><v /></c><c r="AD561" s="11"><f>RIGHT(AB561,6)</f><v /></c><c r="AE561" s="11"><f>+(AC561*60+AD561)/(60*60)</f><v /></c><c r="AF561" s="14"><f>+AA561/AE561</f><v /></c><c r="AG561" s="321"><f>+(((Z561-Y561-AA561)/AA561)*100)</f><v /></c><c r="AH561" s="329"><f>AH560</f><v /></c><c r="AI561" s="329"><f>AI560</f><v /></c><c r="AJ561" s="329"><f>AJ560</f><v /></c><c r="AK561" s="53"><f>Z561</f><v /></c><c r="AL561" s="45" t="n" /><c r="AM561" s="333"><f>AM560</f><v /></c><c r="AN561" s="328"><f>AN560</f><v /></c><c r="AO561" s="11"><f>LEFT(AN561,2)</f><v /></c><c r="AP561" s="11"><f>RIGHT(AN561,6)</f><v /></c><c r="AQ561" s="11"><f>+(AO561*60+AP561)/(60*60)</f><v /></c><c r="AR561" s="14"><f>+AM561/AQ561</f><v /></c><c r="AS561" s="321"><f>+(((AL561-AK561-AM561)/AM561)*100)</f><v /></c><c r="AT561" s="43"><f>IF(I561&gt;=1,"NO CONFORME",IF(BK561="SIGDIFERENTES",BC561,BL561))</f><v /></c><c r="AU561" s="8"><f>B561=C561</f><v /></c><c r="AV561" s="8"><f>N561&lt;Y561</f><v /></c><c r="AW561" s="8"><f>Z561&lt;=AK561</f><v /></c><c r="AX561" s="8"><f>IF(I561&gt;=1,"Qcorrecto",IF(AND(AY561="aceptable",AZ561="aceptable",BA561="aceptable"),"Qcorrecto","Qincorrecto"))</f><v /></c><c r="AY561" s="22"><f>IF(AR561&lt;$AH$6,"error",IF(AR561&gt;$AH$6*1.1,"error","aceptable"))</f><v /></c><c r="AZ561" s="22"><f>IF(AF561&lt;$V$6,"error",IF(AF561&gt;$V$6*1.1,"error","aceptable"))</f><v /></c><c r="BA561" s="22"><f>IF(T561&lt;$J$6*0.9,"error",IF(T561&gt;$J$6,"error","aceptable"))</f><v /></c><c r="BB561" s="25"><f>(IF(ABS(U561)&lt;1.05,"CONFORME",IF(ABS(AG561)&lt;1.05,"CONFORME",IF(ABS(AS561)&lt;2.55,"CONFORME","NO CONFORME"))))</f><v /></c><c r="BC561" s="5"><f>(IF(ABS(U561)&gt;2.05,"NO CONFORME",IF(ABS(AG561)&gt;2.05,"NO CONFORME",IF(ABS(AS561)&gt;5.05,"NO CONFORME","CONFORME"))))</f><v /></c><c r="BD561" s="15"><f>SIGN(U561)</f><v /></c><c r="BE561" s="15"><f>SIGN(AG561)</f><v /></c><c r="BF561" s="15"><f>SIGN(AS561)</f><v /></c><c r="BG561" s="15"><f>CONCATENATE(BD561,BE561,BF561)</f><v /></c><c r="BH561" s="15"><f>IF(BG561="111","SI","SD")</f><v /></c><c r="BI561" s="15"><f>IF(BG561="-1-1-1","SI","SD")</f><v /></c><c r="BJ561" s="15"><f>OR(BH561="SI",BI561="SI")</f><v /></c><c r="BK561" s="15"><f>IF(BJ561=FALSE,"SIGDIFERENTES","SIGIGUALES")</f><v /></c><c r="BL561" s="22"><f>IF(BC561="NO CONFORME","NO CONFORME",IF(BB561="CONFORME","CONFORME","NO CONFORME"))</f><v /></c></row><row r="562" ht="15.75" customHeight="1" thickBot="1"><c r="A562" s="37" t="n"><v>554</v></c><c r="B562" s="324"><f>B561</f><v /></c><c r="C562" s="324"><f>C561</f><v /></c><c r="D562" s="94"><f>D561</f><v /></c><c r="E562" s="95"><f>E561</f><v /></c><c r="F562" s="13" t="n" /><c r="G562" s="300" t="n" /><c r="H562" s="326"><f>H561</f><v /></c><c r="I562" s="98"><f>I561</f><v /></c><c r="J562" s="327"><f>J561</f><v /></c><c r="K562" s="327"><f>K561</f><v /></c><c r="L562" s="327"><f>L561</f><v /></c><c r="M562" s="45" t="n" /><c r="N562" s="45" t="n" /><c r="O562" s="100"><f>O561</f><v /></c><c r="P562" s="328"><f>P561</f><v /></c><c r="Q562" s="11"><f>LEFT(P562,1)</f><v /></c><c r="R562" s="11"><f>RIGHT(P562,6)</f><v /></c><c r="S562" s="11"><f>+(Q562*60+R562)/(60*60)</f><v /></c><c r="T562" s="14"><f>+O562/S562</f><v /></c><c r="U562" s="316"><f>+(((N562-M562-O562)/O562)*100)</f><v /></c><c r="V562" s="329"><f>V561</f><v /></c><c r="W562" s="329"><f>W561</f><v /></c><c r="X562" s="330"><f>X561</f><v /></c><c r="Y562" s="45" t="n" /><c r="Z562" s="45" t="n" /><c r="AA562" s="331"><f>AA561</f><v /></c><c r="AB562" s="332"><f>AB561</f><v /></c><c r="AC562" s="11"><f>LEFT(AB562,2)</f><v /></c><c r="AD562" s="11"><f>RIGHT(AB562,6)</f><v /></c><c r="AE562" s="11"><f>+(AC562*60+AD562)/(60*60)</f><v /></c><c r="AF562" s="14"><f>+AA562/AE562</f><v /></c><c r="AG562" s="321"><f>+(((Z562-Y562-AA562)/AA562)*100)</f><v /></c><c r="AH562" s="329"><f>AH561</f><v /></c><c r="AI562" s="329"><f>AI561</f><v /></c><c r="AJ562" s="329"><f>AJ561</f><v /></c><c r="AK562" s="53"><f>Z562</f><v /></c><c r="AL562" s="45" t="n" /><c r="AM562" s="333"><f>AM561</f><v /></c><c r="AN562" s="328"><f>AN561</f><v /></c><c r="AO562" s="11"><f>LEFT(AN562,2)</f><v /></c><c r="AP562" s="11"><f>RIGHT(AN562,6)</f><v /></c><c r="AQ562" s="11"><f>+(AO562*60+AP562)/(60*60)</f><v /></c><c r="AR562" s="14"><f>+AM562/AQ562</f><v /></c><c r="AS562" s="321"><f>+(((AL562-AK562-AM562)/AM562)*100)</f><v /></c><c r="AT562" s="43"><f>IF(I562&gt;=1,"NO CONFORME",IF(BK562="SIGDIFERENTES",BC562,BL562))</f><v /></c><c r="AU562" s="8"><f>B562=C562</f><v /></c><c r="AV562" s="8"><f>N562&lt;Y562</f><v /></c><c r="AW562" s="8"><f>Z562&lt;=AK562</f><v /></c><c r="AX562" s="8"><f>IF(I562&gt;=1,"Qcorrecto",IF(AND(AY562="aceptable",AZ562="aceptable",BA562="aceptable"),"Qcorrecto","Qincorrecto"))</f><v /></c><c r="AY562" s="22"><f>IF(AR562&lt;$AH$6,"error",IF(AR562&gt;$AH$6*1.1,"error","aceptable"))</f><v /></c><c r="AZ562" s="22"><f>IF(AF562&lt;$V$6,"error",IF(AF562&gt;$V$6*1.1,"error","aceptable"))</f><v /></c><c r="BA562" s="22"><f>IF(T562&lt;$J$6*0.9,"error",IF(T562&gt;$J$6,"error","aceptable"))</f><v /></c><c r="BB562" s="25"><f>(IF(ABS(U562)&lt;1.05,"CONFORME",IF(ABS(AG562)&lt;1.05,"CONFORME",IF(ABS(AS562)&lt;2.55,"CONFORME","NO CONFORME"))))</f><v /></c><c r="BC562" s="5"><f>(IF(ABS(U562)&gt;2.05,"NO CONFORME",IF(ABS(AG562)&gt;2.05,"NO CONFORME",IF(ABS(AS562)&gt;5.05,"NO CONFORME","CONFORME"))))</f><v /></c><c r="BD562" s="15"><f>SIGN(U562)</f><v /></c><c r="BE562" s="15"><f>SIGN(AG562)</f><v /></c><c r="BF562" s="15"><f>SIGN(AS562)</f><v /></c><c r="BG562" s="15"><f>CONCATENATE(BD562,BE562,BF562)</f><v /></c><c r="BH562" s="15"><f>IF(BG562="111","SI","SD")</f><v /></c><c r="BI562" s="15"><f>IF(BG562="-1-1-1","SI","SD")</f><v /></c><c r="BJ562" s="15"><f>OR(BH562="SI",BI562="SI")</f><v /></c><c r="BK562" s="15"><f>IF(BJ562=FALSE,"SIGDIFERENTES","SIGIGUALES")</f><v /></c><c r="BL562" s="22"><f>IF(BC562="NO CONFORME","NO CONFORME",IF(BB562="CONFORME","CONFORME","NO CONFORME"))</f><v /></c></row><row r="563" ht="15.75" customHeight="1" thickBot="1"><c r="A563" s="37" t="n"><v>555</v></c><c r="B563" s="324"><f>B562</f><v /></c><c r="C563" s="324"><f>C562</f><v /></c><c r="D563" s="94"><f>D562</f><v /></c><c r="E563" s="95"><f>E562</f><v /></c><c r="F563" s="52" t="n" /><c r="G563" s="337" t="n" /><c r="H563" s="326"><f>H562</f><v /></c><c r="I563" s="98"><f>I562</f><v /></c><c r="J563" s="327"><f>J562</f><v /></c><c r="K563" s="327"><f>K562</f><v /></c><c r="L563" s="327"><f>L562</f><v /></c><c r="M563" s="53" t="n" /><c r="N563" s="53" t="n" /><c r="O563" s="100"><f>O562</f><v /></c><c r="P563" s="328"><f>P562</f><v /></c><c r="Q563" s="11"><f>LEFT(P563,1)</f><v /></c><c r="R563" s="11"><f>RIGHT(P563,6)</f><v /></c><c r="S563" s="11"><f>+(Q563*60+R563)/(60*60)</f><v /></c><c r="T563" s="14"><f>+O563/S563</f><v /></c><c r="U563" s="316"><f>+(((N563-M563-O563)/O563)*100)</f><v /></c><c r="V563" s="329"><f>V562</f><v /></c><c r="W563" s="329"><f>W562</f><v /></c><c r="X563" s="330"><f>X562</f><v /></c><c r="Y563" s="53" t="n" /><c r="Z563" s="53" t="n" /><c r="AA563" s="331"><f>AA562</f><v /></c><c r="AB563" s="332"><f>AB562</f><v /></c><c r="AC563" s="11"><f>LEFT(AB563,2)</f><v /></c><c r="AD563" s="11"><f>RIGHT(AB563,6)</f><v /></c><c r="AE563" s="11"><f>+(AC563*60+AD563)/(60*60)</f><v /></c><c r="AF563" s="14"><f>+AA563/AE563</f><v /></c><c r="AG563" s="321"><f>+(((Z563-Y563-AA563)/AA563)*100)</f><v /></c><c r="AH563" s="329"><f>AH562</f><v /></c><c r="AI563" s="329"><f>AI562</f><v /></c><c r="AJ563" s="329"><f>AJ562</f><v /></c><c r="AK563" s="53"><f>Z563</f><v /></c><c r="AL563" s="53" t="n" /><c r="AM563" s="333"><f>AM562</f><v /></c><c r="AN563" s="328"><f>AN562</f><v /></c><c r="AO563" s="11"><f>LEFT(AN563,2)</f><v /></c><c r="AP563" s="11"><f>RIGHT(AN563,6)</f><v /></c><c r="AQ563" s="11"><f>+(AO563*60+AP563)/(60*60)</f><v /></c><c r="AR563" s="14"><f>+AM563/AQ563</f><v /></c><c r="AS563" s="321"><f>+(((AL563-AK563-AM563)/AM563)*100)</f><v /></c><c r="AT563" s="43"><f>IF(I563&gt;=1,"NO CONFORME",IF(BK563="SIGDIFERENTES",BC563,BL563))</f><v /></c><c r="AU563" s="8"><f>B563=C563</f><v /></c><c r="AV563" s="8"><f>N563&lt;Y563</f><v /></c><c r="AW563" s="8"><f>Z563&lt;=AK563</f><v /></c><c r="AX563" s="8"><f>IF(I563&gt;=1,"Qcorrecto",IF(AND(AY563="aceptable",AZ563="aceptable",BA563="aceptable"),"Qcorrecto","Qincorrecto"))</f><v /></c><c r="AY563" s="22"><f>IF(AR563&lt;$AH$6,"error",IF(AR563&gt;$AH$6*1.1,"error","aceptable"))</f><v /></c><c r="AZ563" s="22"><f>IF(AF563&lt;$V$6,"error",IF(AF563&gt;$V$6*1.1,"error","aceptable"))</f><v /></c><c r="BA563" s="22"><f>IF(T563&lt;$J$6*0.9,"error",IF(T563&gt;$J$6,"error","aceptable"))</f><v /></c><c r="BB563" s="25"><f>(IF(ABS(U563)&lt;1.05,"CONFORME",IF(ABS(AG563)&lt;1.05,"CONFORME",IF(ABS(AS563)&lt;2.55,"CONFORME","NO CONFORME"))))</f><v /></c><c r="BC563" s="5"><f>(IF(ABS(U563)&gt;2.05,"NO CONFORME",IF(ABS(AG563)&gt;2.05,"NO CONFORME",IF(ABS(AS563)&gt;5.05,"NO CONFORME","CONFORME"))))</f><v /></c><c r="BD563" s="15"><f>SIGN(U563)</f><v /></c><c r="BE563" s="15"><f>SIGN(AG563)</f><v /></c><c r="BF563" s="15"><f>SIGN(AS563)</f><v /></c><c r="BG563" s="15"><f>CONCATENATE(BD563,BE563,BF563)</f><v /></c><c r="BH563" s="15"><f>IF(BG563="111","SI","SD")</f><v /></c><c r="BI563" s="15"><f>IF(BG563="-1-1-1","SI","SD")</f><v /></c><c r="BJ563" s="15"><f>OR(BH563="SI",BI563="SI")</f><v /></c><c r="BK563" s="15"><f>IF(BJ563=FALSE,"SIGDIFERENTES","SIGIGUALES")</f><v /></c><c r="BL563" s="22"><f>IF(BC563="NO CONFORME","NO CONFORME",IF(BB563="CONFORME","CONFORME","NO CONFORME"))</f><v /></c></row><row r="564" ht="15.75" customHeight="1" thickBot="1"><c r="A564" s="37" t="n"><v>556</v></c><c r="B564" s="324"><f>B563</f><v /></c><c r="C564" s="324"><f>C563</f><v /></c><c r="D564" s="94"><f>D563</f><v /></c><c r="E564" s="95"><f>E563</f><v /></c><c r="F564" s="46" t="n" /><c r="G564" s="335" t="n" /><c r="H564" s="326"><f>H563</f><v /></c><c r="I564" s="98"><f>I563</f><v /></c><c r="J564" s="327"><f>J563</f><v /></c><c r="K564" s="327"><f>K563</f><v /></c><c r="L564" s="327"><f>L563</f><v /></c><c r="M564" s="47" t="n" /><c r="N564" s="47" t="n" /><c r="O564" s="100"><f>O563</f><v /></c><c r="P564" s="328"><f>P563</f><v /></c><c r="Q564" s="11"><f>LEFT(P564,1)</f><v /></c><c r="R564" s="11"><f>RIGHT(P564,6)</f><v /></c><c r="S564" s="11"><f>+(Q564*60+R564)/(60*60)</f><v /></c><c r="T564" s="14"><f>+O564/S564</f><v /></c><c r="U564" s="316"><f>+(((N564-M564-O564)/O564)*100)</f><v /></c><c r="V564" s="329"><f>V563</f><v /></c><c r="W564" s="329"><f>W563</f><v /></c><c r="X564" s="330"><f>X563</f><v /></c><c r="Y564" s="47" t="n" /><c r="Z564" s="47" t="n" /><c r="AA564" s="331"><f>AA563</f><v /></c><c r="AB564" s="332"><f>AB563</f><v /></c><c r="AC564" s="11"><f>LEFT(AB564,2)</f><v /></c><c r="AD564" s="11"><f>RIGHT(AB564,6)</f><v /></c><c r="AE564" s="11"><f>+(AC564*60+AD564)/(60*60)</f><v /></c><c r="AF564" s="14"><f>+AA564/AE564</f><v /></c><c r="AG564" s="321"><f>+(((Z564-Y564-AA564)/AA564)*100)</f><v /></c><c r="AH564" s="329"><f>AH563</f><v /></c><c r="AI564" s="329"><f>AI563</f><v /></c><c r="AJ564" s="329"><f>AJ563</f><v /></c><c r="AK564" s="53"><f>Z564</f><v /></c><c r="AL564" s="47" t="n" /><c r="AM564" s="333"><f>AM563</f><v /></c><c r="AN564" s="328"><f>AN563</f><v /></c><c r="AO564" s="11"><f>LEFT(AN564,2)</f><v /></c><c r="AP564" s="11"><f>RIGHT(AN564,6)</f><v /></c><c r="AQ564" s="11"><f>+(AO564*60+AP564)/(60*60)</f><v /></c><c r="AR564" s="14"><f>+AM564/AQ564</f><v /></c><c r="AS564" s="321"><f>+(((AL564-AK564-AM564)/AM564)*100)</f><v /></c><c r="AT564" s="43"><f>IF(I564&gt;=1,"NO CONFORME",IF(BK564="SIGDIFERENTES",BC564,BL564))</f><v /></c><c r="AU564" s="8"><f>B564=C564</f><v /></c><c r="AV564" s="8"><f>N564&lt;Y564</f><v /></c><c r="AW564" s="8"><f>Z564&lt;=AK564</f><v /></c><c r="AX564" s="8"><f>IF(I564&gt;=1,"Qcorrecto",IF(AND(AY564="aceptable",AZ564="aceptable",BA564="aceptable"),"Qcorrecto","Qincorrecto"))</f><v /></c><c r="AY564" s="22"><f>IF(AR564&lt;$AH$6,"error",IF(AR564&gt;$AH$6*1.1,"error","aceptable"))</f><v /></c><c r="AZ564" s="22"><f>IF(AF564&lt;$V$6,"error",IF(AF564&gt;$V$6*1.1,"error","aceptable"))</f><v /></c><c r="BA564" s="22"><f>IF(T564&lt;$J$6*0.9,"error",IF(T564&gt;$J$6,"error","aceptable"))</f><v /></c><c r="BB564" s="25"><f>(IF(ABS(U564)&lt;1.05,"CONFORME",IF(ABS(AG564)&lt;1.05,"CONFORME",IF(ABS(AS564)&lt;2.55,"CONFORME","NO CONFORME"))))</f><v /></c><c r="BC564" s="5"><f>(IF(ABS(U564)&gt;2.05,"NO CONFORME",IF(ABS(AG564)&gt;2.05,"NO CONFORME",IF(ABS(AS564)&gt;5.05,"NO CONFORME","CONFORME"))))</f><v /></c><c r="BD564" s="15"><f>SIGN(U564)</f><v /></c><c r="BE564" s="15"><f>SIGN(AG564)</f><v /></c><c r="BF564" s="15"><f>SIGN(AS564)</f><v /></c><c r="BG564" s="15"><f>CONCATENATE(BD564,BE564,BF564)</f><v /></c><c r="BH564" s="15"><f>IF(BG564="111","SI","SD")</f><v /></c><c r="BI564" s="15"><f>IF(BG564="-1-1-1","SI","SD")</f><v /></c><c r="BJ564" s="15"><f>OR(BH564="SI",BI564="SI")</f><v /></c><c r="BK564" s="15"><f>IF(BJ564=FALSE,"SIGDIFERENTES","SIGIGUALES")</f><v /></c><c r="BL564" s="22"><f>IF(BC564="NO CONFORME","NO CONFORME",IF(BB564="CONFORME","CONFORME","NO CONFORME"))</f><v /></c></row><row r="565" ht="15.75" customHeight="1" thickBot="1"><c r="A565" s="37" t="n"><v>557</v></c><c r="B565" s="324"><f>B564</f><v /></c><c r="C565" s="324"><f>C564</f><v /></c><c r="D565" s="94"><f>D564</f><v /></c><c r="E565" s="95"><f>E564</f><v /></c><c r="F565" s="13" t="n" /><c r="G565" s="300" t="n" /><c r="H565" s="326"><f>H564</f><v /></c><c r="I565" s="98"><f>I564</f><v /></c><c r="J565" s="327"><f>J564</f><v /></c><c r="K565" s="327"><f>K564</f><v /></c><c r="L565" s="327"><f>L564</f><v /></c><c r="M565" s="45" t="n" /><c r="N565" s="45" t="n" /><c r="O565" s="100"><f>O564</f><v /></c><c r="P565" s="328"><f>P564</f><v /></c><c r="Q565" s="11"><f>LEFT(P565,1)</f><v /></c><c r="R565" s="11"><f>RIGHT(P565,6)</f><v /></c><c r="S565" s="11"><f>+(Q565*60+R565)/(60*60)</f><v /></c><c r="T565" s="14"><f>+O565/S565</f><v /></c><c r="U565" s="316"><f>+(((N565-M565-O565)/O565)*100)</f><v /></c><c r="V565" s="329"><f>V564</f><v /></c><c r="W565" s="329"><f>W564</f><v /></c><c r="X565" s="330"><f>X564</f><v /></c><c r="Y565" s="45" t="n" /><c r="Z565" s="45" t="n" /><c r="AA565" s="331"><f>AA564</f><v /></c><c r="AB565" s="332"><f>AB564</f><v /></c><c r="AC565" s="11"><f>LEFT(AB565,2)</f><v /></c><c r="AD565" s="11"><f>RIGHT(AB565,6)</f><v /></c><c r="AE565" s="11"><f>+(AC565*60+AD565)/(60*60)</f><v /></c><c r="AF565" s="14"><f>+AA565/AE565</f><v /></c><c r="AG565" s="321"><f>+(((Z565-Y565-AA565)/AA565)*100)</f><v /></c><c r="AH565" s="329"><f>AH564</f><v /></c><c r="AI565" s="329"><f>AI564</f><v /></c><c r="AJ565" s="329"><f>AJ564</f><v /></c><c r="AK565" s="53"><f>Z565</f><v /></c><c r="AL565" s="45" t="n" /><c r="AM565" s="333"><f>AM564</f><v /></c><c r="AN565" s="328"><f>AN564</f><v /></c><c r="AO565" s="11"><f>LEFT(AN565,2)</f><v /></c><c r="AP565" s="11"><f>RIGHT(AN565,6)</f><v /></c><c r="AQ565" s="11"><f>+(AO565*60+AP565)/(60*60)</f><v /></c><c r="AR565" s="14"><f>+AM565/AQ565</f><v /></c><c r="AS565" s="321"><f>+(((AL565-AK565-AM565)/AM565)*100)</f><v /></c><c r="AT565" s="43"><f>IF(I565&gt;=1,"NO CONFORME",IF(BK565="SIGDIFERENTES",BC565,BL565))</f><v /></c><c r="AU565" s="8"><f>B565=C565</f><v /></c><c r="AV565" s="8"><f>N565&lt;Y565</f><v /></c><c r="AW565" s="8"><f>Z565&lt;=AK565</f><v /></c><c r="AX565" s="8"><f>IF(I565&gt;=1,"Qcorrecto",IF(AND(AY565="aceptable",AZ565="aceptable",BA565="aceptable"),"Qcorrecto","Qincorrecto"))</f><v /></c><c r="AY565" s="22"><f>IF(AR565&lt;$AH$6,"error",IF(AR565&gt;$AH$6*1.1,"error","aceptable"))</f><v /></c><c r="AZ565" s="22"><f>IF(AF565&lt;$V$6,"error",IF(AF565&gt;$V$6*1.1,"error","aceptable"))</f><v /></c><c r="BA565" s="22"><f>IF(T565&lt;$J$6*0.9,"error",IF(T565&gt;$J$6,"error","aceptable"))</f><v /></c><c r="BB565" s="25"><f>(IF(ABS(U565)&lt;1.05,"CONFORME",IF(ABS(AG565)&lt;1.05,"CONFORME",IF(ABS(AS565)&lt;2.55,"CONFORME","NO CONFORME"))))</f><v /></c><c r="BC565" s="5"><f>(IF(ABS(U565)&gt;2.05,"NO CONFORME",IF(ABS(AG565)&gt;2.05,"NO CONFORME",IF(ABS(AS565)&gt;5.05,"NO CONFORME","CONFORME"))))</f><v /></c><c r="BD565" s="15"><f>SIGN(U565)</f><v /></c><c r="BE565" s="15"><f>SIGN(AG565)</f><v /></c><c r="BF565" s="15"><f>SIGN(AS565)</f><v /></c><c r="BG565" s="15"><f>CONCATENATE(BD565,BE565,BF565)</f><v /></c><c r="BH565" s="15"><f>IF(BG565="111","SI","SD")</f><v /></c><c r="BI565" s="15"><f>IF(BG565="-1-1-1","SI","SD")</f><v /></c><c r="BJ565" s="15"><f>OR(BH565="SI",BI565="SI")</f><v /></c><c r="BK565" s="15"><f>IF(BJ565=FALSE,"SIGDIFERENTES","SIGIGUALES")</f><v /></c><c r="BL565" s="22"><f>IF(BC565="NO CONFORME","NO CONFORME",IF(BB565="CONFORME","CONFORME","NO CONFORME"))</f><v /></c></row><row r="566" ht="15.75" customHeight="1" thickBot="1"><c r="A566" s="37" t="n"><v>558</v></c><c r="B566" s="324"><f>B565</f><v /></c><c r="C566" s="324"><f>C565</f><v /></c><c r="D566" s="94"><f>D565</f><v /></c><c r="E566" s="95"><f>E565</f><v /></c><c r="F566" s="13" t="n" /><c r="G566" s="300" t="n" /><c r="H566" s="326"><f>H565</f><v /></c><c r="I566" s="98"><f>I565</f><v /></c><c r="J566" s="327"><f>J565</f><v /></c><c r="K566" s="327"><f>K565</f><v /></c><c r="L566" s="327"><f>L565</f><v /></c><c r="M566" s="45" t="n" /><c r="N566" s="45" t="n" /><c r="O566" s="100"><f>O565</f><v /></c><c r="P566" s="328"><f>P565</f><v /></c><c r="Q566" s="11"><f>LEFT(P566,1)</f><v /></c><c r="R566" s="11"><f>RIGHT(P566,6)</f><v /></c><c r="S566" s="11"><f>+(Q566*60+R566)/(60*60)</f><v /></c><c r="T566" s="14"><f>+O566/S566</f><v /></c><c r="U566" s="316"><f>+(((N566-M566-O566)/O566)*100)</f><v /></c><c r="V566" s="329"><f>V565</f><v /></c><c r="W566" s="329"><f>W565</f><v /></c><c r="X566" s="330"><f>X565</f><v /></c><c r="Y566" s="45" t="n" /><c r="Z566" s="45" t="n" /><c r="AA566" s="331"><f>AA565</f><v /></c><c r="AB566" s="332"><f>AB565</f><v /></c><c r="AC566" s="11"><f>LEFT(AB566,2)</f><v /></c><c r="AD566" s="11"><f>RIGHT(AB566,6)</f><v /></c><c r="AE566" s="11"><f>+(AC566*60+AD566)/(60*60)</f><v /></c><c r="AF566" s="14"><f>+AA566/AE566</f><v /></c><c r="AG566" s="321"><f>+(((Z566-Y566-AA566)/AA566)*100)</f><v /></c><c r="AH566" s="329"><f>AH565</f><v /></c><c r="AI566" s="329"><f>AI565</f><v /></c><c r="AJ566" s="329"><f>AJ565</f><v /></c><c r="AK566" s="53"><f>Z566</f><v /></c><c r="AL566" s="45" t="n" /><c r="AM566" s="333"><f>AM565</f><v /></c><c r="AN566" s="328"><f>AN565</f><v /></c><c r="AO566" s="11"><f>LEFT(AN566,2)</f><v /></c><c r="AP566" s="11"><f>RIGHT(AN566,6)</f><v /></c><c r="AQ566" s="11"><f>+(AO566*60+AP566)/(60*60)</f><v /></c><c r="AR566" s="14"><f>+AM566/AQ566</f><v /></c><c r="AS566" s="321"><f>+(((AL566-AK566-AM566)/AM566)*100)</f><v /></c><c r="AT566" s="43"><f>IF(I566&gt;=1,"NO CONFORME",IF(BK566="SIGDIFERENTES",BC566,BL566))</f><v /></c><c r="AU566" s="8"><f>B566=C566</f><v /></c><c r="AV566" s="8"><f>N566&lt;Y566</f><v /></c><c r="AW566" s="8"><f>Z566&lt;=AK566</f><v /></c><c r="AX566" s="8"><f>IF(I566&gt;=1,"Qcorrecto",IF(AND(AY566="aceptable",AZ566="aceptable",BA566="aceptable"),"Qcorrecto","Qincorrecto"))</f><v /></c><c r="AY566" s="22"><f>IF(AR566&lt;$AH$6,"error",IF(AR566&gt;$AH$6*1.1,"error","aceptable"))</f><v /></c><c r="AZ566" s="22"><f>IF(AF566&lt;$V$6,"error",IF(AF566&gt;$V$6*1.1,"error","aceptable"))</f><v /></c><c r="BA566" s="22"><f>IF(T566&lt;$J$6*0.9,"error",IF(T566&gt;$J$6,"error","aceptable"))</f><v /></c><c r="BB566" s="25"><f>(IF(ABS(U566)&lt;1.05,"CONFORME",IF(ABS(AG566)&lt;1.05,"CONFORME",IF(ABS(AS566)&lt;2.55,"CONFORME","NO CONFORME"))))</f><v /></c><c r="BC566" s="5"><f>(IF(ABS(U566)&gt;2.05,"NO CONFORME",IF(ABS(AG566)&gt;2.05,"NO CONFORME",IF(ABS(AS566)&gt;5.05,"NO CONFORME","CONFORME"))))</f><v /></c><c r="BD566" s="15"><f>SIGN(U566)</f><v /></c><c r="BE566" s="15"><f>SIGN(AG566)</f><v /></c><c r="BF566" s="15"><f>SIGN(AS566)</f><v /></c><c r="BG566" s="15"><f>CONCATENATE(BD566,BE566,BF566)</f><v /></c><c r="BH566" s="15"><f>IF(BG566="111","SI","SD")</f><v /></c><c r="BI566" s="15"><f>IF(BG566="-1-1-1","SI","SD")</f><v /></c><c r="BJ566" s="15"><f>OR(BH566="SI",BI566="SI")</f><v /></c><c r="BK566" s="15"><f>IF(BJ566=FALSE,"SIGDIFERENTES","SIGIGUALES")</f><v /></c><c r="BL566" s="22"><f>IF(BC566="NO CONFORME","NO CONFORME",IF(BB566="CONFORME","CONFORME","NO CONFORME"))</f><v /></c></row><row r="567" ht="15.75" customHeight="1" thickBot="1"><c r="A567" s="37" t="n"><v>559</v></c><c r="B567" s="324"><f>B566</f><v /></c><c r="C567" s="324"><f>C566</f><v /></c><c r="D567" s="94"><f>D566</f><v /></c><c r="E567" s="95"><f>E566</f><v /></c><c r="F567" s="13" t="n" /><c r="G567" s="300" t="n" /><c r="H567" s="326"><f>H566</f><v /></c><c r="I567" s="98"><f>I566</f><v /></c><c r="J567" s="327"><f>J566</f><v /></c><c r="K567" s="327"><f>K566</f><v /></c><c r="L567" s="327"><f>L566</f><v /></c><c r="M567" s="45" t="n" /><c r="N567" s="45" t="n" /><c r="O567" s="100"><f>O566</f><v /></c><c r="P567" s="328"><f>P566</f><v /></c><c r="Q567" s="11"><f>LEFT(P567,1)</f><v /></c><c r="R567" s="11"><f>RIGHT(P567,6)</f><v /></c><c r="S567" s="11"><f>+(Q567*60+R567)/(60*60)</f><v /></c><c r="T567" s="14"><f>+O567/S567</f><v /></c><c r="U567" s="316"><f>+(((N567-M567-O567)/O567)*100)</f><v /></c><c r="V567" s="329"><f>V566</f><v /></c><c r="W567" s="329"><f>W566</f><v /></c><c r="X567" s="330"><f>X566</f><v /></c><c r="Y567" s="45" t="n" /><c r="Z567" s="45" t="n" /><c r="AA567" s="331"><f>AA566</f><v /></c><c r="AB567" s="332"><f>AB566</f><v /></c><c r="AC567" s="11"><f>LEFT(AB567,2)</f><v /></c><c r="AD567" s="11"><f>RIGHT(AB567,6)</f><v /></c><c r="AE567" s="11"><f>+(AC567*60+AD567)/(60*60)</f><v /></c><c r="AF567" s="14"><f>+AA567/AE567</f><v /></c><c r="AG567" s="321"><f>+(((Z567-Y567-AA567)/AA567)*100)</f><v /></c><c r="AH567" s="329"><f>AH566</f><v /></c><c r="AI567" s="329"><f>AI566</f><v /></c><c r="AJ567" s="329"><f>AJ566</f><v /></c><c r="AK567" s="53"><f>Z567</f><v /></c><c r="AL567" s="45" t="n" /><c r="AM567" s="333"><f>AM566</f><v /></c><c r="AN567" s="328"><f>AN566</f><v /></c><c r="AO567" s="11"><f>LEFT(AN567,2)</f><v /></c><c r="AP567" s="11"><f>RIGHT(AN567,6)</f><v /></c><c r="AQ567" s="11"><f>+(AO567*60+AP567)/(60*60)</f><v /></c><c r="AR567" s="14"><f>+AM567/AQ567</f><v /></c><c r="AS567" s="321"><f>+(((AL567-AK567-AM567)/AM567)*100)</f><v /></c><c r="AT567" s="43"><f>IF(I567&gt;=1,"NO CONFORME",IF(BK567="SIGDIFERENTES",BC567,BL567))</f><v /></c><c r="AU567" s="8"><f>B567=C567</f><v /></c><c r="AV567" s="8"><f>N567&lt;Y567</f><v /></c><c r="AW567" s="8"><f>Z567&lt;=AK567</f><v /></c><c r="AX567" s="8"><f>IF(I567&gt;=1,"Qcorrecto",IF(AND(AY567="aceptable",AZ567="aceptable",BA567="aceptable"),"Qcorrecto","Qincorrecto"))</f><v /></c><c r="AY567" s="22"><f>IF(AR567&lt;$AH$6,"error",IF(AR567&gt;$AH$6*1.1,"error","aceptable"))</f><v /></c><c r="AZ567" s="22"><f>IF(AF567&lt;$V$6,"error",IF(AF567&gt;$V$6*1.1,"error","aceptable"))</f><v /></c><c r="BA567" s="22"><f>IF(T567&lt;$J$6*0.9,"error",IF(T567&gt;$J$6,"error","aceptable"))</f><v /></c><c r="BB567" s="25"><f>(IF(ABS(U567)&lt;1.05,"CONFORME",IF(ABS(AG567)&lt;1.05,"CONFORME",IF(ABS(AS567)&lt;2.55,"CONFORME","NO CONFORME"))))</f><v /></c><c r="BC567" s="5"><f>(IF(ABS(U567)&gt;2.05,"NO CONFORME",IF(ABS(AG567)&gt;2.05,"NO CONFORME",IF(ABS(AS567)&gt;5.05,"NO CONFORME","CONFORME"))))</f><v /></c><c r="BD567" s="15"><f>SIGN(U567)</f><v /></c><c r="BE567" s="15"><f>SIGN(AG567)</f><v /></c><c r="BF567" s="15"><f>SIGN(AS567)</f><v /></c><c r="BG567" s="15"><f>CONCATENATE(BD567,BE567,BF567)</f><v /></c><c r="BH567" s="15"><f>IF(BG567="111","SI","SD")</f><v /></c><c r="BI567" s="15"><f>IF(BG567="-1-1-1","SI","SD")</f><v /></c><c r="BJ567" s="15"><f>OR(BH567="SI",BI567="SI")</f><v /></c><c r="BK567" s="15"><f>IF(BJ567=FALSE,"SIGDIFERENTES","SIGIGUALES")</f><v /></c><c r="BL567" s="22"><f>IF(BC567="NO CONFORME","NO CONFORME",IF(BB567="CONFORME","CONFORME","NO CONFORME"))</f><v /></c></row><row r="568" ht="15.75" customHeight="1" thickBot="1"><c r="A568" s="37" t="n"><v>560</v></c><c r="B568" s="324"><f>B567</f><v /></c><c r="C568" s="324"><f>C567</f><v /></c><c r="D568" s="94"><f>D567</f><v /></c><c r="E568" s="95"><f>E567</f><v /></c><c r="F568" s="13" t="n" /><c r="G568" s="300" t="n" /><c r="H568" s="326"><f>H567</f><v /></c><c r="I568" s="98"><f>I567</f><v /></c><c r="J568" s="327"><f>J567</f><v /></c><c r="K568" s="327"><f>K567</f><v /></c><c r="L568" s="327"><f>L567</f><v /></c><c r="M568" s="45" t="n" /><c r="N568" s="45" t="n" /><c r="O568" s="100"><f>O567</f><v /></c><c r="P568" s="328"><f>P567</f><v /></c><c r="Q568" s="11"><f>LEFT(P568,1)</f><v /></c><c r="R568" s="11"><f>RIGHT(P568,6)</f><v /></c><c r="S568" s="11"><f>+(Q568*60+R568)/(60*60)</f><v /></c><c r="T568" s="14"><f>+O568/S568</f><v /></c><c r="U568" s="316"><f>+(((N568-M568-O568)/O568)*100)</f><v /></c><c r="V568" s="329"><f>V567</f><v /></c><c r="W568" s="329"><f>W567</f><v /></c><c r="X568" s="330"><f>X567</f><v /></c><c r="Y568" s="45" t="n" /><c r="Z568" s="45" t="n" /><c r="AA568" s="331"><f>AA567</f><v /></c><c r="AB568" s="332"><f>AB567</f><v /></c><c r="AC568" s="11"><f>LEFT(AB568,2)</f><v /></c><c r="AD568" s="11"><f>RIGHT(AB568,6)</f><v /></c><c r="AE568" s="11"><f>+(AC568*60+AD568)/(60*60)</f><v /></c><c r="AF568" s="14"><f>+AA568/AE568</f><v /></c><c r="AG568" s="321"><f>+(((Z568-Y568-AA568)/AA568)*100)</f><v /></c><c r="AH568" s="329"><f>AH567</f><v /></c><c r="AI568" s="329"><f>AI567</f><v /></c><c r="AJ568" s="329"><f>AJ567</f><v /></c><c r="AK568" s="53"><f>Z568</f><v /></c><c r="AL568" s="45" t="n" /><c r="AM568" s="333"><f>AM567</f><v /></c><c r="AN568" s="328"><f>AN567</f><v /></c><c r="AO568" s="11"><f>LEFT(AN568,2)</f><v /></c><c r="AP568" s="11"><f>RIGHT(AN568,6)</f><v /></c><c r="AQ568" s="11"><f>+(AO568*60+AP568)/(60*60)</f><v /></c><c r="AR568" s="14"><f>+AM568/AQ568</f><v /></c><c r="AS568" s="321"><f>+(((AL568-AK568-AM568)/AM568)*100)</f><v /></c><c r="AT568" s="43"><f>IF(I568&gt;=1,"NO CONFORME",IF(BK568="SIGDIFERENTES",BC568,BL568))</f><v /></c><c r="AU568" s="8"><f>B568=C568</f><v /></c><c r="AV568" s="8"><f>N568&lt;Y568</f><v /></c><c r="AW568" s="8"><f>Z568&lt;=AK568</f><v /></c><c r="AX568" s="8"><f>IF(I568&gt;=1,"Qcorrecto",IF(AND(AY568="aceptable",AZ568="aceptable",BA568="aceptable"),"Qcorrecto","Qincorrecto"))</f><v /></c><c r="AY568" s="22"><f>IF(AR568&lt;$AH$6,"error",IF(AR568&gt;$AH$6*1.1,"error","aceptable"))</f><v /></c><c r="AZ568" s="22"><f>IF(AF568&lt;$V$6,"error",IF(AF568&gt;$V$6*1.1,"error","aceptable"))</f><v /></c><c r="BA568" s="22"><f>IF(T568&lt;$J$6*0.9,"error",IF(T568&gt;$J$6,"error","aceptable"))</f><v /></c><c r="BB568" s="25"><f>(IF(ABS(U568)&lt;1.05,"CONFORME",IF(ABS(AG568)&lt;1.05,"CONFORME",IF(ABS(AS568)&lt;2.55,"CONFORME","NO CONFORME"))))</f><v /></c><c r="BC568" s="5"><f>(IF(ABS(U568)&gt;2.05,"NO CONFORME",IF(ABS(AG568)&gt;2.05,"NO CONFORME",IF(ABS(AS568)&gt;5.05,"NO CONFORME","CONFORME"))))</f><v /></c><c r="BD568" s="15"><f>SIGN(U568)</f><v /></c><c r="BE568" s="15"><f>SIGN(AG568)</f><v /></c><c r="BF568" s="15"><f>SIGN(AS568)</f><v /></c><c r="BG568" s="15"><f>CONCATENATE(BD568,BE568,BF568)</f><v /></c><c r="BH568" s="15"><f>IF(BG568="111","SI","SD")</f><v /></c><c r="BI568" s="15"><f>IF(BG568="-1-1-1","SI","SD")</f><v /></c><c r="BJ568" s="15"><f>OR(BH568="SI",BI568="SI")</f><v /></c><c r="BK568" s="15"><f>IF(BJ568=FALSE,"SIGDIFERENTES","SIGIGUALES")</f><v /></c><c r="BL568" s="22"><f>IF(BC568="NO CONFORME","NO CONFORME",IF(BB568="CONFORME","CONFORME","NO CONFORME"))</f><v /></c></row><row r="569" ht="15.75" customHeight="1" thickBot="1"><c r="A569" s="37" t="n"><v>561</v></c><c r="B569" s="324"><f>B568</f><v /></c><c r="C569" s="324"><f>C568</f><v /></c><c r="D569" s="94"><f>D568</f><v /></c><c r="E569" s="95"><f>E568</f><v /></c><c r="F569" s="13" t="n" /><c r="G569" s="300" t="n" /><c r="H569" s="326"><f>H568</f><v /></c><c r="I569" s="98"><f>I568</f><v /></c><c r="J569" s="327"><f>J568</f><v /></c><c r="K569" s="327"><f>K568</f><v /></c><c r="L569" s="327"><f>L568</f><v /></c><c r="M569" s="45" t="n" /><c r="N569" s="45" t="n" /><c r="O569" s="100"><f>O568</f><v /></c><c r="P569" s="328"><f>P568</f><v /></c><c r="Q569" s="11"><f>LEFT(P569,1)</f><v /></c><c r="R569" s="11"><f>RIGHT(P569,6)</f><v /></c><c r="S569" s="11"><f>+(Q569*60+R569)/(60*60)</f><v /></c><c r="T569" s="14"><f>+O569/S569</f><v /></c><c r="U569" s="316"><f>+(((N569-M569-O569)/O569)*100)</f><v /></c><c r="V569" s="329"><f>V568</f><v /></c><c r="W569" s="329"><f>W568</f><v /></c><c r="X569" s="330"><f>X568</f><v /></c><c r="Y569" s="45" t="n" /><c r="Z569" s="45" t="n" /><c r="AA569" s="331"><f>AA568</f><v /></c><c r="AB569" s="332"><f>AB568</f><v /></c><c r="AC569" s="11"><f>LEFT(AB569,2)</f><v /></c><c r="AD569" s="11"><f>RIGHT(AB569,6)</f><v /></c><c r="AE569" s="11"><f>+(AC569*60+AD569)/(60*60)</f><v /></c><c r="AF569" s="14"><f>+AA569/AE569</f><v /></c><c r="AG569" s="321"><f>+(((Z569-Y569-AA569)/AA569)*100)</f><v /></c><c r="AH569" s="329"><f>AH568</f><v /></c><c r="AI569" s="329"><f>AI568</f><v /></c><c r="AJ569" s="329"><f>AJ568</f><v /></c><c r="AK569" s="53"><f>Z569</f><v /></c><c r="AL569" s="45" t="n" /><c r="AM569" s="333"><f>AM568</f><v /></c><c r="AN569" s="328"><f>AN568</f><v /></c><c r="AO569" s="11"><f>LEFT(AN569,2)</f><v /></c><c r="AP569" s="11"><f>RIGHT(AN569,6)</f><v /></c><c r="AQ569" s="11"><f>+(AO569*60+AP569)/(60*60)</f><v /></c><c r="AR569" s="14"><f>+AM569/AQ569</f><v /></c><c r="AS569" s="321"><f>+(((AL569-AK569-AM569)/AM569)*100)</f><v /></c><c r="AT569" s="43"><f>IF(I569&gt;=1,"NO CONFORME",IF(BK569="SIGDIFERENTES",BC569,BL569))</f><v /></c><c r="AU569" s="8"><f>B569=C569</f><v /></c><c r="AV569" s="8"><f>N569&lt;Y569</f><v /></c><c r="AW569" s="8"><f>Z569&lt;=AK569</f><v /></c><c r="AX569" s="8"><f>IF(I569&gt;=1,"Qcorrecto",IF(AND(AY569="aceptable",AZ569="aceptable",BA569="aceptable"),"Qcorrecto","Qincorrecto"))</f><v /></c><c r="AY569" s="22"><f>IF(AR569&lt;$AH$6,"error",IF(AR569&gt;$AH$6*1.1,"error","aceptable"))</f><v /></c><c r="AZ569" s="22"><f>IF(AF569&lt;$V$6,"error",IF(AF569&gt;$V$6*1.1,"error","aceptable"))</f><v /></c><c r="BA569" s="22"><f>IF(T569&lt;$J$6*0.9,"error",IF(T569&gt;$J$6,"error","aceptable"))</f><v /></c><c r="BB569" s="25"><f>(IF(ABS(U569)&lt;1.05,"CONFORME",IF(ABS(AG569)&lt;1.05,"CONFORME",IF(ABS(AS569)&lt;2.55,"CONFORME","NO CONFORME"))))</f><v /></c><c r="BC569" s="5"><f>(IF(ABS(U569)&gt;2.05,"NO CONFORME",IF(ABS(AG569)&gt;2.05,"NO CONFORME",IF(ABS(AS569)&gt;5.05,"NO CONFORME","CONFORME"))))</f><v /></c><c r="BD569" s="15"><f>SIGN(U569)</f><v /></c><c r="BE569" s="15"><f>SIGN(AG569)</f><v /></c><c r="BF569" s="15"><f>SIGN(AS569)</f><v /></c><c r="BG569" s="15"><f>CONCATENATE(BD569,BE569,BF569)</f><v /></c><c r="BH569" s="15"><f>IF(BG569="111","SI","SD")</f><v /></c><c r="BI569" s="15"><f>IF(BG569="-1-1-1","SI","SD")</f><v /></c><c r="BJ569" s="15"><f>OR(BH569="SI",BI569="SI")</f><v /></c><c r="BK569" s="15"><f>IF(BJ569=FALSE,"SIGDIFERENTES","SIGIGUALES")</f><v /></c><c r="BL569" s="22"><f>IF(BC569="NO CONFORME","NO CONFORME",IF(BB569="CONFORME","CONFORME","NO CONFORME"))</f><v /></c></row><row r="570" ht="15.75" customHeight="1" thickBot="1"><c r="A570" s="37" t="n"><v>562</v></c><c r="B570" s="324"><f>B569</f><v /></c><c r="C570" s="324"><f>C569</f><v /></c><c r="D570" s="94"><f>D569</f><v /></c><c r="E570" s="95"><f>E569</f><v /></c><c r="F570" s="13" t="n" /><c r="G570" s="300" t="n" /><c r="H570" s="326"><f>H569</f><v /></c><c r="I570" s="98"><f>I569</f><v /></c><c r="J570" s="327"><f>J569</f><v /></c><c r="K570" s="327"><f>K569</f><v /></c><c r="L570" s="327"><f>L569</f><v /></c><c r="M570" s="45" t="n" /><c r="N570" s="45" t="n" /><c r="O570" s="100"><f>O569</f><v /></c><c r="P570" s="328"><f>P569</f><v /></c><c r="Q570" s="11"><f>LEFT(P570,1)</f><v /></c><c r="R570" s="11"><f>RIGHT(P570,6)</f><v /></c><c r="S570" s="11"><f>+(Q570*60+R570)/(60*60)</f><v /></c><c r="T570" s="14"><f>+O570/S570</f><v /></c><c r="U570" s="316"><f>+(((N570-M570-O570)/O570)*100)</f><v /></c><c r="V570" s="329"><f>V569</f><v /></c><c r="W570" s="329"><f>W569</f><v /></c><c r="X570" s="330"><f>X569</f><v /></c><c r="Y570" s="45" t="n" /><c r="Z570" s="45" t="n" /><c r="AA570" s="331"><f>AA569</f><v /></c><c r="AB570" s="332"><f>AB569</f><v /></c><c r="AC570" s="11"><f>LEFT(AB570,2)</f><v /></c><c r="AD570" s="11"><f>RIGHT(AB570,6)</f><v /></c><c r="AE570" s="11"><f>+(AC570*60+AD570)/(60*60)</f><v /></c><c r="AF570" s="14"><f>+AA570/AE570</f><v /></c><c r="AG570" s="321"><f>+(((Z570-Y570-AA570)/AA570)*100)</f><v /></c><c r="AH570" s="329"><f>AH569</f><v /></c><c r="AI570" s="329"><f>AI569</f><v /></c><c r="AJ570" s="329"><f>AJ569</f><v /></c><c r="AK570" s="53"><f>Z570</f><v /></c><c r="AL570" s="45" t="n" /><c r="AM570" s="333"><f>AM569</f><v /></c><c r="AN570" s="328"><f>AN569</f><v /></c><c r="AO570" s="11"><f>LEFT(AN570,2)</f><v /></c><c r="AP570" s="11"><f>RIGHT(AN570,6)</f><v /></c><c r="AQ570" s="11"><f>+(AO570*60+AP570)/(60*60)</f><v /></c><c r="AR570" s="14"><f>+AM570/AQ570</f><v /></c><c r="AS570" s="321"><f>+(((AL570-AK570-AM570)/AM570)*100)</f><v /></c><c r="AT570" s="43"><f>IF(I570&gt;=1,"NO CONFORME",IF(BK570="SIGDIFERENTES",BC570,BL570))</f><v /></c><c r="AU570" s="8"><f>B570=C570</f><v /></c><c r="AV570" s="8"><f>N570&lt;Y570</f><v /></c><c r="AW570" s="8"><f>Z570&lt;=AK570</f><v /></c><c r="AX570" s="8"><f>IF(I570&gt;=1,"Qcorrecto",IF(AND(AY570="aceptable",AZ570="aceptable",BA570="aceptable"),"Qcorrecto","Qincorrecto"))</f><v /></c><c r="AY570" s="22"><f>IF(AR570&lt;$AH$6,"error",IF(AR570&gt;$AH$6*1.1,"error","aceptable"))</f><v /></c><c r="AZ570" s="22"><f>IF(AF570&lt;$V$6,"error",IF(AF570&gt;$V$6*1.1,"error","aceptable"))</f><v /></c><c r="BA570" s="22"><f>IF(T570&lt;$J$6*0.9,"error",IF(T570&gt;$J$6,"error","aceptable"))</f><v /></c><c r="BB570" s="25"><f>(IF(ABS(U570)&lt;1.05,"CONFORME",IF(ABS(AG570)&lt;1.05,"CONFORME",IF(ABS(AS570)&lt;2.55,"CONFORME","NO CONFORME"))))</f><v /></c><c r="BC570" s="5"><f>(IF(ABS(U570)&gt;2.05,"NO CONFORME",IF(ABS(AG570)&gt;2.05,"NO CONFORME",IF(ABS(AS570)&gt;5.05,"NO CONFORME","CONFORME"))))</f><v /></c><c r="BD570" s="15"><f>SIGN(U570)</f><v /></c><c r="BE570" s="15"><f>SIGN(AG570)</f><v /></c><c r="BF570" s="15"><f>SIGN(AS570)</f><v /></c><c r="BG570" s="15"><f>CONCATENATE(BD570,BE570,BF570)</f><v /></c><c r="BH570" s="15"><f>IF(BG570="111","SI","SD")</f><v /></c><c r="BI570" s="15"><f>IF(BG570="-1-1-1","SI","SD")</f><v /></c><c r="BJ570" s="15"><f>OR(BH570="SI",BI570="SI")</f><v /></c><c r="BK570" s="15"><f>IF(BJ570=FALSE,"SIGDIFERENTES","SIGIGUALES")</f><v /></c><c r="BL570" s="22"><f>IF(BC570="NO CONFORME","NO CONFORME",IF(BB570="CONFORME","CONFORME","NO CONFORME"))</f><v /></c></row><row r="571" ht="15.75" customHeight="1" thickBot="1"><c r="A571" s="37" t="n"><v>563</v></c><c r="B571" s="324"><f>B570</f><v /></c><c r="C571" s="324"><f>C570</f><v /></c><c r="D571" s="94"><f>D570</f><v /></c><c r="E571" s="95"><f>E570</f><v /></c><c r="F571" s="13" t="n" /><c r="G571" s="300" t="n" /><c r="H571" s="326"><f>H570</f><v /></c><c r="I571" s="98"><f>I570</f><v /></c><c r="J571" s="327"><f>J570</f><v /></c><c r="K571" s="327"><f>K570</f><v /></c><c r="L571" s="327"><f>L570</f><v /></c><c r="M571" s="45" t="n" /><c r="N571" s="45" t="n" /><c r="O571" s="100"><f>O570</f><v /></c><c r="P571" s="328"><f>P570</f><v /></c><c r="Q571" s="11"><f>LEFT(P571,1)</f><v /></c><c r="R571" s="11"><f>RIGHT(P571,6)</f><v /></c><c r="S571" s="11"><f>+(Q571*60+R571)/(60*60)</f><v /></c><c r="T571" s="14"><f>+O571/S571</f><v /></c><c r="U571" s="316"><f>+(((N571-M571-O571)/O571)*100)</f><v /></c><c r="V571" s="329"><f>V570</f><v /></c><c r="W571" s="329"><f>W570</f><v /></c><c r="X571" s="330"><f>X570</f><v /></c><c r="Y571" s="45" t="n" /><c r="Z571" s="45" t="n" /><c r="AA571" s="331"><f>AA570</f><v /></c><c r="AB571" s="332"><f>AB570</f><v /></c><c r="AC571" s="11"><f>LEFT(AB571,2)</f><v /></c><c r="AD571" s="11"><f>RIGHT(AB571,6)</f><v /></c><c r="AE571" s="11"><f>+(AC571*60+AD571)/(60*60)</f><v /></c><c r="AF571" s="14"><f>+AA571/AE571</f><v /></c><c r="AG571" s="321"><f>+(((Z571-Y571-AA571)/AA571)*100)</f><v /></c><c r="AH571" s="329"><f>AH570</f><v /></c><c r="AI571" s="329"><f>AI570</f><v /></c><c r="AJ571" s="329"><f>AJ570</f><v /></c><c r="AK571" s="53"><f>Z571</f><v /></c><c r="AL571" s="45" t="n" /><c r="AM571" s="333"><f>AM570</f><v /></c><c r="AN571" s="328"><f>AN570</f><v /></c><c r="AO571" s="11"><f>LEFT(AN571,2)</f><v /></c><c r="AP571" s="11"><f>RIGHT(AN571,6)</f><v /></c><c r="AQ571" s="11"><f>+(AO571*60+AP571)/(60*60)</f><v /></c><c r="AR571" s="14"><f>+AM571/AQ571</f><v /></c><c r="AS571" s="321"><f>+(((AL571-AK571-AM571)/AM571)*100)</f><v /></c><c r="AT571" s="43"><f>IF(I571&gt;=1,"NO CONFORME",IF(BK571="SIGDIFERENTES",BC571,BL571))</f><v /></c><c r="AU571" s="8"><f>B571=C571</f><v /></c><c r="AV571" s="8"><f>N571&lt;Y571</f><v /></c><c r="AW571" s="8"><f>Z571&lt;=AK571</f><v /></c><c r="AX571" s="8"><f>IF(I571&gt;=1,"Qcorrecto",IF(AND(AY571="aceptable",AZ571="aceptable",BA571="aceptable"),"Qcorrecto","Qincorrecto"))</f><v /></c><c r="AY571" s="22"><f>IF(AR571&lt;$AH$6,"error",IF(AR571&gt;$AH$6*1.1,"error","aceptable"))</f><v /></c><c r="AZ571" s="22"><f>IF(AF571&lt;$V$6,"error",IF(AF571&gt;$V$6*1.1,"error","aceptable"))</f><v /></c><c r="BA571" s="22"><f>IF(T571&lt;$J$6*0.9,"error",IF(T571&gt;$J$6,"error","aceptable"))</f><v /></c><c r="BB571" s="25"><f>(IF(ABS(U571)&lt;1.05,"CONFORME",IF(ABS(AG571)&lt;1.05,"CONFORME",IF(ABS(AS571)&lt;2.55,"CONFORME","NO CONFORME"))))</f><v /></c><c r="BC571" s="5"><f>(IF(ABS(U571)&gt;2.05,"NO CONFORME",IF(ABS(AG571)&gt;2.05,"NO CONFORME",IF(ABS(AS571)&gt;5.05,"NO CONFORME","CONFORME"))))</f><v /></c><c r="BD571" s="15"><f>SIGN(U571)</f><v /></c><c r="BE571" s="15"><f>SIGN(AG571)</f><v /></c><c r="BF571" s="15"><f>SIGN(AS571)</f><v /></c><c r="BG571" s="15"><f>CONCATENATE(BD571,BE571,BF571)</f><v /></c><c r="BH571" s="15"><f>IF(BG571="111","SI","SD")</f><v /></c><c r="BI571" s="15"><f>IF(BG571="-1-1-1","SI","SD")</f><v /></c><c r="BJ571" s="15"><f>OR(BH571="SI",BI571="SI")</f><v /></c><c r="BK571" s="15"><f>IF(BJ571=FALSE,"SIGDIFERENTES","SIGIGUALES")</f><v /></c><c r="BL571" s="22"><f>IF(BC571="NO CONFORME","NO CONFORME",IF(BB571="CONFORME","CONFORME","NO CONFORME"))</f><v /></c></row><row r="572" ht="15.75" customHeight="1" thickBot="1"><c r="A572" s="37" t="n"><v>564</v></c><c r="B572" s="324"><f>B571</f><v /></c><c r="C572" s="324"><f>C571</f><v /></c><c r="D572" s="94"><f>D571</f><v /></c><c r="E572" s="95"><f>E571</f><v /></c><c r="F572" s="13" t="n" /><c r="G572" s="300" t="n" /><c r="H572" s="326"><f>H571</f><v /></c><c r="I572" s="98"><f>I571</f><v /></c><c r="J572" s="327"><f>J571</f><v /></c><c r="K572" s="327"><f>K571</f><v /></c><c r="L572" s="327"><f>L571</f><v /></c><c r="M572" s="45" t="n" /><c r="N572" s="45" t="n" /><c r="O572" s="100"><f>O571</f><v /></c><c r="P572" s="328"><f>P571</f><v /></c><c r="Q572" s="11"><f>LEFT(P572,1)</f><v /></c><c r="R572" s="11"><f>RIGHT(P572,6)</f><v /></c><c r="S572" s="11"><f>+(Q572*60+R572)/(60*60)</f><v /></c><c r="T572" s="14"><f>+O572/S572</f><v /></c><c r="U572" s="316"><f>+(((N572-M572-O572)/O572)*100)</f><v /></c><c r="V572" s="329"><f>V571</f><v /></c><c r="W572" s="329"><f>W571</f><v /></c><c r="X572" s="330"><f>X571</f><v /></c><c r="Y572" s="45" t="n" /><c r="Z572" s="45" t="n" /><c r="AA572" s="331"><f>AA571</f><v /></c><c r="AB572" s="332"><f>AB571</f><v /></c><c r="AC572" s="11"><f>LEFT(AB572,2)</f><v /></c><c r="AD572" s="11"><f>RIGHT(AB572,6)</f><v /></c><c r="AE572" s="11"><f>+(AC572*60+AD572)/(60*60)</f><v /></c><c r="AF572" s="14"><f>+AA572/AE572</f><v /></c><c r="AG572" s="321"><f>+(((Z572-Y572-AA572)/AA572)*100)</f><v /></c><c r="AH572" s="329"><f>AH571</f><v /></c><c r="AI572" s="329"><f>AI571</f><v /></c><c r="AJ572" s="329"><f>AJ571</f><v /></c><c r="AK572" s="53"><f>Z572</f><v /></c><c r="AL572" s="45" t="n" /><c r="AM572" s="333"><f>AM571</f><v /></c><c r="AN572" s="328"><f>AN571</f><v /></c><c r="AO572" s="11"><f>LEFT(AN572,2)</f><v /></c><c r="AP572" s="11"><f>RIGHT(AN572,6)</f><v /></c><c r="AQ572" s="11"><f>+(AO572*60+AP572)/(60*60)</f><v /></c><c r="AR572" s="14"><f>+AM572/AQ572</f><v /></c><c r="AS572" s="321"><f>+(((AL572-AK572-AM572)/AM572)*100)</f><v /></c><c r="AT572" s="43"><f>IF(I572&gt;=1,"NO CONFORME",IF(BK572="SIGDIFERENTES",BC572,BL572))</f><v /></c><c r="AU572" s="8"><f>B572=C572</f><v /></c><c r="AV572" s="8"><f>N572&lt;Y572</f><v /></c><c r="AW572" s="8"><f>Z572&lt;=AK572</f><v /></c><c r="AX572" s="8"><f>IF(I572&gt;=1,"Qcorrecto",IF(AND(AY572="aceptable",AZ572="aceptable",BA572="aceptable"),"Qcorrecto","Qincorrecto"))</f><v /></c><c r="AY572" s="22"><f>IF(AR572&lt;$AH$6,"error",IF(AR572&gt;$AH$6*1.1,"error","aceptable"))</f><v /></c><c r="AZ572" s="22"><f>IF(AF572&lt;$V$6,"error",IF(AF572&gt;$V$6*1.1,"error","aceptable"))</f><v /></c><c r="BA572" s="22"><f>IF(T572&lt;$J$6*0.9,"error",IF(T572&gt;$J$6,"error","aceptable"))</f><v /></c><c r="BB572" s="25"><f>(IF(ABS(U572)&lt;1.05,"CONFORME",IF(ABS(AG572)&lt;1.05,"CONFORME",IF(ABS(AS572)&lt;2.55,"CONFORME","NO CONFORME"))))</f><v /></c><c r="BC572" s="5"><f>(IF(ABS(U572)&gt;2.05,"NO CONFORME",IF(ABS(AG572)&gt;2.05,"NO CONFORME",IF(ABS(AS572)&gt;5.05,"NO CONFORME","CONFORME"))))</f><v /></c><c r="BD572" s="15"><f>SIGN(U572)</f><v /></c><c r="BE572" s="15"><f>SIGN(AG572)</f><v /></c><c r="BF572" s="15"><f>SIGN(AS572)</f><v /></c><c r="BG572" s="15"><f>CONCATENATE(BD572,BE572,BF572)</f><v /></c><c r="BH572" s="15"><f>IF(BG572="111","SI","SD")</f><v /></c><c r="BI572" s="15"><f>IF(BG572="-1-1-1","SI","SD")</f><v /></c><c r="BJ572" s="15"><f>OR(BH572="SI",BI572="SI")</f><v /></c><c r="BK572" s="15"><f>IF(BJ572=FALSE,"SIGDIFERENTES","SIGIGUALES")</f><v /></c><c r="BL572" s="22"><f>IF(BC572="NO CONFORME","NO CONFORME",IF(BB572="CONFORME","CONFORME","NO CONFORME"))</f><v /></c></row><row r="573" ht="15.75" customHeight="1" thickBot="1"><c r="A573" s="37" t="n"><v>565</v></c><c r="B573" s="324"><f>B572</f><v /></c><c r="C573" s="324"><f>C572</f><v /></c><c r="D573" s="94"><f>D572</f><v /></c><c r="E573" s="95"><f>E572</f><v /></c><c r="F573" s="13" t="n" /><c r="G573" s="300" t="n" /><c r="H573" s="326"><f>H572</f><v /></c><c r="I573" s="98"><f>I572</f><v /></c><c r="J573" s="327"><f>J572</f><v /></c><c r="K573" s="327"><f>K572</f><v /></c><c r="L573" s="327"><f>L572</f><v /></c><c r="M573" s="45" t="n" /><c r="N573" s="45" t="n" /><c r="O573" s="100"><f>O572</f><v /></c><c r="P573" s="328"><f>P572</f><v /></c><c r="Q573" s="11"><f>LEFT(P573,1)</f><v /></c><c r="R573" s="11"><f>RIGHT(P573,6)</f><v /></c><c r="S573" s="11"><f>+(Q573*60+R573)/(60*60)</f><v /></c><c r="T573" s="14"><f>+O573/S573</f><v /></c><c r="U573" s="316"><f>+(((N573-M573-O573)/O573)*100)</f><v /></c><c r="V573" s="329"><f>V572</f><v /></c><c r="W573" s="329"><f>W572</f><v /></c><c r="X573" s="330"><f>X572</f><v /></c><c r="Y573" s="45" t="n" /><c r="Z573" s="45" t="n" /><c r="AA573" s="331"><f>AA572</f><v /></c><c r="AB573" s="332"><f>AB572</f><v /></c><c r="AC573" s="11"><f>LEFT(AB573,2)</f><v /></c><c r="AD573" s="11"><f>RIGHT(AB573,6)</f><v /></c><c r="AE573" s="11"><f>+(AC573*60+AD573)/(60*60)</f><v /></c><c r="AF573" s="14"><f>+AA573/AE573</f><v /></c><c r="AG573" s="321"><f>+(((Z573-Y573-AA573)/AA573)*100)</f><v /></c><c r="AH573" s="329"><f>AH572</f><v /></c><c r="AI573" s="329"><f>AI572</f><v /></c><c r="AJ573" s="329"><f>AJ572</f><v /></c><c r="AK573" s="53"><f>Z573</f><v /></c><c r="AL573" s="45" t="n" /><c r="AM573" s="333"><f>AM572</f><v /></c><c r="AN573" s="328"><f>AN572</f><v /></c><c r="AO573" s="11"><f>LEFT(AN573,2)</f><v /></c><c r="AP573" s="11"><f>RIGHT(AN573,6)</f><v /></c><c r="AQ573" s="11"><f>+(AO573*60+AP573)/(60*60)</f><v /></c><c r="AR573" s="14"><f>+AM573/AQ573</f><v /></c><c r="AS573" s="321"><f>+(((AL573-AK573-AM573)/AM573)*100)</f><v /></c><c r="AT573" s="43"><f>IF(I573&gt;=1,"NO CONFORME",IF(BK573="SIGDIFERENTES",BC573,BL573))</f><v /></c><c r="AU573" s="8"><f>B573=C573</f><v /></c><c r="AV573" s="8"><f>N573&lt;Y573</f><v /></c><c r="AW573" s="8"><f>Z573&lt;=AK573</f><v /></c><c r="AX573" s="8"><f>IF(I573&gt;=1,"Qcorrecto",IF(AND(AY573="aceptable",AZ573="aceptable",BA573="aceptable"),"Qcorrecto","Qincorrecto"))</f><v /></c><c r="AY573" s="22"><f>IF(AR573&lt;$AH$6,"error",IF(AR573&gt;$AH$6*1.1,"error","aceptable"))</f><v /></c><c r="AZ573" s="22"><f>IF(AF573&lt;$V$6,"error",IF(AF573&gt;$V$6*1.1,"error","aceptable"))</f><v /></c><c r="BA573" s="22"><f>IF(T573&lt;$J$6*0.9,"error",IF(T573&gt;$J$6,"error","aceptable"))</f><v /></c><c r="BB573" s="25"><f>(IF(ABS(U573)&lt;1.05,"CONFORME",IF(ABS(AG573)&lt;1.05,"CONFORME",IF(ABS(AS573)&lt;2.55,"CONFORME","NO CONFORME"))))</f><v /></c><c r="BC573" s="5"><f>(IF(ABS(U573)&gt;2.05,"NO CONFORME",IF(ABS(AG573)&gt;2.05,"NO CONFORME",IF(ABS(AS573)&gt;5.05,"NO CONFORME","CONFORME"))))</f><v /></c><c r="BD573" s="15"><f>SIGN(U573)</f><v /></c><c r="BE573" s="15"><f>SIGN(AG573)</f><v /></c><c r="BF573" s="15"><f>SIGN(AS573)</f><v /></c><c r="BG573" s="15"><f>CONCATENATE(BD573,BE573,BF573)</f><v /></c><c r="BH573" s="15"><f>IF(BG573="111","SI","SD")</f><v /></c><c r="BI573" s="15"><f>IF(BG573="-1-1-1","SI","SD")</f><v /></c><c r="BJ573" s="15"><f>OR(BH573="SI",BI573="SI")</f><v /></c><c r="BK573" s="15"><f>IF(BJ573=FALSE,"SIGDIFERENTES","SIGIGUALES")</f><v /></c><c r="BL573" s="22"><f>IF(BC573="NO CONFORME","NO CONFORME",IF(BB573="CONFORME","CONFORME","NO CONFORME"))</f><v /></c></row><row r="574" ht="15.75" customHeight="1" thickBot="1"><c r="A574" s="37" t="n"><v>566</v></c><c r="B574" s="324"><f>B573</f><v /></c><c r="C574" s="324"><f>C573</f><v /></c><c r="D574" s="94"><f>D573</f><v /></c><c r="E574" s="95"><f>E573</f><v /></c><c r="F574" s="13" t="n" /><c r="G574" s="300" t="n" /><c r="H574" s="326"><f>H573</f><v /></c><c r="I574" s="98"><f>I573</f><v /></c><c r="J574" s="327"><f>J573</f><v /></c><c r="K574" s="327"><f>K573</f><v /></c><c r="L574" s="327"><f>L573</f><v /></c><c r="M574" s="45" t="n" /><c r="N574" s="45" t="n" /><c r="O574" s="100"><f>O573</f><v /></c><c r="P574" s="328"><f>P573</f><v /></c><c r="Q574" s="11"><f>LEFT(P574,1)</f><v /></c><c r="R574" s="11"><f>RIGHT(P574,6)</f><v /></c><c r="S574" s="11"><f>+(Q574*60+R574)/(60*60)</f><v /></c><c r="T574" s="14"><f>+O574/S574</f><v /></c><c r="U574" s="316"><f>+(((N574-M574-O574)/O574)*100)</f><v /></c><c r="V574" s="329"><f>V573</f><v /></c><c r="W574" s="329"><f>W573</f><v /></c><c r="X574" s="330"><f>X573</f><v /></c><c r="Y574" s="45" t="n" /><c r="Z574" s="45" t="n" /><c r="AA574" s="331"><f>AA573</f><v /></c><c r="AB574" s="332"><f>AB573</f><v /></c><c r="AC574" s="11"><f>LEFT(AB574,2)</f><v /></c><c r="AD574" s="11"><f>RIGHT(AB574,6)</f><v /></c><c r="AE574" s="11"><f>+(AC574*60+AD574)/(60*60)</f><v /></c><c r="AF574" s="14"><f>+AA574/AE574</f><v /></c><c r="AG574" s="321"><f>+(((Z574-Y574-AA574)/AA574)*100)</f><v /></c><c r="AH574" s="329"><f>AH573</f><v /></c><c r="AI574" s="329"><f>AI573</f><v /></c><c r="AJ574" s="329"><f>AJ573</f><v /></c><c r="AK574" s="53"><f>Z574</f><v /></c><c r="AL574" s="45" t="n" /><c r="AM574" s="333"><f>AM573</f><v /></c><c r="AN574" s="328"><f>AN573</f><v /></c><c r="AO574" s="11"><f>LEFT(AN574,2)</f><v /></c><c r="AP574" s="11"><f>RIGHT(AN574,6)</f><v /></c><c r="AQ574" s="11"><f>+(AO574*60+AP574)/(60*60)</f><v /></c><c r="AR574" s="14"><f>+AM574/AQ574</f><v /></c><c r="AS574" s="321"><f>+(((AL574-AK574-AM574)/AM574)*100)</f><v /></c><c r="AT574" s="43"><f>IF(I574&gt;=1,"NO CONFORME",IF(BK574="SIGDIFERENTES",BC574,BL574))</f><v /></c><c r="AU574" s="8"><f>B574=C574</f><v /></c><c r="AV574" s="8"><f>N574&lt;Y574</f><v /></c><c r="AW574" s="8"><f>Z574&lt;=AK574</f><v /></c><c r="AX574" s="8"><f>IF(I574&gt;=1,"Qcorrecto",IF(AND(AY574="aceptable",AZ574="aceptable",BA574="aceptable"),"Qcorrecto","Qincorrecto"))</f><v /></c><c r="AY574" s="22"><f>IF(AR574&lt;$AH$6,"error",IF(AR574&gt;$AH$6*1.1,"error","aceptable"))</f><v /></c><c r="AZ574" s="22"><f>IF(AF574&lt;$V$6,"error",IF(AF574&gt;$V$6*1.1,"error","aceptable"))</f><v /></c><c r="BA574" s="22"><f>IF(T574&lt;$J$6*0.9,"error",IF(T574&gt;$J$6,"error","aceptable"))</f><v /></c><c r="BB574" s="25"><f>(IF(ABS(U574)&lt;1.05,"CONFORME",IF(ABS(AG574)&lt;1.05,"CONFORME",IF(ABS(AS574)&lt;2.55,"CONFORME","NO CONFORME"))))</f><v /></c><c r="BC574" s="5"><f>(IF(ABS(U574)&gt;2.05,"NO CONFORME",IF(ABS(AG574)&gt;2.05,"NO CONFORME",IF(ABS(AS574)&gt;5.05,"NO CONFORME","CONFORME"))))</f><v /></c><c r="BD574" s="15"><f>SIGN(U574)</f><v /></c><c r="BE574" s="15"><f>SIGN(AG574)</f><v /></c><c r="BF574" s="15"><f>SIGN(AS574)</f><v /></c><c r="BG574" s="15"><f>CONCATENATE(BD574,BE574,BF574)</f><v /></c><c r="BH574" s="15"><f>IF(BG574="111","SI","SD")</f><v /></c><c r="BI574" s="15"><f>IF(BG574="-1-1-1","SI","SD")</f><v /></c><c r="BJ574" s="15"><f>OR(BH574="SI",BI574="SI")</f><v /></c><c r="BK574" s="15"><f>IF(BJ574=FALSE,"SIGDIFERENTES","SIGIGUALES")</f><v /></c><c r="BL574" s="22"><f>IF(BC574="NO CONFORME","NO CONFORME",IF(BB574="CONFORME","CONFORME","NO CONFORME"))</f><v /></c></row><row r="575" ht="15.75" customHeight="1" thickBot="1"><c r="A575" s="37" t="n"><v>567</v></c><c r="B575" s="324"><f>B574</f><v /></c><c r="C575" s="324"><f>C574</f><v /></c><c r="D575" s="94"><f>D574</f><v /></c><c r="E575" s="95"><f>E574</f><v /></c><c r="F575" s="13" t="n" /><c r="G575" s="300" t="n" /><c r="H575" s="326"><f>H574</f><v /></c><c r="I575" s="98"><f>I574</f><v /></c><c r="J575" s="327"><f>J574</f><v /></c><c r="K575" s="327"><f>K574</f><v /></c><c r="L575" s="327"><f>L574</f><v /></c><c r="M575" s="45" t="n" /><c r="N575" s="45" t="n" /><c r="O575" s="100"><f>O574</f><v /></c><c r="P575" s="328"><f>P574</f><v /></c><c r="Q575" s="11"><f>LEFT(P575,1)</f><v /></c><c r="R575" s="11"><f>RIGHT(P575,6)</f><v /></c><c r="S575" s="11"><f>+(Q575*60+R575)/(60*60)</f><v /></c><c r="T575" s="14"><f>+O575/S575</f><v /></c><c r="U575" s="316"><f>+(((N575-M575-O575)/O575)*100)</f><v /></c><c r="V575" s="329"><f>V574</f><v /></c><c r="W575" s="329"><f>W574</f><v /></c><c r="X575" s="330"><f>X574</f><v /></c><c r="Y575" s="45" t="n" /><c r="Z575" s="45" t="n" /><c r="AA575" s="331"><f>AA574</f><v /></c><c r="AB575" s="332"><f>AB574</f><v /></c><c r="AC575" s="11"><f>LEFT(AB575,2)</f><v /></c><c r="AD575" s="11"><f>RIGHT(AB575,6)</f><v /></c><c r="AE575" s="11"><f>+(AC575*60+AD575)/(60*60)</f><v /></c><c r="AF575" s="14"><f>+AA575/AE575</f><v /></c><c r="AG575" s="321"><f>+(((Z575-Y575-AA575)/AA575)*100)</f><v /></c><c r="AH575" s="329"><f>AH574</f><v /></c><c r="AI575" s="329"><f>AI574</f><v /></c><c r="AJ575" s="329"><f>AJ574</f><v /></c><c r="AK575" s="53"><f>Z575</f><v /></c><c r="AL575" s="45" t="n" /><c r="AM575" s="333"><f>AM574</f><v /></c><c r="AN575" s="328"><f>AN574</f><v /></c><c r="AO575" s="11"><f>LEFT(AN575,2)</f><v /></c><c r="AP575" s="11"><f>RIGHT(AN575,6)</f><v /></c><c r="AQ575" s="11"><f>+(AO575*60+AP575)/(60*60)</f><v /></c><c r="AR575" s="14"><f>+AM575/AQ575</f><v /></c><c r="AS575" s="321"><f>+(((AL575-AK575-AM575)/AM575)*100)</f><v /></c><c r="AT575" s="43"><f>IF(I575&gt;=1,"NO CONFORME",IF(BK575="SIGDIFERENTES",BC575,BL575))</f><v /></c><c r="AU575" s="8"><f>B575=C575</f><v /></c><c r="AV575" s="8"><f>N575&lt;Y575</f><v /></c><c r="AW575" s="8"><f>Z575&lt;=AK575</f><v /></c><c r="AX575" s="8"><f>IF(I575&gt;=1,"Qcorrecto",IF(AND(AY575="aceptable",AZ575="aceptable",BA575="aceptable"),"Qcorrecto","Qincorrecto"))</f><v /></c><c r="AY575" s="22"><f>IF(AR575&lt;$AH$6,"error",IF(AR575&gt;$AH$6*1.1,"error","aceptable"))</f><v /></c><c r="AZ575" s="22"><f>IF(AF575&lt;$V$6,"error",IF(AF575&gt;$V$6*1.1,"error","aceptable"))</f><v /></c><c r="BA575" s="22"><f>IF(T575&lt;$J$6*0.9,"error",IF(T575&gt;$J$6,"error","aceptable"))</f><v /></c><c r="BB575" s="25"><f>(IF(ABS(U575)&lt;1.05,"CONFORME",IF(ABS(AG575)&lt;1.05,"CONFORME",IF(ABS(AS575)&lt;2.55,"CONFORME","NO CONFORME"))))</f><v /></c><c r="BC575" s="5"><f>(IF(ABS(U575)&gt;2.05,"NO CONFORME",IF(ABS(AG575)&gt;2.05,"NO CONFORME",IF(ABS(AS575)&gt;5.05,"NO CONFORME","CONFORME"))))</f><v /></c><c r="BD575" s="15"><f>SIGN(U575)</f><v /></c><c r="BE575" s="15"><f>SIGN(AG575)</f><v /></c><c r="BF575" s="15"><f>SIGN(AS575)</f><v /></c><c r="BG575" s="15"><f>CONCATENATE(BD575,BE575,BF575)</f><v /></c><c r="BH575" s="15"><f>IF(BG575="111","SI","SD")</f><v /></c><c r="BI575" s="15"><f>IF(BG575="-1-1-1","SI","SD")</f><v /></c><c r="BJ575" s="15"><f>OR(BH575="SI",BI575="SI")</f><v /></c><c r="BK575" s="15"><f>IF(BJ575=FALSE,"SIGDIFERENTES","SIGIGUALES")</f><v /></c><c r="BL575" s="22"><f>IF(BC575="NO CONFORME","NO CONFORME",IF(BB575="CONFORME","CONFORME","NO CONFORME"))</f><v /></c></row><row r="576" ht="15.75" customHeight="1" thickBot="1"><c r="A576" s="37" t="n"><v>568</v></c><c r="B576" s="324"><f>B575</f><v /></c><c r="C576" s="324"><f>C575</f><v /></c><c r="D576" s="94"><f>D575</f><v /></c><c r="E576" s="95"><f>E575</f><v /></c><c r="F576" s="13" t="n" /><c r="G576" s="300" t="n" /><c r="H576" s="326"><f>H575</f><v /></c><c r="I576" s="98"><f>I575</f><v /></c><c r="J576" s="327"><f>J575</f><v /></c><c r="K576" s="327"><f>K575</f><v /></c><c r="L576" s="327"><f>L575</f><v /></c><c r="M576" s="45" t="n" /><c r="N576" s="45" t="n" /><c r="O576" s="100"><f>O575</f><v /></c><c r="P576" s="328"><f>P575</f><v /></c><c r="Q576" s="11"><f>LEFT(P576,1)</f><v /></c><c r="R576" s="11"><f>RIGHT(P576,6)</f><v /></c><c r="S576" s="11"><f>+(Q576*60+R576)/(60*60)</f><v /></c><c r="T576" s="14"><f>+O576/S576</f><v /></c><c r="U576" s="316"><f>+(((N576-M576-O576)/O576)*100)</f><v /></c><c r="V576" s="329"><f>V575</f><v /></c><c r="W576" s="329"><f>W575</f><v /></c><c r="X576" s="330"><f>X575</f><v /></c><c r="Y576" s="45" t="n" /><c r="Z576" s="45" t="n" /><c r="AA576" s="331"><f>AA575</f><v /></c><c r="AB576" s="332"><f>AB575</f><v /></c><c r="AC576" s="11"><f>LEFT(AB576,2)</f><v /></c><c r="AD576" s="11"><f>RIGHT(AB576,6)</f><v /></c><c r="AE576" s="11"><f>+(AC576*60+AD576)/(60*60)</f><v /></c><c r="AF576" s="14"><f>+AA576/AE576</f><v /></c><c r="AG576" s="321"><f>+(((Z576-Y576-AA576)/AA576)*100)</f><v /></c><c r="AH576" s="329"><f>AH575</f><v /></c><c r="AI576" s="329"><f>AI575</f><v /></c><c r="AJ576" s="329"><f>AJ575</f><v /></c><c r="AK576" s="53"><f>Z576</f><v /></c><c r="AL576" s="45" t="n" /><c r="AM576" s="333"><f>AM575</f><v /></c><c r="AN576" s="328"><f>AN575</f><v /></c><c r="AO576" s="11"><f>LEFT(AN576,2)</f><v /></c><c r="AP576" s="11"><f>RIGHT(AN576,6)</f><v /></c><c r="AQ576" s="11"><f>+(AO576*60+AP576)/(60*60)</f><v /></c><c r="AR576" s="14"><f>+AM576/AQ576</f><v /></c><c r="AS576" s="321"><f>+(((AL576-AK576-AM576)/AM576)*100)</f><v /></c><c r="AT576" s="43"><f>IF(I576&gt;=1,"NO CONFORME",IF(BK576="SIGDIFERENTES",BC576,BL576))</f><v /></c><c r="AU576" s="8"><f>B576=C576</f><v /></c><c r="AV576" s="8"><f>N576&lt;Y576</f><v /></c><c r="AW576" s="8"><f>Z576&lt;=AK576</f><v /></c><c r="AX576" s="8"><f>IF(I576&gt;=1,"Qcorrecto",IF(AND(AY576="aceptable",AZ576="aceptable",BA576="aceptable"),"Qcorrecto","Qincorrecto"))</f><v /></c><c r="AY576" s="22"><f>IF(AR576&lt;$AH$6,"error",IF(AR576&gt;$AH$6*1.1,"error","aceptable"))</f><v /></c><c r="AZ576" s="22"><f>IF(AF576&lt;$V$6,"error",IF(AF576&gt;$V$6*1.1,"error","aceptable"))</f><v /></c><c r="BA576" s="22"><f>IF(T576&lt;$J$6*0.9,"error",IF(T576&gt;$J$6,"error","aceptable"))</f><v /></c><c r="BB576" s="25"><f>(IF(ABS(U576)&lt;1.05,"CONFORME",IF(ABS(AG576)&lt;1.05,"CONFORME",IF(ABS(AS576)&lt;2.55,"CONFORME","NO CONFORME"))))</f><v /></c><c r="BC576" s="5"><f>(IF(ABS(U576)&gt;2.05,"NO CONFORME",IF(ABS(AG576)&gt;2.05,"NO CONFORME",IF(ABS(AS576)&gt;5.05,"NO CONFORME","CONFORME"))))</f><v /></c><c r="BD576" s="15"><f>SIGN(U576)</f><v /></c><c r="BE576" s="15"><f>SIGN(AG576)</f><v /></c><c r="BF576" s="15"><f>SIGN(AS576)</f><v /></c><c r="BG576" s="15"><f>CONCATENATE(BD576,BE576,BF576)</f><v /></c><c r="BH576" s="15"><f>IF(BG576="111","SI","SD")</f><v /></c><c r="BI576" s="15"><f>IF(BG576="-1-1-1","SI","SD")</f><v /></c><c r="BJ576" s="15"><f>OR(BH576="SI",BI576="SI")</f><v /></c><c r="BK576" s="15"><f>IF(BJ576=FALSE,"SIGDIFERENTES","SIGIGUALES")</f><v /></c><c r="BL576" s="22"><f>IF(BC576="NO CONFORME","NO CONFORME",IF(BB576="CONFORME","CONFORME","NO CONFORME"))</f><v /></c></row><row r="577" ht="15.75" customHeight="1" thickBot="1"><c r="A577" s="37" t="n"><v>569</v></c><c r="B577" s="324"><f>B576</f><v /></c><c r="C577" s="324"><f>C576</f><v /></c><c r="D577" s="94"><f>D576</f><v /></c><c r="E577" s="95"><f>E576</f><v /></c><c r="F577" s="13" t="n" /><c r="G577" s="300" t="n" /><c r="H577" s="326"><f>H576</f><v /></c><c r="I577" s="98"><f>I576</f><v /></c><c r="J577" s="327"><f>J576</f><v /></c><c r="K577" s="327"><f>K576</f><v /></c><c r="L577" s="327"><f>L576</f><v /></c><c r="M577" s="45" t="n" /><c r="N577" s="45" t="n" /><c r="O577" s="100"><f>O576</f><v /></c><c r="P577" s="328"><f>P576</f><v /></c><c r="Q577" s="11"><f>LEFT(P577,1)</f><v /></c><c r="R577" s="11"><f>RIGHT(P577,6)</f><v /></c><c r="S577" s="11"><f>+(Q577*60+R577)/(60*60)</f><v /></c><c r="T577" s="14"><f>+O577/S577</f><v /></c><c r="U577" s="316"><f>+(((N577-M577-O577)/O577)*100)</f><v /></c><c r="V577" s="329"><f>V576</f><v /></c><c r="W577" s="329"><f>W576</f><v /></c><c r="X577" s="330"><f>X576</f><v /></c><c r="Y577" s="45" t="n" /><c r="Z577" s="45" t="n" /><c r="AA577" s="331"><f>AA576</f><v /></c><c r="AB577" s="332"><f>AB576</f><v /></c><c r="AC577" s="11"><f>LEFT(AB577,2)</f><v /></c><c r="AD577" s="11"><f>RIGHT(AB577,6)</f><v /></c><c r="AE577" s="11"><f>+(AC577*60+AD577)/(60*60)</f><v /></c><c r="AF577" s="14"><f>+AA577/AE577</f><v /></c><c r="AG577" s="321"><f>+(((Z577-Y577-AA577)/AA577)*100)</f><v /></c><c r="AH577" s="329"><f>AH576</f><v /></c><c r="AI577" s="329"><f>AI576</f><v /></c><c r="AJ577" s="329"><f>AJ576</f><v /></c><c r="AK577" s="53"><f>Z577</f><v /></c><c r="AL577" s="45" t="n" /><c r="AM577" s="333"><f>AM576</f><v /></c><c r="AN577" s="328"><f>AN576</f><v /></c><c r="AO577" s="11"><f>LEFT(AN577,2)</f><v /></c><c r="AP577" s="11"><f>RIGHT(AN577,6)</f><v /></c><c r="AQ577" s="11"><f>+(AO577*60+AP577)/(60*60)</f><v /></c><c r="AR577" s="14"><f>+AM577/AQ577</f><v /></c><c r="AS577" s="321"><f>+(((AL577-AK577-AM577)/AM577)*100)</f><v /></c><c r="AT577" s="43"><f>IF(I577&gt;=1,"NO CONFORME",IF(BK577="SIGDIFERENTES",BC577,BL577))</f><v /></c><c r="AU577" s="8"><f>B577=C577</f><v /></c><c r="AV577" s="8"><f>N577&lt;Y577</f><v /></c><c r="AW577" s="8"><f>Z577&lt;=AK577</f><v /></c><c r="AX577" s="8"><f>IF(I577&gt;=1,"Qcorrecto",IF(AND(AY577="aceptable",AZ577="aceptable",BA577="aceptable"),"Qcorrecto","Qincorrecto"))</f><v /></c><c r="AY577" s="22"><f>IF(AR577&lt;$AH$6,"error",IF(AR577&gt;$AH$6*1.1,"error","aceptable"))</f><v /></c><c r="AZ577" s="22"><f>IF(AF577&lt;$V$6,"error",IF(AF577&gt;$V$6*1.1,"error","aceptable"))</f><v /></c><c r="BA577" s="22"><f>IF(T577&lt;$J$6*0.9,"error",IF(T577&gt;$J$6,"error","aceptable"))</f><v /></c><c r="BB577" s="25"><f>(IF(ABS(U577)&lt;1.05,"CONFORME",IF(ABS(AG577)&lt;1.05,"CONFORME",IF(ABS(AS577)&lt;2.55,"CONFORME","NO CONFORME"))))</f><v /></c><c r="BC577" s="5"><f>(IF(ABS(U577)&gt;2.05,"NO CONFORME",IF(ABS(AG577)&gt;2.05,"NO CONFORME",IF(ABS(AS577)&gt;5.05,"NO CONFORME","CONFORME"))))</f><v /></c><c r="BD577" s="15"><f>SIGN(U577)</f><v /></c><c r="BE577" s="15"><f>SIGN(AG577)</f><v /></c><c r="BF577" s="15"><f>SIGN(AS577)</f><v /></c><c r="BG577" s="15"><f>CONCATENATE(BD577,BE577,BF577)</f><v /></c><c r="BH577" s="15"><f>IF(BG577="111","SI","SD")</f><v /></c><c r="BI577" s="15"><f>IF(BG577="-1-1-1","SI","SD")</f><v /></c><c r="BJ577" s="15"><f>OR(BH577="SI",BI577="SI")</f><v /></c><c r="BK577" s="15"><f>IF(BJ577=FALSE,"SIGDIFERENTES","SIGIGUALES")</f><v /></c><c r="BL577" s="22"><f>IF(BC577="NO CONFORME","NO CONFORME",IF(BB577="CONFORME","CONFORME","NO CONFORME"))</f><v /></c></row><row r="578" ht="15.75" customHeight="1" thickBot="1"><c r="A578" s="37" t="n"><v>570</v></c><c r="B578" s="324"><f>B577</f><v /></c><c r="C578" s="324"><f>C577</f><v /></c><c r="D578" s="94"><f>D577</f><v /></c><c r="E578" s="95"><f>E577</f><v /></c><c r="F578" s="52" t="n" /><c r="G578" s="337" t="n" /><c r="H578" s="326"><f>H577</f><v /></c><c r="I578" s="98"><f>I577</f><v /></c><c r="J578" s="327"><f>J577</f><v /></c><c r="K578" s="327"><f>K577</f><v /></c><c r="L578" s="327"><f>L577</f><v /></c><c r="M578" s="53" t="n" /><c r="N578" s="53" t="n" /><c r="O578" s="100"><f>O577</f><v /></c><c r="P578" s="328"><f>P577</f><v /></c><c r="Q578" s="11"><f>LEFT(P578,1)</f><v /></c><c r="R578" s="11"><f>RIGHT(P578,6)</f><v /></c><c r="S578" s="11"><f>+(Q578*60+R578)/(60*60)</f><v /></c><c r="T578" s="14"><f>+O578/S578</f><v /></c><c r="U578" s="316"><f>+(((N578-M578-O578)/O578)*100)</f><v /></c><c r="V578" s="329"><f>V577</f><v /></c><c r="W578" s="329"><f>W577</f><v /></c><c r="X578" s="330"><f>X577</f><v /></c><c r="Y578" s="53" t="n" /><c r="Z578" s="53" t="n" /><c r="AA578" s="331"><f>AA577</f><v /></c><c r="AB578" s="332"><f>AB577</f><v /></c><c r="AC578" s="11"><f>LEFT(AB578,2)</f><v /></c><c r="AD578" s="11"><f>RIGHT(AB578,6)</f><v /></c><c r="AE578" s="11"><f>+(AC578*60+AD578)/(60*60)</f><v /></c><c r="AF578" s="14"><f>+AA578/AE578</f><v /></c><c r="AG578" s="321"><f>+(((Z578-Y578-AA578)/AA578)*100)</f><v /></c><c r="AH578" s="329"><f>AH577</f><v /></c><c r="AI578" s="329"><f>AI577</f><v /></c><c r="AJ578" s="329"><f>AJ577</f><v /></c><c r="AK578" s="53"><f>Z578</f><v /></c><c r="AL578" s="53" t="n" /><c r="AM578" s="333"><f>AM577</f><v /></c><c r="AN578" s="328"><f>AN577</f><v /></c><c r="AO578" s="11"><f>LEFT(AN578,2)</f><v /></c><c r="AP578" s="11"><f>RIGHT(AN578,6)</f><v /></c><c r="AQ578" s="11"><f>+(AO578*60+AP578)/(60*60)</f><v /></c><c r="AR578" s="14"><f>+AM578/AQ578</f><v /></c><c r="AS578" s="321"><f>+(((AL578-AK578-AM578)/AM578)*100)</f><v /></c><c r="AT578" s="43"><f>IF(I578&gt;=1,"NO CONFORME",IF(BK578="SIGDIFERENTES",BC578,BL578))</f><v /></c><c r="AU578" s="8"><f>B578=C578</f><v /></c><c r="AV578" s="8"><f>N578&lt;Y578</f><v /></c><c r="AW578" s="8"><f>Z578&lt;=AK578</f><v /></c><c r="AX578" s="8"><f>IF(I578&gt;=1,"Qcorrecto",IF(AND(AY578="aceptable",AZ578="aceptable",BA578="aceptable"),"Qcorrecto","Qincorrecto"))</f><v /></c><c r="AY578" s="22"><f>IF(AR578&lt;$AH$6,"error",IF(AR578&gt;$AH$6*1.1,"error","aceptable"))</f><v /></c><c r="AZ578" s="22"><f>IF(AF578&lt;$V$6,"error",IF(AF578&gt;$V$6*1.1,"error","aceptable"))</f><v /></c><c r="BA578" s="22"><f>IF(T578&lt;$J$6*0.9,"error",IF(T578&gt;$J$6,"error","aceptable"))</f><v /></c><c r="BB578" s="25"><f>(IF(ABS(U578)&lt;1.05,"CONFORME",IF(ABS(AG578)&lt;1.05,"CONFORME",IF(ABS(AS578)&lt;2.55,"CONFORME","NO CONFORME"))))</f><v /></c><c r="BC578" s="5"><f>(IF(ABS(U578)&gt;2.05,"NO CONFORME",IF(ABS(AG578)&gt;2.05,"NO CONFORME",IF(ABS(AS578)&gt;5.05,"NO CONFORME","CONFORME"))))</f><v /></c><c r="BD578" s="15"><f>SIGN(U578)</f><v /></c><c r="BE578" s="15"><f>SIGN(AG578)</f><v /></c><c r="BF578" s="15"><f>SIGN(AS578)</f><v /></c><c r="BG578" s="15"><f>CONCATENATE(BD578,BE578,BF578)</f><v /></c><c r="BH578" s="15"><f>IF(BG578="111","SI","SD")</f><v /></c><c r="BI578" s="15"><f>IF(BG578="-1-1-1","SI","SD")</f><v /></c><c r="BJ578" s="15"><f>OR(BH578="SI",BI578="SI")</f><v /></c><c r="BK578" s="15"><f>IF(BJ578=FALSE,"SIGDIFERENTES","SIGIGUALES")</f><v /></c><c r="BL578" s="22"><f>IF(BC578="NO CONFORME","NO CONFORME",IF(BB578="CONFORME","CONFORME","NO CONFORME"))</f><v /></c></row><row r="579" ht="15.75" customHeight="1" thickBot="1"><c r="A579" s="37" t="n"><v>571</v></c><c r="B579" s="324"><f>B578</f><v /></c><c r="C579" s="324"><f>C578</f><v /></c><c r="D579" s="94"><f>D578</f><v /></c><c r="E579" s="95"><f>E578</f><v /></c><c r="F579" s="46" t="n" /><c r="G579" s="335" t="n" /><c r="H579" s="326"><f>H578</f><v /></c><c r="I579" s="98"><f>I578</f><v /></c><c r="J579" s="327"><f>J578</f><v /></c><c r="K579" s="327"><f>K578</f><v /></c><c r="L579" s="327"><f>L578</f><v /></c><c r="M579" s="47" t="n" /><c r="N579" s="47" t="n" /><c r="O579" s="100"><f>O578</f><v /></c><c r="P579" s="328"><f>P578</f><v /></c><c r="Q579" s="11"><f>LEFT(P579,1)</f><v /></c><c r="R579" s="11"><f>RIGHT(P579,6)</f><v /></c><c r="S579" s="11"><f>+(Q579*60+R579)/(60*60)</f><v /></c><c r="T579" s="14"><f>+O579/S579</f><v /></c><c r="U579" s="316"><f>+(((N579-M579-O579)/O579)*100)</f><v /></c><c r="V579" s="329"><f>V578</f><v /></c><c r="W579" s="329"><f>W578</f><v /></c><c r="X579" s="330"><f>X578</f><v /></c><c r="Y579" s="47" t="n" /><c r="Z579" s="47" t="n" /><c r="AA579" s="331"><f>AA578</f><v /></c><c r="AB579" s="332"><f>AB578</f><v /></c><c r="AC579" s="11"><f>LEFT(AB579,2)</f><v /></c><c r="AD579" s="11"><f>RIGHT(AB579,6)</f><v /></c><c r="AE579" s="11"><f>+(AC579*60+AD579)/(60*60)</f><v /></c><c r="AF579" s="14"><f>+AA579/AE579</f><v /></c><c r="AG579" s="321"><f>+(((Z579-Y579-AA579)/AA579)*100)</f><v /></c><c r="AH579" s="329"><f>AH578</f><v /></c><c r="AI579" s="329"><f>AI578</f><v /></c><c r="AJ579" s="329"><f>AJ578</f><v /></c><c r="AK579" s="53"><f>Z579</f><v /></c><c r="AL579" s="47" t="n" /><c r="AM579" s="333"><f>AM578</f><v /></c><c r="AN579" s="328"><f>AN578</f><v /></c><c r="AO579" s="11"><f>LEFT(AN579,2)</f><v /></c><c r="AP579" s="11"><f>RIGHT(AN579,6)</f><v /></c><c r="AQ579" s="11"><f>+(AO579*60+AP579)/(60*60)</f><v /></c><c r="AR579" s="14"><f>+AM579/AQ579</f><v /></c><c r="AS579" s="321"><f>+(((AL579-AK579-AM579)/AM579)*100)</f><v /></c><c r="AT579" s="43"><f>IF(I579&gt;=1,"NO CONFORME",IF(BK579="SIGDIFERENTES",BC579,BL579))</f><v /></c><c r="AU579" s="8"><f>B579=C579</f><v /></c><c r="AV579" s="8"><f>N579&lt;Y579</f><v /></c><c r="AW579" s="8"><f>Z579&lt;=AK579</f><v /></c><c r="AX579" s="8"><f>IF(I579&gt;=1,"Qcorrecto",IF(AND(AY579="aceptable",AZ579="aceptable",BA579="aceptable"),"Qcorrecto","Qincorrecto"))</f><v /></c><c r="AY579" s="22"><f>IF(AR579&lt;$AH$6,"error",IF(AR579&gt;$AH$6*1.1,"error","aceptable"))</f><v /></c><c r="AZ579" s="22"><f>IF(AF579&lt;$V$6,"error",IF(AF579&gt;$V$6*1.1,"error","aceptable"))</f><v /></c><c r="BA579" s="22"><f>IF(T579&lt;$J$6*0.9,"error",IF(T579&gt;$J$6,"error","aceptable"))</f><v /></c><c r="BB579" s="25"><f>(IF(ABS(U579)&lt;1.05,"CONFORME",IF(ABS(AG579)&lt;1.05,"CONFORME",IF(ABS(AS579)&lt;2.55,"CONFORME","NO CONFORME"))))</f><v /></c><c r="BC579" s="5"><f>(IF(ABS(U579)&gt;2.05,"NO CONFORME",IF(ABS(AG579)&gt;2.05,"NO CONFORME",IF(ABS(AS579)&gt;5.05,"NO CONFORME","CONFORME"))))</f><v /></c><c r="BD579" s="15"><f>SIGN(U579)</f><v /></c><c r="BE579" s="15"><f>SIGN(AG579)</f><v /></c><c r="BF579" s="15"><f>SIGN(AS579)</f><v /></c><c r="BG579" s="15"><f>CONCATENATE(BD579,BE579,BF579)</f><v /></c><c r="BH579" s="15"><f>IF(BG579="111","SI","SD")</f><v /></c><c r="BI579" s="15"><f>IF(BG579="-1-1-1","SI","SD")</f><v /></c><c r="BJ579" s="15"><f>OR(BH579="SI",BI579="SI")</f><v /></c><c r="BK579" s="15"><f>IF(BJ579=FALSE,"SIGDIFERENTES","SIGIGUALES")</f><v /></c><c r="BL579" s="22"><f>IF(BC579="NO CONFORME","NO CONFORME",IF(BB579="CONFORME","CONFORME","NO CONFORME"))</f><v /></c></row><row r="580" ht="15.75" customHeight="1" thickBot="1"><c r="A580" s="37" t="n"><v>572</v></c><c r="B580" s="324"><f>B579</f><v /></c><c r="C580" s="324"><f>C579</f><v /></c><c r="D580" s="94"><f>D579</f><v /></c><c r="E580" s="95"><f>E579</f><v /></c><c r="F580" s="13" t="n" /><c r="G580" s="300" t="n" /><c r="H580" s="326"><f>H579</f><v /></c><c r="I580" s="98"><f>I579</f><v /></c><c r="J580" s="327"><f>J579</f><v /></c><c r="K580" s="327"><f>K579</f><v /></c><c r="L580" s="327"><f>L579</f><v /></c><c r="M580" s="45" t="n" /><c r="N580" s="45" t="n" /><c r="O580" s="100"><f>O579</f><v /></c><c r="P580" s="328"><f>P579</f><v /></c><c r="Q580" s="11"><f>LEFT(P580,1)</f><v /></c><c r="R580" s="11"><f>RIGHT(P580,6)</f><v /></c><c r="S580" s="11"><f>+(Q580*60+R580)/(60*60)</f><v /></c><c r="T580" s="14"><f>+O580/S580</f><v /></c><c r="U580" s="316"><f>+(((N580-M580-O580)/O580)*100)</f><v /></c><c r="V580" s="329"><f>V579</f><v /></c><c r="W580" s="329"><f>W579</f><v /></c><c r="X580" s="330"><f>X579</f><v /></c><c r="Y580" s="45" t="n" /><c r="Z580" s="45" t="n" /><c r="AA580" s="331"><f>AA579</f><v /></c><c r="AB580" s="332"><f>AB579</f><v /></c><c r="AC580" s="11"><f>LEFT(AB580,2)</f><v /></c><c r="AD580" s="11"><f>RIGHT(AB580,6)</f><v /></c><c r="AE580" s="11"><f>+(AC580*60+AD580)/(60*60)</f><v /></c><c r="AF580" s="14"><f>+AA580/AE580</f><v /></c><c r="AG580" s="321"><f>+(((Z580-Y580-AA580)/AA580)*100)</f><v /></c><c r="AH580" s="329"><f>AH579</f><v /></c><c r="AI580" s="329"><f>AI579</f><v /></c><c r="AJ580" s="329"><f>AJ579</f><v /></c><c r="AK580" s="53"><f>Z580</f><v /></c><c r="AL580" s="45" t="n" /><c r="AM580" s="333"><f>AM579</f><v /></c><c r="AN580" s="328"><f>AN579</f><v /></c><c r="AO580" s="11"><f>LEFT(AN580,2)</f><v /></c><c r="AP580" s="11"><f>RIGHT(AN580,6)</f><v /></c><c r="AQ580" s="11"><f>+(AO580*60+AP580)/(60*60)</f><v /></c><c r="AR580" s="14"><f>+AM580/AQ580</f><v /></c><c r="AS580" s="321"><f>+(((AL580-AK580-AM580)/AM580)*100)</f><v /></c><c r="AT580" s="43"><f>IF(I580&gt;=1,"NO CONFORME",IF(BK580="SIGDIFERENTES",BC580,BL580))</f><v /></c><c r="AU580" s="8"><f>B580=C580</f><v /></c><c r="AV580" s="8"><f>N580&lt;Y580</f><v /></c><c r="AW580" s="8"><f>Z580&lt;=AK580</f><v /></c><c r="AX580" s="8"><f>IF(I580&gt;=1,"Qcorrecto",IF(AND(AY580="aceptable",AZ580="aceptable",BA580="aceptable"),"Qcorrecto","Qincorrecto"))</f><v /></c><c r="AY580" s="22"><f>IF(AR580&lt;$AH$6,"error",IF(AR580&gt;$AH$6*1.1,"error","aceptable"))</f><v /></c><c r="AZ580" s="22"><f>IF(AF580&lt;$V$6,"error",IF(AF580&gt;$V$6*1.1,"error","aceptable"))</f><v /></c><c r="BA580" s="22"><f>IF(T580&lt;$J$6*0.9,"error",IF(T580&gt;$J$6,"error","aceptable"))</f><v /></c><c r="BB580" s="25"><f>(IF(ABS(U580)&lt;1.05,"CONFORME",IF(ABS(AG580)&lt;1.05,"CONFORME",IF(ABS(AS580)&lt;2.55,"CONFORME","NO CONFORME"))))</f><v /></c><c r="BC580" s="5"><f>(IF(ABS(U580)&gt;2.05,"NO CONFORME",IF(ABS(AG580)&gt;2.05,"NO CONFORME",IF(ABS(AS580)&gt;5.05,"NO CONFORME","CONFORME"))))</f><v /></c><c r="BD580" s="15"><f>SIGN(U580)</f><v /></c><c r="BE580" s="15"><f>SIGN(AG580)</f><v /></c><c r="BF580" s="15"><f>SIGN(AS580)</f><v /></c><c r="BG580" s="15"><f>CONCATENATE(BD580,BE580,BF580)</f><v /></c><c r="BH580" s="15"><f>IF(BG580="111","SI","SD")</f><v /></c><c r="BI580" s="15"><f>IF(BG580="-1-1-1","SI","SD")</f><v /></c><c r="BJ580" s="15"><f>OR(BH580="SI",BI580="SI")</f><v /></c><c r="BK580" s="15"><f>IF(BJ580=FALSE,"SIGDIFERENTES","SIGIGUALES")</f><v /></c><c r="BL580" s="22"><f>IF(BC580="NO CONFORME","NO CONFORME",IF(BB580="CONFORME","CONFORME","NO CONFORME"))</f><v /></c></row><row r="581" ht="15.75" customHeight="1" thickBot="1"><c r="A581" s="37" t="n"><v>573</v></c><c r="B581" s="324"><f>B580</f><v /></c><c r="C581" s="324"><f>C580</f><v /></c><c r="D581" s="94"><f>D580</f><v /></c><c r="E581" s="95"><f>E580</f><v /></c><c r="F581" s="13" t="n" /><c r="G581" s="300" t="n" /><c r="H581" s="326"><f>H580</f><v /></c><c r="I581" s="98"><f>I580</f><v /></c><c r="J581" s="327"><f>J580</f><v /></c><c r="K581" s="327"><f>K580</f><v /></c><c r="L581" s="327"><f>L580</f><v /></c><c r="M581" s="45" t="n" /><c r="N581" s="45" t="n" /><c r="O581" s="100"><f>O580</f><v /></c><c r="P581" s="328"><f>P580</f><v /></c><c r="Q581" s="11"><f>LEFT(P581,1)</f><v /></c><c r="R581" s="11"><f>RIGHT(P581,6)</f><v /></c><c r="S581" s="11"><f>+(Q581*60+R581)/(60*60)</f><v /></c><c r="T581" s="14"><f>+O581/S581</f><v /></c><c r="U581" s="316"><f>+(((N581-M581-O581)/O581)*100)</f><v /></c><c r="V581" s="329"><f>V580</f><v /></c><c r="W581" s="329"><f>W580</f><v /></c><c r="X581" s="330"><f>X580</f><v /></c><c r="Y581" s="45" t="n" /><c r="Z581" s="45" t="n" /><c r="AA581" s="331"><f>AA580</f><v /></c><c r="AB581" s="332"><f>AB580</f><v /></c><c r="AC581" s="11"><f>LEFT(AB581,2)</f><v /></c><c r="AD581" s="11"><f>RIGHT(AB581,6)</f><v /></c><c r="AE581" s="11"><f>+(AC581*60+AD581)/(60*60)</f><v /></c><c r="AF581" s="14"><f>+AA581/AE581</f><v /></c><c r="AG581" s="321"><f>+(((Z581-Y581-AA581)/AA581)*100)</f><v /></c><c r="AH581" s="329"><f>AH580</f><v /></c><c r="AI581" s="329"><f>AI580</f><v /></c><c r="AJ581" s="329"><f>AJ580</f><v /></c><c r="AK581" s="53"><f>Z581</f><v /></c><c r="AL581" s="45" t="n" /><c r="AM581" s="333"><f>AM580</f><v /></c><c r="AN581" s="328"><f>AN580</f><v /></c><c r="AO581" s="11"><f>LEFT(AN581,2)</f><v /></c><c r="AP581" s="11"><f>RIGHT(AN581,6)</f><v /></c><c r="AQ581" s="11"><f>+(AO581*60+AP581)/(60*60)</f><v /></c><c r="AR581" s="14"><f>+AM581/AQ581</f><v /></c><c r="AS581" s="321"><f>+(((AL581-AK581-AM581)/AM581)*100)</f><v /></c><c r="AT581" s="43"><f>IF(I581&gt;=1,"NO CONFORME",IF(BK581="SIGDIFERENTES",BC581,BL581))</f><v /></c><c r="AU581" s="8"><f>B581=C581</f><v /></c><c r="AV581" s="8"><f>N581&lt;Y581</f><v /></c><c r="AW581" s="8"><f>Z581&lt;=AK581</f><v /></c><c r="AX581" s="8"><f>IF(I581&gt;=1,"Qcorrecto",IF(AND(AY581="aceptable",AZ581="aceptable",BA581="aceptable"),"Qcorrecto","Qincorrecto"))</f><v /></c><c r="AY581" s="22"><f>IF(AR581&lt;$AH$6,"error",IF(AR581&gt;$AH$6*1.1,"error","aceptable"))</f><v /></c><c r="AZ581" s="22"><f>IF(AF581&lt;$V$6,"error",IF(AF581&gt;$V$6*1.1,"error","aceptable"))</f><v /></c><c r="BA581" s="22"><f>IF(T581&lt;$J$6*0.9,"error",IF(T581&gt;$J$6,"error","aceptable"))</f><v /></c><c r="BB581" s="25"><f>(IF(ABS(U581)&lt;1.05,"CONFORME",IF(ABS(AG581)&lt;1.05,"CONFORME",IF(ABS(AS581)&lt;2.55,"CONFORME","NO CONFORME"))))</f><v /></c><c r="BC581" s="5"><f>(IF(ABS(U581)&gt;2.05,"NO CONFORME",IF(ABS(AG581)&gt;2.05,"NO CONFORME",IF(ABS(AS581)&gt;5.05,"NO CONFORME","CONFORME"))))</f><v /></c><c r="BD581" s="15"><f>SIGN(U581)</f><v /></c><c r="BE581" s="15"><f>SIGN(AG581)</f><v /></c><c r="BF581" s="15"><f>SIGN(AS581)</f><v /></c><c r="BG581" s="15"><f>CONCATENATE(BD581,BE581,BF581)</f><v /></c><c r="BH581" s="15"><f>IF(BG581="111","SI","SD")</f><v /></c><c r="BI581" s="15"><f>IF(BG581="-1-1-1","SI","SD")</f><v /></c><c r="BJ581" s="15"><f>OR(BH581="SI",BI581="SI")</f><v /></c><c r="BK581" s="15"><f>IF(BJ581=FALSE,"SIGDIFERENTES","SIGIGUALES")</f><v /></c><c r="BL581" s="22"><f>IF(BC581="NO CONFORME","NO CONFORME",IF(BB581="CONFORME","CONFORME","NO CONFORME"))</f><v /></c></row><row r="582" ht="15.75" customHeight="1" thickBot="1"><c r="A582" s="37" t="n"><v>574</v></c><c r="B582" s="324"><f>B581</f><v /></c><c r="C582" s="324"><f>C581</f><v /></c><c r="D582" s="94"><f>D581</f><v /></c><c r="E582" s="95"><f>E581</f><v /></c><c r="F582" s="13" t="n" /><c r="G582" s="300" t="n" /><c r="H582" s="326"><f>H581</f><v /></c><c r="I582" s="98"><f>I581</f><v /></c><c r="J582" s="327"><f>J581</f><v /></c><c r="K582" s="327"><f>K581</f><v /></c><c r="L582" s="327"><f>L581</f><v /></c><c r="M582" s="45" t="n" /><c r="N582" s="45" t="n" /><c r="O582" s="100"><f>O581</f><v /></c><c r="P582" s="328"><f>P581</f><v /></c><c r="Q582" s="11"><f>LEFT(P582,1)</f><v /></c><c r="R582" s="11"><f>RIGHT(P582,6)</f><v /></c><c r="S582" s="11"><f>+(Q582*60+R582)/(60*60)</f><v /></c><c r="T582" s="14"><f>+O582/S582</f><v /></c><c r="U582" s="316"><f>+(((N582-M582-O582)/O582)*100)</f><v /></c><c r="V582" s="329"><f>V581</f><v /></c><c r="W582" s="329"><f>W581</f><v /></c><c r="X582" s="330"><f>X581</f><v /></c><c r="Y582" s="45" t="n" /><c r="Z582" s="45" t="n" /><c r="AA582" s="331"><f>AA581</f><v /></c><c r="AB582" s="332"><f>AB581</f><v /></c><c r="AC582" s="11"><f>LEFT(AB582,2)</f><v /></c><c r="AD582" s="11"><f>RIGHT(AB582,6)</f><v /></c><c r="AE582" s="11"><f>+(AC582*60+AD582)/(60*60)</f><v /></c><c r="AF582" s="14"><f>+AA582/AE582</f><v /></c><c r="AG582" s="321"><f>+(((Z582-Y582-AA582)/AA582)*100)</f><v /></c><c r="AH582" s="329"><f>AH581</f><v /></c><c r="AI582" s="329"><f>AI581</f><v /></c><c r="AJ582" s="329"><f>AJ581</f><v /></c><c r="AK582" s="53"><f>Z582</f><v /></c><c r="AL582" s="45" t="n" /><c r="AM582" s="333"><f>AM581</f><v /></c><c r="AN582" s="328"><f>AN581</f><v /></c><c r="AO582" s="11"><f>LEFT(AN582,2)</f><v /></c><c r="AP582" s="11"><f>RIGHT(AN582,6)</f><v /></c><c r="AQ582" s="11"><f>+(AO582*60+AP582)/(60*60)</f><v /></c><c r="AR582" s="14"><f>+AM582/AQ582</f><v /></c><c r="AS582" s="321"><f>+(((AL582-AK582-AM582)/AM582)*100)</f><v /></c><c r="AT582" s="43"><f>IF(I582&gt;=1,"NO CONFORME",IF(BK582="SIGDIFERENTES",BC582,BL582))</f><v /></c><c r="AU582" s="8"><f>B582=C582</f><v /></c><c r="AV582" s="8"><f>N582&lt;Y582</f><v /></c><c r="AW582" s="8"><f>Z582&lt;=AK582</f><v /></c><c r="AX582" s="8"><f>IF(I582&gt;=1,"Qcorrecto",IF(AND(AY582="aceptable",AZ582="aceptable",BA582="aceptable"),"Qcorrecto","Qincorrecto"))</f><v /></c><c r="AY582" s="22"><f>IF(AR582&lt;$AH$6,"error",IF(AR582&gt;$AH$6*1.1,"error","aceptable"))</f><v /></c><c r="AZ582" s="22"><f>IF(AF582&lt;$V$6,"error",IF(AF582&gt;$V$6*1.1,"error","aceptable"))</f><v /></c><c r="BA582" s="22"><f>IF(T582&lt;$J$6*0.9,"error",IF(T582&gt;$J$6,"error","aceptable"))</f><v /></c><c r="BB582" s="25"><f>(IF(ABS(U582)&lt;1.05,"CONFORME",IF(ABS(AG582)&lt;1.05,"CONFORME",IF(ABS(AS582)&lt;2.55,"CONFORME","NO CONFORME"))))</f><v /></c><c r="BC582" s="5"><f>(IF(ABS(U582)&gt;2.05,"NO CONFORME",IF(ABS(AG582)&gt;2.05,"NO CONFORME",IF(ABS(AS582)&gt;5.05,"NO CONFORME","CONFORME"))))</f><v /></c><c r="BD582" s="15"><f>SIGN(U582)</f><v /></c><c r="BE582" s="15"><f>SIGN(AG582)</f><v /></c><c r="BF582" s="15"><f>SIGN(AS582)</f><v /></c><c r="BG582" s="15"><f>CONCATENATE(BD582,BE582,BF582)</f><v /></c><c r="BH582" s="15"><f>IF(BG582="111","SI","SD")</f><v /></c><c r="BI582" s="15"><f>IF(BG582="-1-1-1","SI","SD")</f><v /></c><c r="BJ582" s="15"><f>OR(BH582="SI",BI582="SI")</f><v /></c><c r="BK582" s="15"><f>IF(BJ582=FALSE,"SIGDIFERENTES","SIGIGUALES")</f><v /></c><c r="BL582" s="22"><f>IF(BC582="NO CONFORME","NO CONFORME",IF(BB582="CONFORME","CONFORME","NO CONFORME"))</f><v /></c></row><row r="583" ht="15.75" customHeight="1" thickBot="1"><c r="A583" s="37" t="n"><v>575</v></c><c r="B583" s="324"><f>B582</f><v /></c><c r="C583" s="324"><f>C582</f><v /></c><c r="D583" s="94"><f>D582</f><v /></c><c r="E583" s="95"><f>E582</f><v /></c><c r="F583" s="13" t="n" /><c r="G583" s="300" t="n" /><c r="H583" s="326"><f>H582</f><v /></c><c r="I583" s="98"><f>I582</f><v /></c><c r="J583" s="327"><f>J582</f><v /></c><c r="K583" s="327"><f>K582</f><v /></c><c r="L583" s="327"><f>L582</f><v /></c><c r="M583" s="45" t="n" /><c r="N583" s="45" t="n" /><c r="O583" s="100"><f>O582</f><v /></c><c r="P583" s="328"><f>P582</f><v /></c><c r="Q583" s="11"><f>LEFT(P583,1)</f><v /></c><c r="R583" s="11"><f>RIGHT(P583,6)</f><v /></c><c r="S583" s="11"><f>+(Q583*60+R583)/(60*60)</f><v /></c><c r="T583" s="14"><f>+O583/S583</f><v /></c><c r="U583" s="316"><f>+(((N583-M583-O583)/O583)*100)</f><v /></c><c r="V583" s="329"><f>V582</f><v /></c><c r="W583" s="329"><f>W582</f><v /></c><c r="X583" s="330"><f>X582</f><v /></c><c r="Y583" s="45" t="n" /><c r="Z583" s="45" t="n" /><c r="AA583" s="331"><f>AA582</f><v /></c><c r="AB583" s="332"><f>AB582</f><v /></c><c r="AC583" s="11"><f>LEFT(AB583,2)</f><v /></c><c r="AD583" s="11"><f>RIGHT(AB583,6)</f><v /></c><c r="AE583" s="11"><f>+(AC583*60+AD583)/(60*60)</f><v /></c><c r="AF583" s="14"><f>+AA583/AE583</f><v /></c><c r="AG583" s="321"><f>+(((Z583-Y583-AA583)/AA583)*100)</f><v /></c><c r="AH583" s="329"><f>AH582</f><v /></c><c r="AI583" s="329"><f>AI582</f><v /></c><c r="AJ583" s="329"><f>AJ582</f><v /></c><c r="AK583" s="53"><f>Z583</f><v /></c><c r="AL583" s="45" t="n" /><c r="AM583" s="333"><f>AM582</f><v /></c><c r="AN583" s="328"><f>AN582</f><v /></c><c r="AO583" s="11"><f>LEFT(AN583,2)</f><v /></c><c r="AP583" s="11"><f>RIGHT(AN583,6)</f><v /></c><c r="AQ583" s="11"><f>+(AO583*60+AP583)/(60*60)</f><v /></c><c r="AR583" s="14"><f>+AM583/AQ583</f><v /></c><c r="AS583" s="321"><f>+(((AL583-AK583-AM583)/AM583)*100)</f><v /></c><c r="AT583" s="43"><f>IF(I583&gt;=1,"NO CONFORME",IF(BK583="SIGDIFERENTES",BC583,BL583))</f><v /></c><c r="AU583" s="8"><f>B583=C583</f><v /></c><c r="AV583" s="8"><f>N583&lt;Y583</f><v /></c><c r="AW583" s="8"><f>Z583&lt;=AK583</f><v /></c><c r="AX583" s="8"><f>IF(I583&gt;=1,"Qcorrecto",IF(AND(AY583="aceptable",AZ583="aceptable",BA583="aceptable"),"Qcorrecto","Qincorrecto"))</f><v /></c><c r="AY583" s="22"><f>IF(AR583&lt;$AH$6,"error",IF(AR583&gt;$AH$6*1.1,"error","aceptable"))</f><v /></c><c r="AZ583" s="22"><f>IF(AF583&lt;$V$6,"error",IF(AF583&gt;$V$6*1.1,"error","aceptable"))</f><v /></c><c r="BA583" s="22"><f>IF(T583&lt;$J$6*0.9,"error",IF(T583&gt;$J$6,"error","aceptable"))</f><v /></c><c r="BB583" s="25"><f>(IF(ABS(U583)&lt;1.05,"CONFORME",IF(ABS(AG583)&lt;1.05,"CONFORME",IF(ABS(AS583)&lt;2.55,"CONFORME","NO CONFORME"))))</f><v /></c><c r="BC583" s="5"><f>(IF(ABS(U583)&gt;2.05,"NO CONFORME",IF(ABS(AG583)&gt;2.05,"NO CONFORME",IF(ABS(AS583)&gt;5.05,"NO CONFORME","CONFORME"))))</f><v /></c><c r="BD583" s="15"><f>SIGN(U583)</f><v /></c><c r="BE583" s="15"><f>SIGN(AG583)</f><v /></c><c r="BF583" s="15"><f>SIGN(AS583)</f><v /></c><c r="BG583" s="15"><f>CONCATENATE(BD583,BE583,BF583)</f><v /></c><c r="BH583" s="15"><f>IF(BG583="111","SI","SD")</f><v /></c><c r="BI583" s="15"><f>IF(BG583="-1-1-1","SI","SD")</f><v /></c><c r="BJ583" s="15"><f>OR(BH583="SI",BI583="SI")</f><v /></c><c r="BK583" s="15"><f>IF(BJ583=FALSE,"SIGDIFERENTES","SIGIGUALES")</f><v /></c><c r="BL583" s="22"><f>IF(BC583="NO CONFORME","NO CONFORME",IF(BB583="CONFORME","CONFORME","NO CONFORME"))</f><v /></c></row><row r="584" ht="15.75" customHeight="1" thickBot="1"><c r="A584" s="37" t="n"><v>576</v></c><c r="B584" s="324"><f>B583</f><v /></c><c r="C584" s="324"><f>C583</f><v /></c><c r="D584" s="94"><f>D583</f><v /></c><c r="E584" s="95"><f>E583</f><v /></c><c r="F584" s="13" t="n" /><c r="G584" s="300" t="n" /><c r="H584" s="326"><f>H583</f><v /></c><c r="I584" s="98"><f>I583</f><v /></c><c r="J584" s="327"><f>J583</f><v /></c><c r="K584" s="327"><f>K583</f><v /></c><c r="L584" s="327"><f>L583</f><v /></c><c r="M584" s="45" t="n" /><c r="N584" s="45" t="n" /><c r="O584" s="100"><f>O583</f><v /></c><c r="P584" s="328"><f>P583</f><v /></c><c r="Q584" s="11"><f>LEFT(P584,1)</f><v /></c><c r="R584" s="11"><f>RIGHT(P584,6)</f><v /></c><c r="S584" s="11"><f>+(Q584*60+R584)/(60*60)</f><v /></c><c r="T584" s="14"><f>+O584/S584</f><v /></c><c r="U584" s="316"><f>+(((N584-M584-O584)/O584)*100)</f><v /></c><c r="V584" s="329"><f>V583</f><v /></c><c r="W584" s="329"><f>W583</f><v /></c><c r="X584" s="330"><f>X583</f><v /></c><c r="Y584" s="45" t="n" /><c r="Z584" s="45" t="n" /><c r="AA584" s="331"><f>AA583</f><v /></c><c r="AB584" s="332"><f>AB583</f><v /></c><c r="AC584" s="11"><f>LEFT(AB584,2)</f><v /></c><c r="AD584" s="11"><f>RIGHT(AB584,6)</f><v /></c><c r="AE584" s="11"><f>+(AC584*60+AD584)/(60*60)</f><v /></c><c r="AF584" s="14"><f>+AA584/AE584</f><v /></c><c r="AG584" s="321"><f>+(((Z584-Y584-AA584)/AA584)*100)</f><v /></c><c r="AH584" s="329"><f>AH583</f><v /></c><c r="AI584" s="329"><f>AI583</f><v /></c><c r="AJ584" s="329"><f>AJ583</f><v /></c><c r="AK584" s="53"><f>Z584</f><v /></c><c r="AL584" s="45" t="n" /><c r="AM584" s="333"><f>AM583</f><v /></c><c r="AN584" s="328"><f>AN583</f><v /></c><c r="AO584" s="11"><f>LEFT(AN584,2)</f><v /></c><c r="AP584" s="11"><f>RIGHT(AN584,6)</f><v /></c><c r="AQ584" s="11"><f>+(AO584*60+AP584)/(60*60)</f><v /></c><c r="AR584" s="14"><f>+AM584/AQ584</f><v /></c><c r="AS584" s="321"><f>+(((AL584-AK584-AM584)/AM584)*100)</f><v /></c><c r="AT584" s="43"><f>IF(I584&gt;=1,"NO CONFORME",IF(BK584="SIGDIFERENTES",BC584,BL584))</f><v /></c><c r="AU584" s="8"><f>B584=C584</f><v /></c><c r="AV584" s="8"><f>N584&lt;Y584</f><v /></c><c r="AW584" s="8"><f>Z584&lt;=AK584</f><v /></c><c r="AX584" s="8"><f>IF(I584&gt;=1,"Qcorrecto",IF(AND(AY584="aceptable",AZ584="aceptable",BA584="aceptable"),"Qcorrecto","Qincorrecto"))</f><v /></c><c r="AY584" s="22"><f>IF(AR584&lt;$AH$6,"error",IF(AR584&gt;$AH$6*1.1,"error","aceptable"))</f><v /></c><c r="AZ584" s="22"><f>IF(AF584&lt;$V$6,"error",IF(AF584&gt;$V$6*1.1,"error","aceptable"))</f><v /></c><c r="BA584" s="22"><f>IF(T584&lt;$J$6*0.9,"error",IF(T584&gt;$J$6,"error","aceptable"))</f><v /></c><c r="BB584" s="25"><f>(IF(ABS(U584)&lt;1.05,"CONFORME",IF(ABS(AG584)&lt;1.05,"CONFORME",IF(ABS(AS584)&lt;2.55,"CONFORME","NO CONFORME"))))</f><v /></c><c r="BC584" s="5"><f>(IF(ABS(U584)&gt;2.05,"NO CONFORME",IF(ABS(AG584)&gt;2.05,"NO CONFORME",IF(ABS(AS584)&gt;5.05,"NO CONFORME","CONFORME"))))</f><v /></c><c r="BD584" s="15"><f>SIGN(U584)</f><v /></c><c r="BE584" s="15"><f>SIGN(AG584)</f><v /></c><c r="BF584" s="15"><f>SIGN(AS584)</f><v /></c><c r="BG584" s="15"><f>CONCATENATE(BD584,BE584,BF584)</f><v /></c><c r="BH584" s="15"><f>IF(BG584="111","SI","SD")</f><v /></c><c r="BI584" s="15"><f>IF(BG584="-1-1-1","SI","SD")</f><v /></c><c r="BJ584" s="15"><f>OR(BH584="SI",BI584="SI")</f><v /></c><c r="BK584" s="15"><f>IF(BJ584=FALSE,"SIGDIFERENTES","SIGIGUALES")</f><v /></c><c r="BL584" s="22"><f>IF(BC584="NO CONFORME","NO CONFORME",IF(BB584="CONFORME","CONFORME","NO CONFORME"))</f><v /></c></row><row r="585" ht="15.75" customHeight="1" thickBot="1"><c r="A585" s="37" t="n"><v>577</v></c><c r="B585" s="324"><f>B584</f><v /></c><c r="C585" s="324"><f>C584</f><v /></c><c r="D585" s="94"><f>D584</f><v /></c><c r="E585" s="95"><f>E584</f><v /></c><c r="F585" s="13" t="n" /><c r="G585" s="300" t="n" /><c r="H585" s="326"><f>H584</f><v /></c><c r="I585" s="98"><f>I584</f><v /></c><c r="J585" s="327"><f>J584</f><v /></c><c r="K585" s="327"><f>K584</f><v /></c><c r="L585" s="327"><f>L584</f><v /></c><c r="M585" s="45" t="n" /><c r="N585" s="45" t="n" /><c r="O585" s="100"><f>O584</f><v /></c><c r="P585" s="328"><f>P584</f><v /></c><c r="Q585" s="11"><f>LEFT(P585,1)</f><v /></c><c r="R585" s="11"><f>RIGHT(P585,6)</f><v /></c><c r="S585" s="11"><f>+(Q585*60+R585)/(60*60)</f><v /></c><c r="T585" s="14"><f>+O585/S585</f><v /></c><c r="U585" s="316"><f>+(((N585-M585-O585)/O585)*100)</f><v /></c><c r="V585" s="329"><f>V584</f><v /></c><c r="W585" s="329"><f>W584</f><v /></c><c r="X585" s="330"><f>X584</f><v /></c><c r="Y585" s="45" t="n" /><c r="Z585" s="45" t="n" /><c r="AA585" s="331"><f>AA584</f><v /></c><c r="AB585" s="332"><f>AB584</f><v /></c><c r="AC585" s="11"><f>LEFT(AB585,2)</f><v /></c><c r="AD585" s="11"><f>RIGHT(AB585,6)</f><v /></c><c r="AE585" s="11"><f>+(AC585*60+AD585)/(60*60)</f><v /></c><c r="AF585" s="14"><f>+AA585/AE585</f><v /></c><c r="AG585" s="321"><f>+(((Z585-Y585-AA585)/AA585)*100)</f><v /></c><c r="AH585" s="329"><f>AH584</f><v /></c><c r="AI585" s="329"><f>AI584</f><v /></c><c r="AJ585" s="329"><f>AJ584</f><v /></c><c r="AK585" s="53"><f>Z585</f><v /></c><c r="AL585" s="45" t="n" /><c r="AM585" s="333"><f>AM584</f><v /></c><c r="AN585" s="328"><f>AN584</f><v /></c><c r="AO585" s="11"><f>LEFT(AN585,2)</f><v /></c><c r="AP585" s="11"><f>RIGHT(AN585,6)</f><v /></c><c r="AQ585" s="11"><f>+(AO585*60+AP585)/(60*60)</f><v /></c><c r="AR585" s="14"><f>+AM585/AQ585</f><v /></c><c r="AS585" s="321"><f>+(((AL585-AK585-AM585)/AM585)*100)</f><v /></c><c r="AT585" s="43"><f>IF(I585&gt;=1,"NO CONFORME",IF(BK585="SIGDIFERENTES",BC585,BL585))</f><v /></c><c r="AU585" s="8"><f>B585=C585</f><v /></c><c r="AV585" s="8"><f>N585&lt;Y585</f><v /></c><c r="AW585" s="8"><f>Z585&lt;=AK585</f><v /></c><c r="AX585" s="8"><f>IF(I585&gt;=1,"Qcorrecto",IF(AND(AY585="aceptable",AZ585="aceptable",BA585="aceptable"),"Qcorrecto","Qincorrecto"))</f><v /></c><c r="AY585" s="22"><f>IF(AR585&lt;$AH$6,"error",IF(AR585&gt;$AH$6*1.1,"error","aceptable"))</f><v /></c><c r="AZ585" s="22"><f>IF(AF585&lt;$V$6,"error",IF(AF585&gt;$V$6*1.1,"error","aceptable"))</f><v /></c><c r="BA585" s="22"><f>IF(T585&lt;$J$6*0.9,"error",IF(T585&gt;$J$6,"error","aceptable"))</f><v /></c><c r="BB585" s="25"><f>(IF(ABS(U585)&lt;1.05,"CONFORME",IF(ABS(AG585)&lt;1.05,"CONFORME",IF(ABS(AS585)&lt;2.55,"CONFORME","NO CONFORME"))))</f><v /></c><c r="BC585" s="5"><f>(IF(ABS(U585)&gt;2.05,"NO CONFORME",IF(ABS(AG585)&gt;2.05,"NO CONFORME",IF(ABS(AS585)&gt;5.05,"NO CONFORME","CONFORME"))))</f><v /></c><c r="BD585" s="15"><f>SIGN(U585)</f><v /></c><c r="BE585" s="15"><f>SIGN(AG585)</f><v /></c><c r="BF585" s="15"><f>SIGN(AS585)</f><v /></c><c r="BG585" s="15"><f>CONCATENATE(BD585,BE585,BF585)</f><v /></c><c r="BH585" s="15"><f>IF(BG585="111","SI","SD")</f><v /></c><c r="BI585" s="15"><f>IF(BG585="-1-1-1","SI","SD")</f><v /></c><c r="BJ585" s="15"><f>OR(BH585="SI",BI585="SI")</f><v /></c><c r="BK585" s="15"><f>IF(BJ585=FALSE,"SIGDIFERENTES","SIGIGUALES")</f><v /></c><c r="BL585" s="22"><f>IF(BC585="NO CONFORME","NO CONFORME",IF(BB585="CONFORME","CONFORME","NO CONFORME"))</f><v /></c></row><row r="586" ht="15.75" customHeight="1" thickBot="1"><c r="A586" s="37" t="n"><v>578</v></c><c r="B586" s="324"><f>B585</f><v /></c><c r="C586" s="324"><f>C585</f><v /></c><c r="D586" s="94"><f>D585</f><v /></c><c r="E586" s="95"><f>E585</f><v /></c><c r="F586" s="13" t="n" /><c r="G586" s="300" t="n" /><c r="H586" s="326"><f>H585</f><v /></c><c r="I586" s="98"><f>I585</f><v /></c><c r="J586" s="327"><f>J585</f><v /></c><c r="K586" s="327"><f>K585</f><v /></c><c r="L586" s="327"><f>L585</f><v /></c><c r="M586" s="45" t="n" /><c r="N586" s="45" t="n" /><c r="O586" s="100"><f>O585</f><v /></c><c r="P586" s="328"><f>P585</f><v /></c><c r="Q586" s="11"><f>LEFT(P586,1)</f><v /></c><c r="R586" s="11"><f>RIGHT(P586,6)</f><v /></c><c r="S586" s="11"><f>+(Q586*60+R586)/(60*60)</f><v /></c><c r="T586" s="14"><f>+O586/S586</f><v /></c><c r="U586" s="316"><f>+(((N586-M586-O586)/O586)*100)</f><v /></c><c r="V586" s="329"><f>V585</f><v /></c><c r="W586" s="329"><f>W585</f><v /></c><c r="X586" s="330"><f>X585</f><v /></c><c r="Y586" s="45" t="n" /><c r="Z586" s="45" t="n" /><c r="AA586" s="331"><f>AA585</f><v /></c><c r="AB586" s="332"><f>AB585</f><v /></c><c r="AC586" s="11"><f>LEFT(AB586,2)</f><v /></c><c r="AD586" s="11"><f>RIGHT(AB586,6)</f><v /></c><c r="AE586" s="11"><f>+(AC586*60+AD586)/(60*60)</f><v /></c><c r="AF586" s="14"><f>+AA586/AE586</f><v /></c><c r="AG586" s="321"><f>+(((Z586-Y586-AA586)/AA586)*100)</f><v /></c><c r="AH586" s="329"><f>AH585</f><v /></c><c r="AI586" s="329"><f>AI585</f><v /></c><c r="AJ586" s="329"><f>AJ585</f><v /></c><c r="AK586" s="53"><f>Z586</f><v /></c><c r="AL586" s="45" t="n" /><c r="AM586" s="333"><f>AM585</f><v /></c><c r="AN586" s="328"><f>AN585</f><v /></c><c r="AO586" s="11"><f>LEFT(AN586,2)</f><v /></c><c r="AP586" s="11"><f>RIGHT(AN586,6)</f><v /></c><c r="AQ586" s="11"><f>+(AO586*60+AP586)/(60*60)</f><v /></c><c r="AR586" s="14"><f>+AM586/AQ586</f><v /></c><c r="AS586" s="321"><f>+(((AL586-AK586-AM586)/AM586)*100)</f><v /></c><c r="AT586" s="43"><f>IF(I586&gt;=1,"NO CONFORME",IF(BK586="SIGDIFERENTES",BC586,BL586))</f><v /></c><c r="AU586" s="8"><f>B586=C586</f><v /></c><c r="AV586" s="8"><f>N586&lt;Y586</f><v /></c><c r="AW586" s="8"><f>Z586&lt;=AK586</f><v /></c><c r="AX586" s="8"><f>IF(I586&gt;=1,"Qcorrecto",IF(AND(AY586="aceptable",AZ586="aceptable",BA586="aceptable"),"Qcorrecto","Qincorrecto"))</f><v /></c><c r="AY586" s="22"><f>IF(AR586&lt;$AH$6,"error",IF(AR586&gt;$AH$6*1.1,"error","aceptable"))</f><v /></c><c r="AZ586" s="22"><f>IF(AF586&lt;$V$6,"error",IF(AF586&gt;$V$6*1.1,"error","aceptable"))</f><v /></c><c r="BA586" s="22"><f>IF(T586&lt;$J$6*0.9,"error",IF(T586&gt;$J$6,"error","aceptable"))</f><v /></c><c r="BB586" s="25"><f>(IF(ABS(U586)&lt;1.05,"CONFORME",IF(ABS(AG586)&lt;1.05,"CONFORME",IF(ABS(AS586)&lt;2.55,"CONFORME","NO CONFORME"))))</f><v /></c><c r="BC586" s="5"><f>(IF(ABS(U586)&gt;2.05,"NO CONFORME",IF(ABS(AG586)&gt;2.05,"NO CONFORME",IF(ABS(AS586)&gt;5.05,"NO CONFORME","CONFORME"))))</f><v /></c><c r="BD586" s="15"><f>SIGN(U586)</f><v /></c><c r="BE586" s="15"><f>SIGN(AG586)</f><v /></c><c r="BF586" s="15"><f>SIGN(AS586)</f><v /></c><c r="BG586" s="15"><f>CONCATENATE(BD586,BE586,BF586)</f><v /></c><c r="BH586" s="15"><f>IF(BG586="111","SI","SD")</f><v /></c><c r="BI586" s="15"><f>IF(BG586="-1-1-1","SI","SD")</f><v /></c><c r="BJ586" s="15"><f>OR(BH586="SI",BI586="SI")</f><v /></c><c r="BK586" s="15"><f>IF(BJ586=FALSE,"SIGDIFERENTES","SIGIGUALES")</f><v /></c><c r="BL586" s="22"><f>IF(BC586="NO CONFORME","NO CONFORME",IF(BB586="CONFORME","CONFORME","NO CONFORME"))</f><v /></c></row><row r="587" ht="15.75" customHeight="1" thickBot="1"><c r="A587" s="37" t="n"><v>579</v></c><c r="B587" s="324"><f>B586</f><v /></c><c r="C587" s="324"><f>C586</f><v /></c><c r="D587" s="94"><f>D586</f><v /></c><c r="E587" s="95"><f>E586</f><v /></c><c r="F587" s="13" t="n" /><c r="G587" s="300" t="n" /><c r="H587" s="326"><f>H586</f><v /></c><c r="I587" s="98"><f>I586</f><v /></c><c r="J587" s="327"><f>J586</f><v /></c><c r="K587" s="327"><f>K586</f><v /></c><c r="L587" s="327"><f>L586</f><v /></c><c r="M587" s="45" t="n" /><c r="N587" s="45" t="n" /><c r="O587" s="100"><f>O586</f><v /></c><c r="P587" s="328"><f>P586</f><v /></c><c r="Q587" s="11"><f>LEFT(P587,1)</f><v /></c><c r="R587" s="11"><f>RIGHT(P587,6)</f><v /></c><c r="S587" s="11"><f>+(Q587*60+R587)/(60*60)</f><v /></c><c r="T587" s="14"><f>+O587/S587</f><v /></c><c r="U587" s="316"><f>+(((N587-M587-O587)/O587)*100)</f><v /></c><c r="V587" s="329"><f>V586</f><v /></c><c r="W587" s="329"><f>W586</f><v /></c><c r="X587" s="330"><f>X586</f><v /></c><c r="Y587" s="45" t="n" /><c r="Z587" s="45" t="n" /><c r="AA587" s="331"><f>AA586</f><v /></c><c r="AB587" s="332"><f>AB586</f><v /></c><c r="AC587" s="11"><f>LEFT(AB587,2)</f><v /></c><c r="AD587" s="11"><f>RIGHT(AB587,6)</f><v /></c><c r="AE587" s="11"><f>+(AC587*60+AD587)/(60*60)</f><v /></c><c r="AF587" s="14"><f>+AA587/AE587</f><v /></c><c r="AG587" s="321"><f>+(((Z587-Y587-AA587)/AA587)*100)</f><v /></c><c r="AH587" s="329"><f>AH586</f><v /></c><c r="AI587" s="329"><f>AI586</f><v /></c><c r="AJ587" s="329"><f>AJ586</f><v /></c><c r="AK587" s="53"><f>Z587</f><v /></c><c r="AL587" s="45" t="n" /><c r="AM587" s="333"><f>AM586</f><v /></c><c r="AN587" s="328"><f>AN586</f><v /></c><c r="AO587" s="11"><f>LEFT(AN587,2)</f><v /></c><c r="AP587" s="11"><f>RIGHT(AN587,6)</f><v /></c><c r="AQ587" s="11"><f>+(AO587*60+AP587)/(60*60)</f><v /></c><c r="AR587" s="14"><f>+AM587/AQ587</f><v /></c><c r="AS587" s="321"><f>+(((AL587-AK587-AM587)/AM587)*100)</f><v /></c><c r="AT587" s="43"><f>IF(I587&gt;=1,"NO CONFORME",IF(BK587="SIGDIFERENTES",BC587,BL587))</f><v /></c><c r="AU587" s="8"><f>B587=C587</f><v /></c><c r="AV587" s="8"><f>N587&lt;Y587</f><v /></c><c r="AW587" s="8"><f>Z587&lt;=AK587</f><v /></c><c r="AX587" s="8"><f>IF(I587&gt;=1,"Qcorrecto",IF(AND(AY587="aceptable",AZ587="aceptable",BA587="aceptable"),"Qcorrecto","Qincorrecto"))</f><v /></c><c r="AY587" s="22"><f>IF(AR587&lt;$AH$6,"error",IF(AR587&gt;$AH$6*1.1,"error","aceptable"))</f><v /></c><c r="AZ587" s="22"><f>IF(AF587&lt;$V$6,"error",IF(AF587&gt;$V$6*1.1,"error","aceptable"))</f><v /></c><c r="BA587" s="22"><f>IF(T587&lt;$J$6*0.9,"error",IF(T587&gt;$J$6,"error","aceptable"))</f><v /></c><c r="BB587" s="25"><f>(IF(ABS(U587)&lt;1.05,"CONFORME",IF(ABS(AG587)&lt;1.05,"CONFORME",IF(ABS(AS587)&lt;2.55,"CONFORME","NO CONFORME"))))</f><v /></c><c r="BC587" s="5"><f>(IF(ABS(U587)&gt;2.05,"NO CONFORME",IF(ABS(AG587)&gt;2.05,"NO CONFORME",IF(ABS(AS587)&gt;5.05,"NO CONFORME","CONFORME"))))</f><v /></c><c r="BD587" s="15"><f>SIGN(U587)</f><v /></c><c r="BE587" s="15"><f>SIGN(AG587)</f><v /></c><c r="BF587" s="15"><f>SIGN(AS587)</f><v /></c><c r="BG587" s="15"><f>CONCATENATE(BD587,BE587,BF587)</f><v /></c><c r="BH587" s="15"><f>IF(BG587="111","SI","SD")</f><v /></c><c r="BI587" s="15"><f>IF(BG587="-1-1-1","SI","SD")</f><v /></c><c r="BJ587" s="15"><f>OR(BH587="SI",BI587="SI")</f><v /></c><c r="BK587" s="15"><f>IF(BJ587=FALSE,"SIGDIFERENTES","SIGIGUALES")</f><v /></c><c r="BL587" s="22"><f>IF(BC587="NO CONFORME","NO CONFORME",IF(BB587="CONFORME","CONFORME","NO CONFORME"))</f><v /></c></row><row r="588" ht="15.75" customHeight="1" thickBot="1"><c r="A588" s="37" t="n"><v>580</v></c><c r="B588" s="324"><f>B587</f><v /></c><c r="C588" s="324"><f>C587</f><v /></c><c r="D588" s="94"><f>D587</f><v /></c><c r="E588" s="95"><f>E587</f><v /></c><c r="F588" s="13" t="n" /><c r="G588" s="300" t="n" /><c r="H588" s="326"><f>H587</f><v /></c><c r="I588" s="98"><f>I587</f><v /></c><c r="J588" s="327"><f>J587</f><v /></c><c r="K588" s="327"><f>K587</f><v /></c><c r="L588" s="327"><f>L587</f><v /></c><c r="M588" s="45" t="n" /><c r="N588" s="45" t="n" /><c r="O588" s="100"><f>O587</f><v /></c><c r="P588" s="328"><f>P587</f><v /></c><c r="Q588" s="11"><f>LEFT(P588,1)</f><v /></c><c r="R588" s="11"><f>RIGHT(P588,6)</f><v /></c><c r="S588" s="11"><f>+(Q588*60+R588)/(60*60)</f><v /></c><c r="T588" s="14"><f>+O588/S588</f><v /></c><c r="U588" s="316"><f>+(((N588-M588-O588)/O588)*100)</f><v /></c><c r="V588" s="329"><f>V587</f><v /></c><c r="W588" s="329"><f>W587</f><v /></c><c r="X588" s="330"><f>X587</f><v /></c><c r="Y588" s="45" t="n" /><c r="Z588" s="45" t="n" /><c r="AA588" s="331"><f>AA587</f><v /></c><c r="AB588" s="332"><f>AB587</f><v /></c><c r="AC588" s="11"><f>LEFT(AB588,2)</f><v /></c><c r="AD588" s="11"><f>RIGHT(AB588,6)</f><v /></c><c r="AE588" s="11"><f>+(AC588*60+AD588)/(60*60)</f><v /></c><c r="AF588" s="14"><f>+AA588/AE588</f><v /></c><c r="AG588" s="321"><f>+(((Z588-Y588-AA588)/AA588)*100)</f><v /></c><c r="AH588" s="329"><f>AH587</f><v /></c><c r="AI588" s="329"><f>AI587</f><v /></c><c r="AJ588" s="329"><f>AJ587</f><v /></c><c r="AK588" s="53"><f>Z588</f><v /></c><c r="AL588" s="45" t="n" /><c r="AM588" s="333"><f>AM587</f><v /></c><c r="AN588" s="328"><f>AN587</f><v /></c><c r="AO588" s="11"><f>LEFT(AN588,2)</f><v /></c><c r="AP588" s="11"><f>RIGHT(AN588,6)</f><v /></c><c r="AQ588" s="11"><f>+(AO588*60+AP588)/(60*60)</f><v /></c><c r="AR588" s="14"><f>+AM588/AQ588</f><v /></c><c r="AS588" s="321"><f>+(((AL588-AK588-AM588)/AM588)*100)</f><v /></c><c r="AT588" s="43"><f>IF(I588&gt;=1,"NO CONFORME",IF(BK588="SIGDIFERENTES",BC588,BL588))</f><v /></c><c r="AU588" s="8"><f>B588=C588</f><v /></c><c r="AV588" s="8"><f>N588&lt;Y588</f><v /></c><c r="AW588" s="8"><f>Z588&lt;=AK588</f><v /></c><c r="AX588" s="8"><f>IF(I588&gt;=1,"Qcorrecto",IF(AND(AY588="aceptable",AZ588="aceptable",BA588="aceptable"),"Qcorrecto","Qincorrecto"))</f><v /></c><c r="AY588" s="22"><f>IF(AR588&lt;$AH$6,"error",IF(AR588&gt;$AH$6*1.1,"error","aceptable"))</f><v /></c><c r="AZ588" s="22"><f>IF(AF588&lt;$V$6,"error",IF(AF588&gt;$V$6*1.1,"error","aceptable"))</f><v /></c><c r="BA588" s="22"><f>IF(T588&lt;$J$6*0.9,"error",IF(T588&gt;$J$6,"error","aceptable"))</f><v /></c><c r="BB588" s="25"><f>(IF(ABS(U588)&lt;1.05,"CONFORME",IF(ABS(AG588)&lt;1.05,"CONFORME",IF(ABS(AS588)&lt;2.55,"CONFORME","NO CONFORME"))))</f><v /></c><c r="BC588" s="5"><f>(IF(ABS(U588)&gt;2.05,"NO CONFORME",IF(ABS(AG588)&gt;2.05,"NO CONFORME",IF(ABS(AS588)&gt;5.05,"NO CONFORME","CONFORME"))))</f><v /></c><c r="BD588" s="15"><f>SIGN(U588)</f><v /></c><c r="BE588" s="15"><f>SIGN(AG588)</f><v /></c><c r="BF588" s="15"><f>SIGN(AS588)</f><v /></c><c r="BG588" s="15"><f>CONCATENATE(BD588,BE588,BF588)</f><v /></c><c r="BH588" s="15"><f>IF(BG588="111","SI","SD")</f><v /></c><c r="BI588" s="15"><f>IF(BG588="-1-1-1","SI","SD")</f><v /></c><c r="BJ588" s="15"><f>OR(BH588="SI",BI588="SI")</f><v /></c><c r="BK588" s="15"><f>IF(BJ588=FALSE,"SIGDIFERENTES","SIGIGUALES")</f><v /></c><c r="BL588" s="22"><f>IF(BC588="NO CONFORME","NO CONFORME",IF(BB588="CONFORME","CONFORME","NO CONFORME"))</f><v /></c></row><row r="589" ht="15.75" customHeight="1" thickBot="1"><c r="A589" s="37" t="n"><v>581</v></c><c r="B589" s="324"><f>B588</f><v /></c><c r="C589" s="324"><f>C588</f><v /></c><c r="D589" s="94"><f>D588</f><v /></c><c r="E589" s="95"><f>E588</f><v /></c><c r="F589" s="13" t="n" /><c r="G589" s="300" t="n" /><c r="H589" s="326"><f>H588</f><v /></c><c r="I589" s="98"><f>I588</f><v /></c><c r="J589" s="327"><f>J588</f><v /></c><c r="K589" s="327"><f>K588</f><v /></c><c r="L589" s="327"><f>L588</f><v /></c><c r="M589" s="45" t="n" /><c r="N589" s="45" t="n" /><c r="O589" s="100"><f>O588</f><v /></c><c r="P589" s="328"><f>P588</f><v /></c><c r="Q589" s="11"><f>LEFT(P589,1)</f><v /></c><c r="R589" s="11"><f>RIGHT(P589,6)</f><v /></c><c r="S589" s="11"><f>+(Q589*60+R589)/(60*60)</f><v /></c><c r="T589" s="14"><f>+O589/S589</f><v /></c><c r="U589" s="316"><f>+(((N589-M589-O589)/O589)*100)</f><v /></c><c r="V589" s="329"><f>V588</f><v /></c><c r="W589" s="329"><f>W588</f><v /></c><c r="X589" s="330"><f>X588</f><v /></c><c r="Y589" s="45" t="n" /><c r="Z589" s="45" t="n" /><c r="AA589" s="331"><f>AA588</f><v /></c><c r="AB589" s="332"><f>AB588</f><v /></c><c r="AC589" s="11"><f>LEFT(AB589,2)</f><v /></c><c r="AD589" s="11"><f>RIGHT(AB589,6)</f><v /></c><c r="AE589" s="11"><f>+(AC589*60+AD589)/(60*60)</f><v /></c><c r="AF589" s="14"><f>+AA589/AE589</f><v /></c><c r="AG589" s="321"><f>+(((Z589-Y589-AA589)/AA589)*100)</f><v /></c><c r="AH589" s="329"><f>AH588</f><v /></c><c r="AI589" s="329"><f>AI588</f><v /></c><c r="AJ589" s="329"><f>AJ588</f><v /></c><c r="AK589" s="53"><f>Z589</f><v /></c><c r="AL589" s="45" t="n" /><c r="AM589" s="333"><f>AM588</f><v /></c><c r="AN589" s="328"><f>AN588</f><v /></c><c r="AO589" s="11"><f>LEFT(AN589,2)</f><v /></c><c r="AP589" s="11"><f>RIGHT(AN589,6)</f><v /></c><c r="AQ589" s="11"><f>+(AO589*60+AP589)/(60*60)</f><v /></c><c r="AR589" s="14"><f>+AM589/AQ589</f><v /></c><c r="AS589" s="321"><f>+(((AL589-AK589-AM589)/AM589)*100)</f><v /></c><c r="AT589" s="43"><f>IF(I589&gt;=1,"NO CONFORME",IF(BK589="SIGDIFERENTES",BC589,BL589))</f><v /></c><c r="AU589" s="8"><f>B589=C589</f><v /></c><c r="AV589" s="8"><f>N589&lt;Y589</f><v /></c><c r="AW589" s="8"><f>Z589&lt;=AK589</f><v /></c><c r="AX589" s="8"><f>IF(I589&gt;=1,"Qcorrecto",IF(AND(AY589="aceptable",AZ589="aceptable",BA589="aceptable"),"Qcorrecto","Qincorrecto"))</f><v /></c><c r="AY589" s="22"><f>IF(AR589&lt;$AH$6,"error",IF(AR589&gt;$AH$6*1.1,"error","aceptable"))</f><v /></c><c r="AZ589" s="22"><f>IF(AF589&lt;$V$6,"error",IF(AF589&gt;$V$6*1.1,"error","aceptable"))</f><v /></c><c r="BA589" s="22"><f>IF(T589&lt;$J$6*0.9,"error",IF(T589&gt;$J$6,"error","aceptable"))</f><v /></c><c r="BB589" s="25"><f>(IF(ABS(U589)&lt;1.05,"CONFORME",IF(ABS(AG589)&lt;1.05,"CONFORME",IF(ABS(AS589)&lt;2.55,"CONFORME","NO CONFORME"))))</f><v /></c><c r="BC589" s="5"><f>(IF(ABS(U589)&gt;2.05,"NO CONFORME",IF(ABS(AG589)&gt;2.05,"NO CONFORME",IF(ABS(AS589)&gt;5.05,"NO CONFORME","CONFORME"))))</f><v /></c><c r="BD589" s="15"><f>SIGN(U589)</f><v /></c><c r="BE589" s="15"><f>SIGN(AG589)</f><v /></c><c r="BF589" s="15"><f>SIGN(AS589)</f><v /></c><c r="BG589" s="15"><f>CONCATENATE(BD589,BE589,BF589)</f><v /></c><c r="BH589" s="15"><f>IF(BG589="111","SI","SD")</f><v /></c><c r="BI589" s="15"><f>IF(BG589="-1-1-1","SI","SD")</f><v /></c><c r="BJ589" s="15"><f>OR(BH589="SI",BI589="SI")</f><v /></c><c r="BK589" s="15"><f>IF(BJ589=FALSE,"SIGDIFERENTES","SIGIGUALES")</f><v /></c><c r="BL589" s="22"><f>IF(BC589="NO CONFORME","NO CONFORME",IF(BB589="CONFORME","CONFORME","NO CONFORME"))</f><v /></c></row><row r="590" ht="15.75" customHeight="1" thickBot="1"><c r="A590" s="37" t="n"><v>582</v></c><c r="B590" s="324"><f>B589</f><v /></c><c r="C590" s="324"><f>C589</f><v /></c><c r="D590" s="94"><f>D589</f><v /></c><c r="E590" s="95"><f>E589</f><v /></c><c r="F590" s="13" t="n" /><c r="G590" s="300" t="n" /><c r="H590" s="326"><f>H589</f><v /></c><c r="I590" s="98"><f>I589</f><v /></c><c r="J590" s="327"><f>J589</f><v /></c><c r="K590" s="327"><f>K589</f><v /></c><c r="L590" s="327"><f>L589</f><v /></c><c r="M590" s="45" t="n" /><c r="N590" s="45" t="n" /><c r="O590" s="100"><f>O589</f><v /></c><c r="P590" s="328"><f>P589</f><v /></c><c r="Q590" s="11"><f>LEFT(P590,1)</f><v /></c><c r="R590" s="11"><f>RIGHT(P590,6)</f><v /></c><c r="S590" s="11"><f>+(Q590*60+R590)/(60*60)</f><v /></c><c r="T590" s="14"><f>+O590/S590</f><v /></c><c r="U590" s="316"><f>+(((N590-M590-O590)/O590)*100)</f><v /></c><c r="V590" s="329"><f>V589</f><v /></c><c r="W590" s="329"><f>W589</f><v /></c><c r="X590" s="330"><f>X589</f><v /></c><c r="Y590" s="45" t="n" /><c r="Z590" s="45" t="n" /><c r="AA590" s="331"><f>AA589</f><v /></c><c r="AB590" s="332"><f>AB589</f><v /></c><c r="AC590" s="11"><f>LEFT(AB590,2)</f><v /></c><c r="AD590" s="11"><f>RIGHT(AB590,6)</f><v /></c><c r="AE590" s="11"><f>+(AC590*60+AD590)/(60*60)</f><v /></c><c r="AF590" s="14"><f>+AA590/AE590</f><v /></c><c r="AG590" s="321"><f>+(((Z590-Y590-AA590)/AA590)*100)</f><v /></c><c r="AH590" s="329"><f>AH589</f><v /></c><c r="AI590" s="329"><f>AI589</f><v /></c><c r="AJ590" s="329"><f>AJ589</f><v /></c><c r="AK590" s="53"><f>Z590</f><v /></c><c r="AL590" s="45" t="n" /><c r="AM590" s="333"><f>AM589</f><v /></c><c r="AN590" s="328"><f>AN589</f><v /></c><c r="AO590" s="11"><f>LEFT(AN590,2)</f><v /></c><c r="AP590" s="11"><f>RIGHT(AN590,6)</f><v /></c><c r="AQ590" s="11"><f>+(AO590*60+AP590)/(60*60)</f><v /></c><c r="AR590" s="14"><f>+AM590/AQ590</f><v /></c><c r="AS590" s="321"><f>+(((AL590-AK590-AM590)/AM590)*100)</f><v /></c><c r="AT590" s="43"><f>IF(I590&gt;=1,"NO CONFORME",IF(BK590="SIGDIFERENTES",BC590,BL590))</f><v /></c><c r="AU590" s="8"><f>B590=C590</f><v /></c><c r="AV590" s="8"><f>N590&lt;Y590</f><v /></c><c r="AW590" s="8"><f>Z590&lt;=AK590</f><v /></c><c r="AX590" s="8"><f>IF(I590&gt;=1,"Qcorrecto",IF(AND(AY590="aceptable",AZ590="aceptable",BA590="aceptable"),"Qcorrecto","Qincorrecto"))</f><v /></c><c r="AY590" s="22"><f>IF(AR590&lt;$AH$6,"error",IF(AR590&gt;$AH$6*1.1,"error","aceptable"))</f><v /></c><c r="AZ590" s="22"><f>IF(AF590&lt;$V$6,"error",IF(AF590&gt;$V$6*1.1,"error","aceptable"))</f><v /></c><c r="BA590" s="22"><f>IF(T590&lt;$J$6*0.9,"error",IF(T590&gt;$J$6,"error","aceptable"))</f><v /></c><c r="BB590" s="25"><f>(IF(ABS(U590)&lt;1.05,"CONFORME",IF(ABS(AG590)&lt;1.05,"CONFORME",IF(ABS(AS590)&lt;2.55,"CONFORME","NO CONFORME"))))</f><v /></c><c r="BC590" s="5"><f>(IF(ABS(U590)&gt;2.05,"NO CONFORME",IF(ABS(AG590)&gt;2.05,"NO CONFORME",IF(ABS(AS590)&gt;5.05,"NO CONFORME","CONFORME"))))</f><v /></c><c r="BD590" s="15"><f>SIGN(U590)</f><v /></c><c r="BE590" s="15"><f>SIGN(AG590)</f><v /></c><c r="BF590" s="15"><f>SIGN(AS590)</f><v /></c><c r="BG590" s="15"><f>CONCATENATE(BD590,BE590,BF590)</f><v /></c><c r="BH590" s="15"><f>IF(BG590="111","SI","SD")</f><v /></c><c r="BI590" s="15"><f>IF(BG590="-1-1-1","SI","SD")</f><v /></c><c r="BJ590" s="15"><f>OR(BH590="SI",BI590="SI")</f><v /></c><c r="BK590" s="15"><f>IF(BJ590=FALSE,"SIGDIFERENTES","SIGIGUALES")</f><v /></c><c r="BL590" s="22"><f>IF(BC590="NO CONFORME","NO CONFORME",IF(BB590="CONFORME","CONFORME","NO CONFORME"))</f><v /></c></row><row r="591" ht="15.75" customHeight="1" thickBot="1"><c r="A591" s="37" t="n"><v>583</v></c><c r="B591" s="324"><f>B590</f><v /></c><c r="C591" s="324"><f>C590</f><v /></c><c r="D591" s="94"><f>D590</f><v /></c><c r="E591" s="95"><f>E590</f><v /></c><c r="F591" s="13" t="n" /><c r="G591" s="300" t="n" /><c r="H591" s="326"><f>H590</f><v /></c><c r="I591" s="98"><f>I590</f><v /></c><c r="J591" s="327"><f>J590</f><v /></c><c r="K591" s="327"><f>K590</f><v /></c><c r="L591" s="327"><f>L590</f><v /></c><c r="M591" s="45" t="n" /><c r="N591" s="45" t="n" /><c r="O591" s="100"><f>O590</f><v /></c><c r="P591" s="328"><f>P590</f><v /></c><c r="Q591" s="11"><f>LEFT(P591,1)</f><v /></c><c r="R591" s="11"><f>RIGHT(P591,6)</f><v /></c><c r="S591" s="11"><f>+(Q591*60+R591)/(60*60)</f><v /></c><c r="T591" s="14"><f>+O591/S591</f><v /></c><c r="U591" s="316"><f>+(((N591-M591-O591)/O591)*100)</f><v /></c><c r="V591" s="329"><f>V590</f><v /></c><c r="W591" s="329"><f>W590</f><v /></c><c r="X591" s="330"><f>X590</f><v /></c><c r="Y591" s="45" t="n" /><c r="Z591" s="45" t="n" /><c r="AA591" s="331"><f>AA590</f><v /></c><c r="AB591" s="332"><f>AB590</f><v /></c><c r="AC591" s="11"><f>LEFT(AB591,2)</f><v /></c><c r="AD591" s="11"><f>RIGHT(AB591,6)</f><v /></c><c r="AE591" s="11"><f>+(AC591*60+AD591)/(60*60)</f><v /></c><c r="AF591" s="14"><f>+AA591/AE591</f><v /></c><c r="AG591" s="321"><f>+(((Z591-Y591-AA591)/AA591)*100)</f><v /></c><c r="AH591" s="329"><f>AH590</f><v /></c><c r="AI591" s="329"><f>AI590</f><v /></c><c r="AJ591" s="329"><f>AJ590</f><v /></c><c r="AK591" s="53"><f>Z591</f><v /></c><c r="AL591" s="45" t="n" /><c r="AM591" s="333"><f>AM590</f><v /></c><c r="AN591" s="328"><f>AN590</f><v /></c><c r="AO591" s="11"><f>LEFT(AN591,2)</f><v /></c><c r="AP591" s="11"><f>RIGHT(AN591,6)</f><v /></c><c r="AQ591" s="11"><f>+(AO591*60+AP591)/(60*60)</f><v /></c><c r="AR591" s="14"><f>+AM591/AQ591</f><v /></c><c r="AS591" s="321"><f>+(((AL591-AK591-AM591)/AM591)*100)</f><v /></c><c r="AT591" s="43"><f>IF(I591&gt;=1,"NO CONFORME",IF(BK591="SIGDIFERENTES",BC591,BL591))</f><v /></c><c r="AU591" s="8"><f>B591=C591</f><v /></c><c r="AV591" s="8"><f>N591&lt;Y591</f><v /></c><c r="AW591" s="8"><f>Z591&lt;=AK591</f><v /></c><c r="AX591" s="8"><f>IF(I591&gt;=1,"Qcorrecto",IF(AND(AY591="aceptable",AZ591="aceptable",BA591="aceptable"),"Qcorrecto","Qincorrecto"))</f><v /></c><c r="AY591" s="22"><f>IF(AR591&lt;$AH$6,"error",IF(AR591&gt;$AH$6*1.1,"error","aceptable"))</f><v /></c><c r="AZ591" s="22"><f>IF(AF591&lt;$V$6,"error",IF(AF591&gt;$V$6*1.1,"error","aceptable"))</f><v /></c><c r="BA591" s="22"><f>IF(T591&lt;$J$6*0.9,"error",IF(T591&gt;$J$6,"error","aceptable"))</f><v /></c><c r="BB591" s="25"><f>(IF(ABS(U591)&lt;1.05,"CONFORME",IF(ABS(AG591)&lt;1.05,"CONFORME",IF(ABS(AS591)&lt;2.55,"CONFORME","NO CONFORME"))))</f><v /></c><c r="BC591" s="5"><f>(IF(ABS(U591)&gt;2.05,"NO CONFORME",IF(ABS(AG591)&gt;2.05,"NO CONFORME",IF(ABS(AS591)&gt;5.05,"NO CONFORME","CONFORME"))))</f><v /></c><c r="BD591" s="15"><f>SIGN(U591)</f><v /></c><c r="BE591" s="15"><f>SIGN(AG591)</f><v /></c><c r="BF591" s="15"><f>SIGN(AS591)</f><v /></c><c r="BG591" s="15"><f>CONCATENATE(BD591,BE591,BF591)</f><v /></c><c r="BH591" s="15"><f>IF(BG591="111","SI","SD")</f><v /></c><c r="BI591" s="15"><f>IF(BG591="-1-1-1","SI","SD")</f><v /></c><c r="BJ591" s="15"><f>OR(BH591="SI",BI591="SI")</f><v /></c><c r="BK591" s="15"><f>IF(BJ591=FALSE,"SIGDIFERENTES","SIGIGUALES")</f><v /></c><c r="BL591" s="22"><f>IF(BC591="NO CONFORME","NO CONFORME",IF(BB591="CONFORME","CONFORME","NO CONFORME"))</f><v /></c></row><row r="592" ht="15.75" customHeight="1" thickBot="1"><c r="A592" s="37" t="n"><v>584</v></c><c r="B592" s="324"><f>B591</f><v /></c><c r="C592" s="324"><f>C591</f><v /></c><c r="D592" s="94"><f>D591</f><v /></c><c r="E592" s="95"><f>E591</f><v /></c><c r="F592" s="13" t="n" /><c r="G592" s="300" t="n" /><c r="H592" s="326"><f>H591</f><v /></c><c r="I592" s="98"><f>I591</f><v /></c><c r="J592" s="327"><f>J591</f><v /></c><c r="K592" s="327"><f>K591</f><v /></c><c r="L592" s="327"><f>L591</f><v /></c><c r="M592" s="45" t="n" /><c r="N592" s="45" t="n" /><c r="O592" s="100"><f>O591</f><v /></c><c r="P592" s="328"><f>P591</f><v /></c><c r="Q592" s="11"><f>LEFT(P592,1)</f><v /></c><c r="R592" s="11"><f>RIGHT(P592,6)</f><v /></c><c r="S592" s="11"><f>+(Q592*60+R592)/(60*60)</f><v /></c><c r="T592" s="14"><f>+O592/S592</f><v /></c><c r="U592" s="316"><f>+(((N592-M592-O592)/O592)*100)</f><v /></c><c r="V592" s="329"><f>V591</f><v /></c><c r="W592" s="329"><f>W591</f><v /></c><c r="X592" s="330"><f>X591</f><v /></c><c r="Y592" s="45" t="n" /><c r="Z592" s="45" t="n" /><c r="AA592" s="331"><f>AA591</f><v /></c><c r="AB592" s="332"><f>AB591</f><v /></c><c r="AC592" s="11"><f>LEFT(AB592,2)</f><v /></c><c r="AD592" s="11"><f>RIGHT(AB592,6)</f><v /></c><c r="AE592" s="11"><f>+(AC592*60+AD592)/(60*60)</f><v /></c><c r="AF592" s="14"><f>+AA592/AE592</f><v /></c><c r="AG592" s="321"><f>+(((Z592-Y592-AA592)/AA592)*100)</f><v /></c><c r="AH592" s="329"><f>AH591</f><v /></c><c r="AI592" s="329"><f>AI591</f><v /></c><c r="AJ592" s="329"><f>AJ591</f><v /></c><c r="AK592" s="53"><f>Z592</f><v /></c><c r="AL592" s="45" t="n" /><c r="AM592" s="333"><f>AM591</f><v /></c><c r="AN592" s="328"><f>AN591</f><v /></c><c r="AO592" s="11"><f>LEFT(AN592,2)</f><v /></c><c r="AP592" s="11"><f>RIGHT(AN592,6)</f><v /></c><c r="AQ592" s="11"><f>+(AO592*60+AP592)/(60*60)</f><v /></c><c r="AR592" s="14"><f>+AM592/AQ592</f><v /></c><c r="AS592" s="321"><f>+(((AL592-AK592-AM592)/AM592)*100)</f><v /></c><c r="AT592" s="43"><f>IF(I592&gt;=1,"NO CONFORME",IF(BK592="SIGDIFERENTES",BC592,BL592))</f><v /></c><c r="AU592" s="8"><f>B592=C592</f><v /></c><c r="AV592" s="8"><f>N592&lt;Y592</f><v /></c><c r="AW592" s="8"><f>Z592&lt;=AK592</f><v /></c><c r="AX592" s="8"><f>IF(I592&gt;=1,"Qcorrecto",IF(AND(AY592="aceptable",AZ592="aceptable",BA592="aceptable"),"Qcorrecto","Qincorrecto"))</f><v /></c><c r="AY592" s="22"><f>IF(AR592&lt;$AH$6,"error",IF(AR592&gt;$AH$6*1.1,"error","aceptable"))</f><v /></c><c r="AZ592" s="22"><f>IF(AF592&lt;$V$6,"error",IF(AF592&gt;$V$6*1.1,"error","aceptable"))</f><v /></c><c r="BA592" s="22"><f>IF(T592&lt;$J$6*0.9,"error",IF(T592&gt;$J$6,"error","aceptable"))</f><v /></c><c r="BB592" s="25"><f>(IF(ABS(U592)&lt;1.05,"CONFORME",IF(ABS(AG592)&lt;1.05,"CONFORME",IF(ABS(AS592)&lt;2.55,"CONFORME","NO CONFORME"))))</f><v /></c><c r="BC592" s="5"><f>(IF(ABS(U592)&gt;2.05,"NO CONFORME",IF(ABS(AG592)&gt;2.05,"NO CONFORME",IF(ABS(AS592)&gt;5.05,"NO CONFORME","CONFORME"))))</f><v /></c><c r="BD592" s="15"><f>SIGN(U592)</f><v /></c><c r="BE592" s="15"><f>SIGN(AG592)</f><v /></c><c r="BF592" s="15"><f>SIGN(AS592)</f><v /></c><c r="BG592" s="15"><f>CONCATENATE(BD592,BE592,BF592)</f><v /></c><c r="BH592" s="15"><f>IF(BG592="111","SI","SD")</f><v /></c><c r="BI592" s="15"><f>IF(BG592="-1-1-1","SI","SD")</f><v /></c><c r="BJ592" s="15"><f>OR(BH592="SI",BI592="SI")</f><v /></c><c r="BK592" s="15"><f>IF(BJ592=FALSE,"SIGDIFERENTES","SIGIGUALES")</f><v /></c><c r="BL592" s="22"><f>IF(BC592="NO CONFORME","NO CONFORME",IF(BB592="CONFORME","CONFORME","NO CONFORME"))</f><v /></c></row><row r="593" ht="15.75" customHeight="1" thickBot="1"><c r="A593" s="37" t="n"><v>585</v></c><c r="B593" s="324"><f>B592</f><v /></c><c r="C593" s="324"><f>C592</f><v /></c><c r="D593" s="94"><f>D592</f><v /></c><c r="E593" s="95"><f>E592</f><v /></c><c r="F593" s="52" t="n" /><c r="G593" s="337" t="n" /><c r="H593" s="326"><f>H592</f><v /></c><c r="I593" s="98"><f>I592</f><v /></c><c r="J593" s="327"><f>J592</f><v /></c><c r="K593" s="327"><f>K592</f><v /></c><c r="L593" s="327"><f>L592</f><v /></c><c r="M593" s="53" t="n" /><c r="N593" s="53" t="n" /><c r="O593" s="100"><f>O592</f><v /></c><c r="P593" s="328"><f>P592</f><v /></c><c r="Q593" s="11"><f>LEFT(P593,1)</f><v /></c><c r="R593" s="11"><f>RIGHT(P593,6)</f><v /></c><c r="S593" s="11"><f>+(Q593*60+R593)/(60*60)</f><v /></c><c r="T593" s="14"><f>+O593/S593</f><v /></c><c r="U593" s="316"><f>+(((N593-M593-O593)/O593)*100)</f><v /></c><c r="V593" s="329"><f>V592</f><v /></c><c r="W593" s="329"><f>W592</f><v /></c><c r="X593" s="330"><f>X592</f><v /></c><c r="Y593" s="53" t="n" /><c r="Z593" s="53" t="n" /><c r="AA593" s="331"><f>AA592</f><v /></c><c r="AB593" s="332"><f>AB592</f><v /></c><c r="AC593" s="11"><f>LEFT(AB593,2)</f><v /></c><c r="AD593" s="11"><f>RIGHT(AB593,6)</f><v /></c><c r="AE593" s="11"><f>+(AC593*60+AD593)/(60*60)</f><v /></c><c r="AF593" s="14"><f>+AA593/AE593</f><v /></c><c r="AG593" s="321"><f>+(((Z593-Y593-AA593)/AA593)*100)</f><v /></c><c r="AH593" s="329"><f>AH592</f><v /></c><c r="AI593" s="329"><f>AI592</f><v /></c><c r="AJ593" s="329"><f>AJ592</f><v /></c><c r="AK593" s="53"><f>Z593</f><v /></c><c r="AL593" s="53" t="n" /><c r="AM593" s="333"><f>AM592</f><v /></c><c r="AN593" s="328"><f>AN592</f><v /></c><c r="AO593" s="11"><f>LEFT(AN593,2)</f><v /></c><c r="AP593" s="11"><f>RIGHT(AN593,6)</f><v /></c><c r="AQ593" s="11"><f>+(AO593*60+AP593)/(60*60)</f><v /></c><c r="AR593" s="14"><f>+AM593/AQ593</f><v /></c><c r="AS593" s="321"><f>+(((AL593-AK593-AM593)/AM593)*100)</f><v /></c><c r="AT593" s="43"><f>IF(I593&gt;=1,"NO CONFORME",IF(BK593="SIGDIFERENTES",BC593,BL593))</f><v /></c><c r="AU593" s="8"><f>B593=C593</f><v /></c><c r="AV593" s="8"><f>N593&lt;Y593</f><v /></c><c r="AW593" s="8"><f>Z593&lt;=AK593</f><v /></c><c r="AX593" s="8"><f>IF(I593&gt;=1,"Qcorrecto",IF(AND(AY593="aceptable",AZ593="aceptable",BA593="aceptable"),"Qcorrecto","Qincorrecto"))</f><v /></c><c r="AY593" s="22"><f>IF(AR593&lt;$AH$6,"error",IF(AR593&gt;$AH$6*1.1,"error","aceptable"))</f><v /></c><c r="AZ593" s="22"><f>IF(AF593&lt;$V$6,"error",IF(AF593&gt;$V$6*1.1,"error","aceptable"))</f><v /></c><c r="BA593" s="22"><f>IF(T593&lt;$J$6*0.9,"error",IF(T593&gt;$J$6,"error","aceptable"))</f><v /></c><c r="BB593" s="25"><f>(IF(ABS(U593)&lt;1.05,"CONFORME",IF(ABS(AG593)&lt;1.05,"CONFORME",IF(ABS(AS593)&lt;2.55,"CONFORME","NO CONFORME"))))</f><v /></c><c r="BC593" s="5"><f>(IF(ABS(U593)&gt;2.05,"NO CONFORME",IF(ABS(AG593)&gt;2.05,"NO CONFORME",IF(ABS(AS593)&gt;5.05,"NO CONFORME","CONFORME"))))</f><v /></c><c r="BD593" s="15"><f>SIGN(U593)</f><v /></c><c r="BE593" s="15"><f>SIGN(AG593)</f><v /></c><c r="BF593" s="15"><f>SIGN(AS593)</f><v /></c><c r="BG593" s="15"><f>CONCATENATE(BD593,BE593,BF593)</f><v /></c><c r="BH593" s="15"><f>IF(BG593="111","SI","SD")</f><v /></c><c r="BI593" s="15"><f>IF(BG593="-1-1-1","SI","SD")</f><v /></c><c r="BJ593" s="15"><f>OR(BH593="SI",BI593="SI")</f><v /></c><c r="BK593" s="15"><f>IF(BJ593=FALSE,"SIGDIFERENTES","SIGIGUALES")</f><v /></c><c r="BL593" s="22"><f>IF(BC593="NO CONFORME","NO CONFORME",IF(BB593="CONFORME","CONFORME","NO CONFORME"))</f><v /></c></row><row r="594" ht="15.75" customHeight="1" thickBot="1"><c r="A594" s="37" t="n"><v>586</v></c><c r="B594" s="324"><f>B593</f><v /></c><c r="C594" s="324"><f>C593</f><v /></c><c r="D594" s="94"><f>D593</f><v /></c><c r="E594" s="95"><f>E593</f><v /></c><c r="F594" s="46" t="n" /><c r="G594" s="335" t="n" /><c r="H594" s="326"><f>H593</f><v /></c><c r="I594" s="98"><f>I593</f><v /></c><c r="J594" s="327"><f>J593</f><v /></c><c r="K594" s="327"><f>K593</f><v /></c><c r="L594" s="327"><f>L593</f><v /></c><c r="M594" s="47" t="n" /><c r="N594" s="47" t="n" /><c r="O594" s="100"><f>O593</f><v /></c><c r="P594" s="328"><f>P593</f><v /></c><c r="Q594" s="11"><f>LEFT(P594,1)</f><v /></c><c r="R594" s="11"><f>RIGHT(P594,6)</f><v /></c><c r="S594" s="11"><f>+(Q594*60+R594)/(60*60)</f><v /></c><c r="T594" s="14"><f>+O594/S594</f><v /></c><c r="U594" s="316"><f>+(((N594-M594-O594)/O594)*100)</f><v /></c><c r="V594" s="329"><f>V593</f><v /></c><c r="W594" s="329"><f>W593</f><v /></c><c r="X594" s="330"><f>X593</f><v /></c><c r="Y594" s="47" t="n" /><c r="Z594" s="47" t="n" /><c r="AA594" s="331"><f>AA593</f><v /></c><c r="AB594" s="332"><f>AB593</f><v /></c><c r="AC594" s="11"><f>LEFT(AB594,2)</f><v /></c><c r="AD594" s="11"><f>RIGHT(AB594,6)</f><v /></c><c r="AE594" s="11"><f>+(AC594*60+AD594)/(60*60)</f><v /></c><c r="AF594" s="14"><f>+AA594/AE594</f><v /></c><c r="AG594" s="321"><f>+(((Z594-Y594-AA594)/AA594)*100)</f><v /></c><c r="AH594" s="329"><f>AH593</f><v /></c><c r="AI594" s="329"><f>AI593</f><v /></c><c r="AJ594" s="329"><f>AJ593</f><v /></c><c r="AK594" s="53"><f>Z594</f><v /></c><c r="AL594" s="47" t="n" /><c r="AM594" s="333"><f>AM593</f><v /></c><c r="AN594" s="328"><f>AN593</f><v /></c><c r="AO594" s="11"><f>LEFT(AN594,2)</f><v /></c><c r="AP594" s="11"><f>RIGHT(AN594,6)</f><v /></c><c r="AQ594" s="11"><f>+(AO594*60+AP594)/(60*60)</f><v /></c><c r="AR594" s="14"><f>+AM594/AQ594</f><v /></c><c r="AS594" s="321"><f>+(((AL594-AK594-AM594)/AM594)*100)</f><v /></c><c r="AT594" s="43"><f>IF(I594&gt;=1,"NO CONFORME",IF(BK594="SIGDIFERENTES",BC594,BL594))</f><v /></c><c r="AU594" s="8"><f>B594=C594</f><v /></c><c r="AV594" s="8"><f>N594&lt;Y594</f><v /></c><c r="AW594" s="8"><f>Z594&lt;=AK594</f><v /></c><c r="AX594" s="8"><f>IF(I594&gt;=1,"Qcorrecto",IF(AND(AY594="aceptable",AZ594="aceptable",BA594="aceptable"),"Qcorrecto","Qincorrecto"))</f><v /></c><c r="AY594" s="22"><f>IF(AR594&lt;$AH$6,"error",IF(AR594&gt;$AH$6*1.1,"error","aceptable"))</f><v /></c><c r="AZ594" s="22"><f>IF(AF594&lt;$V$6,"error",IF(AF594&gt;$V$6*1.1,"error","aceptable"))</f><v /></c><c r="BA594" s="22"><f>IF(T594&lt;$J$6*0.9,"error",IF(T594&gt;$J$6,"error","aceptable"))</f><v /></c><c r="BB594" s="25"><f>(IF(ABS(U594)&lt;1.05,"CONFORME",IF(ABS(AG594)&lt;1.05,"CONFORME",IF(ABS(AS594)&lt;2.55,"CONFORME","NO CONFORME"))))</f><v /></c><c r="BC594" s="5"><f>(IF(ABS(U594)&gt;2.05,"NO CONFORME",IF(ABS(AG594)&gt;2.05,"NO CONFORME",IF(ABS(AS594)&gt;5.05,"NO CONFORME","CONFORME"))))</f><v /></c><c r="BD594" s="15"><f>SIGN(U594)</f><v /></c><c r="BE594" s="15"><f>SIGN(AG594)</f><v /></c><c r="BF594" s="15"><f>SIGN(AS594)</f><v /></c><c r="BG594" s="15"><f>CONCATENATE(BD594,BE594,BF594)</f><v /></c><c r="BH594" s="15"><f>IF(BG594="111","SI","SD")</f><v /></c><c r="BI594" s="15"><f>IF(BG594="-1-1-1","SI","SD")</f><v /></c><c r="BJ594" s="15"><f>OR(BH594="SI",BI594="SI")</f><v /></c><c r="BK594" s="15"><f>IF(BJ594=FALSE,"SIGDIFERENTES","SIGIGUALES")</f><v /></c><c r="BL594" s="22"><f>IF(BC594="NO CONFORME","NO CONFORME",IF(BB594="CONFORME","CONFORME","NO CONFORME"))</f><v /></c></row><row r="595" ht="15.75" customHeight="1" thickBot="1"><c r="A595" s="37" t="n"><v>587</v></c><c r="B595" s="324"><f>B594</f><v /></c><c r="C595" s="324"><f>C594</f><v /></c><c r="D595" s="94"><f>D594</f><v /></c><c r="E595" s="95"><f>E594</f><v /></c><c r="F595" s="13" t="n" /><c r="G595" s="300" t="n" /><c r="H595" s="326"><f>H594</f><v /></c><c r="I595" s="98"><f>I594</f><v /></c><c r="J595" s="327"><f>J594</f><v /></c><c r="K595" s="327"><f>K594</f><v /></c><c r="L595" s="327"><f>L594</f><v /></c><c r="M595" s="45" t="n" /><c r="N595" s="45" t="n" /><c r="O595" s="100"><f>O594</f><v /></c><c r="P595" s="328"><f>P594</f><v /></c><c r="Q595" s="11"><f>LEFT(P595,1)</f><v /></c><c r="R595" s="11"><f>RIGHT(P595,6)</f><v /></c><c r="S595" s="11"><f>+(Q595*60+R595)/(60*60)</f><v /></c><c r="T595" s="14"><f>+O595/S595</f><v /></c><c r="U595" s="316"><f>+(((N595-M595-O595)/O595)*100)</f><v /></c><c r="V595" s="329"><f>V594</f><v /></c><c r="W595" s="329"><f>W594</f><v /></c><c r="X595" s="330"><f>X594</f><v /></c><c r="Y595" s="45" t="n" /><c r="Z595" s="45" t="n" /><c r="AA595" s="331"><f>AA594</f><v /></c><c r="AB595" s="332"><f>AB594</f><v /></c><c r="AC595" s="11"><f>LEFT(AB595,2)</f><v /></c><c r="AD595" s="11"><f>RIGHT(AB595,6)</f><v /></c><c r="AE595" s="11"><f>+(AC595*60+AD595)/(60*60)</f><v /></c><c r="AF595" s="14"><f>+AA595/AE595</f><v /></c><c r="AG595" s="321"><f>+(((Z595-Y595-AA595)/AA595)*100)</f><v /></c><c r="AH595" s="329"><f>AH594</f><v /></c><c r="AI595" s="329"><f>AI594</f><v /></c><c r="AJ595" s="329"><f>AJ594</f><v /></c><c r="AK595" s="53"><f>Z595</f><v /></c><c r="AL595" s="45" t="n" /><c r="AM595" s="333"><f>AM594</f><v /></c><c r="AN595" s="328"><f>AN594</f><v /></c><c r="AO595" s="11"><f>LEFT(AN595,2)</f><v /></c><c r="AP595" s="11"><f>RIGHT(AN595,6)</f><v /></c><c r="AQ595" s="11"><f>+(AO595*60+AP595)/(60*60)</f><v /></c><c r="AR595" s="14"><f>+AM595/AQ595</f><v /></c><c r="AS595" s="321"><f>+(((AL595-AK595-AM595)/AM595)*100)</f><v /></c><c r="AT595" s="43"><f>IF(I595&gt;=1,"NO CONFORME",IF(BK595="SIGDIFERENTES",BC595,BL595))</f><v /></c><c r="AU595" s="8"><f>B595=C595</f><v /></c><c r="AV595" s="8"><f>N595&lt;Y595</f><v /></c><c r="AW595" s="8"><f>Z595&lt;=AK595</f><v /></c><c r="AX595" s="8"><f>IF(I595&gt;=1,"Qcorrecto",IF(AND(AY595="aceptable",AZ595="aceptable",BA595="aceptable"),"Qcorrecto","Qincorrecto"))</f><v /></c><c r="AY595" s="22"><f>IF(AR595&lt;$AH$6,"error",IF(AR595&gt;$AH$6*1.1,"error","aceptable"))</f><v /></c><c r="AZ595" s="22"><f>IF(AF595&lt;$V$6,"error",IF(AF595&gt;$V$6*1.1,"error","aceptable"))</f><v /></c><c r="BA595" s="22"><f>IF(T595&lt;$J$6*0.9,"error",IF(T595&gt;$J$6,"error","aceptable"))</f><v /></c><c r="BB595" s="25"><f>(IF(ABS(U595)&lt;1.05,"CONFORME",IF(ABS(AG595)&lt;1.05,"CONFORME",IF(ABS(AS595)&lt;2.55,"CONFORME","NO CONFORME"))))</f><v /></c><c r="BC595" s="5"><f>(IF(ABS(U595)&gt;2.05,"NO CONFORME",IF(ABS(AG595)&gt;2.05,"NO CONFORME",IF(ABS(AS595)&gt;5.05,"NO CONFORME","CONFORME"))))</f><v /></c><c r="BD595" s="15"><f>SIGN(U595)</f><v /></c><c r="BE595" s="15"><f>SIGN(AG595)</f><v /></c><c r="BF595" s="15"><f>SIGN(AS595)</f><v /></c><c r="BG595" s="15"><f>CONCATENATE(BD595,BE595,BF595)</f><v /></c><c r="BH595" s="15"><f>IF(BG595="111","SI","SD")</f><v /></c><c r="BI595" s="15"><f>IF(BG595="-1-1-1","SI","SD")</f><v /></c><c r="BJ595" s="15"><f>OR(BH595="SI",BI595="SI")</f><v /></c><c r="BK595" s="15"><f>IF(BJ595=FALSE,"SIGDIFERENTES","SIGIGUALES")</f><v /></c><c r="BL595" s="22"><f>IF(BC595="NO CONFORME","NO CONFORME",IF(BB595="CONFORME","CONFORME","NO CONFORME"))</f><v /></c></row><row r="596" ht="15.75" customHeight="1" thickBot="1"><c r="A596" s="37" t="n"><v>588</v></c><c r="B596" s="324"><f>B595</f><v /></c><c r="C596" s="324"><f>C595</f><v /></c><c r="D596" s="94"><f>D595</f><v /></c><c r="E596" s="95"><f>E595</f><v /></c><c r="F596" s="13" t="n" /><c r="G596" s="300" t="n" /><c r="H596" s="326"><f>H595</f><v /></c><c r="I596" s="98"><f>I595</f><v /></c><c r="J596" s="327"><f>J595</f><v /></c><c r="K596" s="327"><f>K595</f><v /></c><c r="L596" s="327"><f>L595</f><v /></c><c r="M596" s="45" t="n" /><c r="N596" s="45" t="n" /><c r="O596" s="100"><f>O595</f><v /></c><c r="P596" s="328"><f>P595</f><v /></c><c r="Q596" s="11"><f>LEFT(P596,1)</f><v /></c><c r="R596" s="11"><f>RIGHT(P596,6)</f><v /></c><c r="S596" s="11"><f>+(Q596*60+R596)/(60*60)</f><v /></c><c r="T596" s="14"><f>+O596/S596</f><v /></c><c r="U596" s="316"><f>+(((N596-M596-O596)/O596)*100)</f><v /></c><c r="V596" s="329"><f>V595</f><v /></c><c r="W596" s="329"><f>W595</f><v /></c><c r="X596" s="330"><f>X595</f><v /></c><c r="Y596" s="45" t="n" /><c r="Z596" s="45" t="n" /><c r="AA596" s="331"><f>AA595</f><v /></c><c r="AB596" s="332"><f>AB595</f><v /></c><c r="AC596" s="11"><f>LEFT(AB596,2)</f><v /></c><c r="AD596" s="11"><f>RIGHT(AB596,6)</f><v /></c><c r="AE596" s="11"><f>+(AC596*60+AD596)/(60*60)</f><v /></c><c r="AF596" s="14"><f>+AA596/AE596</f><v /></c><c r="AG596" s="321"><f>+(((Z596-Y596-AA596)/AA596)*100)</f><v /></c><c r="AH596" s="329"><f>AH595</f><v /></c><c r="AI596" s="329"><f>AI595</f><v /></c><c r="AJ596" s="329"><f>AJ595</f><v /></c><c r="AK596" s="53"><f>Z596</f><v /></c><c r="AL596" s="45" t="n" /><c r="AM596" s="333"><f>AM595</f><v /></c><c r="AN596" s="328"><f>AN595</f><v /></c><c r="AO596" s="11"><f>LEFT(AN596,2)</f><v /></c><c r="AP596" s="11"><f>RIGHT(AN596,6)</f><v /></c><c r="AQ596" s="11"><f>+(AO596*60+AP596)/(60*60)</f><v /></c><c r="AR596" s="14"><f>+AM596/AQ596</f><v /></c><c r="AS596" s="321"><f>+(((AL596-AK596-AM596)/AM596)*100)</f><v /></c><c r="AT596" s="43"><f>IF(I596&gt;=1,"NO CONFORME",IF(BK596="SIGDIFERENTES",BC596,BL596))</f><v /></c><c r="AU596" s="8"><f>B596=C596</f><v /></c><c r="AV596" s="8"><f>N596&lt;Y596</f><v /></c><c r="AW596" s="8"><f>Z596&lt;=AK596</f><v /></c><c r="AX596" s="8"><f>IF(I596&gt;=1,"Qcorrecto",IF(AND(AY596="aceptable",AZ596="aceptable",BA596="aceptable"),"Qcorrecto","Qincorrecto"))</f><v /></c><c r="AY596" s="22"><f>IF(AR596&lt;$AH$6,"error",IF(AR596&gt;$AH$6*1.1,"error","aceptable"))</f><v /></c><c r="AZ596" s="22"><f>IF(AF596&lt;$V$6,"error",IF(AF596&gt;$V$6*1.1,"error","aceptable"))</f><v /></c><c r="BA596" s="22"><f>IF(T596&lt;$J$6*0.9,"error",IF(T596&gt;$J$6,"error","aceptable"))</f><v /></c><c r="BB596" s="25"><f>(IF(ABS(U596)&lt;1.05,"CONFORME",IF(ABS(AG596)&lt;1.05,"CONFORME",IF(ABS(AS596)&lt;2.55,"CONFORME","NO CONFORME"))))</f><v /></c><c r="BC596" s="5"><f>(IF(ABS(U596)&gt;2.05,"NO CONFORME",IF(ABS(AG596)&gt;2.05,"NO CONFORME",IF(ABS(AS596)&gt;5.05,"NO CONFORME","CONFORME"))))</f><v /></c><c r="BD596" s="15"><f>SIGN(U596)</f><v /></c><c r="BE596" s="15"><f>SIGN(AG596)</f><v /></c><c r="BF596" s="15"><f>SIGN(AS596)</f><v /></c><c r="BG596" s="15"><f>CONCATENATE(BD596,BE596,BF596)</f><v /></c><c r="BH596" s="15"><f>IF(BG596="111","SI","SD")</f><v /></c><c r="BI596" s="15"><f>IF(BG596="-1-1-1","SI","SD")</f><v /></c><c r="BJ596" s="15"><f>OR(BH596="SI",BI596="SI")</f><v /></c><c r="BK596" s="15"><f>IF(BJ596=FALSE,"SIGDIFERENTES","SIGIGUALES")</f><v /></c><c r="BL596" s="22"><f>IF(BC596="NO CONFORME","NO CONFORME",IF(BB596="CONFORME","CONFORME","NO CONFORME"))</f><v /></c></row><row r="597" ht="15.75" customHeight="1" thickBot="1"><c r="A597" s="37" t="n"><v>589</v></c><c r="B597" s="324"><f>B596</f><v /></c><c r="C597" s="324"><f>C596</f><v /></c><c r="D597" s="94"><f>D596</f><v /></c><c r="E597" s="95"><f>E596</f><v /></c><c r="F597" s="13" t="n" /><c r="G597" s="300" t="n" /><c r="H597" s="326"><f>H596</f><v /></c><c r="I597" s="98"><f>I596</f><v /></c><c r="J597" s="327"><f>J596</f><v /></c><c r="K597" s="327"><f>K596</f><v /></c><c r="L597" s="327"><f>L596</f><v /></c><c r="M597" s="45" t="n" /><c r="N597" s="45" t="n" /><c r="O597" s="100"><f>O596</f><v /></c><c r="P597" s="328"><f>P596</f><v /></c><c r="Q597" s="11"><f>LEFT(P597,1)</f><v /></c><c r="R597" s="11"><f>RIGHT(P597,6)</f><v /></c><c r="S597" s="11"><f>+(Q597*60+R597)/(60*60)</f><v /></c><c r="T597" s="14"><f>+O597/S597</f><v /></c><c r="U597" s="316"><f>+(((N597-M597-O597)/O597)*100)</f><v /></c><c r="V597" s="329"><f>V596</f><v /></c><c r="W597" s="329"><f>W596</f><v /></c><c r="X597" s="330"><f>X596</f><v /></c><c r="Y597" s="45" t="n" /><c r="Z597" s="45" t="n" /><c r="AA597" s="331"><f>AA596</f><v /></c><c r="AB597" s="332"><f>AB596</f><v /></c><c r="AC597" s="11"><f>LEFT(AB597,2)</f><v /></c><c r="AD597" s="11"><f>RIGHT(AB597,6)</f><v /></c><c r="AE597" s="11"><f>+(AC597*60+AD597)/(60*60)</f><v /></c><c r="AF597" s="14"><f>+AA597/AE597</f><v /></c><c r="AG597" s="321"><f>+(((Z597-Y597-AA597)/AA597)*100)</f><v /></c><c r="AH597" s="329"><f>AH596</f><v /></c><c r="AI597" s="329"><f>AI596</f><v /></c><c r="AJ597" s="329"><f>AJ596</f><v /></c><c r="AK597" s="53"><f>Z597</f><v /></c><c r="AL597" s="45" t="n" /><c r="AM597" s="333"><f>AM596</f><v /></c><c r="AN597" s="328"><f>AN596</f><v /></c><c r="AO597" s="11"><f>LEFT(AN597,2)</f><v /></c><c r="AP597" s="11"><f>RIGHT(AN597,6)</f><v /></c><c r="AQ597" s="11"><f>+(AO597*60+AP597)/(60*60)</f><v /></c><c r="AR597" s="14"><f>+AM597/AQ597</f><v /></c><c r="AS597" s="321"><f>+(((AL597-AK597-AM597)/AM597)*100)</f><v /></c><c r="AT597" s="43"><f>IF(I597&gt;=1,"NO CONFORME",IF(BK597="SIGDIFERENTES",BC597,BL597))</f><v /></c><c r="AU597" s="8"><f>B597=C597</f><v /></c><c r="AV597" s="8"><f>N597&lt;Y597</f><v /></c><c r="AW597" s="8"><f>Z597&lt;=AK597</f><v /></c><c r="AX597" s="8"><f>IF(I597&gt;=1,"Qcorrecto",IF(AND(AY597="aceptable",AZ597="aceptable",BA597="aceptable"),"Qcorrecto","Qincorrecto"))</f><v /></c><c r="AY597" s="22"><f>IF(AR597&lt;$AH$6,"error",IF(AR597&gt;$AH$6*1.1,"error","aceptable"))</f><v /></c><c r="AZ597" s="22"><f>IF(AF597&lt;$V$6,"error",IF(AF597&gt;$V$6*1.1,"error","aceptable"))</f><v /></c><c r="BA597" s="22"><f>IF(T597&lt;$J$6*0.9,"error",IF(T597&gt;$J$6,"error","aceptable"))</f><v /></c><c r="BB597" s="25"><f>(IF(ABS(U597)&lt;1.05,"CONFORME",IF(ABS(AG597)&lt;1.05,"CONFORME",IF(ABS(AS597)&lt;2.55,"CONFORME","NO CONFORME"))))</f><v /></c><c r="BC597" s="5"><f>(IF(ABS(U597)&gt;2.05,"NO CONFORME",IF(ABS(AG597)&gt;2.05,"NO CONFORME",IF(ABS(AS597)&gt;5.05,"NO CONFORME","CONFORME"))))</f><v /></c><c r="BD597" s="15"><f>SIGN(U597)</f><v /></c><c r="BE597" s="15"><f>SIGN(AG597)</f><v /></c><c r="BF597" s="15"><f>SIGN(AS597)</f><v /></c><c r="BG597" s="15"><f>CONCATENATE(BD597,BE597,BF597)</f><v /></c><c r="BH597" s="15"><f>IF(BG597="111","SI","SD")</f><v /></c><c r="BI597" s="15"><f>IF(BG597="-1-1-1","SI","SD")</f><v /></c><c r="BJ597" s="15"><f>OR(BH597="SI",BI597="SI")</f><v /></c><c r="BK597" s="15"><f>IF(BJ597=FALSE,"SIGDIFERENTES","SIGIGUALES")</f><v /></c><c r="BL597" s="22"><f>IF(BC597="NO CONFORME","NO CONFORME",IF(BB597="CONFORME","CONFORME","NO CONFORME"))</f><v /></c></row><row r="598" ht="15.75" customHeight="1" thickBot="1"><c r="A598" s="37" t="n"><v>590</v></c><c r="B598" s="324"><f>B597</f><v /></c><c r="C598" s="324"><f>C597</f><v /></c><c r="D598" s="94"><f>D597</f><v /></c><c r="E598" s="95"><f>E597</f><v /></c><c r="F598" s="13" t="n" /><c r="G598" s="300" t="n" /><c r="H598" s="326"><f>H597</f><v /></c><c r="I598" s="98"><f>I597</f><v /></c><c r="J598" s="327"><f>J597</f><v /></c><c r="K598" s="327"><f>K597</f><v /></c><c r="L598" s="327"><f>L597</f><v /></c><c r="M598" s="45" t="n" /><c r="N598" s="45" t="n" /><c r="O598" s="100"><f>O597</f><v /></c><c r="P598" s="328"><f>P597</f><v /></c><c r="Q598" s="11"><f>LEFT(P598,1)</f><v /></c><c r="R598" s="11"><f>RIGHT(P598,6)</f><v /></c><c r="S598" s="11"><f>+(Q598*60+R598)/(60*60)</f><v /></c><c r="T598" s="14"><f>+O598/S598</f><v /></c><c r="U598" s="316"><f>+(((N598-M598-O598)/O598)*100)</f><v /></c><c r="V598" s="329"><f>V597</f><v /></c><c r="W598" s="329"><f>W597</f><v /></c><c r="X598" s="330"><f>X597</f><v /></c><c r="Y598" s="45" t="n" /><c r="Z598" s="45" t="n" /><c r="AA598" s="331"><f>AA597</f><v /></c><c r="AB598" s="332"><f>AB597</f><v /></c><c r="AC598" s="11"><f>LEFT(AB598,2)</f><v /></c><c r="AD598" s="11"><f>RIGHT(AB598,6)</f><v /></c><c r="AE598" s="11"><f>+(AC598*60+AD598)/(60*60)</f><v /></c><c r="AF598" s="14"><f>+AA598/AE598</f><v /></c><c r="AG598" s="321"><f>+(((Z598-Y598-AA598)/AA598)*100)</f><v /></c><c r="AH598" s="329"><f>AH597</f><v /></c><c r="AI598" s="329"><f>AI597</f><v /></c><c r="AJ598" s="329"><f>AJ597</f><v /></c><c r="AK598" s="53"><f>Z598</f><v /></c><c r="AL598" s="45" t="n" /><c r="AM598" s="333"><f>AM597</f><v /></c><c r="AN598" s="328"><f>AN597</f><v /></c><c r="AO598" s="11"><f>LEFT(AN598,2)</f><v /></c><c r="AP598" s="11"><f>RIGHT(AN598,6)</f><v /></c><c r="AQ598" s="11"><f>+(AO598*60+AP598)/(60*60)</f><v /></c><c r="AR598" s="14"><f>+AM598/AQ598</f><v /></c><c r="AS598" s="321"><f>+(((AL598-AK598-AM598)/AM598)*100)</f><v /></c><c r="AT598" s="43"><f>IF(I598&gt;=1,"NO CONFORME",IF(BK598="SIGDIFERENTES",BC598,BL598))</f><v /></c><c r="AU598" s="8"><f>B598=C598</f><v /></c><c r="AV598" s="8"><f>N598&lt;Y598</f><v /></c><c r="AW598" s="8"><f>Z598&lt;=AK598</f><v /></c><c r="AX598" s="8"><f>IF(I598&gt;=1,"Qcorrecto",IF(AND(AY598="aceptable",AZ598="aceptable",BA598="aceptable"),"Qcorrecto","Qincorrecto"))</f><v /></c><c r="AY598" s="22"><f>IF(AR598&lt;$AH$6,"error",IF(AR598&gt;$AH$6*1.1,"error","aceptable"))</f><v /></c><c r="AZ598" s="22"><f>IF(AF598&lt;$V$6,"error",IF(AF598&gt;$V$6*1.1,"error","aceptable"))</f><v /></c><c r="BA598" s="22"><f>IF(T598&lt;$J$6*0.9,"error",IF(T598&gt;$J$6,"error","aceptable"))</f><v /></c><c r="BB598" s="25"><f>(IF(ABS(U598)&lt;1.05,"CONFORME",IF(ABS(AG598)&lt;1.05,"CONFORME",IF(ABS(AS598)&lt;2.55,"CONFORME","NO CONFORME"))))</f><v /></c><c r="BC598" s="5"><f>(IF(ABS(U598)&gt;2.05,"NO CONFORME",IF(ABS(AG598)&gt;2.05,"NO CONFORME",IF(ABS(AS598)&gt;5.05,"NO CONFORME","CONFORME"))))</f><v /></c><c r="BD598" s="15"><f>SIGN(U598)</f><v /></c><c r="BE598" s="15"><f>SIGN(AG598)</f><v /></c><c r="BF598" s="15"><f>SIGN(AS598)</f><v /></c><c r="BG598" s="15"><f>CONCATENATE(BD598,BE598,BF598)</f><v /></c><c r="BH598" s="15"><f>IF(BG598="111","SI","SD")</f><v /></c><c r="BI598" s="15"><f>IF(BG598="-1-1-1","SI","SD")</f><v /></c><c r="BJ598" s="15"><f>OR(BH598="SI",BI598="SI")</f><v /></c><c r="BK598" s="15"><f>IF(BJ598=FALSE,"SIGDIFERENTES","SIGIGUALES")</f><v /></c><c r="BL598" s="22"><f>IF(BC598="NO CONFORME","NO CONFORME",IF(BB598="CONFORME","CONFORME","NO CONFORME"))</f><v /></c></row><row r="599" ht="15.75" customHeight="1" thickBot="1"><c r="A599" s="37" t="n"><v>591</v></c><c r="B599" s="324"><f>B598</f><v /></c><c r="C599" s="324"><f>C598</f><v /></c><c r="D599" s="94"><f>D598</f><v /></c><c r="E599" s="95"><f>E598</f><v /></c><c r="F599" s="13" t="n" /><c r="G599" s="300" t="n" /><c r="H599" s="326"><f>H598</f><v /></c><c r="I599" s="98"><f>I598</f><v /></c><c r="J599" s="327"><f>J598</f><v /></c><c r="K599" s="327"><f>K598</f><v /></c><c r="L599" s="327"><f>L598</f><v /></c><c r="M599" s="45" t="n" /><c r="N599" s="45" t="n" /><c r="O599" s="100"><f>O598</f><v /></c><c r="P599" s="328"><f>P598</f><v /></c><c r="Q599" s="11"><f>LEFT(P599,1)</f><v /></c><c r="R599" s="11"><f>RIGHT(P599,6)</f><v /></c><c r="S599" s="11"><f>+(Q599*60+R599)/(60*60)</f><v /></c><c r="T599" s="14"><f>+O599/S599</f><v /></c><c r="U599" s="316"><f>+(((N599-M599-O599)/O599)*100)</f><v /></c><c r="V599" s="329"><f>V598</f><v /></c><c r="W599" s="329"><f>W598</f><v /></c><c r="X599" s="330"><f>X598</f><v /></c><c r="Y599" s="45" t="n" /><c r="Z599" s="45" t="n" /><c r="AA599" s="331"><f>AA598</f><v /></c><c r="AB599" s="332"><f>AB598</f><v /></c><c r="AC599" s="11"><f>LEFT(AB599,2)</f><v /></c><c r="AD599" s="11"><f>RIGHT(AB599,6)</f><v /></c><c r="AE599" s="11"><f>+(AC599*60+AD599)/(60*60)</f><v /></c><c r="AF599" s="14"><f>+AA599/AE599</f><v /></c><c r="AG599" s="321"><f>+(((Z599-Y599-AA599)/AA599)*100)</f><v /></c><c r="AH599" s="329"><f>AH598</f><v /></c><c r="AI599" s="329"><f>AI598</f><v /></c><c r="AJ599" s="329"><f>AJ598</f><v /></c><c r="AK599" s="53"><f>Z599</f><v /></c><c r="AL599" s="45" t="n" /><c r="AM599" s="333"><f>AM598</f><v /></c><c r="AN599" s="328"><f>AN598</f><v /></c><c r="AO599" s="11"><f>LEFT(AN599,2)</f><v /></c><c r="AP599" s="11"><f>RIGHT(AN599,6)</f><v /></c><c r="AQ599" s="11"><f>+(AO599*60+AP599)/(60*60)</f><v /></c><c r="AR599" s="14"><f>+AM599/AQ599</f><v /></c><c r="AS599" s="321"><f>+(((AL599-AK599-AM599)/AM599)*100)</f><v /></c><c r="AT599" s="43"><f>IF(I599&gt;=1,"NO CONFORME",IF(BK599="SIGDIFERENTES",BC599,BL599))</f><v /></c><c r="AU599" s="8"><f>B599=C599</f><v /></c><c r="AV599" s="8"><f>N599&lt;Y599</f><v /></c><c r="AW599" s="8"><f>Z599&lt;=AK599</f><v /></c><c r="AX599" s="8"><f>IF(I599&gt;=1,"Qcorrecto",IF(AND(AY599="aceptable",AZ599="aceptable",BA599="aceptable"),"Qcorrecto","Qincorrecto"))</f><v /></c><c r="AY599" s="22"><f>IF(AR599&lt;$AH$6,"error",IF(AR599&gt;$AH$6*1.1,"error","aceptable"))</f><v /></c><c r="AZ599" s="22"><f>IF(AF599&lt;$V$6,"error",IF(AF599&gt;$V$6*1.1,"error","aceptable"))</f><v /></c><c r="BA599" s="22"><f>IF(T599&lt;$J$6*0.9,"error",IF(T599&gt;$J$6,"error","aceptable"))</f><v /></c><c r="BB599" s="25"><f>(IF(ABS(U599)&lt;1.05,"CONFORME",IF(ABS(AG599)&lt;1.05,"CONFORME",IF(ABS(AS599)&lt;2.55,"CONFORME","NO CONFORME"))))</f><v /></c><c r="BC599" s="5"><f>(IF(ABS(U599)&gt;2.05,"NO CONFORME",IF(ABS(AG599)&gt;2.05,"NO CONFORME",IF(ABS(AS599)&gt;5.05,"NO CONFORME","CONFORME"))))</f><v /></c><c r="BD599" s="15"><f>SIGN(U599)</f><v /></c><c r="BE599" s="15"><f>SIGN(AG599)</f><v /></c><c r="BF599" s="15"><f>SIGN(AS599)</f><v /></c><c r="BG599" s="15"><f>CONCATENATE(BD599,BE599,BF599)</f><v /></c><c r="BH599" s="15"><f>IF(BG599="111","SI","SD")</f><v /></c><c r="BI599" s="15"><f>IF(BG599="-1-1-1","SI","SD")</f><v /></c><c r="BJ599" s="15"><f>OR(BH599="SI",BI599="SI")</f><v /></c><c r="BK599" s="15"><f>IF(BJ599=FALSE,"SIGDIFERENTES","SIGIGUALES")</f><v /></c><c r="BL599" s="22"><f>IF(BC599="NO CONFORME","NO CONFORME",IF(BB599="CONFORME","CONFORME","NO CONFORME"))</f><v /></c></row><row r="600" ht="15.75" customHeight="1" thickBot="1"><c r="A600" s="37" t="n"><v>592</v></c><c r="B600" s="324"><f>B599</f><v /></c><c r="C600" s="324"><f>C599</f><v /></c><c r="D600" s="94"><f>D599</f><v /></c><c r="E600" s="95"><f>E599</f><v /></c><c r="F600" s="13" t="n" /><c r="G600" s="300" t="n" /><c r="H600" s="326"><f>H599</f><v /></c><c r="I600" s="98"><f>I599</f><v /></c><c r="J600" s="327"><f>J599</f><v /></c><c r="K600" s="327"><f>K599</f><v /></c><c r="L600" s="327"><f>L599</f><v /></c><c r="M600" s="45" t="n" /><c r="N600" s="45" t="n" /><c r="O600" s="100"><f>O599</f><v /></c><c r="P600" s="328"><f>P599</f><v /></c><c r="Q600" s="11"><f>LEFT(P600,1)</f><v /></c><c r="R600" s="11"><f>RIGHT(P600,6)</f><v /></c><c r="S600" s="11"><f>+(Q600*60+R600)/(60*60)</f><v /></c><c r="T600" s="14"><f>+O600/S600</f><v /></c><c r="U600" s="316"><f>+(((N600-M600-O600)/O600)*100)</f><v /></c><c r="V600" s="329"><f>V599</f><v /></c><c r="W600" s="329"><f>W599</f><v /></c><c r="X600" s="330"><f>X599</f><v /></c><c r="Y600" s="45" t="n" /><c r="Z600" s="45" t="n" /><c r="AA600" s="331"><f>AA599</f><v /></c><c r="AB600" s="332"><f>AB599</f><v /></c><c r="AC600" s="11"><f>LEFT(AB600,2)</f><v /></c><c r="AD600" s="11"><f>RIGHT(AB600,6)</f><v /></c><c r="AE600" s="11"><f>+(AC600*60+AD600)/(60*60)</f><v /></c><c r="AF600" s="14"><f>+AA600/AE600</f><v /></c><c r="AG600" s="321"><f>+(((Z600-Y600-AA600)/AA600)*100)</f><v /></c><c r="AH600" s="329"><f>AH599</f><v /></c><c r="AI600" s="329"><f>AI599</f><v /></c><c r="AJ600" s="329"><f>AJ599</f><v /></c><c r="AK600" s="53"><f>Z600</f><v /></c><c r="AL600" s="45" t="n" /><c r="AM600" s="333"><f>AM599</f><v /></c><c r="AN600" s="328"><f>AN599</f><v /></c><c r="AO600" s="11"><f>LEFT(AN600,2)</f><v /></c><c r="AP600" s="11"><f>RIGHT(AN600,6)</f><v /></c><c r="AQ600" s="11"><f>+(AO600*60+AP600)/(60*60)</f><v /></c><c r="AR600" s="14"><f>+AM600/AQ600</f><v /></c><c r="AS600" s="321"><f>+(((AL600-AK600-AM600)/AM600)*100)</f><v /></c><c r="AT600" s="43"><f>IF(I600&gt;=1,"NO CONFORME",IF(BK600="SIGDIFERENTES",BC600,BL600))</f><v /></c><c r="AU600" s="8"><f>B600=C600</f><v /></c><c r="AV600" s="8"><f>N600&lt;Y600</f><v /></c><c r="AW600" s="8"><f>Z600&lt;=AK600</f><v /></c><c r="AX600" s="8"><f>IF(I600&gt;=1,"Qcorrecto",IF(AND(AY600="aceptable",AZ600="aceptable",BA600="aceptable"),"Qcorrecto","Qincorrecto"))</f><v /></c><c r="AY600" s="22"><f>IF(AR600&lt;$AH$6,"error",IF(AR600&gt;$AH$6*1.1,"error","aceptable"))</f><v /></c><c r="AZ600" s="22"><f>IF(AF600&lt;$V$6,"error",IF(AF600&gt;$V$6*1.1,"error","aceptable"))</f><v /></c><c r="BA600" s="22"><f>IF(T600&lt;$J$6*0.9,"error",IF(T600&gt;$J$6,"error","aceptable"))</f><v /></c><c r="BB600" s="25"><f>(IF(ABS(U600)&lt;1.05,"CONFORME",IF(ABS(AG600)&lt;1.05,"CONFORME",IF(ABS(AS600)&lt;2.55,"CONFORME","NO CONFORME"))))</f><v /></c><c r="BC600" s="5"><f>(IF(ABS(U600)&gt;2.05,"NO CONFORME",IF(ABS(AG600)&gt;2.05,"NO CONFORME",IF(ABS(AS600)&gt;5.05,"NO CONFORME","CONFORME"))))</f><v /></c><c r="BD600" s="15"><f>SIGN(U600)</f><v /></c><c r="BE600" s="15"><f>SIGN(AG600)</f><v /></c><c r="BF600" s="15"><f>SIGN(AS600)</f><v /></c><c r="BG600" s="15"><f>CONCATENATE(BD600,BE600,BF600)</f><v /></c><c r="BH600" s="15"><f>IF(BG600="111","SI","SD")</f><v /></c><c r="BI600" s="15"><f>IF(BG600="-1-1-1","SI","SD")</f><v /></c><c r="BJ600" s="15"><f>OR(BH600="SI",BI600="SI")</f><v /></c><c r="BK600" s="15"><f>IF(BJ600=FALSE,"SIGDIFERENTES","SIGIGUALES")</f><v /></c><c r="BL600" s="22"><f>IF(BC600="NO CONFORME","NO CONFORME",IF(BB600="CONFORME","CONFORME","NO CONFORME"))</f><v /></c></row><row r="601" ht="15.75" customHeight="1" thickBot="1"><c r="A601" s="37" t="n"><v>593</v></c><c r="B601" s="324"><f>B600</f><v /></c><c r="C601" s="324"><f>C600</f><v /></c><c r="D601" s="94"><f>D600</f><v /></c><c r="E601" s="95"><f>E600</f><v /></c><c r="F601" s="13" t="n" /><c r="G601" s="300" t="n" /><c r="H601" s="326"><f>H600</f><v /></c><c r="I601" s="98"><f>I600</f><v /></c><c r="J601" s="327"><f>J600</f><v /></c><c r="K601" s="327"><f>K600</f><v /></c><c r="L601" s="327"><f>L600</f><v /></c><c r="M601" s="45" t="n" /><c r="N601" s="45" t="n" /><c r="O601" s="100"><f>O600</f><v /></c><c r="P601" s="328"><f>P600</f><v /></c><c r="Q601" s="11"><f>LEFT(P601,1)</f><v /></c><c r="R601" s="11"><f>RIGHT(P601,6)</f><v /></c><c r="S601" s="11"><f>+(Q601*60+R601)/(60*60)</f><v /></c><c r="T601" s="14"><f>+O601/S601</f><v /></c><c r="U601" s="316"><f>+(((N601-M601-O601)/O601)*100)</f><v /></c><c r="V601" s="329"><f>V600</f><v /></c><c r="W601" s="329"><f>W600</f><v /></c><c r="X601" s="330"><f>X600</f><v /></c><c r="Y601" s="45" t="n" /><c r="Z601" s="45" t="n" /><c r="AA601" s="331"><f>AA600</f><v /></c><c r="AB601" s="332"><f>AB600</f><v /></c><c r="AC601" s="11"><f>LEFT(AB601,2)</f><v /></c><c r="AD601" s="11"><f>RIGHT(AB601,6)</f><v /></c><c r="AE601" s="11"><f>+(AC601*60+AD601)/(60*60)</f><v /></c><c r="AF601" s="14"><f>+AA601/AE601</f><v /></c><c r="AG601" s="321"><f>+(((Z601-Y601-AA601)/AA601)*100)</f><v /></c><c r="AH601" s="329"><f>AH600</f><v /></c><c r="AI601" s="329"><f>AI600</f><v /></c><c r="AJ601" s="329"><f>AJ600</f><v /></c><c r="AK601" s="53"><f>Z601</f><v /></c><c r="AL601" s="45" t="n" /><c r="AM601" s="333"><f>AM600</f><v /></c><c r="AN601" s="328"><f>AN600</f><v /></c><c r="AO601" s="11"><f>LEFT(AN601,2)</f><v /></c><c r="AP601" s="11"><f>RIGHT(AN601,6)</f><v /></c><c r="AQ601" s="11"><f>+(AO601*60+AP601)/(60*60)</f><v /></c><c r="AR601" s="14"><f>+AM601/AQ601</f><v /></c><c r="AS601" s="321"><f>+(((AL601-AK601-AM601)/AM601)*100)</f><v /></c><c r="AT601" s="43"><f>IF(I601&gt;=1,"NO CONFORME",IF(BK601="SIGDIFERENTES",BC601,BL601))</f><v /></c><c r="AU601" s="8"><f>B601=C601</f><v /></c><c r="AV601" s="8"><f>N601&lt;Y601</f><v /></c><c r="AW601" s="8"><f>Z601&lt;=AK601</f><v /></c><c r="AX601" s="8"><f>IF(I601&gt;=1,"Qcorrecto",IF(AND(AY601="aceptable",AZ601="aceptable",BA601="aceptable"),"Qcorrecto","Qincorrecto"))</f><v /></c><c r="AY601" s="22"><f>IF(AR601&lt;$AH$6,"error",IF(AR601&gt;$AH$6*1.1,"error","aceptable"))</f><v /></c><c r="AZ601" s="22"><f>IF(AF601&lt;$V$6,"error",IF(AF601&gt;$V$6*1.1,"error","aceptable"))</f><v /></c><c r="BA601" s="22"><f>IF(T601&lt;$J$6*0.9,"error",IF(T601&gt;$J$6,"error","aceptable"))</f><v /></c><c r="BB601" s="25"><f>(IF(ABS(U601)&lt;1.05,"CONFORME",IF(ABS(AG601)&lt;1.05,"CONFORME",IF(ABS(AS601)&lt;2.55,"CONFORME","NO CONFORME"))))</f><v /></c><c r="BC601" s="5"><f>(IF(ABS(U601)&gt;2.05,"NO CONFORME",IF(ABS(AG601)&gt;2.05,"NO CONFORME",IF(ABS(AS601)&gt;5.05,"NO CONFORME","CONFORME"))))</f><v /></c><c r="BD601" s="15"><f>SIGN(U601)</f><v /></c><c r="BE601" s="15"><f>SIGN(AG601)</f><v /></c><c r="BF601" s="15"><f>SIGN(AS601)</f><v /></c><c r="BG601" s="15"><f>CONCATENATE(BD601,BE601,BF601)</f><v /></c><c r="BH601" s="15"><f>IF(BG601="111","SI","SD")</f><v /></c><c r="BI601" s="15"><f>IF(BG601="-1-1-1","SI","SD")</f><v /></c><c r="BJ601" s="15"><f>OR(BH601="SI",BI601="SI")</f><v /></c><c r="BK601" s="15"><f>IF(BJ601=FALSE,"SIGDIFERENTES","SIGIGUALES")</f><v /></c><c r="BL601" s="22"><f>IF(BC601="NO CONFORME","NO CONFORME",IF(BB601="CONFORME","CONFORME","NO CONFORME"))</f><v /></c></row><row r="602" ht="15.75" customHeight="1" thickBot="1"><c r="A602" s="37" t="n"><v>594</v></c><c r="B602" s="324"><f>B601</f><v /></c><c r="C602" s="324"><f>C601</f><v /></c><c r="D602" s="94"><f>D601</f><v /></c><c r="E602" s="95"><f>E601</f><v /></c><c r="F602" s="13" t="n" /><c r="G602" s="300" t="n" /><c r="H602" s="326"><f>H601</f><v /></c><c r="I602" s="98"><f>I601</f><v /></c><c r="J602" s="327"><f>J601</f><v /></c><c r="K602" s="327"><f>K601</f><v /></c><c r="L602" s="327"><f>L601</f><v /></c><c r="M602" s="45" t="n" /><c r="N602" s="45" t="n" /><c r="O602" s="100"><f>O601</f><v /></c><c r="P602" s="328"><f>P601</f><v /></c><c r="Q602" s="11"><f>LEFT(P602,1)</f><v /></c><c r="R602" s="11"><f>RIGHT(P602,6)</f><v /></c><c r="S602" s="11"><f>+(Q602*60+R602)/(60*60)</f><v /></c><c r="T602" s="14"><f>+O602/S602</f><v /></c><c r="U602" s="316"><f>+(((N602-M602-O602)/O602)*100)</f><v /></c><c r="V602" s="329"><f>V601</f><v /></c><c r="W602" s="329"><f>W601</f><v /></c><c r="X602" s="330"><f>X601</f><v /></c><c r="Y602" s="45" t="n" /><c r="Z602" s="45" t="n" /><c r="AA602" s="331"><f>AA601</f><v /></c><c r="AB602" s="332"><f>AB601</f><v /></c><c r="AC602" s="11"><f>LEFT(AB602,2)</f><v /></c><c r="AD602" s="11"><f>RIGHT(AB602,6)</f><v /></c><c r="AE602" s="11"><f>+(AC602*60+AD602)/(60*60)</f><v /></c><c r="AF602" s="14"><f>+AA602/AE602</f><v /></c><c r="AG602" s="321"><f>+(((Z602-Y602-AA602)/AA602)*100)</f><v /></c><c r="AH602" s="329"><f>AH601</f><v /></c><c r="AI602" s="329"><f>AI601</f><v /></c><c r="AJ602" s="329"><f>AJ601</f><v /></c><c r="AK602" s="53"><f>Z602</f><v /></c><c r="AL602" s="45" t="n" /><c r="AM602" s="333"><f>AM601</f><v /></c><c r="AN602" s="328"><f>AN601</f><v /></c><c r="AO602" s="11"><f>LEFT(AN602,2)</f><v /></c><c r="AP602" s="11"><f>RIGHT(AN602,6)</f><v /></c><c r="AQ602" s="11"><f>+(AO602*60+AP602)/(60*60)</f><v /></c><c r="AR602" s="14"><f>+AM602/AQ602</f><v /></c><c r="AS602" s="321"><f>+(((AL602-AK602-AM602)/AM602)*100)</f><v /></c><c r="AT602" s="43"><f>IF(I602&gt;=1,"NO CONFORME",IF(BK602="SIGDIFERENTES",BC602,BL602))</f><v /></c><c r="AU602" s="8"><f>B602=C602</f><v /></c><c r="AV602" s="8"><f>N602&lt;Y602</f><v /></c><c r="AW602" s="8"><f>Z602&lt;=AK602</f><v /></c><c r="AX602" s="8"><f>IF(I602&gt;=1,"Qcorrecto",IF(AND(AY602="aceptable",AZ602="aceptable",BA602="aceptable"),"Qcorrecto","Qincorrecto"))</f><v /></c><c r="AY602" s="22"><f>IF(AR602&lt;$AH$6,"error",IF(AR602&gt;$AH$6*1.1,"error","aceptable"))</f><v /></c><c r="AZ602" s="22"><f>IF(AF602&lt;$V$6,"error",IF(AF602&gt;$V$6*1.1,"error","aceptable"))</f><v /></c><c r="BA602" s="22"><f>IF(T602&lt;$J$6*0.9,"error",IF(T602&gt;$J$6,"error","aceptable"))</f><v /></c><c r="BB602" s="25"><f>(IF(ABS(U602)&lt;1.05,"CONFORME",IF(ABS(AG602)&lt;1.05,"CONFORME",IF(ABS(AS602)&lt;2.55,"CONFORME","NO CONFORME"))))</f><v /></c><c r="BC602" s="5"><f>(IF(ABS(U602)&gt;2.05,"NO CONFORME",IF(ABS(AG602)&gt;2.05,"NO CONFORME",IF(ABS(AS602)&gt;5.05,"NO CONFORME","CONFORME"))))</f><v /></c><c r="BD602" s="15"><f>SIGN(U602)</f><v /></c><c r="BE602" s="15"><f>SIGN(AG602)</f><v /></c><c r="BF602" s="15"><f>SIGN(AS602)</f><v /></c><c r="BG602" s="15"><f>CONCATENATE(BD602,BE602,BF602)</f><v /></c><c r="BH602" s="15"><f>IF(BG602="111","SI","SD")</f><v /></c><c r="BI602" s="15"><f>IF(BG602="-1-1-1","SI","SD")</f><v /></c><c r="BJ602" s="15"><f>OR(BH602="SI",BI602="SI")</f><v /></c><c r="BK602" s="15"><f>IF(BJ602=FALSE,"SIGDIFERENTES","SIGIGUALES")</f><v /></c><c r="BL602" s="22"><f>IF(BC602="NO CONFORME","NO CONFORME",IF(BB602="CONFORME","CONFORME","NO CONFORME"))</f><v /></c></row><row r="603" ht="15.75" customHeight="1" thickBot="1"><c r="A603" s="37" t="n"><v>595</v></c><c r="B603" s="324"><f>B602</f><v /></c><c r="C603" s="324"><f>C602</f><v /></c><c r="D603" s="94"><f>D602</f><v /></c><c r="E603" s="95"><f>E602</f><v /></c><c r="F603" s="13" t="n" /><c r="G603" s="300" t="n" /><c r="H603" s="326"><f>H602</f><v /></c><c r="I603" s="98"><f>I602</f><v /></c><c r="J603" s="327"><f>J602</f><v /></c><c r="K603" s="327"><f>K602</f><v /></c><c r="L603" s="327"><f>L602</f><v /></c><c r="M603" s="45" t="n" /><c r="N603" s="45" t="n" /><c r="O603" s="100"><f>O602</f><v /></c><c r="P603" s="328"><f>P602</f><v /></c><c r="Q603" s="11"><f>LEFT(P603,1)</f><v /></c><c r="R603" s="11"><f>RIGHT(P603,6)</f><v /></c><c r="S603" s="11"><f>+(Q603*60+R603)/(60*60)</f><v /></c><c r="T603" s="14"><f>+O603/S603</f><v /></c><c r="U603" s="316"><f>+(((N603-M603-O603)/O603)*100)</f><v /></c><c r="V603" s="329"><f>V602</f><v /></c><c r="W603" s="329"><f>W602</f><v /></c><c r="X603" s="330"><f>X602</f><v /></c><c r="Y603" s="45" t="n" /><c r="Z603" s="45" t="n" /><c r="AA603" s="331"><f>AA602</f><v /></c><c r="AB603" s="332"><f>AB602</f><v /></c><c r="AC603" s="11"><f>LEFT(AB603,2)</f><v /></c><c r="AD603" s="11"><f>RIGHT(AB603,6)</f><v /></c><c r="AE603" s="11"><f>+(AC603*60+AD603)/(60*60)</f><v /></c><c r="AF603" s="14"><f>+AA603/AE603</f><v /></c><c r="AG603" s="321"><f>+(((Z603-Y603-AA603)/AA603)*100)</f><v /></c><c r="AH603" s="329"><f>AH602</f><v /></c><c r="AI603" s="329"><f>AI602</f><v /></c><c r="AJ603" s="329"><f>AJ602</f><v /></c><c r="AK603" s="53"><f>Z603</f><v /></c><c r="AL603" s="45" t="n" /><c r="AM603" s="333"><f>AM602</f><v /></c><c r="AN603" s="328"><f>AN602</f><v /></c><c r="AO603" s="11"><f>LEFT(AN603,2)</f><v /></c><c r="AP603" s="11"><f>RIGHT(AN603,6)</f><v /></c><c r="AQ603" s="11"><f>+(AO603*60+AP603)/(60*60)</f><v /></c><c r="AR603" s="14"><f>+AM603/AQ603</f><v /></c><c r="AS603" s="321"><f>+(((AL603-AK603-AM603)/AM603)*100)</f><v /></c><c r="AT603" s="43"><f>IF(I603&gt;=1,"NO CONFORME",IF(BK603="SIGDIFERENTES",BC603,BL603))</f><v /></c><c r="AU603" s="8"><f>B603=C603</f><v /></c><c r="AV603" s="8"><f>N603&lt;Y603</f><v /></c><c r="AW603" s="8"><f>Z603&lt;=AK603</f><v /></c><c r="AX603" s="8"><f>IF(I603&gt;=1,"Qcorrecto",IF(AND(AY603="aceptable",AZ603="aceptable",BA603="aceptable"),"Qcorrecto","Qincorrecto"))</f><v /></c><c r="AY603" s="22"><f>IF(AR603&lt;$AH$6,"error",IF(AR603&gt;$AH$6*1.1,"error","aceptable"))</f><v /></c><c r="AZ603" s="22"><f>IF(AF603&lt;$V$6,"error",IF(AF603&gt;$V$6*1.1,"error","aceptable"))</f><v /></c><c r="BA603" s="22"><f>IF(T603&lt;$J$6*0.9,"error",IF(T603&gt;$J$6,"error","aceptable"))</f><v /></c><c r="BB603" s="25"><f>(IF(ABS(U603)&lt;1.05,"CONFORME",IF(ABS(AG603)&lt;1.05,"CONFORME",IF(ABS(AS603)&lt;2.55,"CONFORME","NO CONFORME"))))</f><v /></c><c r="BC603" s="5"><f>(IF(ABS(U603)&gt;2.05,"NO CONFORME",IF(ABS(AG603)&gt;2.05,"NO CONFORME",IF(ABS(AS603)&gt;5.05,"NO CONFORME","CONFORME"))))</f><v /></c><c r="BD603" s="15"><f>SIGN(U603)</f><v /></c><c r="BE603" s="15"><f>SIGN(AG603)</f><v /></c><c r="BF603" s="15"><f>SIGN(AS603)</f><v /></c><c r="BG603" s="15"><f>CONCATENATE(BD603,BE603,BF603)</f><v /></c><c r="BH603" s="15"><f>IF(BG603="111","SI","SD")</f><v /></c><c r="BI603" s="15"><f>IF(BG603="-1-1-1","SI","SD")</f><v /></c><c r="BJ603" s="15"><f>OR(BH603="SI",BI603="SI")</f><v /></c><c r="BK603" s="15"><f>IF(BJ603=FALSE,"SIGDIFERENTES","SIGIGUALES")</f><v /></c><c r="BL603" s="22"><f>IF(BC603="NO CONFORME","NO CONFORME",IF(BB603="CONFORME","CONFORME","NO CONFORME"))</f><v /></c></row><row r="604" ht="15.75" customHeight="1" thickBot="1"><c r="A604" s="37" t="n"><v>596</v></c><c r="B604" s="324"><f>B603</f><v /></c><c r="C604" s="324"><f>C603</f><v /></c><c r="D604" s="94"><f>D603</f><v /></c><c r="E604" s="95"><f>E603</f><v /></c><c r="F604" s="13" t="n" /><c r="G604" s="300" t="n" /><c r="H604" s="326"><f>H603</f><v /></c><c r="I604" s="98"><f>I603</f><v /></c><c r="J604" s="327"><f>J603</f><v /></c><c r="K604" s="327"><f>K603</f><v /></c><c r="L604" s="327"><f>L603</f><v /></c><c r="M604" s="45" t="n" /><c r="N604" s="45" t="n" /><c r="O604" s="100"><f>O603</f><v /></c><c r="P604" s="328"><f>P603</f><v /></c><c r="Q604" s="11"><f>LEFT(P604,1)</f><v /></c><c r="R604" s="11"><f>RIGHT(P604,6)</f><v /></c><c r="S604" s="11"><f>+(Q604*60+R604)/(60*60)</f><v /></c><c r="T604" s="14"><f>+O604/S604</f><v /></c><c r="U604" s="316"><f>+(((N604-M604-O604)/O604)*100)</f><v /></c><c r="V604" s="329"><f>V603</f><v /></c><c r="W604" s="329"><f>W603</f><v /></c><c r="X604" s="330"><f>X603</f><v /></c><c r="Y604" s="45" t="n" /><c r="Z604" s="45" t="n" /><c r="AA604" s="331"><f>AA603</f><v /></c><c r="AB604" s="332"><f>AB603</f><v /></c><c r="AC604" s="11"><f>LEFT(AB604,2)</f><v /></c><c r="AD604" s="11"><f>RIGHT(AB604,6)</f><v /></c><c r="AE604" s="11"><f>+(AC604*60+AD604)/(60*60)</f><v /></c><c r="AF604" s="14"><f>+AA604/AE604</f><v /></c><c r="AG604" s="321"><f>+(((Z604-Y604-AA604)/AA604)*100)</f><v /></c><c r="AH604" s="329"><f>AH603</f><v /></c><c r="AI604" s="329"><f>AI603</f><v /></c><c r="AJ604" s="329"><f>AJ603</f><v /></c><c r="AK604" s="53"><f>Z604</f><v /></c><c r="AL604" s="45" t="n" /><c r="AM604" s="333"><f>AM603</f><v /></c><c r="AN604" s="328"><f>AN603</f><v /></c><c r="AO604" s="11"><f>LEFT(AN604,2)</f><v /></c><c r="AP604" s="11"><f>RIGHT(AN604,6)</f><v /></c><c r="AQ604" s="11"><f>+(AO604*60+AP604)/(60*60)</f><v /></c><c r="AR604" s="14"><f>+AM604/AQ604</f><v /></c><c r="AS604" s="321"><f>+(((AL604-AK604-AM604)/AM604)*100)</f><v /></c><c r="AT604" s="43"><f>IF(I604&gt;=1,"NO CONFORME",IF(BK604="SIGDIFERENTES",BC604,BL604))</f><v /></c><c r="AU604" s="8"><f>B604=C604</f><v /></c><c r="AV604" s="8"><f>N604&lt;Y604</f><v /></c><c r="AW604" s="8"><f>Z604&lt;=AK604</f><v /></c><c r="AX604" s="8"><f>IF(I604&gt;=1,"Qcorrecto",IF(AND(AY604="aceptable",AZ604="aceptable",BA604="aceptable"),"Qcorrecto","Qincorrecto"))</f><v /></c><c r="AY604" s="22"><f>IF(AR604&lt;$AH$6,"error",IF(AR604&gt;$AH$6*1.1,"error","aceptable"))</f><v /></c><c r="AZ604" s="22"><f>IF(AF604&lt;$V$6,"error",IF(AF604&gt;$V$6*1.1,"error","aceptable"))</f><v /></c><c r="BA604" s="22"><f>IF(T604&lt;$J$6*0.9,"error",IF(T604&gt;$J$6,"error","aceptable"))</f><v /></c><c r="BB604" s="25"><f>(IF(ABS(U604)&lt;1.05,"CONFORME",IF(ABS(AG604)&lt;1.05,"CONFORME",IF(ABS(AS604)&lt;2.55,"CONFORME","NO CONFORME"))))</f><v /></c><c r="BC604" s="5"><f>(IF(ABS(U604)&gt;2.05,"NO CONFORME",IF(ABS(AG604)&gt;2.05,"NO CONFORME",IF(ABS(AS604)&gt;5.05,"NO CONFORME","CONFORME"))))</f><v /></c><c r="BD604" s="15"><f>SIGN(U604)</f><v /></c><c r="BE604" s="15"><f>SIGN(AG604)</f><v /></c><c r="BF604" s="15"><f>SIGN(AS604)</f><v /></c><c r="BG604" s="15"><f>CONCATENATE(BD604,BE604,BF604)</f><v /></c><c r="BH604" s="15"><f>IF(BG604="111","SI","SD")</f><v /></c><c r="BI604" s="15"><f>IF(BG604="-1-1-1","SI","SD")</f><v /></c><c r="BJ604" s="15"><f>OR(BH604="SI",BI604="SI")</f><v /></c><c r="BK604" s="15"><f>IF(BJ604=FALSE,"SIGDIFERENTES","SIGIGUALES")</f><v /></c><c r="BL604" s="22"><f>IF(BC604="NO CONFORME","NO CONFORME",IF(BB604="CONFORME","CONFORME","NO CONFORME"))</f><v /></c></row><row r="605" ht="15.75" customHeight="1" thickBot="1"><c r="A605" s="37" t="n"><v>597</v></c><c r="B605" s="324"><f>B604</f><v /></c><c r="C605" s="324"><f>C604</f><v /></c><c r="D605" s="94"><f>D604</f><v /></c><c r="E605" s="95"><f>E604</f><v /></c><c r="F605" s="13" t="n" /><c r="G605" s="300" t="n" /><c r="H605" s="326"><f>H604</f><v /></c><c r="I605" s="98"><f>I604</f><v /></c><c r="J605" s="327"><f>J604</f><v /></c><c r="K605" s="327"><f>K604</f><v /></c><c r="L605" s="327"><f>L604</f><v /></c><c r="M605" s="45" t="n" /><c r="N605" s="45" t="n" /><c r="O605" s="100"><f>O604</f><v /></c><c r="P605" s="328"><f>P604</f><v /></c><c r="Q605" s="11"><f>LEFT(P605,1)</f><v /></c><c r="R605" s="11"><f>RIGHT(P605,6)</f><v /></c><c r="S605" s="11"><f>+(Q605*60+R605)/(60*60)</f><v /></c><c r="T605" s="14"><f>+O605/S605</f><v /></c><c r="U605" s="316"><f>+(((N605-M605-O605)/O605)*100)</f><v /></c><c r="V605" s="329"><f>V604</f><v /></c><c r="W605" s="329"><f>W604</f><v /></c><c r="X605" s="330"><f>X604</f><v /></c><c r="Y605" s="45" t="n" /><c r="Z605" s="45" t="n" /><c r="AA605" s="331"><f>AA604</f><v /></c><c r="AB605" s="332"><f>AB604</f><v /></c><c r="AC605" s="11"><f>LEFT(AB605,2)</f><v /></c><c r="AD605" s="11"><f>RIGHT(AB605,6)</f><v /></c><c r="AE605" s="11"><f>+(AC605*60+AD605)/(60*60)</f><v /></c><c r="AF605" s="14"><f>+AA605/AE605</f><v /></c><c r="AG605" s="321"><f>+(((Z605-Y605-AA605)/AA605)*100)</f><v /></c><c r="AH605" s="329"><f>AH604</f><v /></c><c r="AI605" s="329"><f>AI604</f><v /></c><c r="AJ605" s="329"><f>AJ604</f><v /></c><c r="AK605" s="53"><f>Z605</f><v /></c><c r="AL605" s="45" t="n" /><c r="AM605" s="333"><f>AM604</f><v /></c><c r="AN605" s="328"><f>AN604</f><v /></c><c r="AO605" s="11"><f>LEFT(AN605,2)</f><v /></c><c r="AP605" s="11"><f>RIGHT(AN605,6)</f><v /></c><c r="AQ605" s="11"><f>+(AO605*60+AP605)/(60*60)</f><v /></c><c r="AR605" s="14"><f>+AM605/AQ605</f><v /></c><c r="AS605" s="321"><f>+(((AL605-AK605-AM605)/AM605)*100)</f><v /></c><c r="AT605" s="43"><f>IF(I605&gt;=1,"NO CONFORME",IF(BK605="SIGDIFERENTES",BC605,BL605))</f><v /></c><c r="AU605" s="8"><f>B605=C605</f><v /></c><c r="AV605" s="8"><f>N605&lt;Y605</f><v /></c><c r="AW605" s="8"><f>Z605&lt;=AK605</f><v /></c><c r="AX605" s="8"><f>IF(I605&gt;=1,"Qcorrecto",IF(AND(AY605="aceptable",AZ605="aceptable",BA605="aceptable"),"Qcorrecto","Qincorrecto"))</f><v /></c><c r="AY605" s="22"><f>IF(AR605&lt;$AH$6,"error",IF(AR605&gt;$AH$6*1.1,"error","aceptable"))</f><v /></c><c r="AZ605" s="22"><f>IF(AF605&lt;$V$6,"error",IF(AF605&gt;$V$6*1.1,"error","aceptable"))</f><v /></c><c r="BA605" s="22"><f>IF(T605&lt;$J$6*0.9,"error",IF(T605&gt;$J$6,"error","aceptable"))</f><v /></c><c r="BB605" s="25"><f>(IF(ABS(U605)&lt;1.05,"CONFORME",IF(ABS(AG605)&lt;1.05,"CONFORME",IF(ABS(AS605)&lt;2.55,"CONFORME","NO CONFORME"))))</f><v /></c><c r="BC605" s="5"><f>(IF(ABS(U605)&gt;2.05,"NO CONFORME",IF(ABS(AG605)&gt;2.05,"NO CONFORME",IF(ABS(AS605)&gt;5.05,"NO CONFORME","CONFORME"))))</f><v /></c><c r="BD605" s="15"><f>SIGN(U605)</f><v /></c><c r="BE605" s="15"><f>SIGN(AG605)</f><v /></c><c r="BF605" s="15"><f>SIGN(AS605)</f><v /></c><c r="BG605" s="15"><f>CONCATENATE(BD605,BE605,BF605)</f><v /></c><c r="BH605" s="15"><f>IF(BG605="111","SI","SD")</f><v /></c><c r="BI605" s="15"><f>IF(BG605="-1-1-1","SI","SD")</f><v /></c><c r="BJ605" s="15"><f>OR(BH605="SI",BI605="SI")</f><v /></c><c r="BK605" s="15"><f>IF(BJ605=FALSE,"SIGDIFERENTES","SIGIGUALES")</f><v /></c><c r="BL605" s="22"><f>IF(BC605="NO CONFORME","NO CONFORME",IF(BB605="CONFORME","CONFORME","NO CONFORME"))</f><v /></c></row><row r="606" ht="15.75" customHeight="1" thickBot="1"><c r="A606" s="37" t="n"><v>598</v></c><c r="B606" s="324"><f>B605</f><v /></c><c r="C606" s="324"><f>C605</f><v /></c><c r="D606" s="94"><f>D605</f><v /></c><c r="E606" s="95"><f>E605</f><v /></c><c r="F606" s="13" t="n" /><c r="G606" s="300" t="n" /><c r="H606" s="326"><f>H605</f><v /></c><c r="I606" s="98"><f>I605</f><v /></c><c r="J606" s="327"><f>J605</f><v /></c><c r="K606" s="327"><f>K605</f><v /></c><c r="L606" s="327"><f>L605</f><v /></c><c r="M606" s="45" t="n" /><c r="N606" s="45" t="n" /><c r="O606" s="100"><f>O605</f><v /></c><c r="P606" s="328"><f>P605</f><v /></c><c r="Q606" s="11"><f>LEFT(P606,1)</f><v /></c><c r="R606" s="11"><f>RIGHT(P606,6)</f><v /></c><c r="S606" s="11"><f>+(Q606*60+R606)/(60*60)</f><v /></c><c r="T606" s="14"><f>+O606/S606</f><v /></c><c r="U606" s="316"><f>+(((N606-M606-O606)/O606)*100)</f><v /></c><c r="V606" s="329"><f>V605</f><v /></c><c r="W606" s="329"><f>W605</f><v /></c><c r="X606" s="330"><f>X605</f><v /></c><c r="Y606" s="45" t="n" /><c r="Z606" s="45" t="n" /><c r="AA606" s="331"><f>AA605</f><v /></c><c r="AB606" s="332"><f>AB605</f><v /></c><c r="AC606" s="11"><f>LEFT(AB606,2)</f><v /></c><c r="AD606" s="11"><f>RIGHT(AB606,6)</f><v /></c><c r="AE606" s="11"><f>+(AC606*60+AD606)/(60*60)</f><v /></c><c r="AF606" s="14"><f>+AA606/AE606</f><v /></c><c r="AG606" s="321"><f>+(((Z606-Y606-AA606)/AA606)*100)</f><v /></c><c r="AH606" s="329"><f>AH605</f><v /></c><c r="AI606" s="329"><f>AI605</f><v /></c><c r="AJ606" s="329"><f>AJ605</f><v /></c><c r="AK606" s="53"><f>Z606</f><v /></c><c r="AL606" s="45" t="n" /><c r="AM606" s="333"><f>AM605</f><v /></c><c r="AN606" s="328"><f>AN605</f><v /></c><c r="AO606" s="11"><f>LEFT(AN606,2)</f><v /></c><c r="AP606" s="11"><f>RIGHT(AN606,6)</f><v /></c><c r="AQ606" s="11"><f>+(AO606*60+AP606)/(60*60)</f><v /></c><c r="AR606" s="14"><f>+AM606/AQ606</f><v /></c><c r="AS606" s="321"><f>+(((AL606-AK606-AM606)/AM606)*100)</f><v /></c><c r="AT606" s="43"><f>IF(I606&gt;=1,"NO CONFORME",IF(BK606="SIGDIFERENTES",BC606,BL606))</f><v /></c><c r="AU606" s="8"><f>B606=C606</f><v /></c><c r="AV606" s="8"><f>N606&lt;Y606</f><v /></c><c r="AW606" s="8"><f>Z606&lt;=AK606</f><v /></c><c r="AX606" s="8"><f>IF(I606&gt;=1,"Qcorrecto",IF(AND(AY606="aceptable",AZ606="aceptable",BA606="aceptable"),"Qcorrecto","Qincorrecto"))</f><v /></c><c r="AY606" s="22"><f>IF(AR606&lt;$AH$6,"error",IF(AR606&gt;$AH$6*1.1,"error","aceptable"))</f><v /></c><c r="AZ606" s="22"><f>IF(AF606&lt;$V$6,"error",IF(AF606&gt;$V$6*1.1,"error","aceptable"))</f><v /></c><c r="BA606" s="22"><f>IF(T606&lt;$J$6*0.9,"error",IF(T606&gt;$J$6,"error","aceptable"))</f><v /></c><c r="BB606" s="25"><f>(IF(ABS(U606)&lt;1.05,"CONFORME",IF(ABS(AG606)&lt;1.05,"CONFORME",IF(ABS(AS606)&lt;2.55,"CONFORME","NO CONFORME"))))</f><v /></c><c r="BC606" s="5"><f>(IF(ABS(U606)&gt;2.05,"NO CONFORME",IF(ABS(AG606)&gt;2.05,"NO CONFORME",IF(ABS(AS606)&gt;5.05,"NO CONFORME","CONFORME"))))</f><v /></c><c r="BD606" s="15"><f>SIGN(U606)</f><v /></c><c r="BE606" s="15"><f>SIGN(AG606)</f><v /></c><c r="BF606" s="15"><f>SIGN(AS606)</f><v /></c><c r="BG606" s="15"><f>CONCATENATE(BD606,BE606,BF606)</f><v /></c><c r="BH606" s="15"><f>IF(BG606="111","SI","SD")</f><v /></c><c r="BI606" s="15"><f>IF(BG606="-1-1-1","SI","SD")</f><v /></c><c r="BJ606" s="15"><f>OR(BH606="SI",BI606="SI")</f><v /></c><c r="BK606" s="15"><f>IF(BJ606=FALSE,"SIGDIFERENTES","SIGIGUALES")</f><v /></c><c r="BL606" s="22"><f>IF(BC606="NO CONFORME","NO CONFORME",IF(BB606="CONFORME","CONFORME","NO CONFORME"))</f><v /></c></row><row r="607" ht="15.75" customHeight="1" thickBot="1"><c r="A607" s="37" t="n"><v>599</v></c><c r="B607" s="324"><f>B606</f><v /></c><c r="C607" s="324"><f>C606</f><v /></c><c r="D607" s="94"><f>D606</f><v /></c><c r="E607" s="95"><f>E606</f><v /></c><c r="F607" s="13" t="n" /><c r="G607" s="300" t="n" /><c r="H607" s="326"><f>H606</f><v /></c><c r="I607" s="98"><f>I606</f><v /></c><c r="J607" s="327"><f>J606</f><v /></c><c r="K607" s="327"><f>K606</f><v /></c><c r="L607" s="327"><f>L606</f><v /></c><c r="M607" s="45" t="n" /><c r="N607" s="45" t="n" /><c r="O607" s="100"><f>O606</f><v /></c><c r="P607" s="328"><f>P606</f><v /></c><c r="Q607" s="11"><f>LEFT(P607,1)</f><v /></c><c r="R607" s="11"><f>RIGHT(P607,6)</f><v /></c><c r="S607" s="11"><f>+(Q607*60+R607)/(60*60)</f><v /></c><c r="T607" s="14"><f>+O607/S607</f><v /></c><c r="U607" s="316"><f>+(((N607-M607-O607)/O607)*100)</f><v /></c><c r="V607" s="329"><f>V606</f><v /></c><c r="W607" s="329"><f>W606</f><v /></c><c r="X607" s="330"><f>X606</f><v /></c><c r="Y607" s="45" t="n" /><c r="Z607" s="45" t="n" /><c r="AA607" s="331"><f>AA606</f><v /></c><c r="AB607" s="332"><f>AB606</f><v /></c><c r="AC607" s="11"><f>LEFT(AB607,2)</f><v /></c><c r="AD607" s="11"><f>RIGHT(AB607,6)</f><v /></c><c r="AE607" s="11"><f>+(AC607*60+AD607)/(60*60)</f><v /></c><c r="AF607" s="14"><f>+AA607/AE607</f><v /></c><c r="AG607" s="321"><f>+(((Z607-Y607-AA607)/AA607)*100)</f><v /></c><c r="AH607" s="329"><f>AH606</f><v /></c><c r="AI607" s="329"><f>AI606</f><v /></c><c r="AJ607" s="329"><f>AJ606</f><v /></c><c r="AK607" s="53"><f>Z607</f><v /></c><c r="AL607" s="45" t="n" /><c r="AM607" s="333"><f>AM606</f><v /></c><c r="AN607" s="328"><f>AN606</f><v /></c><c r="AO607" s="11"><f>LEFT(AN607,2)</f><v /></c><c r="AP607" s="11"><f>RIGHT(AN607,6)</f><v /></c><c r="AQ607" s="11"><f>+(AO607*60+AP607)/(60*60)</f><v /></c><c r="AR607" s="14"><f>+AM607/AQ607</f><v /></c><c r="AS607" s="321"><f>+(((AL607-AK607-AM607)/AM607)*100)</f><v /></c><c r="AT607" s="43"><f>IF(I607&gt;=1,"NO CONFORME",IF(BK607="SIGDIFERENTES",BC607,BL607))</f><v /></c><c r="AU607" s="8"><f>B607=C607</f><v /></c><c r="AV607" s="8"><f>N607&lt;Y607</f><v /></c><c r="AW607" s="8"><f>Z607&lt;=AK607</f><v /></c><c r="AX607" s="8"><f>IF(I607&gt;=1,"Qcorrecto",IF(AND(AY607="aceptable",AZ607="aceptable",BA607="aceptable"),"Qcorrecto","Qincorrecto"))</f><v /></c><c r="AY607" s="22"><f>IF(AR607&lt;$AH$6,"error",IF(AR607&gt;$AH$6*1.1,"error","aceptable"))</f><v /></c><c r="AZ607" s="22"><f>IF(AF607&lt;$V$6,"error",IF(AF607&gt;$V$6*1.1,"error","aceptable"))</f><v /></c><c r="BA607" s="22"><f>IF(T607&lt;$J$6*0.9,"error",IF(T607&gt;$J$6,"error","aceptable"))</f><v /></c><c r="BB607" s="25"><f>(IF(ABS(U607)&lt;1.05,"CONFORME",IF(ABS(AG607)&lt;1.05,"CONFORME",IF(ABS(AS607)&lt;2.55,"CONFORME","NO CONFORME"))))</f><v /></c><c r="BC607" s="5"><f>(IF(ABS(U607)&gt;2.05,"NO CONFORME",IF(ABS(AG607)&gt;2.05,"NO CONFORME",IF(ABS(AS607)&gt;5.05,"NO CONFORME","CONFORME"))))</f><v /></c><c r="BD607" s="15"><f>SIGN(U607)</f><v /></c><c r="BE607" s="15"><f>SIGN(AG607)</f><v /></c><c r="BF607" s="15"><f>SIGN(AS607)</f><v /></c><c r="BG607" s="15"><f>CONCATENATE(BD607,BE607,BF607)</f><v /></c><c r="BH607" s="15"><f>IF(BG607="111","SI","SD")</f><v /></c><c r="BI607" s="15"><f>IF(BG607="-1-1-1","SI","SD")</f><v /></c><c r="BJ607" s="15"><f>OR(BH607="SI",BI607="SI")</f><v /></c><c r="BK607" s="15"><f>IF(BJ607=FALSE,"SIGDIFERENTES","SIGIGUALES")</f><v /></c><c r="BL607" s="22"><f>IF(BC607="NO CONFORME","NO CONFORME",IF(BB607="CONFORME","CONFORME","NO CONFORME"))</f><v /></c></row><row r="608" ht="15.75" customHeight="1" thickBot="1"><c r="A608" s="37" t="n"><v>600</v></c><c r="B608" s="324"><f>B607</f><v /></c><c r="C608" s="324"><f>C607</f><v /></c><c r="D608" s="94"><f>D607</f><v /></c><c r="E608" s="95"><f>E607</f><v /></c><c r="F608" s="52" t="n" /><c r="G608" s="337" t="n" /><c r="H608" s="326"><f>H607</f><v /></c><c r="I608" s="98"><f>I607</f><v /></c><c r="J608" s="327"><f>J607</f><v /></c><c r="K608" s="327"><f>K607</f><v /></c><c r="L608" s="327"><f>L607</f><v /></c><c r="M608" s="53" t="n" /><c r="N608" s="53" t="n" /><c r="O608" s="100"><f>O607</f><v /></c><c r="P608" s="328"><f>P607</f><v /></c><c r="Q608" s="11"><f>LEFT(P608,1)</f><v /></c><c r="R608" s="11"><f>RIGHT(P608,6)</f><v /></c><c r="S608" s="11"><f>+(Q608*60+R608)/(60*60)</f><v /></c><c r="T608" s="14"><f>+O608/S608</f><v /></c><c r="U608" s="316"><f>+(((N608-M608-O608)/O608)*100)</f><v /></c><c r="V608" s="329"><f>V607</f><v /></c><c r="W608" s="329"><f>W607</f><v /></c><c r="X608" s="330"><f>X607</f><v /></c><c r="Y608" s="53" t="n" /><c r="Z608" s="53" t="n" /><c r="AA608" s="331"><f>AA607</f><v /></c><c r="AB608" s="332"><f>AB607</f><v /></c><c r="AC608" s="11"><f>LEFT(AB608,2)</f><v /></c><c r="AD608" s="11"><f>RIGHT(AB608,6)</f><v /></c><c r="AE608" s="11"><f>+(AC608*60+AD608)/(60*60)</f><v /></c><c r="AF608" s="14"><f>+AA608/AE608</f><v /></c><c r="AG608" s="321"><f>+(((Z608-Y608-AA608)/AA608)*100)</f><v /></c><c r="AH608" s="329"><f>AH607</f><v /></c><c r="AI608" s="329"><f>AI607</f><v /></c><c r="AJ608" s="329"><f>AJ607</f><v /></c><c r="AK608" s="53"><f>Z608</f><v /></c><c r="AL608" s="53" t="n" /><c r="AM608" s="333"><f>AM607</f><v /></c><c r="AN608" s="328"><f>AN607</f><v /></c><c r="AO608" s="11"><f>LEFT(AN608,2)</f><v /></c><c r="AP608" s="11"><f>RIGHT(AN608,6)</f><v /></c><c r="AQ608" s="11"><f>+(AO608*60+AP608)/(60*60)</f><v /></c><c r="AR608" s="14"><f>+AM608/AQ608</f><v /></c><c r="AS608" s="321"><f>+(((AL608-AK608-AM608)/AM608)*100)</f><v /></c><c r="AT608" s="43"><f>IF(I608&gt;=1,"NO CONFORME",IF(BK608="SIGDIFERENTES",BC608,BL608))</f><v /></c><c r="AU608" s="8"><f>B608=C608</f><v /></c><c r="AV608" s="8"><f>N608&lt;Y608</f><v /></c><c r="AW608" s="8"><f>Z608&lt;=AK608</f><v /></c><c r="AX608" s="8"><f>IF(I608&gt;=1,"Qcorrecto",IF(AND(AY608="aceptable",AZ608="aceptable",BA608="aceptable"),"Qcorrecto","Qincorrecto"))</f><v /></c><c r="AY608" s="22"><f>IF(AR608&lt;$AH$6,"error",IF(AR608&gt;$AH$6*1.1,"error","aceptable"))</f><v /></c><c r="AZ608" s="22"><f>IF(AF608&lt;$V$6,"error",IF(AF608&gt;$V$6*1.1,"error","aceptable"))</f><v /></c><c r="BA608" s="22"><f>IF(T608&lt;$J$6*0.9,"error",IF(T608&gt;$J$6,"error","aceptable"))</f><v /></c><c r="BB608" s="25"><f>(IF(ABS(U608)&lt;1.05,"CONFORME",IF(ABS(AG608)&lt;1.05,"CONFORME",IF(ABS(AS608)&lt;2.55,"CONFORME","NO CONFORME"))))</f><v /></c><c r="BC608" s="5"><f>(IF(ABS(U608)&gt;2.05,"NO CONFORME",IF(ABS(AG608)&gt;2.05,"NO CONFORME",IF(ABS(AS608)&gt;5.05,"NO CONFORME","CONFORME"))))</f><v /></c><c r="BD608" s="15"><f>SIGN(U608)</f><v /></c><c r="BE608" s="15"><f>SIGN(AG608)</f><v /></c><c r="BF608" s="15"><f>SIGN(AS608)</f><v /></c><c r="BG608" s="15"><f>CONCATENATE(BD608,BE608,BF608)</f><v /></c><c r="BH608" s="15"><f>IF(BG608="111","SI","SD")</f><v /></c><c r="BI608" s="15"><f>IF(BG608="-1-1-1","SI","SD")</f><v /></c><c r="BJ608" s="15"><f>OR(BH608="SI",BI608="SI")</f><v /></c><c r="BK608" s="15"><f>IF(BJ608=FALSE,"SIGDIFERENTES","SIGIGUALES")</f><v /></c><c r="BL608" s="22"><f>IF(BC608="NO CONFORME","NO CONFORME",IF(BB608="CONFORME","CONFORME","NO CONFORME"))</f><v /></c></row><row r="609" ht="15.75" customHeight="1" thickBot="1"><c r="A609" s="37" t="n"><v>601</v></c><c r="B609" s="324"><f>B608</f><v /></c><c r="C609" s="324"><f>C608</f><v /></c><c r="D609" s="94"><f>D608</f><v /></c><c r="E609" s="95"><f>E608</f><v /></c><c r="F609" s="13" t="n" /><c r="G609" s="312" t="n" /><c r="H609" s="326"><f>H608</f><v /></c><c r="I609" s="98"><f>I608</f><v /></c><c r="J609" s="327"><f>J608</f><v /></c><c r="K609" s="327"><f>K608</f><v /></c><c r="L609" s="327"><f>L608</f><v /></c><c r="M609" s="45" t="n" /><c r="N609" s="45" t="n" /><c r="O609" s="100"><f>O608</f><v /></c><c r="P609" s="328"><f>P608</f><v /></c><c r="Q609" s="11"><f>LEFT(P609,1)</f><v /></c><c r="R609" s="11"><f>RIGHT(P609,6)</f><v /></c><c r="S609" s="11"><f>+(Q609*60+R609)/(60*60)</f><v /></c><c r="T609" s="14"><f>+O609/S609</f><v /></c><c r="U609" s="316"><f>+(((N609-M609-O609)/O609)*100)</f><v /></c><c r="V609" s="329"><f>V608</f><v /></c><c r="W609" s="329"><f>W608</f><v /></c><c r="X609" s="330"><f>X608</f><v /></c><c r="Y609" s="45" t="n" /><c r="Z609" s="45" t="n" /><c r="AA609" s="331"><f>AA608</f><v /></c><c r="AB609" s="332"><f>AB608</f><v /></c><c r="AC609" s="11"><f>LEFT(AB609,2)</f><v /></c><c r="AD609" s="11"><f>RIGHT(AB609,6)</f><v /></c><c r="AE609" s="11"><f>+(AC609*60+AD609)/(60*60)</f><v /></c><c r="AF609" s="14"><f>+AA609/AE609</f><v /></c><c r="AG609" s="321"><f>+(((Z609-Y609-AA609)/AA609)*100)</f><v /></c><c r="AH609" s="329"><f>AH608</f><v /></c><c r="AI609" s="329"><f>AI608</f><v /></c><c r="AJ609" s="329"><f>AJ608</f><v /></c><c r="AK609" s="53"><f>Z609</f><v /></c><c r="AL609" s="45" t="n" /><c r="AM609" s="333"><f>AM608</f><v /></c><c r="AN609" s="328"><f>AN608</f><v /></c><c r="AO609" s="11"><f>LEFT(AN609,2)</f><v /></c><c r="AP609" s="11"><f>RIGHT(AN609,6)</f><v /></c><c r="AQ609" s="11"><f>+(AO609*60+AP609)/(60*60)</f><v /></c><c r="AR609" s="14"><f>+AM609/AQ609</f><v /></c><c r="AS609" s="321"><f>+(((AL609-AK609-AM609)/AM609)*100)</f><v /></c><c r="AT609" s="43"><f>IF(I609&gt;=1,"NO CONFORME",IF(BK609="SIGDIFERENTES",BC609,BL609))</f><v /></c><c r="AU609" s="8"><f>B609=C609</f><v /></c><c r="AV609" s="8"><f>N609&lt;Y609</f><v /></c><c r="AW609" s="8"><f>Z609&lt;=AK609</f><v /></c><c r="AX609" s="8"><f>IF(I609&gt;=1,"Qcorrecto",IF(AND(AY609="aceptable",AZ609="aceptable",BA609="aceptable"),"Qcorrecto","Qincorrecto"))</f><v /></c><c r="AY609" s="22"><f>IF(AR609&lt;$AH$6,"error",IF(AR609&gt;$AH$6*1.1,"error","aceptable"))</f><v /></c><c r="AZ609" s="22"><f>IF(AF609&lt;$V$6,"error",IF(AF609&gt;$V$6*1.1,"error","aceptable"))</f><v /></c><c r="BA609" s="22"><f>IF(T609&lt;$J$6*0.9,"error",IF(T609&gt;$J$6,"error","aceptable"))</f><v /></c><c r="BB609" s="25"><f>(IF(ABS(U609)&lt;1.05,"CONFORME",IF(ABS(AG609)&lt;1.05,"CONFORME",IF(ABS(AS609)&lt;2.55,"CONFORME","NO CONFORME"))))</f><v /></c><c r="BC609" s="5"><f>(IF(ABS(U609)&gt;2.05,"NO CONFORME",IF(ABS(AG609)&gt;2.05,"NO CONFORME",IF(ABS(AS609)&gt;5.05,"NO CONFORME","CONFORME"))))</f><v /></c><c r="BD609" s="15"><f>SIGN(U609)</f><v /></c><c r="BE609" s="15"><f>SIGN(AG609)</f><v /></c><c r="BF609" s="15"><f>SIGN(AS609)</f><v /></c><c r="BG609" s="15"><f>CONCATENATE(BD609,BE609,BF609)</f><v /></c><c r="BH609" s="15"><f>IF(BG609="111","SI","SD")</f><v /></c><c r="BI609" s="15"><f>IF(BG609="-1-1-1","SI","SD")</f><v /></c><c r="BJ609" s="15"><f>OR(BH609="SI",BI609="SI")</f><v /></c><c r="BK609" s="15"><f>IF(BJ609=FALSE,"SIGDIFERENTES","SIGIGUALES")</f><v /></c><c r="BL609" s="22"><f>IF(BC609="NO CONFORME","NO CONFORME",IF(BB609="CONFORME","CONFORME","NO CONFORME"))</f><v /></c></row><row r="610" ht="15.75" customHeight="1" thickBot="1"><c r="A610" s="37" t="n"><v>602</v></c><c r="B610" s="324"><f>B609</f><v /></c><c r="C610" s="324"><f>C609</f><v /></c><c r="D610" s="94"><f>D609</f><v /></c><c r="E610" s="95"><f>E609</f><v /></c><c r="F610" s="13" t="n" /><c r="G610" s="312" t="n" /><c r="H610" s="326"><f>H609</f><v /></c><c r="I610" s="98"><f>I609</f><v /></c><c r="J610" s="327"><f>J609</f><v /></c><c r="K610" s="327"><f>K609</f><v /></c><c r="L610" s="327"><f>L609</f><v /></c><c r="M610" s="45" t="n" /><c r="N610" s="45" t="n" /><c r="O610" s="100"><f>O609</f><v /></c><c r="P610" s="328"><f>P609</f><v /></c><c r="Q610" s="11"><f>LEFT(P610,1)</f><v /></c><c r="R610" s="11"><f>RIGHT(P610,6)</f><v /></c><c r="S610" s="11"><f>+(Q610*60+R610)/(60*60)</f><v /></c><c r="T610" s="14"><f>+O610/S610</f><v /></c><c r="U610" s="316"><f>+(((N610-M610-O610)/O610)*100)</f><v /></c><c r="V610" s="329"><f>V609</f><v /></c><c r="W610" s="329"><f>W609</f><v /></c><c r="X610" s="330"><f>X609</f><v /></c><c r="Y610" s="45" t="n" /><c r="Z610" s="45" t="n" /><c r="AA610" s="331"><f>AA609</f><v /></c><c r="AB610" s="332"><f>AB609</f><v /></c><c r="AC610" s="11"><f>LEFT(AB610,2)</f><v /></c><c r="AD610" s="11"><f>RIGHT(AB610,6)</f><v /></c><c r="AE610" s="11"><f>+(AC610*60+AD610)/(60*60)</f><v /></c><c r="AF610" s="14"><f>+AA610/AE610</f><v /></c><c r="AG610" s="321"><f>+(((Z610-Y610-AA610)/AA610)*100)</f><v /></c><c r="AH610" s="329"><f>AH609</f><v /></c><c r="AI610" s="329"><f>AI609</f><v /></c><c r="AJ610" s="329"><f>AJ609</f><v /></c><c r="AK610" s="53"><f>Z610</f><v /></c><c r="AL610" s="45" t="n" /><c r="AM610" s="333"><f>AM609</f><v /></c><c r="AN610" s="328"><f>AN609</f><v /></c><c r="AO610" s="11"><f>LEFT(AN610,2)</f><v /></c><c r="AP610" s="11"><f>RIGHT(AN610,6)</f><v /></c><c r="AQ610" s="11"><f>+(AO610*60+AP610)/(60*60)</f><v /></c><c r="AR610" s="14"><f>+AM610/AQ610</f><v /></c><c r="AS610" s="321"><f>+(((AL610-AK610-AM610)/AM610)*100)</f><v /></c><c r="AT610" s="43"><f>IF(I610&gt;=1,"NO CONFORME",IF(BK610="SIGDIFERENTES",BC610,BL610))</f><v /></c><c r="AU610" s="8"><f>B610=C610</f><v /></c><c r="AV610" s="8"><f>N610&lt;Y610</f><v /></c><c r="AW610" s="8"><f>Z610&lt;=AK610</f><v /></c><c r="AX610" s="8"><f>IF(I610&gt;=1,"Qcorrecto",IF(AND(AY610="aceptable",AZ610="aceptable",BA610="aceptable"),"Qcorrecto","Qincorrecto"))</f><v /></c><c r="AY610" s="22"><f>IF(AR610&lt;$AH$6,"error",IF(AR610&gt;$AH$6*1.1,"error","aceptable"))</f><v /></c><c r="AZ610" s="22"><f>IF(AF610&lt;$V$6,"error",IF(AF610&gt;$V$6*1.1,"error","aceptable"))</f><v /></c><c r="BA610" s="22"><f>IF(T610&lt;$J$6*0.9,"error",IF(T610&gt;$J$6,"error","aceptable"))</f><v /></c><c r="BB610" s="25"><f>(IF(ABS(U610)&lt;1.05,"CONFORME",IF(ABS(AG610)&lt;1.05,"CONFORME",IF(ABS(AS610)&lt;2.55,"CONFORME","NO CONFORME"))))</f><v /></c><c r="BC610" s="5"><f>(IF(ABS(U610)&gt;2.05,"NO CONFORME",IF(ABS(AG610)&gt;2.05,"NO CONFORME",IF(ABS(AS610)&gt;5.05,"NO CONFORME","CONFORME"))))</f><v /></c><c r="BD610" s="15"><f>SIGN(U610)</f><v /></c><c r="BE610" s="15"><f>SIGN(AG610)</f><v /></c><c r="BF610" s="15"><f>SIGN(AS610)</f><v /></c><c r="BG610" s="15"><f>CONCATENATE(BD610,BE610,BF610)</f><v /></c><c r="BH610" s="15"><f>IF(BG610="111","SI","SD")</f><v /></c><c r="BI610" s="15"><f>IF(BG610="-1-1-1","SI","SD")</f><v /></c><c r="BJ610" s="15"><f>OR(BH610="SI",BI610="SI")</f><v /></c><c r="BK610" s="15"><f>IF(BJ610=FALSE,"SIGDIFERENTES","SIGIGUALES")</f><v /></c><c r="BL610" s="22"><f>IF(BC610="NO CONFORME","NO CONFORME",IF(BB610="CONFORME","CONFORME","NO CONFORME"))</f><v /></c></row><row r="611" ht="15.75" customHeight="1" thickBot="1"><c r="A611" s="37" t="n"><v>603</v></c><c r="B611" s="324"><f>B610</f><v /></c><c r="C611" s="324"><f>C610</f><v /></c><c r="D611" s="94"><f>D610</f><v /></c><c r="E611" s="95"><f>E610</f><v /></c><c r="F611" s="13" t="n" /><c r="G611" s="312" t="n" /><c r="H611" s="326"><f>H610</f><v /></c><c r="I611" s="98"><f>I610</f><v /></c><c r="J611" s="327"><f>J610</f><v /></c><c r="K611" s="327"><f>K610</f><v /></c><c r="L611" s="327"><f>L610</f><v /></c><c r="M611" s="45" t="n" /><c r="N611" s="45" t="n" /><c r="O611" s="100"><f>O610</f><v /></c><c r="P611" s="328"><f>P610</f><v /></c><c r="Q611" s="11"><f>LEFT(P611,1)</f><v /></c><c r="R611" s="11"><f>RIGHT(P611,6)</f><v /></c><c r="S611" s="11"><f>+(Q611*60+R611)/(60*60)</f><v /></c><c r="T611" s="14"><f>+O611/S611</f><v /></c><c r="U611" s="316"><f>+(((N611-M611-O611)/O611)*100)</f><v /></c><c r="V611" s="329"><f>V610</f><v /></c><c r="W611" s="329"><f>W610</f><v /></c><c r="X611" s="330"><f>X610</f><v /></c><c r="Y611" s="45" t="n" /><c r="Z611" s="45" t="n" /><c r="AA611" s="331"><f>AA610</f><v /></c><c r="AB611" s="332"><f>AB610</f><v /></c><c r="AC611" s="11"><f>LEFT(AB611,2)</f><v /></c><c r="AD611" s="11"><f>RIGHT(AB611,6)</f><v /></c><c r="AE611" s="11"><f>+(AC611*60+AD611)/(60*60)</f><v /></c><c r="AF611" s="14"><f>+AA611/AE611</f><v /></c><c r="AG611" s="321"><f>+(((Z611-Y611-AA611)/AA611)*100)</f><v /></c><c r="AH611" s="329"><f>AH610</f><v /></c><c r="AI611" s="329"><f>AI610</f><v /></c><c r="AJ611" s="329"><f>AJ610</f><v /></c><c r="AK611" s="53"><f>Z611</f><v /></c><c r="AL611" s="45" t="n" /><c r="AM611" s="333"><f>AM610</f><v /></c><c r="AN611" s="328"><f>AN610</f><v /></c><c r="AO611" s="11"><f>LEFT(AN611,2)</f><v /></c><c r="AP611" s="11"><f>RIGHT(AN611,6)</f><v /></c><c r="AQ611" s="11"><f>+(AO611*60+AP611)/(60*60)</f><v /></c><c r="AR611" s="14"><f>+AM611/AQ611</f><v /></c><c r="AS611" s="321"><f>+(((AL611-AK611-AM611)/AM611)*100)</f><v /></c><c r="AT611" s="43"><f>IF(I611&gt;=1,"NO CONFORME",IF(BK611="SIGDIFERENTES",BC611,BL611))</f><v /></c><c r="AU611" s="8"><f>B611=C611</f><v /></c><c r="AV611" s="8"><f>N611&lt;Y611</f><v /></c><c r="AW611" s="8"><f>Z611&lt;=AK611</f><v /></c><c r="AX611" s="8"><f>IF(I611&gt;=1,"Qcorrecto",IF(AND(AY611="aceptable",AZ611="aceptable",BA611="aceptable"),"Qcorrecto","Qincorrecto"))</f><v /></c><c r="AY611" s="22"><f>IF(AR611&lt;$AH$6,"error",IF(AR611&gt;$AH$6*1.1,"error","aceptable"))</f><v /></c><c r="AZ611" s="22"><f>IF(AF611&lt;$V$6,"error",IF(AF611&gt;$V$6*1.1,"error","aceptable"))</f><v /></c><c r="BA611" s="22"><f>IF(T611&lt;$J$6*0.9,"error",IF(T611&gt;$J$6,"error","aceptable"))</f><v /></c><c r="BB611" s="25"><f>(IF(ABS(U611)&lt;1.05,"CONFORME",IF(ABS(AG611)&lt;1.05,"CONFORME",IF(ABS(AS611)&lt;2.55,"CONFORME","NO CONFORME"))))</f><v /></c><c r="BC611" s="5"><f>(IF(ABS(U611)&gt;2.05,"NO CONFORME",IF(ABS(AG611)&gt;2.05,"NO CONFORME",IF(ABS(AS611)&gt;5.05,"NO CONFORME","CONFORME"))))</f><v /></c><c r="BD611" s="15"><f>SIGN(U611)</f><v /></c><c r="BE611" s="15"><f>SIGN(AG611)</f><v /></c><c r="BF611" s="15"><f>SIGN(AS611)</f><v /></c><c r="BG611" s="15"><f>CONCATENATE(BD611,BE611,BF611)</f><v /></c><c r="BH611" s="15"><f>IF(BG611="111","SI","SD")</f><v /></c><c r="BI611" s="15"><f>IF(BG611="-1-1-1","SI","SD")</f><v /></c><c r="BJ611" s="15"><f>OR(BH611="SI",BI611="SI")</f><v /></c><c r="BK611" s="15"><f>IF(BJ611=FALSE,"SIGDIFERENTES","SIGIGUALES")</f><v /></c><c r="BL611" s="22"><f>IF(BC611="NO CONFORME","NO CONFORME",IF(BB611="CONFORME","CONFORME","NO CONFORME"))</f><v /></c></row><row r="612" ht="15.75" customHeight="1" thickBot="1"><c r="A612" s="37" t="n"><v>604</v></c><c r="B612" s="324"><f>B611</f><v /></c><c r="C612" s="324"><f>C611</f><v /></c><c r="D612" s="94"><f>D611</f><v /></c><c r="E612" s="95"><f>E611</f><v /></c><c r="F612" s="13" t="n" /><c r="G612" s="312" t="n" /><c r="H612" s="326"><f>H611</f><v /></c><c r="I612" s="98"><f>I611</f><v /></c><c r="J612" s="327"><f>J611</f><v /></c><c r="K612" s="327"><f>K611</f><v /></c><c r="L612" s="327"><f>L611</f><v /></c><c r="M612" s="45" t="n" /><c r="N612" s="45" t="n" /><c r="O612" s="100"><f>O611</f><v /></c><c r="P612" s="328"><f>P611</f><v /></c><c r="Q612" s="11"><f>LEFT(P612,1)</f><v /></c><c r="R612" s="11"><f>RIGHT(P612,6)</f><v /></c><c r="S612" s="11"><f>+(Q612*60+R612)/(60*60)</f><v /></c><c r="T612" s="14"><f>+O612/S612</f><v /></c><c r="U612" s="316"><f>+(((N612-M612-O612)/O612)*100)</f><v /></c><c r="V612" s="329"><f>V611</f><v /></c><c r="W612" s="329"><f>W611</f><v /></c><c r="X612" s="330"><f>X611</f><v /></c><c r="Y612" s="45" t="n" /><c r="Z612" s="45" t="n" /><c r="AA612" s="331"><f>AA611</f><v /></c><c r="AB612" s="332"><f>AB611</f><v /></c><c r="AC612" s="11"><f>LEFT(AB612,2)</f><v /></c><c r="AD612" s="11"><f>RIGHT(AB612,6)</f><v /></c><c r="AE612" s="11"><f>+(AC612*60+AD612)/(60*60)</f><v /></c><c r="AF612" s="14"><f>+AA612/AE612</f><v /></c><c r="AG612" s="321"><f>+(((Z612-Y612-AA612)/AA612)*100)</f><v /></c><c r="AH612" s="329"><f>AH611</f><v /></c><c r="AI612" s="329"><f>AI611</f><v /></c><c r="AJ612" s="329"><f>AJ611</f><v /></c><c r="AK612" s="53"><f>Z612</f><v /></c><c r="AL612" s="45" t="n" /><c r="AM612" s="333"><f>AM611</f><v /></c><c r="AN612" s="328"><f>AN611</f><v /></c><c r="AO612" s="11"><f>LEFT(AN612,2)</f><v /></c><c r="AP612" s="11"><f>RIGHT(AN612,6)</f><v /></c><c r="AQ612" s="11"><f>+(AO612*60+AP612)/(60*60)</f><v /></c><c r="AR612" s="14"><f>+AM612/AQ612</f><v /></c><c r="AS612" s="321"><f>+(((AL612-AK612-AM612)/AM612)*100)</f><v /></c><c r="AT612" s="43"><f>IF(I612&gt;=1,"NO CONFORME",IF(BK612="SIGDIFERENTES",BC612,BL612))</f><v /></c><c r="AU612" s="8"><f>B612=C612</f><v /></c><c r="AV612" s="8"><f>N612&lt;Y612</f><v /></c><c r="AW612" s="8"><f>Z612&lt;=AK612</f><v /></c><c r="AX612" s="8"><f>IF(I612&gt;=1,"Qcorrecto",IF(AND(AY612="aceptable",AZ612="aceptable",BA612="aceptable"),"Qcorrecto","Qincorrecto"))</f><v /></c><c r="AY612" s="22"><f>IF(AR612&lt;$AH$6,"error",IF(AR612&gt;$AH$6*1.1,"error","aceptable"))</f><v /></c><c r="AZ612" s="22"><f>IF(AF612&lt;$V$6,"error",IF(AF612&gt;$V$6*1.1,"error","aceptable"))</f><v /></c><c r="BA612" s="22"><f>IF(T612&lt;$J$6*0.9,"error",IF(T612&gt;$J$6,"error","aceptable"))</f><v /></c><c r="BB612" s="25"><f>(IF(ABS(U612)&lt;1.05,"CONFORME",IF(ABS(AG612)&lt;1.05,"CONFORME",IF(ABS(AS612)&lt;2.55,"CONFORME","NO CONFORME"))))</f><v /></c><c r="BC612" s="5"><f>(IF(ABS(U612)&gt;2.05,"NO CONFORME",IF(ABS(AG612)&gt;2.05,"NO CONFORME",IF(ABS(AS612)&gt;5.05,"NO CONFORME","CONFORME"))))</f><v /></c><c r="BD612" s="15"><f>SIGN(U612)</f><v /></c><c r="BE612" s="15"><f>SIGN(AG612)</f><v /></c><c r="BF612" s="15"><f>SIGN(AS612)</f><v /></c><c r="BG612" s="15"><f>CONCATENATE(BD612,BE612,BF612)</f><v /></c><c r="BH612" s="15"><f>IF(BG612="111","SI","SD")</f><v /></c><c r="BI612" s="15"><f>IF(BG612="-1-1-1","SI","SD")</f><v /></c><c r="BJ612" s="15"><f>OR(BH612="SI",BI612="SI")</f><v /></c><c r="BK612" s="15"><f>IF(BJ612=FALSE,"SIGDIFERENTES","SIGIGUALES")</f><v /></c><c r="BL612" s="22"><f>IF(BC612="NO CONFORME","NO CONFORME",IF(BB612="CONFORME","CONFORME","NO CONFORME"))</f><v /></c></row><row r="613" ht="15.75" customHeight="1" thickBot="1"><c r="A613" s="37" t="n"><v>605</v></c><c r="B613" s="324"><f>B612</f><v /></c><c r="C613" s="324"><f>C612</f><v /></c><c r="D613" s="94"><f>D612</f><v /></c><c r="E613" s="95"><f>E612</f><v /></c><c r="F613" s="13" t="n" /><c r="G613" s="312" t="n" /><c r="H613" s="326"><f>H612</f><v /></c><c r="I613" s="98"><f>I612</f><v /></c><c r="J613" s="327"><f>J612</f><v /></c><c r="K613" s="327"><f>K612</f><v /></c><c r="L613" s="327"><f>L612</f><v /></c><c r="M613" s="45" t="n" /><c r="N613" s="45" t="n" /><c r="O613" s="100"><f>O612</f><v /></c><c r="P613" s="328"><f>P612</f><v /></c><c r="Q613" s="11"><f>LEFT(P613,1)</f><v /></c><c r="R613" s="11"><f>RIGHT(P613,6)</f><v /></c><c r="S613" s="11"><f>+(Q613*60+R613)/(60*60)</f><v /></c><c r="T613" s="14"><f>+O613/S613</f><v /></c><c r="U613" s="316"><f>+(((N613-M613-O613)/O613)*100)</f><v /></c><c r="V613" s="329"><f>V612</f><v /></c><c r="W613" s="329"><f>W612</f><v /></c><c r="X613" s="330"><f>X612</f><v /></c><c r="Y613" s="45" t="n" /><c r="Z613" s="45" t="n" /><c r="AA613" s="331"><f>AA612</f><v /></c><c r="AB613" s="332"><f>AB612</f><v /></c><c r="AC613" s="11"><f>LEFT(AB613,2)</f><v /></c><c r="AD613" s="11"><f>RIGHT(AB613,6)</f><v /></c><c r="AE613" s="11"><f>+(AC613*60+AD613)/(60*60)</f><v /></c><c r="AF613" s="14"><f>+AA613/AE613</f><v /></c><c r="AG613" s="321"><f>+(((Z613-Y613-AA613)/AA613)*100)</f><v /></c><c r="AH613" s="329"><f>AH612</f><v /></c><c r="AI613" s="329"><f>AI612</f><v /></c><c r="AJ613" s="329"><f>AJ612</f><v /></c><c r="AK613" s="53"><f>Z613</f><v /></c><c r="AL613" s="45" t="n" /><c r="AM613" s="333"><f>AM612</f><v /></c><c r="AN613" s="328"><f>AN612</f><v /></c><c r="AO613" s="11"><f>LEFT(AN613,2)</f><v /></c><c r="AP613" s="11"><f>RIGHT(AN613,6)</f><v /></c><c r="AQ613" s="11"><f>+(AO613*60+AP613)/(60*60)</f><v /></c><c r="AR613" s="14"><f>+AM613/AQ613</f><v /></c><c r="AS613" s="321"><f>+(((AL613-AK613-AM613)/AM613)*100)</f><v /></c><c r="AT613" s="43"><f>IF(I613&gt;=1,"NO CONFORME",IF(BK613="SIGDIFERENTES",BC613,BL613))</f><v /></c><c r="AU613" s="8"><f>B613=C613</f><v /></c><c r="AV613" s="8"><f>N613&lt;Y613</f><v /></c><c r="AW613" s="8"><f>Z613&lt;=AK613</f><v /></c><c r="AX613" s="8"><f>IF(I613&gt;=1,"Qcorrecto",IF(AND(AY613="aceptable",AZ613="aceptable",BA613="aceptable"),"Qcorrecto","Qincorrecto"))</f><v /></c><c r="AY613" s="22"><f>IF(AR613&lt;$AH$6,"error",IF(AR613&gt;$AH$6*1.1,"error","aceptable"))</f><v /></c><c r="AZ613" s="22"><f>IF(AF613&lt;$V$6,"error",IF(AF613&gt;$V$6*1.1,"error","aceptable"))</f><v /></c><c r="BA613" s="22"><f>IF(T613&lt;$J$6*0.9,"error",IF(T613&gt;$J$6,"error","aceptable"))</f><v /></c><c r="BB613" s="25"><f>(IF(ABS(U613)&lt;1.05,"CONFORME",IF(ABS(AG613)&lt;1.05,"CONFORME",IF(ABS(AS613)&lt;2.55,"CONFORME","NO CONFORME"))))</f><v /></c><c r="BC613" s="5"><f>(IF(ABS(U613)&gt;2.05,"NO CONFORME",IF(ABS(AG613)&gt;2.05,"NO CONFORME",IF(ABS(AS613)&gt;5.05,"NO CONFORME","CONFORME"))))</f><v /></c><c r="BD613" s="15"><f>SIGN(U613)</f><v /></c><c r="BE613" s="15"><f>SIGN(AG613)</f><v /></c><c r="BF613" s="15"><f>SIGN(AS613)</f><v /></c><c r="BG613" s="15"><f>CONCATENATE(BD613,BE613,BF613)</f><v /></c><c r="BH613" s="15"><f>IF(BG613="111","SI","SD")</f><v /></c><c r="BI613" s="15"><f>IF(BG613="-1-1-1","SI","SD")</f><v /></c><c r="BJ613" s="15"><f>OR(BH613="SI",BI613="SI")</f><v /></c><c r="BK613" s="15"><f>IF(BJ613=FALSE,"SIGDIFERENTES","SIGIGUALES")</f><v /></c><c r="BL613" s="22"><f>IF(BC613="NO CONFORME","NO CONFORME",IF(BB613="CONFORME","CONFORME","NO CONFORME"))</f><v /></c></row><row r="614" ht="15.75" customHeight="1" thickBot="1"><c r="A614" s="37" t="n"><v>606</v></c><c r="B614" s="324"><f>B613</f><v /></c><c r="C614" s="324"><f>C613</f><v /></c><c r="D614" s="94"><f>D613</f><v /></c><c r="E614" s="95"><f>E613</f><v /></c><c r="F614" s="13" t="n" /><c r="G614" s="312" t="n" /><c r="H614" s="326"><f>H613</f><v /></c><c r="I614" s="98"><f>I613</f><v /></c><c r="J614" s="327"><f>J613</f><v /></c><c r="K614" s="327"><f>K613</f><v /></c><c r="L614" s="327"><f>L613</f><v /></c><c r="M614" s="45" t="n" /><c r="N614" s="45" t="n" /><c r="O614" s="100"><f>O613</f><v /></c><c r="P614" s="328"><f>P613</f><v /></c><c r="Q614" s="11"><f>LEFT(P614,1)</f><v /></c><c r="R614" s="11"><f>RIGHT(P614,6)</f><v /></c><c r="S614" s="11"><f>+(Q614*60+R614)/(60*60)</f><v /></c><c r="T614" s="14"><f>+O614/S614</f><v /></c><c r="U614" s="316"><f>+(((N614-M614-O614)/O614)*100)</f><v /></c><c r="V614" s="329"><f>V613</f><v /></c><c r="W614" s="329"><f>W613</f><v /></c><c r="X614" s="330"><f>X613</f><v /></c><c r="Y614" s="45" t="n" /><c r="Z614" s="45" t="n" /><c r="AA614" s="331"><f>AA613</f><v /></c><c r="AB614" s="332"><f>AB613</f><v /></c><c r="AC614" s="11"><f>LEFT(AB614,2)</f><v /></c><c r="AD614" s="11"><f>RIGHT(AB614,6)</f><v /></c><c r="AE614" s="11"><f>+(AC614*60+AD614)/(60*60)</f><v /></c><c r="AF614" s="14"><f>+AA614/AE614</f><v /></c><c r="AG614" s="321"><f>+(((Z614-Y614-AA614)/AA614)*100)</f><v /></c><c r="AH614" s="329"><f>AH613</f><v /></c><c r="AI614" s="329"><f>AI613</f><v /></c><c r="AJ614" s="329"><f>AJ613</f><v /></c><c r="AK614" s="53"><f>Z614</f><v /></c><c r="AL614" s="45" t="n" /><c r="AM614" s="333"><f>AM613</f><v /></c><c r="AN614" s="328"><f>AN613</f><v /></c><c r="AO614" s="11"><f>LEFT(AN614,2)</f><v /></c><c r="AP614" s="11"><f>RIGHT(AN614,6)</f><v /></c><c r="AQ614" s="11"><f>+(AO614*60+AP614)/(60*60)</f><v /></c><c r="AR614" s="14"><f>+AM614/AQ614</f><v /></c><c r="AS614" s="321"><f>+(((AL614-AK614-AM614)/AM614)*100)</f><v /></c><c r="AT614" s="43"><f>IF(I614&gt;=1,"NO CONFORME",IF(BK614="SIGDIFERENTES",BC614,BL614))</f><v /></c><c r="AU614" s="8"><f>B614=C614</f><v /></c><c r="AV614" s="8"><f>N614&lt;Y614</f><v /></c><c r="AW614" s="8"><f>Z614&lt;=AK614</f><v /></c><c r="AX614" s="8"><f>IF(I614&gt;=1,"Qcorrecto",IF(AND(AY614="aceptable",AZ614="aceptable",BA614="aceptable"),"Qcorrecto","Qincorrecto"))</f><v /></c><c r="AY614" s="22"><f>IF(AR614&lt;$AH$6,"error",IF(AR614&gt;$AH$6*1.1,"error","aceptable"))</f><v /></c><c r="AZ614" s="22"><f>IF(AF614&lt;$V$6,"error",IF(AF614&gt;$V$6*1.1,"error","aceptable"))</f><v /></c><c r="BA614" s="22"><f>IF(T614&lt;$J$6*0.9,"error",IF(T614&gt;$J$6,"error","aceptable"))</f><v /></c><c r="BB614" s="25"><f>(IF(ABS(U614)&lt;1.05,"CONFORME",IF(ABS(AG614)&lt;1.05,"CONFORME",IF(ABS(AS614)&lt;2.55,"CONFORME","NO CONFORME"))))</f><v /></c><c r="BC614" s="5"><f>(IF(ABS(U614)&gt;2.05,"NO CONFORME",IF(ABS(AG614)&gt;2.05,"NO CONFORME",IF(ABS(AS614)&gt;5.05,"NO CONFORME","CONFORME"))))</f><v /></c><c r="BD614" s="15"><f>SIGN(U614)</f><v /></c><c r="BE614" s="15"><f>SIGN(AG614)</f><v /></c><c r="BF614" s="15"><f>SIGN(AS614)</f><v /></c><c r="BG614" s="15"><f>CONCATENATE(BD614,BE614,BF614)</f><v /></c><c r="BH614" s="15"><f>IF(BG614="111","SI","SD")</f><v /></c><c r="BI614" s="15"><f>IF(BG614="-1-1-1","SI","SD")</f><v /></c><c r="BJ614" s="15"><f>OR(BH614="SI",BI614="SI")</f><v /></c><c r="BK614" s="15"><f>IF(BJ614=FALSE,"SIGDIFERENTES","SIGIGUALES")</f><v /></c><c r="BL614" s="22"><f>IF(BC614="NO CONFORME","NO CONFORME",IF(BB614="CONFORME","CONFORME","NO CONFORME"))</f><v /></c></row><row r="615" ht="15.75" customHeight="1" thickBot="1"><c r="A615" s="37" t="n"><v>607</v></c><c r="B615" s="324"><f>B614</f><v /></c><c r="C615" s="324"><f>C614</f><v /></c><c r="D615" s="94"><f>D614</f><v /></c><c r="E615" s="95"><f>E614</f><v /></c><c r="F615" s="13" t="n" /><c r="G615" s="312" t="n" /><c r="H615" s="326"><f>H614</f><v /></c><c r="I615" s="98"><f>I614</f><v /></c><c r="J615" s="327"><f>J614</f><v /></c><c r="K615" s="327"><f>K614</f><v /></c><c r="L615" s="327"><f>L614</f><v /></c><c r="M615" s="45" t="n" /><c r="N615" s="45" t="n" /><c r="O615" s="100"><f>O614</f><v /></c><c r="P615" s="328"><f>P614</f><v /></c><c r="Q615" s="11"><f>LEFT(P615,1)</f><v /></c><c r="R615" s="11"><f>RIGHT(P615,6)</f><v /></c><c r="S615" s="11"><f>+(Q615*60+R615)/(60*60)</f><v /></c><c r="T615" s="14"><f>+O615/S615</f><v /></c><c r="U615" s="316"><f>+(((N615-M615-O615)/O615)*100)</f><v /></c><c r="V615" s="329"><f>V614</f><v /></c><c r="W615" s="329"><f>W614</f><v /></c><c r="X615" s="330"><f>X614</f><v /></c><c r="Y615" s="45" t="n" /><c r="Z615" s="45" t="n" /><c r="AA615" s="331"><f>AA614</f><v /></c><c r="AB615" s="332"><f>AB614</f><v /></c><c r="AC615" s="11"><f>LEFT(AB615,2)</f><v /></c><c r="AD615" s="11"><f>RIGHT(AB615,6)</f><v /></c><c r="AE615" s="11"><f>+(AC615*60+AD615)/(60*60)</f><v /></c><c r="AF615" s="14"><f>+AA615/AE615</f><v /></c><c r="AG615" s="321"><f>+(((Z615-Y615-AA615)/AA615)*100)</f><v /></c><c r="AH615" s="329"><f>AH614</f><v /></c><c r="AI615" s="329"><f>AI614</f><v /></c><c r="AJ615" s="329"><f>AJ614</f><v /></c><c r="AK615" s="53"><f>Z615</f><v /></c><c r="AL615" s="45" t="n" /><c r="AM615" s="333"><f>AM614</f><v /></c><c r="AN615" s="328"><f>AN614</f><v /></c><c r="AO615" s="11"><f>LEFT(AN615,2)</f><v /></c><c r="AP615" s="11"><f>RIGHT(AN615,6)</f><v /></c><c r="AQ615" s="11"><f>+(AO615*60+AP615)/(60*60)</f><v /></c><c r="AR615" s="14"><f>+AM615/AQ615</f><v /></c><c r="AS615" s="321"><f>+(((AL615-AK615-AM615)/AM615)*100)</f><v /></c><c r="AT615" s="43"><f>IF(I615&gt;=1,"NO CONFORME",IF(BK615="SIGDIFERENTES",BC615,BL615))</f><v /></c><c r="AU615" s="8"><f>B615=C615</f><v /></c><c r="AV615" s="8"><f>N615&lt;Y615</f><v /></c><c r="AW615" s="8"><f>Z615&lt;=AK615</f><v /></c><c r="AX615" s="8"><f>IF(I615&gt;=1,"Qcorrecto",IF(AND(AY615="aceptable",AZ615="aceptable",BA615="aceptable"),"Qcorrecto","Qincorrecto"))</f><v /></c><c r="AY615" s="22"><f>IF(AR615&lt;$AH$6,"error",IF(AR615&gt;$AH$6*1.1,"error","aceptable"))</f><v /></c><c r="AZ615" s="22"><f>IF(AF615&lt;$V$6,"error",IF(AF615&gt;$V$6*1.1,"error","aceptable"))</f><v /></c><c r="BA615" s="22"><f>IF(T615&lt;$J$6*0.9,"error",IF(T615&gt;$J$6,"error","aceptable"))</f><v /></c><c r="BB615" s="25"><f>(IF(ABS(U615)&lt;1.05,"CONFORME",IF(ABS(AG615)&lt;1.05,"CONFORME",IF(ABS(AS615)&lt;2.55,"CONFORME","NO CONFORME"))))</f><v /></c><c r="BC615" s="5"><f>(IF(ABS(U615)&gt;2.05,"NO CONFORME",IF(ABS(AG615)&gt;2.05,"NO CONFORME",IF(ABS(AS615)&gt;5.05,"NO CONFORME","CONFORME"))))</f><v /></c><c r="BD615" s="15"><f>SIGN(U615)</f><v /></c><c r="BE615" s="15"><f>SIGN(AG615)</f><v /></c><c r="BF615" s="15"><f>SIGN(AS615)</f><v /></c><c r="BG615" s="15"><f>CONCATENATE(BD615,BE615,BF615)</f><v /></c><c r="BH615" s="15"><f>IF(BG615="111","SI","SD")</f><v /></c><c r="BI615" s="15"><f>IF(BG615="-1-1-1","SI","SD")</f><v /></c><c r="BJ615" s="15"><f>OR(BH615="SI",BI615="SI")</f><v /></c><c r="BK615" s="15"><f>IF(BJ615=FALSE,"SIGDIFERENTES","SIGIGUALES")</f><v /></c><c r="BL615" s="22"><f>IF(BC615="NO CONFORME","NO CONFORME",IF(BB615="CONFORME","CONFORME","NO CONFORME"))</f><v /></c></row><row r="616" ht="15.75" customHeight="1" thickBot="1"><c r="A616" s="37" t="n"><v>608</v></c><c r="B616" s="324"><f>B615</f><v /></c><c r="C616" s="324"><f>C615</f><v /></c><c r="D616" s="94"><f>D615</f><v /></c><c r="E616" s="95"><f>E615</f><v /></c><c r="F616" s="13" t="n" /><c r="G616" s="312" t="n" /><c r="H616" s="326"><f>H615</f><v /></c><c r="I616" s="98"><f>I615</f><v /></c><c r="J616" s="327"><f>J615</f><v /></c><c r="K616" s="327"><f>K615</f><v /></c><c r="L616" s="327"><f>L615</f><v /></c><c r="M616" s="45" t="n" /><c r="N616" s="45" t="n" /><c r="O616" s="100"><f>O615</f><v /></c><c r="P616" s="328"><f>P615</f><v /></c><c r="Q616" s="11"><f>LEFT(P616,1)</f><v /></c><c r="R616" s="11"><f>RIGHT(P616,6)</f><v /></c><c r="S616" s="11"><f>+(Q616*60+R616)/(60*60)</f><v /></c><c r="T616" s="14"><f>+O616/S616</f><v /></c><c r="U616" s="316"><f>+(((N616-M616-O616)/O616)*100)</f><v /></c><c r="V616" s="329"><f>V615</f><v /></c><c r="W616" s="329"><f>W615</f><v /></c><c r="X616" s="330"><f>X615</f><v /></c><c r="Y616" s="45" t="n" /><c r="Z616" s="45" t="n" /><c r="AA616" s="331"><f>AA615</f><v /></c><c r="AB616" s="332"><f>AB615</f><v /></c><c r="AC616" s="11"><f>LEFT(AB616,2)</f><v /></c><c r="AD616" s="11"><f>RIGHT(AB616,6)</f><v /></c><c r="AE616" s="11"><f>+(AC616*60+AD616)/(60*60)</f><v /></c><c r="AF616" s="14"><f>+AA616/AE616</f><v /></c><c r="AG616" s="321"><f>+(((Z616-Y616-AA616)/AA616)*100)</f><v /></c><c r="AH616" s="329"><f>AH615</f><v /></c><c r="AI616" s="329"><f>AI615</f><v /></c><c r="AJ616" s="329"><f>AJ615</f><v /></c><c r="AK616" s="53"><f>Z616</f><v /></c><c r="AL616" s="45" t="n" /><c r="AM616" s="333"><f>AM615</f><v /></c><c r="AN616" s="328"><f>AN615</f><v /></c><c r="AO616" s="11"><f>LEFT(AN616,2)</f><v /></c><c r="AP616" s="11"><f>RIGHT(AN616,6)</f><v /></c><c r="AQ616" s="11"><f>+(AO616*60+AP616)/(60*60)</f><v /></c><c r="AR616" s="14"><f>+AM616/AQ616</f><v /></c><c r="AS616" s="321"><f>+(((AL616-AK616-AM616)/AM616)*100)</f><v /></c><c r="AT616" s="43"><f>IF(I616&gt;=1,"NO CONFORME",IF(BK616="SIGDIFERENTES",BC616,BL616))</f><v /></c><c r="AU616" s="8"><f>B616=C616</f><v /></c><c r="AV616" s="8"><f>N616&lt;Y616</f><v /></c><c r="AW616" s="8"><f>Z616&lt;=AK616</f><v /></c><c r="AX616" s="8"><f>IF(I616&gt;=1,"Qcorrecto",IF(AND(AY616="aceptable",AZ616="aceptable",BA616="aceptable"),"Qcorrecto","Qincorrecto"))</f><v /></c><c r="AY616" s="22"><f>IF(AR616&lt;$AH$6,"error",IF(AR616&gt;$AH$6*1.1,"error","aceptable"))</f><v /></c><c r="AZ616" s="22"><f>IF(AF616&lt;$V$6,"error",IF(AF616&gt;$V$6*1.1,"error","aceptable"))</f><v /></c><c r="BA616" s="22"><f>IF(T616&lt;$J$6*0.9,"error",IF(T616&gt;$J$6,"error","aceptable"))</f><v /></c><c r="BB616" s="25"><f>(IF(ABS(U616)&lt;1.05,"CONFORME",IF(ABS(AG616)&lt;1.05,"CONFORME",IF(ABS(AS616)&lt;2.55,"CONFORME","NO CONFORME"))))</f><v /></c><c r="BC616" s="5"><f>(IF(ABS(U616)&gt;2.05,"NO CONFORME",IF(ABS(AG616)&gt;2.05,"NO CONFORME",IF(ABS(AS616)&gt;5.05,"NO CONFORME","CONFORME"))))</f><v /></c><c r="BD616" s="15"><f>SIGN(U616)</f><v /></c><c r="BE616" s="15"><f>SIGN(AG616)</f><v /></c><c r="BF616" s="15"><f>SIGN(AS616)</f><v /></c><c r="BG616" s="15"><f>CONCATENATE(BD616,BE616,BF616)</f><v /></c><c r="BH616" s="15"><f>IF(BG616="111","SI","SD")</f><v /></c><c r="BI616" s="15"><f>IF(BG616="-1-1-1","SI","SD")</f><v /></c><c r="BJ616" s="15"><f>OR(BH616="SI",BI616="SI")</f><v /></c><c r="BK616" s="15"><f>IF(BJ616=FALSE,"SIGDIFERENTES","SIGIGUALES")</f><v /></c><c r="BL616" s="22"><f>IF(BC616="NO CONFORME","NO CONFORME",IF(BB616="CONFORME","CONFORME","NO CONFORME"))</f><v /></c></row><row r="617" ht="15.75" customHeight="1" thickBot="1"><c r="A617" s="37" t="n"><v>609</v></c><c r="B617" s="324"><f>B616</f><v /></c><c r="C617" s="324"><f>C616</f><v /></c><c r="D617" s="94"><f>D616</f><v /></c><c r="E617" s="95"><f>E616</f><v /></c><c r="F617" s="13" t="n" /><c r="G617" s="312" t="n" /><c r="H617" s="326"><f>H616</f><v /></c><c r="I617" s="98"><f>I616</f><v /></c><c r="J617" s="327"><f>J616</f><v /></c><c r="K617" s="327"><f>K616</f><v /></c><c r="L617" s="327"><f>L616</f><v /></c><c r="M617" s="45" t="n" /><c r="N617" s="45" t="n" /><c r="O617" s="100"><f>O616</f><v /></c><c r="P617" s="328"><f>P616</f><v /></c><c r="Q617" s="11"><f>LEFT(P617,1)</f><v /></c><c r="R617" s="11"><f>RIGHT(P617,6)</f><v /></c><c r="S617" s="11"><f>+(Q617*60+R617)/(60*60)</f><v /></c><c r="T617" s="14"><f>+O617/S617</f><v /></c><c r="U617" s="316"><f>+(((N617-M617-O617)/O617)*100)</f><v /></c><c r="V617" s="329"><f>V616</f><v /></c><c r="W617" s="329"><f>W616</f><v /></c><c r="X617" s="330"><f>X616</f><v /></c><c r="Y617" s="45" t="n" /><c r="Z617" s="45" t="n" /><c r="AA617" s="331"><f>AA616</f><v /></c><c r="AB617" s="332"><f>AB616</f><v /></c><c r="AC617" s="11"><f>LEFT(AB617,2)</f><v /></c><c r="AD617" s="11"><f>RIGHT(AB617,6)</f><v /></c><c r="AE617" s="11"><f>+(AC617*60+AD617)/(60*60)</f><v /></c><c r="AF617" s="14"><f>+AA617/AE617</f><v /></c><c r="AG617" s="321"><f>+(((Z617-Y617-AA617)/AA617)*100)</f><v /></c><c r="AH617" s="329"><f>AH616</f><v /></c><c r="AI617" s="329"><f>AI616</f><v /></c><c r="AJ617" s="329"><f>AJ616</f><v /></c><c r="AK617" s="53"><f>Z617</f><v /></c><c r="AL617" s="45" t="n" /><c r="AM617" s="333"><f>AM616</f><v /></c><c r="AN617" s="328"><f>AN616</f><v /></c><c r="AO617" s="11"><f>LEFT(AN617,2)</f><v /></c><c r="AP617" s="11"><f>RIGHT(AN617,6)</f><v /></c><c r="AQ617" s="11"><f>+(AO617*60+AP617)/(60*60)</f><v /></c><c r="AR617" s="14"><f>+AM617/AQ617</f><v /></c><c r="AS617" s="321"><f>+(((AL617-AK617-AM617)/AM617)*100)</f><v /></c><c r="AT617" s="43"><f>IF(I617&gt;=1,"NO CONFORME",IF(BK617="SIGDIFERENTES",BC617,BL617))</f><v /></c><c r="AU617" s="8"><f>B617=C617</f><v /></c><c r="AV617" s="8"><f>N617&lt;Y617</f><v /></c><c r="AW617" s="8"><f>Z617&lt;=AK617</f><v /></c><c r="AX617" s="8"><f>IF(I617&gt;=1,"Qcorrecto",IF(AND(AY617="aceptable",AZ617="aceptable",BA617="aceptable"),"Qcorrecto","Qincorrecto"))</f><v /></c><c r="AY617" s="22"><f>IF(AR617&lt;$AH$6,"error",IF(AR617&gt;$AH$6*1.1,"error","aceptable"))</f><v /></c><c r="AZ617" s="22"><f>IF(AF617&lt;$V$6,"error",IF(AF617&gt;$V$6*1.1,"error","aceptable"))</f><v /></c><c r="BA617" s="22"><f>IF(T617&lt;$J$6*0.9,"error",IF(T617&gt;$J$6,"error","aceptable"))</f><v /></c><c r="BB617" s="25"><f>(IF(ABS(U617)&lt;1.05,"CONFORME",IF(ABS(AG617)&lt;1.05,"CONFORME",IF(ABS(AS617)&lt;2.55,"CONFORME","NO CONFORME"))))</f><v /></c><c r="BC617" s="5"><f>(IF(ABS(U617)&gt;2.05,"NO CONFORME",IF(ABS(AG617)&gt;2.05,"NO CONFORME",IF(ABS(AS617)&gt;5.05,"NO CONFORME","CONFORME"))))</f><v /></c><c r="BD617" s="15"><f>SIGN(U617)</f><v /></c><c r="BE617" s="15"><f>SIGN(AG617)</f><v /></c><c r="BF617" s="15"><f>SIGN(AS617)</f><v /></c><c r="BG617" s="15"><f>CONCATENATE(BD617,BE617,BF617)</f><v /></c><c r="BH617" s="15"><f>IF(BG617="111","SI","SD")</f><v /></c><c r="BI617" s="15"><f>IF(BG617="-1-1-1","SI","SD")</f><v /></c><c r="BJ617" s="15"><f>OR(BH617="SI",BI617="SI")</f><v /></c><c r="BK617" s="15"><f>IF(BJ617=FALSE,"SIGDIFERENTES","SIGIGUALES")</f><v /></c><c r="BL617" s="22"><f>IF(BC617="NO CONFORME","NO CONFORME",IF(BB617="CONFORME","CONFORME","NO CONFORME"))</f><v /></c></row><row r="618" ht="15.75" customHeight="1" thickBot="1"><c r="A618" s="37" t="n"><v>610</v></c><c r="B618" s="324"><f>B617</f><v /></c><c r="C618" s="324"><f>C617</f><v /></c><c r="D618" s="94"><f>D617</f><v /></c><c r="E618" s="95"><f>E617</f><v /></c><c r="F618" s="13" t="n" /><c r="G618" s="312" t="n" /><c r="H618" s="326"><f>H617</f><v /></c><c r="I618" s="98"><f>I617</f><v /></c><c r="J618" s="327"><f>J617</f><v /></c><c r="K618" s="327"><f>K617</f><v /></c><c r="L618" s="327"><f>L617</f><v /></c><c r="M618" s="45" t="n" /><c r="N618" s="45" t="n" /><c r="O618" s="100"><f>O617</f><v /></c><c r="P618" s="328"><f>P617</f><v /></c><c r="Q618" s="11"><f>LEFT(P618,1)</f><v /></c><c r="R618" s="11"><f>RIGHT(P618,6)</f><v /></c><c r="S618" s="11"><f>+(Q618*60+R618)/(60*60)</f><v /></c><c r="T618" s="14"><f>+O618/S618</f><v /></c><c r="U618" s="316"><f>+(((N618-M618-O618)/O618)*100)</f><v /></c><c r="V618" s="329"><f>V617</f><v /></c><c r="W618" s="329"><f>W617</f><v /></c><c r="X618" s="330"><f>X617</f><v /></c><c r="Y618" s="45" t="n" /><c r="Z618" s="45" t="n" /><c r="AA618" s="331"><f>AA617</f><v /></c><c r="AB618" s="332"><f>AB617</f><v /></c><c r="AC618" s="11"><f>LEFT(AB618,2)</f><v /></c><c r="AD618" s="11"><f>RIGHT(AB618,6)</f><v /></c><c r="AE618" s="11"><f>+(AC618*60+AD618)/(60*60)</f><v /></c><c r="AF618" s="14"><f>+AA618/AE618</f><v /></c><c r="AG618" s="321"><f>+(((Z618-Y618-AA618)/AA618)*100)</f><v /></c><c r="AH618" s="329"><f>AH617</f><v /></c><c r="AI618" s="329"><f>AI617</f><v /></c><c r="AJ618" s="329"><f>AJ617</f><v /></c><c r="AK618" s="53"><f>Z618</f><v /></c><c r="AL618" s="45" t="n" /><c r="AM618" s="333"><f>AM617</f><v /></c><c r="AN618" s="328"><f>AN617</f><v /></c><c r="AO618" s="11"><f>LEFT(AN618,2)</f><v /></c><c r="AP618" s="11"><f>RIGHT(AN618,6)</f><v /></c><c r="AQ618" s="11"><f>+(AO618*60+AP618)/(60*60)</f><v /></c><c r="AR618" s="14"><f>+AM618/AQ618</f><v /></c><c r="AS618" s="321"><f>+(((AL618-AK618-AM618)/AM618)*100)</f><v /></c><c r="AT618" s="43"><f>IF(I618&gt;=1,"NO CONFORME",IF(BK618="SIGDIFERENTES",BC618,BL618))</f><v /></c><c r="AU618" s="8"><f>B618=C618</f><v /></c><c r="AV618" s="8"><f>N618&lt;Y618</f><v /></c><c r="AW618" s="8"><f>Z618&lt;=AK618</f><v /></c><c r="AX618" s="8"><f>IF(I618&gt;=1,"Qcorrecto",IF(AND(AY618="aceptable",AZ618="aceptable",BA618="aceptable"),"Qcorrecto","Qincorrecto"))</f><v /></c><c r="AY618" s="22"><f>IF(AR618&lt;$AH$6,"error",IF(AR618&gt;$AH$6*1.1,"error","aceptable"))</f><v /></c><c r="AZ618" s="22"><f>IF(AF618&lt;$V$6,"error",IF(AF618&gt;$V$6*1.1,"error","aceptable"))</f><v /></c><c r="BA618" s="22"><f>IF(T618&lt;$J$6*0.9,"error",IF(T618&gt;$J$6,"error","aceptable"))</f><v /></c><c r="BB618" s="25"><f>(IF(ABS(U618)&lt;1.05,"CONFORME",IF(ABS(AG618)&lt;1.05,"CONFORME",IF(ABS(AS618)&lt;2.55,"CONFORME","NO CONFORME"))))</f><v /></c><c r="BC618" s="5"><f>(IF(ABS(U618)&gt;2.05,"NO CONFORME",IF(ABS(AG618)&gt;2.05,"NO CONFORME",IF(ABS(AS618)&gt;5.05,"NO CONFORME","CONFORME"))))</f><v /></c><c r="BD618" s="15"><f>SIGN(U618)</f><v /></c><c r="BE618" s="15"><f>SIGN(AG618)</f><v /></c><c r="BF618" s="15"><f>SIGN(AS618)</f><v /></c><c r="BG618" s="15"><f>CONCATENATE(BD618,BE618,BF618)</f><v /></c><c r="BH618" s="15"><f>IF(BG618="111","SI","SD")</f><v /></c><c r="BI618" s="15"><f>IF(BG618="-1-1-1","SI","SD")</f><v /></c><c r="BJ618" s="15"><f>OR(BH618="SI",BI618="SI")</f><v /></c><c r="BK618" s="15"><f>IF(BJ618=FALSE,"SIGDIFERENTES","SIGIGUALES")</f><v /></c><c r="BL618" s="22"><f>IF(BC618="NO CONFORME","NO CONFORME",IF(BB618="CONFORME","CONFORME","NO CONFORME"))</f><v /></c></row><row r="619" ht="15.75" customHeight="1" thickBot="1"><c r="A619" s="37" t="n"><v>611</v></c><c r="B619" s="324"><f>B618</f><v /></c><c r="C619" s="324"><f>C618</f><v /></c><c r="D619" s="94"><f>D618</f><v /></c><c r="E619" s="95"><f>E618</f><v /></c><c r="F619" s="13" t="n" /><c r="G619" s="312" t="n" /><c r="H619" s="326"><f>H618</f><v /></c><c r="I619" s="98"><f>I618</f><v /></c><c r="J619" s="327"><f>J618</f><v /></c><c r="K619" s="327"><f>K618</f><v /></c><c r="L619" s="327"><f>L618</f><v /></c><c r="M619" s="45" t="n" /><c r="N619" s="45" t="n" /><c r="O619" s="100"><f>O618</f><v /></c><c r="P619" s="328"><f>P618</f><v /></c><c r="Q619" s="11"><f>LEFT(P619,1)</f><v /></c><c r="R619" s="11"><f>RIGHT(P619,6)</f><v /></c><c r="S619" s="11"><f>+(Q619*60+R619)/(60*60)</f><v /></c><c r="T619" s="14"><f>+O619/S619</f><v /></c><c r="U619" s="316"><f>+(((N619-M619-O619)/O619)*100)</f><v /></c><c r="V619" s="329"><f>V618</f><v /></c><c r="W619" s="329"><f>W618</f><v /></c><c r="X619" s="330"><f>X618</f><v /></c><c r="Y619" s="45" t="n" /><c r="Z619" s="45" t="n" /><c r="AA619" s="331"><f>AA618</f><v /></c><c r="AB619" s="332"><f>AB618</f><v /></c><c r="AC619" s="11"><f>LEFT(AB619,2)</f><v /></c><c r="AD619" s="11"><f>RIGHT(AB619,6)</f><v /></c><c r="AE619" s="11"><f>+(AC619*60+AD619)/(60*60)</f><v /></c><c r="AF619" s="14"><f>+AA619/AE619</f><v /></c><c r="AG619" s="321"><f>+(((Z619-Y619-AA619)/AA619)*100)</f><v /></c><c r="AH619" s="329"><f>AH618</f><v /></c><c r="AI619" s="329"><f>AI618</f><v /></c><c r="AJ619" s="329"><f>AJ618</f><v /></c><c r="AK619" s="53"><f>Z619</f><v /></c><c r="AL619" s="45" t="n" /><c r="AM619" s="333"><f>AM618</f><v /></c><c r="AN619" s="328"><f>AN618</f><v /></c><c r="AO619" s="11"><f>LEFT(AN619,2)</f><v /></c><c r="AP619" s="11"><f>RIGHT(AN619,6)</f><v /></c><c r="AQ619" s="11"><f>+(AO619*60+AP619)/(60*60)</f><v /></c><c r="AR619" s="14"><f>+AM619/AQ619</f><v /></c><c r="AS619" s="321"><f>+(((AL619-AK619-AM619)/AM619)*100)</f><v /></c><c r="AT619" s="43"><f>IF(I619&gt;=1,"NO CONFORME",IF(BK619="SIGDIFERENTES",BC619,BL619))</f><v /></c><c r="AU619" s="8"><f>B619=C619</f><v /></c><c r="AV619" s="8"><f>N619&lt;Y619</f><v /></c><c r="AW619" s="8"><f>Z619&lt;=AK619</f><v /></c><c r="AX619" s="8"><f>IF(I619&gt;=1,"Qcorrecto",IF(AND(AY619="aceptable",AZ619="aceptable",BA619="aceptable"),"Qcorrecto","Qincorrecto"))</f><v /></c><c r="AY619" s="22"><f>IF(AR619&lt;$AH$6,"error",IF(AR619&gt;$AH$6*1.1,"error","aceptable"))</f><v /></c><c r="AZ619" s="22"><f>IF(AF619&lt;$V$6,"error",IF(AF619&gt;$V$6*1.1,"error","aceptable"))</f><v /></c><c r="BA619" s="22"><f>IF(T619&lt;$J$6*0.9,"error",IF(T619&gt;$J$6,"error","aceptable"))</f><v /></c><c r="BB619" s="25"><f>(IF(ABS(U619)&lt;1.05,"CONFORME",IF(ABS(AG619)&lt;1.05,"CONFORME",IF(ABS(AS619)&lt;2.55,"CONFORME","NO CONFORME"))))</f><v /></c><c r="BC619" s="5"><f>(IF(ABS(U619)&gt;2.05,"NO CONFORME",IF(ABS(AG619)&gt;2.05,"NO CONFORME",IF(ABS(AS619)&gt;5.05,"NO CONFORME","CONFORME"))))</f><v /></c><c r="BD619" s="15"><f>SIGN(U619)</f><v /></c><c r="BE619" s="15"><f>SIGN(AG619)</f><v /></c><c r="BF619" s="15"><f>SIGN(AS619)</f><v /></c><c r="BG619" s="15"><f>CONCATENATE(BD619,BE619,BF619)</f><v /></c><c r="BH619" s="15"><f>IF(BG619="111","SI","SD")</f><v /></c><c r="BI619" s="15"><f>IF(BG619="-1-1-1","SI","SD")</f><v /></c><c r="BJ619" s="15"><f>OR(BH619="SI",BI619="SI")</f><v /></c><c r="BK619" s="15"><f>IF(BJ619=FALSE,"SIGDIFERENTES","SIGIGUALES")</f><v /></c><c r="BL619" s="22"><f>IF(BC619="NO CONFORME","NO CONFORME",IF(BB619="CONFORME","CONFORME","NO CONFORME"))</f><v /></c></row><row r="620" ht="15.75" customHeight="1" thickBot="1"><c r="A620" s="37" t="n"><v>612</v></c><c r="B620" s="324"><f>B619</f><v /></c><c r="C620" s="324"><f>C619</f><v /></c><c r="D620" s="94"><f>D619</f><v /></c><c r="E620" s="95"><f>E619</f><v /></c><c r="F620" s="13" t="n" /><c r="G620" s="312" t="n" /><c r="H620" s="326"><f>H619</f><v /></c><c r="I620" s="98"><f>I619</f><v /></c><c r="J620" s="327"><f>J619</f><v /></c><c r="K620" s="327"><f>K619</f><v /></c><c r="L620" s="327"><f>L619</f><v /></c><c r="M620" s="45" t="n" /><c r="N620" s="45" t="n" /><c r="O620" s="100"><f>O619</f><v /></c><c r="P620" s="328"><f>P619</f><v /></c><c r="Q620" s="11"><f>LEFT(P620,1)</f><v /></c><c r="R620" s="11"><f>RIGHT(P620,6)</f><v /></c><c r="S620" s="11"><f>+(Q620*60+R620)/(60*60)</f><v /></c><c r="T620" s="14"><f>+O620/S620</f><v /></c><c r="U620" s="316"><f>+(((N620-M620-O620)/O620)*100)</f><v /></c><c r="V620" s="329"><f>V619</f><v /></c><c r="W620" s="329"><f>W619</f><v /></c><c r="X620" s="330"><f>X619</f><v /></c><c r="Y620" s="45" t="n" /><c r="Z620" s="45" t="n" /><c r="AA620" s="331"><f>AA619</f><v /></c><c r="AB620" s="332"><f>AB619</f><v /></c><c r="AC620" s="11"><f>LEFT(AB620,2)</f><v /></c><c r="AD620" s="11"><f>RIGHT(AB620,6)</f><v /></c><c r="AE620" s="11"><f>+(AC620*60+AD620)/(60*60)</f><v /></c><c r="AF620" s="14"><f>+AA620/AE620</f><v /></c><c r="AG620" s="321"><f>+(((Z620-Y620-AA620)/AA620)*100)</f><v /></c><c r="AH620" s="329"><f>AH619</f><v /></c><c r="AI620" s="329"><f>AI619</f><v /></c><c r="AJ620" s="329"><f>AJ619</f><v /></c><c r="AK620" s="53"><f>Z620</f><v /></c><c r="AL620" s="45" t="n" /><c r="AM620" s="333"><f>AM619</f><v /></c><c r="AN620" s="328"><f>AN619</f><v /></c><c r="AO620" s="11"><f>LEFT(AN620,2)</f><v /></c><c r="AP620" s="11"><f>RIGHT(AN620,6)</f><v /></c><c r="AQ620" s="11"><f>+(AO620*60+AP620)/(60*60)</f><v /></c><c r="AR620" s="14"><f>+AM620/AQ620</f><v /></c><c r="AS620" s="321"><f>+(((AL620-AK620-AM620)/AM620)*100)</f><v /></c><c r="AT620" s="43"><f>IF(I620&gt;=1,"NO CONFORME",IF(BK620="SIGDIFERENTES",BC620,BL620))</f><v /></c><c r="AU620" s="8"><f>B620=C620</f><v /></c><c r="AV620" s="8"><f>N620&lt;Y620</f><v /></c><c r="AW620" s="8"><f>Z620&lt;=AK620</f><v /></c><c r="AX620" s="8"><f>IF(I620&gt;=1,"Qcorrecto",IF(AND(AY620="aceptable",AZ620="aceptable",BA620="aceptable"),"Qcorrecto","Qincorrecto"))</f><v /></c><c r="AY620" s="22"><f>IF(AR620&lt;$AH$6,"error",IF(AR620&gt;$AH$6*1.1,"error","aceptable"))</f><v /></c><c r="AZ620" s="22"><f>IF(AF620&lt;$V$6,"error",IF(AF620&gt;$V$6*1.1,"error","aceptable"))</f><v /></c><c r="BA620" s="22"><f>IF(T620&lt;$J$6*0.9,"error",IF(T620&gt;$J$6,"error","aceptable"))</f><v /></c><c r="BB620" s="25"><f>(IF(ABS(U620)&lt;1.05,"CONFORME",IF(ABS(AG620)&lt;1.05,"CONFORME",IF(ABS(AS620)&lt;2.55,"CONFORME","NO CONFORME"))))</f><v /></c><c r="BC620" s="5"><f>(IF(ABS(U620)&gt;2.05,"NO CONFORME",IF(ABS(AG620)&gt;2.05,"NO CONFORME",IF(ABS(AS620)&gt;5.05,"NO CONFORME","CONFORME"))))</f><v /></c><c r="BD620" s="15"><f>SIGN(U620)</f><v /></c><c r="BE620" s="15"><f>SIGN(AG620)</f><v /></c><c r="BF620" s="15"><f>SIGN(AS620)</f><v /></c><c r="BG620" s="15"><f>CONCATENATE(BD620,BE620,BF620)</f><v /></c><c r="BH620" s="15"><f>IF(BG620="111","SI","SD")</f><v /></c><c r="BI620" s="15"><f>IF(BG620="-1-1-1","SI","SD")</f><v /></c><c r="BJ620" s="15"><f>OR(BH620="SI",BI620="SI")</f><v /></c><c r="BK620" s="15"><f>IF(BJ620=FALSE,"SIGDIFERENTES","SIGIGUALES")</f><v /></c><c r="BL620" s="22"><f>IF(BC620="NO CONFORME","NO CONFORME",IF(BB620="CONFORME","CONFORME","NO CONFORME"))</f><v /></c></row><row r="621" ht="15.75" customHeight="1" thickBot="1"><c r="A621" s="37" t="n"><v>613</v></c><c r="B621" s="324"><f>B620</f><v /></c><c r="C621" s="324"><f>C620</f><v /></c><c r="D621" s="94"><f>D620</f><v /></c><c r="E621" s="95"><f>E620</f><v /></c><c r="F621" s="13" t="n" /><c r="G621" s="312" t="n" /><c r="H621" s="326"><f>H620</f><v /></c><c r="I621" s="98"><f>I620</f><v /></c><c r="J621" s="327"><f>J620</f><v /></c><c r="K621" s="327"><f>K620</f><v /></c><c r="L621" s="327"><f>L620</f><v /></c><c r="M621" s="45" t="n" /><c r="N621" s="45" t="n" /><c r="O621" s="100"><f>O620</f><v /></c><c r="P621" s="328"><f>P620</f><v /></c><c r="Q621" s="11"><f>LEFT(P621,1)</f><v /></c><c r="R621" s="11"><f>RIGHT(P621,6)</f><v /></c><c r="S621" s="11"><f>+(Q621*60+R621)/(60*60)</f><v /></c><c r="T621" s="14"><f>+O621/S621</f><v /></c><c r="U621" s="316"><f>+(((N621-M621-O621)/O621)*100)</f><v /></c><c r="V621" s="329"><f>V620</f><v /></c><c r="W621" s="329"><f>W620</f><v /></c><c r="X621" s="330"><f>X620</f><v /></c><c r="Y621" s="45" t="n" /><c r="Z621" s="45" t="n" /><c r="AA621" s="331"><f>AA620</f><v /></c><c r="AB621" s="332"><f>AB620</f><v /></c><c r="AC621" s="11"><f>LEFT(AB621,2)</f><v /></c><c r="AD621" s="11"><f>RIGHT(AB621,6)</f><v /></c><c r="AE621" s="11"><f>+(AC621*60+AD621)/(60*60)</f><v /></c><c r="AF621" s="14"><f>+AA621/AE621</f><v /></c><c r="AG621" s="321"><f>+(((Z621-Y621-AA621)/AA621)*100)</f><v /></c><c r="AH621" s="329"><f>AH620</f><v /></c><c r="AI621" s="329"><f>AI620</f><v /></c><c r="AJ621" s="329"><f>AJ620</f><v /></c><c r="AK621" s="53"><f>Z621</f><v /></c><c r="AL621" s="45" t="n" /><c r="AM621" s="333"><f>AM620</f><v /></c><c r="AN621" s="328"><f>AN620</f><v /></c><c r="AO621" s="11"><f>LEFT(AN621,2)</f><v /></c><c r="AP621" s="11"><f>RIGHT(AN621,6)</f><v /></c><c r="AQ621" s="11"><f>+(AO621*60+AP621)/(60*60)</f><v /></c><c r="AR621" s="14"><f>+AM621/AQ621</f><v /></c><c r="AS621" s="321"><f>+(((AL621-AK621-AM621)/AM621)*100)</f><v /></c><c r="AT621" s="43"><f>IF(I621&gt;=1,"NO CONFORME",IF(BK621="SIGDIFERENTES",BC621,BL621))</f><v /></c><c r="AU621" s="8"><f>B621=C621</f><v /></c><c r="AV621" s="8"><f>N621&lt;Y621</f><v /></c><c r="AW621" s="8"><f>Z621&lt;=AK621</f><v /></c><c r="AX621" s="8"><f>IF(I621&gt;=1,"Qcorrecto",IF(AND(AY621="aceptable",AZ621="aceptable",BA621="aceptable"),"Qcorrecto","Qincorrecto"))</f><v /></c><c r="AY621" s="22"><f>IF(AR621&lt;$AH$6,"error",IF(AR621&gt;$AH$6*1.1,"error","aceptable"))</f><v /></c><c r="AZ621" s="22"><f>IF(AF621&lt;$V$6,"error",IF(AF621&gt;$V$6*1.1,"error","aceptable"))</f><v /></c><c r="BA621" s="22"><f>IF(T621&lt;$J$6*0.9,"error",IF(T621&gt;$J$6,"error","aceptable"))</f><v /></c><c r="BB621" s="25"><f>(IF(ABS(U621)&lt;1.05,"CONFORME",IF(ABS(AG621)&lt;1.05,"CONFORME",IF(ABS(AS621)&lt;2.55,"CONFORME","NO CONFORME"))))</f><v /></c><c r="BC621" s="5"><f>(IF(ABS(U621)&gt;2.05,"NO CONFORME",IF(ABS(AG621)&gt;2.05,"NO CONFORME",IF(ABS(AS621)&gt;5.05,"NO CONFORME","CONFORME"))))</f><v /></c><c r="BD621" s="15"><f>SIGN(U621)</f><v /></c><c r="BE621" s="15"><f>SIGN(AG621)</f><v /></c><c r="BF621" s="15"><f>SIGN(AS621)</f><v /></c><c r="BG621" s="15"><f>CONCATENATE(BD621,BE621,BF621)</f><v /></c><c r="BH621" s="15"><f>IF(BG621="111","SI","SD")</f><v /></c><c r="BI621" s="15"><f>IF(BG621="-1-1-1","SI","SD")</f><v /></c><c r="BJ621" s="15"><f>OR(BH621="SI",BI621="SI")</f><v /></c><c r="BK621" s="15"><f>IF(BJ621=FALSE,"SIGDIFERENTES","SIGIGUALES")</f><v /></c><c r="BL621" s="22"><f>IF(BC621="NO CONFORME","NO CONFORME",IF(BB621="CONFORME","CONFORME","NO CONFORME"))</f><v /></c></row><row r="622" ht="15.75" customHeight="1" thickBot="1"><c r="A622" s="37" t="n"><v>614</v></c><c r="B622" s="324"><f>B621</f><v /></c><c r="C622" s="324"><f>C621</f><v /></c><c r="D622" s="94"><f>D621</f><v /></c><c r="E622" s="95"><f>E621</f><v /></c><c r="F622" s="13" t="n" /><c r="G622" s="312" t="n" /><c r="H622" s="326"><f>H621</f><v /></c><c r="I622" s="98"><f>I621</f><v /></c><c r="J622" s="327"><f>J621</f><v /></c><c r="K622" s="327"><f>K621</f><v /></c><c r="L622" s="327"><f>L621</f><v /></c><c r="M622" s="45" t="n" /><c r="N622" s="45" t="n" /><c r="O622" s="100"><f>O621</f><v /></c><c r="P622" s="328"><f>P621</f><v /></c><c r="Q622" s="11"><f>LEFT(P622,1)</f><v /></c><c r="R622" s="11"><f>RIGHT(P622,6)</f><v /></c><c r="S622" s="11"><f>+(Q622*60+R622)/(60*60)</f><v /></c><c r="T622" s="14"><f>+O622/S622</f><v /></c><c r="U622" s="316"><f>+(((N622-M622-O622)/O622)*100)</f><v /></c><c r="V622" s="329"><f>V621</f><v /></c><c r="W622" s="329"><f>W621</f><v /></c><c r="X622" s="330"><f>X621</f><v /></c><c r="Y622" s="45" t="n" /><c r="Z622" s="45" t="n" /><c r="AA622" s="331"><f>AA621</f><v /></c><c r="AB622" s="332"><f>AB621</f><v /></c><c r="AC622" s="11"><f>LEFT(AB622,2)</f><v /></c><c r="AD622" s="11"><f>RIGHT(AB622,6)</f><v /></c><c r="AE622" s="11"><f>+(AC622*60+AD622)/(60*60)</f><v /></c><c r="AF622" s="14"><f>+AA622/AE622</f><v /></c><c r="AG622" s="321"><f>+(((Z622-Y622-AA622)/AA622)*100)</f><v /></c><c r="AH622" s="329"><f>AH621</f><v /></c><c r="AI622" s="329"><f>AI621</f><v /></c><c r="AJ622" s="329"><f>AJ621</f><v /></c><c r="AK622" s="53"><f>Z622</f><v /></c><c r="AL622" s="45" t="n" /><c r="AM622" s="333"><f>AM621</f><v /></c><c r="AN622" s="328"><f>AN621</f><v /></c><c r="AO622" s="11"><f>LEFT(AN622,2)</f><v /></c><c r="AP622" s="11"><f>RIGHT(AN622,6)</f><v /></c><c r="AQ622" s="11"><f>+(AO622*60+AP622)/(60*60)</f><v /></c><c r="AR622" s="14"><f>+AM622/AQ622</f><v /></c><c r="AS622" s="321"><f>+(((AL622-AK622-AM622)/AM622)*100)</f><v /></c><c r="AT622" s="43"><f>IF(I622&gt;=1,"NO CONFORME",IF(BK622="SIGDIFERENTES",BC622,BL622))</f><v /></c><c r="AU622" s="8"><f>B622=C622</f><v /></c><c r="AV622" s="8"><f>N622&lt;Y622</f><v /></c><c r="AW622" s="8"><f>Z622&lt;=AK622</f><v /></c><c r="AX622" s="8"><f>IF(I622&gt;=1,"Qcorrecto",IF(AND(AY622="aceptable",AZ622="aceptable",BA622="aceptable"),"Qcorrecto","Qincorrecto"))</f><v /></c><c r="AY622" s="22"><f>IF(AR622&lt;$AH$6,"error",IF(AR622&gt;$AH$6*1.1,"error","aceptable"))</f><v /></c><c r="AZ622" s="22"><f>IF(AF622&lt;$V$6,"error",IF(AF622&gt;$V$6*1.1,"error","aceptable"))</f><v /></c><c r="BA622" s="22"><f>IF(T622&lt;$J$6*0.9,"error",IF(T622&gt;$J$6,"error","aceptable"))</f><v /></c><c r="BB622" s="25"><f>(IF(ABS(U622)&lt;1.05,"CONFORME",IF(ABS(AG622)&lt;1.05,"CONFORME",IF(ABS(AS622)&lt;2.55,"CONFORME","NO CONFORME"))))</f><v /></c><c r="BC622" s="5"><f>(IF(ABS(U622)&gt;2.05,"NO CONFORME",IF(ABS(AG622)&gt;2.05,"NO CONFORME",IF(ABS(AS622)&gt;5.05,"NO CONFORME","CONFORME"))))</f><v /></c><c r="BD622" s="15"><f>SIGN(U622)</f><v /></c><c r="BE622" s="15"><f>SIGN(AG622)</f><v /></c><c r="BF622" s="15"><f>SIGN(AS622)</f><v /></c><c r="BG622" s="15"><f>CONCATENATE(BD622,BE622,BF622)</f><v /></c><c r="BH622" s="15"><f>IF(BG622="111","SI","SD")</f><v /></c><c r="BI622" s="15"><f>IF(BG622="-1-1-1","SI","SD")</f><v /></c><c r="BJ622" s="15"><f>OR(BH622="SI",BI622="SI")</f><v /></c><c r="BK622" s="15"><f>IF(BJ622=FALSE,"SIGDIFERENTES","SIGIGUALES")</f><v /></c><c r="BL622" s="22"><f>IF(BC622="NO CONFORME","NO CONFORME",IF(BB622="CONFORME","CONFORME","NO CONFORME"))</f><v /></c></row><row r="623" ht="15.75" customHeight="1" thickBot="1"><c r="A623" s="37" t="n"><v>615</v></c><c r="B623" s="324"><f>B622</f><v /></c><c r="C623" s="324"><f>C622</f><v /></c><c r="D623" s="94"><f>D622</f><v /></c><c r="E623" s="95"><f>E622</f><v /></c><c r="F623" s="52" t="n" /><c r="G623" s="312" t="n" /><c r="H623" s="326"><f>H622</f><v /></c><c r="I623" s="98"><f>I622</f><v /></c><c r="J623" s="327"><f>J622</f><v /></c><c r="K623" s="327"><f>K622</f><v /></c><c r="L623" s="327"><f>L622</f><v /></c><c r="M623" s="53" t="n" /><c r="N623" s="53" t="n" /><c r="O623" s="100"><f>O622</f><v /></c><c r="P623" s="328"><f>P622</f><v /></c><c r="Q623" s="11"><f>LEFT(P623,1)</f><v /></c><c r="R623" s="11"><f>RIGHT(P623,6)</f><v /></c><c r="S623" s="11"><f>+(Q623*60+R623)/(60*60)</f><v /></c><c r="T623" s="14"><f>+O623/S623</f><v /></c><c r="U623" s="316"><f>+(((N623-M623-O623)/O623)*100)</f><v /></c><c r="V623" s="329"><f>V622</f><v /></c><c r="W623" s="329"><f>W622</f><v /></c><c r="X623" s="330"><f>X622</f><v /></c><c r="Y623" s="53" t="n" /><c r="Z623" s="53" t="n" /><c r="AA623" s="331"><f>AA622</f><v /></c><c r="AB623" s="332"><f>AB622</f><v /></c><c r="AC623" s="11"><f>LEFT(AB623,2)</f><v /></c><c r="AD623" s="11"><f>RIGHT(AB623,6)</f><v /></c><c r="AE623" s="11"><f>+(AC623*60+AD623)/(60*60)</f><v /></c><c r="AF623" s="14"><f>+AA623/AE623</f><v /></c><c r="AG623" s="321"><f>+(((Z623-Y623-AA623)/AA623)*100)</f><v /></c><c r="AH623" s="329"><f>AH622</f><v /></c><c r="AI623" s="329"><f>AI622</f><v /></c><c r="AJ623" s="329"><f>AJ622</f><v /></c><c r="AK623" s="53"><f>Z623</f><v /></c><c r="AL623" s="53" t="n" /><c r="AM623" s="333"><f>AM622</f><v /></c><c r="AN623" s="328"><f>AN622</f><v /></c><c r="AO623" s="11"><f>LEFT(AN623,2)</f><v /></c><c r="AP623" s="11"><f>RIGHT(AN623,6)</f><v /></c><c r="AQ623" s="11"><f>+(AO623*60+AP623)/(60*60)</f><v /></c><c r="AR623" s="14"><f>+AM623/AQ623</f><v /></c><c r="AS623" s="321"><f>+(((AL623-AK623-AM623)/AM623)*100)</f><v /></c><c r="AT623" s="43"><f>IF(I623&gt;=1,"NO CONFORME",IF(BK623="SIGDIFERENTES",BC623,BL623))</f><v /></c><c r="AU623" s="8"><f>B623=C623</f><v /></c><c r="AV623" s="8"><f>N623&lt;Y623</f><v /></c><c r="AW623" s="8"><f>Z623&lt;=AK623</f><v /></c><c r="AX623" s="8"><f>IF(I623&gt;=1,"Qcorrecto",IF(AND(AY623="aceptable",AZ623="aceptable",BA623="aceptable"),"Qcorrecto","Qincorrecto"))</f><v /></c><c r="AY623" s="22"><f>IF(AR623&lt;$AH$6,"error",IF(AR623&gt;$AH$6*1.1,"error","aceptable"))</f><v /></c><c r="AZ623" s="22"><f>IF(AF623&lt;$V$6,"error",IF(AF623&gt;$V$6*1.1,"error","aceptable"))</f><v /></c><c r="BA623" s="22"><f>IF(T623&lt;$J$6*0.9,"error",IF(T623&gt;$J$6,"error","aceptable"))</f><v /></c><c r="BB623" s="25"><f>(IF(ABS(U623)&lt;1.05,"CONFORME",IF(ABS(AG623)&lt;1.05,"CONFORME",IF(ABS(AS623)&lt;2.55,"CONFORME","NO CONFORME"))))</f><v /></c><c r="BC623" s="5"><f>(IF(ABS(U623)&gt;2.05,"NO CONFORME",IF(ABS(AG623)&gt;2.05,"NO CONFORME",IF(ABS(AS623)&gt;5.05,"NO CONFORME","CONFORME"))))</f><v /></c><c r="BD623" s="15"><f>SIGN(U623)</f><v /></c><c r="BE623" s="15"><f>SIGN(AG623)</f><v /></c><c r="BF623" s="15"><f>SIGN(AS623)</f><v /></c><c r="BG623" s="15"><f>CONCATENATE(BD623,BE623,BF623)</f><v /></c><c r="BH623" s="15"><f>IF(BG623="111","SI","SD")</f><v /></c><c r="BI623" s="15"><f>IF(BG623="-1-1-1","SI","SD")</f><v /></c><c r="BJ623" s="15"><f>OR(BH623="SI",BI623="SI")</f><v /></c><c r="BK623" s="15"><f>IF(BJ623=FALSE,"SIGDIFERENTES","SIGIGUALES")</f><v /></c><c r="BL623" s="22"><f>IF(BC623="NO CONFORME","NO CONFORME",IF(BB623="CONFORME","CONFORME","NO CONFORME"))</f><v /></c></row><row r="624" ht="15.75" customHeight="1" thickBot="1"><c r="A624" s="37" t="n"><v>616</v></c><c r="B624" s="324"><f>B623</f><v /></c><c r="C624" s="324"><f>C623</f><v /></c><c r="D624" s="94"><f>D623</f><v /></c><c r="E624" s="95"><f>E623</f><v /></c><c r="F624" s="58" t="n" /><c r="G624" s="312" t="n" /><c r="H624" s="326"><f>H623</f><v /></c><c r="I624" s="98"><f>I623</f><v /></c><c r="J624" s="327"><f>J623</f><v /></c><c r="K624" s="327"><f>K623</f><v /></c><c r="L624" s="327"><f>L623</f><v /></c><c r="M624" s="59" t="n" /><c r="N624" s="59" t="n" /><c r="O624" s="100"><f>O623</f><v /></c><c r="P624" s="328"><f>P623</f><v /></c><c r="Q624" s="11"><f>LEFT(P624,1)</f><v /></c><c r="R624" s="11"><f>RIGHT(P624,6)</f><v /></c><c r="S624" s="11"><f>+(Q624*60+R624)/(60*60)</f><v /></c><c r="T624" s="14"><f>+O624/S624</f><v /></c><c r="U624" s="316"><f>+(((N624-M624-O624)/O624)*100)</f><v /></c><c r="V624" s="329"><f>V623</f><v /></c><c r="W624" s="329"><f>W623</f><v /></c><c r="X624" s="330"><f>X623</f><v /></c><c r="Y624" s="59" t="n" /><c r="Z624" s="59" t="n" /><c r="AA624" s="331"><f>AA623</f><v /></c><c r="AB624" s="332"><f>AB623</f><v /></c><c r="AC624" s="11"><f>LEFT(AB624,2)</f><v /></c><c r="AD624" s="11"><f>RIGHT(AB624,6)</f><v /></c><c r="AE624" s="11"><f>+(AC624*60+AD624)/(60*60)</f><v /></c><c r="AF624" s="14"><f>+AA624/AE624</f><v /></c><c r="AG624" s="321"><f>+(((Z624-Y624-AA624)/AA624)*100)</f><v /></c><c r="AH624" s="329"><f>AH623</f><v /></c><c r="AI624" s="329"><f>AI623</f><v /></c><c r="AJ624" s="329"><f>AJ623</f><v /></c><c r="AK624" s="53"><f>Z624</f><v /></c><c r="AL624" s="59" t="n" /><c r="AM624" s="333"><f>AM623</f><v /></c><c r="AN624" s="328"><f>AN623</f><v /></c><c r="AO624" s="11"><f>LEFT(AN624,2)</f><v /></c><c r="AP624" s="11"><f>RIGHT(AN624,6)</f><v /></c><c r="AQ624" s="11"><f>+(AO624*60+AP624)/(60*60)</f><v /></c><c r="AR624" s="14"><f>+AM624/AQ624</f><v /></c><c r="AS624" s="321"><f>+(((AL624-AK624-AM624)/AM624)*100)</f><v /></c><c r="AT624" s="43"><f>IF(I624&gt;=1,"NO CONFORME",IF(BK624="SIGDIFERENTES",BC624,BL624))</f><v /></c><c r="AU624" s="8"><f>B624=C624</f><v /></c><c r="AV624" s="8"><f>N624&lt;Y624</f><v /></c><c r="AW624" s="8"><f>Z624&lt;=AK624</f><v /></c><c r="AX624" s="8"><f>IF(I624&gt;=1,"Qcorrecto",IF(AND(AY624="aceptable",AZ624="aceptable",BA624="aceptable"),"Qcorrecto","Qincorrecto"))</f><v /></c><c r="AY624" s="22"><f>IF(AR624&lt;$AH$6,"error",IF(AR624&gt;$AH$6*1.1,"error","aceptable"))</f><v /></c><c r="AZ624" s="22"><f>IF(AF624&lt;$V$6,"error",IF(AF624&gt;$V$6*1.1,"error","aceptable"))</f><v /></c><c r="BA624" s="22"><f>IF(T624&lt;$J$6*0.9,"error",IF(T624&gt;$J$6,"error","aceptable"))</f><v /></c><c r="BB624" s="25"><f>(IF(ABS(U624)&lt;1.05,"CONFORME",IF(ABS(AG624)&lt;1.05,"CONFORME",IF(ABS(AS624)&lt;2.55,"CONFORME","NO CONFORME"))))</f><v /></c><c r="BC624" s="5"><f>(IF(ABS(U624)&gt;2.05,"NO CONFORME",IF(ABS(AG624)&gt;2.05,"NO CONFORME",IF(ABS(AS624)&gt;5.05,"NO CONFORME","CONFORME"))))</f><v /></c><c r="BD624" s="15"><f>SIGN(U624)</f><v /></c><c r="BE624" s="15"><f>SIGN(AG624)</f><v /></c><c r="BF624" s="15"><f>SIGN(AS624)</f><v /></c><c r="BG624" s="15"><f>CONCATENATE(BD624,BE624,BF624)</f><v /></c><c r="BH624" s="15"><f>IF(BG624="111","SI","SD")</f><v /></c><c r="BI624" s="15"><f>IF(BG624="-1-1-1","SI","SD")</f><v /></c><c r="BJ624" s="15"><f>OR(BH624="SI",BI624="SI")</f><v /></c><c r="BK624" s="15"><f>IF(BJ624=FALSE,"SIGDIFERENTES","SIGIGUALES")</f><v /></c><c r="BL624" s="22"><f>IF(BC624="NO CONFORME","NO CONFORME",IF(BB624="CONFORME","CONFORME","NO CONFORME"))</f><v /></c></row><row r="625" ht="15.75" customHeight="1" thickBot="1"><c r="A625" s="37" t="n"><v>617</v></c><c r="B625" s="324"><f>B624</f><v /></c><c r="C625" s="324"><f>C624</f><v /></c><c r="D625" s="94"><f>D624</f><v /></c><c r="E625" s="95"><f>E624</f><v /></c><c r="F625" s="13" t="n" /><c r="G625" s="312" t="n" /><c r="H625" s="326"><f>H624</f><v /></c><c r="I625" s="98"><f>I624</f><v /></c><c r="J625" s="327"><f>J624</f><v /></c><c r="K625" s="327"><f>K624</f><v /></c><c r="L625" s="327"><f>L624</f><v /></c><c r="M625" s="45" t="n" /><c r="N625" s="45" t="n" /><c r="O625" s="100"><f>O624</f><v /></c><c r="P625" s="328"><f>P624</f><v /></c><c r="Q625" s="11"><f>LEFT(P625,1)</f><v /></c><c r="R625" s="11"><f>RIGHT(P625,6)</f><v /></c><c r="S625" s="11"><f>+(Q625*60+R625)/(60*60)</f><v /></c><c r="T625" s="14"><f>+O625/S625</f><v /></c><c r="U625" s="316"><f>+(((N625-M625-O625)/O625)*100)</f><v /></c><c r="V625" s="329"><f>V624</f><v /></c><c r="W625" s="329"><f>W624</f><v /></c><c r="X625" s="330"><f>X624</f><v /></c><c r="Y625" s="45" t="n" /><c r="Z625" s="45" t="n" /><c r="AA625" s="331"><f>AA624</f><v /></c><c r="AB625" s="332"><f>AB624</f><v /></c><c r="AC625" s="11"><f>LEFT(AB625,2)</f><v /></c><c r="AD625" s="11"><f>RIGHT(AB625,6)</f><v /></c><c r="AE625" s="11"><f>+(AC625*60+AD625)/(60*60)</f><v /></c><c r="AF625" s="14"><f>+AA625/AE625</f><v /></c><c r="AG625" s="321"><f>+(((Z625-Y625-AA625)/AA625)*100)</f><v /></c><c r="AH625" s="329"><f>AH624</f><v /></c><c r="AI625" s="329"><f>AI624</f><v /></c><c r="AJ625" s="329"><f>AJ624</f><v /></c><c r="AK625" s="53"><f>Z625</f><v /></c><c r="AL625" s="45" t="n" /><c r="AM625" s="333"><f>AM624</f><v /></c><c r="AN625" s="328"><f>AN624</f><v /></c><c r="AO625" s="11"><f>LEFT(AN625,2)</f><v /></c><c r="AP625" s="11"><f>RIGHT(AN625,6)</f><v /></c><c r="AQ625" s="11"><f>+(AO625*60+AP625)/(60*60)</f><v /></c><c r="AR625" s="14"><f>+AM625/AQ625</f><v /></c><c r="AS625" s="321"><f>+(((AL625-AK625-AM625)/AM625)*100)</f><v /></c><c r="AT625" s="43"><f>IF(I625&gt;=1,"NO CONFORME",IF(BK625="SIGDIFERENTES",BC625,BL625))</f><v /></c><c r="AU625" s="8"><f>B625=C625</f><v /></c><c r="AV625" s="8"><f>N625&lt;Y625</f><v /></c><c r="AW625" s="8"><f>Z625&lt;=AK625</f><v /></c><c r="AX625" s="8"><f>IF(I625&gt;=1,"Qcorrecto",IF(AND(AY625="aceptable",AZ625="aceptable",BA625="aceptable"),"Qcorrecto","Qincorrecto"))</f><v /></c><c r="AY625" s="22"><f>IF(AR625&lt;$AH$6,"error",IF(AR625&gt;$AH$6*1.1,"error","aceptable"))</f><v /></c><c r="AZ625" s="22"><f>IF(AF625&lt;$V$6,"error",IF(AF625&gt;$V$6*1.1,"error","aceptable"))</f><v /></c><c r="BA625" s="22"><f>IF(T625&lt;$J$6*0.9,"error",IF(T625&gt;$J$6,"error","aceptable"))</f><v /></c><c r="BB625" s="25"><f>(IF(ABS(U625)&lt;1.05,"CONFORME",IF(ABS(AG625)&lt;1.05,"CONFORME",IF(ABS(AS625)&lt;2.55,"CONFORME","NO CONFORME"))))</f><v /></c><c r="BC625" s="5"><f>(IF(ABS(U625)&gt;2.05,"NO CONFORME",IF(ABS(AG625)&gt;2.05,"NO CONFORME",IF(ABS(AS625)&gt;5.05,"NO CONFORME","CONFORME"))))</f><v /></c><c r="BD625" s="15"><f>SIGN(U625)</f><v /></c><c r="BE625" s="15"><f>SIGN(AG625)</f><v /></c><c r="BF625" s="15"><f>SIGN(AS625)</f><v /></c><c r="BG625" s="15"><f>CONCATENATE(BD625,BE625,BF625)</f><v /></c><c r="BH625" s="15"><f>IF(BG625="111","SI","SD")</f><v /></c><c r="BI625" s="15"><f>IF(BG625="-1-1-1","SI","SD")</f><v /></c><c r="BJ625" s="15"><f>OR(BH625="SI",BI625="SI")</f><v /></c><c r="BK625" s="15"><f>IF(BJ625=FALSE,"SIGDIFERENTES","SIGIGUALES")</f><v /></c><c r="BL625" s="22"><f>IF(BC625="NO CONFORME","NO CONFORME",IF(BB625="CONFORME","CONFORME","NO CONFORME"))</f><v /></c></row><row r="626" ht="15.75" customHeight="1" thickBot="1"><c r="A626" s="37" t="n"><v>618</v></c><c r="B626" s="324"><f>B625</f><v /></c><c r="C626" s="324"><f>C625</f><v /></c><c r="D626" s="94"><f>D625</f><v /></c><c r="E626" s="95"><f>E625</f><v /></c><c r="F626" s="13" t="n" /><c r="G626" s="312" t="n" /><c r="H626" s="326"><f>H625</f><v /></c><c r="I626" s="98"><f>I625</f><v /></c><c r="J626" s="327"><f>J625</f><v /></c><c r="K626" s="327"><f>K625</f><v /></c><c r="L626" s="327"><f>L625</f><v /></c><c r="M626" s="45" t="n" /><c r="N626" s="45" t="n" /><c r="O626" s="100"><f>O625</f><v /></c><c r="P626" s="328"><f>P625</f><v /></c><c r="Q626" s="11"><f>LEFT(P626,1)</f><v /></c><c r="R626" s="11"><f>RIGHT(P626,6)</f><v /></c><c r="S626" s="11"><f>+(Q626*60+R626)/(60*60)</f><v /></c><c r="T626" s="14"><f>+O626/S626</f><v /></c><c r="U626" s="316"><f>+(((N626-M626-O626)/O626)*100)</f><v /></c><c r="V626" s="329"><f>V625</f><v /></c><c r="W626" s="329"><f>W625</f><v /></c><c r="X626" s="330"><f>X625</f><v /></c><c r="Y626" s="45" t="n" /><c r="Z626" s="45" t="n" /><c r="AA626" s="331"><f>AA625</f><v /></c><c r="AB626" s="332"><f>AB625</f><v /></c><c r="AC626" s="11"><f>LEFT(AB626,2)</f><v /></c><c r="AD626" s="11"><f>RIGHT(AB626,6)</f><v /></c><c r="AE626" s="11"><f>+(AC626*60+AD626)/(60*60)</f><v /></c><c r="AF626" s="14"><f>+AA626/AE626</f><v /></c><c r="AG626" s="321"><f>+(((Z626-Y626-AA626)/AA626)*100)</f><v /></c><c r="AH626" s="329"><f>AH625</f><v /></c><c r="AI626" s="329"><f>AI625</f><v /></c><c r="AJ626" s="329"><f>AJ625</f><v /></c><c r="AK626" s="53"><f>Z626</f><v /></c><c r="AL626" s="45" t="n" /><c r="AM626" s="333"><f>AM625</f><v /></c><c r="AN626" s="328"><f>AN625</f><v /></c><c r="AO626" s="11"><f>LEFT(AN626,2)</f><v /></c><c r="AP626" s="11"><f>RIGHT(AN626,6)</f><v /></c><c r="AQ626" s="11"><f>+(AO626*60+AP626)/(60*60)</f><v /></c><c r="AR626" s="14"><f>+AM626/AQ626</f><v /></c><c r="AS626" s="321"><f>+(((AL626-AK626-AM626)/AM626)*100)</f><v /></c><c r="AT626" s="43"><f>IF(I626&gt;=1,"NO CONFORME",IF(BK626="SIGDIFERENTES",BC626,BL626))</f><v /></c><c r="AU626" s="8"><f>B626=C626</f><v /></c><c r="AV626" s="8"><f>N626&lt;Y626</f><v /></c><c r="AW626" s="8"><f>Z626&lt;=AK626</f><v /></c><c r="AX626" s="8"><f>IF(I626&gt;=1,"Qcorrecto",IF(AND(AY626="aceptable",AZ626="aceptable",BA626="aceptable"),"Qcorrecto","Qincorrecto"))</f><v /></c><c r="AY626" s="22"><f>IF(AR626&lt;$AH$6,"error",IF(AR626&gt;$AH$6*1.1,"error","aceptable"))</f><v /></c><c r="AZ626" s="22"><f>IF(AF626&lt;$V$6,"error",IF(AF626&gt;$V$6*1.1,"error","aceptable"))</f><v /></c><c r="BA626" s="22"><f>IF(T626&lt;$J$6*0.9,"error",IF(T626&gt;$J$6,"error","aceptable"))</f><v /></c><c r="BB626" s="25"><f>(IF(ABS(U626)&lt;1.05,"CONFORME",IF(ABS(AG626)&lt;1.05,"CONFORME",IF(ABS(AS626)&lt;2.55,"CONFORME","NO CONFORME"))))</f><v /></c><c r="BC626" s="5"><f>(IF(ABS(U626)&gt;2.05,"NO CONFORME",IF(ABS(AG626)&gt;2.05,"NO CONFORME",IF(ABS(AS626)&gt;5.05,"NO CONFORME","CONFORME"))))</f><v /></c><c r="BD626" s="15"><f>SIGN(U626)</f><v /></c><c r="BE626" s="15"><f>SIGN(AG626)</f><v /></c><c r="BF626" s="15"><f>SIGN(AS626)</f><v /></c><c r="BG626" s="15"><f>CONCATENATE(BD626,BE626,BF626)</f><v /></c><c r="BH626" s="15"><f>IF(BG626="111","SI","SD")</f><v /></c><c r="BI626" s="15"><f>IF(BG626="-1-1-1","SI","SD")</f><v /></c><c r="BJ626" s="15"><f>OR(BH626="SI",BI626="SI")</f><v /></c><c r="BK626" s="15"><f>IF(BJ626=FALSE,"SIGDIFERENTES","SIGIGUALES")</f><v /></c><c r="BL626" s="22"><f>IF(BC626="NO CONFORME","NO CONFORME",IF(BB626="CONFORME","CONFORME","NO CONFORME"))</f><v /></c></row><row r="627" ht="15.75" customHeight="1" thickBot="1"><c r="A627" s="37" t="n"><v>619</v></c><c r="B627" s="324"><f>B626</f><v /></c><c r="C627" s="324"><f>C626</f><v /></c><c r="D627" s="94"><f>D626</f><v /></c><c r="E627" s="95"><f>E626</f><v /></c><c r="F627" s="13" t="n" /><c r="G627" s="312" t="n" /><c r="H627" s="326"><f>H626</f><v /></c><c r="I627" s="98"><f>I626</f><v /></c><c r="J627" s="327"><f>J626</f><v /></c><c r="K627" s="327"><f>K626</f><v /></c><c r="L627" s="327"><f>L626</f><v /></c><c r="M627" s="45" t="n" /><c r="N627" s="45" t="n" /><c r="O627" s="100"><f>O626</f><v /></c><c r="P627" s="328"><f>P626</f><v /></c><c r="Q627" s="11"><f>LEFT(P627,1)</f><v /></c><c r="R627" s="11"><f>RIGHT(P627,6)</f><v /></c><c r="S627" s="11"><f>+(Q627*60+R627)/(60*60)</f><v /></c><c r="T627" s="14"><f>+O627/S627</f><v /></c><c r="U627" s="316"><f>+(((N627-M627-O627)/O627)*100)</f><v /></c><c r="V627" s="329"><f>V626</f><v /></c><c r="W627" s="329"><f>W626</f><v /></c><c r="X627" s="330"><f>X626</f><v /></c><c r="Y627" s="45" t="n" /><c r="Z627" s="45" t="n" /><c r="AA627" s="331"><f>AA626</f><v /></c><c r="AB627" s="332"><f>AB626</f><v /></c><c r="AC627" s="11"><f>LEFT(AB627,2)</f><v /></c><c r="AD627" s="11"><f>RIGHT(AB627,6)</f><v /></c><c r="AE627" s="11"><f>+(AC627*60+AD627)/(60*60)</f><v /></c><c r="AF627" s="14"><f>+AA627/AE627</f><v /></c><c r="AG627" s="321"><f>+(((Z627-Y627-AA627)/AA627)*100)</f><v /></c><c r="AH627" s="329"><f>AH626</f><v /></c><c r="AI627" s="329"><f>AI626</f><v /></c><c r="AJ627" s="329"><f>AJ626</f><v /></c><c r="AK627" s="53"><f>Z627</f><v /></c><c r="AL627" s="45" t="n" /><c r="AM627" s="333"><f>AM626</f><v /></c><c r="AN627" s="328"><f>AN626</f><v /></c><c r="AO627" s="11"><f>LEFT(AN627,2)</f><v /></c><c r="AP627" s="11"><f>RIGHT(AN627,6)</f><v /></c><c r="AQ627" s="11"><f>+(AO627*60+AP627)/(60*60)</f><v /></c><c r="AR627" s="14"><f>+AM627/AQ627</f><v /></c><c r="AS627" s="321"><f>+(((AL627-AK627-AM627)/AM627)*100)</f><v /></c><c r="AT627" s="43"><f>IF(I627&gt;=1,"NO CONFORME",IF(BK627="SIGDIFERENTES",BC627,BL627))</f><v /></c><c r="AU627" s="8"><f>B627=C627</f><v /></c><c r="AV627" s="8"><f>N627&lt;Y627</f><v /></c><c r="AW627" s="8"><f>Z627&lt;=AK627</f><v /></c><c r="AX627" s="8"><f>IF(I627&gt;=1,"Qcorrecto",IF(AND(AY627="aceptable",AZ627="aceptable",BA627="aceptable"),"Qcorrecto","Qincorrecto"))</f><v /></c><c r="AY627" s="22"><f>IF(AR627&lt;$AH$6,"error",IF(AR627&gt;$AH$6*1.1,"error","aceptable"))</f><v /></c><c r="AZ627" s="22"><f>IF(AF627&lt;$V$6,"error",IF(AF627&gt;$V$6*1.1,"error","aceptable"))</f><v /></c><c r="BA627" s="22"><f>IF(T627&lt;$J$6*0.9,"error",IF(T627&gt;$J$6,"error","aceptable"))</f><v /></c><c r="BB627" s="25"><f>(IF(ABS(U627)&lt;1.05,"CONFORME",IF(ABS(AG627)&lt;1.05,"CONFORME",IF(ABS(AS627)&lt;2.55,"CONFORME","NO CONFORME"))))</f><v /></c><c r="BC627" s="5"><f>(IF(ABS(U627)&gt;2.05,"NO CONFORME",IF(ABS(AG627)&gt;2.05,"NO CONFORME",IF(ABS(AS627)&gt;5.05,"NO CONFORME","CONFORME"))))</f><v /></c><c r="BD627" s="15"><f>SIGN(U627)</f><v /></c><c r="BE627" s="15"><f>SIGN(AG627)</f><v /></c><c r="BF627" s="15"><f>SIGN(AS627)</f><v /></c><c r="BG627" s="15"><f>CONCATENATE(BD627,BE627,BF627)</f><v /></c><c r="BH627" s="15"><f>IF(BG627="111","SI","SD")</f><v /></c><c r="BI627" s="15"><f>IF(BG627="-1-1-1","SI","SD")</f><v /></c><c r="BJ627" s="15"><f>OR(BH627="SI",BI627="SI")</f><v /></c><c r="BK627" s="15"><f>IF(BJ627=FALSE,"SIGDIFERENTES","SIGIGUALES")</f><v /></c><c r="BL627" s="22"><f>IF(BC627="NO CONFORME","NO CONFORME",IF(BB627="CONFORME","CONFORME","NO CONFORME"))</f><v /></c></row><row r="628" ht="15.75" customHeight="1" thickBot="1"><c r="A628" s="37" t="n"><v>620</v></c><c r="B628" s="324"><f>B627</f><v /></c><c r="C628" s="324"><f>C627</f><v /></c><c r="D628" s="94"><f>D627</f><v /></c><c r="E628" s="95"><f>E627</f><v /></c><c r="F628" s="13" t="n" /><c r="G628" s="312" t="n" /><c r="H628" s="326"><f>H627</f><v /></c><c r="I628" s="98"><f>I627</f><v /></c><c r="J628" s="327"><f>J627</f><v /></c><c r="K628" s="327"><f>K627</f><v /></c><c r="L628" s="327"><f>L627</f><v /></c><c r="M628" s="45" t="n" /><c r="N628" s="45" t="n" /><c r="O628" s="100"><f>O627</f><v /></c><c r="P628" s="328"><f>P627</f><v /></c><c r="Q628" s="11"><f>LEFT(P628,1)</f><v /></c><c r="R628" s="11"><f>RIGHT(P628,6)</f><v /></c><c r="S628" s="11"><f>+(Q628*60+R628)/(60*60)</f><v /></c><c r="T628" s="14"><f>+O628/S628</f><v /></c><c r="U628" s="316"><f>+(((N628-M628-O628)/O628)*100)</f><v /></c><c r="V628" s="329"><f>V627</f><v /></c><c r="W628" s="329"><f>W627</f><v /></c><c r="X628" s="330"><f>X627</f><v /></c><c r="Y628" s="45" t="n" /><c r="Z628" s="45" t="n" /><c r="AA628" s="331"><f>AA627</f><v /></c><c r="AB628" s="332"><f>AB627</f><v /></c><c r="AC628" s="11"><f>LEFT(AB628,2)</f><v /></c><c r="AD628" s="11"><f>RIGHT(AB628,6)</f><v /></c><c r="AE628" s="11"><f>+(AC628*60+AD628)/(60*60)</f><v /></c><c r="AF628" s="14"><f>+AA628/AE628</f><v /></c><c r="AG628" s="321"><f>+(((Z628-Y628-AA628)/AA628)*100)</f><v /></c><c r="AH628" s="329"><f>AH627</f><v /></c><c r="AI628" s="329"><f>AI627</f><v /></c><c r="AJ628" s="329"><f>AJ627</f><v /></c><c r="AK628" s="53"><f>Z628</f><v /></c><c r="AL628" s="45" t="n" /><c r="AM628" s="333"><f>AM627</f><v /></c><c r="AN628" s="328"><f>AN627</f><v /></c><c r="AO628" s="11"><f>LEFT(AN628,2)</f><v /></c><c r="AP628" s="11"><f>RIGHT(AN628,6)</f><v /></c><c r="AQ628" s="11"><f>+(AO628*60+AP628)/(60*60)</f><v /></c><c r="AR628" s="14"><f>+AM628/AQ628</f><v /></c><c r="AS628" s="321"><f>+(((AL628-AK628-AM628)/AM628)*100)</f><v /></c><c r="AT628" s="43"><f>IF(I628&gt;=1,"NO CONFORME",IF(BK628="SIGDIFERENTES",BC628,BL628))</f><v /></c><c r="AU628" s="8"><f>B628=C628</f><v /></c><c r="AV628" s="8"><f>N628&lt;Y628</f><v /></c><c r="AW628" s="8"><f>Z628&lt;=AK628</f><v /></c><c r="AX628" s="8"><f>IF(I628&gt;=1,"Qcorrecto",IF(AND(AY628="aceptable",AZ628="aceptable",BA628="aceptable"),"Qcorrecto","Qincorrecto"))</f><v /></c><c r="AY628" s="22"><f>IF(AR628&lt;$AH$6,"error",IF(AR628&gt;$AH$6*1.1,"error","aceptable"))</f><v /></c><c r="AZ628" s="22"><f>IF(AF628&lt;$V$6,"error",IF(AF628&gt;$V$6*1.1,"error","aceptable"))</f><v /></c><c r="BA628" s="22"><f>IF(T628&lt;$J$6*0.9,"error",IF(T628&gt;$J$6,"error","aceptable"))</f><v /></c><c r="BB628" s="25"><f>(IF(ABS(U628)&lt;1.05,"CONFORME",IF(ABS(AG628)&lt;1.05,"CONFORME",IF(ABS(AS628)&lt;2.55,"CONFORME","NO CONFORME"))))</f><v /></c><c r="BC628" s="5"><f>(IF(ABS(U628)&gt;2.05,"NO CONFORME",IF(ABS(AG628)&gt;2.05,"NO CONFORME",IF(ABS(AS628)&gt;5.05,"NO CONFORME","CONFORME"))))</f><v /></c><c r="BD628" s="15"><f>SIGN(U628)</f><v /></c><c r="BE628" s="15"><f>SIGN(AG628)</f><v /></c><c r="BF628" s="15"><f>SIGN(AS628)</f><v /></c><c r="BG628" s="15"><f>CONCATENATE(BD628,BE628,BF628)</f><v /></c><c r="BH628" s="15"><f>IF(BG628="111","SI","SD")</f><v /></c><c r="BI628" s="15"><f>IF(BG628="-1-1-1","SI","SD")</f><v /></c><c r="BJ628" s="15"><f>OR(BH628="SI",BI628="SI")</f><v /></c><c r="BK628" s="15"><f>IF(BJ628=FALSE,"SIGDIFERENTES","SIGIGUALES")</f><v /></c><c r="BL628" s="22"><f>IF(BC628="NO CONFORME","NO CONFORME",IF(BB628="CONFORME","CONFORME","NO CONFORME"))</f><v /></c></row><row r="629" ht="15.75" customHeight="1" thickBot="1"><c r="A629" s="37" t="n"><v>621</v></c><c r="B629" s="324"><f>B628</f><v /></c><c r="C629" s="324"><f>C628</f><v /></c><c r="D629" s="94"><f>D628</f><v /></c><c r="E629" s="95"><f>E628</f><v /></c><c r="F629" s="13" t="n" /><c r="G629" s="312" t="n" /><c r="H629" s="326"><f>H628</f><v /></c><c r="I629" s="98"><f>I628</f><v /></c><c r="J629" s="327"><f>J628</f><v /></c><c r="K629" s="327"><f>K628</f><v /></c><c r="L629" s="327"><f>L628</f><v /></c><c r="M629" s="45" t="n" /><c r="N629" s="45" t="n" /><c r="O629" s="100"><f>O628</f><v /></c><c r="P629" s="328"><f>P628</f><v /></c><c r="Q629" s="11"><f>LEFT(P629,1)</f><v /></c><c r="R629" s="11"><f>RIGHT(P629,6)</f><v /></c><c r="S629" s="11"><f>+(Q629*60+R629)/(60*60)</f><v /></c><c r="T629" s="14"><f>+O629/S629</f><v /></c><c r="U629" s="316"><f>+(((N629-M629-O629)/O629)*100)</f><v /></c><c r="V629" s="329"><f>V628</f><v /></c><c r="W629" s="329"><f>W628</f><v /></c><c r="X629" s="330"><f>X628</f><v /></c><c r="Y629" s="45" t="n" /><c r="Z629" s="45" t="n" /><c r="AA629" s="331"><f>AA628</f><v /></c><c r="AB629" s="332"><f>AB628</f><v /></c><c r="AC629" s="11"><f>LEFT(AB629,2)</f><v /></c><c r="AD629" s="11"><f>RIGHT(AB629,6)</f><v /></c><c r="AE629" s="11"><f>+(AC629*60+AD629)/(60*60)</f><v /></c><c r="AF629" s="14"><f>+AA629/AE629</f><v /></c><c r="AG629" s="321"><f>+(((Z629-Y629-AA629)/AA629)*100)</f><v /></c><c r="AH629" s="329"><f>AH628</f><v /></c><c r="AI629" s="329"><f>AI628</f><v /></c><c r="AJ629" s="329"><f>AJ628</f><v /></c><c r="AK629" s="53"><f>Z629</f><v /></c><c r="AL629" s="45" t="n" /><c r="AM629" s="333"><f>AM628</f><v /></c><c r="AN629" s="328"><f>AN628</f><v /></c><c r="AO629" s="11"><f>LEFT(AN629,2)</f><v /></c><c r="AP629" s="11"><f>RIGHT(AN629,6)</f><v /></c><c r="AQ629" s="11"><f>+(AO629*60+AP629)/(60*60)</f><v /></c><c r="AR629" s="14"><f>+AM629/AQ629</f><v /></c><c r="AS629" s="321"><f>+(((AL629-AK629-AM629)/AM629)*100)</f><v /></c><c r="AT629" s="43"><f>IF(I629&gt;=1,"NO CONFORME",IF(BK629="SIGDIFERENTES",BC629,BL629))</f><v /></c><c r="AU629" s="8"><f>B629=C629</f><v /></c><c r="AV629" s="8"><f>N629&lt;Y629</f><v /></c><c r="AW629" s="8"><f>Z629&lt;=AK629</f><v /></c><c r="AX629" s="8"><f>IF(I629&gt;=1,"Qcorrecto",IF(AND(AY629="aceptable",AZ629="aceptable",BA629="aceptable"),"Qcorrecto","Qincorrecto"))</f><v /></c><c r="AY629" s="22"><f>IF(AR629&lt;$AH$6,"error",IF(AR629&gt;$AH$6*1.1,"error","aceptable"))</f><v /></c><c r="AZ629" s="22"><f>IF(AF629&lt;$V$6,"error",IF(AF629&gt;$V$6*1.1,"error","aceptable"))</f><v /></c><c r="BA629" s="22"><f>IF(T629&lt;$J$6*0.9,"error",IF(T629&gt;$J$6,"error","aceptable"))</f><v /></c><c r="BB629" s="25"><f>(IF(ABS(U629)&lt;1.05,"CONFORME",IF(ABS(AG629)&lt;1.05,"CONFORME",IF(ABS(AS629)&lt;2.55,"CONFORME","NO CONFORME"))))</f><v /></c><c r="BC629" s="5"><f>(IF(ABS(U629)&gt;2.05,"NO CONFORME",IF(ABS(AG629)&gt;2.05,"NO CONFORME",IF(ABS(AS629)&gt;5.05,"NO CONFORME","CONFORME"))))</f><v /></c><c r="BD629" s="15"><f>SIGN(U629)</f><v /></c><c r="BE629" s="15"><f>SIGN(AG629)</f><v /></c><c r="BF629" s="15"><f>SIGN(AS629)</f><v /></c><c r="BG629" s="15"><f>CONCATENATE(BD629,BE629,BF629)</f><v /></c><c r="BH629" s="15"><f>IF(BG629="111","SI","SD")</f><v /></c><c r="BI629" s="15"><f>IF(BG629="-1-1-1","SI","SD")</f><v /></c><c r="BJ629" s="15"><f>OR(BH629="SI",BI629="SI")</f><v /></c><c r="BK629" s="15"><f>IF(BJ629=FALSE,"SIGDIFERENTES","SIGIGUALES")</f><v /></c><c r="BL629" s="22"><f>IF(BC629="NO CONFORME","NO CONFORME",IF(BB629="CONFORME","CONFORME","NO CONFORME"))</f><v /></c></row><row r="630" ht="15.75" customHeight="1" thickBot="1"><c r="A630" s="37" t="n"><v>622</v></c><c r="B630" s="324"><f>B629</f><v /></c><c r="C630" s="324"><f>C629</f><v /></c><c r="D630" s="94"><f>D629</f><v /></c><c r="E630" s="95"><f>E629</f><v /></c><c r="F630" s="13" t="n" /><c r="G630" s="312" t="n" /><c r="H630" s="326"><f>H629</f><v /></c><c r="I630" s="98"><f>I629</f><v /></c><c r="J630" s="327"><f>J629</f><v /></c><c r="K630" s="327"><f>K629</f><v /></c><c r="L630" s="327"><f>L629</f><v /></c><c r="M630" s="45" t="n" /><c r="N630" s="45" t="n" /><c r="O630" s="100"><f>O629</f><v /></c><c r="P630" s="328"><f>P629</f><v /></c><c r="Q630" s="11"><f>LEFT(P630,1)</f><v /></c><c r="R630" s="11"><f>RIGHT(P630,6)</f><v /></c><c r="S630" s="11"><f>+(Q630*60+R630)/(60*60)</f><v /></c><c r="T630" s="14"><f>+O630/S630</f><v /></c><c r="U630" s="316"><f>+(((N630-M630-O630)/O630)*100)</f><v /></c><c r="V630" s="329"><f>V629</f><v /></c><c r="W630" s="329"><f>W629</f><v /></c><c r="X630" s="330"><f>X629</f><v /></c><c r="Y630" s="45" t="n" /><c r="Z630" s="45" t="n" /><c r="AA630" s="331"><f>AA629</f><v /></c><c r="AB630" s="332"><f>AB629</f><v /></c><c r="AC630" s="11"><f>LEFT(AB630,2)</f><v /></c><c r="AD630" s="11"><f>RIGHT(AB630,6)</f><v /></c><c r="AE630" s="11"><f>+(AC630*60+AD630)/(60*60)</f><v /></c><c r="AF630" s="14"><f>+AA630/AE630</f><v /></c><c r="AG630" s="321"><f>+(((Z630-Y630-AA630)/AA630)*100)</f><v /></c><c r="AH630" s="329"><f>AH629</f><v /></c><c r="AI630" s="329"><f>AI629</f><v /></c><c r="AJ630" s="329"><f>AJ629</f><v /></c><c r="AK630" s="53"><f>Z630</f><v /></c><c r="AL630" s="45" t="n" /><c r="AM630" s="333"><f>AM629</f><v /></c><c r="AN630" s="328"><f>AN629</f><v /></c><c r="AO630" s="11"><f>LEFT(AN630,2)</f><v /></c><c r="AP630" s="11"><f>RIGHT(AN630,6)</f><v /></c><c r="AQ630" s="11"><f>+(AO630*60+AP630)/(60*60)</f><v /></c><c r="AR630" s="14"><f>+AM630/AQ630</f><v /></c><c r="AS630" s="321"><f>+(((AL630-AK630-AM630)/AM630)*100)</f><v /></c><c r="AT630" s="43"><f>IF(I630&gt;=1,"NO CONFORME",IF(BK630="SIGDIFERENTES",BC630,BL630))</f><v /></c><c r="AU630" s="8"><f>B630=C630</f><v /></c><c r="AV630" s="8"><f>N630&lt;Y630</f><v /></c><c r="AW630" s="8"><f>Z630&lt;=AK630</f><v /></c><c r="AX630" s="8"><f>IF(I630&gt;=1,"Qcorrecto",IF(AND(AY630="aceptable",AZ630="aceptable",BA630="aceptable"),"Qcorrecto","Qincorrecto"))</f><v /></c><c r="AY630" s="22"><f>IF(AR630&lt;$AH$6,"error",IF(AR630&gt;$AH$6*1.1,"error","aceptable"))</f><v /></c><c r="AZ630" s="22"><f>IF(AF630&lt;$V$6,"error",IF(AF630&gt;$V$6*1.1,"error","aceptable"))</f><v /></c><c r="BA630" s="22"><f>IF(T630&lt;$J$6*0.9,"error",IF(T630&gt;$J$6,"error","aceptable"))</f><v /></c><c r="BB630" s="25"><f>(IF(ABS(U630)&lt;1.05,"CONFORME",IF(ABS(AG630)&lt;1.05,"CONFORME",IF(ABS(AS630)&lt;2.55,"CONFORME","NO CONFORME"))))</f><v /></c><c r="BC630" s="5"><f>(IF(ABS(U630)&gt;2.05,"NO CONFORME",IF(ABS(AG630)&gt;2.05,"NO CONFORME",IF(ABS(AS630)&gt;5.05,"NO CONFORME","CONFORME"))))</f><v /></c><c r="BD630" s="15"><f>SIGN(U630)</f><v /></c><c r="BE630" s="15"><f>SIGN(AG630)</f><v /></c><c r="BF630" s="15"><f>SIGN(AS630)</f><v /></c><c r="BG630" s="15"><f>CONCATENATE(BD630,BE630,BF630)</f><v /></c><c r="BH630" s="15"><f>IF(BG630="111","SI","SD")</f><v /></c><c r="BI630" s="15"><f>IF(BG630="-1-1-1","SI","SD")</f><v /></c><c r="BJ630" s="15"><f>OR(BH630="SI",BI630="SI")</f><v /></c><c r="BK630" s="15"><f>IF(BJ630=FALSE,"SIGDIFERENTES","SIGIGUALES")</f><v /></c><c r="BL630" s="22"><f>IF(BC630="NO CONFORME","NO CONFORME",IF(BB630="CONFORME","CONFORME","NO CONFORME"))</f><v /></c></row><row r="631" ht="15.75" customHeight="1" thickBot="1"><c r="A631" s="37" t="n"><v>623</v></c><c r="B631" s="324"><f>B630</f><v /></c><c r="C631" s="324"><f>C630</f><v /></c><c r="D631" s="94"><f>D630</f><v /></c><c r="E631" s="95"><f>E630</f><v /></c><c r="F631" s="13" t="n" /><c r="G631" s="312" t="n" /><c r="H631" s="326"><f>H630</f><v /></c><c r="I631" s="98"><f>I630</f><v /></c><c r="J631" s="327"><f>J630</f><v /></c><c r="K631" s="327"><f>K630</f><v /></c><c r="L631" s="327"><f>L630</f><v /></c><c r="M631" s="45" t="n" /><c r="N631" s="45" t="n" /><c r="O631" s="100"><f>O630</f><v /></c><c r="P631" s="328"><f>P630</f><v /></c><c r="Q631" s="11"><f>LEFT(P631,1)</f><v /></c><c r="R631" s="11"><f>RIGHT(P631,6)</f><v /></c><c r="S631" s="11"><f>+(Q631*60+R631)/(60*60)</f><v /></c><c r="T631" s="14"><f>+O631/S631</f><v /></c><c r="U631" s="316"><f>+(((N631-M631-O631)/O631)*100)</f><v /></c><c r="V631" s="329"><f>V630</f><v /></c><c r="W631" s="329"><f>W630</f><v /></c><c r="X631" s="330"><f>X630</f><v /></c><c r="Y631" s="45" t="n" /><c r="Z631" s="45" t="n" /><c r="AA631" s="331"><f>AA630</f><v /></c><c r="AB631" s="332"><f>AB630</f><v /></c><c r="AC631" s="11"><f>LEFT(AB631,2)</f><v /></c><c r="AD631" s="11"><f>RIGHT(AB631,6)</f><v /></c><c r="AE631" s="11"><f>+(AC631*60+AD631)/(60*60)</f><v /></c><c r="AF631" s="14"><f>+AA631/AE631</f><v /></c><c r="AG631" s="321"><f>+(((Z631-Y631-AA631)/AA631)*100)</f><v /></c><c r="AH631" s="329"><f>AH630</f><v /></c><c r="AI631" s="329"><f>AI630</f><v /></c><c r="AJ631" s="329"><f>AJ630</f><v /></c><c r="AK631" s="53"><f>Z631</f><v /></c><c r="AL631" s="45" t="n" /><c r="AM631" s="333"><f>AM630</f><v /></c><c r="AN631" s="328"><f>AN630</f><v /></c><c r="AO631" s="11"><f>LEFT(AN631,2)</f><v /></c><c r="AP631" s="11"><f>RIGHT(AN631,6)</f><v /></c><c r="AQ631" s="11"><f>+(AO631*60+AP631)/(60*60)</f><v /></c><c r="AR631" s="14"><f>+AM631/AQ631</f><v /></c><c r="AS631" s="321"><f>+(((AL631-AK631-AM631)/AM631)*100)</f><v /></c><c r="AT631" s="43"><f>IF(I631&gt;=1,"NO CONFORME",IF(BK631="SIGDIFERENTES",BC631,BL631))</f><v /></c><c r="AU631" s="8"><f>B631=C631</f><v /></c><c r="AV631" s="8"><f>N631&lt;Y631</f><v /></c><c r="AW631" s="8"><f>Z631&lt;=AK631</f><v /></c><c r="AX631" s="8"><f>IF(I631&gt;=1,"Qcorrecto",IF(AND(AY631="aceptable",AZ631="aceptable",BA631="aceptable"),"Qcorrecto","Qincorrecto"))</f><v /></c><c r="AY631" s="22"><f>IF(AR631&lt;$AH$6,"error",IF(AR631&gt;$AH$6*1.1,"error","aceptable"))</f><v /></c><c r="AZ631" s="22"><f>IF(AF631&lt;$V$6,"error",IF(AF631&gt;$V$6*1.1,"error","aceptable"))</f><v /></c><c r="BA631" s="22"><f>IF(T631&lt;$J$6*0.9,"error",IF(T631&gt;$J$6,"error","aceptable"))</f><v /></c><c r="BB631" s="25"><f>(IF(ABS(U631)&lt;1.05,"CONFORME",IF(ABS(AG631)&lt;1.05,"CONFORME",IF(ABS(AS631)&lt;2.55,"CONFORME","NO CONFORME"))))</f><v /></c><c r="BC631" s="5"><f>(IF(ABS(U631)&gt;2.05,"NO CONFORME",IF(ABS(AG631)&gt;2.05,"NO CONFORME",IF(ABS(AS631)&gt;5.05,"NO CONFORME","CONFORME"))))</f><v /></c><c r="BD631" s="15"><f>SIGN(U631)</f><v /></c><c r="BE631" s="15"><f>SIGN(AG631)</f><v /></c><c r="BF631" s="15"><f>SIGN(AS631)</f><v /></c><c r="BG631" s="15"><f>CONCATENATE(BD631,BE631,BF631)</f><v /></c><c r="BH631" s="15"><f>IF(BG631="111","SI","SD")</f><v /></c><c r="BI631" s="15"><f>IF(BG631="-1-1-1","SI","SD")</f><v /></c><c r="BJ631" s="15"><f>OR(BH631="SI",BI631="SI")</f><v /></c><c r="BK631" s="15"><f>IF(BJ631=FALSE,"SIGDIFERENTES","SIGIGUALES")</f><v /></c><c r="BL631" s="22"><f>IF(BC631="NO CONFORME","NO CONFORME",IF(BB631="CONFORME","CONFORME","NO CONFORME"))</f><v /></c></row><row r="632" ht="15.75" customHeight="1" thickBot="1"><c r="A632" s="37" t="n"><v>624</v></c><c r="B632" s="324"><f>B631</f><v /></c><c r="C632" s="324"><f>C631</f><v /></c><c r="D632" s="94"><f>D631</f><v /></c><c r="E632" s="95"><f>E631</f><v /></c><c r="F632" s="13" t="n" /><c r="G632" s="312" t="n" /><c r="H632" s="326"><f>H631</f><v /></c><c r="I632" s="98"><f>I631</f><v /></c><c r="J632" s="327"><f>J631</f><v /></c><c r="K632" s="327"><f>K631</f><v /></c><c r="L632" s="327"><f>L631</f><v /></c><c r="M632" s="45" t="n" /><c r="N632" s="45" t="n" /><c r="O632" s="100"><f>O631</f><v /></c><c r="P632" s="328"><f>P631</f><v /></c><c r="Q632" s="11"><f>LEFT(P632,1)</f><v /></c><c r="R632" s="11"><f>RIGHT(P632,6)</f><v /></c><c r="S632" s="11"><f>+(Q632*60+R632)/(60*60)</f><v /></c><c r="T632" s="14"><f>+O632/S632</f><v /></c><c r="U632" s="316"><f>+(((N632-M632-O632)/O632)*100)</f><v /></c><c r="V632" s="329"><f>V631</f><v /></c><c r="W632" s="329"><f>W631</f><v /></c><c r="X632" s="330"><f>X631</f><v /></c><c r="Y632" s="45" t="n" /><c r="Z632" s="45" t="n" /><c r="AA632" s="331"><f>AA631</f><v /></c><c r="AB632" s="332"><f>AB631</f><v /></c><c r="AC632" s="11"><f>LEFT(AB632,2)</f><v /></c><c r="AD632" s="11"><f>RIGHT(AB632,6)</f><v /></c><c r="AE632" s="11"><f>+(AC632*60+AD632)/(60*60)</f><v /></c><c r="AF632" s="14"><f>+AA632/AE632</f><v /></c><c r="AG632" s="321"><f>+(((Z632-Y632-AA632)/AA632)*100)</f><v /></c><c r="AH632" s="329"><f>AH631</f><v /></c><c r="AI632" s="329"><f>AI631</f><v /></c><c r="AJ632" s="329"><f>AJ631</f><v /></c><c r="AK632" s="53"><f>Z632</f><v /></c><c r="AL632" s="45" t="n" /><c r="AM632" s="333"><f>AM631</f><v /></c><c r="AN632" s="328"><f>AN631</f><v /></c><c r="AO632" s="11"><f>LEFT(AN632,2)</f><v /></c><c r="AP632" s="11"><f>RIGHT(AN632,6)</f><v /></c><c r="AQ632" s="11"><f>+(AO632*60+AP632)/(60*60)</f><v /></c><c r="AR632" s="14"><f>+AM632/AQ632</f><v /></c><c r="AS632" s="321"><f>+(((AL632-AK632-AM632)/AM632)*100)</f><v /></c><c r="AT632" s="43"><f>IF(I632&gt;=1,"NO CONFORME",IF(BK632="SIGDIFERENTES",BC632,BL632))</f><v /></c><c r="AU632" s="8"><f>B632=C632</f><v /></c><c r="AV632" s="8"><f>N632&lt;Y632</f><v /></c><c r="AW632" s="8"><f>Z632&lt;=AK632</f><v /></c><c r="AX632" s="8"><f>IF(I632&gt;=1,"Qcorrecto",IF(AND(AY632="aceptable",AZ632="aceptable",BA632="aceptable"),"Qcorrecto","Qincorrecto"))</f><v /></c><c r="AY632" s="22"><f>IF(AR632&lt;$AH$6,"error",IF(AR632&gt;$AH$6*1.1,"error","aceptable"))</f><v /></c><c r="AZ632" s="22"><f>IF(AF632&lt;$V$6,"error",IF(AF632&gt;$V$6*1.1,"error","aceptable"))</f><v /></c><c r="BA632" s="22"><f>IF(T632&lt;$J$6*0.9,"error",IF(T632&gt;$J$6,"error","aceptable"))</f><v /></c><c r="BB632" s="25"><f>(IF(ABS(U632)&lt;1.05,"CONFORME",IF(ABS(AG632)&lt;1.05,"CONFORME",IF(ABS(AS632)&lt;2.55,"CONFORME","NO CONFORME"))))</f><v /></c><c r="BC632" s="5"><f>(IF(ABS(U632)&gt;2.05,"NO CONFORME",IF(ABS(AG632)&gt;2.05,"NO CONFORME",IF(ABS(AS632)&gt;5.05,"NO CONFORME","CONFORME"))))</f><v /></c><c r="BD632" s="15"><f>SIGN(U632)</f><v /></c><c r="BE632" s="15"><f>SIGN(AG632)</f><v /></c><c r="BF632" s="15"><f>SIGN(AS632)</f><v /></c><c r="BG632" s="15"><f>CONCATENATE(BD632,BE632,BF632)</f><v /></c><c r="BH632" s="15"><f>IF(BG632="111","SI","SD")</f><v /></c><c r="BI632" s="15"><f>IF(BG632="-1-1-1","SI","SD")</f><v /></c><c r="BJ632" s="15"><f>OR(BH632="SI",BI632="SI")</f><v /></c><c r="BK632" s="15"><f>IF(BJ632=FALSE,"SIGDIFERENTES","SIGIGUALES")</f><v /></c><c r="BL632" s="22"><f>IF(BC632="NO CONFORME","NO CONFORME",IF(BB632="CONFORME","CONFORME","NO CONFORME"))</f><v /></c></row><row r="633" ht="15.75" customHeight="1" thickBot="1"><c r="A633" s="37" t="n"><v>625</v></c><c r="B633" s="324"><f>B632</f><v /></c><c r="C633" s="324"><f>C632</f><v /></c><c r="D633" s="94"><f>D632</f><v /></c><c r="E633" s="95"><f>E632</f><v /></c><c r="F633" s="13" t="n" /><c r="G633" s="312" t="n" /><c r="H633" s="326"><f>H632</f><v /></c><c r="I633" s="98"><f>I632</f><v /></c><c r="J633" s="327"><f>J632</f><v /></c><c r="K633" s="327"><f>K632</f><v /></c><c r="L633" s="327"><f>L632</f><v /></c><c r="M633" s="45" t="n" /><c r="N633" s="45" t="n" /><c r="O633" s="100"><f>O632</f><v /></c><c r="P633" s="328"><f>P632</f><v /></c><c r="Q633" s="11"><f>LEFT(P633,1)</f><v /></c><c r="R633" s="11"><f>RIGHT(P633,6)</f><v /></c><c r="S633" s="11"><f>+(Q633*60+R633)/(60*60)</f><v /></c><c r="T633" s="14"><f>+O633/S633</f><v /></c><c r="U633" s="316"><f>+(((N633-M633-O633)/O633)*100)</f><v /></c><c r="V633" s="329"><f>V632</f><v /></c><c r="W633" s="329"><f>W632</f><v /></c><c r="X633" s="330"><f>X632</f><v /></c><c r="Y633" s="45" t="n" /><c r="Z633" s="45" t="n" /><c r="AA633" s="331"><f>AA632</f><v /></c><c r="AB633" s="332"><f>AB632</f><v /></c><c r="AC633" s="11"><f>LEFT(AB633,2)</f><v /></c><c r="AD633" s="11"><f>RIGHT(AB633,6)</f><v /></c><c r="AE633" s="11"><f>+(AC633*60+AD633)/(60*60)</f><v /></c><c r="AF633" s="14"><f>+AA633/AE633</f><v /></c><c r="AG633" s="321"><f>+(((Z633-Y633-AA633)/AA633)*100)</f><v /></c><c r="AH633" s="329"><f>AH632</f><v /></c><c r="AI633" s="329"><f>AI632</f><v /></c><c r="AJ633" s="329"><f>AJ632</f><v /></c><c r="AK633" s="53"><f>Z633</f><v /></c><c r="AL633" s="45" t="n" /><c r="AM633" s="333"><f>AM632</f><v /></c><c r="AN633" s="328"><f>AN632</f><v /></c><c r="AO633" s="11"><f>LEFT(AN633,2)</f><v /></c><c r="AP633" s="11"><f>RIGHT(AN633,6)</f><v /></c><c r="AQ633" s="11"><f>+(AO633*60+AP633)/(60*60)</f><v /></c><c r="AR633" s="14"><f>+AM633/AQ633</f><v /></c><c r="AS633" s="321"><f>+(((AL633-AK633-AM633)/AM633)*100)</f><v /></c><c r="AT633" s="43"><f>IF(I633&gt;=1,"NO CONFORME",IF(BK633="SIGDIFERENTES",BC633,BL633))</f><v /></c><c r="AU633" s="8"><f>B633=C633</f><v /></c><c r="AV633" s="8"><f>N633&lt;Y633</f><v /></c><c r="AW633" s="8"><f>Z633&lt;=AK633</f><v /></c><c r="AX633" s="8"><f>IF(I633&gt;=1,"Qcorrecto",IF(AND(AY633="aceptable",AZ633="aceptable",BA633="aceptable"),"Qcorrecto","Qincorrecto"))</f><v /></c><c r="AY633" s="22"><f>IF(AR633&lt;$AH$6,"error",IF(AR633&gt;$AH$6*1.1,"error","aceptable"))</f><v /></c><c r="AZ633" s="22"><f>IF(AF633&lt;$V$6,"error",IF(AF633&gt;$V$6*1.1,"error","aceptable"))</f><v /></c><c r="BA633" s="22"><f>IF(T633&lt;$J$6*0.9,"error",IF(T633&gt;$J$6,"error","aceptable"))</f><v /></c><c r="BB633" s="25"><f>(IF(ABS(U633)&lt;1.05,"CONFORME",IF(ABS(AG633)&lt;1.05,"CONFORME",IF(ABS(AS633)&lt;2.55,"CONFORME","NO CONFORME"))))</f><v /></c><c r="BC633" s="5"><f>(IF(ABS(U633)&gt;2.05,"NO CONFORME",IF(ABS(AG633)&gt;2.05,"NO CONFORME",IF(ABS(AS633)&gt;5.05,"NO CONFORME","CONFORME"))))</f><v /></c><c r="BD633" s="15"><f>SIGN(U633)</f><v /></c><c r="BE633" s="15"><f>SIGN(AG633)</f><v /></c><c r="BF633" s="15"><f>SIGN(AS633)</f><v /></c><c r="BG633" s="15"><f>CONCATENATE(BD633,BE633,BF633)</f><v /></c><c r="BH633" s="15"><f>IF(BG633="111","SI","SD")</f><v /></c><c r="BI633" s="15"><f>IF(BG633="-1-1-1","SI","SD")</f><v /></c><c r="BJ633" s="15"><f>OR(BH633="SI",BI633="SI")</f><v /></c><c r="BK633" s="15"><f>IF(BJ633=FALSE,"SIGDIFERENTES","SIGIGUALES")</f><v /></c><c r="BL633" s="22"><f>IF(BC633="NO CONFORME","NO CONFORME",IF(BB633="CONFORME","CONFORME","NO CONFORME"))</f><v /></c></row><row r="634" ht="15.75" customHeight="1" thickBot="1"><c r="A634" s="37" t="n"><v>626</v></c><c r="B634" s="324"><f>B633</f><v /></c><c r="C634" s="324"><f>C633</f><v /></c><c r="D634" s="94"><f>D633</f><v /></c><c r="E634" s="95"><f>E633</f><v /></c><c r="F634" s="13" t="n" /><c r="G634" s="312" t="n" /><c r="H634" s="326"><f>H633</f><v /></c><c r="I634" s="98"><f>I633</f><v /></c><c r="J634" s="327"><f>J633</f><v /></c><c r="K634" s="327"><f>K633</f><v /></c><c r="L634" s="327"><f>L633</f><v /></c><c r="M634" s="45" t="n" /><c r="N634" s="45" t="n" /><c r="O634" s="100"><f>O633</f><v /></c><c r="P634" s="328"><f>P633</f><v /></c><c r="Q634" s="11"><f>LEFT(P634,1)</f><v /></c><c r="R634" s="11"><f>RIGHT(P634,6)</f><v /></c><c r="S634" s="11"><f>+(Q634*60+R634)/(60*60)</f><v /></c><c r="T634" s="14"><f>+O634/S634</f><v /></c><c r="U634" s="316"><f>+(((N634-M634-O634)/O634)*100)</f><v /></c><c r="V634" s="329"><f>V633</f><v /></c><c r="W634" s="329"><f>W633</f><v /></c><c r="X634" s="330"><f>X633</f><v /></c><c r="Y634" s="45" t="n" /><c r="Z634" s="45" t="n" /><c r="AA634" s="331"><f>AA633</f><v /></c><c r="AB634" s="332"><f>AB633</f><v /></c><c r="AC634" s="11"><f>LEFT(AB634,2)</f><v /></c><c r="AD634" s="11"><f>RIGHT(AB634,6)</f><v /></c><c r="AE634" s="11"><f>+(AC634*60+AD634)/(60*60)</f><v /></c><c r="AF634" s="14"><f>+AA634/AE634</f><v /></c><c r="AG634" s="321"><f>+(((Z634-Y634-AA634)/AA634)*100)</f><v /></c><c r="AH634" s="329"><f>AH633</f><v /></c><c r="AI634" s="329"><f>AI633</f><v /></c><c r="AJ634" s="329"><f>AJ633</f><v /></c><c r="AK634" s="53"><f>Z634</f><v /></c><c r="AL634" s="45" t="n" /><c r="AM634" s="333"><f>AM633</f><v /></c><c r="AN634" s="328"><f>AN633</f><v /></c><c r="AO634" s="11"><f>LEFT(AN634,2)</f><v /></c><c r="AP634" s="11"><f>RIGHT(AN634,6)</f><v /></c><c r="AQ634" s="11"><f>+(AO634*60+AP634)/(60*60)</f><v /></c><c r="AR634" s="14"><f>+AM634/AQ634</f><v /></c><c r="AS634" s="321"><f>+(((AL634-AK634-AM634)/AM634)*100)</f><v /></c><c r="AT634" s="43"><f>IF(I634&gt;=1,"NO CONFORME",IF(BK634="SIGDIFERENTES",BC634,BL634))</f><v /></c><c r="AU634" s="8"><f>B634=C634</f><v /></c><c r="AV634" s="8"><f>N634&lt;Y634</f><v /></c><c r="AW634" s="8"><f>Z634&lt;=AK634</f><v /></c><c r="AX634" s="8"><f>IF(I634&gt;=1,"Qcorrecto",IF(AND(AY634="aceptable",AZ634="aceptable",BA634="aceptable"),"Qcorrecto","Qincorrecto"))</f><v /></c><c r="AY634" s="22"><f>IF(AR634&lt;$AH$6,"error",IF(AR634&gt;$AH$6*1.1,"error","aceptable"))</f><v /></c><c r="AZ634" s="22"><f>IF(AF634&lt;$V$6,"error",IF(AF634&gt;$V$6*1.1,"error","aceptable"))</f><v /></c><c r="BA634" s="22"><f>IF(T634&lt;$J$6*0.9,"error",IF(T634&gt;$J$6,"error","aceptable"))</f><v /></c><c r="BB634" s="25"><f>(IF(ABS(U634)&lt;1.05,"CONFORME",IF(ABS(AG634)&lt;1.05,"CONFORME",IF(ABS(AS634)&lt;2.55,"CONFORME","NO CONFORME"))))</f><v /></c><c r="BC634" s="5"><f>(IF(ABS(U634)&gt;2.05,"NO CONFORME",IF(ABS(AG634)&gt;2.05,"NO CONFORME",IF(ABS(AS634)&gt;5.05,"NO CONFORME","CONFORME"))))</f><v /></c><c r="BD634" s="15"><f>SIGN(U634)</f><v /></c><c r="BE634" s="15"><f>SIGN(AG634)</f><v /></c><c r="BF634" s="15"><f>SIGN(AS634)</f><v /></c><c r="BG634" s="15"><f>CONCATENATE(BD634,BE634,BF634)</f><v /></c><c r="BH634" s="15"><f>IF(BG634="111","SI","SD")</f><v /></c><c r="BI634" s="15"><f>IF(BG634="-1-1-1","SI","SD")</f><v /></c><c r="BJ634" s="15"><f>OR(BH634="SI",BI634="SI")</f><v /></c><c r="BK634" s="15"><f>IF(BJ634=FALSE,"SIGDIFERENTES","SIGIGUALES")</f><v /></c><c r="BL634" s="22"><f>IF(BC634="NO CONFORME","NO CONFORME",IF(BB634="CONFORME","CONFORME","NO CONFORME"))</f><v /></c></row><row r="635" ht="15.75" customHeight="1" thickBot="1"><c r="A635" s="37" t="n"><v>627</v></c><c r="B635" s="324"><f>B634</f><v /></c><c r="C635" s="324"><f>C634</f><v /></c><c r="D635" s="94"><f>D634</f><v /></c><c r="E635" s="95"><f>E634</f><v /></c><c r="F635" s="13" t="n" /><c r="G635" s="312" t="n" /><c r="H635" s="326"><f>H634</f><v /></c><c r="I635" s="98"><f>I634</f><v /></c><c r="J635" s="327"><f>J634</f><v /></c><c r="K635" s="327"><f>K634</f><v /></c><c r="L635" s="327"><f>L634</f><v /></c><c r="M635" s="45" t="n" /><c r="N635" s="45" t="n" /><c r="O635" s="100"><f>O634</f><v /></c><c r="P635" s="328"><f>P634</f><v /></c><c r="Q635" s="11"><f>LEFT(P635,1)</f><v /></c><c r="R635" s="11"><f>RIGHT(P635,6)</f><v /></c><c r="S635" s="11"><f>+(Q635*60+R635)/(60*60)</f><v /></c><c r="T635" s="14"><f>+O635/S635</f><v /></c><c r="U635" s="316"><f>+(((N635-M635-O635)/O635)*100)</f><v /></c><c r="V635" s="329"><f>V634</f><v /></c><c r="W635" s="329"><f>W634</f><v /></c><c r="X635" s="330"><f>X634</f><v /></c><c r="Y635" s="45" t="n" /><c r="Z635" s="45" t="n" /><c r="AA635" s="331"><f>AA634</f><v /></c><c r="AB635" s="332"><f>AB634</f><v /></c><c r="AC635" s="11"><f>LEFT(AB635,2)</f><v /></c><c r="AD635" s="11"><f>RIGHT(AB635,6)</f><v /></c><c r="AE635" s="11"><f>+(AC635*60+AD635)/(60*60)</f><v /></c><c r="AF635" s="14"><f>+AA635/AE635</f><v /></c><c r="AG635" s="321"><f>+(((Z635-Y635-AA635)/AA635)*100)</f><v /></c><c r="AH635" s="329"><f>AH634</f><v /></c><c r="AI635" s="329"><f>AI634</f><v /></c><c r="AJ635" s="329"><f>AJ634</f><v /></c><c r="AK635" s="53"><f>Z635</f><v /></c><c r="AL635" s="45" t="n" /><c r="AM635" s="333"><f>AM634</f><v /></c><c r="AN635" s="328"><f>AN634</f><v /></c><c r="AO635" s="11"><f>LEFT(AN635,2)</f><v /></c><c r="AP635" s="11"><f>RIGHT(AN635,6)</f><v /></c><c r="AQ635" s="11"><f>+(AO635*60+AP635)/(60*60)</f><v /></c><c r="AR635" s="14"><f>+AM635/AQ635</f><v /></c><c r="AS635" s="321"><f>+(((AL635-AK635-AM635)/AM635)*100)</f><v /></c><c r="AT635" s="43"><f>IF(I635&gt;=1,"NO CONFORME",IF(BK635="SIGDIFERENTES",BC635,BL635))</f><v /></c><c r="AU635" s="8"><f>B635=C635</f><v /></c><c r="AV635" s="8"><f>N635&lt;Y635</f><v /></c><c r="AW635" s="8"><f>Z635&lt;=AK635</f><v /></c><c r="AX635" s="8"><f>IF(I635&gt;=1,"Qcorrecto",IF(AND(AY635="aceptable",AZ635="aceptable",BA635="aceptable"),"Qcorrecto","Qincorrecto"))</f><v /></c><c r="AY635" s="22"><f>IF(AR635&lt;$AH$6,"error",IF(AR635&gt;$AH$6*1.1,"error","aceptable"))</f><v /></c><c r="AZ635" s="22"><f>IF(AF635&lt;$V$6,"error",IF(AF635&gt;$V$6*1.1,"error","aceptable"))</f><v /></c><c r="BA635" s="22"><f>IF(T635&lt;$J$6*0.9,"error",IF(T635&gt;$J$6,"error","aceptable"))</f><v /></c><c r="BB635" s="25"><f>(IF(ABS(U635)&lt;1.05,"CONFORME",IF(ABS(AG635)&lt;1.05,"CONFORME",IF(ABS(AS635)&lt;2.55,"CONFORME","NO CONFORME"))))</f><v /></c><c r="BC635" s="5"><f>(IF(ABS(U635)&gt;2.05,"NO CONFORME",IF(ABS(AG635)&gt;2.05,"NO CONFORME",IF(ABS(AS635)&gt;5.05,"NO CONFORME","CONFORME"))))</f><v /></c><c r="BD635" s="15"><f>SIGN(U635)</f><v /></c><c r="BE635" s="15"><f>SIGN(AG635)</f><v /></c><c r="BF635" s="15"><f>SIGN(AS635)</f><v /></c><c r="BG635" s="15"><f>CONCATENATE(BD635,BE635,BF635)</f><v /></c><c r="BH635" s="15"><f>IF(BG635="111","SI","SD")</f><v /></c><c r="BI635" s="15"><f>IF(BG635="-1-1-1","SI","SD")</f><v /></c><c r="BJ635" s="15"><f>OR(BH635="SI",BI635="SI")</f><v /></c><c r="BK635" s="15"><f>IF(BJ635=FALSE,"SIGDIFERENTES","SIGIGUALES")</f><v /></c><c r="BL635" s="22"><f>IF(BC635="NO CONFORME","NO CONFORME",IF(BB635="CONFORME","CONFORME","NO CONFORME"))</f><v /></c></row><row r="636" ht="15.75" customHeight="1" thickBot="1"><c r="A636" s="37" t="n"><v>628</v></c><c r="B636" s="324"><f>B635</f><v /></c><c r="C636" s="324"><f>C635</f><v /></c><c r="D636" s="94"><f>D635</f><v /></c><c r="E636" s="95"><f>E635</f><v /></c><c r="F636" s="13" t="n" /><c r="G636" s="312" t="n" /><c r="H636" s="326"><f>H635</f><v /></c><c r="I636" s="98"><f>I635</f><v /></c><c r="J636" s="327"><f>J635</f><v /></c><c r="K636" s="327"><f>K635</f><v /></c><c r="L636" s="327"><f>L635</f><v /></c><c r="M636" s="45" t="n" /><c r="N636" s="45" t="n" /><c r="O636" s="100"><f>O635</f><v /></c><c r="P636" s="328"><f>P635</f><v /></c><c r="Q636" s="11"><f>LEFT(P636,1)</f><v /></c><c r="R636" s="11"><f>RIGHT(P636,6)</f><v /></c><c r="S636" s="11"><f>+(Q636*60+R636)/(60*60)</f><v /></c><c r="T636" s="14"><f>+O636/S636</f><v /></c><c r="U636" s="316"><f>+(((N636-M636-O636)/O636)*100)</f><v /></c><c r="V636" s="329"><f>V635</f><v /></c><c r="W636" s="329"><f>W635</f><v /></c><c r="X636" s="330"><f>X635</f><v /></c><c r="Y636" s="45" t="n" /><c r="Z636" s="45" t="n" /><c r="AA636" s="331"><f>AA635</f><v /></c><c r="AB636" s="332"><f>AB635</f><v /></c><c r="AC636" s="11"><f>LEFT(AB636,2)</f><v /></c><c r="AD636" s="11"><f>RIGHT(AB636,6)</f><v /></c><c r="AE636" s="11"><f>+(AC636*60+AD636)/(60*60)</f><v /></c><c r="AF636" s="14"><f>+AA636/AE636</f><v /></c><c r="AG636" s="321"><f>+(((Z636-Y636-AA636)/AA636)*100)</f><v /></c><c r="AH636" s="329"><f>AH635</f><v /></c><c r="AI636" s="329"><f>AI635</f><v /></c><c r="AJ636" s="329"><f>AJ635</f><v /></c><c r="AK636" s="53"><f>Z636</f><v /></c><c r="AL636" s="45" t="n" /><c r="AM636" s="333"><f>AM635</f><v /></c><c r="AN636" s="328"><f>AN635</f><v /></c><c r="AO636" s="11"><f>LEFT(AN636,2)</f><v /></c><c r="AP636" s="11"><f>RIGHT(AN636,6)</f><v /></c><c r="AQ636" s="11"><f>+(AO636*60+AP636)/(60*60)</f><v /></c><c r="AR636" s="14"><f>+AM636/AQ636</f><v /></c><c r="AS636" s="321"><f>+(((AL636-AK636-AM636)/AM636)*100)</f><v /></c><c r="AT636" s="43"><f>IF(I636&gt;=1,"NO CONFORME",IF(BK636="SIGDIFERENTES",BC636,BL636))</f><v /></c><c r="AU636" s="8"><f>B636=C636</f><v /></c><c r="AV636" s="8"><f>N636&lt;Y636</f><v /></c><c r="AW636" s="8"><f>Z636&lt;=AK636</f><v /></c><c r="AX636" s="8"><f>IF(I636&gt;=1,"Qcorrecto",IF(AND(AY636="aceptable",AZ636="aceptable",BA636="aceptable"),"Qcorrecto","Qincorrecto"))</f><v /></c><c r="AY636" s="22"><f>IF(AR636&lt;$AH$6,"error",IF(AR636&gt;$AH$6*1.1,"error","aceptable"))</f><v /></c><c r="AZ636" s="22"><f>IF(AF636&lt;$V$6,"error",IF(AF636&gt;$V$6*1.1,"error","aceptable"))</f><v /></c><c r="BA636" s="22"><f>IF(T636&lt;$J$6*0.9,"error",IF(T636&gt;$J$6,"error","aceptable"))</f><v /></c><c r="BB636" s="25"><f>(IF(ABS(U636)&lt;1.05,"CONFORME",IF(ABS(AG636)&lt;1.05,"CONFORME",IF(ABS(AS636)&lt;2.55,"CONFORME","NO CONFORME"))))</f><v /></c><c r="BC636" s="5"><f>(IF(ABS(U636)&gt;2.05,"NO CONFORME",IF(ABS(AG636)&gt;2.05,"NO CONFORME",IF(ABS(AS636)&gt;5.05,"NO CONFORME","CONFORME"))))</f><v /></c><c r="BD636" s="15"><f>SIGN(U636)</f><v /></c><c r="BE636" s="15"><f>SIGN(AG636)</f><v /></c><c r="BF636" s="15"><f>SIGN(AS636)</f><v /></c><c r="BG636" s="15"><f>CONCATENATE(BD636,BE636,BF636)</f><v /></c><c r="BH636" s="15"><f>IF(BG636="111","SI","SD")</f><v /></c><c r="BI636" s="15"><f>IF(BG636="-1-1-1","SI","SD")</f><v /></c><c r="BJ636" s="15"><f>OR(BH636="SI",BI636="SI")</f><v /></c><c r="BK636" s="15"><f>IF(BJ636=FALSE,"SIGDIFERENTES","SIGIGUALES")</f><v /></c><c r="BL636" s="22"><f>IF(BC636="NO CONFORME","NO CONFORME",IF(BB636="CONFORME","CONFORME","NO CONFORME"))</f><v /></c></row><row r="637" ht="15.75" customHeight="1" thickBot="1"><c r="A637" s="37" t="n"><v>629</v></c><c r="B637" s="324"><f>B636</f><v /></c><c r="C637" s="324"><f>C636</f><v /></c><c r="D637" s="94"><f>D636</f><v /></c><c r="E637" s="95"><f>E636</f><v /></c><c r="F637" s="13" t="n" /><c r="G637" s="312" t="n" /><c r="H637" s="326"><f>H636</f><v /></c><c r="I637" s="98"><f>I636</f><v /></c><c r="J637" s="327"><f>J636</f><v /></c><c r="K637" s="327"><f>K636</f><v /></c><c r="L637" s="327"><f>L636</f><v /></c><c r="M637" s="45" t="n" /><c r="N637" s="45" t="n" /><c r="O637" s="100"><f>O636</f><v /></c><c r="P637" s="328"><f>P636</f><v /></c><c r="Q637" s="11"><f>LEFT(P637,1)</f><v /></c><c r="R637" s="11"><f>RIGHT(P637,6)</f><v /></c><c r="S637" s="11"><f>+(Q637*60+R637)/(60*60)</f><v /></c><c r="T637" s="14"><f>+O637/S637</f><v /></c><c r="U637" s="316"><f>+(((N637-M637-O637)/O637)*100)</f><v /></c><c r="V637" s="329"><f>V636</f><v /></c><c r="W637" s="329"><f>W636</f><v /></c><c r="X637" s="330"><f>X636</f><v /></c><c r="Y637" s="45" t="n" /><c r="Z637" s="45" t="n" /><c r="AA637" s="331"><f>AA636</f><v /></c><c r="AB637" s="332"><f>AB636</f><v /></c><c r="AC637" s="11"><f>LEFT(AB637,2)</f><v /></c><c r="AD637" s="11"><f>RIGHT(AB637,6)</f><v /></c><c r="AE637" s="11"><f>+(AC637*60+AD637)/(60*60)</f><v /></c><c r="AF637" s="14"><f>+AA637/AE637</f><v /></c><c r="AG637" s="321"><f>+(((Z637-Y637-AA637)/AA637)*100)</f><v /></c><c r="AH637" s="329"><f>AH636</f><v /></c><c r="AI637" s="329"><f>AI636</f><v /></c><c r="AJ637" s="329"><f>AJ636</f><v /></c><c r="AK637" s="53"><f>Z637</f><v /></c><c r="AL637" s="45" t="n" /><c r="AM637" s="333"><f>AM636</f><v /></c><c r="AN637" s="328"><f>AN636</f><v /></c><c r="AO637" s="11"><f>LEFT(AN637,2)</f><v /></c><c r="AP637" s="11"><f>RIGHT(AN637,6)</f><v /></c><c r="AQ637" s="11"><f>+(AO637*60+AP637)/(60*60)</f><v /></c><c r="AR637" s="14"><f>+AM637/AQ637</f><v /></c><c r="AS637" s="321"><f>+(((AL637-AK637-AM637)/AM637)*100)</f><v /></c><c r="AT637" s="43"><f>IF(I637&gt;=1,"NO CONFORME",IF(BK637="SIGDIFERENTES",BC637,BL637))</f><v /></c><c r="AU637" s="8"><f>B637=C637</f><v /></c><c r="AV637" s="8"><f>N637&lt;Y637</f><v /></c><c r="AW637" s="8"><f>Z637&lt;=AK637</f><v /></c><c r="AX637" s="8"><f>IF(I637&gt;=1,"Qcorrecto",IF(AND(AY637="aceptable",AZ637="aceptable",BA637="aceptable"),"Qcorrecto","Qincorrecto"))</f><v /></c><c r="AY637" s="22"><f>IF(AR637&lt;$AH$6,"error",IF(AR637&gt;$AH$6*1.1,"error","aceptable"))</f><v /></c><c r="AZ637" s="22"><f>IF(AF637&lt;$V$6,"error",IF(AF637&gt;$V$6*1.1,"error","aceptable"))</f><v /></c><c r="BA637" s="22"><f>IF(T637&lt;$J$6*0.9,"error",IF(T637&gt;$J$6,"error","aceptable"))</f><v /></c><c r="BB637" s="25"><f>(IF(ABS(U637)&lt;1.05,"CONFORME",IF(ABS(AG637)&lt;1.05,"CONFORME",IF(ABS(AS637)&lt;2.55,"CONFORME","NO CONFORME"))))</f><v /></c><c r="BC637" s="5"><f>(IF(ABS(U637)&gt;2.05,"NO CONFORME",IF(ABS(AG637)&gt;2.05,"NO CONFORME",IF(ABS(AS637)&gt;5.05,"NO CONFORME","CONFORME"))))</f><v /></c><c r="BD637" s="15"><f>SIGN(U637)</f><v /></c><c r="BE637" s="15"><f>SIGN(AG637)</f><v /></c><c r="BF637" s="15"><f>SIGN(AS637)</f><v /></c><c r="BG637" s="15"><f>CONCATENATE(BD637,BE637,BF637)</f><v /></c><c r="BH637" s="15"><f>IF(BG637="111","SI","SD")</f><v /></c><c r="BI637" s="15"><f>IF(BG637="-1-1-1","SI","SD")</f><v /></c><c r="BJ637" s="15"><f>OR(BH637="SI",BI637="SI")</f><v /></c><c r="BK637" s="15"><f>IF(BJ637=FALSE,"SIGDIFERENTES","SIGIGUALES")</f><v /></c><c r="BL637" s="22"><f>IF(BC637="NO CONFORME","NO CONFORME",IF(BB637="CONFORME","CONFORME","NO CONFORME"))</f><v /></c></row><row r="638" ht="15.75" customHeight="1" thickBot="1"><c r="A638" s="37" t="n"><v>630</v></c><c r="B638" s="324"><f>B637</f><v /></c><c r="C638" s="324"><f>C637</f><v /></c><c r="D638" s="94"><f>D637</f><v /></c><c r="E638" s="95"><f>E637</f><v /></c><c r="F638" s="52" t="n" /><c r="G638" s="312" t="n" /><c r="H638" s="326"><f>H637</f><v /></c><c r="I638" s="98"><f>I637</f><v /></c><c r="J638" s="327"><f>J637</f><v /></c><c r="K638" s="327"><f>K637</f><v /></c><c r="L638" s="327"><f>L637</f><v /></c><c r="M638" s="53" t="n" /><c r="N638" s="53" t="n" /><c r="O638" s="100"><f>O637</f><v /></c><c r="P638" s="328"><f>P637</f><v /></c><c r="Q638" s="11"><f>LEFT(P638,1)</f><v /></c><c r="R638" s="11"><f>RIGHT(P638,6)</f><v /></c><c r="S638" s="11"><f>+(Q638*60+R638)/(60*60)</f><v /></c><c r="T638" s="14"><f>+O638/S638</f><v /></c><c r="U638" s="316"><f>+(((N638-M638-O638)/O638)*100)</f><v /></c><c r="V638" s="329"><f>V637</f><v /></c><c r="W638" s="329"><f>W637</f><v /></c><c r="X638" s="330"><f>X637</f><v /></c><c r="Y638" s="53" t="n" /><c r="Z638" s="53" t="n" /><c r="AA638" s="331"><f>AA637</f><v /></c><c r="AB638" s="332"><f>AB637</f><v /></c><c r="AC638" s="11"><f>LEFT(AB638,2)</f><v /></c><c r="AD638" s="11"><f>RIGHT(AB638,6)</f><v /></c><c r="AE638" s="11"><f>+(AC638*60+AD638)/(60*60)</f><v /></c><c r="AF638" s="14"><f>+AA638/AE638</f><v /></c><c r="AG638" s="321"><f>+(((Z638-Y638-AA638)/AA638)*100)</f><v /></c><c r="AH638" s="329"><f>AH637</f><v /></c><c r="AI638" s="329"><f>AI637</f><v /></c><c r="AJ638" s="329"><f>AJ637</f><v /></c><c r="AK638" s="53"><f>Z638</f><v /></c><c r="AL638" s="53" t="n" /><c r="AM638" s="333"><f>AM637</f><v /></c><c r="AN638" s="328"><f>AN637</f><v /></c><c r="AO638" s="11"><f>LEFT(AN638,2)</f><v /></c><c r="AP638" s="11"><f>RIGHT(AN638,6)</f><v /></c><c r="AQ638" s="11"><f>+(AO638*60+AP638)/(60*60)</f><v /></c><c r="AR638" s="14"><f>+AM638/AQ638</f><v /></c><c r="AS638" s="321"><f>+(((AL638-AK638-AM638)/AM638)*100)</f><v /></c><c r="AT638" s="43"><f>IF(I638&gt;=1,"NO CONFORME",IF(BK638="SIGDIFERENTES",BC638,BL638))</f><v /></c><c r="AU638" s="8"><f>B638=C638</f><v /></c><c r="AV638" s="8"><f>N638&lt;Y638</f><v /></c><c r="AW638" s="8"><f>Z638&lt;=AK638</f><v /></c><c r="AX638" s="8"><f>IF(I638&gt;=1,"Qcorrecto",IF(AND(AY638="aceptable",AZ638="aceptable",BA638="aceptable"),"Qcorrecto","Qincorrecto"))</f><v /></c><c r="AY638" s="22"><f>IF(AR638&lt;$AH$6,"error",IF(AR638&gt;$AH$6*1.1,"error","aceptable"))</f><v /></c><c r="AZ638" s="22"><f>IF(AF638&lt;$V$6,"error",IF(AF638&gt;$V$6*1.1,"error","aceptable"))</f><v /></c><c r="BA638" s="22"><f>IF(T638&lt;$J$6*0.9,"error",IF(T638&gt;$J$6,"error","aceptable"))</f><v /></c><c r="BB638" s="25"><f>(IF(ABS(U638)&lt;1.05,"CONFORME",IF(ABS(AG638)&lt;1.05,"CONFORME",IF(ABS(AS638)&lt;2.55,"CONFORME","NO CONFORME"))))</f><v /></c><c r="BC638" s="5"><f>(IF(ABS(U638)&gt;2.05,"NO CONFORME",IF(ABS(AG638)&gt;2.05,"NO CONFORME",IF(ABS(AS638)&gt;5.05,"NO CONFORME","CONFORME"))))</f><v /></c><c r="BD638" s="15"><f>SIGN(U638)</f><v /></c><c r="BE638" s="15"><f>SIGN(AG638)</f><v /></c><c r="BF638" s="15"><f>SIGN(AS638)</f><v /></c><c r="BG638" s="15"><f>CONCATENATE(BD638,BE638,BF638)</f><v /></c><c r="BH638" s="15"><f>IF(BG638="111","SI","SD")</f><v /></c><c r="BI638" s="15"><f>IF(BG638="-1-1-1","SI","SD")</f><v /></c><c r="BJ638" s="15"><f>OR(BH638="SI",BI638="SI")</f><v /></c><c r="BK638" s="15"><f>IF(BJ638=FALSE,"SIGDIFERENTES","SIGIGUALES")</f><v /></c><c r="BL638" s="22"><f>IF(BC638="NO CONFORME","NO CONFORME",IF(BB638="CONFORME","CONFORME","NO CONFORME"))</f><v /></c></row><row r="639" ht="15.75" customHeight="1" thickBot="1"><c r="A639" s="37" t="n"><v>631</v></c><c r="B639" s="324"><f>B638</f><v /></c><c r="C639" s="324"><f>C638</f><v /></c><c r="D639" s="94"><f>D638</f><v /></c><c r="E639" s="95"><f>E638</f><v /></c><c r="F639" s="58" t="n" /><c r="G639" s="312" t="n" /><c r="H639" s="326"><f>H638</f><v /></c><c r="I639" s="98"><f>I638</f><v /></c><c r="J639" s="327"><f>J638</f><v /></c><c r="K639" s="327"><f>K638</f><v /></c><c r="L639" s="327"><f>L638</f><v /></c><c r="M639" s="59" t="n" /><c r="N639" s="59" t="n" /><c r="O639" s="100"><f>O638</f><v /></c><c r="P639" s="328"><f>P638</f><v /></c><c r="Q639" s="11"><f>LEFT(P639,1)</f><v /></c><c r="R639" s="11"><f>RIGHT(P639,6)</f><v /></c><c r="S639" s="11"><f>+(Q639*60+R639)/(60*60)</f><v /></c><c r="T639" s="14"><f>+O639/S639</f><v /></c><c r="U639" s="316"><f>+(((N639-M639-O639)/O639)*100)</f><v /></c><c r="V639" s="329"><f>V638</f><v /></c><c r="W639" s="329"><f>W638</f><v /></c><c r="X639" s="330"><f>X638</f><v /></c><c r="Y639" s="59" t="n" /><c r="Z639" s="59" t="n" /><c r="AA639" s="331"><f>AA638</f><v /></c><c r="AB639" s="332"><f>AB638</f><v /></c><c r="AC639" s="11"><f>LEFT(AB639,2)</f><v /></c><c r="AD639" s="11"><f>RIGHT(AB639,6)</f><v /></c><c r="AE639" s="11"><f>+(AC639*60+AD639)/(60*60)</f><v /></c><c r="AF639" s="14"><f>+AA639/AE639</f><v /></c><c r="AG639" s="321"><f>+(((Z639-Y639-AA639)/AA639)*100)</f><v /></c><c r="AH639" s="329"><f>AH638</f><v /></c><c r="AI639" s="329"><f>AI638</f><v /></c><c r="AJ639" s="329"><f>AJ638</f><v /></c><c r="AK639" s="53"><f>Z639</f><v /></c><c r="AL639" s="59" t="n" /><c r="AM639" s="333"><f>AM638</f><v /></c><c r="AN639" s="328"><f>AN638</f><v /></c><c r="AO639" s="11"><f>LEFT(AN639,2)</f><v /></c><c r="AP639" s="11"><f>RIGHT(AN639,6)</f><v /></c><c r="AQ639" s="11"><f>+(AO639*60+AP639)/(60*60)</f><v /></c><c r="AR639" s="14"><f>+AM639/AQ639</f><v /></c><c r="AS639" s="321"><f>+(((AL639-AK639-AM639)/AM639)*100)</f><v /></c><c r="AT639" s="43"><f>IF(I639&gt;=1,"NO CONFORME",IF(BK639="SIGDIFERENTES",BC639,BL639))</f><v /></c><c r="AU639" s="8"><f>B639=C639</f><v /></c><c r="AV639" s="8"><f>N639&lt;Y639</f><v /></c><c r="AW639" s="8"><f>Z639&lt;=AK639</f><v /></c><c r="AX639" s="8"><f>IF(I639&gt;=1,"Qcorrecto",IF(AND(AY639="aceptable",AZ639="aceptable",BA639="aceptable"),"Qcorrecto","Qincorrecto"))</f><v /></c><c r="AY639" s="22"><f>IF(AR639&lt;$AH$6,"error",IF(AR639&gt;$AH$6*1.1,"error","aceptable"))</f><v /></c><c r="AZ639" s="22"><f>IF(AF639&lt;$V$6,"error",IF(AF639&gt;$V$6*1.1,"error","aceptable"))</f><v /></c><c r="BA639" s="22"><f>IF(T639&lt;$J$6*0.9,"error",IF(T639&gt;$J$6,"error","aceptable"))</f><v /></c><c r="BB639" s="25"><f>(IF(ABS(U639)&lt;1.05,"CONFORME",IF(ABS(AG639)&lt;1.05,"CONFORME",IF(ABS(AS639)&lt;2.55,"CONFORME","NO CONFORME"))))</f><v /></c><c r="BC639" s="5"><f>(IF(ABS(U639)&gt;2.05,"NO CONFORME",IF(ABS(AG639)&gt;2.05,"NO CONFORME",IF(ABS(AS639)&gt;5.05,"NO CONFORME","CONFORME"))))</f><v /></c><c r="BD639" s="15"><f>SIGN(U639)</f><v /></c><c r="BE639" s="15"><f>SIGN(AG639)</f><v /></c><c r="BF639" s="15"><f>SIGN(AS639)</f><v /></c><c r="BG639" s="15"><f>CONCATENATE(BD639,BE639,BF639)</f><v /></c><c r="BH639" s="15"><f>IF(BG639="111","SI","SD")</f><v /></c><c r="BI639" s="15"><f>IF(BG639="-1-1-1","SI","SD")</f><v /></c><c r="BJ639" s="15"><f>OR(BH639="SI",BI639="SI")</f><v /></c><c r="BK639" s="15"><f>IF(BJ639=FALSE,"SIGDIFERENTES","SIGIGUALES")</f><v /></c><c r="BL639" s="22"><f>IF(BC639="NO CONFORME","NO CONFORME",IF(BB639="CONFORME","CONFORME","NO CONFORME"))</f><v /></c></row><row r="640" ht="15.75" customHeight="1" thickBot="1"><c r="A640" s="37" t="n"><v>632</v></c><c r="B640" s="324"><f>B639</f><v /></c><c r="C640" s="324"><f>C639</f><v /></c><c r="D640" s="94"><f>D639</f><v /></c><c r="E640" s="95"><f>E639</f><v /></c><c r="F640" s="13" t="n" /><c r="G640" s="312" t="n" /><c r="H640" s="326"><f>H639</f><v /></c><c r="I640" s="98"><f>I639</f><v /></c><c r="J640" s="327"><f>J639</f><v /></c><c r="K640" s="327"><f>K639</f><v /></c><c r="L640" s="327"><f>L639</f><v /></c><c r="M640" s="45" t="n" /><c r="N640" s="45" t="n" /><c r="O640" s="100"><f>O639</f><v /></c><c r="P640" s="328"><f>P639</f><v /></c><c r="Q640" s="11"><f>LEFT(P640,1)</f><v /></c><c r="R640" s="11"><f>RIGHT(P640,6)</f><v /></c><c r="S640" s="11"><f>+(Q640*60+R640)/(60*60)</f><v /></c><c r="T640" s="14"><f>+O640/S640</f><v /></c><c r="U640" s="316"><f>+(((N640-M640-O640)/O640)*100)</f><v /></c><c r="V640" s="329"><f>V639</f><v /></c><c r="W640" s="329"><f>W639</f><v /></c><c r="X640" s="330"><f>X639</f><v /></c><c r="Y640" s="45" t="n" /><c r="Z640" s="45" t="n" /><c r="AA640" s="331"><f>AA639</f><v /></c><c r="AB640" s="332"><f>AB639</f><v /></c><c r="AC640" s="11"><f>LEFT(AB640,2)</f><v /></c><c r="AD640" s="11"><f>RIGHT(AB640,6)</f><v /></c><c r="AE640" s="11"><f>+(AC640*60+AD640)/(60*60)</f><v /></c><c r="AF640" s="14"><f>+AA640/AE640</f><v /></c><c r="AG640" s="321"><f>+(((Z640-Y640-AA640)/AA640)*100)</f><v /></c><c r="AH640" s="329"><f>AH639</f><v /></c><c r="AI640" s="329"><f>AI639</f><v /></c><c r="AJ640" s="329"><f>AJ639</f><v /></c><c r="AK640" s="53"><f>Z640</f><v /></c><c r="AL640" s="45" t="n" /><c r="AM640" s="333"><f>AM639</f><v /></c><c r="AN640" s="328"><f>AN639</f><v /></c><c r="AO640" s="11"><f>LEFT(AN640,2)</f><v /></c><c r="AP640" s="11"><f>RIGHT(AN640,6)</f><v /></c><c r="AQ640" s="11"><f>+(AO640*60+AP640)/(60*60)</f><v /></c><c r="AR640" s="14"><f>+AM640/AQ640</f><v /></c><c r="AS640" s="321"><f>+(((AL640-AK640-AM640)/AM640)*100)</f><v /></c><c r="AT640" s="43"><f>IF(I640&gt;=1,"NO CONFORME",IF(BK640="SIGDIFERENTES",BC640,BL640))</f><v /></c><c r="AU640" s="8"><f>B640=C640</f><v /></c><c r="AV640" s="8"><f>N640&lt;Y640</f><v /></c><c r="AW640" s="8"><f>Z640&lt;=AK640</f><v /></c><c r="AX640" s="8"><f>IF(I640&gt;=1,"Qcorrecto",IF(AND(AY640="aceptable",AZ640="aceptable",BA640="aceptable"),"Qcorrecto","Qincorrecto"))</f><v /></c><c r="AY640" s="22"><f>IF(AR640&lt;$AH$6,"error",IF(AR640&gt;$AH$6*1.1,"error","aceptable"))</f><v /></c><c r="AZ640" s="22"><f>IF(AF640&lt;$V$6,"error",IF(AF640&gt;$V$6*1.1,"error","aceptable"))</f><v /></c><c r="BA640" s="22"><f>IF(T640&lt;$J$6*0.9,"error",IF(T640&gt;$J$6,"error","aceptable"))</f><v /></c><c r="BB640" s="25"><f>(IF(ABS(U640)&lt;1.05,"CONFORME",IF(ABS(AG640)&lt;1.05,"CONFORME",IF(ABS(AS640)&lt;2.55,"CONFORME","NO CONFORME"))))</f><v /></c><c r="BC640" s="5"><f>(IF(ABS(U640)&gt;2.05,"NO CONFORME",IF(ABS(AG640)&gt;2.05,"NO CONFORME",IF(ABS(AS640)&gt;5.05,"NO CONFORME","CONFORME"))))</f><v /></c><c r="BD640" s="15"><f>SIGN(U640)</f><v /></c><c r="BE640" s="15"><f>SIGN(AG640)</f><v /></c><c r="BF640" s="15"><f>SIGN(AS640)</f><v /></c><c r="BG640" s="15"><f>CONCATENATE(BD640,BE640,BF640)</f><v /></c><c r="BH640" s="15"><f>IF(BG640="111","SI","SD")</f><v /></c><c r="BI640" s="15"><f>IF(BG640="-1-1-1","SI","SD")</f><v /></c><c r="BJ640" s="15"><f>OR(BH640="SI",BI640="SI")</f><v /></c><c r="BK640" s="15"><f>IF(BJ640=FALSE,"SIGDIFERENTES","SIGIGUALES")</f><v /></c><c r="BL640" s="22"><f>IF(BC640="NO CONFORME","NO CONFORME",IF(BB640="CONFORME","CONFORME","NO CONFORME"))</f><v /></c></row><row r="641" ht="15.75" customHeight="1" thickBot="1"><c r="A641" s="37" t="n"><v>633</v></c><c r="B641" s="324"><f>B640</f><v /></c><c r="C641" s="324"><f>C640</f><v /></c><c r="D641" s="94"><f>D640</f><v /></c><c r="E641" s="95"><f>E640</f><v /></c><c r="F641" s="13" t="n" /><c r="G641" s="312" t="n" /><c r="H641" s="326"><f>H640</f><v /></c><c r="I641" s="98"><f>I640</f><v /></c><c r="J641" s="327"><f>J640</f><v /></c><c r="K641" s="327"><f>K640</f><v /></c><c r="L641" s="327"><f>L640</f><v /></c><c r="M641" s="45" t="n" /><c r="N641" s="45" t="n" /><c r="O641" s="100"><f>O640</f><v /></c><c r="P641" s="328"><f>P640</f><v /></c><c r="Q641" s="11"><f>LEFT(P641,1)</f><v /></c><c r="R641" s="11"><f>RIGHT(P641,6)</f><v /></c><c r="S641" s="11"><f>+(Q641*60+R641)/(60*60)</f><v /></c><c r="T641" s="14"><f>+O641/S641</f><v /></c><c r="U641" s="316"><f>+(((N641-M641-O641)/O641)*100)</f><v /></c><c r="V641" s="329"><f>V640</f><v /></c><c r="W641" s="329"><f>W640</f><v /></c><c r="X641" s="330"><f>X640</f><v /></c><c r="Y641" s="45" t="n" /><c r="Z641" s="45" t="n" /><c r="AA641" s="331"><f>AA640</f><v /></c><c r="AB641" s="332"><f>AB640</f><v /></c><c r="AC641" s="11"><f>LEFT(AB641,2)</f><v /></c><c r="AD641" s="11"><f>RIGHT(AB641,6)</f><v /></c><c r="AE641" s="11"><f>+(AC641*60+AD641)/(60*60)</f><v /></c><c r="AF641" s="14"><f>+AA641/AE641</f><v /></c><c r="AG641" s="321"><f>+(((Z641-Y641-AA641)/AA641)*100)</f><v /></c><c r="AH641" s="329"><f>AH640</f><v /></c><c r="AI641" s="329"><f>AI640</f><v /></c><c r="AJ641" s="329"><f>AJ640</f><v /></c><c r="AK641" s="53"><f>Z641</f><v /></c><c r="AL641" s="45" t="n" /><c r="AM641" s="333"><f>AM640</f><v /></c><c r="AN641" s="328"><f>AN640</f><v /></c><c r="AO641" s="11"><f>LEFT(AN641,2)</f><v /></c><c r="AP641" s="11"><f>RIGHT(AN641,6)</f><v /></c><c r="AQ641" s="11"><f>+(AO641*60+AP641)/(60*60)</f><v /></c><c r="AR641" s="14"><f>+AM641/AQ641</f><v /></c><c r="AS641" s="321"><f>+(((AL641-AK641-AM641)/AM641)*100)</f><v /></c><c r="AT641" s="43"><f>IF(I641&gt;=1,"NO CONFORME",IF(BK641="SIGDIFERENTES",BC641,BL641))</f><v /></c><c r="AU641" s="8"><f>B641=C641</f><v /></c><c r="AV641" s="8"><f>N641&lt;Y641</f><v /></c><c r="AW641" s="8"><f>Z641&lt;=AK641</f><v /></c><c r="AX641" s="8"><f>IF(I641&gt;=1,"Qcorrecto",IF(AND(AY641="aceptable",AZ641="aceptable",BA641="aceptable"),"Qcorrecto","Qincorrecto"))</f><v /></c><c r="AY641" s="22"><f>IF(AR641&lt;$AH$6,"error",IF(AR641&gt;$AH$6*1.1,"error","aceptable"))</f><v /></c><c r="AZ641" s="22"><f>IF(AF641&lt;$V$6,"error",IF(AF641&gt;$V$6*1.1,"error","aceptable"))</f><v /></c><c r="BA641" s="22"><f>IF(T641&lt;$J$6*0.9,"error",IF(T641&gt;$J$6,"error","aceptable"))</f><v /></c><c r="BB641" s="25"><f>(IF(ABS(U641)&lt;1.05,"CONFORME",IF(ABS(AG641)&lt;1.05,"CONFORME",IF(ABS(AS641)&lt;2.55,"CONFORME","NO CONFORME"))))</f><v /></c><c r="BC641" s="5"><f>(IF(ABS(U641)&gt;2.05,"NO CONFORME",IF(ABS(AG641)&gt;2.05,"NO CONFORME",IF(ABS(AS641)&gt;5.05,"NO CONFORME","CONFORME"))))</f><v /></c><c r="BD641" s="15"><f>SIGN(U641)</f><v /></c><c r="BE641" s="15"><f>SIGN(AG641)</f><v /></c><c r="BF641" s="15"><f>SIGN(AS641)</f><v /></c><c r="BG641" s="15"><f>CONCATENATE(BD641,BE641,BF641)</f><v /></c><c r="BH641" s="15"><f>IF(BG641="111","SI","SD")</f><v /></c><c r="BI641" s="15"><f>IF(BG641="-1-1-1","SI","SD")</f><v /></c><c r="BJ641" s="15"><f>OR(BH641="SI",BI641="SI")</f><v /></c><c r="BK641" s="15"><f>IF(BJ641=FALSE,"SIGDIFERENTES","SIGIGUALES")</f><v /></c><c r="BL641" s="22"><f>IF(BC641="NO CONFORME","NO CONFORME",IF(BB641="CONFORME","CONFORME","NO CONFORME"))</f><v /></c></row><row r="642" ht="15.75" customHeight="1" thickBot="1"><c r="A642" s="37" t="n"><v>634</v></c><c r="B642" s="324"><f>B641</f><v /></c><c r="C642" s="324"><f>C641</f><v /></c><c r="D642" s="94"><f>D641</f><v /></c><c r="E642" s="95"><f>E641</f><v /></c><c r="F642" s="13" t="n" /><c r="G642" s="312" t="n" /><c r="H642" s="326"><f>H641</f><v /></c><c r="I642" s="98"><f>I641</f><v /></c><c r="J642" s="327"><f>J641</f><v /></c><c r="K642" s="327"><f>K641</f><v /></c><c r="L642" s="327"><f>L641</f><v /></c><c r="M642" s="45" t="n" /><c r="N642" s="45" t="n" /><c r="O642" s="100"><f>O641</f><v /></c><c r="P642" s="328"><f>P641</f><v /></c><c r="Q642" s="11"><f>LEFT(P642,1)</f><v /></c><c r="R642" s="11"><f>RIGHT(P642,6)</f><v /></c><c r="S642" s="11"><f>+(Q642*60+R642)/(60*60)</f><v /></c><c r="T642" s="14"><f>+O642/S642</f><v /></c><c r="U642" s="316"><f>+(((N642-M642-O642)/O642)*100)</f><v /></c><c r="V642" s="329"><f>V641</f><v /></c><c r="W642" s="329"><f>W641</f><v /></c><c r="X642" s="330"><f>X641</f><v /></c><c r="Y642" s="45" t="n" /><c r="Z642" s="45" t="n" /><c r="AA642" s="331"><f>AA641</f><v /></c><c r="AB642" s="332"><f>AB641</f><v /></c><c r="AC642" s="11"><f>LEFT(AB642,2)</f><v /></c><c r="AD642" s="11"><f>RIGHT(AB642,6)</f><v /></c><c r="AE642" s="11"><f>+(AC642*60+AD642)/(60*60)</f><v /></c><c r="AF642" s="14"><f>+AA642/AE642</f><v /></c><c r="AG642" s="321"><f>+(((Z642-Y642-AA642)/AA642)*100)</f><v /></c><c r="AH642" s="329"><f>AH641</f><v /></c><c r="AI642" s="329"><f>AI641</f><v /></c><c r="AJ642" s="329"><f>AJ641</f><v /></c><c r="AK642" s="53"><f>Z642</f><v /></c><c r="AL642" s="45" t="n" /><c r="AM642" s="333"><f>AM641</f><v /></c><c r="AN642" s="328"><f>AN641</f><v /></c><c r="AO642" s="11"><f>LEFT(AN642,2)</f><v /></c><c r="AP642" s="11"><f>RIGHT(AN642,6)</f><v /></c><c r="AQ642" s="11"><f>+(AO642*60+AP642)/(60*60)</f><v /></c><c r="AR642" s="14"><f>+AM642/AQ642</f><v /></c><c r="AS642" s="321"><f>+(((AL642-AK642-AM642)/AM642)*100)</f><v /></c><c r="AT642" s="43"><f>IF(I642&gt;=1,"NO CONFORME",IF(BK642="SIGDIFERENTES",BC642,BL642))</f><v /></c><c r="AU642" s="8"><f>B642=C642</f><v /></c><c r="AV642" s="8"><f>N642&lt;Y642</f><v /></c><c r="AW642" s="8"><f>Z642&lt;=AK642</f><v /></c><c r="AX642" s="8"><f>IF(I642&gt;=1,"Qcorrecto",IF(AND(AY642="aceptable",AZ642="aceptable",BA642="aceptable"),"Qcorrecto","Qincorrecto"))</f><v /></c><c r="AY642" s="22"><f>IF(AR642&lt;$AH$6,"error",IF(AR642&gt;$AH$6*1.1,"error","aceptable"))</f><v /></c><c r="AZ642" s="22"><f>IF(AF642&lt;$V$6,"error",IF(AF642&gt;$V$6*1.1,"error","aceptable"))</f><v /></c><c r="BA642" s="22"><f>IF(T642&lt;$J$6*0.9,"error",IF(T642&gt;$J$6,"error","aceptable"))</f><v /></c><c r="BB642" s="25"><f>(IF(ABS(U642)&lt;1.05,"CONFORME",IF(ABS(AG642)&lt;1.05,"CONFORME",IF(ABS(AS642)&lt;2.55,"CONFORME","NO CONFORME"))))</f><v /></c><c r="BC642" s="5"><f>(IF(ABS(U642)&gt;2.05,"NO CONFORME",IF(ABS(AG642)&gt;2.05,"NO CONFORME",IF(ABS(AS642)&gt;5.05,"NO CONFORME","CONFORME"))))</f><v /></c><c r="BD642" s="15"><f>SIGN(U642)</f><v /></c><c r="BE642" s="15"><f>SIGN(AG642)</f><v /></c><c r="BF642" s="15"><f>SIGN(AS642)</f><v /></c><c r="BG642" s="15"><f>CONCATENATE(BD642,BE642,BF642)</f><v /></c><c r="BH642" s="15"><f>IF(BG642="111","SI","SD")</f><v /></c><c r="BI642" s="15"><f>IF(BG642="-1-1-1","SI","SD")</f><v /></c><c r="BJ642" s="15"><f>OR(BH642="SI",BI642="SI")</f><v /></c><c r="BK642" s="15"><f>IF(BJ642=FALSE,"SIGDIFERENTES","SIGIGUALES")</f><v /></c><c r="BL642" s="22"><f>IF(BC642="NO CONFORME","NO CONFORME",IF(BB642="CONFORME","CONFORME","NO CONFORME"))</f><v /></c></row><row r="643" ht="15.75" customHeight="1" thickBot="1"><c r="A643" s="37" t="n"><v>635</v></c><c r="B643" s="324"><f>B642</f><v /></c><c r="C643" s="324"><f>C642</f><v /></c><c r="D643" s="94"><f>D642</f><v /></c><c r="E643" s="95"><f>E642</f><v /></c><c r="F643" s="13" t="n" /><c r="G643" s="312" t="n" /><c r="H643" s="326"><f>H642</f><v /></c><c r="I643" s="98"><f>I642</f><v /></c><c r="J643" s="327"><f>J642</f><v /></c><c r="K643" s="327"><f>K642</f><v /></c><c r="L643" s="327"><f>L642</f><v /></c><c r="M643" s="45" t="n" /><c r="N643" s="45" t="n" /><c r="O643" s="100"><f>O642</f><v /></c><c r="P643" s="328"><f>P642</f><v /></c><c r="Q643" s="11"><f>LEFT(P643,1)</f><v /></c><c r="R643" s="11"><f>RIGHT(P643,6)</f><v /></c><c r="S643" s="11"><f>+(Q643*60+R643)/(60*60)</f><v /></c><c r="T643" s="14"><f>+O643/S643</f><v /></c><c r="U643" s="316"><f>+(((N643-M643-O643)/O643)*100)</f><v /></c><c r="V643" s="329"><f>V642</f><v /></c><c r="W643" s="329"><f>W642</f><v /></c><c r="X643" s="330"><f>X642</f><v /></c><c r="Y643" s="45" t="n" /><c r="Z643" s="45" t="n" /><c r="AA643" s="331"><f>AA642</f><v /></c><c r="AB643" s="332"><f>AB642</f><v /></c><c r="AC643" s="11"><f>LEFT(AB643,2)</f><v /></c><c r="AD643" s="11"><f>RIGHT(AB643,6)</f><v /></c><c r="AE643" s="11"><f>+(AC643*60+AD643)/(60*60)</f><v /></c><c r="AF643" s="14"><f>+AA643/AE643</f><v /></c><c r="AG643" s="321"><f>+(((Z643-Y643-AA643)/AA643)*100)</f><v /></c><c r="AH643" s="329"><f>AH642</f><v /></c><c r="AI643" s="329"><f>AI642</f><v /></c><c r="AJ643" s="329"><f>AJ642</f><v /></c><c r="AK643" s="53"><f>Z643</f><v /></c><c r="AL643" s="45" t="n" /><c r="AM643" s="333"><f>AM642</f><v /></c><c r="AN643" s="328"><f>AN642</f><v /></c><c r="AO643" s="11"><f>LEFT(AN643,2)</f><v /></c><c r="AP643" s="11"><f>RIGHT(AN643,6)</f><v /></c><c r="AQ643" s="11"><f>+(AO643*60+AP643)/(60*60)</f><v /></c><c r="AR643" s="14"><f>+AM643/AQ643</f><v /></c><c r="AS643" s="321"><f>+(((AL643-AK643-AM643)/AM643)*100)</f><v /></c><c r="AT643" s="43"><f>IF(I643&gt;=1,"NO CONFORME",IF(BK643="SIGDIFERENTES",BC643,BL643))</f><v /></c><c r="AU643" s="8"><f>B643=C643</f><v /></c><c r="AV643" s="8"><f>N643&lt;Y643</f><v /></c><c r="AW643" s="8"><f>Z643&lt;=AK643</f><v /></c><c r="AX643" s="8"><f>IF(I643&gt;=1,"Qcorrecto",IF(AND(AY643="aceptable",AZ643="aceptable",BA643="aceptable"),"Qcorrecto","Qincorrecto"))</f><v /></c><c r="AY643" s="22"><f>IF(AR643&lt;$AH$6,"error",IF(AR643&gt;$AH$6*1.1,"error","aceptable"))</f><v /></c><c r="AZ643" s="22"><f>IF(AF643&lt;$V$6,"error",IF(AF643&gt;$V$6*1.1,"error","aceptable"))</f><v /></c><c r="BA643" s="22"><f>IF(T643&lt;$J$6*0.9,"error",IF(T643&gt;$J$6,"error","aceptable"))</f><v /></c><c r="BB643" s="25"><f>(IF(ABS(U643)&lt;1.05,"CONFORME",IF(ABS(AG643)&lt;1.05,"CONFORME",IF(ABS(AS643)&lt;2.55,"CONFORME","NO CONFORME"))))</f><v /></c><c r="BC643" s="5"><f>(IF(ABS(U643)&gt;2.05,"NO CONFORME",IF(ABS(AG643)&gt;2.05,"NO CONFORME",IF(ABS(AS643)&gt;5.05,"NO CONFORME","CONFORME"))))</f><v /></c><c r="BD643" s="15"><f>SIGN(U643)</f><v /></c><c r="BE643" s="15"><f>SIGN(AG643)</f><v /></c><c r="BF643" s="15"><f>SIGN(AS643)</f><v /></c><c r="BG643" s="15"><f>CONCATENATE(BD643,BE643,BF643)</f><v /></c><c r="BH643" s="15"><f>IF(BG643="111","SI","SD")</f><v /></c><c r="BI643" s="15"><f>IF(BG643="-1-1-1","SI","SD")</f><v /></c><c r="BJ643" s="15"><f>OR(BH643="SI",BI643="SI")</f><v /></c><c r="BK643" s="15"><f>IF(BJ643=FALSE,"SIGDIFERENTES","SIGIGUALES")</f><v /></c><c r="BL643" s="22"><f>IF(BC643="NO CONFORME","NO CONFORME",IF(BB643="CONFORME","CONFORME","NO CONFORME"))</f><v /></c></row><row r="644" ht="15.75" customHeight="1" thickBot="1"><c r="A644" s="37" t="n"><v>636</v></c><c r="B644" s="324"><f>B643</f><v /></c><c r="C644" s="324"><f>C643</f><v /></c><c r="D644" s="94"><f>D643</f><v /></c><c r="E644" s="95"><f>E643</f><v /></c><c r="F644" s="13" t="n" /><c r="G644" s="312" t="n" /><c r="H644" s="326"><f>H643</f><v /></c><c r="I644" s="98"><f>I643</f><v /></c><c r="J644" s="327"><f>J643</f><v /></c><c r="K644" s="327"><f>K643</f><v /></c><c r="L644" s="327"><f>L643</f><v /></c><c r="M644" s="45" t="n" /><c r="N644" s="45" t="n" /><c r="O644" s="100"><f>O643</f><v /></c><c r="P644" s="328"><f>P643</f><v /></c><c r="Q644" s="11"><f>LEFT(P644,1)</f><v /></c><c r="R644" s="11"><f>RIGHT(P644,6)</f><v /></c><c r="S644" s="11"><f>+(Q644*60+R644)/(60*60)</f><v /></c><c r="T644" s="14"><f>+O644/S644</f><v /></c><c r="U644" s="316"><f>+(((N644-M644-O644)/O644)*100)</f><v /></c><c r="V644" s="329"><f>V643</f><v /></c><c r="W644" s="329"><f>W643</f><v /></c><c r="X644" s="330"><f>X643</f><v /></c><c r="Y644" s="45" t="n" /><c r="Z644" s="45" t="n" /><c r="AA644" s="331"><f>AA643</f><v /></c><c r="AB644" s="332"><f>AB643</f><v /></c><c r="AC644" s="11"><f>LEFT(AB644,2)</f><v /></c><c r="AD644" s="11"><f>RIGHT(AB644,6)</f><v /></c><c r="AE644" s="11"><f>+(AC644*60+AD644)/(60*60)</f><v /></c><c r="AF644" s="14"><f>+AA644/AE644</f><v /></c><c r="AG644" s="321"><f>+(((Z644-Y644-AA644)/AA644)*100)</f><v /></c><c r="AH644" s="329"><f>AH643</f><v /></c><c r="AI644" s="329"><f>AI643</f><v /></c><c r="AJ644" s="329"><f>AJ643</f><v /></c><c r="AK644" s="53"><f>Z644</f><v /></c><c r="AL644" s="45" t="n" /><c r="AM644" s="333"><f>AM643</f><v /></c><c r="AN644" s="328"><f>AN643</f><v /></c><c r="AO644" s="11"><f>LEFT(AN644,2)</f><v /></c><c r="AP644" s="11"><f>RIGHT(AN644,6)</f><v /></c><c r="AQ644" s="11"><f>+(AO644*60+AP644)/(60*60)</f><v /></c><c r="AR644" s="14"><f>+AM644/AQ644</f><v /></c><c r="AS644" s="321"><f>+(((AL644-AK644-AM644)/AM644)*100)</f><v /></c><c r="AT644" s="43"><f>IF(I644&gt;=1,"NO CONFORME",IF(BK644="SIGDIFERENTES",BC644,BL644))</f><v /></c><c r="AU644" s="8"><f>B644=C644</f><v /></c><c r="AV644" s="8"><f>N644&lt;Y644</f><v /></c><c r="AW644" s="8"><f>Z644&lt;=AK644</f><v /></c><c r="AX644" s="8"><f>IF(I644&gt;=1,"Qcorrecto",IF(AND(AY644="aceptable",AZ644="aceptable",BA644="aceptable"),"Qcorrecto","Qincorrecto"))</f><v /></c><c r="AY644" s="22"><f>IF(AR644&lt;$AH$6,"error",IF(AR644&gt;$AH$6*1.1,"error","aceptable"))</f><v /></c><c r="AZ644" s="22"><f>IF(AF644&lt;$V$6,"error",IF(AF644&gt;$V$6*1.1,"error","aceptable"))</f><v /></c><c r="BA644" s="22"><f>IF(T644&lt;$J$6*0.9,"error",IF(T644&gt;$J$6,"error","aceptable"))</f><v /></c><c r="BB644" s="25"><f>(IF(ABS(U644)&lt;1.05,"CONFORME",IF(ABS(AG644)&lt;1.05,"CONFORME",IF(ABS(AS644)&lt;2.55,"CONFORME","NO CONFORME"))))</f><v /></c><c r="BC644" s="5"><f>(IF(ABS(U644)&gt;2.05,"NO CONFORME",IF(ABS(AG644)&gt;2.05,"NO CONFORME",IF(ABS(AS644)&gt;5.05,"NO CONFORME","CONFORME"))))</f><v /></c><c r="BD644" s="15"><f>SIGN(U644)</f><v /></c><c r="BE644" s="15"><f>SIGN(AG644)</f><v /></c><c r="BF644" s="15"><f>SIGN(AS644)</f><v /></c><c r="BG644" s="15"><f>CONCATENATE(BD644,BE644,BF644)</f><v /></c><c r="BH644" s="15"><f>IF(BG644="111","SI","SD")</f><v /></c><c r="BI644" s="15"><f>IF(BG644="-1-1-1","SI","SD")</f><v /></c><c r="BJ644" s="15"><f>OR(BH644="SI",BI644="SI")</f><v /></c><c r="BK644" s="15"><f>IF(BJ644=FALSE,"SIGDIFERENTES","SIGIGUALES")</f><v /></c><c r="BL644" s="22"><f>IF(BC644="NO CONFORME","NO CONFORME",IF(BB644="CONFORME","CONFORME","NO CONFORME"))</f><v /></c></row><row r="645" ht="15.75" customHeight="1" thickBot="1"><c r="A645" s="37" t="n"><v>637</v></c><c r="B645" s="324"><f>B644</f><v /></c><c r="C645" s="324"><f>C644</f><v /></c><c r="D645" s="94"><f>D644</f><v /></c><c r="E645" s="95"><f>E644</f><v /></c><c r="F645" s="13" t="n" /><c r="G645" s="312" t="n" /><c r="H645" s="326"><f>H644</f><v /></c><c r="I645" s="98"><f>I644</f><v /></c><c r="J645" s="327"><f>J644</f><v /></c><c r="K645" s="327"><f>K644</f><v /></c><c r="L645" s="327"><f>L644</f><v /></c><c r="M645" s="45" t="n" /><c r="N645" s="45" t="n" /><c r="O645" s="100"><f>O644</f><v /></c><c r="P645" s="328"><f>P644</f><v /></c><c r="Q645" s="11"><f>LEFT(P645,1)</f><v /></c><c r="R645" s="11"><f>RIGHT(P645,6)</f><v /></c><c r="S645" s="11"><f>+(Q645*60+R645)/(60*60)</f><v /></c><c r="T645" s="14"><f>+O645/S645</f><v /></c><c r="U645" s="316"><f>+(((N645-M645-O645)/O645)*100)</f><v /></c><c r="V645" s="329"><f>V644</f><v /></c><c r="W645" s="329"><f>W644</f><v /></c><c r="X645" s="330"><f>X644</f><v /></c><c r="Y645" s="45" t="n" /><c r="Z645" s="45" t="n" /><c r="AA645" s="331"><f>AA644</f><v /></c><c r="AB645" s="332"><f>AB644</f><v /></c><c r="AC645" s="11"><f>LEFT(AB645,2)</f><v /></c><c r="AD645" s="11"><f>RIGHT(AB645,6)</f><v /></c><c r="AE645" s="11"><f>+(AC645*60+AD645)/(60*60)</f><v /></c><c r="AF645" s="14"><f>+AA645/AE645</f><v /></c><c r="AG645" s="321"><f>+(((Z645-Y645-AA645)/AA645)*100)</f><v /></c><c r="AH645" s="329"><f>AH644</f><v /></c><c r="AI645" s="329"><f>AI644</f><v /></c><c r="AJ645" s="329"><f>AJ644</f><v /></c><c r="AK645" s="53"><f>Z645</f><v /></c><c r="AL645" s="45" t="n" /><c r="AM645" s="333"><f>AM644</f><v /></c><c r="AN645" s="328"><f>AN644</f><v /></c><c r="AO645" s="11"><f>LEFT(AN645,2)</f><v /></c><c r="AP645" s="11"><f>RIGHT(AN645,6)</f><v /></c><c r="AQ645" s="11"><f>+(AO645*60+AP645)/(60*60)</f><v /></c><c r="AR645" s="14"><f>+AM645/AQ645</f><v /></c><c r="AS645" s="321"><f>+(((AL645-AK645-AM645)/AM645)*100)</f><v /></c><c r="AT645" s="43"><f>IF(I645&gt;=1,"NO CONFORME",IF(BK645="SIGDIFERENTES",BC645,BL645))</f><v /></c><c r="AU645" s="8"><f>B645=C645</f><v /></c><c r="AV645" s="8"><f>N645&lt;Y645</f><v /></c><c r="AW645" s="8"><f>Z645&lt;=AK645</f><v /></c><c r="AX645" s="8"><f>IF(I645&gt;=1,"Qcorrecto",IF(AND(AY645="aceptable",AZ645="aceptable",BA645="aceptable"),"Qcorrecto","Qincorrecto"))</f><v /></c><c r="AY645" s="22"><f>IF(AR645&lt;$AH$6,"error",IF(AR645&gt;$AH$6*1.1,"error","aceptable"))</f><v /></c><c r="AZ645" s="22"><f>IF(AF645&lt;$V$6,"error",IF(AF645&gt;$V$6*1.1,"error","aceptable"))</f><v /></c><c r="BA645" s="22"><f>IF(T645&lt;$J$6*0.9,"error",IF(T645&gt;$J$6,"error","aceptable"))</f><v /></c><c r="BB645" s="25"><f>(IF(ABS(U645)&lt;1.05,"CONFORME",IF(ABS(AG645)&lt;1.05,"CONFORME",IF(ABS(AS645)&lt;2.55,"CONFORME","NO CONFORME"))))</f><v /></c><c r="BC645" s="5"><f>(IF(ABS(U645)&gt;2.05,"NO CONFORME",IF(ABS(AG645)&gt;2.05,"NO CONFORME",IF(ABS(AS645)&gt;5.05,"NO CONFORME","CONFORME"))))</f><v /></c><c r="BD645" s="15"><f>SIGN(U645)</f><v /></c><c r="BE645" s="15"><f>SIGN(AG645)</f><v /></c><c r="BF645" s="15"><f>SIGN(AS645)</f><v /></c><c r="BG645" s="15"><f>CONCATENATE(BD645,BE645,BF645)</f><v /></c><c r="BH645" s="15"><f>IF(BG645="111","SI","SD")</f><v /></c><c r="BI645" s="15"><f>IF(BG645="-1-1-1","SI","SD")</f><v /></c><c r="BJ645" s="15"><f>OR(BH645="SI",BI645="SI")</f><v /></c><c r="BK645" s="15"><f>IF(BJ645=FALSE,"SIGDIFERENTES","SIGIGUALES")</f><v /></c><c r="BL645" s="22"><f>IF(BC645="NO CONFORME","NO CONFORME",IF(BB645="CONFORME","CONFORME","NO CONFORME"))</f><v /></c></row><row r="646" ht="15.75" customHeight="1" thickBot="1"><c r="A646" s="37" t="n"><v>638</v></c><c r="B646" s="324"><f>B645</f><v /></c><c r="C646" s="324"><f>C645</f><v /></c><c r="D646" s="94"><f>D645</f><v /></c><c r="E646" s="95"><f>E645</f><v /></c><c r="F646" s="13" t="n" /><c r="G646" s="312" t="n" /><c r="H646" s="326"><f>H645</f><v /></c><c r="I646" s="98"><f>I645</f><v /></c><c r="J646" s="327"><f>J645</f><v /></c><c r="K646" s="327"><f>K645</f><v /></c><c r="L646" s="327"><f>L645</f><v /></c><c r="M646" s="45" t="n" /><c r="N646" s="45" t="n" /><c r="O646" s="100"><f>O645</f><v /></c><c r="P646" s="328"><f>P645</f><v /></c><c r="Q646" s="11"><f>LEFT(P646,1)</f><v /></c><c r="R646" s="11"><f>RIGHT(P646,6)</f><v /></c><c r="S646" s="11"><f>+(Q646*60+R646)/(60*60)</f><v /></c><c r="T646" s="14"><f>+O646/S646</f><v /></c><c r="U646" s="316"><f>+(((N646-M646-O646)/O646)*100)</f><v /></c><c r="V646" s="329"><f>V645</f><v /></c><c r="W646" s="329"><f>W645</f><v /></c><c r="X646" s="330"><f>X645</f><v /></c><c r="Y646" s="45" t="n" /><c r="Z646" s="45" t="n" /><c r="AA646" s="331"><f>AA645</f><v /></c><c r="AB646" s="332"><f>AB645</f><v /></c><c r="AC646" s="11"><f>LEFT(AB646,2)</f><v /></c><c r="AD646" s="11"><f>RIGHT(AB646,6)</f><v /></c><c r="AE646" s="11"><f>+(AC646*60+AD646)/(60*60)</f><v /></c><c r="AF646" s="14"><f>+AA646/AE646</f><v /></c><c r="AG646" s="321"><f>+(((Z646-Y646-AA646)/AA646)*100)</f><v /></c><c r="AH646" s="329"><f>AH645</f><v /></c><c r="AI646" s="329"><f>AI645</f><v /></c><c r="AJ646" s="329"><f>AJ645</f><v /></c><c r="AK646" s="53"><f>Z646</f><v /></c><c r="AL646" s="45" t="n" /><c r="AM646" s="333"><f>AM645</f><v /></c><c r="AN646" s="328"><f>AN645</f><v /></c><c r="AO646" s="11"><f>LEFT(AN646,2)</f><v /></c><c r="AP646" s="11"><f>RIGHT(AN646,6)</f><v /></c><c r="AQ646" s="11"><f>+(AO646*60+AP646)/(60*60)</f><v /></c><c r="AR646" s="14"><f>+AM646/AQ646</f><v /></c><c r="AS646" s="321"><f>+(((AL646-AK646-AM646)/AM646)*100)</f><v /></c><c r="AT646" s="43"><f>IF(I646&gt;=1,"NO CONFORME",IF(BK646="SIGDIFERENTES",BC646,BL646))</f><v /></c><c r="AU646" s="8"><f>B646=C646</f><v /></c><c r="AV646" s="8"><f>N646&lt;Y646</f><v /></c><c r="AW646" s="8"><f>Z646&lt;=AK646</f><v /></c><c r="AX646" s="8"><f>IF(I646&gt;=1,"Qcorrecto",IF(AND(AY646="aceptable",AZ646="aceptable",BA646="aceptable"),"Qcorrecto","Qincorrecto"))</f><v /></c><c r="AY646" s="22"><f>IF(AR646&lt;$AH$6,"error",IF(AR646&gt;$AH$6*1.1,"error","aceptable"))</f><v /></c><c r="AZ646" s="22"><f>IF(AF646&lt;$V$6,"error",IF(AF646&gt;$V$6*1.1,"error","aceptable"))</f><v /></c><c r="BA646" s="22"><f>IF(T646&lt;$J$6*0.9,"error",IF(T646&gt;$J$6,"error","aceptable"))</f><v /></c><c r="BB646" s="25"><f>(IF(ABS(U646)&lt;1.05,"CONFORME",IF(ABS(AG646)&lt;1.05,"CONFORME",IF(ABS(AS646)&lt;2.55,"CONFORME","NO CONFORME"))))</f><v /></c><c r="BC646" s="5"><f>(IF(ABS(U646)&gt;2.05,"NO CONFORME",IF(ABS(AG646)&gt;2.05,"NO CONFORME",IF(ABS(AS646)&gt;5.05,"NO CONFORME","CONFORME"))))</f><v /></c><c r="BD646" s="15"><f>SIGN(U646)</f><v /></c><c r="BE646" s="15"><f>SIGN(AG646)</f><v /></c><c r="BF646" s="15"><f>SIGN(AS646)</f><v /></c><c r="BG646" s="15"><f>CONCATENATE(BD646,BE646,BF646)</f><v /></c><c r="BH646" s="15"><f>IF(BG646="111","SI","SD")</f><v /></c><c r="BI646" s="15"><f>IF(BG646="-1-1-1","SI","SD")</f><v /></c><c r="BJ646" s="15"><f>OR(BH646="SI",BI646="SI")</f><v /></c><c r="BK646" s="15"><f>IF(BJ646=FALSE,"SIGDIFERENTES","SIGIGUALES")</f><v /></c><c r="BL646" s="22"><f>IF(BC646="NO CONFORME","NO CONFORME",IF(BB646="CONFORME","CONFORME","NO CONFORME"))</f><v /></c></row><row r="647" ht="15.75" customHeight="1" thickBot="1"><c r="A647" s="37" t="n"><v>639</v></c><c r="B647" s="324"><f>B646</f><v /></c><c r="C647" s="324"><f>C646</f><v /></c><c r="D647" s="94"><f>D646</f><v /></c><c r="E647" s="95"><f>E646</f><v /></c><c r="F647" s="13" t="n" /><c r="G647" s="312" t="n" /><c r="H647" s="326"><f>H646</f><v /></c><c r="I647" s="98"><f>I646</f><v /></c><c r="J647" s="327"><f>J646</f><v /></c><c r="K647" s="327"><f>K646</f><v /></c><c r="L647" s="327"><f>L646</f><v /></c><c r="M647" s="45" t="n" /><c r="N647" s="45" t="n" /><c r="O647" s="100"><f>O646</f><v /></c><c r="P647" s="328"><f>P646</f><v /></c><c r="Q647" s="11"><f>LEFT(P647,1)</f><v /></c><c r="R647" s="11"><f>RIGHT(P647,6)</f><v /></c><c r="S647" s="11"><f>+(Q647*60+R647)/(60*60)</f><v /></c><c r="T647" s="14"><f>+O647/S647</f><v /></c><c r="U647" s="316"><f>+(((N647-M647-O647)/O647)*100)</f><v /></c><c r="V647" s="329"><f>V646</f><v /></c><c r="W647" s="329"><f>W646</f><v /></c><c r="X647" s="330"><f>X646</f><v /></c><c r="Y647" s="45" t="n" /><c r="Z647" s="45" t="n" /><c r="AA647" s="331"><f>AA646</f><v /></c><c r="AB647" s="332"><f>AB646</f><v /></c><c r="AC647" s="11"><f>LEFT(AB647,2)</f><v /></c><c r="AD647" s="11"><f>RIGHT(AB647,6)</f><v /></c><c r="AE647" s="11"><f>+(AC647*60+AD647)/(60*60)</f><v /></c><c r="AF647" s="14"><f>+AA647/AE647</f><v /></c><c r="AG647" s="321"><f>+(((Z647-Y647-AA647)/AA647)*100)</f><v /></c><c r="AH647" s="329"><f>AH646</f><v /></c><c r="AI647" s="329"><f>AI646</f><v /></c><c r="AJ647" s="329"><f>AJ646</f><v /></c><c r="AK647" s="53"><f>Z647</f><v /></c><c r="AL647" s="45" t="n" /><c r="AM647" s="333"><f>AM646</f><v /></c><c r="AN647" s="328"><f>AN646</f><v /></c><c r="AO647" s="11"><f>LEFT(AN647,2)</f><v /></c><c r="AP647" s="11"><f>RIGHT(AN647,6)</f><v /></c><c r="AQ647" s="11"><f>+(AO647*60+AP647)/(60*60)</f><v /></c><c r="AR647" s="14"><f>+AM647/AQ647</f><v /></c><c r="AS647" s="321"><f>+(((AL647-AK647-AM647)/AM647)*100)</f><v /></c><c r="AT647" s="43"><f>IF(I647&gt;=1,"NO CONFORME",IF(BK647="SIGDIFERENTES",BC647,BL647))</f><v /></c><c r="AU647" s="8"><f>B647=C647</f><v /></c><c r="AV647" s="8"><f>N647&lt;Y647</f><v /></c><c r="AW647" s="8"><f>Z647&lt;=AK647</f><v /></c><c r="AX647" s="8"><f>IF(I647&gt;=1,"Qcorrecto",IF(AND(AY647="aceptable",AZ647="aceptable",BA647="aceptable"),"Qcorrecto","Qincorrecto"))</f><v /></c><c r="AY647" s="22"><f>IF(AR647&lt;$AH$6,"error",IF(AR647&gt;$AH$6*1.1,"error","aceptable"))</f><v /></c><c r="AZ647" s="22"><f>IF(AF647&lt;$V$6,"error",IF(AF647&gt;$V$6*1.1,"error","aceptable"))</f><v /></c><c r="BA647" s="22"><f>IF(T647&lt;$J$6*0.9,"error",IF(T647&gt;$J$6,"error","aceptable"))</f><v /></c><c r="BB647" s="25"><f>(IF(ABS(U647)&lt;1.05,"CONFORME",IF(ABS(AG647)&lt;1.05,"CONFORME",IF(ABS(AS647)&lt;2.55,"CONFORME","NO CONFORME"))))</f><v /></c><c r="BC647" s="5"><f>(IF(ABS(U647)&gt;2.05,"NO CONFORME",IF(ABS(AG647)&gt;2.05,"NO CONFORME",IF(ABS(AS647)&gt;5.05,"NO CONFORME","CONFORME"))))</f><v /></c><c r="BD647" s="15"><f>SIGN(U647)</f><v /></c><c r="BE647" s="15"><f>SIGN(AG647)</f><v /></c><c r="BF647" s="15"><f>SIGN(AS647)</f><v /></c><c r="BG647" s="15"><f>CONCATENATE(BD647,BE647,BF647)</f><v /></c><c r="BH647" s="15"><f>IF(BG647="111","SI","SD")</f><v /></c><c r="BI647" s="15"><f>IF(BG647="-1-1-1","SI","SD")</f><v /></c><c r="BJ647" s="15"><f>OR(BH647="SI",BI647="SI")</f><v /></c><c r="BK647" s="15"><f>IF(BJ647=FALSE,"SIGDIFERENTES","SIGIGUALES")</f><v /></c><c r="BL647" s="22"><f>IF(BC647="NO CONFORME","NO CONFORME",IF(BB647="CONFORME","CONFORME","NO CONFORME"))</f><v /></c></row><row r="648" ht="15.75" customHeight="1" thickBot="1"><c r="A648" s="37" t="n"><v>640</v></c><c r="B648" s="324"><f>B647</f><v /></c><c r="C648" s="324"><f>C647</f><v /></c><c r="D648" s="94"><f>D647</f><v /></c><c r="E648" s="95"><f>E647</f><v /></c><c r="F648" s="13" t="n" /><c r="G648" s="312" t="n" /><c r="H648" s="326"><f>H647</f><v /></c><c r="I648" s="98"><f>I647</f><v /></c><c r="J648" s="327"><f>J647</f><v /></c><c r="K648" s="327"><f>K647</f><v /></c><c r="L648" s="327"><f>L647</f><v /></c><c r="M648" s="45" t="n" /><c r="N648" s="45" t="n" /><c r="O648" s="100"><f>O647</f><v /></c><c r="P648" s="328"><f>P647</f><v /></c><c r="Q648" s="11"><f>LEFT(P648,1)</f><v /></c><c r="R648" s="11"><f>RIGHT(P648,6)</f><v /></c><c r="S648" s="11"><f>+(Q648*60+R648)/(60*60)</f><v /></c><c r="T648" s="14"><f>+O648/S648</f><v /></c><c r="U648" s="316"><f>+(((N648-M648-O648)/O648)*100)</f><v /></c><c r="V648" s="329"><f>V647</f><v /></c><c r="W648" s="329"><f>W647</f><v /></c><c r="X648" s="330"><f>X647</f><v /></c><c r="Y648" s="45" t="n" /><c r="Z648" s="45" t="n" /><c r="AA648" s="331"><f>AA647</f><v /></c><c r="AB648" s="332"><f>AB647</f><v /></c><c r="AC648" s="11"><f>LEFT(AB648,2)</f><v /></c><c r="AD648" s="11"><f>RIGHT(AB648,6)</f><v /></c><c r="AE648" s="11"><f>+(AC648*60+AD648)/(60*60)</f><v /></c><c r="AF648" s="14"><f>+AA648/AE648</f><v /></c><c r="AG648" s="321"><f>+(((Z648-Y648-AA648)/AA648)*100)</f><v /></c><c r="AH648" s="329"><f>AH647</f><v /></c><c r="AI648" s="329"><f>AI647</f><v /></c><c r="AJ648" s="329"><f>AJ647</f><v /></c><c r="AK648" s="53"><f>Z648</f><v /></c><c r="AL648" s="45" t="n" /><c r="AM648" s="333"><f>AM647</f><v /></c><c r="AN648" s="328"><f>AN647</f><v /></c><c r="AO648" s="11"><f>LEFT(AN648,2)</f><v /></c><c r="AP648" s="11"><f>RIGHT(AN648,6)</f><v /></c><c r="AQ648" s="11"><f>+(AO648*60+AP648)/(60*60)</f><v /></c><c r="AR648" s="14"><f>+AM648/AQ648</f><v /></c><c r="AS648" s="321"><f>+(((AL648-AK648-AM648)/AM648)*100)</f><v /></c><c r="AT648" s="43"><f>IF(I648&gt;=1,"NO CONFORME",IF(BK648="SIGDIFERENTES",BC648,BL648))</f><v /></c><c r="AU648" s="8"><f>B648=C648</f><v /></c><c r="AV648" s="8"><f>N648&lt;Y648</f><v /></c><c r="AW648" s="8"><f>Z648&lt;=AK648</f><v /></c><c r="AX648" s="8"><f>IF(I648&gt;=1,"Qcorrecto",IF(AND(AY648="aceptable",AZ648="aceptable",BA648="aceptable"),"Qcorrecto","Qincorrecto"))</f><v /></c><c r="AY648" s="22"><f>IF(AR648&lt;$AH$6,"error",IF(AR648&gt;$AH$6*1.1,"error","aceptable"))</f><v /></c><c r="AZ648" s="22"><f>IF(AF648&lt;$V$6,"error",IF(AF648&gt;$V$6*1.1,"error","aceptable"))</f><v /></c><c r="BA648" s="22"><f>IF(T648&lt;$J$6*0.9,"error",IF(T648&gt;$J$6,"error","aceptable"))</f><v /></c><c r="BB648" s="25"><f>(IF(ABS(U648)&lt;1.05,"CONFORME",IF(ABS(AG648)&lt;1.05,"CONFORME",IF(ABS(AS648)&lt;2.55,"CONFORME","NO CONFORME"))))</f><v /></c><c r="BC648" s="5"><f>(IF(ABS(U648)&gt;2.05,"NO CONFORME",IF(ABS(AG648)&gt;2.05,"NO CONFORME",IF(ABS(AS648)&gt;5.05,"NO CONFORME","CONFORME"))))</f><v /></c><c r="BD648" s="15"><f>SIGN(U648)</f><v /></c><c r="BE648" s="15"><f>SIGN(AG648)</f><v /></c><c r="BF648" s="15"><f>SIGN(AS648)</f><v /></c><c r="BG648" s="15"><f>CONCATENATE(BD648,BE648,BF648)</f><v /></c><c r="BH648" s="15"><f>IF(BG648="111","SI","SD")</f><v /></c><c r="BI648" s="15"><f>IF(BG648="-1-1-1","SI","SD")</f><v /></c><c r="BJ648" s="15"><f>OR(BH648="SI",BI648="SI")</f><v /></c><c r="BK648" s="15"><f>IF(BJ648=FALSE,"SIGDIFERENTES","SIGIGUALES")</f><v /></c><c r="BL648" s="22"><f>IF(BC648="NO CONFORME","NO CONFORME",IF(BB648="CONFORME","CONFORME","NO CONFORME"))</f><v /></c></row><row r="649" ht="15.75" customHeight="1" thickBot="1"><c r="A649" s="37" t="n"><v>641</v></c><c r="B649" s="324"><f>B648</f><v /></c><c r="C649" s="324"><f>C648</f><v /></c><c r="D649" s="94"><f>D648</f><v /></c><c r="E649" s="95"><f>E648</f><v /></c><c r="F649" s="13" t="n" /><c r="G649" s="312" t="n" /><c r="H649" s="326"><f>H648</f><v /></c><c r="I649" s="98"><f>I648</f><v /></c><c r="J649" s="327"><f>J648</f><v /></c><c r="K649" s="327"><f>K648</f><v /></c><c r="L649" s="327"><f>L648</f><v /></c><c r="M649" s="45" t="n" /><c r="N649" s="45" t="n" /><c r="O649" s="100"><f>O648</f><v /></c><c r="P649" s="328"><f>P648</f><v /></c><c r="Q649" s="11"><f>LEFT(P649,1)</f><v /></c><c r="R649" s="11"><f>RIGHT(P649,6)</f><v /></c><c r="S649" s="11"><f>+(Q649*60+R649)/(60*60)</f><v /></c><c r="T649" s="14"><f>+O649/S649</f><v /></c><c r="U649" s="316"><f>+(((N649-M649-O649)/O649)*100)</f><v /></c><c r="V649" s="329"><f>V648</f><v /></c><c r="W649" s="329"><f>W648</f><v /></c><c r="X649" s="330"><f>X648</f><v /></c><c r="Y649" s="45" t="n" /><c r="Z649" s="45" t="n" /><c r="AA649" s="331"><f>AA648</f><v /></c><c r="AB649" s="332"><f>AB648</f><v /></c><c r="AC649" s="11"><f>LEFT(AB649,2)</f><v /></c><c r="AD649" s="11"><f>RIGHT(AB649,6)</f><v /></c><c r="AE649" s="11"><f>+(AC649*60+AD649)/(60*60)</f><v /></c><c r="AF649" s="14"><f>+AA649/AE649</f><v /></c><c r="AG649" s="321"><f>+(((Z649-Y649-AA649)/AA649)*100)</f><v /></c><c r="AH649" s="329"><f>AH648</f><v /></c><c r="AI649" s="329"><f>AI648</f><v /></c><c r="AJ649" s="329"><f>AJ648</f><v /></c><c r="AK649" s="53"><f>Z649</f><v /></c><c r="AL649" s="45" t="n" /><c r="AM649" s="333"><f>AM648</f><v /></c><c r="AN649" s="328"><f>AN648</f><v /></c><c r="AO649" s="11"><f>LEFT(AN649,2)</f><v /></c><c r="AP649" s="11"><f>RIGHT(AN649,6)</f><v /></c><c r="AQ649" s="11"><f>+(AO649*60+AP649)/(60*60)</f><v /></c><c r="AR649" s="14"><f>+AM649/AQ649</f><v /></c><c r="AS649" s="321"><f>+(((AL649-AK649-AM649)/AM649)*100)</f><v /></c><c r="AT649" s="43"><f>IF(I649&gt;=1,"NO CONFORME",IF(BK649="SIGDIFERENTES",BC649,BL649))</f><v /></c><c r="AU649" s="8"><f>B649=C649</f><v /></c><c r="AV649" s="8"><f>N649&lt;Y649</f><v /></c><c r="AW649" s="8"><f>Z649&lt;=AK649</f><v /></c><c r="AX649" s="8"><f>IF(I649&gt;=1,"Qcorrecto",IF(AND(AY649="aceptable",AZ649="aceptable",BA649="aceptable"),"Qcorrecto","Qincorrecto"))</f><v /></c><c r="AY649" s="22"><f>IF(AR649&lt;$AH$6,"error",IF(AR649&gt;$AH$6*1.1,"error","aceptable"))</f><v /></c><c r="AZ649" s="22"><f>IF(AF649&lt;$V$6,"error",IF(AF649&gt;$V$6*1.1,"error","aceptable"))</f><v /></c><c r="BA649" s="22"><f>IF(T649&lt;$J$6*0.9,"error",IF(T649&gt;$J$6,"error","aceptable"))</f><v /></c><c r="BB649" s="25"><f>(IF(ABS(U649)&lt;1.05,"CONFORME",IF(ABS(AG649)&lt;1.05,"CONFORME",IF(ABS(AS649)&lt;2.55,"CONFORME","NO CONFORME"))))</f><v /></c><c r="BC649" s="5"><f>(IF(ABS(U649)&gt;2.05,"NO CONFORME",IF(ABS(AG649)&gt;2.05,"NO CONFORME",IF(ABS(AS649)&gt;5.05,"NO CONFORME","CONFORME"))))</f><v /></c><c r="BD649" s="15"><f>SIGN(U649)</f><v /></c><c r="BE649" s="15"><f>SIGN(AG649)</f><v /></c><c r="BF649" s="15"><f>SIGN(AS649)</f><v /></c><c r="BG649" s="15"><f>CONCATENATE(BD649,BE649,BF649)</f><v /></c><c r="BH649" s="15"><f>IF(BG649="111","SI","SD")</f><v /></c><c r="BI649" s="15"><f>IF(BG649="-1-1-1","SI","SD")</f><v /></c><c r="BJ649" s="15"><f>OR(BH649="SI",BI649="SI")</f><v /></c><c r="BK649" s="15"><f>IF(BJ649=FALSE,"SIGDIFERENTES","SIGIGUALES")</f><v /></c><c r="BL649" s="22"><f>IF(BC649="NO CONFORME","NO CONFORME",IF(BB649="CONFORME","CONFORME","NO CONFORME"))</f><v /></c></row><row r="650" ht="15.75" customHeight="1" thickBot="1"><c r="A650" s="37" t="n"><v>642</v></c><c r="B650" s="324"><f>B649</f><v /></c><c r="C650" s="324"><f>C649</f><v /></c><c r="D650" s="94"><f>D649</f><v /></c><c r="E650" s="95"><f>E649</f><v /></c><c r="F650" s="13" t="n" /><c r="G650" s="312" t="n" /><c r="H650" s="326"><f>H649</f><v /></c><c r="I650" s="98"><f>I649</f><v /></c><c r="J650" s="327"><f>J649</f><v /></c><c r="K650" s="327"><f>K649</f><v /></c><c r="L650" s="327"><f>L649</f><v /></c><c r="M650" s="45" t="n" /><c r="N650" s="45" t="n" /><c r="O650" s="100"><f>O649</f><v /></c><c r="P650" s="328"><f>P649</f><v /></c><c r="Q650" s="11"><f>LEFT(P650,1)</f><v /></c><c r="R650" s="11"><f>RIGHT(P650,6)</f><v /></c><c r="S650" s="11"><f>+(Q650*60+R650)/(60*60)</f><v /></c><c r="T650" s="14"><f>+O650/S650</f><v /></c><c r="U650" s="316"><f>+(((N650-M650-O650)/O650)*100)</f><v /></c><c r="V650" s="329"><f>V649</f><v /></c><c r="W650" s="329"><f>W649</f><v /></c><c r="X650" s="330"><f>X649</f><v /></c><c r="Y650" s="45" t="n" /><c r="Z650" s="45" t="n" /><c r="AA650" s="331"><f>AA649</f><v /></c><c r="AB650" s="332"><f>AB649</f><v /></c><c r="AC650" s="11"><f>LEFT(AB650,2)</f><v /></c><c r="AD650" s="11"><f>RIGHT(AB650,6)</f><v /></c><c r="AE650" s="11"><f>+(AC650*60+AD650)/(60*60)</f><v /></c><c r="AF650" s="14"><f>+AA650/AE650</f><v /></c><c r="AG650" s="321"><f>+(((Z650-Y650-AA650)/AA650)*100)</f><v /></c><c r="AH650" s="329"><f>AH649</f><v /></c><c r="AI650" s="329"><f>AI649</f><v /></c><c r="AJ650" s="329"><f>AJ649</f><v /></c><c r="AK650" s="53"><f>Z650</f><v /></c><c r="AL650" s="45" t="n" /><c r="AM650" s="333"><f>AM649</f><v /></c><c r="AN650" s="328"><f>AN649</f><v /></c><c r="AO650" s="11"><f>LEFT(AN650,2)</f><v /></c><c r="AP650" s="11"><f>RIGHT(AN650,6)</f><v /></c><c r="AQ650" s="11"><f>+(AO650*60+AP650)/(60*60)</f><v /></c><c r="AR650" s="14"><f>+AM650/AQ650</f><v /></c><c r="AS650" s="321"><f>+(((AL650-AK650-AM650)/AM650)*100)</f><v /></c><c r="AT650" s="43"><f>IF(I650&gt;=1,"NO CONFORME",IF(BK650="SIGDIFERENTES",BC650,BL650))</f><v /></c><c r="AU650" s="8"><f>B650=C650</f><v /></c><c r="AV650" s="8"><f>N650&lt;Y650</f><v /></c><c r="AW650" s="8"><f>Z650&lt;=AK650</f><v /></c><c r="AX650" s="8"><f>IF(I650&gt;=1,"Qcorrecto",IF(AND(AY650="aceptable",AZ650="aceptable",BA650="aceptable"),"Qcorrecto","Qincorrecto"))</f><v /></c><c r="AY650" s="22"><f>IF(AR650&lt;$AH$6,"error",IF(AR650&gt;$AH$6*1.1,"error","aceptable"))</f><v /></c><c r="AZ650" s="22"><f>IF(AF650&lt;$V$6,"error",IF(AF650&gt;$V$6*1.1,"error","aceptable"))</f><v /></c><c r="BA650" s="22"><f>IF(T650&lt;$J$6*0.9,"error",IF(T650&gt;$J$6,"error","aceptable"))</f><v /></c><c r="BB650" s="25"><f>(IF(ABS(U650)&lt;1.05,"CONFORME",IF(ABS(AG650)&lt;1.05,"CONFORME",IF(ABS(AS650)&lt;2.55,"CONFORME","NO CONFORME"))))</f><v /></c><c r="BC650" s="5"><f>(IF(ABS(U650)&gt;2.05,"NO CONFORME",IF(ABS(AG650)&gt;2.05,"NO CONFORME",IF(ABS(AS650)&gt;5.05,"NO CONFORME","CONFORME"))))</f><v /></c><c r="BD650" s="15"><f>SIGN(U650)</f><v /></c><c r="BE650" s="15"><f>SIGN(AG650)</f><v /></c><c r="BF650" s="15"><f>SIGN(AS650)</f><v /></c><c r="BG650" s="15"><f>CONCATENATE(BD650,BE650,BF650)</f><v /></c><c r="BH650" s="15"><f>IF(BG650="111","SI","SD")</f><v /></c><c r="BI650" s="15"><f>IF(BG650="-1-1-1","SI","SD")</f><v /></c><c r="BJ650" s="15"><f>OR(BH650="SI",BI650="SI")</f><v /></c><c r="BK650" s="15"><f>IF(BJ650=FALSE,"SIGDIFERENTES","SIGIGUALES")</f><v /></c><c r="BL650" s="22"><f>IF(BC650="NO CONFORME","NO CONFORME",IF(BB650="CONFORME","CONFORME","NO CONFORME"))</f><v /></c></row><row r="651" ht="15.75" customHeight="1" thickBot="1"><c r="A651" s="37" t="n"><v>643</v></c><c r="B651" s="324"><f>B650</f><v /></c><c r="C651" s="324"><f>C650</f><v /></c><c r="D651" s="94"><f>D650</f><v /></c><c r="E651" s="95"><f>E650</f><v /></c><c r="F651" s="13" t="n" /><c r="G651" s="312" t="n" /><c r="H651" s="326"><f>H650</f><v /></c><c r="I651" s="98"><f>I650</f><v /></c><c r="J651" s="327"><f>J650</f><v /></c><c r="K651" s="327"><f>K650</f><v /></c><c r="L651" s="327"><f>L650</f><v /></c><c r="M651" s="45" t="n" /><c r="N651" s="45" t="n" /><c r="O651" s="100"><f>O650</f><v /></c><c r="P651" s="328"><f>P650</f><v /></c><c r="Q651" s="11"><f>LEFT(P651,1)</f><v /></c><c r="R651" s="11"><f>RIGHT(P651,6)</f><v /></c><c r="S651" s="11"><f>+(Q651*60+R651)/(60*60)</f><v /></c><c r="T651" s="14"><f>+O651/S651</f><v /></c><c r="U651" s="316"><f>+(((N651-M651-O651)/O651)*100)</f><v /></c><c r="V651" s="329"><f>V650</f><v /></c><c r="W651" s="329"><f>W650</f><v /></c><c r="X651" s="330"><f>X650</f><v /></c><c r="Y651" s="45" t="n" /><c r="Z651" s="45" t="n" /><c r="AA651" s="331"><f>AA650</f><v /></c><c r="AB651" s="332"><f>AB650</f><v /></c><c r="AC651" s="11"><f>LEFT(AB651,2)</f><v /></c><c r="AD651" s="11"><f>RIGHT(AB651,6)</f><v /></c><c r="AE651" s="11"><f>+(AC651*60+AD651)/(60*60)</f><v /></c><c r="AF651" s="14"><f>+AA651/AE651</f><v /></c><c r="AG651" s="321"><f>+(((Z651-Y651-AA651)/AA651)*100)</f><v /></c><c r="AH651" s="329"><f>AH650</f><v /></c><c r="AI651" s="329"><f>AI650</f><v /></c><c r="AJ651" s="329"><f>AJ650</f><v /></c><c r="AK651" s="53"><f>Z651</f><v /></c><c r="AL651" s="45" t="n" /><c r="AM651" s="333"><f>AM650</f><v /></c><c r="AN651" s="328"><f>AN650</f><v /></c><c r="AO651" s="11"><f>LEFT(AN651,2)</f><v /></c><c r="AP651" s="11"><f>RIGHT(AN651,6)</f><v /></c><c r="AQ651" s="11"><f>+(AO651*60+AP651)/(60*60)</f><v /></c><c r="AR651" s="14"><f>+AM651/AQ651</f><v /></c><c r="AS651" s="321"><f>+(((AL651-AK651-AM651)/AM651)*100)</f><v /></c><c r="AT651" s="43"><f>IF(I651&gt;=1,"NO CONFORME",IF(BK651="SIGDIFERENTES",BC651,BL651))</f><v /></c><c r="AU651" s="8"><f>B651=C651</f><v /></c><c r="AV651" s="8"><f>N651&lt;Y651</f><v /></c><c r="AW651" s="8"><f>Z651&lt;=AK651</f><v /></c><c r="AX651" s="8"><f>IF(I651&gt;=1,"Qcorrecto",IF(AND(AY651="aceptable",AZ651="aceptable",BA651="aceptable"),"Qcorrecto","Qincorrecto"))</f><v /></c><c r="AY651" s="22"><f>IF(AR651&lt;$AH$6,"error",IF(AR651&gt;$AH$6*1.1,"error","aceptable"))</f><v /></c><c r="AZ651" s="22"><f>IF(AF651&lt;$V$6,"error",IF(AF651&gt;$V$6*1.1,"error","aceptable"))</f><v /></c><c r="BA651" s="22"><f>IF(T651&lt;$J$6*0.9,"error",IF(T651&gt;$J$6,"error","aceptable"))</f><v /></c><c r="BB651" s="25"><f>(IF(ABS(U651)&lt;1.05,"CONFORME",IF(ABS(AG651)&lt;1.05,"CONFORME",IF(ABS(AS651)&lt;2.55,"CONFORME","NO CONFORME"))))</f><v /></c><c r="BC651" s="5"><f>(IF(ABS(U651)&gt;2.05,"NO CONFORME",IF(ABS(AG651)&gt;2.05,"NO CONFORME",IF(ABS(AS651)&gt;5.05,"NO CONFORME","CONFORME"))))</f><v /></c><c r="BD651" s="15"><f>SIGN(U651)</f><v /></c><c r="BE651" s="15"><f>SIGN(AG651)</f><v /></c><c r="BF651" s="15"><f>SIGN(AS651)</f><v /></c><c r="BG651" s="15"><f>CONCATENATE(BD651,BE651,BF651)</f><v /></c><c r="BH651" s="15"><f>IF(BG651="111","SI","SD")</f><v /></c><c r="BI651" s="15"><f>IF(BG651="-1-1-1","SI","SD")</f><v /></c><c r="BJ651" s="15"><f>OR(BH651="SI",BI651="SI")</f><v /></c><c r="BK651" s="15"><f>IF(BJ651=FALSE,"SIGDIFERENTES","SIGIGUALES")</f><v /></c><c r="BL651" s="22"><f>IF(BC651="NO CONFORME","NO CONFORME",IF(BB651="CONFORME","CONFORME","NO CONFORME"))</f><v /></c></row><row r="652" ht="15.75" customHeight="1" thickBot="1"><c r="A652" s="37" t="n"><v>644</v></c><c r="B652" s="324"><f>B651</f><v /></c><c r="C652" s="324"><f>C651</f><v /></c><c r="D652" s="94"><f>D651</f><v /></c><c r="E652" s="95"><f>E651</f><v /></c><c r="F652" s="13" t="n" /><c r="G652" s="312" t="n" /><c r="H652" s="326"><f>H651</f><v /></c><c r="I652" s="98"><f>I651</f><v /></c><c r="J652" s="327"><f>J651</f><v /></c><c r="K652" s="327"><f>K651</f><v /></c><c r="L652" s="327"><f>L651</f><v /></c><c r="M652" s="45" t="n" /><c r="N652" s="45" t="n" /><c r="O652" s="100"><f>O651</f><v /></c><c r="P652" s="328"><f>P651</f><v /></c><c r="Q652" s="11"><f>LEFT(P652,1)</f><v /></c><c r="R652" s="11"><f>RIGHT(P652,6)</f><v /></c><c r="S652" s="11"><f>+(Q652*60+R652)/(60*60)</f><v /></c><c r="T652" s="14"><f>+O652/S652</f><v /></c><c r="U652" s="316"><f>+(((N652-M652-O652)/O652)*100)</f><v /></c><c r="V652" s="329"><f>V651</f><v /></c><c r="W652" s="329"><f>W651</f><v /></c><c r="X652" s="330"><f>X651</f><v /></c><c r="Y652" s="45" t="n" /><c r="Z652" s="45" t="n" /><c r="AA652" s="331"><f>AA651</f><v /></c><c r="AB652" s="332"><f>AB651</f><v /></c><c r="AC652" s="11"><f>LEFT(AB652,2)</f><v /></c><c r="AD652" s="11"><f>RIGHT(AB652,6)</f><v /></c><c r="AE652" s="11"><f>+(AC652*60+AD652)/(60*60)</f><v /></c><c r="AF652" s="14"><f>+AA652/AE652</f><v /></c><c r="AG652" s="321"><f>+(((Z652-Y652-AA652)/AA652)*100)</f><v /></c><c r="AH652" s="329"><f>AH651</f><v /></c><c r="AI652" s="329"><f>AI651</f><v /></c><c r="AJ652" s="329"><f>AJ651</f><v /></c><c r="AK652" s="53"><f>Z652</f><v /></c><c r="AL652" s="45" t="n" /><c r="AM652" s="333"><f>AM651</f><v /></c><c r="AN652" s="328"><f>AN651</f><v /></c><c r="AO652" s="11"><f>LEFT(AN652,2)</f><v /></c><c r="AP652" s="11"><f>RIGHT(AN652,6)</f><v /></c><c r="AQ652" s="11"><f>+(AO652*60+AP652)/(60*60)</f><v /></c><c r="AR652" s="14"><f>+AM652/AQ652</f><v /></c><c r="AS652" s="321"><f>+(((AL652-AK652-AM652)/AM652)*100)</f><v /></c><c r="AT652" s="43"><f>IF(I652&gt;=1,"NO CONFORME",IF(BK652="SIGDIFERENTES",BC652,BL652))</f><v /></c><c r="AU652" s="8"><f>B652=C652</f><v /></c><c r="AV652" s="8"><f>N652&lt;Y652</f><v /></c><c r="AW652" s="8"><f>Z652&lt;=AK652</f><v /></c><c r="AX652" s="8"><f>IF(I652&gt;=1,"Qcorrecto",IF(AND(AY652="aceptable",AZ652="aceptable",BA652="aceptable"),"Qcorrecto","Qincorrecto"))</f><v /></c><c r="AY652" s="22"><f>IF(AR652&lt;$AH$6,"error",IF(AR652&gt;$AH$6*1.1,"error","aceptable"))</f><v /></c><c r="AZ652" s="22"><f>IF(AF652&lt;$V$6,"error",IF(AF652&gt;$V$6*1.1,"error","aceptable"))</f><v /></c><c r="BA652" s="22"><f>IF(T652&lt;$J$6*0.9,"error",IF(T652&gt;$J$6,"error","aceptable"))</f><v /></c><c r="BB652" s="25"><f>(IF(ABS(U652)&lt;1.05,"CONFORME",IF(ABS(AG652)&lt;1.05,"CONFORME",IF(ABS(AS652)&lt;2.55,"CONFORME","NO CONFORME"))))</f><v /></c><c r="BC652" s="5"><f>(IF(ABS(U652)&gt;2.05,"NO CONFORME",IF(ABS(AG652)&gt;2.05,"NO CONFORME",IF(ABS(AS652)&gt;5.05,"NO CONFORME","CONFORME"))))</f><v /></c><c r="BD652" s="15"><f>SIGN(U652)</f><v /></c><c r="BE652" s="15"><f>SIGN(AG652)</f><v /></c><c r="BF652" s="15"><f>SIGN(AS652)</f><v /></c><c r="BG652" s="15"><f>CONCATENATE(BD652,BE652,BF652)</f><v /></c><c r="BH652" s="15"><f>IF(BG652="111","SI","SD")</f><v /></c><c r="BI652" s="15"><f>IF(BG652="-1-1-1","SI","SD")</f><v /></c><c r="BJ652" s="15"><f>OR(BH652="SI",BI652="SI")</f><v /></c><c r="BK652" s="15"><f>IF(BJ652=FALSE,"SIGDIFERENTES","SIGIGUALES")</f><v /></c><c r="BL652" s="22"><f>IF(BC652="NO CONFORME","NO CONFORME",IF(BB652="CONFORME","CONFORME","NO CONFORME"))</f><v /></c></row><row r="653" ht="15.75" customHeight="1" thickBot="1"><c r="A653" s="37" t="n"><v>645</v></c><c r="B653" s="324"><f>B652</f><v /></c><c r="C653" s="324"><f>C652</f><v /></c><c r="D653" s="94"><f>D652</f><v /></c><c r="E653" s="95"><f>E652</f><v /></c><c r="F653" s="52" t="n" /><c r="G653" s="312" t="n" /><c r="H653" s="326"><f>H652</f><v /></c><c r="I653" s="98"><f>I652</f><v /></c><c r="J653" s="327"><f>J652</f><v /></c><c r="K653" s="327"><f>K652</f><v /></c><c r="L653" s="327"><f>L652</f><v /></c><c r="M653" s="53" t="n" /><c r="N653" s="53" t="n" /><c r="O653" s="100"><f>O652</f><v /></c><c r="P653" s="328"><f>P652</f><v /></c><c r="Q653" s="11"><f>LEFT(P653,1)</f><v /></c><c r="R653" s="11"><f>RIGHT(P653,6)</f><v /></c><c r="S653" s="11"><f>+(Q653*60+R653)/(60*60)</f><v /></c><c r="T653" s="14"><f>+O653/S653</f><v /></c><c r="U653" s="316"><f>+(((N653-M653-O653)/O653)*100)</f><v /></c><c r="V653" s="329"><f>V652</f><v /></c><c r="W653" s="329"><f>W652</f><v /></c><c r="X653" s="330"><f>X652</f><v /></c><c r="Y653" s="53" t="n" /><c r="Z653" s="53" t="n" /><c r="AA653" s="331"><f>AA652</f><v /></c><c r="AB653" s="332"><f>AB652</f><v /></c><c r="AC653" s="11"><f>LEFT(AB653,2)</f><v /></c><c r="AD653" s="11"><f>RIGHT(AB653,6)</f><v /></c><c r="AE653" s="11"><f>+(AC653*60+AD653)/(60*60)</f><v /></c><c r="AF653" s="14"><f>+AA653/AE653</f><v /></c><c r="AG653" s="321"><f>+(((Z653-Y653-AA653)/AA653)*100)</f><v /></c><c r="AH653" s="329"><f>AH652</f><v /></c><c r="AI653" s="329"><f>AI652</f><v /></c><c r="AJ653" s="329"><f>AJ652</f><v /></c><c r="AK653" s="53"><f>Z653</f><v /></c><c r="AL653" s="53" t="n" /><c r="AM653" s="333"><f>AM652</f><v /></c><c r="AN653" s="328"><f>AN652</f><v /></c><c r="AO653" s="11"><f>LEFT(AN653,2)</f><v /></c><c r="AP653" s="11"><f>RIGHT(AN653,6)</f><v /></c><c r="AQ653" s="11"><f>+(AO653*60+AP653)/(60*60)</f><v /></c><c r="AR653" s="14"><f>+AM653/AQ653</f><v /></c><c r="AS653" s="321"><f>+(((AL653-AK653-AM653)/AM653)*100)</f><v /></c><c r="AT653" s="43"><f>IF(I653&gt;=1,"NO CONFORME",IF(BK653="SIGDIFERENTES",BC653,BL653))</f><v /></c><c r="AU653" s="8"><f>B653=C653</f><v /></c><c r="AV653" s="8"><f>N653&lt;Y653</f><v /></c><c r="AW653" s="8"><f>Z653&lt;=AK653</f><v /></c><c r="AX653" s="8"><f>IF(I653&gt;=1,"Qcorrecto",IF(AND(AY653="aceptable",AZ653="aceptable",BA653="aceptable"),"Qcorrecto","Qincorrecto"))</f><v /></c><c r="AY653" s="22"><f>IF(AR653&lt;$AH$6,"error",IF(AR653&gt;$AH$6*1.1,"error","aceptable"))</f><v /></c><c r="AZ653" s="22"><f>IF(AF653&lt;$V$6,"error",IF(AF653&gt;$V$6*1.1,"error","aceptable"))</f><v /></c><c r="BA653" s="22"><f>IF(T653&lt;$J$6*0.9,"error",IF(T653&gt;$J$6,"error","aceptable"))</f><v /></c><c r="BB653" s="25"><f>(IF(ABS(U653)&lt;1.05,"CONFORME",IF(ABS(AG653)&lt;1.05,"CONFORME",IF(ABS(AS653)&lt;2.55,"CONFORME","NO CONFORME"))))</f><v /></c><c r="BC653" s="5"><f>(IF(ABS(U653)&gt;2.05,"NO CONFORME",IF(ABS(AG653)&gt;2.05,"NO CONFORME",IF(ABS(AS653)&gt;5.05,"NO CONFORME","CONFORME"))))</f><v /></c><c r="BD653" s="15"><f>SIGN(U653)</f><v /></c><c r="BE653" s="15"><f>SIGN(AG653)</f><v /></c><c r="BF653" s="15"><f>SIGN(AS653)</f><v /></c><c r="BG653" s="15"><f>CONCATENATE(BD653,BE653,BF653)</f><v /></c><c r="BH653" s="15"><f>IF(BG653="111","SI","SD")</f><v /></c><c r="BI653" s="15"><f>IF(BG653="-1-1-1","SI","SD")</f><v /></c><c r="BJ653" s="15"><f>OR(BH653="SI",BI653="SI")</f><v /></c><c r="BK653" s="15"><f>IF(BJ653=FALSE,"SIGDIFERENTES","SIGIGUALES")</f><v /></c><c r="BL653" s="22"><f>IF(BC653="NO CONFORME","NO CONFORME",IF(BB653="CONFORME","CONFORME","NO CONFORME"))</f><v /></c></row><row r="654" ht="15.75" customHeight="1" thickBot="1"><c r="A654" s="37" t="n"><v>646</v></c><c r="B654" s="324"><f>B653</f><v /></c><c r="C654" s="324"><f>C653</f><v /></c><c r="D654" s="94"><f>D653</f><v /></c><c r="E654" s="95"><f>E653</f><v /></c><c r="F654" s="58" t="n" /><c r="G654" s="312" t="n" /><c r="H654" s="326"><f>H653</f><v /></c><c r="I654" s="98"><f>I653</f><v /></c><c r="J654" s="327"><f>J653</f><v /></c><c r="K654" s="327"><f>K653</f><v /></c><c r="L654" s="327"><f>L653</f><v /></c><c r="M654" s="59" t="n" /><c r="N654" s="59" t="n" /><c r="O654" s="100"><f>O653</f><v /></c><c r="P654" s="328"><f>P653</f><v /></c><c r="Q654" s="11"><f>LEFT(P654,1)</f><v /></c><c r="R654" s="11"><f>RIGHT(P654,6)</f><v /></c><c r="S654" s="11"><f>+(Q654*60+R654)/(60*60)</f><v /></c><c r="T654" s="14"><f>+O654/S654</f><v /></c><c r="U654" s="316"><f>+(((N654-M654-O654)/O654)*100)</f><v /></c><c r="V654" s="329"><f>V653</f><v /></c><c r="W654" s="329"><f>W653</f><v /></c><c r="X654" s="330"><f>X653</f><v /></c><c r="Y654" s="59" t="n" /><c r="Z654" s="59" t="n" /><c r="AA654" s="331"><f>AA653</f><v /></c><c r="AB654" s="332"><f>AB653</f><v /></c><c r="AC654" s="11"><f>LEFT(AB654,2)</f><v /></c><c r="AD654" s="11"><f>RIGHT(AB654,6)</f><v /></c><c r="AE654" s="11"><f>+(AC654*60+AD654)/(60*60)</f><v /></c><c r="AF654" s="14"><f>+AA654/AE654</f><v /></c><c r="AG654" s="321"><f>+(((Z654-Y654-AA654)/AA654)*100)</f><v /></c><c r="AH654" s="329"><f>AH653</f><v /></c><c r="AI654" s="329"><f>AI653</f><v /></c><c r="AJ654" s="329"><f>AJ653</f><v /></c><c r="AK654" s="53"><f>Z654</f><v /></c><c r="AL654" s="59" t="n" /><c r="AM654" s="333"><f>AM653</f><v /></c><c r="AN654" s="328"><f>AN653</f><v /></c><c r="AO654" s="11"><f>LEFT(AN654,2)</f><v /></c><c r="AP654" s="11"><f>RIGHT(AN654,6)</f><v /></c><c r="AQ654" s="11"><f>+(AO654*60+AP654)/(60*60)</f><v /></c><c r="AR654" s="14"><f>+AM654/AQ654</f><v /></c><c r="AS654" s="321"><f>+(((AL654-AK654-AM654)/AM654)*100)</f><v /></c><c r="AT654" s="43"><f>IF(I654&gt;=1,"NO CONFORME",IF(BK654="SIGDIFERENTES",BC654,BL654))</f><v /></c><c r="AU654" s="8"><f>B654=C654</f><v /></c><c r="AV654" s="8"><f>N654&lt;Y654</f><v /></c><c r="AW654" s="8"><f>Z654&lt;=AK654</f><v /></c><c r="AX654" s="8"><f>IF(I654&gt;=1,"Qcorrecto",IF(AND(AY654="aceptable",AZ654="aceptable",BA654="aceptable"),"Qcorrecto","Qincorrecto"))</f><v /></c><c r="AY654" s="22"><f>IF(AR654&lt;$AH$6,"error",IF(AR654&gt;$AH$6*1.1,"error","aceptable"))</f><v /></c><c r="AZ654" s="22"><f>IF(AF654&lt;$V$6,"error",IF(AF654&gt;$V$6*1.1,"error","aceptable"))</f><v /></c><c r="BA654" s="22"><f>IF(T654&lt;$J$6*0.9,"error",IF(T654&gt;$J$6,"error","aceptable"))</f><v /></c><c r="BB654" s="25"><f>(IF(ABS(U654)&lt;1.05,"CONFORME",IF(ABS(AG654)&lt;1.05,"CONFORME",IF(ABS(AS654)&lt;2.55,"CONFORME","NO CONFORME"))))</f><v /></c><c r="BC654" s="5"><f>(IF(ABS(U654)&gt;2.05,"NO CONFORME",IF(ABS(AG654)&gt;2.05,"NO CONFORME",IF(ABS(AS654)&gt;5.05,"NO CONFORME","CONFORME"))))</f><v /></c><c r="BD654" s="15"><f>SIGN(U654)</f><v /></c><c r="BE654" s="15"><f>SIGN(AG654)</f><v /></c><c r="BF654" s="15"><f>SIGN(AS654)</f><v /></c><c r="BG654" s="15"><f>CONCATENATE(BD654,BE654,BF654)</f><v /></c><c r="BH654" s="15"><f>IF(BG654="111","SI","SD")</f><v /></c><c r="BI654" s="15"><f>IF(BG654="-1-1-1","SI","SD")</f><v /></c><c r="BJ654" s="15"><f>OR(BH654="SI",BI654="SI")</f><v /></c><c r="BK654" s="15"><f>IF(BJ654=FALSE,"SIGDIFERENTES","SIGIGUALES")</f><v /></c><c r="BL654" s="22"><f>IF(BC654="NO CONFORME","NO CONFORME",IF(BB654="CONFORME","CONFORME","NO CONFORME"))</f><v /></c></row><row r="655" ht="15.75" customHeight="1" thickBot="1"><c r="A655" s="37" t="n"><v>647</v></c><c r="B655" s="324"><f>B654</f><v /></c><c r="C655" s="324"><f>C654</f><v /></c><c r="D655" s="94"><f>D654</f><v /></c><c r="E655" s="95"><f>E654</f><v /></c><c r="F655" s="13" t="n" /><c r="G655" s="312" t="n" /><c r="H655" s="326"><f>H654</f><v /></c><c r="I655" s="98"><f>I654</f><v /></c><c r="J655" s="327"><f>J654</f><v /></c><c r="K655" s="327"><f>K654</f><v /></c><c r="L655" s="327"><f>L654</f><v /></c><c r="M655" s="45" t="n" /><c r="N655" s="45" t="n" /><c r="O655" s="100"><f>O654</f><v /></c><c r="P655" s="328"><f>P654</f><v /></c><c r="Q655" s="11"><f>LEFT(P655,1)</f><v /></c><c r="R655" s="11"><f>RIGHT(P655,6)</f><v /></c><c r="S655" s="11"><f>+(Q655*60+R655)/(60*60)</f><v /></c><c r="T655" s="14"><f>+O655/S655</f><v /></c><c r="U655" s="316"><f>+(((N655-M655-O655)/O655)*100)</f><v /></c><c r="V655" s="329"><f>V654</f><v /></c><c r="W655" s="329"><f>W654</f><v /></c><c r="X655" s="330"><f>X654</f><v /></c><c r="Y655" s="45" t="n" /><c r="Z655" s="45" t="n" /><c r="AA655" s="331"><f>AA654</f><v /></c><c r="AB655" s="332"><f>AB654</f><v /></c><c r="AC655" s="11"><f>LEFT(AB655,2)</f><v /></c><c r="AD655" s="11"><f>RIGHT(AB655,6)</f><v /></c><c r="AE655" s="11"><f>+(AC655*60+AD655)/(60*60)</f><v /></c><c r="AF655" s="14"><f>+AA655/AE655</f><v /></c><c r="AG655" s="321"><f>+(((Z655-Y655-AA655)/AA655)*100)</f><v /></c><c r="AH655" s="329"><f>AH654</f><v /></c><c r="AI655" s="329"><f>AI654</f><v /></c><c r="AJ655" s="329"><f>AJ654</f><v /></c><c r="AK655" s="53"><f>Z655</f><v /></c><c r="AL655" s="45" t="n" /><c r="AM655" s="333"><f>AM654</f><v /></c><c r="AN655" s="328"><f>AN654</f><v /></c><c r="AO655" s="11"><f>LEFT(AN655,2)</f><v /></c><c r="AP655" s="11"><f>RIGHT(AN655,6)</f><v /></c><c r="AQ655" s="11"><f>+(AO655*60+AP655)/(60*60)</f><v /></c><c r="AR655" s="14"><f>+AM655/AQ655</f><v /></c><c r="AS655" s="321"><f>+(((AL655-AK655-AM655)/AM655)*100)</f><v /></c><c r="AT655" s="43"><f>IF(I655&gt;=1,"NO CONFORME",IF(BK655="SIGDIFERENTES",BC655,BL655))</f><v /></c><c r="AU655" s="8"><f>B655=C655</f><v /></c><c r="AV655" s="8"><f>N655&lt;Y655</f><v /></c><c r="AW655" s="8"><f>Z655&lt;=AK655</f><v /></c><c r="AX655" s="8"><f>IF(I655&gt;=1,"Qcorrecto",IF(AND(AY655="aceptable",AZ655="aceptable",BA655="aceptable"),"Qcorrecto","Qincorrecto"))</f><v /></c><c r="AY655" s="22"><f>IF(AR655&lt;$AH$6,"error",IF(AR655&gt;$AH$6*1.1,"error","aceptable"))</f><v /></c><c r="AZ655" s="22"><f>IF(AF655&lt;$V$6,"error",IF(AF655&gt;$V$6*1.1,"error","aceptable"))</f><v /></c><c r="BA655" s="22"><f>IF(T655&lt;$J$6*0.9,"error",IF(T655&gt;$J$6,"error","aceptable"))</f><v /></c><c r="BB655" s="25"><f>(IF(ABS(U655)&lt;1.05,"CONFORME",IF(ABS(AG655)&lt;1.05,"CONFORME",IF(ABS(AS655)&lt;2.55,"CONFORME","NO CONFORME"))))</f><v /></c><c r="BC655" s="5"><f>(IF(ABS(U655)&gt;2.05,"NO CONFORME",IF(ABS(AG655)&gt;2.05,"NO CONFORME",IF(ABS(AS655)&gt;5.05,"NO CONFORME","CONFORME"))))</f><v /></c><c r="BD655" s="15"><f>SIGN(U655)</f><v /></c><c r="BE655" s="15"><f>SIGN(AG655)</f><v /></c><c r="BF655" s="15"><f>SIGN(AS655)</f><v /></c><c r="BG655" s="15"><f>CONCATENATE(BD655,BE655,BF655)</f><v /></c><c r="BH655" s="15"><f>IF(BG655="111","SI","SD")</f><v /></c><c r="BI655" s="15"><f>IF(BG655="-1-1-1","SI","SD")</f><v /></c><c r="BJ655" s="15"><f>OR(BH655="SI",BI655="SI")</f><v /></c><c r="BK655" s="15"><f>IF(BJ655=FALSE,"SIGDIFERENTES","SIGIGUALES")</f><v /></c><c r="BL655" s="22"><f>IF(BC655="NO CONFORME","NO CONFORME",IF(BB655="CONFORME","CONFORME","NO CONFORME"))</f><v /></c></row><row r="656" ht="15.75" customHeight="1" thickBot="1"><c r="A656" s="37" t="n"><v>648</v></c><c r="B656" s="324"><f>B655</f><v /></c><c r="C656" s="324"><f>C655</f><v /></c><c r="D656" s="94"><f>D655</f><v /></c><c r="E656" s="95"><f>E655</f><v /></c><c r="F656" s="13" t="n" /><c r="G656" s="312" t="n" /><c r="H656" s="326"><f>H655</f><v /></c><c r="I656" s="98"><f>I655</f><v /></c><c r="J656" s="327"><f>J655</f><v /></c><c r="K656" s="327"><f>K655</f><v /></c><c r="L656" s="327"><f>L655</f><v /></c><c r="M656" s="45" t="n" /><c r="N656" s="45" t="n" /><c r="O656" s="100"><f>O655</f><v /></c><c r="P656" s="328"><f>P655</f><v /></c><c r="Q656" s="11"><f>LEFT(P656,1)</f><v /></c><c r="R656" s="11"><f>RIGHT(P656,6)</f><v /></c><c r="S656" s="11"><f>+(Q656*60+R656)/(60*60)</f><v /></c><c r="T656" s="14"><f>+O656/S656</f><v /></c><c r="U656" s="316"><f>+(((N656-M656-O656)/O656)*100)</f><v /></c><c r="V656" s="329"><f>V655</f><v /></c><c r="W656" s="329"><f>W655</f><v /></c><c r="X656" s="330"><f>X655</f><v /></c><c r="Y656" s="45" t="n" /><c r="Z656" s="45" t="n" /><c r="AA656" s="331"><f>AA655</f><v /></c><c r="AB656" s="332"><f>AB655</f><v /></c><c r="AC656" s="11"><f>LEFT(AB656,2)</f><v /></c><c r="AD656" s="11"><f>RIGHT(AB656,6)</f><v /></c><c r="AE656" s="11"><f>+(AC656*60+AD656)/(60*60)</f><v /></c><c r="AF656" s="14"><f>+AA656/AE656</f><v /></c><c r="AG656" s="321"><f>+(((Z656-Y656-AA656)/AA656)*100)</f><v /></c><c r="AH656" s="329"><f>AH655</f><v /></c><c r="AI656" s="329"><f>AI655</f><v /></c><c r="AJ656" s="329"><f>AJ655</f><v /></c><c r="AK656" s="53"><f>Z656</f><v /></c><c r="AL656" s="45" t="n" /><c r="AM656" s="333"><f>AM655</f><v /></c><c r="AN656" s="328"><f>AN655</f><v /></c><c r="AO656" s="11"><f>LEFT(AN656,2)</f><v /></c><c r="AP656" s="11"><f>RIGHT(AN656,6)</f><v /></c><c r="AQ656" s="11"><f>+(AO656*60+AP656)/(60*60)</f><v /></c><c r="AR656" s="14"><f>+AM656/AQ656</f><v /></c><c r="AS656" s="321"><f>+(((AL656-AK656-AM656)/AM656)*100)</f><v /></c><c r="AT656" s="43"><f>IF(I656&gt;=1,"NO CONFORME",IF(BK656="SIGDIFERENTES",BC656,BL656))</f><v /></c><c r="AU656" s="8"><f>B656=C656</f><v /></c><c r="AV656" s="8"><f>N656&lt;Y656</f><v /></c><c r="AW656" s="8"><f>Z656&lt;=AK656</f><v /></c><c r="AX656" s="8"><f>IF(I656&gt;=1,"Qcorrecto",IF(AND(AY656="aceptable",AZ656="aceptable",BA656="aceptable"),"Qcorrecto","Qincorrecto"))</f><v /></c><c r="AY656" s="22"><f>IF(AR656&lt;$AH$6,"error",IF(AR656&gt;$AH$6*1.1,"error","aceptable"))</f><v /></c><c r="AZ656" s="22"><f>IF(AF656&lt;$V$6,"error",IF(AF656&gt;$V$6*1.1,"error","aceptable"))</f><v /></c><c r="BA656" s="22"><f>IF(T656&lt;$J$6*0.9,"error",IF(T656&gt;$J$6,"error","aceptable"))</f><v /></c><c r="BB656" s="25"><f>(IF(ABS(U656)&lt;1.05,"CONFORME",IF(ABS(AG656)&lt;1.05,"CONFORME",IF(ABS(AS656)&lt;2.55,"CONFORME","NO CONFORME"))))</f><v /></c><c r="BC656" s="5"><f>(IF(ABS(U656)&gt;2.05,"NO CONFORME",IF(ABS(AG656)&gt;2.05,"NO CONFORME",IF(ABS(AS656)&gt;5.05,"NO CONFORME","CONFORME"))))</f><v /></c><c r="BD656" s="15"><f>SIGN(U656)</f><v /></c><c r="BE656" s="15"><f>SIGN(AG656)</f><v /></c><c r="BF656" s="15"><f>SIGN(AS656)</f><v /></c><c r="BG656" s="15"><f>CONCATENATE(BD656,BE656,BF656)</f><v /></c><c r="BH656" s="15"><f>IF(BG656="111","SI","SD")</f><v /></c><c r="BI656" s="15"><f>IF(BG656="-1-1-1","SI","SD")</f><v /></c><c r="BJ656" s="15"><f>OR(BH656="SI",BI656="SI")</f><v /></c><c r="BK656" s="15"><f>IF(BJ656=FALSE,"SIGDIFERENTES","SIGIGUALES")</f><v /></c><c r="BL656" s="22"><f>IF(BC656="NO CONFORME","NO CONFORME",IF(BB656="CONFORME","CONFORME","NO CONFORME"))</f><v /></c></row><row r="657" ht="15.75" customHeight="1" thickBot="1"><c r="A657" s="37" t="n"><v>649</v></c><c r="B657" s="324"><f>B656</f><v /></c><c r="C657" s="324"><f>C656</f><v /></c><c r="D657" s="94"><f>D656</f><v /></c><c r="E657" s="95"><f>E656</f><v /></c><c r="F657" s="13" t="n" /><c r="G657" s="312" t="n" /><c r="H657" s="326"><f>H656</f><v /></c><c r="I657" s="98"><f>I656</f><v /></c><c r="J657" s="327"><f>J656</f><v /></c><c r="K657" s="327"><f>K656</f><v /></c><c r="L657" s="327"><f>L656</f><v /></c><c r="M657" s="45" t="n" /><c r="N657" s="45" t="n" /><c r="O657" s="100"><f>O656</f><v /></c><c r="P657" s="328"><f>P656</f><v /></c><c r="Q657" s="11"><f>LEFT(P657,1)</f><v /></c><c r="R657" s="11"><f>RIGHT(P657,6)</f><v /></c><c r="S657" s="11"><f>+(Q657*60+R657)/(60*60)</f><v /></c><c r="T657" s="14"><f>+O657/S657</f><v /></c><c r="U657" s="316"><f>+(((N657-M657-O657)/O657)*100)</f><v /></c><c r="V657" s="329"><f>V656</f><v /></c><c r="W657" s="329"><f>W656</f><v /></c><c r="X657" s="330"><f>X656</f><v /></c><c r="Y657" s="45" t="n" /><c r="Z657" s="45" t="n" /><c r="AA657" s="331"><f>AA656</f><v /></c><c r="AB657" s="332"><f>AB656</f><v /></c><c r="AC657" s="11"><f>LEFT(AB657,2)</f><v /></c><c r="AD657" s="11"><f>RIGHT(AB657,6)</f><v /></c><c r="AE657" s="11"><f>+(AC657*60+AD657)/(60*60)</f><v /></c><c r="AF657" s="14"><f>+AA657/AE657</f><v /></c><c r="AG657" s="321"><f>+(((Z657-Y657-AA657)/AA657)*100)</f><v /></c><c r="AH657" s="329"><f>AH656</f><v /></c><c r="AI657" s="329"><f>AI656</f><v /></c><c r="AJ657" s="329"><f>AJ656</f><v /></c><c r="AK657" s="53"><f>Z657</f><v /></c><c r="AL657" s="45" t="n" /><c r="AM657" s="333"><f>AM656</f><v /></c><c r="AN657" s="328"><f>AN656</f><v /></c><c r="AO657" s="11"><f>LEFT(AN657,2)</f><v /></c><c r="AP657" s="11"><f>RIGHT(AN657,6)</f><v /></c><c r="AQ657" s="11"><f>+(AO657*60+AP657)/(60*60)</f><v /></c><c r="AR657" s="14"><f>+AM657/AQ657</f><v /></c><c r="AS657" s="321"><f>+(((AL657-AK657-AM657)/AM657)*100)</f><v /></c><c r="AT657" s="43"><f>IF(I657&gt;=1,"NO CONFORME",IF(BK657="SIGDIFERENTES",BC657,BL657))</f><v /></c><c r="AU657" s="8"><f>B657=C657</f><v /></c><c r="AV657" s="8"><f>N657&lt;Y657</f><v /></c><c r="AW657" s="8"><f>Z657&lt;=AK657</f><v /></c><c r="AX657" s="8"><f>IF(I657&gt;=1,"Qcorrecto",IF(AND(AY657="aceptable",AZ657="aceptable",BA657="aceptable"),"Qcorrecto","Qincorrecto"))</f><v /></c><c r="AY657" s="22"><f>IF(AR657&lt;$AH$6,"error",IF(AR657&gt;$AH$6*1.1,"error","aceptable"))</f><v /></c><c r="AZ657" s="22"><f>IF(AF657&lt;$V$6,"error",IF(AF657&gt;$V$6*1.1,"error","aceptable"))</f><v /></c><c r="BA657" s="22"><f>IF(T657&lt;$J$6*0.9,"error",IF(T657&gt;$J$6,"error","aceptable"))</f><v /></c><c r="BB657" s="25"><f>(IF(ABS(U657)&lt;1.05,"CONFORME",IF(ABS(AG657)&lt;1.05,"CONFORME",IF(ABS(AS657)&lt;2.55,"CONFORME","NO CONFORME"))))</f><v /></c><c r="BC657" s="5"><f>(IF(ABS(U657)&gt;2.05,"NO CONFORME",IF(ABS(AG657)&gt;2.05,"NO CONFORME",IF(ABS(AS657)&gt;5.05,"NO CONFORME","CONFORME"))))</f><v /></c><c r="BD657" s="15"><f>SIGN(U657)</f><v /></c><c r="BE657" s="15"><f>SIGN(AG657)</f><v /></c><c r="BF657" s="15"><f>SIGN(AS657)</f><v /></c><c r="BG657" s="15"><f>CONCATENATE(BD657,BE657,BF657)</f><v /></c><c r="BH657" s="15"><f>IF(BG657="111","SI","SD")</f><v /></c><c r="BI657" s="15"><f>IF(BG657="-1-1-1","SI","SD")</f><v /></c><c r="BJ657" s="15"><f>OR(BH657="SI",BI657="SI")</f><v /></c><c r="BK657" s="15"><f>IF(BJ657=FALSE,"SIGDIFERENTES","SIGIGUALES")</f><v /></c><c r="BL657" s="22"><f>IF(BC657="NO CONFORME","NO CONFORME",IF(BB657="CONFORME","CONFORME","NO CONFORME"))</f><v /></c></row><row r="658" ht="15.75" customHeight="1" thickBot="1"><c r="A658" s="37" t="n"><v>650</v></c><c r="B658" s="324"><f>B657</f><v /></c><c r="C658" s="324"><f>C657</f><v /></c><c r="D658" s="94"><f>D657</f><v /></c><c r="E658" s="95"><f>E657</f><v /></c><c r="F658" s="13" t="n" /><c r="G658" s="312" t="n" /><c r="H658" s="326"><f>H657</f><v /></c><c r="I658" s="98"><f>I657</f><v /></c><c r="J658" s="327"><f>J657</f><v /></c><c r="K658" s="327"><f>K657</f><v /></c><c r="L658" s="327"><f>L657</f><v /></c><c r="M658" s="45" t="n" /><c r="N658" s="45" t="n" /><c r="O658" s="100"><f>O657</f><v /></c><c r="P658" s="328"><f>P657</f><v /></c><c r="Q658" s="11"><f>LEFT(P658,1)</f><v /></c><c r="R658" s="11"><f>RIGHT(P658,6)</f><v /></c><c r="S658" s="11"><f>+(Q658*60+R658)/(60*60)</f><v /></c><c r="T658" s="14"><f>+O658/S658</f><v /></c><c r="U658" s="316"><f>+(((N658-M658-O658)/O658)*100)</f><v /></c><c r="V658" s="329"><f>V657</f><v /></c><c r="W658" s="329"><f>W657</f><v /></c><c r="X658" s="330"><f>X657</f><v /></c><c r="Y658" s="45" t="n" /><c r="Z658" s="45" t="n" /><c r="AA658" s="331"><f>AA657</f><v /></c><c r="AB658" s="332"><f>AB657</f><v /></c><c r="AC658" s="11"><f>LEFT(AB658,2)</f><v /></c><c r="AD658" s="11"><f>RIGHT(AB658,6)</f><v /></c><c r="AE658" s="11"><f>+(AC658*60+AD658)/(60*60)</f><v /></c><c r="AF658" s="14"><f>+AA658/AE658</f><v /></c><c r="AG658" s="321"><f>+(((Z658-Y658-AA658)/AA658)*100)</f><v /></c><c r="AH658" s="329"><f>AH657</f><v /></c><c r="AI658" s="329"><f>AI657</f><v /></c><c r="AJ658" s="329"><f>AJ657</f><v /></c><c r="AK658" s="53"><f>Z658</f><v /></c><c r="AL658" s="45" t="n" /><c r="AM658" s="333"><f>AM657</f><v /></c><c r="AN658" s="328"><f>AN657</f><v /></c><c r="AO658" s="11"><f>LEFT(AN658,2)</f><v /></c><c r="AP658" s="11"><f>RIGHT(AN658,6)</f><v /></c><c r="AQ658" s="11"><f>+(AO658*60+AP658)/(60*60)</f><v /></c><c r="AR658" s="14"><f>+AM658/AQ658</f><v /></c><c r="AS658" s="321"><f>+(((AL658-AK658-AM658)/AM658)*100)</f><v /></c><c r="AT658" s="43"><f>IF(I658&gt;=1,"NO CONFORME",IF(BK658="SIGDIFERENTES",BC658,BL658))</f><v /></c><c r="AU658" s="8"><f>B658=C658</f><v /></c><c r="AV658" s="8"><f>N658&lt;Y658</f><v /></c><c r="AW658" s="8"><f>Z658&lt;=AK658</f><v /></c><c r="AX658" s="8"><f>IF(I658&gt;=1,"Qcorrecto",IF(AND(AY658="aceptable",AZ658="aceptable",BA658="aceptable"),"Qcorrecto","Qincorrecto"))</f><v /></c><c r="AY658" s="22"><f>IF(AR658&lt;$AH$6,"error",IF(AR658&gt;$AH$6*1.1,"error","aceptable"))</f><v /></c><c r="AZ658" s="22"><f>IF(AF658&lt;$V$6,"error",IF(AF658&gt;$V$6*1.1,"error","aceptable"))</f><v /></c><c r="BA658" s="22"><f>IF(T658&lt;$J$6*0.9,"error",IF(T658&gt;$J$6,"error","aceptable"))</f><v /></c><c r="BB658" s="25"><f>(IF(ABS(U658)&lt;1.05,"CONFORME",IF(ABS(AG658)&lt;1.05,"CONFORME",IF(ABS(AS658)&lt;2.55,"CONFORME","NO CONFORME"))))</f><v /></c><c r="BC658" s="5"><f>(IF(ABS(U658)&gt;2.05,"NO CONFORME",IF(ABS(AG658)&gt;2.05,"NO CONFORME",IF(ABS(AS658)&gt;5.05,"NO CONFORME","CONFORME"))))</f><v /></c><c r="BD658" s="15"><f>SIGN(U658)</f><v /></c><c r="BE658" s="15"><f>SIGN(AG658)</f><v /></c><c r="BF658" s="15"><f>SIGN(AS658)</f><v /></c><c r="BG658" s="15"><f>CONCATENATE(BD658,BE658,BF658)</f><v /></c><c r="BH658" s="15"><f>IF(BG658="111","SI","SD")</f><v /></c><c r="BI658" s="15"><f>IF(BG658="-1-1-1","SI","SD")</f><v /></c><c r="BJ658" s="15"><f>OR(BH658="SI",BI658="SI")</f><v /></c><c r="BK658" s="15"><f>IF(BJ658=FALSE,"SIGDIFERENTES","SIGIGUALES")</f><v /></c><c r="BL658" s="22"><f>IF(BC658="NO CONFORME","NO CONFORME",IF(BB658="CONFORME","CONFORME","NO CONFORME"))</f><v /></c></row><row r="659" ht="15.75" customHeight="1" thickBot="1"><c r="A659" s="37" t="n"><v>651</v></c><c r="B659" s="324"><f>B658</f><v /></c><c r="C659" s="324"><f>C658</f><v /></c><c r="D659" s="94"><f>D658</f><v /></c><c r="E659" s="95"><f>E658</f><v /></c><c r="F659" s="13" t="n" /><c r="G659" s="312" t="n" /><c r="H659" s="326"><f>H658</f><v /></c><c r="I659" s="98"><f>I658</f><v /></c><c r="J659" s="327"><f>J658</f><v /></c><c r="K659" s="327"><f>K658</f><v /></c><c r="L659" s="327"><f>L658</f><v /></c><c r="M659" s="45" t="n" /><c r="N659" s="45" t="n" /><c r="O659" s="100"><f>O658</f><v /></c><c r="P659" s="328"><f>P658</f><v /></c><c r="Q659" s="11"><f>LEFT(P659,1)</f><v /></c><c r="R659" s="11"><f>RIGHT(P659,6)</f><v /></c><c r="S659" s="11"><f>+(Q659*60+R659)/(60*60)</f><v /></c><c r="T659" s="14"><f>+O659/S659</f><v /></c><c r="U659" s="316"><f>+(((N659-M659-O659)/O659)*100)</f><v /></c><c r="V659" s="329"><f>V658</f><v /></c><c r="W659" s="329"><f>W658</f><v /></c><c r="X659" s="330"><f>X658</f><v /></c><c r="Y659" s="45" t="n" /><c r="Z659" s="45" t="n" /><c r="AA659" s="331"><f>AA658</f><v /></c><c r="AB659" s="332"><f>AB658</f><v /></c><c r="AC659" s="11"><f>LEFT(AB659,2)</f><v /></c><c r="AD659" s="11"><f>RIGHT(AB659,6)</f><v /></c><c r="AE659" s="11"><f>+(AC659*60+AD659)/(60*60)</f><v /></c><c r="AF659" s="14"><f>+AA659/AE659</f><v /></c><c r="AG659" s="321"><f>+(((Z659-Y659-AA659)/AA659)*100)</f><v /></c><c r="AH659" s="329"><f>AH658</f><v /></c><c r="AI659" s="329"><f>AI658</f><v /></c><c r="AJ659" s="329"><f>AJ658</f><v /></c><c r="AK659" s="53"><f>Z659</f><v /></c><c r="AL659" s="45" t="n" /><c r="AM659" s="333"><f>AM658</f><v /></c><c r="AN659" s="328"><f>AN658</f><v /></c><c r="AO659" s="11"><f>LEFT(AN659,2)</f><v /></c><c r="AP659" s="11"><f>RIGHT(AN659,6)</f><v /></c><c r="AQ659" s="11"><f>+(AO659*60+AP659)/(60*60)</f><v /></c><c r="AR659" s="14"><f>+AM659/AQ659</f><v /></c><c r="AS659" s="321"><f>+(((AL659-AK659-AM659)/AM659)*100)</f><v /></c><c r="AT659" s="43"><f>IF(I659&gt;=1,"NO CONFORME",IF(BK659="SIGDIFERENTES",BC659,BL659))</f><v /></c><c r="AU659" s="8"><f>B659=C659</f><v /></c><c r="AV659" s="8"><f>N659&lt;Y659</f><v /></c><c r="AW659" s="8"><f>Z659&lt;=AK659</f><v /></c><c r="AX659" s="8"><f>IF(I659&gt;=1,"Qcorrecto",IF(AND(AY659="aceptable",AZ659="aceptable",BA659="aceptable"),"Qcorrecto","Qincorrecto"))</f><v /></c><c r="AY659" s="22"><f>IF(AR659&lt;$AH$6,"error",IF(AR659&gt;$AH$6*1.1,"error","aceptable"))</f><v /></c><c r="AZ659" s="22"><f>IF(AF659&lt;$V$6,"error",IF(AF659&gt;$V$6*1.1,"error","aceptable"))</f><v /></c><c r="BA659" s="22"><f>IF(T659&lt;$J$6*0.9,"error",IF(T659&gt;$J$6,"error","aceptable"))</f><v /></c><c r="BB659" s="25"><f>(IF(ABS(U659)&lt;1.05,"CONFORME",IF(ABS(AG659)&lt;1.05,"CONFORME",IF(ABS(AS659)&lt;2.55,"CONFORME","NO CONFORME"))))</f><v /></c><c r="BC659" s="5"><f>(IF(ABS(U659)&gt;2.05,"NO CONFORME",IF(ABS(AG659)&gt;2.05,"NO CONFORME",IF(ABS(AS659)&gt;5.05,"NO CONFORME","CONFORME"))))</f><v /></c><c r="BD659" s="15"><f>SIGN(U659)</f><v /></c><c r="BE659" s="15"><f>SIGN(AG659)</f><v /></c><c r="BF659" s="15"><f>SIGN(AS659)</f><v /></c><c r="BG659" s="15"><f>CONCATENATE(BD659,BE659,BF659)</f><v /></c><c r="BH659" s="15"><f>IF(BG659="111","SI","SD")</f><v /></c><c r="BI659" s="15"><f>IF(BG659="-1-1-1","SI","SD")</f><v /></c><c r="BJ659" s="15"><f>OR(BH659="SI",BI659="SI")</f><v /></c><c r="BK659" s="15"><f>IF(BJ659=FALSE,"SIGDIFERENTES","SIGIGUALES")</f><v /></c><c r="BL659" s="22"><f>IF(BC659="NO CONFORME","NO CONFORME",IF(BB659="CONFORME","CONFORME","NO CONFORME"))</f><v /></c></row><row r="660" ht="15.75" customHeight="1" thickBot="1"><c r="A660" s="37" t="n"><v>652</v></c><c r="B660" s="324"><f>B659</f><v /></c><c r="C660" s="324"><f>C659</f><v /></c><c r="D660" s="94"><f>D659</f><v /></c><c r="E660" s="95"><f>E659</f><v /></c><c r="F660" s="13" t="n" /><c r="G660" s="312" t="n" /><c r="H660" s="326"><f>H659</f><v /></c><c r="I660" s="98"><f>I659</f><v /></c><c r="J660" s="327"><f>J659</f><v /></c><c r="K660" s="327"><f>K659</f><v /></c><c r="L660" s="327"><f>L659</f><v /></c><c r="M660" s="45" t="n" /><c r="N660" s="45" t="n" /><c r="O660" s="100"><f>O659</f><v /></c><c r="P660" s="328"><f>P659</f><v /></c><c r="Q660" s="11"><f>LEFT(P660,1)</f><v /></c><c r="R660" s="11"><f>RIGHT(P660,6)</f><v /></c><c r="S660" s="11"><f>+(Q660*60+R660)/(60*60)</f><v /></c><c r="T660" s="14"><f>+O660/S660</f><v /></c><c r="U660" s="316"><f>+(((N660-M660-O660)/O660)*100)</f><v /></c><c r="V660" s="329"><f>V659</f><v /></c><c r="W660" s="329"><f>W659</f><v /></c><c r="X660" s="330"><f>X659</f><v /></c><c r="Y660" s="45" t="n" /><c r="Z660" s="45" t="n" /><c r="AA660" s="331"><f>AA659</f><v /></c><c r="AB660" s="332"><f>AB659</f><v /></c><c r="AC660" s="11"><f>LEFT(AB660,2)</f><v /></c><c r="AD660" s="11"><f>RIGHT(AB660,6)</f><v /></c><c r="AE660" s="11"><f>+(AC660*60+AD660)/(60*60)</f><v /></c><c r="AF660" s="14"><f>+AA660/AE660</f><v /></c><c r="AG660" s="321"><f>+(((Z660-Y660-AA660)/AA660)*100)</f><v /></c><c r="AH660" s="329"><f>AH659</f><v /></c><c r="AI660" s="329"><f>AI659</f><v /></c><c r="AJ660" s="329"><f>AJ659</f><v /></c><c r="AK660" s="53"><f>Z660</f><v /></c><c r="AL660" s="45" t="n" /><c r="AM660" s="333"><f>AM659</f><v /></c><c r="AN660" s="328"><f>AN659</f><v /></c><c r="AO660" s="11"><f>LEFT(AN660,2)</f><v /></c><c r="AP660" s="11"><f>RIGHT(AN660,6)</f><v /></c><c r="AQ660" s="11"><f>+(AO660*60+AP660)/(60*60)</f><v /></c><c r="AR660" s="14"><f>+AM660/AQ660</f><v /></c><c r="AS660" s="321"><f>+(((AL660-AK660-AM660)/AM660)*100)</f><v /></c><c r="AT660" s="43"><f>IF(I660&gt;=1,"NO CONFORME",IF(BK660="SIGDIFERENTES",BC660,BL660))</f><v /></c><c r="AU660" s="8"><f>B660=C660</f><v /></c><c r="AV660" s="8"><f>N660&lt;Y660</f><v /></c><c r="AW660" s="8"><f>Z660&lt;=AK660</f><v /></c><c r="AX660" s="8"><f>IF(I660&gt;=1,"Qcorrecto",IF(AND(AY660="aceptable",AZ660="aceptable",BA660="aceptable"),"Qcorrecto","Qincorrecto"))</f><v /></c><c r="AY660" s="22"><f>IF(AR660&lt;$AH$6,"error",IF(AR660&gt;$AH$6*1.1,"error","aceptable"))</f><v /></c><c r="AZ660" s="22"><f>IF(AF660&lt;$V$6,"error",IF(AF660&gt;$V$6*1.1,"error","aceptable"))</f><v /></c><c r="BA660" s="22"><f>IF(T660&lt;$J$6*0.9,"error",IF(T660&gt;$J$6,"error","aceptable"))</f><v /></c><c r="BB660" s="25"><f>(IF(ABS(U660)&lt;1.05,"CONFORME",IF(ABS(AG660)&lt;1.05,"CONFORME",IF(ABS(AS660)&lt;2.55,"CONFORME","NO CONFORME"))))</f><v /></c><c r="BC660" s="5"><f>(IF(ABS(U660)&gt;2.05,"NO CONFORME",IF(ABS(AG660)&gt;2.05,"NO CONFORME",IF(ABS(AS660)&gt;5.05,"NO CONFORME","CONFORME"))))</f><v /></c><c r="BD660" s="15"><f>SIGN(U660)</f><v /></c><c r="BE660" s="15"><f>SIGN(AG660)</f><v /></c><c r="BF660" s="15"><f>SIGN(AS660)</f><v /></c><c r="BG660" s="15"><f>CONCATENATE(BD660,BE660,BF660)</f><v /></c><c r="BH660" s="15"><f>IF(BG660="111","SI","SD")</f><v /></c><c r="BI660" s="15"><f>IF(BG660="-1-1-1","SI","SD")</f><v /></c><c r="BJ660" s="15"><f>OR(BH660="SI",BI660="SI")</f><v /></c><c r="BK660" s="15"><f>IF(BJ660=FALSE,"SIGDIFERENTES","SIGIGUALES")</f><v /></c><c r="BL660" s="22"><f>IF(BC660="NO CONFORME","NO CONFORME",IF(BB660="CONFORME","CONFORME","NO CONFORME"))</f><v /></c></row><row r="661" ht="15.75" customHeight="1" thickBot="1"><c r="A661" s="37" t="n"><v>653</v></c><c r="B661" s="324"><f>B660</f><v /></c><c r="C661" s="324"><f>C660</f><v /></c><c r="D661" s="94"><f>D660</f><v /></c><c r="E661" s="95"><f>E660</f><v /></c><c r="F661" s="13" t="n" /><c r="G661" s="312" t="n" /><c r="H661" s="326"><f>H660</f><v /></c><c r="I661" s="98"><f>I660</f><v /></c><c r="J661" s="327"><f>J660</f><v /></c><c r="K661" s="327"><f>K660</f><v /></c><c r="L661" s="327"><f>L660</f><v /></c><c r="M661" s="45" t="n" /><c r="N661" s="45" t="n" /><c r="O661" s="100"><f>O660</f><v /></c><c r="P661" s="328"><f>P660</f><v /></c><c r="Q661" s="11"><f>LEFT(P661,1)</f><v /></c><c r="R661" s="11"><f>RIGHT(P661,6)</f><v /></c><c r="S661" s="11"><f>+(Q661*60+R661)/(60*60)</f><v /></c><c r="T661" s="14"><f>+O661/S661</f><v /></c><c r="U661" s="316"><f>+(((N661-M661-O661)/O661)*100)</f><v /></c><c r="V661" s="329"><f>V660</f><v /></c><c r="W661" s="329"><f>W660</f><v /></c><c r="X661" s="330"><f>X660</f><v /></c><c r="Y661" s="45" t="n" /><c r="Z661" s="45" t="n" /><c r="AA661" s="331"><f>AA660</f><v /></c><c r="AB661" s="332"><f>AB660</f><v /></c><c r="AC661" s="11"><f>LEFT(AB661,2)</f><v /></c><c r="AD661" s="11"><f>RIGHT(AB661,6)</f><v /></c><c r="AE661" s="11"><f>+(AC661*60+AD661)/(60*60)</f><v /></c><c r="AF661" s="14"><f>+AA661/AE661</f><v /></c><c r="AG661" s="321"><f>+(((Z661-Y661-AA661)/AA661)*100)</f><v /></c><c r="AH661" s="329"><f>AH660</f><v /></c><c r="AI661" s="329"><f>AI660</f><v /></c><c r="AJ661" s="329"><f>AJ660</f><v /></c><c r="AK661" s="53"><f>Z661</f><v /></c><c r="AL661" s="45" t="n" /><c r="AM661" s="333"><f>AM660</f><v /></c><c r="AN661" s="328"><f>AN660</f><v /></c><c r="AO661" s="11"><f>LEFT(AN661,2)</f><v /></c><c r="AP661" s="11"><f>RIGHT(AN661,6)</f><v /></c><c r="AQ661" s="11"><f>+(AO661*60+AP661)/(60*60)</f><v /></c><c r="AR661" s="14"><f>+AM661/AQ661</f><v /></c><c r="AS661" s="321"><f>+(((AL661-AK661-AM661)/AM661)*100)</f><v /></c><c r="AT661" s="43"><f>IF(I661&gt;=1,"NO CONFORME",IF(BK661="SIGDIFERENTES",BC661,BL661))</f><v /></c><c r="AU661" s="8"><f>B661=C661</f><v /></c><c r="AV661" s="8"><f>N661&lt;Y661</f><v /></c><c r="AW661" s="8"><f>Z661&lt;=AK661</f><v /></c><c r="AX661" s="8"><f>IF(I661&gt;=1,"Qcorrecto",IF(AND(AY661="aceptable",AZ661="aceptable",BA661="aceptable"),"Qcorrecto","Qincorrecto"))</f><v /></c><c r="AY661" s="22"><f>IF(AR661&lt;$AH$6,"error",IF(AR661&gt;$AH$6*1.1,"error","aceptable"))</f><v /></c><c r="AZ661" s="22"><f>IF(AF661&lt;$V$6,"error",IF(AF661&gt;$V$6*1.1,"error","aceptable"))</f><v /></c><c r="BA661" s="22"><f>IF(T661&lt;$J$6*0.9,"error",IF(T661&gt;$J$6,"error","aceptable"))</f><v /></c><c r="BB661" s="25"><f>(IF(ABS(U661)&lt;1.05,"CONFORME",IF(ABS(AG661)&lt;1.05,"CONFORME",IF(ABS(AS661)&lt;2.55,"CONFORME","NO CONFORME"))))</f><v /></c><c r="BC661" s="5"><f>(IF(ABS(U661)&gt;2.05,"NO CONFORME",IF(ABS(AG661)&gt;2.05,"NO CONFORME",IF(ABS(AS661)&gt;5.05,"NO CONFORME","CONFORME"))))</f><v /></c><c r="BD661" s="15"><f>SIGN(U661)</f><v /></c><c r="BE661" s="15"><f>SIGN(AG661)</f><v /></c><c r="BF661" s="15"><f>SIGN(AS661)</f><v /></c><c r="BG661" s="15"><f>CONCATENATE(BD661,BE661,BF661)</f><v /></c><c r="BH661" s="15"><f>IF(BG661="111","SI","SD")</f><v /></c><c r="BI661" s="15"><f>IF(BG661="-1-1-1","SI","SD")</f><v /></c><c r="BJ661" s="15"><f>OR(BH661="SI",BI661="SI")</f><v /></c><c r="BK661" s="15"><f>IF(BJ661=FALSE,"SIGDIFERENTES","SIGIGUALES")</f><v /></c><c r="BL661" s="22"><f>IF(BC661="NO CONFORME","NO CONFORME",IF(BB661="CONFORME","CONFORME","NO CONFORME"))</f><v /></c></row><row r="662" ht="15.75" customHeight="1" thickBot="1"><c r="A662" s="37" t="n"><v>654</v></c><c r="B662" s="324"><f>B661</f><v /></c><c r="C662" s="324"><f>C661</f><v /></c><c r="D662" s="94"><f>D661</f><v /></c><c r="E662" s="95"><f>E661</f><v /></c><c r="F662" s="13" t="n" /><c r="G662" s="312" t="n" /><c r="H662" s="326"><f>H661</f><v /></c><c r="I662" s="98"><f>I661</f><v /></c><c r="J662" s="327"><f>J661</f><v /></c><c r="K662" s="327"><f>K661</f><v /></c><c r="L662" s="327"><f>L661</f><v /></c><c r="M662" s="45" t="n" /><c r="N662" s="45" t="n" /><c r="O662" s="100"><f>O661</f><v /></c><c r="P662" s="328"><f>P661</f><v /></c><c r="Q662" s="11"><f>LEFT(P662,1)</f><v /></c><c r="R662" s="11"><f>RIGHT(P662,6)</f><v /></c><c r="S662" s="11"><f>+(Q662*60+R662)/(60*60)</f><v /></c><c r="T662" s="14"><f>+O662/S662</f><v /></c><c r="U662" s="316"><f>+(((N662-M662-O662)/O662)*100)</f><v /></c><c r="V662" s="329"><f>V661</f><v /></c><c r="W662" s="329"><f>W661</f><v /></c><c r="X662" s="330"><f>X661</f><v /></c><c r="Y662" s="45" t="n" /><c r="Z662" s="45" t="n" /><c r="AA662" s="331"><f>AA661</f><v /></c><c r="AB662" s="332"><f>AB661</f><v /></c><c r="AC662" s="11"><f>LEFT(AB662,2)</f><v /></c><c r="AD662" s="11"><f>RIGHT(AB662,6)</f><v /></c><c r="AE662" s="11"><f>+(AC662*60+AD662)/(60*60)</f><v /></c><c r="AF662" s="14"><f>+AA662/AE662</f><v /></c><c r="AG662" s="321"><f>+(((Z662-Y662-AA662)/AA662)*100)</f><v /></c><c r="AH662" s="329"><f>AH661</f><v /></c><c r="AI662" s="329"><f>AI661</f><v /></c><c r="AJ662" s="329"><f>AJ661</f><v /></c><c r="AK662" s="53"><f>Z662</f><v /></c><c r="AL662" s="45" t="n" /><c r="AM662" s="333"><f>AM661</f><v /></c><c r="AN662" s="328"><f>AN661</f><v /></c><c r="AO662" s="11"><f>LEFT(AN662,2)</f><v /></c><c r="AP662" s="11"><f>RIGHT(AN662,6)</f><v /></c><c r="AQ662" s="11"><f>+(AO662*60+AP662)/(60*60)</f><v /></c><c r="AR662" s="14"><f>+AM662/AQ662</f><v /></c><c r="AS662" s="321"><f>+(((AL662-AK662-AM662)/AM662)*100)</f><v /></c><c r="AT662" s="43"><f>IF(I662&gt;=1,"NO CONFORME",IF(BK662="SIGDIFERENTES",BC662,BL662))</f><v /></c><c r="AU662" s="8"><f>B662=C662</f><v /></c><c r="AV662" s="8"><f>N662&lt;Y662</f><v /></c><c r="AW662" s="8"><f>Z662&lt;=AK662</f><v /></c><c r="AX662" s="8"><f>IF(I662&gt;=1,"Qcorrecto",IF(AND(AY662="aceptable",AZ662="aceptable",BA662="aceptable"),"Qcorrecto","Qincorrecto"))</f><v /></c><c r="AY662" s="22"><f>IF(AR662&lt;$AH$6,"error",IF(AR662&gt;$AH$6*1.1,"error","aceptable"))</f><v /></c><c r="AZ662" s="22"><f>IF(AF662&lt;$V$6,"error",IF(AF662&gt;$V$6*1.1,"error","aceptable"))</f><v /></c><c r="BA662" s="22"><f>IF(T662&lt;$J$6*0.9,"error",IF(T662&gt;$J$6,"error","aceptable"))</f><v /></c><c r="BB662" s="25"><f>(IF(ABS(U662)&lt;1.05,"CONFORME",IF(ABS(AG662)&lt;1.05,"CONFORME",IF(ABS(AS662)&lt;2.55,"CONFORME","NO CONFORME"))))</f><v /></c><c r="BC662" s="5"><f>(IF(ABS(U662)&gt;2.05,"NO CONFORME",IF(ABS(AG662)&gt;2.05,"NO CONFORME",IF(ABS(AS662)&gt;5.05,"NO CONFORME","CONFORME"))))</f><v /></c><c r="BD662" s="15"><f>SIGN(U662)</f><v /></c><c r="BE662" s="15"><f>SIGN(AG662)</f><v /></c><c r="BF662" s="15"><f>SIGN(AS662)</f><v /></c><c r="BG662" s="15"><f>CONCATENATE(BD662,BE662,BF662)</f><v /></c><c r="BH662" s="15"><f>IF(BG662="111","SI","SD")</f><v /></c><c r="BI662" s="15"><f>IF(BG662="-1-1-1","SI","SD")</f><v /></c><c r="BJ662" s="15"><f>OR(BH662="SI",BI662="SI")</f><v /></c><c r="BK662" s="15"><f>IF(BJ662=FALSE,"SIGDIFERENTES","SIGIGUALES")</f><v /></c><c r="BL662" s="22"><f>IF(BC662="NO CONFORME","NO CONFORME",IF(BB662="CONFORME","CONFORME","NO CONFORME"))</f><v /></c></row><row r="663" ht="15.75" customHeight="1" thickBot="1"><c r="A663" s="37" t="n"><v>655</v></c><c r="B663" s="324"><f>B662</f><v /></c><c r="C663" s="324"><f>C662</f><v /></c><c r="D663" s="94"><f>D662</f><v /></c><c r="E663" s="95"><f>E662</f><v /></c><c r="F663" s="13" t="n" /><c r="G663" s="312" t="n" /><c r="H663" s="326"><f>H662</f><v /></c><c r="I663" s="98"><f>I662</f><v /></c><c r="J663" s="327"><f>J662</f><v /></c><c r="K663" s="327"><f>K662</f><v /></c><c r="L663" s="327"><f>L662</f><v /></c><c r="M663" s="45" t="n" /><c r="N663" s="45" t="n" /><c r="O663" s="100"><f>O662</f><v /></c><c r="P663" s="328"><f>P662</f><v /></c><c r="Q663" s="11"><f>LEFT(P663,1)</f><v /></c><c r="R663" s="11"><f>RIGHT(P663,6)</f><v /></c><c r="S663" s="11"><f>+(Q663*60+R663)/(60*60)</f><v /></c><c r="T663" s="14"><f>+O663/S663</f><v /></c><c r="U663" s="316"><f>+(((N663-M663-O663)/O663)*100)</f><v /></c><c r="V663" s="329"><f>V662</f><v /></c><c r="W663" s="329"><f>W662</f><v /></c><c r="X663" s="330"><f>X662</f><v /></c><c r="Y663" s="45" t="n" /><c r="Z663" s="45" t="n" /><c r="AA663" s="331"><f>AA662</f><v /></c><c r="AB663" s="332"><f>AB662</f><v /></c><c r="AC663" s="11"><f>LEFT(AB663,2)</f><v /></c><c r="AD663" s="11"><f>RIGHT(AB663,6)</f><v /></c><c r="AE663" s="11"><f>+(AC663*60+AD663)/(60*60)</f><v /></c><c r="AF663" s="14"><f>+AA663/AE663</f><v /></c><c r="AG663" s="321"><f>+(((Z663-Y663-AA663)/AA663)*100)</f><v /></c><c r="AH663" s="329"><f>AH662</f><v /></c><c r="AI663" s="329"><f>AI662</f><v /></c><c r="AJ663" s="329"><f>AJ662</f><v /></c><c r="AK663" s="53"><f>Z663</f><v /></c><c r="AL663" s="45" t="n" /><c r="AM663" s="333"><f>AM662</f><v /></c><c r="AN663" s="328"><f>AN662</f><v /></c><c r="AO663" s="11"><f>LEFT(AN663,2)</f><v /></c><c r="AP663" s="11"><f>RIGHT(AN663,6)</f><v /></c><c r="AQ663" s="11"><f>+(AO663*60+AP663)/(60*60)</f><v /></c><c r="AR663" s="14"><f>+AM663/AQ663</f><v /></c><c r="AS663" s="321"><f>+(((AL663-AK663-AM663)/AM663)*100)</f><v /></c><c r="AT663" s="43"><f>IF(I663&gt;=1,"NO CONFORME",IF(BK663="SIGDIFERENTES",BC663,BL663))</f><v /></c><c r="AU663" s="8"><f>B663=C663</f><v /></c><c r="AV663" s="8"><f>N663&lt;Y663</f><v /></c><c r="AW663" s="8"><f>Z663&lt;=AK663</f><v /></c><c r="AX663" s="8"><f>IF(I663&gt;=1,"Qcorrecto",IF(AND(AY663="aceptable",AZ663="aceptable",BA663="aceptable"),"Qcorrecto","Qincorrecto"))</f><v /></c><c r="AY663" s="22"><f>IF(AR663&lt;$AH$6,"error",IF(AR663&gt;$AH$6*1.1,"error","aceptable"))</f><v /></c><c r="AZ663" s="22"><f>IF(AF663&lt;$V$6,"error",IF(AF663&gt;$V$6*1.1,"error","aceptable"))</f><v /></c><c r="BA663" s="22"><f>IF(T663&lt;$J$6*0.9,"error",IF(T663&gt;$J$6,"error","aceptable"))</f><v /></c><c r="BB663" s="25"><f>(IF(ABS(U663)&lt;1.05,"CONFORME",IF(ABS(AG663)&lt;1.05,"CONFORME",IF(ABS(AS663)&lt;2.55,"CONFORME","NO CONFORME"))))</f><v /></c><c r="BC663" s="5"><f>(IF(ABS(U663)&gt;2.05,"NO CONFORME",IF(ABS(AG663)&gt;2.05,"NO CONFORME",IF(ABS(AS663)&gt;5.05,"NO CONFORME","CONFORME"))))</f><v /></c><c r="BD663" s="15"><f>SIGN(U663)</f><v /></c><c r="BE663" s="15"><f>SIGN(AG663)</f><v /></c><c r="BF663" s="15"><f>SIGN(AS663)</f><v /></c><c r="BG663" s="15"><f>CONCATENATE(BD663,BE663,BF663)</f><v /></c><c r="BH663" s="15"><f>IF(BG663="111","SI","SD")</f><v /></c><c r="BI663" s="15"><f>IF(BG663="-1-1-1","SI","SD")</f><v /></c><c r="BJ663" s="15"><f>OR(BH663="SI",BI663="SI")</f><v /></c><c r="BK663" s="15"><f>IF(BJ663=FALSE,"SIGDIFERENTES","SIGIGUALES")</f><v /></c><c r="BL663" s="22"><f>IF(BC663="NO CONFORME","NO CONFORME",IF(BB663="CONFORME","CONFORME","NO CONFORME"))</f><v /></c></row><row r="664" ht="15.75" customHeight="1" thickBot="1"><c r="A664" s="37" t="n"><v>656</v></c><c r="B664" s="324"><f>B663</f><v /></c><c r="C664" s="324"><f>C663</f><v /></c><c r="D664" s="94"><f>D663</f><v /></c><c r="E664" s="95"><f>E663</f><v /></c><c r="F664" s="13" t="n" /><c r="G664" s="312" t="n" /><c r="H664" s="326"><f>H663</f><v /></c><c r="I664" s="98"><f>I663</f><v /></c><c r="J664" s="327"><f>J663</f><v /></c><c r="K664" s="327"><f>K663</f><v /></c><c r="L664" s="327"><f>L663</f><v /></c><c r="M664" s="45" t="n" /><c r="N664" s="45" t="n" /><c r="O664" s="100"><f>O663</f><v /></c><c r="P664" s="328"><f>P663</f><v /></c><c r="Q664" s="11"><f>LEFT(P664,1)</f><v /></c><c r="R664" s="11"><f>RIGHT(P664,6)</f><v /></c><c r="S664" s="11"><f>+(Q664*60+R664)/(60*60)</f><v /></c><c r="T664" s="14"><f>+O664/S664</f><v /></c><c r="U664" s="316"><f>+(((N664-M664-O664)/O664)*100)</f><v /></c><c r="V664" s="329"><f>V663</f><v /></c><c r="W664" s="329"><f>W663</f><v /></c><c r="X664" s="330"><f>X663</f><v /></c><c r="Y664" s="45" t="n" /><c r="Z664" s="45" t="n" /><c r="AA664" s="331"><f>AA663</f><v /></c><c r="AB664" s="332"><f>AB663</f><v /></c><c r="AC664" s="11"><f>LEFT(AB664,2)</f><v /></c><c r="AD664" s="11"><f>RIGHT(AB664,6)</f><v /></c><c r="AE664" s="11"><f>+(AC664*60+AD664)/(60*60)</f><v /></c><c r="AF664" s="14"><f>+AA664/AE664</f><v /></c><c r="AG664" s="321"><f>+(((Z664-Y664-AA664)/AA664)*100)</f><v /></c><c r="AH664" s="329"><f>AH663</f><v /></c><c r="AI664" s="329"><f>AI663</f><v /></c><c r="AJ664" s="329"><f>AJ663</f><v /></c><c r="AK664" s="53"><f>Z664</f><v /></c><c r="AL664" s="45" t="n" /><c r="AM664" s="333"><f>AM663</f><v /></c><c r="AN664" s="328"><f>AN663</f><v /></c><c r="AO664" s="11"><f>LEFT(AN664,2)</f><v /></c><c r="AP664" s="11"><f>RIGHT(AN664,6)</f><v /></c><c r="AQ664" s="11"><f>+(AO664*60+AP664)/(60*60)</f><v /></c><c r="AR664" s="14"><f>+AM664/AQ664</f><v /></c><c r="AS664" s="321"><f>+(((AL664-AK664-AM664)/AM664)*100)</f><v /></c><c r="AT664" s="43"><f>IF(I664&gt;=1,"NO CONFORME",IF(BK664="SIGDIFERENTES",BC664,BL664))</f><v /></c><c r="AU664" s="8"><f>B664=C664</f><v /></c><c r="AV664" s="8"><f>N664&lt;Y664</f><v /></c><c r="AW664" s="8"><f>Z664&lt;=AK664</f><v /></c><c r="AX664" s="8"><f>IF(I664&gt;=1,"Qcorrecto",IF(AND(AY664="aceptable",AZ664="aceptable",BA664="aceptable"),"Qcorrecto","Qincorrecto"))</f><v /></c><c r="AY664" s="22"><f>IF(AR664&lt;$AH$6,"error",IF(AR664&gt;$AH$6*1.1,"error","aceptable"))</f><v /></c><c r="AZ664" s="22"><f>IF(AF664&lt;$V$6,"error",IF(AF664&gt;$V$6*1.1,"error","aceptable"))</f><v /></c><c r="BA664" s="22"><f>IF(T664&lt;$J$6*0.9,"error",IF(T664&gt;$J$6,"error","aceptable"))</f><v /></c><c r="BB664" s="25"><f>(IF(ABS(U664)&lt;1.05,"CONFORME",IF(ABS(AG664)&lt;1.05,"CONFORME",IF(ABS(AS664)&lt;2.55,"CONFORME","NO CONFORME"))))</f><v /></c><c r="BC664" s="5"><f>(IF(ABS(U664)&gt;2.05,"NO CONFORME",IF(ABS(AG664)&gt;2.05,"NO CONFORME",IF(ABS(AS664)&gt;5.05,"NO CONFORME","CONFORME"))))</f><v /></c><c r="BD664" s="15"><f>SIGN(U664)</f><v /></c><c r="BE664" s="15"><f>SIGN(AG664)</f><v /></c><c r="BF664" s="15"><f>SIGN(AS664)</f><v /></c><c r="BG664" s="15"><f>CONCATENATE(BD664,BE664,BF664)</f><v /></c><c r="BH664" s="15"><f>IF(BG664="111","SI","SD")</f><v /></c><c r="BI664" s="15"><f>IF(BG664="-1-1-1","SI","SD")</f><v /></c><c r="BJ664" s="15"><f>OR(BH664="SI",BI664="SI")</f><v /></c><c r="BK664" s="15"><f>IF(BJ664=FALSE,"SIGDIFERENTES","SIGIGUALES")</f><v /></c><c r="BL664" s="22"><f>IF(BC664="NO CONFORME","NO CONFORME",IF(BB664="CONFORME","CONFORME","NO CONFORME"))</f><v /></c></row><row r="665" ht="15.75" customHeight="1" thickBot="1"><c r="A665" s="37" t="n"><v>657</v></c><c r="B665" s="324"><f>B664</f><v /></c><c r="C665" s="324"><f>C664</f><v /></c><c r="D665" s="94"><f>D664</f><v /></c><c r="E665" s="95"><f>E664</f><v /></c><c r="F665" s="13" t="n" /><c r="G665" s="312" t="n" /><c r="H665" s="326"><f>H664</f><v /></c><c r="I665" s="98"><f>I664</f><v /></c><c r="J665" s="327"><f>J664</f><v /></c><c r="K665" s="327"><f>K664</f><v /></c><c r="L665" s="327"><f>L664</f><v /></c><c r="M665" s="45" t="n" /><c r="N665" s="45" t="n" /><c r="O665" s="100"><f>O664</f><v /></c><c r="P665" s="328"><f>P664</f><v /></c><c r="Q665" s="11"><f>LEFT(P665,1)</f><v /></c><c r="R665" s="11"><f>RIGHT(P665,6)</f><v /></c><c r="S665" s="11"><f>+(Q665*60+R665)/(60*60)</f><v /></c><c r="T665" s="14"><f>+O665/S665</f><v /></c><c r="U665" s="316"><f>+(((N665-M665-O665)/O665)*100)</f><v /></c><c r="V665" s="329"><f>V664</f><v /></c><c r="W665" s="329"><f>W664</f><v /></c><c r="X665" s="330"><f>X664</f><v /></c><c r="Y665" s="45" t="n" /><c r="Z665" s="45" t="n" /><c r="AA665" s="331"><f>AA664</f><v /></c><c r="AB665" s="332"><f>AB664</f><v /></c><c r="AC665" s="11"><f>LEFT(AB665,2)</f><v /></c><c r="AD665" s="11"><f>RIGHT(AB665,6)</f><v /></c><c r="AE665" s="11"><f>+(AC665*60+AD665)/(60*60)</f><v /></c><c r="AF665" s="14"><f>+AA665/AE665</f><v /></c><c r="AG665" s="321"><f>+(((Z665-Y665-AA665)/AA665)*100)</f><v /></c><c r="AH665" s="329"><f>AH664</f><v /></c><c r="AI665" s="329"><f>AI664</f><v /></c><c r="AJ665" s="329"><f>AJ664</f><v /></c><c r="AK665" s="53"><f>Z665</f><v /></c><c r="AL665" s="45" t="n" /><c r="AM665" s="333"><f>AM664</f><v /></c><c r="AN665" s="328"><f>AN664</f><v /></c><c r="AO665" s="11"><f>LEFT(AN665,2)</f><v /></c><c r="AP665" s="11"><f>RIGHT(AN665,6)</f><v /></c><c r="AQ665" s="11"><f>+(AO665*60+AP665)/(60*60)</f><v /></c><c r="AR665" s="14"><f>+AM665/AQ665</f><v /></c><c r="AS665" s="321"><f>+(((AL665-AK665-AM665)/AM665)*100)</f><v /></c><c r="AT665" s="43"><f>IF(I665&gt;=1,"NO CONFORME",IF(BK665="SIGDIFERENTES",BC665,BL665))</f><v /></c><c r="AU665" s="8"><f>B665=C665</f><v /></c><c r="AV665" s="8"><f>N665&lt;Y665</f><v /></c><c r="AW665" s="8"><f>Z665&lt;=AK665</f><v /></c><c r="AX665" s="8"><f>IF(I665&gt;=1,"Qcorrecto",IF(AND(AY665="aceptable",AZ665="aceptable",BA665="aceptable"),"Qcorrecto","Qincorrecto"))</f><v /></c><c r="AY665" s="22"><f>IF(AR665&lt;$AH$6,"error",IF(AR665&gt;$AH$6*1.1,"error","aceptable"))</f><v /></c><c r="AZ665" s="22"><f>IF(AF665&lt;$V$6,"error",IF(AF665&gt;$V$6*1.1,"error","aceptable"))</f><v /></c><c r="BA665" s="22"><f>IF(T665&lt;$J$6*0.9,"error",IF(T665&gt;$J$6,"error","aceptable"))</f><v /></c><c r="BB665" s="25"><f>(IF(ABS(U665)&lt;1.05,"CONFORME",IF(ABS(AG665)&lt;1.05,"CONFORME",IF(ABS(AS665)&lt;2.55,"CONFORME","NO CONFORME"))))</f><v /></c><c r="BC665" s="5"><f>(IF(ABS(U665)&gt;2.05,"NO CONFORME",IF(ABS(AG665)&gt;2.05,"NO CONFORME",IF(ABS(AS665)&gt;5.05,"NO CONFORME","CONFORME"))))</f><v /></c><c r="BD665" s="15"><f>SIGN(U665)</f><v /></c><c r="BE665" s="15"><f>SIGN(AG665)</f><v /></c><c r="BF665" s="15"><f>SIGN(AS665)</f><v /></c><c r="BG665" s="15"><f>CONCATENATE(BD665,BE665,BF665)</f><v /></c><c r="BH665" s="15"><f>IF(BG665="111","SI","SD")</f><v /></c><c r="BI665" s="15"><f>IF(BG665="-1-1-1","SI","SD")</f><v /></c><c r="BJ665" s="15"><f>OR(BH665="SI",BI665="SI")</f><v /></c><c r="BK665" s="15"><f>IF(BJ665=FALSE,"SIGDIFERENTES","SIGIGUALES")</f><v /></c><c r="BL665" s="22"><f>IF(BC665="NO CONFORME","NO CONFORME",IF(BB665="CONFORME","CONFORME","NO CONFORME"))</f><v /></c></row><row r="666" ht="15.75" customHeight="1" thickBot="1"><c r="A666" s="37" t="n"><v>658</v></c><c r="B666" s="324"><f>B665</f><v /></c><c r="C666" s="324"><f>C665</f><v /></c><c r="D666" s="94"><f>D665</f><v /></c><c r="E666" s="95"><f>E665</f><v /></c><c r="F666" s="56" t="n" /><c r="G666" s="338" t="n" /><c r="H666" s="326"><f>H665</f><v /></c><c r="I666" s="98"><f>I665</f><v /></c><c r="J666" s="327"><f>J665</f><v /></c><c r="K666" s="327"><f>K665</f><v /></c><c r="L666" s="327"><f>L665</f><v /></c><c r="M666" s="57" t="n" /><c r="N666" s="57" t="n" /><c r="O666" s="100"><f>O665</f><v /></c><c r="P666" s="328"><f>P665</f><v /></c><c r="Q666" s="11"><f>LEFT(P666,1)</f><v /></c><c r="R666" s="11"><f>RIGHT(P666,6)</f><v /></c><c r="S666" s="11"><f>+(Q666*60+R666)/(60*60)</f><v /></c><c r="T666" s="14"><f>+O666/S666</f><v /></c><c r="U666" s="316"><f>+(((N666-M666-O666)/O666)*100)</f><v /></c><c r="V666" s="329"><f>V665</f><v /></c><c r="W666" s="329"><f>W665</f><v /></c><c r="X666" s="330"><f>X665</f><v /></c><c r="Y666" s="57" t="n" /><c r="Z666" s="57" t="n" /><c r="AA666" s="331"><f>AA665</f><v /></c><c r="AB666" s="332"><f>AB665</f><v /></c><c r="AC666" s="11"><f>LEFT(AB666,2)</f><v /></c><c r="AD666" s="11"><f>RIGHT(AB666,6)</f><v /></c><c r="AE666" s="11"><f>+(AC666*60+AD666)/(60*60)</f><v /></c><c r="AF666" s="14"><f>+AA666/AE666</f><v /></c><c r="AG666" s="321"><f>+(((Z666-Y666-AA666)/AA666)*100)</f><v /></c><c r="AH666" s="329"><f>AH665</f><v /></c><c r="AI666" s="329"><f>AI665</f><v /></c><c r="AJ666" s="329"><f>AJ665</f><v /></c><c r="AK666" s="53"><f>Z666</f><v /></c><c r="AL666" s="57" t="n" /><c r="AM666" s="333"><f>AM665</f><v /></c><c r="AN666" s="328"><f>AN665</f><v /></c><c r="AO666" s="11"><f>LEFT(AN666,2)</f><v /></c><c r="AP666" s="11"><f>RIGHT(AN666,6)</f><v /></c><c r="AQ666" s="11"><f>+(AO666*60+AP666)/(60*60)</f><v /></c><c r="AR666" s="14"><f>+AM666/AQ666</f><v /></c><c r="AS666" s="321"><f>+(((AL666-AK666-AM666)/AM666)*100)</f><v /></c><c r="AT666" s="43"><f>IF(I666&gt;=1,"NO CONFORME",IF(BK666="SIGDIFERENTES",BC666,BL666))</f><v /></c><c r="AU666" s="8"><f>B666=C666</f><v /></c><c r="AV666" s="8"><f>N666&lt;Y666</f><v /></c><c r="AW666" s="8"><f>Z666&lt;=AK666</f><v /></c><c r="AX666" s="8"><f>IF(I666&gt;=1,"Qcorrecto",IF(AND(AY666="aceptable",AZ666="aceptable",BA666="aceptable"),"Qcorrecto","Qincorrecto"))</f><v /></c><c r="AY666" s="22"><f>IF(AR666&lt;$AH$6,"error",IF(AR666&gt;$AH$6*1.1,"error","aceptable"))</f><v /></c><c r="AZ666" s="22"><f>IF(AF666&lt;$V$6,"error",IF(AF666&gt;$V$6*1.1,"error","aceptable"))</f><v /></c><c r="BA666" s="22"><f>IF(T666&lt;$J$6*0.9,"error",IF(T666&gt;$J$6,"error","aceptable"))</f><v /></c><c r="BB666" s="25"><f>(IF(ABS(U666)&lt;1.05,"CONFORME",IF(ABS(AG666)&lt;1.05,"CONFORME",IF(ABS(AS666)&lt;2.55,"CONFORME","NO CONFORME"))))</f><v /></c><c r="BC666" s="5"><f>(IF(ABS(U666)&gt;2.05,"NO CONFORME",IF(ABS(AG666)&gt;2.05,"NO CONFORME",IF(ABS(AS666)&gt;5.05,"NO CONFORME","CONFORME"))))</f><v /></c><c r="BD666" s="15"><f>SIGN(U666)</f><v /></c><c r="BE666" s="15"><f>SIGN(AG666)</f><v /></c><c r="BF666" s="15"><f>SIGN(AS666)</f><v /></c><c r="BG666" s="15"><f>CONCATENATE(BD666,BE666,BF666)</f><v /></c><c r="BH666" s="15"><f>IF(BG666="111","SI","SD")</f><v /></c><c r="BI666" s="15"><f>IF(BG666="-1-1-1","SI","SD")</f><v /></c><c r="BJ666" s="15"><f>OR(BH666="SI",BI666="SI")</f><v /></c><c r="BK666" s="15"><f>IF(BJ666=FALSE,"SIGDIFERENTES","SIGIGUALES")</f><v /></c><c r="BL666" s="22"><f>IF(BC666="NO CONFORME","NO CONFORME",IF(BB666="CONFORME","CONFORME","NO CONFORME"))</f><v /></c></row><row r="667" ht="15.75" customHeight="1" thickBot="1"><c r="A667" s="37" t="n"><v>659</v></c><c r="B667" s="324"><f>B666</f><v /></c><c r="C667" s="324"><f>C666</f><v /></c><c r="D667" s="94"><f>D666</f><v /></c><c r="E667" s="95"><f>E666</f><v /></c><c r="F667" s="13" t="n" /><c r="G667" s="312" t="n" /><c r="H667" s="326"><f>H666</f><v /></c><c r="I667" s="98"><f>I666</f><v /></c><c r="J667" s="327"><f>J666</f><v /></c><c r="K667" s="327"><f>K666</f><v /></c><c r="L667" s="327"><f>L666</f><v /></c><c r="M667" s="45" t="n" /><c r="N667" s="45" t="n" /><c r="O667" s="100"><f>O666</f><v /></c><c r="P667" s="328"><f>P666</f><v /></c><c r="Q667" s="11"><f>LEFT(P667,1)</f><v /></c><c r="R667" s="11"><f>RIGHT(P667,6)</f><v /></c><c r="S667" s="11"><f>+(Q667*60+R667)/(60*60)</f><v /></c><c r="T667" s="14"><f>+O667/S667</f><v /></c><c r="U667" s="316"><f>+(((N667-M667-O667)/O667)*100)</f><v /></c><c r="V667" s="329"><f>V666</f><v /></c><c r="W667" s="329"><f>W666</f><v /></c><c r="X667" s="330"><f>X666</f><v /></c><c r="Y667" s="45" t="n" /><c r="Z667" s="45" t="n" /><c r="AA667" s="331"><f>AA666</f><v /></c><c r="AB667" s="332"><f>AB666</f><v /></c><c r="AC667" s="11"><f>LEFT(AB667,2)</f><v /></c><c r="AD667" s="11"><f>RIGHT(AB667,6)</f><v /></c><c r="AE667" s="11"><f>+(AC667*60+AD667)/(60*60)</f><v /></c><c r="AF667" s="14"><f>+AA667/AE667</f><v /></c><c r="AG667" s="321"><f>+(((Z667-Y667-AA667)/AA667)*100)</f><v /></c><c r="AH667" s="329"><f>AH666</f><v /></c><c r="AI667" s="329"><f>AI666</f><v /></c><c r="AJ667" s="329"><f>AJ666</f><v /></c><c r="AK667" s="53"><f>Z667</f><v /></c><c r="AL667" s="45" t="n" /><c r="AM667" s="333"><f>AM666</f><v /></c><c r="AN667" s="328"><f>AN666</f><v /></c><c r="AO667" s="11"><f>LEFT(AN667,2)</f><v /></c><c r="AP667" s="11"><f>RIGHT(AN667,6)</f><v /></c><c r="AQ667" s="11"><f>+(AO667*60+AP667)/(60*60)</f><v /></c><c r="AR667" s="14"><f>+AM667/AQ667</f><v /></c><c r="AS667" s="321"><f>+(((AL667-AK667-AM667)/AM667)*100)</f><v /></c><c r="AT667" s="43"><f>IF(I667&gt;=1,"NO CONFORME",IF(BK667="SIGDIFERENTES",BC667,BL667))</f><v /></c><c r="AU667" s="8"><f>B667=C667</f><v /></c><c r="AV667" s="8"><f>N667&lt;Y667</f><v /></c><c r="AW667" s="8"><f>Z667&lt;=AK667</f><v /></c><c r="AX667" s="8"><f>IF(I667&gt;=1,"Qcorrecto",IF(AND(AY667="aceptable",AZ667="aceptable",BA667="aceptable"),"Qcorrecto","Qincorrecto"))</f><v /></c><c r="AY667" s="22"><f>IF(AR667&lt;$AH$6,"error",IF(AR667&gt;$AH$6*1.1,"error","aceptable"))</f><v /></c><c r="AZ667" s="22"><f>IF(AF667&lt;$V$6,"error",IF(AF667&gt;$V$6*1.1,"error","aceptable"))</f><v /></c><c r="BA667" s="22"><f>IF(T667&lt;$J$6*0.9,"error",IF(T667&gt;$J$6,"error","aceptable"))</f><v /></c><c r="BB667" s="25"><f>(IF(ABS(U667)&lt;1.05,"CONFORME",IF(ABS(AG667)&lt;1.05,"CONFORME",IF(ABS(AS667)&lt;2.55,"CONFORME","NO CONFORME"))))</f><v /></c><c r="BC667" s="5"><f>(IF(ABS(U667)&gt;2.05,"NO CONFORME",IF(ABS(AG667)&gt;2.05,"NO CONFORME",IF(ABS(AS667)&gt;5.05,"NO CONFORME","CONFORME"))))</f><v /></c><c r="BD667" s="15"><f>SIGN(U667)</f><v /></c><c r="BE667" s="15"><f>SIGN(AG667)</f><v /></c><c r="BF667" s="15"><f>SIGN(AS667)</f><v /></c><c r="BG667" s="15"><f>CONCATENATE(BD667,BE667,BF667)</f><v /></c><c r="BH667" s="15"><f>IF(BG667="111","SI","SD")</f><v /></c><c r="BI667" s="15"><f>IF(BG667="-1-1-1","SI","SD")</f><v /></c><c r="BJ667" s="15"><f>OR(BH667="SI",BI667="SI")</f><v /></c><c r="BK667" s="15"><f>IF(BJ667=FALSE,"SIGDIFERENTES","SIGIGUALES")</f><v /></c><c r="BL667" s="22"><f>IF(BC667="NO CONFORME","NO CONFORME",IF(BB667="CONFORME","CONFORME","NO CONFORME"))</f><v /></c></row><row r="668" ht="15.75" customHeight="1" thickBot="1"><c r="A668" s="37" t="n"><v>660</v></c><c r="B668" s="324"><f>B667</f><v /></c><c r="C668" s="324"><f>C667</f><v /></c><c r="D668" s="94"><f>D667</f><v /></c><c r="E668" s="95"><f>E667</f><v /></c><c r="F668" s="52" t="n" /><c r="G668" s="325" t="n" /><c r="H668" s="326"><f>H667</f><v /></c><c r="I668" s="98"><f>I667</f><v /></c><c r="J668" s="327"><f>J667</f><v /></c><c r="K668" s="327"><f>K667</f><v /></c><c r="L668" s="327"><f>L667</f><v /></c><c r="M668" s="53" t="n" /><c r="N668" s="53" t="n" /><c r="O668" s="100"><f>O667</f><v /></c><c r="P668" s="328"><f>P667</f><v /></c><c r="Q668" s="11"><f>LEFT(P668,1)</f><v /></c><c r="R668" s="11"><f>RIGHT(P668,6)</f><v /></c><c r="S668" s="11"><f>+(Q668*60+R668)/(60*60)</f><v /></c><c r="T668" s="14"><f>+O668/S668</f><v /></c><c r="U668" s="316"><f>+(((N668-M668-O668)/O668)*100)</f><v /></c><c r="V668" s="329"><f>V667</f><v /></c><c r="W668" s="329"><f>W667</f><v /></c><c r="X668" s="330"><f>X667</f><v /></c><c r="Y668" s="53" t="n" /><c r="Z668" s="53" t="n" /><c r="AA668" s="331"><f>AA667</f><v /></c><c r="AB668" s="332"><f>AB667</f><v /></c><c r="AC668" s="11"><f>LEFT(AB668,2)</f><v /></c><c r="AD668" s="11"><f>RIGHT(AB668,6)</f><v /></c><c r="AE668" s="11"><f>+(AC668*60+AD668)/(60*60)</f><v /></c><c r="AF668" s="14"><f>+AA668/AE668</f><v /></c><c r="AG668" s="321"><f>+(((Z668-Y668-AA668)/AA668)*100)</f><v /></c><c r="AH668" s="329"><f>AH667</f><v /></c><c r="AI668" s="329"><f>AI667</f><v /></c><c r="AJ668" s="329"><f>AJ667</f><v /></c><c r="AK668" s="53"><f>Z668</f><v /></c><c r="AL668" s="53" t="n" /><c r="AM668" s="333"><f>AM667</f><v /></c><c r="AN668" s="328"><f>AN667</f><v /></c><c r="AO668" s="11"><f>LEFT(AN668,2)</f><v /></c><c r="AP668" s="11"><f>RIGHT(AN668,6)</f><v /></c><c r="AQ668" s="11"><f>+(AO668*60+AP668)/(60*60)</f><v /></c><c r="AR668" s="14"><f>+AM668/AQ668</f><v /></c><c r="AS668" s="321"><f>+(((AL668-AK668-AM668)/AM668)*100)</f><v /></c><c r="AT668" s="43"><f>IF(I668&gt;=1,"NO CONFORME",IF(BK668="SIGDIFERENTES",BC668,BL668))</f><v /></c><c r="AU668" s="8"><f>B668=C668</f><v /></c><c r="AV668" s="8"><f>N668&lt;Y668</f><v /></c><c r="AW668" s="8"><f>Z668&lt;=AK668</f><v /></c><c r="AX668" s="8"><f>IF(I668&gt;=1,"Qcorrecto",IF(AND(AY668="aceptable",AZ668="aceptable",BA668="aceptable"),"Qcorrecto","Qincorrecto"))</f><v /></c><c r="AY668" s="22"><f>IF(AR668&lt;$AH$6,"error",IF(AR668&gt;$AH$6*1.1,"error","aceptable"))</f><v /></c><c r="AZ668" s="22"><f>IF(AF668&lt;$V$6,"error",IF(AF668&gt;$V$6*1.1,"error","aceptable"))</f><v /></c><c r="BA668" s="22"><f>IF(T668&lt;$J$6*0.9,"error",IF(T668&gt;$J$6,"error","aceptable"))</f><v /></c><c r="BB668" s="25"><f>(IF(ABS(U668)&lt;1.05,"CONFORME",IF(ABS(AG668)&lt;1.05,"CONFORME",IF(ABS(AS668)&lt;2.55,"CONFORME","NO CONFORME"))))</f><v /></c><c r="BC668" s="5"><f>(IF(ABS(U668)&gt;2.05,"NO CONFORME",IF(ABS(AG668)&gt;2.05,"NO CONFORME",IF(ABS(AS668)&gt;5.05,"NO CONFORME","CONFORME"))))</f><v /></c><c r="BD668" s="15"><f>SIGN(U668)</f><v /></c><c r="BE668" s="15"><f>SIGN(AG668)</f><v /></c><c r="BF668" s="15"><f>SIGN(AS668)</f><v /></c><c r="BG668" s="15"><f>CONCATENATE(BD668,BE668,BF668)</f><v /></c><c r="BH668" s="15"><f>IF(BG668="111","SI","SD")</f><v /></c><c r="BI668" s="15"><f>IF(BG668="-1-1-1","SI","SD")</f><v /></c><c r="BJ668" s="15"><f>OR(BH668="SI",BI668="SI")</f><v /></c><c r="BK668" s="15"><f>IF(BJ668=FALSE,"SIGDIFERENTES","SIGIGUALES")</f><v /></c><c r="BL668" s="22"><f>IF(BC668="NO CONFORME","NO CONFORME",IF(BB668="CONFORME","CONFORME","NO CONFORME"))</f><v /></c></row><row r="669" ht="15.75" customHeight="1" thickBot="1"><c r="A669" s="37" t="n"><v>661</v></c><c r="B669" s="324"><f>B668</f><v /></c><c r="C669" s="324"><f>C668</f><v /></c><c r="D669" s="94"><f>D668</f><v /></c><c r="E669" s="95"><f>E668</f><v /></c><c r="F669" s="58" t="n" /><c r="G669" s="300" t="n" /><c r="H669" s="326"><f>H668</f><v /></c><c r="I669" s="98"><f>I668</f><v /></c><c r="J669" s="327"><f>J668</f><v /></c><c r="K669" s="327"><f>K668</f><v /></c><c r="L669" s="327"><f>L668</f><v /></c><c r="M669" s="59" t="n" /><c r="N669" s="59" t="n" /><c r="O669" s="100"><f>O668</f><v /></c><c r="P669" s="328"><f>P668</f><v /></c><c r="Q669" s="11"><f>LEFT(P669,1)</f><v /></c><c r="R669" s="11"><f>RIGHT(P669,6)</f><v /></c><c r="S669" s="11"><f>+(Q669*60+R669)/(60*60)</f><v /></c><c r="T669" s="14"><f>+O669/S669</f><v /></c><c r="U669" s="316"><f>+(((N669-M669-O669)/O669)*100)</f><v /></c><c r="V669" s="329"><f>V668</f><v /></c><c r="W669" s="329"><f>W668</f><v /></c><c r="X669" s="330"><f>X668</f><v /></c><c r="Y669" s="59" t="n" /><c r="Z669" s="59" t="n" /><c r="AA669" s="331"><f>AA668</f><v /></c><c r="AB669" s="332"><f>AB668</f><v /></c><c r="AC669" s="11"><f>LEFT(AB669,2)</f><v /></c><c r="AD669" s="11"><f>RIGHT(AB669,6)</f><v /></c><c r="AE669" s="11"><f>+(AC669*60+AD669)/(60*60)</f><v /></c><c r="AF669" s="14"><f>+AA669/AE669</f><v /></c><c r="AG669" s="321"><f>+(((Z669-Y669-AA669)/AA669)*100)</f><v /></c><c r="AH669" s="329"><f>AH668</f><v /></c><c r="AI669" s="329"><f>AI668</f><v /></c><c r="AJ669" s="329"><f>AJ668</f><v /></c><c r="AK669" s="53"><f>Z669</f><v /></c><c r="AL669" s="59" t="n" /><c r="AM669" s="333"><f>AM668</f><v /></c><c r="AN669" s="328"><f>AN668</f><v /></c><c r="AO669" s="11"><f>LEFT(AN669,2)</f><v /></c><c r="AP669" s="11"><f>RIGHT(AN669,6)</f><v /></c><c r="AQ669" s="11"><f>+(AO669*60+AP669)/(60*60)</f><v /></c><c r="AR669" s="14"><f>+AM669/AQ669</f><v /></c><c r="AS669" s="321"><f>+(((AL669-AK669-AM669)/AM669)*100)</f><v /></c><c r="AT669" s="43"><f>IF(I669&gt;=1,"NO CONFORME",IF(BK669="SIGDIFERENTES",BC669,BL669))</f><v /></c><c r="AU669" s="8"><f>B669=C669</f><v /></c><c r="AV669" s="8"><f>N669&lt;Y669</f><v /></c><c r="AW669" s="8"><f>Z669&lt;=AK669</f><v /></c><c r="AX669" s="8"><f>IF(I669&gt;=1,"Qcorrecto",IF(AND(AY669="aceptable",AZ669="aceptable",BA669="aceptable"),"Qcorrecto","Qincorrecto"))</f><v /></c><c r="AY669" s="22"><f>IF(AR669&lt;$AH$6,"error",IF(AR669&gt;$AH$6*1.1,"error","aceptable"))</f><v /></c><c r="AZ669" s="22"><f>IF(AF669&lt;$V$6,"error",IF(AF669&gt;$V$6*1.1,"error","aceptable"))</f><v /></c><c r="BA669" s="22"><f>IF(T669&lt;$J$6*0.9,"error",IF(T669&gt;$J$6,"error","aceptable"))</f><v /></c><c r="BB669" s="25"><f>(IF(ABS(U669)&lt;1.05,"CONFORME",IF(ABS(AG669)&lt;1.05,"CONFORME",IF(ABS(AS669)&lt;2.55,"CONFORME","NO CONFORME"))))</f><v /></c><c r="BC669" s="5"><f>(IF(ABS(U669)&gt;2.05,"NO CONFORME",IF(ABS(AG669)&gt;2.05,"NO CONFORME",IF(ABS(AS669)&gt;5.05,"NO CONFORME","CONFORME"))))</f><v /></c><c r="BD669" s="15"><f>SIGN(U669)</f><v /></c><c r="BE669" s="15"><f>SIGN(AG669)</f><v /></c><c r="BF669" s="15"><f>SIGN(AS669)</f><v /></c><c r="BG669" s="15"><f>CONCATENATE(BD669,BE669,BF669)</f><v /></c><c r="BH669" s="15"><f>IF(BG669="111","SI","SD")</f><v /></c><c r="BI669" s="15"><f>IF(BG669="-1-1-1","SI","SD")</f><v /></c><c r="BJ669" s="15"><f>OR(BH669="SI",BI669="SI")</f><v /></c><c r="BK669" s="15"><f>IF(BJ669=FALSE,"SIGDIFERENTES","SIGIGUALES")</f><v /></c><c r="BL669" s="22"><f>IF(BC669="NO CONFORME","NO CONFORME",IF(BB669="CONFORME","CONFORME","NO CONFORME"))</f><v /></c></row><row r="670" ht="15.75" customHeight="1" thickBot="1"><c r="A670" s="37" t="n"><v>662</v></c><c r="B670" s="324"><f>B669</f><v /></c><c r="C670" s="324"><f>C669</f><v /></c><c r="D670" s="94"><f>D669</f><v /></c><c r="E670" s="95"><f>E669</f><v /></c><c r="F670" s="13" t="n" /><c r="G670" s="312" t="n" /><c r="H670" s="326"><f>H669</f><v /></c><c r="I670" s="98"><f>I669</f><v /></c><c r="J670" s="327"><f>J669</f><v /></c><c r="K670" s="327"><f>K669</f><v /></c><c r="L670" s="327"><f>L669</f><v /></c><c r="M670" s="45" t="n" /><c r="N670" s="45" t="n" /><c r="O670" s="100"><f>O669</f><v /></c><c r="P670" s="328"><f>P669</f><v /></c><c r="Q670" s="11"><f>LEFT(P670,1)</f><v /></c><c r="R670" s="11"><f>RIGHT(P670,6)</f><v /></c><c r="S670" s="11"><f>+(Q670*60+R670)/(60*60)</f><v /></c><c r="T670" s="14"><f>+O670/S670</f><v /></c><c r="U670" s="316"><f>+(((N670-M670-O670)/O670)*100)</f><v /></c><c r="V670" s="329"><f>V669</f><v /></c><c r="W670" s="329"><f>W669</f><v /></c><c r="X670" s="330"><f>X669</f><v /></c><c r="Y670" s="45" t="n" /><c r="Z670" s="45" t="n" /><c r="AA670" s="331"><f>AA669</f><v /></c><c r="AB670" s="332"><f>AB669</f><v /></c><c r="AC670" s="11"><f>LEFT(AB670,2)</f><v /></c><c r="AD670" s="11"><f>RIGHT(AB670,6)</f><v /></c><c r="AE670" s="11"><f>+(AC670*60+AD670)/(60*60)</f><v /></c><c r="AF670" s="14"><f>+AA670/AE670</f><v /></c><c r="AG670" s="321"><f>+(((Z670-Y670-AA670)/AA670)*100)</f><v /></c><c r="AH670" s="329"><f>AH669</f><v /></c><c r="AI670" s="329"><f>AI669</f><v /></c><c r="AJ670" s="329"><f>AJ669</f><v /></c><c r="AK670" s="53"><f>Z670</f><v /></c><c r="AL670" s="45" t="n" /><c r="AM670" s="333"><f>AM669</f><v /></c><c r="AN670" s="328"><f>AN669</f><v /></c><c r="AO670" s="11"><f>LEFT(AN670,2)</f><v /></c><c r="AP670" s="11"><f>RIGHT(AN670,6)</f><v /></c><c r="AQ670" s="11"><f>+(AO670*60+AP670)/(60*60)</f><v /></c><c r="AR670" s="14"><f>+AM670/AQ670</f><v /></c><c r="AS670" s="321"><f>+(((AL670-AK670-AM670)/AM670)*100)</f><v /></c><c r="AT670" s="43"><f>IF(I670&gt;=1,"NO CONFORME",IF(BK670="SIGDIFERENTES",BC670,BL670))</f><v /></c><c r="AU670" s="8"><f>B670=C670</f><v /></c><c r="AV670" s="8"><f>N670&lt;Y670</f><v /></c><c r="AW670" s="8"><f>Z670&lt;=AK670</f><v /></c><c r="AX670" s="8"><f>IF(I670&gt;=1,"Qcorrecto",IF(AND(AY670="aceptable",AZ670="aceptable",BA670="aceptable"),"Qcorrecto","Qincorrecto"))</f><v /></c><c r="AY670" s="22"><f>IF(AR670&lt;$AH$6,"error",IF(AR670&gt;$AH$6*1.1,"error","aceptable"))</f><v /></c><c r="AZ670" s="22"><f>IF(AF670&lt;$V$6,"error",IF(AF670&gt;$V$6*1.1,"error","aceptable"))</f><v /></c><c r="BA670" s="22"><f>IF(T670&lt;$J$6*0.9,"error",IF(T670&gt;$J$6,"error","aceptable"))</f><v /></c><c r="BB670" s="25"><f>(IF(ABS(U670)&lt;1.05,"CONFORME",IF(ABS(AG670)&lt;1.05,"CONFORME",IF(ABS(AS670)&lt;2.55,"CONFORME","NO CONFORME"))))</f><v /></c><c r="BC670" s="5"><f>(IF(ABS(U670)&gt;2.05,"NO CONFORME",IF(ABS(AG670)&gt;2.05,"NO CONFORME",IF(ABS(AS670)&gt;5.05,"NO CONFORME","CONFORME"))))</f><v /></c><c r="BD670" s="15"><f>SIGN(U670)</f><v /></c><c r="BE670" s="15"><f>SIGN(AG670)</f><v /></c><c r="BF670" s="15"><f>SIGN(AS670)</f><v /></c><c r="BG670" s="15"><f>CONCATENATE(BD670,BE670,BF670)</f><v /></c><c r="BH670" s="15"><f>IF(BG670="111","SI","SD")</f><v /></c><c r="BI670" s="15"><f>IF(BG670="-1-1-1","SI","SD")</f><v /></c><c r="BJ670" s="15"><f>OR(BH670="SI",BI670="SI")</f><v /></c><c r="BK670" s="15"><f>IF(BJ670=FALSE,"SIGDIFERENTES","SIGIGUALES")</f><v /></c><c r="BL670" s="22"><f>IF(BC670="NO CONFORME","NO CONFORME",IF(BB670="CONFORME","CONFORME","NO CONFORME"))</f><v /></c></row><row r="671" ht="15.75" customHeight="1" thickBot="1"><c r="A671" s="37" t="n"><v>663</v></c><c r="B671" s="324"><f>B670</f><v /></c><c r="C671" s="324"><f>C670</f><v /></c><c r="D671" s="94"><f>D670</f><v /></c><c r="E671" s="95"><f>E670</f><v /></c><c r="F671" s="13" t="n" /><c r="G671" s="312" t="n" /><c r="H671" s="326"><f>H670</f><v /></c><c r="I671" s="98"><f>I670</f><v /></c><c r="J671" s="327"><f>J670</f><v /></c><c r="K671" s="327"><f>K670</f><v /></c><c r="L671" s="327"><f>L670</f><v /></c><c r="M671" s="45" t="n" /><c r="N671" s="45" t="n" /><c r="O671" s="100"><f>O670</f><v /></c><c r="P671" s="328"><f>P670</f><v /></c><c r="Q671" s="11"><f>LEFT(P671,1)</f><v /></c><c r="R671" s="11"><f>RIGHT(P671,6)</f><v /></c><c r="S671" s="11"><f>+(Q671*60+R671)/(60*60)</f><v /></c><c r="T671" s="14"><f>+O671/S671</f><v /></c><c r="U671" s="316"><f>+(((N671-M671-O671)/O671)*100)</f><v /></c><c r="V671" s="329"><f>V670</f><v /></c><c r="W671" s="329"><f>W670</f><v /></c><c r="X671" s="330"><f>X670</f><v /></c><c r="Y671" s="45" t="n" /><c r="Z671" s="45" t="n" /><c r="AA671" s="331"><f>AA670</f><v /></c><c r="AB671" s="332"><f>AB670</f><v /></c><c r="AC671" s="11"><f>LEFT(AB671,2)</f><v /></c><c r="AD671" s="11"><f>RIGHT(AB671,6)</f><v /></c><c r="AE671" s="11"><f>+(AC671*60+AD671)/(60*60)</f><v /></c><c r="AF671" s="14"><f>+AA671/AE671</f><v /></c><c r="AG671" s="321"><f>+(((Z671-Y671-AA671)/AA671)*100)</f><v /></c><c r="AH671" s="329"><f>AH670</f><v /></c><c r="AI671" s="329"><f>AI670</f><v /></c><c r="AJ671" s="329"><f>AJ670</f><v /></c><c r="AK671" s="53"><f>Z671</f><v /></c><c r="AL671" s="45" t="n" /><c r="AM671" s="333"><f>AM670</f><v /></c><c r="AN671" s="328"><f>AN670</f><v /></c><c r="AO671" s="11"><f>LEFT(AN671,2)</f><v /></c><c r="AP671" s="11"><f>RIGHT(AN671,6)</f><v /></c><c r="AQ671" s="11"><f>+(AO671*60+AP671)/(60*60)</f><v /></c><c r="AR671" s="14"><f>+AM671/AQ671</f><v /></c><c r="AS671" s="321"><f>+(((AL671-AK671-AM671)/AM671)*100)</f><v /></c><c r="AT671" s="43"><f>IF(I671&gt;=1,"NO CONFORME",IF(BK671="SIGDIFERENTES",BC671,BL671))</f><v /></c><c r="AU671" s="8"><f>B671=C671</f><v /></c><c r="AV671" s="8"><f>N671&lt;Y671</f><v /></c><c r="AW671" s="8"><f>Z671&lt;=AK671</f><v /></c><c r="AX671" s="8"><f>IF(I671&gt;=1,"Qcorrecto",IF(AND(AY671="aceptable",AZ671="aceptable",BA671="aceptable"),"Qcorrecto","Qincorrecto"))</f><v /></c><c r="AY671" s="22"><f>IF(AR671&lt;$AH$6,"error",IF(AR671&gt;$AH$6*1.1,"error","aceptable"))</f><v /></c><c r="AZ671" s="22"><f>IF(AF671&lt;$V$6,"error",IF(AF671&gt;$V$6*1.1,"error","aceptable"))</f><v /></c><c r="BA671" s="22"><f>IF(T671&lt;$J$6*0.9,"error",IF(T671&gt;$J$6,"error","aceptable"))</f><v /></c><c r="BB671" s="25"><f>(IF(ABS(U671)&lt;1.05,"CONFORME",IF(ABS(AG671)&lt;1.05,"CONFORME",IF(ABS(AS671)&lt;2.55,"CONFORME","NO CONFORME"))))</f><v /></c><c r="BC671" s="5"><f>(IF(ABS(U671)&gt;2.05,"NO CONFORME",IF(ABS(AG671)&gt;2.05,"NO CONFORME",IF(ABS(AS671)&gt;5.05,"NO CONFORME","CONFORME"))))</f><v /></c><c r="BD671" s="15"><f>SIGN(U671)</f><v /></c><c r="BE671" s="15"><f>SIGN(AG671)</f><v /></c><c r="BF671" s="15"><f>SIGN(AS671)</f><v /></c><c r="BG671" s="15"><f>CONCATENATE(BD671,BE671,BF671)</f><v /></c><c r="BH671" s="15"><f>IF(BG671="111","SI","SD")</f><v /></c><c r="BI671" s="15"><f>IF(BG671="-1-1-1","SI","SD")</f><v /></c><c r="BJ671" s="15"><f>OR(BH671="SI",BI671="SI")</f><v /></c><c r="BK671" s="15"><f>IF(BJ671=FALSE,"SIGDIFERENTES","SIGIGUALES")</f><v /></c><c r="BL671" s="22"><f>IF(BC671="NO CONFORME","NO CONFORME",IF(BB671="CONFORME","CONFORME","NO CONFORME"))</f><v /></c></row><row r="672" ht="15.75" customHeight="1" thickBot="1"><c r="A672" s="37" t="n"><v>664</v></c><c r="B672" s="324"><f>B671</f><v /></c><c r="C672" s="324"><f>C671</f><v /></c><c r="D672" s="94"><f>D671</f><v /></c><c r="E672" s="95"><f>E671</f><v /></c><c r="F672" s="13" t="n" /><c r="G672" s="312" t="n" /><c r="H672" s="326"><f>H671</f><v /></c><c r="I672" s="98"><f>I671</f><v /></c><c r="J672" s="327"><f>J671</f><v /></c><c r="K672" s="327"><f>K671</f><v /></c><c r="L672" s="327"><f>L671</f><v /></c><c r="M672" s="45" t="n" /><c r="N672" s="45" t="n" /><c r="O672" s="100"><f>O671</f><v /></c><c r="P672" s="328"><f>P671</f><v /></c><c r="Q672" s="11"><f>LEFT(P672,1)</f><v /></c><c r="R672" s="11"><f>RIGHT(P672,6)</f><v /></c><c r="S672" s="11"><f>+(Q672*60+R672)/(60*60)</f><v /></c><c r="T672" s="14"><f>+O672/S672</f><v /></c><c r="U672" s="316"><f>+(((N672-M672-O672)/O672)*100)</f><v /></c><c r="V672" s="329"><f>V671</f><v /></c><c r="W672" s="329"><f>W671</f><v /></c><c r="X672" s="330"><f>X671</f><v /></c><c r="Y672" s="45" t="n" /><c r="Z672" s="45" t="n" /><c r="AA672" s="331"><f>AA671</f><v /></c><c r="AB672" s="332"><f>AB671</f><v /></c><c r="AC672" s="11"><f>LEFT(AB672,2)</f><v /></c><c r="AD672" s="11"><f>RIGHT(AB672,6)</f><v /></c><c r="AE672" s="11"><f>+(AC672*60+AD672)/(60*60)</f><v /></c><c r="AF672" s="14"><f>+AA672/AE672</f><v /></c><c r="AG672" s="321"><f>+(((Z672-Y672-AA672)/AA672)*100)</f><v /></c><c r="AH672" s="329"><f>AH671</f><v /></c><c r="AI672" s="329"><f>AI671</f><v /></c><c r="AJ672" s="329"><f>AJ671</f><v /></c><c r="AK672" s="53"><f>Z672</f><v /></c><c r="AL672" s="45" t="n" /><c r="AM672" s="333"><f>AM671</f><v /></c><c r="AN672" s="328"><f>AN671</f><v /></c><c r="AO672" s="11"><f>LEFT(AN672,2)</f><v /></c><c r="AP672" s="11"><f>RIGHT(AN672,6)</f><v /></c><c r="AQ672" s="11"><f>+(AO672*60+AP672)/(60*60)</f><v /></c><c r="AR672" s="14"><f>+AM672/AQ672</f><v /></c><c r="AS672" s="321"><f>+(((AL672-AK672-AM672)/AM672)*100)</f><v /></c><c r="AT672" s="43"><f>IF(I672&gt;=1,"NO CONFORME",IF(BK672="SIGDIFERENTES",BC672,BL672))</f><v /></c><c r="AU672" s="8"><f>B672=C672</f><v /></c><c r="AV672" s="8"><f>N672&lt;Y672</f><v /></c><c r="AW672" s="8"><f>Z672&lt;=AK672</f><v /></c><c r="AX672" s="8"><f>IF(I672&gt;=1,"Qcorrecto",IF(AND(AY672="aceptable",AZ672="aceptable",BA672="aceptable"),"Qcorrecto","Qincorrecto"))</f><v /></c><c r="AY672" s="22"><f>IF(AR672&lt;$AH$6,"error",IF(AR672&gt;$AH$6*1.1,"error","aceptable"))</f><v /></c><c r="AZ672" s="22"><f>IF(AF672&lt;$V$6,"error",IF(AF672&gt;$V$6*1.1,"error","aceptable"))</f><v /></c><c r="BA672" s="22"><f>IF(T672&lt;$J$6*0.9,"error",IF(T672&gt;$J$6,"error","aceptable"))</f><v /></c><c r="BB672" s="25"><f>(IF(ABS(U672)&lt;1.05,"CONFORME",IF(ABS(AG672)&lt;1.05,"CONFORME",IF(ABS(AS672)&lt;2.55,"CONFORME","NO CONFORME"))))</f><v /></c><c r="BC672" s="5"><f>(IF(ABS(U672)&gt;2.05,"NO CONFORME",IF(ABS(AG672)&gt;2.05,"NO CONFORME",IF(ABS(AS672)&gt;5.05,"NO CONFORME","CONFORME"))))</f><v /></c><c r="BD672" s="15"><f>SIGN(U672)</f><v /></c><c r="BE672" s="15"><f>SIGN(AG672)</f><v /></c><c r="BF672" s="15"><f>SIGN(AS672)</f><v /></c><c r="BG672" s="15"><f>CONCATENATE(BD672,BE672,BF672)</f><v /></c><c r="BH672" s="15"><f>IF(BG672="111","SI","SD")</f><v /></c><c r="BI672" s="15"><f>IF(BG672="-1-1-1","SI","SD")</f><v /></c><c r="BJ672" s="15"><f>OR(BH672="SI",BI672="SI")</f><v /></c><c r="BK672" s="15"><f>IF(BJ672=FALSE,"SIGDIFERENTES","SIGIGUALES")</f><v /></c><c r="BL672" s="22"><f>IF(BC672="NO CONFORME","NO CONFORME",IF(BB672="CONFORME","CONFORME","NO CONFORME"))</f><v /></c></row><row r="673" ht="15.75" customHeight="1" thickBot="1"><c r="A673" s="37" t="n"><v>665</v></c><c r="B673" s="324"><f>B672</f><v /></c><c r="C673" s="324"><f>C672</f><v /></c><c r="D673" s="94"><f>D672</f><v /></c><c r="E673" s="95"><f>E672</f><v /></c><c r="F673" s="13" t="n" /><c r="G673" s="312" t="n" /><c r="H673" s="326"><f>H672</f><v /></c><c r="I673" s="98"><f>I672</f><v /></c><c r="J673" s="327"><f>J672</f><v /></c><c r="K673" s="327"><f>K672</f><v /></c><c r="L673" s="327"><f>L672</f><v /></c><c r="M673" s="45" t="n" /><c r="N673" s="45" t="n" /><c r="O673" s="100"><f>O672</f><v /></c><c r="P673" s="328"><f>P672</f><v /></c><c r="Q673" s="11"><f>LEFT(P673,1)</f><v /></c><c r="R673" s="11"><f>RIGHT(P673,6)</f><v /></c><c r="S673" s="11"><f>+(Q673*60+R673)/(60*60)</f><v /></c><c r="T673" s="14"><f>+O673/S673</f><v /></c><c r="U673" s="316"><f>+(((N673-M673-O673)/O673)*100)</f><v /></c><c r="V673" s="329"><f>V672</f><v /></c><c r="W673" s="329"><f>W672</f><v /></c><c r="X673" s="330"><f>X672</f><v /></c><c r="Y673" s="45" t="n" /><c r="Z673" s="45" t="n" /><c r="AA673" s="331"><f>AA672</f><v /></c><c r="AB673" s="332"><f>AB672</f><v /></c><c r="AC673" s="11"><f>LEFT(AB673,2)</f><v /></c><c r="AD673" s="11"><f>RIGHT(AB673,6)</f><v /></c><c r="AE673" s="11"><f>+(AC673*60+AD673)/(60*60)</f><v /></c><c r="AF673" s="14"><f>+AA673/AE673</f><v /></c><c r="AG673" s="321"><f>+(((Z673-Y673-AA673)/AA673)*100)</f><v /></c><c r="AH673" s="329"><f>AH672</f><v /></c><c r="AI673" s="329"><f>AI672</f><v /></c><c r="AJ673" s="329"><f>AJ672</f><v /></c><c r="AK673" s="53"><f>Z673</f><v /></c><c r="AL673" s="45" t="n" /><c r="AM673" s="333"><f>AM672</f><v /></c><c r="AN673" s="328"><f>AN672</f><v /></c><c r="AO673" s="11"><f>LEFT(AN673,2)</f><v /></c><c r="AP673" s="11"><f>RIGHT(AN673,6)</f><v /></c><c r="AQ673" s="11"><f>+(AO673*60+AP673)/(60*60)</f><v /></c><c r="AR673" s="14"><f>+AM673/AQ673</f><v /></c><c r="AS673" s="321"><f>+(((AL673-AK673-AM673)/AM673)*100)</f><v /></c><c r="AT673" s="43"><f>IF(I673&gt;=1,"NO CONFORME",IF(BK673="SIGDIFERENTES",BC673,BL673))</f><v /></c><c r="AU673" s="8"><f>B673=C673</f><v /></c><c r="AV673" s="8"><f>N673&lt;Y673</f><v /></c><c r="AW673" s="8"><f>Z673&lt;=AK673</f><v /></c><c r="AX673" s="8"><f>IF(I673&gt;=1,"Qcorrecto",IF(AND(AY673="aceptable",AZ673="aceptable",BA673="aceptable"),"Qcorrecto","Qincorrecto"))</f><v /></c><c r="AY673" s="22"><f>IF(AR673&lt;$AH$6,"error",IF(AR673&gt;$AH$6*1.1,"error","aceptable"))</f><v /></c><c r="AZ673" s="22"><f>IF(AF673&lt;$V$6,"error",IF(AF673&gt;$V$6*1.1,"error","aceptable"))</f><v /></c><c r="BA673" s="22"><f>IF(T673&lt;$J$6*0.9,"error",IF(T673&gt;$J$6,"error","aceptable"))</f><v /></c><c r="BB673" s="25"><f>(IF(ABS(U673)&lt;1.05,"CONFORME",IF(ABS(AG673)&lt;1.05,"CONFORME",IF(ABS(AS673)&lt;2.55,"CONFORME","NO CONFORME"))))</f><v /></c><c r="BC673" s="5"><f>(IF(ABS(U673)&gt;2.05,"NO CONFORME",IF(ABS(AG673)&gt;2.05,"NO CONFORME",IF(ABS(AS673)&gt;5.05,"NO CONFORME","CONFORME"))))</f><v /></c><c r="BD673" s="15"><f>SIGN(U673)</f><v /></c><c r="BE673" s="15"><f>SIGN(AG673)</f><v /></c><c r="BF673" s="15"><f>SIGN(AS673)</f><v /></c><c r="BG673" s="15"><f>CONCATENATE(BD673,BE673,BF673)</f><v /></c><c r="BH673" s="15"><f>IF(BG673="111","SI","SD")</f><v /></c><c r="BI673" s="15"><f>IF(BG673="-1-1-1","SI","SD")</f><v /></c><c r="BJ673" s="15"><f>OR(BH673="SI",BI673="SI")</f><v /></c><c r="BK673" s="15"><f>IF(BJ673=FALSE,"SIGDIFERENTES","SIGIGUALES")</f><v /></c><c r="BL673" s="22"><f>IF(BC673="NO CONFORME","NO CONFORME",IF(BB673="CONFORME","CONFORME","NO CONFORME"))</f><v /></c></row><row r="674" ht="15.75" customHeight="1" thickBot="1"><c r="A674" s="37" t="n"><v>666</v></c><c r="B674" s="324"><f>B673</f><v /></c><c r="C674" s="324"><f>C673</f><v /></c><c r="D674" s="94"><f>D673</f><v /></c><c r="E674" s="95"><f>E673</f><v /></c><c r="F674" s="13" t="n" /><c r="G674" s="312" t="n" /><c r="H674" s="326"><f>H673</f><v /></c><c r="I674" s="98"><f>I673</f><v /></c><c r="J674" s="327"><f>J673</f><v /></c><c r="K674" s="327"><f>K673</f><v /></c><c r="L674" s="327"><f>L673</f><v /></c><c r="M674" s="45" t="n" /><c r="N674" s="45" t="n" /><c r="O674" s="100"><f>O673</f><v /></c><c r="P674" s="328"><f>P673</f><v /></c><c r="Q674" s="11"><f>LEFT(P674,1)</f><v /></c><c r="R674" s="11"><f>RIGHT(P674,6)</f><v /></c><c r="S674" s="11"><f>+(Q674*60+R674)/(60*60)</f><v /></c><c r="T674" s="14"><f>+O674/S674</f><v /></c><c r="U674" s="316"><f>+(((N674-M674-O674)/O674)*100)</f><v /></c><c r="V674" s="329"><f>V673</f><v /></c><c r="W674" s="329"><f>W673</f><v /></c><c r="X674" s="330"><f>X673</f><v /></c><c r="Y674" s="45" t="n" /><c r="Z674" s="45" t="n" /><c r="AA674" s="331"><f>AA673</f><v /></c><c r="AB674" s="332"><f>AB673</f><v /></c><c r="AC674" s="11"><f>LEFT(AB674,2)</f><v /></c><c r="AD674" s="11"><f>RIGHT(AB674,6)</f><v /></c><c r="AE674" s="11"><f>+(AC674*60+AD674)/(60*60)</f><v /></c><c r="AF674" s="14"><f>+AA674/AE674</f><v /></c><c r="AG674" s="321"><f>+(((Z674-Y674-AA674)/AA674)*100)</f><v /></c><c r="AH674" s="329"><f>AH673</f><v /></c><c r="AI674" s="329"><f>AI673</f><v /></c><c r="AJ674" s="329"><f>AJ673</f><v /></c><c r="AK674" s="53"><f>Z674</f><v /></c><c r="AL674" s="45" t="n" /><c r="AM674" s="333"><f>AM673</f><v /></c><c r="AN674" s="328"><f>AN673</f><v /></c><c r="AO674" s="11"><f>LEFT(AN674,2)</f><v /></c><c r="AP674" s="11"><f>RIGHT(AN674,6)</f><v /></c><c r="AQ674" s="11"><f>+(AO674*60+AP674)/(60*60)</f><v /></c><c r="AR674" s="14"><f>+AM674/AQ674</f><v /></c><c r="AS674" s="321"><f>+(((AL674-AK674-AM674)/AM674)*100)</f><v /></c><c r="AT674" s="43"><f>IF(I674&gt;=1,"NO CONFORME",IF(BK674="SIGDIFERENTES",BC674,BL674))</f><v /></c><c r="AU674" s="8"><f>B674=C674</f><v /></c><c r="AV674" s="8"><f>N674&lt;Y674</f><v /></c><c r="AW674" s="8"><f>Z674&lt;=AK674</f><v /></c><c r="AX674" s="8"><f>IF(I674&gt;=1,"Qcorrecto",IF(AND(AY674="aceptable",AZ674="aceptable",BA674="aceptable"),"Qcorrecto","Qincorrecto"))</f><v /></c><c r="AY674" s="22"><f>IF(AR674&lt;$AH$6,"error",IF(AR674&gt;$AH$6*1.1,"error","aceptable"))</f><v /></c><c r="AZ674" s="22"><f>IF(AF674&lt;$V$6,"error",IF(AF674&gt;$V$6*1.1,"error","aceptable"))</f><v /></c><c r="BA674" s="22"><f>IF(T674&lt;$J$6*0.9,"error",IF(T674&gt;$J$6,"error","aceptable"))</f><v /></c><c r="BB674" s="25"><f>(IF(ABS(U674)&lt;1.05,"CONFORME",IF(ABS(AG674)&lt;1.05,"CONFORME",IF(ABS(AS674)&lt;2.55,"CONFORME","NO CONFORME"))))</f><v /></c><c r="BC674" s="5"><f>(IF(ABS(U674)&gt;2.05,"NO CONFORME",IF(ABS(AG674)&gt;2.05,"NO CONFORME",IF(ABS(AS674)&gt;5.05,"NO CONFORME","CONFORME"))))</f><v /></c><c r="BD674" s="15"><f>SIGN(U674)</f><v /></c><c r="BE674" s="15"><f>SIGN(AG674)</f><v /></c><c r="BF674" s="15"><f>SIGN(AS674)</f><v /></c><c r="BG674" s="15"><f>CONCATENATE(BD674,BE674,BF674)</f><v /></c><c r="BH674" s="15"><f>IF(BG674="111","SI","SD")</f><v /></c><c r="BI674" s="15"><f>IF(BG674="-1-1-1","SI","SD")</f><v /></c><c r="BJ674" s="15"><f>OR(BH674="SI",BI674="SI")</f><v /></c><c r="BK674" s="15"><f>IF(BJ674=FALSE,"SIGDIFERENTES","SIGIGUALES")</f><v /></c><c r="BL674" s="22"><f>IF(BC674="NO CONFORME","NO CONFORME",IF(BB674="CONFORME","CONFORME","NO CONFORME"))</f><v /></c></row><row r="675" ht="15.75" customHeight="1" thickBot="1"><c r="A675" s="37" t="n"><v>667</v></c><c r="B675" s="324"><f>B674</f><v /></c><c r="C675" s="324"><f>C674</f><v /></c><c r="D675" s="94"><f>D674</f><v /></c><c r="E675" s="95"><f>E674</f><v /></c><c r="F675" s="13" t="n" /><c r="G675" s="312" t="n" /><c r="H675" s="326"><f>H674</f><v /></c><c r="I675" s="98"><f>I674</f><v /></c><c r="J675" s="327"><f>J674</f><v /></c><c r="K675" s="327"><f>K674</f><v /></c><c r="L675" s="327"><f>L674</f><v /></c><c r="M675" s="45" t="n" /><c r="N675" s="45" t="n" /><c r="O675" s="100"><f>O674</f><v /></c><c r="P675" s="328"><f>P674</f><v /></c><c r="Q675" s="11"><f>LEFT(P675,1)</f><v /></c><c r="R675" s="11"><f>RIGHT(P675,6)</f><v /></c><c r="S675" s="11"><f>+(Q675*60+R675)/(60*60)</f><v /></c><c r="T675" s="14"><f>+O675/S675</f><v /></c><c r="U675" s="316"><f>+(((N675-M675-O675)/O675)*100)</f><v /></c><c r="V675" s="329"><f>V674</f><v /></c><c r="W675" s="329"><f>W674</f><v /></c><c r="X675" s="330"><f>X674</f><v /></c><c r="Y675" s="45" t="n" /><c r="Z675" s="45" t="n" /><c r="AA675" s="331"><f>AA674</f><v /></c><c r="AB675" s="332"><f>AB674</f><v /></c><c r="AC675" s="11"><f>LEFT(AB675,2)</f><v /></c><c r="AD675" s="11"><f>RIGHT(AB675,6)</f><v /></c><c r="AE675" s="11"><f>+(AC675*60+AD675)/(60*60)</f><v /></c><c r="AF675" s="14"><f>+AA675/AE675</f><v /></c><c r="AG675" s="321"><f>+(((Z675-Y675-AA675)/AA675)*100)</f><v /></c><c r="AH675" s="329"><f>AH674</f><v /></c><c r="AI675" s="329"><f>AI674</f><v /></c><c r="AJ675" s="329"><f>AJ674</f><v /></c><c r="AK675" s="53"><f>Z675</f><v /></c><c r="AL675" s="45" t="n" /><c r="AM675" s="333"><f>AM674</f><v /></c><c r="AN675" s="328"><f>AN674</f><v /></c><c r="AO675" s="11"><f>LEFT(AN675,2)</f><v /></c><c r="AP675" s="11"><f>RIGHT(AN675,6)</f><v /></c><c r="AQ675" s="11"><f>+(AO675*60+AP675)/(60*60)</f><v /></c><c r="AR675" s="14"><f>+AM675/AQ675</f><v /></c><c r="AS675" s="321"><f>+(((AL675-AK675-AM675)/AM675)*100)</f><v /></c><c r="AT675" s="43"><f>IF(I675&gt;=1,"NO CONFORME",IF(BK675="SIGDIFERENTES",BC675,BL675))</f><v /></c><c r="AU675" s="8"><f>B675=C675</f><v /></c><c r="AV675" s="8"><f>N675&lt;Y675</f><v /></c><c r="AW675" s="8"><f>Z675&lt;=AK675</f><v /></c><c r="AX675" s="8"><f>IF(I675&gt;=1,"Qcorrecto",IF(AND(AY675="aceptable",AZ675="aceptable",BA675="aceptable"),"Qcorrecto","Qincorrecto"))</f><v /></c><c r="AY675" s="22"><f>IF(AR675&lt;$AH$6,"error",IF(AR675&gt;$AH$6*1.1,"error","aceptable"))</f><v /></c><c r="AZ675" s="22"><f>IF(AF675&lt;$V$6,"error",IF(AF675&gt;$V$6*1.1,"error","aceptable"))</f><v /></c><c r="BA675" s="22"><f>IF(T675&lt;$J$6*0.9,"error",IF(T675&gt;$J$6,"error","aceptable"))</f><v /></c><c r="BB675" s="25"><f>(IF(ABS(U675)&lt;1.05,"CONFORME",IF(ABS(AG675)&lt;1.05,"CONFORME",IF(ABS(AS675)&lt;2.55,"CONFORME","NO CONFORME"))))</f><v /></c><c r="BC675" s="5"><f>(IF(ABS(U675)&gt;2.05,"NO CONFORME",IF(ABS(AG675)&gt;2.05,"NO CONFORME",IF(ABS(AS675)&gt;5.05,"NO CONFORME","CONFORME"))))</f><v /></c><c r="BD675" s="15"><f>SIGN(U675)</f><v /></c><c r="BE675" s="15"><f>SIGN(AG675)</f><v /></c><c r="BF675" s="15"><f>SIGN(AS675)</f><v /></c><c r="BG675" s="15"><f>CONCATENATE(BD675,BE675,BF675)</f><v /></c><c r="BH675" s="15"><f>IF(BG675="111","SI","SD")</f><v /></c><c r="BI675" s="15"><f>IF(BG675="-1-1-1","SI","SD")</f><v /></c><c r="BJ675" s="15"><f>OR(BH675="SI",BI675="SI")</f><v /></c><c r="BK675" s="15"><f>IF(BJ675=FALSE,"SIGDIFERENTES","SIGIGUALES")</f><v /></c><c r="BL675" s="22"><f>IF(BC675="NO CONFORME","NO CONFORME",IF(BB675="CONFORME","CONFORME","NO CONFORME"))</f><v /></c></row><row r="676" ht="15.75" customHeight="1" thickBot="1"><c r="A676" s="37" t="n"><v>668</v></c><c r="B676" s="324"><f>B675</f><v /></c><c r="C676" s="324"><f>C675</f><v /></c><c r="D676" s="94"><f>D675</f><v /></c><c r="E676" s="95"><f>E675</f><v /></c><c r="F676" s="13" t="n" /><c r="G676" s="312" t="n" /><c r="H676" s="326"><f>H675</f><v /></c><c r="I676" s="98"><f>I675</f><v /></c><c r="J676" s="327"><f>J675</f><v /></c><c r="K676" s="327"><f>K675</f><v /></c><c r="L676" s="327"><f>L675</f><v /></c><c r="M676" s="45" t="n" /><c r="N676" s="45" t="n" /><c r="O676" s="100"><f>O675</f><v /></c><c r="P676" s="328"><f>P675</f><v /></c><c r="Q676" s="11"><f>LEFT(P676,1)</f><v /></c><c r="R676" s="11"><f>RIGHT(P676,6)</f><v /></c><c r="S676" s="11"><f>+(Q676*60+R676)/(60*60)</f><v /></c><c r="T676" s="14"><f>+O676/S676</f><v /></c><c r="U676" s="316"><f>+(((N676-M676-O676)/O676)*100)</f><v /></c><c r="V676" s="329"><f>V675</f><v /></c><c r="W676" s="329"><f>W675</f><v /></c><c r="X676" s="330"><f>X675</f><v /></c><c r="Y676" s="45" t="n" /><c r="Z676" s="45" t="n" /><c r="AA676" s="331"><f>AA675</f><v /></c><c r="AB676" s="332"><f>AB675</f><v /></c><c r="AC676" s="11"><f>LEFT(AB676,2)</f><v /></c><c r="AD676" s="11"><f>RIGHT(AB676,6)</f><v /></c><c r="AE676" s="11"><f>+(AC676*60+AD676)/(60*60)</f><v /></c><c r="AF676" s="14"><f>+AA676/AE676</f><v /></c><c r="AG676" s="321"><f>+(((Z676-Y676-AA676)/AA676)*100)</f><v /></c><c r="AH676" s="329"><f>AH675</f><v /></c><c r="AI676" s="329"><f>AI675</f><v /></c><c r="AJ676" s="329"><f>AJ675</f><v /></c><c r="AK676" s="53"><f>Z676</f><v /></c><c r="AL676" s="45" t="n" /><c r="AM676" s="333"><f>AM675</f><v /></c><c r="AN676" s="328"><f>AN675</f><v /></c><c r="AO676" s="11"><f>LEFT(AN676,2)</f><v /></c><c r="AP676" s="11"><f>RIGHT(AN676,6)</f><v /></c><c r="AQ676" s="11"><f>+(AO676*60+AP676)/(60*60)</f><v /></c><c r="AR676" s="14"><f>+AM676/AQ676</f><v /></c><c r="AS676" s="321"><f>+(((AL676-AK676-AM676)/AM676)*100)</f><v /></c><c r="AT676" s="43"><f>IF(I676&gt;=1,"NO CONFORME",IF(BK676="SIGDIFERENTES",BC676,BL676))</f><v /></c><c r="AU676" s="8"><f>B676=C676</f><v /></c><c r="AV676" s="8"><f>N676&lt;Y676</f><v /></c><c r="AW676" s="8"><f>Z676&lt;=AK676</f><v /></c><c r="AX676" s="8"><f>IF(I676&gt;=1,"Qcorrecto",IF(AND(AY676="aceptable",AZ676="aceptable",BA676="aceptable"),"Qcorrecto","Qincorrecto"))</f><v /></c><c r="AY676" s="22"><f>IF(AR676&lt;$AH$6,"error",IF(AR676&gt;$AH$6*1.1,"error","aceptable"))</f><v /></c><c r="AZ676" s="22"><f>IF(AF676&lt;$V$6,"error",IF(AF676&gt;$V$6*1.1,"error","aceptable"))</f><v /></c><c r="BA676" s="22"><f>IF(T676&lt;$J$6*0.9,"error",IF(T676&gt;$J$6,"error","aceptable"))</f><v /></c><c r="BB676" s="25"><f>(IF(ABS(U676)&lt;1.05,"CONFORME",IF(ABS(AG676)&lt;1.05,"CONFORME",IF(ABS(AS676)&lt;2.55,"CONFORME","NO CONFORME"))))</f><v /></c><c r="BC676" s="5"><f>(IF(ABS(U676)&gt;2.05,"NO CONFORME",IF(ABS(AG676)&gt;2.05,"NO CONFORME",IF(ABS(AS676)&gt;5.05,"NO CONFORME","CONFORME"))))</f><v /></c><c r="BD676" s="15"><f>SIGN(U676)</f><v /></c><c r="BE676" s="15"><f>SIGN(AG676)</f><v /></c><c r="BF676" s="15"><f>SIGN(AS676)</f><v /></c><c r="BG676" s="15"><f>CONCATENATE(BD676,BE676,BF676)</f><v /></c><c r="BH676" s="15"><f>IF(BG676="111","SI","SD")</f><v /></c><c r="BI676" s="15"><f>IF(BG676="-1-1-1","SI","SD")</f><v /></c><c r="BJ676" s="15"><f>OR(BH676="SI",BI676="SI")</f><v /></c><c r="BK676" s="15"><f>IF(BJ676=FALSE,"SIGDIFERENTES","SIGIGUALES")</f><v /></c><c r="BL676" s="22"><f>IF(BC676="NO CONFORME","NO CONFORME",IF(BB676="CONFORME","CONFORME","NO CONFORME"))</f><v /></c></row><row r="677" ht="15.75" customHeight="1" thickBot="1"><c r="A677" s="37" t="n"><v>669</v></c><c r="B677" s="324"><f>B676</f><v /></c><c r="C677" s="324"><f>C676</f><v /></c><c r="D677" s="94"><f>D676</f><v /></c><c r="E677" s="95"><f>E676</f><v /></c><c r="F677" s="13" t="n" /><c r="G677" s="312" t="n" /><c r="H677" s="326"><f>H676</f><v /></c><c r="I677" s="98"><f>I676</f><v /></c><c r="J677" s="327"><f>J676</f><v /></c><c r="K677" s="327"><f>K676</f><v /></c><c r="L677" s="327"><f>L676</f><v /></c><c r="M677" s="45" t="n" /><c r="N677" s="45" t="n" /><c r="O677" s="100"><f>O676</f><v /></c><c r="P677" s="328"><f>P676</f><v /></c><c r="Q677" s="11"><f>LEFT(P677,1)</f><v /></c><c r="R677" s="11"><f>RIGHT(P677,6)</f><v /></c><c r="S677" s="11"><f>+(Q677*60+R677)/(60*60)</f><v /></c><c r="T677" s="14"><f>+O677/S677</f><v /></c><c r="U677" s="316"><f>+(((N677-M677-O677)/O677)*100)</f><v /></c><c r="V677" s="329"><f>V676</f><v /></c><c r="W677" s="329"><f>W676</f><v /></c><c r="X677" s="330"><f>X676</f><v /></c><c r="Y677" s="45" t="n" /><c r="Z677" s="45" t="n" /><c r="AA677" s="331"><f>AA676</f><v /></c><c r="AB677" s="332"><f>AB676</f><v /></c><c r="AC677" s="11"><f>LEFT(AB677,2)</f><v /></c><c r="AD677" s="11"><f>RIGHT(AB677,6)</f><v /></c><c r="AE677" s="11"><f>+(AC677*60+AD677)/(60*60)</f><v /></c><c r="AF677" s="14"><f>+AA677/AE677</f><v /></c><c r="AG677" s="321"><f>+(((Z677-Y677-AA677)/AA677)*100)</f><v /></c><c r="AH677" s="329"><f>AH676</f><v /></c><c r="AI677" s="329"><f>AI676</f><v /></c><c r="AJ677" s="329"><f>AJ676</f><v /></c><c r="AK677" s="53"><f>Z677</f><v /></c><c r="AL677" s="45" t="n" /><c r="AM677" s="333"><f>AM676</f><v /></c><c r="AN677" s="328"><f>AN676</f><v /></c><c r="AO677" s="11"><f>LEFT(AN677,2)</f><v /></c><c r="AP677" s="11"><f>RIGHT(AN677,6)</f><v /></c><c r="AQ677" s="11"><f>+(AO677*60+AP677)/(60*60)</f><v /></c><c r="AR677" s="14"><f>+AM677/AQ677</f><v /></c><c r="AS677" s="321"><f>+(((AL677-AK677-AM677)/AM677)*100)</f><v /></c><c r="AT677" s="43"><f>IF(I677&gt;=1,"NO CONFORME",IF(BK677="SIGDIFERENTES",BC677,BL677))</f><v /></c><c r="AU677" s="8"><f>B677=C677</f><v /></c><c r="AV677" s="8"><f>N677&lt;Y677</f><v /></c><c r="AW677" s="8"><f>Z677&lt;=AK677</f><v /></c><c r="AX677" s="8"><f>IF(I677&gt;=1,"Qcorrecto",IF(AND(AY677="aceptable",AZ677="aceptable",BA677="aceptable"),"Qcorrecto","Qincorrecto"))</f><v /></c><c r="AY677" s="22"><f>IF(AR677&lt;$AH$6,"error",IF(AR677&gt;$AH$6*1.1,"error","aceptable"))</f><v /></c><c r="AZ677" s="22"><f>IF(AF677&lt;$V$6,"error",IF(AF677&gt;$V$6*1.1,"error","aceptable"))</f><v /></c><c r="BA677" s="22"><f>IF(T677&lt;$J$6*0.9,"error",IF(T677&gt;$J$6,"error","aceptable"))</f><v /></c><c r="BB677" s="25"><f>(IF(ABS(U677)&lt;1.05,"CONFORME",IF(ABS(AG677)&lt;1.05,"CONFORME",IF(ABS(AS677)&lt;2.55,"CONFORME","NO CONFORME"))))</f><v /></c><c r="BC677" s="5"><f>(IF(ABS(U677)&gt;2.05,"NO CONFORME",IF(ABS(AG677)&gt;2.05,"NO CONFORME",IF(ABS(AS677)&gt;5.05,"NO CONFORME","CONFORME"))))</f><v /></c><c r="BD677" s="15"><f>SIGN(U677)</f><v /></c><c r="BE677" s="15"><f>SIGN(AG677)</f><v /></c><c r="BF677" s="15"><f>SIGN(AS677)</f><v /></c><c r="BG677" s="15"><f>CONCATENATE(BD677,BE677,BF677)</f><v /></c><c r="BH677" s="15"><f>IF(BG677="111","SI","SD")</f><v /></c><c r="BI677" s="15"><f>IF(BG677="-1-1-1","SI","SD")</f><v /></c><c r="BJ677" s="15"><f>OR(BH677="SI",BI677="SI")</f><v /></c><c r="BK677" s="15"><f>IF(BJ677=FALSE,"SIGDIFERENTES","SIGIGUALES")</f><v /></c><c r="BL677" s="22"><f>IF(BC677="NO CONFORME","NO CONFORME",IF(BB677="CONFORME","CONFORME","NO CONFORME"))</f><v /></c></row><row r="678" ht="15.75" customHeight="1" thickBot="1"><c r="A678" s="37" t="n"><v>670</v></c><c r="B678" s="324"><f>B677</f><v /></c><c r="C678" s="324"><f>C677</f><v /></c><c r="D678" s="94"><f>D677</f><v /></c><c r="E678" s="95"><f>E677</f><v /></c><c r="F678" s="13" t="n" /><c r="G678" s="312" t="n" /><c r="H678" s="326"><f>H677</f><v /></c><c r="I678" s="98"><f>I677</f><v /></c><c r="J678" s="327"><f>J677</f><v /></c><c r="K678" s="327"><f>K677</f><v /></c><c r="L678" s="327"><f>L677</f><v /></c><c r="M678" s="45" t="n" /><c r="N678" s="45" t="n" /><c r="O678" s="100"><f>O677</f><v /></c><c r="P678" s="328"><f>P677</f><v /></c><c r="Q678" s="11"><f>LEFT(P678,1)</f><v /></c><c r="R678" s="11"><f>RIGHT(P678,6)</f><v /></c><c r="S678" s="11"><f>+(Q678*60+R678)/(60*60)</f><v /></c><c r="T678" s="14"><f>+O678/S678</f><v /></c><c r="U678" s="316"><f>+(((N678-M678-O678)/O678)*100)</f><v /></c><c r="V678" s="329"><f>V677</f><v /></c><c r="W678" s="329"><f>W677</f><v /></c><c r="X678" s="330"><f>X677</f><v /></c><c r="Y678" s="45" t="n" /><c r="Z678" s="45" t="n" /><c r="AA678" s="331"><f>AA677</f><v /></c><c r="AB678" s="332"><f>AB677</f><v /></c><c r="AC678" s="11"><f>LEFT(AB678,2)</f><v /></c><c r="AD678" s="11"><f>RIGHT(AB678,6)</f><v /></c><c r="AE678" s="11"><f>+(AC678*60+AD678)/(60*60)</f><v /></c><c r="AF678" s="14"><f>+AA678/AE678</f><v /></c><c r="AG678" s="321"><f>+(((Z678-Y678-AA678)/AA678)*100)</f><v /></c><c r="AH678" s="329"><f>AH677</f><v /></c><c r="AI678" s="329"><f>AI677</f><v /></c><c r="AJ678" s="329"><f>AJ677</f><v /></c><c r="AK678" s="53"><f>Z678</f><v /></c><c r="AL678" s="45" t="n" /><c r="AM678" s="333"><f>AM677</f><v /></c><c r="AN678" s="328"><f>AN677</f><v /></c><c r="AO678" s="11"><f>LEFT(AN678,2)</f><v /></c><c r="AP678" s="11"><f>RIGHT(AN678,6)</f><v /></c><c r="AQ678" s="11"><f>+(AO678*60+AP678)/(60*60)</f><v /></c><c r="AR678" s="14"><f>+AM678/AQ678</f><v /></c><c r="AS678" s="321"><f>+(((AL678-AK678-AM678)/AM678)*100)</f><v /></c><c r="AT678" s="43"><f>IF(I678&gt;=1,"NO CONFORME",IF(BK678="SIGDIFERENTES",BC678,BL678))</f><v /></c><c r="AU678" s="8"><f>B678=C678</f><v /></c><c r="AV678" s="8"><f>N678&lt;Y678</f><v /></c><c r="AW678" s="8"><f>Z678&lt;=AK678</f><v /></c><c r="AX678" s="8"><f>IF(I678&gt;=1,"Qcorrecto",IF(AND(AY678="aceptable",AZ678="aceptable",BA678="aceptable"),"Qcorrecto","Qincorrecto"))</f><v /></c><c r="AY678" s="22"><f>IF(AR678&lt;$AH$6,"error",IF(AR678&gt;$AH$6*1.1,"error","aceptable"))</f><v /></c><c r="AZ678" s="22"><f>IF(AF678&lt;$V$6,"error",IF(AF678&gt;$V$6*1.1,"error","aceptable"))</f><v /></c><c r="BA678" s="22"><f>IF(T678&lt;$J$6*0.9,"error",IF(T678&gt;$J$6,"error","aceptable"))</f><v /></c><c r="BB678" s="25"><f>(IF(ABS(U678)&lt;1.05,"CONFORME",IF(ABS(AG678)&lt;1.05,"CONFORME",IF(ABS(AS678)&lt;2.55,"CONFORME","NO CONFORME"))))</f><v /></c><c r="BC678" s="5"><f>(IF(ABS(U678)&gt;2.05,"NO CONFORME",IF(ABS(AG678)&gt;2.05,"NO CONFORME",IF(ABS(AS678)&gt;5.05,"NO CONFORME","CONFORME"))))</f><v /></c><c r="BD678" s="15"><f>SIGN(U678)</f><v /></c><c r="BE678" s="15"><f>SIGN(AG678)</f><v /></c><c r="BF678" s="15"><f>SIGN(AS678)</f><v /></c><c r="BG678" s="15"><f>CONCATENATE(BD678,BE678,BF678)</f><v /></c><c r="BH678" s="15"><f>IF(BG678="111","SI","SD")</f><v /></c><c r="BI678" s="15"><f>IF(BG678="-1-1-1","SI","SD")</f><v /></c><c r="BJ678" s="15"><f>OR(BH678="SI",BI678="SI")</f><v /></c><c r="BK678" s="15"><f>IF(BJ678=FALSE,"SIGDIFERENTES","SIGIGUALES")</f><v /></c><c r="BL678" s="22"><f>IF(BC678="NO CONFORME","NO CONFORME",IF(BB678="CONFORME","CONFORME","NO CONFORME"))</f><v /></c></row><row r="679" ht="15.75" customHeight="1" thickBot="1"><c r="A679" s="37" t="n"><v>671</v></c><c r="B679" s="324"><f>B678</f><v /></c><c r="C679" s="324"><f>C678</f><v /></c><c r="D679" s="94"><f>D678</f><v /></c><c r="E679" s="95"><f>E678</f><v /></c><c r="F679" s="13" t="n" /><c r="G679" s="312" t="n" /><c r="H679" s="326"><f>H678</f><v /></c><c r="I679" s="98"><f>I678</f><v /></c><c r="J679" s="327"><f>J678</f><v /></c><c r="K679" s="327"><f>K678</f><v /></c><c r="L679" s="327"><f>L678</f><v /></c><c r="M679" s="45" t="n" /><c r="N679" s="45" t="n" /><c r="O679" s="100"><f>O678</f><v /></c><c r="P679" s="328"><f>P678</f><v /></c><c r="Q679" s="11"><f>LEFT(P679,1)</f><v /></c><c r="R679" s="11"><f>RIGHT(P679,6)</f><v /></c><c r="S679" s="11"><f>+(Q679*60+R679)/(60*60)</f><v /></c><c r="T679" s="14"><f>+O679/S679</f><v /></c><c r="U679" s="316"><f>+(((N679-M679-O679)/O679)*100)</f><v /></c><c r="V679" s="329"><f>V678</f><v /></c><c r="W679" s="329"><f>W678</f><v /></c><c r="X679" s="330"><f>X678</f><v /></c><c r="Y679" s="45" t="n" /><c r="Z679" s="45" t="n" /><c r="AA679" s="331"><f>AA678</f><v /></c><c r="AB679" s="332"><f>AB678</f><v /></c><c r="AC679" s="11"><f>LEFT(AB679,2)</f><v /></c><c r="AD679" s="11"><f>RIGHT(AB679,6)</f><v /></c><c r="AE679" s="11"><f>+(AC679*60+AD679)/(60*60)</f><v /></c><c r="AF679" s="14"><f>+AA679/AE679</f><v /></c><c r="AG679" s="321"><f>+(((Z679-Y679-AA679)/AA679)*100)</f><v /></c><c r="AH679" s="329"><f>AH678</f><v /></c><c r="AI679" s="329"><f>AI678</f><v /></c><c r="AJ679" s="329"><f>AJ678</f><v /></c><c r="AK679" s="53"><f>Z679</f><v /></c><c r="AL679" s="45" t="n" /><c r="AM679" s="333"><f>AM678</f><v /></c><c r="AN679" s="328"><f>AN678</f><v /></c><c r="AO679" s="11"><f>LEFT(AN679,2)</f><v /></c><c r="AP679" s="11"><f>RIGHT(AN679,6)</f><v /></c><c r="AQ679" s="11"><f>+(AO679*60+AP679)/(60*60)</f><v /></c><c r="AR679" s="14"><f>+AM679/AQ679</f><v /></c><c r="AS679" s="321"><f>+(((AL679-AK679-AM679)/AM679)*100)</f><v /></c><c r="AT679" s="43"><f>IF(I679&gt;=1,"NO CONFORME",IF(BK679="SIGDIFERENTES",BC679,BL679))</f><v /></c><c r="AU679" s="8"><f>B679=C679</f><v /></c><c r="AV679" s="8"><f>N679&lt;Y679</f><v /></c><c r="AW679" s="8"><f>Z679&lt;=AK679</f><v /></c><c r="AX679" s="8"><f>IF(I679&gt;=1,"Qcorrecto",IF(AND(AY679="aceptable",AZ679="aceptable",BA679="aceptable"),"Qcorrecto","Qincorrecto"))</f><v /></c><c r="AY679" s="22"><f>IF(AR679&lt;$AH$6,"error",IF(AR679&gt;$AH$6*1.1,"error","aceptable"))</f><v /></c><c r="AZ679" s="22"><f>IF(AF679&lt;$V$6,"error",IF(AF679&gt;$V$6*1.1,"error","aceptable"))</f><v /></c><c r="BA679" s="22"><f>IF(T679&lt;$J$6*0.9,"error",IF(T679&gt;$J$6,"error","aceptable"))</f><v /></c><c r="BB679" s="25"><f>(IF(ABS(U679)&lt;1.05,"CONFORME",IF(ABS(AG679)&lt;1.05,"CONFORME",IF(ABS(AS679)&lt;2.55,"CONFORME","NO CONFORME"))))</f><v /></c><c r="BC679" s="5"><f>(IF(ABS(U679)&gt;2.05,"NO CONFORME",IF(ABS(AG679)&gt;2.05,"NO CONFORME",IF(ABS(AS679)&gt;5.05,"NO CONFORME","CONFORME"))))</f><v /></c><c r="BD679" s="15"><f>SIGN(U679)</f><v /></c><c r="BE679" s="15"><f>SIGN(AG679)</f><v /></c><c r="BF679" s="15"><f>SIGN(AS679)</f><v /></c><c r="BG679" s="15"><f>CONCATENATE(BD679,BE679,BF679)</f><v /></c><c r="BH679" s="15"><f>IF(BG679="111","SI","SD")</f><v /></c><c r="BI679" s="15"><f>IF(BG679="-1-1-1","SI","SD")</f><v /></c><c r="BJ679" s="15"><f>OR(BH679="SI",BI679="SI")</f><v /></c><c r="BK679" s="15"><f>IF(BJ679=FALSE,"SIGDIFERENTES","SIGIGUALES")</f><v /></c><c r="BL679" s="22"><f>IF(BC679="NO CONFORME","NO CONFORME",IF(BB679="CONFORME","CONFORME","NO CONFORME"))</f><v /></c></row><row r="680" ht="15.75" customHeight="1" thickBot="1"><c r="A680" s="37" t="n"><v>672</v></c><c r="B680" s="324"><f>B679</f><v /></c><c r="C680" s="324"><f>C679</f><v /></c><c r="D680" s="94"><f>D679</f><v /></c><c r="E680" s="95"><f>E679</f><v /></c><c r="F680" s="13" t="n" /><c r="G680" s="312" t="n" /><c r="H680" s="326"><f>H679</f><v /></c><c r="I680" s="98"><f>I679</f><v /></c><c r="J680" s="327"><f>J679</f><v /></c><c r="K680" s="327"><f>K679</f><v /></c><c r="L680" s="327"><f>L679</f><v /></c><c r="M680" s="45" t="n" /><c r="N680" s="45" t="n" /><c r="O680" s="100"><f>O679</f><v /></c><c r="P680" s="328"><f>P679</f><v /></c><c r="Q680" s="11"><f>LEFT(P680,1)</f><v /></c><c r="R680" s="11"><f>RIGHT(P680,6)</f><v /></c><c r="S680" s="11"><f>+(Q680*60+R680)/(60*60)</f><v /></c><c r="T680" s="14"><f>+O680/S680</f><v /></c><c r="U680" s="316"><f>+(((N680-M680-O680)/O680)*100)</f><v /></c><c r="V680" s="329"><f>V679</f><v /></c><c r="W680" s="329"><f>W679</f><v /></c><c r="X680" s="330"><f>X679</f><v /></c><c r="Y680" s="45" t="n" /><c r="Z680" s="45" t="n" /><c r="AA680" s="331"><f>AA679</f><v /></c><c r="AB680" s="332"><f>AB679</f><v /></c><c r="AC680" s="11"><f>LEFT(AB680,2)</f><v /></c><c r="AD680" s="11"><f>RIGHT(AB680,6)</f><v /></c><c r="AE680" s="11"><f>+(AC680*60+AD680)/(60*60)</f><v /></c><c r="AF680" s="14"><f>+AA680/AE680</f><v /></c><c r="AG680" s="321"><f>+(((Z680-Y680-AA680)/AA680)*100)</f><v /></c><c r="AH680" s="329"><f>AH679</f><v /></c><c r="AI680" s="329"><f>AI679</f><v /></c><c r="AJ680" s="329"><f>AJ679</f><v /></c><c r="AK680" s="53"><f>Z680</f><v /></c><c r="AL680" s="45" t="n" /><c r="AM680" s="333"><f>AM679</f><v /></c><c r="AN680" s="328"><f>AN679</f><v /></c><c r="AO680" s="11"><f>LEFT(AN680,2)</f><v /></c><c r="AP680" s="11"><f>RIGHT(AN680,6)</f><v /></c><c r="AQ680" s="11"><f>+(AO680*60+AP680)/(60*60)</f><v /></c><c r="AR680" s="14"><f>+AM680/AQ680</f><v /></c><c r="AS680" s="321"><f>+(((AL680-AK680-AM680)/AM680)*100)</f><v /></c><c r="AT680" s="43"><f>IF(I680&gt;=1,"NO CONFORME",IF(BK680="SIGDIFERENTES",BC680,BL680))</f><v /></c><c r="AU680" s="8"><f>B680=C680</f><v /></c><c r="AV680" s="8"><f>N680&lt;Y680</f><v /></c><c r="AW680" s="8"><f>Z680&lt;=AK680</f><v /></c><c r="AX680" s="8"><f>IF(I680&gt;=1,"Qcorrecto",IF(AND(AY680="aceptable",AZ680="aceptable",BA680="aceptable"),"Qcorrecto","Qincorrecto"))</f><v /></c><c r="AY680" s="22"><f>IF(AR680&lt;$AH$6,"error",IF(AR680&gt;$AH$6*1.1,"error","aceptable"))</f><v /></c><c r="AZ680" s="22"><f>IF(AF680&lt;$V$6,"error",IF(AF680&gt;$V$6*1.1,"error","aceptable"))</f><v /></c><c r="BA680" s="22"><f>IF(T680&lt;$J$6*0.9,"error",IF(T680&gt;$J$6,"error","aceptable"))</f><v /></c><c r="BB680" s="25"><f>(IF(ABS(U680)&lt;1.05,"CONFORME",IF(ABS(AG680)&lt;1.05,"CONFORME",IF(ABS(AS680)&lt;2.55,"CONFORME","NO CONFORME"))))</f><v /></c><c r="BC680" s="5"><f>(IF(ABS(U680)&gt;2.05,"NO CONFORME",IF(ABS(AG680)&gt;2.05,"NO CONFORME",IF(ABS(AS680)&gt;5.05,"NO CONFORME","CONFORME"))))</f><v /></c><c r="BD680" s="15"><f>SIGN(U680)</f><v /></c><c r="BE680" s="15"><f>SIGN(AG680)</f><v /></c><c r="BF680" s="15"><f>SIGN(AS680)</f><v /></c><c r="BG680" s="15"><f>CONCATENATE(BD680,BE680,BF680)</f><v /></c><c r="BH680" s="15"><f>IF(BG680="111","SI","SD")</f><v /></c><c r="BI680" s="15"><f>IF(BG680="-1-1-1","SI","SD")</f><v /></c><c r="BJ680" s="15"><f>OR(BH680="SI",BI680="SI")</f><v /></c><c r="BK680" s="15"><f>IF(BJ680=FALSE,"SIGDIFERENTES","SIGIGUALES")</f><v /></c><c r="BL680" s="22"><f>IF(BC680="NO CONFORME","NO CONFORME",IF(BB680="CONFORME","CONFORME","NO CONFORME"))</f><v /></c></row><row r="681" ht="15.75" customHeight="1" thickBot="1"><c r="A681" s="37" t="n"><v>673</v></c><c r="B681" s="324"><f>B680</f><v /></c><c r="C681" s="324"><f>C680</f><v /></c><c r="D681" s="94"><f>D680</f><v /></c><c r="E681" s="95"><f>E680</f><v /></c><c r="F681" s="13" t="n" /><c r="G681" s="312" t="n" /><c r="H681" s="326"><f>H680</f><v /></c><c r="I681" s="98"><f>I680</f><v /></c><c r="J681" s="327"><f>J680</f><v /></c><c r="K681" s="327"><f>K680</f><v /></c><c r="L681" s="327"><f>L680</f><v /></c><c r="M681" s="45" t="n" /><c r="N681" s="45" t="n" /><c r="O681" s="100"><f>O680</f><v /></c><c r="P681" s="328"><f>P680</f><v /></c><c r="Q681" s="11"><f>LEFT(P681,1)</f><v /></c><c r="R681" s="11"><f>RIGHT(P681,6)</f><v /></c><c r="S681" s="11"><f>+(Q681*60+R681)/(60*60)</f><v /></c><c r="T681" s="14"><f>+O681/S681</f><v /></c><c r="U681" s="316"><f>+(((N681-M681-O681)/O681)*100)</f><v /></c><c r="V681" s="329"><f>V680</f><v /></c><c r="W681" s="329"><f>W680</f><v /></c><c r="X681" s="330"><f>X680</f><v /></c><c r="Y681" s="45" t="n" /><c r="Z681" s="45" t="n" /><c r="AA681" s="331"><f>AA680</f><v /></c><c r="AB681" s="332"><f>AB680</f><v /></c><c r="AC681" s="11"><f>LEFT(AB681,2)</f><v /></c><c r="AD681" s="11"><f>RIGHT(AB681,6)</f><v /></c><c r="AE681" s="11"><f>+(AC681*60+AD681)/(60*60)</f><v /></c><c r="AF681" s="14"><f>+AA681/AE681</f><v /></c><c r="AG681" s="321"><f>+(((Z681-Y681-AA681)/AA681)*100)</f><v /></c><c r="AH681" s="329"><f>AH680</f><v /></c><c r="AI681" s="329"><f>AI680</f><v /></c><c r="AJ681" s="329"><f>AJ680</f><v /></c><c r="AK681" s="53"><f>Z681</f><v /></c><c r="AL681" s="45" t="n" /><c r="AM681" s="333"><f>AM680</f><v /></c><c r="AN681" s="328"><f>AN680</f><v /></c><c r="AO681" s="11"><f>LEFT(AN681,2)</f><v /></c><c r="AP681" s="11"><f>RIGHT(AN681,6)</f><v /></c><c r="AQ681" s="11"><f>+(AO681*60+AP681)/(60*60)</f><v /></c><c r="AR681" s="14"><f>+AM681/AQ681</f><v /></c><c r="AS681" s="321"><f>+(((AL681-AK681-AM681)/AM681)*100)</f><v /></c><c r="AT681" s="43"><f>IF(I681&gt;=1,"NO CONFORME",IF(BK681="SIGDIFERENTES",BC681,BL681))</f><v /></c><c r="AU681" s="8"><f>B681=C681</f><v /></c><c r="AV681" s="8"><f>N681&lt;Y681</f><v /></c><c r="AW681" s="8"><f>Z681&lt;=AK681</f><v /></c><c r="AX681" s="8"><f>IF(I681&gt;=1,"Qcorrecto",IF(AND(AY681="aceptable",AZ681="aceptable",BA681="aceptable"),"Qcorrecto","Qincorrecto"))</f><v /></c><c r="AY681" s="22"><f>IF(AR681&lt;$AH$6,"error",IF(AR681&gt;$AH$6*1.1,"error","aceptable"))</f><v /></c><c r="AZ681" s="22"><f>IF(AF681&lt;$V$6,"error",IF(AF681&gt;$V$6*1.1,"error","aceptable"))</f><v /></c><c r="BA681" s="22"><f>IF(T681&lt;$J$6*0.9,"error",IF(T681&gt;$J$6,"error","aceptable"))</f><v /></c><c r="BB681" s="25"><f>(IF(ABS(U681)&lt;1.05,"CONFORME",IF(ABS(AG681)&lt;1.05,"CONFORME",IF(ABS(AS681)&lt;2.55,"CONFORME","NO CONFORME"))))</f><v /></c><c r="BC681" s="5"><f>(IF(ABS(U681)&gt;2.05,"NO CONFORME",IF(ABS(AG681)&gt;2.05,"NO CONFORME",IF(ABS(AS681)&gt;5.05,"NO CONFORME","CONFORME"))))</f><v /></c><c r="BD681" s="15"><f>SIGN(U681)</f><v /></c><c r="BE681" s="15"><f>SIGN(AG681)</f><v /></c><c r="BF681" s="15"><f>SIGN(AS681)</f><v /></c><c r="BG681" s="15"><f>CONCATENATE(BD681,BE681,BF681)</f><v /></c><c r="BH681" s="15"><f>IF(BG681="111","SI","SD")</f><v /></c><c r="BI681" s="15"><f>IF(BG681="-1-1-1","SI","SD")</f><v /></c><c r="BJ681" s="15"><f>OR(BH681="SI",BI681="SI")</f><v /></c><c r="BK681" s="15"><f>IF(BJ681=FALSE,"SIGDIFERENTES","SIGIGUALES")</f><v /></c><c r="BL681" s="22"><f>IF(BC681="NO CONFORME","NO CONFORME",IF(BB681="CONFORME","CONFORME","NO CONFORME"))</f><v /></c></row><row r="682" ht="15.75" customHeight="1" thickBot="1"><c r="A682" s="37" t="n"><v>674</v></c><c r="B682" s="324"><f>B681</f><v /></c><c r="C682" s="324"><f>C681</f><v /></c><c r="D682" s="94"><f>D681</f><v /></c><c r="E682" s="95"><f>E681</f><v /></c><c r="F682" s="13" t="n" /><c r="G682" s="312" t="n" /><c r="H682" s="326"><f>H681</f><v /></c><c r="I682" s="98"><f>I681</f><v /></c><c r="J682" s="327"><f>J681</f><v /></c><c r="K682" s="327"><f>K681</f><v /></c><c r="L682" s="327"><f>L681</f><v /></c><c r="M682" s="45" t="n" /><c r="N682" s="45" t="n" /><c r="O682" s="100"><f>O681</f><v /></c><c r="P682" s="328"><f>P681</f><v /></c><c r="Q682" s="11"><f>LEFT(P682,1)</f><v /></c><c r="R682" s="11"><f>RIGHT(P682,6)</f><v /></c><c r="S682" s="11"><f>+(Q682*60+R682)/(60*60)</f><v /></c><c r="T682" s="14"><f>+O682/S682</f><v /></c><c r="U682" s="316"><f>+(((N682-M682-O682)/O682)*100)</f><v /></c><c r="V682" s="329"><f>V681</f><v /></c><c r="W682" s="329"><f>W681</f><v /></c><c r="X682" s="330"><f>X681</f><v /></c><c r="Y682" s="45" t="n" /><c r="Z682" s="45" t="n" /><c r="AA682" s="331"><f>AA681</f><v /></c><c r="AB682" s="332"><f>AB681</f><v /></c><c r="AC682" s="11"><f>LEFT(AB682,2)</f><v /></c><c r="AD682" s="11"><f>RIGHT(AB682,6)</f><v /></c><c r="AE682" s="11"><f>+(AC682*60+AD682)/(60*60)</f><v /></c><c r="AF682" s="14"><f>+AA682/AE682</f><v /></c><c r="AG682" s="321"><f>+(((Z682-Y682-AA682)/AA682)*100)</f><v /></c><c r="AH682" s="329"><f>AH681</f><v /></c><c r="AI682" s="329"><f>AI681</f><v /></c><c r="AJ682" s="329"><f>AJ681</f><v /></c><c r="AK682" s="53"><f>Z682</f><v /></c><c r="AL682" s="45" t="n" /><c r="AM682" s="333"><f>AM681</f><v /></c><c r="AN682" s="328"><f>AN681</f><v /></c><c r="AO682" s="11"><f>LEFT(AN682,2)</f><v /></c><c r="AP682" s="11"><f>RIGHT(AN682,6)</f><v /></c><c r="AQ682" s="11"><f>+(AO682*60+AP682)/(60*60)</f><v /></c><c r="AR682" s="14"><f>+AM682/AQ682</f><v /></c><c r="AS682" s="321"><f>+(((AL682-AK682-AM682)/AM682)*100)</f><v /></c><c r="AT682" s="43"><f>IF(I682&gt;=1,"NO CONFORME",IF(BK682="SIGDIFERENTES",BC682,BL682))</f><v /></c><c r="AU682" s="8"><f>B682=C682</f><v /></c><c r="AV682" s="8"><f>N682&lt;Y682</f><v /></c><c r="AW682" s="8"><f>Z682&lt;=AK682</f><v /></c><c r="AX682" s="8"><f>IF(I682&gt;=1,"Qcorrecto",IF(AND(AY682="aceptable",AZ682="aceptable",BA682="aceptable"),"Qcorrecto","Qincorrecto"))</f><v /></c><c r="AY682" s="22"><f>IF(AR682&lt;$AH$6,"error",IF(AR682&gt;$AH$6*1.1,"error","aceptable"))</f><v /></c><c r="AZ682" s="22"><f>IF(AF682&lt;$V$6,"error",IF(AF682&gt;$V$6*1.1,"error","aceptable"))</f><v /></c><c r="BA682" s="22"><f>IF(T682&lt;$J$6*0.9,"error",IF(T682&gt;$J$6,"error","aceptable"))</f><v /></c><c r="BB682" s="25"><f>(IF(ABS(U682)&lt;1.05,"CONFORME",IF(ABS(AG682)&lt;1.05,"CONFORME",IF(ABS(AS682)&lt;2.55,"CONFORME","NO CONFORME"))))</f><v /></c><c r="BC682" s="5"><f>(IF(ABS(U682)&gt;2.05,"NO CONFORME",IF(ABS(AG682)&gt;2.05,"NO CONFORME",IF(ABS(AS682)&gt;5.05,"NO CONFORME","CONFORME"))))</f><v /></c><c r="BD682" s="15"><f>SIGN(U682)</f><v /></c><c r="BE682" s="15"><f>SIGN(AG682)</f><v /></c><c r="BF682" s="15"><f>SIGN(AS682)</f><v /></c><c r="BG682" s="15"><f>CONCATENATE(BD682,BE682,BF682)</f><v /></c><c r="BH682" s="15"><f>IF(BG682="111","SI","SD")</f><v /></c><c r="BI682" s="15"><f>IF(BG682="-1-1-1","SI","SD")</f><v /></c><c r="BJ682" s="15"><f>OR(BH682="SI",BI682="SI")</f><v /></c><c r="BK682" s="15"><f>IF(BJ682=FALSE,"SIGDIFERENTES","SIGIGUALES")</f><v /></c><c r="BL682" s="22"><f>IF(BC682="NO CONFORME","NO CONFORME",IF(BB682="CONFORME","CONFORME","NO CONFORME"))</f><v /></c></row><row r="683" ht="15.75" customHeight="1" thickBot="1"><c r="A683" s="37" t="n"><v>675</v></c><c r="B683" s="324"><f>B682</f><v /></c><c r="C683" s="324"><f>C682</f><v /></c><c r="D683" s="94"><f>D682</f><v /></c><c r="E683" s="95"><f>E682</f><v /></c><c r="F683" s="52" t="n" /><c r="G683" s="325" t="n" /><c r="H683" s="326"><f>H682</f><v /></c><c r="I683" s="98"><f>I682</f><v /></c><c r="J683" s="327"><f>J682</f><v /></c><c r="K683" s="327"><f>K682</f><v /></c><c r="L683" s="327"><f>L682</f><v /></c><c r="M683" s="53" t="n" /><c r="N683" s="53" t="n" /><c r="O683" s="100"><f>O682</f><v /></c><c r="P683" s="328"><f>P682</f><v /></c><c r="Q683" s="11"><f>LEFT(P683,1)</f><v /></c><c r="R683" s="11"><f>RIGHT(P683,6)</f><v /></c><c r="S683" s="11"><f>+(Q683*60+R683)/(60*60)</f><v /></c><c r="T683" s="14"><f>+O683/S683</f><v /></c><c r="U683" s="316"><f>+(((N683-M683-O683)/O683)*100)</f><v /></c><c r="V683" s="329"><f>V682</f><v /></c><c r="W683" s="329"><f>W682</f><v /></c><c r="X683" s="330"><f>X682</f><v /></c><c r="Y683" s="53" t="n" /><c r="Z683" s="53" t="n" /><c r="AA683" s="331"><f>AA682</f><v /></c><c r="AB683" s="332"><f>AB682</f><v /></c><c r="AC683" s="11"><f>LEFT(AB683,2)</f><v /></c><c r="AD683" s="11"><f>RIGHT(AB683,6)</f><v /></c><c r="AE683" s="11"><f>+(AC683*60+AD683)/(60*60)</f><v /></c><c r="AF683" s="14"><f>+AA683/AE683</f><v /></c><c r="AG683" s="321"><f>+(((Z683-Y683-AA683)/AA683)*100)</f><v /></c><c r="AH683" s="329"><f>AH682</f><v /></c><c r="AI683" s="329"><f>AI682</f><v /></c><c r="AJ683" s="329"><f>AJ682</f><v /></c><c r="AK683" s="53"><f>Z683</f><v /></c><c r="AL683" s="53" t="n" /><c r="AM683" s="333"><f>AM682</f><v /></c><c r="AN683" s="328"><f>AN682</f><v /></c><c r="AO683" s="11"><f>LEFT(AN683,2)</f><v /></c><c r="AP683" s="11"><f>RIGHT(AN683,6)</f><v /></c><c r="AQ683" s="11"><f>+(AO683*60+AP683)/(60*60)</f><v /></c><c r="AR683" s="14"><f>+AM683/AQ683</f><v /></c><c r="AS683" s="321"><f>+(((AL683-AK683-AM683)/AM683)*100)</f><v /></c><c r="AT683" s="43"><f>IF(I683&gt;=1,"NO CONFORME",IF(BK683="SIGDIFERENTES",BC683,BL683))</f><v /></c><c r="AU683" s="8"><f>B683=C683</f><v /></c><c r="AV683" s="8"><f>N683&lt;Y683</f><v /></c><c r="AW683" s="8"><f>Z683&lt;=AK683</f><v /></c><c r="AX683" s="8"><f>IF(I683&gt;=1,"Qcorrecto",IF(AND(AY683="aceptable",AZ683="aceptable",BA683="aceptable"),"Qcorrecto","Qincorrecto"))</f><v /></c><c r="AY683" s="22"><f>IF(AR683&lt;$AH$6,"error",IF(AR683&gt;$AH$6*1.1,"error","aceptable"))</f><v /></c><c r="AZ683" s="22"><f>IF(AF683&lt;$V$6,"error",IF(AF683&gt;$V$6*1.1,"error","aceptable"))</f><v /></c><c r="BA683" s="22"><f>IF(T683&lt;$J$6*0.9,"error",IF(T683&gt;$J$6,"error","aceptable"))</f><v /></c><c r="BB683" s="25"><f>(IF(ABS(U683)&lt;1.05,"CONFORME",IF(ABS(AG683)&lt;1.05,"CONFORME",IF(ABS(AS683)&lt;2.55,"CONFORME","NO CONFORME"))))</f><v /></c><c r="BC683" s="5"><f>(IF(ABS(U683)&gt;2.05,"NO CONFORME",IF(ABS(AG683)&gt;2.05,"NO CONFORME",IF(ABS(AS683)&gt;5.05,"NO CONFORME","CONFORME"))))</f><v /></c><c r="BD683" s="15"><f>SIGN(U683)</f><v /></c><c r="BE683" s="15"><f>SIGN(AG683)</f><v /></c><c r="BF683" s="15"><f>SIGN(AS683)</f><v /></c><c r="BG683" s="15"><f>CONCATENATE(BD683,BE683,BF683)</f><v /></c><c r="BH683" s="15"><f>IF(BG683="111","SI","SD")</f><v /></c><c r="BI683" s="15"><f>IF(BG683="-1-1-1","SI","SD")</f><v /></c><c r="BJ683" s="15"><f>OR(BH683="SI",BI683="SI")</f><v /></c><c r="BK683" s="15"><f>IF(BJ683=FALSE,"SIGDIFERENTES","SIGIGUALES")</f><v /></c><c r="BL683" s="22"><f>IF(BC683="NO CONFORME","NO CONFORME",IF(BB683="CONFORME","CONFORME","NO CONFORME"))</f><v /></c></row><row r="684" ht="15.75" customHeight="1" thickBot="1"><c r="A684" s="37" t="n"><v>676</v></c><c r="B684" s="324"><f>B683</f><v /></c><c r="C684" s="324"><f>C683</f><v /></c><c r="D684" s="94"><f>D683</f><v /></c><c r="E684" s="95"><f>E683</f><v /></c><c r="F684" s="58" t="n" /><c r="G684" s="300" t="n" /><c r="H684" s="326"><f>H683</f><v /></c><c r="I684" s="98"><f>I683</f><v /></c><c r="J684" s="327"><f>J683</f><v /></c><c r="K684" s="327"><f>K683</f><v /></c><c r="L684" s="327"><f>L683</f><v /></c><c r="M684" s="59" t="n" /><c r="N684" s="59" t="n" /><c r="O684" s="100"><f>O683</f><v /></c><c r="P684" s="328"><f>P683</f><v /></c><c r="Q684" s="11"><f>LEFT(P684,1)</f><v /></c><c r="R684" s="11"><f>RIGHT(P684,6)</f><v /></c><c r="S684" s="11"><f>+(Q684*60+R684)/(60*60)</f><v /></c><c r="T684" s="14"><f>+O684/S684</f><v /></c><c r="U684" s="316"><f>+(((N684-M684-O684)/O684)*100)</f><v /></c><c r="V684" s="329"><f>V683</f><v /></c><c r="W684" s="329"><f>W683</f><v /></c><c r="X684" s="330"><f>X683</f><v /></c><c r="Y684" s="59" t="n" /><c r="Z684" s="59" t="n" /><c r="AA684" s="331"><f>AA683</f><v /></c><c r="AB684" s="332"><f>AB683</f><v /></c><c r="AC684" s="11"><f>LEFT(AB684,2)</f><v /></c><c r="AD684" s="11"><f>RIGHT(AB684,6)</f><v /></c><c r="AE684" s="11"><f>+(AC684*60+AD684)/(60*60)</f><v /></c><c r="AF684" s="14"><f>+AA684/AE684</f><v /></c><c r="AG684" s="321"><f>+(((Z684-Y684-AA684)/AA684)*100)</f><v /></c><c r="AH684" s="329"><f>AH683</f><v /></c><c r="AI684" s="329"><f>AI683</f><v /></c><c r="AJ684" s="329"><f>AJ683</f><v /></c><c r="AK684" s="53"><f>Z684</f><v /></c><c r="AL684" s="59" t="n" /><c r="AM684" s="333"><f>AM683</f><v /></c><c r="AN684" s="328"><f>AN683</f><v /></c><c r="AO684" s="11"><f>LEFT(AN684,2)</f><v /></c><c r="AP684" s="11"><f>RIGHT(AN684,6)</f><v /></c><c r="AQ684" s="11"><f>+(AO684*60+AP684)/(60*60)</f><v /></c><c r="AR684" s="14"><f>+AM684/AQ684</f><v /></c><c r="AS684" s="321"><f>+(((AL684-AK684-AM684)/AM684)*100)</f><v /></c><c r="AT684" s="43"><f>IF(I684&gt;=1,"NO CONFORME",IF(BK684="SIGDIFERENTES",BC684,BL684))</f><v /></c><c r="AU684" s="8"><f>B684=C684</f><v /></c><c r="AV684" s="8"><f>N684&lt;Y684</f><v /></c><c r="AW684" s="8"><f>Z684&lt;=AK684</f><v /></c><c r="AX684" s="8"><f>IF(I684&gt;=1,"Qcorrecto",IF(AND(AY684="aceptable",AZ684="aceptable",BA684="aceptable"),"Qcorrecto","Qincorrecto"))</f><v /></c><c r="AY684" s="22"><f>IF(AR684&lt;$AH$6,"error",IF(AR684&gt;$AH$6*1.1,"error","aceptable"))</f><v /></c><c r="AZ684" s="22"><f>IF(AF684&lt;$V$6,"error",IF(AF684&gt;$V$6*1.1,"error","aceptable"))</f><v /></c><c r="BA684" s="22"><f>IF(T684&lt;$J$6*0.9,"error",IF(T684&gt;$J$6,"error","aceptable"))</f><v /></c><c r="BB684" s="25"><f>(IF(ABS(U684)&lt;1.05,"CONFORME",IF(ABS(AG684)&lt;1.05,"CONFORME",IF(ABS(AS684)&lt;2.55,"CONFORME","NO CONFORME"))))</f><v /></c><c r="BC684" s="5"><f>(IF(ABS(U684)&gt;2.05,"NO CONFORME",IF(ABS(AG684)&gt;2.05,"NO CONFORME",IF(ABS(AS684)&gt;5.05,"NO CONFORME","CONFORME"))))</f><v /></c><c r="BD684" s="15"><f>SIGN(U684)</f><v /></c><c r="BE684" s="15"><f>SIGN(AG684)</f><v /></c><c r="BF684" s="15"><f>SIGN(AS684)</f><v /></c><c r="BG684" s="15"><f>CONCATENATE(BD684,BE684,BF684)</f><v /></c><c r="BH684" s="15"><f>IF(BG684="111","SI","SD")</f><v /></c><c r="BI684" s="15"><f>IF(BG684="-1-1-1","SI","SD")</f><v /></c><c r="BJ684" s="15"><f>OR(BH684="SI",BI684="SI")</f><v /></c><c r="BK684" s="15"><f>IF(BJ684=FALSE,"SIGDIFERENTES","SIGIGUALES")</f><v /></c><c r="BL684" s="22"><f>IF(BC684="NO CONFORME","NO CONFORME",IF(BB684="CONFORME","CONFORME","NO CONFORME"))</f><v /></c></row><row r="685" ht="15.75" customHeight="1" thickBot="1"><c r="A685" s="37" t="n"><v>677</v></c><c r="B685" s="324"><f>B684</f><v /></c><c r="C685" s="324"><f>C684</f><v /></c><c r="D685" s="94"><f>D684</f><v /></c><c r="E685" s="95"><f>E684</f><v /></c><c r="F685" s="13" t="n" /><c r="G685" s="312" t="n" /><c r="H685" s="326"><f>H684</f><v /></c><c r="I685" s="98"><f>I684</f><v /></c><c r="J685" s="327"><f>J684</f><v /></c><c r="K685" s="327"><f>K684</f><v /></c><c r="L685" s="327"><f>L684</f><v /></c><c r="M685" s="45" t="n" /><c r="N685" s="45" t="n" /><c r="O685" s="100"><f>O684</f><v /></c><c r="P685" s="328"><f>P684</f><v /></c><c r="Q685" s="11"><f>LEFT(P685,1)</f><v /></c><c r="R685" s="11"><f>RIGHT(P685,6)</f><v /></c><c r="S685" s="11"><f>+(Q685*60+R685)/(60*60)</f><v /></c><c r="T685" s="14"><f>+O685/S685</f><v /></c><c r="U685" s="316"><f>+(((N685-M685-O685)/O685)*100)</f><v /></c><c r="V685" s="329"><f>V684</f><v /></c><c r="W685" s="329"><f>W684</f><v /></c><c r="X685" s="330"><f>X684</f><v /></c><c r="Y685" s="45" t="n" /><c r="Z685" s="45" t="n" /><c r="AA685" s="331"><f>AA684</f><v /></c><c r="AB685" s="332"><f>AB684</f><v /></c><c r="AC685" s="11"><f>LEFT(AB685,2)</f><v /></c><c r="AD685" s="11"><f>RIGHT(AB685,6)</f><v /></c><c r="AE685" s="11"><f>+(AC685*60+AD685)/(60*60)</f><v /></c><c r="AF685" s="14"><f>+AA685/AE685</f><v /></c><c r="AG685" s="321"><f>+(((Z685-Y685-AA685)/AA685)*100)</f><v /></c><c r="AH685" s="329"><f>AH684</f><v /></c><c r="AI685" s="329"><f>AI684</f><v /></c><c r="AJ685" s="329"><f>AJ684</f><v /></c><c r="AK685" s="53"><f>Z685</f><v /></c><c r="AL685" s="45" t="n" /><c r="AM685" s="333"><f>AM684</f><v /></c><c r="AN685" s="328"><f>AN684</f><v /></c><c r="AO685" s="11"><f>LEFT(AN685,2)</f><v /></c><c r="AP685" s="11"><f>RIGHT(AN685,6)</f><v /></c><c r="AQ685" s="11"><f>+(AO685*60+AP685)/(60*60)</f><v /></c><c r="AR685" s="14"><f>+AM685/AQ685</f><v /></c><c r="AS685" s="321"><f>+(((AL685-AK685-AM685)/AM685)*100)</f><v /></c><c r="AT685" s="43"><f>IF(I685&gt;=1,"NO CONFORME",IF(BK685="SIGDIFERENTES",BC685,BL685))</f><v /></c><c r="AU685" s="8"><f>B685=C685</f><v /></c><c r="AV685" s="8"><f>N685&lt;Y685</f><v /></c><c r="AW685" s="8"><f>Z685&lt;=AK685</f><v /></c><c r="AX685" s="8"><f>IF(I685&gt;=1,"Qcorrecto",IF(AND(AY685="aceptable",AZ685="aceptable",BA685="aceptable"),"Qcorrecto","Qincorrecto"))</f><v /></c><c r="AY685" s="22"><f>IF(AR685&lt;$AH$6,"error",IF(AR685&gt;$AH$6*1.1,"error","aceptable"))</f><v /></c><c r="AZ685" s="22"><f>IF(AF685&lt;$V$6,"error",IF(AF685&gt;$V$6*1.1,"error","aceptable"))</f><v /></c><c r="BA685" s="22"><f>IF(T685&lt;$J$6*0.9,"error",IF(T685&gt;$J$6,"error","aceptable"))</f><v /></c><c r="BB685" s="25"><f>(IF(ABS(U685)&lt;1.05,"CONFORME",IF(ABS(AG685)&lt;1.05,"CONFORME",IF(ABS(AS685)&lt;2.55,"CONFORME","NO CONFORME"))))</f><v /></c><c r="BC685" s="5"><f>(IF(ABS(U685)&gt;2.05,"NO CONFORME",IF(ABS(AG685)&gt;2.05,"NO CONFORME",IF(ABS(AS685)&gt;5.05,"NO CONFORME","CONFORME"))))</f><v /></c><c r="BD685" s="15"><f>SIGN(U685)</f><v /></c><c r="BE685" s="15"><f>SIGN(AG685)</f><v /></c><c r="BF685" s="15"><f>SIGN(AS685)</f><v /></c><c r="BG685" s="15"><f>CONCATENATE(BD685,BE685,BF685)</f><v /></c><c r="BH685" s="15"><f>IF(BG685="111","SI","SD")</f><v /></c><c r="BI685" s="15"><f>IF(BG685="-1-1-1","SI","SD")</f><v /></c><c r="BJ685" s="15"><f>OR(BH685="SI",BI685="SI")</f><v /></c><c r="BK685" s="15"><f>IF(BJ685=FALSE,"SIGDIFERENTES","SIGIGUALES")</f><v /></c><c r="BL685" s="22"><f>IF(BC685="NO CONFORME","NO CONFORME",IF(BB685="CONFORME","CONFORME","NO CONFORME"))</f><v /></c></row><row r="686" ht="15.75" customHeight="1" thickBot="1"><c r="A686" s="37" t="n"><v>678</v></c><c r="B686" s="324"><f>B685</f><v /></c><c r="C686" s="324"><f>C685</f><v /></c><c r="D686" s="94"><f>D685</f><v /></c><c r="E686" s="95"><f>E685</f><v /></c><c r="F686" s="13" t="n" /><c r="G686" s="312" t="n" /><c r="H686" s="326"><f>H685</f><v /></c><c r="I686" s="98"><f>I685</f><v /></c><c r="J686" s="327"><f>J685</f><v /></c><c r="K686" s="327"><f>K685</f><v /></c><c r="L686" s="327"><f>L685</f><v /></c><c r="M686" s="45" t="n" /><c r="N686" s="45" t="n" /><c r="O686" s="100"><f>O685</f><v /></c><c r="P686" s="328"><f>P685</f><v /></c><c r="Q686" s="11"><f>LEFT(P686,1)</f><v /></c><c r="R686" s="11"><f>RIGHT(P686,6)</f><v /></c><c r="S686" s="11"><f>+(Q686*60+R686)/(60*60)</f><v /></c><c r="T686" s="14"><f>+O686/S686</f><v /></c><c r="U686" s="316"><f>+(((N686-M686-O686)/O686)*100)</f><v /></c><c r="V686" s="329"><f>V685</f><v /></c><c r="W686" s="329"><f>W685</f><v /></c><c r="X686" s="330"><f>X685</f><v /></c><c r="Y686" s="45" t="n" /><c r="Z686" s="45" t="n" /><c r="AA686" s="331"><f>AA685</f><v /></c><c r="AB686" s="332"><f>AB685</f><v /></c><c r="AC686" s="11"><f>LEFT(AB686,2)</f><v /></c><c r="AD686" s="11"><f>RIGHT(AB686,6)</f><v /></c><c r="AE686" s="11"><f>+(AC686*60+AD686)/(60*60)</f><v /></c><c r="AF686" s="14"><f>+AA686/AE686</f><v /></c><c r="AG686" s="321"><f>+(((Z686-Y686-AA686)/AA686)*100)</f><v /></c><c r="AH686" s="329"><f>AH685</f><v /></c><c r="AI686" s="329"><f>AI685</f><v /></c><c r="AJ686" s="329"><f>AJ685</f><v /></c><c r="AK686" s="53"><f>Z686</f><v /></c><c r="AL686" s="45" t="n" /><c r="AM686" s="333"><f>AM685</f><v /></c><c r="AN686" s="328"><f>AN685</f><v /></c><c r="AO686" s="11"><f>LEFT(AN686,2)</f><v /></c><c r="AP686" s="11"><f>RIGHT(AN686,6)</f><v /></c><c r="AQ686" s="11"><f>+(AO686*60+AP686)/(60*60)</f><v /></c><c r="AR686" s="14"><f>+AM686/AQ686</f><v /></c><c r="AS686" s="321"><f>+(((AL686-AK686-AM686)/AM686)*100)</f><v /></c><c r="AT686" s="43"><f>IF(I686&gt;=1,"NO CONFORME",IF(BK686="SIGDIFERENTES",BC686,BL686))</f><v /></c><c r="AU686" s="8"><f>B686=C686</f><v /></c><c r="AV686" s="8"><f>N686&lt;Y686</f><v /></c><c r="AW686" s="8"><f>Z686&lt;=AK686</f><v /></c><c r="AX686" s="8"><f>IF(I686&gt;=1,"Qcorrecto",IF(AND(AY686="aceptable",AZ686="aceptable",BA686="aceptable"),"Qcorrecto","Qincorrecto"))</f><v /></c><c r="AY686" s="22"><f>IF(AR686&lt;$AH$6,"error",IF(AR686&gt;$AH$6*1.1,"error","aceptable"))</f><v /></c><c r="AZ686" s="22"><f>IF(AF686&lt;$V$6,"error",IF(AF686&gt;$V$6*1.1,"error","aceptable"))</f><v /></c><c r="BA686" s="22"><f>IF(T686&lt;$J$6*0.9,"error",IF(T686&gt;$J$6,"error","aceptable"))</f><v /></c><c r="BB686" s="25"><f>(IF(ABS(U686)&lt;1.05,"CONFORME",IF(ABS(AG686)&lt;1.05,"CONFORME",IF(ABS(AS686)&lt;2.55,"CONFORME","NO CONFORME"))))</f><v /></c><c r="BC686" s="5"><f>(IF(ABS(U686)&gt;2.05,"NO CONFORME",IF(ABS(AG686)&gt;2.05,"NO CONFORME",IF(ABS(AS686)&gt;5.05,"NO CONFORME","CONFORME"))))</f><v /></c><c r="BD686" s="15"><f>SIGN(U686)</f><v /></c><c r="BE686" s="15"><f>SIGN(AG686)</f><v /></c><c r="BF686" s="15"><f>SIGN(AS686)</f><v /></c><c r="BG686" s="15"><f>CONCATENATE(BD686,BE686,BF686)</f><v /></c><c r="BH686" s="15"><f>IF(BG686="111","SI","SD")</f><v /></c><c r="BI686" s="15"><f>IF(BG686="-1-1-1","SI","SD")</f><v /></c><c r="BJ686" s="15"><f>OR(BH686="SI",BI686="SI")</f><v /></c><c r="BK686" s="15"><f>IF(BJ686=FALSE,"SIGDIFERENTES","SIGIGUALES")</f><v /></c><c r="BL686" s="22"><f>IF(BC686="NO CONFORME","NO CONFORME",IF(BB686="CONFORME","CONFORME","NO CONFORME"))</f><v /></c></row><row r="687" ht="15.75" customHeight="1" thickBot="1"><c r="A687" s="37" t="n"><v>679</v></c><c r="B687" s="324"><f>B686</f><v /></c><c r="C687" s="324"><f>C686</f><v /></c><c r="D687" s="94"><f>D686</f><v /></c><c r="E687" s="95"><f>E686</f><v /></c><c r="F687" s="13" t="n" /><c r="G687" s="312" t="n" /><c r="H687" s="326"><f>H686</f><v /></c><c r="I687" s="98"><f>I686</f><v /></c><c r="J687" s="327"><f>J686</f><v /></c><c r="K687" s="327"><f>K686</f><v /></c><c r="L687" s="327"><f>L686</f><v /></c><c r="M687" s="45" t="n" /><c r="N687" s="45" t="n" /><c r="O687" s="100"><f>O686</f><v /></c><c r="P687" s="328"><f>P686</f><v /></c><c r="Q687" s="11"><f>LEFT(P687,1)</f><v /></c><c r="R687" s="11"><f>RIGHT(P687,6)</f><v /></c><c r="S687" s="11"><f>+(Q687*60+R687)/(60*60)</f><v /></c><c r="T687" s="14"><f>+O687/S687</f><v /></c><c r="U687" s="316"><f>+(((N687-M687-O687)/O687)*100)</f><v /></c><c r="V687" s="329"><f>V686</f><v /></c><c r="W687" s="329"><f>W686</f><v /></c><c r="X687" s="330"><f>X686</f><v /></c><c r="Y687" s="45" t="n" /><c r="Z687" s="45" t="n" /><c r="AA687" s="331"><f>AA686</f><v /></c><c r="AB687" s="332"><f>AB686</f><v /></c><c r="AC687" s="11"><f>LEFT(AB687,2)</f><v /></c><c r="AD687" s="11"><f>RIGHT(AB687,6)</f><v /></c><c r="AE687" s="11"><f>+(AC687*60+AD687)/(60*60)</f><v /></c><c r="AF687" s="14"><f>+AA687/AE687</f><v /></c><c r="AG687" s="321"><f>+(((Z687-Y687-AA687)/AA687)*100)</f><v /></c><c r="AH687" s="329"><f>AH686</f><v /></c><c r="AI687" s="329"><f>AI686</f><v /></c><c r="AJ687" s="329"><f>AJ686</f><v /></c><c r="AK687" s="53"><f>Z687</f><v /></c><c r="AL687" s="45" t="n" /><c r="AM687" s="333"><f>AM686</f><v /></c><c r="AN687" s="328"><f>AN686</f><v /></c><c r="AO687" s="11"><f>LEFT(AN687,2)</f><v /></c><c r="AP687" s="11"><f>RIGHT(AN687,6)</f><v /></c><c r="AQ687" s="11"><f>+(AO687*60+AP687)/(60*60)</f><v /></c><c r="AR687" s="14"><f>+AM687/AQ687</f><v /></c><c r="AS687" s="321"><f>+(((AL687-AK687-AM687)/AM687)*100)</f><v /></c><c r="AT687" s="43"><f>IF(I687&gt;=1,"NO CONFORME",IF(BK687="SIGDIFERENTES",BC687,BL687))</f><v /></c><c r="AU687" s="8"><f>B687=C687</f><v /></c><c r="AV687" s="8"><f>N687&lt;Y687</f><v /></c><c r="AW687" s="8"><f>Z687&lt;=AK687</f><v /></c><c r="AX687" s="8"><f>IF(I687&gt;=1,"Qcorrecto",IF(AND(AY687="aceptable",AZ687="aceptable",BA687="aceptable"),"Qcorrecto","Qincorrecto"))</f><v /></c><c r="AY687" s="22"><f>IF(AR687&lt;$AH$6,"error",IF(AR687&gt;$AH$6*1.1,"error","aceptable"))</f><v /></c><c r="AZ687" s="22"><f>IF(AF687&lt;$V$6,"error",IF(AF687&gt;$V$6*1.1,"error","aceptable"))</f><v /></c><c r="BA687" s="22"><f>IF(T687&lt;$J$6*0.9,"error",IF(T687&gt;$J$6,"error","aceptable"))</f><v /></c><c r="BB687" s="25"><f>(IF(ABS(U687)&lt;1.05,"CONFORME",IF(ABS(AG687)&lt;1.05,"CONFORME",IF(ABS(AS687)&lt;2.55,"CONFORME","NO CONFORME"))))</f><v /></c><c r="BC687" s="5"><f>(IF(ABS(U687)&gt;2.05,"NO CONFORME",IF(ABS(AG687)&gt;2.05,"NO CONFORME",IF(ABS(AS687)&gt;5.05,"NO CONFORME","CONFORME"))))</f><v /></c><c r="BD687" s="15"><f>SIGN(U687)</f><v /></c><c r="BE687" s="15"><f>SIGN(AG687)</f><v /></c><c r="BF687" s="15"><f>SIGN(AS687)</f><v /></c><c r="BG687" s="15"><f>CONCATENATE(BD687,BE687,BF687)</f><v /></c><c r="BH687" s="15"><f>IF(BG687="111","SI","SD")</f><v /></c><c r="BI687" s="15"><f>IF(BG687="-1-1-1","SI","SD")</f><v /></c><c r="BJ687" s="15"><f>OR(BH687="SI",BI687="SI")</f><v /></c><c r="BK687" s="15"><f>IF(BJ687=FALSE,"SIGDIFERENTES","SIGIGUALES")</f><v /></c><c r="BL687" s="22"><f>IF(BC687="NO CONFORME","NO CONFORME",IF(BB687="CONFORME","CONFORME","NO CONFORME"))</f><v /></c></row><row r="688" ht="15.75" customHeight="1" thickBot="1"><c r="A688" s="37" t="n"><v>680</v></c><c r="B688" s="324"><f>B687</f><v /></c><c r="C688" s="324"><f>C687</f><v /></c><c r="D688" s="94"><f>D687</f><v /></c><c r="E688" s="95"><f>E687</f><v /></c><c r="F688" s="13" t="n" /><c r="G688" s="312" t="n" /><c r="H688" s="326"><f>H687</f><v /></c><c r="I688" s="98"><f>I687</f><v /></c><c r="J688" s="327"><f>J687</f><v /></c><c r="K688" s="327"><f>K687</f><v /></c><c r="L688" s="327"><f>L687</f><v /></c><c r="M688" s="45" t="n" /><c r="N688" s="45" t="n" /><c r="O688" s="100"><f>O687</f><v /></c><c r="P688" s="328"><f>P687</f><v /></c><c r="Q688" s="11"><f>LEFT(P688,1)</f><v /></c><c r="R688" s="11"><f>RIGHT(P688,6)</f><v /></c><c r="S688" s="11"><f>+(Q688*60+R688)/(60*60)</f><v /></c><c r="T688" s="14"><f>+O688/S688</f><v /></c><c r="U688" s="316"><f>+(((N688-M688-O688)/O688)*100)</f><v /></c><c r="V688" s="329"><f>V687</f><v /></c><c r="W688" s="329"><f>W687</f><v /></c><c r="X688" s="330"><f>X687</f><v /></c><c r="Y688" s="45" t="n" /><c r="Z688" s="45" t="n" /><c r="AA688" s="331"><f>AA687</f><v /></c><c r="AB688" s="332"><f>AB687</f><v /></c><c r="AC688" s="11"><f>LEFT(AB688,2)</f><v /></c><c r="AD688" s="11"><f>RIGHT(AB688,6)</f><v /></c><c r="AE688" s="11"><f>+(AC688*60+AD688)/(60*60)</f><v /></c><c r="AF688" s="14"><f>+AA688/AE688</f><v /></c><c r="AG688" s="321"><f>+(((Z688-Y688-AA688)/AA688)*100)</f><v /></c><c r="AH688" s="329"><f>AH687</f><v /></c><c r="AI688" s="329"><f>AI687</f><v /></c><c r="AJ688" s="329"><f>AJ687</f><v /></c><c r="AK688" s="53"><f>Z688</f><v /></c><c r="AL688" s="45" t="n" /><c r="AM688" s="333"><f>AM687</f><v /></c><c r="AN688" s="328"><f>AN687</f><v /></c><c r="AO688" s="11"><f>LEFT(AN688,2)</f><v /></c><c r="AP688" s="11"><f>RIGHT(AN688,6)</f><v /></c><c r="AQ688" s="11"><f>+(AO688*60+AP688)/(60*60)</f><v /></c><c r="AR688" s="14"><f>+AM688/AQ688</f><v /></c><c r="AS688" s="321"><f>+(((AL688-AK688-AM688)/AM688)*100)</f><v /></c><c r="AT688" s="43"><f>IF(I688&gt;=1,"NO CONFORME",IF(BK688="SIGDIFERENTES",BC688,BL688))</f><v /></c><c r="AU688" s="8"><f>B688=C688</f><v /></c><c r="AV688" s="8"><f>N688&lt;Y688</f><v /></c><c r="AW688" s="8"><f>Z688&lt;=AK688</f><v /></c><c r="AX688" s="8"><f>IF(I688&gt;=1,"Qcorrecto",IF(AND(AY688="aceptable",AZ688="aceptable",BA688="aceptable"),"Qcorrecto","Qincorrecto"))</f><v /></c><c r="AY688" s="22"><f>IF(AR688&lt;$AH$6,"error",IF(AR688&gt;$AH$6*1.1,"error","aceptable"))</f><v /></c><c r="AZ688" s="22"><f>IF(AF688&lt;$V$6,"error",IF(AF688&gt;$V$6*1.1,"error","aceptable"))</f><v /></c><c r="BA688" s="22"><f>IF(T688&lt;$J$6*0.9,"error",IF(T688&gt;$J$6,"error","aceptable"))</f><v /></c><c r="BB688" s="25"><f>(IF(ABS(U688)&lt;1.05,"CONFORME",IF(ABS(AG688)&lt;1.05,"CONFORME",IF(ABS(AS688)&lt;2.55,"CONFORME","NO CONFORME"))))</f><v /></c><c r="BC688" s="5"><f>(IF(ABS(U688)&gt;2.05,"NO CONFORME",IF(ABS(AG688)&gt;2.05,"NO CONFORME",IF(ABS(AS688)&gt;5.05,"NO CONFORME","CONFORME"))))</f><v /></c><c r="BD688" s="15"><f>SIGN(U688)</f><v /></c><c r="BE688" s="15"><f>SIGN(AG688)</f><v /></c><c r="BF688" s="15"><f>SIGN(AS688)</f><v /></c><c r="BG688" s="15"><f>CONCATENATE(BD688,BE688,BF688)</f><v /></c><c r="BH688" s="15"><f>IF(BG688="111","SI","SD")</f><v /></c><c r="BI688" s="15"><f>IF(BG688="-1-1-1","SI","SD")</f><v /></c><c r="BJ688" s="15"><f>OR(BH688="SI",BI688="SI")</f><v /></c><c r="BK688" s="15"><f>IF(BJ688=FALSE,"SIGDIFERENTES","SIGIGUALES")</f><v /></c><c r="BL688" s="22"><f>IF(BC688="NO CONFORME","NO CONFORME",IF(BB688="CONFORME","CONFORME","NO CONFORME"))</f><v /></c></row><row r="689" ht="15.75" customHeight="1" thickBot="1"><c r="A689" s="37" t="n"><v>681</v></c><c r="B689" s="324"><f>B688</f><v /></c><c r="C689" s="324"><f>C688</f><v /></c><c r="D689" s="94"><f>D688</f><v /></c><c r="E689" s="95"><f>E688</f><v /></c><c r="F689" s="13" t="n" /><c r="G689" s="312" t="n" /><c r="H689" s="326"><f>H688</f><v /></c><c r="I689" s="98"><f>I688</f><v /></c><c r="J689" s="327"><f>J688</f><v /></c><c r="K689" s="327"><f>K688</f><v /></c><c r="L689" s="327"><f>L688</f><v /></c><c r="M689" s="45" t="n" /><c r="N689" s="45" t="n" /><c r="O689" s="100"><f>O688</f><v /></c><c r="P689" s="328"><f>P688</f><v /></c><c r="Q689" s="11"><f>LEFT(P689,1)</f><v /></c><c r="R689" s="11"><f>RIGHT(P689,6)</f><v /></c><c r="S689" s="11"><f>+(Q689*60+R689)/(60*60)</f><v /></c><c r="T689" s="14"><f>+O689/S689</f><v /></c><c r="U689" s="316"><f>+(((N689-M689-O689)/O689)*100)</f><v /></c><c r="V689" s="329"><f>V688</f><v /></c><c r="W689" s="329"><f>W688</f><v /></c><c r="X689" s="330"><f>X688</f><v /></c><c r="Y689" s="45" t="n" /><c r="Z689" s="45" t="n" /><c r="AA689" s="331"><f>AA688</f><v /></c><c r="AB689" s="332"><f>AB688</f><v /></c><c r="AC689" s="11"><f>LEFT(AB689,2)</f><v /></c><c r="AD689" s="11"><f>RIGHT(AB689,6)</f><v /></c><c r="AE689" s="11"><f>+(AC689*60+AD689)/(60*60)</f><v /></c><c r="AF689" s="14"><f>+AA689/AE689</f><v /></c><c r="AG689" s="321"><f>+(((Z689-Y689-AA689)/AA689)*100)</f><v /></c><c r="AH689" s="329"><f>AH688</f><v /></c><c r="AI689" s="329"><f>AI688</f><v /></c><c r="AJ689" s="329"><f>AJ688</f><v /></c><c r="AK689" s="53"><f>Z689</f><v /></c><c r="AL689" s="45" t="n" /><c r="AM689" s="333"><f>AM688</f><v /></c><c r="AN689" s="328"><f>AN688</f><v /></c><c r="AO689" s="11"><f>LEFT(AN689,2)</f><v /></c><c r="AP689" s="11"><f>RIGHT(AN689,6)</f><v /></c><c r="AQ689" s="11"><f>+(AO689*60+AP689)/(60*60)</f><v /></c><c r="AR689" s="14"><f>+AM689/AQ689</f><v /></c><c r="AS689" s="321"><f>+(((AL689-AK689-AM689)/AM689)*100)</f><v /></c><c r="AT689" s="43"><f>IF(I689&gt;=1,"NO CONFORME",IF(BK689="SIGDIFERENTES",BC689,BL689))</f><v /></c><c r="AU689" s="8"><f>B689=C689</f><v /></c><c r="AV689" s="8"><f>N689&lt;Y689</f><v /></c><c r="AW689" s="8"><f>Z689&lt;=AK689</f><v /></c><c r="AX689" s="8"><f>IF(I689&gt;=1,"Qcorrecto",IF(AND(AY689="aceptable",AZ689="aceptable",BA689="aceptable"),"Qcorrecto","Qincorrecto"))</f><v /></c><c r="AY689" s="22"><f>IF(AR689&lt;$AH$6,"error",IF(AR689&gt;$AH$6*1.1,"error","aceptable"))</f><v /></c><c r="AZ689" s="22"><f>IF(AF689&lt;$V$6,"error",IF(AF689&gt;$V$6*1.1,"error","aceptable"))</f><v /></c><c r="BA689" s="22"><f>IF(T689&lt;$J$6*0.9,"error",IF(T689&gt;$J$6,"error","aceptable"))</f><v /></c><c r="BB689" s="25"><f>(IF(ABS(U689)&lt;1.05,"CONFORME",IF(ABS(AG689)&lt;1.05,"CONFORME",IF(ABS(AS689)&lt;2.55,"CONFORME","NO CONFORME"))))</f><v /></c><c r="BC689" s="5"><f>(IF(ABS(U689)&gt;2.05,"NO CONFORME",IF(ABS(AG689)&gt;2.05,"NO CONFORME",IF(ABS(AS689)&gt;5.05,"NO CONFORME","CONFORME"))))</f><v /></c><c r="BD689" s="15"><f>SIGN(U689)</f><v /></c><c r="BE689" s="15"><f>SIGN(AG689)</f><v /></c><c r="BF689" s="15"><f>SIGN(AS689)</f><v /></c><c r="BG689" s="15"><f>CONCATENATE(BD689,BE689,BF689)</f><v /></c><c r="BH689" s="15"><f>IF(BG689="111","SI","SD")</f><v /></c><c r="BI689" s="15"><f>IF(BG689="-1-1-1","SI","SD")</f><v /></c><c r="BJ689" s="15"><f>OR(BH689="SI",BI689="SI")</f><v /></c><c r="BK689" s="15"><f>IF(BJ689=FALSE,"SIGDIFERENTES","SIGIGUALES")</f><v /></c><c r="BL689" s="22"><f>IF(BC689="NO CONFORME","NO CONFORME",IF(BB689="CONFORME","CONFORME","NO CONFORME"))</f><v /></c></row><row r="690" ht="15.75" customHeight="1" thickBot="1"><c r="A690" s="37" t="n"><v>682</v></c><c r="B690" s="324"><f>B689</f><v /></c><c r="C690" s="324"><f>C689</f><v /></c><c r="D690" s="94"><f>D689</f><v /></c><c r="E690" s="95"><f>E689</f><v /></c><c r="F690" s="13" t="n" /><c r="G690" s="312" t="n" /><c r="H690" s="326"><f>H689</f><v /></c><c r="I690" s="98"><f>I689</f><v /></c><c r="J690" s="327"><f>J689</f><v /></c><c r="K690" s="327"><f>K689</f><v /></c><c r="L690" s="327"><f>L689</f><v /></c><c r="M690" s="45" t="n" /><c r="N690" s="45" t="n" /><c r="O690" s="100"><f>O689</f><v /></c><c r="P690" s="328"><f>P689</f><v /></c><c r="Q690" s="11"><f>LEFT(P690,1)</f><v /></c><c r="R690" s="11"><f>RIGHT(P690,6)</f><v /></c><c r="S690" s="11"><f>+(Q690*60+R690)/(60*60)</f><v /></c><c r="T690" s="14"><f>+O690/S690</f><v /></c><c r="U690" s="316"><f>+(((N690-M690-O690)/O690)*100)</f><v /></c><c r="V690" s="329"><f>V689</f><v /></c><c r="W690" s="329"><f>W689</f><v /></c><c r="X690" s="330"><f>X689</f><v /></c><c r="Y690" s="45" t="n" /><c r="Z690" s="45" t="n" /><c r="AA690" s="331"><f>AA689</f><v /></c><c r="AB690" s="332"><f>AB689</f><v /></c><c r="AC690" s="11"><f>LEFT(AB690,2)</f><v /></c><c r="AD690" s="11"><f>RIGHT(AB690,6)</f><v /></c><c r="AE690" s="11"><f>+(AC690*60+AD690)/(60*60)</f><v /></c><c r="AF690" s="14"><f>+AA690/AE690</f><v /></c><c r="AG690" s="321"><f>+(((Z690-Y690-AA690)/AA690)*100)</f><v /></c><c r="AH690" s="329"><f>AH689</f><v /></c><c r="AI690" s="329"><f>AI689</f><v /></c><c r="AJ690" s="329"><f>AJ689</f><v /></c><c r="AK690" s="53"><f>Z690</f><v /></c><c r="AL690" s="45" t="n" /><c r="AM690" s="333"><f>AM689</f><v /></c><c r="AN690" s="328"><f>AN689</f><v /></c><c r="AO690" s="11"><f>LEFT(AN690,2)</f><v /></c><c r="AP690" s="11"><f>RIGHT(AN690,6)</f><v /></c><c r="AQ690" s="11"><f>+(AO690*60+AP690)/(60*60)</f><v /></c><c r="AR690" s="14"><f>+AM690/AQ690</f><v /></c><c r="AS690" s="321"><f>+(((AL690-AK690-AM690)/AM690)*100)</f><v /></c><c r="AT690" s="43"><f>IF(I690&gt;=1,"NO CONFORME",IF(BK690="SIGDIFERENTES",BC690,BL690))</f><v /></c><c r="AU690" s="8"><f>B690=C690</f><v /></c><c r="AV690" s="8"><f>N690&lt;Y690</f><v /></c><c r="AW690" s="8"><f>Z690&lt;=AK690</f><v /></c><c r="AX690" s="8"><f>IF(I690&gt;=1,"Qcorrecto",IF(AND(AY690="aceptable",AZ690="aceptable",BA690="aceptable"),"Qcorrecto","Qincorrecto"))</f><v /></c><c r="AY690" s="22"><f>IF(AR690&lt;$AH$6,"error",IF(AR690&gt;$AH$6*1.1,"error","aceptable"))</f><v /></c><c r="AZ690" s="22"><f>IF(AF690&lt;$V$6,"error",IF(AF690&gt;$V$6*1.1,"error","aceptable"))</f><v /></c><c r="BA690" s="22"><f>IF(T690&lt;$J$6*0.9,"error",IF(T690&gt;$J$6,"error","aceptable"))</f><v /></c><c r="BB690" s="25"><f>(IF(ABS(U690)&lt;1.05,"CONFORME",IF(ABS(AG690)&lt;1.05,"CONFORME",IF(ABS(AS690)&lt;2.55,"CONFORME","NO CONFORME"))))</f><v /></c><c r="BC690" s="5"><f>(IF(ABS(U690)&gt;2.05,"NO CONFORME",IF(ABS(AG690)&gt;2.05,"NO CONFORME",IF(ABS(AS690)&gt;5.05,"NO CONFORME","CONFORME"))))</f><v /></c><c r="BD690" s="15"><f>SIGN(U690)</f><v /></c><c r="BE690" s="15"><f>SIGN(AG690)</f><v /></c><c r="BF690" s="15"><f>SIGN(AS690)</f><v /></c><c r="BG690" s="15"><f>CONCATENATE(BD690,BE690,BF690)</f><v /></c><c r="BH690" s="15"><f>IF(BG690="111","SI","SD")</f><v /></c><c r="BI690" s="15"><f>IF(BG690="-1-1-1","SI","SD")</f><v /></c><c r="BJ690" s="15"><f>OR(BH690="SI",BI690="SI")</f><v /></c><c r="BK690" s="15"><f>IF(BJ690=FALSE,"SIGDIFERENTES","SIGIGUALES")</f><v /></c><c r="BL690" s="22"><f>IF(BC690="NO CONFORME","NO CONFORME",IF(BB690="CONFORME","CONFORME","NO CONFORME"))</f><v /></c></row><row r="691" ht="15.75" customHeight="1" thickBot="1"><c r="A691" s="37" t="n"><v>683</v></c><c r="B691" s="324"><f>B690</f><v /></c><c r="C691" s="324"><f>C690</f><v /></c><c r="D691" s="94"><f>D690</f><v /></c><c r="E691" s="95"><f>E690</f><v /></c><c r="F691" s="13" t="n" /><c r="G691" s="312" t="n" /><c r="H691" s="326"><f>H690</f><v /></c><c r="I691" s="98"><f>I690</f><v /></c><c r="J691" s="327"><f>J690</f><v /></c><c r="K691" s="327"><f>K690</f><v /></c><c r="L691" s="327"><f>L690</f><v /></c><c r="M691" s="45" t="n" /><c r="N691" s="45" t="n" /><c r="O691" s="100"><f>O690</f><v /></c><c r="P691" s="328"><f>P690</f><v /></c><c r="Q691" s="11"><f>LEFT(P691,1)</f><v /></c><c r="R691" s="11"><f>RIGHT(P691,6)</f><v /></c><c r="S691" s="11"><f>+(Q691*60+R691)/(60*60)</f><v /></c><c r="T691" s="14"><f>+O691/S691</f><v /></c><c r="U691" s="316"><f>+(((N691-M691-O691)/O691)*100)</f><v /></c><c r="V691" s="329"><f>V690</f><v /></c><c r="W691" s="329"><f>W690</f><v /></c><c r="X691" s="330"><f>X690</f><v /></c><c r="Y691" s="45" t="n" /><c r="Z691" s="45" t="n" /><c r="AA691" s="331"><f>AA690</f><v /></c><c r="AB691" s="332"><f>AB690</f><v /></c><c r="AC691" s="11"><f>LEFT(AB691,2)</f><v /></c><c r="AD691" s="11"><f>RIGHT(AB691,6)</f><v /></c><c r="AE691" s="11"><f>+(AC691*60+AD691)/(60*60)</f><v /></c><c r="AF691" s="14"><f>+AA691/AE691</f><v /></c><c r="AG691" s="321"><f>+(((Z691-Y691-AA691)/AA691)*100)</f><v /></c><c r="AH691" s="329"><f>AH690</f><v /></c><c r="AI691" s="329"><f>AI690</f><v /></c><c r="AJ691" s="329"><f>AJ690</f><v /></c><c r="AK691" s="53"><f>Z691</f><v /></c><c r="AL691" s="45" t="n" /><c r="AM691" s="333"><f>AM690</f><v /></c><c r="AN691" s="328"><f>AN690</f><v /></c><c r="AO691" s="11"><f>LEFT(AN691,2)</f><v /></c><c r="AP691" s="11"><f>RIGHT(AN691,6)</f><v /></c><c r="AQ691" s="11"><f>+(AO691*60+AP691)/(60*60)</f><v /></c><c r="AR691" s="14"><f>+AM691/AQ691</f><v /></c><c r="AS691" s="321"><f>+(((AL691-AK691-AM691)/AM691)*100)</f><v /></c><c r="AT691" s="43"><f>IF(I691&gt;=1,"NO CONFORME",IF(BK691="SIGDIFERENTES",BC691,BL691))</f><v /></c><c r="AU691" s="8"><f>B691=C691</f><v /></c><c r="AV691" s="8"><f>N691&lt;Y691</f><v /></c><c r="AW691" s="8"><f>Z691&lt;=AK691</f><v /></c><c r="AX691" s="8"><f>IF(I691&gt;=1,"Qcorrecto",IF(AND(AY691="aceptable",AZ691="aceptable",BA691="aceptable"),"Qcorrecto","Qincorrecto"))</f><v /></c><c r="AY691" s="22"><f>IF(AR691&lt;$AH$6,"error",IF(AR691&gt;$AH$6*1.1,"error","aceptable"))</f><v /></c><c r="AZ691" s="22"><f>IF(AF691&lt;$V$6,"error",IF(AF691&gt;$V$6*1.1,"error","aceptable"))</f><v /></c><c r="BA691" s="22"><f>IF(T691&lt;$J$6*0.9,"error",IF(T691&gt;$J$6,"error","aceptable"))</f><v /></c><c r="BB691" s="25"><f>(IF(ABS(U691)&lt;1.05,"CONFORME",IF(ABS(AG691)&lt;1.05,"CONFORME",IF(ABS(AS691)&lt;2.55,"CONFORME","NO CONFORME"))))</f><v /></c><c r="BC691" s="5"><f>(IF(ABS(U691)&gt;2.05,"NO CONFORME",IF(ABS(AG691)&gt;2.05,"NO CONFORME",IF(ABS(AS691)&gt;5.05,"NO CONFORME","CONFORME"))))</f><v /></c><c r="BD691" s="15"><f>SIGN(U691)</f><v /></c><c r="BE691" s="15"><f>SIGN(AG691)</f><v /></c><c r="BF691" s="15"><f>SIGN(AS691)</f><v /></c><c r="BG691" s="15"><f>CONCATENATE(BD691,BE691,BF691)</f><v /></c><c r="BH691" s="15"><f>IF(BG691="111","SI","SD")</f><v /></c><c r="BI691" s="15"><f>IF(BG691="-1-1-1","SI","SD")</f><v /></c><c r="BJ691" s="15"><f>OR(BH691="SI",BI691="SI")</f><v /></c><c r="BK691" s="15"><f>IF(BJ691=FALSE,"SIGDIFERENTES","SIGIGUALES")</f><v /></c><c r="BL691" s="22"><f>IF(BC691="NO CONFORME","NO CONFORME",IF(BB691="CONFORME","CONFORME","NO CONFORME"))</f><v /></c></row><row r="692" ht="15.75" customHeight="1" thickBot="1"><c r="A692" s="37" t="n"><v>684</v></c><c r="B692" s="324"><f>B691</f><v /></c><c r="C692" s="324"><f>C691</f><v /></c><c r="D692" s="94"><f>D691</f><v /></c><c r="E692" s="95"><f>E691</f><v /></c><c r="F692" s="13" t="n" /><c r="G692" s="312" t="n" /><c r="H692" s="326"><f>H691</f><v /></c><c r="I692" s="98"><f>I691</f><v /></c><c r="J692" s="327"><f>J691</f><v /></c><c r="K692" s="327"><f>K691</f><v /></c><c r="L692" s="327"><f>L691</f><v /></c><c r="M692" s="45" t="n" /><c r="N692" s="45" t="n" /><c r="O692" s="100"><f>O691</f><v /></c><c r="P692" s="328"><f>P691</f><v /></c><c r="Q692" s="11"><f>LEFT(P692,1)</f><v /></c><c r="R692" s="11"><f>RIGHT(P692,6)</f><v /></c><c r="S692" s="11"><f>+(Q692*60+R692)/(60*60)</f><v /></c><c r="T692" s="14"><f>+O692/S692</f><v /></c><c r="U692" s="316"><f>+(((N692-M692-O692)/O692)*100)</f><v /></c><c r="V692" s="329"><f>V691</f><v /></c><c r="W692" s="329"><f>W691</f><v /></c><c r="X692" s="330"><f>X691</f><v /></c><c r="Y692" s="45" t="n" /><c r="Z692" s="45" t="n" /><c r="AA692" s="331"><f>AA691</f><v /></c><c r="AB692" s="332"><f>AB691</f><v /></c><c r="AC692" s="11"><f>LEFT(AB692,2)</f><v /></c><c r="AD692" s="11"><f>RIGHT(AB692,6)</f><v /></c><c r="AE692" s="11"><f>+(AC692*60+AD692)/(60*60)</f><v /></c><c r="AF692" s="14"><f>+AA692/AE692</f><v /></c><c r="AG692" s="321"><f>+(((Z692-Y692-AA692)/AA692)*100)</f><v /></c><c r="AH692" s="329"><f>AH691</f><v /></c><c r="AI692" s="329"><f>AI691</f><v /></c><c r="AJ692" s="329"><f>AJ691</f><v /></c><c r="AK692" s="53"><f>Z692</f><v /></c><c r="AL692" s="45" t="n" /><c r="AM692" s="333"><f>AM691</f><v /></c><c r="AN692" s="328"><f>AN691</f><v /></c><c r="AO692" s="11"><f>LEFT(AN692,2)</f><v /></c><c r="AP692" s="11"><f>RIGHT(AN692,6)</f><v /></c><c r="AQ692" s="11"><f>+(AO692*60+AP692)/(60*60)</f><v /></c><c r="AR692" s="14"><f>+AM692/AQ692</f><v /></c><c r="AS692" s="321"><f>+(((AL692-AK692-AM692)/AM692)*100)</f><v /></c><c r="AT692" s="43"><f>IF(I692&gt;=1,"NO CONFORME",IF(BK692="SIGDIFERENTES",BC692,BL692))</f><v /></c><c r="AU692" s="8"><f>B692=C692</f><v /></c><c r="AV692" s="8"><f>N692&lt;Y692</f><v /></c><c r="AW692" s="8"><f>Z692&lt;=AK692</f><v /></c><c r="AX692" s="8"><f>IF(I692&gt;=1,"Qcorrecto",IF(AND(AY692="aceptable",AZ692="aceptable",BA692="aceptable"),"Qcorrecto","Qincorrecto"))</f><v /></c><c r="AY692" s="22"><f>IF(AR692&lt;$AH$6,"error",IF(AR692&gt;$AH$6*1.1,"error","aceptable"))</f><v /></c><c r="AZ692" s="22"><f>IF(AF692&lt;$V$6,"error",IF(AF692&gt;$V$6*1.1,"error","aceptable"))</f><v /></c><c r="BA692" s="22"><f>IF(T692&lt;$J$6*0.9,"error",IF(T692&gt;$J$6,"error","aceptable"))</f><v /></c><c r="BB692" s="25"><f>(IF(ABS(U692)&lt;1.05,"CONFORME",IF(ABS(AG692)&lt;1.05,"CONFORME",IF(ABS(AS692)&lt;2.55,"CONFORME","NO CONFORME"))))</f><v /></c><c r="BC692" s="5"><f>(IF(ABS(U692)&gt;2.05,"NO CONFORME",IF(ABS(AG692)&gt;2.05,"NO CONFORME",IF(ABS(AS692)&gt;5.05,"NO CONFORME","CONFORME"))))</f><v /></c><c r="BD692" s="15"><f>SIGN(U692)</f><v /></c><c r="BE692" s="15"><f>SIGN(AG692)</f><v /></c><c r="BF692" s="15"><f>SIGN(AS692)</f><v /></c><c r="BG692" s="15"><f>CONCATENATE(BD692,BE692,BF692)</f><v /></c><c r="BH692" s="15"><f>IF(BG692="111","SI","SD")</f><v /></c><c r="BI692" s="15"><f>IF(BG692="-1-1-1","SI","SD")</f><v /></c><c r="BJ692" s="15"><f>OR(BH692="SI",BI692="SI")</f><v /></c><c r="BK692" s="15"><f>IF(BJ692=FALSE,"SIGDIFERENTES","SIGIGUALES")</f><v /></c><c r="BL692" s="22"><f>IF(BC692="NO CONFORME","NO CONFORME",IF(BB692="CONFORME","CONFORME","NO CONFORME"))</f><v /></c></row><row r="693" ht="15.75" customHeight="1" thickBot="1"><c r="A693" s="37" t="n"><v>685</v></c><c r="B693" s="324"><f>B692</f><v /></c><c r="C693" s="324"><f>C692</f><v /></c><c r="D693" s="94"><f>D692</f><v /></c><c r="E693" s="95"><f>E692</f><v /></c><c r="F693" s="13" t="n" /><c r="G693" s="312" t="n" /><c r="H693" s="326"><f>H692</f><v /></c><c r="I693" s="98"><f>I692</f><v /></c><c r="J693" s="327"><f>J692</f><v /></c><c r="K693" s="327"><f>K692</f><v /></c><c r="L693" s="327"><f>L692</f><v /></c><c r="M693" s="45" t="n" /><c r="N693" s="45" t="n" /><c r="O693" s="100"><f>O692</f><v /></c><c r="P693" s="328"><f>P692</f><v /></c><c r="Q693" s="11"><f>LEFT(P693,1)</f><v /></c><c r="R693" s="11"><f>RIGHT(P693,6)</f><v /></c><c r="S693" s="11"><f>+(Q693*60+R693)/(60*60)</f><v /></c><c r="T693" s="14"><f>+O693/S693</f><v /></c><c r="U693" s="316"><f>+(((N693-M693-O693)/O693)*100)</f><v /></c><c r="V693" s="329"><f>V692</f><v /></c><c r="W693" s="329"><f>W692</f><v /></c><c r="X693" s="330"><f>X692</f><v /></c><c r="Y693" s="45" t="n" /><c r="Z693" s="45" t="n" /><c r="AA693" s="331"><f>AA692</f><v /></c><c r="AB693" s="332"><f>AB692</f><v /></c><c r="AC693" s="11"><f>LEFT(AB693,2)</f><v /></c><c r="AD693" s="11"><f>RIGHT(AB693,6)</f><v /></c><c r="AE693" s="11"><f>+(AC693*60+AD693)/(60*60)</f><v /></c><c r="AF693" s="14"><f>+AA693/AE693</f><v /></c><c r="AG693" s="321"><f>+(((Z693-Y693-AA693)/AA693)*100)</f><v /></c><c r="AH693" s="329"><f>AH692</f><v /></c><c r="AI693" s="329"><f>AI692</f><v /></c><c r="AJ693" s="329"><f>AJ692</f><v /></c><c r="AK693" s="53"><f>Z693</f><v /></c><c r="AL693" s="45" t="n" /><c r="AM693" s="333"><f>AM692</f><v /></c><c r="AN693" s="328"><f>AN692</f><v /></c><c r="AO693" s="11"><f>LEFT(AN693,2)</f><v /></c><c r="AP693" s="11"><f>RIGHT(AN693,6)</f><v /></c><c r="AQ693" s="11"><f>+(AO693*60+AP693)/(60*60)</f><v /></c><c r="AR693" s="14"><f>+AM693/AQ693</f><v /></c><c r="AS693" s="321"><f>+(((AL693-AK693-AM693)/AM693)*100)</f><v /></c><c r="AT693" s="43"><f>IF(I693&gt;=1,"NO CONFORME",IF(BK693="SIGDIFERENTES",BC693,BL693))</f><v /></c><c r="AU693" s="8"><f>B693=C693</f><v /></c><c r="AV693" s="8"><f>N693&lt;Y693</f><v /></c><c r="AW693" s="8"><f>Z693&lt;=AK693</f><v /></c><c r="AX693" s="8"><f>IF(I693&gt;=1,"Qcorrecto",IF(AND(AY693="aceptable",AZ693="aceptable",BA693="aceptable"),"Qcorrecto","Qincorrecto"))</f><v /></c><c r="AY693" s="22"><f>IF(AR693&lt;$AH$6,"error",IF(AR693&gt;$AH$6*1.1,"error","aceptable"))</f><v /></c><c r="AZ693" s="22"><f>IF(AF693&lt;$V$6,"error",IF(AF693&gt;$V$6*1.1,"error","aceptable"))</f><v /></c><c r="BA693" s="22"><f>IF(T693&lt;$J$6*0.9,"error",IF(T693&gt;$J$6,"error","aceptable"))</f><v /></c><c r="BB693" s="25"><f>(IF(ABS(U693)&lt;1.05,"CONFORME",IF(ABS(AG693)&lt;1.05,"CONFORME",IF(ABS(AS693)&lt;2.55,"CONFORME","NO CONFORME"))))</f><v /></c><c r="BC693" s="5"><f>(IF(ABS(U693)&gt;2.05,"NO CONFORME",IF(ABS(AG693)&gt;2.05,"NO CONFORME",IF(ABS(AS693)&gt;5.05,"NO CONFORME","CONFORME"))))</f><v /></c><c r="BD693" s="15"><f>SIGN(U693)</f><v /></c><c r="BE693" s="15"><f>SIGN(AG693)</f><v /></c><c r="BF693" s="15"><f>SIGN(AS693)</f><v /></c><c r="BG693" s="15"><f>CONCATENATE(BD693,BE693,BF693)</f><v /></c><c r="BH693" s="15"><f>IF(BG693="111","SI","SD")</f><v /></c><c r="BI693" s="15"><f>IF(BG693="-1-1-1","SI","SD")</f><v /></c><c r="BJ693" s="15"><f>OR(BH693="SI",BI693="SI")</f><v /></c><c r="BK693" s="15"><f>IF(BJ693=FALSE,"SIGDIFERENTES","SIGIGUALES")</f><v /></c><c r="BL693" s="22"><f>IF(BC693="NO CONFORME","NO CONFORME",IF(BB693="CONFORME","CONFORME","NO CONFORME"))</f><v /></c></row><row r="694" ht="15.75" customHeight="1" thickBot="1"><c r="A694" s="37" t="n"><v>686</v></c><c r="B694" s="324"><f>B693</f><v /></c><c r="C694" s="324"><f>C693</f><v /></c><c r="D694" s="94"><f>D693</f><v /></c><c r="E694" s="95"><f>E693</f><v /></c><c r="F694" s="13" t="n" /><c r="G694" s="312" t="n" /><c r="H694" s="326"><f>H693</f><v /></c><c r="I694" s="98"><f>I693</f><v /></c><c r="J694" s="327"><f>J693</f><v /></c><c r="K694" s="327"><f>K693</f><v /></c><c r="L694" s="327"><f>L693</f><v /></c><c r="M694" s="45" t="n" /><c r="N694" s="45" t="n" /><c r="O694" s="100"><f>O693</f><v /></c><c r="P694" s="328"><f>P693</f><v /></c><c r="Q694" s="11"><f>LEFT(P694,1)</f><v /></c><c r="R694" s="11"><f>RIGHT(P694,6)</f><v /></c><c r="S694" s="11"><f>+(Q694*60+R694)/(60*60)</f><v /></c><c r="T694" s="14"><f>+O694/S694</f><v /></c><c r="U694" s="316"><f>+(((N694-M694-O694)/O694)*100)</f><v /></c><c r="V694" s="329"><f>V693</f><v /></c><c r="W694" s="329"><f>W693</f><v /></c><c r="X694" s="330"><f>X693</f><v /></c><c r="Y694" s="45" t="n" /><c r="Z694" s="45" t="n" /><c r="AA694" s="331"><f>AA693</f><v /></c><c r="AB694" s="332"><f>AB693</f><v /></c><c r="AC694" s="11"><f>LEFT(AB694,2)</f><v /></c><c r="AD694" s="11"><f>RIGHT(AB694,6)</f><v /></c><c r="AE694" s="11"><f>+(AC694*60+AD694)/(60*60)</f><v /></c><c r="AF694" s="14"><f>+AA694/AE694</f><v /></c><c r="AG694" s="321"><f>+(((Z694-Y694-AA694)/AA694)*100)</f><v /></c><c r="AH694" s="329"><f>AH693</f><v /></c><c r="AI694" s="329"><f>AI693</f><v /></c><c r="AJ694" s="329"><f>AJ693</f><v /></c><c r="AK694" s="53"><f>Z694</f><v /></c><c r="AL694" s="45" t="n" /><c r="AM694" s="333"><f>AM693</f><v /></c><c r="AN694" s="328"><f>AN693</f><v /></c><c r="AO694" s="11"><f>LEFT(AN694,2)</f><v /></c><c r="AP694" s="11"><f>RIGHT(AN694,6)</f><v /></c><c r="AQ694" s="11"><f>+(AO694*60+AP694)/(60*60)</f><v /></c><c r="AR694" s="14"><f>+AM694/AQ694</f><v /></c><c r="AS694" s="321"><f>+(((AL694-AK694-AM694)/AM694)*100)</f><v /></c><c r="AT694" s="43"><f>IF(I694&gt;=1,"NO CONFORME",IF(BK694="SIGDIFERENTES",BC694,BL694))</f><v /></c><c r="AU694" s="8"><f>B694=C694</f><v /></c><c r="AV694" s="8"><f>N694&lt;Y694</f><v /></c><c r="AW694" s="8"><f>Z694&lt;=AK694</f><v /></c><c r="AX694" s="8"><f>IF(I694&gt;=1,"Qcorrecto",IF(AND(AY694="aceptable",AZ694="aceptable",BA694="aceptable"),"Qcorrecto","Qincorrecto"))</f><v /></c><c r="AY694" s="22"><f>IF(AR694&lt;$AH$6,"error",IF(AR694&gt;$AH$6*1.1,"error","aceptable"))</f><v /></c><c r="AZ694" s="22"><f>IF(AF694&lt;$V$6,"error",IF(AF694&gt;$V$6*1.1,"error","aceptable"))</f><v /></c><c r="BA694" s="22"><f>IF(T694&lt;$J$6*0.9,"error",IF(T694&gt;$J$6,"error","aceptable"))</f><v /></c><c r="BB694" s="25"><f>(IF(ABS(U694)&lt;1.05,"CONFORME",IF(ABS(AG694)&lt;1.05,"CONFORME",IF(ABS(AS694)&lt;2.55,"CONFORME","NO CONFORME"))))</f><v /></c><c r="BC694" s="5"><f>(IF(ABS(U694)&gt;2.05,"NO CONFORME",IF(ABS(AG694)&gt;2.05,"NO CONFORME",IF(ABS(AS694)&gt;5.05,"NO CONFORME","CONFORME"))))</f><v /></c><c r="BD694" s="15"><f>SIGN(U694)</f><v /></c><c r="BE694" s="15"><f>SIGN(AG694)</f><v /></c><c r="BF694" s="15"><f>SIGN(AS694)</f><v /></c><c r="BG694" s="15"><f>CONCATENATE(BD694,BE694,BF694)</f><v /></c><c r="BH694" s="15"><f>IF(BG694="111","SI","SD")</f><v /></c><c r="BI694" s="15"><f>IF(BG694="-1-1-1","SI","SD")</f><v /></c><c r="BJ694" s="15"><f>OR(BH694="SI",BI694="SI")</f><v /></c><c r="BK694" s="15"><f>IF(BJ694=FALSE,"SIGDIFERENTES","SIGIGUALES")</f><v /></c><c r="BL694" s="22"><f>IF(BC694="NO CONFORME","NO CONFORME",IF(BB694="CONFORME","CONFORME","NO CONFORME"))</f><v /></c></row><row r="695" ht="15.75" customHeight="1" thickBot="1"><c r="A695" s="37" t="n"><v>687</v></c><c r="B695" s="324"><f>B694</f><v /></c><c r="C695" s="324"><f>C694</f><v /></c><c r="D695" s="94"><f>D694</f><v /></c><c r="E695" s="95"><f>E694</f><v /></c><c r="F695" s="13" t="n" /><c r="G695" s="312" t="n" /><c r="H695" s="326"><f>H694</f><v /></c><c r="I695" s="98"><f>I694</f><v /></c><c r="J695" s="327"><f>J694</f><v /></c><c r="K695" s="327"><f>K694</f><v /></c><c r="L695" s="327"><f>L694</f><v /></c><c r="M695" s="45" t="n" /><c r="N695" s="45" t="n" /><c r="O695" s="100"><f>O694</f><v /></c><c r="P695" s="328"><f>P694</f><v /></c><c r="Q695" s="11"><f>LEFT(P695,1)</f><v /></c><c r="R695" s="11"><f>RIGHT(P695,6)</f><v /></c><c r="S695" s="11"><f>+(Q695*60+R695)/(60*60)</f><v /></c><c r="T695" s="14"><f>+O695/S695</f><v /></c><c r="U695" s="316"><f>+(((N695-M695-O695)/O695)*100)</f><v /></c><c r="V695" s="329"><f>V694</f><v /></c><c r="W695" s="329"><f>W694</f><v /></c><c r="X695" s="330"><f>X694</f><v /></c><c r="Y695" s="45" t="n" /><c r="Z695" s="45" t="n" /><c r="AA695" s="331"><f>AA694</f><v /></c><c r="AB695" s="332"><f>AB694</f><v /></c><c r="AC695" s="11"><f>LEFT(AB695,2)</f><v /></c><c r="AD695" s="11"><f>RIGHT(AB695,6)</f><v /></c><c r="AE695" s="11"><f>+(AC695*60+AD695)/(60*60)</f><v /></c><c r="AF695" s="14"><f>+AA695/AE695</f><v /></c><c r="AG695" s="321"><f>+(((Z695-Y695-AA695)/AA695)*100)</f><v /></c><c r="AH695" s="329"><f>AH694</f><v /></c><c r="AI695" s="329"><f>AI694</f><v /></c><c r="AJ695" s="329"><f>AJ694</f><v /></c><c r="AK695" s="53"><f>Z695</f><v /></c><c r="AL695" s="45" t="n" /><c r="AM695" s="333"><f>AM694</f><v /></c><c r="AN695" s="328"><f>AN694</f><v /></c><c r="AO695" s="11"><f>LEFT(AN695,2)</f><v /></c><c r="AP695" s="11"><f>RIGHT(AN695,6)</f><v /></c><c r="AQ695" s="11"><f>+(AO695*60+AP695)/(60*60)</f><v /></c><c r="AR695" s="14"><f>+AM695/AQ695</f><v /></c><c r="AS695" s="321"><f>+(((AL695-AK695-AM695)/AM695)*100)</f><v /></c><c r="AT695" s="43"><f>IF(I695&gt;=1,"NO CONFORME",IF(BK695="SIGDIFERENTES",BC695,BL695))</f><v /></c><c r="AU695" s="8"><f>B695=C695</f><v /></c><c r="AV695" s="8"><f>N695&lt;Y695</f><v /></c><c r="AW695" s="8"><f>Z695&lt;=AK695</f><v /></c><c r="AX695" s="8"><f>IF(I695&gt;=1,"Qcorrecto",IF(AND(AY695="aceptable",AZ695="aceptable",BA695="aceptable"),"Qcorrecto","Qincorrecto"))</f><v /></c><c r="AY695" s="22"><f>IF(AR695&lt;$AH$6,"error",IF(AR695&gt;$AH$6*1.1,"error","aceptable"))</f><v /></c><c r="AZ695" s="22"><f>IF(AF695&lt;$V$6,"error",IF(AF695&gt;$V$6*1.1,"error","aceptable"))</f><v /></c><c r="BA695" s="22"><f>IF(T695&lt;$J$6*0.9,"error",IF(T695&gt;$J$6,"error","aceptable"))</f><v /></c><c r="BB695" s="25"><f>(IF(ABS(U695)&lt;1.05,"CONFORME",IF(ABS(AG695)&lt;1.05,"CONFORME",IF(ABS(AS695)&lt;2.55,"CONFORME","NO CONFORME"))))</f><v /></c><c r="BC695" s="5"><f>(IF(ABS(U695)&gt;2.05,"NO CONFORME",IF(ABS(AG695)&gt;2.05,"NO CONFORME",IF(ABS(AS695)&gt;5.05,"NO CONFORME","CONFORME"))))</f><v /></c><c r="BD695" s="15"><f>SIGN(U695)</f><v /></c><c r="BE695" s="15"><f>SIGN(AG695)</f><v /></c><c r="BF695" s="15"><f>SIGN(AS695)</f><v /></c><c r="BG695" s="15"><f>CONCATENATE(BD695,BE695,BF695)</f><v /></c><c r="BH695" s="15"><f>IF(BG695="111","SI","SD")</f><v /></c><c r="BI695" s="15"><f>IF(BG695="-1-1-1","SI","SD")</f><v /></c><c r="BJ695" s="15"><f>OR(BH695="SI",BI695="SI")</f><v /></c><c r="BK695" s="15"><f>IF(BJ695=FALSE,"SIGDIFERENTES","SIGIGUALES")</f><v /></c><c r="BL695" s="22"><f>IF(BC695="NO CONFORME","NO CONFORME",IF(BB695="CONFORME","CONFORME","NO CONFORME"))</f><v /></c></row><row r="696" ht="15.75" customHeight="1" thickBot="1"><c r="A696" s="37" t="n"><v>688</v></c><c r="B696" s="324"><f>B695</f><v /></c><c r="C696" s="324"><f>C695</f><v /></c><c r="D696" s="94"><f>D695</f><v /></c><c r="E696" s="95"><f>E695</f><v /></c><c r="F696" s="13" t="n" /><c r="G696" s="312" t="n" /><c r="H696" s="326"><f>H695</f><v /></c><c r="I696" s="98"><f>I695</f><v /></c><c r="J696" s="327"><f>J695</f><v /></c><c r="K696" s="327"><f>K695</f><v /></c><c r="L696" s="327"><f>L695</f><v /></c><c r="M696" s="45" t="n" /><c r="N696" s="45" t="n" /><c r="O696" s="100"><f>O695</f><v /></c><c r="P696" s="328"><f>P695</f><v /></c><c r="Q696" s="11"><f>LEFT(P696,1)</f><v /></c><c r="R696" s="11"><f>RIGHT(P696,6)</f><v /></c><c r="S696" s="11"><f>+(Q696*60+R696)/(60*60)</f><v /></c><c r="T696" s="14"><f>+O696/S696</f><v /></c><c r="U696" s="316"><f>+(((N696-M696-O696)/O696)*100)</f><v /></c><c r="V696" s="329"><f>V695</f><v /></c><c r="W696" s="329"><f>W695</f><v /></c><c r="X696" s="330"><f>X695</f><v /></c><c r="Y696" s="45" t="n" /><c r="Z696" s="45" t="n" /><c r="AA696" s="331"><f>AA695</f><v /></c><c r="AB696" s="332"><f>AB695</f><v /></c><c r="AC696" s="11"><f>LEFT(AB696,2)</f><v /></c><c r="AD696" s="11"><f>RIGHT(AB696,6)</f><v /></c><c r="AE696" s="11"><f>+(AC696*60+AD696)/(60*60)</f><v /></c><c r="AF696" s="14"><f>+AA696/AE696</f><v /></c><c r="AG696" s="321"><f>+(((Z696-Y696-AA696)/AA696)*100)</f><v /></c><c r="AH696" s="329"><f>AH695</f><v /></c><c r="AI696" s="329"><f>AI695</f><v /></c><c r="AJ696" s="329"><f>AJ695</f><v /></c><c r="AK696" s="53"><f>Z696</f><v /></c><c r="AL696" s="45" t="n" /><c r="AM696" s="333"><f>AM695</f><v /></c><c r="AN696" s="328"><f>AN695</f><v /></c><c r="AO696" s="11"><f>LEFT(AN696,2)</f><v /></c><c r="AP696" s="11"><f>RIGHT(AN696,6)</f><v /></c><c r="AQ696" s="11"><f>+(AO696*60+AP696)/(60*60)</f><v /></c><c r="AR696" s="14"><f>+AM696/AQ696</f><v /></c><c r="AS696" s="321"><f>+(((AL696-AK696-AM696)/AM696)*100)</f><v /></c><c r="AT696" s="43"><f>IF(I696&gt;=1,"NO CONFORME",IF(BK696="SIGDIFERENTES",BC696,BL696))</f><v /></c><c r="AU696" s="8"><f>B696=C696</f><v /></c><c r="AV696" s="8"><f>N696&lt;Y696</f><v /></c><c r="AW696" s="8"><f>Z696&lt;=AK696</f><v /></c><c r="AX696" s="8"><f>IF(I696&gt;=1,"Qcorrecto",IF(AND(AY696="aceptable",AZ696="aceptable",BA696="aceptable"),"Qcorrecto","Qincorrecto"))</f><v /></c><c r="AY696" s="22"><f>IF(AR696&lt;$AH$6,"error",IF(AR696&gt;$AH$6*1.1,"error","aceptable"))</f><v /></c><c r="AZ696" s="22"><f>IF(AF696&lt;$V$6,"error",IF(AF696&gt;$V$6*1.1,"error","aceptable"))</f><v /></c><c r="BA696" s="22"><f>IF(T696&lt;$J$6*0.9,"error",IF(T696&gt;$J$6,"error","aceptable"))</f><v /></c><c r="BB696" s="25"><f>(IF(ABS(U696)&lt;1.05,"CONFORME",IF(ABS(AG696)&lt;1.05,"CONFORME",IF(ABS(AS696)&lt;2.55,"CONFORME","NO CONFORME"))))</f><v /></c><c r="BC696" s="5"><f>(IF(ABS(U696)&gt;2.05,"NO CONFORME",IF(ABS(AG696)&gt;2.05,"NO CONFORME",IF(ABS(AS696)&gt;5.05,"NO CONFORME","CONFORME"))))</f><v /></c><c r="BD696" s="15"><f>SIGN(U696)</f><v /></c><c r="BE696" s="15"><f>SIGN(AG696)</f><v /></c><c r="BF696" s="15"><f>SIGN(AS696)</f><v /></c><c r="BG696" s="15"><f>CONCATENATE(BD696,BE696,BF696)</f><v /></c><c r="BH696" s="15"><f>IF(BG696="111","SI","SD")</f><v /></c><c r="BI696" s="15"><f>IF(BG696="-1-1-1","SI","SD")</f><v /></c><c r="BJ696" s="15"><f>OR(BH696="SI",BI696="SI")</f><v /></c><c r="BK696" s="15"><f>IF(BJ696=FALSE,"SIGDIFERENTES","SIGIGUALES")</f><v /></c><c r="BL696" s="22"><f>IF(BC696="NO CONFORME","NO CONFORME",IF(BB696="CONFORME","CONFORME","NO CONFORME"))</f><v /></c></row><row r="697" ht="15.75" customHeight="1" thickBot="1"><c r="A697" s="37" t="n"><v>689</v></c><c r="B697" s="324"><f>B696</f><v /></c><c r="C697" s="324"><f>C696</f><v /></c><c r="D697" s="94"><f>D696</f><v /></c><c r="E697" s="95"><f>E696</f><v /></c><c r="F697" s="13" t="n" /><c r="G697" s="312" t="n" /><c r="H697" s="326"><f>H696</f><v /></c><c r="I697" s="98"><f>I696</f><v /></c><c r="J697" s="327"><f>J696</f><v /></c><c r="K697" s="327"><f>K696</f><v /></c><c r="L697" s="327"><f>L696</f><v /></c><c r="M697" s="45" t="n" /><c r="N697" s="45" t="n" /><c r="O697" s="100"><f>O696</f><v /></c><c r="P697" s="328"><f>P696</f><v /></c><c r="Q697" s="11"><f>LEFT(P697,1)</f><v /></c><c r="R697" s="11"><f>RIGHT(P697,6)</f><v /></c><c r="S697" s="11"><f>+(Q697*60+R697)/(60*60)</f><v /></c><c r="T697" s="14"><f>+O697/S697</f><v /></c><c r="U697" s="316"><f>+(((N697-M697-O697)/O697)*100)</f><v /></c><c r="V697" s="329"><f>V696</f><v /></c><c r="W697" s="329"><f>W696</f><v /></c><c r="X697" s="330"><f>X696</f><v /></c><c r="Y697" s="45" t="n" /><c r="Z697" s="45" t="n" /><c r="AA697" s="331"><f>AA696</f><v /></c><c r="AB697" s="332"><f>AB696</f><v /></c><c r="AC697" s="11"><f>LEFT(AB697,2)</f><v /></c><c r="AD697" s="11"><f>RIGHT(AB697,6)</f><v /></c><c r="AE697" s="11"><f>+(AC697*60+AD697)/(60*60)</f><v /></c><c r="AF697" s="14"><f>+AA697/AE697</f><v /></c><c r="AG697" s="321"><f>+(((Z697-Y697-AA697)/AA697)*100)</f><v /></c><c r="AH697" s="329"><f>AH696</f><v /></c><c r="AI697" s="329"><f>AI696</f><v /></c><c r="AJ697" s="329"><f>AJ696</f><v /></c><c r="AK697" s="53"><f>Z697</f><v /></c><c r="AL697" s="45" t="n" /><c r="AM697" s="333"><f>AM696</f><v /></c><c r="AN697" s="328"><f>AN696</f><v /></c><c r="AO697" s="11"><f>LEFT(AN697,2)</f><v /></c><c r="AP697" s="11"><f>RIGHT(AN697,6)</f><v /></c><c r="AQ697" s="11"><f>+(AO697*60+AP697)/(60*60)</f><v /></c><c r="AR697" s="14"><f>+AM697/AQ697</f><v /></c><c r="AS697" s="321"><f>+(((AL697-AK697-AM697)/AM697)*100)</f><v /></c><c r="AT697" s="43"><f>IF(I697&gt;=1,"NO CONFORME",IF(BK697="SIGDIFERENTES",BC697,BL697))</f><v /></c><c r="AU697" s="8"><f>B697=C697</f><v /></c><c r="AV697" s="8"><f>N697&lt;Y697</f><v /></c><c r="AW697" s="8"><f>Z697&lt;=AK697</f><v /></c><c r="AX697" s="8"><f>IF(I697&gt;=1,"Qcorrecto",IF(AND(AY697="aceptable",AZ697="aceptable",BA697="aceptable"),"Qcorrecto","Qincorrecto"))</f><v /></c><c r="AY697" s="22"><f>IF(AR697&lt;$AH$6,"error",IF(AR697&gt;$AH$6*1.1,"error","aceptable"))</f><v /></c><c r="AZ697" s="22"><f>IF(AF697&lt;$V$6,"error",IF(AF697&gt;$V$6*1.1,"error","aceptable"))</f><v /></c><c r="BA697" s="22"><f>IF(T697&lt;$J$6*0.9,"error",IF(T697&gt;$J$6,"error","aceptable"))</f><v /></c><c r="BB697" s="25"><f>(IF(ABS(U697)&lt;1.05,"CONFORME",IF(ABS(AG697)&lt;1.05,"CONFORME",IF(ABS(AS697)&lt;2.55,"CONFORME","NO CONFORME"))))</f><v /></c><c r="BC697" s="5"><f>(IF(ABS(U697)&gt;2.05,"NO CONFORME",IF(ABS(AG697)&gt;2.05,"NO CONFORME",IF(ABS(AS697)&gt;5.05,"NO CONFORME","CONFORME"))))</f><v /></c><c r="BD697" s="15"><f>SIGN(U697)</f><v /></c><c r="BE697" s="15"><f>SIGN(AG697)</f><v /></c><c r="BF697" s="15"><f>SIGN(AS697)</f><v /></c><c r="BG697" s="15"><f>CONCATENATE(BD697,BE697,BF697)</f><v /></c><c r="BH697" s="15"><f>IF(BG697="111","SI","SD")</f><v /></c><c r="BI697" s="15"><f>IF(BG697="-1-1-1","SI","SD")</f><v /></c><c r="BJ697" s="15"><f>OR(BH697="SI",BI697="SI")</f><v /></c><c r="BK697" s="15"><f>IF(BJ697=FALSE,"SIGDIFERENTES","SIGIGUALES")</f><v /></c><c r="BL697" s="22"><f>IF(BC697="NO CONFORME","NO CONFORME",IF(BB697="CONFORME","CONFORME","NO CONFORME"))</f><v /></c></row><row r="698" ht="15.75" customHeight="1" thickBot="1"><c r="A698" s="37" t="n"><v>690</v></c><c r="B698" s="324"><f>B697</f><v /></c><c r="C698" s="324"><f>C697</f><v /></c><c r="D698" s="94"><f>D697</f><v /></c><c r="E698" s="95"><f>E697</f><v /></c><c r="F698" s="52" t="n" /><c r="G698" s="325" t="n" /><c r="H698" s="326"><f>H697</f><v /></c><c r="I698" s="98"><f>I697</f><v /></c><c r="J698" s="327"><f>J697</f><v /></c><c r="K698" s="327"><f>K697</f><v /></c><c r="L698" s="327"><f>L697</f><v /></c><c r="M698" s="53" t="n" /><c r="N698" s="53" t="n" /><c r="O698" s="100"><f>O697</f><v /></c><c r="P698" s="328"><f>P697</f><v /></c><c r="Q698" s="11"><f>LEFT(P698,1)</f><v /></c><c r="R698" s="11"><f>RIGHT(P698,6)</f><v /></c><c r="S698" s="11"><f>+(Q698*60+R698)/(60*60)</f><v /></c><c r="T698" s="14"><f>+O698/S698</f><v /></c><c r="U698" s="316"><f>+(((N698-M698-O698)/O698)*100)</f><v /></c><c r="V698" s="329"><f>V697</f><v /></c><c r="W698" s="329"><f>W697</f><v /></c><c r="X698" s="330"><f>X697</f><v /></c><c r="Y698" s="53" t="n" /><c r="Z698" s="53" t="n" /><c r="AA698" s="331"><f>AA697</f><v /></c><c r="AB698" s="332"><f>AB697</f><v /></c><c r="AC698" s="11"><f>LEFT(AB698,2)</f><v /></c><c r="AD698" s="11"><f>RIGHT(AB698,6)</f><v /></c><c r="AE698" s="11"><f>+(AC698*60+AD698)/(60*60)</f><v /></c><c r="AF698" s="14"><f>+AA698/AE698</f><v /></c><c r="AG698" s="321"><f>+(((Z698-Y698-AA698)/AA698)*100)</f><v /></c><c r="AH698" s="329"><f>AH697</f><v /></c><c r="AI698" s="329"><f>AI697</f><v /></c><c r="AJ698" s="329"><f>AJ697</f><v /></c><c r="AK698" s="53"><f>Z698</f><v /></c><c r="AL698" s="53" t="n" /><c r="AM698" s="333"><f>AM697</f><v /></c><c r="AN698" s="328"><f>AN697</f><v /></c><c r="AO698" s="11"><f>LEFT(AN698,2)</f><v /></c><c r="AP698" s="11"><f>RIGHT(AN698,6)</f><v /></c><c r="AQ698" s="11"><f>+(AO698*60+AP698)/(60*60)</f><v /></c><c r="AR698" s="14"><f>+AM698/AQ698</f><v /></c><c r="AS698" s="321"><f>+(((AL698-AK698-AM698)/AM698)*100)</f><v /></c><c r="AT698" s="43"><f>IF(I698&gt;=1,"NO CONFORME",IF(BK698="SIGDIFERENTES",BC698,BL698))</f><v /></c><c r="AU698" s="8"><f>B698=C698</f><v /></c><c r="AV698" s="8"><f>N698&lt;Y698</f><v /></c><c r="AW698" s="8"><f>Z698&lt;=AK698</f><v /></c><c r="AX698" s="8"><f>IF(I698&gt;=1,"Qcorrecto",IF(AND(AY698="aceptable",AZ698="aceptable",BA698="aceptable"),"Qcorrecto","Qincorrecto"))</f><v /></c><c r="AY698" s="22"><f>IF(AR698&lt;$AH$6,"error",IF(AR698&gt;$AH$6*1.1,"error","aceptable"))</f><v /></c><c r="AZ698" s="22"><f>IF(AF698&lt;$V$6,"error",IF(AF698&gt;$V$6*1.1,"error","aceptable"))</f><v /></c><c r="BA698" s="22"><f>IF(T698&lt;$J$6*0.9,"error",IF(T698&gt;$J$6,"error","aceptable"))</f><v /></c><c r="BB698" s="25"><f>(IF(ABS(U698)&lt;1.05,"CONFORME",IF(ABS(AG698)&lt;1.05,"CONFORME",IF(ABS(AS698)&lt;2.55,"CONFORME","NO CONFORME"))))</f><v /></c><c r="BC698" s="5"><f>(IF(ABS(U698)&gt;2.05,"NO CONFORME",IF(ABS(AG698)&gt;2.05,"NO CONFORME",IF(ABS(AS698)&gt;5.05,"NO CONFORME","CONFORME"))))</f><v /></c><c r="BD698" s="15"><f>SIGN(U698)</f><v /></c><c r="BE698" s="15"><f>SIGN(AG698)</f><v /></c><c r="BF698" s="15"><f>SIGN(AS698)</f><v /></c><c r="BG698" s="15"><f>CONCATENATE(BD698,BE698,BF698)</f><v /></c><c r="BH698" s="15"><f>IF(BG698="111","SI","SD")</f><v /></c><c r="BI698" s="15"><f>IF(BG698="-1-1-1","SI","SD")</f><v /></c><c r="BJ698" s="15"><f>OR(BH698="SI",BI698="SI")</f><v /></c><c r="BK698" s="15"><f>IF(BJ698=FALSE,"SIGDIFERENTES","SIGIGUALES")</f><v /></c><c r="BL698" s="22"><f>IF(BC698="NO CONFORME","NO CONFORME",IF(BB698="CONFORME","CONFORME","NO CONFORME"))</f><v /></c></row><row r="699" ht="15.75" customHeight="1" thickBot="1"><c r="A699" s="37" t="n"><v>691</v></c><c r="B699" s="324"><f>B698</f><v /></c><c r="C699" s="324"><f>C698</f><v /></c><c r="D699" s="94"><f>D698</f><v /></c><c r="E699" s="95"><f>E698</f><v /></c><c r="F699" s="58" t="n" /><c r="G699" s="300" t="n" /><c r="H699" s="326"><f>H698</f><v /></c><c r="I699" s="98"><f>I698</f><v /></c><c r="J699" s="327"><f>J698</f><v /></c><c r="K699" s="327"><f>K698</f><v /></c><c r="L699" s="327"><f>L698</f><v /></c><c r="M699" s="59" t="n" /><c r="N699" s="59" t="n" /><c r="O699" s="100"><f>O698</f><v /></c><c r="P699" s="328"><f>P698</f><v /></c><c r="Q699" s="11"><f>LEFT(P699,1)</f><v /></c><c r="R699" s="11"><f>RIGHT(P699,6)</f><v /></c><c r="S699" s="11"><f>+(Q699*60+R699)/(60*60)</f><v /></c><c r="T699" s="14"><f>+O699/S699</f><v /></c><c r="U699" s="316"><f>+(((N699-M699-O699)/O699)*100)</f><v /></c><c r="V699" s="329"><f>V698</f><v /></c><c r="W699" s="329"><f>W698</f><v /></c><c r="X699" s="330"><f>X698</f><v /></c><c r="Y699" s="59" t="n" /><c r="Z699" s="59" t="n" /><c r="AA699" s="331"><f>AA698</f><v /></c><c r="AB699" s="332"><f>AB698</f><v /></c><c r="AC699" s="11"><f>LEFT(AB699,2)</f><v /></c><c r="AD699" s="11"><f>RIGHT(AB699,6)</f><v /></c><c r="AE699" s="11"><f>+(AC699*60+AD699)/(60*60)</f><v /></c><c r="AF699" s="14"><f>+AA699/AE699</f><v /></c><c r="AG699" s="321"><f>+(((Z699-Y699-AA699)/AA699)*100)</f><v /></c><c r="AH699" s="329"><f>AH698</f><v /></c><c r="AI699" s="329"><f>AI698</f><v /></c><c r="AJ699" s="329"><f>AJ698</f><v /></c><c r="AK699" s="53"><f>Z699</f><v /></c><c r="AL699" s="59" t="n" /><c r="AM699" s="333"><f>AM698</f><v /></c><c r="AN699" s="328"><f>AN698</f><v /></c><c r="AO699" s="11"><f>LEFT(AN699,2)</f><v /></c><c r="AP699" s="11"><f>RIGHT(AN699,6)</f><v /></c><c r="AQ699" s="11"><f>+(AO699*60+AP699)/(60*60)</f><v /></c><c r="AR699" s="14"><f>+AM699/AQ699</f><v /></c><c r="AS699" s="321"><f>+(((AL699-AK699-AM699)/AM699)*100)</f><v /></c><c r="AT699" s="43"><f>IF(I699&gt;=1,"NO CONFORME",IF(BK699="SIGDIFERENTES",BC699,BL699))</f><v /></c><c r="AU699" s="8"><f>B699=C699</f><v /></c><c r="AV699" s="8"><f>N699&lt;Y699</f><v /></c><c r="AW699" s="8"><f>Z699&lt;=AK699</f><v /></c><c r="AX699" s="8"><f>IF(I699&gt;=1,"Qcorrecto",IF(AND(AY699="aceptable",AZ699="aceptable",BA699="aceptable"),"Qcorrecto","Qincorrecto"))</f><v /></c><c r="AY699" s="22"><f>IF(AR699&lt;$AH$6,"error",IF(AR699&gt;$AH$6*1.1,"error","aceptable"))</f><v /></c><c r="AZ699" s="22"><f>IF(AF699&lt;$V$6,"error",IF(AF699&gt;$V$6*1.1,"error","aceptable"))</f><v /></c><c r="BA699" s="22"><f>IF(T699&lt;$J$6*0.9,"error",IF(T699&gt;$J$6,"error","aceptable"))</f><v /></c><c r="BB699" s="25"><f>(IF(ABS(U699)&lt;1.05,"CONFORME",IF(ABS(AG699)&lt;1.05,"CONFORME",IF(ABS(AS699)&lt;2.55,"CONFORME","NO CONFORME"))))</f><v /></c><c r="BC699" s="5"><f>(IF(ABS(U699)&gt;2.05,"NO CONFORME",IF(ABS(AG699)&gt;2.05,"NO CONFORME",IF(ABS(AS699)&gt;5.05,"NO CONFORME","CONFORME"))))</f><v /></c><c r="BD699" s="15"><f>SIGN(U699)</f><v /></c><c r="BE699" s="15"><f>SIGN(AG699)</f><v /></c><c r="BF699" s="15"><f>SIGN(AS699)</f><v /></c><c r="BG699" s="15"><f>CONCATENATE(BD699,BE699,BF699)</f><v /></c><c r="BH699" s="15"><f>IF(BG699="111","SI","SD")</f><v /></c><c r="BI699" s="15"><f>IF(BG699="-1-1-1","SI","SD")</f><v /></c><c r="BJ699" s="15"><f>OR(BH699="SI",BI699="SI")</f><v /></c><c r="BK699" s="15"><f>IF(BJ699=FALSE,"SIGDIFERENTES","SIGIGUALES")</f><v /></c><c r="BL699" s="22"><f>IF(BC699="NO CONFORME","NO CONFORME",IF(BB699="CONFORME","CONFORME","NO CONFORME"))</f><v /></c></row><row r="700" ht="15.75" customHeight="1" thickBot="1"><c r="A700" s="37" t="n"><v>692</v></c><c r="B700" s="324"><f>B699</f><v /></c><c r="C700" s="324"><f>C699</f><v /></c><c r="D700" s="94"><f>D699</f><v /></c><c r="E700" s="95"><f>E699</f><v /></c><c r="F700" s="13" t="n" /><c r="G700" s="312" t="n" /><c r="H700" s="326"><f>H699</f><v /></c><c r="I700" s="98"><f>I699</f><v /></c><c r="J700" s="327"><f>J699</f><v /></c><c r="K700" s="327"><f>K699</f><v /></c><c r="L700" s="327"><f>L699</f><v /></c><c r="M700" s="45" t="n" /><c r="N700" s="45" t="n" /><c r="O700" s="100"><f>O699</f><v /></c><c r="P700" s="328"><f>P699</f><v /></c><c r="Q700" s="11"><f>LEFT(P700,1)</f><v /></c><c r="R700" s="11"><f>RIGHT(P700,6)</f><v /></c><c r="S700" s="11"><f>+(Q700*60+R700)/(60*60)</f><v /></c><c r="T700" s="14"><f>+O700/S700</f><v /></c><c r="U700" s="316"><f>+(((N700-M700-O700)/O700)*100)</f><v /></c><c r="V700" s="329"><f>V699</f><v /></c><c r="W700" s="329"><f>W699</f><v /></c><c r="X700" s="330"><f>X699</f><v /></c><c r="Y700" s="45" t="n" /><c r="Z700" s="45" t="n" /><c r="AA700" s="331"><f>AA699</f><v /></c><c r="AB700" s="332"><f>AB699</f><v /></c><c r="AC700" s="11"><f>LEFT(AB700,2)</f><v /></c><c r="AD700" s="11"><f>RIGHT(AB700,6)</f><v /></c><c r="AE700" s="11"><f>+(AC700*60+AD700)/(60*60)</f><v /></c><c r="AF700" s="14"><f>+AA700/AE700</f><v /></c><c r="AG700" s="321"><f>+(((Z700-Y700-AA700)/AA700)*100)</f><v /></c><c r="AH700" s="329"><f>AH699</f><v /></c><c r="AI700" s="329"><f>AI699</f><v /></c><c r="AJ700" s="329"><f>AJ699</f><v /></c><c r="AK700" s="53"><f>Z700</f><v /></c><c r="AL700" s="45" t="n" /><c r="AM700" s="333"><f>AM699</f><v /></c><c r="AN700" s="328"><f>AN699</f><v /></c><c r="AO700" s="11"><f>LEFT(AN700,2)</f><v /></c><c r="AP700" s="11"><f>RIGHT(AN700,6)</f><v /></c><c r="AQ700" s="11"><f>+(AO700*60+AP700)/(60*60)</f><v /></c><c r="AR700" s="14"><f>+AM700/AQ700</f><v /></c><c r="AS700" s="321"><f>+(((AL700-AK700-AM700)/AM700)*100)</f><v /></c><c r="AT700" s="43"><f>IF(I700&gt;=1,"NO CONFORME",IF(BK700="SIGDIFERENTES",BC700,BL700))</f><v /></c><c r="AU700" s="8"><f>B700=C700</f><v /></c><c r="AV700" s="8"><f>N700&lt;Y700</f><v /></c><c r="AW700" s="8"><f>Z700&lt;=AK700</f><v /></c><c r="AX700" s="8"><f>IF(I700&gt;=1,"Qcorrecto",IF(AND(AY700="aceptable",AZ700="aceptable",BA700="aceptable"),"Qcorrecto","Qincorrecto"))</f><v /></c><c r="AY700" s="22"><f>IF(AR700&lt;$AH$6,"error",IF(AR700&gt;$AH$6*1.1,"error","aceptable"))</f><v /></c><c r="AZ700" s="22"><f>IF(AF700&lt;$V$6,"error",IF(AF700&gt;$V$6*1.1,"error","aceptable"))</f><v /></c><c r="BA700" s="22"><f>IF(T700&lt;$J$6*0.9,"error",IF(T700&gt;$J$6,"error","aceptable"))</f><v /></c><c r="BB700" s="25"><f>(IF(ABS(U700)&lt;1.05,"CONFORME",IF(ABS(AG700)&lt;1.05,"CONFORME",IF(ABS(AS700)&lt;2.55,"CONFORME","NO CONFORME"))))</f><v /></c><c r="BC700" s="5"><f>(IF(ABS(U700)&gt;2.05,"NO CONFORME",IF(ABS(AG700)&gt;2.05,"NO CONFORME",IF(ABS(AS700)&gt;5.05,"NO CONFORME","CONFORME"))))</f><v /></c><c r="BD700" s="15"><f>SIGN(U700)</f><v /></c><c r="BE700" s="15"><f>SIGN(AG700)</f><v /></c><c r="BF700" s="15"><f>SIGN(AS700)</f><v /></c><c r="BG700" s="15"><f>CONCATENATE(BD700,BE700,BF700)</f><v /></c><c r="BH700" s="15"><f>IF(BG700="111","SI","SD")</f><v /></c><c r="BI700" s="15"><f>IF(BG700="-1-1-1","SI","SD")</f><v /></c><c r="BJ700" s="15"><f>OR(BH700="SI",BI700="SI")</f><v /></c><c r="BK700" s="15"><f>IF(BJ700=FALSE,"SIGDIFERENTES","SIGIGUALES")</f><v /></c><c r="BL700" s="22"><f>IF(BC700="NO CONFORME","NO CONFORME",IF(BB700="CONFORME","CONFORME","NO CONFORME"))</f><v /></c></row><row r="701" ht="15.75" customHeight="1" thickBot="1"><c r="A701" s="37" t="n"><v>693</v></c><c r="B701" s="324"><f>B700</f><v /></c><c r="C701" s="324"><f>C700</f><v /></c><c r="D701" s="94"><f>D700</f><v /></c><c r="E701" s="95"><f>E700</f><v /></c><c r="F701" s="13" t="n" /><c r="G701" s="312" t="n" /><c r="H701" s="326"><f>H700</f><v /></c><c r="I701" s="98"><f>I700</f><v /></c><c r="J701" s="327"><f>J700</f><v /></c><c r="K701" s="327"><f>K700</f><v /></c><c r="L701" s="327"><f>L700</f><v /></c><c r="M701" s="45" t="n" /><c r="N701" s="45" t="n" /><c r="O701" s="100"><f>O700</f><v /></c><c r="P701" s="328"><f>P700</f><v /></c><c r="Q701" s="11"><f>LEFT(P701,1)</f><v /></c><c r="R701" s="11"><f>RIGHT(P701,6)</f><v /></c><c r="S701" s="11"><f>+(Q701*60+R701)/(60*60)</f><v /></c><c r="T701" s="14"><f>+O701/S701</f><v /></c><c r="U701" s="316"><f>+(((N701-M701-O701)/O701)*100)</f><v /></c><c r="V701" s="329"><f>V700</f><v /></c><c r="W701" s="329"><f>W700</f><v /></c><c r="X701" s="330"><f>X700</f><v /></c><c r="Y701" s="45" t="n" /><c r="Z701" s="45" t="n" /><c r="AA701" s="331"><f>AA700</f><v /></c><c r="AB701" s="332"><f>AB700</f><v /></c><c r="AC701" s="11"><f>LEFT(AB701,2)</f><v /></c><c r="AD701" s="11"><f>RIGHT(AB701,6)</f><v /></c><c r="AE701" s="11"><f>+(AC701*60+AD701)/(60*60)</f><v /></c><c r="AF701" s="14"><f>+AA701/AE701</f><v /></c><c r="AG701" s="321"><f>+(((Z701-Y701-AA701)/AA701)*100)</f><v /></c><c r="AH701" s="329"><f>AH700</f><v /></c><c r="AI701" s="329"><f>AI700</f><v /></c><c r="AJ701" s="329"><f>AJ700</f><v /></c><c r="AK701" s="53"><f>Z701</f><v /></c><c r="AL701" s="45" t="n" /><c r="AM701" s="333"><f>AM700</f><v /></c><c r="AN701" s="328"><f>AN700</f><v /></c><c r="AO701" s="11"><f>LEFT(AN701,2)</f><v /></c><c r="AP701" s="11"><f>RIGHT(AN701,6)</f><v /></c><c r="AQ701" s="11"><f>+(AO701*60+AP701)/(60*60)</f><v /></c><c r="AR701" s="14"><f>+AM701/AQ701</f><v /></c><c r="AS701" s="321"><f>+(((AL701-AK701-AM701)/AM701)*100)</f><v /></c><c r="AT701" s="43"><f>IF(I701&gt;=1,"NO CONFORME",IF(BK701="SIGDIFERENTES",BC701,BL701))</f><v /></c><c r="AU701" s="8"><f>B701=C701</f><v /></c><c r="AV701" s="8"><f>N701&lt;Y701</f><v /></c><c r="AW701" s="8"><f>Z701&lt;=AK701</f><v /></c><c r="AX701" s="8"><f>IF(I701&gt;=1,"Qcorrecto",IF(AND(AY701="aceptable",AZ701="aceptable",BA701="aceptable"),"Qcorrecto","Qincorrecto"))</f><v /></c><c r="AY701" s="22"><f>IF(AR701&lt;$AH$6,"error",IF(AR701&gt;$AH$6*1.1,"error","aceptable"))</f><v /></c><c r="AZ701" s="22"><f>IF(AF701&lt;$V$6,"error",IF(AF701&gt;$V$6*1.1,"error","aceptable"))</f><v /></c><c r="BA701" s="22"><f>IF(T701&lt;$J$6*0.9,"error",IF(T701&gt;$J$6,"error","aceptable"))</f><v /></c><c r="BB701" s="25"><f>(IF(ABS(U701)&lt;1.05,"CONFORME",IF(ABS(AG701)&lt;1.05,"CONFORME",IF(ABS(AS701)&lt;2.55,"CONFORME","NO CONFORME"))))</f><v /></c><c r="BC701" s="5"><f>(IF(ABS(U701)&gt;2.05,"NO CONFORME",IF(ABS(AG701)&gt;2.05,"NO CONFORME",IF(ABS(AS701)&gt;5.05,"NO CONFORME","CONFORME"))))</f><v /></c><c r="BD701" s="15"><f>SIGN(U701)</f><v /></c><c r="BE701" s="15"><f>SIGN(AG701)</f><v /></c><c r="BF701" s="15"><f>SIGN(AS701)</f><v /></c><c r="BG701" s="15"><f>CONCATENATE(BD701,BE701,BF701)</f><v /></c><c r="BH701" s="15"><f>IF(BG701="111","SI","SD")</f><v /></c><c r="BI701" s="15"><f>IF(BG701="-1-1-1","SI","SD")</f><v /></c><c r="BJ701" s="15"><f>OR(BH701="SI",BI701="SI")</f><v /></c><c r="BK701" s="15"><f>IF(BJ701=FALSE,"SIGDIFERENTES","SIGIGUALES")</f><v /></c><c r="BL701" s="22"><f>IF(BC701="NO CONFORME","NO CONFORME",IF(BB701="CONFORME","CONFORME","NO CONFORME"))</f><v /></c></row><row r="702" ht="15.75" customHeight="1" thickBot="1"><c r="A702" s="37" t="n"><v>694</v></c><c r="B702" s="324"><f>B701</f><v /></c><c r="C702" s="324"><f>C701</f><v /></c><c r="D702" s="94"><f>D701</f><v /></c><c r="E702" s="95"><f>E701</f><v /></c><c r="F702" s="13" t="n" /><c r="G702" s="312" t="n" /><c r="H702" s="326"><f>H701</f><v /></c><c r="I702" s="98"><f>I701</f><v /></c><c r="J702" s="327"><f>J701</f><v /></c><c r="K702" s="327"><f>K701</f><v /></c><c r="L702" s="327"><f>L701</f><v /></c><c r="M702" s="45" t="n" /><c r="N702" s="45" t="n" /><c r="O702" s="100"><f>O701</f><v /></c><c r="P702" s="328"><f>P701</f><v /></c><c r="Q702" s="11"><f>LEFT(P702,1)</f><v /></c><c r="R702" s="11"><f>RIGHT(P702,6)</f><v /></c><c r="S702" s="11"><f>+(Q702*60+R702)/(60*60)</f><v /></c><c r="T702" s="14"><f>+O702/S702</f><v /></c><c r="U702" s="316"><f>+(((N702-M702-O702)/O702)*100)</f><v /></c><c r="V702" s="329"><f>V701</f><v /></c><c r="W702" s="329"><f>W701</f><v /></c><c r="X702" s="330"><f>X701</f><v /></c><c r="Y702" s="45" t="n" /><c r="Z702" s="45" t="n" /><c r="AA702" s="331"><f>AA701</f><v /></c><c r="AB702" s="332"><f>AB701</f><v /></c><c r="AC702" s="11"><f>LEFT(AB702,2)</f><v /></c><c r="AD702" s="11"><f>RIGHT(AB702,6)</f><v /></c><c r="AE702" s="11"><f>+(AC702*60+AD702)/(60*60)</f><v /></c><c r="AF702" s="14"><f>+AA702/AE702</f><v /></c><c r="AG702" s="321"><f>+(((Z702-Y702-AA702)/AA702)*100)</f><v /></c><c r="AH702" s="329"><f>AH701</f><v /></c><c r="AI702" s="329"><f>AI701</f><v /></c><c r="AJ702" s="329"><f>AJ701</f><v /></c><c r="AK702" s="53"><f>Z702</f><v /></c><c r="AL702" s="45" t="n" /><c r="AM702" s="333"><f>AM701</f><v /></c><c r="AN702" s="328"><f>AN701</f><v /></c><c r="AO702" s="11"><f>LEFT(AN702,2)</f><v /></c><c r="AP702" s="11"><f>RIGHT(AN702,6)</f><v /></c><c r="AQ702" s="11"><f>+(AO702*60+AP702)/(60*60)</f><v /></c><c r="AR702" s="14"><f>+AM702/AQ702</f><v /></c><c r="AS702" s="321"><f>+(((AL702-AK702-AM702)/AM702)*100)</f><v /></c><c r="AT702" s="43"><f>IF(I702&gt;=1,"NO CONFORME",IF(BK702="SIGDIFERENTES",BC702,BL702))</f><v /></c><c r="AU702" s="8"><f>B702=C702</f><v /></c><c r="AV702" s="8"><f>N702&lt;Y702</f><v /></c><c r="AW702" s="8"><f>Z702&lt;=AK702</f><v /></c><c r="AX702" s="8"><f>IF(I702&gt;=1,"Qcorrecto",IF(AND(AY702="aceptable",AZ702="aceptable",BA702="aceptable"),"Qcorrecto","Qincorrecto"))</f><v /></c><c r="AY702" s="22"><f>IF(AR702&lt;$AH$6,"error",IF(AR702&gt;$AH$6*1.1,"error","aceptable"))</f><v /></c><c r="AZ702" s="22"><f>IF(AF702&lt;$V$6,"error",IF(AF702&gt;$V$6*1.1,"error","aceptable"))</f><v /></c><c r="BA702" s="22"><f>IF(T702&lt;$J$6*0.9,"error",IF(T702&gt;$J$6,"error","aceptable"))</f><v /></c><c r="BB702" s="25"><f>(IF(ABS(U702)&lt;1.05,"CONFORME",IF(ABS(AG702)&lt;1.05,"CONFORME",IF(ABS(AS702)&lt;2.55,"CONFORME","NO CONFORME"))))</f><v /></c><c r="BC702" s="5"><f>(IF(ABS(U702)&gt;2.05,"NO CONFORME",IF(ABS(AG702)&gt;2.05,"NO CONFORME",IF(ABS(AS702)&gt;5.05,"NO CONFORME","CONFORME"))))</f><v /></c><c r="BD702" s="15"><f>SIGN(U702)</f><v /></c><c r="BE702" s="15"><f>SIGN(AG702)</f><v /></c><c r="BF702" s="15"><f>SIGN(AS702)</f><v /></c><c r="BG702" s="15"><f>CONCATENATE(BD702,BE702,BF702)</f><v /></c><c r="BH702" s="15"><f>IF(BG702="111","SI","SD")</f><v /></c><c r="BI702" s="15"><f>IF(BG702="-1-1-1","SI","SD")</f><v /></c><c r="BJ702" s="15"><f>OR(BH702="SI",BI702="SI")</f><v /></c><c r="BK702" s="15"><f>IF(BJ702=FALSE,"SIGDIFERENTES","SIGIGUALES")</f><v /></c><c r="BL702" s="22"><f>IF(BC702="NO CONFORME","NO CONFORME",IF(BB702="CONFORME","CONFORME","NO CONFORME"))</f><v /></c></row><row r="703" ht="15.75" customHeight="1" thickBot="1"><c r="A703" s="37" t="n"><v>695</v></c><c r="B703" s="324"><f>B702</f><v /></c><c r="C703" s="324"><f>C702</f><v /></c><c r="D703" s="94"><f>D702</f><v /></c><c r="E703" s="95"><f>E702</f><v /></c><c r="F703" s="13" t="n" /><c r="G703" s="312" t="n" /><c r="H703" s="326"><f>H702</f><v /></c><c r="I703" s="98"><f>I702</f><v /></c><c r="J703" s="327"><f>J702</f><v /></c><c r="K703" s="327"><f>K702</f><v /></c><c r="L703" s="327"><f>L702</f><v /></c><c r="M703" s="45" t="n" /><c r="N703" s="45" t="n" /><c r="O703" s="100"><f>O702</f><v /></c><c r="P703" s="328"><f>P702</f><v /></c><c r="Q703" s="11"><f>LEFT(P703,1)</f><v /></c><c r="R703" s="11"><f>RIGHT(P703,6)</f><v /></c><c r="S703" s="11"><f>+(Q703*60+R703)/(60*60)</f><v /></c><c r="T703" s="14"><f>+O703/S703</f><v /></c><c r="U703" s="316"><f>+(((N703-M703-O703)/O703)*100)</f><v /></c><c r="V703" s="329"><f>V702</f><v /></c><c r="W703" s="329"><f>W702</f><v /></c><c r="X703" s="330"><f>X702</f><v /></c><c r="Y703" s="45" t="n" /><c r="Z703" s="45" t="n" /><c r="AA703" s="331"><f>AA702</f><v /></c><c r="AB703" s="332"><f>AB702</f><v /></c><c r="AC703" s="11"><f>LEFT(AB703,2)</f><v /></c><c r="AD703" s="11"><f>RIGHT(AB703,6)</f><v /></c><c r="AE703" s="11"><f>+(AC703*60+AD703)/(60*60)</f><v /></c><c r="AF703" s="14"><f>+AA703/AE703</f><v /></c><c r="AG703" s="321"><f>+(((Z703-Y703-AA703)/AA703)*100)</f><v /></c><c r="AH703" s="329"><f>AH702</f><v /></c><c r="AI703" s="329"><f>AI702</f><v /></c><c r="AJ703" s="329"><f>AJ702</f><v /></c><c r="AK703" s="53"><f>Z703</f><v /></c><c r="AL703" s="45" t="n" /><c r="AM703" s="333"><f>AM702</f><v /></c><c r="AN703" s="328"><f>AN702</f><v /></c><c r="AO703" s="11"><f>LEFT(AN703,2)</f><v /></c><c r="AP703" s="11"><f>RIGHT(AN703,6)</f><v /></c><c r="AQ703" s="11"><f>+(AO703*60+AP703)/(60*60)</f><v /></c><c r="AR703" s="14"><f>+AM703/AQ703</f><v /></c><c r="AS703" s="321"><f>+(((AL703-AK703-AM703)/AM703)*100)</f><v /></c><c r="AT703" s="43"><f>IF(I703&gt;=1,"NO CONFORME",IF(BK703="SIGDIFERENTES",BC703,BL703))</f><v /></c><c r="AU703" s="8"><f>B703=C703</f><v /></c><c r="AV703" s="8"><f>N703&lt;Y703</f><v /></c><c r="AW703" s="8"><f>Z703&lt;=AK703</f><v /></c><c r="AX703" s="8"><f>IF(I703&gt;=1,"Qcorrecto",IF(AND(AY703="aceptable",AZ703="aceptable",BA703="aceptable"),"Qcorrecto","Qincorrecto"))</f><v /></c><c r="AY703" s="22"><f>IF(AR703&lt;$AH$6,"error",IF(AR703&gt;$AH$6*1.1,"error","aceptable"))</f><v /></c><c r="AZ703" s="22"><f>IF(AF703&lt;$V$6,"error",IF(AF703&gt;$V$6*1.1,"error","aceptable"))</f><v /></c><c r="BA703" s="22"><f>IF(T703&lt;$J$6*0.9,"error",IF(T703&gt;$J$6,"error","aceptable"))</f><v /></c><c r="BB703" s="25"><f>(IF(ABS(U703)&lt;1.05,"CONFORME",IF(ABS(AG703)&lt;1.05,"CONFORME",IF(ABS(AS703)&lt;2.55,"CONFORME","NO CONFORME"))))</f><v /></c><c r="BC703" s="5"><f>(IF(ABS(U703)&gt;2.05,"NO CONFORME",IF(ABS(AG703)&gt;2.05,"NO CONFORME",IF(ABS(AS703)&gt;5.05,"NO CONFORME","CONFORME"))))</f><v /></c><c r="BD703" s="15"><f>SIGN(U703)</f><v /></c><c r="BE703" s="15"><f>SIGN(AG703)</f><v /></c><c r="BF703" s="15"><f>SIGN(AS703)</f><v /></c><c r="BG703" s="15"><f>CONCATENATE(BD703,BE703,BF703)</f><v /></c><c r="BH703" s="15"><f>IF(BG703="111","SI","SD")</f><v /></c><c r="BI703" s="15"><f>IF(BG703="-1-1-1","SI","SD")</f><v /></c><c r="BJ703" s="15"><f>OR(BH703="SI",BI703="SI")</f><v /></c><c r="BK703" s="15"><f>IF(BJ703=FALSE,"SIGDIFERENTES","SIGIGUALES")</f><v /></c><c r="BL703" s="22"><f>IF(BC703="NO CONFORME","NO CONFORME",IF(BB703="CONFORME","CONFORME","NO CONFORME"))</f><v /></c></row><row r="704" ht="15.75" customHeight="1" thickBot="1"><c r="A704" s="37" t="n"><v>696</v></c><c r="B704" s="324"><f>B703</f><v /></c><c r="C704" s="324"><f>C703</f><v /></c><c r="D704" s="94"><f>D703</f><v /></c><c r="E704" s="95"><f>E703</f><v /></c><c r="F704" s="13" t="n" /><c r="G704" s="312" t="n" /><c r="H704" s="326"><f>H703</f><v /></c><c r="I704" s="98"><f>I703</f><v /></c><c r="J704" s="327"><f>J703</f><v /></c><c r="K704" s="327"><f>K703</f><v /></c><c r="L704" s="327"><f>L703</f><v /></c><c r="M704" s="45" t="n" /><c r="N704" s="45" t="n" /><c r="O704" s="100"><f>O703</f><v /></c><c r="P704" s="328"><f>P703</f><v /></c><c r="Q704" s="11"><f>LEFT(P704,1)</f><v /></c><c r="R704" s="11"><f>RIGHT(P704,6)</f><v /></c><c r="S704" s="11"><f>+(Q704*60+R704)/(60*60)</f><v /></c><c r="T704" s="14"><f>+O704/S704</f><v /></c><c r="U704" s="316"><f>+(((N704-M704-O704)/O704)*100)</f><v /></c><c r="V704" s="329"><f>V703</f><v /></c><c r="W704" s="329"><f>W703</f><v /></c><c r="X704" s="330"><f>X703</f><v /></c><c r="Y704" s="45" t="n" /><c r="Z704" s="45" t="n" /><c r="AA704" s="331"><f>AA703</f><v /></c><c r="AB704" s="332"><f>AB703</f><v /></c><c r="AC704" s="11"><f>LEFT(AB704,2)</f><v /></c><c r="AD704" s="11"><f>RIGHT(AB704,6)</f><v /></c><c r="AE704" s="11"><f>+(AC704*60+AD704)/(60*60)</f><v /></c><c r="AF704" s="14"><f>+AA704/AE704</f><v /></c><c r="AG704" s="321"><f>+(((Z704-Y704-AA704)/AA704)*100)</f><v /></c><c r="AH704" s="329"><f>AH703</f><v /></c><c r="AI704" s="329"><f>AI703</f><v /></c><c r="AJ704" s="329"><f>AJ703</f><v /></c><c r="AK704" s="53"><f>Z704</f><v /></c><c r="AL704" s="45" t="n" /><c r="AM704" s="333"><f>AM703</f><v /></c><c r="AN704" s="328"><f>AN703</f><v /></c><c r="AO704" s="11"><f>LEFT(AN704,2)</f><v /></c><c r="AP704" s="11"><f>RIGHT(AN704,6)</f><v /></c><c r="AQ704" s="11"><f>+(AO704*60+AP704)/(60*60)</f><v /></c><c r="AR704" s="14"><f>+AM704/AQ704</f><v /></c><c r="AS704" s="321"><f>+(((AL704-AK704-AM704)/AM704)*100)</f><v /></c><c r="AT704" s="43"><f>IF(I704&gt;=1,"NO CONFORME",IF(BK704="SIGDIFERENTES",BC704,BL704))</f><v /></c><c r="AU704" s="8"><f>B704=C704</f><v /></c><c r="AV704" s="8"><f>N704&lt;Y704</f><v /></c><c r="AW704" s="8"><f>Z704&lt;=AK704</f><v /></c><c r="AX704" s="8"><f>IF(I704&gt;=1,"Qcorrecto",IF(AND(AY704="aceptable",AZ704="aceptable",BA704="aceptable"),"Qcorrecto","Qincorrecto"))</f><v /></c><c r="AY704" s="22"><f>IF(AR704&lt;$AH$6,"error",IF(AR704&gt;$AH$6*1.1,"error","aceptable"))</f><v /></c><c r="AZ704" s="22"><f>IF(AF704&lt;$V$6,"error",IF(AF704&gt;$V$6*1.1,"error","aceptable"))</f><v /></c><c r="BA704" s="22"><f>IF(T704&lt;$J$6*0.9,"error",IF(T704&gt;$J$6,"error","aceptable"))</f><v /></c><c r="BB704" s="25"><f>(IF(ABS(U704)&lt;1.05,"CONFORME",IF(ABS(AG704)&lt;1.05,"CONFORME",IF(ABS(AS704)&lt;2.55,"CONFORME","NO CONFORME"))))</f><v /></c><c r="BC704" s="5"><f>(IF(ABS(U704)&gt;2.05,"NO CONFORME",IF(ABS(AG704)&gt;2.05,"NO CONFORME",IF(ABS(AS704)&gt;5.05,"NO CONFORME","CONFORME"))))</f><v /></c><c r="BD704" s="15"><f>SIGN(U704)</f><v /></c><c r="BE704" s="15"><f>SIGN(AG704)</f><v /></c><c r="BF704" s="15"><f>SIGN(AS704)</f><v /></c><c r="BG704" s="15"><f>CONCATENATE(BD704,BE704,BF704)</f><v /></c><c r="BH704" s="15"><f>IF(BG704="111","SI","SD")</f><v /></c><c r="BI704" s="15"><f>IF(BG704="-1-1-1","SI","SD")</f><v /></c><c r="BJ704" s="15"><f>OR(BH704="SI",BI704="SI")</f><v /></c><c r="BK704" s="15"><f>IF(BJ704=FALSE,"SIGDIFERENTES","SIGIGUALES")</f><v /></c><c r="BL704" s="22"><f>IF(BC704="NO CONFORME","NO CONFORME",IF(BB704="CONFORME","CONFORME","NO CONFORME"))</f><v /></c></row><row r="705" ht="15.75" customHeight="1" thickBot="1"><c r="A705" s="37" t="n"><v>697</v></c><c r="B705" s="324"><f>B704</f><v /></c><c r="C705" s="324"><f>C704</f><v /></c><c r="D705" s="94"><f>D704</f><v /></c><c r="E705" s="95"><f>E704</f><v /></c><c r="F705" s="13" t="n" /><c r="G705" s="312" t="n" /><c r="H705" s="326"><f>H704</f><v /></c><c r="I705" s="98"><f>I704</f><v /></c><c r="J705" s="327"><f>J704</f><v /></c><c r="K705" s="327"><f>K704</f><v /></c><c r="L705" s="327"><f>L704</f><v /></c><c r="M705" s="45" t="n" /><c r="N705" s="45" t="n" /><c r="O705" s="100"><f>O704</f><v /></c><c r="P705" s="328"><f>P704</f><v /></c><c r="Q705" s="11"><f>LEFT(P705,1)</f><v /></c><c r="R705" s="11"><f>RIGHT(P705,6)</f><v /></c><c r="S705" s="11"><f>+(Q705*60+R705)/(60*60)</f><v /></c><c r="T705" s="14"><f>+O705/S705</f><v /></c><c r="U705" s="316"><f>+(((N705-M705-O705)/O705)*100)</f><v /></c><c r="V705" s="329"><f>V704</f><v /></c><c r="W705" s="329"><f>W704</f><v /></c><c r="X705" s="330"><f>X704</f><v /></c><c r="Y705" s="45" t="n" /><c r="Z705" s="45" t="n" /><c r="AA705" s="331"><f>AA704</f><v /></c><c r="AB705" s="332"><f>AB704</f><v /></c><c r="AC705" s="11"><f>LEFT(AB705,2)</f><v /></c><c r="AD705" s="11"><f>RIGHT(AB705,6)</f><v /></c><c r="AE705" s="11"><f>+(AC705*60+AD705)/(60*60)</f><v /></c><c r="AF705" s="14"><f>+AA705/AE705</f><v /></c><c r="AG705" s="321"><f>+(((Z705-Y705-AA705)/AA705)*100)</f><v /></c><c r="AH705" s="329"><f>AH704</f><v /></c><c r="AI705" s="329"><f>AI704</f><v /></c><c r="AJ705" s="329"><f>AJ704</f><v /></c><c r="AK705" s="53"><f>Z705</f><v /></c><c r="AL705" s="45" t="n" /><c r="AM705" s="333"><f>AM704</f><v /></c><c r="AN705" s="328"><f>AN704</f><v /></c><c r="AO705" s="11"><f>LEFT(AN705,2)</f><v /></c><c r="AP705" s="11"><f>RIGHT(AN705,6)</f><v /></c><c r="AQ705" s="11"><f>+(AO705*60+AP705)/(60*60)</f><v /></c><c r="AR705" s="14"><f>+AM705/AQ705</f><v /></c><c r="AS705" s="321"><f>+(((AL705-AK705-AM705)/AM705)*100)</f><v /></c><c r="AT705" s="43"><f>IF(I705&gt;=1,"NO CONFORME",IF(BK705="SIGDIFERENTES",BC705,BL705))</f><v /></c><c r="AU705" s="8"><f>B705=C705</f><v /></c><c r="AV705" s="8"><f>N705&lt;Y705</f><v /></c><c r="AW705" s="8"><f>Z705&lt;=AK705</f><v /></c><c r="AX705" s="8"><f>IF(I705&gt;=1,"Qcorrecto",IF(AND(AY705="aceptable",AZ705="aceptable",BA705="aceptable"),"Qcorrecto","Qincorrecto"))</f><v /></c><c r="AY705" s="22"><f>IF(AR705&lt;$AH$6,"error",IF(AR705&gt;$AH$6*1.1,"error","aceptable"))</f><v /></c><c r="AZ705" s="22"><f>IF(AF705&lt;$V$6,"error",IF(AF705&gt;$V$6*1.1,"error","aceptable"))</f><v /></c><c r="BA705" s="22"><f>IF(T705&lt;$J$6*0.9,"error",IF(T705&gt;$J$6,"error","aceptable"))</f><v /></c><c r="BB705" s="25"><f>(IF(ABS(U705)&lt;1.05,"CONFORME",IF(ABS(AG705)&lt;1.05,"CONFORME",IF(ABS(AS705)&lt;2.55,"CONFORME","NO CONFORME"))))</f><v /></c><c r="BC705" s="5"><f>(IF(ABS(U705)&gt;2.05,"NO CONFORME",IF(ABS(AG705)&gt;2.05,"NO CONFORME",IF(ABS(AS705)&gt;5.05,"NO CONFORME","CONFORME"))))</f><v /></c><c r="BD705" s="15"><f>SIGN(U705)</f><v /></c><c r="BE705" s="15"><f>SIGN(AG705)</f><v /></c><c r="BF705" s="15"><f>SIGN(AS705)</f><v /></c><c r="BG705" s="15"><f>CONCATENATE(BD705,BE705,BF705)</f><v /></c><c r="BH705" s="15"><f>IF(BG705="111","SI","SD")</f><v /></c><c r="BI705" s="15"><f>IF(BG705="-1-1-1","SI","SD")</f><v /></c><c r="BJ705" s="15"><f>OR(BH705="SI",BI705="SI")</f><v /></c><c r="BK705" s="15"><f>IF(BJ705=FALSE,"SIGDIFERENTES","SIGIGUALES")</f><v /></c><c r="BL705" s="22"><f>IF(BC705="NO CONFORME","NO CONFORME",IF(BB705="CONFORME","CONFORME","NO CONFORME"))</f><v /></c></row><row r="706" ht="15.75" customHeight="1" thickBot="1"><c r="A706" s="37" t="n"><v>698</v></c><c r="B706" s="324"><f>B705</f><v /></c><c r="C706" s="324"><f>C705</f><v /></c><c r="D706" s="94"><f>D705</f><v /></c><c r="E706" s="95"><f>E705</f><v /></c><c r="F706" s="13" t="n" /><c r="G706" s="312" t="n" /><c r="H706" s="326"><f>H705</f><v /></c><c r="I706" s="98"><f>I705</f><v /></c><c r="J706" s="327"><f>J705</f><v /></c><c r="K706" s="327"><f>K705</f><v /></c><c r="L706" s="327"><f>L705</f><v /></c><c r="M706" s="45" t="n" /><c r="N706" s="45" t="n" /><c r="O706" s="100"><f>O705</f><v /></c><c r="P706" s="328"><f>P705</f><v /></c><c r="Q706" s="11"><f>LEFT(P706,1)</f><v /></c><c r="R706" s="11"><f>RIGHT(P706,6)</f><v /></c><c r="S706" s="11"><f>+(Q706*60+R706)/(60*60)</f><v /></c><c r="T706" s="14"><f>+O706/S706</f><v /></c><c r="U706" s="316"><f>+(((N706-M706-O706)/O706)*100)</f><v /></c><c r="V706" s="329"><f>V705</f><v /></c><c r="W706" s="329"><f>W705</f><v /></c><c r="X706" s="330"><f>X705</f><v /></c><c r="Y706" s="45" t="n" /><c r="Z706" s="45" t="n" /><c r="AA706" s="331"><f>AA705</f><v /></c><c r="AB706" s="332"><f>AB705</f><v /></c><c r="AC706" s="11"><f>LEFT(AB706,2)</f><v /></c><c r="AD706" s="11"><f>RIGHT(AB706,6)</f><v /></c><c r="AE706" s="11"><f>+(AC706*60+AD706)/(60*60)</f><v /></c><c r="AF706" s="14"><f>+AA706/AE706</f><v /></c><c r="AG706" s="321"><f>+(((Z706-Y706-AA706)/AA706)*100)</f><v /></c><c r="AH706" s="329"><f>AH705</f><v /></c><c r="AI706" s="329"><f>AI705</f><v /></c><c r="AJ706" s="329"><f>AJ705</f><v /></c><c r="AK706" s="53"><f>Z706</f><v /></c><c r="AL706" s="45" t="n" /><c r="AM706" s="333"><f>AM705</f><v /></c><c r="AN706" s="328"><f>AN705</f><v /></c><c r="AO706" s="11"><f>LEFT(AN706,2)</f><v /></c><c r="AP706" s="11"><f>RIGHT(AN706,6)</f><v /></c><c r="AQ706" s="11"><f>+(AO706*60+AP706)/(60*60)</f><v /></c><c r="AR706" s="14"><f>+AM706/AQ706</f><v /></c><c r="AS706" s="321"><f>+(((AL706-AK706-AM706)/AM706)*100)</f><v /></c><c r="AT706" s="43"><f>IF(I706&gt;=1,"NO CONFORME",IF(BK706="SIGDIFERENTES",BC706,BL706))</f><v /></c><c r="AU706" s="8"><f>B706=C706</f><v /></c><c r="AV706" s="8"><f>N706&lt;Y706</f><v /></c><c r="AW706" s="8"><f>Z706&lt;=AK706</f><v /></c><c r="AX706" s="8"><f>IF(I706&gt;=1,"Qcorrecto",IF(AND(AY706="aceptable",AZ706="aceptable",BA706="aceptable"),"Qcorrecto","Qincorrecto"))</f><v /></c><c r="AY706" s="22"><f>IF(AR706&lt;$AH$6,"error",IF(AR706&gt;$AH$6*1.1,"error","aceptable"))</f><v /></c><c r="AZ706" s="22"><f>IF(AF706&lt;$V$6,"error",IF(AF706&gt;$V$6*1.1,"error","aceptable"))</f><v /></c><c r="BA706" s="22"><f>IF(T706&lt;$J$6*0.9,"error",IF(T706&gt;$J$6,"error","aceptable"))</f><v /></c><c r="BB706" s="25"><f>(IF(ABS(U706)&lt;1.05,"CONFORME",IF(ABS(AG706)&lt;1.05,"CONFORME",IF(ABS(AS706)&lt;2.55,"CONFORME","NO CONFORME"))))</f><v /></c><c r="BC706" s="5"><f>(IF(ABS(U706)&gt;2.05,"NO CONFORME",IF(ABS(AG706)&gt;2.05,"NO CONFORME",IF(ABS(AS706)&gt;5.05,"NO CONFORME","CONFORME"))))</f><v /></c><c r="BD706" s="15"><f>SIGN(U706)</f><v /></c><c r="BE706" s="15"><f>SIGN(AG706)</f><v /></c><c r="BF706" s="15"><f>SIGN(AS706)</f><v /></c><c r="BG706" s="15"><f>CONCATENATE(BD706,BE706,BF706)</f><v /></c><c r="BH706" s="15"><f>IF(BG706="111","SI","SD")</f><v /></c><c r="BI706" s="15"><f>IF(BG706="-1-1-1","SI","SD")</f><v /></c><c r="BJ706" s="15"><f>OR(BH706="SI",BI706="SI")</f><v /></c><c r="BK706" s="15"><f>IF(BJ706=FALSE,"SIGDIFERENTES","SIGIGUALES")</f><v /></c><c r="BL706" s="22"><f>IF(BC706="NO CONFORME","NO CONFORME",IF(BB706="CONFORME","CONFORME","NO CONFORME"))</f><v /></c></row><row r="707" ht="15.75" customHeight="1" thickBot="1"><c r="A707" s="37" t="n"><v>699</v></c><c r="B707" s="324"><f>B706</f><v /></c><c r="C707" s="324"><f>C706</f><v /></c><c r="D707" s="94"><f>D706</f><v /></c><c r="E707" s="95"><f>E706</f><v /></c><c r="F707" s="13" t="n" /><c r="G707" s="312" t="n" /><c r="H707" s="326"><f>H706</f><v /></c><c r="I707" s="98"><f>I706</f><v /></c><c r="J707" s="327"><f>J706</f><v /></c><c r="K707" s="327"><f>K706</f><v /></c><c r="L707" s="327"><f>L706</f><v /></c><c r="M707" s="45" t="n" /><c r="N707" s="45" t="n" /><c r="O707" s="100"><f>O706</f><v /></c><c r="P707" s="328"><f>P706</f><v /></c><c r="Q707" s="11"><f>LEFT(P707,1)</f><v /></c><c r="R707" s="11"><f>RIGHT(P707,6)</f><v /></c><c r="S707" s="11"><f>+(Q707*60+R707)/(60*60)</f><v /></c><c r="T707" s="14"><f>+O707/S707</f><v /></c><c r="U707" s="316"><f>+(((N707-M707-O707)/O707)*100)</f><v /></c><c r="V707" s="329"><f>V706</f><v /></c><c r="W707" s="329"><f>W706</f><v /></c><c r="X707" s="330"><f>X706</f><v /></c><c r="Y707" s="45" t="n" /><c r="Z707" s="45" t="n" /><c r="AA707" s="331"><f>AA706</f><v /></c><c r="AB707" s="332"><f>AB706</f><v /></c><c r="AC707" s="11"><f>LEFT(AB707,2)</f><v /></c><c r="AD707" s="11"><f>RIGHT(AB707,6)</f><v /></c><c r="AE707" s="11"><f>+(AC707*60+AD707)/(60*60)</f><v /></c><c r="AF707" s="14"><f>+AA707/AE707</f><v /></c><c r="AG707" s="321"><f>+(((Z707-Y707-AA707)/AA707)*100)</f><v /></c><c r="AH707" s="329"><f>AH706</f><v /></c><c r="AI707" s="329"><f>AI706</f><v /></c><c r="AJ707" s="329"><f>AJ706</f><v /></c><c r="AK707" s="53"><f>Z707</f><v /></c><c r="AL707" s="45" t="n" /><c r="AM707" s="333"><f>AM706</f><v /></c><c r="AN707" s="328"><f>AN706</f><v /></c><c r="AO707" s="11"><f>LEFT(AN707,2)</f><v /></c><c r="AP707" s="11"><f>RIGHT(AN707,6)</f><v /></c><c r="AQ707" s="11"><f>+(AO707*60+AP707)/(60*60)</f><v /></c><c r="AR707" s="14"><f>+AM707/AQ707</f><v /></c><c r="AS707" s="321"><f>+(((AL707-AK707-AM707)/AM707)*100)</f><v /></c><c r="AT707" s="43"><f>IF(I707&gt;=1,"NO CONFORME",IF(BK707="SIGDIFERENTES",BC707,BL707))</f><v /></c><c r="AU707" s="8"><f>B707=C707</f><v /></c><c r="AV707" s="8"><f>N707&lt;Y707</f><v /></c><c r="AW707" s="8"><f>Z707&lt;=AK707</f><v /></c><c r="AX707" s="8"><f>IF(I707&gt;=1,"Qcorrecto",IF(AND(AY707="aceptable",AZ707="aceptable",BA707="aceptable"),"Qcorrecto","Qincorrecto"))</f><v /></c><c r="AY707" s="22"><f>IF(AR707&lt;$AH$6,"error",IF(AR707&gt;$AH$6*1.1,"error","aceptable"))</f><v /></c><c r="AZ707" s="22"><f>IF(AF707&lt;$V$6,"error",IF(AF707&gt;$V$6*1.1,"error","aceptable"))</f><v /></c><c r="BA707" s="22"><f>IF(T707&lt;$J$6*0.9,"error",IF(T707&gt;$J$6,"error","aceptable"))</f><v /></c><c r="BB707" s="25"><f>(IF(ABS(U707)&lt;1.05,"CONFORME",IF(ABS(AG707)&lt;1.05,"CONFORME",IF(ABS(AS707)&lt;2.55,"CONFORME","NO CONFORME"))))</f><v /></c><c r="BC707" s="5"><f>(IF(ABS(U707)&gt;2.05,"NO CONFORME",IF(ABS(AG707)&gt;2.05,"NO CONFORME",IF(ABS(AS707)&gt;5.05,"NO CONFORME","CONFORME"))))</f><v /></c><c r="BD707" s="15"><f>SIGN(U707)</f><v /></c><c r="BE707" s="15"><f>SIGN(AG707)</f><v /></c><c r="BF707" s="15"><f>SIGN(AS707)</f><v /></c><c r="BG707" s="15"><f>CONCATENATE(BD707,BE707,BF707)</f><v /></c><c r="BH707" s="15"><f>IF(BG707="111","SI","SD")</f><v /></c><c r="BI707" s="15"><f>IF(BG707="-1-1-1","SI","SD")</f><v /></c><c r="BJ707" s="15"><f>OR(BH707="SI",BI707="SI")</f><v /></c><c r="BK707" s="15"><f>IF(BJ707=FALSE,"SIGDIFERENTES","SIGIGUALES")</f><v /></c><c r="BL707" s="22"><f>IF(BC707="NO CONFORME","NO CONFORME",IF(BB707="CONFORME","CONFORME","NO CONFORME"))</f><v /></c></row><row r="708" ht="15.75" customHeight="1" thickBot="1"><c r="A708" s="37" t="n"><v>700</v></c><c r="B708" s="324"><f>B707</f><v /></c><c r="C708" s="324"><f>C707</f><v /></c><c r="D708" s="94"><f>D707</f><v /></c><c r="E708" s="95"><f>E707</f><v /></c><c r="F708" s="13" t="n" /><c r="G708" s="312" t="n" /><c r="H708" s="326"><f>H707</f><v /></c><c r="I708" s="98"><f>I707</f><v /></c><c r="J708" s="327"><f>J707</f><v /></c><c r="K708" s="327"><f>K707</f><v /></c><c r="L708" s="327"><f>L707</f><v /></c><c r="M708" s="45" t="n" /><c r="N708" s="45" t="n" /><c r="O708" s="100"><f>O707</f><v /></c><c r="P708" s="328"><f>P707</f><v /></c><c r="Q708" s="11"><f>LEFT(P708,1)</f><v /></c><c r="R708" s="11"><f>RIGHT(P708,6)</f><v /></c><c r="S708" s="11"><f>+(Q708*60+R708)/(60*60)</f><v /></c><c r="T708" s="14"><f>+O708/S708</f><v /></c><c r="U708" s="316"><f>+(((N708-M708-O708)/O708)*100)</f><v /></c><c r="V708" s="329"><f>V707</f><v /></c><c r="W708" s="329"><f>W707</f><v /></c><c r="X708" s="330"><f>X707</f><v /></c><c r="Y708" s="45" t="n" /><c r="Z708" s="45" t="n" /><c r="AA708" s="331"><f>AA707</f><v /></c><c r="AB708" s="332"><f>AB707</f><v /></c><c r="AC708" s="11"><f>LEFT(AB708,2)</f><v /></c><c r="AD708" s="11"><f>RIGHT(AB708,6)</f><v /></c><c r="AE708" s="11"><f>+(AC708*60+AD708)/(60*60)</f><v /></c><c r="AF708" s="14"><f>+AA708/AE708</f><v /></c><c r="AG708" s="321"><f>+(((Z708-Y708-AA708)/AA708)*100)</f><v /></c><c r="AH708" s="329"><f>AH707</f><v /></c><c r="AI708" s="329"><f>AI707</f><v /></c><c r="AJ708" s="329"><f>AJ707</f><v /></c><c r="AK708" s="53"><f>Z708</f><v /></c><c r="AL708" s="45" t="n" /><c r="AM708" s="333"><f>AM707</f><v /></c><c r="AN708" s="328"><f>AN707</f><v /></c><c r="AO708" s="11"><f>LEFT(AN708,2)</f><v /></c><c r="AP708" s="11"><f>RIGHT(AN708,6)</f><v /></c><c r="AQ708" s="11"><f>+(AO708*60+AP708)/(60*60)</f><v /></c><c r="AR708" s="14"><f>+AM708/AQ708</f><v /></c><c r="AS708" s="321"><f>+(((AL708-AK708-AM708)/AM708)*100)</f><v /></c><c r="AT708" s="43"><f>IF(I708&gt;=1,"NO CONFORME",IF(BK708="SIGDIFERENTES",BC708,BL708))</f><v /></c><c r="AU708" s="8"><f>B708=C708</f><v /></c><c r="AV708" s="8"><f>N708&lt;Y708</f><v /></c><c r="AW708" s="8"><f>Z708&lt;=AK708</f><v /></c><c r="AX708" s="8"><f>IF(I708&gt;=1,"Qcorrecto",IF(AND(AY708="aceptable",AZ708="aceptable",BA708="aceptable"),"Qcorrecto","Qincorrecto"))</f><v /></c><c r="AY708" s="22"><f>IF(AR708&lt;$AH$6,"error",IF(AR708&gt;$AH$6*1.1,"error","aceptable"))</f><v /></c><c r="AZ708" s="22"><f>IF(AF708&lt;$V$6,"error",IF(AF708&gt;$V$6*1.1,"error","aceptable"))</f><v /></c><c r="BA708" s="22"><f>IF(T708&lt;$J$6*0.9,"error",IF(T708&gt;$J$6,"error","aceptable"))</f><v /></c><c r="BB708" s="25"><f>(IF(ABS(U708)&lt;1.05,"CONFORME",IF(ABS(AG708)&lt;1.05,"CONFORME",IF(ABS(AS708)&lt;2.55,"CONFORME","NO CONFORME"))))</f><v /></c><c r="BC708" s="5"><f>(IF(ABS(U708)&gt;2.05,"NO CONFORME",IF(ABS(AG708)&gt;2.05,"NO CONFORME",IF(ABS(AS708)&gt;5.05,"NO CONFORME","CONFORME"))))</f><v /></c><c r="BD708" s="15"><f>SIGN(U708)</f><v /></c><c r="BE708" s="15"><f>SIGN(AG708)</f><v /></c><c r="BF708" s="15"><f>SIGN(AS708)</f><v /></c><c r="BG708" s="15"><f>CONCATENATE(BD708,BE708,BF708)</f><v /></c><c r="BH708" s="15"><f>IF(BG708="111","SI","SD")</f><v /></c><c r="BI708" s="15"><f>IF(BG708="-1-1-1","SI","SD")</f><v /></c><c r="BJ708" s="15"><f>OR(BH708="SI",BI708="SI")</f><v /></c><c r="BK708" s="15"><f>IF(BJ708=FALSE,"SIGDIFERENTES","SIGIGUALES")</f><v /></c><c r="BL708" s="22"><f>IF(BC708="NO CONFORME","NO CONFORME",IF(BB708="CONFORME","CONFORME","NO CONFORME"))</f><v /></c></row><row r="709" ht="15.75" customHeight="1" thickBot="1"><c r="A709" s="37" t="n"><v>701</v></c><c r="B709" s="324"><f>B708</f><v /></c><c r="C709" s="324"><f>C708</f><v /></c><c r="D709" s="94"><f>D708</f><v /></c><c r="E709" s="95"><f>E708</f><v /></c><c r="F709" s="13" t="n" /><c r="G709" s="312" t="n" /><c r="H709" s="326"><f>H708</f><v /></c><c r="I709" s="98"><f>I708</f><v /></c><c r="J709" s="327"><f>J708</f><v /></c><c r="K709" s="327"><f>K708</f><v /></c><c r="L709" s="327"><f>L708</f><v /></c><c r="M709" s="45" t="n" /><c r="N709" s="45" t="n" /><c r="O709" s="100"><f>O708</f><v /></c><c r="P709" s="328"><f>P708</f><v /></c><c r="Q709" s="11"><f>LEFT(P709,1)</f><v /></c><c r="R709" s="11"><f>RIGHT(P709,6)</f><v /></c><c r="S709" s="11"><f>+(Q709*60+R709)/(60*60)</f><v /></c><c r="T709" s="14"><f>+O709/S709</f><v /></c><c r="U709" s="316"><f>+(((N709-M709-O709)/O709)*100)</f><v /></c><c r="V709" s="329"><f>V708</f><v /></c><c r="W709" s="329"><f>W708</f><v /></c><c r="X709" s="330"><f>X708</f><v /></c><c r="Y709" s="45" t="n" /><c r="Z709" s="45" t="n" /><c r="AA709" s="331"><f>AA708</f><v /></c><c r="AB709" s="332"><f>AB708</f><v /></c><c r="AC709" s="11"><f>LEFT(AB709,2)</f><v /></c><c r="AD709" s="11"><f>RIGHT(AB709,6)</f><v /></c><c r="AE709" s="11"><f>+(AC709*60+AD709)/(60*60)</f><v /></c><c r="AF709" s="14"><f>+AA709/AE709</f><v /></c><c r="AG709" s="321"><f>+(((Z709-Y709-AA709)/AA709)*100)</f><v /></c><c r="AH709" s="329"><f>AH708</f><v /></c><c r="AI709" s="329"><f>AI708</f><v /></c><c r="AJ709" s="329"><f>AJ708</f><v /></c><c r="AK709" s="53"><f>Z709</f><v /></c><c r="AL709" s="45" t="n" /><c r="AM709" s="333"><f>AM708</f><v /></c><c r="AN709" s="328"><f>AN708</f><v /></c><c r="AO709" s="11"><f>LEFT(AN709,2)</f><v /></c><c r="AP709" s="11"><f>RIGHT(AN709,6)</f><v /></c><c r="AQ709" s="11"><f>+(AO709*60+AP709)/(60*60)</f><v /></c><c r="AR709" s="14"><f>+AM709/AQ709</f><v /></c><c r="AS709" s="321"><f>+(((AL709-AK709-AM709)/AM709)*100)</f><v /></c><c r="AT709" s="43"><f>IF(I709&gt;=1,"NO CONFORME",IF(BK709="SIGDIFERENTES",BC709,BL709))</f><v /></c><c r="AU709" s="8"><f>B709=C709</f><v /></c><c r="AV709" s="8"><f>N709&lt;Y709</f><v /></c><c r="AW709" s="8"><f>Z709&lt;=AK709</f><v /></c><c r="AX709" s="8"><f>IF(I709&gt;=1,"Qcorrecto",IF(AND(AY709="aceptable",AZ709="aceptable",BA709="aceptable"),"Qcorrecto","Qincorrecto"))</f><v /></c><c r="AY709" s="22"><f>IF(AR709&lt;$AH$6,"error",IF(AR709&gt;$AH$6*1.1,"error","aceptable"))</f><v /></c><c r="AZ709" s="22"><f>IF(AF709&lt;$V$6,"error",IF(AF709&gt;$V$6*1.1,"error","aceptable"))</f><v /></c><c r="BA709" s="22"><f>IF(T709&lt;$J$6*0.9,"error",IF(T709&gt;$J$6,"error","aceptable"))</f><v /></c><c r="BB709" s="25"><f>(IF(ABS(U709)&lt;1.05,"CONFORME",IF(ABS(AG709)&lt;1.05,"CONFORME",IF(ABS(AS709)&lt;2.55,"CONFORME","NO CONFORME"))))</f><v /></c><c r="BC709" s="5"><f>(IF(ABS(U709)&gt;2.05,"NO CONFORME",IF(ABS(AG709)&gt;2.05,"NO CONFORME",IF(ABS(AS709)&gt;5.05,"NO CONFORME","CONFORME"))))</f><v /></c><c r="BD709" s="15"><f>SIGN(U709)</f><v /></c><c r="BE709" s="15"><f>SIGN(AG709)</f><v /></c><c r="BF709" s="15"><f>SIGN(AS709)</f><v /></c><c r="BG709" s="15"><f>CONCATENATE(BD709,BE709,BF709)</f><v /></c><c r="BH709" s="15"><f>IF(BG709="111","SI","SD")</f><v /></c><c r="BI709" s="15"><f>IF(BG709="-1-1-1","SI","SD")</f><v /></c><c r="BJ709" s="15"><f>OR(BH709="SI",BI709="SI")</f><v /></c><c r="BK709" s="15"><f>IF(BJ709=FALSE,"SIGDIFERENTES","SIGIGUALES")</f><v /></c><c r="BL709" s="22"><f>IF(BC709="NO CONFORME","NO CONFORME",IF(BB709="CONFORME","CONFORME","NO CONFORME"))</f><v /></c></row><row r="710" ht="15.75" customHeight="1" thickBot="1"><c r="A710" s="37" t="n"><v>702</v></c><c r="B710" s="324"><f>B709</f><v /></c><c r="C710" s="324"><f>C709</f><v /></c><c r="D710" s="94"><f>D709</f><v /></c><c r="E710" s="95"><f>E709</f><v /></c><c r="F710" s="13" t="n" /><c r="G710" s="312" t="n" /><c r="H710" s="326"><f>H709</f><v /></c><c r="I710" s="98"><f>I709</f><v /></c><c r="J710" s="327"><f>J709</f><v /></c><c r="K710" s="327"><f>K709</f><v /></c><c r="L710" s="327"><f>L709</f><v /></c><c r="M710" s="45" t="n" /><c r="N710" s="45" t="n" /><c r="O710" s="100"><f>O709</f><v /></c><c r="P710" s="328"><f>P709</f><v /></c><c r="Q710" s="11"><f>LEFT(P710,1)</f><v /></c><c r="R710" s="11"><f>RIGHT(P710,6)</f><v /></c><c r="S710" s="11"><f>+(Q710*60+R710)/(60*60)</f><v /></c><c r="T710" s="14"><f>+O710/S710</f><v /></c><c r="U710" s="316"><f>+(((N710-M710-O710)/O710)*100)</f><v /></c><c r="V710" s="329"><f>V709</f><v /></c><c r="W710" s="329"><f>W709</f><v /></c><c r="X710" s="330"><f>X709</f><v /></c><c r="Y710" s="45" t="n" /><c r="Z710" s="45" t="n" /><c r="AA710" s="331"><f>AA709</f><v /></c><c r="AB710" s="332"><f>AB709</f><v /></c><c r="AC710" s="11"><f>LEFT(AB710,2)</f><v /></c><c r="AD710" s="11"><f>RIGHT(AB710,6)</f><v /></c><c r="AE710" s="11"><f>+(AC710*60+AD710)/(60*60)</f><v /></c><c r="AF710" s="14"><f>+AA710/AE710</f><v /></c><c r="AG710" s="321"><f>+(((Z710-Y710-AA710)/AA710)*100)</f><v /></c><c r="AH710" s="329"><f>AH709</f><v /></c><c r="AI710" s="329"><f>AI709</f><v /></c><c r="AJ710" s="329"><f>AJ709</f><v /></c><c r="AK710" s="53"><f>Z710</f><v /></c><c r="AL710" s="45" t="n" /><c r="AM710" s="333"><f>AM709</f><v /></c><c r="AN710" s="328"><f>AN709</f><v /></c><c r="AO710" s="11"><f>LEFT(AN710,2)</f><v /></c><c r="AP710" s="11"><f>RIGHT(AN710,6)</f><v /></c><c r="AQ710" s="11"><f>+(AO710*60+AP710)/(60*60)</f><v /></c><c r="AR710" s="14"><f>+AM710/AQ710</f><v /></c><c r="AS710" s="321"><f>+(((AL710-AK710-AM710)/AM710)*100)</f><v /></c><c r="AT710" s="43"><f>IF(I710&gt;=1,"NO CONFORME",IF(BK710="SIGDIFERENTES",BC710,BL710))</f><v /></c><c r="AU710" s="8"><f>B710=C710</f><v /></c><c r="AV710" s="8"><f>N710&lt;Y710</f><v /></c><c r="AW710" s="8"><f>Z710&lt;=AK710</f><v /></c><c r="AX710" s="8"><f>IF(I710&gt;=1,"Qcorrecto",IF(AND(AY710="aceptable",AZ710="aceptable",BA710="aceptable"),"Qcorrecto","Qincorrecto"))</f><v /></c><c r="AY710" s="22"><f>IF(AR710&lt;$AH$6,"error",IF(AR710&gt;$AH$6*1.1,"error","aceptable"))</f><v /></c><c r="AZ710" s="22"><f>IF(AF710&lt;$V$6,"error",IF(AF710&gt;$V$6*1.1,"error","aceptable"))</f><v /></c><c r="BA710" s="22"><f>IF(T710&lt;$J$6*0.9,"error",IF(T710&gt;$J$6,"error","aceptable"))</f><v /></c><c r="BB710" s="25"><f>(IF(ABS(U710)&lt;1.05,"CONFORME",IF(ABS(AG710)&lt;1.05,"CONFORME",IF(ABS(AS710)&lt;2.55,"CONFORME","NO CONFORME"))))</f><v /></c><c r="BC710" s="5"><f>(IF(ABS(U710)&gt;2.05,"NO CONFORME",IF(ABS(AG710)&gt;2.05,"NO CONFORME",IF(ABS(AS710)&gt;5.05,"NO CONFORME","CONFORME"))))</f><v /></c><c r="BD710" s="15"><f>SIGN(U710)</f><v /></c><c r="BE710" s="15"><f>SIGN(AG710)</f><v /></c><c r="BF710" s="15"><f>SIGN(AS710)</f><v /></c><c r="BG710" s="15"><f>CONCATENATE(BD710,BE710,BF710)</f><v /></c><c r="BH710" s="15"><f>IF(BG710="111","SI","SD")</f><v /></c><c r="BI710" s="15"><f>IF(BG710="-1-1-1","SI","SD")</f><v /></c><c r="BJ710" s="15"><f>OR(BH710="SI",BI710="SI")</f><v /></c><c r="BK710" s="15"><f>IF(BJ710=FALSE,"SIGDIFERENTES","SIGIGUALES")</f><v /></c><c r="BL710" s="22"><f>IF(BC710="NO CONFORME","NO CONFORME",IF(BB710="CONFORME","CONFORME","NO CONFORME"))</f><v /></c></row><row r="711" ht="15.75" customHeight="1" thickBot="1"><c r="A711" s="37" t="n"><v>703</v></c><c r="B711" s="324"><f>B710</f><v /></c><c r="C711" s="324"><f>C710</f><v /></c><c r="D711" s="94"><f>D710</f><v /></c><c r="E711" s="95"><f>E710</f><v /></c><c r="F711" s="13" t="n" /><c r="G711" s="312" t="n" /><c r="H711" s="326"><f>H710</f><v /></c><c r="I711" s="98"><f>I710</f><v /></c><c r="J711" s="327"><f>J710</f><v /></c><c r="K711" s="327"><f>K710</f><v /></c><c r="L711" s="327"><f>L710</f><v /></c><c r="M711" s="45" t="n" /><c r="N711" s="45" t="n" /><c r="O711" s="100"><f>O710</f><v /></c><c r="P711" s="328"><f>P710</f><v /></c><c r="Q711" s="11"><f>LEFT(P711,1)</f><v /></c><c r="R711" s="11"><f>RIGHT(P711,6)</f><v /></c><c r="S711" s="11"><f>+(Q711*60+R711)/(60*60)</f><v /></c><c r="T711" s="14"><f>+O711/S711</f><v /></c><c r="U711" s="316"><f>+(((N711-M711-O711)/O711)*100)</f><v /></c><c r="V711" s="329"><f>V710</f><v /></c><c r="W711" s="329"><f>W710</f><v /></c><c r="X711" s="330"><f>X710</f><v /></c><c r="Y711" s="45" t="n" /><c r="Z711" s="45" t="n" /><c r="AA711" s="331"><f>AA710</f><v /></c><c r="AB711" s="332"><f>AB710</f><v /></c><c r="AC711" s="11"><f>LEFT(AB711,2)</f><v /></c><c r="AD711" s="11"><f>RIGHT(AB711,6)</f><v /></c><c r="AE711" s="11"><f>+(AC711*60+AD711)/(60*60)</f><v /></c><c r="AF711" s="14"><f>+AA711/AE711</f><v /></c><c r="AG711" s="321"><f>+(((Z711-Y711-AA711)/AA711)*100)</f><v /></c><c r="AH711" s="329"><f>AH710</f><v /></c><c r="AI711" s="329"><f>AI710</f><v /></c><c r="AJ711" s="329"><f>AJ710</f><v /></c><c r="AK711" s="53"><f>Z711</f><v /></c><c r="AL711" s="45" t="n" /><c r="AM711" s="333"><f>AM710</f><v /></c><c r="AN711" s="328"><f>AN710</f><v /></c><c r="AO711" s="11"><f>LEFT(AN711,2)</f><v /></c><c r="AP711" s="11"><f>RIGHT(AN711,6)</f><v /></c><c r="AQ711" s="11"><f>+(AO711*60+AP711)/(60*60)</f><v /></c><c r="AR711" s="14"><f>+AM711/AQ711</f><v /></c><c r="AS711" s="321"><f>+(((AL711-AK711-AM711)/AM711)*100)</f><v /></c><c r="AT711" s="43"><f>IF(I711&gt;=1,"NO CONFORME",IF(BK711="SIGDIFERENTES",BC711,BL711))</f><v /></c><c r="AU711" s="8"><f>B711=C711</f><v /></c><c r="AV711" s="8"><f>N711&lt;Y711</f><v /></c><c r="AW711" s="8"><f>Z711&lt;=AK711</f><v /></c><c r="AX711" s="8"><f>IF(I711&gt;=1,"Qcorrecto",IF(AND(AY711="aceptable",AZ711="aceptable",BA711="aceptable"),"Qcorrecto","Qincorrecto"))</f><v /></c><c r="AY711" s="22"><f>IF(AR711&lt;$AH$6,"error",IF(AR711&gt;$AH$6*1.1,"error","aceptable"))</f><v /></c><c r="AZ711" s="22"><f>IF(AF711&lt;$V$6,"error",IF(AF711&gt;$V$6*1.1,"error","aceptable"))</f><v /></c><c r="BA711" s="22"><f>IF(T711&lt;$J$6*0.9,"error",IF(T711&gt;$J$6,"error","aceptable"))</f><v /></c><c r="BB711" s="25"><f>(IF(ABS(U711)&lt;1.05,"CONFORME",IF(ABS(AG711)&lt;1.05,"CONFORME",IF(ABS(AS711)&lt;2.55,"CONFORME","NO CONFORME"))))</f><v /></c><c r="BC711" s="5"><f>(IF(ABS(U711)&gt;2.05,"NO CONFORME",IF(ABS(AG711)&gt;2.05,"NO CONFORME",IF(ABS(AS711)&gt;5.05,"NO CONFORME","CONFORME"))))</f><v /></c><c r="BD711" s="15"><f>SIGN(U711)</f><v /></c><c r="BE711" s="15"><f>SIGN(AG711)</f><v /></c><c r="BF711" s="15"><f>SIGN(AS711)</f><v /></c><c r="BG711" s="15"><f>CONCATENATE(BD711,BE711,BF711)</f><v /></c><c r="BH711" s="15"><f>IF(BG711="111","SI","SD")</f><v /></c><c r="BI711" s="15"><f>IF(BG711="-1-1-1","SI","SD")</f><v /></c><c r="BJ711" s="15"><f>OR(BH711="SI",BI711="SI")</f><v /></c><c r="BK711" s="15"><f>IF(BJ711=FALSE,"SIGDIFERENTES","SIGIGUALES")</f><v /></c><c r="BL711" s="22"><f>IF(BC711="NO CONFORME","NO CONFORME",IF(BB711="CONFORME","CONFORME","NO CONFORME"))</f><v /></c></row><row r="712" ht="15.75" customHeight="1" thickBot="1"><c r="A712" s="37" t="n"><v>704</v></c><c r="B712" s="324"><f>B711</f><v /></c><c r="C712" s="324"><f>C711</f><v /></c><c r="D712" s="94"><f>D711</f><v /></c><c r="E712" s="95"><f>E711</f><v /></c><c r="F712" s="13" t="n" /><c r="G712" s="312" t="n" /><c r="H712" s="326"><f>H711</f><v /></c><c r="I712" s="98"><f>I711</f><v /></c><c r="J712" s="327"><f>J711</f><v /></c><c r="K712" s="327"><f>K711</f><v /></c><c r="L712" s="327"><f>L711</f><v /></c><c r="M712" s="45" t="n" /><c r="N712" s="45" t="n" /><c r="O712" s="100"><f>O711</f><v /></c><c r="P712" s="328"><f>P711</f><v /></c><c r="Q712" s="11"><f>LEFT(P712,1)</f><v /></c><c r="R712" s="11"><f>RIGHT(P712,6)</f><v /></c><c r="S712" s="11"><f>+(Q712*60+R712)/(60*60)</f><v /></c><c r="T712" s="14"><f>+O712/S712</f><v /></c><c r="U712" s="316"><f>+(((N712-M712-O712)/O712)*100)</f><v /></c><c r="V712" s="329"><f>V711</f><v /></c><c r="W712" s="329"><f>W711</f><v /></c><c r="X712" s="330"><f>X711</f><v /></c><c r="Y712" s="45" t="n" /><c r="Z712" s="45" t="n" /><c r="AA712" s="331"><f>AA711</f><v /></c><c r="AB712" s="332"><f>AB711</f><v /></c><c r="AC712" s="11"><f>LEFT(AB712,2)</f><v /></c><c r="AD712" s="11"><f>RIGHT(AB712,6)</f><v /></c><c r="AE712" s="11"><f>+(AC712*60+AD712)/(60*60)</f><v /></c><c r="AF712" s="14"><f>+AA712/AE712</f><v /></c><c r="AG712" s="321"><f>+(((Z712-Y712-AA712)/AA712)*100)</f><v /></c><c r="AH712" s="329"><f>AH711</f><v /></c><c r="AI712" s="329"><f>AI711</f><v /></c><c r="AJ712" s="329"><f>AJ711</f><v /></c><c r="AK712" s="53"><f>Z712</f><v /></c><c r="AL712" s="45" t="n" /><c r="AM712" s="333"><f>AM711</f><v /></c><c r="AN712" s="328"><f>AN711</f><v /></c><c r="AO712" s="11"><f>LEFT(AN712,2)</f><v /></c><c r="AP712" s="11"><f>RIGHT(AN712,6)</f><v /></c><c r="AQ712" s="11"><f>+(AO712*60+AP712)/(60*60)</f><v /></c><c r="AR712" s="14"><f>+AM712/AQ712</f><v /></c><c r="AS712" s="321"><f>+(((AL712-AK712-AM712)/AM712)*100)</f><v /></c><c r="AT712" s="43"><f>IF(I712&gt;=1,"NO CONFORME",IF(BK712="SIGDIFERENTES",BC712,BL712))</f><v /></c><c r="AU712" s="8"><f>B712=C712</f><v /></c><c r="AV712" s="8"><f>N712&lt;Y712</f><v /></c><c r="AW712" s="8"><f>Z712&lt;=AK712</f><v /></c><c r="AX712" s="8"><f>IF(I712&gt;=1,"Qcorrecto",IF(AND(AY712="aceptable",AZ712="aceptable",BA712="aceptable"),"Qcorrecto","Qincorrecto"))</f><v /></c><c r="AY712" s="22"><f>IF(AR712&lt;$AH$6,"error",IF(AR712&gt;$AH$6*1.1,"error","aceptable"))</f><v /></c><c r="AZ712" s="22"><f>IF(AF712&lt;$V$6,"error",IF(AF712&gt;$V$6*1.1,"error","aceptable"))</f><v /></c><c r="BA712" s="22"><f>IF(T712&lt;$J$6*0.9,"error",IF(T712&gt;$J$6,"error","aceptable"))</f><v /></c><c r="BB712" s="25"><f>(IF(ABS(U712)&lt;1.05,"CONFORME",IF(ABS(AG712)&lt;1.05,"CONFORME",IF(ABS(AS712)&lt;2.55,"CONFORME","NO CONFORME"))))</f><v /></c><c r="BC712" s="5"><f>(IF(ABS(U712)&gt;2.05,"NO CONFORME",IF(ABS(AG712)&gt;2.05,"NO CONFORME",IF(ABS(AS712)&gt;5.05,"NO CONFORME","CONFORME"))))</f><v /></c><c r="BD712" s="15"><f>SIGN(U712)</f><v /></c><c r="BE712" s="15"><f>SIGN(AG712)</f><v /></c><c r="BF712" s="15"><f>SIGN(AS712)</f><v /></c><c r="BG712" s="15"><f>CONCATENATE(BD712,BE712,BF712)</f><v /></c><c r="BH712" s="15"><f>IF(BG712="111","SI","SD")</f><v /></c><c r="BI712" s="15"><f>IF(BG712="-1-1-1","SI","SD")</f><v /></c><c r="BJ712" s="15"><f>OR(BH712="SI",BI712="SI")</f><v /></c><c r="BK712" s="15"><f>IF(BJ712=FALSE,"SIGDIFERENTES","SIGIGUALES")</f><v /></c><c r="BL712" s="22"><f>IF(BC712="NO CONFORME","NO CONFORME",IF(BB712="CONFORME","CONFORME","NO CONFORME"))</f><v /></c></row><row r="713" ht="15.75" customHeight="1" thickBot="1"><c r="A713" s="37" t="n"><v>705</v></c><c r="B713" s="324"><f>B712</f><v /></c><c r="C713" s="324"><f>C712</f><v /></c><c r="D713" s="94"><f>D712</f><v /></c><c r="E713" s="95"><f>E712</f><v /></c><c r="F713" s="52" t="n" /><c r="G713" s="325" t="n" /><c r="H713" s="326"><f>H712</f><v /></c><c r="I713" s="98"><f>I712</f><v /></c><c r="J713" s="327"><f>J712</f><v /></c><c r="K713" s="327"><f>K712</f><v /></c><c r="L713" s="327"><f>L712</f><v /></c><c r="M713" s="53" t="n" /><c r="N713" s="53" t="n" /><c r="O713" s="100"><f>O712</f><v /></c><c r="P713" s="328"><f>P712</f><v /></c><c r="Q713" s="11"><f>LEFT(P713,1)</f><v /></c><c r="R713" s="11"><f>RIGHT(P713,6)</f><v /></c><c r="S713" s="11"><f>+(Q713*60+R713)/(60*60)</f><v /></c><c r="T713" s="14"><f>+O713/S713</f><v /></c><c r="U713" s="316"><f>+(((N713-M713-O713)/O713)*100)</f><v /></c><c r="V713" s="329"><f>V712</f><v /></c><c r="W713" s="329"><f>W712</f><v /></c><c r="X713" s="330"><f>X712</f><v /></c><c r="Y713" s="53" t="n" /><c r="Z713" s="53" t="n" /><c r="AA713" s="331"><f>AA712</f><v /></c><c r="AB713" s="332"><f>AB712</f><v /></c><c r="AC713" s="11"><f>LEFT(AB713,2)</f><v /></c><c r="AD713" s="11"><f>RIGHT(AB713,6)</f><v /></c><c r="AE713" s="11"><f>+(AC713*60+AD713)/(60*60)</f><v /></c><c r="AF713" s="14"><f>+AA713/AE713</f><v /></c><c r="AG713" s="321"><f>+(((Z713-Y713-AA713)/AA713)*100)</f><v /></c><c r="AH713" s="329"><f>AH712</f><v /></c><c r="AI713" s="329"><f>AI712</f><v /></c><c r="AJ713" s="329"><f>AJ712</f><v /></c><c r="AK713" s="53"><f>Z713</f><v /></c><c r="AL713" s="53" t="n" /><c r="AM713" s="333"><f>AM712</f><v /></c><c r="AN713" s="328"><f>AN712</f><v /></c><c r="AO713" s="11"><f>LEFT(AN713,2)</f><v /></c><c r="AP713" s="11"><f>RIGHT(AN713,6)</f><v /></c><c r="AQ713" s="11"><f>+(AO713*60+AP713)/(60*60)</f><v /></c><c r="AR713" s="14"><f>+AM713/AQ713</f><v /></c><c r="AS713" s="321"><f>+(((AL713-AK713-AM713)/AM713)*100)</f><v /></c><c r="AT713" s="43"><f>IF(I713&gt;=1,"NO CONFORME",IF(BK713="SIGDIFERENTES",BC713,BL713))</f><v /></c><c r="AU713" s="8"><f>B713=C713</f><v /></c><c r="AV713" s="8"><f>N713&lt;Y713</f><v /></c><c r="AW713" s="8"><f>Z713&lt;=AK713</f><v /></c><c r="AX713" s="8"><f>IF(I713&gt;=1,"Qcorrecto",IF(AND(AY713="aceptable",AZ713="aceptable",BA713="aceptable"),"Qcorrecto","Qincorrecto"))</f><v /></c><c r="AY713" s="22"><f>IF(AR713&lt;$AH$6,"error",IF(AR713&gt;$AH$6*1.1,"error","aceptable"))</f><v /></c><c r="AZ713" s="22"><f>IF(AF713&lt;$V$6,"error",IF(AF713&gt;$V$6*1.1,"error","aceptable"))</f><v /></c><c r="BA713" s="22"><f>IF(T713&lt;$J$6*0.9,"error",IF(T713&gt;$J$6,"error","aceptable"))</f><v /></c><c r="BB713" s="25"><f>(IF(ABS(U713)&lt;1.05,"CONFORME",IF(ABS(AG713)&lt;1.05,"CONFORME",IF(ABS(AS713)&lt;2.55,"CONFORME","NO CONFORME"))))</f><v /></c><c r="BC713" s="5"><f>(IF(ABS(U713)&gt;2.05,"NO CONFORME",IF(ABS(AG713)&gt;2.05,"NO CONFORME",IF(ABS(AS713)&gt;5.05,"NO CONFORME","CONFORME"))))</f><v /></c><c r="BD713" s="15"><f>SIGN(U713)</f><v /></c><c r="BE713" s="15"><f>SIGN(AG713)</f><v /></c><c r="BF713" s="15"><f>SIGN(AS713)</f><v /></c><c r="BG713" s="15"><f>CONCATENATE(BD713,BE713,BF713)</f><v /></c><c r="BH713" s="15"><f>IF(BG713="111","SI","SD")</f><v /></c><c r="BI713" s="15"><f>IF(BG713="-1-1-1","SI","SD")</f><v /></c><c r="BJ713" s="15"><f>OR(BH713="SI",BI713="SI")</f><v /></c><c r="BK713" s="15"><f>IF(BJ713=FALSE,"SIGDIFERENTES","SIGIGUALES")</f><v /></c><c r="BL713" s="22"><f>IF(BC713="NO CONFORME","NO CONFORME",IF(BB713="CONFORME","CONFORME","NO CONFORME"))</f><v /></c></row><row r="714" ht="15.75" customHeight="1" thickBot="1"><c r="A714" s="37" t="n"><v>706</v></c><c r="B714" s="324"><f>B713</f><v /></c><c r="C714" s="324"><f>C713</f><v /></c><c r="D714" s="94"><f>D713</f><v /></c><c r="E714" s="95"><f>E713</f><v /></c><c r="F714" s="58" t="n" /><c r="G714" s="300" t="n" /><c r="H714" s="326"><f>H713</f><v /></c><c r="I714" s="98"><f>I713</f><v /></c><c r="J714" s="327"><f>J713</f><v /></c><c r="K714" s="327"><f>K713</f><v /></c><c r="L714" s="327"><f>L713</f><v /></c><c r="M714" s="59" t="n" /><c r="N714" s="59" t="n" /><c r="O714" s="100"><f>O713</f><v /></c><c r="P714" s="328"><f>P713</f><v /></c><c r="Q714" s="11"><f>LEFT(P714,1)</f><v /></c><c r="R714" s="11"><f>RIGHT(P714,6)</f><v /></c><c r="S714" s="11"><f>+(Q714*60+R714)/(60*60)</f><v /></c><c r="T714" s="14"><f>+O714/S714</f><v /></c><c r="U714" s="316"><f>+(((N714-M714-O714)/O714)*100)</f><v /></c><c r="V714" s="329"><f>V713</f><v /></c><c r="W714" s="329"><f>W713</f><v /></c><c r="X714" s="330"><f>X713</f><v /></c><c r="Y714" s="59" t="n" /><c r="Z714" s="59" t="n" /><c r="AA714" s="331"><f>AA713</f><v /></c><c r="AB714" s="332"><f>AB713</f><v /></c><c r="AC714" s="11"><f>LEFT(AB714,2)</f><v /></c><c r="AD714" s="11"><f>RIGHT(AB714,6)</f><v /></c><c r="AE714" s="11"><f>+(AC714*60+AD714)/(60*60)</f><v /></c><c r="AF714" s="14"><f>+AA714/AE714</f><v /></c><c r="AG714" s="321"><f>+(((Z714-Y714-AA714)/AA714)*100)</f><v /></c><c r="AH714" s="329"><f>AH713</f><v /></c><c r="AI714" s="329"><f>AI713</f><v /></c><c r="AJ714" s="329"><f>AJ713</f><v /></c><c r="AK714" s="53"><f>Z714</f><v /></c><c r="AL714" s="59" t="n" /><c r="AM714" s="333"><f>AM713</f><v /></c><c r="AN714" s="328"><f>AN713</f><v /></c><c r="AO714" s="11"><f>LEFT(AN714,2)</f><v /></c><c r="AP714" s="11"><f>RIGHT(AN714,6)</f><v /></c><c r="AQ714" s="11"><f>+(AO714*60+AP714)/(60*60)</f><v /></c><c r="AR714" s="14"><f>+AM714/AQ714</f><v /></c><c r="AS714" s="321"><f>+(((AL714-AK714-AM714)/AM714)*100)</f><v /></c><c r="AT714" s="43"><f>IF(I714&gt;=1,"NO CONFORME",IF(BK714="SIGDIFERENTES",BC714,BL714))</f><v /></c><c r="AU714" s="8"><f>B714=C714</f><v /></c><c r="AV714" s="8"><f>N714&lt;Y714</f><v /></c><c r="AW714" s="8"><f>Z714&lt;=AK714</f><v /></c><c r="AX714" s="8"><f>IF(I714&gt;=1,"Qcorrecto",IF(AND(AY714="aceptable",AZ714="aceptable",BA714="aceptable"),"Qcorrecto","Qincorrecto"))</f><v /></c><c r="AY714" s="22"><f>IF(AR714&lt;$AH$6,"error",IF(AR714&gt;$AH$6*1.1,"error","aceptable"))</f><v /></c><c r="AZ714" s="22"><f>IF(AF714&lt;$V$6,"error",IF(AF714&gt;$V$6*1.1,"error","aceptable"))</f><v /></c><c r="BA714" s="22"><f>IF(T714&lt;$J$6*0.9,"error",IF(T714&gt;$J$6,"error","aceptable"))</f><v /></c><c r="BB714" s="25"><f>(IF(ABS(U714)&lt;1.05,"CONFORME",IF(ABS(AG714)&lt;1.05,"CONFORME",IF(ABS(AS714)&lt;2.55,"CONFORME","NO CONFORME"))))</f><v /></c><c r="BC714" s="5"><f>(IF(ABS(U714)&gt;2.05,"NO CONFORME",IF(ABS(AG714)&gt;2.05,"NO CONFORME",IF(ABS(AS714)&gt;5.05,"NO CONFORME","CONFORME"))))</f><v /></c><c r="BD714" s="15"><f>SIGN(U714)</f><v /></c><c r="BE714" s="15"><f>SIGN(AG714)</f><v /></c><c r="BF714" s="15"><f>SIGN(AS714)</f><v /></c><c r="BG714" s="15"><f>CONCATENATE(BD714,BE714,BF714)</f><v /></c><c r="BH714" s="15"><f>IF(BG714="111","SI","SD")</f><v /></c><c r="BI714" s="15"><f>IF(BG714="-1-1-1","SI","SD")</f><v /></c><c r="BJ714" s="15"><f>OR(BH714="SI",BI714="SI")</f><v /></c><c r="BK714" s="15"><f>IF(BJ714=FALSE,"SIGDIFERENTES","SIGIGUALES")</f><v /></c><c r="BL714" s="22"><f>IF(BC714="NO CONFORME","NO CONFORME",IF(BB714="CONFORME","CONFORME","NO CONFORME"))</f><v /></c></row><row r="715" ht="15.75" customHeight="1" thickBot="1"><c r="A715" s="37" t="n"><v>707</v></c><c r="B715" s="324"><f>B714</f><v /></c><c r="C715" s="324"><f>C714</f><v /></c><c r="D715" s="94"><f>D714</f><v /></c><c r="E715" s="95"><f>E714</f><v /></c><c r="F715" s="13" t="n" /><c r="G715" s="312" t="n" /><c r="H715" s="326"><f>H714</f><v /></c><c r="I715" s="98"><f>I714</f><v /></c><c r="J715" s="327"><f>J714</f><v /></c><c r="K715" s="327"><f>K714</f><v /></c><c r="L715" s="327"><f>L714</f><v /></c><c r="M715" s="45" t="n" /><c r="N715" s="45" t="n" /><c r="O715" s="100"><f>O714</f><v /></c><c r="P715" s="328"><f>P714</f><v /></c><c r="Q715" s="11"><f>LEFT(P715,1)</f><v /></c><c r="R715" s="11"><f>RIGHT(P715,6)</f><v /></c><c r="S715" s="11"><f>+(Q715*60+R715)/(60*60)</f><v /></c><c r="T715" s="14"><f>+O715/S715</f><v /></c><c r="U715" s="316"><f>+(((N715-M715-O715)/O715)*100)</f><v /></c><c r="V715" s="329"><f>V714</f><v /></c><c r="W715" s="329"><f>W714</f><v /></c><c r="X715" s="330"><f>X714</f><v /></c><c r="Y715" s="45" t="n" /><c r="Z715" s="45" t="n" /><c r="AA715" s="331"><f>AA714</f><v /></c><c r="AB715" s="332"><f>AB714</f><v /></c><c r="AC715" s="11"><f>LEFT(AB715,2)</f><v /></c><c r="AD715" s="11"><f>RIGHT(AB715,6)</f><v /></c><c r="AE715" s="11"><f>+(AC715*60+AD715)/(60*60)</f><v /></c><c r="AF715" s="14"><f>+AA715/AE715</f><v /></c><c r="AG715" s="321"><f>+(((Z715-Y715-AA715)/AA715)*100)</f><v /></c><c r="AH715" s="329"><f>AH714</f><v /></c><c r="AI715" s="329"><f>AI714</f><v /></c><c r="AJ715" s="329"><f>AJ714</f><v /></c><c r="AK715" s="53"><f>Z715</f><v /></c><c r="AL715" s="45" t="n" /><c r="AM715" s="333"><f>AM714</f><v /></c><c r="AN715" s="328"><f>AN714</f><v /></c><c r="AO715" s="11"><f>LEFT(AN715,2)</f><v /></c><c r="AP715" s="11"><f>RIGHT(AN715,6)</f><v /></c><c r="AQ715" s="11"><f>+(AO715*60+AP715)/(60*60)</f><v /></c><c r="AR715" s="14"><f>+AM715/AQ715</f><v /></c><c r="AS715" s="321"><f>+(((AL715-AK715-AM715)/AM715)*100)</f><v /></c><c r="AT715" s="43"><f>IF(I715&gt;=1,"NO CONFORME",IF(BK715="SIGDIFERENTES",BC715,BL715))</f><v /></c><c r="AU715" s="8"><f>B715=C715</f><v /></c><c r="AV715" s="8"><f>N715&lt;Y715</f><v /></c><c r="AW715" s="8"><f>Z715&lt;=AK715</f><v /></c><c r="AX715" s="8"><f>IF(I715&gt;=1,"Qcorrecto",IF(AND(AY715="aceptable",AZ715="aceptable",BA715="aceptable"),"Qcorrecto","Qincorrecto"))</f><v /></c><c r="AY715" s="22"><f>IF(AR715&lt;$AH$6,"error",IF(AR715&gt;$AH$6*1.1,"error","aceptable"))</f><v /></c><c r="AZ715" s="22"><f>IF(AF715&lt;$V$6,"error",IF(AF715&gt;$V$6*1.1,"error","aceptable"))</f><v /></c><c r="BA715" s="22"><f>IF(T715&lt;$J$6*0.9,"error",IF(T715&gt;$J$6,"error","aceptable"))</f><v /></c><c r="BB715" s="25"><f>(IF(ABS(U715)&lt;1.05,"CONFORME",IF(ABS(AG715)&lt;1.05,"CONFORME",IF(ABS(AS715)&lt;2.55,"CONFORME","NO CONFORME"))))</f><v /></c><c r="BC715" s="5"><f>(IF(ABS(U715)&gt;2.05,"NO CONFORME",IF(ABS(AG715)&gt;2.05,"NO CONFORME",IF(ABS(AS715)&gt;5.05,"NO CONFORME","CONFORME"))))</f><v /></c><c r="BD715" s="15"><f>SIGN(U715)</f><v /></c><c r="BE715" s="15"><f>SIGN(AG715)</f><v /></c><c r="BF715" s="15"><f>SIGN(AS715)</f><v /></c><c r="BG715" s="15"><f>CONCATENATE(BD715,BE715,BF715)</f><v /></c><c r="BH715" s="15"><f>IF(BG715="111","SI","SD")</f><v /></c><c r="BI715" s="15"><f>IF(BG715="-1-1-1","SI","SD")</f><v /></c><c r="BJ715" s="15"><f>OR(BH715="SI",BI715="SI")</f><v /></c><c r="BK715" s="15"><f>IF(BJ715=FALSE,"SIGDIFERENTES","SIGIGUALES")</f><v /></c><c r="BL715" s="22"><f>IF(BC715="NO CONFORME","NO CONFORME",IF(BB715="CONFORME","CONFORME","NO CONFORME"))</f><v /></c></row><row r="716" ht="15.75" customHeight="1" thickBot="1"><c r="A716" s="37" t="n"><v>708</v></c><c r="B716" s="324"><f>B715</f><v /></c><c r="C716" s="324"><f>C715</f><v /></c><c r="D716" s="94"><f>D715</f><v /></c><c r="E716" s="95"><f>E715</f><v /></c><c r="F716" s="13" t="n" /><c r="G716" s="312" t="n" /><c r="H716" s="326"><f>H715</f><v /></c><c r="I716" s="98"><f>I715</f><v /></c><c r="J716" s="327"><f>J715</f><v /></c><c r="K716" s="327"><f>K715</f><v /></c><c r="L716" s="327"><f>L715</f><v /></c><c r="M716" s="45" t="n" /><c r="N716" s="45" t="n" /><c r="O716" s="100"><f>O715</f><v /></c><c r="P716" s="328"><f>P715</f><v /></c><c r="Q716" s="11"><f>LEFT(P716,1)</f><v /></c><c r="R716" s="11"><f>RIGHT(P716,6)</f><v /></c><c r="S716" s="11"><f>+(Q716*60+R716)/(60*60)</f><v /></c><c r="T716" s="14"><f>+O716/S716</f><v /></c><c r="U716" s="316"><f>+(((N716-M716-O716)/O716)*100)</f><v /></c><c r="V716" s="329"><f>V715</f><v /></c><c r="W716" s="329"><f>W715</f><v /></c><c r="X716" s="330"><f>X715</f><v /></c><c r="Y716" s="45" t="n" /><c r="Z716" s="45" t="n" /><c r="AA716" s="331"><f>AA715</f><v /></c><c r="AB716" s="332"><f>AB715</f><v /></c><c r="AC716" s="11"><f>LEFT(AB716,2)</f><v /></c><c r="AD716" s="11"><f>RIGHT(AB716,6)</f><v /></c><c r="AE716" s="11"><f>+(AC716*60+AD716)/(60*60)</f><v /></c><c r="AF716" s="14"><f>+AA716/AE716</f><v /></c><c r="AG716" s="321"><f>+(((Z716-Y716-AA716)/AA716)*100)</f><v /></c><c r="AH716" s="329"><f>AH715</f><v /></c><c r="AI716" s="329"><f>AI715</f><v /></c><c r="AJ716" s="329"><f>AJ715</f><v /></c><c r="AK716" s="53"><f>Z716</f><v /></c><c r="AL716" s="45" t="n" /><c r="AM716" s="333"><f>AM715</f><v /></c><c r="AN716" s="328"><f>AN715</f><v /></c><c r="AO716" s="11"><f>LEFT(AN716,2)</f><v /></c><c r="AP716" s="11"><f>RIGHT(AN716,6)</f><v /></c><c r="AQ716" s="11"><f>+(AO716*60+AP716)/(60*60)</f><v /></c><c r="AR716" s="14"><f>+AM716/AQ716</f><v /></c><c r="AS716" s="321"><f>+(((AL716-AK716-AM716)/AM716)*100)</f><v /></c><c r="AT716" s="43"><f>IF(I716&gt;=1,"NO CONFORME",IF(BK716="SIGDIFERENTES",BC716,BL716))</f><v /></c><c r="AU716" s="8"><f>B716=C716</f><v /></c><c r="AV716" s="8"><f>N716&lt;Y716</f><v /></c><c r="AW716" s="8"><f>Z716&lt;=AK716</f><v /></c><c r="AX716" s="8"><f>IF(I716&gt;=1,"Qcorrecto",IF(AND(AY716="aceptable",AZ716="aceptable",BA716="aceptable"),"Qcorrecto","Qincorrecto"))</f><v /></c><c r="AY716" s="22"><f>IF(AR716&lt;$AH$6,"error",IF(AR716&gt;$AH$6*1.1,"error","aceptable"))</f><v /></c><c r="AZ716" s="22"><f>IF(AF716&lt;$V$6,"error",IF(AF716&gt;$V$6*1.1,"error","aceptable"))</f><v /></c><c r="BA716" s="22"><f>IF(T716&lt;$J$6*0.9,"error",IF(T716&gt;$J$6,"error","aceptable"))</f><v /></c><c r="BB716" s="25"><f>(IF(ABS(U716)&lt;1.05,"CONFORME",IF(ABS(AG716)&lt;1.05,"CONFORME",IF(ABS(AS716)&lt;2.55,"CONFORME","NO CONFORME"))))</f><v /></c><c r="BC716" s="5"><f>(IF(ABS(U716)&gt;2.05,"NO CONFORME",IF(ABS(AG716)&gt;2.05,"NO CONFORME",IF(ABS(AS716)&gt;5.05,"NO CONFORME","CONFORME"))))</f><v /></c><c r="BD716" s="15"><f>SIGN(U716)</f><v /></c><c r="BE716" s="15"><f>SIGN(AG716)</f><v /></c><c r="BF716" s="15"><f>SIGN(AS716)</f><v /></c><c r="BG716" s="15"><f>CONCATENATE(BD716,BE716,BF716)</f><v /></c><c r="BH716" s="15"><f>IF(BG716="111","SI","SD")</f><v /></c><c r="BI716" s="15"><f>IF(BG716="-1-1-1","SI","SD")</f><v /></c><c r="BJ716" s="15"><f>OR(BH716="SI",BI716="SI")</f><v /></c><c r="BK716" s="15"><f>IF(BJ716=FALSE,"SIGDIFERENTES","SIGIGUALES")</f><v /></c><c r="BL716" s="22"><f>IF(BC716="NO CONFORME","NO CONFORME",IF(BB716="CONFORME","CONFORME","NO CONFORME"))</f><v /></c></row><row r="717" ht="15.75" customHeight="1" thickBot="1"><c r="A717" s="37" t="n"><v>709</v></c><c r="B717" s="324"><f>B716</f><v /></c><c r="C717" s="324"><f>C716</f><v /></c><c r="D717" s="94"><f>D716</f><v /></c><c r="E717" s="95"><f>E716</f><v /></c><c r="F717" s="13" t="n" /><c r="G717" s="312" t="n" /><c r="H717" s="326"><f>H716</f><v /></c><c r="I717" s="98"><f>I716</f><v /></c><c r="J717" s="327"><f>J716</f><v /></c><c r="K717" s="327"><f>K716</f><v /></c><c r="L717" s="327"><f>L716</f><v /></c><c r="M717" s="45" t="n" /><c r="N717" s="45" t="n" /><c r="O717" s="100"><f>O716</f><v /></c><c r="P717" s="328"><f>P716</f><v /></c><c r="Q717" s="11"><f>LEFT(P717,1)</f><v /></c><c r="R717" s="11"><f>RIGHT(P717,6)</f><v /></c><c r="S717" s="11"><f>+(Q717*60+R717)/(60*60)</f><v /></c><c r="T717" s="14"><f>+O717/S717</f><v /></c><c r="U717" s="316"><f>+(((N717-M717-O717)/O717)*100)</f><v /></c><c r="V717" s="329"><f>V716</f><v /></c><c r="W717" s="329"><f>W716</f><v /></c><c r="X717" s="330"><f>X716</f><v /></c><c r="Y717" s="45" t="n" /><c r="Z717" s="45" t="n" /><c r="AA717" s="331"><f>AA716</f><v /></c><c r="AB717" s="332"><f>AB716</f><v /></c><c r="AC717" s="11"><f>LEFT(AB717,2)</f><v /></c><c r="AD717" s="11"><f>RIGHT(AB717,6)</f><v /></c><c r="AE717" s="11"><f>+(AC717*60+AD717)/(60*60)</f><v /></c><c r="AF717" s="14"><f>+AA717/AE717</f><v /></c><c r="AG717" s="321"><f>+(((Z717-Y717-AA717)/AA717)*100)</f><v /></c><c r="AH717" s="329"><f>AH716</f><v /></c><c r="AI717" s="329"><f>AI716</f><v /></c><c r="AJ717" s="329"><f>AJ716</f><v /></c><c r="AK717" s="53"><f>Z717</f><v /></c><c r="AL717" s="45" t="n" /><c r="AM717" s="333"><f>AM716</f><v /></c><c r="AN717" s="328"><f>AN716</f><v /></c><c r="AO717" s="11"><f>LEFT(AN717,2)</f><v /></c><c r="AP717" s="11"><f>RIGHT(AN717,6)</f><v /></c><c r="AQ717" s="11"><f>+(AO717*60+AP717)/(60*60)</f><v /></c><c r="AR717" s="14"><f>+AM717/AQ717</f><v /></c><c r="AS717" s="321"><f>+(((AL717-AK717-AM717)/AM717)*100)</f><v /></c><c r="AT717" s="43"><f>IF(I717&gt;=1,"NO CONFORME",IF(BK717="SIGDIFERENTES",BC717,BL717))</f><v /></c><c r="AU717" s="8"><f>B717=C717</f><v /></c><c r="AV717" s="8"><f>N717&lt;Y717</f><v /></c><c r="AW717" s="8"><f>Z717&lt;=AK717</f><v /></c><c r="AX717" s="8"><f>IF(I717&gt;=1,"Qcorrecto",IF(AND(AY717="aceptable",AZ717="aceptable",BA717="aceptable"),"Qcorrecto","Qincorrecto"))</f><v /></c><c r="AY717" s="22"><f>IF(AR717&lt;$AH$6,"error",IF(AR717&gt;$AH$6*1.1,"error","aceptable"))</f><v /></c><c r="AZ717" s="22"><f>IF(AF717&lt;$V$6,"error",IF(AF717&gt;$V$6*1.1,"error","aceptable"))</f><v /></c><c r="BA717" s="22"><f>IF(T717&lt;$J$6*0.9,"error",IF(T717&gt;$J$6,"error","aceptable"))</f><v /></c><c r="BB717" s="25"><f>(IF(ABS(U717)&lt;1.05,"CONFORME",IF(ABS(AG717)&lt;1.05,"CONFORME",IF(ABS(AS717)&lt;2.55,"CONFORME","NO CONFORME"))))</f><v /></c><c r="BC717" s="5"><f>(IF(ABS(U717)&gt;2.05,"NO CONFORME",IF(ABS(AG717)&gt;2.05,"NO CONFORME",IF(ABS(AS717)&gt;5.05,"NO CONFORME","CONFORME"))))</f><v /></c><c r="BD717" s="15"><f>SIGN(U717)</f><v /></c><c r="BE717" s="15"><f>SIGN(AG717)</f><v /></c><c r="BF717" s="15"><f>SIGN(AS717)</f><v /></c><c r="BG717" s="15"><f>CONCATENATE(BD717,BE717,BF717)</f><v /></c><c r="BH717" s="15"><f>IF(BG717="111","SI","SD")</f><v /></c><c r="BI717" s="15"><f>IF(BG717="-1-1-1","SI","SD")</f><v /></c><c r="BJ717" s="15"><f>OR(BH717="SI",BI717="SI")</f><v /></c><c r="BK717" s="15"><f>IF(BJ717=FALSE,"SIGDIFERENTES","SIGIGUALES")</f><v /></c><c r="BL717" s="22"><f>IF(BC717="NO CONFORME","NO CONFORME",IF(BB717="CONFORME","CONFORME","NO CONFORME"))</f><v /></c></row><row r="718" ht="15.75" customHeight="1" thickBot="1"><c r="A718" s="37" t="n"><v>710</v></c><c r="B718" s="324"><f>B717</f><v /></c><c r="C718" s="324"><f>C717</f><v /></c><c r="D718" s="94"><f>D717</f><v /></c><c r="E718" s="95"><f>E717</f><v /></c><c r="F718" s="13" t="n" /><c r="G718" s="312" t="n" /><c r="H718" s="326"><f>H717</f><v /></c><c r="I718" s="98"><f>I717</f><v /></c><c r="J718" s="327"><f>J717</f><v /></c><c r="K718" s="327"><f>K717</f><v /></c><c r="L718" s="327"><f>L717</f><v /></c><c r="M718" s="45" t="n" /><c r="N718" s="45" t="n" /><c r="O718" s="100"><f>O717</f><v /></c><c r="P718" s="328"><f>P717</f><v /></c><c r="Q718" s="11"><f>LEFT(P718,1)</f><v /></c><c r="R718" s="11"><f>RIGHT(P718,6)</f><v /></c><c r="S718" s="11"><f>+(Q718*60+R718)/(60*60)</f><v /></c><c r="T718" s="14"><f>+O718/S718</f><v /></c><c r="U718" s="316"><f>+(((N718-M718-O718)/O718)*100)</f><v /></c><c r="V718" s="329"><f>V717</f><v /></c><c r="W718" s="329"><f>W717</f><v /></c><c r="X718" s="330"><f>X717</f><v /></c><c r="Y718" s="45" t="n" /><c r="Z718" s="45" t="n" /><c r="AA718" s="331"><f>AA717</f><v /></c><c r="AB718" s="332"><f>AB717</f><v /></c><c r="AC718" s="11"><f>LEFT(AB718,2)</f><v /></c><c r="AD718" s="11"><f>RIGHT(AB718,6)</f><v /></c><c r="AE718" s="11"><f>+(AC718*60+AD718)/(60*60)</f><v /></c><c r="AF718" s="14"><f>+AA718/AE718</f><v /></c><c r="AG718" s="321"><f>+(((Z718-Y718-AA718)/AA718)*100)</f><v /></c><c r="AH718" s="329"><f>AH717</f><v /></c><c r="AI718" s="329"><f>AI717</f><v /></c><c r="AJ718" s="329"><f>AJ717</f><v /></c><c r="AK718" s="53"><f>Z718</f><v /></c><c r="AL718" s="45" t="n" /><c r="AM718" s="333"><f>AM717</f><v /></c><c r="AN718" s="328"><f>AN717</f><v /></c><c r="AO718" s="11"><f>LEFT(AN718,2)</f><v /></c><c r="AP718" s="11"><f>RIGHT(AN718,6)</f><v /></c><c r="AQ718" s="11"><f>+(AO718*60+AP718)/(60*60)</f><v /></c><c r="AR718" s="14"><f>+AM718/AQ718</f><v /></c><c r="AS718" s="321"><f>+(((AL718-AK718-AM718)/AM718)*100)</f><v /></c><c r="AT718" s="43"><f>IF(I718&gt;=1,"NO CONFORME",IF(BK718="SIGDIFERENTES",BC718,BL718))</f><v /></c><c r="AU718" s="8"><f>B718=C718</f><v /></c><c r="AV718" s="8"><f>N718&lt;Y718</f><v /></c><c r="AW718" s="8"><f>Z718&lt;=AK718</f><v /></c><c r="AX718" s="8"><f>IF(I718&gt;=1,"Qcorrecto",IF(AND(AY718="aceptable",AZ718="aceptable",BA718="aceptable"),"Qcorrecto","Qincorrecto"))</f><v /></c><c r="AY718" s="22"><f>IF(AR718&lt;$AH$6,"error",IF(AR718&gt;$AH$6*1.1,"error","aceptable"))</f><v /></c><c r="AZ718" s="22"><f>IF(AF718&lt;$V$6,"error",IF(AF718&gt;$V$6*1.1,"error","aceptable"))</f><v /></c><c r="BA718" s="22"><f>IF(T718&lt;$J$6*0.9,"error",IF(T718&gt;$J$6,"error","aceptable"))</f><v /></c><c r="BB718" s="25"><f>(IF(ABS(U718)&lt;1.05,"CONFORME",IF(ABS(AG718)&lt;1.05,"CONFORME",IF(ABS(AS718)&lt;2.55,"CONFORME","NO CONFORME"))))</f><v /></c><c r="BC718" s="5"><f>(IF(ABS(U718)&gt;2.05,"NO CONFORME",IF(ABS(AG718)&gt;2.05,"NO CONFORME",IF(ABS(AS718)&gt;5.05,"NO CONFORME","CONFORME"))))</f><v /></c><c r="BD718" s="15"><f>SIGN(U718)</f><v /></c><c r="BE718" s="15"><f>SIGN(AG718)</f><v /></c><c r="BF718" s="15"><f>SIGN(AS718)</f><v /></c><c r="BG718" s="15"><f>CONCATENATE(BD718,BE718,BF718)</f><v /></c><c r="BH718" s="15"><f>IF(BG718="111","SI","SD")</f><v /></c><c r="BI718" s="15"><f>IF(BG718="-1-1-1","SI","SD")</f><v /></c><c r="BJ718" s="15"><f>OR(BH718="SI",BI718="SI")</f><v /></c><c r="BK718" s="15"><f>IF(BJ718=FALSE,"SIGDIFERENTES","SIGIGUALES")</f><v /></c><c r="BL718" s="22"><f>IF(BC718="NO CONFORME","NO CONFORME",IF(BB718="CONFORME","CONFORME","NO CONFORME"))</f><v /></c></row><row r="719" ht="15.75" customHeight="1" thickBot="1"><c r="A719" s="37" t="n"><v>711</v></c><c r="B719" s="324"><f>B718</f><v /></c><c r="C719" s="324"><f>C718</f><v /></c><c r="D719" s="94"><f>D718</f><v /></c><c r="E719" s="95"><f>E718</f><v /></c><c r="F719" s="13" t="n" /><c r="G719" s="312" t="n" /><c r="H719" s="326"><f>H718</f><v /></c><c r="I719" s="98"><f>I718</f><v /></c><c r="J719" s="327"><f>J718</f><v /></c><c r="K719" s="327"><f>K718</f><v /></c><c r="L719" s="327"><f>L718</f><v /></c><c r="M719" s="45" t="n" /><c r="N719" s="45" t="n" /><c r="O719" s="100"><f>O718</f><v /></c><c r="P719" s="328"><f>P718</f><v /></c><c r="Q719" s="11"><f>LEFT(P719,1)</f><v /></c><c r="R719" s="11"><f>RIGHT(P719,6)</f><v /></c><c r="S719" s="11"><f>+(Q719*60+R719)/(60*60)</f><v /></c><c r="T719" s="14"><f>+O719/S719</f><v /></c><c r="U719" s="316"><f>+(((N719-M719-O719)/O719)*100)</f><v /></c><c r="V719" s="329"><f>V718</f><v /></c><c r="W719" s="329"><f>W718</f><v /></c><c r="X719" s="330"><f>X718</f><v /></c><c r="Y719" s="45" t="n" /><c r="Z719" s="45" t="n" /><c r="AA719" s="331"><f>AA718</f><v /></c><c r="AB719" s="332"><f>AB718</f><v /></c><c r="AC719" s="11"><f>LEFT(AB719,2)</f><v /></c><c r="AD719" s="11"><f>RIGHT(AB719,6)</f><v /></c><c r="AE719" s="11"><f>+(AC719*60+AD719)/(60*60)</f><v /></c><c r="AF719" s="14"><f>+AA719/AE719</f><v /></c><c r="AG719" s="321"><f>+(((Z719-Y719-AA719)/AA719)*100)</f><v /></c><c r="AH719" s="329"><f>AH718</f><v /></c><c r="AI719" s="329"><f>AI718</f><v /></c><c r="AJ719" s="329"><f>AJ718</f><v /></c><c r="AK719" s="53"><f>Z719</f><v /></c><c r="AL719" s="45" t="n" /><c r="AM719" s="333"><f>AM718</f><v /></c><c r="AN719" s="328"><f>AN718</f><v /></c><c r="AO719" s="11"><f>LEFT(AN719,2)</f><v /></c><c r="AP719" s="11"><f>RIGHT(AN719,6)</f><v /></c><c r="AQ719" s="11"><f>+(AO719*60+AP719)/(60*60)</f><v /></c><c r="AR719" s="14"><f>+AM719/AQ719</f><v /></c><c r="AS719" s="321"><f>+(((AL719-AK719-AM719)/AM719)*100)</f><v /></c><c r="AT719" s="43"><f>IF(I719&gt;=1,"NO CONFORME",IF(BK719="SIGDIFERENTES",BC719,BL719))</f><v /></c><c r="AU719" s="8"><f>B719=C719</f><v /></c><c r="AV719" s="8"><f>N719&lt;Y719</f><v /></c><c r="AW719" s="8"><f>Z719&lt;=AK719</f><v /></c><c r="AX719" s="8"><f>IF(I719&gt;=1,"Qcorrecto",IF(AND(AY719="aceptable",AZ719="aceptable",BA719="aceptable"),"Qcorrecto","Qincorrecto"))</f><v /></c><c r="AY719" s="22"><f>IF(AR719&lt;$AH$6,"error",IF(AR719&gt;$AH$6*1.1,"error","aceptable"))</f><v /></c><c r="AZ719" s="22"><f>IF(AF719&lt;$V$6,"error",IF(AF719&gt;$V$6*1.1,"error","aceptable"))</f><v /></c><c r="BA719" s="22"><f>IF(T719&lt;$J$6*0.9,"error",IF(T719&gt;$J$6,"error","aceptable"))</f><v /></c><c r="BB719" s="25"><f>(IF(ABS(U719)&lt;1.05,"CONFORME",IF(ABS(AG719)&lt;1.05,"CONFORME",IF(ABS(AS719)&lt;2.55,"CONFORME","NO CONFORME"))))</f><v /></c><c r="BC719" s="5"><f>(IF(ABS(U719)&gt;2.05,"NO CONFORME",IF(ABS(AG719)&gt;2.05,"NO CONFORME",IF(ABS(AS719)&gt;5.05,"NO CONFORME","CONFORME"))))</f><v /></c><c r="BD719" s="15"><f>SIGN(U719)</f><v /></c><c r="BE719" s="15"><f>SIGN(AG719)</f><v /></c><c r="BF719" s="15"><f>SIGN(AS719)</f><v /></c><c r="BG719" s="15"><f>CONCATENATE(BD719,BE719,BF719)</f><v /></c><c r="BH719" s="15"><f>IF(BG719="111","SI","SD")</f><v /></c><c r="BI719" s="15"><f>IF(BG719="-1-1-1","SI","SD")</f><v /></c><c r="BJ719" s="15"><f>OR(BH719="SI",BI719="SI")</f><v /></c><c r="BK719" s="15"><f>IF(BJ719=FALSE,"SIGDIFERENTES","SIGIGUALES")</f><v /></c><c r="BL719" s="22"><f>IF(BC719="NO CONFORME","NO CONFORME",IF(BB719="CONFORME","CONFORME","NO CONFORME"))</f><v /></c></row><row r="720" ht="15.75" customHeight="1" thickBot="1"><c r="A720" s="37" t="n"><v>712</v></c><c r="B720" s="324"><f>B719</f><v /></c><c r="C720" s="324"><f>C719</f><v /></c><c r="D720" s="94"><f>D719</f><v /></c><c r="E720" s="95"><f>E719</f><v /></c><c r="F720" s="13" t="n" /><c r="G720" s="312" t="n" /><c r="H720" s="326"><f>H719</f><v /></c><c r="I720" s="98"><f>I719</f><v /></c><c r="J720" s="327"><f>J719</f><v /></c><c r="K720" s="327"><f>K719</f><v /></c><c r="L720" s="327"><f>L719</f><v /></c><c r="M720" s="45" t="n" /><c r="N720" s="45" t="n" /><c r="O720" s="100"><f>O719</f><v /></c><c r="P720" s="328"><f>P719</f><v /></c><c r="Q720" s="11"><f>LEFT(P720,1)</f><v /></c><c r="R720" s="11"><f>RIGHT(P720,6)</f><v /></c><c r="S720" s="11"><f>+(Q720*60+R720)/(60*60)</f><v /></c><c r="T720" s="14"><f>+O720/S720</f><v /></c><c r="U720" s="316"><f>+(((N720-M720-O720)/O720)*100)</f><v /></c><c r="V720" s="329"><f>V719</f><v /></c><c r="W720" s="329"><f>W719</f><v /></c><c r="X720" s="330"><f>X719</f><v /></c><c r="Y720" s="45" t="n" /><c r="Z720" s="45" t="n" /><c r="AA720" s="331"><f>AA719</f><v /></c><c r="AB720" s="332"><f>AB719</f><v /></c><c r="AC720" s="11"><f>LEFT(AB720,2)</f><v /></c><c r="AD720" s="11"><f>RIGHT(AB720,6)</f><v /></c><c r="AE720" s="11"><f>+(AC720*60+AD720)/(60*60)</f><v /></c><c r="AF720" s="14"><f>+AA720/AE720</f><v /></c><c r="AG720" s="321"><f>+(((Z720-Y720-AA720)/AA720)*100)</f><v /></c><c r="AH720" s="329"><f>AH719</f><v /></c><c r="AI720" s="329"><f>AI719</f><v /></c><c r="AJ720" s="329"><f>AJ719</f><v /></c><c r="AK720" s="53"><f>Z720</f><v /></c><c r="AL720" s="45" t="n" /><c r="AM720" s="333"><f>AM719</f><v /></c><c r="AN720" s="328"><f>AN719</f><v /></c><c r="AO720" s="11"><f>LEFT(AN720,2)</f><v /></c><c r="AP720" s="11"><f>RIGHT(AN720,6)</f><v /></c><c r="AQ720" s="11"><f>+(AO720*60+AP720)/(60*60)</f><v /></c><c r="AR720" s="14"><f>+AM720/AQ720</f><v /></c><c r="AS720" s="321"><f>+(((AL720-AK720-AM720)/AM720)*100)</f><v /></c><c r="AT720" s="43"><f>IF(I720&gt;=1,"NO CONFORME",IF(BK720="SIGDIFERENTES",BC720,BL720))</f><v /></c><c r="AU720" s="8"><f>B720=C720</f><v /></c><c r="AV720" s="8"><f>N720&lt;Y720</f><v /></c><c r="AW720" s="8"><f>Z720&lt;=AK720</f><v /></c><c r="AX720" s="8"><f>IF(I720&gt;=1,"Qcorrecto",IF(AND(AY720="aceptable",AZ720="aceptable",BA720="aceptable"),"Qcorrecto","Qincorrecto"))</f><v /></c><c r="AY720" s="22"><f>IF(AR720&lt;$AH$6,"error",IF(AR720&gt;$AH$6*1.1,"error","aceptable"))</f><v /></c><c r="AZ720" s="22"><f>IF(AF720&lt;$V$6,"error",IF(AF720&gt;$V$6*1.1,"error","aceptable"))</f><v /></c><c r="BA720" s="22"><f>IF(T720&lt;$J$6*0.9,"error",IF(T720&gt;$J$6,"error","aceptable"))</f><v /></c><c r="BB720" s="25"><f>(IF(ABS(U720)&lt;1.05,"CONFORME",IF(ABS(AG720)&lt;1.05,"CONFORME",IF(ABS(AS720)&lt;2.55,"CONFORME","NO CONFORME"))))</f><v /></c><c r="BC720" s="5"><f>(IF(ABS(U720)&gt;2.05,"NO CONFORME",IF(ABS(AG720)&gt;2.05,"NO CONFORME",IF(ABS(AS720)&gt;5.05,"NO CONFORME","CONFORME"))))</f><v /></c><c r="BD720" s="15"><f>SIGN(U720)</f><v /></c><c r="BE720" s="15"><f>SIGN(AG720)</f><v /></c><c r="BF720" s="15"><f>SIGN(AS720)</f><v /></c><c r="BG720" s="15"><f>CONCATENATE(BD720,BE720,BF720)</f><v /></c><c r="BH720" s="15"><f>IF(BG720="111","SI","SD")</f><v /></c><c r="BI720" s="15"><f>IF(BG720="-1-1-1","SI","SD")</f><v /></c><c r="BJ720" s="15"><f>OR(BH720="SI",BI720="SI")</f><v /></c><c r="BK720" s="15"><f>IF(BJ720=FALSE,"SIGDIFERENTES","SIGIGUALES")</f><v /></c><c r="BL720" s="22"><f>IF(BC720="NO CONFORME","NO CONFORME",IF(BB720="CONFORME","CONFORME","NO CONFORME"))</f><v /></c></row><row r="721" ht="15.75" customHeight="1" thickBot="1"><c r="A721" s="37" t="n"><v>713</v></c><c r="B721" s="324"><f>B720</f><v /></c><c r="C721" s="324"><f>C720</f><v /></c><c r="D721" s="94"><f>D720</f><v /></c><c r="E721" s="95"><f>E720</f><v /></c><c r="F721" s="13" t="n" /><c r="G721" s="312" t="n" /><c r="H721" s="326"><f>H720</f><v /></c><c r="I721" s="98"><f>I720</f><v /></c><c r="J721" s="327"><f>J720</f><v /></c><c r="K721" s="327"><f>K720</f><v /></c><c r="L721" s="327"><f>L720</f><v /></c><c r="M721" s="45" t="n" /><c r="N721" s="45" t="n" /><c r="O721" s="100"><f>O720</f><v /></c><c r="P721" s="328"><f>P720</f><v /></c><c r="Q721" s="11"><f>LEFT(P721,1)</f><v /></c><c r="R721" s="11"><f>RIGHT(P721,6)</f><v /></c><c r="S721" s="11"><f>+(Q721*60+R721)/(60*60)</f><v /></c><c r="T721" s="14"><f>+O721/S721</f><v /></c><c r="U721" s="316"><f>+(((N721-M721-O721)/O721)*100)</f><v /></c><c r="V721" s="329"><f>V720</f><v /></c><c r="W721" s="329"><f>W720</f><v /></c><c r="X721" s="330"><f>X720</f><v /></c><c r="Y721" s="45" t="n" /><c r="Z721" s="45" t="n" /><c r="AA721" s="331"><f>AA720</f><v /></c><c r="AB721" s="332"><f>AB720</f><v /></c><c r="AC721" s="11"><f>LEFT(AB721,2)</f><v /></c><c r="AD721" s="11"><f>RIGHT(AB721,6)</f><v /></c><c r="AE721" s="11"><f>+(AC721*60+AD721)/(60*60)</f><v /></c><c r="AF721" s="14"><f>+AA721/AE721</f><v /></c><c r="AG721" s="321"><f>+(((Z721-Y721-AA721)/AA721)*100)</f><v /></c><c r="AH721" s="329"><f>AH720</f><v /></c><c r="AI721" s="329"><f>AI720</f><v /></c><c r="AJ721" s="329"><f>AJ720</f><v /></c><c r="AK721" s="53"><f>Z721</f><v /></c><c r="AL721" s="45" t="n" /><c r="AM721" s="333"><f>AM720</f><v /></c><c r="AN721" s="328"><f>AN720</f><v /></c><c r="AO721" s="11"><f>LEFT(AN721,2)</f><v /></c><c r="AP721" s="11"><f>RIGHT(AN721,6)</f><v /></c><c r="AQ721" s="11"><f>+(AO721*60+AP721)/(60*60)</f><v /></c><c r="AR721" s="14"><f>+AM721/AQ721</f><v /></c><c r="AS721" s="321"><f>+(((AL721-AK721-AM721)/AM721)*100)</f><v /></c><c r="AT721" s="43"><f>IF(I721&gt;=1,"NO CONFORME",IF(BK721="SIGDIFERENTES",BC721,BL721))</f><v /></c><c r="AU721" s="8"><f>B721=C721</f><v /></c><c r="AV721" s="8"><f>N721&lt;Y721</f><v /></c><c r="AW721" s="8"><f>Z721&lt;=AK721</f><v /></c><c r="AX721" s="8"><f>IF(I721&gt;=1,"Qcorrecto",IF(AND(AY721="aceptable",AZ721="aceptable",BA721="aceptable"),"Qcorrecto","Qincorrecto"))</f><v /></c><c r="AY721" s="22"><f>IF(AR721&lt;$AH$6,"error",IF(AR721&gt;$AH$6*1.1,"error","aceptable"))</f><v /></c><c r="AZ721" s="22"><f>IF(AF721&lt;$V$6,"error",IF(AF721&gt;$V$6*1.1,"error","aceptable"))</f><v /></c><c r="BA721" s="22"><f>IF(T721&lt;$J$6*0.9,"error",IF(T721&gt;$J$6,"error","aceptable"))</f><v /></c><c r="BB721" s="25"><f>(IF(ABS(U721)&lt;1.05,"CONFORME",IF(ABS(AG721)&lt;1.05,"CONFORME",IF(ABS(AS721)&lt;2.55,"CONFORME","NO CONFORME"))))</f><v /></c><c r="BC721" s="5"><f>(IF(ABS(U721)&gt;2.05,"NO CONFORME",IF(ABS(AG721)&gt;2.05,"NO CONFORME",IF(ABS(AS721)&gt;5.05,"NO CONFORME","CONFORME"))))</f><v /></c><c r="BD721" s="15"><f>SIGN(U721)</f><v /></c><c r="BE721" s="15"><f>SIGN(AG721)</f><v /></c><c r="BF721" s="15"><f>SIGN(AS721)</f><v /></c><c r="BG721" s="15"><f>CONCATENATE(BD721,BE721,BF721)</f><v /></c><c r="BH721" s="15"><f>IF(BG721="111","SI","SD")</f><v /></c><c r="BI721" s="15"><f>IF(BG721="-1-1-1","SI","SD")</f><v /></c><c r="BJ721" s="15"><f>OR(BH721="SI",BI721="SI")</f><v /></c><c r="BK721" s="15"><f>IF(BJ721=FALSE,"SIGDIFERENTES","SIGIGUALES")</f><v /></c><c r="BL721" s="22"><f>IF(BC721="NO CONFORME","NO CONFORME",IF(BB721="CONFORME","CONFORME","NO CONFORME"))</f><v /></c></row><row r="722" ht="15.75" customHeight="1" thickBot="1"><c r="A722" s="37" t="n"><v>714</v></c><c r="B722" s="324"><f>B721</f><v /></c><c r="C722" s="324"><f>C721</f><v /></c><c r="D722" s="94"><f>D721</f><v /></c><c r="E722" s="95"><f>E721</f><v /></c><c r="F722" s="13" t="n" /><c r="G722" s="312" t="n" /><c r="H722" s="326"><f>H721</f><v /></c><c r="I722" s="98"><f>I721</f><v /></c><c r="J722" s="327"><f>J721</f><v /></c><c r="K722" s="327"><f>K721</f><v /></c><c r="L722" s="327"><f>L721</f><v /></c><c r="M722" s="45" t="n" /><c r="N722" s="45" t="n" /><c r="O722" s="100"><f>O721</f><v /></c><c r="P722" s="328"><f>P721</f><v /></c><c r="Q722" s="11"><f>LEFT(P722,1)</f><v /></c><c r="R722" s="11"><f>RIGHT(P722,6)</f><v /></c><c r="S722" s="11"><f>+(Q722*60+R722)/(60*60)</f><v /></c><c r="T722" s="14"><f>+O722/S722</f><v /></c><c r="U722" s="316"><f>+(((N722-M722-O722)/O722)*100)</f><v /></c><c r="V722" s="329"><f>V721</f><v /></c><c r="W722" s="329"><f>W721</f><v /></c><c r="X722" s="330"><f>X721</f><v /></c><c r="Y722" s="45" t="n" /><c r="Z722" s="45" t="n" /><c r="AA722" s="331"><f>AA721</f><v /></c><c r="AB722" s="332"><f>AB721</f><v /></c><c r="AC722" s="11"><f>LEFT(AB722,2)</f><v /></c><c r="AD722" s="11"><f>RIGHT(AB722,6)</f><v /></c><c r="AE722" s="11"><f>+(AC722*60+AD722)/(60*60)</f><v /></c><c r="AF722" s="14"><f>+AA722/AE722</f><v /></c><c r="AG722" s="321"><f>+(((Z722-Y722-AA722)/AA722)*100)</f><v /></c><c r="AH722" s="329"><f>AH721</f><v /></c><c r="AI722" s="329"><f>AI721</f><v /></c><c r="AJ722" s="329"><f>AJ721</f><v /></c><c r="AK722" s="53"><f>Z722</f><v /></c><c r="AL722" s="45" t="n" /><c r="AM722" s="333"><f>AM721</f><v /></c><c r="AN722" s="328"><f>AN721</f><v /></c><c r="AO722" s="11"><f>LEFT(AN722,2)</f><v /></c><c r="AP722" s="11"><f>RIGHT(AN722,6)</f><v /></c><c r="AQ722" s="11"><f>+(AO722*60+AP722)/(60*60)</f><v /></c><c r="AR722" s="14"><f>+AM722/AQ722</f><v /></c><c r="AS722" s="321"><f>+(((AL722-AK722-AM722)/AM722)*100)</f><v /></c><c r="AT722" s="43"><f>IF(I722&gt;=1,"NO CONFORME",IF(BK722="SIGDIFERENTES",BC722,BL722))</f><v /></c><c r="AU722" s="8"><f>B722=C722</f><v /></c><c r="AV722" s="8"><f>N722&lt;Y722</f><v /></c><c r="AW722" s="8"><f>Z722&lt;=AK722</f><v /></c><c r="AX722" s="8"><f>IF(I722&gt;=1,"Qcorrecto",IF(AND(AY722="aceptable",AZ722="aceptable",BA722="aceptable"),"Qcorrecto","Qincorrecto"))</f><v /></c><c r="AY722" s="22"><f>IF(AR722&lt;$AH$6,"error",IF(AR722&gt;$AH$6*1.1,"error","aceptable"))</f><v /></c><c r="AZ722" s="22"><f>IF(AF722&lt;$V$6,"error",IF(AF722&gt;$V$6*1.1,"error","aceptable"))</f><v /></c><c r="BA722" s="22"><f>IF(T722&lt;$J$6*0.9,"error",IF(T722&gt;$J$6,"error","aceptable"))</f><v /></c><c r="BB722" s="25"><f>(IF(ABS(U722)&lt;1.05,"CONFORME",IF(ABS(AG722)&lt;1.05,"CONFORME",IF(ABS(AS722)&lt;2.55,"CONFORME","NO CONFORME"))))</f><v /></c><c r="BC722" s="5"><f>(IF(ABS(U722)&gt;2.05,"NO CONFORME",IF(ABS(AG722)&gt;2.05,"NO CONFORME",IF(ABS(AS722)&gt;5.05,"NO CONFORME","CONFORME"))))</f><v /></c><c r="BD722" s="15"><f>SIGN(U722)</f><v /></c><c r="BE722" s="15"><f>SIGN(AG722)</f><v /></c><c r="BF722" s="15"><f>SIGN(AS722)</f><v /></c><c r="BG722" s="15"><f>CONCATENATE(BD722,BE722,BF722)</f><v /></c><c r="BH722" s="15"><f>IF(BG722="111","SI","SD")</f><v /></c><c r="BI722" s="15"><f>IF(BG722="-1-1-1","SI","SD")</f><v /></c><c r="BJ722" s="15"><f>OR(BH722="SI",BI722="SI")</f><v /></c><c r="BK722" s="15"><f>IF(BJ722=FALSE,"SIGDIFERENTES","SIGIGUALES")</f><v /></c><c r="BL722" s="22"><f>IF(BC722="NO CONFORME","NO CONFORME",IF(BB722="CONFORME","CONFORME","NO CONFORME"))</f><v /></c></row><row r="723" ht="15.75" customHeight="1" thickBot="1"><c r="A723" s="37" t="n"><v>715</v></c><c r="B723" s="324"><f>B722</f><v /></c><c r="C723" s="324"><f>C722</f><v /></c><c r="D723" s="94"><f>D722</f><v /></c><c r="E723" s="95"><f>E722</f><v /></c><c r="F723" s="13" t="n" /><c r="G723" s="312" t="n" /><c r="H723" s="326"><f>H722</f><v /></c><c r="I723" s="98"><f>I722</f><v /></c><c r="J723" s="327"><f>J722</f><v /></c><c r="K723" s="327"><f>K722</f><v /></c><c r="L723" s="327"><f>L722</f><v /></c><c r="M723" s="45" t="n" /><c r="N723" s="45" t="n" /><c r="O723" s="100"><f>O722</f><v /></c><c r="P723" s="328"><f>P722</f><v /></c><c r="Q723" s="11"><f>LEFT(P723,1)</f><v /></c><c r="R723" s="11"><f>RIGHT(P723,6)</f><v /></c><c r="S723" s="11"><f>+(Q723*60+R723)/(60*60)</f><v /></c><c r="T723" s="14"><f>+O723/S723</f><v /></c><c r="U723" s="316"><f>+(((N723-M723-O723)/O723)*100)</f><v /></c><c r="V723" s="329"><f>V722</f><v /></c><c r="W723" s="329"><f>W722</f><v /></c><c r="X723" s="330"><f>X722</f><v /></c><c r="Y723" s="45" t="n" /><c r="Z723" s="45" t="n" /><c r="AA723" s="331"><f>AA722</f><v /></c><c r="AB723" s="332"><f>AB722</f><v /></c><c r="AC723" s="11"><f>LEFT(AB723,2)</f><v /></c><c r="AD723" s="11"><f>RIGHT(AB723,6)</f><v /></c><c r="AE723" s="11"><f>+(AC723*60+AD723)/(60*60)</f><v /></c><c r="AF723" s="14"><f>+AA723/AE723</f><v /></c><c r="AG723" s="321"><f>+(((Z723-Y723-AA723)/AA723)*100)</f><v /></c><c r="AH723" s="329"><f>AH722</f><v /></c><c r="AI723" s="329"><f>AI722</f><v /></c><c r="AJ723" s="329"><f>AJ722</f><v /></c><c r="AK723" s="53"><f>Z723</f><v /></c><c r="AL723" s="45" t="n" /><c r="AM723" s="333"><f>AM722</f><v /></c><c r="AN723" s="328"><f>AN722</f><v /></c><c r="AO723" s="11"><f>LEFT(AN723,2)</f><v /></c><c r="AP723" s="11"><f>RIGHT(AN723,6)</f><v /></c><c r="AQ723" s="11"><f>+(AO723*60+AP723)/(60*60)</f><v /></c><c r="AR723" s="14"><f>+AM723/AQ723</f><v /></c><c r="AS723" s="321"><f>+(((AL723-AK723-AM723)/AM723)*100)</f><v /></c><c r="AT723" s="43"><f>IF(I723&gt;=1,"NO CONFORME",IF(BK723="SIGDIFERENTES",BC723,BL723))</f><v /></c><c r="AU723" s="8"><f>B723=C723</f><v /></c><c r="AV723" s="8"><f>N723&lt;Y723</f><v /></c><c r="AW723" s="8"><f>Z723&lt;=AK723</f><v /></c><c r="AX723" s="8"><f>IF(I723&gt;=1,"Qcorrecto",IF(AND(AY723="aceptable",AZ723="aceptable",BA723="aceptable"),"Qcorrecto","Qincorrecto"))</f><v /></c><c r="AY723" s="22"><f>IF(AR723&lt;$AH$6,"error",IF(AR723&gt;$AH$6*1.1,"error","aceptable"))</f><v /></c><c r="AZ723" s="22"><f>IF(AF723&lt;$V$6,"error",IF(AF723&gt;$V$6*1.1,"error","aceptable"))</f><v /></c><c r="BA723" s="22"><f>IF(T723&lt;$J$6*0.9,"error",IF(T723&gt;$J$6,"error","aceptable"))</f><v /></c><c r="BB723" s="25"><f>(IF(ABS(U723)&lt;1.05,"CONFORME",IF(ABS(AG723)&lt;1.05,"CONFORME",IF(ABS(AS723)&lt;2.55,"CONFORME","NO CONFORME"))))</f><v /></c><c r="BC723" s="5"><f>(IF(ABS(U723)&gt;2.05,"NO CONFORME",IF(ABS(AG723)&gt;2.05,"NO CONFORME",IF(ABS(AS723)&gt;5.05,"NO CONFORME","CONFORME"))))</f><v /></c><c r="BD723" s="15"><f>SIGN(U723)</f><v /></c><c r="BE723" s="15"><f>SIGN(AG723)</f><v /></c><c r="BF723" s="15"><f>SIGN(AS723)</f><v /></c><c r="BG723" s="15"><f>CONCATENATE(BD723,BE723,BF723)</f><v /></c><c r="BH723" s="15"><f>IF(BG723="111","SI","SD")</f><v /></c><c r="BI723" s="15"><f>IF(BG723="-1-1-1","SI","SD")</f><v /></c><c r="BJ723" s="15"><f>OR(BH723="SI",BI723="SI")</f><v /></c><c r="BK723" s="15"><f>IF(BJ723=FALSE,"SIGDIFERENTES","SIGIGUALES")</f><v /></c><c r="BL723" s="22"><f>IF(BC723="NO CONFORME","NO CONFORME",IF(BB723="CONFORME","CONFORME","NO CONFORME"))</f><v /></c></row><row r="724" ht="15.75" customHeight="1" thickBot="1"><c r="A724" s="37" t="n"><v>716</v></c><c r="B724" s="324"><f>B723</f><v /></c><c r="C724" s="324"><f>C723</f><v /></c><c r="D724" s="94"><f>D723</f><v /></c><c r="E724" s="95"><f>E723</f><v /></c><c r="F724" s="13" t="n" /><c r="G724" s="312" t="n" /><c r="H724" s="326"><f>H723</f><v /></c><c r="I724" s="98"><f>I723</f><v /></c><c r="J724" s="327"><f>J723</f><v /></c><c r="K724" s="327"><f>K723</f><v /></c><c r="L724" s="327"><f>L723</f><v /></c><c r="M724" s="45" t="n" /><c r="N724" s="45" t="n" /><c r="O724" s="100"><f>O723</f><v /></c><c r="P724" s="328"><f>P723</f><v /></c><c r="Q724" s="11"><f>LEFT(P724,1)</f><v /></c><c r="R724" s="11"><f>RIGHT(P724,6)</f><v /></c><c r="S724" s="11"><f>+(Q724*60+R724)/(60*60)</f><v /></c><c r="T724" s="14"><f>+O724/S724</f><v /></c><c r="U724" s="316"><f>+(((N724-M724-O724)/O724)*100)</f><v /></c><c r="V724" s="329"><f>V723</f><v /></c><c r="W724" s="329"><f>W723</f><v /></c><c r="X724" s="330"><f>X723</f><v /></c><c r="Y724" s="45" t="n" /><c r="Z724" s="45" t="n" /><c r="AA724" s="331"><f>AA723</f><v /></c><c r="AB724" s="332"><f>AB723</f><v /></c><c r="AC724" s="11"><f>LEFT(AB724,2)</f><v /></c><c r="AD724" s="11"><f>RIGHT(AB724,6)</f><v /></c><c r="AE724" s="11"><f>+(AC724*60+AD724)/(60*60)</f><v /></c><c r="AF724" s="14"><f>+AA724/AE724</f><v /></c><c r="AG724" s="321"><f>+(((Z724-Y724-AA724)/AA724)*100)</f><v /></c><c r="AH724" s="329"><f>AH723</f><v /></c><c r="AI724" s="329"><f>AI723</f><v /></c><c r="AJ724" s="329"><f>AJ723</f><v /></c><c r="AK724" s="53"><f>Z724</f><v /></c><c r="AL724" s="45" t="n" /><c r="AM724" s="333"><f>AM723</f><v /></c><c r="AN724" s="328"><f>AN723</f><v /></c><c r="AO724" s="11"><f>LEFT(AN724,2)</f><v /></c><c r="AP724" s="11"><f>RIGHT(AN724,6)</f><v /></c><c r="AQ724" s="11"><f>+(AO724*60+AP724)/(60*60)</f><v /></c><c r="AR724" s="14"><f>+AM724/AQ724</f><v /></c><c r="AS724" s="321"><f>+(((AL724-AK724-AM724)/AM724)*100)</f><v /></c><c r="AT724" s="43"><f>IF(I724&gt;=1,"NO CONFORME",IF(BK724="SIGDIFERENTES",BC724,BL724))</f><v /></c><c r="AU724" s="8"><f>B724=C724</f><v /></c><c r="AV724" s="8"><f>N724&lt;Y724</f><v /></c><c r="AW724" s="8"><f>Z724&lt;=AK724</f><v /></c><c r="AX724" s="8"><f>IF(I724&gt;=1,"Qcorrecto",IF(AND(AY724="aceptable",AZ724="aceptable",BA724="aceptable"),"Qcorrecto","Qincorrecto"))</f><v /></c><c r="AY724" s="22"><f>IF(AR724&lt;$AH$6,"error",IF(AR724&gt;$AH$6*1.1,"error","aceptable"))</f><v /></c><c r="AZ724" s="22"><f>IF(AF724&lt;$V$6,"error",IF(AF724&gt;$V$6*1.1,"error","aceptable"))</f><v /></c><c r="BA724" s="22"><f>IF(T724&lt;$J$6*0.9,"error",IF(T724&gt;$J$6,"error","aceptable"))</f><v /></c><c r="BB724" s="25"><f>(IF(ABS(U724)&lt;1.05,"CONFORME",IF(ABS(AG724)&lt;1.05,"CONFORME",IF(ABS(AS724)&lt;2.55,"CONFORME","NO CONFORME"))))</f><v /></c><c r="BC724" s="5"><f>(IF(ABS(U724)&gt;2.05,"NO CONFORME",IF(ABS(AG724)&gt;2.05,"NO CONFORME",IF(ABS(AS724)&gt;5.05,"NO CONFORME","CONFORME"))))</f><v /></c><c r="BD724" s="15"><f>SIGN(U724)</f><v /></c><c r="BE724" s="15"><f>SIGN(AG724)</f><v /></c><c r="BF724" s="15"><f>SIGN(AS724)</f><v /></c><c r="BG724" s="15"><f>CONCATENATE(BD724,BE724,BF724)</f><v /></c><c r="BH724" s="15"><f>IF(BG724="111","SI","SD")</f><v /></c><c r="BI724" s="15"><f>IF(BG724="-1-1-1","SI","SD")</f><v /></c><c r="BJ724" s="15"><f>OR(BH724="SI",BI724="SI")</f><v /></c><c r="BK724" s="15"><f>IF(BJ724=FALSE,"SIGDIFERENTES","SIGIGUALES")</f><v /></c><c r="BL724" s="22"><f>IF(BC724="NO CONFORME","NO CONFORME",IF(BB724="CONFORME","CONFORME","NO CONFORME"))</f><v /></c></row><row r="725" ht="15.75" customHeight="1" thickBot="1"><c r="A725" s="37" t="n"><v>717</v></c><c r="B725" s="324"><f>B724</f><v /></c><c r="C725" s="324"><f>C724</f><v /></c><c r="D725" s="94"><f>D724</f><v /></c><c r="E725" s="95"><f>E724</f><v /></c><c r="F725" s="13" t="n" /><c r="G725" s="312" t="n" /><c r="H725" s="326"><f>H724</f><v /></c><c r="I725" s="98"><f>I724</f><v /></c><c r="J725" s="327"><f>J724</f><v /></c><c r="K725" s="327"><f>K724</f><v /></c><c r="L725" s="327"><f>L724</f><v /></c><c r="M725" s="45" t="n" /><c r="N725" s="45" t="n" /><c r="O725" s="100"><f>O724</f><v /></c><c r="P725" s="328"><f>P724</f><v /></c><c r="Q725" s="11"><f>LEFT(P725,1)</f><v /></c><c r="R725" s="11"><f>RIGHT(P725,6)</f><v /></c><c r="S725" s="11"><f>+(Q725*60+R725)/(60*60)</f><v /></c><c r="T725" s="14"><f>+O725/S725</f><v /></c><c r="U725" s="316"><f>+(((N725-M725-O725)/O725)*100)</f><v /></c><c r="V725" s="329"><f>V724</f><v /></c><c r="W725" s="329"><f>W724</f><v /></c><c r="X725" s="330"><f>X724</f><v /></c><c r="Y725" s="45" t="n" /><c r="Z725" s="45" t="n" /><c r="AA725" s="331"><f>AA724</f><v /></c><c r="AB725" s="332"><f>AB724</f><v /></c><c r="AC725" s="11"><f>LEFT(AB725,2)</f><v /></c><c r="AD725" s="11"><f>RIGHT(AB725,6)</f><v /></c><c r="AE725" s="11"><f>+(AC725*60+AD725)/(60*60)</f><v /></c><c r="AF725" s="14"><f>+AA725/AE725</f><v /></c><c r="AG725" s="321"><f>+(((Z725-Y725-AA725)/AA725)*100)</f><v /></c><c r="AH725" s="329"><f>AH724</f><v /></c><c r="AI725" s="329"><f>AI724</f><v /></c><c r="AJ725" s="329"><f>AJ724</f><v /></c><c r="AK725" s="53"><f>Z725</f><v /></c><c r="AL725" s="45" t="n" /><c r="AM725" s="333"><f>AM724</f><v /></c><c r="AN725" s="328"><f>AN724</f><v /></c><c r="AO725" s="11"><f>LEFT(AN725,2)</f><v /></c><c r="AP725" s="11"><f>RIGHT(AN725,6)</f><v /></c><c r="AQ725" s="11"><f>+(AO725*60+AP725)/(60*60)</f><v /></c><c r="AR725" s="14"><f>+AM725/AQ725</f><v /></c><c r="AS725" s="321"><f>+(((AL725-AK725-AM725)/AM725)*100)</f><v /></c><c r="AT725" s="43"><f>IF(I725&gt;=1,"NO CONFORME",IF(BK725="SIGDIFERENTES",BC725,BL725))</f><v /></c><c r="AU725" s="8"><f>B725=C725</f><v /></c><c r="AV725" s="8"><f>N725&lt;Y725</f><v /></c><c r="AW725" s="8"><f>Z725&lt;=AK725</f><v /></c><c r="AX725" s="8"><f>IF(I725&gt;=1,"Qcorrecto",IF(AND(AY725="aceptable",AZ725="aceptable",BA725="aceptable"),"Qcorrecto","Qincorrecto"))</f><v /></c><c r="AY725" s="22"><f>IF(AR725&lt;$AH$6,"error",IF(AR725&gt;$AH$6*1.1,"error","aceptable"))</f><v /></c><c r="AZ725" s="22"><f>IF(AF725&lt;$V$6,"error",IF(AF725&gt;$V$6*1.1,"error","aceptable"))</f><v /></c><c r="BA725" s="22"><f>IF(T725&lt;$J$6*0.9,"error",IF(T725&gt;$J$6,"error","aceptable"))</f><v /></c><c r="BB725" s="25"><f>(IF(ABS(U725)&lt;1.05,"CONFORME",IF(ABS(AG725)&lt;1.05,"CONFORME",IF(ABS(AS725)&lt;2.55,"CONFORME","NO CONFORME"))))</f><v /></c><c r="BC725" s="5"><f>(IF(ABS(U725)&gt;2.05,"NO CONFORME",IF(ABS(AG725)&gt;2.05,"NO CONFORME",IF(ABS(AS725)&gt;5.05,"NO CONFORME","CONFORME"))))</f><v /></c><c r="BD725" s="15"><f>SIGN(U725)</f><v /></c><c r="BE725" s="15"><f>SIGN(AG725)</f><v /></c><c r="BF725" s="15"><f>SIGN(AS725)</f><v /></c><c r="BG725" s="15"><f>CONCATENATE(BD725,BE725,BF725)</f><v /></c><c r="BH725" s="15"><f>IF(BG725="111","SI","SD")</f><v /></c><c r="BI725" s="15"><f>IF(BG725="-1-1-1","SI","SD")</f><v /></c><c r="BJ725" s="15"><f>OR(BH725="SI",BI725="SI")</f><v /></c><c r="BK725" s="15"><f>IF(BJ725=FALSE,"SIGDIFERENTES","SIGIGUALES")</f><v /></c><c r="BL725" s="22"><f>IF(BC725="NO CONFORME","NO CONFORME",IF(BB725="CONFORME","CONFORME","NO CONFORME"))</f><v /></c></row><row r="726" ht="15.75" customHeight="1" thickBot="1"><c r="A726" s="37" t="n"><v>718</v></c><c r="B726" s="324"><f>B725</f><v /></c><c r="C726" s="324"><f>C725</f><v /></c><c r="D726" s="94"><f>D725</f><v /></c><c r="E726" s="95"><f>E725</f><v /></c><c r="F726" s="13" t="n" /><c r="G726" s="312" t="n" /><c r="H726" s="326"><f>H725</f><v /></c><c r="I726" s="98"><f>I725</f><v /></c><c r="J726" s="327"><f>J725</f><v /></c><c r="K726" s="327"><f>K725</f><v /></c><c r="L726" s="327"><f>L725</f><v /></c><c r="M726" s="45" t="n" /><c r="N726" s="45" t="n" /><c r="O726" s="100"><f>O725</f><v /></c><c r="P726" s="328"><f>P725</f><v /></c><c r="Q726" s="11"><f>LEFT(P726,1)</f><v /></c><c r="R726" s="11"><f>RIGHT(P726,6)</f><v /></c><c r="S726" s="11"><f>+(Q726*60+R726)/(60*60)</f><v /></c><c r="T726" s="14"><f>+O726/S726</f><v /></c><c r="U726" s="316"><f>+(((N726-M726-O726)/O726)*100)</f><v /></c><c r="V726" s="329"><f>V725</f><v /></c><c r="W726" s="329"><f>W725</f><v /></c><c r="X726" s="330"><f>X725</f><v /></c><c r="Y726" s="45" t="n" /><c r="Z726" s="45" t="n" /><c r="AA726" s="331"><f>AA725</f><v /></c><c r="AB726" s="332"><f>AB725</f><v /></c><c r="AC726" s="11"><f>LEFT(AB726,2)</f><v /></c><c r="AD726" s="11"><f>RIGHT(AB726,6)</f><v /></c><c r="AE726" s="11"><f>+(AC726*60+AD726)/(60*60)</f><v /></c><c r="AF726" s="14"><f>+AA726/AE726</f><v /></c><c r="AG726" s="321"><f>+(((Z726-Y726-AA726)/AA726)*100)</f><v /></c><c r="AH726" s="329"><f>AH725</f><v /></c><c r="AI726" s="329"><f>AI725</f><v /></c><c r="AJ726" s="329"><f>AJ725</f><v /></c><c r="AK726" s="53"><f>Z726</f><v /></c><c r="AL726" s="45" t="n" /><c r="AM726" s="333"><f>AM725</f><v /></c><c r="AN726" s="328"><f>AN725</f><v /></c><c r="AO726" s="11"><f>LEFT(AN726,2)</f><v /></c><c r="AP726" s="11"><f>RIGHT(AN726,6)</f><v /></c><c r="AQ726" s="11"><f>+(AO726*60+AP726)/(60*60)</f><v /></c><c r="AR726" s="14"><f>+AM726/AQ726</f><v /></c><c r="AS726" s="321"><f>+(((AL726-AK726-AM726)/AM726)*100)</f><v /></c><c r="AT726" s="43"><f>IF(I726&gt;=1,"NO CONFORME",IF(BK726="SIGDIFERENTES",BC726,BL726))</f><v /></c><c r="AU726" s="8"><f>B726=C726</f><v /></c><c r="AV726" s="8"><f>N726&lt;Y726</f><v /></c><c r="AW726" s="8"><f>Z726&lt;=AK726</f><v /></c><c r="AX726" s="8"><f>IF(I726&gt;=1,"Qcorrecto",IF(AND(AY726="aceptable",AZ726="aceptable",BA726="aceptable"),"Qcorrecto","Qincorrecto"))</f><v /></c><c r="AY726" s="22"><f>IF(AR726&lt;$AH$6,"error",IF(AR726&gt;$AH$6*1.1,"error","aceptable"))</f><v /></c><c r="AZ726" s="22"><f>IF(AF726&lt;$V$6,"error",IF(AF726&gt;$V$6*1.1,"error","aceptable"))</f><v /></c><c r="BA726" s="22"><f>IF(T726&lt;$J$6*0.9,"error",IF(T726&gt;$J$6,"error","aceptable"))</f><v /></c><c r="BB726" s="25"><f>(IF(ABS(U726)&lt;1.05,"CONFORME",IF(ABS(AG726)&lt;1.05,"CONFORME",IF(ABS(AS726)&lt;2.55,"CONFORME","NO CONFORME"))))</f><v /></c><c r="BC726" s="5"><f>(IF(ABS(U726)&gt;2.05,"NO CONFORME",IF(ABS(AG726)&gt;2.05,"NO CONFORME",IF(ABS(AS726)&gt;5.05,"NO CONFORME","CONFORME"))))</f><v /></c><c r="BD726" s="15"><f>SIGN(U726)</f><v /></c><c r="BE726" s="15"><f>SIGN(AG726)</f><v /></c><c r="BF726" s="15"><f>SIGN(AS726)</f><v /></c><c r="BG726" s="15"><f>CONCATENATE(BD726,BE726,BF726)</f><v /></c><c r="BH726" s="15"><f>IF(BG726="111","SI","SD")</f><v /></c><c r="BI726" s="15"><f>IF(BG726="-1-1-1","SI","SD")</f><v /></c><c r="BJ726" s="15"><f>OR(BH726="SI",BI726="SI")</f><v /></c><c r="BK726" s="15"><f>IF(BJ726=FALSE,"SIGDIFERENTES","SIGIGUALES")</f><v /></c><c r="BL726" s="22"><f>IF(BC726="NO CONFORME","NO CONFORME",IF(BB726="CONFORME","CONFORME","NO CONFORME"))</f><v /></c></row><row r="727" ht="15.75" customHeight="1" thickBot="1"><c r="A727" s="37" t="n"><v>719</v></c><c r="B727" s="324"><f>B726</f><v /></c><c r="C727" s="324"><f>C726</f><v /></c><c r="D727" s="94"><f>D726</f><v /></c><c r="E727" s="95"><f>E726</f><v /></c><c r="F727" s="13" t="n" /><c r="G727" s="312" t="n" /><c r="H727" s="326"><f>H726</f><v /></c><c r="I727" s="98"><f>I726</f><v /></c><c r="J727" s="327"><f>J726</f><v /></c><c r="K727" s="327"><f>K726</f><v /></c><c r="L727" s="327"><f>L726</f><v /></c><c r="M727" s="45" t="n" /><c r="N727" s="45" t="n" /><c r="O727" s="100"><f>O726</f><v /></c><c r="P727" s="328"><f>P726</f><v /></c><c r="Q727" s="11"><f>LEFT(P727,1)</f><v /></c><c r="R727" s="11"><f>RIGHT(P727,6)</f><v /></c><c r="S727" s="11"><f>+(Q727*60+R727)/(60*60)</f><v /></c><c r="T727" s="14"><f>+O727/S727</f><v /></c><c r="U727" s="316"><f>+(((N727-M727-O727)/O727)*100)</f><v /></c><c r="V727" s="329"><f>V726</f><v /></c><c r="W727" s="329"><f>W726</f><v /></c><c r="X727" s="330"><f>X726</f><v /></c><c r="Y727" s="45" t="n" /><c r="Z727" s="45" t="n" /><c r="AA727" s="331"><f>AA726</f><v /></c><c r="AB727" s="332"><f>AB726</f><v /></c><c r="AC727" s="11"><f>LEFT(AB727,2)</f><v /></c><c r="AD727" s="11"><f>RIGHT(AB727,6)</f><v /></c><c r="AE727" s="11"><f>+(AC727*60+AD727)/(60*60)</f><v /></c><c r="AF727" s="14"><f>+AA727/AE727</f><v /></c><c r="AG727" s="321"><f>+(((Z727-Y727-AA727)/AA727)*100)</f><v /></c><c r="AH727" s="329"><f>AH726</f><v /></c><c r="AI727" s="329"><f>AI726</f><v /></c><c r="AJ727" s="329"><f>AJ726</f><v /></c><c r="AK727" s="53"><f>Z727</f><v /></c><c r="AL727" s="45" t="n" /><c r="AM727" s="333"><f>AM726</f><v /></c><c r="AN727" s="328"><f>AN726</f><v /></c><c r="AO727" s="11"><f>LEFT(AN727,2)</f><v /></c><c r="AP727" s="11"><f>RIGHT(AN727,6)</f><v /></c><c r="AQ727" s="11"><f>+(AO727*60+AP727)/(60*60)</f><v /></c><c r="AR727" s="14"><f>+AM727/AQ727</f><v /></c><c r="AS727" s="321"><f>+(((AL727-AK727-AM727)/AM727)*100)</f><v /></c><c r="AT727" s="43"><f>IF(I727&gt;=1,"NO CONFORME",IF(BK727="SIGDIFERENTES",BC727,BL727))</f><v /></c><c r="AU727" s="8"><f>B727=C727</f><v /></c><c r="AV727" s="8"><f>N727&lt;Y727</f><v /></c><c r="AW727" s="8"><f>Z727&lt;=AK727</f><v /></c><c r="AX727" s="8"><f>IF(I727&gt;=1,"Qcorrecto",IF(AND(AY727="aceptable",AZ727="aceptable",BA727="aceptable"),"Qcorrecto","Qincorrecto"))</f><v /></c><c r="AY727" s="22"><f>IF(AR727&lt;$AH$6,"error",IF(AR727&gt;$AH$6*1.1,"error","aceptable"))</f><v /></c><c r="AZ727" s="22"><f>IF(AF727&lt;$V$6,"error",IF(AF727&gt;$V$6*1.1,"error","aceptable"))</f><v /></c><c r="BA727" s="22"><f>IF(T727&lt;$J$6*0.9,"error",IF(T727&gt;$J$6,"error","aceptable"))</f><v /></c><c r="BB727" s="25"><f>(IF(ABS(U727)&lt;1.05,"CONFORME",IF(ABS(AG727)&lt;1.05,"CONFORME",IF(ABS(AS727)&lt;2.55,"CONFORME","NO CONFORME"))))</f><v /></c><c r="BC727" s="5"><f>(IF(ABS(U727)&gt;2.05,"NO CONFORME",IF(ABS(AG727)&gt;2.05,"NO CONFORME",IF(ABS(AS727)&gt;5.05,"NO CONFORME","CONFORME"))))</f><v /></c><c r="BD727" s="15"><f>SIGN(U727)</f><v /></c><c r="BE727" s="15"><f>SIGN(AG727)</f><v /></c><c r="BF727" s="15"><f>SIGN(AS727)</f><v /></c><c r="BG727" s="15"><f>CONCATENATE(BD727,BE727,BF727)</f><v /></c><c r="BH727" s="15"><f>IF(BG727="111","SI","SD")</f><v /></c><c r="BI727" s="15"><f>IF(BG727="-1-1-1","SI","SD")</f><v /></c><c r="BJ727" s="15"><f>OR(BH727="SI",BI727="SI")</f><v /></c><c r="BK727" s="15"><f>IF(BJ727=FALSE,"SIGDIFERENTES","SIGIGUALES")</f><v /></c><c r="BL727" s="22"><f>IF(BC727="NO CONFORME","NO CONFORME",IF(BB727="CONFORME","CONFORME","NO CONFORME"))</f><v /></c></row><row r="728" ht="15.75" customHeight="1" thickBot="1"><c r="A728" s="37" t="n"><v>720</v></c><c r="B728" s="324"><f>B727</f><v /></c><c r="C728" s="324"><f>C727</f><v /></c><c r="D728" s="94"><f>D727</f><v /></c><c r="E728" s="95"><f>E727</f><v /></c><c r="F728" s="13" t="n" /><c r="G728" s="312" t="n" /><c r="H728" s="326"><f>H727</f><v /></c><c r="I728" s="98"><f>I727</f><v /></c><c r="J728" s="327"><f>J727</f><v /></c><c r="K728" s="327"><f>K727</f><v /></c><c r="L728" s="327"><f>L727</f><v /></c><c r="M728" s="45" t="n" /><c r="N728" s="45" t="n" /><c r="O728" s="100"><f>O727</f><v /></c><c r="P728" s="328"><f>P727</f><v /></c><c r="Q728" s="11"><f>LEFT(P728,1)</f><v /></c><c r="R728" s="11"><f>RIGHT(P728,6)</f><v /></c><c r="S728" s="11"><f>+(Q728*60+R728)/(60*60)</f><v /></c><c r="T728" s="14"><f>+O728/S728</f><v /></c><c r="U728" s="316"><f>+(((N728-M728-O728)/O728)*100)</f><v /></c><c r="V728" s="329"><f>V727</f><v /></c><c r="W728" s="329"><f>W727</f><v /></c><c r="X728" s="330"><f>X727</f><v /></c><c r="Y728" s="45" t="n" /><c r="Z728" s="45" t="n" /><c r="AA728" s="331"><f>AA727</f><v /></c><c r="AB728" s="332"><f>AB727</f><v /></c><c r="AC728" s="11"><f>LEFT(AB728,2)</f><v /></c><c r="AD728" s="11"><f>RIGHT(AB728,6)</f><v /></c><c r="AE728" s="11"><f>+(AC728*60+AD728)/(60*60)</f><v /></c><c r="AF728" s="14"><f>+AA728/AE728</f><v /></c><c r="AG728" s="321"><f>+(((Z728-Y728-AA728)/AA728)*100)</f><v /></c><c r="AH728" s="329"><f>AH727</f><v /></c><c r="AI728" s="329"><f>AI727</f><v /></c><c r="AJ728" s="329"><f>AJ727</f><v /></c><c r="AK728" s="53"><f>Z728</f><v /></c><c r="AL728" s="45" t="n" /><c r="AM728" s="333"><f>AM727</f><v /></c><c r="AN728" s="328"><f>AN727</f><v /></c><c r="AO728" s="11"><f>LEFT(AN728,2)</f><v /></c><c r="AP728" s="11"><f>RIGHT(AN728,6)</f><v /></c><c r="AQ728" s="11"><f>+(AO728*60+AP728)/(60*60)</f><v /></c><c r="AR728" s="14"><f>+AM728/AQ728</f><v /></c><c r="AS728" s="321"><f>+(((AL728-AK728-AM728)/AM728)*100)</f><v /></c><c r="AT728" s="43"><f>IF(I728&gt;=1,"NO CONFORME",IF(BK728="SIGDIFERENTES",BC728,BL728))</f><v /></c><c r="AU728" s="8"><f>B728=C728</f><v /></c><c r="AV728" s="8"><f>N728&lt;Y728</f><v /></c><c r="AW728" s="8"><f>Z728&lt;=AK728</f><v /></c><c r="AX728" s="8"><f>IF(I728&gt;=1,"Qcorrecto",IF(AND(AY728="aceptable",AZ728="aceptable",BA728="aceptable"),"Qcorrecto","Qincorrecto"))</f><v /></c><c r="AY728" s="22"><f>IF(AR728&lt;$AH$6,"error",IF(AR728&gt;$AH$6*1.1,"error","aceptable"))</f><v /></c><c r="AZ728" s="22"><f>IF(AF728&lt;$V$6,"error",IF(AF728&gt;$V$6*1.1,"error","aceptable"))</f><v /></c><c r="BA728" s="22"><f>IF(T728&lt;$J$6*0.9,"error",IF(T728&gt;$J$6,"error","aceptable"))</f><v /></c><c r="BB728" s="25"><f>(IF(ABS(U728)&lt;1.05,"CONFORME",IF(ABS(AG728)&lt;1.05,"CONFORME",IF(ABS(AS728)&lt;2.55,"CONFORME","NO CONFORME"))))</f><v /></c><c r="BC728" s="5"><f>(IF(ABS(U728)&gt;2.05,"NO CONFORME",IF(ABS(AG728)&gt;2.05,"NO CONFORME",IF(ABS(AS728)&gt;5.05,"NO CONFORME","CONFORME"))))</f><v /></c><c r="BD728" s="15"><f>SIGN(U728)</f><v /></c><c r="BE728" s="15"><f>SIGN(AG728)</f><v /></c><c r="BF728" s="15"><f>SIGN(AS728)</f><v /></c><c r="BG728" s="15"><f>CONCATENATE(BD728,BE728,BF728)</f><v /></c><c r="BH728" s="15"><f>IF(BG728="111","SI","SD")</f><v /></c><c r="BI728" s="15"><f>IF(BG728="-1-1-1","SI","SD")</f><v /></c><c r="BJ728" s="15"><f>OR(BH728="SI",BI728="SI")</f><v /></c><c r="BK728" s="15"><f>IF(BJ728=FALSE,"SIGDIFERENTES","SIGIGUALES")</f><v /></c><c r="BL728" s="22"><f>IF(BC728="NO CONFORME","NO CONFORME",IF(BB728="CONFORME","CONFORME","NO CONFORME"))</f><v /></c></row><row r="730" ht="27" customHeight="1"><c r="AT730" s="79"><f>COUNTIF(AT9:AT728,"NO CONFORME")</f><v /></c></row><row r="731" ht="27" customHeight="1"><c r="AT731" s="80"><f>AT730/A728</f><v /></c></row></sheetData><autoFilter ref="A8:BL728"><filterColumn colId="15" hiddenButton="0" showButton="0" /><filterColumn colId="16" hiddenButton="0" showButton="0" /><filterColumn colId="17" hiddenButton="0" showButton="0" /><filterColumn colId="27" hiddenButton="0" showButton="0" /><filterColumn colId="28" hiddenButton="0" showButton="0" /><filterColumn colId="29" hiddenButton="0" showButton="0" /><filterColumn colId="39" hiddenButton="0" showButton="0" /><filterColumn colId="40" hiddenButton="0" showButton="0" /><filterColumn colId="41" hiddenButton="0" showButton="0" /><filterColumn colId="53" hiddenButton="0" showButton="0" /><filterColumn colId="54" hiddenButton="0" showButton="0" /><filterColumn colId="55" hiddenButton="0" showButton="0" /><filterColumn colId="56" hiddenButton="0" showButton="0" /><filterColumn colId="57" hiddenButton="0" showButton="0" /><filterColumn colId="58" hiddenButton="0" showButton="0" /><filterColumn colId="59" hiddenButton="0" showButton="0" /><filterColumn colId="60" hiddenButton="0" showButton="0" /><filterColumn colId="61" hiddenButton="0" showButton="0" /><filterColumn colId="62" hiddenButton="0" showButton="0" /></autoFilter><mergeCells count="43"><mergeCell ref="AB8:AE8" /><mergeCell ref="AP3:AT3" /><mergeCell ref="AC5:AE5" /><mergeCell ref="J6:U6" /><mergeCell ref="A4:D4" /><mergeCell ref="AN8:AQ8" /><mergeCell ref="AC4:AE4" /><mergeCell ref="AN5:AO5" /><mergeCell ref="AP5:AQ5" /><mergeCell ref="V6:AG6" /><mergeCell ref="AH6:AS6" /><mergeCell ref="J7:U7" /><mergeCell ref="AF5:AH5" /><mergeCell ref="E4:I4" /><mergeCell ref="AN4:AO4" /><mergeCell ref="BB8:BL8" /><mergeCell ref="AA5:AB5" /><mergeCell ref="AP1:AT1" /><mergeCell ref="C6:C8" /><mergeCell ref="D6:D8" /><mergeCell ref="AA4:AB4" /><mergeCell ref="AR4:AS4" /><mergeCell ref="F6:F8" /><mergeCell ref="V7:AG7" /><mergeCell ref="AT6:AT8" /><mergeCell ref="J4:N4" /><mergeCell ref="AY7:BA7" /><mergeCell ref="AH7:AS7" /><mergeCell ref="B6:B8" /><mergeCell ref="AP2:AT2" /><mergeCell ref="E2:AO3" /><mergeCell ref="AR5:AS5" /><mergeCell ref="P8:S8" /><mergeCell ref="A6:A8" /><mergeCell ref="E6:E8" /><mergeCell ref="A5:Z5" /><mergeCell ref="O4:R4" /><mergeCell ref="H6:I7" /><mergeCell ref="S4:Z4" /><mergeCell ref="E1:AO1" /><mergeCell ref="G6:G8" /><mergeCell ref="AF4:AH4" /><mergeCell ref="AP4:AQ4" /></mergeCells><conditionalFormatting sqref="U9:U728 AG9:AG728 AS9:AS728"><cfRule type="cellIs" priority="3" operator="between" dxfId="4"><formula>100.01</formula><formula>100000000</formula></cfRule><cfRule type="cellIs" priority="4" operator="lessThanOrEqual" dxfId="3"><formula>-100.01</formula></cfRule></conditionalFormatting><conditionalFormatting sqref="U9:U728 AG9:AG728"><cfRule type="cellIs" priority="1" operator="between" dxfId="1"><formula>-2.044</formula><formula>-100</formula></cfRule><cfRule type="cellIs" priority="2" operator="between" dxfId="1"><formula>2.044</formula><formula>100</formula></cfRule></conditionalFormatting><conditionalFormatting sqref="AS9:AS728"><cfRule type="cellIs" priority="5" operator="between" dxfId="1"><formula>-5.044</formula><formula>-100</formula></cfRule><cfRule type="cellIs" priority="6" operator="between" dxfId="1"><formula>5.044</formula><formula>100</formula></cfRule></conditionalFormatting><conditionalFormatting sqref="AT9:AT728"><cfRule type="cellIs" priority="7" operator="equal" dxfId="0"><formula>"NO CONFORME"</formula></cfRule></conditionalFormatting><conditionalFormatting sqref="AU8:AW8"><cfRule type="cellIs" priority="10" operator="equal" dxfId="0"><formula>"NO CONFORME"</formula></cfRule></conditionalFormatting><conditionalFormatting sqref="AX9:AX728"><cfRule type="expression" priority="11" dxfId="18"><formula>AX9="Qincorrecto"</formula></cfRule><cfRule type="expression" priority="12" dxfId="17"><formula>AX9="Qcorrecto"</formula></cfRule></conditionalFormatting><conditionalFormatting sqref="AY9:BA728"><cfRule type="cellIs" priority="8" operator="equal" dxfId="16"><formula>"error"</formula></cfRule><cfRule type="cellIs" priority="9" operator="equal" dxfId="15"><formula>#REF!</formula></cfRule></conditionalFormatting><conditionalFormatting sqref="BB9:BC728"><cfRule type="cellIs" priority="13" operator="notBetween" dxfId="14" stopIfTrue="1"><formula>"APROBADO"</formula><formula>"APROBADO"</formula></cfRule></conditionalFormatting><dataValidations count="2"><dataValidation sqref="E4:I4" showDropDown="0" showInputMessage="1" showErrorMessage="1" allowBlank="1" type="list"><formula1>$AY$2:$BB$2</formula1></dataValidation><dataValidation sqref="O4:R4" showDropDown="0" showInputMessage="1" showErrorMessage="1" allowBlank="1" type="list"><formula1>$AY$1:$BD$1</formula1></dataValidation></dataValidations><pageMargins left="0.7086614173228347" right="0.7086614173228347" top="0.3543307086614174" bottom="0.2755905511811024" header="0.2755905511811024" footer="0.1574803149606299" /><pageSetup orientation="portrait" paperSize="9" /><headerFooter><oddHeader /><oddFooter>&amp;R&amp;8 Página &amp;P de &amp;N</oddFooter><evenHeader /><evenFooter /><firstHeader /><firstFooter /></headerFooter><drawing r:id="rId2" 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723"/>
  <sheetViews>
    <sheetView workbookViewId="0">
      <selection activeCell="E6" sqref="E6"/>
    </sheetView>
  </sheetViews>
  <sheetFormatPr baseColWidth="10" defaultRowHeight="12.75"/>
  <cols>
    <col width="13.5703125" customWidth="1" min="4" max="4"/>
    <col width="20.7109375" customWidth="1" min="6" max="6"/>
    <col width="13.42578125" customWidth="1" min="8" max="8"/>
  </cols>
  <sheetData>
    <row r="1" ht="15" customHeight="1">
      <c r="F1" s="114" t="n"/>
      <c r="G1" s="115" t="n"/>
    </row>
    <row r="2">
      <c r="B2" s="61" t="inlineStr">
        <is>
          <t>LO VERIFICADO</t>
        </is>
      </c>
      <c r="C2" s="61" t="inlineStr">
        <is>
          <t>VIMA</t>
        </is>
      </c>
    </row>
    <row r="4">
      <c r="B4" s="312" t="n"/>
      <c r="C4" s="61" t="n"/>
      <c r="D4">
        <f>B4=C4</f>
        <v/>
      </c>
      <c r="F4">
        <f>"VI-"&amp;TEXT(E4,"000000")&amp;"-2025"</f>
        <v/>
      </c>
      <c r="G4" s="13" t="n"/>
      <c r="H4">
        <f>F4=G4</f>
        <v/>
      </c>
    </row>
    <row r="5">
      <c r="B5" s="312" t="n"/>
      <c r="C5" s="61" t="n"/>
      <c r="D5">
        <f>B5=C5</f>
        <v/>
      </c>
      <c r="F5">
        <f>"VI-"&amp;TEXT(E5,"000000")&amp;"-2025"</f>
        <v/>
      </c>
      <c r="G5" s="13" t="n"/>
      <c r="H5">
        <f>F5=G5</f>
        <v/>
      </c>
    </row>
    <row r="6">
      <c r="B6" s="323" t="n"/>
      <c r="C6" s="61" t="n"/>
      <c r="D6">
        <f>B6=C6</f>
        <v/>
      </c>
      <c r="F6">
        <f>"VI-"&amp;TEXT(E6,"000000")&amp;"-2025"</f>
        <v/>
      </c>
      <c r="G6" s="13" t="n"/>
      <c r="H6">
        <f>F6=G6</f>
        <v/>
      </c>
    </row>
    <row r="7">
      <c r="B7" s="312" t="n"/>
      <c r="C7" s="61" t="n"/>
      <c r="D7">
        <f>B7=C7</f>
        <v/>
      </c>
      <c r="F7">
        <f>"VI-"&amp;TEXT(E7,"000000")&amp;"-2025"</f>
        <v/>
      </c>
      <c r="G7" s="13" t="n"/>
      <c r="H7">
        <f>F7=G7</f>
        <v/>
      </c>
    </row>
    <row r="8">
      <c r="B8" s="312" t="n"/>
      <c r="C8" s="61" t="n"/>
      <c r="D8">
        <f>B8=C8</f>
        <v/>
      </c>
      <c r="F8">
        <f>"VI-"&amp;TEXT(E8,"000000")&amp;"-2025"</f>
        <v/>
      </c>
      <c r="G8" s="13" t="n"/>
      <c r="H8">
        <f>F8=G8</f>
        <v/>
      </c>
    </row>
    <row r="9">
      <c r="B9" s="323" t="n"/>
      <c r="C9" s="61" t="n"/>
      <c r="D9">
        <f>B9=C9</f>
        <v/>
      </c>
      <c r="F9">
        <f>"VI-"&amp;TEXT(E9,"000000")&amp;"-2025"</f>
        <v/>
      </c>
      <c r="G9" s="13" t="n"/>
      <c r="H9">
        <f>F9=G9</f>
        <v/>
      </c>
    </row>
    <row r="10">
      <c r="B10" s="323" t="n"/>
      <c r="C10" s="61" t="n"/>
      <c r="D10">
        <f>B10=C10</f>
        <v/>
      </c>
      <c r="F10">
        <f>"VI-"&amp;TEXT(E10,"000000")&amp;"-2025"</f>
        <v/>
      </c>
      <c r="G10" s="13" t="n"/>
      <c r="H10">
        <f>F10=G10</f>
        <v/>
      </c>
    </row>
    <row r="11">
      <c r="B11" s="312" t="n"/>
      <c r="C11" s="61" t="n"/>
      <c r="D11">
        <f>B11=C11</f>
        <v/>
      </c>
      <c r="F11">
        <f>"VI-"&amp;TEXT(E11,"000000")&amp;"-2025"</f>
        <v/>
      </c>
      <c r="G11" s="13" t="n"/>
      <c r="H11">
        <f>F11=G11</f>
        <v/>
      </c>
    </row>
    <row r="12">
      <c r="B12" s="312" t="n"/>
      <c r="C12" s="61" t="n"/>
      <c r="D12">
        <f>B12=C12</f>
        <v/>
      </c>
      <c r="F12">
        <f>"VI-"&amp;TEXT(E12,"000000")&amp;"-2025"</f>
        <v/>
      </c>
      <c r="G12" s="13" t="n"/>
      <c r="H12">
        <f>F12=G12</f>
        <v/>
      </c>
    </row>
    <row r="13" ht="13.5" customHeight="1" thickBot="1">
      <c r="B13" s="325" t="n"/>
      <c r="C13" s="61" t="n"/>
      <c r="D13">
        <f>B13=C13</f>
        <v/>
      </c>
      <c r="F13">
        <f>"VI-"&amp;TEXT(E13,"000000")&amp;"-2025"</f>
        <v/>
      </c>
      <c r="G13" s="52" t="n"/>
      <c r="H13">
        <f>F13=G13</f>
        <v/>
      </c>
    </row>
    <row r="14">
      <c r="B14" s="312" t="n"/>
      <c r="C14" s="61" t="n"/>
      <c r="D14">
        <f>B14=C14</f>
        <v/>
      </c>
      <c r="F14">
        <f>"VI-"&amp;TEXT(E14,"000000")&amp;"-2025"</f>
        <v/>
      </c>
      <c r="G14" s="13" t="n"/>
      <c r="H14">
        <f>F14=G14</f>
        <v/>
      </c>
    </row>
    <row r="15">
      <c r="B15" s="334" t="n"/>
      <c r="C15" s="61" t="n"/>
      <c r="D15">
        <f>B15=C15</f>
        <v/>
      </c>
      <c r="F15">
        <f>"VI-"&amp;TEXT(E15,"000000")&amp;"-2025"</f>
        <v/>
      </c>
      <c r="G15" s="13" t="n"/>
      <c r="H15">
        <f>F15=G15</f>
        <v/>
      </c>
    </row>
    <row r="16">
      <c r="B16" s="312" t="n"/>
      <c r="C16" s="61" t="n"/>
      <c r="D16">
        <f>B16=C16</f>
        <v/>
      </c>
      <c r="F16">
        <f>"VI-"&amp;TEXT(E16,"000000")&amp;"-2025"</f>
        <v/>
      </c>
      <c r="G16" s="13" t="n"/>
      <c r="H16">
        <f>F16=G16</f>
        <v/>
      </c>
    </row>
    <row r="17">
      <c r="B17" s="312" t="n"/>
      <c r="C17" s="61" t="n"/>
      <c r="D17">
        <f>B17=C17</f>
        <v/>
      </c>
      <c r="F17">
        <f>"VI-"&amp;TEXT(E17,"000000")&amp;"-2025"</f>
        <v/>
      </c>
      <c r="G17" s="13" t="n"/>
      <c r="H17">
        <f>F17=G17</f>
        <v/>
      </c>
    </row>
    <row r="18">
      <c r="B18" s="312" t="n"/>
      <c r="C18" s="61" t="n"/>
      <c r="D18">
        <f>B18=C18</f>
        <v/>
      </c>
      <c r="F18">
        <f>"VI-"&amp;TEXT(E18,"000000")&amp;"-2025"</f>
        <v/>
      </c>
      <c r="G18" s="13" t="n"/>
      <c r="H18">
        <f>F18=G18</f>
        <v/>
      </c>
    </row>
    <row r="19">
      <c r="B19" s="334" t="n"/>
      <c r="C19" s="61" t="n"/>
      <c r="D19">
        <f>B19=C19</f>
        <v/>
      </c>
      <c r="F19">
        <f>"VI-"&amp;TEXT(E19,"000000")&amp;"-2025"</f>
        <v/>
      </c>
      <c r="G19" s="13" t="n"/>
      <c r="H19">
        <f>F19=G19</f>
        <v/>
      </c>
    </row>
    <row r="20">
      <c r="B20" s="312" t="n"/>
      <c r="C20" s="61" t="n"/>
      <c r="D20">
        <f>B20=C20</f>
        <v/>
      </c>
      <c r="F20">
        <f>"VI-"&amp;TEXT(E20,"000000")&amp;"-2025"</f>
        <v/>
      </c>
      <c r="G20" s="13" t="n"/>
      <c r="H20">
        <f>F20=G20</f>
        <v/>
      </c>
    </row>
    <row r="21">
      <c r="B21" s="312" t="n"/>
      <c r="C21" s="61" t="n"/>
      <c r="D21">
        <f>B21=C21</f>
        <v/>
      </c>
      <c r="F21">
        <f>"VI-"&amp;TEXT(E21,"000000")&amp;"-2025"</f>
        <v/>
      </c>
      <c r="G21" s="13" t="n"/>
      <c r="H21">
        <f>F21=G21</f>
        <v/>
      </c>
    </row>
    <row r="22">
      <c r="B22" s="312" t="n"/>
      <c r="C22" s="61" t="n"/>
      <c r="D22">
        <f>B22=C22</f>
        <v/>
      </c>
      <c r="F22">
        <f>"VI-"&amp;TEXT(E22,"000000")&amp;"-2025"</f>
        <v/>
      </c>
      <c r="G22" s="13" t="n"/>
      <c r="H22">
        <f>F22=G22</f>
        <v/>
      </c>
    </row>
    <row r="23">
      <c r="B23" s="312" t="n"/>
      <c r="C23" s="61" t="n"/>
      <c r="D23">
        <f>B23=C23</f>
        <v/>
      </c>
      <c r="F23">
        <f>"VI-"&amp;TEXT(E23,"000000")&amp;"-2025"</f>
        <v/>
      </c>
      <c r="G23" s="13" t="n"/>
      <c r="H23">
        <f>F23=G23</f>
        <v/>
      </c>
    </row>
    <row r="24" ht="13.5" customHeight="1" thickBot="1">
      <c r="B24" s="336" t="n"/>
      <c r="C24" s="61" t="n"/>
      <c r="D24">
        <f>B24=C24</f>
        <v/>
      </c>
      <c r="F24">
        <f>"VI-"&amp;TEXT(E24,"000000")&amp;"-2025"</f>
        <v/>
      </c>
      <c r="G24" s="52" t="n"/>
      <c r="H24">
        <f>F24=G24</f>
        <v/>
      </c>
    </row>
    <row r="25">
      <c r="B25" s="335" t="n"/>
      <c r="C25" s="61" t="n"/>
      <c r="D25">
        <f>B25=C25</f>
        <v/>
      </c>
      <c r="F25">
        <f>"VI-"&amp;TEXT(E25,"000000")&amp;"-2025"</f>
        <v/>
      </c>
      <c r="G25" s="46" t="n"/>
      <c r="H25">
        <f>F25=G25</f>
        <v/>
      </c>
    </row>
    <row r="26">
      <c r="B26" s="312" t="n"/>
      <c r="C26" s="61" t="n"/>
      <c r="D26">
        <f>B26=C26</f>
        <v/>
      </c>
      <c r="F26">
        <f>"VI-"&amp;TEXT(E26,"000000")&amp;"-2025"</f>
        <v/>
      </c>
      <c r="G26" s="13" t="n"/>
      <c r="H26">
        <f>F26=G26</f>
        <v/>
      </c>
    </row>
    <row r="27">
      <c r="B27" s="312" t="n"/>
      <c r="C27" s="61" t="n"/>
      <c r="D27">
        <f>B27=C27</f>
        <v/>
      </c>
      <c r="F27">
        <f>"VI-"&amp;TEXT(E27,"000000")&amp;"-2025"</f>
        <v/>
      </c>
      <c r="G27" s="13" t="n"/>
      <c r="H27">
        <f>F27=G27</f>
        <v/>
      </c>
    </row>
    <row r="28">
      <c r="B28" s="312" t="n"/>
      <c r="C28" s="61" t="n"/>
      <c r="D28">
        <f>B28=C28</f>
        <v/>
      </c>
      <c r="F28">
        <f>"VI-"&amp;TEXT(E28,"000000")&amp;"-2025"</f>
        <v/>
      </c>
      <c r="G28" s="13" t="n"/>
      <c r="H28">
        <f>F28=G28</f>
        <v/>
      </c>
    </row>
    <row r="29">
      <c r="B29" s="312" t="n"/>
      <c r="C29" s="61" t="n"/>
      <c r="D29">
        <f>B29=C29</f>
        <v/>
      </c>
      <c r="F29">
        <f>"VI-"&amp;TEXT(E29,"000000")&amp;"-2025"</f>
        <v/>
      </c>
      <c r="G29" s="13" t="n"/>
      <c r="H29">
        <f>F29=G29</f>
        <v/>
      </c>
    </row>
    <row r="30">
      <c r="B30" s="312" t="n"/>
      <c r="C30" s="61" t="n"/>
      <c r="D30">
        <f>B30=C30</f>
        <v/>
      </c>
      <c r="F30">
        <f>"VI-"&amp;TEXT(E30,"000000")&amp;"-2025"</f>
        <v/>
      </c>
      <c r="G30" s="13" t="n"/>
      <c r="H30">
        <f>F30=G30</f>
        <v/>
      </c>
    </row>
    <row r="31">
      <c r="B31" s="312" t="n"/>
      <c r="C31" s="61" t="n"/>
      <c r="D31">
        <f>B31=C31</f>
        <v/>
      </c>
      <c r="F31">
        <f>"VI-"&amp;TEXT(E31,"000000")&amp;"-2025"</f>
        <v/>
      </c>
      <c r="G31" s="13" t="n"/>
      <c r="H31">
        <f>F31=G31</f>
        <v/>
      </c>
    </row>
    <row r="32">
      <c r="B32" s="312" t="n"/>
      <c r="C32" s="61" t="n"/>
      <c r="D32">
        <f>B32=C32</f>
        <v/>
      </c>
      <c r="F32">
        <f>"VI-"&amp;TEXT(E32,"000000")&amp;"-2025"</f>
        <v/>
      </c>
      <c r="G32" s="13" t="n"/>
      <c r="H32">
        <f>F32=G32</f>
        <v/>
      </c>
    </row>
    <row r="33">
      <c r="B33" s="312" t="n"/>
      <c r="C33" s="61" t="n"/>
      <c r="D33">
        <f>B33=C33</f>
        <v/>
      </c>
      <c r="F33">
        <f>"VI-"&amp;TEXT(E33,"000000")&amp;"-2025"</f>
        <v/>
      </c>
      <c r="G33" s="13" t="n"/>
      <c r="H33">
        <f>F33=G33</f>
        <v/>
      </c>
    </row>
    <row r="34">
      <c r="B34" s="312" t="n"/>
      <c r="C34" s="61" t="n"/>
      <c r="D34">
        <f>B34=C34</f>
        <v/>
      </c>
      <c r="F34">
        <f>"VI-"&amp;TEXT(E34,"000000")&amp;"-2025"</f>
        <v/>
      </c>
      <c r="G34" s="13" t="n"/>
      <c r="H34">
        <f>F34=G34</f>
        <v/>
      </c>
    </row>
    <row r="35" ht="13.5" customHeight="1" thickBot="1">
      <c r="B35" s="325" t="n"/>
      <c r="C35" s="61" t="n"/>
      <c r="D35">
        <f>B35=C35</f>
        <v/>
      </c>
      <c r="F35">
        <f>"VI-"&amp;TEXT(E35,"000000")&amp;"-2025"</f>
        <v/>
      </c>
      <c r="G35" s="52" t="n"/>
      <c r="H35">
        <f>F35=G35</f>
        <v/>
      </c>
    </row>
    <row r="36">
      <c r="B36" s="335" t="n"/>
      <c r="C36" s="61" t="n"/>
      <c r="D36">
        <f>B36=C36</f>
        <v/>
      </c>
      <c r="F36">
        <f>"VI-"&amp;TEXT(E36,"000000")&amp;"-2025"</f>
        <v/>
      </c>
      <c r="G36" s="46" t="n"/>
      <c r="H36">
        <f>F36=G36</f>
        <v/>
      </c>
    </row>
    <row r="37">
      <c r="B37" s="312" t="n"/>
      <c r="C37" s="61" t="n"/>
      <c r="D37">
        <f>B37=C37</f>
        <v/>
      </c>
      <c r="F37">
        <f>"VI-"&amp;TEXT(E37,"000000")&amp;"-2025"</f>
        <v/>
      </c>
      <c r="G37" s="13" t="n"/>
      <c r="H37">
        <f>F37=G37</f>
        <v/>
      </c>
    </row>
    <row r="38">
      <c r="B38" s="312" t="n"/>
      <c r="C38" s="61" t="n"/>
      <c r="D38">
        <f>B38=C38</f>
        <v/>
      </c>
      <c r="F38">
        <f>"VI-"&amp;TEXT(E38,"000000")&amp;"-2025"</f>
        <v/>
      </c>
      <c r="G38" s="13" t="n"/>
      <c r="H38">
        <f>F38=G38</f>
        <v/>
      </c>
    </row>
    <row r="39">
      <c r="B39" s="312" t="n"/>
      <c r="C39" s="61" t="n"/>
      <c r="D39">
        <f>B39=C39</f>
        <v/>
      </c>
      <c r="F39">
        <f>"VI-"&amp;TEXT(E39,"000000")&amp;"-2025"</f>
        <v/>
      </c>
      <c r="G39" s="13" t="n"/>
      <c r="H39">
        <f>F39=G39</f>
        <v/>
      </c>
    </row>
    <row r="40">
      <c r="B40" s="312" t="n"/>
      <c r="C40" s="61" t="n"/>
      <c r="D40">
        <f>B40=C40</f>
        <v/>
      </c>
      <c r="F40">
        <f>"VI-"&amp;TEXT(E40,"000000")&amp;"-2025"</f>
        <v/>
      </c>
      <c r="G40" s="13" t="n"/>
      <c r="H40">
        <f>F40=G40</f>
        <v/>
      </c>
    </row>
    <row r="41">
      <c r="B41" s="312" t="n"/>
      <c r="C41" s="61" t="n"/>
      <c r="D41">
        <f>B41=C41</f>
        <v/>
      </c>
      <c r="F41">
        <f>"VI-"&amp;TEXT(E41,"000000")&amp;"-2025"</f>
        <v/>
      </c>
      <c r="G41" s="13" t="n"/>
      <c r="H41">
        <f>F41=G41</f>
        <v/>
      </c>
    </row>
    <row r="42">
      <c r="B42" s="312" t="n"/>
      <c r="C42" s="61" t="n"/>
      <c r="D42">
        <f>B42=C42</f>
        <v/>
      </c>
      <c r="F42">
        <f>"VI-"&amp;TEXT(E42,"000000")&amp;"-2025"</f>
        <v/>
      </c>
      <c r="G42" s="13" t="n"/>
      <c r="H42">
        <f>F42=G42</f>
        <v/>
      </c>
    </row>
    <row r="43">
      <c r="B43" s="312" t="n"/>
      <c r="C43" s="61" t="n"/>
      <c r="D43">
        <f>B43=C43</f>
        <v/>
      </c>
      <c r="F43">
        <f>"VI-"&amp;TEXT(E43,"000000")&amp;"-2025"</f>
        <v/>
      </c>
      <c r="G43" s="13" t="n"/>
      <c r="H43">
        <f>F43=G43</f>
        <v/>
      </c>
    </row>
    <row r="44">
      <c r="B44" s="312" t="n"/>
      <c r="C44" s="61" t="n"/>
      <c r="D44">
        <f>B44=C44</f>
        <v/>
      </c>
      <c r="F44">
        <f>"VI-"&amp;TEXT(E44,"000000")&amp;"-2025"</f>
        <v/>
      </c>
      <c r="G44" s="13" t="n"/>
      <c r="H44">
        <f>F44=G44</f>
        <v/>
      </c>
    </row>
    <row r="45">
      <c r="B45" s="334" t="n"/>
      <c r="C45" s="61" t="n"/>
      <c r="D45">
        <f>B45=C45</f>
        <v/>
      </c>
      <c r="F45">
        <f>"VI-"&amp;TEXT(E45,"000000")&amp;"-2025"</f>
        <v/>
      </c>
      <c r="G45" s="13" t="n"/>
      <c r="H45">
        <f>F45=G45</f>
        <v/>
      </c>
    </row>
    <row r="46" ht="13.5" customHeight="1" thickBot="1">
      <c r="B46" s="325" t="n"/>
      <c r="C46" s="61" t="n"/>
      <c r="D46">
        <f>B46=C46</f>
        <v/>
      </c>
      <c r="F46">
        <f>"VI-"&amp;TEXT(E46,"000000")&amp;"-2025"</f>
        <v/>
      </c>
      <c r="G46" s="52" t="n"/>
      <c r="H46">
        <f>F46=G46</f>
        <v/>
      </c>
    </row>
    <row r="47">
      <c r="B47" s="335" t="n"/>
      <c r="C47" s="61" t="n"/>
      <c r="D47">
        <f>B47=C47</f>
        <v/>
      </c>
      <c r="F47">
        <f>"VI-"&amp;TEXT(E47,"000000")&amp;"-2025"</f>
        <v/>
      </c>
      <c r="G47" s="46" t="n"/>
      <c r="H47">
        <f>F47=G47</f>
        <v/>
      </c>
    </row>
    <row r="48">
      <c r="B48" s="312" t="n"/>
      <c r="C48" s="61" t="n"/>
      <c r="D48">
        <f>B48=C48</f>
        <v/>
      </c>
      <c r="F48">
        <f>"VI-"&amp;TEXT(E48,"000000")&amp;"-2025"</f>
        <v/>
      </c>
      <c r="G48" s="13" t="n"/>
      <c r="H48">
        <f>F48=G48</f>
        <v/>
      </c>
    </row>
    <row r="49">
      <c r="B49" s="312" t="n"/>
      <c r="C49" s="61" t="n"/>
      <c r="D49">
        <f>B49=C49</f>
        <v/>
      </c>
      <c r="F49">
        <f>"VI-"&amp;TEXT(E49,"000000")&amp;"-2025"</f>
        <v/>
      </c>
      <c r="G49" s="13" t="n"/>
      <c r="H49">
        <f>F49=G49</f>
        <v/>
      </c>
    </row>
    <row r="50">
      <c r="B50" s="312" t="n"/>
      <c r="C50" s="61" t="n"/>
      <c r="D50">
        <f>B50=C50</f>
        <v/>
      </c>
      <c r="F50">
        <f>"VI-"&amp;TEXT(E50,"000000")&amp;"-2025"</f>
        <v/>
      </c>
      <c r="G50" s="13" t="n"/>
      <c r="H50">
        <f>F50=G50</f>
        <v/>
      </c>
    </row>
    <row r="51">
      <c r="B51" s="312" t="n"/>
      <c r="C51" s="61" t="n"/>
      <c r="D51">
        <f>B51=C51</f>
        <v/>
      </c>
      <c r="F51">
        <f>"VI-"&amp;TEXT(E51,"000000")&amp;"-2025"</f>
        <v/>
      </c>
      <c r="G51" s="13" t="n"/>
      <c r="H51">
        <f>F51=G51</f>
        <v/>
      </c>
    </row>
    <row r="52">
      <c r="B52" s="312" t="n"/>
      <c r="C52" s="61" t="n"/>
      <c r="D52">
        <f>B52=C52</f>
        <v/>
      </c>
      <c r="F52">
        <f>"VI-"&amp;TEXT(E52,"000000")&amp;"-2025"</f>
        <v/>
      </c>
      <c r="G52" s="13" t="n"/>
      <c r="H52">
        <f>F52=G52</f>
        <v/>
      </c>
    </row>
    <row r="53">
      <c r="B53" s="312" t="n"/>
      <c r="C53" s="61" t="n"/>
      <c r="D53">
        <f>B53=C53</f>
        <v/>
      </c>
      <c r="F53">
        <f>"VI-"&amp;TEXT(E53,"000000")&amp;"-2025"</f>
        <v/>
      </c>
      <c r="G53" s="13" t="n"/>
      <c r="H53">
        <f>F53=G53</f>
        <v/>
      </c>
    </row>
    <row r="54">
      <c r="B54" s="312" t="n"/>
      <c r="C54" s="61" t="n"/>
      <c r="D54">
        <f>B54=C54</f>
        <v/>
      </c>
      <c r="F54">
        <f>"VI-"&amp;TEXT(E54,"000000")&amp;"-2025"</f>
        <v/>
      </c>
      <c r="G54" s="13" t="n"/>
      <c r="H54">
        <f>F54=G54</f>
        <v/>
      </c>
    </row>
    <row r="55">
      <c r="B55" s="312" t="n"/>
      <c r="C55" s="61" t="n"/>
      <c r="D55">
        <f>B55=C55</f>
        <v/>
      </c>
      <c r="F55">
        <f>"VI-"&amp;TEXT(E55,"000000")&amp;"-2025"</f>
        <v/>
      </c>
      <c r="G55" s="13" t="n"/>
      <c r="H55">
        <f>F55=G55</f>
        <v/>
      </c>
    </row>
    <row r="56">
      <c r="B56" s="312" t="n"/>
      <c r="C56" s="61" t="n"/>
      <c r="D56">
        <f>B56=C56</f>
        <v/>
      </c>
      <c r="F56">
        <f>"VI-"&amp;TEXT(E56,"000000")&amp;"-2025"</f>
        <v/>
      </c>
      <c r="G56" s="13" t="n"/>
      <c r="H56">
        <f>F56=G56</f>
        <v/>
      </c>
    </row>
    <row r="57" ht="13.5" customHeight="1" thickBot="1">
      <c r="B57" s="325" t="n"/>
      <c r="C57" s="61" t="n"/>
      <c r="D57">
        <f>B57=C57</f>
        <v/>
      </c>
      <c r="F57">
        <f>"VI-"&amp;TEXT(E57,"000000")&amp;"-2025"</f>
        <v/>
      </c>
      <c r="G57" s="52" t="n"/>
      <c r="H57">
        <f>F57=G57</f>
        <v/>
      </c>
    </row>
    <row r="58">
      <c r="B58" s="335" t="n"/>
      <c r="C58" s="61" t="n"/>
      <c r="D58">
        <f>B58=C58</f>
        <v/>
      </c>
      <c r="F58">
        <f>"VI-"&amp;TEXT(E58,"000000")&amp;"-2025"</f>
        <v/>
      </c>
      <c r="G58" s="46" t="n"/>
      <c r="H58">
        <f>F58=G58</f>
        <v/>
      </c>
    </row>
    <row r="59">
      <c r="B59" s="312" t="n"/>
      <c r="C59" s="61" t="n"/>
      <c r="D59">
        <f>B59=C59</f>
        <v/>
      </c>
      <c r="F59">
        <f>"VI-"&amp;TEXT(E59,"000000")&amp;"-2025"</f>
        <v/>
      </c>
      <c r="G59" s="13" t="n"/>
      <c r="H59">
        <f>F59=G59</f>
        <v/>
      </c>
    </row>
    <row r="60">
      <c r="B60" s="312" t="n"/>
      <c r="C60" s="61" t="n"/>
      <c r="D60">
        <f>B60=C60</f>
        <v/>
      </c>
      <c r="F60">
        <f>"VI-"&amp;TEXT(E60,"000000")&amp;"-2025"</f>
        <v/>
      </c>
      <c r="G60" s="13" t="n"/>
      <c r="H60">
        <f>F60=G60</f>
        <v/>
      </c>
    </row>
    <row r="61">
      <c r="B61" s="312" t="n"/>
      <c r="C61" s="61" t="n"/>
      <c r="D61">
        <f>B61=C61</f>
        <v/>
      </c>
      <c r="F61">
        <f>"VI-"&amp;TEXT(E61,"000000")&amp;"-2025"</f>
        <v/>
      </c>
      <c r="G61" s="13" t="n"/>
      <c r="H61">
        <f>F61=G61</f>
        <v/>
      </c>
    </row>
    <row r="62">
      <c r="B62" s="312" t="n"/>
      <c r="C62" s="61" t="n"/>
      <c r="D62">
        <f>B62=C62</f>
        <v/>
      </c>
      <c r="F62">
        <f>"VI-"&amp;TEXT(E62,"000000")&amp;"-2025"</f>
        <v/>
      </c>
      <c r="G62" s="13" t="n"/>
      <c r="H62">
        <f>F62=G62</f>
        <v/>
      </c>
    </row>
    <row r="63">
      <c r="B63" s="312" t="n"/>
      <c r="C63" s="61" t="n"/>
      <c r="D63">
        <f>B63=C63</f>
        <v/>
      </c>
      <c r="F63">
        <f>"VI-"&amp;TEXT(E63,"000000")&amp;"-2025"</f>
        <v/>
      </c>
      <c r="G63" s="13" t="n"/>
      <c r="H63">
        <f>F63=G63</f>
        <v/>
      </c>
    </row>
    <row r="64">
      <c r="B64" s="312" t="n"/>
      <c r="C64" s="61" t="n"/>
      <c r="D64">
        <f>B64=C64</f>
        <v/>
      </c>
      <c r="F64">
        <f>"VI-"&amp;TEXT(E64,"000000")&amp;"-2025"</f>
        <v/>
      </c>
      <c r="G64" s="13" t="n"/>
      <c r="H64">
        <f>F64=G64</f>
        <v/>
      </c>
    </row>
    <row r="65">
      <c r="B65" s="334" t="n"/>
      <c r="C65" s="61" t="n"/>
      <c r="D65">
        <f>B65=C65</f>
        <v/>
      </c>
      <c r="F65">
        <f>"VI-"&amp;TEXT(E65,"000000")&amp;"-2025"</f>
        <v/>
      </c>
      <c r="G65" s="13" t="n"/>
      <c r="H65">
        <f>F65=G65</f>
        <v/>
      </c>
    </row>
    <row r="66">
      <c r="B66" s="312" t="n"/>
      <c r="C66" s="61" t="n"/>
      <c r="D66">
        <f>B66=C66</f>
        <v/>
      </c>
      <c r="F66">
        <f>"VI-"&amp;TEXT(E66,"000000")&amp;"-2025"</f>
        <v/>
      </c>
      <c r="G66" s="13" t="n"/>
      <c r="H66">
        <f>F66=G66</f>
        <v/>
      </c>
    </row>
    <row r="67">
      <c r="B67" s="312" t="n"/>
      <c r="C67" s="61" t="n"/>
      <c r="D67">
        <f>B67=C67</f>
        <v/>
      </c>
      <c r="F67">
        <f>"VI-"&amp;TEXT(E67,"000000")&amp;"-2025"</f>
        <v/>
      </c>
      <c r="G67" s="13" t="n"/>
      <c r="H67">
        <f>F67=G67</f>
        <v/>
      </c>
    </row>
    <row r="68" ht="13.5" customHeight="1" thickBot="1">
      <c r="B68" s="336" t="n"/>
      <c r="C68" s="61" t="n"/>
      <c r="D68">
        <f>B68=C68</f>
        <v/>
      </c>
      <c r="F68">
        <f>"VI-"&amp;TEXT(E68,"000000")&amp;"-2025"</f>
        <v/>
      </c>
      <c r="G68" s="52" t="n"/>
      <c r="H68">
        <f>F68=G68</f>
        <v/>
      </c>
    </row>
    <row r="69">
      <c r="B69" s="335" t="n"/>
      <c r="C69" s="61" t="n"/>
      <c r="D69">
        <f>B69=C69</f>
        <v/>
      </c>
      <c r="F69">
        <f>"VI-"&amp;TEXT(E69,"000000")&amp;"-2025"</f>
        <v/>
      </c>
      <c r="G69" s="46" t="n"/>
      <c r="H69">
        <f>F69=G69</f>
        <v/>
      </c>
    </row>
    <row r="70">
      <c r="B70" s="312" t="n"/>
      <c r="C70" s="61" t="n"/>
      <c r="D70">
        <f>B70=C70</f>
        <v/>
      </c>
      <c r="F70">
        <f>"VI-"&amp;TEXT(E70,"000000")&amp;"-2025"</f>
        <v/>
      </c>
      <c r="G70" s="13" t="n"/>
      <c r="H70">
        <f>F70=G70</f>
        <v/>
      </c>
    </row>
    <row r="71">
      <c r="B71" s="312" t="n"/>
      <c r="C71" s="61" t="n"/>
      <c r="D71">
        <f>B71=C71</f>
        <v/>
      </c>
      <c r="F71">
        <f>"VI-"&amp;TEXT(E71,"000000")&amp;"-2025"</f>
        <v/>
      </c>
      <c r="G71" s="13" t="n"/>
      <c r="H71">
        <f>F71=G71</f>
        <v/>
      </c>
    </row>
    <row r="72">
      <c r="B72" s="312" t="n"/>
      <c r="C72" s="61" t="n"/>
      <c r="D72">
        <f>B72=C72</f>
        <v/>
      </c>
      <c r="F72">
        <f>"VI-"&amp;TEXT(E72,"000000")&amp;"-2025"</f>
        <v/>
      </c>
      <c r="G72" s="13" t="n"/>
      <c r="H72">
        <f>F72=G72</f>
        <v/>
      </c>
    </row>
    <row r="73">
      <c r="B73" s="312" t="n"/>
      <c r="C73" s="61" t="n"/>
      <c r="D73">
        <f>B73=C73</f>
        <v/>
      </c>
      <c r="F73">
        <f>"VI-"&amp;TEXT(E73,"000000")&amp;"-2025"</f>
        <v/>
      </c>
      <c r="G73" s="13" t="n"/>
      <c r="H73">
        <f>F73=G73</f>
        <v/>
      </c>
    </row>
    <row r="74">
      <c r="B74" s="312" t="n"/>
      <c r="C74" s="61" t="n"/>
      <c r="D74">
        <f>B74=C74</f>
        <v/>
      </c>
      <c r="F74">
        <f>"VI-"&amp;TEXT(E74,"000000")&amp;"-2025"</f>
        <v/>
      </c>
      <c r="G74" s="13" t="n"/>
      <c r="H74">
        <f>F74=G74</f>
        <v/>
      </c>
    </row>
    <row r="75">
      <c r="B75" s="312" t="n"/>
      <c r="C75" s="61" t="n"/>
      <c r="D75">
        <f>B75=C75</f>
        <v/>
      </c>
      <c r="F75">
        <f>"VI-"&amp;TEXT(E75,"000000")&amp;"-2025"</f>
        <v/>
      </c>
      <c r="G75" s="13" t="n"/>
      <c r="H75">
        <f>F75=G75</f>
        <v/>
      </c>
    </row>
    <row r="76">
      <c r="B76" s="312" t="n"/>
      <c r="C76" s="61" t="n"/>
      <c r="D76">
        <f>B76=C76</f>
        <v/>
      </c>
      <c r="F76">
        <f>"VI-"&amp;TEXT(E76,"000000")&amp;"-2025"</f>
        <v/>
      </c>
      <c r="G76" s="13" t="n"/>
      <c r="H76">
        <f>F76=G76</f>
        <v/>
      </c>
    </row>
    <row r="77">
      <c r="B77" s="312" t="n"/>
      <c r="C77" s="61" t="n"/>
      <c r="D77">
        <f>B77=C77</f>
        <v/>
      </c>
      <c r="F77">
        <f>"VI-"&amp;TEXT(E77,"000000")&amp;"-2025"</f>
        <v/>
      </c>
      <c r="G77" s="13" t="n"/>
      <c r="H77">
        <f>F77=G77</f>
        <v/>
      </c>
    </row>
    <row r="78">
      <c r="B78" s="312" t="n"/>
      <c r="C78" s="61" t="n"/>
      <c r="D78">
        <f>B78=C78</f>
        <v/>
      </c>
      <c r="F78">
        <f>"VI-"&amp;TEXT(E78,"000000")&amp;"-2025"</f>
        <v/>
      </c>
      <c r="G78" s="13" t="n"/>
      <c r="H78">
        <f>F78=G78</f>
        <v/>
      </c>
    </row>
    <row r="79" ht="13.5" customHeight="1" thickBot="1">
      <c r="B79" s="336" t="n"/>
      <c r="C79" s="61" t="n"/>
      <c r="D79">
        <f>B79=C79</f>
        <v/>
      </c>
      <c r="F79">
        <f>"VI-"&amp;TEXT(E79,"000000")&amp;"-2025"</f>
        <v/>
      </c>
      <c r="G79" s="52" t="n"/>
      <c r="H79">
        <f>F79=G79</f>
        <v/>
      </c>
    </row>
    <row r="80">
      <c r="B80" s="335" t="n"/>
      <c r="C80" s="61" t="n"/>
      <c r="D80">
        <f>B80=C80</f>
        <v/>
      </c>
      <c r="F80">
        <f>"VI-"&amp;TEXT(E80,"000000")&amp;"-2025"</f>
        <v/>
      </c>
      <c r="G80" s="46" t="n"/>
      <c r="H80">
        <f>F80=G80</f>
        <v/>
      </c>
    </row>
    <row r="81">
      <c r="B81" s="312" t="n"/>
      <c r="C81" s="61" t="n"/>
      <c r="D81">
        <f>B81=C81</f>
        <v/>
      </c>
      <c r="F81">
        <f>"VI-"&amp;TEXT(E81,"000000")&amp;"-2025"</f>
        <v/>
      </c>
      <c r="G81" s="13" t="n"/>
      <c r="H81">
        <f>F81=G81</f>
        <v/>
      </c>
    </row>
    <row r="82">
      <c r="B82" s="312" t="n"/>
      <c r="C82" s="61" t="n"/>
      <c r="D82">
        <f>B82=C82</f>
        <v/>
      </c>
      <c r="F82">
        <f>"VI-"&amp;TEXT(E82,"000000")&amp;"-2025"</f>
        <v/>
      </c>
      <c r="G82" s="13" t="n"/>
      <c r="H82">
        <f>F82=G82</f>
        <v/>
      </c>
    </row>
    <row r="83">
      <c r="B83" s="312" t="n"/>
      <c r="C83" s="61" t="n"/>
      <c r="D83">
        <f>B83=C83</f>
        <v/>
      </c>
      <c r="F83">
        <f>"VI-"&amp;TEXT(E83,"000000")&amp;"-2025"</f>
        <v/>
      </c>
      <c r="G83" s="13" t="n"/>
      <c r="H83">
        <f>F83=G83</f>
        <v/>
      </c>
    </row>
    <row r="84">
      <c r="B84" s="312" t="n"/>
      <c r="C84" s="61" t="n"/>
      <c r="D84">
        <f>B84=C84</f>
        <v/>
      </c>
      <c r="F84">
        <f>"VI-"&amp;TEXT(E84,"000000")&amp;"-2025"</f>
        <v/>
      </c>
      <c r="G84" s="13" t="n"/>
      <c r="H84">
        <f>F84=G84</f>
        <v/>
      </c>
    </row>
    <row r="85">
      <c r="B85" s="312" t="n"/>
      <c r="C85" s="61" t="n"/>
      <c r="D85">
        <f>B85=C85</f>
        <v/>
      </c>
      <c r="F85">
        <f>"VI-"&amp;TEXT(E85,"000000")&amp;"-2025"</f>
        <v/>
      </c>
      <c r="G85" s="13" t="n"/>
      <c r="H85">
        <f>F85=G85</f>
        <v/>
      </c>
    </row>
    <row r="86">
      <c r="B86" s="312" t="n"/>
      <c r="C86" s="61" t="n"/>
      <c r="D86">
        <f>B86=C86</f>
        <v/>
      </c>
      <c r="F86">
        <f>"VI-"&amp;TEXT(E86,"000000")&amp;"-2025"</f>
        <v/>
      </c>
      <c r="G86" s="13" t="n"/>
      <c r="H86">
        <f>F86=G86</f>
        <v/>
      </c>
    </row>
    <row r="87">
      <c r="B87" s="312" t="n"/>
      <c r="C87" s="61" t="n"/>
      <c r="D87">
        <f>B87=C87</f>
        <v/>
      </c>
      <c r="F87">
        <f>"VI-"&amp;TEXT(E87,"000000")&amp;"-2025"</f>
        <v/>
      </c>
      <c r="G87" s="13" t="n"/>
      <c r="H87">
        <f>F87=G87</f>
        <v/>
      </c>
    </row>
    <row r="88">
      <c r="B88" s="312" t="n"/>
      <c r="C88" s="61" t="n"/>
      <c r="D88">
        <f>B88=C88</f>
        <v/>
      </c>
      <c r="F88">
        <f>"VI-"&amp;TEXT(E88,"000000")&amp;"-2025"</f>
        <v/>
      </c>
      <c r="G88" s="13" t="n"/>
      <c r="H88">
        <f>F88=G88</f>
        <v/>
      </c>
    </row>
    <row r="89">
      <c r="B89" s="334" t="n"/>
      <c r="C89" s="61" t="n"/>
      <c r="D89">
        <f>B89=C89</f>
        <v/>
      </c>
      <c r="F89">
        <f>"VI-"&amp;TEXT(E89,"000000")&amp;"-2025"</f>
        <v/>
      </c>
      <c r="G89" s="13" t="n"/>
      <c r="H89">
        <f>F89=G89</f>
        <v/>
      </c>
    </row>
    <row r="90" ht="13.5" customHeight="1" thickBot="1">
      <c r="B90" s="325" t="n"/>
      <c r="C90" s="61" t="n"/>
      <c r="D90">
        <f>B90=C90</f>
        <v/>
      </c>
      <c r="F90">
        <f>"VI-"&amp;TEXT(E90,"000000")&amp;"-2025"</f>
        <v/>
      </c>
      <c r="G90" s="52" t="n"/>
      <c r="H90">
        <f>F90=G90</f>
        <v/>
      </c>
    </row>
    <row r="91">
      <c r="B91" s="335" t="n"/>
      <c r="C91" s="61" t="n"/>
      <c r="D91">
        <f>B91=C91</f>
        <v/>
      </c>
      <c r="F91">
        <f>"VI-"&amp;TEXT(E91,"000000")&amp;"-2025"</f>
        <v/>
      </c>
      <c r="G91" s="46" t="n"/>
      <c r="H91">
        <f>F91=G91</f>
        <v/>
      </c>
    </row>
    <row r="92">
      <c r="B92" s="312" t="n"/>
      <c r="C92" s="61" t="n"/>
      <c r="D92">
        <f>B92=C92</f>
        <v/>
      </c>
      <c r="F92">
        <f>"VI-"&amp;TEXT(E92,"000000")&amp;"-2025"</f>
        <v/>
      </c>
      <c r="G92" s="13" t="n"/>
      <c r="H92">
        <f>F92=G92</f>
        <v/>
      </c>
    </row>
    <row r="93">
      <c r="B93" s="312" t="n"/>
      <c r="C93" s="61" t="n"/>
      <c r="D93">
        <f>B93=C93</f>
        <v/>
      </c>
      <c r="F93">
        <f>"VI-"&amp;TEXT(E93,"000000")&amp;"-2025"</f>
        <v/>
      </c>
      <c r="G93" s="13" t="n"/>
      <c r="H93">
        <f>F93=G93</f>
        <v/>
      </c>
    </row>
    <row r="94">
      <c r="B94" s="312" t="n"/>
      <c r="C94" s="61" t="n"/>
      <c r="D94">
        <f>B94=C94</f>
        <v/>
      </c>
      <c r="F94">
        <f>"VI-"&amp;TEXT(E94,"000000")&amp;"-2025"</f>
        <v/>
      </c>
      <c r="G94" s="13" t="n"/>
      <c r="H94">
        <f>F94=G94</f>
        <v/>
      </c>
    </row>
    <row r="95">
      <c r="B95" s="312" t="n"/>
      <c r="C95" s="61" t="n"/>
      <c r="D95">
        <f>B95=C95</f>
        <v/>
      </c>
      <c r="F95">
        <f>"VI-"&amp;TEXT(E95,"000000")&amp;"-2025"</f>
        <v/>
      </c>
      <c r="G95" s="13" t="n"/>
      <c r="H95">
        <f>F95=G95</f>
        <v/>
      </c>
    </row>
    <row r="96">
      <c r="B96" s="312" t="n"/>
      <c r="C96" s="61" t="n"/>
      <c r="D96">
        <f>B96=C96</f>
        <v/>
      </c>
      <c r="F96">
        <f>"VI-"&amp;TEXT(E96,"000000")&amp;"-2025"</f>
        <v/>
      </c>
      <c r="G96" s="13" t="n"/>
      <c r="H96">
        <f>F96=G96</f>
        <v/>
      </c>
    </row>
    <row r="97">
      <c r="B97" s="312" t="n"/>
      <c r="C97" s="61" t="n"/>
      <c r="D97">
        <f>B97=C97</f>
        <v/>
      </c>
      <c r="F97">
        <f>"VI-"&amp;TEXT(E97,"000000")&amp;"-2025"</f>
        <v/>
      </c>
      <c r="G97" s="13" t="n"/>
      <c r="H97">
        <f>F97=G97</f>
        <v/>
      </c>
    </row>
    <row r="98">
      <c r="B98" s="312" t="n"/>
      <c r="C98" s="61" t="n"/>
      <c r="D98">
        <f>B98=C98</f>
        <v/>
      </c>
      <c r="F98">
        <f>"VI-"&amp;TEXT(E98,"000000")&amp;"-2025"</f>
        <v/>
      </c>
      <c r="G98" s="13" t="n"/>
      <c r="H98">
        <f>F98=G98</f>
        <v/>
      </c>
    </row>
    <row r="99">
      <c r="B99" s="312" t="n"/>
      <c r="C99" s="61" t="n"/>
      <c r="D99">
        <f>B99=C99</f>
        <v/>
      </c>
      <c r="F99">
        <f>"VI-"&amp;TEXT(E99,"000000")&amp;"-2025"</f>
        <v/>
      </c>
      <c r="G99" s="13" t="n"/>
      <c r="H99">
        <f>F99=G99</f>
        <v/>
      </c>
    </row>
    <row r="100">
      <c r="B100" s="312" t="n"/>
      <c r="C100" s="61" t="n"/>
      <c r="D100">
        <f>B100=C100</f>
        <v/>
      </c>
      <c r="F100">
        <f>"VI-"&amp;TEXT(E100,"000000")&amp;"-2025"</f>
        <v/>
      </c>
      <c r="G100" s="13" t="n"/>
      <c r="H100">
        <f>F100=G100</f>
        <v/>
      </c>
    </row>
    <row r="101" ht="13.5" customHeight="1" thickBot="1">
      <c r="B101" s="325" t="n"/>
      <c r="C101" s="61" t="n"/>
      <c r="D101">
        <f>B101=C101</f>
        <v/>
      </c>
      <c r="F101">
        <f>"VI-"&amp;TEXT(E101,"000000")&amp;"-2025"</f>
        <v/>
      </c>
      <c r="G101" s="52" t="n"/>
      <c r="H101">
        <f>F101=G101</f>
        <v/>
      </c>
    </row>
    <row r="102">
      <c r="B102" s="339" t="n"/>
      <c r="C102" s="61" t="n"/>
      <c r="D102">
        <f>B102=C102</f>
        <v/>
      </c>
      <c r="F102">
        <f>"VI-"&amp;TEXT(E102,"000000")&amp;"-2025"</f>
        <v/>
      </c>
      <c r="G102" s="46" t="n"/>
      <c r="H102">
        <f>F102=G102</f>
        <v/>
      </c>
    </row>
    <row r="103">
      <c r="B103" s="312" t="n"/>
      <c r="C103" s="61" t="n"/>
      <c r="D103">
        <f>B103=C103</f>
        <v/>
      </c>
      <c r="F103">
        <f>"VI-"&amp;TEXT(E103,"000000")&amp;"-2025"</f>
        <v/>
      </c>
      <c r="G103" s="13" t="n"/>
      <c r="H103">
        <f>F103=G103</f>
        <v/>
      </c>
    </row>
    <row r="104">
      <c r="B104" s="312" t="n"/>
      <c r="C104" s="61" t="n"/>
      <c r="D104">
        <f>B104=C104</f>
        <v/>
      </c>
      <c r="F104">
        <f>"VI-"&amp;TEXT(E104,"000000")&amp;"-2025"</f>
        <v/>
      </c>
      <c r="G104" s="13" t="n"/>
      <c r="H104">
        <f>F104=G104</f>
        <v/>
      </c>
    </row>
    <row r="105">
      <c r="B105" s="312" t="n"/>
      <c r="C105" s="61" t="n"/>
      <c r="D105">
        <f>B105=C105</f>
        <v/>
      </c>
      <c r="F105">
        <f>"VI-"&amp;TEXT(E105,"000000")&amp;"-2025"</f>
        <v/>
      </c>
      <c r="G105" s="13" t="n"/>
      <c r="H105">
        <f>F105=G105</f>
        <v/>
      </c>
    </row>
    <row r="106">
      <c r="B106" s="312" t="n"/>
      <c r="C106" s="61" t="n"/>
      <c r="D106">
        <f>B106=C106</f>
        <v/>
      </c>
      <c r="F106">
        <f>"VI-"&amp;TEXT(E106,"000000")&amp;"-2025"</f>
        <v/>
      </c>
      <c r="G106" s="13" t="n"/>
      <c r="H106">
        <f>F106=G106</f>
        <v/>
      </c>
    </row>
    <row r="107">
      <c r="B107" s="312" t="n"/>
      <c r="C107" s="61" t="n"/>
      <c r="D107">
        <f>B107=C107</f>
        <v/>
      </c>
      <c r="F107">
        <f>"VI-"&amp;TEXT(E107,"000000")&amp;"-2025"</f>
        <v/>
      </c>
      <c r="G107" s="13" t="n"/>
      <c r="H107">
        <f>F107=G107</f>
        <v/>
      </c>
    </row>
    <row r="108">
      <c r="B108" s="334" t="n"/>
      <c r="C108" s="61" t="n"/>
      <c r="D108">
        <f>B108=C108</f>
        <v/>
      </c>
      <c r="F108">
        <f>"VI-"&amp;TEXT(E108,"000000")&amp;"-2025"</f>
        <v/>
      </c>
      <c r="G108" s="13" t="n"/>
      <c r="H108">
        <f>F108=G108</f>
        <v/>
      </c>
    </row>
    <row r="109">
      <c r="B109" s="312" t="n"/>
      <c r="C109" s="61" t="n"/>
      <c r="D109">
        <f>B109=C109</f>
        <v/>
      </c>
      <c r="F109">
        <f>"VI-"&amp;TEXT(E109,"000000")&amp;"-2025"</f>
        <v/>
      </c>
      <c r="G109" s="13" t="n"/>
      <c r="H109">
        <f>F109=G109</f>
        <v/>
      </c>
    </row>
    <row r="110">
      <c r="B110" s="312" t="n"/>
      <c r="C110" s="61" t="n"/>
      <c r="D110">
        <f>B110=C110</f>
        <v/>
      </c>
      <c r="F110">
        <f>"VI-"&amp;TEXT(E110,"000000")&amp;"-2025"</f>
        <v/>
      </c>
      <c r="G110" s="13" t="n"/>
      <c r="H110">
        <f>F110=G110</f>
        <v/>
      </c>
    </row>
    <row r="111">
      <c r="B111" s="312" t="n"/>
      <c r="C111" s="61" t="n"/>
      <c r="D111">
        <f>B111=C111</f>
        <v/>
      </c>
      <c r="F111">
        <f>"VI-"&amp;TEXT(E111,"000000")&amp;"-2025"</f>
        <v/>
      </c>
      <c r="G111" s="13" t="n"/>
      <c r="H111">
        <f>F111=G111</f>
        <v/>
      </c>
    </row>
    <row r="112" ht="13.5" customHeight="1" thickBot="1">
      <c r="B112" s="325" t="n"/>
      <c r="C112" s="61" t="n"/>
      <c r="D112">
        <f>B112=C112</f>
        <v/>
      </c>
      <c r="F112">
        <f>"VI-"&amp;TEXT(E112,"000000")&amp;"-2025"</f>
        <v/>
      </c>
      <c r="G112" s="52" t="n"/>
      <c r="H112">
        <f>F112=G112</f>
        <v/>
      </c>
    </row>
    <row r="113">
      <c r="B113" s="335" t="n"/>
      <c r="C113" s="61" t="n"/>
      <c r="D113">
        <f>B113=C113</f>
        <v/>
      </c>
      <c r="F113">
        <f>"VI-"&amp;TEXT(E113,"000000")&amp;"-2025"</f>
        <v/>
      </c>
      <c r="G113" s="46" t="n"/>
      <c r="H113">
        <f>F113=G113</f>
        <v/>
      </c>
    </row>
    <row r="114">
      <c r="B114" s="312" t="n"/>
      <c r="C114" s="61" t="n"/>
      <c r="D114">
        <f>B114=C114</f>
        <v/>
      </c>
      <c r="F114">
        <f>"VI-"&amp;TEXT(E114,"000000")&amp;"-2025"</f>
        <v/>
      </c>
      <c r="G114" s="13" t="n"/>
      <c r="H114">
        <f>F114=G114</f>
        <v/>
      </c>
    </row>
    <row r="115">
      <c r="B115" s="312" t="n"/>
      <c r="C115" s="61" t="n"/>
      <c r="D115">
        <f>B115=C115</f>
        <v/>
      </c>
      <c r="F115">
        <f>"VI-"&amp;TEXT(E115,"000000")&amp;"-2025"</f>
        <v/>
      </c>
      <c r="G115" s="13" t="n"/>
      <c r="H115">
        <f>F115=G115</f>
        <v/>
      </c>
    </row>
    <row r="116">
      <c r="B116" s="312" t="n"/>
      <c r="C116" s="61" t="n"/>
      <c r="D116">
        <f>B116=C116</f>
        <v/>
      </c>
      <c r="F116">
        <f>"VI-"&amp;TEXT(E116,"000000")&amp;"-2025"</f>
        <v/>
      </c>
      <c r="G116" s="13" t="n"/>
      <c r="H116">
        <f>F116=G116</f>
        <v/>
      </c>
    </row>
    <row r="117">
      <c r="B117" s="312" t="n"/>
      <c r="C117" s="61" t="n"/>
      <c r="D117">
        <f>B117=C117</f>
        <v/>
      </c>
      <c r="F117">
        <f>"VI-"&amp;TEXT(E117,"000000")&amp;"-2025"</f>
        <v/>
      </c>
      <c r="G117" s="13" t="n"/>
      <c r="H117">
        <f>F117=G117</f>
        <v/>
      </c>
    </row>
    <row r="118">
      <c r="B118" s="312" t="n"/>
      <c r="C118" s="61" t="n"/>
      <c r="D118">
        <f>B118=C118</f>
        <v/>
      </c>
      <c r="F118">
        <f>"VI-"&amp;TEXT(E118,"000000")&amp;"-2025"</f>
        <v/>
      </c>
      <c r="G118" s="13" t="n"/>
      <c r="H118">
        <f>F118=G118</f>
        <v/>
      </c>
    </row>
    <row r="119">
      <c r="B119" s="312" t="n"/>
      <c r="C119" s="61" t="n"/>
      <c r="D119">
        <f>B119=C119</f>
        <v/>
      </c>
      <c r="F119">
        <f>"VI-"&amp;TEXT(E119,"000000")&amp;"-2025"</f>
        <v/>
      </c>
      <c r="G119" s="13" t="n"/>
      <c r="H119">
        <f>F119=G119</f>
        <v/>
      </c>
    </row>
    <row r="120">
      <c r="B120" s="312" t="n"/>
      <c r="C120" s="61" t="n"/>
      <c r="D120">
        <f>B120=C120</f>
        <v/>
      </c>
      <c r="F120">
        <f>"VI-"&amp;TEXT(E120,"000000")&amp;"-2025"</f>
        <v/>
      </c>
      <c r="G120" s="13" t="n"/>
      <c r="H120">
        <f>F120=G120</f>
        <v/>
      </c>
    </row>
    <row r="121">
      <c r="B121" s="312" t="n"/>
      <c r="C121" s="61" t="n"/>
      <c r="D121">
        <f>B121=C121</f>
        <v/>
      </c>
      <c r="F121">
        <f>"VI-"&amp;TEXT(E121,"000000")&amp;"-2025"</f>
        <v/>
      </c>
      <c r="G121" s="13" t="n"/>
      <c r="H121">
        <f>F121=G121</f>
        <v/>
      </c>
    </row>
    <row r="122">
      <c r="B122" s="312" t="n"/>
      <c r="C122" s="61" t="n"/>
      <c r="D122">
        <f>B122=C122</f>
        <v/>
      </c>
      <c r="F122">
        <f>"VI-"&amp;TEXT(E122,"000000")&amp;"-2025"</f>
        <v/>
      </c>
      <c r="G122" s="13" t="n"/>
      <c r="H122">
        <f>F122=G122</f>
        <v/>
      </c>
    </row>
    <row r="123" ht="13.5" customHeight="1" thickBot="1">
      <c r="B123" s="325" t="n"/>
      <c r="C123" s="61" t="n"/>
      <c r="D123">
        <f>B123=C123</f>
        <v/>
      </c>
      <c r="F123">
        <f>"VI-"&amp;TEXT(E123,"000000")&amp;"-2025"</f>
        <v/>
      </c>
      <c r="G123" s="52" t="n"/>
      <c r="H123">
        <f>F123=G123</f>
        <v/>
      </c>
    </row>
    <row r="124">
      <c r="B124" s="335" t="n"/>
      <c r="C124" s="61" t="n"/>
      <c r="D124">
        <f>B124=C124</f>
        <v/>
      </c>
      <c r="F124">
        <f>"VI-"&amp;TEXT(E124,"000000")&amp;"-2025"</f>
        <v/>
      </c>
      <c r="G124" s="46" t="n"/>
      <c r="H124">
        <f>F124=G124</f>
        <v/>
      </c>
    </row>
    <row r="125">
      <c r="B125" s="312" t="n"/>
      <c r="C125" s="61" t="n"/>
      <c r="D125">
        <f>B125=C125</f>
        <v/>
      </c>
      <c r="F125">
        <f>"VI-"&amp;TEXT(E125,"000000")&amp;"-2025"</f>
        <v/>
      </c>
      <c r="G125" s="13" t="n"/>
      <c r="H125">
        <f>F125=G125</f>
        <v/>
      </c>
    </row>
    <row r="126">
      <c r="B126" s="312" t="n"/>
      <c r="C126" s="61" t="n"/>
      <c r="D126">
        <f>B126=C126</f>
        <v/>
      </c>
      <c r="F126">
        <f>"VI-"&amp;TEXT(E126,"000000")&amp;"-2025"</f>
        <v/>
      </c>
      <c r="G126" s="13" t="n"/>
      <c r="H126">
        <f>F126=G126</f>
        <v/>
      </c>
    </row>
    <row r="127">
      <c r="B127" s="312" t="n"/>
      <c r="C127" s="61" t="n"/>
      <c r="D127">
        <f>B127=C127</f>
        <v/>
      </c>
      <c r="F127">
        <f>"VI-"&amp;TEXT(E127,"000000")&amp;"-2025"</f>
        <v/>
      </c>
      <c r="G127" s="13" t="n"/>
      <c r="H127">
        <f>F127=G127</f>
        <v/>
      </c>
    </row>
    <row r="128">
      <c r="B128" s="312" t="n"/>
      <c r="C128" s="61" t="n"/>
      <c r="D128">
        <f>B128=C128</f>
        <v/>
      </c>
      <c r="F128">
        <f>"VI-"&amp;TEXT(E128,"000000")&amp;"-2025"</f>
        <v/>
      </c>
      <c r="G128" s="13" t="n"/>
      <c r="H128">
        <f>F128=G128</f>
        <v/>
      </c>
    </row>
    <row r="129">
      <c r="B129" s="312" t="n"/>
      <c r="C129" s="61" t="n"/>
      <c r="D129">
        <f>B129=C129</f>
        <v/>
      </c>
      <c r="F129">
        <f>"VI-"&amp;TEXT(E129,"000000")&amp;"-2025"</f>
        <v/>
      </c>
      <c r="G129" s="13" t="n"/>
      <c r="H129">
        <f>F129=G129</f>
        <v/>
      </c>
    </row>
    <row r="130">
      <c r="B130" s="312" t="n"/>
      <c r="C130" s="61" t="n"/>
      <c r="D130">
        <f>B130=C130</f>
        <v/>
      </c>
      <c r="F130">
        <f>"VI-"&amp;TEXT(E130,"000000")&amp;"-2025"</f>
        <v/>
      </c>
      <c r="G130" s="13" t="n"/>
      <c r="H130">
        <f>F130=G130</f>
        <v/>
      </c>
    </row>
    <row r="131">
      <c r="B131" s="334" t="n"/>
      <c r="C131" s="61" t="n"/>
      <c r="D131">
        <f>B131=C131</f>
        <v/>
      </c>
      <c r="F131">
        <f>"VI-"&amp;TEXT(E131,"000000")&amp;"-2025"</f>
        <v/>
      </c>
      <c r="G131" s="13" t="n"/>
      <c r="H131">
        <f>F131=G131</f>
        <v/>
      </c>
    </row>
    <row r="132">
      <c r="B132" s="312" t="n"/>
      <c r="C132" s="61" t="n"/>
      <c r="D132">
        <f>B132=C132</f>
        <v/>
      </c>
      <c r="F132">
        <f>"VI-"&amp;TEXT(E132,"000000")&amp;"-2025"</f>
        <v/>
      </c>
      <c r="G132" s="13" t="n"/>
      <c r="H132">
        <f>F132=G132</f>
        <v/>
      </c>
    </row>
    <row r="133">
      <c r="B133" s="312" t="n"/>
      <c r="C133" s="61" t="n"/>
      <c r="D133">
        <f>B133=C133</f>
        <v/>
      </c>
      <c r="F133">
        <f>"VI-"&amp;TEXT(E133,"000000")&amp;"-2025"</f>
        <v/>
      </c>
      <c r="G133" s="13" t="n"/>
      <c r="H133">
        <f>F133=G133</f>
        <v/>
      </c>
    </row>
    <row r="134" ht="13.5" customHeight="1" thickBot="1">
      <c r="B134" s="325" t="n"/>
      <c r="C134" s="61" t="n"/>
      <c r="D134">
        <f>B134=C134</f>
        <v/>
      </c>
      <c r="F134">
        <f>"VI-"&amp;TEXT(E134,"000000")&amp;"-2025"</f>
        <v/>
      </c>
      <c r="G134" s="52" t="n"/>
      <c r="H134">
        <f>F134=G134</f>
        <v/>
      </c>
    </row>
    <row r="135">
      <c r="B135" s="312" t="n"/>
      <c r="C135" s="61" t="n"/>
      <c r="D135">
        <f>B135=C135</f>
        <v/>
      </c>
      <c r="F135">
        <f>"VI-"&amp;TEXT(E135,"000000")&amp;"-2025"</f>
        <v/>
      </c>
      <c r="G135" s="13" t="n"/>
      <c r="H135">
        <f>F135=G135</f>
        <v/>
      </c>
    </row>
    <row r="136">
      <c r="B136" s="312" t="n"/>
      <c r="C136" s="61" t="n"/>
      <c r="D136">
        <f>B136=C136</f>
        <v/>
      </c>
      <c r="F136">
        <f>"VI-"&amp;TEXT(E136,"000000")&amp;"-2025"</f>
        <v/>
      </c>
      <c r="G136" s="13" t="n"/>
      <c r="H136">
        <f>F136=G136</f>
        <v/>
      </c>
    </row>
    <row r="137">
      <c r="B137" s="312" t="n"/>
      <c r="C137" s="61" t="n"/>
      <c r="D137">
        <f>B137=C137</f>
        <v/>
      </c>
      <c r="F137">
        <f>"VI-"&amp;TEXT(E137,"000000")&amp;"-2025"</f>
        <v/>
      </c>
      <c r="G137" s="13" t="n"/>
      <c r="H137">
        <f>F137=G137</f>
        <v/>
      </c>
    </row>
    <row r="138">
      <c r="B138" s="312" t="n"/>
      <c r="C138" s="61" t="n"/>
      <c r="D138">
        <f>B138=C138</f>
        <v/>
      </c>
      <c r="F138">
        <f>"VI-"&amp;TEXT(E138,"000000")&amp;"-2025"</f>
        <v/>
      </c>
      <c r="G138" s="13" t="n"/>
      <c r="H138">
        <f>F138=G138</f>
        <v/>
      </c>
    </row>
    <row r="139">
      <c r="B139" s="312" t="n"/>
      <c r="C139" s="61" t="n"/>
      <c r="D139">
        <f>B139=C139</f>
        <v/>
      </c>
      <c r="F139">
        <f>"VI-"&amp;TEXT(E139,"000000")&amp;"-2025"</f>
        <v/>
      </c>
      <c r="G139" s="13" t="n"/>
      <c r="H139">
        <f>F139=G139</f>
        <v/>
      </c>
    </row>
    <row r="140">
      <c r="B140" s="312" t="n"/>
      <c r="C140" s="61" t="n"/>
      <c r="D140">
        <f>B140=C140</f>
        <v/>
      </c>
      <c r="F140">
        <f>"VI-"&amp;TEXT(E140,"000000")&amp;"-2025"</f>
        <v/>
      </c>
      <c r="G140" s="13" t="n"/>
      <c r="H140">
        <f>F140=G140</f>
        <v/>
      </c>
    </row>
    <row r="141">
      <c r="B141" s="312" t="n"/>
      <c r="C141" s="61" t="n"/>
      <c r="D141">
        <f>B141=C141</f>
        <v/>
      </c>
      <c r="F141">
        <f>"VI-"&amp;TEXT(E141,"000000")&amp;"-2025"</f>
        <v/>
      </c>
      <c r="G141" s="13" t="n"/>
      <c r="H141">
        <f>F141=G141</f>
        <v/>
      </c>
    </row>
    <row r="142">
      <c r="B142" s="312" t="n"/>
      <c r="C142" s="61" t="n"/>
      <c r="D142">
        <f>B142=C142</f>
        <v/>
      </c>
      <c r="F142">
        <f>"VI-"&amp;TEXT(E142,"000000")&amp;"-2025"</f>
        <v/>
      </c>
      <c r="G142" s="13" t="n"/>
      <c r="H142">
        <f>F142=G142</f>
        <v/>
      </c>
    </row>
    <row r="143" ht="13.5" customHeight="1" thickBot="1">
      <c r="B143" s="325" t="n"/>
      <c r="C143" s="61" t="n"/>
      <c r="D143">
        <f>B143=C143</f>
        <v/>
      </c>
      <c r="F143">
        <f>"VI-"&amp;TEXT(E143,"000000")&amp;"-2025"</f>
        <v/>
      </c>
      <c r="G143" s="52" t="n"/>
      <c r="H143">
        <f>F143=G143</f>
        <v/>
      </c>
    </row>
    <row r="144">
      <c r="B144" s="335" t="n"/>
      <c r="C144" s="61" t="n"/>
      <c r="D144">
        <f>B144=C144</f>
        <v/>
      </c>
      <c r="F144">
        <f>"VI-"&amp;TEXT(E144,"000000")&amp;"-2025"</f>
        <v/>
      </c>
      <c r="G144" s="46" t="n"/>
      <c r="H144">
        <f>F144=G144</f>
        <v/>
      </c>
    </row>
    <row r="145">
      <c r="B145" s="312" t="n"/>
      <c r="C145" s="61" t="n"/>
      <c r="D145">
        <f>B145=C145</f>
        <v/>
      </c>
      <c r="F145">
        <f>"VI-"&amp;TEXT(E145,"000000")&amp;"-2025"</f>
        <v/>
      </c>
      <c r="G145" s="13" t="n"/>
      <c r="H145">
        <f>F145=G145</f>
        <v/>
      </c>
    </row>
    <row r="146">
      <c r="B146" s="312" t="n"/>
      <c r="C146" s="61" t="n"/>
      <c r="D146">
        <f>B146=C146</f>
        <v/>
      </c>
      <c r="F146">
        <f>"VI-"&amp;TEXT(E146,"000000")&amp;"-2025"</f>
        <v/>
      </c>
      <c r="G146" s="13" t="n"/>
      <c r="H146">
        <f>F146=G146</f>
        <v/>
      </c>
    </row>
    <row r="147">
      <c r="B147" s="312" t="n"/>
      <c r="C147" s="61" t="n"/>
      <c r="D147">
        <f>B147=C147</f>
        <v/>
      </c>
      <c r="F147">
        <f>"VI-"&amp;TEXT(E147,"000000")&amp;"-2025"</f>
        <v/>
      </c>
      <c r="G147" s="56" t="n"/>
      <c r="H147">
        <f>F147=G147</f>
        <v/>
      </c>
    </row>
    <row r="148">
      <c r="B148" s="312" t="n"/>
      <c r="C148" s="61" t="n"/>
      <c r="D148">
        <f>B148=C148</f>
        <v/>
      </c>
      <c r="F148">
        <f>"VI-"&amp;TEXT(E148,"000000")&amp;"-2025"</f>
        <v/>
      </c>
      <c r="G148" s="13" t="n"/>
      <c r="H148">
        <f>F148=G148</f>
        <v/>
      </c>
    </row>
    <row r="149">
      <c r="B149" s="312" t="n"/>
      <c r="C149" s="61" t="n"/>
      <c r="D149">
        <f>B149=C149</f>
        <v/>
      </c>
      <c r="F149">
        <f>"VI-"&amp;TEXT(E149,"000000")&amp;"-2025"</f>
        <v/>
      </c>
      <c r="G149" s="58" t="n"/>
      <c r="H149">
        <f>F149=G149</f>
        <v/>
      </c>
    </row>
    <row r="150">
      <c r="B150" s="312" t="n"/>
      <c r="C150" s="61" t="n"/>
      <c r="D150">
        <f>B150=C150</f>
        <v/>
      </c>
      <c r="F150">
        <f>"VI-"&amp;TEXT(E150,"000000")&amp;"-2025"</f>
        <v/>
      </c>
      <c r="G150" s="13" t="n"/>
      <c r="H150">
        <f>F150=G150</f>
        <v/>
      </c>
    </row>
    <row r="151">
      <c r="B151" s="312" t="n"/>
      <c r="C151" s="61" t="n"/>
      <c r="D151">
        <f>B151=C151</f>
        <v/>
      </c>
      <c r="F151">
        <f>"VI-"&amp;TEXT(E151,"000000")&amp;"-2025"</f>
        <v/>
      </c>
      <c r="G151" s="13" t="n"/>
      <c r="H151">
        <f>F151=G151</f>
        <v/>
      </c>
    </row>
    <row r="152">
      <c r="B152" s="312" t="n"/>
      <c r="C152" s="61" t="n"/>
      <c r="D152">
        <f>B152=C152</f>
        <v/>
      </c>
      <c r="F152">
        <f>"VI-"&amp;TEXT(E152,"000000")&amp;"-2025"</f>
        <v/>
      </c>
      <c r="G152" s="13" t="n"/>
      <c r="H152">
        <f>F152=G152</f>
        <v/>
      </c>
    </row>
    <row r="153" ht="13.5" customHeight="1" thickBot="1">
      <c r="B153" s="325" t="n"/>
      <c r="C153" s="61" t="n"/>
      <c r="D153">
        <f>B153=C153</f>
        <v/>
      </c>
      <c r="F153">
        <f>"VI-"&amp;TEXT(E153,"000000")&amp;"-2025"</f>
        <v/>
      </c>
      <c r="G153" s="52" t="n"/>
      <c r="H153">
        <f>F153=G153</f>
        <v/>
      </c>
    </row>
    <row r="154">
      <c r="B154" s="335" t="n"/>
      <c r="C154" s="61" t="n"/>
      <c r="D154">
        <f>B154=C154</f>
        <v/>
      </c>
      <c r="F154">
        <f>"VI-"&amp;TEXT(E154,"000000")&amp;"-2025"</f>
        <v/>
      </c>
      <c r="G154" s="46" t="n"/>
      <c r="H154">
        <f>F154=G154</f>
        <v/>
      </c>
    </row>
    <row r="155">
      <c r="B155" s="312" t="n"/>
      <c r="C155" s="61" t="n"/>
      <c r="D155">
        <f>B155=C155</f>
        <v/>
      </c>
      <c r="F155">
        <f>"VI-"&amp;TEXT(E155,"000000")&amp;"-2025"</f>
        <v/>
      </c>
      <c r="G155" s="13" t="n"/>
      <c r="H155">
        <f>F155=G155</f>
        <v/>
      </c>
    </row>
    <row r="156">
      <c r="B156" s="312" t="n"/>
      <c r="C156" s="61" t="n"/>
      <c r="D156">
        <f>B156=C156</f>
        <v/>
      </c>
      <c r="F156">
        <f>"VI-"&amp;TEXT(E156,"000000")&amp;"-2025"</f>
        <v/>
      </c>
      <c r="G156" s="13" t="n"/>
      <c r="H156">
        <f>F156=G156</f>
        <v/>
      </c>
    </row>
    <row r="157">
      <c r="B157" s="312" t="n"/>
      <c r="C157" s="61" t="n"/>
      <c r="D157">
        <f>B157=C157</f>
        <v/>
      </c>
      <c r="F157">
        <f>"VI-"&amp;TEXT(E157,"000000")&amp;"-2025"</f>
        <v/>
      </c>
      <c r="G157" s="13" t="n"/>
      <c r="H157">
        <f>F157=G157</f>
        <v/>
      </c>
    </row>
    <row r="158">
      <c r="B158" s="312" t="n"/>
      <c r="C158" s="61" t="n"/>
      <c r="D158">
        <f>B158=C158</f>
        <v/>
      </c>
      <c r="F158">
        <f>"VI-"&amp;TEXT(E158,"000000")&amp;"-2025"</f>
        <v/>
      </c>
      <c r="G158" s="13" t="n"/>
      <c r="H158">
        <f>F158=G158</f>
        <v/>
      </c>
    </row>
    <row r="159">
      <c r="B159" s="312" t="n"/>
      <c r="C159" s="61" t="n"/>
      <c r="D159">
        <f>B159=C159</f>
        <v/>
      </c>
      <c r="F159">
        <f>"VI-"&amp;TEXT(E159,"000000")&amp;"-2025"</f>
        <v/>
      </c>
      <c r="G159" s="13" t="n"/>
      <c r="H159">
        <f>F159=G159</f>
        <v/>
      </c>
    </row>
    <row r="160">
      <c r="B160" s="312" t="n"/>
      <c r="C160" s="61" t="n"/>
      <c r="D160">
        <f>B160=C160</f>
        <v/>
      </c>
      <c r="F160">
        <f>"VI-"&amp;TEXT(E160,"000000")&amp;"-2025"</f>
        <v/>
      </c>
      <c r="G160" s="13" t="n"/>
      <c r="H160">
        <f>F160=G160</f>
        <v/>
      </c>
    </row>
    <row r="161">
      <c r="B161" s="312" t="n"/>
      <c r="C161" s="61" t="n"/>
      <c r="D161">
        <f>B161=C161</f>
        <v/>
      </c>
      <c r="F161">
        <f>"VI-"&amp;TEXT(E161,"000000")&amp;"-2025"</f>
        <v/>
      </c>
      <c r="G161" s="13" t="n"/>
      <c r="H161">
        <f>F161=G161</f>
        <v/>
      </c>
    </row>
    <row r="162">
      <c r="B162" s="312" t="n"/>
      <c r="C162" s="61" t="n"/>
      <c r="D162">
        <f>B162=C162</f>
        <v/>
      </c>
      <c r="F162">
        <f>"VI-"&amp;TEXT(E162,"000000")&amp;"-2025"</f>
        <v/>
      </c>
      <c r="G162" s="13" t="n"/>
      <c r="H162">
        <f>F162=G162</f>
        <v/>
      </c>
    </row>
    <row r="163">
      <c r="B163" s="312" t="n"/>
      <c r="C163" s="61" t="n"/>
      <c r="D163">
        <f>B163=C163</f>
        <v/>
      </c>
      <c r="F163">
        <f>"VI-"&amp;TEXT(E163,"000000")&amp;"-2025"</f>
        <v/>
      </c>
      <c r="G163" s="13" t="n"/>
      <c r="H163">
        <f>F163=G163</f>
        <v/>
      </c>
    </row>
    <row r="164" ht="13.5" customHeight="1" thickBot="1">
      <c r="B164" s="325" t="n"/>
      <c r="C164" s="61" t="n"/>
      <c r="D164">
        <f>B164=C164</f>
        <v/>
      </c>
      <c r="F164">
        <f>"VI-"&amp;TEXT(E164,"000000")&amp;"-2025"</f>
        <v/>
      </c>
      <c r="G164" s="52" t="n"/>
      <c r="H164">
        <f>F164=G164</f>
        <v/>
      </c>
    </row>
    <row r="165">
      <c r="B165" s="335" t="n"/>
      <c r="C165" s="61" t="n"/>
      <c r="D165">
        <f>B165=C165</f>
        <v/>
      </c>
      <c r="F165">
        <f>"VI-"&amp;TEXT(E165,"000000")&amp;"-2025"</f>
        <v/>
      </c>
      <c r="G165" s="46" t="n"/>
      <c r="H165">
        <f>F165=G165</f>
        <v/>
      </c>
    </row>
    <row r="166">
      <c r="B166" s="312" t="n"/>
      <c r="C166" s="61" t="n"/>
      <c r="D166">
        <f>B166=C166</f>
        <v/>
      </c>
      <c r="F166">
        <f>"VI-"&amp;TEXT(E166,"000000")&amp;"-2025"</f>
        <v/>
      </c>
      <c r="G166" s="13" t="n"/>
      <c r="H166">
        <f>F166=G166</f>
        <v/>
      </c>
    </row>
    <row r="167">
      <c r="B167" s="312" t="n"/>
      <c r="C167" s="61" t="n"/>
      <c r="D167">
        <f>B167=C167</f>
        <v/>
      </c>
      <c r="F167">
        <f>"VI-"&amp;TEXT(E167,"000000")&amp;"-2025"</f>
        <v/>
      </c>
      <c r="G167" s="13" t="n"/>
      <c r="H167">
        <f>F167=G167</f>
        <v/>
      </c>
    </row>
    <row r="168">
      <c r="B168" s="312" t="n"/>
      <c r="C168" s="61" t="n"/>
      <c r="D168">
        <f>B168=C168</f>
        <v/>
      </c>
      <c r="F168">
        <f>"VI-"&amp;TEXT(E168,"000000")&amp;"-2025"</f>
        <v/>
      </c>
      <c r="G168" s="13" t="n"/>
      <c r="H168">
        <f>F168=G168</f>
        <v/>
      </c>
    </row>
    <row r="169">
      <c r="B169" s="312" t="n"/>
      <c r="C169" s="61" t="n"/>
      <c r="D169">
        <f>B169=C169</f>
        <v/>
      </c>
      <c r="F169">
        <f>"VI-"&amp;TEXT(E169,"000000")&amp;"-2025"</f>
        <v/>
      </c>
      <c r="G169" s="13" t="n"/>
      <c r="H169">
        <f>F169=G169</f>
        <v/>
      </c>
    </row>
    <row r="170">
      <c r="B170" s="312" t="n"/>
      <c r="C170" s="61" t="n"/>
      <c r="D170">
        <f>B170=C170</f>
        <v/>
      </c>
      <c r="F170">
        <f>"VI-"&amp;TEXT(E170,"000000")&amp;"-2025"</f>
        <v/>
      </c>
      <c r="G170" s="13" t="n"/>
      <c r="H170">
        <f>F170=G170</f>
        <v/>
      </c>
    </row>
    <row r="171">
      <c r="B171" s="312" t="n"/>
      <c r="C171" s="61" t="n"/>
      <c r="D171">
        <f>B171=C171</f>
        <v/>
      </c>
      <c r="F171">
        <f>"VI-"&amp;TEXT(E171,"000000")&amp;"-2025"</f>
        <v/>
      </c>
      <c r="G171" s="13" t="n"/>
      <c r="H171">
        <f>F171=G171</f>
        <v/>
      </c>
    </row>
    <row r="172">
      <c r="B172" s="312" t="n"/>
      <c r="C172" s="61" t="n"/>
      <c r="D172">
        <f>B172=C172</f>
        <v/>
      </c>
      <c r="F172">
        <f>"VI-"&amp;TEXT(E172,"000000")&amp;"-2025"</f>
        <v/>
      </c>
      <c r="G172" s="13" t="n"/>
      <c r="H172">
        <f>F172=G172</f>
        <v/>
      </c>
    </row>
    <row r="173">
      <c r="B173" s="312" t="n"/>
      <c r="C173" s="61" t="n"/>
      <c r="D173">
        <f>B173=C173</f>
        <v/>
      </c>
      <c r="F173">
        <f>"VI-"&amp;TEXT(E173,"000000")&amp;"-2025"</f>
        <v/>
      </c>
      <c r="G173" s="13" t="n"/>
      <c r="H173">
        <f>F173=G173</f>
        <v/>
      </c>
    </row>
    <row r="174">
      <c r="B174" s="312" t="n"/>
      <c r="C174" s="61" t="n"/>
      <c r="D174">
        <f>B174=C174</f>
        <v/>
      </c>
      <c r="F174">
        <f>"VI-"&amp;TEXT(E174,"000000")&amp;"-2025"</f>
        <v/>
      </c>
      <c r="G174" s="13" t="n"/>
      <c r="H174">
        <f>F174=G174</f>
        <v/>
      </c>
    </row>
    <row r="175" ht="13.5" customHeight="1" thickBot="1">
      <c r="B175" s="325" t="n"/>
      <c r="C175" s="61" t="n"/>
      <c r="D175">
        <f>B175=C175</f>
        <v/>
      </c>
      <c r="F175">
        <f>"VI-"&amp;TEXT(E175,"000000")&amp;"-2025"</f>
        <v/>
      </c>
      <c r="G175" s="52" t="n"/>
      <c r="H175">
        <f>F175=G175</f>
        <v/>
      </c>
    </row>
    <row r="176">
      <c r="B176" s="335" t="n"/>
      <c r="C176" s="61" t="n"/>
      <c r="D176">
        <f>B176=C176</f>
        <v/>
      </c>
      <c r="F176">
        <f>"VI-"&amp;TEXT(E176,"000000")&amp;"-2025"</f>
        <v/>
      </c>
      <c r="G176" s="46" t="n"/>
      <c r="H176">
        <f>F176=G176</f>
        <v/>
      </c>
    </row>
    <row r="177">
      <c r="B177" s="312" t="n"/>
      <c r="C177" s="61" t="n"/>
      <c r="D177">
        <f>B177=C177</f>
        <v/>
      </c>
      <c r="F177">
        <f>"VI-"&amp;TEXT(E177,"000000")&amp;"-2025"</f>
        <v/>
      </c>
      <c r="G177" s="13" t="n"/>
      <c r="H177">
        <f>F177=G177</f>
        <v/>
      </c>
    </row>
    <row r="178">
      <c r="B178" s="312" t="n"/>
      <c r="C178" s="61" t="n"/>
      <c r="D178">
        <f>B178=C178</f>
        <v/>
      </c>
      <c r="F178">
        <f>"VI-"&amp;TEXT(E178,"000000")&amp;"-2025"</f>
        <v/>
      </c>
      <c r="G178" s="13" t="n"/>
      <c r="H178">
        <f>F178=G178</f>
        <v/>
      </c>
    </row>
    <row r="179">
      <c r="B179" s="312" t="n"/>
      <c r="C179" s="61" t="n"/>
      <c r="D179">
        <f>B179=C179</f>
        <v/>
      </c>
      <c r="F179">
        <f>"VI-"&amp;TEXT(E179,"000000")&amp;"-2025"</f>
        <v/>
      </c>
      <c r="G179" s="13" t="n"/>
      <c r="H179">
        <f>F179=G179</f>
        <v/>
      </c>
    </row>
    <row r="180">
      <c r="B180" s="312" t="n"/>
      <c r="C180" s="61" t="n"/>
      <c r="D180">
        <f>B180=C180</f>
        <v/>
      </c>
      <c r="F180">
        <f>"VI-"&amp;TEXT(E180,"000000")&amp;"-2025"</f>
        <v/>
      </c>
      <c r="G180" s="13" t="n"/>
      <c r="H180">
        <f>F180=G180</f>
        <v/>
      </c>
    </row>
    <row r="181">
      <c r="B181" s="312" t="n"/>
      <c r="C181" s="61" t="n"/>
      <c r="D181">
        <f>B181=C181</f>
        <v/>
      </c>
      <c r="F181">
        <f>"VI-"&amp;TEXT(E181,"000000")&amp;"-2025"</f>
        <v/>
      </c>
      <c r="G181" s="13" t="n"/>
      <c r="H181">
        <f>F181=G181</f>
        <v/>
      </c>
    </row>
    <row r="182">
      <c r="B182" s="312" t="n"/>
      <c r="C182" s="61" t="n"/>
      <c r="D182">
        <f>B182=C182</f>
        <v/>
      </c>
      <c r="F182">
        <f>"VI-"&amp;TEXT(E182,"000000")&amp;"-2025"</f>
        <v/>
      </c>
      <c r="G182" s="13" t="n"/>
      <c r="H182">
        <f>F182=G182</f>
        <v/>
      </c>
    </row>
    <row r="183">
      <c r="B183" s="312" t="n"/>
      <c r="C183" s="61" t="n"/>
      <c r="D183">
        <f>B183=C183</f>
        <v/>
      </c>
      <c r="F183">
        <f>"VI-"&amp;TEXT(E183,"000000")&amp;"-2025"</f>
        <v/>
      </c>
      <c r="G183" s="13" t="n"/>
      <c r="H183">
        <f>F183=G183</f>
        <v/>
      </c>
    </row>
    <row r="184">
      <c r="B184" s="312" t="n"/>
      <c r="C184" s="61" t="n"/>
      <c r="D184">
        <f>B184=C184</f>
        <v/>
      </c>
      <c r="F184">
        <f>"VI-"&amp;TEXT(E184,"000000")&amp;"-2025"</f>
        <v/>
      </c>
      <c r="G184" s="13" t="n"/>
      <c r="H184">
        <f>F184=G184</f>
        <v/>
      </c>
    </row>
    <row r="185">
      <c r="B185" s="312" t="n"/>
      <c r="C185" s="61" t="n"/>
      <c r="D185">
        <f>B185=C185</f>
        <v/>
      </c>
      <c r="F185">
        <f>"VI-"&amp;TEXT(E185,"000000")&amp;"-2025"</f>
        <v/>
      </c>
      <c r="G185" s="13" t="n"/>
      <c r="H185">
        <f>F185=G185</f>
        <v/>
      </c>
    </row>
    <row r="186" ht="13.5" customHeight="1" thickBot="1">
      <c r="B186" s="325" t="n"/>
      <c r="C186" s="61" t="n"/>
      <c r="D186">
        <f>B186=C186</f>
        <v/>
      </c>
      <c r="F186">
        <f>"VI-"&amp;TEXT(E186,"000000")&amp;"-2025"</f>
        <v/>
      </c>
      <c r="G186" s="52" t="n"/>
      <c r="H186">
        <f>F186=G186</f>
        <v/>
      </c>
    </row>
    <row r="187">
      <c r="B187" s="335" t="n"/>
      <c r="C187" s="61" t="n"/>
      <c r="D187">
        <f>B187=C187</f>
        <v/>
      </c>
      <c r="F187">
        <f>"VI-"&amp;TEXT(E187,"000000")&amp;"-2025"</f>
        <v/>
      </c>
      <c r="G187" s="46" t="n"/>
      <c r="H187">
        <f>F187=G187</f>
        <v/>
      </c>
    </row>
    <row r="188">
      <c r="B188" s="312" t="n"/>
      <c r="C188" s="61" t="n"/>
      <c r="D188">
        <f>B188=C188</f>
        <v/>
      </c>
      <c r="F188">
        <f>"VI-"&amp;TEXT(E188,"000000")&amp;"-2025"</f>
        <v/>
      </c>
      <c r="G188" s="13" t="n"/>
      <c r="H188">
        <f>F188=G188</f>
        <v/>
      </c>
    </row>
    <row r="189">
      <c r="B189" s="312" t="n"/>
      <c r="C189" s="61" t="n"/>
      <c r="D189">
        <f>B189=C189</f>
        <v/>
      </c>
      <c r="F189">
        <f>"VI-"&amp;TEXT(E189,"000000")&amp;"-2025"</f>
        <v/>
      </c>
      <c r="G189" s="13" t="n"/>
      <c r="H189">
        <f>F189=G189</f>
        <v/>
      </c>
    </row>
    <row r="190">
      <c r="B190" s="312" t="n"/>
      <c r="C190" s="61" t="n"/>
      <c r="D190">
        <f>B190=C190</f>
        <v/>
      </c>
      <c r="F190">
        <f>"VI-"&amp;TEXT(E190,"000000")&amp;"-2025"</f>
        <v/>
      </c>
      <c r="G190" s="13" t="n"/>
      <c r="H190">
        <f>F190=G190</f>
        <v/>
      </c>
    </row>
    <row r="191">
      <c r="B191" s="312" t="n"/>
      <c r="C191" s="61" t="n"/>
      <c r="D191">
        <f>B191=C191</f>
        <v/>
      </c>
      <c r="F191">
        <f>"VI-"&amp;TEXT(E191,"000000")&amp;"-2025"</f>
        <v/>
      </c>
      <c r="G191" s="13" t="n"/>
      <c r="H191">
        <f>F191=G191</f>
        <v/>
      </c>
    </row>
    <row r="192">
      <c r="B192" s="312" t="n"/>
      <c r="C192" s="61" t="n"/>
      <c r="D192">
        <f>B192=C192</f>
        <v/>
      </c>
      <c r="F192">
        <f>"VI-"&amp;TEXT(E192,"000000")&amp;"-2025"</f>
        <v/>
      </c>
      <c r="G192" s="13" t="n"/>
      <c r="H192">
        <f>F192=G192</f>
        <v/>
      </c>
    </row>
    <row r="193">
      <c r="B193" s="312" t="n"/>
      <c r="C193" s="61" t="n"/>
      <c r="D193">
        <f>B193=C193</f>
        <v/>
      </c>
      <c r="F193">
        <f>"VI-"&amp;TEXT(E193,"000000")&amp;"-2025"</f>
        <v/>
      </c>
      <c r="G193" s="13" t="n"/>
      <c r="H193">
        <f>F193=G193</f>
        <v/>
      </c>
    </row>
    <row r="194">
      <c r="B194" s="312" t="n"/>
      <c r="C194" s="61" t="n"/>
      <c r="D194">
        <f>B194=C194</f>
        <v/>
      </c>
      <c r="F194">
        <f>"VI-"&amp;TEXT(E194,"000000")&amp;"-2025"</f>
        <v/>
      </c>
      <c r="G194" s="13" t="n"/>
      <c r="H194">
        <f>F194=G194</f>
        <v/>
      </c>
    </row>
    <row r="195">
      <c r="B195" s="312" t="n"/>
      <c r="C195" s="61" t="n"/>
      <c r="D195">
        <f>B195=C195</f>
        <v/>
      </c>
      <c r="F195">
        <f>"VI-"&amp;TEXT(E195,"000000")&amp;"-2025"</f>
        <v/>
      </c>
      <c r="G195" s="13" t="n"/>
      <c r="H195">
        <f>F195=G195</f>
        <v/>
      </c>
    </row>
    <row r="196">
      <c r="B196" s="312" t="n"/>
      <c r="C196" s="61" t="n"/>
      <c r="D196">
        <f>B196=C196</f>
        <v/>
      </c>
      <c r="F196">
        <f>"VI-"&amp;TEXT(E196,"000000")&amp;"-2025"</f>
        <v/>
      </c>
      <c r="G196" s="13" t="n"/>
      <c r="H196">
        <f>F196=G196</f>
        <v/>
      </c>
    </row>
    <row r="197" ht="13.5" customHeight="1" thickBot="1">
      <c r="B197" s="325" t="n"/>
      <c r="C197" s="61" t="n"/>
      <c r="D197">
        <f>B197=C197</f>
        <v/>
      </c>
      <c r="F197">
        <f>"VI-"&amp;TEXT(E197,"000000")&amp;"-2025"</f>
        <v/>
      </c>
      <c r="G197" s="52" t="n"/>
      <c r="H197">
        <f>F197=G197</f>
        <v/>
      </c>
    </row>
    <row r="198">
      <c r="B198" s="335" t="n"/>
      <c r="C198" s="61" t="n"/>
      <c r="D198">
        <f>B198=C198</f>
        <v/>
      </c>
      <c r="F198">
        <f>"VI-"&amp;TEXT(E198,"000000")&amp;"-2025"</f>
        <v/>
      </c>
      <c r="G198" s="46" t="n"/>
      <c r="H198">
        <f>F198=G198</f>
        <v/>
      </c>
    </row>
    <row r="199">
      <c r="B199" s="312" t="n"/>
      <c r="C199" s="61" t="n"/>
      <c r="D199">
        <f>B199=C199</f>
        <v/>
      </c>
      <c r="F199">
        <f>"VI-"&amp;TEXT(E199,"000000")&amp;"-2025"</f>
        <v/>
      </c>
      <c r="G199" s="13" t="n"/>
      <c r="H199">
        <f>F199=G199</f>
        <v/>
      </c>
    </row>
    <row r="200">
      <c r="B200" s="312" t="n"/>
      <c r="C200" s="61" t="n"/>
      <c r="D200">
        <f>B200=C200</f>
        <v/>
      </c>
      <c r="F200">
        <f>"VI-"&amp;TEXT(E200,"000000")&amp;"-2025"</f>
        <v/>
      </c>
      <c r="G200" s="13" t="n"/>
      <c r="H200">
        <f>F200=G200</f>
        <v/>
      </c>
    </row>
    <row r="201">
      <c r="B201" s="312" t="n"/>
      <c r="C201" s="61" t="n"/>
      <c r="D201">
        <f>B201=C201</f>
        <v/>
      </c>
      <c r="F201">
        <f>"VI-"&amp;TEXT(E201,"000000")&amp;"-2025"</f>
        <v/>
      </c>
      <c r="G201" s="13" t="n"/>
      <c r="H201">
        <f>F201=G201</f>
        <v/>
      </c>
    </row>
    <row r="202">
      <c r="B202" s="312" t="n"/>
      <c r="C202" s="61" t="n"/>
      <c r="D202">
        <f>B202=C202</f>
        <v/>
      </c>
      <c r="F202">
        <f>"VI-"&amp;TEXT(E202,"000000")&amp;"-2025"</f>
        <v/>
      </c>
      <c r="G202" s="13" t="n"/>
      <c r="H202">
        <f>F202=G202</f>
        <v/>
      </c>
    </row>
    <row r="203">
      <c r="B203" s="312" t="n"/>
      <c r="C203" s="61" t="n"/>
      <c r="D203">
        <f>B203=C203</f>
        <v/>
      </c>
      <c r="F203">
        <f>"VI-"&amp;TEXT(E203,"000000")&amp;"-2025"</f>
        <v/>
      </c>
      <c r="G203" s="13" t="n"/>
      <c r="H203">
        <f>F203=G203</f>
        <v/>
      </c>
    </row>
    <row r="204">
      <c r="B204" s="312" t="n"/>
      <c r="C204" s="61" t="n"/>
      <c r="D204">
        <f>B204=C204</f>
        <v/>
      </c>
      <c r="F204">
        <f>"VI-"&amp;TEXT(E204,"000000")&amp;"-2025"</f>
        <v/>
      </c>
      <c r="G204" s="13" t="n"/>
      <c r="H204">
        <f>F204=G204</f>
        <v/>
      </c>
    </row>
    <row r="205">
      <c r="B205" s="312" t="n"/>
      <c r="C205" s="61" t="n"/>
      <c r="D205">
        <f>B205=C205</f>
        <v/>
      </c>
      <c r="F205">
        <f>"VI-"&amp;TEXT(E205,"000000")&amp;"-2025"</f>
        <v/>
      </c>
      <c r="G205" s="13" t="n"/>
      <c r="H205">
        <f>F205=G205</f>
        <v/>
      </c>
    </row>
    <row r="206">
      <c r="B206" s="312" t="n"/>
      <c r="C206" s="61" t="n"/>
      <c r="D206">
        <f>B206=C206</f>
        <v/>
      </c>
      <c r="F206">
        <f>"VI-"&amp;TEXT(E206,"000000")&amp;"-2025"</f>
        <v/>
      </c>
      <c r="G206" s="13" t="n"/>
      <c r="H206">
        <f>F206=G206</f>
        <v/>
      </c>
    </row>
    <row r="207">
      <c r="B207" s="312" t="n"/>
      <c r="C207" s="61" t="n"/>
      <c r="D207">
        <f>B207=C207</f>
        <v/>
      </c>
      <c r="F207">
        <f>"VI-"&amp;TEXT(E207,"000000")&amp;"-2025"</f>
        <v/>
      </c>
      <c r="G207" s="13" t="n"/>
      <c r="H207">
        <f>F207=G207</f>
        <v/>
      </c>
    </row>
    <row r="208" ht="13.5" customHeight="1" thickBot="1">
      <c r="B208" s="325" t="n"/>
      <c r="C208" s="61" t="n"/>
      <c r="D208">
        <f>B208=C208</f>
        <v/>
      </c>
      <c r="F208">
        <f>"VI-"&amp;TEXT(E208,"000000")&amp;"-2025"</f>
        <v/>
      </c>
      <c r="G208" s="52" t="n"/>
      <c r="H208">
        <f>F208=G208</f>
        <v/>
      </c>
    </row>
    <row r="209">
      <c r="B209" s="335" t="n"/>
      <c r="C209" s="61" t="n"/>
      <c r="D209">
        <f>B209=C209</f>
        <v/>
      </c>
      <c r="F209">
        <f>"VI-"&amp;TEXT(E209,"000000")&amp;"-2025"</f>
        <v/>
      </c>
      <c r="G209" s="46" t="n"/>
      <c r="H209">
        <f>F209=G209</f>
        <v/>
      </c>
    </row>
    <row r="210">
      <c r="B210" s="312" t="n"/>
      <c r="C210" s="61" t="n"/>
      <c r="D210">
        <f>B210=C210</f>
        <v/>
      </c>
      <c r="F210">
        <f>"VI-"&amp;TEXT(E210,"000000")&amp;"-2025"</f>
        <v/>
      </c>
      <c r="G210" s="13" t="n"/>
      <c r="H210">
        <f>F210=G210</f>
        <v/>
      </c>
    </row>
    <row r="211">
      <c r="B211" s="312" t="n"/>
      <c r="C211" s="61" t="n"/>
      <c r="D211">
        <f>B211=C211</f>
        <v/>
      </c>
      <c r="F211">
        <f>"VI-"&amp;TEXT(E211,"000000")&amp;"-2025"</f>
        <v/>
      </c>
      <c r="G211" s="13" t="n"/>
      <c r="H211">
        <f>F211=G211</f>
        <v/>
      </c>
    </row>
    <row r="212">
      <c r="B212" s="312" t="n"/>
      <c r="C212" s="61" t="n"/>
      <c r="D212">
        <f>B212=C212</f>
        <v/>
      </c>
      <c r="F212">
        <f>"VI-"&amp;TEXT(E212,"000000")&amp;"-2025"</f>
        <v/>
      </c>
      <c r="G212" s="13" t="n"/>
      <c r="H212">
        <f>F212=G212</f>
        <v/>
      </c>
    </row>
    <row r="213">
      <c r="B213" s="312" t="n"/>
      <c r="C213" s="61" t="n"/>
      <c r="D213">
        <f>B213=C213</f>
        <v/>
      </c>
      <c r="F213">
        <f>"VI-"&amp;TEXT(E213,"000000")&amp;"-2025"</f>
        <v/>
      </c>
      <c r="G213" s="13" t="n"/>
      <c r="H213">
        <f>F213=G213</f>
        <v/>
      </c>
    </row>
    <row r="214">
      <c r="B214" s="312" t="n"/>
      <c r="C214" s="61" t="n"/>
      <c r="D214">
        <f>B214=C214</f>
        <v/>
      </c>
      <c r="F214">
        <f>"VI-"&amp;TEXT(E214,"000000")&amp;"-2025"</f>
        <v/>
      </c>
      <c r="G214" s="13" t="n"/>
      <c r="H214">
        <f>F214=G214</f>
        <v/>
      </c>
    </row>
    <row r="215">
      <c r="B215" s="312" t="n"/>
      <c r="C215" s="61" t="n"/>
      <c r="D215">
        <f>B215=C215</f>
        <v/>
      </c>
      <c r="F215">
        <f>"VI-"&amp;TEXT(E215,"000000")&amp;"-2025"</f>
        <v/>
      </c>
      <c r="G215" s="13" t="n"/>
      <c r="H215">
        <f>F215=G215</f>
        <v/>
      </c>
    </row>
    <row r="216">
      <c r="B216" s="312" t="n"/>
      <c r="C216" s="61" t="n"/>
      <c r="D216">
        <f>B216=C216</f>
        <v/>
      </c>
      <c r="F216">
        <f>"VI-"&amp;TEXT(E216,"000000")&amp;"-2025"</f>
        <v/>
      </c>
      <c r="G216" s="13" t="n"/>
      <c r="H216">
        <f>F216=G216</f>
        <v/>
      </c>
    </row>
    <row r="217">
      <c r="B217" s="312" t="n"/>
      <c r="C217" s="61" t="n"/>
      <c r="D217">
        <f>B217=C217</f>
        <v/>
      </c>
      <c r="F217">
        <f>"VI-"&amp;TEXT(E217,"000000")&amp;"-2025"</f>
        <v/>
      </c>
      <c r="G217" s="13" t="n"/>
      <c r="H217">
        <f>F217=G217</f>
        <v/>
      </c>
    </row>
    <row r="218">
      <c r="B218" s="312" t="n"/>
      <c r="C218" s="61" t="n"/>
      <c r="D218">
        <f>B218=C218</f>
        <v/>
      </c>
      <c r="F218">
        <f>"VI-"&amp;TEXT(E218,"000000")&amp;"-2025"</f>
        <v/>
      </c>
      <c r="G218" s="13" t="n"/>
      <c r="H218">
        <f>F218=G218</f>
        <v/>
      </c>
    </row>
    <row r="219" ht="13.5" customHeight="1" thickBot="1">
      <c r="B219" s="325" t="n"/>
      <c r="C219" s="61" t="n"/>
      <c r="D219">
        <f>B219=C219</f>
        <v/>
      </c>
      <c r="F219">
        <f>"VI-"&amp;TEXT(E219,"000000")&amp;"-2025"</f>
        <v/>
      </c>
      <c r="G219" s="52" t="n"/>
      <c r="H219">
        <f>F219=G219</f>
        <v/>
      </c>
    </row>
    <row r="220">
      <c r="B220" s="335" t="n"/>
      <c r="C220" s="61" t="n"/>
      <c r="D220">
        <f>B220=C220</f>
        <v/>
      </c>
      <c r="F220">
        <f>"VI-"&amp;TEXT(E220,"000000")&amp;"-2025"</f>
        <v/>
      </c>
      <c r="G220" s="46" t="n"/>
      <c r="H220">
        <f>F220=G220</f>
        <v/>
      </c>
    </row>
    <row r="221">
      <c r="B221" s="312" t="n"/>
      <c r="C221" s="61" t="n"/>
      <c r="D221">
        <f>B221=C221</f>
        <v/>
      </c>
      <c r="F221">
        <f>"VI-"&amp;TEXT(E221,"000000")&amp;"-2025"</f>
        <v/>
      </c>
      <c r="G221" s="13" t="n"/>
      <c r="H221">
        <f>F221=G221</f>
        <v/>
      </c>
    </row>
    <row r="222">
      <c r="B222" s="312" t="n"/>
      <c r="C222" s="61" t="n"/>
      <c r="D222">
        <f>B222=C222</f>
        <v/>
      </c>
      <c r="F222">
        <f>"VI-"&amp;TEXT(E222,"000000")&amp;"-2025"</f>
        <v/>
      </c>
      <c r="G222" s="13" t="n"/>
      <c r="H222">
        <f>F222=G222</f>
        <v/>
      </c>
    </row>
    <row r="223">
      <c r="B223" s="312" t="n"/>
      <c r="C223" s="61" t="n"/>
      <c r="D223">
        <f>B223=C223</f>
        <v/>
      </c>
      <c r="F223">
        <f>"VI-"&amp;TEXT(E223,"000000")&amp;"-2025"</f>
        <v/>
      </c>
      <c r="G223" s="13" t="n"/>
      <c r="H223">
        <f>F223=G223</f>
        <v/>
      </c>
    </row>
    <row r="224">
      <c r="B224" s="312" t="n"/>
      <c r="C224" s="61" t="n"/>
      <c r="D224">
        <f>B224=C224</f>
        <v/>
      </c>
      <c r="F224">
        <f>"VI-"&amp;TEXT(E224,"000000")&amp;"-2025"</f>
        <v/>
      </c>
      <c r="G224" s="13" t="n"/>
      <c r="H224">
        <f>F224=G224</f>
        <v/>
      </c>
    </row>
    <row r="225">
      <c r="B225" s="312" t="n"/>
      <c r="C225" s="61" t="n"/>
      <c r="D225">
        <f>B225=C225</f>
        <v/>
      </c>
      <c r="F225">
        <f>"VI-"&amp;TEXT(E225,"000000")&amp;"-2025"</f>
        <v/>
      </c>
      <c r="G225" s="13" t="n"/>
      <c r="H225">
        <f>F225=G225</f>
        <v/>
      </c>
    </row>
    <row r="226">
      <c r="B226" s="312" t="n"/>
      <c r="C226" s="61" t="n"/>
      <c r="D226">
        <f>B226=C226</f>
        <v/>
      </c>
      <c r="F226">
        <f>"VI-"&amp;TEXT(E226,"000000")&amp;"-2025"</f>
        <v/>
      </c>
      <c r="G226" s="13" t="n"/>
      <c r="H226">
        <f>F226=G226</f>
        <v/>
      </c>
    </row>
    <row r="227">
      <c r="B227" s="312" t="n"/>
      <c r="C227" s="61" t="n"/>
      <c r="D227">
        <f>B227=C227</f>
        <v/>
      </c>
      <c r="F227">
        <f>"VI-"&amp;TEXT(E227,"000000")&amp;"-2025"</f>
        <v/>
      </c>
      <c r="G227" s="13" t="n"/>
      <c r="H227">
        <f>F227=G227</f>
        <v/>
      </c>
    </row>
    <row r="228">
      <c r="B228" s="312" t="n"/>
      <c r="C228" s="61" t="n"/>
      <c r="D228">
        <f>B228=C228</f>
        <v/>
      </c>
      <c r="F228">
        <f>"VI-"&amp;TEXT(E228,"000000")&amp;"-2025"</f>
        <v/>
      </c>
      <c r="G228" s="13" t="n"/>
      <c r="H228">
        <f>F228=G228</f>
        <v/>
      </c>
    </row>
    <row r="229">
      <c r="B229" s="312" t="n"/>
      <c r="C229" s="61" t="n"/>
      <c r="D229">
        <f>B229=C229</f>
        <v/>
      </c>
      <c r="F229">
        <f>"VI-"&amp;TEXT(E229,"000000")&amp;"-2025"</f>
        <v/>
      </c>
      <c r="G229" s="13" t="n"/>
      <c r="H229">
        <f>F229=G229</f>
        <v/>
      </c>
    </row>
    <row r="230" ht="13.5" customHeight="1" thickBot="1">
      <c r="B230" s="325" t="n"/>
      <c r="C230" s="61" t="n"/>
      <c r="D230">
        <f>B230=C230</f>
        <v/>
      </c>
      <c r="F230">
        <f>"VI-"&amp;TEXT(E230,"000000")&amp;"-2025"</f>
        <v/>
      </c>
      <c r="G230" s="52" t="n"/>
      <c r="H230">
        <f>F230=G230</f>
        <v/>
      </c>
    </row>
    <row r="231">
      <c r="B231" s="335" t="n"/>
      <c r="C231" s="61" t="n"/>
      <c r="D231">
        <f>B231=C231</f>
        <v/>
      </c>
      <c r="F231">
        <f>"VI-"&amp;TEXT(E231,"000000")&amp;"-2025"</f>
        <v/>
      </c>
      <c r="G231" s="46" t="n"/>
      <c r="H231">
        <f>F231=G231</f>
        <v/>
      </c>
    </row>
    <row r="232">
      <c r="B232" s="312" t="n"/>
      <c r="C232" s="61" t="n"/>
      <c r="D232">
        <f>B232=C232</f>
        <v/>
      </c>
      <c r="F232">
        <f>"VI-"&amp;TEXT(E232,"000000")&amp;"-2025"</f>
        <v/>
      </c>
      <c r="G232" s="13" t="n"/>
      <c r="H232">
        <f>F232=G232</f>
        <v/>
      </c>
    </row>
    <row r="233">
      <c r="B233" s="312" t="n"/>
      <c r="C233" s="61" t="n"/>
      <c r="D233">
        <f>B233=C233</f>
        <v/>
      </c>
      <c r="F233">
        <f>"VI-"&amp;TEXT(E233,"000000")&amp;"-2025"</f>
        <v/>
      </c>
      <c r="G233" s="13" t="n"/>
      <c r="H233">
        <f>F233=G233</f>
        <v/>
      </c>
    </row>
    <row r="234">
      <c r="B234" s="312" t="n"/>
      <c r="C234" s="61" t="n"/>
      <c r="D234">
        <f>B234=C234</f>
        <v/>
      </c>
      <c r="F234">
        <f>"VI-"&amp;TEXT(E234,"000000")&amp;"-2025"</f>
        <v/>
      </c>
      <c r="G234" s="13" t="n"/>
      <c r="H234">
        <f>F234=G234</f>
        <v/>
      </c>
    </row>
    <row r="235">
      <c r="B235" s="312" t="n"/>
      <c r="C235" s="61" t="n"/>
      <c r="D235">
        <f>B235=C235</f>
        <v/>
      </c>
      <c r="F235">
        <f>"VI-"&amp;TEXT(E235,"000000")&amp;"-2025"</f>
        <v/>
      </c>
      <c r="G235" s="13" t="n"/>
      <c r="H235">
        <f>F235=G235</f>
        <v/>
      </c>
    </row>
    <row r="236">
      <c r="B236" s="312" t="n"/>
      <c r="C236" s="61" t="n"/>
      <c r="D236">
        <f>B236=C236</f>
        <v/>
      </c>
      <c r="F236">
        <f>"VI-"&amp;TEXT(E236,"000000")&amp;"-2025"</f>
        <v/>
      </c>
      <c r="G236" s="13" t="n"/>
      <c r="H236">
        <f>F236=G236</f>
        <v/>
      </c>
    </row>
    <row r="237">
      <c r="B237" s="312" t="n"/>
      <c r="C237" s="61" t="n"/>
      <c r="D237">
        <f>B237=C237</f>
        <v/>
      </c>
      <c r="F237">
        <f>"VI-"&amp;TEXT(E237,"000000")&amp;"-2025"</f>
        <v/>
      </c>
      <c r="G237" s="13" t="n"/>
      <c r="H237">
        <f>F237=G237</f>
        <v/>
      </c>
    </row>
    <row r="238">
      <c r="B238" s="312" t="n"/>
      <c r="C238" s="61" t="n"/>
      <c r="D238">
        <f>B238=C238</f>
        <v/>
      </c>
      <c r="F238">
        <f>"VI-"&amp;TEXT(E238,"000000")&amp;"-2025"</f>
        <v/>
      </c>
      <c r="G238" s="13" t="n"/>
      <c r="H238">
        <f>F238=G238</f>
        <v/>
      </c>
    </row>
    <row r="239">
      <c r="B239" s="312" t="n"/>
      <c r="C239" s="61" t="n"/>
      <c r="D239">
        <f>B239=C239</f>
        <v/>
      </c>
      <c r="F239">
        <f>"VI-"&amp;TEXT(E239,"000000")&amp;"-2025"</f>
        <v/>
      </c>
      <c r="G239" s="13" t="n"/>
      <c r="H239">
        <f>F239=G239</f>
        <v/>
      </c>
    </row>
    <row r="240">
      <c r="B240" s="312" t="n"/>
      <c r="C240" s="61" t="n"/>
      <c r="D240">
        <f>B240=C240</f>
        <v/>
      </c>
      <c r="F240">
        <f>"VI-"&amp;TEXT(E240,"000000")&amp;"-2025"</f>
        <v/>
      </c>
      <c r="G240" s="13" t="n"/>
      <c r="H240">
        <f>F240=G240</f>
        <v/>
      </c>
    </row>
    <row r="241" ht="13.5" customHeight="1" thickBot="1">
      <c r="B241" s="325" t="n"/>
      <c r="C241" s="61" t="n"/>
      <c r="D241">
        <f>B241=C241</f>
        <v/>
      </c>
      <c r="F241">
        <f>"VI-"&amp;TEXT(E241,"000000")&amp;"-2025"</f>
        <v/>
      </c>
      <c r="G241" s="52" t="n"/>
      <c r="H241">
        <f>F241=G241</f>
        <v/>
      </c>
    </row>
    <row r="242">
      <c r="B242" s="335" t="n"/>
      <c r="C242" s="61" t="n"/>
      <c r="D242">
        <f>B242=C242</f>
        <v/>
      </c>
      <c r="F242">
        <f>"VI-"&amp;TEXT(E242,"000000")&amp;"-2025"</f>
        <v/>
      </c>
      <c r="G242" s="46" t="n"/>
      <c r="H242">
        <f>F242=G242</f>
        <v/>
      </c>
    </row>
    <row r="243">
      <c r="B243" s="312" t="n"/>
      <c r="C243" s="61" t="n"/>
      <c r="D243">
        <f>B243=C243</f>
        <v/>
      </c>
      <c r="F243">
        <f>"VI-"&amp;TEXT(E243,"000000")&amp;"-2025"</f>
        <v/>
      </c>
      <c r="G243" s="13" t="n"/>
      <c r="H243">
        <f>F243=G243</f>
        <v/>
      </c>
    </row>
    <row r="244">
      <c r="B244" s="312" t="n"/>
      <c r="C244" s="61" t="n"/>
      <c r="D244">
        <f>B244=C244</f>
        <v/>
      </c>
      <c r="F244">
        <f>"VI-"&amp;TEXT(E244,"000000")&amp;"-2025"</f>
        <v/>
      </c>
      <c r="G244" s="13" t="n"/>
      <c r="H244">
        <f>F244=G244</f>
        <v/>
      </c>
    </row>
    <row r="245">
      <c r="B245" s="312" t="n"/>
      <c r="C245" s="61" t="n"/>
      <c r="D245">
        <f>B245=C245</f>
        <v/>
      </c>
      <c r="F245">
        <f>"VI-"&amp;TEXT(E245,"000000")&amp;"-2025"</f>
        <v/>
      </c>
      <c r="G245" s="13" t="n"/>
      <c r="H245">
        <f>F245=G245</f>
        <v/>
      </c>
    </row>
    <row r="246">
      <c r="B246" s="312" t="n"/>
      <c r="C246" s="61" t="n"/>
      <c r="D246">
        <f>B246=C246</f>
        <v/>
      </c>
      <c r="F246">
        <f>"VI-"&amp;TEXT(E246,"000000")&amp;"-2025"</f>
        <v/>
      </c>
      <c r="G246" s="13" t="n"/>
      <c r="H246">
        <f>F246=G246</f>
        <v/>
      </c>
    </row>
    <row r="247">
      <c r="B247" s="312" t="n"/>
      <c r="C247" s="61" t="n"/>
      <c r="D247">
        <f>B247=C247</f>
        <v/>
      </c>
      <c r="F247">
        <f>"VI-"&amp;TEXT(E247,"000000")&amp;"-2025"</f>
        <v/>
      </c>
      <c r="G247" s="13" t="n"/>
      <c r="H247">
        <f>F247=G247</f>
        <v/>
      </c>
    </row>
    <row r="248">
      <c r="B248" s="312" t="n"/>
      <c r="C248" s="61" t="n"/>
      <c r="D248">
        <f>B248=C248</f>
        <v/>
      </c>
      <c r="F248">
        <f>"VI-"&amp;TEXT(E248,"000000")&amp;"-2025"</f>
        <v/>
      </c>
      <c r="G248" s="13" t="n"/>
      <c r="H248">
        <f>F248=G248</f>
        <v/>
      </c>
    </row>
    <row r="249">
      <c r="B249" s="312" t="n"/>
      <c r="C249" s="61" t="n"/>
      <c r="D249">
        <f>B249=C249</f>
        <v/>
      </c>
      <c r="F249">
        <f>"VI-"&amp;TEXT(E249,"000000")&amp;"-2025"</f>
        <v/>
      </c>
      <c r="G249" s="13" t="n"/>
      <c r="H249">
        <f>F249=G249</f>
        <v/>
      </c>
    </row>
    <row r="250">
      <c r="B250" s="312" t="n"/>
      <c r="C250" s="61" t="n"/>
      <c r="D250">
        <f>B250=C250</f>
        <v/>
      </c>
      <c r="F250">
        <f>"VI-"&amp;TEXT(E250,"000000")&amp;"-2025"</f>
        <v/>
      </c>
      <c r="G250" s="13" t="n"/>
      <c r="H250">
        <f>F250=G250</f>
        <v/>
      </c>
    </row>
    <row r="251">
      <c r="B251" s="312" t="n"/>
      <c r="C251" s="61" t="n"/>
      <c r="D251">
        <f>B251=C251</f>
        <v/>
      </c>
      <c r="F251">
        <f>"VI-"&amp;TEXT(E251,"000000")&amp;"-2025"</f>
        <v/>
      </c>
      <c r="G251" s="13" t="n"/>
      <c r="H251">
        <f>F251=G251</f>
        <v/>
      </c>
    </row>
    <row r="252" ht="13.5" customHeight="1" thickBot="1">
      <c r="B252" s="325" t="n"/>
      <c r="C252" s="61" t="n"/>
      <c r="D252">
        <f>B252=C252</f>
        <v/>
      </c>
      <c r="F252">
        <f>"VI-"&amp;TEXT(E252,"000000")&amp;"-2025"</f>
        <v/>
      </c>
      <c r="G252" s="52" t="n"/>
      <c r="H252">
        <f>F252=G252</f>
        <v/>
      </c>
    </row>
    <row r="253">
      <c r="B253" s="335" t="n"/>
      <c r="C253" s="61" t="n"/>
      <c r="D253">
        <f>B253=C253</f>
        <v/>
      </c>
      <c r="F253">
        <f>"VI-"&amp;TEXT(E253,"000000")&amp;"-2025"</f>
        <v/>
      </c>
      <c r="G253" s="46" t="n"/>
      <c r="H253">
        <f>F253=G253</f>
        <v/>
      </c>
    </row>
    <row r="254">
      <c r="B254" s="312" t="n"/>
      <c r="C254" s="61" t="n"/>
      <c r="D254">
        <f>B254=C254</f>
        <v/>
      </c>
      <c r="F254">
        <f>"VI-"&amp;TEXT(E254,"000000")&amp;"-2025"</f>
        <v/>
      </c>
      <c r="G254" s="13" t="n"/>
      <c r="H254">
        <f>F254=G254</f>
        <v/>
      </c>
    </row>
    <row r="255">
      <c r="B255" s="312" t="n"/>
      <c r="C255" s="61" t="n"/>
      <c r="D255">
        <f>B255=C255</f>
        <v/>
      </c>
      <c r="F255">
        <f>"VI-"&amp;TEXT(E255,"000000")&amp;"-2025"</f>
        <v/>
      </c>
      <c r="G255" s="13" t="n"/>
      <c r="H255">
        <f>F255=G255</f>
        <v/>
      </c>
    </row>
    <row r="256">
      <c r="B256" s="312" t="n"/>
      <c r="C256" s="61" t="n"/>
      <c r="D256">
        <f>B256=C256</f>
        <v/>
      </c>
      <c r="F256">
        <f>"VI-"&amp;TEXT(E256,"000000")&amp;"-2025"</f>
        <v/>
      </c>
      <c r="G256" s="13" t="n"/>
      <c r="H256">
        <f>F256=G256</f>
        <v/>
      </c>
    </row>
    <row r="257">
      <c r="B257" s="312" t="n"/>
      <c r="C257" s="61" t="n"/>
      <c r="D257">
        <f>B257=C257</f>
        <v/>
      </c>
      <c r="F257">
        <f>"VI-"&amp;TEXT(E257,"000000")&amp;"-2025"</f>
        <v/>
      </c>
      <c r="G257" s="13" t="n"/>
      <c r="H257">
        <f>F257=G257</f>
        <v/>
      </c>
    </row>
    <row r="258">
      <c r="B258" s="312" t="n"/>
      <c r="C258" s="61" t="n"/>
      <c r="D258">
        <f>B258=C258</f>
        <v/>
      </c>
      <c r="F258">
        <f>"VI-"&amp;TEXT(E258,"000000")&amp;"-2025"</f>
        <v/>
      </c>
      <c r="G258" s="13" t="n"/>
      <c r="H258">
        <f>F258=G258</f>
        <v/>
      </c>
    </row>
    <row r="259">
      <c r="B259" s="312" t="n"/>
      <c r="C259" s="61" t="n"/>
      <c r="D259">
        <f>B259=C259</f>
        <v/>
      </c>
      <c r="F259">
        <f>"VI-"&amp;TEXT(E259,"000000")&amp;"-2025"</f>
        <v/>
      </c>
      <c r="G259" s="13" t="n"/>
      <c r="H259">
        <f>F259=G259</f>
        <v/>
      </c>
    </row>
    <row r="260">
      <c r="B260" s="312" t="n"/>
      <c r="C260" s="61" t="n"/>
      <c r="D260">
        <f>B260=C260</f>
        <v/>
      </c>
      <c r="F260">
        <f>"VI-"&amp;TEXT(E260,"000000")&amp;"-2025"</f>
        <v/>
      </c>
      <c r="G260" s="13" t="n"/>
      <c r="H260">
        <f>F260=G260</f>
        <v/>
      </c>
    </row>
    <row r="261">
      <c r="B261" s="312" t="n"/>
      <c r="C261" s="61" t="n"/>
      <c r="D261">
        <f>B261=C261</f>
        <v/>
      </c>
      <c r="F261">
        <f>"VI-"&amp;TEXT(E261,"000000")&amp;"-2025"</f>
        <v/>
      </c>
      <c r="G261" s="13" t="n"/>
      <c r="H261">
        <f>F261=G261</f>
        <v/>
      </c>
    </row>
    <row r="262">
      <c r="B262" s="312" t="n"/>
      <c r="C262" s="61" t="n"/>
      <c r="D262">
        <f>B262=C262</f>
        <v/>
      </c>
      <c r="F262">
        <f>"VI-"&amp;TEXT(E262,"000000")&amp;"-2025"</f>
        <v/>
      </c>
      <c r="G262" s="13" t="n"/>
      <c r="H262">
        <f>F262=G262</f>
        <v/>
      </c>
    </row>
    <row r="263" ht="13.5" customHeight="1" thickBot="1">
      <c r="B263" s="325" t="n"/>
      <c r="C263" s="61" t="n"/>
      <c r="D263">
        <f>B263=C263</f>
        <v/>
      </c>
      <c r="F263">
        <f>"VI-"&amp;TEXT(E263,"000000")&amp;"-2025"</f>
        <v/>
      </c>
      <c r="G263" s="52" t="n"/>
      <c r="H263">
        <f>F263=G263</f>
        <v/>
      </c>
    </row>
    <row r="264">
      <c r="B264" s="335" t="n"/>
      <c r="C264" s="61" t="n"/>
      <c r="D264">
        <f>B264=C264</f>
        <v/>
      </c>
      <c r="F264">
        <f>"VI-"&amp;TEXT(E264,"000000")&amp;"-2025"</f>
        <v/>
      </c>
      <c r="G264" s="46" t="n"/>
      <c r="H264">
        <f>F264=G264</f>
        <v/>
      </c>
    </row>
    <row r="265">
      <c r="B265" s="312" t="n"/>
      <c r="C265" s="61" t="n"/>
      <c r="D265">
        <f>B265=C265</f>
        <v/>
      </c>
      <c r="F265">
        <f>"VI-"&amp;TEXT(E265,"000000")&amp;"-2025"</f>
        <v/>
      </c>
      <c r="G265" s="13" t="n"/>
      <c r="H265">
        <f>F265=G265</f>
        <v/>
      </c>
    </row>
    <row r="266">
      <c r="B266" s="312" t="n"/>
      <c r="C266" s="61" t="n"/>
      <c r="D266">
        <f>B266=C266</f>
        <v/>
      </c>
      <c r="F266">
        <f>"VI-"&amp;TEXT(E266,"000000")&amp;"-2025"</f>
        <v/>
      </c>
      <c r="G266" s="13" t="n"/>
      <c r="H266">
        <f>F266=G266</f>
        <v/>
      </c>
    </row>
    <row r="267">
      <c r="B267" s="312" t="n"/>
      <c r="C267" s="61" t="n"/>
      <c r="D267">
        <f>B267=C267</f>
        <v/>
      </c>
      <c r="F267">
        <f>"VI-"&amp;TEXT(E267,"000000")&amp;"-2025"</f>
        <v/>
      </c>
      <c r="G267" s="13" t="n"/>
      <c r="H267">
        <f>F267=G267</f>
        <v/>
      </c>
    </row>
    <row r="268">
      <c r="B268" s="312" t="n"/>
      <c r="C268" s="61" t="n"/>
      <c r="D268">
        <f>B268=C268</f>
        <v/>
      </c>
      <c r="F268">
        <f>"VI-"&amp;TEXT(E268,"000000")&amp;"-2025"</f>
        <v/>
      </c>
      <c r="G268" s="13" t="n"/>
      <c r="H268">
        <f>F268=G268</f>
        <v/>
      </c>
    </row>
    <row r="269">
      <c r="B269" s="312" t="n"/>
      <c r="C269" s="61" t="n"/>
      <c r="D269">
        <f>B269=C269</f>
        <v/>
      </c>
      <c r="F269">
        <f>"VI-"&amp;TEXT(E269,"000000")&amp;"-2025"</f>
        <v/>
      </c>
      <c r="G269" s="13" t="n"/>
      <c r="H269">
        <f>F269=G269</f>
        <v/>
      </c>
    </row>
    <row r="270">
      <c r="B270" s="312" t="n"/>
      <c r="C270" s="61" t="n"/>
      <c r="D270">
        <f>B270=C270</f>
        <v/>
      </c>
      <c r="F270">
        <f>"VI-"&amp;TEXT(E270,"000000")&amp;"-2025"</f>
        <v/>
      </c>
      <c r="G270" s="13" t="n"/>
      <c r="H270">
        <f>F270=G270</f>
        <v/>
      </c>
    </row>
    <row r="271">
      <c r="B271" s="312" t="n"/>
      <c r="C271" s="61" t="n"/>
      <c r="D271">
        <f>B271=C271</f>
        <v/>
      </c>
      <c r="F271">
        <f>"VI-"&amp;TEXT(E271,"000000")&amp;"-2025"</f>
        <v/>
      </c>
      <c r="G271" s="13" t="n"/>
      <c r="H271">
        <f>F271=G271</f>
        <v/>
      </c>
    </row>
    <row r="272">
      <c r="B272" s="312" t="n"/>
      <c r="C272" s="61" t="n"/>
      <c r="D272">
        <f>B272=C272</f>
        <v/>
      </c>
      <c r="F272">
        <f>"VI-"&amp;TEXT(E272,"000000")&amp;"-2025"</f>
        <v/>
      </c>
      <c r="G272" s="13" t="n"/>
      <c r="H272">
        <f>F272=G272</f>
        <v/>
      </c>
    </row>
    <row r="273">
      <c r="B273" s="312" t="n"/>
      <c r="C273" s="61" t="n"/>
      <c r="D273">
        <f>B273=C273</f>
        <v/>
      </c>
      <c r="F273">
        <f>"VI-"&amp;TEXT(E273,"000000")&amp;"-2025"</f>
        <v/>
      </c>
      <c r="G273" s="13" t="n"/>
      <c r="H273">
        <f>F273=G273</f>
        <v/>
      </c>
    </row>
    <row r="274" ht="13.5" customHeight="1" thickBot="1">
      <c r="B274" s="325" t="n"/>
      <c r="C274" s="61" t="n"/>
      <c r="D274">
        <f>B274=C274</f>
        <v/>
      </c>
      <c r="F274">
        <f>"VI-"&amp;TEXT(E274,"000000")&amp;"-2025"</f>
        <v/>
      </c>
      <c r="G274" s="52" t="n"/>
      <c r="H274">
        <f>F274=G274</f>
        <v/>
      </c>
    </row>
    <row r="275">
      <c r="B275" s="300" t="n"/>
      <c r="C275" s="61" t="n"/>
      <c r="D275">
        <f>B275=C275</f>
        <v/>
      </c>
      <c r="F275">
        <f>"VI-"&amp;TEXT(E275,"000000")&amp;"-2025"</f>
        <v/>
      </c>
      <c r="G275" s="58" t="n"/>
      <c r="H275">
        <f>F275=G275</f>
        <v/>
      </c>
    </row>
    <row r="276">
      <c r="B276" s="312" t="n"/>
      <c r="C276" s="61" t="n"/>
      <c r="D276">
        <f>B276=C276</f>
        <v/>
      </c>
      <c r="F276">
        <f>"VI-"&amp;TEXT(E276,"000000")&amp;"-2025"</f>
        <v/>
      </c>
      <c r="G276" s="13" t="n"/>
      <c r="H276">
        <f>F276=G276</f>
        <v/>
      </c>
    </row>
    <row r="277">
      <c r="B277" s="312" t="n"/>
      <c r="C277" s="61" t="n"/>
      <c r="D277">
        <f>B277=C277</f>
        <v/>
      </c>
      <c r="F277">
        <f>"VI-"&amp;TEXT(E277,"000000")&amp;"-2025"</f>
        <v/>
      </c>
      <c r="G277" s="13" t="n"/>
      <c r="H277">
        <f>F277=G277</f>
        <v/>
      </c>
    </row>
    <row r="278">
      <c r="B278" s="312" t="n"/>
      <c r="C278" s="61" t="n"/>
      <c r="D278">
        <f>B278=C278</f>
        <v/>
      </c>
      <c r="F278">
        <f>"VI-"&amp;TEXT(E278,"000000")&amp;"-2025"</f>
        <v/>
      </c>
      <c r="G278" s="13" t="n"/>
      <c r="H278">
        <f>F278=G278</f>
        <v/>
      </c>
    </row>
    <row r="279">
      <c r="B279" s="312" t="n"/>
      <c r="C279" s="61" t="n"/>
      <c r="D279">
        <f>B279=C279</f>
        <v/>
      </c>
      <c r="F279">
        <f>"VI-"&amp;TEXT(E279,"000000")&amp;"-2025"</f>
        <v/>
      </c>
      <c r="G279" s="13" t="n"/>
      <c r="H279">
        <f>F279=G279</f>
        <v/>
      </c>
    </row>
    <row r="280">
      <c r="B280" s="312" t="n"/>
      <c r="C280" s="61" t="n"/>
      <c r="D280">
        <f>B280=C280</f>
        <v/>
      </c>
      <c r="F280">
        <f>"VI-"&amp;TEXT(E280,"000000")&amp;"-2025"</f>
        <v/>
      </c>
      <c r="G280" s="13" t="n"/>
      <c r="H280">
        <f>F280=G280</f>
        <v/>
      </c>
    </row>
    <row r="281">
      <c r="B281" s="312" t="n"/>
      <c r="C281" s="61" t="n"/>
      <c r="D281">
        <f>B281=C281</f>
        <v/>
      </c>
      <c r="F281">
        <f>"VI-"&amp;TEXT(E281,"000000")&amp;"-2025"</f>
        <v/>
      </c>
      <c r="G281" s="13" t="n"/>
      <c r="H281">
        <f>F281=G281</f>
        <v/>
      </c>
    </row>
    <row r="282">
      <c r="B282" s="312" t="n"/>
      <c r="C282" s="61" t="n"/>
      <c r="D282">
        <f>B282=C282</f>
        <v/>
      </c>
      <c r="F282">
        <f>"VI-"&amp;TEXT(E282,"000000")&amp;"-2025"</f>
        <v/>
      </c>
      <c r="G282" s="13" t="n"/>
      <c r="H282">
        <f>F282=G282</f>
        <v/>
      </c>
    </row>
    <row r="283" ht="13.5" customHeight="1" thickBot="1">
      <c r="B283" s="312" t="n"/>
      <c r="C283" s="61" t="n"/>
      <c r="D283">
        <f>B283=C283</f>
        <v/>
      </c>
      <c r="F283">
        <f>"VI-"&amp;TEXT(E283,"000000")&amp;"-2025"</f>
        <v/>
      </c>
      <c r="G283" s="13" t="n"/>
      <c r="H283">
        <f>F283=G283</f>
        <v/>
      </c>
    </row>
    <row r="284">
      <c r="B284" s="335" t="n"/>
      <c r="C284" s="61" t="n"/>
      <c r="D284">
        <f>B284=C284</f>
        <v/>
      </c>
      <c r="F284">
        <f>"VI-"&amp;TEXT(E284,"000000")&amp;"-2025"</f>
        <v/>
      </c>
      <c r="G284" s="46" t="n"/>
      <c r="H284">
        <f>F284=G284</f>
        <v/>
      </c>
    </row>
    <row r="285">
      <c r="B285" s="312" t="n"/>
      <c r="C285" s="61" t="n"/>
      <c r="D285">
        <f>B285=C285</f>
        <v/>
      </c>
      <c r="F285">
        <f>"VI-"&amp;TEXT(E285,"000000")&amp;"-2025"</f>
        <v/>
      </c>
      <c r="G285" s="13" t="n"/>
      <c r="H285">
        <f>F285=G285</f>
        <v/>
      </c>
    </row>
    <row r="286">
      <c r="B286" s="312" t="n"/>
      <c r="C286" s="61" t="n"/>
      <c r="D286">
        <f>B286=C286</f>
        <v/>
      </c>
      <c r="F286">
        <f>"VI-"&amp;TEXT(E286,"000000")&amp;"-2025"</f>
        <v/>
      </c>
      <c r="G286" s="13" t="n"/>
      <c r="H286">
        <f>F286=G286</f>
        <v/>
      </c>
    </row>
    <row r="287">
      <c r="B287" s="312" t="n"/>
      <c r="C287" s="61" t="n"/>
      <c r="D287">
        <f>B287=C287</f>
        <v/>
      </c>
      <c r="F287">
        <f>"VI-"&amp;TEXT(E287,"000000")&amp;"-2025"</f>
        <v/>
      </c>
      <c r="G287" s="13" t="n"/>
      <c r="H287">
        <f>F287=G287</f>
        <v/>
      </c>
    </row>
    <row r="288" ht="13.5" customHeight="1" thickBot="1">
      <c r="B288" s="325" t="n"/>
      <c r="C288" s="61" t="n"/>
      <c r="D288">
        <f>B288=C288</f>
        <v/>
      </c>
      <c r="F288">
        <f>"VI-"&amp;TEXT(E288,"000000")&amp;"-2025"</f>
        <v/>
      </c>
      <c r="G288" s="52" t="n"/>
      <c r="H288">
        <f>F288=G288</f>
        <v/>
      </c>
    </row>
    <row r="289">
      <c r="B289" s="335" t="n"/>
      <c r="C289" s="61" t="n"/>
      <c r="D289">
        <f>B289=C289</f>
        <v/>
      </c>
      <c r="F289">
        <f>"VI-"&amp;TEXT(E289,"000000")&amp;"-2025"</f>
        <v/>
      </c>
      <c r="G289" s="46" t="n"/>
      <c r="H289">
        <f>F289=G289</f>
        <v/>
      </c>
    </row>
    <row r="290">
      <c r="B290" s="312" t="n"/>
      <c r="C290" s="61" t="n"/>
      <c r="D290">
        <f>B290=C290</f>
        <v/>
      </c>
      <c r="F290">
        <f>"VI-"&amp;TEXT(E290,"000000")&amp;"-2025"</f>
        <v/>
      </c>
      <c r="G290" s="13" t="n"/>
      <c r="H290">
        <f>F290=G290</f>
        <v/>
      </c>
    </row>
    <row r="291">
      <c r="B291" s="312" t="n"/>
      <c r="C291" s="61" t="n"/>
      <c r="D291">
        <f>B291=C291</f>
        <v/>
      </c>
      <c r="F291">
        <f>"VI-"&amp;TEXT(E291,"000000")&amp;"-2025"</f>
        <v/>
      </c>
      <c r="G291" s="13" t="n"/>
      <c r="H291">
        <f>F291=G291</f>
        <v/>
      </c>
    </row>
    <row r="292">
      <c r="B292" s="312" t="n"/>
      <c r="C292" s="61" t="n"/>
      <c r="D292">
        <f>B292=C292</f>
        <v/>
      </c>
      <c r="F292">
        <f>"VI-"&amp;TEXT(E292,"000000")&amp;"-2025"</f>
        <v/>
      </c>
      <c r="G292" s="13" t="n"/>
      <c r="H292">
        <f>F292=G292</f>
        <v/>
      </c>
    </row>
    <row r="293">
      <c r="B293" s="312" t="n"/>
      <c r="C293" s="61" t="n"/>
      <c r="D293">
        <f>B293=C293</f>
        <v/>
      </c>
      <c r="F293">
        <f>"VI-"&amp;TEXT(E293,"000000")&amp;"-2025"</f>
        <v/>
      </c>
      <c r="G293" s="13" t="n"/>
      <c r="H293">
        <f>F293=G293</f>
        <v/>
      </c>
    </row>
    <row r="294">
      <c r="B294" s="312" t="n"/>
      <c r="C294" s="61" t="n"/>
      <c r="D294">
        <f>B294=C294</f>
        <v/>
      </c>
      <c r="F294">
        <f>"VI-"&amp;TEXT(E294,"000000")&amp;"-2025"</f>
        <v/>
      </c>
      <c r="G294" s="13" t="n"/>
      <c r="H294">
        <f>F294=G294</f>
        <v/>
      </c>
    </row>
    <row r="295">
      <c r="B295" s="312" t="n"/>
      <c r="C295" s="61" t="n"/>
      <c r="D295">
        <f>B295=C295</f>
        <v/>
      </c>
      <c r="F295">
        <f>"VI-"&amp;TEXT(E295,"000000")&amp;"-2025"</f>
        <v/>
      </c>
      <c r="G295" s="13" t="n"/>
      <c r="H295">
        <f>F295=G295</f>
        <v/>
      </c>
    </row>
    <row r="296">
      <c r="B296" s="312" t="n"/>
      <c r="C296" s="61" t="n"/>
      <c r="D296">
        <f>B296=C296</f>
        <v/>
      </c>
      <c r="F296">
        <f>"VI-"&amp;TEXT(E296,"000000")&amp;"-2025"</f>
        <v/>
      </c>
      <c r="G296" s="13" t="n"/>
      <c r="H296">
        <f>F296=G296</f>
        <v/>
      </c>
    </row>
    <row r="297">
      <c r="B297" s="312" t="n"/>
      <c r="C297" s="61" t="n"/>
      <c r="D297">
        <f>B297=C297</f>
        <v/>
      </c>
      <c r="F297">
        <f>"VI-"&amp;TEXT(E297,"000000")&amp;"-2025"</f>
        <v/>
      </c>
      <c r="G297" s="13" t="n"/>
      <c r="H297">
        <f>F297=G297</f>
        <v/>
      </c>
    </row>
    <row r="298">
      <c r="B298" s="312" t="n"/>
      <c r="C298" s="61" t="n"/>
      <c r="D298">
        <f>B298=C298</f>
        <v/>
      </c>
      <c r="F298">
        <f>"VI-"&amp;TEXT(E298,"000000")&amp;"-2025"</f>
        <v/>
      </c>
      <c r="G298" s="13" t="n"/>
      <c r="H298">
        <f>F298=G298</f>
        <v/>
      </c>
    </row>
    <row r="299">
      <c r="B299" s="312" t="n"/>
      <c r="C299" s="61" t="n"/>
      <c r="D299">
        <f>B299=C299</f>
        <v/>
      </c>
      <c r="F299">
        <f>"VI-"&amp;TEXT(E299,"000000")&amp;"-2025"</f>
        <v/>
      </c>
      <c r="G299" s="13" t="n"/>
      <c r="H299">
        <f>F299=G299</f>
        <v/>
      </c>
    </row>
    <row r="300">
      <c r="B300" s="312" t="n"/>
      <c r="C300" s="61" t="n"/>
      <c r="D300">
        <f>B300=C300</f>
        <v/>
      </c>
      <c r="F300">
        <f>"VI-"&amp;TEXT(E300,"000000")&amp;"-2025"</f>
        <v/>
      </c>
      <c r="G300" s="13" t="n"/>
      <c r="H300">
        <f>F300=G300</f>
        <v/>
      </c>
    </row>
    <row r="301">
      <c r="B301" s="312" t="n"/>
      <c r="C301" s="61" t="n"/>
      <c r="D301">
        <f>B301=C301</f>
        <v/>
      </c>
      <c r="F301">
        <f>"VI-"&amp;TEXT(E301,"000000")&amp;"-2025"</f>
        <v/>
      </c>
      <c r="G301" s="13" t="n"/>
      <c r="H301">
        <f>F301=G301</f>
        <v/>
      </c>
    </row>
    <row r="302">
      <c r="B302" s="312" t="n"/>
      <c r="C302" s="61" t="n"/>
      <c r="D302">
        <f>B302=C302</f>
        <v/>
      </c>
      <c r="F302">
        <f>"VI-"&amp;TEXT(E302,"000000")&amp;"-2025"</f>
        <v/>
      </c>
      <c r="G302" s="13" t="n"/>
      <c r="H302">
        <f>F302=G302</f>
        <v/>
      </c>
    </row>
    <row r="303" ht="13.5" customHeight="1" thickBot="1">
      <c r="B303" s="325" t="n"/>
      <c r="C303" s="61" t="n"/>
      <c r="D303">
        <f>B303=C303</f>
        <v/>
      </c>
      <c r="F303">
        <f>"VI-"&amp;TEXT(E303,"000000")&amp;"-2025"</f>
        <v/>
      </c>
      <c r="G303" s="52" t="n"/>
      <c r="H303">
        <f>F303=G303</f>
        <v/>
      </c>
    </row>
    <row r="304">
      <c r="B304" s="335" t="n"/>
      <c r="C304" s="61" t="n"/>
      <c r="D304">
        <f>B304=C304</f>
        <v/>
      </c>
      <c r="F304">
        <f>"VI-"&amp;TEXT(E304,"000000")&amp;"-2025"</f>
        <v/>
      </c>
      <c r="G304" s="46" t="n"/>
      <c r="H304">
        <f>F304=G304</f>
        <v/>
      </c>
    </row>
    <row r="305">
      <c r="B305" s="312" t="n"/>
      <c r="C305" s="61" t="n"/>
      <c r="D305">
        <f>B305=C305</f>
        <v/>
      </c>
      <c r="F305">
        <f>"VI-"&amp;TEXT(E305,"000000")&amp;"-2025"</f>
        <v/>
      </c>
      <c r="G305" s="13" t="n"/>
      <c r="H305">
        <f>F305=G305</f>
        <v/>
      </c>
    </row>
    <row r="306">
      <c r="B306" s="312" t="n"/>
      <c r="C306" s="61" t="n"/>
      <c r="D306">
        <f>B306=C306</f>
        <v/>
      </c>
      <c r="F306">
        <f>"VI-"&amp;TEXT(E306,"000000")&amp;"-2025"</f>
        <v/>
      </c>
      <c r="G306" s="13" t="n"/>
      <c r="H306">
        <f>F306=G306</f>
        <v/>
      </c>
    </row>
    <row r="307">
      <c r="B307" s="312" t="n"/>
      <c r="C307" s="61" t="n"/>
      <c r="D307">
        <f>B307=C307</f>
        <v/>
      </c>
      <c r="F307">
        <f>"VI-"&amp;TEXT(E307,"000000")&amp;"-2025"</f>
        <v/>
      </c>
      <c r="G307" s="13" t="n"/>
      <c r="H307">
        <f>F307=G307</f>
        <v/>
      </c>
    </row>
    <row r="308">
      <c r="B308" s="312" t="n"/>
      <c r="C308" s="61" t="n"/>
      <c r="D308">
        <f>B308=C308</f>
        <v/>
      </c>
      <c r="F308">
        <f>"VI-"&amp;TEXT(E308,"000000")&amp;"-2025"</f>
        <v/>
      </c>
      <c r="G308" s="13" t="n"/>
      <c r="H308">
        <f>F308=G308</f>
        <v/>
      </c>
    </row>
    <row r="309">
      <c r="B309" s="312" t="n"/>
      <c r="C309" s="61" t="n"/>
      <c r="D309">
        <f>B309=C309</f>
        <v/>
      </c>
      <c r="F309">
        <f>"VI-"&amp;TEXT(E309,"000000")&amp;"-2025"</f>
        <v/>
      </c>
      <c r="G309" s="13" t="n"/>
      <c r="H309">
        <f>F309=G309</f>
        <v/>
      </c>
    </row>
    <row r="310">
      <c r="B310" s="312" t="n"/>
      <c r="C310" s="61" t="n"/>
      <c r="D310">
        <f>B310=C310</f>
        <v/>
      </c>
      <c r="F310">
        <f>"VI-"&amp;TEXT(E310,"000000")&amp;"-2025"</f>
        <v/>
      </c>
      <c r="G310" s="13" t="n"/>
      <c r="H310">
        <f>F310=G310</f>
        <v/>
      </c>
    </row>
    <row r="311">
      <c r="B311" s="312" t="n"/>
      <c r="C311" s="61" t="n"/>
      <c r="D311">
        <f>B311=C311</f>
        <v/>
      </c>
      <c r="F311">
        <f>"VI-"&amp;TEXT(E311,"000000")&amp;"-2025"</f>
        <v/>
      </c>
      <c r="G311" s="13" t="n"/>
      <c r="H311">
        <f>F311=G311</f>
        <v/>
      </c>
    </row>
    <row r="312">
      <c r="B312" s="312" t="n"/>
      <c r="C312" s="61" t="n"/>
      <c r="D312">
        <f>B312=C312</f>
        <v/>
      </c>
      <c r="F312">
        <f>"VI-"&amp;TEXT(E312,"000000")&amp;"-2025"</f>
        <v/>
      </c>
      <c r="G312" s="13" t="n"/>
      <c r="H312">
        <f>F312=G312</f>
        <v/>
      </c>
    </row>
    <row r="313">
      <c r="B313" s="312" t="n"/>
      <c r="C313" s="61" t="n"/>
      <c r="D313">
        <f>B313=C313</f>
        <v/>
      </c>
      <c r="F313">
        <f>"VI-"&amp;TEXT(E313,"000000")&amp;"-2025"</f>
        <v/>
      </c>
      <c r="G313" s="13" t="n"/>
      <c r="H313">
        <f>F313=G313</f>
        <v/>
      </c>
    </row>
    <row r="314">
      <c r="B314" s="312" t="n"/>
      <c r="C314" s="61" t="n"/>
      <c r="D314">
        <f>B314=C314</f>
        <v/>
      </c>
      <c r="F314">
        <f>"VI-"&amp;TEXT(E314,"000000")&amp;"-2025"</f>
        <v/>
      </c>
      <c r="G314" s="13" t="n"/>
      <c r="H314">
        <f>F314=G314</f>
        <v/>
      </c>
    </row>
    <row r="315">
      <c r="B315" s="312" t="n"/>
      <c r="C315" s="61" t="n"/>
      <c r="D315">
        <f>B315=C315</f>
        <v/>
      </c>
      <c r="F315">
        <f>"VI-"&amp;TEXT(E315,"000000")&amp;"-2025"</f>
        <v/>
      </c>
      <c r="G315" s="13" t="n"/>
      <c r="H315">
        <f>F315=G315</f>
        <v/>
      </c>
    </row>
    <row r="316">
      <c r="B316" s="312" t="n"/>
      <c r="C316" s="61" t="n"/>
      <c r="D316">
        <f>B316=C316</f>
        <v/>
      </c>
      <c r="F316">
        <f>"VI-"&amp;TEXT(E316,"000000")&amp;"-2025"</f>
        <v/>
      </c>
      <c r="G316" s="13" t="n"/>
      <c r="H316">
        <f>F316=G316</f>
        <v/>
      </c>
    </row>
    <row r="317">
      <c r="B317" s="312" t="n"/>
      <c r="C317" s="61" t="n"/>
      <c r="D317">
        <f>B317=C317</f>
        <v/>
      </c>
      <c r="F317">
        <f>"VI-"&amp;TEXT(E317,"000000")&amp;"-2025"</f>
        <v/>
      </c>
      <c r="G317" s="13" t="n"/>
      <c r="H317">
        <f>F317=G317</f>
        <v/>
      </c>
    </row>
    <row r="318" ht="13.5" customHeight="1" thickBot="1">
      <c r="B318" s="325" t="n"/>
      <c r="C318" s="61" t="n"/>
      <c r="D318">
        <f>B318=C318</f>
        <v/>
      </c>
      <c r="F318">
        <f>"VI-"&amp;TEXT(E318,"000000")&amp;"-2025"</f>
        <v/>
      </c>
      <c r="G318" s="52" t="n"/>
      <c r="H318">
        <f>F318=G318</f>
        <v/>
      </c>
    </row>
    <row r="319">
      <c r="B319" s="335" t="n"/>
      <c r="C319" s="61" t="n"/>
      <c r="D319">
        <f>B319=C319</f>
        <v/>
      </c>
      <c r="F319">
        <f>"VI-"&amp;TEXT(E319,"000000")&amp;"-2025"</f>
        <v/>
      </c>
      <c r="G319" s="46" t="n"/>
      <c r="H319">
        <f>F319=G319</f>
        <v/>
      </c>
    </row>
    <row r="320">
      <c r="B320" s="312" t="n"/>
      <c r="C320" s="61" t="n"/>
      <c r="D320">
        <f>B320=C320</f>
        <v/>
      </c>
      <c r="F320">
        <f>"VI-"&amp;TEXT(E320,"000000")&amp;"-2025"</f>
        <v/>
      </c>
      <c r="G320" s="13" t="n"/>
      <c r="H320">
        <f>F320=G320</f>
        <v/>
      </c>
    </row>
    <row r="321">
      <c r="B321" s="312" t="n"/>
      <c r="C321" s="61" t="n"/>
      <c r="D321">
        <f>B321=C321</f>
        <v/>
      </c>
      <c r="F321">
        <f>"VI-"&amp;TEXT(E321,"000000")&amp;"-2025"</f>
        <v/>
      </c>
      <c r="G321" s="13" t="n"/>
      <c r="H321">
        <f>F321=G321</f>
        <v/>
      </c>
    </row>
    <row r="322">
      <c r="B322" s="312" t="n"/>
      <c r="C322" s="61" t="n"/>
      <c r="D322">
        <f>B322=C322</f>
        <v/>
      </c>
      <c r="F322">
        <f>"VI-"&amp;TEXT(E322,"000000")&amp;"-2025"</f>
        <v/>
      </c>
      <c r="G322" s="13" t="n"/>
      <c r="H322">
        <f>F322=G322</f>
        <v/>
      </c>
    </row>
    <row r="323">
      <c r="B323" s="312" t="n"/>
      <c r="C323" s="61" t="n"/>
      <c r="D323">
        <f>B323=C323</f>
        <v/>
      </c>
      <c r="F323">
        <f>"VI-"&amp;TEXT(E323,"000000")&amp;"-2025"</f>
        <v/>
      </c>
      <c r="G323" s="13" t="n"/>
      <c r="H323">
        <f>F323=G323</f>
        <v/>
      </c>
    </row>
    <row r="324">
      <c r="B324" s="312" t="n"/>
      <c r="C324" s="61" t="n"/>
      <c r="D324">
        <f>B324=C324</f>
        <v/>
      </c>
      <c r="F324">
        <f>"VI-"&amp;TEXT(E324,"000000")&amp;"-2025"</f>
        <v/>
      </c>
      <c r="G324" s="13" t="n"/>
      <c r="H324">
        <f>F324=G324</f>
        <v/>
      </c>
    </row>
    <row r="325">
      <c r="B325" s="312" t="n"/>
      <c r="C325" s="61" t="n"/>
      <c r="D325">
        <f>B325=C325</f>
        <v/>
      </c>
      <c r="F325">
        <f>"VI-"&amp;TEXT(E325,"000000")&amp;"-2025"</f>
        <v/>
      </c>
      <c r="G325" s="13" t="n"/>
      <c r="H325">
        <f>F325=G325</f>
        <v/>
      </c>
    </row>
    <row r="326">
      <c r="B326" s="312" t="n"/>
      <c r="C326" s="61" t="n"/>
      <c r="D326">
        <f>B326=C326</f>
        <v/>
      </c>
      <c r="F326">
        <f>"VI-"&amp;TEXT(E326,"000000")&amp;"-2025"</f>
        <v/>
      </c>
      <c r="G326" s="13" t="n"/>
      <c r="H326">
        <f>F326=G326</f>
        <v/>
      </c>
    </row>
    <row r="327">
      <c r="B327" s="312" t="n"/>
      <c r="C327" s="61" t="n"/>
      <c r="D327">
        <f>B327=C327</f>
        <v/>
      </c>
      <c r="F327">
        <f>"VI-"&amp;TEXT(E327,"000000")&amp;"-2025"</f>
        <v/>
      </c>
      <c r="G327" s="13" t="n"/>
      <c r="H327">
        <f>F327=G327</f>
        <v/>
      </c>
    </row>
    <row r="328">
      <c r="B328" s="312" t="n"/>
      <c r="C328" s="61" t="n"/>
      <c r="D328">
        <f>B328=C328</f>
        <v/>
      </c>
      <c r="F328">
        <f>"VI-"&amp;TEXT(E328,"000000")&amp;"-2025"</f>
        <v/>
      </c>
      <c r="G328" s="13" t="n"/>
      <c r="H328">
        <f>F328=G328</f>
        <v/>
      </c>
    </row>
    <row r="329">
      <c r="B329" s="312" t="n"/>
      <c r="C329" s="61" t="n"/>
      <c r="D329">
        <f>B329=C329</f>
        <v/>
      </c>
      <c r="F329">
        <f>"VI-"&amp;TEXT(E329,"000000")&amp;"-2025"</f>
        <v/>
      </c>
      <c r="G329" s="13" t="n"/>
      <c r="H329">
        <f>F329=G329</f>
        <v/>
      </c>
    </row>
    <row r="330">
      <c r="B330" s="312" t="n"/>
      <c r="C330" s="61" t="n"/>
      <c r="D330">
        <f>B330=C330</f>
        <v/>
      </c>
      <c r="F330">
        <f>"VI-"&amp;TEXT(E330,"000000")&amp;"-2025"</f>
        <v/>
      </c>
      <c r="G330" s="13" t="n"/>
      <c r="H330">
        <f>F330=G330</f>
        <v/>
      </c>
    </row>
    <row r="331">
      <c r="B331" s="312" t="n"/>
      <c r="C331" s="61" t="n"/>
      <c r="D331">
        <f>B331=C331</f>
        <v/>
      </c>
      <c r="F331">
        <f>"VI-"&amp;TEXT(E331,"000000")&amp;"-2025"</f>
        <v/>
      </c>
      <c r="G331" s="13" t="n"/>
      <c r="H331">
        <f>F331=G331</f>
        <v/>
      </c>
    </row>
    <row r="332">
      <c r="B332" s="312" t="n"/>
      <c r="C332" s="61" t="n"/>
      <c r="D332">
        <f>B332=C332</f>
        <v/>
      </c>
      <c r="F332">
        <f>"VI-"&amp;TEXT(E332,"000000")&amp;"-2025"</f>
        <v/>
      </c>
      <c r="G332" s="13" t="n"/>
      <c r="H332">
        <f>F332=G332</f>
        <v/>
      </c>
    </row>
    <row r="333" ht="13.5" customHeight="1" thickBot="1">
      <c r="B333" s="325" t="n"/>
      <c r="C333" s="61" t="n"/>
      <c r="D333">
        <f>B333=C333</f>
        <v/>
      </c>
      <c r="F333">
        <f>"VI-"&amp;TEXT(E333,"000000")&amp;"-2025"</f>
        <v/>
      </c>
      <c r="G333" s="52" t="n"/>
      <c r="H333">
        <f>F333=G333</f>
        <v/>
      </c>
    </row>
    <row r="334">
      <c r="B334" s="335" t="n"/>
      <c r="C334" s="61" t="n"/>
      <c r="D334">
        <f>B334=C334</f>
        <v/>
      </c>
      <c r="F334">
        <f>"VI-"&amp;TEXT(E334,"000000")&amp;"-2025"</f>
        <v/>
      </c>
      <c r="G334" s="46" t="n"/>
      <c r="H334">
        <f>F334=G334</f>
        <v/>
      </c>
    </row>
    <row r="335">
      <c r="B335" s="312" t="n"/>
      <c r="C335" s="61" t="n"/>
      <c r="D335">
        <f>B335=C335</f>
        <v/>
      </c>
      <c r="F335">
        <f>"VI-"&amp;TEXT(E335,"000000")&amp;"-2025"</f>
        <v/>
      </c>
      <c r="G335" s="13" t="n"/>
      <c r="H335">
        <f>F335=G335</f>
        <v/>
      </c>
    </row>
    <row r="336">
      <c r="B336" s="312" t="n"/>
      <c r="C336" s="61" t="n"/>
      <c r="D336">
        <f>B336=C336</f>
        <v/>
      </c>
      <c r="F336">
        <f>"VI-"&amp;TEXT(E336,"000000")&amp;"-2025"</f>
        <v/>
      </c>
      <c r="G336" s="13" t="n"/>
      <c r="H336">
        <f>F336=G336</f>
        <v/>
      </c>
    </row>
    <row r="337">
      <c r="B337" s="338" t="n"/>
      <c r="C337" s="61" t="n"/>
      <c r="D337">
        <f>B337=C337</f>
        <v/>
      </c>
      <c r="F337">
        <f>"VI-"&amp;TEXT(E337,"000000")&amp;"-2025"</f>
        <v/>
      </c>
      <c r="G337" s="56" t="n"/>
      <c r="H337">
        <f>F337=G337</f>
        <v/>
      </c>
    </row>
    <row r="338">
      <c r="B338" s="312" t="n"/>
      <c r="C338" s="61" t="n"/>
      <c r="D338">
        <f>B338=C338</f>
        <v/>
      </c>
      <c r="F338">
        <f>"VI-"&amp;TEXT(E338,"000000")&amp;"-2025"</f>
        <v/>
      </c>
      <c r="G338" s="13" t="n"/>
      <c r="H338">
        <f>F338=G338</f>
        <v/>
      </c>
    </row>
    <row r="339">
      <c r="B339" s="300" t="n"/>
      <c r="C339" s="61" t="n"/>
      <c r="D339">
        <f>B339=C339</f>
        <v/>
      </c>
      <c r="F339">
        <f>"VI-"&amp;TEXT(E339,"000000")&amp;"-2025"</f>
        <v/>
      </c>
      <c r="G339" s="58" t="n"/>
      <c r="H339">
        <f>F339=G339</f>
        <v/>
      </c>
    </row>
    <row r="340">
      <c r="B340" s="312" t="n"/>
      <c r="C340" s="61" t="n"/>
      <c r="D340">
        <f>B340=C340</f>
        <v/>
      </c>
      <c r="F340">
        <f>"VI-"&amp;TEXT(E340,"000000")&amp;"-2025"</f>
        <v/>
      </c>
      <c r="G340" s="13" t="n"/>
      <c r="H340">
        <f>F340=G340</f>
        <v/>
      </c>
    </row>
    <row r="341">
      <c r="B341" s="312" t="n"/>
      <c r="C341" s="61" t="n"/>
      <c r="D341">
        <f>B341=C341</f>
        <v/>
      </c>
      <c r="F341">
        <f>"VI-"&amp;TEXT(E341,"000000")&amp;"-2025"</f>
        <v/>
      </c>
      <c r="G341" s="13" t="n"/>
      <c r="H341">
        <f>F341=G341</f>
        <v/>
      </c>
    </row>
    <row r="342">
      <c r="B342" s="312" t="n"/>
      <c r="C342" s="61" t="n"/>
      <c r="D342">
        <f>B342=C342</f>
        <v/>
      </c>
      <c r="F342">
        <f>"VI-"&amp;TEXT(E342,"000000")&amp;"-2025"</f>
        <v/>
      </c>
      <c r="G342" s="13" t="n"/>
      <c r="H342">
        <f>F342=G342</f>
        <v/>
      </c>
    </row>
    <row r="343">
      <c r="B343" s="312" t="n"/>
      <c r="C343" s="61" t="n"/>
      <c r="D343">
        <f>B343=C343</f>
        <v/>
      </c>
      <c r="F343">
        <f>"VI-"&amp;TEXT(E343,"000000")&amp;"-2025"</f>
        <v/>
      </c>
      <c r="G343" s="13" t="n"/>
      <c r="H343">
        <f>F343=G343</f>
        <v/>
      </c>
    </row>
    <row r="344">
      <c r="B344" s="312" t="n"/>
      <c r="C344" s="61" t="n"/>
      <c r="D344">
        <f>B344=C344</f>
        <v/>
      </c>
      <c r="F344">
        <f>"VI-"&amp;TEXT(E344,"000000")&amp;"-2025"</f>
        <v/>
      </c>
      <c r="G344" s="13" t="n"/>
      <c r="H344">
        <f>F344=G344</f>
        <v/>
      </c>
    </row>
    <row r="345">
      <c r="B345" s="312" t="n"/>
      <c r="C345" s="61" t="n"/>
      <c r="D345">
        <f>B345=C345</f>
        <v/>
      </c>
      <c r="F345">
        <f>"VI-"&amp;TEXT(E345,"000000")&amp;"-2025"</f>
        <v/>
      </c>
      <c r="G345" s="13" t="n"/>
      <c r="H345">
        <f>F345=G345</f>
        <v/>
      </c>
    </row>
    <row r="346">
      <c r="B346" s="312" t="n"/>
      <c r="C346" s="61" t="n"/>
      <c r="D346">
        <f>B346=C346</f>
        <v/>
      </c>
      <c r="F346">
        <f>"VI-"&amp;TEXT(E346,"000000")&amp;"-2025"</f>
        <v/>
      </c>
      <c r="G346" s="13" t="n"/>
      <c r="H346">
        <f>F346=G346</f>
        <v/>
      </c>
    </row>
    <row r="347">
      <c r="B347" s="312" t="n"/>
      <c r="C347" s="61" t="n"/>
      <c r="D347">
        <f>B347=C347</f>
        <v/>
      </c>
      <c r="F347">
        <f>"VI-"&amp;TEXT(E347,"000000")&amp;"-2025"</f>
        <v/>
      </c>
      <c r="G347" s="13" t="n"/>
      <c r="H347">
        <f>F347=G347</f>
        <v/>
      </c>
    </row>
    <row r="348" ht="13.5" customHeight="1" thickBot="1">
      <c r="B348" s="325" t="n"/>
      <c r="C348" s="61" t="n"/>
      <c r="D348">
        <f>B348=C348</f>
        <v/>
      </c>
      <c r="F348">
        <f>"VI-"&amp;TEXT(E348,"000000")&amp;"-2025"</f>
        <v/>
      </c>
      <c r="G348" s="52" t="n"/>
      <c r="H348">
        <f>F348=G348</f>
        <v/>
      </c>
    </row>
    <row r="349">
      <c r="B349" s="335" t="n"/>
      <c r="C349" s="61" t="n"/>
      <c r="D349">
        <f>B349=C349</f>
        <v/>
      </c>
      <c r="F349">
        <f>"VI-"&amp;TEXT(E349,"000000")&amp;"-2025"</f>
        <v/>
      </c>
      <c r="G349" s="46" t="n"/>
      <c r="H349">
        <f>F349=G349</f>
        <v/>
      </c>
    </row>
    <row r="350">
      <c r="B350" s="312" t="n"/>
      <c r="C350" s="61" t="n"/>
      <c r="D350">
        <f>B350=C350</f>
        <v/>
      </c>
      <c r="F350">
        <f>"VI-"&amp;TEXT(E350,"000000")&amp;"-2025"</f>
        <v/>
      </c>
      <c r="G350" s="13" t="n"/>
      <c r="H350">
        <f>F350=G350</f>
        <v/>
      </c>
    </row>
    <row r="351">
      <c r="B351" s="312" t="n"/>
      <c r="C351" s="61" t="n"/>
      <c r="D351">
        <f>B351=C351</f>
        <v/>
      </c>
      <c r="F351">
        <f>"VI-"&amp;TEXT(E351,"000000")&amp;"-2025"</f>
        <v/>
      </c>
      <c r="G351" s="13" t="n"/>
      <c r="H351">
        <f>F351=G351</f>
        <v/>
      </c>
    </row>
    <row r="352">
      <c r="B352" s="312" t="n"/>
      <c r="C352" s="61" t="n"/>
      <c r="D352">
        <f>B352=C352</f>
        <v/>
      </c>
      <c r="F352">
        <f>"VI-"&amp;TEXT(E352,"000000")&amp;"-2025"</f>
        <v/>
      </c>
      <c r="G352" s="13" t="n"/>
      <c r="H352">
        <f>F352=G352</f>
        <v/>
      </c>
    </row>
    <row r="353">
      <c r="B353" s="312" t="n"/>
      <c r="C353" s="61" t="n"/>
      <c r="D353">
        <f>B353=C353</f>
        <v/>
      </c>
      <c r="F353">
        <f>"VI-"&amp;TEXT(E353,"000000")&amp;"-2025"</f>
        <v/>
      </c>
      <c r="G353" s="13" t="n"/>
      <c r="H353">
        <f>F353=G353</f>
        <v/>
      </c>
    </row>
    <row r="354">
      <c r="B354" s="312" t="n"/>
      <c r="C354" s="61" t="n"/>
      <c r="D354">
        <f>B354=C354</f>
        <v/>
      </c>
      <c r="F354">
        <f>"VI-"&amp;TEXT(E354,"000000")&amp;"-2025"</f>
        <v/>
      </c>
      <c r="G354" s="13" t="n"/>
      <c r="H354">
        <f>F354=G354</f>
        <v/>
      </c>
    </row>
    <row r="355">
      <c r="B355" s="312" t="n"/>
      <c r="C355" s="61" t="n"/>
      <c r="D355">
        <f>B355=C355</f>
        <v/>
      </c>
      <c r="F355">
        <f>"VI-"&amp;TEXT(E355,"000000")&amp;"-2025"</f>
        <v/>
      </c>
      <c r="G355" s="13" t="n"/>
      <c r="H355">
        <f>F355=G355</f>
        <v/>
      </c>
    </row>
    <row r="356">
      <c r="B356" s="312" t="n"/>
      <c r="C356" s="61" t="n"/>
      <c r="D356">
        <f>B356=C356</f>
        <v/>
      </c>
      <c r="F356">
        <f>"VI-"&amp;TEXT(E356,"000000")&amp;"-2025"</f>
        <v/>
      </c>
      <c r="G356" s="13" t="n"/>
      <c r="H356">
        <f>F356=G356</f>
        <v/>
      </c>
    </row>
    <row r="357">
      <c r="B357" s="312" t="n"/>
      <c r="C357" s="61" t="n"/>
      <c r="D357">
        <f>B357=C357</f>
        <v/>
      </c>
      <c r="F357">
        <f>"VI-"&amp;TEXT(E357,"000000")&amp;"-2025"</f>
        <v/>
      </c>
      <c r="G357" s="13" t="n"/>
      <c r="H357">
        <f>F357=G357</f>
        <v/>
      </c>
    </row>
    <row r="358">
      <c r="B358" s="312" t="n"/>
      <c r="C358" s="61" t="n"/>
      <c r="D358">
        <f>B358=C358</f>
        <v/>
      </c>
      <c r="F358">
        <f>"VI-"&amp;TEXT(E358,"000000")&amp;"-2025"</f>
        <v/>
      </c>
      <c r="G358" s="13" t="n"/>
      <c r="H358">
        <f>F358=G358</f>
        <v/>
      </c>
    </row>
    <row r="359">
      <c r="B359" s="312" t="n"/>
      <c r="C359" s="61" t="n"/>
      <c r="D359">
        <f>B359=C359</f>
        <v/>
      </c>
      <c r="F359">
        <f>"VI-"&amp;TEXT(E359,"000000")&amp;"-2025"</f>
        <v/>
      </c>
      <c r="G359" s="13" t="n"/>
      <c r="H359">
        <f>F359=G359</f>
        <v/>
      </c>
    </row>
    <row r="360">
      <c r="B360" s="312" t="n"/>
      <c r="C360" s="61" t="n"/>
      <c r="D360">
        <f>B360=C360</f>
        <v/>
      </c>
      <c r="F360">
        <f>"VI-"&amp;TEXT(E360,"000000")&amp;"-2025"</f>
        <v/>
      </c>
      <c r="G360" s="13" t="n"/>
      <c r="H360">
        <f>F360=G360</f>
        <v/>
      </c>
    </row>
    <row r="361">
      <c r="B361" s="312" t="n"/>
      <c r="C361" s="61" t="n"/>
      <c r="D361">
        <f>B361=C361</f>
        <v/>
      </c>
      <c r="F361">
        <f>"VI-"&amp;TEXT(E361,"000000")&amp;"-2025"</f>
        <v/>
      </c>
      <c r="G361" s="13" t="n"/>
      <c r="H361">
        <f>F361=G361</f>
        <v/>
      </c>
    </row>
    <row r="362">
      <c r="B362" s="312" t="n"/>
      <c r="C362" s="61" t="n"/>
      <c r="D362">
        <f>B362=C362</f>
        <v/>
      </c>
      <c r="F362">
        <f>"VI-"&amp;TEXT(E362,"000000")&amp;"-2025"</f>
        <v/>
      </c>
      <c r="G362" s="13" t="n"/>
      <c r="H362">
        <f>F362=G362</f>
        <v/>
      </c>
    </row>
    <row r="363" ht="13.5" customHeight="1" thickBot="1">
      <c r="B363" s="325" t="n"/>
      <c r="C363" s="61" t="n"/>
      <c r="D363">
        <f>B363=C363</f>
        <v/>
      </c>
      <c r="F363">
        <f>"VI-"&amp;TEXT(E363,"000000")&amp;"-2025"</f>
        <v/>
      </c>
      <c r="G363" s="52" t="n"/>
      <c r="H363">
        <f>F363=G363</f>
        <v/>
      </c>
    </row>
    <row r="364">
      <c r="B364" s="334" t="n"/>
      <c r="C364" s="61" t="n"/>
      <c r="D364">
        <f>B364=C364</f>
        <v/>
      </c>
      <c r="F364">
        <f>"VI-"&amp;TEXT(E364,"000000")&amp;"-2025"</f>
        <v/>
      </c>
      <c r="G364" s="13" t="n"/>
      <c r="H364">
        <f>F364=G364</f>
        <v/>
      </c>
    </row>
    <row r="365">
      <c r="B365" s="312" t="n"/>
      <c r="C365" s="61" t="n"/>
      <c r="D365">
        <f>B365=C365</f>
        <v/>
      </c>
      <c r="F365">
        <f>"VI-"&amp;TEXT(E365,"000000")&amp;"-2025"</f>
        <v/>
      </c>
      <c r="G365" s="13" t="n"/>
      <c r="H365">
        <f>F365=G365</f>
        <v/>
      </c>
    </row>
    <row r="366">
      <c r="B366" s="312" t="n"/>
      <c r="C366" s="61" t="n"/>
      <c r="D366">
        <f>B366=C366</f>
        <v/>
      </c>
      <c r="F366">
        <f>"VI-"&amp;TEXT(E366,"000000")&amp;"-2025"</f>
        <v/>
      </c>
      <c r="G366" s="13" t="n"/>
      <c r="H366">
        <f>F366=G366</f>
        <v/>
      </c>
    </row>
    <row r="367">
      <c r="B367" s="312" t="n"/>
      <c r="C367" s="61" t="n"/>
      <c r="D367">
        <f>B367=C367</f>
        <v/>
      </c>
      <c r="F367">
        <f>"VI-"&amp;TEXT(E367,"000000")&amp;"-2025"</f>
        <v/>
      </c>
      <c r="G367" s="56" t="n"/>
      <c r="H367">
        <f>F367=G367</f>
        <v/>
      </c>
    </row>
    <row r="368">
      <c r="B368" s="312" t="n"/>
      <c r="C368" s="61" t="n"/>
      <c r="D368">
        <f>B368=C368</f>
        <v/>
      </c>
      <c r="F368">
        <f>"VI-"&amp;TEXT(E368,"000000")&amp;"-2025"</f>
        <v/>
      </c>
      <c r="G368" s="13" t="n"/>
      <c r="H368">
        <f>F368=G368</f>
        <v/>
      </c>
    </row>
    <row r="369">
      <c r="B369" s="312" t="n"/>
      <c r="C369" s="61" t="n"/>
      <c r="D369">
        <f>B369=C369</f>
        <v/>
      </c>
      <c r="F369">
        <f>"VI-"&amp;TEXT(E369,"000000")&amp;"-2025"</f>
        <v/>
      </c>
      <c r="G369" s="58" t="n"/>
      <c r="H369">
        <f>F369=G369</f>
        <v/>
      </c>
    </row>
    <row r="370">
      <c r="B370" s="312" t="n"/>
      <c r="C370" s="61" t="n"/>
      <c r="D370">
        <f>B370=C370</f>
        <v/>
      </c>
      <c r="F370">
        <f>"VI-"&amp;TEXT(E370,"000000")&amp;"-2025"</f>
        <v/>
      </c>
      <c r="G370" s="13" t="n"/>
      <c r="H370">
        <f>F370=G370</f>
        <v/>
      </c>
    </row>
    <row r="371" ht="13.5" customHeight="1" thickBot="1">
      <c r="B371" s="325" t="n"/>
      <c r="C371" s="61" t="n"/>
      <c r="D371">
        <f>B371=C371</f>
        <v/>
      </c>
      <c r="F371">
        <f>"VI-"&amp;TEXT(E371,"000000")&amp;"-2025"</f>
        <v/>
      </c>
      <c r="G371" s="52" t="n"/>
      <c r="H371">
        <f>F371=G371</f>
        <v/>
      </c>
    </row>
    <row r="372">
      <c r="B372" s="335" t="n"/>
      <c r="C372" s="61" t="n"/>
      <c r="D372">
        <f>B372=C372</f>
        <v/>
      </c>
      <c r="F372">
        <f>"VI-"&amp;TEXT(E372,"000000")&amp;"-2025"</f>
        <v/>
      </c>
      <c r="G372" s="46" t="n"/>
      <c r="H372">
        <f>F372=G372</f>
        <v/>
      </c>
    </row>
    <row r="373">
      <c r="B373" s="312" t="n"/>
      <c r="C373" s="61" t="n"/>
      <c r="D373">
        <f>B373=C373</f>
        <v/>
      </c>
      <c r="F373">
        <f>"VI-"&amp;TEXT(E373,"000000")&amp;"-2025"</f>
        <v/>
      </c>
      <c r="G373" s="13" t="n"/>
      <c r="H373">
        <f>F373=G373</f>
        <v/>
      </c>
    </row>
    <row r="374">
      <c r="B374" s="312" t="n"/>
      <c r="C374" s="61" t="n"/>
      <c r="D374">
        <f>B374=C374</f>
        <v/>
      </c>
      <c r="F374">
        <f>"VI-"&amp;TEXT(E374,"000000")&amp;"-2025"</f>
        <v/>
      </c>
      <c r="G374" s="13" t="n"/>
      <c r="H374">
        <f>F374=G374</f>
        <v/>
      </c>
    </row>
    <row r="375">
      <c r="B375" s="312" t="n"/>
      <c r="C375" s="61" t="n"/>
      <c r="D375">
        <f>B375=C375</f>
        <v/>
      </c>
      <c r="F375">
        <f>"VI-"&amp;TEXT(E375,"000000")&amp;"-2025"</f>
        <v/>
      </c>
      <c r="G375" s="13" t="n"/>
      <c r="H375">
        <f>F375=G375</f>
        <v/>
      </c>
    </row>
    <row r="376">
      <c r="B376" s="312" t="n"/>
      <c r="C376" s="61" t="n"/>
      <c r="D376">
        <f>B376=C376</f>
        <v/>
      </c>
      <c r="F376">
        <f>"VI-"&amp;TEXT(E376,"000000")&amp;"-2025"</f>
        <v/>
      </c>
      <c r="G376" s="13" t="n"/>
      <c r="H376">
        <f>F376=G376</f>
        <v/>
      </c>
    </row>
    <row r="377">
      <c r="B377" s="312" t="n"/>
      <c r="C377" s="61" t="n"/>
      <c r="D377">
        <f>B377=C377</f>
        <v/>
      </c>
      <c r="F377">
        <f>"VI-"&amp;TEXT(E377,"000000")&amp;"-2025"</f>
        <v/>
      </c>
      <c r="G377" s="13" t="n"/>
      <c r="H377">
        <f>F377=G377</f>
        <v/>
      </c>
    </row>
    <row r="378">
      <c r="B378" s="312" t="n"/>
      <c r="C378" s="61" t="n"/>
      <c r="D378">
        <f>B378=C378</f>
        <v/>
      </c>
      <c r="F378">
        <f>"VI-"&amp;TEXT(E378,"000000")&amp;"-2025"</f>
        <v/>
      </c>
      <c r="G378" s="13" t="n"/>
      <c r="H378">
        <f>F378=G378</f>
        <v/>
      </c>
    </row>
    <row r="379">
      <c r="B379" s="312" t="n"/>
      <c r="C379" s="61" t="n"/>
      <c r="D379">
        <f>B379=C379</f>
        <v/>
      </c>
      <c r="F379">
        <f>"VI-"&amp;TEXT(E379,"000000")&amp;"-2025"</f>
        <v/>
      </c>
      <c r="G379" s="13" t="n"/>
      <c r="H379">
        <f>F379=G379</f>
        <v/>
      </c>
    </row>
    <row r="380">
      <c r="B380" s="312" t="n"/>
      <c r="C380" s="61" t="n"/>
      <c r="D380">
        <f>B380=C380</f>
        <v/>
      </c>
      <c r="F380">
        <f>"VI-"&amp;TEXT(E380,"000000")&amp;"-2025"</f>
        <v/>
      </c>
      <c r="G380" s="13" t="n"/>
      <c r="H380">
        <f>F380=G380</f>
        <v/>
      </c>
    </row>
    <row r="381">
      <c r="B381" s="312" t="n"/>
      <c r="C381" s="61" t="n"/>
      <c r="D381">
        <f>B381=C381</f>
        <v/>
      </c>
      <c r="F381">
        <f>"VI-"&amp;TEXT(E381,"000000")&amp;"-2025"</f>
        <v/>
      </c>
      <c r="G381" s="13" t="n"/>
      <c r="H381">
        <f>F381=G381</f>
        <v/>
      </c>
    </row>
    <row r="382">
      <c r="B382" s="312" t="n"/>
      <c r="C382" s="61" t="n"/>
      <c r="D382">
        <f>B382=C382</f>
        <v/>
      </c>
      <c r="F382">
        <f>"VI-"&amp;TEXT(E382,"000000")&amp;"-2025"</f>
        <v/>
      </c>
      <c r="G382" s="13" t="n"/>
      <c r="H382">
        <f>F382=G382</f>
        <v/>
      </c>
    </row>
    <row r="383">
      <c r="B383" s="312" t="n"/>
      <c r="C383" s="61" t="n"/>
      <c r="D383">
        <f>B383=C383</f>
        <v/>
      </c>
      <c r="F383">
        <f>"VI-"&amp;TEXT(E383,"000000")&amp;"-2025"</f>
        <v/>
      </c>
      <c r="G383" s="13" t="n"/>
      <c r="H383">
        <f>F383=G383</f>
        <v/>
      </c>
    </row>
    <row r="384">
      <c r="B384" s="312" t="n"/>
      <c r="C384" s="61" t="n"/>
      <c r="D384">
        <f>B384=C384</f>
        <v/>
      </c>
      <c r="F384">
        <f>"VI-"&amp;TEXT(E384,"000000")&amp;"-2025"</f>
        <v/>
      </c>
      <c r="G384" s="13" t="n"/>
      <c r="H384">
        <f>F384=G384</f>
        <v/>
      </c>
    </row>
    <row r="385">
      <c r="B385" s="312" t="n"/>
      <c r="C385" s="61" t="n"/>
      <c r="D385">
        <f>B385=C385</f>
        <v/>
      </c>
      <c r="F385">
        <f>"VI-"&amp;TEXT(E385,"000000")&amp;"-2025"</f>
        <v/>
      </c>
      <c r="G385" s="13" t="n"/>
      <c r="H385">
        <f>F385=G385</f>
        <v/>
      </c>
    </row>
    <row r="386">
      <c r="B386" s="312" t="n"/>
      <c r="C386" s="61" t="n"/>
      <c r="D386">
        <f>B386=C386</f>
        <v/>
      </c>
      <c r="F386">
        <f>"VI-"&amp;TEXT(E386,"000000")&amp;"-2025"</f>
        <v/>
      </c>
      <c r="G386" s="13" t="n"/>
      <c r="H386">
        <f>F386=G386</f>
        <v/>
      </c>
    </row>
    <row r="387" ht="13.5" customHeight="1" thickBot="1">
      <c r="B387" s="325" t="n"/>
      <c r="C387" s="61" t="n"/>
      <c r="D387">
        <f>B387=C387</f>
        <v/>
      </c>
      <c r="F387">
        <f>"VI-"&amp;TEXT(E387,"000000")&amp;"-2025"</f>
        <v/>
      </c>
      <c r="G387" s="52" t="n"/>
      <c r="H387">
        <f>F387=G387</f>
        <v/>
      </c>
    </row>
    <row r="388">
      <c r="B388" s="335" t="n"/>
      <c r="C388" s="61" t="n"/>
      <c r="D388">
        <f>B388=C388</f>
        <v/>
      </c>
      <c r="F388">
        <f>"VI-"&amp;TEXT(E388,"000000")&amp;"-2025"</f>
        <v/>
      </c>
      <c r="G388" s="46" t="n"/>
      <c r="H388">
        <f>F388=G388</f>
        <v/>
      </c>
    </row>
    <row r="389">
      <c r="B389" s="312" t="n"/>
      <c r="C389" s="61" t="n"/>
      <c r="D389">
        <f>B389=C389</f>
        <v/>
      </c>
      <c r="F389">
        <f>"VI-"&amp;TEXT(E389,"000000")&amp;"-2025"</f>
        <v/>
      </c>
      <c r="G389" s="13" t="n"/>
      <c r="H389">
        <f>F389=G389</f>
        <v/>
      </c>
    </row>
    <row r="390">
      <c r="B390" s="312" t="n"/>
      <c r="C390" s="61" t="n"/>
      <c r="D390">
        <f>B390=C390</f>
        <v/>
      </c>
      <c r="F390">
        <f>"VI-"&amp;TEXT(E390,"000000")&amp;"-2025"</f>
        <v/>
      </c>
      <c r="G390" s="13" t="n"/>
      <c r="H390">
        <f>F390=G390</f>
        <v/>
      </c>
    </row>
    <row r="391">
      <c r="B391" s="312" t="n"/>
      <c r="C391" s="61" t="n"/>
      <c r="D391">
        <f>B391=C391</f>
        <v/>
      </c>
      <c r="F391">
        <f>"VI-"&amp;TEXT(E391,"000000")&amp;"-2025"</f>
        <v/>
      </c>
      <c r="G391" s="13" t="n"/>
      <c r="H391">
        <f>F391=G391</f>
        <v/>
      </c>
    </row>
    <row r="392">
      <c r="B392" s="312" t="n"/>
      <c r="C392" s="61" t="n"/>
      <c r="D392">
        <f>B392=C392</f>
        <v/>
      </c>
      <c r="F392">
        <f>"VI-"&amp;TEXT(E392,"000000")&amp;"-2025"</f>
        <v/>
      </c>
      <c r="G392" s="13" t="n"/>
      <c r="H392">
        <f>F392=G392</f>
        <v/>
      </c>
    </row>
    <row r="393">
      <c r="B393" s="312" t="n"/>
      <c r="C393" s="61" t="n"/>
      <c r="D393">
        <f>B393=C393</f>
        <v/>
      </c>
      <c r="F393">
        <f>"VI-"&amp;TEXT(E393,"000000")&amp;"-2025"</f>
        <v/>
      </c>
      <c r="G393" s="13" t="n"/>
      <c r="H393">
        <f>F393=G393</f>
        <v/>
      </c>
    </row>
    <row r="394">
      <c r="B394" s="312" t="n"/>
      <c r="C394" s="61" t="n"/>
      <c r="D394">
        <f>B394=C394</f>
        <v/>
      </c>
      <c r="F394">
        <f>"VI-"&amp;TEXT(E394,"000000")&amp;"-2025"</f>
        <v/>
      </c>
      <c r="G394" s="13" t="n"/>
      <c r="H394">
        <f>F394=G394</f>
        <v/>
      </c>
    </row>
    <row r="395">
      <c r="B395" s="312" t="n"/>
      <c r="C395" s="61" t="n"/>
      <c r="D395">
        <f>B395=C395</f>
        <v/>
      </c>
      <c r="F395">
        <f>"VI-"&amp;TEXT(E395,"000000")&amp;"-2025"</f>
        <v/>
      </c>
      <c r="G395" s="13" t="n"/>
      <c r="H395">
        <f>F395=G395</f>
        <v/>
      </c>
    </row>
    <row r="396">
      <c r="B396" s="312" t="n"/>
      <c r="C396" s="61" t="n"/>
      <c r="D396">
        <f>B396=C396</f>
        <v/>
      </c>
      <c r="F396">
        <f>"VI-"&amp;TEXT(E396,"000000")&amp;"-2025"</f>
        <v/>
      </c>
      <c r="G396" s="13" t="n"/>
      <c r="H396">
        <f>F396=G396</f>
        <v/>
      </c>
    </row>
    <row r="397">
      <c r="B397" s="312" t="n"/>
      <c r="C397" s="61" t="n"/>
      <c r="D397">
        <f>B397=C397</f>
        <v/>
      </c>
      <c r="F397">
        <f>"VI-"&amp;TEXT(E397,"000000")&amp;"-2025"</f>
        <v/>
      </c>
      <c r="G397" s="13" t="n"/>
      <c r="H397">
        <f>F397=G397</f>
        <v/>
      </c>
    </row>
    <row r="398">
      <c r="B398" s="312" t="n"/>
      <c r="C398" s="61" t="n"/>
      <c r="D398">
        <f>B398=C398</f>
        <v/>
      </c>
      <c r="F398">
        <f>"VI-"&amp;TEXT(E398,"000000")&amp;"-2025"</f>
        <v/>
      </c>
      <c r="G398" s="13" t="n"/>
      <c r="H398">
        <f>F398=G398</f>
        <v/>
      </c>
    </row>
    <row r="399">
      <c r="B399" s="312" t="n"/>
      <c r="C399" s="61" t="n"/>
      <c r="D399">
        <f>B399=C399</f>
        <v/>
      </c>
      <c r="F399">
        <f>"VI-"&amp;TEXT(E399,"000000")&amp;"-2025"</f>
        <v/>
      </c>
      <c r="G399" s="13" t="n"/>
      <c r="H399">
        <f>F399=G399</f>
        <v/>
      </c>
    </row>
    <row r="400">
      <c r="B400" s="312" t="n"/>
      <c r="C400" s="61" t="n"/>
      <c r="D400">
        <f>B400=C400</f>
        <v/>
      </c>
      <c r="F400">
        <f>"VI-"&amp;TEXT(E400,"000000")&amp;"-2025"</f>
        <v/>
      </c>
      <c r="G400" s="13" t="n"/>
      <c r="H400">
        <f>F400=G400</f>
        <v/>
      </c>
    </row>
    <row r="401">
      <c r="B401" s="312" t="n"/>
      <c r="C401" s="61" t="n"/>
      <c r="D401">
        <f>B401=C401</f>
        <v/>
      </c>
      <c r="F401">
        <f>"VI-"&amp;TEXT(E401,"000000")&amp;"-2025"</f>
        <v/>
      </c>
      <c r="G401" s="13" t="n"/>
      <c r="H401">
        <f>F401=G401</f>
        <v/>
      </c>
    </row>
    <row r="402">
      <c r="B402" s="312" t="n"/>
      <c r="C402" s="61" t="n"/>
      <c r="D402">
        <f>B402=C402</f>
        <v/>
      </c>
      <c r="F402">
        <f>"VI-"&amp;TEXT(E402,"000000")&amp;"-2025"</f>
        <v/>
      </c>
      <c r="G402" s="13" t="n"/>
      <c r="H402">
        <f>F402=G402</f>
        <v/>
      </c>
    </row>
    <row r="403" ht="13.5" customHeight="1" thickBot="1">
      <c r="B403" s="325" t="n"/>
      <c r="C403" s="61" t="n"/>
      <c r="D403">
        <f>B403=C403</f>
        <v/>
      </c>
      <c r="F403">
        <f>"VI-"&amp;TEXT(E403,"000000")&amp;"-2025"</f>
        <v/>
      </c>
      <c r="G403" s="52" t="n"/>
      <c r="H403">
        <f>F403=G403</f>
        <v/>
      </c>
    </row>
    <row r="404">
      <c r="B404" s="335" t="n"/>
      <c r="C404" s="61" t="n"/>
      <c r="D404">
        <f>B404=C404</f>
        <v/>
      </c>
      <c r="F404">
        <f>"VI-"&amp;TEXT(E404,"000000")&amp;"-2025"</f>
        <v/>
      </c>
      <c r="G404" s="46" t="n"/>
      <c r="H404">
        <f>F404=G404</f>
        <v/>
      </c>
    </row>
    <row r="405">
      <c r="B405" s="312" t="n"/>
      <c r="C405" s="61" t="n"/>
      <c r="D405">
        <f>B405=C405</f>
        <v/>
      </c>
      <c r="F405">
        <f>"VI-"&amp;TEXT(E405,"000000")&amp;"-2025"</f>
        <v/>
      </c>
      <c r="G405" s="13" t="n"/>
      <c r="H405">
        <f>F405=G405</f>
        <v/>
      </c>
    </row>
    <row r="406">
      <c r="B406" s="312" t="n"/>
      <c r="C406" s="61" t="n"/>
      <c r="D406">
        <f>B406=C406</f>
        <v/>
      </c>
      <c r="F406">
        <f>"VI-"&amp;TEXT(E406,"000000")&amp;"-2025"</f>
        <v/>
      </c>
      <c r="G406" s="13" t="n"/>
      <c r="H406">
        <f>F406=G406</f>
        <v/>
      </c>
    </row>
    <row r="407">
      <c r="B407" s="312" t="n"/>
      <c r="C407" s="61" t="n"/>
      <c r="D407">
        <f>B407=C407</f>
        <v/>
      </c>
      <c r="F407">
        <f>"VI-"&amp;TEXT(E407,"000000")&amp;"-2025"</f>
        <v/>
      </c>
      <c r="G407" s="13" t="n"/>
      <c r="H407">
        <f>F407=G407</f>
        <v/>
      </c>
    </row>
    <row r="408">
      <c r="B408" s="312" t="n"/>
      <c r="C408" s="61" t="n"/>
      <c r="D408">
        <f>B408=C408</f>
        <v/>
      </c>
      <c r="F408">
        <f>"VI-"&amp;TEXT(E408,"000000")&amp;"-2025"</f>
        <v/>
      </c>
      <c r="G408" s="13" t="n"/>
      <c r="H408">
        <f>F408=G408</f>
        <v/>
      </c>
    </row>
    <row r="409">
      <c r="B409" s="312" t="n"/>
      <c r="C409" s="61" t="n"/>
      <c r="D409">
        <f>B409=C409</f>
        <v/>
      </c>
      <c r="F409">
        <f>"VI-"&amp;TEXT(E409,"000000")&amp;"-2025"</f>
        <v/>
      </c>
      <c r="G409" s="13" t="n"/>
      <c r="H409">
        <f>F409=G409</f>
        <v/>
      </c>
    </row>
    <row r="410">
      <c r="B410" s="312" t="n"/>
      <c r="C410" s="61" t="n"/>
      <c r="D410">
        <f>B410=C410</f>
        <v/>
      </c>
      <c r="F410">
        <f>"VI-"&amp;TEXT(E410,"000000")&amp;"-2025"</f>
        <v/>
      </c>
      <c r="G410" s="13" t="n"/>
      <c r="H410">
        <f>F410=G410</f>
        <v/>
      </c>
    </row>
    <row r="411">
      <c r="B411" s="312" t="n"/>
      <c r="C411" s="61" t="n"/>
      <c r="D411">
        <f>B411=C411</f>
        <v/>
      </c>
      <c r="F411">
        <f>"VI-"&amp;TEXT(E411,"000000")&amp;"-2025"</f>
        <v/>
      </c>
      <c r="G411" s="13" t="n"/>
      <c r="H411">
        <f>F411=G411</f>
        <v/>
      </c>
    </row>
    <row r="412">
      <c r="B412" s="312" t="n"/>
      <c r="C412" s="61" t="n"/>
      <c r="D412">
        <f>B412=C412</f>
        <v/>
      </c>
      <c r="F412">
        <f>"VI-"&amp;TEXT(E412,"000000")&amp;"-2025"</f>
        <v/>
      </c>
      <c r="G412" s="13" t="n"/>
      <c r="H412">
        <f>F412=G412</f>
        <v/>
      </c>
    </row>
    <row r="413">
      <c r="B413" s="312" t="n"/>
      <c r="C413" s="61" t="n"/>
      <c r="D413">
        <f>B413=C413</f>
        <v/>
      </c>
      <c r="F413">
        <f>"VI-"&amp;TEXT(E413,"000000")&amp;"-2025"</f>
        <v/>
      </c>
      <c r="G413" s="13" t="n"/>
      <c r="H413">
        <f>F413=G413</f>
        <v/>
      </c>
    </row>
    <row r="414">
      <c r="B414" s="312" t="n"/>
      <c r="C414" s="61" t="n"/>
      <c r="D414">
        <f>B414=C414</f>
        <v/>
      </c>
      <c r="F414">
        <f>"VI-"&amp;TEXT(E414,"000000")&amp;"-2025"</f>
        <v/>
      </c>
      <c r="G414" s="13" t="n"/>
      <c r="H414">
        <f>F414=G414</f>
        <v/>
      </c>
    </row>
    <row r="415">
      <c r="B415" s="312" t="n"/>
      <c r="C415" s="61" t="n"/>
      <c r="D415">
        <f>B415=C415</f>
        <v/>
      </c>
      <c r="F415">
        <f>"VI-"&amp;TEXT(E415,"000000")&amp;"-2025"</f>
        <v/>
      </c>
      <c r="G415" s="13" t="n"/>
      <c r="H415">
        <f>F415=G415</f>
        <v/>
      </c>
    </row>
    <row r="416">
      <c r="B416" s="312" t="n"/>
      <c r="C416" s="61" t="n"/>
      <c r="D416">
        <f>B416=C416</f>
        <v/>
      </c>
      <c r="F416">
        <f>"VI-"&amp;TEXT(E416,"000000")&amp;"-2025"</f>
        <v/>
      </c>
      <c r="G416" s="13" t="n"/>
      <c r="H416">
        <f>F416=G416</f>
        <v/>
      </c>
    </row>
    <row r="417">
      <c r="B417" s="312" t="n"/>
      <c r="C417" s="61" t="n"/>
      <c r="D417">
        <f>B417=C417</f>
        <v/>
      </c>
      <c r="F417">
        <f>"VI-"&amp;TEXT(E417,"000000")&amp;"-2025"</f>
        <v/>
      </c>
      <c r="G417" s="13" t="n"/>
      <c r="H417">
        <f>F417=G417</f>
        <v/>
      </c>
    </row>
    <row r="418">
      <c r="B418" s="312" t="n"/>
      <c r="C418" s="61" t="n"/>
      <c r="D418">
        <f>B418=C418</f>
        <v/>
      </c>
      <c r="F418">
        <f>"VI-"&amp;TEXT(E418,"000000")&amp;"-2025"</f>
        <v/>
      </c>
      <c r="G418" s="13" t="n"/>
      <c r="H418">
        <f>F418=G418</f>
        <v/>
      </c>
    </row>
    <row r="419" ht="13.5" customHeight="1" thickBot="1">
      <c r="B419" s="325" t="n"/>
      <c r="C419" s="61" t="n"/>
      <c r="D419">
        <f>B419=C419</f>
        <v/>
      </c>
      <c r="F419">
        <f>"VI-"&amp;TEXT(E419,"000000")&amp;"-2025"</f>
        <v/>
      </c>
      <c r="G419" s="52" t="n"/>
      <c r="H419">
        <f>F419=G419</f>
        <v/>
      </c>
    </row>
    <row r="420">
      <c r="B420" s="335" t="n"/>
      <c r="C420" s="61" t="n"/>
      <c r="D420">
        <f>B420=C420</f>
        <v/>
      </c>
      <c r="F420">
        <f>"VI-"&amp;TEXT(E420,"000000")&amp;"-2025"</f>
        <v/>
      </c>
      <c r="G420" s="46" t="n"/>
      <c r="H420">
        <f>F420=G420</f>
        <v/>
      </c>
    </row>
    <row r="421">
      <c r="B421" s="312" t="n"/>
      <c r="C421" s="61" t="n"/>
      <c r="D421">
        <f>B421=C421</f>
        <v/>
      </c>
      <c r="F421">
        <f>"VI-"&amp;TEXT(E421,"000000")&amp;"-2025"</f>
        <v/>
      </c>
      <c r="G421" s="13" t="n"/>
      <c r="H421">
        <f>F421=G421</f>
        <v/>
      </c>
    </row>
    <row r="422">
      <c r="B422" s="312" t="n"/>
      <c r="C422" s="61" t="n"/>
      <c r="D422">
        <f>B422=C422</f>
        <v/>
      </c>
      <c r="F422">
        <f>"VI-"&amp;TEXT(E422,"000000")&amp;"-2025"</f>
        <v/>
      </c>
      <c r="G422" s="13" t="n"/>
      <c r="H422">
        <f>F422=G422</f>
        <v/>
      </c>
    </row>
    <row r="423">
      <c r="B423" s="312" t="n"/>
      <c r="C423" s="61" t="n"/>
      <c r="D423">
        <f>B423=C423</f>
        <v/>
      </c>
      <c r="F423">
        <f>"VI-"&amp;TEXT(E423,"000000")&amp;"-2025"</f>
        <v/>
      </c>
      <c r="G423" s="13" t="n"/>
      <c r="H423">
        <f>F423=G423</f>
        <v/>
      </c>
    </row>
    <row r="424">
      <c r="B424" s="334" t="n"/>
      <c r="C424" s="61" t="n"/>
      <c r="D424">
        <f>B424=C424</f>
        <v/>
      </c>
      <c r="F424">
        <f>"VI-"&amp;TEXT(E424,"000000")&amp;"-2025"</f>
        <v/>
      </c>
      <c r="G424" s="13" t="n"/>
      <c r="H424">
        <f>F424=G424</f>
        <v/>
      </c>
    </row>
    <row r="425">
      <c r="B425" s="312" t="n"/>
      <c r="C425" s="61" t="n"/>
      <c r="D425">
        <f>B425=C425</f>
        <v/>
      </c>
      <c r="F425">
        <f>"VI-"&amp;TEXT(E425,"000000")&amp;"-2025"</f>
        <v/>
      </c>
      <c r="G425" s="13" t="n"/>
      <c r="H425">
        <f>F425=G425</f>
        <v/>
      </c>
    </row>
    <row r="426">
      <c r="B426" s="312" t="n"/>
      <c r="C426" s="61" t="n"/>
      <c r="D426">
        <f>B426=C426</f>
        <v/>
      </c>
      <c r="F426">
        <f>"VI-"&amp;TEXT(E426,"000000")&amp;"-2025"</f>
        <v/>
      </c>
      <c r="G426" s="13" t="n"/>
      <c r="H426">
        <f>F426=G426</f>
        <v/>
      </c>
    </row>
    <row r="427">
      <c r="B427" s="312" t="n"/>
      <c r="C427" s="61" t="n"/>
      <c r="D427">
        <f>B427=C427</f>
        <v/>
      </c>
      <c r="F427">
        <f>"VI-"&amp;TEXT(E427,"000000")&amp;"-2025"</f>
        <v/>
      </c>
      <c r="G427" s="13" t="n"/>
      <c r="H427">
        <f>F427=G427</f>
        <v/>
      </c>
    </row>
    <row r="428">
      <c r="B428" s="312" t="n"/>
      <c r="C428" s="61" t="n"/>
      <c r="D428">
        <f>B428=C428</f>
        <v/>
      </c>
      <c r="F428">
        <f>"VI-"&amp;TEXT(E428,"000000")&amp;"-2025"</f>
        <v/>
      </c>
      <c r="G428" s="13" t="n"/>
      <c r="H428">
        <f>F428=G428</f>
        <v/>
      </c>
    </row>
    <row r="429">
      <c r="B429" s="312" t="n"/>
      <c r="C429" s="61" t="n"/>
      <c r="D429">
        <f>B429=C429</f>
        <v/>
      </c>
      <c r="F429">
        <f>"VI-"&amp;TEXT(E429,"000000")&amp;"-2025"</f>
        <v/>
      </c>
      <c r="G429" s="13" t="n"/>
      <c r="H429">
        <f>F429=G429</f>
        <v/>
      </c>
    </row>
    <row r="430">
      <c r="B430" s="312" t="n"/>
      <c r="C430" s="61" t="n"/>
      <c r="D430">
        <f>B430=C430</f>
        <v/>
      </c>
      <c r="F430">
        <f>"VI-"&amp;TEXT(E430,"000000")&amp;"-2025"</f>
        <v/>
      </c>
      <c r="G430" s="13" t="n"/>
      <c r="H430">
        <f>F430=G430</f>
        <v/>
      </c>
    </row>
    <row r="431">
      <c r="B431" s="312" t="n"/>
      <c r="C431" s="61" t="n"/>
      <c r="D431">
        <f>B431=C431</f>
        <v/>
      </c>
      <c r="F431">
        <f>"VI-"&amp;TEXT(E431,"000000")&amp;"-2025"</f>
        <v/>
      </c>
      <c r="G431" s="13" t="n"/>
      <c r="H431">
        <f>F431=G431</f>
        <v/>
      </c>
    </row>
    <row r="432">
      <c r="B432" s="312" t="n"/>
      <c r="C432" s="61" t="n"/>
      <c r="D432">
        <f>B432=C432</f>
        <v/>
      </c>
      <c r="F432">
        <f>"VI-"&amp;TEXT(E432,"000000")&amp;"-2025"</f>
        <v/>
      </c>
      <c r="G432" s="13" t="n"/>
      <c r="H432">
        <f>F432=G432</f>
        <v/>
      </c>
    </row>
    <row r="433">
      <c r="B433" s="312" t="n"/>
      <c r="C433" s="61" t="n"/>
      <c r="D433">
        <f>B433=C433</f>
        <v/>
      </c>
      <c r="F433">
        <f>"VI-"&amp;TEXT(E433,"000000")&amp;"-2025"</f>
        <v/>
      </c>
      <c r="G433" s="13" t="n"/>
      <c r="H433">
        <f>F433=G433</f>
        <v/>
      </c>
    </row>
    <row r="434">
      <c r="B434" s="312" t="n"/>
      <c r="C434" s="61" t="n"/>
      <c r="D434">
        <f>B434=C434</f>
        <v/>
      </c>
      <c r="F434">
        <f>"VI-"&amp;TEXT(E434,"000000")&amp;"-2025"</f>
        <v/>
      </c>
      <c r="G434" s="13" t="n"/>
      <c r="H434">
        <f>F434=G434</f>
        <v/>
      </c>
    </row>
    <row r="435" ht="13.5" customHeight="1" thickBot="1">
      <c r="B435" s="336" t="n"/>
      <c r="C435" s="61" t="n"/>
      <c r="D435">
        <f>B435=C435</f>
        <v/>
      </c>
      <c r="F435">
        <f>"VI-"&amp;TEXT(E435,"000000")&amp;"-2025"</f>
        <v/>
      </c>
      <c r="G435" s="52" t="n"/>
      <c r="H435">
        <f>F435=G435</f>
        <v/>
      </c>
    </row>
    <row r="436">
      <c r="B436" s="335" t="n"/>
      <c r="C436" s="61" t="n"/>
      <c r="D436">
        <f>B436=C436</f>
        <v/>
      </c>
      <c r="F436">
        <f>"VI-"&amp;TEXT(E436,"000000")&amp;"-2025"</f>
        <v/>
      </c>
      <c r="G436" s="46" t="n"/>
      <c r="H436">
        <f>F436=G436</f>
        <v/>
      </c>
    </row>
    <row r="437">
      <c r="B437" s="312" t="n"/>
      <c r="C437" s="61" t="n"/>
      <c r="D437">
        <f>B437=C437</f>
        <v/>
      </c>
      <c r="F437">
        <f>"VI-"&amp;TEXT(E437,"000000")&amp;"-2025"</f>
        <v/>
      </c>
      <c r="G437" s="13" t="n"/>
      <c r="H437">
        <f>F437=G437</f>
        <v/>
      </c>
    </row>
    <row r="438">
      <c r="B438" s="312" t="n"/>
      <c r="C438" s="61" t="n"/>
      <c r="D438">
        <f>B438=C438</f>
        <v/>
      </c>
      <c r="F438">
        <f>"VI-"&amp;TEXT(E438,"000000")&amp;"-2025"</f>
        <v/>
      </c>
      <c r="G438" s="13" t="n"/>
      <c r="H438">
        <f>F438=G438</f>
        <v/>
      </c>
    </row>
    <row r="439">
      <c r="B439" s="312" t="n"/>
      <c r="C439" s="61" t="n"/>
      <c r="D439">
        <f>B439=C439</f>
        <v/>
      </c>
      <c r="F439">
        <f>"VI-"&amp;TEXT(E439,"000000")&amp;"-2025"</f>
        <v/>
      </c>
      <c r="G439" s="13" t="n"/>
      <c r="H439">
        <f>F439=G439</f>
        <v/>
      </c>
    </row>
    <row r="440">
      <c r="B440" s="312" t="n"/>
      <c r="C440" s="61" t="n"/>
      <c r="D440">
        <f>B440=C440</f>
        <v/>
      </c>
      <c r="F440">
        <f>"VI-"&amp;TEXT(E440,"000000")&amp;"-2025"</f>
        <v/>
      </c>
      <c r="G440" s="13" t="n"/>
      <c r="H440">
        <f>F440=G440</f>
        <v/>
      </c>
    </row>
    <row r="441">
      <c r="B441" s="312" t="n"/>
      <c r="C441" s="61" t="n"/>
      <c r="D441">
        <f>B441=C441</f>
        <v/>
      </c>
      <c r="F441">
        <f>"VI-"&amp;TEXT(E441,"000000")&amp;"-2025"</f>
        <v/>
      </c>
      <c r="G441" s="13" t="n"/>
      <c r="H441">
        <f>F441=G441</f>
        <v/>
      </c>
    </row>
    <row r="442">
      <c r="B442" s="312" t="n"/>
      <c r="C442" s="61" t="n"/>
      <c r="D442">
        <f>B442=C442</f>
        <v/>
      </c>
      <c r="F442">
        <f>"VI-"&amp;TEXT(E442,"000000")&amp;"-2025"</f>
        <v/>
      </c>
      <c r="G442" s="13" t="n"/>
      <c r="H442">
        <f>F442=G442</f>
        <v/>
      </c>
    </row>
    <row r="443">
      <c r="B443" s="312" t="n"/>
      <c r="C443" s="61" t="n"/>
      <c r="D443">
        <f>B443=C443</f>
        <v/>
      </c>
      <c r="F443">
        <f>"VI-"&amp;TEXT(E443,"000000")&amp;"-2025"</f>
        <v/>
      </c>
      <c r="G443" s="13" t="n"/>
      <c r="H443">
        <f>F443=G443</f>
        <v/>
      </c>
    </row>
    <row r="444">
      <c r="B444" s="312" t="n"/>
      <c r="C444" s="61" t="n"/>
      <c r="D444">
        <f>B444=C444</f>
        <v/>
      </c>
      <c r="F444">
        <f>"VI-"&amp;TEXT(E444,"000000")&amp;"-2025"</f>
        <v/>
      </c>
      <c r="G444" s="13" t="n"/>
      <c r="H444">
        <f>F444=G444</f>
        <v/>
      </c>
    </row>
    <row r="445">
      <c r="B445" s="312" t="n"/>
      <c r="C445" s="61" t="n"/>
      <c r="D445">
        <f>B445=C445</f>
        <v/>
      </c>
      <c r="F445">
        <f>"VI-"&amp;TEXT(E445,"000000")&amp;"-2025"</f>
        <v/>
      </c>
      <c r="G445" s="13" t="n"/>
      <c r="H445">
        <f>F445=G445</f>
        <v/>
      </c>
    </row>
    <row r="446">
      <c r="B446" s="312" t="n"/>
      <c r="C446" s="61" t="n"/>
      <c r="D446">
        <f>B446=C446</f>
        <v/>
      </c>
      <c r="F446">
        <f>"VI-"&amp;TEXT(E446,"000000")&amp;"-2025"</f>
        <v/>
      </c>
      <c r="G446" s="13" t="n"/>
      <c r="H446">
        <f>F446=G446</f>
        <v/>
      </c>
    </row>
    <row r="447">
      <c r="B447" s="312" t="n"/>
      <c r="C447" s="61" t="n"/>
      <c r="D447">
        <f>B447=C447</f>
        <v/>
      </c>
      <c r="F447">
        <f>"VI-"&amp;TEXT(E447,"000000")&amp;"-2025"</f>
        <v/>
      </c>
      <c r="G447" s="13" t="n"/>
      <c r="H447">
        <f>F447=G447</f>
        <v/>
      </c>
    </row>
    <row r="448">
      <c r="B448" s="312" t="n"/>
      <c r="C448" s="61" t="n"/>
      <c r="D448">
        <f>B448=C448</f>
        <v/>
      </c>
      <c r="F448">
        <f>"VI-"&amp;TEXT(E448,"000000")&amp;"-2025"</f>
        <v/>
      </c>
      <c r="G448" s="13" t="n"/>
      <c r="H448">
        <f>F448=G448</f>
        <v/>
      </c>
    </row>
    <row r="449">
      <c r="B449" s="312" t="n"/>
      <c r="C449" s="61" t="n"/>
      <c r="D449">
        <f>B449=C449</f>
        <v/>
      </c>
      <c r="F449">
        <f>"VI-"&amp;TEXT(E449,"000000")&amp;"-2025"</f>
        <v/>
      </c>
      <c r="G449" s="13" t="n"/>
      <c r="H449">
        <f>F449=G449</f>
        <v/>
      </c>
    </row>
    <row r="450">
      <c r="B450" s="312" t="n"/>
      <c r="C450" s="61" t="n"/>
      <c r="D450">
        <f>B450=C450</f>
        <v/>
      </c>
      <c r="F450">
        <f>"VI-"&amp;TEXT(E450,"000000")&amp;"-2025"</f>
        <v/>
      </c>
      <c r="G450" s="13" t="n"/>
      <c r="H450">
        <f>F450=G450</f>
        <v/>
      </c>
    </row>
    <row r="451" ht="13.5" customHeight="1" thickBot="1">
      <c r="B451" s="325" t="n"/>
      <c r="C451" s="61" t="n"/>
      <c r="D451">
        <f>B451=C451</f>
        <v/>
      </c>
      <c r="F451">
        <f>"VI-"&amp;TEXT(E451,"000000")&amp;"-2025"</f>
        <v/>
      </c>
      <c r="G451" s="52" t="n"/>
      <c r="H451">
        <f>F451=G451</f>
        <v/>
      </c>
    </row>
    <row r="452">
      <c r="B452" s="335" t="n"/>
      <c r="C452" s="61" t="n"/>
      <c r="D452">
        <f>B452=C452</f>
        <v/>
      </c>
      <c r="F452">
        <f>"VI-"&amp;TEXT(E452,"000000")&amp;"-2025"</f>
        <v/>
      </c>
      <c r="G452" s="46" t="n"/>
      <c r="H452">
        <f>F452=G452</f>
        <v/>
      </c>
    </row>
    <row r="453">
      <c r="B453" s="312" t="n"/>
      <c r="C453" s="61" t="n"/>
      <c r="D453">
        <f>B453=C453</f>
        <v/>
      </c>
      <c r="F453">
        <f>"VI-"&amp;TEXT(E453,"000000")&amp;"-2025"</f>
        <v/>
      </c>
      <c r="G453" s="13" t="n"/>
      <c r="H453">
        <f>F453=G453</f>
        <v/>
      </c>
    </row>
    <row r="454">
      <c r="B454" s="312" t="n"/>
      <c r="C454" s="61" t="n"/>
      <c r="D454">
        <f>B454=C454</f>
        <v/>
      </c>
      <c r="F454">
        <f>"VI-"&amp;TEXT(E454,"000000")&amp;"-2025"</f>
        <v/>
      </c>
      <c r="G454" s="13" t="n"/>
      <c r="H454">
        <f>F454=G454</f>
        <v/>
      </c>
    </row>
    <row r="455">
      <c r="B455" s="312" t="n"/>
      <c r="C455" s="61" t="n"/>
      <c r="D455">
        <f>B455=C455</f>
        <v/>
      </c>
      <c r="F455">
        <f>"VI-"&amp;TEXT(E455,"000000")&amp;"-2025"</f>
        <v/>
      </c>
      <c r="G455" s="13" t="n"/>
      <c r="H455">
        <f>F455=G455</f>
        <v/>
      </c>
    </row>
    <row r="456">
      <c r="B456" s="312" t="n"/>
      <c r="C456" s="61" t="n"/>
      <c r="D456">
        <f>B456=C456</f>
        <v/>
      </c>
      <c r="F456">
        <f>"VI-"&amp;TEXT(E456,"000000")&amp;"-2025"</f>
        <v/>
      </c>
      <c r="G456" s="13" t="n"/>
      <c r="H456">
        <f>F456=G456</f>
        <v/>
      </c>
    </row>
    <row r="457">
      <c r="B457" s="312" t="n"/>
      <c r="C457" s="61" t="n"/>
      <c r="D457">
        <f>B457=C457</f>
        <v/>
      </c>
      <c r="F457">
        <f>"VI-"&amp;TEXT(E457,"000000")&amp;"-2025"</f>
        <v/>
      </c>
      <c r="G457" s="13" t="n"/>
      <c r="H457">
        <f>F457=G457</f>
        <v/>
      </c>
    </row>
    <row r="458">
      <c r="B458" s="312" t="n"/>
      <c r="C458" s="61" t="n"/>
      <c r="D458">
        <f>B458=C458</f>
        <v/>
      </c>
      <c r="F458">
        <f>"VI-"&amp;TEXT(E458,"000000")&amp;"-2025"</f>
        <v/>
      </c>
      <c r="G458" s="13" t="n"/>
      <c r="H458">
        <f>F458=G458</f>
        <v/>
      </c>
    </row>
    <row r="459">
      <c r="B459" s="312" t="n"/>
      <c r="C459" s="61" t="n"/>
      <c r="D459">
        <f>B459=C459</f>
        <v/>
      </c>
      <c r="F459">
        <f>"VI-"&amp;TEXT(E459,"000000")&amp;"-2025"</f>
        <v/>
      </c>
      <c r="G459" s="13" t="n"/>
      <c r="H459">
        <f>F459=G459</f>
        <v/>
      </c>
    </row>
    <row r="460">
      <c r="B460" s="312" t="n"/>
      <c r="C460" s="61" t="n"/>
      <c r="D460">
        <f>B460=C460</f>
        <v/>
      </c>
      <c r="F460">
        <f>"VI-"&amp;TEXT(E460,"000000")&amp;"-2025"</f>
        <v/>
      </c>
      <c r="G460" s="13" t="n"/>
      <c r="H460">
        <f>F460=G460</f>
        <v/>
      </c>
    </row>
    <row r="461">
      <c r="B461" s="312" t="n"/>
      <c r="C461" s="61" t="n"/>
      <c r="D461">
        <f>B461=C461</f>
        <v/>
      </c>
      <c r="F461">
        <f>"VI-"&amp;TEXT(E461,"000000")&amp;"-2025"</f>
        <v/>
      </c>
      <c r="G461" s="13" t="n"/>
      <c r="H461">
        <f>F461=G461</f>
        <v/>
      </c>
    </row>
    <row r="462">
      <c r="B462" s="312" t="n"/>
      <c r="C462" s="61" t="n"/>
      <c r="D462">
        <f>B462=C462</f>
        <v/>
      </c>
      <c r="F462">
        <f>"VI-"&amp;TEXT(E462,"000000")&amp;"-2025"</f>
        <v/>
      </c>
      <c r="G462" s="13" t="n"/>
      <c r="H462">
        <f>F462=G462</f>
        <v/>
      </c>
    </row>
    <row r="463">
      <c r="B463" s="312" t="n"/>
      <c r="C463" s="61" t="n"/>
      <c r="D463">
        <f>B463=C463</f>
        <v/>
      </c>
      <c r="F463">
        <f>"VI-"&amp;TEXT(E463,"000000")&amp;"-2025"</f>
        <v/>
      </c>
      <c r="G463" s="13" t="n"/>
      <c r="H463">
        <f>F463=G463</f>
        <v/>
      </c>
    </row>
    <row r="464">
      <c r="B464" s="312" t="n"/>
      <c r="C464" s="61" t="n"/>
      <c r="D464">
        <f>B464=C464</f>
        <v/>
      </c>
      <c r="F464">
        <f>"VI-"&amp;TEXT(E464,"000000")&amp;"-2025"</f>
        <v/>
      </c>
      <c r="G464" s="13" t="n"/>
      <c r="H464">
        <f>F464=G464</f>
        <v/>
      </c>
    </row>
    <row r="465">
      <c r="B465" s="312" t="n"/>
      <c r="C465" s="61" t="n"/>
      <c r="D465">
        <f>B465=C465</f>
        <v/>
      </c>
      <c r="F465">
        <f>"VI-"&amp;TEXT(E465,"000000")&amp;"-2025"</f>
        <v/>
      </c>
      <c r="G465" s="13" t="n"/>
      <c r="H465">
        <f>F465=G465</f>
        <v/>
      </c>
    </row>
    <row r="466">
      <c r="B466" s="312" t="n"/>
      <c r="C466" s="61" t="n"/>
      <c r="D466">
        <f>B466=C466</f>
        <v/>
      </c>
      <c r="F466">
        <f>"VI-"&amp;TEXT(E466,"000000")&amp;"-2025"</f>
        <v/>
      </c>
      <c r="G466" s="13" t="n"/>
      <c r="H466">
        <f>F466=G466</f>
        <v/>
      </c>
    </row>
    <row r="467" ht="13.5" customHeight="1" thickBot="1">
      <c r="B467" s="325" t="n"/>
      <c r="C467" s="61" t="n"/>
      <c r="D467">
        <f>B467=C467</f>
        <v/>
      </c>
      <c r="F467">
        <f>"VI-"&amp;TEXT(E467,"000000")&amp;"-2025"</f>
        <v/>
      </c>
      <c r="G467" s="52" t="n"/>
      <c r="H467">
        <f>F467=G467</f>
        <v/>
      </c>
    </row>
    <row r="468">
      <c r="B468" s="335" t="n"/>
      <c r="C468" s="61" t="n"/>
      <c r="D468">
        <f>B468=C468</f>
        <v/>
      </c>
      <c r="F468">
        <f>"VI-"&amp;TEXT(E468,"000000")&amp;"-2025"</f>
        <v/>
      </c>
      <c r="G468" s="46" t="n"/>
      <c r="H468">
        <f>F468=G468</f>
        <v/>
      </c>
    </row>
    <row r="469">
      <c r="B469" s="312" t="n"/>
      <c r="C469" s="61" t="n"/>
      <c r="D469">
        <f>B469=C469</f>
        <v/>
      </c>
      <c r="F469">
        <f>"VI-"&amp;TEXT(E469,"000000")&amp;"-2025"</f>
        <v/>
      </c>
      <c r="G469" s="13" t="n"/>
      <c r="H469">
        <f>F469=G469</f>
        <v/>
      </c>
    </row>
    <row r="470">
      <c r="B470" s="312" t="n"/>
      <c r="C470" s="61" t="n"/>
      <c r="D470">
        <f>B470=C470</f>
        <v/>
      </c>
      <c r="F470">
        <f>"VI-"&amp;TEXT(E470,"000000")&amp;"-2025"</f>
        <v/>
      </c>
      <c r="G470" s="13" t="n"/>
      <c r="H470">
        <f>F470=G470</f>
        <v/>
      </c>
    </row>
    <row r="471">
      <c r="B471" s="312" t="n"/>
      <c r="C471" s="61" t="n"/>
      <c r="D471">
        <f>B471=C471</f>
        <v/>
      </c>
      <c r="F471">
        <f>"VI-"&amp;TEXT(E471,"000000")&amp;"-2025"</f>
        <v/>
      </c>
      <c r="G471" s="13" t="n"/>
      <c r="H471">
        <f>F471=G471</f>
        <v/>
      </c>
    </row>
    <row r="472">
      <c r="B472" s="334" t="n"/>
      <c r="C472" s="61" t="n"/>
      <c r="D472">
        <f>B472=C472</f>
        <v/>
      </c>
      <c r="F472">
        <f>"VI-"&amp;TEXT(E472,"000000")&amp;"-2025"</f>
        <v/>
      </c>
      <c r="G472" s="13" t="n"/>
      <c r="H472">
        <f>F472=G472</f>
        <v/>
      </c>
    </row>
    <row r="473">
      <c r="B473" s="312" t="n"/>
      <c r="C473" s="61" t="n"/>
      <c r="D473">
        <f>B473=C473</f>
        <v/>
      </c>
      <c r="F473">
        <f>"VI-"&amp;TEXT(E473,"000000")&amp;"-2025"</f>
        <v/>
      </c>
      <c r="G473" s="13" t="n"/>
      <c r="H473">
        <f>F473=G473</f>
        <v/>
      </c>
    </row>
    <row r="474">
      <c r="B474" s="312" t="n"/>
      <c r="C474" s="61" t="n"/>
      <c r="D474">
        <f>B474=C474</f>
        <v/>
      </c>
      <c r="F474">
        <f>"VI-"&amp;TEXT(E474,"000000")&amp;"-2025"</f>
        <v/>
      </c>
      <c r="G474" s="13" t="n"/>
      <c r="H474">
        <f>F474=G474</f>
        <v/>
      </c>
    </row>
    <row r="475">
      <c r="B475" s="312" t="n"/>
      <c r="C475" s="61" t="n"/>
      <c r="D475">
        <f>B475=C475</f>
        <v/>
      </c>
      <c r="F475">
        <f>"VI-"&amp;TEXT(E475,"000000")&amp;"-2025"</f>
        <v/>
      </c>
      <c r="G475" s="13" t="n"/>
      <c r="H475">
        <f>F475=G475</f>
        <v/>
      </c>
    </row>
    <row r="476">
      <c r="B476" s="312" t="n"/>
      <c r="C476" s="61" t="n"/>
      <c r="D476">
        <f>B476=C476</f>
        <v/>
      </c>
      <c r="F476">
        <f>"VI-"&amp;TEXT(E476,"000000")&amp;"-2025"</f>
        <v/>
      </c>
      <c r="G476" s="13" t="n"/>
      <c r="H476">
        <f>F476=G476</f>
        <v/>
      </c>
    </row>
    <row r="477">
      <c r="B477" s="312" t="n"/>
      <c r="C477" s="61" t="n"/>
      <c r="D477">
        <f>B477=C477</f>
        <v/>
      </c>
      <c r="F477">
        <f>"VI-"&amp;TEXT(E477,"000000")&amp;"-2025"</f>
        <v/>
      </c>
      <c r="G477" s="13" t="n"/>
      <c r="H477">
        <f>F477=G477</f>
        <v/>
      </c>
    </row>
    <row r="478">
      <c r="B478" s="312" t="n"/>
      <c r="C478" s="61" t="n"/>
      <c r="D478">
        <f>B478=C478</f>
        <v/>
      </c>
      <c r="F478">
        <f>"VI-"&amp;TEXT(E478,"000000")&amp;"-2025"</f>
        <v/>
      </c>
      <c r="G478" s="13" t="n"/>
      <c r="H478">
        <f>F478=G478</f>
        <v/>
      </c>
    </row>
    <row r="479">
      <c r="B479" s="312" t="n"/>
      <c r="C479" s="61" t="n"/>
      <c r="D479">
        <f>B479=C479</f>
        <v/>
      </c>
      <c r="F479">
        <f>"VI-"&amp;TEXT(E479,"000000")&amp;"-2025"</f>
        <v/>
      </c>
      <c r="G479" s="13" t="n"/>
      <c r="H479">
        <f>F479=G479</f>
        <v/>
      </c>
    </row>
    <row r="480">
      <c r="B480" s="312" t="n"/>
      <c r="C480" s="61" t="n"/>
      <c r="D480">
        <f>B480=C480</f>
        <v/>
      </c>
      <c r="F480">
        <f>"VI-"&amp;TEXT(E480,"000000")&amp;"-2025"</f>
        <v/>
      </c>
      <c r="G480" s="13" t="n"/>
      <c r="H480">
        <f>F480=G480</f>
        <v/>
      </c>
    </row>
    <row r="481">
      <c r="B481" s="312" t="n"/>
      <c r="C481" s="61" t="n"/>
      <c r="D481">
        <f>B481=C481</f>
        <v/>
      </c>
      <c r="F481">
        <f>"VI-"&amp;TEXT(E481,"000000")&amp;"-2025"</f>
        <v/>
      </c>
      <c r="G481" s="13" t="n"/>
      <c r="H481">
        <f>F481=G481</f>
        <v/>
      </c>
    </row>
    <row r="482">
      <c r="B482" s="312" t="n"/>
      <c r="C482" s="61" t="n"/>
      <c r="D482">
        <f>B482=C482</f>
        <v/>
      </c>
      <c r="F482">
        <f>"VI-"&amp;TEXT(E482,"000000")&amp;"-2025"</f>
        <v/>
      </c>
      <c r="G482" s="13" t="n"/>
      <c r="H482">
        <f>F482=G482</f>
        <v/>
      </c>
    </row>
    <row r="483" ht="13.5" customHeight="1" thickBot="1">
      <c r="B483" s="325" t="n"/>
      <c r="C483" s="61" t="n"/>
      <c r="D483">
        <f>B483=C483</f>
        <v/>
      </c>
      <c r="F483">
        <f>"VI-"&amp;TEXT(E483,"000000")&amp;"-2025"</f>
        <v/>
      </c>
      <c r="G483" s="52" t="n"/>
      <c r="H483">
        <f>F483=G483</f>
        <v/>
      </c>
    </row>
    <row r="484">
      <c r="B484" s="335" t="n"/>
      <c r="C484" s="61" t="n"/>
      <c r="D484">
        <f>B484=C484</f>
        <v/>
      </c>
      <c r="F484">
        <f>"VI-"&amp;TEXT(E484,"000000")&amp;"-2025"</f>
        <v/>
      </c>
      <c r="G484" s="46" t="n"/>
      <c r="H484">
        <f>F484=G484</f>
        <v/>
      </c>
    </row>
    <row r="485">
      <c r="B485" s="312" t="n"/>
      <c r="C485" s="61" t="n"/>
      <c r="D485">
        <f>B485=C485</f>
        <v/>
      </c>
      <c r="F485">
        <f>"VI-"&amp;TEXT(E485,"000000")&amp;"-2025"</f>
        <v/>
      </c>
      <c r="G485" s="13" t="n"/>
      <c r="H485">
        <f>F485=G485</f>
        <v/>
      </c>
    </row>
    <row r="486">
      <c r="B486" s="312" t="n"/>
      <c r="C486" s="61" t="n"/>
      <c r="D486">
        <f>B486=C486</f>
        <v/>
      </c>
      <c r="F486">
        <f>"VI-"&amp;TEXT(E486,"000000")&amp;"-2025"</f>
        <v/>
      </c>
      <c r="G486" s="13" t="n"/>
      <c r="H486">
        <f>F486=G486</f>
        <v/>
      </c>
    </row>
    <row r="487">
      <c r="B487" s="312" t="n"/>
      <c r="C487" s="61" t="n"/>
      <c r="D487">
        <f>B487=C487</f>
        <v/>
      </c>
      <c r="F487">
        <f>"VI-"&amp;TEXT(E487,"000000")&amp;"-2025"</f>
        <v/>
      </c>
      <c r="G487" s="13" t="n"/>
      <c r="H487">
        <f>F487=G487</f>
        <v/>
      </c>
    </row>
    <row r="488">
      <c r="B488" s="312" t="n"/>
      <c r="C488" s="61" t="n"/>
      <c r="D488">
        <f>B488=C488</f>
        <v/>
      </c>
      <c r="F488">
        <f>"VI-"&amp;TEXT(E488,"000000")&amp;"-2025"</f>
        <v/>
      </c>
      <c r="G488" s="13" t="n"/>
      <c r="H488">
        <f>F488=G488</f>
        <v/>
      </c>
    </row>
    <row r="489">
      <c r="B489" s="312" t="n"/>
      <c r="C489" s="61" t="n"/>
      <c r="D489">
        <f>B489=C489</f>
        <v/>
      </c>
      <c r="F489">
        <f>"VI-"&amp;TEXT(E489,"000000")&amp;"-2025"</f>
        <v/>
      </c>
      <c r="G489" s="13" t="n"/>
      <c r="H489">
        <f>F489=G489</f>
        <v/>
      </c>
    </row>
    <row r="490">
      <c r="B490" s="312" t="n"/>
      <c r="C490" s="61" t="n"/>
      <c r="D490">
        <f>B490=C490</f>
        <v/>
      </c>
      <c r="F490">
        <f>"VI-"&amp;TEXT(E490,"000000")&amp;"-2025"</f>
        <v/>
      </c>
      <c r="G490" s="13" t="n"/>
      <c r="H490">
        <f>F490=G490</f>
        <v/>
      </c>
    </row>
    <row r="491">
      <c r="B491" s="334" t="n"/>
      <c r="C491" s="61" t="n"/>
      <c r="D491">
        <f>B491=C491</f>
        <v/>
      </c>
      <c r="F491">
        <f>"VI-"&amp;TEXT(E491,"000000")&amp;"-2025"</f>
        <v/>
      </c>
      <c r="G491" s="13" t="n"/>
      <c r="H491">
        <f>F491=G491</f>
        <v/>
      </c>
    </row>
    <row r="492">
      <c r="B492" s="312" t="n"/>
      <c r="C492" s="61" t="n"/>
      <c r="D492">
        <f>B492=C492</f>
        <v/>
      </c>
      <c r="F492">
        <f>"VI-"&amp;TEXT(E492,"000000")&amp;"-2025"</f>
        <v/>
      </c>
      <c r="G492" s="13" t="n"/>
      <c r="H492">
        <f>F492=G492</f>
        <v/>
      </c>
    </row>
    <row r="493">
      <c r="B493" s="312" t="n"/>
      <c r="C493" s="61" t="n"/>
      <c r="D493">
        <f>B493=C493</f>
        <v/>
      </c>
      <c r="F493">
        <f>"VI-"&amp;TEXT(E493,"000000")&amp;"-2025"</f>
        <v/>
      </c>
      <c r="G493" s="13" t="n"/>
      <c r="H493">
        <f>F493=G493</f>
        <v/>
      </c>
    </row>
    <row r="494">
      <c r="B494" s="312" t="n"/>
      <c r="C494" s="61" t="n"/>
      <c r="D494">
        <f>B494=C494</f>
        <v/>
      </c>
      <c r="F494">
        <f>"VI-"&amp;TEXT(E494,"000000")&amp;"-2025"</f>
        <v/>
      </c>
      <c r="G494" s="13" t="n"/>
      <c r="H494">
        <f>F494=G494</f>
        <v/>
      </c>
    </row>
    <row r="495">
      <c r="B495" s="334" t="n"/>
      <c r="C495" s="61" t="n"/>
      <c r="D495">
        <f>B495=C495</f>
        <v/>
      </c>
      <c r="F495">
        <f>"VI-"&amp;TEXT(E495,"000000")&amp;"-2025"</f>
        <v/>
      </c>
      <c r="G495" s="13" t="n"/>
      <c r="H495">
        <f>F495=G495</f>
        <v/>
      </c>
    </row>
    <row r="496">
      <c r="B496" s="312" t="n"/>
      <c r="C496" s="61" t="n"/>
      <c r="D496">
        <f>B496=C496</f>
        <v/>
      </c>
      <c r="F496">
        <f>"VI-"&amp;TEXT(E496,"000000")&amp;"-2025"</f>
        <v/>
      </c>
      <c r="G496" s="13" t="n"/>
      <c r="H496">
        <f>F496=G496</f>
        <v/>
      </c>
    </row>
    <row r="497">
      <c r="B497" s="312" t="n"/>
      <c r="C497" s="61" t="n"/>
      <c r="D497">
        <f>B497=C497</f>
        <v/>
      </c>
      <c r="F497">
        <f>"VI-"&amp;TEXT(E497,"000000")&amp;"-2025"</f>
        <v/>
      </c>
      <c r="G497" s="13" t="n"/>
      <c r="H497">
        <f>F497=G497</f>
        <v/>
      </c>
    </row>
    <row r="498">
      <c r="B498" s="334" t="n"/>
      <c r="C498" s="61" t="n"/>
      <c r="D498">
        <f>B498=C498</f>
        <v/>
      </c>
      <c r="F498">
        <f>"VI-"&amp;TEXT(E498,"000000")&amp;"-2025"</f>
        <v/>
      </c>
      <c r="G498" s="13" t="n"/>
      <c r="H498">
        <f>F498=G498</f>
        <v/>
      </c>
    </row>
    <row r="499" ht="13.5" customHeight="1" thickBot="1">
      <c r="B499" s="325" t="n"/>
      <c r="C499" s="61" t="n"/>
      <c r="D499">
        <f>B499=C499</f>
        <v/>
      </c>
      <c r="F499">
        <f>"VI-"&amp;TEXT(E499,"000000")&amp;"-2025"</f>
        <v/>
      </c>
      <c r="G499" s="52" t="n"/>
      <c r="H499">
        <f>F499=G499</f>
        <v/>
      </c>
    </row>
    <row r="500">
      <c r="B500" s="312" t="n"/>
      <c r="C500" s="61" t="n"/>
      <c r="D500">
        <f>B500=C500</f>
        <v/>
      </c>
      <c r="F500">
        <f>"VI-"&amp;TEXT(E500,"000000")&amp;"-2025"</f>
        <v/>
      </c>
      <c r="G500" s="13" t="n"/>
      <c r="H500">
        <f>F500=G500</f>
        <v/>
      </c>
    </row>
    <row r="501">
      <c r="B501" s="312" t="n"/>
      <c r="C501" s="61" t="n"/>
      <c r="D501">
        <f>B501=C501</f>
        <v/>
      </c>
      <c r="F501">
        <f>"VI-"&amp;TEXT(E501,"000000")&amp;"-2025"</f>
        <v/>
      </c>
      <c r="G501" s="13" t="n"/>
      <c r="H501">
        <f>F501=G501</f>
        <v/>
      </c>
    </row>
    <row r="502">
      <c r="B502" s="312" t="n"/>
      <c r="C502" s="61" t="n"/>
      <c r="D502">
        <f>B502=C502</f>
        <v/>
      </c>
      <c r="F502">
        <f>"VI-"&amp;TEXT(E502,"000000")&amp;"-2025"</f>
        <v/>
      </c>
      <c r="G502" s="13" t="n"/>
      <c r="H502">
        <f>F502=G502</f>
        <v/>
      </c>
    </row>
    <row r="503">
      <c r="B503" s="312" t="n"/>
      <c r="C503" s="61" t="n"/>
      <c r="D503">
        <f>B503=C503</f>
        <v/>
      </c>
      <c r="F503">
        <f>"VI-"&amp;TEXT(E503,"000000")&amp;"-2025"</f>
        <v/>
      </c>
      <c r="G503" s="56" t="n"/>
      <c r="H503">
        <f>F503=G503</f>
        <v/>
      </c>
    </row>
    <row r="504">
      <c r="B504" s="312" t="n"/>
      <c r="C504" s="61" t="n"/>
      <c r="D504">
        <f>B504=C504</f>
        <v/>
      </c>
      <c r="F504">
        <f>"VI-"&amp;TEXT(E504,"000000")&amp;"-2025"</f>
        <v/>
      </c>
      <c r="G504" s="13" t="n"/>
      <c r="H504">
        <f>F504=G504</f>
        <v/>
      </c>
    </row>
    <row r="505">
      <c r="B505" s="312" t="n"/>
      <c r="C505" s="61" t="n"/>
      <c r="D505">
        <f>B505=C505</f>
        <v/>
      </c>
      <c r="F505">
        <f>"VI-"&amp;TEXT(E505,"000000")&amp;"-2025"</f>
        <v/>
      </c>
      <c r="G505" s="58" t="n"/>
      <c r="H505">
        <f>F505=G505</f>
        <v/>
      </c>
    </row>
    <row r="506">
      <c r="B506" s="312" t="n"/>
      <c r="C506" s="61" t="n"/>
      <c r="D506">
        <f>B506=C506</f>
        <v/>
      </c>
      <c r="F506">
        <f>"VI-"&amp;TEXT(E506,"000000")&amp;"-2025"</f>
        <v/>
      </c>
      <c r="G506" s="13" t="n"/>
      <c r="H506">
        <f>F506=G506</f>
        <v/>
      </c>
    </row>
    <row r="507">
      <c r="B507" s="312" t="n"/>
      <c r="C507" s="61" t="n"/>
      <c r="D507">
        <f>B507=C507</f>
        <v/>
      </c>
      <c r="F507">
        <f>"VI-"&amp;TEXT(E507,"000000")&amp;"-2025"</f>
        <v/>
      </c>
      <c r="G507" s="13" t="n"/>
      <c r="H507">
        <f>F507=G507</f>
        <v/>
      </c>
    </row>
    <row r="508">
      <c r="B508" s="312" t="n"/>
      <c r="C508" s="61" t="n"/>
      <c r="D508">
        <f>B508=C508</f>
        <v/>
      </c>
      <c r="F508">
        <f>"VI-"&amp;TEXT(E508,"000000")&amp;"-2025"</f>
        <v/>
      </c>
      <c r="G508" s="13" t="n"/>
      <c r="H508">
        <f>F508=G508</f>
        <v/>
      </c>
    </row>
    <row r="509">
      <c r="B509" s="312" t="n"/>
      <c r="C509" s="61" t="n"/>
      <c r="D509">
        <f>B509=C509</f>
        <v/>
      </c>
      <c r="F509">
        <f>"VI-"&amp;TEXT(E509,"000000")&amp;"-2025"</f>
        <v/>
      </c>
      <c r="G509" s="13" t="n"/>
      <c r="H509">
        <f>F509=G509</f>
        <v/>
      </c>
    </row>
    <row r="510">
      <c r="B510" s="312" t="n"/>
      <c r="C510" s="61" t="n"/>
      <c r="D510">
        <f>B510=C510</f>
        <v/>
      </c>
      <c r="F510">
        <f>"VI-"&amp;TEXT(E510,"000000")&amp;"-2025"</f>
        <v/>
      </c>
      <c r="G510" s="13" t="n"/>
      <c r="H510">
        <f>F510=G510</f>
        <v/>
      </c>
    </row>
    <row r="511">
      <c r="B511" s="312" t="n"/>
      <c r="C511" s="61" t="n"/>
      <c r="D511">
        <f>B511=C511</f>
        <v/>
      </c>
      <c r="F511">
        <f>"VI-"&amp;TEXT(E511,"000000")&amp;"-2025"</f>
        <v/>
      </c>
      <c r="G511" s="13" t="n"/>
      <c r="H511">
        <f>F511=G511</f>
        <v/>
      </c>
    </row>
    <row r="512">
      <c r="B512" s="312" t="n"/>
      <c r="C512" s="61" t="n"/>
      <c r="D512">
        <f>B512=C512</f>
        <v/>
      </c>
      <c r="F512">
        <f>"VI-"&amp;TEXT(E512,"000000")&amp;"-2025"</f>
        <v/>
      </c>
      <c r="G512" s="13" t="n"/>
      <c r="H512">
        <f>F512=G512</f>
        <v/>
      </c>
    </row>
    <row r="513">
      <c r="B513" s="312" t="n"/>
      <c r="C513" s="61" t="n"/>
      <c r="D513">
        <f>B513=C513</f>
        <v/>
      </c>
      <c r="F513">
        <f>"VI-"&amp;TEXT(E513,"000000")&amp;"-2025"</f>
        <v/>
      </c>
      <c r="G513" s="13" t="n"/>
      <c r="H513">
        <f>F513=G513</f>
        <v/>
      </c>
    </row>
    <row r="514">
      <c r="B514" s="312" t="n"/>
      <c r="C514" s="61" t="n"/>
      <c r="D514">
        <f>B514=C514</f>
        <v/>
      </c>
      <c r="F514">
        <f>"VI-"&amp;TEXT(E514,"000000")&amp;"-2025"</f>
        <v/>
      </c>
      <c r="G514" s="13" t="n"/>
      <c r="H514">
        <f>F514=G514</f>
        <v/>
      </c>
    </row>
    <row r="515" ht="13.5" customHeight="1" thickBot="1">
      <c r="B515" s="325" t="n"/>
      <c r="C515" s="61" t="n"/>
      <c r="D515">
        <f>B515=C515</f>
        <v/>
      </c>
      <c r="F515">
        <f>"VI-"&amp;TEXT(E515,"000000")&amp;"-2025"</f>
        <v/>
      </c>
      <c r="G515" s="52" t="n"/>
      <c r="H515">
        <f>F515=G515</f>
        <v/>
      </c>
    </row>
    <row r="516">
      <c r="B516" s="300" t="n"/>
      <c r="C516" s="61" t="n"/>
      <c r="D516">
        <f>B516=C516</f>
        <v/>
      </c>
      <c r="F516">
        <f>"VI-"&amp;TEXT(E516,"000000")&amp;"-2025"</f>
        <v/>
      </c>
      <c r="G516" s="58" t="n"/>
      <c r="H516">
        <f>F516=G516</f>
        <v/>
      </c>
    </row>
    <row r="517">
      <c r="B517" s="312" t="n"/>
      <c r="C517" s="61" t="n"/>
      <c r="D517">
        <f>B517=C517</f>
        <v/>
      </c>
      <c r="F517">
        <f>"VI-"&amp;TEXT(E517,"000000")&amp;"-2025"</f>
        <v/>
      </c>
      <c r="G517" s="13" t="n"/>
      <c r="H517">
        <f>F517=G517</f>
        <v/>
      </c>
    </row>
    <row r="518">
      <c r="B518" s="312" t="n"/>
      <c r="C518" s="61" t="n"/>
      <c r="D518">
        <f>B518=C518</f>
        <v/>
      </c>
      <c r="F518">
        <f>"VI-"&amp;TEXT(E518,"000000")&amp;"-2025"</f>
        <v/>
      </c>
      <c r="G518" s="13" t="n"/>
      <c r="H518">
        <f>F518=G518</f>
        <v/>
      </c>
    </row>
    <row r="519">
      <c r="B519" s="312" t="n"/>
      <c r="C519" s="61" t="n"/>
      <c r="D519">
        <f>B519=C519</f>
        <v/>
      </c>
      <c r="F519">
        <f>"VI-"&amp;TEXT(E519,"000000")&amp;"-2025"</f>
        <v/>
      </c>
      <c r="G519" s="13" t="n"/>
      <c r="H519">
        <f>F519=G519</f>
        <v/>
      </c>
    </row>
    <row r="520">
      <c r="B520" s="312" t="n"/>
      <c r="C520" s="61" t="n"/>
      <c r="D520">
        <f>B520=C520</f>
        <v/>
      </c>
      <c r="F520">
        <f>"VI-"&amp;TEXT(E520,"000000")&amp;"-2025"</f>
        <v/>
      </c>
      <c r="G520" s="13" t="n"/>
      <c r="H520">
        <f>F520=G520</f>
        <v/>
      </c>
    </row>
    <row r="521">
      <c r="B521" s="312" t="n"/>
      <c r="C521" s="61" t="n"/>
      <c r="D521">
        <f>B521=C521</f>
        <v/>
      </c>
      <c r="F521">
        <f>"VI-"&amp;TEXT(E521,"000000")&amp;"-2025"</f>
        <v/>
      </c>
      <c r="G521" s="13" t="n"/>
      <c r="H521">
        <f>F521=G521</f>
        <v/>
      </c>
    </row>
    <row r="522">
      <c r="B522" s="312" t="n"/>
      <c r="C522" s="61" t="n"/>
      <c r="D522">
        <f>B522=C522</f>
        <v/>
      </c>
      <c r="F522">
        <f>"VI-"&amp;TEXT(E522,"000000")&amp;"-2025"</f>
        <v/>
      </c>
      <c r="G522" s="13" t="n"/>
      <c r="H522">
        <f>F522=G522</f>
        <v/>
      </c>
    </row>
    <row r="523">
      <c r="B523" s="312" t="n"/>
      <c r="C523" s="61" t="n"/>
      <c r="D523">
        <f>B523=C523</f>
        <v/>
      </c>
      <c r="F523">
        <f>"VI-"&amp;TEXT(E523,"000000")&amp;"-2025"</f>
        <v/>
      </c>
      <c r="G523" s="13" t="n"/>
      <c r="H523">
        <f>F523=G523</f>
        <v/>
      </c>
    </row>
    <row r="524">
      <c r="B524" s="312" t="n"/>
      <c r="C524" s="61" t="n"/>
      <c r="D524">
        <f>B524=C524</f>
        <v/>
      </c>
      <c r="F524">
        <f>"VI-"&amp;TEXT(E524,"000000")&amp;"-2025"</f>
        <v/>
      </c>
      <c r="G524" s="13" t="n"/>
      <c r="H524">
        <f>F524=G524</f>
        <v/>
      </c>
    </row>
    <row r="525">
      <c r="B525" s="312" t="n"/>
      <c r="C525" s="61" t="n"/>
      <c r="D525">
        <f>B525=C525</f>
        <v/>
      </c>
      <c r="F525">
        <f>"VI-"&amp;TEXT(E525,"000000")&amp;"-2025"</f>
        <v/>
      </c>
      <c r="G525" s="13" t="n"/>
      <c r="H525">
        <f>F525=G525</f>
        <v/>
      </c>
    </row>
    <row r="526">
      <c r="B526" s="334" t="n"/>
      <c r="C526" s="61" t="n"/>
      <c r="D526">
        <f>B526=C526</f>
        <v/>
      </c>
      <c r="F526">
        <f>"VI-"&amp;TEXT(E526,"000000")&amp;"-2025"</f>
        <v/>
      </c>
      <c r="G526" s="13" t="n"/>
      <c r="H526">
        <f>F526=G526</f>
        <v/>
      </c>
    </row>
    <row r="527">
      <c r="B527" s="312" t="n"/>
      <c r="C527" s="61" t="n"/>
      <c r="D527">
        <f>B527=C527</f>
        <v/>
      </c>
      <c r="F527">
        <f>"VI-"&amp;TEXT(E527,"000000")&amp;"-2025"</f>
        <v/>
      </c>
      <c r="G527" s="13" t="n"/>
      <c r="H527">
        <f>F527=G527</f>
        <v/>
      </c>
    </row>
    <row r="528">
      <c r="B528" s="312" t="n"/>
      <c r="C528" s="61" t="n"/>
      <c r="D528">
        <f>B528=C528</f>
        <v/>
      </c>
      <c r="F528">
        <f>"VI-"&amp;TEXT(E528,"000000")&amp;"-2025"</f>
        <v/>
      </c>
      <c r="G528" s="13" t="n"/>
      <c r="H528">
        <f>F528=G528</f>
        <v/>
      </c>
    </row>
    <row r="529">
      <c r="B529" s="312" t="n"/>
      <c r="C529" s="61" t="n"/>
      <c r="D529">
        <f>B529=C529</f>
        <v/>
      </c>
      <c r="F529">
        <f>"VI-"&amp;TEXT(E529,"000000")&amp;"-2025"</f>
        <v/>
      </c>
      <c r="G529" s="13" t="n"/>
      <c r="H529">
        <f>F529=G529</f>
        <v/>
      </c>
    </row>
    <row r="530">
      <c r="B530" s="312" t="n"/>
      <c r="C530" s="61" t="n"/>
      <c r="D530">
        <f>B530=C530</f>
        <v/>
      </c>
      <c r="F530">
        <f>"VI-"&amp;TEXT(E530,"000000")&amp;"-2025"</f>
        <v/>
      </c>
      <c r="G530" s="13" t="n"/>
      <c r="H530">
        <f>F530=G530</f>
        <v/>
      </c>
    </row>
    <row r="531" ht="13.5" customHeight="1" thickBot="1">
      <c r="B531" s="325" t="n"/>
      <c r="C531" s="61" t="n"/>
      <c r="D531">
        <f>B531=C531</f>
        <v/>
      </c>
      <c r="F531">
        <f>"VI-"&amp;TEXT(E531,"000000")&amp;"-2025"</f>
        <v/>
      </c>
      <c r="G531" s="52" t="n"/>
      <c r="H531">
        <f>F531=G531</f>
        <v/>
      </c>
    </row>
    <row r="532">
      <c r="B532" s="300" t="n"/>
      <c r="C532" s="61" t="n"/>
      <c r="D532">
        <f>B532=C532</f>
        <v/>
      </c>
      <c r="F532">
        <f>"VI-"&amp;TEXT(E532,"000000")&amp;"-2025"</f>
        <v/>
      </c>
      <c r="G532" s="58" t="n"/>
      <c r="H532">
        <f>F532=G532</f>
        <v/>
      </c>
    </row>
    <row r="533">
      <c r="B533" s="312" t="n"/>
      <c r="C533" s="61" t="n"/>
      <c r="D533">
        <f>B533=C533</f>
        <v/>
      </c>
      <c r="F533">
        <f>"VI-"&amp;TEXT(E533,"000000")&amp;"-2025"</f>
        <v/>
      </c>
      <c r="G533" s="13" t="n"/>
      <c r="H533">
        <f>F533=G533</f>
        <v/>
      </c>
    </row>
    <row r="534">
      <c r="B534" s="312" t="n"/>
      <c r="C534" s="61" t="n"/>
      <c r="D534">
        <f>B534=C534</f>
        <v/>
      </c>
      <c r="F534">
        <f>"VI-"&amp;TEXT(E534,"000000")&amp;"-2025"</f>
        <v/>
      </c>
      <c r="G534" s="13" t="n"/>
      <c r="H534">
        <f>F534=G534</f>
        <v/>
      </c>
    </row>
    <row r="535">
      <c r="B535" s="312" t="n"/>
      <c r="C535" s="61" t="n"/>
      <c r="D535">
        <f>B535=C535</f>
        <v/>
      </c>
      <c r="F535">
        <f>"VI-"&amp;TEXT(E535,"000000")&amp;"-2025"</f>
        <v/>
      </c>
      <c r="G535" s="13" t="n"/>
      <c r="H535">
        <f>F535=G535</f>
        <v/>
      </c>
    </row>
    <row r="536">
      <c r="B536" s="334" t="n"/>
      <c r="C536" s="61" t="n"/>
      <c r="D536">
        <f>B536=C536</f>
        <v/>
      </c>
      <c r="F536">
        <f>"VI-"&amp;TEXT(E536,"000000")&amp;"-2025"</f>
        <v/>
      </c>
      <c r="G536" s="13" t="n"/>
      <c r="H536">
        <f>F536=G536</f>
        <v/>
      </c>
    </row>
    <row r="537">
      <c r="B537" s="334" t="n"/>
      <c r="C537" s="61" t="n"/>
      <c r="D537">
        <f>B537=C537</f>
        <v/>
      </c>
      <c r="F537">
        <f>"VI-"&amp;TEXT(E537,"000000")&amp;"-2025"</f>
        <v/>
      </c>
      <c r="G537" s="13" t="n"/>
      <c r="H537">
        <f>F537=G537</f>
        <v/>
      </c>
    </row>
    <row r="538">
      <c r="B538" s="334" t="n"/>
      <c r="C538" s="61" t="n"/>
      <c r="D538">
        <f>B538=C538</f>
        <v/>
      </c>
      <c r="F538">
        <f>"VI-"&amp;TEXT(E538,"000000")&amp;"-2025"</f>
        <v/>
      </c>
      <c r="G538" s="13" t="n"/>
      <c r="H538">
        <f>F538=G538</f>
        <v/>
      </c>
    </row>
    <row r="539">
      <c r="B539" s="312" t="n"/>
      <c r="C539" s="61" t="n"/>
      <c r="D539">
        <f>B539=C539</f>
        <v/>
      </c>
      <c r="F539">
        <f>"VI-"&amp;TEXT(E539,"000000")&amp;"-2025"</f>
        <v/>
      </c>
      <c r="G539" s="13" t="n"/>
      <c r="H539">
        <f>F539=G539</f>
        <v/>
      </c>
    </row>
    <row r="540">
      <c r="B540" s="312" t="n"/>
      <c r="C540" s="61" t="n"/>
      <c r="D540">
        <f>B540=C540</f>
        <v/>
      </c>
      <c r="F540">
        <f>"VI-"&amp;TEXT(E540,"000000")&amp;"-2025"</f>
        <v/>
      </c>
      <c r="G540" s="13" t="n"/>
      <c r="H540">
        <f>F540=G540</f>
        <v/>
      </c>
    </row>
    <row r="541">
      <c r="B541" s="312" t="n"/>
      <c r="C541" s="61" t="n"/>
      <c r="D541">
        <f>B541=C541</f>
        <v/>
      </c>
      <c r="F541">
        <f>"VI-"&amp;TEXT(E541,"000000")&amp;"-2025"</f>
        <v/>
      </c>
      <c r="G541" s="13" t="n"/>
      <c r="H541">
        <f>F541=G541</f>
        <v/>
      </c>
    </row>
    <row r="542">
      <c r="B542" s="312" t="n"/>
      <c r="C542" s="61" t="n"/>
      <c r="D542">
        <f>B542=C542</f>
        <v/>
      </c>
      <c r="F542">
        <f>"VI-"&amp;TEXT(E542,"000000")&amp;"-2025"</f>
        <v/>
      </c>
      <c r="G542" s="13" t="n"/>
      <c r="H542">
        <f>F542=G542</f>
        <v/>
      </c>
    </row>
    <row r="543" ht="13.5" customHeight="1" thickBot="1">
      <c r="B543" s="336" t="n"/>
      <c r="C543" s="61" t="n"/>
      <c r="D543">
        <f>B543=C543</f>
        <v/>
      </c>
      <c r="F543">
        <f>"VI-"&amp;TEXT(E543,"000000")&amp;"-2025"</f>
        <v/>
      </c>
      <c r="G543" s="52" t="n"/>
      <c r="H543">
        <f>F543=G543</f>
        <v/>
      </c>
    </row>
    <row r="544">
      <c r="B544" s="335" t="n"/>
      <c r="C544" s="61" t="n"/>
      <c r="D544">
        <f>B544=C544</f>
        <v/>
      </c>
      <c r="F544">
        <f>"VI-"&amp;TEXT(E544,"000000")&amp;"-2025"</f>
        <v/>
      </c>
      <c r="G544" s="46" t="n"/>
      <c r="H544">
        <f>F544=G544</f>
        <v/>
      </c>
    </row>
    <row r="545">
      <c r="B545" s="300" t="n"/>
      <c r="C545" s="61" t="n"/>
      <c r="D545">
        <f>B545=C545</f>
        <v/>
      </c>
      <c r="F545">
        <f>"VI-"&amp;TEXT(E545,"000000")&amp;"-2025"</f>
        <v/>
      </c>
      <c r="G545" s="13" t="n"/>
      <c r="H545">
        <f>F545=G545</f>
        <v/>
      </c>
    </row>
    <row r="546">
      <c r="B546" s="300" t="n"/>
      <c r="C546" s="61" t="n"/>
      <c r="D546">
        <f>B546=C546</f>
        <v/>
      </c>
      <c r="F546">
        <f>"VI-"&amp;TEXT(E546,"000000")&amp;"-2025"</f>
        <v/>
      </c>
      <c r="G546" s="13" t="n"/>
      <c r="H546">
        <f>F546=G546</f>
        <v/>
      </c>
    </row>
    <row r="547">
      <c r="B547" s="300" t="n"/>
      <c r="C547" s="61" t="n"/>
      <c r="D547">
        <f>B547=C547</f>
        <v/>
      </c>
      <c r="F547">
        <f>"VI-"&amp;TEXT(E547,"000000")&amp;"-2025"</f>
        <v/>
      </c>
      <c r="G547" s="13" t="n"/>
      <c r="H547">
        <f>F547=G547</f>
        <v/>
      </c>
    </row>
    <row r="548">
      <c r="B548" s="300" t="n"/>
      <c r="C548" s="61" t="n"/>
      <c r="D548">
        <f>B548=C548</f>
        <v/>
      </c>
      <c r="F548">
        <f>"VI-"&amp;TEXT(E548,"000000")&amp;"-2025"</f>
        <v/>
      </c>
      <c r="G548" s="13" t="n"/>
      <c r="H548">
        <f>F548=G548</f>
        <v/>
      </c>
    </row>
    <row r="549">
      <c r="B549" s="300" t="n"/>
      <c r="C549" s="61" t="n"/>
      <c r="D549">
        <f>B549=C549</f>
        <v/>
      </c>
      <c r="F549">
        <f>"VI-"&amp;TEXT(E549,"000000")&amp;"-2025"</f>
        <v/>
      </c>
      <c r="G549" s="13" t="n"/>
      <c r="H549">
        <f>F549=G549</f>
        <v/>
      </c>
    </row>
    <row r="550">
      <c r="B550" s="300" t="n"/>
      <c r="C550" s="61" t="n"/>
      <c r="D550">
        <f>B550=C550</f>
        <v/>
      </c>
      <c r="F550">
        <f>"VI-"&amp;TEXT(E550,"000000")&amp;"-2025"</f>
        <v/>
      </c>
      <c r="G550" s="13" t="n"/>
      <c r="H550">
        <f>F550=G550</f>
        <v/>
      </c>
    </row>
    <row r="551">
      <c r="B551" s="300" t="n"/>
      <c r="C551" s="61" t="n"/>
      <c r="D551">
        <f>B551=C551</f>
        <v/>
      </c>
      <c r="F551">
        <f>"VI-"&amp;TEXT(E551,"000000")&amp;"-2025"</f>
        <v/>
      </c>
      <c r="G551" s="13" t="n"/>
      <c r="H551">
        <f>F551=G551</f>
        <v/>
      </c>
    </row>
    <row r="552">
      <c r="B552" s="300" t="n"/>
      <c r="C552" s="61" t="n"/>
      <c r="D552">
        <f>B552=C552</f>
        <v/>
      </c>
      <c r="F552">
        <f>"VI-"&amp;TEXT(E552,"000000")&amp;"-2025"</f>
        <v/>
      </c>
      <c r="G552" s="13" t="n"/>
      <c r="H552">
        <f>F552=G552</f>
        <v/>
      </c>
    </row>
    <row r="553">
      <c r="B553" s="300" t="n"/>
      <c r="C553" s="61" t="n"/>
      <c r="D553">
        <f>B553=C553</f>
        <v/>
      </c>
      <c r="F553">
        <f>"VI-"&amp;TEXT(E553,"000000")&amp;"-2025"</f>
        <v/>
      </c>
      <c r="G553" s="13" t="n"/>
      <c r="H553">
        <f>F553=G553</f>
        <v/>
      </c>
    </row>
    <row r="554">
      <c r="B554" s="300" t="n"/>
      <c r="C554" s="61" t="n"/>
      <c r="D554">
        <f>B554=C554</f>
        <v/>
      </c>
      <c r="F554">
        <f>"VI-"&amp;TEXT(E554,"000000")&amp;"-2025"</f>
        <v/>
      </c>
      <c r="G554" s="13" t="n"/>
      <c r="H554">
        <f>F554=G554</f>
        <v/>
      </c>
    </row>
    <row r="555">
      <c r="B555" s="300" t="n"/>
      <c r="C555" s="61" t="n"/>
      <c r="D555">
        <f>B555=C555</f>
        <v/>
      </c>
      <c r="F555">
        <f>"VI-"&amp;TEXT(E555,"000000")&amp;"-2025"</f>
        <v/>
      </c>
      <c r="G555" s="13" t="n"/>
      <c r="H555">
        <f>F555=G555</f>
        <v/>
      </c>
    </row>
    <row r="556">
      <c r="B556" s="300" t="n"/>
      <c r="C556" s="61" t="n"/>
      <c r="D556">
        <f>B556=C556</f>
        <v/>
      </c>
      <c r="F556">
        <f>"VI-"&amp;TEXT(E556,"000000")&amp;"-2025"</f>
        <v/>
      </c>
      <c r="G556" s="13" t="n"/>
      <c r="H556">
        <f>F556=G556</f>
        <v/>
      </c>
    </row>
    <row r="557">
      <c r="B557" s="300" t="n"/>
      <c r="C557" s="61" t="n"/>
      <c r="D557">
        <f>B557=C557</f>
        <v/>
      </c>
      <c r="F557">
        <f>"VI-"&amp;TEXT(E557,"000000")&amp;"-2025"</f>
        <v/>
      </c>
      <c r="G557" s="13" t="n"/>
      <c r="H557">
        <f>F557=G557</f>
        <v/>
      </c>
    </row>
    <row r="558" ht="13.5" customHeight="1" thickBot="1">
      <c r="B558" s="337" t="n"/>
      <c r="C558" s="61" t="n"/>
      <c r="D558">
        <f>B558=C558</f>
        <v/>
      </c>
      <c r="F558">
        <f>"VI-"&amp;TEXT(E558,"000000")&amp;"-2025"</f>
        <v/>
      </c>
      <c r="G558" s="52" t="n"/>
      <c r="H558">
        <f>F558=G558</f>
        <v/>
      </c>
    </row>
    <row r="559">
      <c r="B559" s="335" t="n"/>
      <c r="C559" s="61" t="n"/>
      <c r="D559">
        <f>B559=C559</f>
        <v/>
      </c>
      <c r="F559">
        <f>"VI-"&amp;TEXT(E559,"000000")&amp;"-2025"</f>
        <v/>
      </c>
      <c r="G559" s="46" t="n"/>
      <c r="H559">
        <f>F559=G559</f>
        <v/>
      </c>
    </row>
    <row r="560">
      <c r="B560" s="300" t="n"/>
      <c r="C560" s="61" t="n"/>
      <c r="D560">
        <f>B560=C560</f>
        <v/>
      </c>
      <c r="F560">
        <f>"VI-"&amp;TEXT(E560,"000000")&amp;"-2025"</f>
        <v/>
      </c>
      <c r="G560" s="13" t="n"/>
      <c r="H560">
        <f>F560=G560</f>
        <v/>
      </c>
    </row>
    <row r="561">
      <c r="B561" s="300" t="n"/>
      <c r="C561" s="61" t="n"/>
      <c r="D561">
        <f>B561=C561</f>
        <v/>
      </c>
      <c r="F561">
        <f>"VI-"&amp;TEXT(E561,"000000")&amp;"-2025"</f>
        <v/>
      </c>
      <c r="G561" s="13" t="n"/>
      <c r="H561">
        <f>F561=G561</f>
        <v/>
      </c>
    </row>
    <row r="562">
      <c r="B562" s="300" t="n"/>
      <c r="C562" s="61" t="n"/>
      <c r="D562">
        <f>B562=C562</f>
        <v/>
      </c>
      <c r="F562">
        <f>"VI-"&amp;TEXT(E562,"000000")&amp;"-2025"</f>
        <v/>
      </c>
      <c r="G562" s="13" t="n"/>
      <c r="H562">
        <f>F562=G562</f>
        <v/>
      </c>
    </row>
    <row r="563">
      <c r="B563" s="300" t="n"/>
      <c r="C563" s="61" t="n"/>
      <c r="D563">
        <f>B563=C563</f>
        <v/>
      </c>
      <c r="F563">
        <f>"VI-"&amp;TEXT(E563,"000000")&amp;"-2025"</f>
        <v/>
      </c>
      <c r="G563" s="13" t="n"/>
      <c r="H563">
        <f>F563=G563</f>
        <v/>
      </c>
    </row>
    <row r="564">
      <c r="B564" s="300" t="n"/>
      <c r="C564" s="61" t="n"/>
      <c r="D564">
        <f>B564=C564</f>
        <v/>
      </c>
      <c r="F564">
        <f>"VI-"&amp;TEXT(E564,"000000")&amp;"-2025"</f>
        <v/>
      </c>
      <c r="G564" s="13" t="n"/>
      <c r="H564">
        <f>F564=G564</f>
        <v/>
      </c>
    </row>
    <row r="565">
      <c r="B565" s="300" t="n"/>
      <c r="C565" s="61" t="n"/>
      <c r="D565">
        <f>B565=C565</f>
        <v/>
      </c>
      <c r="F565">
        <f>"VI-"&amp;TEXT(E565,"000000")&amp;"-2025"</f>
        <v/>
      </c>
      <c r="G565" s="13" t="n"/>
      <c r="H565">
        <f>F565=G565</f>
        <v/>
      </c>
    </row>
    <row r="566">
      <c r="B566" s="300" t="n"/>
      <c r="C566" s="61" t="n"/>
      <c r="D566">
        <f>B566=C566</f>
        <v/>
      </c>
      <c r="F566">
        <f>"VI-"&amp;TEXT(E566,"000000")&amp;"-2025"</f>
        <v/>
      </c>
      <c r="G566" s="13" t="n"/>
      <c r="H566">
        <f>F566=G566</f>
        <v/>
      </c>
    </row>
    <row r="567">
      <c r="B567" s="300" t="n"/>
      <c r="C567" s="61" t="n"/>
      <c r="D567">
        <f>B567=C567</f>
        <v/>
      </c>
      <c r="F567">
        <f>"VI-"&amp;TEXT(E567,"000000")&amp;"-2025"</f>
        <v/>
      </c>
      <c r="G567" s="13" t="n"/>
      <c r="H567">
        <f>F567=G567</f>
        <v/>
      </c>
    </row>
    <row r="568">
      <c r="B568" s="300" t="n"/>
      <c r="C568" s="61" t="n"/>
      <c r="D568">
        <f>B568=C568</f>
        <v/>
      </c>
      <c r="F568">
        <f>"VI-"&amp;TEXT(E568,"000000")&amp;"-2025"</f>
        <v/>
      </c>
      <c r="G568" s="13" t="n"/>
      <c r="H568">
        <f>F568=G568</f>
        <v/>
      </c>
    </row>
    <row r="569">
      <c r="B569" s="300" t="n"/>
      <c r="C569" s="61" t="n"/>
      <c r="D569">
        <f>B569=C569</f>
        <v/>
      </c>
      <c r="F569">
        <f>"VI-"&amp;TEXT(E569,"000000")&amp;"-2025"</f>
        <v/>
      </c>
      <c r="G569" s="13" t="n"/>
      <c r="H569">
        <f>F569=G569</f>
        <v/>
      </c>
    </row>
    <row r="570">
      <c r="B570" s="300" t="n"/>
      <c r="C570" s="61" t="n"/>
      <c r="D570">
        <f>B570=C570</f>
        <v/>
      </c>
      <c r="F570">
        <f>"VI-"&amp;TEXT(E570,"000000")&amp;"-2025"</f>
        <v/>
      </c>
      <c r="G570" s="13" t="n"/>
      <c r="H570">
        <f>F570=G570</f>
        <v/>
      </c>
    </row>
    <row r="571">
      <c r="B571" s="300" t="n"/>
      <c r="C571" s="61" t="n"/>
      <c r="D571">
        <f>B571=C571</f>
        <v/>
      </c>
      <c r="F571">
        <f>"VI-"&amp;TEXT(E571,"000000")&amp;"-2025"</f>
        <v/>
      </c>
      <c r="G571" s="13" t="n"/>
      <c r="H571">
        <f>F571=G571</f>
        <v/>
      </c>
    </row>
    <row r="572">
      <c r="B572" s="300" t="n"/>
      <c r="C572" s="61" t="n"/>
      <c r="D572">
        <f>B572=C572</f>
        <v/>
      </c>
      <c r="F572">
        <f>"VI-"&amp;TEXT(E572,"000000")&amp;"-2025"</f>
        <v/>
      </c>
      <c r="G572" s="13" t="n"/>
      <c r="H572">
        <f>F572=G572</f>
        <v/>
      </c>
    </row>
    <row r="573" ht="13.5" customHeight="1" thickBot="1">
      <c r="B573" s="337" t="n"/>
      <c r="C573" s="61" t="n"/>
      <c r="D573">
        <f>B573=C573</f>
        <v/>
      </c>
      <c r="F573">
        <f>"VI-"&amp;TEXT(E573,"000000")&amp;"-2025"</f>
        <v/>
      </c>
      <c r="G573" s="52" t="n"/>
      <c r="H573">
        <f>F573=G573</f>
        <v/>
      </c>
    </row>
    <row r="574">
      <c r="B574" s="335" t="n"/>
      <c r="C574" s="61" t="n"/>
      <c r="D574">
        <f>B574=C574</f>
        <v/>
      </c>
      <c r="F574">
        <f>"VI-"&amp;TEXT(E574,"000000")&amp;"-2025"</f>
        <v/>
      </c>
      <c r="G574" s="46" t="n"/>
      <c r="H574">
        <f>F574=G574</f>
        <v/>
      </c>
    </row>
    <row r="575">
      <c r="B575" s="300" t="n"/>
      <c r="C575" s="61" t="n"/>
      <c r="D575">
        <f>B575=C575</f>
        <v/>
      </c>
      <c r="F575">
        <f>"VI-"&amp;TEXT(E575,"000000")&amp;"-2025"</f>
        <v/>
      </c>
      <c r="G575" s="13" t="n"/>
      <c r="H575">
        <f>F575=G575</f>
        <v/>
      </c>
    </row>
    <row r="576">
      <c r="B576" s="300" t="n"/>
      <c r="C576" s="61" t="n"/>
      <c r="D576">
        <f>B576=C576</f>
        <v/>
      </c>
      <c r="F576">
        <f>"VI-"&amp;TEXT(E576,"000000")&amp;"-2025"</f>
        <v/>
      </c>
      <c r="G576" s="13" t="n"/>
      <c r="H576">
        <f>F576=G576</f>
        <v/>
      </c>
    </row>
    <row r="577">
      <c r="B577" s="300" t="n"/>
      <c r="C577" s="61" t="n"/>
      <c r="D577">
        <f>B577=C577</f>
        <v/>
      </c>
      <c r="F577">
        <f>"VI-"&amp;TEXT(E577,"000000")&amp;"-2025"</f>
        <v/>
      </c>
      <c r="G577" s="13" t="n"/>
      <c r="H577">
        <f>F577=G577</f>
        <v/>
      </c>
    </row>
    <row r="578">
      <c r="B578" s="300" t="n"/>
      <c r="C578" s="61" t="n"/>
      <c r="D578">
        <f>B578=C578</f>
        <v/>
      </c>
      <c r="F578">
        <f>"VI-"&amp;TEXT(E578,"000000")&amp;"-2025"</f>
        <v/>
      </c>
      <c r="G578" s="13" t="n"/>
      <c r="H578">
        <f>F578=G578</f>
        <v/>
      </c>
    </row>
    <row r="579">
      <c r="B579" s="300" t="n"/>
      <c r="C579" s="61" t="n"/>
      <c r="D579">
        <f>B579=C579</f>
        <v/>
      </c>
      <c r="F579">
        <f>"VI-"&amp;TEXT(E579,"000000")&amp;"-2025"</f>
        <v/>
      </c>
      <c r="G579" s="13" t="n"/>
      <c r="H579">
        <f>F579=G579</f>
        <v/>
      </c>
    </row>
    <row r="580">
      <c r="B580" s="300" t="n"/>
      <c r="C580" s="61" t="n"/>
      <c r="D580">
        <f>B580=C580</f>
        <v/>
      </c>
      <c r="F580">
        <f>"VI-"&amp;TEXT(E580,"000000")&amp;"-2025"</f>
        <v/>
      </c>
      <c r="G580" s="13" t="n"/>
      <c r="H580">
        <f>F580=G580</f>
        <v/>
      </c>
    </row>
    <row r="581">
      <c r="B581" s="300" t="n"/>
      <c r="C581" s="61" t="n"/>
      <c r="D581">
        <f>B581=C581</f>
        <v/>
      </c>
      <c r="F581">
        <f>"VI-"&amp;TEXT(E581,"000000")&amp;"-2025"</f>
        <v/>
      </c>
      <c r="G581" s="13" t="n"/>
      <c r="H581">
        <f>F581=G581</f>
        <v/>
      </c>
    </row>
    <row r="582">
      <c r="B582" s="300" t="n"/>
      <c r="C582" s="61" t="n"/>
      <c r="D582">
        <f>B582=C582</f>
        <v/>
      </c>
      <c r="F582">
        <f>"VI-"&amp;TEXT(E582,"000000")&amp;"-2025"</f>
        <v/>
      </c>
      <c r="G582" s="13" t="n"/>
      <c r="H582">
        <f>F582=G582</f>
        <v/>
      </c>
    </row>
    <row r="583">
      <c r="B583" s="300" t="n"/>
      <c r="C583" s="61" t="n"/>
      <c r="D583">
        <f>B583=C583</f>
        <v/>
      </c>
      <c r="F583">
        <f>"VI-"&amp;TEXT(E583,"000000")&amp;"-2025"</f>
        <v/>
      </c>
      <c r="G583" s="13" t="n"/>
      <c r="H583">
        <f>F583=G583</f>
        <v/>
      </c>
    </row>
    <row r="584">
      <c r="B584" s="300" t="n"/>
      <c r="C584" s="61" t="n"/>
      <c r="D584">
        <f>B584=C584</f>
        <v/>
      </c>
      <c r="F584">
        <f>"VI-"&amp;TEXT(E584,"000000")&amp;"-2025"</f>
        <v/>
      </c>
      <c r="G584" s="13" t="n"/>
      <c r="H584">
        <f>F584=G584</f>
        <v/>
      </c>
    </row>
    <row r="585">
      <c r="B585" s="300" t="n"/>
      <c r="C585" s="61" t="n"/>
      <c r="D585">
        <f>B585=C585</f>
        <v/>
      </c>
      <c r="F585">
        <f>"VI-"&amp;TEXT(E585,"000000")&amp;"-2025"</f>
        <v/>
      </c>
      <c r="G585" s="13" t="n"/>
      <c r="H585">
        <f>F585=G585</f>
        <v/>
      </c>
    </row>
    <row r="586">
      <c r="B586" s="300" t="n"/>
      <c r="C586" s="61" t="n"/>
      <c r="D586">
        <f>B586=C586</f>
        <v/>
      </c>
      <c r="F586">
        <f>"VI-"&amp;TEXT(E586,"000000")&amp;"-2025"</f>
        <v/>
      </c>
      <c r="G586" s="13" t="n"/>
      <c r="H586">
        <f>F586=G586</f>
        <v/>
      </c>
    </row>
    <row r="587">
      <c r="B587" s="300" t="n"/>
      <c r="C587" s="61" t="n"/>
      <c r="D587">
        <f>B587=C587</f>
        <v/>
      </c>
      <c r="F587">
        <f>"VI-"&amp;TEXT(E587,"000000")&amp;"-2025"</f>
        <v/>
      </c>
      <c r="G587" s="13" t="n"/>
      <c r="H587">
        <f>F587=G587</f>
        <v/>
      </c>
    </row>
    <row r="588" ht="13.5" customHeight="1" thickBot="1">
      <c r="B588" s="337" t="n"/>
      <c r="C588" s="61" t="n"/>
      <c r="D588">
        <f>B588=C588</f>
        <v/>
      </c>
      <c r="F588">
        <f>"VI-"&amp;TEXT(E588,"000000")&amp;"-2025"</f>
        <v/>
      </c>
      <c r="G588" s="52" t="n"/>
      <c r="H588">
        <f>F588=G588</f>
        <v/>
      </c>
    </row>
    <row r="589">
      <c r="B589" s="335" t="n"/>
      <c r="C589" s="61" t="n"/>
      <c r="D589">
        <f>B589=C589</f>
        <v/>
      </c>
      <c r="F589">
        <f>"VI-"&amp;TEXT(E589,"000000")&amp;"-2025"</f>
        <v/>
      </c>
      <c r="G589" s="46" t="n"/>
      <c r="H589">
        <f>F589=G589</f>
        <v/>
      </c>
    </row>
    <row r="590">
      <c r="B590" s="300" t="n"/>
      <c r="C590" s="61" t="n"/>
      <c r="D590">
        <f>B590=C590</f>
        <v/>
      </c>
      <c r="F590">
        <f>"VI-"&amp;TEXT(E590,"000000")&amp;"-2025"</f>
        <v/>
      </c>
      <c r="G590" s="13" t="n"/>
      <c r="H590">
        <f>F590=G590</f>
        <v/>
      </c>
    </row>
    <row r="591">
      <c r="B591" s="300" t="n"/>
      <c r="C591" s="61" t="n"/>
      <c r="D591">
        <f>B591=C591</f>
        <v/>
      </c>
      <c r="F591">
        <f>"VI-"&amp;TEXT(E591,"000000")&amp;"-2025"</f>
        <v/>
      </c>
      <c r="G591" s="13" t="n"/>
      <c r="H591">
        <f>F591=G591</f>
        <v/>
      </c>
    </row>
    <row r="592">
      <c r="B592" s="300" t="n"/>
      <c r="C592" s="61" t="n"/>
      <c r="D592">
        <f>B592=C592</f>
        <v/>
      </c>
      <c r="F592">
        <f>"VI-"&amp;TEXT(E592,"000000")&amp;"-2025"</f>
        <v/>
      </c>
      <c r="G592" s="13" t="n"/>
      <c r="H592">
        <f>F592=G592</f>
        <v/>
      </c>
    </row>
    <row r="593">
      <c r="B593" s="300" t="n"/>
      <c r="C593" s="61" t="n"/>
      <c r="D593">
        <f>B593=C593</f>
        <v/>
      </c>
      <c r="F593">
        <f>"VI-"&amp;TEXT(E593,"000000")&amp;"-2025"</f>
        <v/>
      </c>
      <c r="G593" s="13" t="n"/>
      <c r="H593">
        <f>F593=G593</f>
        <v/>
      </c>
    </row>
    <row r="594">
      <c r="B594" s="300" t="n"/>
      <c r="C594" s="61" t="n"/>
      <c r="D594">
        <f>B594=C594</f>
        <v/>
      </c>
      <c r="F594">
        <f>"VI-"&amp;TEXT(E594,"000000")&amp;"-2025"</f>
        <v/>
      </c>
      <c r="G594" s="13" t="n"/>
      <c r="H594">
        <f>F594=G594</f>
        <v/>
      </c>
    </row>
    <row r="595">
      <c r="B595" s="300" t="n"/>
      <c r="C595" s="61" t="n"/>
      <c r="D595">
        <f>B595=C595</f>
        <v/>
      </c>
      <c r="F595">
        <f>"VI-"&amp;TEXT(E595,"000000")&amp;"-2025"</f>
        <v/>
      </c>
      <c r="G595" s="13" t="n"/>
      <c r="H595">
        <f>F595=G595</f>
        <v/>
      </c>
    </row>
    <row r="596">
      <c r="B596" s="300" t="n"/>
      <c r="C596" s="61" t="n"/>
      <c r="D596">
        <f>B596=C596</f>
        <v/>
      </c>
      <c r="F596">
        <f>"VI-"&amp;TEXT(E596,"000000")&amp;"-2025"</f>
        <v/>
      </c>
      <c r="G596" s="13" t="n"/>
      <c r="H596">
        <f>F596=G596</f>
        <v/>
      </c>
    </row>
    <row r="597">
      <c r="B597" s="300" t="n"/>
      <c r="C597" s="61" t="n"/>
      <c r="D597">
        <f>B597=C597</f>
        <v/>
      </c>
      <c r="F597">
        <f>"VI-"&amp;TEXT(E597,"000000")&amp;"-2025"</f>
        <v/>
      </c>
      <c r="G597" s="13" t="n"/>
      <c r="H597">
        <f>F597=G597</f>
        <v/>
      </c>
    </row>
    <row r="598">
      <c r="B598" s="300" t="n"/>
      <c r="C598" s="61" t="n"/>
      <c r="D598">
        <f>B598=C598</f>
        <v/>
      </c>
      <c r="F598">
        <f>"VI-"&amp;TEXT(E598,"000000")&amp;"-2025"</f>
        <v/>
      </c>
      <c r="G598" s="13" t="n"/>
      <c r="H598">
        <f>F598=G598</f>
        <v/>
      </c>
    </row>
    <row r="599">
      <c r="B599" s="300" t="n"/>
      <c r="C599" s="61" t="n"/>
      <c r="D599">
        <f>B599=C599</f>
        <v/>
      </c>
      <c r="F599">
        <f>"VI-"&amp;TEXT(E599,"000000")&amp;"-2025"</f>
        <v/>
      </c>
      <c r="G599" s="13" t="n"/>
      <c r="H599">
        <f>F599=G599</f>
        <v/>
      </c>
    </row>
    <row r="600">
      <c r="B600" s="300" t="n"/>
      <c r="C600" s="61" t="n"/>
      <c r="D600">
        <f>B600=C600</f>
        <v/>
      </c>
      <c r="F600">
        <f>"VI-"&amp;TEXT(E600,"000000")&amp;"-2025"</f>
        <v/>
      </c>
      <c r="G600" s="13" t="n"/>
      <c r="H600">
        <f>F600=G600</f>
        <v/>
      </c>
    </row>
    <row r="601">
      <c r="B601" s="300" t="n"/>
      <c r="C601" s="61" t="n"/>
      <c r="D601">
        <f>B601=C601</f>
        <v/>
      </c>
      <c r="F601">
        <f>"VI-"&amp;TEXT(E601,"000000")&amp;"-2025"</f>
        <v/>
      </c>
      <c r="G601" s="13" t="n"/>
      <c r="H601">
        <f>F601=G601</f>
        <v/>
      </c>
    </row>
    <row r="602">
      <c r="B602" s="300" t="n"/>
      <c r="C602" s="61" t="n"/>
      <c r="D602">
        <f>B602=C602</f>
        <v/>
      </c>
      <c r="F602">
        <f>"VI-"&amp;TEXT(E602,"000000")&amp;"-2025"</f>
        <v/>
      </c>
      <c r="G602" s="13" t="n"/>
      <c r="H602">
        <f>F602=G602</f>
        <v/>
      </c>
    </row>
    <row r="603" ht="13.5" customHeight="1" thickBot="1">
      <c r="B603" s="337" t="n"/>
      <c r="C603" s="61" t="n"/>
      <c r="D603">
        <f>B603=C603</f>
        <v/>
      </c>
      <c r="F603">
        <f>"VI-"&amp;TEXT(E603,"000000")&amp;"-2025"</f>
        <v/>
      </c>
      <c r="G603" s="52" t="n"/>
      <c r="H603">
        <f>F603=G603</f>
        <v/>
      </c>
    </row>
    <row r="604">
      <c r="B604" s="312" t="n"/>
      <c r="C604" s="61" t="n"/>
      <c r="D604">
        <f>B604=C604</f>
        <v/>
      </c>
      <c r="F604">
        <f>"VI-"&amp;TEXT(E604,"000000")&amp;"-2025"</f>
        <v/>
      </c>
      <c r="G604" s="13" t="n"/>
      <c r="H604">
        <f>F604=G604</f>
        <v/>
      </c>
    </row>
    <row r="605">
      <c r="B605" s="312" t="n"/>
      <c r="C605" s="61" t="n"/>
      <c r="D605">
        <f>B605=C605</f>
        <v/>
      </c>
      <c r="F605">
        <f>"VI-"&amp;TEXT(E605,"000000")&amp;"-2025"</f>
        <v/>
      </c>
      <c r="G605" s="13" t="n"/>
      <c r="H605">
        <f>F605=G605</f>
        <v/>
      </c>
    </row>
    <row r="606">
      <c r="B606" s="312" t="n"/>
      <c r="C606" s="61" t="n"/>
      <c r="D606">
        <f>B606=C606</f>
        <v/>
      </c>
      <c r="F606">
        <f>"VI-"&amp;TEXT(E606,"000000")&amp;"-2025"</f>
        <v/>
      </c>
      <c r="G606" s="13" t="n"/>
      <c r="H606">
        <f>F606=G606</f>
        <v/>
      </c>
    </row>
    <row r="607">
      <c r="B607" s="312" t="n"/>
      <c r="C607" s="61" t="n"/>
      <c r="D607">
        <f>B607=C607</f>
        <v/>
      </c>
      <c r="F607">
        <f>"VI-"&amp;TEXT(E607,"000000")&amp;"-2025"</f>
        <v/>
      </c>
      <c r="G607" s="13" t="n"/>
      <c r="H607">
        <f>F607=G607</f>
        <v/>
      </c>
    </row>
    <row r="608">
      <c r="B608" s="312" t="n"/>
      <c r="C608" s="61" t="n"/>
      <c r="D608">
        <f>B608=C608</f>
        <v/>
      </c>
      <c r="F608">
        <f>"VI-"&amp;TEXT(E608,"000000")&amp;"-2025"</f>
        <v/>
      </c>
      <c r="G608" s="13" t="n"/>
      <c r="H608">
        <f>F608=G608</f>
        <v/>
      </c>
    </row>
    <row r="609">
      <c r="B609" s="312" t="n"/>
      <c r="C609" s="61" t="n"/>
      <c r="D609">
        <f>B609=C609</f>
        <v/>
      </c>
      <c r="F609">
        <f>"VI-"&amp;TEXT(E609,"000000")&amp;"-2025"</f>
        <v/>
      </c>
      <c r="G609" s="13" t="n"/>
      <c r="H609">
        <f>F609=G609</f>
        <v/>
      </c>
    </row>
    <row r="610">
      <c r="B610" s="312" t="n"/>
      <c r="C610" s="61" t="n"/>
      <c r="D610">
        <f>B610=C610</f>
        <v/>
      </c>
      <c r="F610">
        <f>"VI-"&amp;TEXT(E610,"000000")&amp;"-2025"</f>
        <v/>
      </c>
      <c r="G610" s="13" t="n"/>
      <c r="H610">
        <f>F610=G610</f>
        <v/>
      </c>
    </row>
    <row r="611">
      <c r="B611" s="312" t="n"/>
      <c r="C611" s="61" t="n"/>
      <c r="D611">
        <f>B611=C611</f>
        <v/>
      </c>
      <c r="F611">
        <f>"VI-"&amp;TEXT(E611,"000000")&amp;"-2025"</f>
        <v/>
      </c>
      <c r="G611" s="13" t="n"/>
      <c r="H611">
        <f>F611=G611</f>
        <v/>
      </c>
    </row>
    <row r="612">
      <c r="B612" s="312" t="n"/>
      <c r="C612" s="61" t="n"/>
      <c r="D612">
        <f>B612=C612</f>
        <v/>
      </c>
      <c r="F612">
        <f>"VI-"&amp;TEXT(E612,"000000")&amp;"-2025"</f>
        <v/>
      </c>
      <c r="G612" s="13" t="n"/>
      <c r="H612">
        <f>F612=G612</f>
        <v/>
      </c>
    </row>
    <row r="613">
      <c r="B613" s="312" t="n"/>
      <c r="C613" s="61" t="n"/>
      <c r="D613">
        <f>B613=C613</f>
        <v/>
      </c>
      <c r="F613">
        <f>"VI-"&amp;TEXT(E613,"000000")&amp;"-2025"</f>
        <v/>
      </c>
      <c r="G613" s="13" t="n"/>
      <c r="H613">
        <f>F613=G613</f>
        <v/>
      </c>
    </row>
    <row r="614">
      <c r="B614" s="312" t="n"/>
      <c r="C614" s="61" t="n"/>
      <c r="D614">
        <f>B614=C614</f>
        <v/>
      </c>
      <c r="F614">
        <f>"VI-"&amp;TEXT(E614,"000000")&amp;"-2025"</f>
        <v/>
      </c>
      <c r="G614" s="13" t="n"/>
      <c r="H614">
        <f>F614=G614</f>
        <v/>
      </c>
    </row>
    <row r="615">
      <c r="B615" s="312" t="n"/>
      <c r="C615" s="61" t="n"/>
      <c r="D615">
        <f>B615=C615</f>
        <v/>
      </c>
      <c r="F615">
        <f>"VI-"&amp;TEXT(E615,"000000")&amp;"-2025"</f>
        <v/>
      </c>
      <c r="G615" s="13" t="n"/>
      <c r="H615">
        <f>F615=G615</f>
        <v/>
      </c>
    </row>
    <row r="616">
      <c r="B616" s="312" t="n"/>
      <c r="C616" s="61" t="n"/>
      <c r="D616">
        <f>B616=C616</f>
        <v/>
      </c>
      <c r="F616">
        <f>"VI-"&amp;TEXT(E616,"000000")&amp;"-2025"</f>
        <v/>
      </c>
      <c r="G616" s="13" t="n"/>
      <c r="H616">
        <f>F616=G616</f>
        <v/>
      </c>
    </row>
    <row r="617">
      <c r="B617" s="312" t="n"/>
      <c r="C617" s="61" t="n"/>
      <c r="D617">
        <f>B617=C617</f>
        <v/>
      </c>
      <c r="F617">
        <f>"VI-"&amp;TEXT(E617,"000000")&amp;"-2025"</f>
        <v/>
      </c>
      <c r="G617" s="13" t="n"/>
      <c r="H617">
        <f>F617=G617</f>
        <v/>
      </c>
    </row>
    <row r="618" ht="13.5" customHeight="1" thickBot="1">
      <c r="B618" s="312" t="n"/>
      <c r="C618" s="61" t="n"/>
      <c r="D618">
        <f>B618=C618</f>
        <v/>
      </c>
      <c r="F618">
        <f>"VI-"&amp;TEXT(E618,"000000")&amp;"-2025"</f>
        <v/>
      </c>
      <c r="G618" s="52" t="n"/>
      <c r="H618">
        <f>F618=G618</f>
        <v/>
      </c>
    </row>
    <row r="619">
      <c r="B619" s="312" t="n"/>
      <c r="C619" s="61" t="n"/>
      <c r="D619">
        <f>B619=C619</f>
        <v/>
      </c>
      <c r="F619">
        <f>"VI-"&amp;TEXT(E619,"000000")&amp;"-2025"</f>
        <v/>
      </c>
      <c r="G619" s="58" t="n"/>
      <c r="H619">
        <f>F619=G619</f>
        <v/>
      </c>
    </row>
    <row r="620">
      <c r="B620" s="312" t="n"/>
      <c r="C620" s="61" t="n"/>
      <c r="D620">
        <f>B620=C620</f>
        <v/>
      </c>
      <c r="F620">
        <f>"VI-"&amp;TEXT(E620,"000000")&amp;"-2025"</f>
        <v/>
      </c>
      <c r="G620" s="13" t="n"/>
      <c r="H620">
        <f>F620=G620</f>
        <v/>
      </c>
    </row>
    <row r="621">
      <c r="B621" s="312" t="n"/>
      <c r="C621" s="61" t="n"/>
      <c r="D621">
        <f>B621=C621</f>
        <v/>
      </c>
      <c r="F621">
        <f>"VI-"&amp;TEXT(E621,"000000")&amp;"-2025"</f>
        <v/>
      </c>
      <c r="G621" s="13" t="n"/>
      <c r="H621">
        <f>F621=G621</f>
        <v/>
      </c>
    </row>
    <row r="622">
      <c r="B622" s="312" t="n"/>
      <c r="C622" s="61" t="n"/>
      <c r="D622">
        <f>B622=C622</f>
        <v/>
      </c>
      <c r="F622">
        <f>"VI-"&amp;TEXT(E622,"000000")&amp;"-2025"</f>
        <v/>
      </c>
      <c r="G622" s="13" t="n"/>
      <c r="H622">
        <f>F622=G622</f>
        <v/>
      </c>
    </row>
    <row r="623">
      <c r="B623" s="312" t="n"/>
      <c r="C623" s="61" t="n"/>
      <c r="D623">
        <f>B623=C623</f>
        <v/>
      </c>
      <c r="F623">
        <f>"VI-"&amp;TEXT(E623,"000000")&amp;"-2025"</f>
        <v/>
      </c>
      <c r="G623" s="13" t="n"/>
      <c r="H623">
        <f>F623=G623</f>
        <v/>
      </c>
    </row>
    <row r="624">
      <c r="B624" s="312" t="n"/>
      <c r="C624" s="61" t="n"/>
      <c r="D624">
        <f>B624=C624</f>
        <v/>
      </c>
      <c r="F624">
        <f>"VI-"&amp;TEXT(E624,"000000")&amp;"-2025"</f>
        <v/>
      </c>
      <c r="G624" s="13" t="n"/>
      <c r="H624">
        <f>F624=G624</f>
        <v/>
      </c>
    </row>
    <row r="625">
      <c r="B625" s="312" t="n"/>
      <c r="C625" s="61" t="n"/>
      <c r="D625">
        <f>B625=C625</f>
        <v/>
      </c>
      <c r="F625">
        <f>"VI-"&amp;TEXT(E625,"000000")&amp;"-2025"</f>
        <v/>
      </c>
      <c r="G625" s="13" t="n"/>
      <c r="H625">
        <f>F625=G625</f>
        <v/>
      </c>
    </row>
    <row r="626">
      <c r="B626" s="312" t="n"/>
      <c r="C626" s="61" t="n"/>
      <c r="D626">
        <f>B626=C626</f>
        <v/>
      </c>
      <c r="F626">
        <f>"VI-"&amp;TEXT(E626,"000000")&amp;"-2025"</f>
        <v/>
      </c>
      <c r="G626" s="13" t="n"/>
      <c r="H626">
        <f>F626=G626</f>
        <v/>
      </c>
    </row>
    <row r="627">
      <c r="B627" s="312" t="n"/>
      <c r="C627" s="61" t="n"/>
      <c r="D627">
        <f>B627=C627</f>
        <v/>
      </c>
      <c r="F627">
        <f>"VI-"&amp;TEXT(E627,"000000")&amp;"-2025"</f>
        <v/>
      </c>
      <c r="G627" s="13" t="n"/>
      <c r="H627">
        <f>F627=G627</f>
        <v/>
      </c>
    </row>
    <row r="628">
      <c r="B628" s="312" t="n"/>
      <c r="C628" s="61" t="n"/>
      <c r="D628">
        <f>B628=C628</f>
        <v/>
      </c>
      <c r="F628">
        <f>"VI-"&amp;TEXT(E628,"000000")&amp;"-2025"</f>
        <v/>
      </c>
      <c r="G628" s="13" t="n"/>
      <c r="H628">
        <f>F628=G628</f>
        <v/>
      </c>
    </row>
    <row r="629">
      <c r="B629" s="312" t="n"/>
      <c r="C629" s="61" t="n"/>
      <c r="D629">
        <f>B629=C629</f>
        <v/>
      </c>
      <c r="F629">
        <f>"VI-"&amp;TEXT(E629,"000000")&amp;"-2025"</f>
        <v/>
      </c>
      <c r="G629" s="13" t="n"/>
      <c r="H629">
        <f>F629=G629</f>
        <v/>
      </c>
    </row>
    <row r="630">
      <c r="B630" s="312" t="n"/>
      <c r="C630" s="61" t="n"/>
      <c r="D630">
        <f>B630=C630</f>
        <v/>
      </c>
      <c r="F630">
        <f>"VI-"&amp;TEXT(E630,"000000")&amp;"-2025"</f>
        <v/>
      </c>
      <c r="G630" s="13" t="n"/>
      <c r="H630">
        <f>F630=G630</f>
        <v/>
      </c>
    </row>
    <row r="631">
      <c r="B631" s="312" t="n"/>
      <c r="C631" s="61" t="n"/>
      <c r="D631">
        <f>B631=C631</f>
        <v/>
      </c>
      <c r="F631">
        <f>"VI-"&amp;TEXT(E631,"000000")&amp;"-2025"</f>
        <v/>
      </c>
      <c r="G631" s="13" t="n"/>
      <c r="H631">
        <f>F631=G631</f>
        <v/>
      </c>
    </row>
    <row r="632">
      <c r="B632" s="312" t="n"/>
      <c r="C632" s="61" t="n"/>
      <c r="D632">
        <f>B632=C632</f>
        <v/>
      </c>
      <c r="F632">
        <f>"VI-"&amp;TEXT(E632,"000000")&amp;"-2025"</f>
        <v/>
      </c>
      <c r="G632" s="13" t="n"/>
      <c r="H632">
        <f>F632=G632</f>
        <v/>
      </c>
    </row>
    <row r="633" ht="13.5" customHeight="1" thickBot="1">
      <c r="B633" s="312" t="n"/>
      <c r="C633" s="61" t="n"/>
      <c r="D633">
        <f>B633=C633</f>
        <v/>
      </c>
      <c r="F633">
        <f>"VI-"&amp;TEXT(E633,"000000")&amp;"-2025"</f>
        <v/>
      </c>
      <c r="G633" s="52" t="n"/>
      <c r="H633">
        <f>F633=G633</f>
        <v/>
      </c>
    </row>
    <row r="634">
      <c r="B634" s="312" t="n"/>
      <c r="C634" s="61" t="n"/>
      <c r="D634">
        <f>B634=C634</f>
        <v/>
      </c>
      <c r="F634">
        <f>"VI-"&amp;TEXT(E634,"000000")&amp;"-2025"</f>
        <v/>
      </c>
      <c r="G634" s="58" t="n"/>
      <c r="H634">
        <f>F634=G634</f>
        <v/>
      </c>
    </row>
    <row r="635">
      <c r="B635" s="312" t="n"/>
      <c r="C635" s="61" t="n"/>
      <c r="D635">
        <f>B635=C635</f>
        <v/>
      </c>
      <c r="F635">
        <f>"VI-"&amp;TEXT(E635,"000000")&amp;"-2025"</f>
        <v/>
      </c>
      <c r="G635" s="13" t="n"/>
      <c r="H635">
        <f>F635=G635</f>
        <v/>
      </c>
    </row>
    <row r="636">
      <c r="B636" s="312" t="n"/>
      <c r="C636" s="61" t="n"/>
      <c r="D636">
        <f>B636=C636</f>
        <v/>
      </c>
      <c r="F636">
        <f>"VI-"&amp;TEXT(E636,"000000")&amp;"-2025"</f>
        <v/>
      </c>
      <c r="G636" s="13" t="n"/>
      <c r="H636">
        <f>F636=G636</f>
        <v/>
      </c>
    </row>
    <row r="637">
      <c r="B637" s="312" t="n"/>
      <c r="C637" s="61" t="n"/>
      <c r="D637">
        <f>B637=C637</f>
        <v/>
      </c>
      <c r="F637">
        <f>"VI-"&amp;TEXT(E637,"000000")&amp;"-2025"</f>
        <v/>
      </c>
      <c r="G637" s="13" t="n"/>
      <c r="H637">
        <f>F637=G637</f>
        <v/>
      </c>
    </row>
    <row r="638">
      <c r="B638" s="312" t="n"/>
      <c r="C638" s="61" t="n"/>
      <c r="D638">
        <f>B638=C638</f>
        <v/>
      </c>
      <c r="F638">
        <f>"VI-"&amp;TEXT(E638,"000000")&amp;"-2025"</f>
        <v/>
      </c>
      <c r="G638" s="13" t="n"/>
      <c r="H638">
        <f>F638=G638</f>
        <v/>
      </c>
    </row>
    <row r="639">
      <c r="B639" s="312" t="n"/>
      <c r="C639" s="61" t="n"/>
      <c r="D639">
        <f>B639=C639</f>
        <v/>
      </c>
      <c r="F639">
        <f>"VI-"&amp;TEXT(E639,"000000")&amp;"-2025"</f>
        <v/>
      </c>
      <c r="G639" s="13" t="n"/>
      <c r="H639">
        <f>F639=G639</f>
        <v/>
      </c>
    </row>
    <row r="640">
      <c r="B640" s="312" t="n"/>
      <c r="C640" s="61" t="n"/>
      <c r="D640">
        <f>B640=C640</f>
        <v/>
      </c>
      <c r="F640">
        <f>"VI-"&amp;TEXT(E640,"000000")&amp;"-2025"</f>
        <v/>
      </c>
      <c r="G640" s="13" t="n"/>
      <c r="H640">
        <f>F640=G640</f>
        <v/>
      </c>
    </row>
    <row r="641">
      <c r="B641" s="312" t="n"/>
      <c r="C641" s="61" t="n"/>
      <c r="D641">
        <f>B641=C641</f>
        <v/>
      </c>
      <c r="F641">
        <f>"VI-"&amp;TEXT(E641,"000000")&amp;"-2025"</f>
        <v/>
      </c>
      <c r="G641" s="13" t="n"/>
      <c r="H641">
        <f>F641=G641</f>
        <v/>
      </c>
    </row>
    <row r="642">
      <c r="B642" s="312" t="n"/>
      <c r="C642" s="61" t="n"/>
      <c r="D642">
        <f>B642=C642</f>
        <v/>
      </c>
      <c r="F642">
        <f>"VI-"&amp;TEXT(E642,"000000")&amp;"-2025"</f>
        <v/>
      </c>
      <c r="G642" s="13" t="n"/>
      <c r="H642">
        <f>F642=G642</f>
        <v/>
      </c>
    </row>
    <row r="643">
      <c r="B643" s="312" t="n"/>
      <c r="C643" s="61" t="n"/>
      <c r="D643">
        <f>B643=C643</f>
        <v/>
      </c>
      <c r="F643">
        <f>"VI-"&amp;TEXT(E643,"000000")&amp;"-2025"</f>
        <v/>
      </c>
      <c r="G643" s="13" t="n"/>
      <c r="H643">
        <f>F643=G643</f>
        <v/>
      </c>
    </row>
    <row r="644">
      <c r="B644" s="312" t="n"/>
      <c r="C644" s="61" t="n"/>
      <c r="D644">
        <f>B644=C644</f>
        <v/>
      </c>
      <c r="F644">
        <f>"VI-"&amp;TEXT(E644,"000000")&amp;"-2025"</f>
        <v/>
      </c>
      <c r="G644" s="13" t="n"/>
      <c r="H644">
        <f>F644=G644</f>
        <v/>
      </c>
    </row>
    <row r="645">
      <c r="B645" s="312" t="n"/>
      <c r="C645" s="61" t="n"/>
      <c r="D645">
        <f>B645=C645</f>
        <v/>
      </c>
      <c r="F645">
        <f>"VI-"&amp;TEXT(E645,"000000")&amp;"-2025"</f>
        <v/>
      </c>
      <c r="G645" s="13" t="n"/>
      <c r="H645">
        <f>F645=G645</f>
        <v/>
      </c>
    </row>
    <row r="646">
      <c r="B646" s="312" t="n"/>
      <c r="C646" s="61" t="n"/>
      <c r="D646">
        <f>B646=C646</f>
        <v/>
      </c>
      <c r="F646">
        <f>"VI-"&amp;TEXT(E646,"000000")&amp;"-2025"</f>
        <v/>
      </c>
      <c r="G646" s="13" t="n"/>
      <c r="H646">
        <f>F646=G646</f>
        <v/>
      </c>
    </row>
    <row r="647">
      <c r="B647" s="312" t="n"/>
      <c r="C647" s="61" t="n"/>
      <c r="D647">
        <f>B647=C647</f>
        <v/>
      </c>
      <c r="F647">
        <f>"VI-"&amp;TEXT(E647,"000000")&amp;"-2025"</f>
        <v/>
      </c>
      <c r="G647" s="13" t="n"/>
      <c r="H647">
        <f>F647=G647</f>
        <v/>
      </c>
    </row>
    <row r="648" ht="13.5" customHeight="1" thickBot="1">
      <c r="B648" s="312" t="n"/>
      <c r="C648" s="61" t="n"/>
      <c r="D648">
        <f>B648=C648</f>
        <v/>
      </c>
      <c r="F648">
        <f>"VI-"&amp;TEXT(E648,"000000")&amp;"-2025"</f>
        <v/>
      </c>
      <c r="G648" s="52" t="n"/>
      <c r="H648">
        <f>F648=G648</f>
        <v/>
      </c>
    </row>
    <row r="649">
      <c r="B649" s="312" t="n"/>
      <c r="C649" s="61" t="n"/>
      <c r="D649">
        <f>B649=C649</f>
        <v/>
      </c>
      <c r="F649">
        <f>"VI-"&amp;TEXT(E649,"000000")&amp;"-2025"</f>
        <v/>
      </c>
      <c r="G649" s="58" t="n"/>
      <c r="H649">
        <f>F649=G649</f>
        <v/>
      </c>
    </row>
    <row r="650">
      <c r="B650" s="312" t="n"/>
      <c r="C650" s="61" t="n"/>
      <c r="D650">
        <f>B650=C650</f>
        <v/>
      </c>
      <c r="F650">
        <f>"VI-"&amp;TEXT(E650,"000000")&amp;"-2025"</f>
        <v/>
      </c>
      <c r="G650" s="13" t="n"/>
      <c r="H650">
        <f>F650=G650</f>
        <v/>
      </c>
    </row>
    <row r="651">
      <c r="B651" s="312" t="n"/>
      <c r="C651" s="61" t="n"/>
      <c r="D651">
        <f>B651=C651</f>
        <v/>
      </c>
      <c r="F651">
        <f>"VI-"&amp;TEXT(E651,"000000")&amp;"-2025"</f>
        <v/>
      </c>
      <c r="G651" s="13" t="n"/>
      <c r="H651">
        <f>F651=G651</f>
        <v/>
      </c>
    </row>
    <row r="652">
      <c r="B652" s="312" t="n"/>
      <c r="C652" s="61" t="n"/>
      <c r="D652">
        <f>B652=C652</f>
        <v/>
      </c>
      <c r="F652">
        <f>"VI-"&amp;TEXT(E652,"000000")&amp;"-2025"</f>
        <v/>
      </c>
      <c r="G652" s="13" t="n"/>
      <c r="H652">
        <f>F652=G652</f>
        <v/>
      </c>
    </row>
    <row r="653">
      <c r="B653" s="312" t="n"/>
      <c r="C653" s="61" t="n"/>
      <c r="D653">
        <f>B653=C653</f>
        <v/>
      </c>
      <c r="F653">
        <f>"VI-"&amp;TEXT(E653,"000000")&amp;"-2025"</f>
        <v/>
      </c>
      <c r="G653" s="13" t="n"/>
      <c r="H653">
        <f>F653=G653</f>
        <v/>
      </c>
    </row>
    <row r="654">
      <c r="B654" s="312" t="n"/>
      <c r="C654" s="61" t="n"/>
      <c r="D654">
        <f>B654=C654</f>
        <v/>
      </c>
      <c r="F654">
        <f>"VI-"&amp;TEXT(E654,"000000")&amp;"-2025"</f>
        <v/>
      </c>
      <c r="G654" s="13" t="n"/>
      <c r="H654">
        <f>F654=G654</f>
        <v/>
      </c>
    </row>
    <row r="655">
      <c r="B655" s="312" t="n"/>
      <c r="C655" s="61" t="n"/>
      <c r="D655">
        <f>B655=C655</f>
        <v/>
      </c>
      <c r="F655">
        <f>"VI-"&amp;TEXT(E655,"000000")&amp;"-2025"</f>
        <v/>
      </c>
      <c r="G655" s="13" t="n"/>
      <c r="H655">
        <f>F655=G655</f>
        <v/>
      </c>
    </row>
    <row r="656">
      <c r="B656" s="312" t="n"/>
      <c r="C656" s="61" t="n"/>
      <c r="D656">
        <f>B656=C656</f>
        <v/>
      </c>
      <c r="F656">
        <f>"VI-"&amp;TEXT(E656,"000000")&amp;"-2025"</f>
        <v/>
      </c>
      <c r="G656" s="13" t="n"/>
      <c r="H656">
        <f>F656=G656</f>
        <v/>
      </c>
    </row>
    <row r="657">
      <c r="B657" s="312" t="n"/>
      <c r="C657" s="61" t="n"/>
      <c r="D657">
        <f>B657=C657</f>
        <v/>
      </c>
      <c r="F657">
        <f>"VI-"&amp;TEXT(E657,"000000")&amp;"-2025"</f>
        <v/>
      </c>
      <c r="G657" s="13" t="n"/>
      <c r="H657">
        <f>F657=G657</f>
        <v/>
      </c>
    </row>
    <row r="658">
      <c r="B658" s="312" t="n"/>
      <c r="C658" s="61" t="n"/>
      <c r="D658">
        <f>B658=C658</f>
        <v/>
      </c>
      <c r="F658">
        <f>"VI-"&amp;TEXT(E658,"000000")&amp;"-2025"</f>
        <v/>
      </c>
      <c r="G658" s="13" t="n"/>
      <c r="H658">
        <f>F658=G658</f>
        <v/>
      </c>
    </row>
    <row r="659">
      <c r="B659" s="312" t="n"/>
      <c r="C659" s="61" t="n"/>
      <c r="D659">
        <f>B659=C659</f>
        <v/>
      </c>
      <c r="F659">
        <f>"VI-"&amp;TEXT(E659,"000000")&amp;"-2025"</f>
        <v/>
      </c>
      <c r="G659" s="13" t="n"/>
      <c r="H659">
        <f>F659=G659</f>
        <v/>
      </c>
    </row>
    <row r="660">
      <c r="B660" s="312" t="n"/>
      <c r="C660" s="61" t="n"/>
      <c r="D660">
        <f>B660=C660</f>
        <v/>
      </c>
      <c r="F660">
        <f>"VI-"&amp;TEXT(E660,"000000")&amp;"-2025"</f>
        <v/>
      </c>
      <c r="G660" s="13" t="n"/>
      <c r="H660">
        <f>F660=G660</f>
        <v/>
      </c>
    </row>
    <row r="661">
      <c r="B661" s="338" t="n"/>
      <c r="C661" s="61" t="n"/>
      <c r="D661">
        <f>B661=C661</f>
        <v/>
      </c>
      <c r="F661">
        <f>"VI-"&amp;TEXT(E661,"000000")&amp;"-2025"</f>
        <v/>
      </c>
      <c r="G661" s="56" t="n"/>
      <c r="H661">
        <f>F661=G661</f>
        <v/>
      </c>
    </row>
    <row r="662">
      <c r="B662" s="312" t="n"/>
      <c r="C662" s="61" t="n"/>
      <c r="D662">
        <f>B662=C662</f>
        <v/>
      </c>
      <c r="F662">
        <f>"VI-"&amp;TEXT(E662,"000000")&amp;"-2025"</f>
        <v/>
      </c>
      <c r="G662" s="13" t="n"/>
      <c r="H662">
        <f>F662=G662</f>
        <v/>
      </c>
    </row>
    <row r="663" ht="13.5" customHeight="1" thickBot="1">
      <c r="B663" s="325" t="n"/>
      <c r="C663" s="61" t="n"/>
      <c r="D663">
        <f>B663=C663</f>
        <v/>
      </c>
      <c r="F663">
        <f>"VI-"&amp;TEXT(E663,"000000")&amp;"-2025"</f>
        <v/>
      </c>
      <c r="G663" s="52" t="n"/>
      <c r="H663">
        <f>F663=G663</f>
        <v/>
      </c>
    </row>
    <row r="664">
      <c r="B664" s="300" t="n"/>
      <c r="C664" s="61" t="n"/>
      <c r="D664">
        <f>B664=C664</f>
        <v/>
      </c>
      <c r="F664">
        <f>"VI-"&amp;TEXT(E664,"000000")&amp;"-2025"</f>
        <v/>
      </c>
      <c r="G664" s="58" t="n"/>
      <c r="H664">
        <f>F664=G664</f>
        <v/>
      </c>
    </row>
    <row r="665">
      <c r="B665" s="312" t="n"/>
      <c r="C665" s="61" t="n"/>
      <c r="D665">
        <f>B665=C665</f>
        <v/>
      </c>
      <c r="F665">
        <f>"VI-"&amp;TEXT(E665,"000000")&amp;"-2025"</f>
        <v/>
      </c>
      <c r="G665" s="13" t="n"/>
      <c r="H665">
        <f>F665=G665</f>
        <v/>
      </c>
    </row>
    <row r="666">
      <c r="B666" s="312" t="n"/>
      <c r="C666" s="61" t="n"/>
      <c r="D666">
        <f>B666=C666</f>
        <v/>
      </c>
      <c r="F666">
        <f>"VI-"&amp;TEXT(E666,"000000")&amp;"-2025"</f>
        <v/>
      </c>
      <c r="G666" s="13" t="n"/>
      <c r="H666">
        <f>F666=G666</f>
        <v/>
      </c>
    </row>
    <row r="667">
      <c r="B667" s="312" t="n"/>
      <c r="C667" s="61" t="n"/>
      <c r="D667">
        <f>B667=C667</f>
        <v/>
      </c>
      <c r="F667">
        <f>"VI-"&amp;TEXT(E667,"000000")&amp;"-2025"</f>
        <v/>
      </c>
      <c r="G667" s="13" t="n"/>
      <c r="H667">
        <f>F667=G667</f>
        <v/>
      </c>
    </row>
    <row r="668">
      <c r="B668" s="312" t="n"/>
      <c r="C668" s="61" t="n"/>
      <c r="D668">
        <f>B668=C668</f>
        <v/>
      </c>
      <c r="F668">
        <f>"VI-"&amp;TEXT(E668,"000000")&amp;"-2025"</f>
        <v/>
      </c>
      <c r="G668" s="13" t="n"/>
      <c r="H668">
        <f>F668=G668</f>
        <v/>
      </c>
    </row>
    <row r="669">
      <c r="B669" s="312" t="n"/>
      <c r="C669" s="61" t="n"/>
      <c r="D669">
        <f>B669=C669</f>
        <v/>
      </c>
      <c r="F669">
        <f>"VI-"&amp;TEXT(E669,"000000")&amp;"-2025"</f>
        <v/>
      </c>
      <c r="G669" s="13" t="n"/>
      <c r="H669">
        <f>F669=G669</f>
        <v/>
      </c>
    </row>
    <row r="670">
      <c r="B670" s="312" t="n"/>
      <c r="C670" s="61" t="n"/>
      <c r="D670">
        <f>B670=C670</f>
        <v/>
      </c>
      <c r="F670">
        <f>"VI-"&amp;TEXT(E670,"000000")&amp;"-2025"</f>
        <v/>
      </c>
      <c r="G670" s="13" t="n"/>
      <c r="H670">
        <f>F670=G670</f>
        <v/>
      </c>
    </row>
    <row r="671">
      <c r="B671" s="312" t="n"/>
      <c r="C671" s="61" t="n"/>
      <c r="D671">
        <f>B671=C671</f>
        <v/>
      </c>
      <c r="F671">
        <f>"VI-"&amp;TEXT(E671,"000000")&amp;"-2025"</f>
        <v/>
      </c>
      <c r="G671" s="13" t="n"/>
      <c r="H671">
        <f>F671=G671</f>
        <v/>
      </c>
    </row>
    <row r="672">
      <c r="B672" s="312" t="n"/>
      <c r="C672" s="61" t="n"/>
      <c r="D672">
        <f>B672=C672</f>
        <v/>
      </c>
      <c r="F672">
        <f>"VI-"&amp;TEXT(E672,"000000")&amp;"-2025"</f>
        <v/>
      </c>
      <c r="G672" s="13" t="n"/>
      <c r="H672">
        <f>F672=G672</f>
        <v/>
      </c>
    </row>
    <row r="673">
      <c r="B673" s="312" t="n"/>
      <c r="C673" s="61" t="n"/>
      <c r="D673">
        <f>B673=C673</f>
        <v/>
      </c>
      <c r="F673">
        <f>"VI-"&amp;TEXT(E673,"000000")&amp;"-2025"</f>
        <v/>
      </c>
      <c r="G673" s="13" t="n"/>
      <c r="H673">
        <f>F673=G673</f>
        <v/>
      </c>
    </row>
    <row r="674">
      <c r="B674" s="312" t="n"/>
      <c r="C674" s="61" t="n"/>
      <c r="D674">
        <f>B674=C674</f>
        <v/>
      </c>
      <c r="F674">
        <f>"VI-"&amp;TEXT(E674,"000000")&amp;"-2025"</f>
        <v/>
      </c>
      <c r="G674" s="13" t="n"/>
      <c r="H674">
        <f>F674=G674</f>
        <v/>
      </c>
    </row>
    <row r="675">
      <c r="B675" s="312" t="n"/>
      <c r="C675" s="61" t="n"/>
      <c r="D675">
        <f>B675=C675</f>
        <v/>
      </c>
      <c r="F675">
        <f>"VI-"&amp;TEXT(E675,"000000")&amp;"-2025"</f>
        <v/>
      </c>
      <c r="G675" s="13" t="n"/>
      <c r="H675">
        <f>F675=G675</f>
        <v/>
      </c>
    </row>
    <row r="676">
      <c r="B676" s="312" t="n"/>
      <c r="C676" s="61" t="n"/>
      <c r="D676">
        <f>B676=C676</f>
        <v/>
      </c>
      <c r="F676">
        <f>"VI-"&amp;TEXT(E676,"000000")&amp;"-2025"</f>
        <v/>
      </c>
      <c r="G676" s="13" t="n"/>
      <c r="H676">
        <f>F676=G676</f>
        <v/>
      </c>
    </row>
    <row r="677">
      <c r="B677" s="312" t="n"/>
      <c r="C677" s="61" t="n"/>
      <c r="D677">
        <f>B677=C677</f>
        <v/>
      </c>
      <c r="F677">
        <f>"VI-"&amp;TEXT(E677,"000000")&amp;"-2025"</f>
        <v/>
      </c>
      <c r="G677" s="13" t="n"/>
      <c r="H677">
        <f>F677=G677</f>
        <v/>
      </c>
    </row>
    <row r="678" ht="13.5" customHeight="1" thickBot="1">
      <c r="B678" s="325" t="n"/>
      <c r="C678" s="61" t="n"/>
      <c r="D678">
        <f>B678=C678</f>
        <v/>
      </c>
      <c r="F678">
        <f>"VI-"&amp;TEXT(E678,"000000")&amp;"-2025"</f>
        <v/>
      </c>
      <c r="G678" s="52" t="n"/>
      <c r="H678">
        <f>F678=G678</f>
        <v/>
      </c>
    </row>
    <row r="679">
      <c r="B679" s="300" t="n"/>
      <c r="C679" s="61" t="n"/>
      <c r="D679">
        <f>B679=C679</f>
        <v/>
      </c>
      <c r="F679">
        <f>"VI-"&amp;TEXT(E679,"000000")&amp;"-2025"</f>
        <v/>
      </c>
      <c r="G679" s="58" t="n"/>
      <c r="H679">
        <f>F679=G679</f>
        <v/>
      </c>
    </row>
    <row r="680">
      <c r="B680" s="312" t="n"/>
      <c r="C680" s="61" t="n"/>
      <c r="D680">
        <f>B680=C680</f>
        <v/>
      </c>
      <c r="F680">
        <f>"VI-"&amp;TEXT(E680,"000000")&amp;"-2025"</f>
        <v/>
      </c>
      <c r="G680" s="13" t="n"/>
      <c r="H680">
        <f>F680=G680</f>
        <v/>
      </c>
    </row>
    <row r="681">
      <c r="B681" s="312" t="n"/>
      <c r="C681" s="61" t="n"/>
      <c r="D681">
        <f>B681=C681</f>
        <v/>
      </c>
      <c r="F681">
        <f>"VI-"&amp;TEXT(E681,"000000")&amp;"-2025"</f>
        <v/>
      </c>
      <c r="G681" s="13" t="n"/>
      <c r="H681">
        <f>F681=G681</f>
        <v/>
      </c>
    </row>
    <row r="682">
      <c r="B682" s="312" t="n"/>
      <c r="C682" s="61" t="n"/>
      <c r="D682">
        <f>B682=C682</f>
        <v/>
      </c>
      <c r="F682">
        <f>"VI-"&amp;TEXT(E682,"000000")&amp;"-2025"</f>
        <v/>
      </c>
      <c r="G682" s="13" t="n"/>
      <c r="H682">
        <f>F682=G682</f>
        <v/>
      </c>
    </row>
    <row r="683">
      <c r="B683" s="312" t="n"/>
      <c r="C683" s="61" t="n"/>
      <c r="D683">
        <f>B683=C683</f>
        <v/>
      </c>
      <c r="F683">
        <f>"VI-"&amp;TEXT(E683,"000000")&amp;"-2025"</f>
        <v/>
      </c>
      <c r="G683" s="13" t="n"/>
      <c r="H683">
        <f>F683=G683</f>
        <v/>
      </c>
    </row>
    <row r="684">
      <c r="B684" s="312" t="n"/>
      <c r="C684" s="61" t="n"/>
      <c r="D684">
        <f>B684=C684</f>
        <v/>
      </c>
      <c r="F684">
        <f>"VI-"&amp;TEXT(E684,"000000")&amp;"-2025"</f>
        <v/>
      </c>
      <c r="G684" s="13" t="n"/>
      <c r="H684">
        <f>F684=G684</f>
        <v/>
      </c>
    </row>
    <row r="685">
      <c r="B685" s="312" t="n"/>
      <c r="C685" s="61" t="n"/>
      <c r="D685">
        <f>B685=C685</f>
        <v/>
      </c>
      <c r="F685">
        <f>"VI-"&amp;TEXT(E685,"000000")&amp;"-2025"</f>
        <v/>
      </c>
      <c r="G685" s="13" t="n"/>
      <c r="H685">
        <f>F685=G685</f>
        <v/>
      </c>
    </row>
    <row r="686">
      <c r="B686" s="312" t="n"/>
      <c r="C686" s="61" t="n"/>
      <c r="D686">
        <f>B686=C686</f>
        <v/>
      </c>
      <c r="F686">
        <f>"VI-"&amp;TEXT(E686,"000000")&amp;"-2025"</f>
        <v/>
      </c>
      <c r="G686" s="13" t="n"/>
      <c r="H686">
        <f>F686=G686</f>
        <v/>
      </c>
    </row>
    <row r="687">
      <c r="B687" s="312" t="n"/>
      <c r="C687" s="61" t="n"/>
      <c r="D687">
        <f>B687=C687</f>
        <v/>
      </c>
      <c r="F687">
        <f>"VI-"&amp;TEXT(E687,"000000")&amp;"-2025"</f>
        <v/>
      </c>
      <c r="G687" s="13" t="n"/>
      <c r="H687">
        <f>F687=G687</f>
        <v/>
      </c>
    </row>
    <row r="688">
      <c r="B688" s="312" t="n"/>
      <c r="C688" s="61" t="n"/>
      <c r="D688">
        <f>B688=C688</f>
        <v/>
      </c>
      <c r="F688">
        <f>"VI-"&amp;TEXT(E688,"000000")&amp;"-2025"</f>
        <v/>
      </c>
      <c r="G688" s="13" t="n"/>
      <c r="H688">
        <f>F688=G688</f>
        <v/>
      </c>
    </row>
    <row r="689">
      <c r="B689" s="312" t="n"/>
      <c r="C689" s="61" t="n"/>
      <c r="D689">
        <f>B689=C689</f>
        <v/>
      </c>
      <c r="F689">
        <f>"VI-"&amp;TEXT(E689,"000000")&amp;"-2025"</f>
        <v/>
      </c>
      <c r="G689" s="13" t="n"/>
      <c r="H689">
        <f>F689=G689</f>
        <v/>
      </c>
    </row>
    <row r="690">
      <c r="B690" s="312" t="n"/>
      <c r="C690" s="61" t="n"/>
      <c r="D690">
        <f>B690=C690</f>
        <v/>
      </c>
      <c r="F690">
        <f>"VI-"&amp;TEXT(E690,"000000")&amp;"-2025"</f>
        <v/>
      </c>
      <c r="G690" s="13" t="n"/>
      <c r="H690">
        <f>F690=G690</f>
        <v/>
      </c>
    </row>
    <row r="691">
      <c r="B691" s="312" t="n"/>
      <c r="C691" s="61" t="n"/>
      <c r="D691">
        <f>B691=C691</f>
        <v/>
      </c>
      <c r="F691">
        <f>"VI-"&amp;TEXT(E691,"000000")&amp;"-2025"</f>
        <v/>
      </c>
      <c r="G691" s="13" t="n"/>
      <c r="H691">
        <f>F691=G691</f>
        <v/>
      </c>
    </row>
    <row r="692">
      <c r="B692" s="312" t="n"/>
      <c r="C692" s="61" t="n"/>
      <c r="D692">
        <f>B692=C692</f>
        <v/>
      </c>
      <c r="F692">
        <f>"VI-"&amp;TEXT(E692,"000000")&amp;"-2025"</f>
        <v/>
      </c>
      <c r="G692" s="13" t="n"/>
      <c r="H692">
        <f>F692=G692</f>
        <v/>
      </c>
    </row>
    <row r="693" ht="13.5" customHeight="1" thickBot="1">
      <c r="B693" s="325" t="n"/>
      <c r="C693" s="61" t="n"/>
      <c r="D693">
        <f>B693=C693</f>
        <v/>
      </c>
      <c r="F693">
        <f>"VI-"&amp;TEXT(E693,"000000")&amp;"-2025"</f>
        <v/>
      </c>
      <c r="G693" s="52" t="n"/>
      <c r="H693">
        <f>F693=G693</f>
        <v/>
      </c>
    </row>
    <row r="694">
      <c r="B694" s="300" t="n"/>
      <c r="C694" s="61" t="n"/>
      <c r="D694">
        <f>B694=C694</f>
        <v/>
      </c>
      <c r="F694">
        <f>"VI-"&amp;TEXT(E694,"000000")&amp;"-2025"</f>
        <v/>
      </c>
      <c r="G694" s="58" t="n"/>
      <c r="H694">
        <f>F694=G694</f>
        <v/>
      </c>
    </row>
    <row r="695">
      <c r="B695" s="312" t="n"/>
      <c r="C695" s="61" t="n"/>
      <c r="D695">
        <f>B695=C695</f>
        <v/>
      </c>
      <c r="F695">
        <f>"VI-"&amp;TEXT(E695,"000000")&amp;"-2025"</f>
        <v/>
      </c>
      <c r="G695" s="13" t="n"/>
      <c r="H695">
        <f>F695=G695</f>
        <v/>
      </c>
    </row>
    <row r="696">
      <c r="B696" s="312" t="n"/>
      <c r="C696" s="61" t="n"/>
      <c r="D696">
        <f>B696=C696</f>
        <v/>
      </c>
      <c r="F696">
        <f>"VI-"&amp;TEXT(E696,"000000")&amp;"-2025"</f>
        <v/>
      </c>
      <c r="G696" s="13" t="n"/>
      <c r="H696">
        <f>F696=G696</f>
        <v/>
      </c>
    </row>
    <row r="697">
      <c r="B697" s="312" t="n"/>
      <c r="C697" s="61" t="n"/>
      <c r="D697">
        <f>B697=C697</f>
        <v/>
      </c>
      <c r="F697">
        <f>"VI-"&amp;TEXT(E697,"000000")&amp;"-2025"</f>
        <v/>
      </c>
      <c r="G697" s="13" t="n"/>
      <c r="H697">
        <f>F697=G697</f>
        <v/>
      </c>
    </row>
    <row r="698">
      <c r="B698" s="312" t="n"/>
      <c r="C698" s="61" t="n"/>
      <c r="D698">
        <f>B698=C698</f>
        <v/>
      </c>
      <c r="F698">
        <f>"VI-"&amp;TEXT(E698,"000000")&amp;"-2025"</f>
        <v/>
      </c>
      <c r="G698" s="13" t="n"/>
      <c r="H698">
        <f>F698=G698</f>
        <v/>
      </c>
    </row>
    <row r="699">
      <c r="B699" s="312" t="n"/>
      <c r="C699" s="61" t="n"/>
      <c r="D699">
        <f>B699=C699</f>
        <v/>
      </c>
      <c r="F699">
        <f>"VI-"&amp;TEXT(E699,"000000")&amp;"-2025"</f>
        <v/>
      </c>
      <c r="G699" s="13" t="n"/>
      <c r="H699">
        <f>F699=G699</f>
        <v/>
      </c>
    </row>
    <row r="700">
      <c r="B700" s="312" t="n"/>
      <c r="C700" s="61" t="n"/>
      <c r="D700">
        <f>B700=C700</f>
        <v/>
      </c>
      <c r="F700">
        <f>"VI-"&amp;TEXT(E700,"000000")&amp;"-2025"</f>
        <v/>
      </c>
      <c r="G700" s="13" t="n"/>
      <c r="H700">
        <f>F700=G700</f>
        <v/>
      </c>
    </row>
    <row r="701">
      <c r="B701" s="312" t="n"/>
      <c r="C701" s="61" t="n"/>
      <c r="D701">
        <f>B701=C701</f>
        <v/>
      </c>
      <c r="F701">
        <f>"VI-"&amp;TEXT(E701,"000000")&amp;"-2025"</f>
        <v/>
      </c>
      <c r="G701" s="13" t="n"/>
      <c r="H701">
        <f>F701=G701</f>
        <v/>
      </c>
    </row>
    <row r="702">
      <c r="B702" s="312" t="n"/>
      <c r="C702" s="61" t="n"/>
      <c r="D702">
        <f>B702=C702</f>
        <v/>
      </c>
      <c r="F702">
        <f>"VI-"&amp;TEXT(E702,"000000")&amp;"-2025"</f>
        <v/>
      </c>
      <c r="G702" s="13" t="n"/>
      <c r="H702">
        <f>F702=G702</f>
        <v/>
      </c>
    </row>
    <row r="703">
      <c r="B703" s="312" t="n"/>
      <c r="C703" s="61" t="n"/>
      <c r="D703">
        <f>B703=C703</f>
        <v/>
      </c>
      <c r="F703">
        <f>"VI-"&amp;TEXT(E703,"000000")&amp;"-2025"</f>
        <v/>
      </c>
      <c r="G703" s="13" t="n"/>
      <c r="H703">
        <f>F703=G703</f>
        <v/>
      </c>
    </row>
    <row r="704">
      <c r="B704" s="312" t="n"/>
      <c r="C704" s="61" t="n"/>
      <c r="D704">
        <f>B704=C704</f>
        <v/>
      </c>
      <c r="F704">
        <f>"VI-"&amp;TEXT(E704,"000000")&amp;"-2025"</f>
        <v/>
      </c>
      <c r="G704" s="13" t="n"/>
      <c r="H704">
        <f>F704=G704</f>
        <v/>
      </c>
    </row>
    <row r="705">
      <c r="B705" s="312" t="n"/>
      <c r="C705" s="61" t="n"/>
      <c r="D705">
        <f>B705=C705</f>
        <v/>
      </c>
      <c r="F705">
        <f>"VI-"&amp;TEXT(E705,"000000")&amp;"-2025"</f>
        <v/>
      </c>
      <c r="G705" s="13" t="n"/>
      <c r="H705">
        <f>F705=G705</f>
        <v/>
      </c>
    </row>
    <row r="706">
      <c r="B706" s="312" t="n"/>
      <c r="C706" s="61" t="n"/>
      <c r="D706">
        <f>B706=C706</f>
        <v/>
      </c>
      <c r="F706">
        <f>"VI-"&amp;TEXT(E706,"000000")&amp;"-2025"</f>
        <v/>
      </c>
      <c r="G706" s="13" t="n"/>
      <c r="H706">
        <f>F706=G706</f>
        <v/>
      </c>
    </row>
    <row r="707">
      <c r="B707" s="312" t="n"/>
      <c r="C707" s="61" t="n"/>
      <c r="D707">
        <f>B707=C707</f>
        <v/>
      </c>
      <c r="F707">
        <f>"VI-"&amp;TEXT(E707,"000000")&amp;"-2025"</f>
        <v/>
      </c>
      <c r="G707" s="13" t="n"/>
      <c r="H707">
        <f>F707=G707</f>
        <v/>
      </c>
    </row>
    <row r="708" ht="13.5" customHeight="1" thickBot="1">
      <c r="B708" s="325" t="n"/>
      <c r="C708" s="61" t="n"/>
      <c r="D708">
        <f>B708=C708</f>
        <v/>
      </c>
      <c r="F708">
        <f>"VI-"&amp;TEXT(E708,"000000")&amp;"-2025"</f>
        <v/>
      </c>
      <c r="G708" s="52" t="n"/>
      <c r="H708">
        <f>F708=G708</f>
        <v/>
      </c>
    </row>
    <row r="709">
      <c r="B709" s="300" t="n"/>
      <c r="C709" s="61" t="n"/>
      <c r="D709">
        <f>B709=C709</f>
        <v/>
      </c>
      <c r="F709">
        <f>"VI-"&amp;TEXT(E709,"000000")&amp;"-2025"</f>
        <v/>
      </c>
      <c r="G709" s="58" t="n"/>
      <c r="H709">
        <f>F709=G709</f>
        <v/>
      </c>
    </row>
    <row r="710">
      <c r="B710" s="312" t="n"/>
      <c r="C710" s="61" t="n"/>
      <c r="D710">
        <f>B710=C710</f>
        <v/>
      </c>
      <c r="F710">
        <f>"VI-"&amp;TEXT(E710,"000000")&amp;"-2025"</f>
        <v/>
      </c>
      <c r="G710" s="13" t="n"/>
      <c r="H710">
        <f>F710=G710</f>
        <v/>
      </c>
    </row>
    <row r="711">
      <c r="B711" s="312" t="n"/>
      <c r="C711" s="61" t="n"/>
      <c r="D711">
        <f>B711=C711</f>
        <v/>
      </c>
      <c r="F711">
        <f>"VI-"&amp;TEXT(E711,"000000")&amp;"-2025"</f>
        <v/>
      </c>
      <c r="G711" s="13" t="n"/>
      <c r="H711">
        <f>F711=G711</f>
        <v/>
      </c>
    </row>
    <row r="712">
      <c r="B712" s="312" t="n"/>
      <c r="C712" s="61" t="n"/>
      <c r="D712">
        <f>B712=C712</f>
        <v/>
      </c>
      <c r="F712">
        <f>"VI-"&amp;TEXT(E712,"000000")&amp;"-2025"</f>
        <v/>
      </c>
      <c r="G712" s="13" t="n"/>
      <c r="H712">
        <f>F712=G712</f>
        <v/>
      </c>
    </row>
    <row r="713">
      <c r="B713" s="312" t="n"/>
      <c r="C713" s="61" t="n"/>
      <c r="D713">
        <f>B713=C713</f>
        <v/>
      </c>
      <c r="F713">
        <f>"VI-"&amp;TEXT(E713,"000000")&amp;"-2025"</f>
        <v/>
      </c>
      <c r="G713" s="13" t="n"/>
      <c r="H713">
        <f>F713=G713</f>
        <v/>
      </c>
    </row>
    <row r="714">
      <c r="B714" s="312" t="n"/>
      <c r="C714" s="61" t="n"/>
      <c r="D714">
        <f>B714=C714</f>
        <v/>
      </c>
      <c r="F714">
        <f>"VI-"&amp;TEXT(E714,"000000")&amp;"-2025"</f>
        <v/>
      </c>
      <c r="G714" s="13" t="n"/>
      <c r="H714">
        <f>F714=G714</f>
        <v/>
      </c>
    </row>
    <row r="715">
      <c r="B715" s="312" t="n"/>
      <c r="C715" s="61" t="n"/>
      <c r="D715">
        <f>B715=C715</f>
        <v/>
      </c>
      <c r="F715">
        <f>"VI-"&amp;TEXT(E715,"000000")&amp;"-2025"</f>
        <v/>
      </c>
      <c r="G715" s="13" t="n"/>
      <c r="H715">
        <f>F715=G715</f>
        <v/>
      </c>
    </row>
    <row r="716">
      <c r="B716" s="312" t="n"/>
      <c r="C716" s="61" t="n"/>
      <c r="D716">
        <f>B716=C716</f>
        <v/>
      </c>
      <c r="F716">
        <f>"VI-"&amp;TEXT(E716,"000000")&amp;"-2025"</f>
        <v/>
      </c>
      <c r="G716" s="13" t="n"/>
      <c r="H716">
        <f>F716=G716</f>
        <v/>
      </c>
    </row>
    <row r="717">
      <c r="B717" s="312" t="n"/>
      <c r="C717" s="61" t="n"/>
      <c r="D717">
        <f>B717=C717</f>
        <v/>
      </c>
      <c r="F717">
        <f>"VI-"&amp;TEXT(E717,"000000")&amp;"-2025"</f>
        <v/>
      </c>
      <c r="G717" s="13" t="n"/>
      <c r="H717">
        <f>F717=G717</f>
        <v/>
      </c>
    </row>
    <row r="718">
      <c r="B718" s="312" t="n"/>
      <c r="C718" s="61" t="n"/>
      <c r="D718">
        <f>B718=C718</f>
        <v/>
      </c>
      <c r="F718">
        <f>"VI-"&amp;TEXT(E718,"000000")&amp;"-2025"</f>
        <v/>
      </c>
      <c r="G718" s="13" t="n"/>
      <c r="H718">
        <f>F718=G718</f>
        <v/>
      </c>
    </row>
    <row r="719">
      <c r="B719" s="312" t="n"/>
      <c r="C719" s="61" t="n"/>
      <c r="D719">
        <f>B719=C719</f>
        <v/>
      </c>
      <c r="F719">
        <f>"VI-"&amp;TEXT(E719,"000000")&amp;"-2025"</f>
        <v/>
      </c>
      <c r="G719" s="13" t="n"/>
      <c r="H719">
        <f>F719=G719</f>
        <v/>
      </c>
    </row>
    <row r="720">
      <c r="B720" s="312" t="n"/>
      <c r="C720" s="61" t="n"/>
      <c r="D720">
        <f>B720=C720</f>
        <v/>
      </c>
      <c r="F720">
        <f>"VI-"&amp;TEXT(E720,"000000")&amp;"-2025"</f>
        <v/>
      </c>
      <c r="G720" s="13" t="n"/>
      <c r="H720">
        <f>F720=G720</f>
        <v/>
      </c>
    </row>
    <row r="721">
      <c r="B721" s="312" t="n"/>
      <c r="C721" s="61" t="n"/>
      <c r="D721">
        <f>B721=C721</f>
        <v/>
      </c>
      <c r="F721">
        <f>"VI-"&amp;TEXT(E721,"000000")&amp;"-2025"</f>
        <v/>
      </c>
      <c r="G721" s="13" t="n"/>
      <c r="H721">
        <f>F721=G721</f>
        <v/>
      </c>
    </row>
    <row r="722">
      <c r="B722" s="312" t="n"/>
      <c r="C722" s="61" t="n"/>
      <c r="D722">
        <f>B722=C722</f>
        <v/>
      </c>
      <c r="F722">
        <f>"VI-"&amp;TEXT(E722,"000000")&amp;"-2025"</f>
        <v/>
      </c>
      <c r="G722" s="13" t="n"/>
      <c r="H722">
        <f>F722=G722</f>
        <v/>
      </c>
    </row>
    <row r="723">
      <c r="B723" s="312" t="n"/>
      <c r="C723" s="61" t="n"/>
      <c r="D723">
        <f>B723=C723</f>
        <v/>
      </c>
      <c r="F723">
        <f>"VI-"&amp;TEXT(E723,"000000")&amp;"-2025"</f>
        <v/>
      </c>
      <c r="G723" s="13" t="n"/>
      <c r="H723">
        <f>F723=G723</f>
        <v/>
      </c>
    </row>
  </sheetData>
  <autoFilter ref="B3:H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25"/>
  <sheetViews>
    <sheetView workbookViewId="0">
      <selection activeCell="C1" sqref="C1:C1048576"/>
    </sheetView>
  </sheetViews>
  <sheetFormatPr baseColWidth="10" defaultRowHeight="12.75"/>
  <cols>
    <col width="9.85546875" customWidth="1" min="1" max="1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 ht="12.75" customHeight="1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 ht="13.15" customHeight="1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15" customHeigh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82">
        <f>'ERROR FINAL'!A9</f>
        <v/>
      </c>
      <c r="B6" s="83">
        <f>'ERROR FINAL'!D9</f>
        <v/>
      </c>
      <c r="C6" s="344">
        <f>'ERROR FINAL'!G9</f>
        <v/>
      </c>
      <c r="D6" s="85">
        <f>'ERROR FINAL'!I9</f>
        <v/>
      </c>
      <c r="E6" s="345">
        <f>'ERROR FINAL'!U9</f>
        <v/>
      </c>
      <c r="F6" s="346">
        <f>'ERROR FINAL'!AG9</f>
        <v/>
      </c>
      <c r="G6" s="346">
        <f>'ERROR FINAL'!AS9</f>
        <v/>
      </c>
      <c r="H6" s="88">
        <f>IF('ERROR FINAL'!AT9="CONFORME","CONFORME","NO CONFORME")</f>
        <v/>
      </c>
      <c r="I6" s="89">
        <f>IF(D6=0,"Medición",IF(D6=1,"Daño físico",IF(D6=2,"Fuga",IF(D6=3,"Picado",IF(D6=4,"Desfasado",IF(D6=5,"Paralizado","¿?"))))))</f>
        <v/>
      </c>
    </row>
    <row r="7">
      <c r="A7" s="82">
        <f>'ERROR FINAL'!A10</f>
        <v/>
      </c>
      <c r="B7" s="83">
        <f>'ERROR FINAL'!D10</f>
        <v/>
      </c>
      <c r="C7" s="344">
        <f>'ERROR FINAL'!G10</f>
        <v/>
      </c>
      <c r="D7" s="85">
        <f>'ERROR FINAL'!I10</f>
        <v/>
      </c>
      <c r="E7" s="345">
        <f>'ERROR FINAL'!U10</f>
        <v/>
      </c>
      <c r="F7" s="346">
        <f>'ERROR FINAL'!AG10</f>
        <v/>
      </c>
      <c r="G7" s="346">
        <f>'ERROR FINAL'!AS10</f>
        <v/>
      </c>
      <c r="H7" s="88">
        <f>IF('ERROR FINAL'!AT10="CONFORME","CONFORME","NO CONFORME")</f>
        <v/>
      </c>
      <c r="I7" s="89">
        <f>IF(D7=0,"Medición",IF(D7=1,"Daño físico",IF(D7=2,"Fuga",IF(D7=3,"Picado",IF(D7=4,"Desfasado",IF(D7=5,"Paralizado","¿?"))))))</f>
        <v/>
      </c>
    </row>
    <row r="8">
      <c r="A8" s="82">
        <f>'ERROR FINAL'!A11</f>
        <v/>
      </c>
      <c r="B8" s="83">
        <f>'ERROR FINAL'!D11</f>
        <v/>
      </c>
      <c r="C8" s="344">
        <f>'ERROR FINAL'!G11</f>
        <v/>
      </c>
      <c r="D8" s="85">
        <f>'ERROR FINAL'!I11</f>
        <v/>
      </c>
      <c r="E8" s="345">
        <f>'ERROR FINAL'!U11</f>
        <v/>
      </c>
      <c r="F8" s="346">
        <f>'ERROR FINAL'!AG11</f>
        <v/>
      </c>
      <c r="G8" s="346">
        <f>'ERROR FINAL'!AS11</f>
        <v/>
      </c>
      <c r="H8" s="88">
        <f>IF('ERROR FINAL'!AT11="CONFORME","CONFORME","NO CONFORME")</f>
        <v/>
      </c>
      <c r="I8" s="89">
        <f>IF(D8=0,"Medición",IF(D8=1,"Daño físico",IF(D8=2,"Fuga",IF(D8=3,"Picado",IF(D8=4,"Desfasado",IF(D8=5,"Paralizado","¿?"))))))</f>
        <v/>
      </c>
    </row>
    <row r="9">
      <c r="A9" s="82">
        <f>'ERROR FINAL'!A12</f>
        <v/>
      </c>
      <c r="B9" s="83">
        <f>'ERROR FINAL'!D12</f>
        <v/>
      </c>
      <c r="C9" s="344">
        <f>'ERROR FINAL'!G12</f>
        <v/>
      </c>
      <c r="D9" s="85">
        <f>'ERROR FINAL'!I12</f>
        <v/>
      </c>
      <c r="E9" s="345">
        <f>'ERROR FINAL'!U12</f>
        <v/>
      </c>
      <c r="F9" s="346">
        <f>'ERROR FINAL'!AG12</f>
        <v/>
      </c>
      <c r="G9" s="346">
        <f>'ERROR FINAL'!AS12</f>
        <v/>
      </c>
      <c r="H9" s="88">
        <f>IF('ERROR FINAL'!AT12="CONFORME","CONFORME","NO CONFORME")</f>
        <v/>
      </c>
      <c r="I9" s="89">
        <f>IF(D9=0,"Medición",IF(D9=1,"Daño físico",IF(D9=2,"Fuga",IF(D9=3,"Picado",IF(D9=4,"Desfasado",IF(D9=5,"Paralizado","¿?"))))))</f>
        <v/>
      </c>
    </row>
    <row r="10">
      <c r="A10" s="82">
        <f>'ERROR FINAL'!A13</f>
        <v/>
      </c>
      <c r="B10" s="83">
        <f>'ERROR FINAL'!D13</f>
        <v/>
      </c>
      <c r="C10" s="344">
        <f>'ERROR FINAL'!G13</f>
        <v/>
      </c>
      <c r="D10" s="85">
        <f>'ERROR FINAL'!I13</f>
        <v/>
      </c>
      <c r="E10" s="345">
        <f>'ERROR FINAL'!U13</f>
        <v/>
      </c>
      <c r="F10" s="346">
        <f>'ERROR FINAL'!AG13</f>
        <v/>
      </c>
      <c r="G10" s="346">
        <f>'ERROR FINAL'!AS13</f>
        <v/>
      </c>
      <c r="H10" s="88">
        <f>IF('ERROR FINAL'!AT13="CONFORME","CONFORME","NO CONFORME")</f>
        <v/>
      </c>
      <c r="I10" s="89">
        <f>IF(D10=0,"Medición",IF(D10=1,"Daño físico",IF(D10=2,"Fuga",IF(D10=3,"Picado",IF(D10=4,"Desfasado",IF(D10=5,"Paralizado","¿?"))))))</f>
        <v/>
      </c>
    </row>
    <row r="11">
      <c r="A11" s="82">
        <f>'ERROR FINAL'!A14</f>
        <v/>
      </c>
      <c r="B11" s="83">
        <f>'ERROR FINAL'!D14</f>
        <v/>
      </c>
      <c r="C11" s="344">
        <f>'ERROR FINAL'!G14</f>
        <v/>
      </c>
      <c r="D11" s="85">
        <f>'ERROR FINAL'!I14</f>
        <v/>
      </c>
      <c r="E11" s="345">
        <f>'ERROR FINAL'!U14</f>
        <v/>
      </c>
      <c r="F11" s="346">
        <f>'ERROR FINAL'!AG14</f>
        <v/>
      </c>
      <c r="G11" s="346">
        <f>'ERROR FINAL'!AS14</f>
        <v/>
      </c>
      <c r="H11" s="88">
        <f>IF('ERROR FINAL'!AT14="CONFORME","CONFORME","NO CONFORME")</f>
        <v/>
      </c>
      <c r="I11" s="89">
        <f>IF(D11=0,"Medición",IF(D11=1,"Daño físico",IF(D11=2,"Fuga",IF(D11=3,"Picado",IF(D11=4,"Desfasado",IF(D11=5,"Paralizado","¿?"))))))</f>
        <v/>
      </c>
    </row>
    <row r="12">
      <c r="A12" s="82">
        <f>'ERROR FINAL'!A15</f>
        <v/>
      </c>
      <c r="B12" s="83">
        <f>'ERROR FINAL'!D15</f>
        <v/>
      </c>
      <c r="C12" s="344">
        <f>'ERROR FINAL'!G15</f>
        <v/>
      </c>
      <c r="D12" s="85">
        <f>'ERROR FINAL'!I15</f>
        <v/>
      </c>
      <c r="E12" s="345">
        <f>'ERROR FINAL'!U15</f>
        <v/>
      </c>
      <c r="F12" s="346">
        <f>'ERROR FINAL'!AG15</f>
        <v/>
      </c>
      <c r="G12" s="346">
        <f>'ERROR FINAL'!AS15</f>
        <v/>
      </c>
      <c r="H12" s="88">
        <f>IF('ERROR FINAL'!AT15="CONFORME","CONFORME","NO CONFORME")</f>
        <v/>
      </c>
      <c r="I12" s="89">
        <f>IF(D12=0,"Medición",IF(D12=1,"Daño físico",IF(D12=2,"Fuga",IF(D12=3,"Picado",IF(D12=4,"Desfasado",IF(D12=5,"Paralizado","¿?"))))))</f>
        <v/>
      </c>
    </row>
    <row r="13">
      <c r="A13" s="82">
        <f>'ERROR FINAL'!A16</f>
        <v/>
      </c>
      <c r="B13" s="83">
        <f>'ERROR FINAL'!D16</f>
        <v/>
      </c>
      <c r="C13" s="344">
        <f>'ERROR FINAL'!G16</f>
        <v/>
      </c>
      <c r="D13" s="85">
        <f>'ERROR FINAL'!I16</f>
        <v/>
      </c>
      <c r="E13" s="345">
        <f>'ERROR FINAL'!U16</f>
        <v/>
      </c>
      <c r="F13" s="346">
        <f>'ERROR FINAL'!AG16</f>
        <v/>
      </c>
      <c r="G13" s="346">
        <f>'ERROR FINAL'!AS16</f>
        <v/>
      </c>
      <c r="H13" s="88">
        <f>IF('ERROR FINAL'!AT16="CONFORME","CONFORME","NO CONFORME")</f>
        <v/>
      </c>
      <c r="I13" s="89">
        <f>IF(D13=0,"Medición",IF(D13=1,"Daño físico",IF(D13=2,"Fuga",IF(D13=3,"Picado",IF(D13=4,"Desfasado",IF(D13=5,"Paralizado","¿?"))))))</f>
        <v/>
      </c>
    </row>
    <row r="14">
      <c r="A14" s="82">
        <f>'ERROR FINAL'!A17</f>
        <v/>
      </c>
      <c r="B14" s="83">
        <f>'ERROR FINAL'!D17</f>
        <v/>
      </c>
      <c r="C14" s="344">
        <f>'ERROR FINAL'!G17</f>
        <v/>
      </c>
      <c r="D14" s="85">
        <f>'ERROR FINAL'!I17</f>
        <v/>
      </c>
      <c r="E14" s="345">
        <f>'ERROR FINAL'!U17</f>
        <v/>
      </c>
      <c r="F14" s="346">
        <f>'ERROR FINAL'!AG17</f>
        <v/>
      </c>
      <c r="G14" s="346">
        <f>'ERROR FINAL'!AS17</f>
        <v/>
      </c>
      <c r="H14" s="88">
        <f>IF('ERROR FINAL'!AT17="CONFORME","CONFORME","NO CONFORME")</f>
        <v/>
      </c>
      <c r="I14" s="89">
        <f>IF(D14=0,"Medición",IF(D14=1,"Daño físico",IF(D14=2,"Fuga",IF(D14=3,"Picado",IF(D14=4,"Desfasado",IF(D14=5,"Paralizado","¿?"))))))</f>
        <v/>
      </c>
    </row>
    <row r="15">
      <c r="A15" s="82">
        <f>'ERROR FINAL'!A18</f>
        <v/>
      </c>
      <c r="B15" s="83">
        <f>'ERROR FINAL'!D18</f>
        <v/>
      </c>
      <c r="C15" s="344">
        <f>'ERROR FINAL'!G18</f>
        <v/>
      </c>
      <c r="D15" s="85">
        <f>'ERROR FINAL'!I18</f>
        <v/>
      </c>
      <c r="E15" s="345">
        <f>'ERROR FINAL'!U18</f>
        <v/>
      </c>
      <c r="F15" s="346">
        <f>'ERROR FINAL'!AG18</f>
        <v/>
      </c>
      <c r="G15" s="346">
        <f>'ERROR FINAL'!AS18</f>
        <v/>
      </c>
      <c r="H15" s="88">
        <f>IF('ERROR FINAL'!AT18="CONFORME","CONFORME","NO CONFORME")</f>
        <v/>
      </c>
      <c r="I15" s="89">
        <f>IF(D15=0,"Medición",IF(D15=1,"Daño físico",IF(D15=2,"Fuga",IF(D15=3,"Picado",IF(D15=4,"Desfasado",IF(D15=5,"Paralizado","¿?"))))))</f>
        <v/>
      </c>
    </row>
    <row r="16">
      <c r="A16" s="82">
        <f>'ERROR FINAL'!A19</f>
        <v/>
      </c>
      <c r="B16" s="83">
        <f>'ERROR FINAL'!D19</f>
        <v/>
      </c>
      <c r="C16" s="344">
        <f>'ERROR FINAL'!G19</f>
        <v/>
      </c>
      <c r="D16" s="85">
        <f>'ERROR FINAL'!I19</f>
        <v/>
      </c>
      <c r="E16" s="345">
        <f>'ERROR FINAL'!U19</f>
        <v/>
      </c>
      <c r="F16" s="346">
        <f>'ERROR FINAL'!AG19</f>
        <v/>
      </c>
      <c r="G16" s="346">
        <f>'ERROR FINAL'!AS19</f>
        <v/>
      </c>
      <c r="H16" s="88">
        <f>IF('ERROR FINAL'!AT19="CONFORME","CONFORME","NO CONFORME")</f>
        <v/>
      </c>
      <c r="I16" s="89">
        <f>IF(D16=0,"Medición",IF(D16=1,"Daño físico",IF(D16=2,"Fuga",IF(D16=3,"Picado",IF(D16=4,"Desfasado",IF(D16=5,"Paralizado","¿?"))))))</f>
        <v/>
      </c>
    </row>
    <row r="17">
      <c r="A17" s="82">
        <f>'ERROR FINAL'!A20</f>
        <v/>
      </c>
      <c r="B17" s="83">
        <f>'ERROR FINAL'!D20</f>
        <v/>
      </c>
      <c r="C17" s="344">
        <f>'ERROR FINAL'!G20</f>
        <v/>
      </c>
      <c r="D17" s="85">
        <f>'ERROR FINAL'!I20</f>
        <v/>
      </c>
      <c r="E17" s="345">
        <f>'ERROR FINAL'!U20</f>
        <v/>
      </c>
      <c r="F17" s="346">
        <f>'ERROR FINAL'!AG20</f>
        <v/>
      </c>
      <c r="G17" s="346">
        <f>'ERROR FINAL'!AS20</f>
        <v/>
      </c>
      <c r="H17" s="88">
        <f>IF('ERROR FINAL'!AT20="CONFORME","CONFORME","NO CONFORME")</f>
        <v/>
      </c>
      <c r="I17" s="89">
        <f>IF(D17=0,"Medición",IF(D17=1,"Daño físico",IF(D17=2,"Fuga",IF(D17=3,"Picado",IF(D17=4,"Desfasado",IF(D17=5,"Paralizado","¿?"))))))</f>
        <v/>
      </c>
    </row>
    <row r="18">
      <c r="A18" s="82">
        <f>'ERROR FINAL'!A21</f>
        <v/>
      </c>
      <c r="B18" s="83">
        <f>'ERROR FINAL'!D21</f>
        <v/>
      </c>
      <c r="C18" s="344">
        <f>'ERROR FINAL'!G21</f>
        <v/>
      </c>
      <c r="D18" s="85">
        <f>'ERROR FINAL'!I21</f>
        <v/>
      </c>
      <c r="E18" s="345">
        <f>'ERROR FINAL'!U21</f>
        <v/>
      </c>
      <c r="F18" s="346">
        <f>'ERROR FINAL'!AG21</f>
        <v/>
      </c>
      <c r="G18" s="346">
        <f>'ERROR FINAL'!AS21</f>
        <v/>
      </c>
      <c r="H18" s="88">
        <f>IF('ERROR FINAL'!AT21="CONFORME","CONFORME","NO CONFORME")</f>
        <v/>
      </c>
      <c r="I18" s="89">
        <f>IF(D18=0,"Medición",IF(D18=1,"Daño físico",IF(D18=2,"Fuga",IF(D18=3,"Picado",IF(D18=4,"Desfasado",IF(D18=5,"Paralizado","¿?"))))))</f>
        <v/>
      </c>
    </row>
    <row r="19">
      <c r="A19" s="82">
        <f>'ERROR FINAL'!A22</f>
        <v/>
      </c>
      <c r="B19" s="83">
        <f>'ERROR FINAL'!D22</f>
        <v/>
      </c>
      <c r="C19" s="344">
        <f>'ERROR FINAL'!G22</f>
        <v/>
      </c>
      <c r="D19" s="85">
        <f>'ERROR FINAL'!I22</f>
        <v/>
      </c>
      <c r="E19" s="345">
        <f>'ERROR FINAL'!U22</f>
        <v/>
      </c>
      <c r="F19" s="346">
        <f>'ERROR FINAL'!AG22</f>
        <v/>
      </c>
      <c r="G19" s="346">
        <f>'ERROR FINAL'!AS22</f>
        <v/>
      </c>
      <c r="H19" s="88">
        <f>IF('ERROR FINAL'!AT22="CONFORME","CONFORME","NO CONFORME")</f>
        <v/>
      </c>
      <c r="I19" s="89">
        <f>IF(D19=0,"Medición",IF(D19=1,"Daño físico",IF(D19=2,"Fuga",IF(D19=3,"Picado",IF(D19=4,"Desfasado",IF(D19=5,"Paralizado","¿?"))))))</f>
        <v/>
      </c>
    </row>
    <row r="20">
      <c r="A20" s="82">
        <f>'ERROR FINAL'!A23</f>
        <v/>
      </c>
      <c r="B20" s="83">
        <f>'ERROR FINAL'!D23</f>
        <v/>
      </c>
      <c r="C20" s="344">
        <f>'ERROR FINAL'!G23</f>
        <v/>
      </c>
      <c r="D20" s="85">
        <f>'ERROR FINAL'!I23</f>
        <v/>
      </c>
      <c r="E20" s="345">
        <f>'ERROR FINAL'!U23</f>
        <v/>
      </c>
      <c r="F20" s="346">
        <f>'ERROR FINAL'!AG23</f>
        <v/>
      </c>
      <c r="G20" s="346">
        <f>'ERROR FINAL'!AS23</f>
        <v/>
      </c>
      <c r="H20" s="88">
        <f>IF('ERROR FINAL'!AT23="CONFORME","CONFORME","NO CONFORME")</f>
        <v/>
      </c>
      <c r="I20" s="89">
        <f>IF(D20=0,"Medición",IF(D20=1,"Daño físico",IF(D20=2,"Fuga",IF(D20=3,"Picado",IF(D20=4,"Desfasado",IF(D20=5,"Paralizado","¿?"))))))</f>
        <v/>
      </c>
    </row>
    <row r="21">
      <c r="A21" s="82">
        <f>'ERROR FINAL'!A24</f>
        <v/>
      </c>
      <c r="B21" s="83">
        <f>'ERROR FINAL'!D24</f>
        <v/>
      </c>
      <c r="C21" s="344">
        <f>'ERROR FINAL'!G24</f>
        <v/>
      </c>
      <c r="D21" s="85">
        <f>'ERROR FINAL'!I24</f>
        <v/>
      </c>
      <c r="E21" s="345">
        <f>'ERROR FINAL'!U24</f>
        <v/>
      </c>
      <c r="F21" s="346">
        <f>'ERROR FINAL'!AG24</f>
        <v/>
      </c>
      <c r="G21" s="346">
        <f>'ERROR FINAL'!AS24</f>
        <v/>
      </c>
      <c r="H21" s="88">
        <f>IF('ERROR FINAL'!AT24="CONFORME","CONFORME","NO CONFORME")</f>
        <v/>
      </c>
      <c r="I21" s="89">
        <f>IF(D21=0,"Medición",IF(D21=1,"Daño físico",IF(D21=2,"Fuga",IF(D21=3,"Picado",IF(D21=4,"Desfasado",IF(D21=5,"Paralizado","¿?"))))))</f>
        <v/>
      </c>
    </row>
    <row r="22">
      <c r="A22" s="82">
        <f>'ERROR FINAL'!A25</f>
        <v/>
      </c>
      <c r="B22" s="83">
        <f>'ERROR FINAL'!D25</f>
        <v/>
      </c>
      <c r="C22" s="344">
        <f>'ERROR FINAL'!G25</f>
        <v/>
      </c>
      <c r="D22" s="85">
        <f>'ERROR FINAL'!I25</f>
        <v/>
      </c>
      <c r="E22" s="345">
        <f>'ERROR FINAL'!U25</f>
        <v/>
      </c>
      <c r="F22" s="346">
        <f>'ERROR FINAL'!AG25</f>
        <v/>
      </c>
      <c r="G22" s="346">
        <f>'ERROR FINAL'!AS25</f>
        <v/>
      </c>
      <c r="H22" s="88">
        <f>IF('ERROR FINAL'!AT25="CONFORME","CONFORME","NO CONFORME")</f>
        <v/>
      </c>
      <c r="I22" s="89">
        <f>IF(D22=0,"Medición",IF(D22=1,"Daño físico",IF(D22=2,"Fuga",IF(D22=3,"Picado",IF(D22=4,"Desfasado",IF(D22=5,"Paralizado","¿?"))))))</f>
        <v/>
      </c>
    </row>
    <row r="23">
      <c r="A23" s="82">
        <f>'ERROR FINAL'!A26</f>
        <v/>
      </c>
      <c r="B23" s="83">
        <f>'ERROR FINAL'!D26</f>
        <v/>
      </c>
      <c r="C23" s="344">
        <f>'ERROR FINAL'!G26</f>
        <v/>
      </c>
      <c r="D23" s="85">
        <f>'ERROR FINAL'!I26</f>
        <v/>
      </c>
      <c r="E23" s="345">
        <f>'ERROR FINAL'!U26</f>
        <v/>
      </c>
      <c r="F23" s="346">
        <f>'ERROR FINAL'!AG26</f>
        <v/>
      </c>
      <c r="G23" s="346">
        <f>'ERROR FINAL'!AS26</f>
        <v/>
      </c>
      <c r="H23" s="88">
        <f>IF('ERROR FINAL'!AT26="CONFORME","CONFORME","NO CONFORME")</f>
        <v/>
      </c>
      <c r="I23" s="89">
        <f>IF(D23=0,"Medición",IF(D23=1,"Daño físico",IF(D23=2,"Fuga",IF(D23=3,"Picado",IF(D23=4,"Desfasado",IF(D23=5,"Paralizado","¿?"))))))</f>
        <v/>
      </c>
    </row>
    <row r="24">
      <c r="A24" s="82">
        <f>'ERROR FINAL'!A27</f>
        <v/>
      </c>
      <c r="B24" s="83">
        <f>'ERROR FINAL'!D27</f>
        <v/>
      </c>
      <c r="C24" s="344">
        <f>'ERROR FINAL'!G27</f>
        <v/>
      </c>
      <c r="D24" s="85">
        <f>'ERROR FINAL'!I27</f>
        <v/>
      </c>
      <c r="E24" s="345">
        <f>'ERROR FINAL'!U27</f>
        <v/>
      </c>
      <c r="F24" s="346">
        <f>'ERROR FINAL'!AG27</f>
        <v/>
      </c>
      <c r="G24" s="346">
        <f>'ERROR FINAL'!AS27</f>
        <v/>
      </c>
      <c r="H24" s="88">
        <f>IF('ERROR FINAL'!AT27="CONFORME","CONFORME","NO CONFORME")</f>
        <v/>
      </c>
      <c r="I24" s="89">
        <f>IF(D24=0,"Medición",IF(D24=1,"Daño físico",IF(D24=2,"Fuga",IF(D24=3,"Picado",IF(D24=4,"Desfasado",IF(D24=5,"Paralizado","¿?"))))))</f>
        <v/>
      </c>
    </row>
    <row r="25">
      <c r="A25" s="82">
        <f>'ERROR FINAL'!A28</f>
        <v/>
      </c>
      <c r="B25" s="83">
        <f>'ERROR FINAL'!D28</f>
        <v/>
      </c>
      <c r="C25" s="344">
        <f>'ERROR FINAL'!G28</f>
        <v/>
      </c>
      <c r="D25" s="85">
        <f>'ERROR FINAL'!I28</f>
        <v/>
      </c>
      <c r="E25" s="345">
        <f>'ERROR FINAL'!U28</f>
        <v/>
      </c>
      <c r="F25" s="346">
        <f>'ERROR FINAL'!AG28</f>
        <v/>
      </c>
      <c r="G25" s="346">
        <f>'ERROR FINAL'!AS28</f>
        <v/>
      </c>
      <c r="H25" s="88">
        <f>IF('ERROR FINAL'!AT28="CONFORME","CONFORME","NO CONFORME")</f>
        <v/>
      </c>
      <c r="I25" s="89">
        <f>IF(D25=0,"Medición",IF(D25=1,"Daño físico",IF(D25=2,"Fuga",IF(D25=3,"Picado",IF(D25=4,"Desfasado",IF(D25=5,"Paralizado","¿?"))))))</f>
        <v/>
      </c>
    </row>
    <row r="26">
      <c r="A26" s="82">
        <f>'ERROR FINAL'!A29</f>
        <v/>
      </c>
      <c r="B26" s="83">
        <f>'ERROR FINAL'!D29</f>
        <v/>
      </c>
      <c r="C26" s="344">
        <f>'ERROR FINAL'!G29</f>
        <v/>
      </c>
      <c r="D26" s="85">
        <f>'ERROR FINAL'!I29</f>
        <v/>
      </c>
      <c r="E26" s="345">
        <f>'ERROR FINAL'!U29</f>
        <v/>
      </c>
      <c r="F26" s="346">
        <f>'ERROR FINAL'!AG29</f>
        <v/>
      </c>
      <c r="G26" s="346">
        <f>'ERROR FINAL'!AS29</f>
        <v/>
      </c>
      <c r="H26" s="88">
        <f>IF('ERROR FINAL'!AT29="CONFORME","CONFORME","NO CONFORME")</f>
        <v/>
      </c>
      <c r="I26" s="89">
        <f>IF(D26=0,"Medición",IF(D26=1,"Daño físico",IF(D26=2,"Fuga",IF(D26=3,"Picado",IF(D26=4,"Desfasado",IF(D26=5,"Paralizado","¿?"))))))</f>
        <v/>
      </c>
    </row>
    <row r="27">
      <c r="A27" s="82">
        <f>'ERROR FINAL'!A30</f>
        <v/>
      </c>
      <c r="B27" s="83">
        <f>'ERROR FINAL'!D30</f>
        <v/>
      </c>
      <c r="C27" s="344">
        <f>'ERROR FINAL'!G30</f>
        <v/>
      </c>
      <c r="D27" s="85">
        <f>'ERROR FINAL'!I30</f>
        <v/>
      </c>
      <c r="E27" s="345">
        <f>'ERROR FINAL'!U30</f>
        <v/>
      </c>
      <c r="F27" s="346">
        <f>'ERROR FINAL'!AG30</f>
        <v/>
      </c>
      <c r="G27" s="346">
        <f>'ERROR FINAL'!AS30</f>
        <v/>
      </c>
      <c r="H27" s="88">
        <f>IF('ERROR FINAL'!AT30="CONFORME","CONFORME","NO CONFORME")</f>
        <v/>
      </c>
      <c r="I27" s="89">
        <f>IF(D27=0,"Medición",IF(D27=1,"Daño físico",IF(D27=2,"Fuga",IF(D27=3,"Picado",IF(D27=4,"Desfasado",IF(D27=5,"Paralizado","¿?"))))))</f>
        <v/>
      </c>
    </row>
    <row r="28">
      <c r="A28" s="82">
        <f>'ERROR FINAL'!A31</f>
        <v/>
      </c>
      <c r="B28" s="83">
        <f>'ERROR FINAL'!D31</f>
        <v/>
      </c>
      <c r="C28" s="344">
        <f>'ERROR FINAL'!G31</f>
        <v/>
      </c>
      <c r="D28" s="85">
        <f>'ERROR FINAL'!I31</f>
        <v/>
      </c>
      <c r="E28" s="345">
        <f>'ERROR FINAL'!U31</f>
        <v/>
      </c>
      <c r="F28" s="346">
        <f>'ERROR FINAL'!AG31</f>
        <v/>
      </c>
      <c r="G28" s="346">
        <f>'ERROR FINAL'!AS31</f>
        <v/>
      </c>
      <c r="H28" s="88">
        <f>IF('ERROR FINAL'!AT31="CONFORME","CONFORME","NO CONFORME")</f>
        <v/>
      </c>
      <c r="I28" s="89">
        <f>IF(D28=0,"Medición",IF(D28=1,"Daño físico",IF(D28=2,"Fuga",IF(D28=3,"Picado",IF(D28=4,"Desfasado",IF(D28=5,"Paralizado","¿?"))))))</f>
        <v/>
      </c>
    </row>
    <row r="29">
      <c r="A29" s="82">
        <f>'ERROR FINAL'!A32</f>
        <v/>
      </c>
      <c r="B29" s="83">
        <f>'ERROR FINAL'!D32</f>
        <v/>
      </c>
      <c r="C29" s="344">
        <f>'ERROR FINAL'!G32</f>
        <v/>
      </c>
      <c r="D29" s="85">
        <f>'ERROR FINAL'!I32</f>
        <v/>
      </c>
      <c r="E29" s="345">
        <f>'ERROR FINAL'!U32</f>
        <v/>
      </c>
      <c r="F29" s="346">
        <f>'ERROR FINAL'!AG32</f>
        <v/>
      </c>
      <c r="G29" s="346">
        <f>'ERROR FINAL'!AS32</f>
        <v/>
      </c>
      <c r="H29" s="88">
        <f>IF('ERROR FINAL'!AT32="CONFORME","CONFORME","NO CONFORME")</f>
        <v/>
      </c>
      <c r="I29" s="89">
        <f>IF(D29=0,"Medición",IF(D29=1,"Daño físico",IF(D29=2,"Fuga",IF(D29=3,"Picado",IF(D29=4,"Desfasado",IF(D29=5,"Paralizado","¿?"))))))</f>
        <v/>
      </c>
    </row>
    <row r="30">
      <c r="A30" s="82">
        <f>'ERROR FINAL'!A33</f>
        <v/>
      </c>
      <c r="B30" s="83">
        <f>'ERROR FINAL'!D33</f>
        <v/>
      </c>
      <c r="C30" s="344">
        <f>'ERROR FINAL'!G33</f>
        <v/>
      </c>
      <c r="D30" s="85">
        <f>'ERROR FINAL'!I33</f>
        <v/>
      </c>
      <c r="E30" s="345">
        <f>'ERROR FINAL'!U33</f>
        <v/>
      </c>
      <c r="F30" s="346">
        <f>'ERROR FINAL'!AG33</f>
        <v/>
      </c>
      <c r="G30" s="346">
        <f>'ERROR FINAL'!AS33</f>
        <v/>
      </c>
      <c r="H30" s="88">
        <f>IF('ERROR FINAL'!AT33="CONFORME","CONFORME","NO CONFORME")</f>
        <v/>
      </c>
      <c r="I30" s="89">
        <f>IF(D30=0,"Medición",IF(D30=1,"Daño físico",IF(D30=2,"Fuga",IF(D30=3,"Picado",IF(D30=4,"Desfasado",IF(D30=5,"Paralizado","¿?"))))))</f>
        <v/>
      </c>
    </row>
    <row r="31">
      <c r="A31" s="82">
        <f>'ERROR FINAL'!A34</f>
        <v/>
      </c>
      <c r="B31" s="83">
        <f>'ERROR FINAL'!D34</f>
        <v/>
      </c>
      <c r="C31" s="344">
        <f>'ERROR FINAL'!G34</f>
        <v/>
      </c>
      <c r="D31" s="85">
        <f>'ERROR FINAL'!I34</f>
        <v/>
      </c>
      <c r="E31" s="345">
        <f>'ERROR FINAL'!U34</f>
        <v/>
      </c>
      <c r="F31" s="346">
        <f>'ERROR FINAL'!AG34</f>
        <v/>
      </c>
      <c r="G31" s="346">
        <f>'ERROR FINAL'!AS34</f>
        <v/>
      </c>
      <c r="H31" s="88">
        <f>IF('ERROR FINAL'!AT34="CONFORME","CONFORME","NO CONFORME")</f>
        <v/>
      </c>
      <c r="I31" s="89">
        <f>IF(D31=0,"Medición",IF(D31=1,"Daño físico",IF(D31=2,"Fuga",IF(D31=3,"Picado",IF(D31=4,"Desfasado",IF(D31=5,"Paralizado","¿?"))))))</f>
        <v/>
      </c>
    </row>
    <row r="32">
      <c r="A32" s="82">
        <f>'ERROR FINAL'!A35</f>
        <v/>
      </c>
      <c r="B32" s="83">
        <f>'ERROR FINAL'!D35</f>
        <v/>
      </c>
      <c r="C32" s="344">
        <f>'ERROR FINAL'!G35</f>
        <v/>
      </c>
      <c r="D32" s="85">
        <f>'ERROR FINAL'!I35</f>
        <v/>
      </c>
      <c r="E32" s="345">
        <f>'ERROR FINAL'!U35</f>
        <v/>
      </c>
      <c r="F32" s="346">
        <f>'ERROR FINAL'!AG35</f>
        <v/>
      </c>
      <c r="G32" s="346">
        <f>'ERROR FINAL'!AS35</f>
        <v/>
      </c>
      <c r="H32" s="88">
        <f>IF('ERROR FINAL'!AT35="CONFORME","CONFORME","NO CONFORME")</f>
        <v/>
      </c>
      <c r="I32" s="89">
        <f>IF(D32=0,"Medición",IF(D32=1,"Daño físico",IF(D32=2,"Fuga",IF(D32=3,"Picado",IF(D32=4,"Desfasado",IF(D32=5,"Paralizado","¿?"))))))</f>
        <v/>
      </c>
    </row>
    <row r="33">
      <c r="A33" s="82">
        <f>'ERROR FINAL'!A36</f>
        <v/>
      </c>
      <c r="B33" s="83">
        <f>'ERROR FINAL'!D36</f>
        <v/>
      </c>
      <c r="C33" s="344">
        <f>'ERROR FINAL'!G36</f>
        <v/>
      </c>
      <c r="D33" s="85">
        <f>'ERROR FINAL'!I36</f>
        <v/>
      </c>
      <c r="E33" s="345">
        <f>'ERROR FINAL'!U36</f>
        <v/>
      </c>
      <c r="F33" s="346">
        <f>'ERROR FINAL'!AG36</f>
        <v/>
      </c>
      <c r="G33" s="346">
        <f>'ERROR FINAL'!AS36</f>
        <v/>
      </c>
      <c r="H33" s="88">
        <f>IF('ERROR FINAL'!AT36="CONFORME","CONFORME","NO CONFORME")</f>
        <v/>
      </c>
      <c r="I33" s="89">
        <f>IF(D33=0,"Medición",IF(D33=1,"Daño físico",IF(D33=2,"Fuga",IF(D33=3,"Picado",IF(D33=4,"Desfasado",IF(D33=5,"Paralizado","¿?"))))))</f>
        <v/>
      </c>
    </row>
    <row r="34">
      <c r="A34" s="82">
        <f>'ERROR FINAL'!A37</f>
        <v/>
      </c>
      <c r="B34" s="83">
        <f>'ERROR FINAL'!D37</f>
        <v/>
      </c>
      <c r="C34" s="344">
        <f>'ERROR FINAL'!G37</f>
        <v/>
      </c>
      <c r="D34" s="85">
        <f>'ERROR FINAL'!I37</f>
        <v/>
      </c>
      <c r="E34" s="345">
        <f>'ERROR FINAL'!U37</f>
        <v/>
      </c>
      <c r="F34" s="346">
        <f>'ERROR FINAL'!AG37</f>
        <v/>
      </c>
      <c r="G34" s="346">
        <f>'ERROR FINAL'!AS37</f>
        <v/>
      </c>
      <c r="H34" s="88">
        <f>IF('ERROR FINAL'!AT37="CONFORME","CONFORME","NO CONFORME")</f>
        <v/>
      </c>
      <c r="I34" s="89">
        <f>IF(D34=0,"Medición",IF(D34=1,"Daño físico",IF(D34=2,"Fuga",IF(D34=3,"Picado",IF(D34=4,"Desfasado",IF(D34=5,"Paralizado","¿?"))))))</f>
        <v/>
      </c>
    </row>
    <row r="35">
      <c r="A35" s="82">
        <f>'ERROR FINAL'!A38</f>
        <v/>
      </c>
      <c r="B35" s="83">
        <f>'ERROR FINAL'!D38</f>
        <v/>
      </c>
      <c r="C35" s="344">
        <f>'ERROR FINAL'!G38</f>
        <v/>
      </c>
      <c r="D35" s="85">
        <f>'ERROR FINAL'!I38</f>
        <v/>
      </c>
      <c r="E35" s="345">
        <f>'ERROR FINAL'!U38</f>
        <v/>
      </c>
      <c r="F35" s="346">
        <f>'ERROR FINAL'!AG38</f>
        <v/>
      </c>
      <c r="G35" s="346">
        <f>'ERROR FINAL'!AS38</f>
        <v/>
      </c>
      <c r="H35" s="88">
        <f>IF('ERROR FINAL'!AT38="CONFORME","CONFORME","NO CONFORME")</f>
        <v/>
      </c>
      <c r="I35" s="89">
        <f>IF(D35=0,"Medición",IF(D35=1,"Daño físico",IF(D35=2,"Fuga",IF(D35=3,"Picado",IF(D35=4,"Desfasado",IF(D35=5,"Paralizado","¿?"))))))</f>
        <v/>
      </c>
    </row>
    <row r="36">
      <c r="A36" s="82">
        <f>'ERROR FINAL'!A39</f>
        <v/>
      </c>
      <c r="B36" s="83">
        <f>'ERROR FINAL'!D39</f>
        <v/>
      </c>
      <c r="C36" s="344">
        <f>'ERROR FINAL'!G39</f>
        <v/>
      </c>
      <c r="D36" s="85">
        <f>'ERROR FINAL'!I39</f>
        <v/>
      </c>
      <c r="E36" s="345">
        <f>'ERROR FINAL'!U39</f>
        <v/>
      </c>
      <c r="F36" s="346">
        <f>'ERROR FINAL'!AG39</f>
        <v/>
      </c>
      <c r="G36" s="346">
        <f>'ERROR FINAL'!AS39</f>
        <v/>
      </c>
      <c r="H36" s="88">
        <f>IF('ERROR FINAL'!AT39="CONFORME","CONFORME","NO CONFORME")</f>
        <v/>
      </c>
      <c r="I36" s="89">
        <f>IF(D36=0,"Medición",IF(D36=1,"Daño físico",IF(D36=2,"Fuga",IF(D36=3,"Picado",IF(D36=4,"Desfasado",IF(D36=5,"Paralizado","¿?"))))))</f>
        <v/>
      </c>
    </row>
    <row r="37">
      <c r="A37" s="82">
        <f>'ERROR FINAL'!A40</f>
        <v/>
      </c>
      <c r="B37" s="83">
        <f>'ERROR FINAL'!D40</f>
        <v/>
      </c>
      <c r="C37" s="344">
        <f>'ERROR FINAL'!G40</f>
        <v/>
      </c>
      <c r="D37" s="85">
        <f>'ERROR FINAL'!I40</f>
        <v/>
      </c>
      <c r="E37" s="345">
        <f>'ERROR FINAL'!U40</f>
        <v/>
      </c>
      <c r="F37" s="346">
        <f>'ERROR FINAL'!AG40</f>
        <v/>
      </c>
      <c r="G37" s="346">
        <f>'ERROR FINAL'!AS40</f>
        <v/>
      </c>
      <c r="H37" s="88">
        <f>IF('ERROR FINAL'!AT40="CONFORME","CONFORME","NO CONFORME")</f>
        <v/>
      </c>
      <c r="I37" s="89">
        <f>IF(D37=0,"Medición",IF(D37=1,"Daño físico",IF(D37=2,"Fuga",IF(D37=3,"Picado",IF(D37=4,"Desfasado",IF(D37=5,"Paralizado","¿?"))))))</f>
        <v/>
      </c>
    </row>
    <row r="38">
      <c r="A38" s="82">
        <f>'ERROR FINAL'!A41</f>
        <v/>
      </c>
      <c r="B38" s="83">
        <f>'ERROR FINAL'!D41</f>
        <v/>
      </c>
      <c r="C38" s="344">
        <f>'ERROR FINAL'!G41</f>
        <v/>
      </c>
      <c r="D38" s="85">
        <f>'ERROR FINAL'!I41</f>
        <v/>
      </c>
      <c r="E38" s="345">
        <f>'ERROR FINAL'!U41</f>
        <v/>
      </c>
      <c r="F38" s="346">
        <f>'ERROR FINAL'!AG41</f>
        <v/>
      </c>
      <c r="G38" s="346">
        <f>'ERROR FINAL'!AS41</f>
        <v/>
      </c>
      <c r="H38" s="88">
        <f>IF('ERROR FINAL'!AT41="CONFORME","CONFORME","NO CONFORME")</f>
        <v/>
      </c>
      <c r="I38" s="89">
        <f>IF(D38=0,"Medición",IF(D38=1,"Daño físico",IF(D38=2,"Fuga",IF(D38=3,"Picado",IF(D38=4,"Desfasado",IF(D38=5,"Paralizado","¿?"))))))</f>
        <v/>
      </c>
    </row>
    <row r="39">
      <c r="A39" s="82">
        <f>'ERROR FINAL'!A42</f>
        <v/>
      </c>
      <c r="B39" s="83">
        <f>'ERROR FINAL'!D42</f>
        <v/>
      </c>
      <c r="C39" s="344">
        <f>'ERROR FINAL'!G42</f>
        <v/>
      </c>
      <c r="D39" s="85">
        <f>'ERROR FINAL'!I42</f>
        <v/>
      </c>
      <c r="E39" s="345">
        <f>'ERROR FINAL'!U42</f>
        <v/>
      </c>
      <c r="F39" s="346">
        <f>'ERROR FINAL'!AG42</f>
        <v/>
      </c>
      <c r="G39" s="346">
        <f>'ERROR FINAL'!AS42</f>
        <v/>
      </c>
      <c r="H39" s="88">
        <f>IF('ERROR FINAL'!AT42="CONFORME","CONFORME","NO CONFORME")</f>
        <v/>
      </c>
      <c r="I39" s="89">
        <f>IF(D39=0,"Medición",IF(D39=1,"Daño físico",IF(D39=2,"Fuga",IF(D39=3,"Picado",IF(D39=4,"Desfasado",IF(D39=5,"Paralizado","¿?"))))))</f>
        <v/>
      </c>
    </row>
    <row r="40">
      <c r="A40" s="82">
        <f>'ERROR FINAL'!A43</f>
        <v/>
      </c>
      <c r="B40" s="83">
        <f>'ERROR FINAL'!D43</f>
        <v/>
      </c>
      <c r="C40" s="344">
        <f>'ERROR FINAL'!G43</f>
        <v/>
      </c>
      <c r="D40" s="85">
        <f>'ERROR FINAL'!I43</f>
        <v/>
      </c>
      <c r="E40" s="345">
        <f>'ERROR FINAL'!U43</f>
        <v/>
      </c>
      <c r="F40" s="346">
        <f>'ERROR FINAL'!AG43</f>
        <v/>
      </c>
      <c r="G40" s="346">
        <f>'ERROR FINAL'!AS43</f>
        <v/>
      </c>
      <c r="H40" s="88">
        <f>IF('ERROR FINAL'!AT43="CONFORME","CONFORME","NO CONFORME")</f>
        <v/>
      </c>
      <c r="I40" s="89">
        <f>IF(D40=0,"Medición",IF(D40=1,"Daño físico",IF(D40=2,"Fuga",IF(D40=3,"Picado",IF(D40=4,"Desfasado",IF(D40=5,"Paralizado","¿?"))))))</f>
        <v/>
      </c>
    </row>
    <row r="41">
      <c r="A41" s="82">
        <f>'ERROR FINAL'!A44</f>
        <v/>
      </c>
      <c r="B41" s="83">
        <f>'ERROR FINAL'!D44</f>
        <v/>
      </c>
      <c r="C41" s="344">
        <f>'ERROR FINAL'!G44</f>
        <v/>
      </c>
      <c r="D41" s="85">
        <f>'ERROR FINAL'!I44</f>
        <v/>
      </c>
      <c r="E41" s="345">
        <f>'ERROR FINAL'!U44</f>
        <v/>
      </c>
      <c r="F41" s="346">
        <f>'ERROR FINAL'!AG44</f>
        <v/>
      </c>
      <c r="G41" s="346">
        <f>'ERROR FINAL'!AS44</f>
        <v/>
      </c>
      <c r="H41" s="88">
        <f>IF('ERROR FINAL'!AT44="CONFORME","CONFORME","NO CONFORME")</f>
        <v/>
      </c>
      <c r="I41" s="89">
        <f>IF(D41=0,"Medición",IF(D41=1,"Daño físico",IF(D41=2,"Fuga",IF(D41=3,"Picado",IF(D41=4,"Desfasado",IF(D41=5,"Paralizado","¿?"))))))</f>
        <v/>
      </c>
    </row>
    <row r="42">
      <c r="A42" s="82">
        <f>'ERROR FINAL'!A45</f>
        <v/>
      </c>
      <c r="B42" s="83">
        <f>'ERROR FINAL'!D45</f>
        <v/>
      </c>
      <c r="C42" s="344">
        <f>'ERROR FINAL'!G45</f>
        <v/>
      </c>
      <c r="D42" s="85">
        <f>'ERROR FINAL'!I45</f>
        <v/>
      </c>
      <c r="E42" s="345">
        <f>'ERROR FINAL'!U45</f>
        <v/>
      </c>
      <c r="F42" s="346">
        <f>'ERROR FINAL'!AG45</f>
        <v/>
      </c>
      <c r="G42" s="346">
        <f>'ERROR FINAL'!AS45</f>
        <v/>
      </c>
      <c r="H42" s="88">
        <f>IF('ERROR FINAL'!AT45="CONFORME","CONFORME","NO CONFORME")</f>
        <v/>
      </c>
      <c r="I42" s="89">
        <f>IF(D42=0,"Medición",IF(D42=1,"Daño físico",IF(D42=2,"Fuga",IF(D42=3,"Picado",IF(D42=4,"Desfasado",IF(D42=5,"Paralizado","¿?"))))))</f>
        <v/>
      </c>
    </row>
    <row r="43">
      <c r="A43" s="82">
        <f>'ERROR FINAL'!A46</f>
        <v/>
      </c>
      <c r="B43" s="83">
        <f>'ERROR FINAL'!D46</f>
        <v/>
      </c>
      <c r="C43" s="344">
        <f>'ERROR FINAL'!G46</f>
        <v/>
      </c>
      <c r="D43" s="85">
        <f>'ERROR FINAL'!I46</f>
        <v/>
      </c>
      <c r="E43" s="345">
        <f>'ERROR FINAL'!U46</f>
        <v/>
      </c>
      <c r="F43" s="346">
        <f>'ERROR FINAL'!AG46</f>
        <v/>
      </c>
      <c r="G43" s="346">
        <f>'ERROR FINAL'!AS46</f>
        <v/>
      </c>
      <c r="H43" s="88">
        <f>IF('ERROR FINAL'!AT46="CONFORME","CONFORME","NO CONFORME")</f>
        <v/>
      </c>
      <c r="I43" s="89">
        <f>IF(D43=0,"Medición",IF(D43=1,"Daño físico",IF(D43=2,"Fuga",IF(D43=3,"Picado",IF(D43=4,"Desfasado",IF(D43=5,"Paralizado","¿?"))))))</f>
        <v/>
      </c>
    </row>
    <row r="44">
      <c r="A44" s="82">
        <f>'ERROR FINAL'!A47</f>
        <v/>
      </c>
      <c r="B44" s="83">
        <f>'ERROR FINAL'!D47</f>
        <v/>
      </c>
      <c r="C44" s="344">
        <f>'ERROR FINAL'!G47</f>
        <v/>
      </c>
      <c r="D44" s="85">
        <f>'ERROR FINAL'!I47</f>
        <v/>
      </c>
      <c r="E44" s="345">
        <f>'ERROR FINAL'!U47</f>
        <v/>
      </c>
      <c r="F44" s="346">
        <f>'ERROR FINAL'!AG47</f>
        <v/>
      </c>
      <c r="G44" s="346">
        <f>'ERROR FINAL'!AS47</f>
        <v/>
      </c>
      <c r="H44" s="88">
        <f>IF('ERROR FINAL'!AT47="CONFORME","CONFORME","NO CONFORME")</f>
        <v/>
      </c>
      <c r="I44" s="89">
        <f>IF(D44=0,"Medición",IF(D44=1,"Daño físico",IF(D44=2,"Fuga",IF(D44=3,"Picado",IF(D44=4,"Desfasado",IF(D44=5,"Paralizado","¿?"))))))</f>
        <v/>
      </c>
    </row>
    <row r="45">
      <c r="A45" s="82">
        <f>'ERROR FINAL'!A48</f>
        <v/>
      </c>
      <c r="B45" s="83">
        <f>'ERROR FINAL'!D48</f>
        <v/>
      </c>
      <c r="C45" s="344">
        <f>'ERROR FINAL'!G48</f>
        <v/>
      </c>
      <c r="D45" s="85">
        <f>'ERROR FINAL'!I48</f>
        <v/>
      </c>
      <c r="E45" s="345">
        <f>'ERROR FINAL'!U48</f>
        <v/>
      </c>
      <c r="F45" s="346">
        <f>'ERROR FINAL'!AG48</f>
        <v/>
      </c>
      <c r="G45" s="346">
        <f>'ERROR FINAL'!AS48</f>
        <v/>
      </c>
      <c r="H45" s="88">
        <f>IF('ERROR FINAL'!AT48="CONFORME","CONFORME","NO CONFORME")</f>
        <v/>
      </c>
      <c r="I45" s="89">
        <f>IF(D45=0,"Medición",IF(D45=1,"Daño físico",IF(D45=2,"Fuga",IF(D45=3,"Picado",IF(D45=4,"Desfasado",IF(D45=5,"Paralizado","¿?"))))))</f>
        <v/>
      </c>
    </row>
    <row r="46">
      <c r="A46" s="82">
        <f>'ERROR FINAL'!A49</f>
        <v/>
      </c>
      <c r="B46" s="83">
        <f>'ERROR FINAL'!D49</f>
        <v/>
      </c>
      <c r="C46" s="344">
        <f>'ERROR FINAL'!G49</f>
        <v/>
      </c>
      <c r="D46" s="85">
        <f>'ERROR FINAL'!I49</f>
        <v/>
      </c>
      <c r="E46" s="345">
        <f>'ERROR FINAL'!U49</f>
        <v/>
      </c>
      <c r="F46" s="346">
        <f>'ERROR FINAL'!AG49</f>
        <v/>
      </c>
      <c r="G46" s="346">
        <f>'ERROR FINAL'!AS49</f>
        <v/>
      </c>
      <c r="H46" s="88">
        <f>IF('ERROR FINAL'!AT49="CONFORME","CONFORME","NO CONFORME")</f>
        <v/>
      </c>
      <c r="I46" s="89">
        <f>IF(D46=0,"Medición",IF(D46=1,"Daño físico",IF(D46=2,"Fuga",IF(D46=3,"Picado",IF(D46=4,"Desfasado",IF(D46=5,"Paralizado","¿?"))))))</f>
        <v/>
      </c>
    </row>
    <row r="47">
      <c r="A47" s="82">
        <f>'ERROR FINAL'!A50</f>
        <v/>
      </c>
      <c r="B47" s="83">
        <f>'ERROR FINAL'!D50</f>
        <v/>
      </c>
      <c r="C47" s="344">
        <f>'ERROR FINAL'!G50</f>
        <v/>
      </c>
      <c r="D47" s="85">
        <f>'ERROR FINAL'!I50</f>
        <v/>
      </c>
      <c r="E47" s="345">
        <f>'ERROR FINAL'!U50</f>
        <v/>
      </c>
      <c r="F47" s="346">
        <f>'ERROR FINAL'!AG50</f>
        <v/>
      </c>
      <c r="G47" s="346">
        <f>'ERROR FINAL'!AS50</f>
        <v/>
      </c>
      <c r="H47" s="88">
        <f>IF('ERROR FINAL'!AT50="CONFORME","CONFORME","NO CONFORME")</f>
        <v/>
      </c>
      <c r="I47" s="89">
        <f>IF(D47=0,"Medición",IF(D47=1,"Daño físico",IF(D47=2,"Fuga",IF(D47=3,"Picado",IF(D47=4,"Desfasado",IF(D47=5,"Paralizado","¿?"))))))</f>
        <v/>
      </c>
    </row>
    <row r="48">
      <c r="A48" s="82">
        <f>'ERROR FINAL'!A51</f>
        <v/>
      </c>
      <c r="B48" s="83">
        <f>'ERROR FINAL'!D51</f>
        <v/>
      </c>
      <c r="C48" s="344">
        <f>'ERROR FINAL'!G51</f>
        <v/>
      </c>
      <c r="D48" s="85">
        <f>'ERROR FINAL'!I51</f>
        <v/>
      </c>
      <c r="E48" s="345">
        <f>'ERROR FINAL'!U51</f>
        <v/>
      </c>
      <c r="F48" s="346">
        <f>'ERROR FINAL'!AG51</f>
        <v/>
      </c>
      <c r="G48" s="346">
        <f>'ERROR FINAL'!AS51</f>
        <v/>
      </c>
      <c r="H48" s="88">
        <f>IF('ERROR FINAL'!AT51="CONFORME","CONFORME","NO CONFORME")</f>
        <v/>
      </c>
      <c r="I48" s="89">
        <f>IF(D48=0,"Medición",IF(D48=1,"Daño físico",IF(D48=2,"Fuga",IF(D48=3,"Picado",IF(D48=4,"Desfasado",IF(D48=5,"Paralizado","¿?"))))))</f>
        <v/>
      </c>
    </row>
    <row r="49">
      <c r="A49" s="82">
        <f>'ERROR FINAL'!A52</f>
        <v/>
      </c>
      <c r="B49" s="83">
        <f>'ERROR FINAL'!D52</f>
        <v/>
      </c>
      <c r="C49" s="344">
        <f>'ERROR FINAL'!G52</f>
        <v/>
      </c>
      <c r="D49" s="85">
        <f>'ERROR FINAL'!I52</f>
        <v/>
      </c>
      <c r="E49" s="345">
        <f>'ERROR FINAL'!U52</f>
        <v/>
      </c>
      <c r="F49" s="346">
        <f>'ERROR FINAL'!AG52</f>
        <v/>
      </c>
      <c r="G49" s="346">
        <f>'ERROR FINAL'!AS52</f>
        <v/>
      </c>
      <c r="H49" s="88">
        <f>IF('ERROR FINAL'!AT52="CONFORME","CONFORME","NO CONFORME")</f>
        <v/>
      </c>
      <c r="I49" s="89">
        <f>IF(D49=0,"Medición",IF(D49=1,"Daño físico",IF(D49=2,"Fuga",IF(D49=3,"Picado",IF(D49=4,"Desfasado",IF(D49=5,"Paralizado","¿?"))))))</f>
        <v/>
      </c>
    </row>
    <row r="50">
      <c r="A50" s="82">
        <f>'ERROR FINAL'!A53</f>
        <v/>
      </c>
      <c r="B50" s="83">
        <f>'ERROR FINAL'!D53</f>
        <v/>
      </c>
      <c r="C50" s="344">
        <f>'ERROR FINAL'!G53</f>
        <v/>
      </c>
      <c r="D50" s="85">
        <f>'ERROR FINAL'!I53</f>
        <v/>
      </c>
      <c r="E50" s="345">
        <f>'ERROR FINAL'!U53</f>
        <v/>
      </c>
      <c r="F50" s="346">
        <f>'ERROR FINAL'!AG53</f>
        <v/>
      </c>
      <c r="G50" s="346">
        <f>'ERROR FINAL'!AS53</f>
        <v/>
      </c>
      <c r="H50" s="88">
        <f>IF('ERROR FINAL'!AT53="CONFORME","CONFORME","NO CONFORME")</f>
        <v/>
      </c>
      <c r="I50" s="89">
        <f>IF(D50=0,"Medición",IF(D50=1,"Daño físico",IF(D50=2,"Fuga",IF(D50=3,"Picado",IF(D50=4,"Desfasado",IF(D50=5,"Paralizado","¿?"))))))</f>
        <v/>
      </c>
    </row>
    <row r="51">
      <c r="A51" s="82">
        <f>'ERROR FINAL'!A54</f>
        <v/>
      </c>
      <c r="B51" s="83">
        <f>'ERROR FINAL'!D54</f>
        <v/>
      </c>
      <c r="C51" s="344">
        <f>'ERROR FINAL'!G54</f>
        <v/>
      </c>
      <c r="D51" s="85">
        <f>'ERROR FINAL'!I54</f>
        <v/>
      </c>
      <c r="E51" s="345">
        <f>'ERROR FINAL'!U54</f>
        <v/>
      </c>
      <c r="F51" s="346">
        <f>'ERROR FINAL'!AG54</f>
        <v/>
      </c>
      <c r="G51" s="346">
        <f>'ERROR FINAL'!AS54</f>
        <v/>
      </c>
      <c r="H51" s="88">
        <f>IF('ERROR FINAL'!AT54="CONFORME","CONFORME","NO CONFORME")</f>
        <v/>
      </c>
      <c r="I51" s="89">
        <f>IF(D51=0,"Medición",IF(D51=1,"Daño físico",IF(D51=2,"Fuga",IF(D51=3,"Picado",IF(D51=4,"Desfasado",IF(D51=5,"Paralizado","¿?"))))))</f>
        <v/>
      </c>
    </row>
    <row r="52">
      <c r="A52" s="82">
        <f>'ERROR FINAL'!A55</f>
        <v/>
      </c>
      <c r="B52" s="83">
        <f>'ERROR FINAL'!D55</f>
        <v/>
      </c>
      <c r="C52" s="344">
        <f>'ERROR FINAL'!G55</f>
        <v/>
      </c>
      <c r="D52" s="85">
        <f>'ERROR FINAL'!I55</f>
        <v/>
      </c>
      <c r="E52" s="345">
        <f>'ERROR FINAL'!U55</f>
        <v/>
      </c>
      <c r="F52" s="346">
        <f>'ERROR FINAL'!AG55</f>
        <v/>
      </c>
      <c r="G52" s="346">
        <f>'ERROR FINAL'!AS55</f>
        <v/>
      </c>
      <c r="H52" s="88">
        <f>IF('ERROR FINAL'!AT55="CONFORME","CONFORME","NO CONFORME")</f>
        <v/>
      </c>
      <c r="I52" s="89">
        <f>IF(D52=0,"Medición",IF(D52=1,"Daño físico",IF(D52=2,"Fuga",IF(D52=3,"Picado",IF(D52=4,"Desfasado",IF(D52=5,"Paralizado","¿?"))))))</f>
        <v/>
      </c>
    </row>
    <row r="53">
      <c r="A53" s="82">
        <f>'ERROR FINAL'!A56</f>
        <v/>
      </c>
      <c r="B53" s="83">
        <f>'ERROR FINAL'!D56</f>
        <v/>
      </c>
      <c r="C53" s="344">
        <f>'ERROR FINAL'!G56</f>
        <v/>
      </c>
      <c r="D53" s="85">
        <f>'ERROR FINAL'!I56</f>
        <v/>
      </c>
      <c r="E53" s="345">
        <f>'ERROR FINAL'!U56</f>
        <v/>
      </c>
      <c r="F53" s="346">
        <f>'ERROR FINAL'!AG56</f>
        <v/>
      </c>
      <c r="G53" s="346">
        <f>'ERROR FINAL'!AS56</f>
        <v/>
      </c>
      <c r="H53" s="88">
        <f>IF('ERROR FINAL'!AT56="CONFORME","CONFORME","NO CONFORME")</f>
        <v/>
      </c>
      <c r="I53" s="89">
        <f>IF(D53=0,"Medición",IF(D53=1,"Daño físico",IF(D53=2,"Fuga",IF(D53=3,"Picado",IF(D53=4,"Desfasado",IF(D53=5,"Paralizado","¿?"))))))</f>
        <v/>
      </c>
    </row>
    <row r="54">
      <c r="A54" s="82">
        <f>'ERROR FINAL'!A57</f>
        <v/>
      </c>
      <c r="B54" s="83">
        <f>'ERROR FINAL'!D57</f>
        <v/>
      </c>
      <c r="C54" s="344">
        <f>'ERROR FINAL'!G57</f>
        <v/>
      </c>
      <c r="D54" s="85">
        <f>'ERROR FINAL'!I57</f>
        <v/>
      </c>
      <c r="E54" s="345">
        <f>'ERROR FINAL'!U57</f>
        <v/>
      </c>
      <c r="F54" s="346">
        <f>'ERROR FINAL'!AG57</f>
        <v/>
      </c>
      <c r="G54" s="346">
        <f>'ERROR FINAL'!AS57</f>
        <v/>
      </c>
      <c r="H54" s="88">
        <f>IF('ERROR FINAL'!AT57="CONFORME","CONFORME","NO CONFORME")</f>
        <v/>
      </c>
      <c r="I54" s="89">
        <f>IF(D54=0,"Medición",IF(D54=1,"Daño físico",IF(D54=2,"Fuga",IF(D54=3,"Picado",IF(D54=4,"Desfasado",IF(D54=5,"Paralizado","¿?"))))))</f>
        <v/>
      </c>
    </row>
    <row r="55">
      <c r="A55" s="82">
        <f>'ERROR FINAL'!A58</f>
        <v/>
      </c>
      <c r="B55" s="83">
        <f>'ERROR FINAL'!D58</f>
        <v/>
      </c>
      <c r="C55" s="344">
        <f>'ERROR FINAL'!G58</f>
        <v/>
      </c>
      <c r="D55" s="85">
        <f>'ERROR FINAL'!I58</f>
        <v/>
      </c>
      <c r="E55" s="345">
        <f>'ERROR FINAL'!U58</f>
        <v/>
      </c>
      <c r="F55" s="346">
        <f>'ERROR FINAL'!AG58</f>
        <v/>
      </c>
      <c r="G55" s="346">
        <f>'ERROR FINAL'!AS58</f>
        <v/>
      </c>
      <c r="H55" s="88">
        <f>IF('ERROR FINAL'!AT58="CONFORME","CONFORME","NO CONFORME")</f>
        <v/>
      </c>
      <c r="I55" s="89">
        <f>IF(D55=0,"Medición",IF(D55=1,"Daño físico",IF(D55=2,"Fuga",IF(D55=3,"Picado",IF(D55=4,"Desfasado",IF(D55=5,"Paralizado","¿?"))))))</f>
        <v/>
      </c>
    </row>
    <row r="56">
      <c r="A56" s="82">
        <f>'ERROR FINAL'!A59</f>
        <v/>
      </c>
      <c r="B56" s="83">
        <f>'ERROR FINAL'!D59</f>
        <v/>
      </c>
      <c r="C56" s="344">
        <f>'ERROR FINAL'!G59</f>
        <v/>
      </c>
      <c r="D56" s="85">
        <f>'ERROR FINAL'!I59</f>
        <v/>
      </c>
      <c r="E56" s="345">
        <f>'ERROR FINAL'!U59</f>
        <v/>
      </c>
      <c r="F56" s="346">
        <f>'ERROR FINAL'!AG59</f>
        <v/>
      </c>
      <c r="G56" s="346">
        <f>'ERROR FINAL'!AS59</f>
        <v/>
      </c>
      <c r="H56" s="88">
        <f>IF('ERROR FINAL'!AT59="CONFORME","CONFORME","NO CONFORME")</f>
        <v/>
      </c>
      <c r="I56" s="89">
        <f>IF(D56=0,"Medición",IF(D56=1,"Daño físico",IF(D56=2,"Fuga",IF(D56=3,"Picado",IF(D56=4,"Desfasado",IF(D56=5,"Paralizado","¿?"))))))</f>
        <v/>
      </c>
    </row>
    <row r="57">
      <c r="A57" s="82">
        <f>'ERROR FINAL'!A60</f>
        <v/>
      </c>
      <c r="B57" s="83">
        <f>'ERROR FINAL'!D60</f>
        <v/>
      </c>
      <c r="C57" s="344">
        <f>'ERROR FINAL'!G60</f>
        <v/>
      </c>
      <c r="D57" s="85">
        <f>'ERROR FINAL'!I60</f>
        <v/>
      </c>
      <c r="E57" s="345">
        <f>'ERROR FINAL'!U60</f>
        <v/>
      </c>
      <c r="F57" s="346">
        <f>'ERROR FINAL'!AG60</f>
        <v/>
      </c>
      <c r="G57" s="346">
        <f>'ERROR FINAL'!AS60</f>
        <v/>
      </c>
      <c r="H57" s="88">
        <f>IF('ERROR FINAL'!AT60="CONFORME","CONFORME","NO CONFORME")</f>
        <v/>
      </c>
      <c r="I57" s="89">
        <f>IF(D57=0,"Medición",IF(D57=1,"Daño físico",IF(D57=2,"Fuga",IF(D57=3,"Picado",IF(D57=4,"Desfasado",IF(D57=5,"Paralizado","¿?"))))))</f>
        <v/>
      </c>
    </row>
    <row r="58">
      <c r="A58" s="82">
        <f>'ERROR FINAL'!A61</f>
        <v/>
      </c>
      <c r="B58" s="83">
        <f>'ERROR FINAL'!D61</f>
        <v/>
      </c>
      <c r="C58" s="344">
        <f>'ERROR FINAL'!G61</f>
        <v/>
      </c>
      <c r="D58" s="85">
        <f>'ERROR FINAL'!I61</f>
        <v/>
      </c>
      <c r="E58" s="345">
        <f>'ERROR FINAL'!U61</f>
        <v/>
      </c>
      <c r="F58" s="346">
        <f>'ERROR FINAL'!AG61</f>
        <v/>
      </c>
      <c r="G58" s="346">
        <f>'ERROR FINAL'!AS61</f>
        <v/>
      </c>
      <c r="H58" s="88">
        <f>IF('ERROR FINAL'!AT61="CONFORME","CONFORME","NO CONFORME")</f>
        <v/>
      </c>
      <c r="I58" s="89">
        <f>IF(D58=0,"Medición",IF(D58=1,"Daño físico",IF(D58=2,"Fuga",IF(D58=3,"Picado",IF(D58=4,"Desfasado",IF(D58=5,"Paralizado","¿?"))))))</f>
        <v/>
      </c>
    </row>
    <row r="59">
      <c r="A59" s="82">
        <f>'ERROR FINAL'!A62</f>
        <v/>
      </c>
      <c r="B59" s="83">
        <f>'ERROR FINAL'!D62</f>
        <v/>
      </c>
      <c r="C59" s="344">
        <f>'ERROR FINAL'!G62</f>
        <v/>
      </c>
      <c r="D59" s="85">
        <f>'ERROR FINAL'!I62</f>
        <v/>
      </c>
      <c r="E59" s="345">
        <f>'ERROR FINAL'!U62</f>
        <v/>
      </c>
      <c r="F59" s="346">
        <f>'ERROR FINAL'!AG62</f>
        <v/>
      </c>
      <c r="G59" s="346">
        <f>'ERROR FINAL'!AS62</f>
        <v/>
      </c>
      <c r="H59" s="88">
        <f>IF('ERROR FINAL'!AT62="CONFORME","CONFORME","NO CONFORME")</f>
        <v/>
      </c>
      <c r="I59" s="89">
        <f>IF(D59=0,"Medición",IF(D59=1,"Daño físico",IF(D59=2,"Fuga",IF(D59=3,"Picado",IF(D59=4,"Desfasado",IF(D59=5,"Paralizado","¿?"))))))</f>
        <v/>
      </c>
    </row>
    <row r="60">
      <c r="A60" s="82">
        <f>'ERROR FINAL'!A63</f>
        <v/>
      </c>
      <c r="B60" s="83">
        <f>'ERROR FINAL'!D63</f>
        <v/>
      </c>
      <c r="C60" s="344">
        <f>'ERROR FINAL'!G63</f>
        <v/>
      </c>
      <c r="D60" s="85">
        <f>'ERROR FINAL'!I63</f>
        <v/>
      </c>
      <c r="E60" s="345">
        <f>'ERROR FINAL'!U63</f>
        <v/>
      </c>
      <c r="F60" s="346">
        <f>'ERROR FINAL'!AG63</f>
        <v/>
      </c>
      <c r="G60" s="346">
        <f>'ERROR FINAL'!AS63</f>
        <v/>
      </c>
      <c r="H60" s="88">
        <f>IF('ERROR FINAL'!AT63="CONFORME","CONFORME","NO CONFORME")</f>
        <v/>
      </c>
      <c r="I60" s="89">
        <f>IF(D60=0,"Medición",IF(D60=1,"Daño físico",IF(D60=2,"Fuga",IF(D60=3,"Picado",IF(D60=4,"Desfasado",IF(D60=5,"Paralizado","¿?"))))))</f>
        <v/>
      </c>
    </row>
    <row r="61">
      <c r="A61" s="82">
        <f>'ERROR FINAL'!A64</f>
        <v/>
      </c>
      <c r="B61" s="83">
        <f>'ERROR FINAL'!D64</f>
        <v/>
      </c>
      <c r="C61" s="344">
        <f>'ERROR FINAL'!G64</f>
        <v/>
      </c>
      <c r="D61" s="85">
        <f>'ERROR FINAL'!I64</f>
        <v/>
      </c>
      <c r="E61" s="345">
        <f>'ERROR FINAL'!U64</f>
        <v/>
      </c>
      <c r="F61" s="346">
        <f>'ERROR FINAL'!AG64</f>
        <v/>
      </c>
      <c r="G61" s="346">
        <f>'ERROR FINAL'!AS64</f>
        <v/>
      </c>
      <c r="H61" s="88">
        <f>IF('ERROR FINAL'!AT64="CONFORME","CONFORME","NO CONFORME")</f>
        <v/>
      </c>
      <c r="I61" s="89">
        <f>IF(D61=0,"Medición",IF(D61=1,"Daño físico",IF(D61=2,"Fuga",IF(D61=3,"Picado",IF(D61=4,"Desfasado",IF(D61=5,"Paralizado","¿?"))))))</f>
        <v/>
      </c>
    </row>
    <row r="62">
      <c r="A62" s="82">
        <f>'ERROR FINAL'!A65</f>
        <v/>
      </c>
      <c r="B62" s="83">
        <f>'ERROR FINAL'!D65</f>
        <v/>
      </c>
      <c r="C62" s="344">
        <f>'ERROR FINAL'!G65</f>
        <v/>
      </c>
      <c r="D62" s="85">
        <f>'ERROR FINAL'!I65</f>
        <v/>
      </c>
      <c r="E62" s="345">
        <f>'ERROR FINAL'!U65</f>
        <v/>
      </c>
      <c r="F62" s="346">
        <f>'ERROR FINAL'!AG65</f>
        <v/>
      </c>
      <c r="G62" s="346">
        <f>'ERROR FINAL'!AS65</f>
        <v/>
      </c>
      <c r="H62" s="88">
        <f>IF('ERROR FINAL'!AT65="CONFORME","CONFORME","NO CONFORME")</f>
        <v/>
      </c>
      <c r="I62" s="89">
        <f>IF(D62=0,"Medición",IF(D62=1,"Daño físico",IF(D62=2,"Fuga",IF(D62=3,"Picado",IF(D62=4,"Desfasado",IF(D62=5,"Paralizado","¿?"))))))</f>
        <v/>
      </c>
    </row>
    <row r="63">
      <c r="A63" s="82">
        <f>'ERROR FINAL'!A66</f>
        <v/>
      </c>
      <c r="B63" s="83">
        <f>'ERROR FINAL'!D66</f>
        <v/>
      </c>
      <c r="C63" s="344">
        <f>'ERROR FINAL'!G66</f>
        <v/>
      </c>
      <c r="D63" s="85">
        <f>'ERROR FINAL'!I66</f>
        <v/>
      </c>
      <c r="E63" s="345">
        <f>'ERROR FINAL'!U66</f>
        <v/>
      </c>
      <c r="F63" s="346">
        <f>'ERROR FINAL'!AG66</f>
        <v/>
      </c>
      <c r="G63" s="346">
        <f>'ERROR FINAL'!AS66</f>
        <v/>
      </c>
      <c r="H63" s="88">
        <f>IF('ERROR FINAL'!AT66="CONFORME","CONFORME","NO CONFORME")</f>
        <v/>
      </c>
      <c r="I63" s="89">
        <f>IF(D63=0,"Medición",IF(D63=1,"Daño físico",IF(D63=2,"Fuga",IF(D63=3,"Picado",IF(D63=4,"Desfasado",IF(D63=5,"Paralizado","¿?"))))))</f>
        <v/>
      </c>
    </row>
    <row r="64">
      <c r="A64" s="82">
        <f>'ERROR FINAL'!A67</f>
        <v/>
      </c>
      <c r="B64" s="83">
        <f>'ERROR FINAL'!D67</f>
        <v/>
      </c>
      <c r="C64" s="344">
        <f>'ERROR FINAL'!G67</f>
        <v/>
      </c>
      <c r="D64" s="85">
        <f>'ERROR FINAL'!I67</f>
        <v/>
      </c>
      <c r="E64" s="345">
        <f>'ERROR FINAL'!U67</f>
        <v/>
      </c>
      <c r="F64" s="346">
        <f>'ERROR FINAL'!AG67</f>
        <v/>
      </c>
      <c r="G64" s="346">
        <f>'ERROR FINAL'!AS67</f>
        <v/>
      </c>
      <c r="H64" s="88">
        <f>IF('ERROR FINAL'!AT67="CONFORME","CONFORME","NO CONFORME")</f>
        <v/>
      </c>
      <c r="I64" s="89">
        <f>IF(D64=0,"Medición",IF(D64=1,"Daño físico",IF(D64=2,"Fuga",IF(D64=3,"Picado",IF(D64=4,"Desfasado",IF(D64=5,"Paralizado","¿?"))))))</f>
        <v/>
      </c>
    </row>
    <row r="65">
      <c r="A65" s="82">
        <f>'ERROR FINAL'!A68</f>
        <v/>
      </c>
      <c r="B65" s="83">
        <f>'ERROR FINAL'!D68</f>
        <v/>
      </c>
      <c r="C65" s="344">
        <f>'ERROR FINAL'!G68</f>
        <v/>
      </c>
      <c r="D65" s="85">
        <f>'ERROR FINAL'!I68</f>
        <v/>
      </c>
      <c r="E65" s="345">
        <f>'ERROR FINAL'!U68</f>
        <v/>
      </c>
      <c r="F65" s="346">
        <f>'ERROR FINAL'!AG68</f>
        <v/>
      </c>
      <c r="G65" s="346">
        <f>'ERROR FINAL'!AS68</f>
        <v/>
      </c>
      <c r="H65" s="88">
        <f>IF('ERROR FINAL'!AT68="CONFORME","CONFORME","NO CONFORME")</f>
        <v/>
      </c>
      <c r="I65" s="89">
        <f>IF(D65=0,"Medición",IF(D65=1,"Daño físico",IF(D65=2,"Fuga",IF(D65=3,"Picado",IF(D65=4,"Desfasado",IF(D65=5,"Paralizado","¿?"))))))</f>
        <v/>
      </c>
    </row>
    <row r="66">
      <c r="A66" s="82">
        <f>'ERROR FINAL'!A69</f>
        <v/>
      </c>
      <c r="B66" s="83">
        <f>'ERROR FINAL'!D69</f>
        <v/>
      </c>
      <c r="C66" s="344">
        <f>'ERROR FINAL'!G69</f>
        <v/>
      </c>
      <c r="D66" s="85">
        <f>'ERROR FINAL'!I69</f>
        <v/>
      </c>
      <c r="E66" s="345">
        <f>'ERROR FINAL'!U69</f>
        <v/>
      </c>
      <c r="F66" s="346">
        <f>'ERROR FINAL'!AG69</f>
        <v/>
      </c>
      <c r="G66" s="346">
        <f>'ERROR FINAL'!AS69</f>
        <v/>
      </c>
      <c r="H66" s="88">
        <f>IF('ERROR FINAL'!AT69="CONFORME","CONFORME","NO CONFORME")</f>
        <v/>
      </c>
      <c r="I66" s="89">
        <f>IF(D66=0,"Medición",IF(D66=1,"Daño físico",IF(D66=2,"Fuga",IF(D66=3,"Picado",IF(D66=4,"Desfasado",IF(D66=5,"Paralizado","¿?"))))))</f>
        <v/>
      </c>
    </row>
    <row r="67">
      <c r="A67" s="82">
        <f>'ERROR FINAL'!A70</f>
        <v/>
      </c>
      <c r="B67" s="83">
        <f>'ERROR FINAL'!D70</f>
        <v/>
      </c>
      <c r="C67" s="344">
        <f>'ERROR FINAL'!G70</f>
        <v/>
      </c>
      <c r="D67" s="85">
        <f>'ERROR FINAL'!I70</f>
        <v/>
      </c>
      <c r="E67" s="345">
        <f>'ERROR FINAL'!U70</f>
        <v/>
      </c>
      <c r="F67" s="346">
        <f>'ERROR FINAL'!AG70</f>
        <v/>
      </c>
      <c r="G67" s="346">
        <f>'ERROR FINAL'!AS70</f>
        <v/>
      </c>
      <c r="H67" s="88">
        <f>IF('ERROR FINAL'!AT70="CONFORME","CONFORME","NO CONFORME")</f>
        <v/>
      </c>
      <c r="I67" s="89">
        <f>IF(D67=0,"Medición",IF(D67=1,"Daño físico",IF(D67=2,"Fuga",IF(D67=3,"Picado",IF(D67=4,"Desfasado",IF(D67=5,"Paralizado","¿?"))))))</f>
        <v/>
      </c>
    </row>
    <row r="68">
      <c r="A68" s="82">
        <f>'ERROR FINAL'!A71</f>
        <v/>
      </c>
      <c r="B68" s="83">
        <f>'ERROR FINAL'!D71</f>
        <v/>
      </c>
      <c r="C68" s="344">
        <f>'ERROR FINAL'!G71</f>
        <v/>
      </c>
      <c r="D68" s="85">
        <f>'ERROR FINAL'!I71</f>
        <v/>
      </c>
      <c r="E68" s="345">
        <f>'ERROR FINAL'!U71</f>
        <v/>
      </c>
      <c r="F68" s="346">
        <f>'ERROR FINAL'!AG71</f>
        <v/>
      </c>
      <c r="G68" s="346">
        <f>'ERROR FINAL'!AS71</f>
        <v/>
      </c>
      <c r="H68" s="88">
        <f>IF('ERROR FINAL'!AT71="CONFORME","CONFORME","NO CONFORME")</f>
        <v/>
      </c>
      <c r="I68" s="89">
        <f>IF(D68=0,"Medición",IF(D68=1,"Daño físico",IF(D68=2,"Fuga",IF(D68=3,"Picado",IF(D68=4,"Desfasado",IF(D68=5,"Paralizado","¿?"))))))</f>
        <v/>
      </c>
    </row>
    <row r="69">
      <c r="A69" s="82">
        <f>'ERROR FINAL'!A72</f>
        <v/>
      </c>
      <c r="B69" s="83">
        <f>'ERROR FINAL'!D72</f>
        <v/>
      </c>
      <c r="C69" s="344">
        <f>'ERROR FINAL'!G72</f>
        <v/>
      </c>
      <c r="D69" s="85">
        <f>'ERROR FINAL'!I72</f>
        <v/>
      </c>
      <c r="E69" s="345">
        <f>'ERROR FINAL'!U72</f>
        <v/>
      </c>
      <c r="F69" s="346">
        <f>'ERROR FINAL'!AG72</f>
        <v/>
      </c>
      <c r="G69" s="346">
        <f>'ERROR FINAL'!AS72</f>
        <v/>
      </c>
      <c r="H69" s="88">
        <f>IF('ERROR FINAL'!AT72="CONFORME","CONFORME","NO CONFORME")</f>
        <v/>
      </c>
      <c r="I69" s="89">
        <f>IF(D69=0,"Medición",IF(D69=1,"Daño físico",IF(D69=2,"Fuga",IF(D69=3,"Picado",IF(D69=4,"Desfasado",IF(D69=5,"Paralizado","¿?"))))))</f>
        <v/>
      </c>
    </row>
    <row r="70">
      <c r="A70" s="82">
        <f>'ERROR FINAL'!A73</f>
        <v/>
      </c>
      <c r="B70" s="83">
        <f>'ERROR FINAL'!D73</f>
        <v/>
      </c>
      <c r="C70" s="344">
        <f>'ERROR FINAL'!G73</f>
        <v/>
      </c>
      <c r="D70" s="85">
        <f>'ERROR FINAL'!I73</f>
        <v/>
      </c>
      <c r="E70" s="345">
        <f>'ERROR FINAL'!U73</f>
        <v/>
      </c>
      <c r="F70" s="346">
        <f>'ERROR FINAL'!AG73</f>
        <v/>
      </c>
      <c r="G70" s="346">
        <f>'ERROR FINAL'!AS73</f>
        <v/>
      </c>
      <c r="H70" s="88">
        <f>IF('ERROR FINAL'!AT73="CONFORME","CONFORME","NO CONFORME")</f>
        <v/>
      </c>
      <c r="I70" s="89">
        <f>IF(D70=0,"Medición",IF(D70=1,"Daño físico",IF(D70=2,"Fuga",IF(D70=3,"Picado",IF(D70=4,"Desfasado",IF(D70=5,"Paralizado","¿?"))))))</f>
        <v/>
      </c>
    </row>
    <row r="71">
      <c r="A71" s="82">
        <f>'ERROR FINAL'!A74</f>
        <v/>
      </c>
      <c r="B71" s="83">
        <f>'ERROR FINAL'!D74</f>
        <v/>
      </c>
      <c r="C71" s="344">
        <f>'ERROR FINAL'!G74</f>
        <v/>
      </c>
      <c r="D71" s="85">
        <f>'ERROR FINAL'!I74</f>
        <v/>
      </c>
      <c r="E71" s="345">
        <f>'ERROR FINAL'!U74</f>
        <v/>
      </c>
      <c r="F71" s="346">
        <f>'ERROR FINAL'!AG74</f>
        <v/>
      </c>
      <c r="G71" s="346">
        <f>'ERROR FINAL'!AS74</f>
        <v/>
      </c>
      <c r="H71" s="88">
        <f>IF('ERROR FINAL'!AT74="CONFORME","CONFORME","NO CONFORME")</f>
        <v/>
      </c>
      <c r="I71" s="89">
        <f>IF(D71=0,"Medición",IF(D71=1,"Daño físico",IF(D71=2,"Fuga",IF(D71=3,"Picado",IF(D71=4,"Desfasado",IF(D71=5,"Paralizado","¿?"))))))</f>
        <v/>
      </c>
    </row>
    <row r="72">
      <c r="A72" s="82">
        <f>'ERROR FINAL'!A75</f>
        <v/>
      </c>
      <c r="B72" s="83">
        <f>'ERROR FINAL'!D75</f>
        <v/>
      </c>
      <c r="C72" s="344">
        <f>'ERROR FINAL'!G75</f>
        <v/>
      </c>
      <c r="D72" s="85">
        <f>'ERROR FINAL'!I75</f>
        <v/>
      </c>
      <c r="E72" s="345">
        <f>'ERROR FINAL'!U75</f>
        <v/>
      </c>
      <c r="F72" s="346">
        <f>'ERROR FINAL'!AG75</f>
        <v/>
      </c>
      <c r="G72" s="346">
        <f>'ERROR FINAL'!AS75</f>
        <v/>
      </c>
      <c r="H72" s="88">
        <f>IF('ERROR FINAL'!AT75="CONFORME","CONFORME","NO CONFORME")</f>
        <v/>
      </c>
      <c r="I72" s="89">
        <f>IF(D72=0,"Medición",IF(D72=1,"Daño físico",IF(D72=2,"Fuga",IF(D72=3,"Picado",IF(D72=4,"Desfasado",IF(D72=5,"Paralizado","¿?"))))))</f>
        <v/>
      </c>
    </row>
    <row r="73">
      <c r="A73" s="82">
        <f>'ERROR FINAL'!A76</f>
        <v/>
      </c>
      <c r="B73" s="83">
        <f>'ERROR FINAL'!D76</f>
        <v/>
      </c>
      <c r="C73" s="344">
        <f>'ERROR FINAL'!G76</f>
        <v/>
      </c>
      <c r="D73" s="85">
        <f>'ERROR FINAL'!I76</f>
        <v/>
      </c>
      <c r="E73" s="345">
        <f>'ERROR FINAL'!U76</f>
        <v/>
      </c>
      <c r="F73" s="346">
        <f>'ERROR FINAL'!AG76</f>
        <v/>
      </c>
      <c r="G73" s="346">
        <f>'ERROR FINAL'!AS76</f>
        <v/>
      </c>
      <c r="H73" s="88">
        <f>IF('ERROR FINAL'!AT76="CONFORME","CONFORME","NO CONFORME")</f>
        <v/>
      </c>
      <c r="I73" s="89">
        <f>IF(D73=0,"Medición",IF(D73=1,"Daño físico",IF(D73=2,"Fuga",IF(D73=3,"Picado",IF(D73=4,"Desfasado",IF(D73=5,"Paralizado","¿?"))))))</f>
        <v/>
      </c>
    </row>
    <row r="74">
      <c r="A74" s="82">
        <f>'ERROR FINAL'!A77</f>
        <v/>
      </c>
      <c r="B74" s="83">
        <f>'ERROR FINAL'!D77</f>
        <v/>
      </c>
      <c r="C74" s="344">
        <f>'ERROR FINAL'!G77</f>
        <v/>
      </c>
      <c r="D74" s="85">
        <f>'ERROR FINAL'!I77</f>
        <v/>
      </c>
      <c r="E74" s="345">
        <f>'ERROR FINAL'!U77</f>
        <v/>
      </c>
      <c r="F74" s="346">
        <f>'ERROR FINAL'!AG77</f>
        <v/>
      </c>
      <c r="G74" s="346">
        <f>'ERROR FINAL'!AS77</f>
        <v/>
      </c>
      <c r="H74" s="88">
        <f>IF('ERROR FINAL'!AT77="CONFORME","CONFORME","NO CONFORME")</f>
        <v/>
      </c>
      <c r="I74" s="89">
        <f>IF(D74=0,"Medición",IF(D74=1,"Daño físico",IF(D74=2,"Fuga",IF(D74=3,"Picado",IF(D74=4,"Desfasado",IF(D74=5,"Paralizado","¿?"))))))</f>
        <v/>
      </c>
    </row>
    <row r="75">
      <c r="A75" s="82">
        <f>'ERROR FINAL'!A78</f>
        <v/>
      </c>
      <c r="B75" s="83">
        <f>'ERROR FINAL'!D78</f>
        <v/>
      </c>
      <c r="C75" s="344">
        <f>'ERROR FINAL'!G78</f>
        <v/>
      </c>
      <c r="D75" s="85">
        <f>'ERROR FINAL'!I78</f>
        <v/>
      </c>
      <c r="E75" s="345">
        <f>'ERROR FINAL'!U78</f>
        <v/>
      </c>
      <c r="F75" s="346">
        <f>'ERROR FINAL'!AG78</f>
        <v/>
      </c>
      <c r="G75" s="346">
        <f>'ERROR FINAL'!AS78</f>
        <v/>
      </c>
      <c r="H75" s="88">
        <f>IF('ERROR FINAL'!AT78="CONFORME","CONFORME","NO CONFORME")</f>
        <v/>
      </c>
      <c r="I75" s="89">
        <f>IF(D75=0,"Medición",IF(D75=1,"Daño físico",IF(D75=2,"Fuga",IF(D75=3,"Picado",IF(D75=4,"Desfasado",IF(D75=5,"Paralizado","¿?"))))))</f>
        <v/>
      </c>
    </row>
    <row r="76">
      <c r="A76" s="82">
        <f>'ERROR FINAL'!A79</f>
        <v/>
      </c>
      <c r="B76" s="83">
        <f>'ERROR FINAL'!D79</f>
        <v/>
      </c>
      <c r="C76" s="344">
        <f>'ERROR FINAL'!G79</f>
        <v/>
      </c>
      <c r="D76" s="85">
        <f>'ERROR FINAL'!I79</f>
        <v/>
      </c>
      <c r="E76" s="345">
        <f>'ERROR FINAL'!U79</f>
        <v/>
      </c>
      <c r="F76" s="346">
        <f>'ERROR FINAL'!AG79</f>
        <v/>
      </c>
      <c r="G76" s="346">
        <f>'ERROR FINAL'!AS79</f>
        <v/>
      </c>
      <c r="H76" s="88">
        <f>IF('ERROR FINAL'!AT79="CONFORME","CONFORME","NO CONFORME")</f>
        <v/>
      </c>
      <c r="I76" s="89">
        <f>IF(D76=0,"Medición",IF(D76=1,"Daño físico",IF(D76=2,"Fuga",IF(D76=3,"Picado",IF(D76=4,"Desfasado",IF(D76=5,"Paralizado","¿?"))))))</f>
        <v/>
      </c>
    </row>
    <row r="77">
      <c r="A77" s="82">
        <f>'ERROR FINAL'!A80</f>
        <v/>
      </c>
      <c r="B77" s="83">
        <f>'ERROR FINAL'!D80</f>
        <v/>
      </c>
      <c r="C77" s="344">
        <f>'ERROR FINAL'!G80</f>
        <v/>
      </c>
      <c r="D77" s="85">
        <f>'ERROR FINAL'!I80</f>
        <v/>
      </c>
      <c r="E77" s="345">
        <f>'ERROR FINAL'!U80</f>
        <v/>
      </c>
      <c r="F77" s="346">
        <f>'ERROR FINAL'!AG80</f>
        <v/>
      </c>
      <c r="G77" s="346">
        <f>'ERROR FINAL'!AS80</f>
        <v/>
      </c>
      <c r="H77" s="88">
        <f>IF('ERROR FINAL'!AT80="CONFORME","CONFORME","NO CONFORME")</f>
        <v/>
      </c>
      <c r="I77" s="89">
        <f>IF(D77=0,"Medición",IF(D77=1,"Daño físico",IF(D77=2,"Fuga",IF(D77=3,"Picado",IF(D77=4,"Desfasado",IF(D77=5,"Paralizado","¿?"))))))</f>
        <v/>
      </c>
    </row>
    <row r="78">
      <c r="A78" s="82">
        <f>'ERROR FINAL'!A81</f>
        <v/>
      </c>
      <c r="B78" s="83">
        <f>'ERROR FINAL'!D81</f>
        <v/>
      </c>
      <c r="C78" s="344">
        <f>'ERROR FINAL'!G81</f>
        <v/>
      </c>
      <c r="D78" s="85">
        <f>'ERROR FINAL'!I81</f>
        <v/>
      </c>
      <c r="E78" s="345">
        <f>'ERROR FINAL'!U81</f>
        <v/>
      </c>
      <c r="F78" s="346">
        <f>'ERROR FINAL'!AG81</f>
        <v/>
      </c>
      <c r="G78" s="346">
        <f>'ERROR FINAL'!AS81</f>
        <v/>
      </c>
      <c r="H78" s="88">
        <f>IF('ERROR FINAL'!AT81="CONFORME","CONFORME","NO CONFORME")</f>
        <v/>
      </c>
      <c r="I78" s="89">
        <f>IF(D78=0,"Medición",IF(D78=1,"Daño físico",IF(D78=2,"Fuga",IF(D78=3,"Picado",IF(D78=4,"Desfasado",IF(D78=5,"Paralizado","¿?"))))))</f>
        <v/>
      </c>
    </row>
    <row r="79">
      <c r="A79" s="82">
        <f>'ERROR FINAL'!A82</f>
        <v/>
      </c>
      <c r="B79" s="83">
        <f>'ERROR FINAL'!D82</f>
        <v/>
      </c>
      <c r="C79" s="344">
        <f>'ERROR FINAL'!G82</f>
        <v/>
      </c>
      <c r="D79" s="85">
        <f>'ERROR FINAL'!I82</f>
        <v/>
      </c>
      <c r="E79" s="345">
        <f>'ERROR FINAL'!U82</f>
        <v/>
      </c>
      <c r="F79" s="346">
        <f>'ERROR FINAL'!AG82</f>
        <v/>
      </c>
      <c r="G79" s="346">
        <f>'ERROR FINAL'!AS82</f>
        <v/>
      </c>
      <c r="H79" s="88">
        <f>IF('ERROR FINAL'!AT82="CONFORME","CONFORME","NO CONFORME")</f>
        <v/>
      </c>
      <c r="I79" s="89">
        <f>IF(D79=0,"Medición",IF(D79=1,"Daño físico",IF(D79=2,"Fuga",IF(D79=3,"Picado",IF(D79=4,"Desfasado",IF(D79=5,"Paralizado","¿?"))))))</f>
        <v/>
      </c>
    </row>
    <row r="80">
      <c r="A80" s="82">
        <f>'ERROR FINAL'!A83</f>
        <v/>
      </c>
      <c r="B80" s="83">
        <f>'ERROR FINAL'!D83</f>
        <v/>
      </c>
      <c r="C80" s="344">
        <f>'ERROR FINAL'!G83</f>
        <v/>
      </c>
      <c r="D80" s="85">
        <f>'ERROR FINAL'!I83</f>
        <v/>
      </c>
      <c r="E80" s="345">
        <f>'ERROR FINAL'!U83</f>
        <v/>
      </c>
      <c r="F80" s="346">
        <f>'ERROR FINAL'!AG83</f>
        <v/>
      </c>
      <c r="G80" s="346">
        <f>'ERROR FINAL'!AS83</f>
        <v/>
      </c>
      <c r="H80" s="88">
        <f>IF('ERROR FINAL'!AT83="CONFORME","CONFORME","NO CONFORME")</f>
        <v/>
      </c>
      <c r="I80" s="89">
        <f>IF(D80=0,"Medición",IF(D80=1,"Daño físico",IF(D80=2,"Fuga",IF(D80=3,"Picado",IF(D80=4,"Desfasado",IF(D80=5,"Paralizado","¿?"))))))</f>
        <v/>
      </c>
    </row>
    <row r="81">
      <c r="A81" s="82">
        <f>'ERROR FINAL'!A84</f>
        <v/>
      </c>
      <c r="B81" s="83">
        <f>'ERROR FINAL'!D84</f>
        <v/>
      </c>
      <c r="C81" s="344">
        <f>'ERROR FINAL'!G84</f>
        <v/>
      </c>
      <c r="D81" s="85">
        <f>'ERROR FINAL'!I84</f>
        <v/>
      </c>
      <c r="E81" s="345">
        <f>'ERROR FINAL'!U84</f>
        <v/>
      </c>
      <c r="F81" s="346">
        <f>'ERROR FINAL'!AG84</f>
        <v/>
      </c>
      <c r="G81" s="346">
        <f>'ERROR FINAL'!AS84</f>
        <v/>
      </c>
      <c r="H81" s="88">
        <f>IF('ERROR FINAL'!AT84="CONFORME","CONFORME","NO CONFORME")</f>
        <v/>
      </c>
      <c r="I81" s="89">
        <f>IF(D81=0,"Medición",IF(D81=1,"Daño físico",IF(D81=2,"Fuga",IF(D81=3,"Picado",IF(D81=4,"Desfasado",IF(D81=5,"Paralizado","¿?"))))))</f>
        <v/>
      </c>
    </row>
    <row r="82">
      <c r="A82" s="82">
        <f>'ERROR FINAL'!A85</f>
        <v/>
      </c>
      <c r="B82" s="83">
        <f>'ERROR FINAL'!D85</f>
        <v/>
      </c>
      <c r="C82" s="344">
        <f>'ERROR FINAL'!G85</f>
        <v/>
      </c>
      <c r="D82" s="85">
        <f>'ERROR FINAL'!I85</f>
        <v/>
      </c>
      <c r="E82" s="345">
        <f>'ERROR FINAL'!U85</f>
        <v/>
      </c>
      <c r="F82" s="346">
        <f>'ERROR FINAL'!AG85</f>
        <v/>
      </c>
      <c r="G82" s="346">
        <f>'ERROR FINAL'!AS85</f>
        <v/>
      </c>
      <c r="H82" s="88">
        <f>IF('ERROR FINAL'!AT85="CONFORME","CONFORME","NO CONFORME")</f>
        <v/>
      </c>
      <c r="I82" s="89">
        <f>IF(D82=0,"Medición",IF(D82=1,"Daño físico",IF(D82=2,"Fuga",IF(D82=3,"Picado",IF(D82=4,"Desfasado",IF(D82=5,"Paralizado","¿?"))))))</f>
        <v/>
      </c>
    </row>
    <row r="83">
      <c r="A83" s="82">
        <f>'ERROR FINAL'!A86</f>
        <v/>
      </c>
      <c r="B83" s="83">
        <f>'ERROR FINAL'!D86</f>
        <v/>
      </c>
      <c r="C83" s="344">
        <f>'ERROR FINAL'!G86</f>
        <v/>
      </c>
      <c r="D83" s="85">
        <f>'ERROR FINAL'!I86</f>
        <v/>
      </c>
      <c r="E83" s="345">
        <f>'ERROR FINAL'!U86</f>
        <v/>
      </c>
      <c r="F83" s="346">
        <f>'ERROR FINAL'!AG86</f>
        <v/>
      </c>
      <c r="G83" s="346">
        <f>'ERROR FINAL'!AS86</f>
        <v/>
      </c>
      <c r="H83" s="88">
        <f>IF('ERROR FINAL'!AT86="CONFORME","CONFORME","NO CONFORME")</f>
        <v/>
      </c>
      <c r="I83" s="89">
        <f>IF(D83=0,"Medición",IF(D83=1,"Daño físico",IF(D83=2,"Fuga",IF(D83=3,"Picado",IF(D83=4,"Desfasado",IF(D83=5,"Paralizado","¿?"))))))</f>
        <v/>
      </c>
    </row>
    <row r="84">
      <c r="A84" s="82">
        <f>'ERROR FINAL'!A87</f>
        <v/>
      </c>
      <c r="B84" s="83">
        <f>'ERROR FINAL'!D87</f>
        <v/>
      </c>
      <c r="C84" s="344">
        <f>'ERROR FINAL'!G87</f>
        <v/>
      </c>
      <c r="D84" s="85">
        <f>'ERROR FINAL'!I87</f>
        <v/>
      </c>
      <c r="E84" s="345">
        <f>'ERROR FINAL'!U87</f>
        <v/>
      </c>
      <c r="F84" s="346">
        <f>'ERROR FINAL'!AG87</f>
        <v/>
      </c>
      <c r="G84" s="346">
        <f>'ERROR FINAL'!AS87</f>
        <v/>
      </c>
      <c r="H84" s="88">
        <f>IF('ERROR FINAL'!AT87="CONFORME","CONFORME","NO CONFORME")</f>
        <v/>
      </c>
      <c r="I84" s="89">
        <f>IF(D84=0,"Medición",IF(D84=1,"Daño físico",IF(D84=2,"Fuga",IF(D84=3,"Picado",IF(D84=4,"Desfasado",IF(D84=5,"Paralizado","¿?"))))))</f>
        <v/>
      </c>
    </row>
    <row r="85">
      <c r="A85" s="82">
        <f>'ERROR FINAL'!A88</f>
        <v/>
      </c>
      <c r="B85" s="83">
        <f>'ERROR FINAL'!D88</f>
        <v/>
      </c>
      <c r="C85" s="344">
        <f>'ERROR FINAL'!G88</f>
        <v/>
      </c>
      <c r="D85" s="85">
        <f>'ERROR FINAL'!I88</f>
        <v/>
      </c>
      <c r="E85" s="345">
        <f>'ERROR FINAL'!U88</f>
        <v/>
      </c>
      <c r="F85" s="346">
        <f>'ERROR FINAL'!AG88</f>
        <v/>
      </c>
      <c r="G85" s="346">
        <f>'ERROR FINAL'!AS88</f>
        <v/>
      </c>
      <c r="H85" s="88">
        <f>IF('ERROR FINAL'!AT88="CONFORME","CONFORME","NO CONFORME")</f>
        <v/>
      </c>
      <c r="I85" s="89">
        <f>IF(D85=0,"Medición",IF(D85=1,"Daño físico",IF(D85=2,"Fuga",IF(D85=3,"Picado",IF(D85=4,"Desfasado",IF(D85=5,"Paralizado","¿?"))))))</f>
        <v/>
      </c>
    </row>
    <row r="86">
      <c r="A86" s="82">
        <f>'ERROR FINAL'!A89</f>
        <v/>
      </c>
      <c r="B86" s="83">
        <f>'ERROR FINAL'!D89</f>
        <v/>
      </c>
      <c r="C86" s="344">
        <f>'ERROR FINAL'!G89</f>
        <v/>
      </c>
      <c r="D86" s="85">
        <f>'ERROR FINAL'!I89</f>
        <v/>
      </c>
      <c r="E86" s="345">
        <f>'ERROR FINAL'!U89</f>
        <v/>
      </c>
      <c r="F86" s="346">
        <f>'ERROR FINAL'!AG89</f>
        <v/>
      </c>
      <c r="G86" s="346">
        <f>'ERROR FINAL'!AS89</f>
        <v/>
      </c>
      <c r="H86" s="88">
        <f>IF('ERROR FINAL'!AT89="CONFORME","CONFORME","NO CONFORME")</f>
        <v/>
      </c>
      <c r="I86" s="89">
        <f>IF(D86=0,"Medición",IF(D86=1,"Daño físico",IF(D86=2,"Fuga",IF(D86=3,"Picado",IF(D86=4,"Desfasado",IF(D86=5,"Paralizado","¿?"))))))</f>
        <v/>
      </c>
    </row>
    <row r="87">
      <c r="A87" s="82">
        <f>'ERROR FINAL'!A90</f>
        <v/>
      </c>
      <c r="B87" s="83">
        <f>'ERROR FINAL'!D90</f>
        <v/>
      </c>
      <c r="C87" s="344">
        <f>'ERROR FINAL'!G90</f>
        <v/>
      </c>
      <c r="D87" s="85">
        <f>'ERROR FINAL'!I90</f>
        <v/>
      </c>
      <c r="E87" s="345">
        <f>'ERROR FINAL'!U90</f>
        <v/>
      </c>
      <c r="F87" s="346">
        <f>'ERROR FINAL'!AG90</f>
        <v/>
      </c>
      <c r="G87" s="346">
        <f>'ERROR FINAL'!AS90</f>
        <v/>
      </c>
      <c r="H87" s="88">
        <f>IF('ERROR FINAL'!AT90="CONFORME","CONFORME","NO CONFORME")</f>
        <v/>
      </c>
      <c r="I87" s="89">
        <f>IF(D87=0,"Medición",IF(D87=1,"Daño físico",IF(D87=2,"Fuga",IF(D87=3,"Picado",IF(D87=4,"Desfasado",IF(D87=5,"Paralizado","¿?"))))))</f>
        <v/>
      </c>
    </row>
    <row r="88">
      <c r="A88" s="82">
        <f>'ERROR FINAL'!A91</f>
        <v/>
      </c>
      <c r="B88" s="83">
        <f>'ERROR FINAL'!D91</f>
        <v/>
      </c>
      <c r="C88" s="344">
        <f>'ERROR FINAL'!G91</f>
        <v/>
      </c>
      <c r="D88" s="85">
        <f>'ERROR FINAL'!I91</f>
        <v/>
      </c>
      <c r="E88" s="345">
        <f>'ERROR FINAL'!U91</f>
        <v/>
      </c>
      <c r="F88" s="346">
        <f>'ERROR FINAL'!AG91</f>
        <v/>
      </c>
      <c r="G88" s="346">
        <f>'ERROR FINAL'!AS91</f>
        <v/>
      </c>
      <c r="H88" s="88">
        <f>IF('ERROR FINAL'!AT91="CONFORME","CONFORME","NO CONFORME")</f>
        <v/>
      </c>
      <c r="I88" s="89">
        <f>IF(D88=0,"Medición",IF(D88=1,"Daño físico",IF(D88=2,"Fuga",IF(D88=3,"Picado",IF(D88=4,"Desfasado",IF(D88=5,"Paralizado","¿?"))))))</f>
        <v/>
      </c>
    </row>
    <row r="89">
      <c r="A89" s="82">
        <f>'ERROR FINAL'!A92</f>
        <v/>
      </c>
      <c r="B89" s="83">
        <f>'ERROR FINAL'!D92</f>
        <v/>
      </c>
      <c r="C89" s="344">
        <f>'ERROR FINAL'!G92</f>
        <v/>
      </c>
      <c r="D89" s="85">
        <f>'ERROR FINAL'!I92</f>
        <v/>
      </c>
      <c r="E89" s="345">
        <f>'ERROR FINAL'!U92</f>
        <v/>
      </c>
      <c r="F89" s="346">
        <f>'ERROR FINAL'!AG92</f>
        <v/>
      </c>
      <c r="G89" s="346">
        <f>'ERROR FINAL'!AS92</f>
        <v/>
      </c>
      <c r="H89" s="88">
        <f>IF('ERROR FINAL'!AT92="CONFORME","CONFORME","NO CONFORME")</f>
        <v/>
      </c>
      <c r="I89" s="89">
        <f>IF(D89=0,"Medición",IF(D89=1,"Daño físico",IF(D89=2,"Fuga",IF(D89=3,"Picado",IF(D89=4,"Desfasado",IF(D89=5,"Paralizado","¿?"))))))</f>
        <v/>
      </c>
    </row>
    <row r="90">
      <c r="A90" s="82">
        <f>'ERROR FINAL'!A93</f>
        <v/>
      </c>
      <c r="B90" s="83">
        <f>'ERROR FINAL'!D93</f>
        <v/>
      </c>
      <c r="C90" s="344">
        <f>'ERROR FINAL'!G93</f>
        <v/>
      </c>
      <c r="D90" s="85">
        <f>'ERROR FINAL'!I93</f>
        <v/>
      </c>
      <c r="E90" s="345">
        <f>'ERROR FINAL'!U93</f>
        <v/>
      </c>
      <c r="F90" s="346">
        <f>'ERROR FINAL'!AG93</f>
        <v/>
      </c>
      <c r="G90" s="346">
        <f>'ERROR FINAL'!AS93</f>
        <v/>
      </c>
      <c r="H90" s="88">
        <f>IF('ERROR FINAL'!AT93="CONFORME","CONFORME","NO CONFORME")</f>
        <v/>
      </c>
      <c r="I90" s="89">
        <f>IF(D90=0,"Medición",IF(D90=1,"Daño físico",IF(D90=2,"Fuga",IF(D90=3,"Picado",IF(D90=4,"Desfasado",IF(D90=5,"Paralizado","¿?"))))))</f>
        <v/>
      </c>
    </row>
    <row r="91">
      <c r="A91" s="82">
        <f>'ERROR FINAL'!A94</f>
        <v/>
      </c>
      <c r="B91" s="83">
        <f>'ERROR FINAL'!D94</f>
        <v/>
      </c>
      <c r="C91" s="344">
        <f>'ERROR FINAL'!G94</f>
        <v/>
      </c>
      <c r="D91" s="85">
        <f>'ERROR FINAL'!I94</f>
        <v/>
      </c>
      <c r="E91" s="345">
        <f>'ERROR FINAL'!U94</f>
        <v/>
      </c>
      <c r="F91" s="346">
        <f>'ERROR FINAL'!AG94</f>
        <v/>
      </c>
      <c r="G91" s="346">
        <f>'ERROR FINAL'!AS94</f>
        <v/>
      </c>
      <c r="H91" s="88">
        <f>IF('ERROR FINAL'!AT94="CONFORME","CONFORME","NO CONFORME")</f>
        <v/>
      </c>
      <c r="I91" s="89">
        <f>IF(D91=0,"Medición",IF(D91=1,"Daño físico",IF(D91=2,"Fuga",IF(D91=3,"Picado",IF(D91=4,"Desfasado",IF(D91=5,"Paralizado","¿?"))))))</f>
        <v/>
      </c>
    </row>
    <row r="92">
      <c r="A92" s="82">
        <f>'ERROR FINAL'!A95</f>
        <v/>
      </c>
      <c r="B92" s="83">
        <f>'ERROR FINAL'!D95</f>
        <v/>
      </c>
      <c r="C92" s="344">
        <f>'ERROR FINAL'!G95</f>
        <v/>
      </c>
      <c r="D92" s="85">
        <f>'ERROR FINAL'!I95</f>
        <v/>
      </c>
      <c r="E92" s="345">
        <f>'ERROR FINAL'!U95</f>
        <v/>
      </c>
      <c r="F92" s="346">
        <f>'ERROR FINAL'!AG95</f>
        <v/>
      </c>
      <c r="G92" s="346">
        <f>'ERROR FINAL'!AS95</f>
        <v/>
      </c>
      <c r="H92" s="88">
        <f>IF('ERROR FINAL'!AT95="CONFORME","CONFORME","NO CONFORME")</f>
        <v/>
      </c>
      <c r="I92" s="89">
        <f>IF(D92=0,"Medición",IF(D92=1,"Daño físico",IF(D92=2,"Fuga",IF(D92=3,"Picado",IF(D92=4,"Desfasado",IF(D92=5,"Paralizado","¿?"))))))</f>
        <v/>
      </c>
    </row>
    <row r="93">
      <c r="A93" s="82">
        <f>'ERROR FINAL'!A96</f>
        <v/>
      </c>
      <c r="B93" s="83">
        <f>'ERROR FINAL'!D96</f>
        <v/>
      </c>
      <c r="C93" s="344">
        <f>'ERROR FINAL'!G96</f>
        <v/>
      </c>
      <c r="D93" s="85">
        <f>'ERROR FINAL'!I96</f>
        <v/>
      </c>
      <c r="E93" s="345">
        <f>'ERROR FINAL'!U96</f>
        <v/>
      </c>
      <c r="F93" s="346">
        <f>'ERROR FINAL'!AG96</f>
        <v/>
      </c>
      <c r="G93" s="346">
        <f>'ERROR FINAL'!AS96</f>
        <v/>
      </c>
      <c r="H93" s="88">
        <f>IF('ERROR FINAL'!AT96="CONFORME","CONFORME","NO CONFORME")</f>
        <v/>
      </c>
      <c r="I93" s="89">
        <f>IF(D93=0,"Medición",IF(D93=1,"Daño físico",IF(D93=2,"Fuga",IF(D93=3,"Picado",IF(D93=4,"Desfasado",IF(D93=5,"Paralizado","¿?"))))))</f>
        <v/>
      </c>
    </row>
    <row r="94">
      <c r="A94" s="82">
        <f>'ERROR FINAL'!A97</f>
        <v/>
      </c>
      <c r="B94" s="83">
        <f>'ERROR FINAL'!D97</f>
        <v/>
      </c>
      <c r="C94" s="344">
        <f>'ERROR FINAL'!G97</f>
        <v/>
      </c>
      <c r="D94" s="85">
        <f>'ERROR FINAL'!I97</f>
        <v/>
      </c>
      <c r="E94" s="345">
        <f>'ERROR FINAL'!U97</f>
        <v/>
      </c>
      <c r="F94" s="346">
        <f>'ERROR FINAL'!AG97</f>
        <v/>
      </c>
      <c r="G94" s="346">
        <f>'ERROR FINAL'!AS97</f>
        <v/>
      </c>
      <c r="H94" s="88">
        <f>IF('ERROR FINAL'!AT97="CONFORME","CONFORME","NO CONFORME")</f>
        <v/>
      </c>
      <c r="I94" s="89">
        <f>IF(D94=0,"Medición",IF(D94=1,"Daño físico",IF(D94=2,"Fuga",IF(D94=3,"Picado",IF(D94=4,"Desfasado",IF(D94=5,"Paralizado","¿?"))))))</f>
        <v/>
      </c>
    </row>
    <row r="95">
      <c r="A95" s="82">
        <f>'ERROR FINAL'!A98</f>
        <v/>
      </c>
      <c r="B95" s="83">
        <f>'ERROR FINAL'!D98</f>
        <v/>
      </c>
      <c r="C95" s="344">
        <f>'ERROR FINAL'!G98</f>
        <v/>
      </c>
      <c r="D95" s="85">
        <f>'ERROR FINAL'!I98</f>
        <v/>
      </c>
      <c r="E95" s="345">
        <f>'ERROR FINAL'!U98</f>
        <v/>
      </c>
      <c r="F95" s="346">
        <f>'ERROR FINAL'!AG98</f>
        <v/>
      </c>
      <c r="G95" s="346">
        <f>'ERROR FINAL'!AS98</f>
        <v/>
      </c>
      <c r="H95" s="88">
        <f>IF('ERROR FINAL'!AT98="CONFORME","CONFORME","NO CONFORME")</f>
        <v/>
      </c>
      <c r="I95" s="89">
        <f>IF(D95=0,"Medición",IF(D95=1,"Daño físico",IF(D95=2,"Fuga",IF(D95=3,"Picado",IF(D95=4,"Desfasado",IF(D95=5,"Paralizado","¿?"))))))</f>
        <v/>
      </c>
    </row>
    <row r="96">
      <c r="A96" s="82">
        <f>'ERROR FINAL'!A99</f>
        <v/>
      </c>
      <c r="B96" s="83">
        <f>'ERROR FINAL'!D99</f>
        <v/>
      </c>
      <c r="C96" s="344">
        <f>'ERROR FINAL'!G99</f>
        <v/>
      </c>
      <c r="D96" s="85">
        <f>'ERROR FINAL'!I99</f>
        <v/>
      </c>
      <c r="E96" s="345">
        <f>'ERROR FINAL'!U99</f>
        <v/>
      </c>
      <c r="F96" s="346">
        <f>'ERROR FINAL'!AG99</f>
        <v/>
      </c>
      <c r="G96" s="346">
        <f>'ERROR FINAL'!AS99</f>
        <v/>
      </c>
      <c r="H96" s="88">
        <f>IF('ERROR FINAL'!AT99="CONFORME","CONFORME","NO CONFORME")</f>
        <v/>
      </c>
      <c r="I96" s="89">
        <f>IF(D96=0,"Medición",IF(D96=1,"Daño físico",IF(D96=2,"Fuga",IF(D96=3,"Picado",IF(D96=4,"Desfasado",IF(D96=5,"Paralizado","¿?"))))))</f>
        <v/>
      </c>
    </row>
    <row r="97">
      <c r="A97" s="82">
        <f>'ERROR FINAL'!A100</f>
        <v/>
      </c>
      <c r="B97" s="83">
        <f>'ERROR FINAL'!D100</f>
        <v/>
      </c>
      <c r="C97" s="344">
        <f>'ERROR FINAL'!G100</f>
        <v/>
      </c>
      <c r="D97" s="85">
        <f>'ERROR FINAL'!I100</f>
        <v/>
      </c>
      <c r="E97" s="345">
        <f>'ERROR FINAL'!U100</f>
        <v/>
      </c>
      <c r="F97" s="346">
        <f>'ERROR FINAL'!AG100</f>
        <v/>
      </c>
      <c r="G97" s="346">
        <f>'ERROR FINAL'!AS100</f>
        <v/>
      </c>
      <c r="H97" s="88">
        <f>IF('ERROR FINAL'!AT100="CONFORME","CONFORME","NO CONFORME")</f>
        <v/>
      </c>
      <c r="I97" s="89">
        <f>IF(D97=0,"Medición",IF(D97=1,"Daño físico",IF(D97=2,"Fuga",IF(D97=3,"Picado",IF(D97=4,"Desfasado",IF(D97=5,"Paralizado","¿?"))))))</f>
        <v/>
      </c>
    </row>
    <row r="98">
      <c r="A98" s="82">
        <f>'ERROR FINAL'!A101</f>
        <v/>
      </c>
      <c r="B98" s="83">
        <f>'ERROR FINAL'!D101</f>
        <v/>
      </c>
      <c r="C98" s="344">
        <f>'ERROR FINAL'!G101</f>
        <v/>
      </c>
      <c r="D98" s="85">
        <f>'ERROR FINAL'!I101</f>
        <v/>
      </c>
      <c r="E98" s="345">
        <f>'ERROR FINAL'!U101</f>
        <v/>
      </c>
      <c r="F98" s="346">
        <f>'ERROR FINAL'!AG101</f>
        <v/>
      </c>
      <c r="G98" s="346">
        <f>'ERROR FINAL'!AS101</f>
        <v/>
      </c>
      <c r="H98" s="88">
        <f>IF('ERROR FINAL'!AT101="CONFORME","CONFORME","NO CONFORME")</f>
        <v/>
      </c>
      <c r="I98" s="89">
        <f>IF(D98=0,"Medición",IF(D98=1,"Daño físico",IF(D98=2,"Fuga",IF(D98=3,"Picado",IF(D98=4,"Desfasado",IF(D98=5,"Paralizado","¿?"))))))</f>
        <v/>
      </c>
    </row>
    <row r="99">
      <c r="A99" s="82">
        <f>'ERROR FINAL'!A102</f>
        <v/>
      </c>
      <c r="B99" s="83">
        <f>'ERROR FINAL'!D102</f>
        <v/>
      </c>
      <c r="C99" s="344">
        <f>'ERROR FINAL'!G102</f>
        <v/>
      </c>
      <c r="D99" s="85">
        <f>'ERROR FINAL'!I102</f>
        <v/>
      </c>
      <c r="E99" s="345">
        <f>'ERROR FINAL'!U102</f>
        <v/>
      </c>
      <c r="F99" s="346">
        <f>'ERROR FINAL'!AG102</f>
        <v/>
      </c>
      <c r="G99" s="346">
        <f>'ERROR FINAL'!AS102</f>
        <v/>
      </c>
      <c r="H99" s="88">
        <f>IF('ERROR FINAL'!AT102="CONFORME","CONFORME","NO CONFORME")</f>
        <v/>
      </c>
      <c r="I99" s="89">
        <f>IF(D99=0,"Medición",IF(D99=1,"Daño físico",IF(D99=2,"Fuga",IF(D99=3,"Picado",IF(D99=4,"Desfasado",IF(D99=5,"Paralizado","¿?"))))))</f>
        <v/>
      </c>
    </row>
    <row r="100">
      <c r="A100" s="82">
        <f>'ERROR FINAL'!A103</f>
        <v/>
      </c>
      <c r="B100" s="83">
        <f>'ERROR FINAL'!D103</f>
        <v/>
      </c>
      <c r="C100" s="344">
        <f>'ERROR FINAL'!G103</f>
        <v/>
      </c>
      <c r="D100" s="85">
        <f>'ERROR FINAL'!I103</f>
        <v/>
      </c>
      <c r="E100" s="345">
        <f>'ERROR FINAL'!U103</f>
        <v/>
      </c>
      <c r="F100" s="346">
        <f>'ERROR FINAL'!AG103</f>
        <v/>
      </c>
      <c r="G100" s="346">
        <f>'ERROR FINAL'!AS103</f>
        <v/>
      </c>
      <c r="H100" s="88">
        <f>IF('ERROR FINAL'!AT103="CONFORME","CONFORME","NO CONFORME")</f>
        <v/>
      </c>
      <c r="I100" s="89">
        <f>IF(D100=0,"Medición",IF(D100=1,"Daño físico",IF(D100=2,"Fuga",IF(D100=3,"Picado",IF(D100=4,"Desfasado",IF(D100=5,"Paralizado","¿?"))))))</f>
        <v/>
      </c>
    </row>
    <row r="101">
      <c r="A101" s="82">
        <f>'ERROR FINAL'!A104</f>
        <v/>
      </c>
      <c r="B101" s="83">
        <f>'ERROR FINAL'!D104</f>
        <v/>
      </c>
      <c r="C101" s="344">
        <f>'ERROR FINAL'!G104</f>
        <v/>
      </c>
      <c r="D101" s="85">
        <f>'ERROR FINAL'!I104</f>
        <v/>
      </c>
      <c r="E101" s="345">
        <f>'ERROR FINAL'!U104</f>
        <v/>
      </c>
      <c r="F101" s="346">
        <f>'ERROR FINAL'!AG104</f>
        <v/>
      </c>
      <c r="G101" s="346">
        <f>'ERROR FINAL'!AS104</f>
        <v/>
      </c>
      <c r="H101" s="88">
        <f>IF('ERROR FINAL'!AT104="CONFORME","CONFORME","NO CONFORME")</f>
        <v/>
      </c>
      <c r="I101" s="89">
        <f>IF(D101=0,"Medición",IF(D101=1,"Daño físico",IF(D101=2,"Fuga",IF(D101=3,"Picado",IF(D101=4,"Desfasado",IF(D101=5,"Paralizado","¿?"))))))</f>
        <v/>
      </c>
    </row>
    <row r="102">
      <c r="A102" s="82">
        <f>'ERROR FINAL'!A105</f>
        <v/>
      </c>
      <c r="B102" s="83">
        <f>'ERROR FINAL'!D105</f>
        <v/>
      </c>
      <c r="C102" s="344">
        <f>'ERROR FINAL'!G105</f>
        <v/>
      </c>
      <c r="D102" s="85">
        <f>'ERROR FINAL'!I105</f>
        <v/>
      </c>
      <c r="E102" s="345">
        <f>'ERROR FINAL'!U105</f>
        <v/>
      </c>
      <c r="F102" s="346">
        <f>'ERROR FINAL'!AG105</f>
        <v/>
      </c>
      <c r="G102" s="346">
        <f>'ERROR FINAL'!AS105</f>
        <v/>
      </c>
      <c r="H102" s="88">
        <f>IF('ERROR FINAL'!AT105="CONFORME","CONFORME","NO CONFORME")</f>
        <v/>
      </c>
      <c r="I102" s="89">
        <f>IF(D102=0,"Medición",IF(D102=1,"Daño físico",IF(D102=2,"Fuga",IF(D102=3,"Picado",IF(D102=4,"Desfasado",IF(D102=5,"Paralizado","¿?"))))))</f>
        <v/>
      </c>
    </row>
    <row r="103">
      <c r="A103" s="82">
        <f>'ERROR FINAL'!A106</f>
        <v/>
      </c>
      <c r="B103" s="83">
        <f>'ERROR FINAL'!D106</f>
        <v/>
      </c>
      <c r="C103" s="344">
        <f>'ERROR FINAL'!G106</f>
        <v/>
      </c>
      <c r="D103" s="85">
        <f>'ERROR FINAL'!I106</f>
        <v/>
      </c>
      <c r="E103" s="345">
        <f>'ERROR FINAL'!U106</f>
        <v/>
      </c>
      <c r="F103" s="346">
        <f>'ERROR FINAL'!AG106</f>
        <v/>
      </c>
      <c r="G103" s="346">
        <f>'ERROR FINAL'!AS106</f>
        <v/>
      </c>
      <c r="H103" s="88">
        <f>IF('ERROR FINAL'!AT106="CONFORME","CONFORME","NO CONFORME")</f>
        <v/>
      </c>
      <c r="I103" s="89">
        <f>IF(D103=0,"Medición",IF(D103=1,"Daño físico",IF(D103=2,"Fuga",IF(D103=3,"Picado",IF(D103=4,"Desfasado",IF(D103=5,"Paralizado","¿?"))))))</f>
        <v/>
      </c>
    </row>
    <row r="104">
      <c r="A104" s="82">
        <f>'ERROR FINAL'!A107</f>
        <v/>
      </c>
      <c r="B104" s="83">
        <f>'ERROR FINAL'!D107</f>
        <v/>
      </c>
      <c r="C104" s="344">
        <f>'ERROR FINAL'!G107</f>
        <v/>
      </c>
      <c r="D104" s="85">
        <f>'ERROR FINAL'!I107</f>
        <v/>
      </c>
      <c r="E104" s="345">
        <f>'ERROR FINAL'!U107</f>
        <v/>
      </c>
      <c r="F104" s="346">
        <f>'ERROR FINAL'!AG107</f>
        <v/>
      </c>
      <c r="G104" s="346">
        <f>'ERROR FINAL'!AS107</f>
        <v/>
      </c>
      <c r="H104" s="88">
        <f>IF('ERROR FINAL'!AT107="CONFORME","CONFORME","NO CONFORME")</f>
        <v/>
      </c>
      <c r="I104" s="89">
        <f>IF(D104=0,"Medición",IF(D104=1,"Daño físico",IF(D104=2,"Fuga",IF(D104=3,"Picado",IF(D104=4,"Desfasado",IF(D104=5,"Paralizado","¿?"))))))</f>
        <v/>
      </c>
    </row>
    <row r="105">
      <c r="A105" s="82">
        <f>'ERROR FINAL'!A108</f>
        <v/>
      </c>
      <c r="B105" s="83">
        <f>'ERROR FINAL'!D108</f>
        <v/>
      </c>
      <c r="C105" s="344">
        <f>'ERROR FINAL'!G108</f>
        <v/>
      </c>
      <c r="D105" s="85">
        <f>'ERROR FINAL'!I108</f>
        <v/>
      </c>
      <c r="E105" s="345">
        <f>'ERROR FINAL'!U108</f>
        <v/>
      </c>
      <c r="F105" s="346">
        <f>'ERROR FINAL'!AG108</f>
        <v/>
      </c>
      <c r="G105" s="346">
        <f>'ERROR FINAL'!AS108</f>
        <v/>
      </c>
      <c r="H105" s="88">
        <f>IF('ERROR FINAL'!AT108="CONFORME","CONFORME","NO CONFORME")</f>
        <v/>
      </c>
      <c r="I105" s="89">
        <f>IF(D105=0,"Medición",IF(D105=1,"Daño físico",IF(D105=2,"Fuga",IF(D105=3,"Picado",IF(D105=4,"Desfasado",IF(D105=5,"Paralizado","¿?"))))))</f>
        <v/>
      </c>
    </row>
    <row r="106">
      <c r="A106" s="82">
        <f>'ERROR FINAL'!A109</f>
        <v/>
      </c>
      <c r="B106" s="83">
        <f>'ERROR FINAL'!D109</f>
        <v/>
      </c>
      <c r="C106" s="344">
        <f>'ERROR FINAL'!G109</f>
        <v/>
      </c>
      <c r="D106" s="85">
        <f>'ERROR FINAL'!I109</f>
        <v/>
      </c>
      <c r="E106" s="345">
        <f>'ERROR FINAL'!U109</f>
        <v/>
      </c>
      <c r="F106" s="346">
        <f>'ERROR FINAL'!AG109</f>
        <v/>
      </c>
      <c r="G106" s="346">
        <f>'ERROR FINAL'!AS109</f>
        <v/>
      </c>
      <c r="H106" s="88">
        <f>IF('ERROR FINAL'!AT109="CONFORME","CONFORME","NO CONFORME")</f>
        <v/>
      </c>
      <c r="I106" s="89">
        <f>IF(D106=0,"Medición",IF(D106=1,"Daño físico",IF(D106=2,"Fuga",IF(D106=3,"Picado",IF(D106=4,"Desfasado",IF(D106=5,"Paralizado","¿?"))))))</f>
        <v/>
      </c>
    </row>
    <row r="107">
      <c r="A107" s="82">
        <f>'ERROR FINAL'!A110</f>
        <v/>
      </c>
      <c r="B107" s="83">
        <f>'ERROR FINAL'!D110</f>
        <v/>
      </c>
      <c r="C107" s="344">
        <f>'ERROR FINAL'!G110</f>
        <v/>
      </c>
      <c r="D107" s="85">
        <f>'ERROR FINAL'!I110</f>
        <v/>
      </c>
      <c r="E107" s="345">
        <f>'ERROR FINAL'!U110</f>
        <v/>
      </c>
      <c r="F107" s="346">
        <f>'ERROR FINAL'!AG110</f>
        <v/>
      </c>
      <c r="G107" s="346">
        <f>'ERROR FINAL'!AS110</f>
        <v/>
      </c>
      <c r="H107" s="88">
        <f>IF('ERROR FINAL'!AT110="CONFORME","CONFORME","NO CONFORME")</f>
        <v/>
      </c>
      <c r="I107" s="89">
        <f>IF(D107=0,"Medición",IF(D107=1,"Daño físico",IF(D107=2,"Fuga",IF(D107=3,"Picado",IF(D107=4,"Desfasado",IF(D107=5,"Paralizado","¿?"))))))</f>
        <v/>
      </c>
    </row>
    <row r="108">
      <c r="A108" s="82">
        <f>'ERROR FINAL'!A111</f>
        <v/>
      </c>
      <c r="B108" s="83">
        <f>'ERROR FINAL'!D111</f>
        <v/>
      </c>
      <c r="C108" s="344">
        <f>'ERROR FINAL'!G111</f>
        <v/>
      </c>
      <c r="D108" s="85">
        <f>'ERROR FINAL'!I111</f>
        <v/>
      </c>
      <c r="E108" s="345">
        <f>'ERROR FINAL'!U111</f>
        <v/>
      </c>
      <c r="F108" s="346">
        <f>'ERROR FINAL'!AG111</f>
        <v/>
      </c>
      <c r="G108" s="346">
        <f>'ERROR FINAL'!AS111</f>
        <v/>
      </c>
      <c r="H108" s="88">
        <f>IF('ERROR FINAL'!AT111="CONFORME","CONFORME","NO CONFORME")</f>
        <v/>
      </c>
      <c r="I108" s="89">
        <f>IF(D108=0,"Medición",IF(D108=1,"Daño físico",IF(D108=2,"Fuga",IF(D108=3,"Picado",IF(D108=4,"Desfasado",IF(D108=5,"Paralizado","¿?"))))))</f>
        <v/>
      </c>
    </row>
    <row r="109">
      <c r="A109" s="82">
        <f>'ERROR FINAL'!A112</f>
        <v/>
      </c>
      <c r="B109" s="83">
        <f>'ERROR FINAL'!D112</f>
        <v/>
      </c>
      <c r="C109" s="344">
        <f>'ERROR FINAL'!G112</f>
        <v/>
      </c>
      <c r="D109" s="85">
        <f>'ERROR FINAL'!I112</f>
        <v/>
      </c>
      <c r="E109" s="345">
        <f>'ERROR FINAL'!U112</f>
        <v/>
      </c>
      <c r="F109" s="346">
        <f>'ERROR FINAL'!AG112</f>
        <v/>
      </c>
      <c r="G109" s="346">
        <f>'ERROR FINAL'!AS112</f>
        <v/>
      </c>
      <c r="H109" s="88">
        <f>IF('ERROR FINAL'!AT112="CONFORME","CONFORME","NO CONFORME")</f>
        <v/>
      </c>
      <c r="I109" s="89">
        <f>IF(D109=0,"Medición",IF(D109=1,"Daño físico",IF(D109=2,"Fuga",IF(D109=3,"Picado",IF(D109=4,"Desfasado",IF(D109=5,"Paralizado","¿?"))))))</f>
        <v/>
      </c>
    </row>
    <row r="110">
      <c r="A110" s="82">
        <f>'ERROR FINAL'!A113</f>
        <v/>
      </c>
      <c r="B110" s="83">
        <f>'ERROR FINAL'!D113</f>
        <v/>
      </c>
      <c r="C110" s="344">
        <f>'ERROR FINAL'!G113</f>
        <v/>
      </c>
      <c r="D110" s="85">
        <f>'ERROR FINAL'!I113</f>
        <v/>
      </c>
      <c r="E110" s="345">
        <f>'ERROR FINAL'!U113</f>
        <v/>
      </c>
      <c r="F110" s="346">
        <f>'ERROR FINAL'!AG113</f>
        <v/>
      </c>
      <c r="G110" s="346">
        <f>'ERROR FINAL'!AS113</f>
        <v/>
      </c>
      <c r="H110" s="88">
        <f>IF('ERROR FINAL'!AT113="CONFORME","CONFORME","NO CONFORME")</f>
        <v/>
      </c>
      <c r="I110" s="89">
        <f>IF(D110=0,"Medición",IF(D110=1,"Daño físico",IF(D110=2,"Fuga",IF(D110=3,"Picado",IF(D110=4,"Desfasado",IF(D110=5,"Paralizado","¿?"))))))</f>
        <v/>
      </c>
    </row>
    <row r="111">
      <c r="A111" s="82">
        <f>'ERROR FINAL'!A114</f>
        <v/>
      </c>
      <c r="B111" s="83">
        <f>'ERROR FINAL'!D114</f>
        <v/>
      </c>
      <c r="C111" s="344">
        <f>'ERROR FINAL'!G114</f>
        <v/>
      </c>
      <c r="D111" s="85">
        <f>'ERROR FINAL'!I114</f>
        <v/>
      </c>
      <c r="E111" s="345">
        <f>'ERROR FINAL'!U114</f>
        <v/>
      </c>
      <c r="F111" s="346">
        <f>'ERROR FINAL'!AG114</f>
        <v/>
      </c>
      <c r="G111" s="346">
        <f>'ERROR FINAL'!AS114</f>
        <v/>
      </c>
      <c r="H111" s="88">
        <f>IF('ERROR FINAL'!AT114="CONFORME","CONFORME","NO CONFORME")</f>
        <v/>
      </c>
      <c r="I111" s="89">
        <f>IF(D111=0,"Medición",IF(D111=1,"Daño físico",IF(D111=2,"Fuga",IF(D111=3,"Picado",IF(D111=4,"Desfasado",IF(D111=5,"Paralizado","¿?"))))))</f>
        <v/>
      </c>
    </row>
    <row r="112">
      <c r="A112" s="82">
        <f>'ERROR FINAL'!A115</f>
        <v/>
      </c>
      <c r="B112" s="83">
        <f>'ERROR FINAL'!D115</f>
        <v/>
      </c>
      <c r="C112" s="344">
        <f>'ERROR FINAL'!G115</f>
        <v/>
      </c>
      <c r="D112" s="85">
        <f>'ERROR FINAL'!I115</f>
        <v/>
      </c>
      <c r="E112" s="345">
        <f>'ERROR FINAL'!U115</f>
        <v/>
      </c>
      <c r="F112" s="346">
        <f>'ERROR FINAL'!AG115</f>
        <v/>
      </c>
      <c r="G112" s="346">
        <f>'ERROR FINAL'!AS115</f>
        <v/>
      </c>
      <c r="H112" s="88">
        <f>IF('ERROR FINAL'!AT115="CONFORME","CONFORME","NO CONFORME")</f>
        <v/>
      </c>
      <c r="I112" s="89">
        <f>IF(D112=0,"Medición",IF(D112=1,"Daño físico",IF(D112=2,"Fuga",IF(D112=3,"Picado",IF(D112=4,"Desfasado",IF(D112=5,"Paralizado","¿?"))))))</f>
        <v/>
      </c>
    </row>
    <row r="113">
      <c r="A113" s="82">
        <f>'ERROR FINAL'!A116</f>
        <v/>
      </c>
      <c r="B113" s="83">
        <f>'ERROR FINAL'!D116</f>
        <v/>
      </c>
      <c r="C113" s="344">
        <f>'ERROR FINAL'!G116</f>
        <v/>
      </c>
      <c r="D113" s="85">
        <f>'ERROR FINAL'!I116</f>
        <v/>
      </c>
      <c r="E113" s="345">
        <f>'ERROR FINAL'!U116</f>
        <v/>
      </c>
      <c r="F113" s="346">
        <f>'ERROR FINAL'!AG116</f>
        <v/>
      </c>
      <c r="G113" s="346">
        <f>'ERROR FINAL'!AS116</f>
        <v/>
      </c>
      <c r="H113" s="88">
        <f>IF('ERROR FINAL'!AT116="CONFORME","CONFORME","NO CONFORME")</f>
        <v/>
      </c>
      <c r="I113" s="89">
        <f>IF(D113=0,"Medición",IF(D113=1,"Daño físico",IF(D113=2,"Fuga",IF(D113=3,"Picado",IF(D113=4,"Desfasado",IF(D113=5,"Paralizado","¿?"))))))</f>
        <v/>
      </c>
    </row>
    <row r="114">
      <c r="A114" s="82">
        <f>'ERROR FINAL'!A117</f>
        <v/>
      </c>
      <c r="B114" s="83">
        <f>'ERROR FINAL'!D117</f>
        <v/>
      </c>
      <c r="C114" s="344">
        <f>'ERROR FINAL'!G117</f>
        <v/>
      </c>
      <c r="D114" s="85">
        <f>'ERROR FINAL'!I117</f>
        <v/>
      </c>
      <c r="E114" s="345">
        <f>'ERROR FINAL'!U117</f>
        <v/>
      </c>
      <c r="F114" s="346">
        <f>'ERROR FINAL'!AG117</f>
        <v/>
      </c>
      <c r="G114" s="346">
        <f>'ERROR FINAL'!AS117</f>
        <v/>
      </c>
      <c r="H114" s="88">
        <f>IF('ERROR FINAL'!AT117="CONFORME","CONFORME","NO CONFORME")</f>
        <v/>
      </c>
      <c r="I114" s="89">
        <f>IF(D114=0,"Medición",IF(D114=1,"Daño físico",IF(D114=2,"Fuga",IF(D114=3,"Picado",IF(D114=4,"Desfasado",IF(D114=5,"Paralizado","¿?"))))))</f>
        <v/>
      </c>
    </row>
    <row r="115">
      <c r="A115" s="82">
        <f>'ERROR FINAL'!A118</f>
        <v/>
      </c>
      <c r="B115" s="83">
        <f>'ERROR FINAL'!D118</f>
        <v/>
      </c>
      <c r="C115" s="344">
        <f>'ERROR FINAL'!G118</f>
        <v/>
      </c>
      <c r="D115" s="85">
        <f>'ERROR FINAL'!I118</f>
        <v/>
      </c>
      <c r="E115" s="345">
        <f>'ERROR FINAL'!U118</f>
        <v/>
      </c>
      <c r="F115" s="346">
        <f>'ERROR FINAL'!AG118</f>
        <v/>
      </c>
      <c r="G115" s="346">
        <f>'ERROR FINAL'!AS118</f>
        <v/>
      </c>
      <c r="H115" s="88">
        <f>IF('ERROR FINAL'!AT118="CONFORME","CONFORME","NO CONFORME")</f>
        <v/>
      </c>
      <c r="I115" s="89">
        <f>IF(D115=0,"Medición",IF(D115=1,"Daño físico",IF(D115=2,"Fuga",IF(D115=3,"Picado",IF(D115=4,"Desfasado",IF(D115=5,"Paralizado","¿?"))))))</f>
        <v/>
      </c>
    </row>
    <row r="116">
      <c r="A116" s="82">
        <f>'ERROR FINAL'!A119</f>
        <v/>
      </c>
      <c r="B116" s="83">
        <f>'ERROR FINAL'!D119</f>
        <v/>
      </c>
      <c r="C116" s="344">
        <f>'ERROR FINAL'!G119</f>
        <v/>
      </c>
      <c r="D116" s="85">
        <f>'ERROR FINAL'!I119</f>
        <v/>
      </c>
      <c r="E116" s="345">
        <f>'ERROR FINAL'!U119</f>
        <v/>
      </c>
      <c r="F116" s="346">
        <f>'ERROR FINAL'!AG119</f>
        <v/>
      </c>
      <c r="G116" s="346">
        <f>'ERROR FINAL'!AS119</f>
        <v/>
      </c>
      <c r="H116" s="88">
        <f>IF('ERROR FINAL'!AT119="CONFORME","CONFORME","NO CONFORME")</f>
        <v/>
      </c>
      <c r="I116" s="89">
        <f>IF(D116=0,"Medición",IF(D116=1,"Daño físico",IF(D116=2,"Fuga",IF(D116=3,"Picado",IF(D116=4,"Desfasado",IF(D116=5,"Paralizado","¿?"))))))</f>
        <v/>
      </c>
    </row>
    <row r="117">
      <c r="A117" s="82">
        <f>'ERROR FINAL'!A120</f>
        <v/>
      </c>
      <c r="B117" s="83">
        <f>'ERROR FINAL'!D120</f>
        <v/>
      </c>
      <c r="C117" s="344">
        <f>'ERROR FINAL'!G120</f>
        <v/>
      </c>
      <c r="D117" s="85">
        <f>'ERROR FINAL'!I120</f>
        <v/>
      </c>
      <c r="E117" s="345">
        <f>'ERROR FINAL'!U120</f>
        <v/>
      </c>
      <c r="F117" s="346">
        <f>'ERROR FINAL'!AG120</f>
        <v/>
      </c>
      <c r="G117" s="346">
        <f>'ERROR FINAL'!AS120</f>
        <v/>
      </c>
      <c r="H117" s="88">
        <f>IF('ERROR FINAL'!AT120="CONFORME","CONFORME","NO CONFORME")</f>
        <v/>
      </c>
      <c r="I117" s="89">
        <f>IF(D117=0,"Medición",IF(D117=1,"Daño físico",IF(D117=2,"Fuga",IF(D117=3,"Picado",IF(D117=4,"Desfasado",IF(D117=5,"Paralizado","¿?"))))))</f>
        <v/>
      </c>
    </row>
    <row r="118">
      <c r="A118" s="82">
        <f>'ERROR FINAL'!A121</f>
        <v/>
      </c>
      <c r="B118" s="83">
        <f>'ERROR FINAL'!D121</f>
        <v/>
      </c>
      <c r="C118" s="344">
        <f>'ERROR FINAL'!G121</f>
        <v/>
      </c>
      <c r="D118" s="85">
        <f>'ERROR FINAL'!I121</f>
        <v/>
      </c>
      <c r="E118" s="345">
        <f>'ERROR FINAL'!U121</f>
        <v/>
      </c>
      <c r="F118" s="346">
        <f>'ERROR FINAL'!AG121</f>
        <v/>
      </c>
      <c r="G118" s="346">
        <f>'ERROR FINAL'!AS121</f>
        <v/>
      </c>
      <c r="H118" s="88">
        <f>IF('ERROR FINAL'!AT121="CONFORME","CONFORME","NO CONFORME")</f>
        <v/>
      </c>
      <c r="I118" s="89">
        <f>IF(D118=0,"Medición",IF(D118=1,"Daño físico",IF(D118=2,"Fuga",IF(D118=3,"Picado",IF(D118=4,"Desfasado",IF(D118=5,"Paralizado","¿?"))))))</f>
        <v/>
      </c>
    </row>
    <row r="119">
      <c r="A119" s="82">
        <f>'ERROR FINAL'!A122</f>
        <v/>
      </c>
      <c r="B119" s="83">
        <f>'ERROR FINAL'!D122</f>
        <v/>
      </c>
      <c r="C119" s="344">
        <f>'ERROR FINAL'!G122</f>
        <v/>
      </c>
      <c r="D119" s="85">
        <f>'ERROR FINAL'!I122</f>
        <v/>
      </c>
      <c r="E119" s="345">
        <f>'ERROR FINAL'!U122</f>
        <v/>
      </c>
      <c r="F119" s="346">
        <f>'ERROR FINAL'!AG122</f>
        <v/>
      </c>
      <c r="G119" s="346">
        <f>'ERROR FINAL'!AS122</f>
        <v/>
      </c>
      <c r="H119" s="88">
        <f>IF('ERROR FINAL'!AT122="CONFORME","CONFORME","NO CONFORME")</f>
        <v/>
      </c>
      <c r="I119" s="89">
        <f>IF(D119=0,"Medición",IF(D119=1,"Daño físico",IF(D119=2,"Fuga",IF(D119=3,"Picado",IF(D119=4,"Desfasado",IF(D119=5,"Paralizado","¿?"))))))</f>
        <v/>
      </c>
    </row>
    <row r="120">
      <c r="A120" s="82">
        <f>'ERROR FINAL'!A123</f>
        <v/>
      </c>
      <c r="B120" s="83">
        <f>'ERROR FINAL'!D123</f>
        <v/>
      </c>
      <c r="C120" s="344">
        <f>'ERROR FINAL'!G123</f>
        <v/>
      </c>
      <c r="D120" s="85">
        <f>'ERROR FINAL'!I123</f>
        <v/>
      </c>
      <c r="E120" s="345">
        <f>'ERROR FINAL'!U123</f>
        <v/>
      </c>
      <c r="F120" s="346">
        <f>'ERROR FINAL'!AG123</f>
        <v/>
      </c>
      <c r="G120" s="346">
        <f>'ERROR FINAL'!AS123</f>
        <v/>
      </c>
      <c r="H120" s="88">
        <f>IF('ERROR FINAL'!AT123="CONFORME","CONFORME","NO CONFORME")</f>
        <v/>
      </c>
      <c r="I120" s="89">
        <f>IF(D120=0,"Medición",IF(D120=1,"Daño físico",IF(D120=2,"Fuga",IF(D120=3,"Picado",IF(D120=4,"Desfasado",IF(D120=5,"Paralizado","¿?"))))))</f>
        <v/>
      </c>
    </row>
    <row r="121">
      <c r="A121" s="82">
        <f>'ERROR FINAL'!A124</f>
        <v/>
      </c>
      <c r="B121" s="83">
        <f>'ERROR FINAL'!D124</f>
        <v/>
      </c>
      <c r="C121" s="344">
        <f>'ERROR FINAL'!G124</f>
        <v/>
      </c>
      <c r="D121" s="85">
        <f>'ERROR FINAL'!I124</f>
        <v/>
      </c>
      <c r="E121" s="345">
        <f>'ERROR FINAL'!U124</f>
        <v/>
      </c>
      <c r="F121" s="346">
        <f>'ERROR FINAL'!AG124</f>
        <v/>
      </c>
      <c r="G121" s="346">
        <f>'ERROR FINAL'!AS124</f>
        <v/>
      </c>
      <c r="H121" s="88">
        <f>IF('ERROR FINAL'!AT124="CONFORME","CONFORME","NO CONFORME")</f>
        <v/>
      </c>
      <c r="I121" s="89">
        <f>IF(D121=0,"Medición",IF(D121=1,"Daño físico",IF(D121=2,"Fuga",IF(D121=3,"Picado",IF(D121=4,"Desfasado",IF(D121=5,"Paralizado","¿?"))))))</f>
        <v/>
      </c>
    </row>
    <row r="122">
      <c r="A122" s="82">
        <f>'ERROR FINAL'!A125</f>
        <v/>
      </c>
      <c r="B122" s="83">
        <f>'ERROR FINAL'!D125</f>
        <v/>
      </c>
      <c r="C122" s="344">
        <f>'ERROR FINAL'!G125</f>
        <v/>
      </c>
      <c r="D122" s="85">
        <f>'ERROR FINAL'!I125</f>
        <v/>
      </c>
      <c r="E122" s="345">
        <f>'ERROR FINAL'!U125</f>
        <v/>
      </c>
      <c r="F122" s="346">
        <f>'ERROR FINAL'!AG125</f>
        <v/>
      </c>
      <c r="G122" s="346">
        <f>'ERROR FINAL'!AS125</f>
        <v/>
      </c>
      <c r="H122" s="88">
        <f>IF('ERROR FINAL'!AT125="CONFORME","CONFORME","NO CONFORME")</f>
        <v/>
      </c>
      <c r="I122" s="89">
        <f>IF(D122=0,"Medición",IF(D122=1,"Daño físico",IF(D122=2,"Fuga",IF(D122=3,"Picado",IF(D122=4,"Desfasado",IF(D122=5,"Paralizado","¿?"))))))</f>
        <v/>
      </c>
    </row>
    <row r="123">
      <c r="A123" s="82">
        <f>'ERROR FINAL'!A126</f>
        <v/>
      </c>
      <c r="B123" s="83">
        <f>'ERROR FINAL'!D126</f>
        <v/>
      </c>
      <c r="C123" s="344">
        <f>'ERROR FINAL'!G126</f>
        <v/>
      </c>
      <c r="D123" s="85">
        <f>'ERROR FINAL'!I126</f>
        <v/>
      </c>
      <c r="E123" s="345">
        <f>'ERROR FINAL'!U126</f>
        <v/>
      </c>
      <c r="F123" s="346">
        <f>'ERROR FINAL'!AG126</f>
        <v/>
      </c>
      <c r="G123" s="346">
        <f>'ERROR FINAL'!AS126</f>
        <v/>
      </c>
      <c r="H123" s="88">
        <f>IF('ERROR FINAL'!AT126="CONFORME","CONFORME","NO CONFORME")</f>
        <v/>
      </c>
      <c r="I123" s="89">
        <f>IF(D123=0,"Medición",IF(D123=1,"Daño físico",IF(D123=2,"Fuga",IF(D123=3,"Picado",IF(D123=4,"Desfasado",IF(D123=5,"Paralizado","¿?"))))))</f>
        <v/>
      </c>
    </row>
    <row r="124">
      <c r="A124" s="82">
        <f>'ERROR FINAL'!A127</f>
        <v/>
      </c>
      <c r="B124" s="83">
        <f>'ERROR FINAL'!D127</f>
        <v/>
      </c>
      <c r="C124" s="344">
        <f>'ERROR FINAL'!G127</f>
        <v/>
      </c>
      <c r="D124" s="85">
        <f>'ERROR FINAL'!I127</f>
        <v/>
      </c>
      <c r="E124" s="345">
        <f>'ERROR FINAL'!U127</f>
        <v/>
      </c>
      <c r="F124" s="346">
        <f>'ERROR FINAL'!AG127</f>
        <v/>
      </c>
      <c r="G124" s="346">
        <f>'ERROR FINAL'!AS127</f>
        <v/>
      </c>
      <c r="H124" s="88">
        <f>IF('ERROR FINAL'!AT127="CONFORME","CONFORME","NO CONFORME")</f>
        <v/>
      </c>
      <c r="I124" s="89">
        <f>IF(D124=0,"Medición",IF(D124=1,"Daño físico",IF(D124=2,"Fuga",IF(D124=3,"Picado",IF(D124=4,"Desfasado",IF(D124=5,"Paralizado","¿?"))))))</f>
        <v/>
      </c>
    </row>
    <row r="125">
      <c r="A125" s="82">
        <f>'ERROR FINAL'!A128</f>
        <v/>
      </c>
      <c r="B125" s="83">
        <f>'ERROR FINAL'!D128</f>
        <v/>
      </c>
      <c r="C125" s="344">
        <f>'ERROR FINAL'!G128</f>
        <v/>
      </c>
      <c r="D125" s="85">
        <f>'ERROR FINAL'!I128</f>
        <v/>
      </c>
      <c r="E125" s="345">
        <f>'ERROR FINAL'!U128</f>
        <v/>
      </c>
      <c r="F125" s="346">
        <f>'ERROR FINAL'!AG128</f>
        <v/>
      </c>
      <c r="G125" s="346">
        <f>'ERROR FINAL'!AS128</f>
        <v/>
      </c>
      <c r="H125" s="88">
        <f>IF('ERROR FINAL'!AT128="CONFORME","CONFORME","NO CONFORME")</f>
        <v/>
      </c>
      <c r="I125" s="89">
        <f>IF(D125=0,"Medición",IF(D125=1,"Daño físico",IF(D125=2,"Fuga",IF(D125=3,"Picado",IF(D125=4,"Desfasado",IF(D125=5,"Paralizado","¿?"))))))</f>
        <v/>
      </c>
    </row>
    <row r="126">
      <c r="A126" s="82">
        <f>'ERROR FINAL'!A129</f>
        <v/>
      </c>
      <c r="B126" s="83">
        <f>'ERROR FINAL'!D129</f>
        <v/>
      </c>
      <c r="C126" s="344">
        <f>'ERROR FINAL'!G129</f>
        <v/>
      </c>
      <c r="D126" s="85">
        <f>'ERROR FINAL'!I129</f>
        <v/>
      </c>
      <c r="E126" s="345">
        <f>'ERROR FINAL'!U129</f>
        <v/>
      </c>
      <c r="F126" s="346">
        <f>'ERROR FINAL'!AG129</f>
        <v/>
      </c>
      <c r="G126" s="346">
        <f>'ERROR FINAL'!AS129</f>
        <v/>
      </c>
      <c r="H126" s="88">
        <f>IF('ERROR FINAL'!AT129="CONFORME","CONFORME","NO CONFORME")</f>
        <v/>
      </c>
      <c r="I126" s="89">
        <f>IF(D126=0,"Medición",IF(D126=1,"Daño físico",IF(D126=2,"Fuga",IF(D126=3,"Picado",IF(D126=4,"Desfasado",IF(D126=5,"Paralizado","¿?"))))))</f>
        <v/>
      </c>
    </row>
    <row r="127">
      <c r="A127" s="82">
        <f>'ERROR FINAL'!A130</f>
        <v/>
      </c>
      <c r="B127" s="83">
        <f>'ERROR FINAL'!D130</f>
        <v/>
      </c>
      <c r="C127" s="344">
        <f>'ERROR FINAL'!G130</f>
        <v/>
      </c>
      <c r="D127" s="85">
        <f>'ERROR FINAL'!I130</f>
        <v/>
      </c>
      <c r="E127" s="345">
        <f>'ERROR FINAL'!U130</f>
        <v/>
      </c>
      <c r="F127" s="346">
        <f>'ERROR FINAL'!AG130</f>
        <v/>
      </c>
      <c r="G127" s="346">
        <f>'ERROR FINAL'!AS130</f>
        <v/>
      </c>
      <c r="H127" s="88">
        <f>IF('ERROR FINAL'!AT130="CONFORME","CONFORME","NO CONFORME")</f>
        <v/>
      </c>
      <c r="I127" s="89">
        <f>IF(D127=0,"Medición",IF(D127=1,"Daño físico",IF(D127=2,"Fuga",IF(D127=3,"Picado",IF(D127=4,"Desfasado",IF(D127=5,"Paralizado","¿?"))))))</f>
        <v/>
      </c>
    </row>
    <row r="128">
      <c r="A128" s="82">
        <f>'ERROR FINAL'!A131</f>
        <v/>
      </c>
      <c r="B128" s="83">
        <f>'ERROR FINAL'!D131</f>
        <v/>
      </c>
      <c r="C128" s="344">
        <f>'ERROR FINAL'!G131</f>
        <v/>
      </c>
      <c r="D128" s="85">
        <f>'ERROR FINAL'!I131</f>
        <v/>
      </c>
      <c r="E128" s="345">
        <f>'ERROR FINAL'!U131</f>
        <v/>
      </c>
      <c r="F128" s="346">
        <f>'ERROR FINAL'!AG131</f>
        <v/>
      </c>
      <c r="G128" s="346">
        <f>'ERROR FINAL'!AS131</f>
        <v/>
      </c>
      <c r="H128" s="88">
        <f>IF('ERROR FINAL'!AT131="CONFORME","CONFORME","NO CONFORME")</f>
        <v/>
      </c>
      <c r="I128" s="89">
        <f>IF(D128=0,"Medición",IF(D128=1,"Daño físico",IF(D128=2,"Fuga",IF(D128=3,"Picado",IF(D128=4,"Desfasado",IF(D128=5,"Paralizado","¿?"))))))</f>
        <v/>
      </c>
    </row>
    <row r="129">
      <c r="A129" s="82">
        <f>'ERROR FINAL'!A132</f>
        <v/>
      </c>
      <c r="B129" s="83">
        <f>'ERROR FINAL'!D132</f>
        <v/>
      </c>
      <c r="C129" s="344">
        <f>'ERROR FINAL'!G132</f>
        <v/>
      </c>
      <c r="D129" s="85">
        <f>'ERROR FINAL'!I132</f>
        <v/>
      </c>
      <c r="E129" s="345">
        <f>'ERROR FINAL'!U132</f>
        <v/>
      </c>
      <c r="F129" s="346">
        <f>'ERROR FINAL'!AG132</f>
        <v/>
      </c>
      <c r="G129" s="346">
        <f>'ERROR FINAL'!AS132</f>
        <v/>
      </c>
      <c r="H129" s="88">
        <f>IF('ERROR FINAL'!AT132="CONFORME","CONFORME","NO CONFORME")</f>
        <v/>
      </c>
      <c r="I129" s="89">
        <f>IF(D129=0,"Medición",IF(D129=1,"Daño físico",IF(D129=2,"Fuga",IF(D129=3,"Picado",IF(D129=4,"Desfasado",IF(D129=5,"Paralizado","¿?"))))))</f>
        <v/>
      </c>
    </row>
    <row r="130">
      <c r="A130" s="82">
        <f>'ERROR FINAL'!A133</f>
        <v/>
      </c>
      <c r="B130" s="83">
        <f>'ERROR FINAL'!D133</f>
        <v/>
      </c>
      <c r="C130" s="344">
        <f>'ERROR FINAL'!G133</f>
        <v/>
      </c>
      <c r="D130" s="85">
        <f>'ERROR FINAL'!I133</f>
        <v/>
      </c>
      <c r="E130" s="345">
        <f>'ERROR FINAL'!U133</f>
        <v/>
      </c>
      <c r="F130" s="346">
        <f>'ERROR FINAL'!AG133</f>
        <v/>
      </c>
      <c r="G130" s="346">
        <f>'ERROR FINAL'!AS133</f>
        <v/>
      </c>
      <c r="H130" s="88">
        <f>IF('ERROR FINAL'!AT133="CONFORME","CONFORME","NO CONFORME")</f>
        <v/>
      </c>
      <c r="I130" s="89">
        <f>IF(D130=0,"Medición",IF(D130=1,"Daño físico",IF(D130=2,"Fuga",IF(D130=3,"Picado",IF(D130=4,"Desfasado",IF(D130=5,"Paralizado","¿?"))))))</f>
        <v/>
      </c>
    </row>
    <row r="131">
      <c r="A131" s="82">
        <f>'ERROR FINAL'!A134</f>
        <v/>
      </c>
      <c r="B131" s="83">
        <f>'ERROR FINAL'!D134</f>
        <v/>
      </c>
      <c r="C131" s="344">
        <f>'ERROR FINAL'!G134</f>
        <v/>
      </c>
      <c r="D131" s="85">
        <f>'ERROR FINAL'!I134</f>
        <v/>
      </c>
      <c r="E131" s="345">
        <f>'ERROR FINAL'!U134</f>
        <v/>
      </c>
      <c r="F131" s="346">
        <f>'ERROR FINAL'!AG134</f>
        <v/>
      </c>
      <c r="G131" s="346">
        <f>'ERROR FINAL'!AS134</f>
        <v/>
      </c>
      <c r="H131" s="88">
        <f>IF('ERROR FINAL'!AT134="CONFORME","CONFORME","NO CONFORME")</f>
        <v/>
      </c>
      <c r="I131" s="89">
        <f>IF(D131=0,"Medición",IF(D131=1,"Daño físico",IF(D131=2,"Fuga",IF(D131=3,"Picado",IF(D131=4,"Desfasado",IF(D131=5,"Paralizado","¿?"))))))</f>
        <v/>
      </c>
    </row>
    <row r="132">
      <c r="A132" s="82">
        <f>'ERROR FINAL'!A135</f>
        <v/>
      </c>
      <c r="B132" s="83">
        <f>'ERROR FINAL'!D135</f>
        <v/>
      </c>
      <c r="C132" s="344">
        <f>'ERROR FINAL'!G135</f>
        <v/>
      </c>
      <c r="D132" s="85">
        <f>'ERROR FINAL'!I135</f>
        <v/>
      </c>
      <c r="E132" s="345">
        <f>'ERROR FINAL'!U135</f>
        <v/>
      </c>
      <c r="F132" s="346">
        <f>'ERROR FINAL'!AG135</f>
        <v/>
      </c>
      <c r="G132" s="346">
        <f>'ERROR FINAL'!AS135</f>
        <v/>
      </c>
      <c r="H132" s="88">
        <f>IF('ERROR FINAL'!AT135="CONFORME","CONFORME","NO CONFORME")</f>
        <v/>
      </c>
      <c r="I132" s="89">
        <f>IF(D132=0,"Medición",IF(D132=1,"Daño físico",IF(D132=2,"Fuga",IF(D132=3,"Picado",IF(D132=4,"Desfasado",IF(D132=5,"Paralizado","¿?"))))))</f>
        <v/>
      </c>
    </row>
    <row r="133">
      <c r="A133" s="82">
        <f>'ERROR FINAL'!A136</f>
        <v/>
      </c>
      <c r="B133" s="83">
        <f>'ERROR FINAL'!D136</f>
        <v/>
      </c>
      <c r="C133" s="344">
        <f>'ERROR FINAL'!G136</f>
        <v/>
      </c>
      <c r="D133" s="85">
        <f>'ERROR FINAL'!I136</f>
        <v/>
      </c>
      <c r="E133" s="345">
        <f>'ERROR FINAL'!U136</f>
        <v/>
      </c>
      <c r="F133" s="346">
        <f>'ERROR FINAL'!AG136</f>
        <v/>
      </c>
      <c r="G133" s="346">
        <f>'ERROR FINAL'!AS136</f>
        <v/>
      </c>
      <c r="H133" s="88">
        <f>IF('ERROR FINAL'!AT136="CONFORME","CONFORME","NO CONFORME")</f>
        <v/>
      </c>
      <c r="I133" s="89">
        <f>IF(D133=0,"Medición",IF(D133=1,"Daño físico",IF(D133=2,"Fuga",IF(D133=3,"Picado",IF(D133=4,"Desfasado",IF(D133=5,"Paralizado","¿?"))))))</f>
        <v/>
      </c>
    </row>
    <row r="134">
      <c r="A134" s="82">
        <f>'ERROR FINAL'!A137</f>
        <v/>
      </c>
      <c r="B134" s="83">
        <f>'ERROR FINAL'!D137</f>
        <v/>
      </c>
      <c r="C134" s="344">
        <f>'ERROR FINAL'!G137</f>
        <v/>
      </c>
      <c r="D134" s="85">
        <f>'ERROR FINAL'!I137</f>
        <v/>
      </c>
      <c r="E134" s="345">
        <f>'ERROR FINAL'!U137</f>
        <v/>
      </c>
      <c r="F134" s="346">
        <f>'ERROR FINAL'!AG137</f>
        <v/>
      </c>
      <c r="G134" s="346">
        <f>'ERROR FINAL'!AS137</f>
        <v/>
      </c>
      <c r="H134" s="88">
        <f>IF('ERROR FINAL'!AT137="CONFORME","CONFORME","NO CONFORME")</f>
        <v/>
      </c>
      <c r="I134" s="89">
        <f>IF(D134=0,"Medición",IF(D134=1,"Daño físico",IF(D134=2,"Fuga",IF(D134=3,"Picado",IF(D134=4,"Desfasado",IF(D134=5,"Paralizado","¿?"))))))</f>
        <v/>
      </c>
    </row>
    <row r="135">
      <c r="A135" s="82">
        <f>'ERROR FINAL'!A138</f>
        <v/>
      </c>
      <c r="B135" s="83">
        <f>'ERROR FINAL'!D138</f>
        <v/>
      </c>
      <c r="C135" s="344">
        <f>'ERROR FINAL'!G138</f>
        <v/>
      </c>
      <c r="D135" s="85">
        <f>'ERROR FINAL'!I138</f>
        <v/>
      </c>
      <c r="E135" s="345">
        <f>'ERROR FINAL'!U138</f>
        <v/>
      </c>
      <c r="F135" s="346">
        <f>'ERROR FINAL'!AG138</f>
        <v/>
      </c>
      <c r="G135" s="346">
        <f>'ERROR FINAL'!AS138</f>
        <v/>
      </c>
      <c r="H135" s="88">
        <f>IF('ERROR FINAL'!AT138="CONFORME","CONFORME","NO CONFORME")</f>
        <v/>
      </c>
      <c r="I135" s="89">
        <f>IF(D135=0,"Medición",IF(D135=1,"Daño físico",IF(D135=2,"Fuga",IF(D135=3,"Picado",IF(D135=4,"Desfasado",IF(D135=5,"Paralizado","¿?"))))))</f>
        <v/>
      </c>
    </row>
    <row r="136">
      <c r="A136" s="82">
        <f>'ERROR FINAL'!A139</f>
        <v/>
      </c>
      <c r="B136" s="83">
        <f>'ERROR FINAL'!D139</f>
        <v/>
      </c>
      <c r="C136" s="344">
        <f>'ERROR FINAL'!G139</f>
        <v/>
      </c>
      <c r="D136" s="85">
        <f>'ERROR FINAL'!I139</f>
        <v/>
      </c>
      <c r="E136" s="345">
        <f>'ERROR FINAL'!U139</f>
        <v/>
      </c>
      <c r="F136" s="346">
        <f>'ERROR FINAL'!AG139</f>
        <v/>
      </c>
      <c r="G136" s="346">
        <f>'ERROR FINAL'!AS139</f>
        <v/>
      </c>
      <c r="H136" s="88">
        <f>IF('ERROR FINAL'!AT139="CONFORME","CONFORME","NO CONFORME")</f>
        <v/>
      </c>
      <c r="I136" s="89">
        <f>IF(D136=0,"Medición",IF(D136=1,"Daño físico",IF(D136=2,"Fuga",IF(D136=3,"Picado",IF(D136=4,"Desfasado",IF(D136=5,"Paralizado","¿?"))))))</f>
        <v/>
      </c>
    </row>
    <row r="137">
      <c r="A137" s="82">
        <f>'ERROR FINAL'!A140</f>
        <v/>
      </c>
      <c r="B137" s="83">
        <f>'ERROR FINAL'!D140</f>
        <v/>
      </c>
      <c r="C137" s="344">
        <f>'ERROR FINAL'!G140</f>
        <v/>
      </c>
      <c r="D137" s="85">
        <f>'ERROR FINAL'!I140</f>
        <v/>
      </c>
      <c r="E137" s="345">
        <f>'ERROR FINAL'!U140</f>
        <v/>
      </c>
      <c r="F137" s="346">
        <f>'ERROR FINAL'!AG140</f>
        <v/>
      </c>
      <c r="G137" s="346">
        <f>'ERROR FINAL'!AS140</f>
        <v/>
      </c>
      <c r="H137" s="88">
        <f>IF('ERROR FINAL'!AT140="CONFORME","CONFORME","NO CONFORME")</f>
        <v/>
      </c>
      <c r="I137" s="89">
        <f>IF(D137=0,"Medición",IF(D137=1,"Daño físico",IF(D137=2,"Fuga",IF(D137=3,"Picado",IF(D137=4,"Desfasado",IF(D137=5,"Paralizado","¿?"))))))</f>
        <v/>
      </c>
    </row>
    <row r="138">
      <c r="A138" s="82">
        <f>'ERROR FINAL'!A141</f>
        <v/>
      </c>
      <c r="B138" s="83">
        <f>'ERROR FINAL'!D141</f>
        <v/>
      </c>
      <c r="C138" s="344">
        <f>'ERROR FINAL'!G141</f>
        <v/>
      </c>
      <c r="D138" s="85">
        <f>'ERROR FINAL'!I141</f>
        <v/>
      </c>
      <c r="E138" s="345">
        <f>'ERROR FINAL'!U141</f>
        <v/>
      </c>
      <c r="F138" s="346">
        <f>'ERROR FINAL'!AG141</f>
        <v/>
      </c>
      <c r="G138" s="346">
        <f>'ERROR FINAL'!AS141</f>
        <v/>
      </c>
      <c r="H138" s="88">
        <f>IF('ERROR FINAL'!AT141="CONFORME","CONFORME","NO CONFORME")</f>
        <v/>
      </c>
      <c r="I138" s="89">
        <f>IF(D138=0,"Medición",IF(D138=1,"Daño físico",IF(D138=2,"Fuga",IF(D138=3,"Picado",IF(D138=4,"Desfasado",IF(D138=5,"Paralizado","¿?"))))))</f>
        <v/>
      </c>
    </row>
    <row r="139">
      <c r="A139" s="82">
        <f>'ERROR FINAL'!A142</f>
        <v/>
      </c>
      <c r="B139" s="83">
        <f>'ERROR FINAL'!D142</f>
        <v/>
      </c>
      <c r="C139" s="344">
        <f>'ERROR FINAL'!G142</f>
        <v/>
      </c>
      <c r="D139" s="85">
        <f>'ERROR FINAL'!I142</f>
        <v/>
      </c>
      <c r="E139" s="345">
        <f>'ERROR FINAL'!U142</f>
        <v/>
      </c>
      <c r="F139" s="346">
        <f>'ERROR FINAL'!AG142</f>
        <v/>
      </c>
      <c r="G139" s="346">
        <f>'ERROR FINAL'!AS142</f>
        <v/>
      </c>
      <c r="H139" s="88">
        <f>IF('ERROR FINAL'!AT142="CONFORME","CONFORME","NO CONFORME")</f>
        <v/>
      </c>
      <c r="I139" s="89">
        <f>IF(D139=0,"Medición",IF(D139=1,"Daño físico",IF(D139=2,"Fuga",IF(D139=3,"Picado",IF(D139=4,"Desfasado",IF(D139=5,"Paralizado","¿?"))))))</f>
        <v/>
      </c>
    </row>
    <row r="140">
      <c r="A140" s="82">
        <f>'ERROR FINAL'!A143</f>
        <v/>
      </c>
      <c r="B140" s="83">
        <f>'ERROR FINAL'!D143</f>
        <v/>
      </c>
      <c r="C140" s="344">
        <f>'ERROR FINAL'!G143</f>
        <v/>
      </c>
      <c r="D140" s="85">
        <f>'ERROR FINAL'!I143</f>
        <v/>
      </c>
      <c r="E140" s="345">
        <f>'ERROR FINAL'!U143</f>
        <v/>
      </c>
      <c r="F140" s="346">
        <f>'ERROR FINAL'!AG143</f>
        <v/>
      </c>
      <c r="G140" s="346">
        <f>'ERROR FINAL'!AS143</f>
        <v/>
      </c>
      <c r="H140" s="88">
        <f>IF('ERROR FINAL'!AT143="CONFORME","CONFORME","NO CONFORME")</f>
        <v/>
      </c>
      <c r="I140" s="89">
        <f>IF(D140=0,"Medición",IF(D140=1,"Daño físico",IF(D140=2,"Fuga",IF(D140=3,"Picado",IF(D140=4,"Desfasado",IF(D140=5,"Paralizado","¿?"))))))</f>
        <v/>
      </c>
    </row>
    <row r="141">
      <c r="A141" s="82">
        <f>'ERROR FINAL'!A144</f>
        <v/>
      </c>
      <c r="B141" s="83">
        <f>'ERROR FINAL'!D144</f>
        <v/>
      </c>
      <c r="C141" s="344">
        <f>'ERROR FINAL'!G144</f>
        <v/>
      </c>
      <c r="D141" s="85">
        <f>'ERROR FINAL'!I144</f>
        <v/>
      </c>
      <c r="E141" s="345">
        <f>'ERROR FINAL'!U144</f>
        <v/>
      </c>
      <c r="F141" s="346">
        <f>'ERROR FINAL'!AG144</f>
        <v/>
      </c>
      <c r="G141" s="346">
        <f>'ERROR FINAL'!AS144</f>
        <v/>
      </c>
      <c r="H141" s="88">
        <f>IF('ERROR FINAL'!AT144="CONFORME","CONFORME","NO CONFORME")</f>
        <v/>
      </c>
      <c r="I141" s="89">
        <f>IF(D141=0,"Medición",IF(D141=1,"Daño físico",IF(D141=2,"Fuga",IF(D141=3,"Picado",IF(D141=4,"Desfasado",IF(D141=5,"Paralizado","¿?"))))))</f>
        <v/>
      </c>
    </row>
    <row r="142">
      <c r="A142" s="82">
        <f>'ERROR FINAL'!A145</f>
        <v/>
      </c>
      <c r="B142" s="83">
        <f>'ERROR FINAL'!D145</f>
        <v/>
      </c>
      <c r="C142" s="344">
        <f>'ERROR FINAL'!G145</f>
        <v/>
      </c>
      <c r="D142" s="85">
        <f>'ERROR FINAL'!I145</f>
        <v/>
      </c>
      <c r="E142" s="345">
        <f>'ERROR FINAL'!U145</f>
        <v/>
      </c>
      <c r="F142" s="346">
        <f>'ERROR FINAL'!AG145</f>
        <v/>
      </c>
      <c r="G142" s="346">
        <f>'ERROR FINAL'!AS145</f>
        <v/>
      </c>
      <c r="H142" s="88">
        <f>IF('ERROR FINAL'!AT145="CONFORME","CONFORME","NO CONFORME")</f>
        <v/>
      </c>
      <c r="I142" s="89">
        <f>IF(D142=0,"Medición",IF(D142=1,"Daño físico",IF(D142=2,"Fuga",IF(D142=3,"Picado",IF(D142=4,"Desfasado",IF(D142=5,"Paralizado","¿?"))))))</f>
        <v/>
      </c>
    </row>
    <row r="143">
      <c r="A143" s="82">
        <f>'ERROR FINAL'!A146</f>
        <v/>
      </c>
      <c r="B143" s="83">
        <f>'ERROR FINAL'!D146</f>
        <v/>
      </c>
      <c r="C143" s="344">
        <f>'ERROR FINAL'!G146</f>
        <v/>
      </c>
      <c r="D143" s="85">
        <f>'ERROR FINAL'!I146</f>
        <v/>
      </c>
      <c r="E143" s="345">
        <f>'ERROR FINAL'!U146</f>
        <v/>
      </c>
      <c r="F143" s="346">
        <f>'ERROR FINAL'!AG146</f>
        <v/>
      </c>
      <c r="G143" s="346">
        <f>'ERROR FINAL'!AS146</f>
        <v/>
      </c>
      <c r="H143" s="88">
        <f>IF('ERROR FINAL'!AT146="CONFORME","CONFORME","NO CONFORME")</f>
        <v/>
      </c>
      <c r="I143" s="89">
        <f>IF(D143=0,"Medición",IF(D143=1,"Daño físico",IF(D143=2,"Fuga",IF(D143=3,"Picado",IF(D143=4,"Desfasado",IF(D143=5,"Paralizado","¿?"))))))</f>
        <v/>
      </c>
    </row>
    <row r="144">
      <c r="A144" s="82">
        <f>'ERROR FINAL'!A147</f>
        <v/>
      </c>
      <c r="B144" s="83">
        <f>'ERROR FINAL'!D147</f>
        <v/>
      </c>
      <c r="C144" s="344">
        <f>'ERROR FINAL'!G147</f>
        <v/>
      </c>
      <c r="D144" s="85">
        <f>'ERROR FINAL'!I147</f>
        <v/>
      </c>
      <c r="E144" s="345">
        <f>'ERROR FINAL'!U147</f>
        <v/>
      </c>
      <c r="F144" s="346">
        <f>'ERROR FINAL'!AG147</f>
        <v/>
      </c>
      <c r="G144" s="346">
        <f>'ERROR FINAL'!AS147</f>
        <v/>
      </c>
      <c r="H144" s="88">
        <f>IF('ERROR FINAL'!AT147="CONFORME","CONFORME","NO CONFORME")</f>
        <v/>
      </c>
      <c r="I144" s="89">
        <f>IF(D144=0,"Medición",IF(D144=1,"Daño físico",IF(D144=2,"Fuga",IF(D144=3,"Picado",IF(D144=4,"Desfasado",IF(D144=5,"Paralizado","¿?"))))))</f>
        <v/>
      </c>
    </row>
    <row r="145">
      <c r="A145" s="82">
        <f>'ERROR FINAL'!A148</f>
        <v/>
      </c>
      <c r="B145" s="83">
        <f>'ERROR FINAL'!D148</f>
        <v/>
      </c>
      <c r="C145" s="344">
        <f>'ERROR FINAL'!G148</f>
        <v/>
      </c>
      <c r="D145" s="85">
        <f>'ERROR FINAL'!I148</f>
        <v/>
      </c>
      <c r="E145" s="345">
        <f>'ERROR FINAL'!U148</f>
        <v/>
      </c>
      <c r="F145" s="346">
        <f>'ERROR FINAL'!AG148</f>
        <v/>
      </c>
      <c r="G145" s="346">
        <f>'ERROR FINAL'!AS148</f>
        <v/>
      </c>
      <c r="H145" s="88">
        <f>IF('ERROR FINAL'!AT148="CONFORME","CONFORME","NO CONFORME")</f>
        <v/>
      </c>
      <c r="I145" s="89">
        <f>IF(D145=0,"Medición",IF(D145=1,"Daño físico",IF(D145=2,"Fuga",IF(D145=3,"Picado",IF(D145=4,"Desfasado",IF(D145=5,"Paralizado","¿?"))))))</f>
        <v/>
      </c>
    </row>
    <row r="146">
      <c r="A146" s="82">
        <f>'ERROR FINAL'!A149</f>
        <v/>
      </c>
      <c r="B146" s="83">
        <f>'ERROR FINAL'!D149</f>
        <v/>
      </c>
      <c r="C146" s="344">
        <f>'ERROR FINAL'!G149</f>
        <v/>
      </c>
      <c r="D146" s="85">
        <f>'ERROR FINAL'!I149</f>
        <v/>
      </c>
      <c r="E146" s="345">
        <f>'ERROR FINAL'!U149</f>
        <v/>
      </c>
      <c r="F146" s="346">
        <f>'ERROR FINAL'!AG149</f>
        <v/>
      </c>
      <c r="G146" s="346">
        <f>'ERROR FINAL'!AS149</f>
        <v/>
      </c>
      <c r="H146" s="88">
        <f>IF('ERROR FINAL'!AT149="CONFORME","CONFORME","NO CONFORME")</f>
        <v/>
      </c>
      <c r="I146" s="89">
        <f>IF(D146=0,"Medición",IF(D146=1,"Daño físico",IF(D146=2,"Fuga",IF(D146=3,"Picado",IF(D146=4,"Desfasado",IF(D146=5,"Paralizado","¿?"))))))</f>
        <v/>
      </c>
    </row>
    <row r="147">
      <c r="A147" s="82">
        <f>'ERROR FINAL'!A150</f>
        <v/>
      </c>
      <c r="B147" s="83">
        <f>'ERROR FINAL'!D150</f>
        <v/>
      </c>
      <c r="C147" s="344">
        <f>'ERROR FINAL'!G150</f>
        <v/>
      </c>
      <c r="D147" s="85">
        <f>'ERROR FINAL'!I150</f>
        <v/>
      </c>
      <c r="E147" s="345">
        <f>'ERROR FINAL'!U150</f>
        <v/>
      </c>
      <c r="F147" s="346">
        <f>'ERROR FINAL'!AG150</f>
        <v/>
      </c>
      <c r="G147" s="346">
        <f>'ERROR FINAL'!AS150</f>
        <v/>
      </c>
      <c r="H147" s="88">
        <f>IF('ERROR FINAL'!AT150="CONFORME","CONFORME","NO CONFORME")</f>
        <v/>
      </c>
      <c r="I147" s="89">
        <f>IF(D147=0,"Medición",IF(D147=1,"Daño físico",IF(D147=2,"Fuga",IF(D147=3,"Picado",IF(D147=4,"Desfasado",IF(D147=5,"Paralizado","¿?"))))))</f>
        <v/>
      </c>
    </row>
    <row r="148">
      <c r="A148" s="82">
        <f>'ERROR FINAL'!A151</f>
        <v/>
      </c>
      <c r="B148" s="83">
        <f>'ERROR FINAL'!D151</f>
        <v/>
      </c>
      <c r="C148" s="344">
        <f>'ERROR FINAL'!G151</f>
        <v/>
      </c>
      <c r="D148" s="85">
        <f>'ERROR FINAL'!I151</f>
        <v/>
      </c>
      <c r="E148" s="345">
        <f>'ERROR FINAL'!U151</f>
        <v/>
      </c>
      <c r="F148" s="346">
        <f>'ERROR FINAL'!AG151</f>
        <v/>
      </c>
      <c r="G148" s="346">
        <f>'ERROR FINAL'!AS151</f>
        <v/>
      </c>
      <c r="H148" s="88">
        <f>IF('ERROR FINAL'!AT151="CONFORME","CONFORME","NO CONFORME")</f>
        <v/>
      </c>
      <c r="I148" s="89">
        <f>IF(D148=0,"Medición",IF(D148=1,"Daño físico",IF(D148=2,"Fuga",IF(D148=3,"Picado",IF(D148=4,"Desfasado",IF(D148=5,"Paralizado","¿?"))))))</f>
        <v/>
      </c>
    </row>
    <row r="149">
      <c r="A149" s="82">
        <f>'ERROR FINAL'!A152</f>
        <v/>
      </c>
      <c r="B149" s="83">
        <f>'ERROR FINAL'!D152</f>
        <v/>
      </c>
      <c r="C149" s="344">
        <f>'ERROR FINAL'!G152</f>
        <v/>
      </c>
      <c r="D149" s="85">
        <f>'ERROR FINAL'!I152</f>
        <v/>
      </c>
      <c r="E149" s="345">
        <f>'ERROR FINAL'!U152</f>
        <v/>
      </c>
      <c r="F149" s="346">
        <f>'ERROR FINAL'!AG152</f>
        <v/>
      </c>
      <c r="G149" s="346">
        <f>'ERROR FINAL'!AS152</f>
        <v/>
      </c>
      <c r="H149" s="88">
        <f>IF('ERROR FINAL'!AT152="CONFORME","CONFORME","NO CONFORME")</f>
        <v/>
      </c>
      <c r="I149" s="89">
        <f>IF(D149=0,"Medición",IF(D149=1,"Daño físico",IF(D149=2,"Fuga",IF(D149=3,"Picado",IF(D149=4,"Desfasado",IF(D149=5,"Paralizado","¿?"))))))</f>
        <v/>
      </c>
    </row>
    <row r="150">
      <c r="A150" s="82">
        <f>'ERROR FINAL'!A153</f>
        <v/>
      </c>
      <c r="B150" s="83">
        <f>'ERROR FINAL'!D153</f>
        <v/>
      </c>
      <c r="C150" s="344">
        <f>'ERROR FINAL'!G153</f>
        <v/>
      </c>
      <c r="D150" s="85">
        <f>'ERROR FINAL'!I153</f>
        <v/>
      </c>
      <c r="E150" s="345">
        <f>'ERROR FINAL'!U153</f>
        <v/>
      </c>
      <c r="F150" s="346">
        <f>'ERROR FINAL'!AG153</f>
        <v/>
      </c>
      <c r="G150" s="346">
        <f>'ERROR FINAL'!AS153</f>
        <v/>
      </c>
      <c r="H150" s="88">
        <f>IF('ERROR FINAL'!AT153="CONFORME","CONFORME","NO CONFORME")</f>
        <v/>
      </c>
      <c r="I150" s="89">
        <f>IF(D150=0,"Medición",IF(D150=1,"Daño físico",IF(D150=2,"Fuga",IF(D150=3,"Picado",IF(D150=4,"Desfasado",IF(D150=5,"Paralizado","¿?"))))))</f>
        <v/>
      </c>
    </row>
    <row r="151">
      <c r="A151" s="82">
        <f>'ERROR FINAL'!A154</f>
        <v/>
      </c>
      <c r="B151" s="83">
        <f>'ERROR FINAL'!D154</f>
        <v/>
      </c>
      <c r="C151" s="344">
        <f>'ERROR FINAL'!G154</f>
        <v/>
      </c>
      <c r="D151" s="85">
        <f>'ERROR FINAL'!I154</f>
        <v/>
      </c>
      <c r="E151" s="345">
        <f>'ERROR FINAL'!U154</f>
        <v/>
      </c>
      <c r="F151" s="346">
        <f>'ERROR FINAL'!AG154</f>
        <v/>
      </c>
      <c r="G151" s="346">
        <f>'ERROR FINAL'!AS154</f>
        <v/>
      </c>
      <c r="H151" s="88">
        <f>IF('ERROR FINAL'!AT154="CONFORME","CONFORME","NO CONFORME")</f>
        <v/>
      </c>
      <c r="I151" s="89">
        <f>IF(D151=0,"Medición",IF(D151=1,"Daño físico",IF(D151=2,"Fuga",IF(D151=3,"Picado",IF(D151=4,"Desfasado",IF(D151=5,"Paralizado","¿?"))))))</f>
        <v/>
      </c>
    </row>
    <row r="152">
      <c r="A152" s="82">
        <f>'ERROR FINAL'!A155</f>
        <v/>
      </c>
      <c r="B152" s="83">
        <f>'ERROR FINAL'!D155</f>
        <v/>
      </c>
      <c r="C152" s="344">
        <f>'ERROR FINAL'!G155</f>
        <v/>
      </c>
      <c r="D152" s="85">
        <f>'ERROR FINAL'!I155</f>
        <v/>
      </c>
      <c r="E152" s="345">
        <f>'ERROR FINAL'!U155</f>
        <v/>
      </c>
      <c r="F152" s="346">
        <f>'ERROR FINAL'!AG155</f>
        <v/>
      </c>
      <c r="G152" s="346">
        <f>'ERROR FINAL'!AS155</f>
        <v/>
      </c>
      <c r="H152" s="88">
        <f>IF('ERROR FINAL'!AT155="CONFORME","CONFORME","NO CONFORME")</f>
        <v/>
      </c>
      <c r="I152" s="89">
        <f>IF(D152=0,"Medición",IF(D152=1,"Daño físico",IF(D152=2,"Fuga",IF(D152=3,"Picado",IF(D152=4,"Desfasado",IF(D152=5,"Paralizado","¿?"))))))</f>
        <v/>
      </c>
    </row>
    <row r="153">
      <c r="A153" s="82">
        <f>'ERROR FINAL'!A156</f>
        <v/>
      </c>
      <c r="B153" s="83">
        <f>'ERROR FINAL'!D156</f>
        <v/>
      </c>
      <c r="C153" s="344">
        <f>'ERROR FINAL'!G156</f>
        <v/>
      </c>
      <c r="D153" s="85">
        <f>'ERROR FINAL'!I156</f>
        <v/>
      </c>
      <c r="E153" s="345">
        <f>'ERROR FINAL'!U156</f>
        <v/>
      </c>
      <c r="F153" s="346">
        <f>'ERROR FINAL'!AG156</f>
        <v/>
      </c>
      <c r="G153" s="346">
        <f>'ERROR FINAL'!AS156</f>
        <v/>
      </c>
      <c r="H153" s="88">
        <f>IF('ERROR FINAL'!AT156="CONFORME","CONFORME","NO CONFORME")</f>
        <v/>
      </c>
      <c r="I153" s="89">
        <f>IF(D153=0,"Medición",IF(D153=1,"Daño físico",IF(D153=2,"Fuga",IF(D153=3,"Picado",IF(D153=4,"Desfasado",IF(D153=5,"Paralizado","¿?"))))))</f>
        <v/>
      </c>
    </row>
    <row r="154">
      <c r="A154" s="82">
        <f>'ERROR FINAL'!A157</f>
        <v/>
      </c>
      <c r="B154" s="83">
        <f>'ERROR FINAL'!D157</f>
        <v/>
      </c>
      <c r="C154" s="344">
        <f>'ERROR FINAL'!G157</f>
        <v/>
      </c>
      <c r="D154" s="85">
        <f>'ERROR FINAL'!I157</f>
        <v/>
      </c>
      <c r="E154" s="345">
        <f>'ERROR FINAL'!U157</f>
        <v/>
      </c>
      <c r="F154" s="346">
        <f>'ERROR FINAL'!AG157</f>
        <v/>
      </c>
      <c r="G154" s="346">
        <f>'ERROR FINAL'!AS157</f>
        <v/>
      </c>
      <c r="H154" s="88">
        <f>IF('ERROR FINAL'!AT157="CONFORME","CONFORME","NO CONFORME")</f>
        <v/>
      </c>
      <c r="I154" s="89">
        <f>IF(D154=0,"Medición",IF(D154=1,"Daño físico",IF(D154=2,"Fuga",IF(D154=3,"Picado",IF(D154=4,"Desfasado",IF(D154=5,"Paralizado","¿?"))))))</f>
        <v/>
      </c>
    </row>
    <row r="155">
      <c r="A155" s="82">
        <f>'ERROR FINAL'!A158</f>
        <v/>
      </c>
      <c r="B155" s="83">
        <f>'ERROR FINAL'!D158</f>
        <v/>
      </c>
      <c r="C155" s="344">
        <f>'ERROR FINAL'!G158</f>
        <v/>
      </c>
      <c r="D155" s="85">
        <f>'ERROR FINAL'!I158</f>
        <v/>
      </c>
      <c r="E155" s="345">
        <f>'ERROR FINAL'!U158</f>
        <v/>
      </c>
      <c r="F155" s="346">
        <f>'ERROR FINAL'!AG158</f>
        <v/>
      </c>
      <c r="G155" s="346">
        <f>'ERROR FINAL'!AS158</f>
        <v/>
      </c>
      <c r="H155" s="88">
        <f>IF('ERROR FINAL'!AT158="CONFORME","CONFORME","NO CONFORME")</f>
        <v/>
      </c>
      <c r="I155" s="89">
        <f>IF(D155=0,"Medición",IF(D155=1,"Daño físico",IF(D155=2,"Fuga",IF(D155=3,"Picado",IF(D155=4,"Desfasado",IF(D155=5,"Paralizado","¿?"))))))</f>
        <v/>
      </c>
    </row>
    <row r="156">
      <c r="A156" s="82">
        <f>'ERROR FINAL'!A159</f>
        <v/>
      </c>
      <c r="B156" s="83">
        <f>'ERROR FINAL'!D159</f>
        <v/>
      </c>
      <c r="C156" s="344">
        <f>'ERROR FINAL'!G159</f>
        <v/>
      </c>
      <c r="D156" s="85">
        <f>'ERROR FINAL'!I159</f>
        <v/>
      </c>
      <c r="E156" s="345">
        <f>'ERROR FINAL'!U159</f>
        <v/>
      </c>
      <c r="F156" s="346">
        <f>'ERROR FINAL'!AG159</f>
        <v/>
      </c>
      <c r="G156" s="346">
        <f>'ERROR FINAL'!AS159</f>
        <v/>
      </c>
      <c r="H156" s="88">
        <f>IF('ERROR FINAL'!AT159="CONFORME","CONFORME","NO CONFORME")</f>
        <v/>
      </c>
      <c r="I156" s="89">
        <f>IF(D156=0,"Medición",IF(D156=1,"Daño físico",IF(D156=2,"Fuga",IF(D156=3,"Picado",IF(D156=4,"Desfasado",IF(D156=5,"Paralizado","¿?"))))))</f>
        <v/>
      </c>
    </row>
    <row r="157">
      <c r="A157" s="82">
        <f>'ERROR FINAL'!A160</f>
        <v/>
      </c>
      <c r="B157" s="83">
        <f>'ERROR FINAL'!D160</f>
        <v/>
      </c>
      <c r="C157" s="344">
        <f>'ERROR FINAL'!G160</f>
        <v/>
      </c>
      <c r="D157" s="85">
        <f>'ERROR FINAL'!I160</f>
        <v/>
      </c>
      <c r="E157" s="345">
        <f>'ERROR FINAL'!U160</f>
        <v/>
      </c>
      <c r="F157" s="346">
        <f>'ERROR FINAL'!AG160</f>
        <v/>
      </c>
      <c r="G157" s="346">
        <f>'ERROR FINAL'!AS160</f>
        <v/>
      </c>
      <c r="H157" s="88">
        <f>IF('ERROR FINAL'!AT160="CONFORME","CONFORME","NO CONFORME")</f>
        <v/>
      </c>
      <c r="I157" s="89">
        <f>IF(D157=0,"Medición",IF(D157=1,"Daño físico",IF(D157=2,"Fuga",IF(D157=3,"Picado",IF(D157=4,"Desfasado",IF(D157=5,"Paralizado","¿?"))))))</f>
        <v/>
      </c>
    </row>
    <row r="158">
      <c r="A158" s="82">
        <f>'ERROR FINAL'!A161</f>
        <v/>
      </c>
      <c r="B158" s="83">
        <f>'ERROR FINAL'!D161</f>
        <v/>
      </c>
      <c r="C158" s="344">
        <f>'ERROR FINAL'!G161</f>
        <v/>
      </c>
      <c r="D158" s="85">
        <f>'ERROR FINAL'!I161</f>
        <v/>
      </c>
      <c r="E158" s="345">
        <f>'ERROR FINAL'!U161</f>
        <v/>
      </c>
      <c r="F158" s="346">
        <f>'ERROR FINAL'!AG161</f>
        <v/>
      </c>
      <c r="G158" s="346">
        <f>'ERROR FINAL'!AS161</f>
        <v/>
      </c>
      <c r="H158" s="88">
        <f>IF('ERROR FINAL'!AT161="CONFORME","CONFORME","NO CONFORME")</f>
        <v/>
      </c>
      <c r="I158" s="89">
        <f>IF(D158=0,"Medición",IF(D158=1,"Daño físico",IF(D158=2,"Fuga",IF(D158=3,"Picado",IF(D158=4,"Desfasado",IF(D158=5,"Paralizado","¿?"))))))</f>
        <v/>
      </c>
    </row>
    <row r="159">
      <c r="A159" s="82">
        <f>'ERROR FINAL'!A162</f>
        <v/>
      </c>
      <c r="B159" s="83">
        <f>'ERROR FINAL'!D162</f>
        <v/>
      </c>
      <c r="C159" s="344">
        <f>'ERROR FINAL'!G162</f>
        <v/>
      </c>
      <c r="D159" s="85">
        <f>'ERROR FINAL'!I162</f>
        <v/>
      </c>
      <c r="E159" s="345">
        <f>'ERROR FINAL'!U162</f>
        <v/>
      </c>
      <c r="F159" s="346">
        <f>'ERROR FINAL'!AG162</f>
        <v/>
      </c>
      <c r="G159" s="346">
        <f>'ERROR FINAL'!AS162</f>
        <v/>
      </c>
      <c r="H159" s="88">
        <f>IF('ERROR FINAL'!AT162="CONFORME","CONFORME","NO CONFORME")</f>
        <v/>
      </c>
      <c r="I159" s="89">
        <f>IF(D159=0,"Medición",IF(D159=1,"Daño físico",IF(D159=2,"Fuga",IF(D159=3,"Picado",IF(D159=4,"Desfasado",IF(D159=5,"Paralizado","¿?"))))))</f>
        <v/>
      </c>
    </row>
    <row r="160">
      <c r="A160" s="82">
        <f>'ERROR FINAL'!A163</f>
        <v/>
      </c>
      <c r="B160" s="83">
        <f>'ERROR FINAL'!D163</f>
        <v/>
      </c>
      <c r="C160" s="344">
        <f>'ERROR FINAL'!G163</f>
        <v/>
      </c>
      <c r="D160" s="85">
        <f>'ERROR FINAL'!I163</f>
        <v/>
      </c>
      <c r="E160" s="345">
        <f>'ERROR FINAL'!U163</f>
        <v/>
      </c>
      <c r="F160" s="346">
        <f>'ERROR FINAL'!AG163</f>
        <v/>
      </c>
      <c r="G160" s="346">
        <f>'ERROR FINAL'!AS163</f>
        <v/>
      </c>
      <c r="H160" s="88">
        <f>IF('ERROR FINAL'!AT163="CONFORME","CONFORME","NO CONFORME")</f>
        <v/>
      </c>
      <c r="I160" s="89">
        <f>IF(D160=0,"Medición",IF(D160=1,"Daño físico",IF(D160=2,"Fuga",IF(D160=3,"Picado",IF(D160=4,"Desfasado",IF(D160=5,"Paralizado","¿?"))))))</f>
        <v/>
      </c>
    </row>
    <row r="161">
      <c r="A161" s="82">
        <f>'ERROR FINAL'!A164</f>
        <v/>
      </c>
      <c r="B161" s="83">
        <f>'ERROR FINAL'!D164</f>
        <v/>
      </c>
      <c r="C161" s="344">
        <f>'ERROR FINAL'!G164</f>
        <v/>
      </c>
      <c r="D161" s="85">
        <f>'ERROR FINAL'!I164</f>
        <v/>
      </c>
      <c r="E161" s="345">
        <f>'ERROR FINAL'!U164</f>
        <v/>
      </c>
      <c r="F161" s="346">
        <f>'ERROR FINAL'!AG164</f>
        <v/>
      </c>
      <c r="G161" s="346">
        <f>'ERROR FINAL'!AS164</f>
        <v/>
      </c>
      <c r="H161" s="88">
        <f>IF('ERROR FINAL'!AT164="CONFORME","CONFORME","NO CONFORME")</f>
        <v/>
      </c>
      <c r="I161" s="89">
        <f>IF(D161=0,"Medición",IF(D161=1,"Daño físico",IF(D161=2,"Fuga",IF(D161=3,"Picado",IF(D161=4,"Desfasado",IF(D161=5,"Paralizado","¿?"))))))</f>
        <v/>
      </c>
    </row>
    <row r="162">
      <c r="A162" s="82">
        <f>'ERROR FINAL'!A165</f>
        <v/>
      </c>
      <c r="B162" s="83">
        <f>'ERROR FINAL'!D165</f>
        <v/>
      </c>
      <c r="C162" s="344">
        <f>'ERROR FINAL'!G165</f>
        <v/>
      </c>
      <c r="D162" s="85">
        <f>'ERROR FINAL'!I165</f>
        <v/>
      </c>
      <c r="E162" s="345">
        <f>'ERROR FINAL'!U165</f>
        <v/>
      </c>
      <c r="F162" s="346">
        <f>'ERROR FINAL'!AG165</f>
        <v/>
      </c>
      <c r="G162" s="346">
        <f>'ERROR FINAL'!AS165</f>
        <v/>
      </c>
      <c r="H162" s="88">
        <f>IF('ERROR FINAL'!AT165="CONFORME","CONFORME","NO CONFORME")</f>
        <v/>
      </c>
      <c r="I162" s="89">
        <f>IF(D162=0,"Medición",IF(D162=1,"Daño físico",IF(D162=2,"Fuga",IF(D162=3,"Picado",IF(D162=4,"Desfasado",IF(D162=5,"Paralizado","¿?"))))))</f>
        <v/>
      </c>
    </row>
    <row r="163">
      <c r="A163" s="82">
        <f>'ERROR FINAL'!A166</f>
        <v/>
      </c>
      <c r="B163" s="83">
        <f>'ERROR FINAL'!D166</f>
        <v/>
      </c>
      <c r="C163" s="344">
        <f>'ERROR FINAL'!G166</f>
        <v/>
      </c>
      <c r="D163" s="85">
        <f>'ERROR FINAL'!I166</f>
        <v/>
      </c>
      <c r="E163" s="345">
        <f>'ERROR FINAL'!U166</f>
        <v/>
      </c>
      <c r="F163" s="346">
        <f>'ERROR FINAL'!AG166</f>
        <v/>
      </c>
      <c r="G163" s="346">
        <f>'ERROR FINAL'!AS166</f>
        <v/>
      </c>
      <c r="H163" s="88">
        <f>IF('ERROR FINAL'!AT166="CONFORME","CONFORME","NO CONFORME")</f>
        <v/>
      </c>
      <c r="I163" s="89">
        <f>IF(D163=0,"Medición",IF(D163=1,"Daño físico",IF(D163=2,"Fuga",IF(D163=3,"Picado",IF(D163=4,"Desfasado",IF(D163=5,"Paralizado","¿?"))))))</f>
        <v/>
      </c>
    </row>
    <row r="164">
      <c r="A164" s="82">
        <f>'ERROR FINAL'!A167</f>
        <v/>
      </c>
      <c r="B164" s="83">
        <f>'ERROR FINAL'!D167</f>
        <v/>
      </c>
      <c r="C164" s="344">
        <f>'ERROR FINAL'!G167</f>
        <v/>
      </c>
      <c r="D164" s="85">
        <f>'ERROR FINAL'!I167</f>
        <v/>
      </c>
      <c r="E164" s="345">
        <f>'ERROR FINAL'!U167</f>
        <v/>
      </c>
      <c r="F164" s="346">
        <f>'ERROR FINAL'!AG167</f>
        <v/>
      </c>
      <c r="G164" s="346">
        <f>'ERROR FINAL'!AS167</f>
        <v/>
      </c>
      <c r="H164" s="88">
        <f>IF('ERROR FINAL'!AT167="CONFORME","CONFORME","NO CONFORME")</f>
        <v/>
      </c>
      <c r="I164" s="89">
        <f>IF(D164=0,"Medición",IF(D164=1,"Daño físico",IF(D164=2,"Fuga",IF(D164=3,"Picado",IF(D164=4,"Desfasado",IF(D164=5,"Paralizado","¿?"))))))</f>
        <v/>
      </c>
    </row>
    <row r="165">
      <c r="A165" s="82">
        <f>'ERROR FINAL'!A168</f>
        <v/>
      </c>
      <c r="B165" s="83">
        <f>'ERROR FINAL'!D168</f>
        <v/>
      </c>
      <c r="C165" s="344">
        <f>'ERROR FINAL'!G168</f>
        <v/>
      </c>
      <c r="D165" s="85">
        <f>'ERROR FINAL'!I168</f>
        <v/>
      </c>
      <c r="E165" s="345">
        <f>'ERROR FINAL'!U168</f>
        <v/>
      </c>
      <c r="F165" s="346">
        <f>'ERROR FINAL'!AG168</f>
        <v/>
      </c>
      <c r="G165" s="346">
        <f>'ERROR FINAL'!AS168</f>
        <v/>
      </c>
      <c r="H165" s="88">
        <f>IF('ERROR FINAL'!AT168="CONFORME","CONFORME","NO CONFORME")</f>
        <v/>
      </c>
      <c r="I165" s="89">
        <f>IF(D165=0,"Medición",IF(D165=1,"Daño físico",IF(D165=2,"Fuga",IF(D165=3,"Picado",IF(D165=4,"Desfasado",IF(D165=5,"Paralizado","¿?"))))))</f>
        <v/>
      </c>
    </row>
    <row r="166">
      <c r="A166" s="82">
        <f>'ERROR FINAL'!A169</f>
        <v/>
      </c>
      <c r="B166" s="83">
        <f>'ERROR FINAL'!D169</f>
        <v/>
      </c>
      <c r="C166" s="344">
        <f>'ERROR FINAL'!G169</f>
        <v/>
      </c>
      <c r="D166" s="85">
        <f>'ERROR FINAL'!I169</f>
        <v/>
      </c>
      <c r="E166" s="345">
        <f>'ERROR FINAL'!U169</f>
        <v/>
      </c>
      <c r="F166" s="346">
        <f>'ERROR FINAL'!AG169</f>
        <v/>
      </c>
      <c r="G166" s="346">
        <f>'ERROR FINAL'!AS169</f>
        <v/>
      </c>
      <c r="H166" s="88">
        <f>IF('ERROR FINAL'!AT169="CONFORME","CONFORME","NO CONFORME")</f>
        <v/>
      </c>
      <c r="I166" s="89">
        <f>IF(D166=0,"Medición",IF(D166=1,"Daño físico",IF(D166=2,"Fuga",IF(D166=3,"Picado",IF(D166=4,"Desfasado",IF(D166=5,"Paralizado","¿?"))))))</f>
        <v/>
      </c>
    </row>
    <row r="167">
      <c r="A167" s="82">
        <f>'ERROR FINAL'!A170</f>
        <v/>
      </c>
      <c r="B167" s="83">
        <f>'ERROR FINAL'!D170</f>
        <v/>
      </c>
      <c r="C167" s="344">
        <f>'ERROR FINAL'!G170</f>
        <v/>
      </c>
      <c r="D167" s="85">
        <f>'ERROR FINAL'!I170</f>
        <v/>
      </c>
      <c r="E167" s="345">
        <f>'ERROR FINAL'!U170</f>
        <v/>
      </c>
      <c r="F167" s="346">
        <f>'ERROR FINAL'!AG170</f>
        <v/>
      </c>
      <c r="G167" s="346">
        <f>'ERROR FINAL'!AS170</f>
        <v/>
      </c>
      <c r="H167" s="88">
        <f>IF('ERROR FINAL'!AT170="CONFORME","CONFORME","NO CONFORME")</f>
        <v/>
      </c>
      <c r="I167" s="89">
        <f>IF(D167=0,"Medición",IF(D167=1,"Daño físico",IF(D167=2,"Fuga",IF(D167=3,"Picado",IF(D167=4,"Desfasado",IF(D167=5,"Paralizado","¿?"))))))</f>
        <v/>
      </c>
    </row>
    <row r="168">
      <c r="A168" s="82">
        <f>'ERROR FINAL'!A171</f>
        <v/>
      </c>
      <c r="B168" s="83">
        <f>'ERROR FINAL'!D171</f>
        <v/>
      </c>
      <c r="C168" s="344">
        <f>'ERROR FINAL'!G171</f>
        <v/>
      </c>
      <c r="D168" s="85">
        <f>'ERROR FINAL'!I171</f>
        <v/>
      </c>
      <c r="E168" s="345">
        <f>'ERROR FINAL'!U171</f>
        <v/>
      </c>
      <c r="F168" s="346">
        <f>'ERROR FINAL'!AG171</f>
        <v/>
      </c>
      <c r="G168" s="346">
        <f>'ERROR FINAL'!AS171</f>
        <v/>
      </c>
      <c r="H168" s="88">
        <f>IF('ERROR FINAL'!AT171="CONFORME","CONFORME","NO CONFORME")</f>
        <v/>
      </c>
      <c r="I168" s="89">
        <f>IF(D168=0,"Medición",IF(D168=1,"Daño físico",IF(D168=2,"Fuga",IF(D168=3,"Picado",IF(D168=4,"Desfasado",IF(D168=5,"Paralizado","¿?"))))))</f>
        <v/>
      </c>
    </row>
    <row r="169">
      <c r="A169" s="82">
        <f>'ERROR FINAL'!A172</f>
        <v/>
      </c>
      <c r="B169" s="83">
        <f>'ERROR FINAL'!D172</f>
        <v/>
      </c>
      <c r="C169" s="344">
        <f>'ERROR FINAL'!G172</f>
        <v/>
      </c>
      <c r="D169" s="85">
        <f>'ERROR FINAL'!I172</f>
        <v/>
      </c>
      <c r="E169" s="345">
        <f>'ERROR FINAL'!U172</f>
        <v/>
      </c>
      <c r="F169" s="346">
        <f>'ERROR FINAL'!AG172</f>
        <v/>
      </c>
      <c r="G169" s="346">
        <f>'ERROR FINAL'!AS172</f>
        <v/>
      </c>
      <c r="H169" s="88">
        <f>IF('ERROR FINAL'!AT172="CONFORME","CONFORME","NO CONFORME")</f>
        <v/>
      </c>
      <c r="I169" s="89">
        <f>IF(D169=0,"Medición",IF(D169=1,"Daño físico",IF(D169=2,"Fuga",IF(D169=3,"Picado",IF(D169=4,"Desfasado",IF(D169=5,"Paralizado","¿?"))))))</f>
        <v/>
      </c>
    </row>
    <row r="170">
      <c r="A170" s="82">
        <f>'ERROR FINAL'!A173</f>
        <v/>
      </c>
      <c r="B170" s="83">
        <f>'ERROR FINAL'!D173</f>
        <v/>
      </c>
      <c r="C170" s="344">
        <f>'ERROR FINAL'!G173</f>
        <v/>
      </c>
      <c r="D170" s="85">
        <f>'ERROR FINAL'!I173</f>
        <v/>
      </c>
      <c r="E170" s="345">
        <f>'ERROR FINAL'!U173</f>
        <v/>
      </c>
      <c r="F170" s="346">
        <f>'ERROR FINAL'!AG173</f>
        <v/>
      </c>
      <c r="G170" s="346">
        <f>'ERROR FINAL'!AS173</f>
        <v/>
      </c>
      <c r="H170" s="88">
        <f>IF('ERROR FINAL'!AT173="CONFORME","CONFORME","NO CONFORME")</f>
        <v/>
      </c>
      <c r="I170" s="89">
        <f>IF(D170=0,"Medición",IF(D170=1,"Daño físico",IF(D170=2,"Fuga",IF(D170=3,"Picado",IF(D170=4,"Desfasado",IF(D170=5,"Paralizado","¿?"))))))</f>
        <v/>
      </c>
    </row>
    <row r="171">
      <c r="A171" s="82">
        <f>'ERROR FINAL'!A174</f>
        <v/>
      </c>
      <c r="B171" s="83">
        <f>'ERROR FINAL'!D174</f>
        <v/>
      </c>
      <c r="C171" s="344">
        <f>'ERROR FINAL'!G174</f>
        <v/>
      </c>
      <c r="D171" s="85">
        <f>'ERROR FINAL'!I174</f>
        <v/>
      </c>
      <c r="E171" s="345">
        <f>'ERROR FINAL'!U174</f>
        <v/>
      </c>
      <c r="F171" s="346">
        <f>'ERROR FINAL'!AG174</f>
        <v/>
      </c>
      <c r="G171" s="346">
        <f>'ERROR FINAL'!AS174</f>
        <v/>
      </c>
      <c r="H171" s="88">
        <f>IF('ERROR FINAL'!AT174="CONFORME","CONFORME","NO CONFORME")</f>
        <v/>
      </c>
      <c r="I171" s="89">
        <f>IF(D171=0,"Medición",IF(D171=1,"Daño físico",IF(D171=2,"Fuga",IF(D171=3,"Picado",IF(D171=4,"Desfasado",IF(D171=5,"Paralizado","¿?"))))))</f>
        <v/>
      </c>
    </row>
    <row r="172">
      <c r="A172" s="82">
        <f>'ERROR FINAL'!A175</f>
        <v/>
      </c>
      <c r="B172" s="83">
        <f>'ERROR FINAL'!D175</f>
        <v/>
      </c>
      <c r="C172" s="344">
        <f>'ERROR FINAL'!G175</f>
        <v/>
      </c>
      <c r="D172" s="85">
        <f>'ERROR FINAL'!I175</f>
        <v/>
      </c>
      <c r="E172" s="345">
        <f>'ERROR FINAL'!U175</f>
        <v/>
      </c>
      <c r="F172" s="346">
        <f>'ERROR FINAL'!AG175</f>
        <v/>
      </c>
      <c r="G172" s="346">
        <f>'ERROR FINAL'!AS175</f>
        <v/>
      </c>
      <c r="H172" s="88">
        <f>IF('ERROR FINAL'!AT175="CONFORME","CONFORME","NO CONFORME")</f>
        <v/>
      </c>
      <c r="I172" s="89">
        <f>IF(D172=0,"Medición",IF(D172=1,"Daño físico",IF(D172=2,"Fuga",IF(D172=3,"Picado",IF(D172=4,"Desfasado",IF(D172=5,"Paralizado","¿?"))))))</f>
        <v/>
      </c>
    </row>
    <row r="173">
      <c r="A173" s="82">
        <f>'ERROR FINAL'!A176</f>
        <v/>
      </c>
      <c r="B173" s="83">
        <f>'ERROR FINAL'!D176</f>
        <v/>
      </c>
      <c r="C173" s="344">
        <f>'ERROR FINAL'!G176</f>
        <v/>
      </c>
      <c r="D173" s="85">
        <f>'ERROR FINAL'!I176</f>
        <v/>
      </c>
      <c r="E173" s="345">
        <f>'ERROR FINAL'!U176</f>
        <v/>
      </c>
      <c r="F173" s="346">
        <f>'ERROR FINAL'!AG176</f>
        <v/>
      </c>
      <c r="G173" s="346">
        <f>'ERROR FINAL'!AS176</f>
        <v/>
      </c>
      <c r="H173" s="88">
        <f>IF('ERROR FINAL'!AT176="CONFORME","CONFORME","NO CONFORME")</f>
        <v/>
      </c>
      <c r="I173" s="89">
        <f>IF(D173=0,"Medición",IF(D173=1,"Daño físico",IF(D173=2,"Fuga",IF(D173=3,"Picado",IF(D173=4,"Desfasado",IF(D173=5,"Paralizado","¿?"))))))</f>
        <v/>
      </c>
    </row>
    <row r="174">
      <c r="A174" s="82">
        <f>'ERROR FINAL'!A177</f>
        <v/>
      </c>
      <c r="B174" s="83">
        <f>'ERROR FINAL'!D177</f>
        <v/>
      </c>
      <c r="C174" s="344">
        <f>'ERROR FINAL'!G177</f>
        <v/>
      </c>
      <c r="D174" s="85">
        <f>'ERROR FINAL'!I177</f>
        <v/>
      </c>
      <c r="E174" s="345">
        <f>'ERROR FINAL'!U177</f>
        <v/>
      </c>
      <c r="F174" s="346">
        <f>'ERROR FINAL'!AG177</f>
        <v/>
      </c>
      <c r="G174" s="346">
        <f>'ERROR FINAL'!AS177</f>
        <v/>
      </c>
      <c r="H174" s="88">
        <f>IF('ERROR FINAL'!AT177="CONFORME","CONFORME","NO CONFORME")</f>
        <v/>
      </c>
      <c r="I174" s="89">
        <f>IF(D174=0,"Medición",IF(D174=1,"Daño físico",IF(D174=2,"Fuga",IF(D174=3,"Picado",IF(D174=4,"Desfasado",IF(D174=5,"Paralizado","¿?"))))))</f>
        <v/>
      </c>
    </row>
    <row r="175">
      <c r="A175" s="82">
        <f>'ERROR FINAL'!A178</f>
        <v/>
      </c>
      <c r="B175" s="83">
        <f>'ERROR FINAL'!D178</f>
        <v/>
      </c>
      <c r="C175" s="344">
        <f>'ERROR FINAL'!G178</f>
        <v/>
      </c>
      <c r="D175" s="85">
        <f>'ERROR FINAL'!I178</f>
        <v/>
      </c>
      <c r="E175" s="345">
        <f>'ERROR FINAL'!U178</f>
        <v/>
      </c>
      <c r="F175" s="346">
        <f>'ERROR FINAL'!AG178</f>
        <v/>
      </c>
      <c r="G175" s="346">
        <f>'ERROR FINAL'!AS178</f>
        <v/>
      </c>
      <c r="H175" s="88">
        <f>IF('ERROR FINAL'!AT178="CONFORME","CONFORME","NO CONFORME")</f>
        <v/>
      </c>
      <c r="I175" s="89">
        <f>IF(D175=0,"Medición",IF(D175=1,"Daño físico",IF(D175=2,"Fuga",IF(D175=3,"Picado",IF(D175=4,"Desfasado",IF(D175=5,"Paralizado","¿?"))))))</f>
        <v/>
      </c>
    </row>
    <row r="176">
      <c r="A176" s="82">
        <f>'ERROR FINAL'!A179</f>
        <v/>
      </c>
      <c r="B176" s="83">
        <f>'ERROR FINAL'!D179</f>
        <v/>
      </c>
      <c r="C176" s="344">
        <f>'ERROR FINAL'!G179</f>
        <v/>
      </c>
      <c r="D176" s="85">
        <f>'ERROR FINAL'!I179</f>
        <v/>
      </c>
      <c r="E176" s="345">
        <f>'ERROR FINAL'!U179</f>
        <v/>
      </c>
      <c r="F176" s="346">
        <f>'ERROR FINAL'!AG179</f>
        <v/>
      </c>
      <c r="G176" s="346">
        <f>'ERROR FINAL'!AS179</f>
        <v/>
      </c>
      <c r="H176" s="88">
        <f>IF('ERROR FINAL'!AT179="CONFORME","CONFORME","NO CONFORME")</f>
        <v/>
      </c>
      <c r="I176" s="89">
        <f>IF(D176=0,"Medición",IF(D176=1,"Daño físico",IF(D176=2,"Fuga",IF(D176=3,"Picado",IF(D176=4,"Desfasado",IF(D176=5,"Paralizado","¿?"))))))</f>
        <v/>
      </c>
    </row>
    <row r="177">
      <c r="A177" s="82">
        <f>'ERROR FINAL'!A180</f>
        <v/>
      </c>
      <c r="B177" s="83">
        <f>'ERROR FINAL'!D180</f>
        <v/>
      </c>
      <c r="C177" s="344">
        <f>'ERROR FINAL'!G180</f>
        <v/>
      </c>
      <c r="D177" s="85">
        <f>'ERROR FINAL'!I180</f>
        <v/>
      </c>
      <c r="E177" s="345">
        <f>'ERROR FINAL'!U180</f>
        <v/>
      </c>
      <c r="F177" s="346">
        <f>'ERROR FINAL'!AG180</f>
        <v/>
      </c>
      <c r="G177" s="346">
        <f>'ERROR FINAL'!AS180</f>
        <v/>
      </c>
      <c r="H177" s="88">
        <f>IF('ERROR FINAL'!AT180="CONFORME","CONFORME","NO CONFORME")</f>
        <v/>
      </c>
      <c r="I177" s="89">
        <f>IF(D177=0,"Medición",IF(D177=1,"Daño físico",IF(D177=2,"Fuga",IF(D177=3,"Picado",IF(D177=4,"Desfasado",IF(D177=5,"Paralizado","¿?"))))))</f>
        <v/>
      </c>
    </row>
    <row r="178">
      <c r="A178" s="82">
        <f>'ERROR FINAL'!A181</f>
        <v/>
      </c>
      <c r="B178" s="83">
        <f>'ERROR FINAL'!D181</f>
        <v/>
      </c>
      <c r="C178" s="344">
        <f>'ERROR FINAL'!G181</f>
        <v/>
      </c>
      <c r="D178" s="85">
        <f>'ERROR FINAL'!I181</f>
        <v/>
      </c>
      <c r="E178" s="345">
        <f>'ERROR FINAL'!U181</f>
        <v/>
      </c>
      <c r="F178" s="346">
        <f>'ERROR FINAL'!AG181</f>
        <v/>
      </c>
      <c r="G178" s="346">
        <f>'ERROR FINAL'!AS181</f>
        <v/>
      </c>
      <c r="H178" s="88">
        <f>IF('ERROR FINAL'!AT181="CONFORME","CONFORME","NO CONFORME")</f>
        <v/>
      </c>
      <c r="I178" s="89">
        <f>IF(D178=0,"Medición",IF(D178=1,"Daño físico",IF(D178=2,"Fuga",IF(D178=3,"Picado",IF(D178=4,"Desfasado",IF(D178=5,"Paralizado","¿?"))))))</f>
        <v/>
      </c>
    </row>
    <row r="179">
      <c r="A179" s="82">
        <f>'ERROR FINAL'!A182</f>
        <v/>
      </c>
      <c r="B179" s="83">
        <f>'ERROR FINAL'!D182</f>
        <v/>
      </c>
      <c r="C179" s="344">
        <f>'ERROR FINAL'!G182</f>
        <v/>
      </c>
      <c r="D179" s="85">
        <f>'ERROR FINAL'!I182</f>
        <v/>
      </c>
      <c r="E179" s="345">
        <f>'ERROR FINAL'!U182</f>
        <v/>
      </c>
      <c r="F179" s="346">
        <f>'ERROR FINAL'!AG182</f>
        <v/>
      </c>
      <c r="G179" s="346">
        <f>'ERROR FINAL'!AS182</f>
        <v/>
      </c>
      <c r="H179" s="88">
        <f>IF('ERROR FINAL'!AT182="CONFORME","CONFORME","NO CONFORME")</f>
        <v/>
      </c>
      <c r="I179" s="89">
        <f>IF(D179=0,"Medición",IF(D179=1,"Daño físico",IF(D179=2,"Fuga",IF(D179=3,"Picado",IF(D179=4,"Desfasado",IF(D179=5,"Paralizado","¿?"))))))</f>
        <v/>
      </c>
    </row>
    <row r="180">
      <c r="A180" s="82">
        <f>'ERROR FINAL'!A183</f>
        <v/>
      </c>
      <c r="B180" s="83">
        <f>'ERROR FINAL'!D183</f>
        <v/>
      </c>
      <c r="C180" s="344">
        <f>'ERROR FINAL'!G183</f>
        <v/>
      </c>
      <c r="D180" s="85">
        <f>'ERROR FINAL'!I183</f>
        <v/>
      </c>
      <c r="E180" s="345">
        <f>'ERROR FINAL'!U183</f>
        <v/>
      </c>
      <c r="F180" s="346">
        <f>'ERROR FINAL'!AG183</f>
        <v/>
      </c>
      <c r="G180" s="346">
        <f>'ERROR FINAL'!AS183</f>
        <v/>
      </c>
      <c r="H180" s="88">
        <f>IF('ERROR FINAL'!AT183="CONFORME","CONFORME","NO CONFORME")</f>
        <v/>
      </c>
      <c r="I180" s="89">
        <f>IF(D180=0,"Medición",IF(D180=1,"Daño físico",IF(D180=2,"Fuga",IF(D180=3,"Picado",IF(D180=4,"Desfasado",IF(D180=5,"Paralizado","¿?"))))))</f>
        <v/>
      </c>
    </row>
    <row r="181">
      <c r="A181" s="82">
        <f>'ERROR FINAL'!A184</f>
        <v/>
      </c>
      <c r="B181" s="83">
        <f>'ERROR FINAL'!D184</f>
        <v/>
      </c>
      <c r="C181" s="344">
        <f>'ERROR FINAL'!G184</f>
        <v/>
      </c>
      <c r="D181" s="85">
        <f>'ERROR FINAL'!I184</f>
        <v/>
      </c>
      <c r="E181" s="345">
        <f>'ERROR FINAL'!U184</f>
        <v/>
      </c>
      <c r="F181" s="346">
        <f>'ERROR FINAL'!AG184</f>
        <v/>
      </c>
      <c r="G181" s="346">
        <f>'ERROR FINAL'!AS184</f>
        <v/>
      </c>
      <c r="H181" s="88">
        <f>IF('ERROR FINAL'!AT184="CONFORME","CONFORME","NO CONFORME")</f>
        <v/>
      </c>
      <c r="I181" s="89">
        <f>IF(D181=0,"Medición",IF(D181=1,"Daño físico",IF(D181=2,"Fuga",IF(D181=3,"Picado",IF(D181=4,"Desfasado",IF(D181=5,"Paralizado","¿?"))))))</f>
        <v/>
      </c>
    </row>
    <row r="182">
      <c r="A182" s="82">
        <f>'ERROR FINAL'!A185</f>
        <v/>
      </c>
      <c r="B182" s="83">
        <f>'ERROR FINAL'!D185</f>
        <v/>
      </c>
      <c r="C182" s="344">
        <f>'ERROR FINAL'!G185</f>
        <v/>
      </c>
      <c r="D182" s="85">
        <f>'ERROR FINAL'!I185</f>
        <v/>
      </c>
      <c r="E182" s="345">
        <f>'ERROR FINAL'!U185</f>
        <v/>
      </c>
      <c r="F182" s="346">
        <f>'ERROR FINAL'!AG185</f>
        <v/>
      </c>
      <c r="G182" s="346">
        <f>'ERROR FINAL'!AS185</f>
        <v/>
      </c>
      <c r="H182" s="88">
        <f>IF('ERROR FINAL'!AT185="CONFORME","CONFORME","NO CONFORME")</f>
        <v/>
      </c>
      <c r="I182" s="89">
        <f>IF(D182=0,"Medición",IF(D182=1,"Daño físico",IF(D182=2,"Fuga",IF(D182=3,"Picado",IF(D182=4,"Desfasado",IF(D182=5,"Paralizado","¿?"))))))</f>
        <v/>
      </c>
    </row>
    <row r="183">
      <c r="A183" s="82">
        <f>'ERROR FINAL'!A186</f>
        <v/>
      </c>
      <c r="B183" s="83">
        <f>'ERROR FINAL'!D186</f>
        <v/>
      </c>
      <c r="C183" s="344">
        <f>'ERROR FINAL'!G186</f>
        <v/>
      </c>
      <c r="D183" s="85">
        <f>'ERROR FINAL'!I186</f>
        <v/>
      </c>
      <c r="E183" s="345">
        <f>'ERROR FINAL'!U186</f>
        <v/>
      </c>
      <c r="F183" s="346">
        <f>'ERROR FINAL'!AG186</f>
        <v/>
      </c>
      <c r="G183" s="346">
        <f>'ERROR FINAL'!AS186</f>
        <v/>
      </c>
      <c r="H183" s="88">
        <f>IF('ERROR FINAL'!AT186="CONFORME","CONFORME","NO CONFORME")</f>
        <v/>
      </c>
      <c r="I183" s="89">
        <f>IF(D183=0,"Medición",IF(D183=1,"Daño físico",IF(D183=2,"Fuga",IF(D183=3,"Picado",IF(D183=4,"Desfasado",IF(D183=5,"Paralizado","¿?"))))))</f>
        <v/>
      </c>
    </row>
    <row r="184">
      <c r="A184" s="82">
        <f>'ERROR FINAL'!A187</f>
        <v/>
      </c>
      <c r="B184" s="83">
        <f>'ERROR FINAL'!D187</f>
        <v/>
      </c>
      <c r="C184" s="344">
        <f>'ERROR FINAL'!G187</f>
        <v/>
      </c>
      <c r="D184" s="85">
        <f>'ERROR FINAL'!I187</f>
        <v/>
      </c>
      <c r="E184" s="345">
        <f>'ERROR FINAL'!U187</f>
        <v/>
      </c>
      <c r="F184" s="346">
        <f>'ERROR FINAL'!AG187</f>
        <v/>
      </c>
      <c r="G184" s="346">
        <f>'ERROR FINAL'!AS187</f>
        <v/>
      </c>
      <c r="H184" s="88">
        <f>IF('ERROR FINAL'!AT187="CONFORME","CONFORME","NO CONFORME")</f>
        <v/>
      </c>
      <c r="I184" s="89">
        <f>IF(D184=0,"Medición",IF(D184=1,"Daño físico",IF(D184=2,"Fuga",IF(D184=3,"Picado",IF(D184=4,"Desfasado",IF(D184=5,"Paralizado","¿?"))))))</f>
        <v/>
      </c>
    </row>
    <row r="185">
      <c r="A185" s="82">
        <f>'ERROR FINAL'!A188</f>
        <v/>
      </c>
      <c r="B185" s="83">
        <f>'ERROR FINAL'!D188</f>
        <v/>
      </c>
      <c r="C185" s="344">
        <f>'ERROR FINAL'!G188</f>
        <v/>
      </c>
      <c r="D185" s="85">
        <f>'ERROR FINAL'!I188</f>
        <v/>
      </c>
      <c r="E185" s="345">
        <f>'ERROR FINAL'!U188</f>
        <v/>
      </c>
      <c r="F185" s="346">
        <f>'ERROR FINAL'!AG188</f>
        <v/>
      </c>
      <c r="G185" s="346">
        <f>'ERROR FINAL'!AS188</f>
        <v/>
      </c>
      <c r="H185" s="88">
        <f>IF('ERROR FINAL'!AT188="CONFORME","CONFORME","NO CONFORME")</f>
        <v/>
      </c>
      <c r="I185" s="89">
        <f>IF(D185=0,"Medición",IF(D185=1,"Daño físico",IF(D185=2,"Fuga",IF(D185=3,"Picado",IF(D185=4,"Desfasado",IF(D185=5,"Paralizado","¿?"))))))</f>
        <v/>
      </c>
    </row>
    <row r="186">
      <c r="A186" s="82">
        <f>'ERROR FINAL'!A189</f>
        <v/>
      </c>
      <c r="B186" s="83">
        <f>'ERROR FINAL'!D189</f>
        <v/>
      </c>
      <c r="C186" s="344">
        <f>'ERROR FINAL'!G189</f>
        <v/>
      </c>
      <c r="D186" s="85">
        <f>'ERROR FINAL'!I189</f>
        <v/>
      </c>
      <c r="E186" s="345">
        <f>'ERROR FINAL'!U189</f>
        <v/>
      </c>
      <c r="F186" s="346">
        <f>'ERROR FINAL'!AG189</f>
        <v/>
      </c>
      <c r="G186" s="346">
        <f>'ERROR FINAL'!AS189</f>
        <v/>
      </c>
      <c r="H186" s="88">
        <f>IF('ERROR FINAL'!AT189="CONFORME","CONFORME","NO CONFORME")</f>
        <v/>
      </c>
      <c r="I186" s="89">
        <f>IF(D186=0,"Medición",IF(D186=1,"Daño físico",IF(D186=2,"Fuga",IF(D186=3,"Picado",IF(D186=4,"Desfasado",IF(D186=5,"Paralizado","¿?"))))))</f>
        <v/>
      </c>
    </row>
    <row r="187">
      <c r="A187" s="82">
        <f>'ERROR FINAL'!A190</f>
        <v/>
      </c>
      <c r="B187" s="83">
        <f>'ERROR FINAL'!D190</f>
        <v/>
      </c>
      <c r="C187" s="344">
        <f>'ERROR FINAL'!G190</f>
        <v/>
      </c>
      <c r="D187" s="85">
        <f>'ERROR FINAL'!I190</f>
        <v/>
      </c>
      <c r="E187" s="345">
        <f>'ERROR FINAL'!U190</f>
        <v/>
      </c>
      <c r="F187" s="346">
        <f>'ERROR FINAL'!AG190</f>
        <v/>
      </c>
      <c r="G187" s="346">
        <f>'ERROR FINAL'!AS190</f>
        <v/>
      </c>
      <c r="H187" s="88">
        <f>IF('ERROR FINAL'!AT190="CONFORME","CONFORME","NO CONFORME")</f>
        <v/>
      </c>
      <c r="I187" s="89">
        <f>IF(D187=0,"Medición",IF(D187=1,"Daño físico",IF(D187=2,"Fuga",IF(D187=3,"Picado",IF(D187=4,"Desfasado",IF(D187=5,"Paralizado","¿?"))))))</f>
        <v/>
      </c>
    </row>
    <row r="188">
      <c r="A188" s="82">
        <f>'ERROR FINAL'!A191</f>
        <v/>
      </c>
      <c r="B188" s="83">
        <f>'ERROR FINAL'!D191</f>
        <v/>
      </c>
      <c r="C188" s="344">
        <f>'ERROR FINAL'!G191</f>
        <v/>
      </c>
      <c r="D188" s="85">
        <f>'ERROR FINAL'!I191</f>
        <v/>
      </c>
      <c r="E188" s="345">
        <f>'ERROR FINAL'!U191</f>
        <v/>
      </c>
      <c r="F188" s="346">
        <f>'ERROR FINAL'!AG191</f>
        <v/>
      </c>
      <c r="G188" s="346">
        <f>'ERROR FINAL'!AS191</f>
        <v/>
      </c>
      <c r="H188" s="88">
        <f>IF('ERROR FINAL'!AT191="CONFORME","CONFORME","NO CONFORME")</f>
        <v/>
      </c>
      <c r="I188" s="89">
        <f>IF(D188=0,"Medición",IF(D188=1,"Daño físico",IF(D188=2,"Fuga",IF(D188=3,"Picado",IF(D188=4,"Desfasado",IF(D188=5,"Paralizado","¿?"))))))</f>
        <v/>
      </c>
    </row>
    <row r="189">
      <c r="A189" s="82">
        <f>'ERROR FINAL'!A192</f>
        <v/>
      </c>
      <c r="B189" s="83">
        <f>'ERROR FINAL'!D192</f>
        <v/>
      </c>
      <c r="C189" s="344">
        <f>'ERROR FINAL'!G192</f>
        <v/>
      </c>
      <c r="D189" s="85">
        <f>'ERROR FINAL'!I192</f>
        <v/>
      </c>
      <c r="E189" s="345">
        <f>'ERROR FINAL'!U192</f>
        <v/>
      </c>
      <c r="F189" s="346">
        <f>'ERROR FINAL'!AG192</f>
        <v/>
      </c>
      <c r="G189" s="346">
        <f>'ERROR FINAL'!AS192</f>
        <v/>
      </c>
      <c r="H189" s="88">
        <f>IF('ERROR FINAL'!AT192="CONFORME","CONFORME","NO CONFORME")</f>
        <v/>
      </c>
      <c r="I189" s="89">
        <f>IF(D189=0,"Medición",IF(D189=1,"Daño físico",IF(D189=2,"Fuga",IF(D189=3,"Picado",IF(D189=4,"Desfasado",IF(D189=5,"Paralizado","¿?"))))))</f>
        <v/>
      </c>
    </row>
    <row r="190">
      <c r="A190" s="82">
        <f>'ERROR FINAL'!A193</f>
        <v/>
      </c>
      <c r="B190" s="83">
        <f>'ERROR FINAL'!D193</f>
        <v/>
      </c>
      <c r="C190" s="344">
        <f>'ERROR FINAL'!G193</f>
        <v/>
      </c>
      <c r="D190" s="85">
        <f>'ERROR FINAL'!I193</f>
        <v/>
      </c>
      <c r="E190" s="345">
        <f>'ERROR FINAL'!U193</f>
        <v/>
      </c>
      <c r="F190" s="346">
        <f>'ERROR FINAL'!AG193</f>
        <v/>
      </c>
      <c r="G190" s="346">
        <f>'ERROR FINAL'!AS193</f>
        <v/>
      </c>
      <c r="H190" s="88">
        <f>IF('ERROR FINAL'!AT193="CONFORME","CONFORME","NO CONFORME")</f>
        <v/>
      </c>
      <c r="I190" s="89">
        <f>IF(D190=0,"Medición",IF(D190=1,"Daño físico",IF(D190=2,"Fuga",IF(D190=3,"Picado",IF(D190=4,"Desfasado",IF(D190=5,"Paralizado","¿?"))))))</f>
        <v/>
      </c>
    </row>
    <row r="191">
      <c r="A191" s="82">
        <f>'ERROR FINAL'!A194</f>
        <v/>
      </c>
      <c r="B191" s="83">
        <f>'ERROR FINAL'!D194</f>
        <v/>
      </c>
      <c r="C191" s="344">
        <f>'ERROR FINAL'!G194</f>
        <v/>
      </c>
      <c r="D191" s="85">
        <f>'ERROR FINAL'!I194</f>
        <v/>
      </c>
      <c r="E191" s="345">
        <f>'ERROR FINAL'!U194</f>
        <v/>
      </c>
      <c r="F191" s="346">
        <f>'ERROR FINAL'!AG194</f>
        <v/>
      </c>
      <c r="G191" s="346">
        <f>'ERROR FINAL'!AS194</f>
        <v/>
      </c>
      <c r="H191" s="88">
        <f>IF('ERROR FINAL'!AT194="CONFORME","CONFORME","NO CONFORME")</f>
        <v/>
      </c>
      <c r="I191" s="89">
        <f>IF(D191=0,"Medición",IF(D191=1,"Daño físico",IF(D191=2,"Fuga",IF(D191=3,"Picado",IF(D191=4,"Desfasado",IF(D191=5,"Paralizado","¿?"))))))</f>
        <v/>
      </c>
    </row>
    <row r="192">
      <c r="A192" s="82">
        <f>'ERROR FINAL'!A195</f>
        <v/>
      </c>
      <c r="B192" s="83">
        <f>'ERROR FINAL'!D195</f>
        <v/>
      </c>
      <c r="C192" s="344">
        <f>'ERROR FINAL'!G195</f>
        <v/>
      </c>
      <c r="D192" s="85">
        <f>'ERROR FINAL'!I195</f>
        <v/>
      </c>
      <c r="E192" s="345">
        <f>'ERROR FINAL'!U195</f>
        <v/>
      </c>
      <c r="F192" s="346">
        <f>'ERROR FINAL'!AG195</f>
        <v/>
      </c>
      <c r="G192" s="346">
        <f>'ERROR FINAL'!AS195</f>
        <v/>
      </c>
      <c r="H192" s="88">
        <f>IF('ERROR FINAL'!AT195="CONFORME","CONFORME","NO CONFORME")</f>
        <v/>
      </c>
      <c r="I192" s="89">
        <f>IF(D192=0,"Medición",IF(D192=1,"Daño físico",IF(D192=2,"Fuga",IF(D192=3,"Picado",IF(D192=4,"Desfasado",IF(D192=5,"Paralizado","¿?"))))))</f>
        <v/>
      </c>
    </row>
    <row r="193">
      <c r="A193" s="82">
        <f>'ERROR FINAL'!A196</f>
        <v/>
      </c>
      <c r="B193" s="83">
        <f>'ERROR FINAL'!D196</f>
        <v/>
      </c>
      <c r="C193" s="344">
        <f>'ERROR FINAL'!G196</f>
        <v/>
      </c>
      <c r="D193" s="85">
        <f>'ERROR FINAL'!I196</f>
        <v/>
      </c>
      <c r="E193" s="345">
        <f>'ERROR FINAL'!U196</f>
        <v/>
      </c>
      <c r="F193" s="346">
        <f>'ERROR FINAL'!AG196</f>
        <v/>
      </c>
      <c r="G193" s="346">
        <f>'ERROR FINAL'!AS196</f>
        <v/>
      </c>
      <c r="H193" s="88">
        <f>IF('ERROR FINAL'!AT196="CONFORME","CONFORME","NO CONFORME")</f>
        <v/>
      </c>
      <c r="I193" s="89">
        <f>IF(D193=0,"Medición",IF(D193=1,"Daño físico",IF(D193=2,"Fuga",IF(D193=3,"Picado",IF(D193=4,"Desfasado",IF(D193=5,"Paralizado","¿?"))))))</f>
        <v/>
      </c>
    </row>
    <row r="194">
      <c r="A194" s="82">
        <f>'ERROR FINAL'!A197</f>
        <v/>
      </c>
      <c r="B194" s="83">
        <f>'ERROR FINAL'!D197</f>
        <v/>
      </c>
      <c r="C194" s="344">
        <f>'ERROR FINAL'!G197</f>
        <v/>
      </c>
      <c r="D194" s="85">
        <f>'ERROR FINAL'!I197</f>
        <v/>
      </c>
      <c r="E194" s="345">
        <f>'ERROR FINAL'!U197</f>
        <v/>
      </c>
      <c r="F194" s="346">
        <f>'ERROR FINAL'!AG197</f>
        <v/>
      </c>
      <c r="G194" s="346">
        <f>'ERROR FINAL'!AS197</f>
        <v/>
      </c>
      <c r="H194" s="88">
        <f>IF('ERROR FINAL'!AT197="CONFORME","CONFORME","NO CONFORME")</f>
        <v/>
      </c>
      <c r="I194" s="89">
        <f>IF(D194=0,"Medición",IF(D194=1,"Daño físico",IF(D194=2,"Fuga",IF(D194=3,"Picado",IF(D194=4,"Desfasado",IF(D194=5,"Paralizado","¿?"))))))</f>
        <v/>
      </c>
    </row>
    <row r="195">
      <c r="A195" s="82">
        <f>'ERROR FINAL'!A198</f>
        <v/>
      </c>
      <c r="B195" s="83">
        <f>'ERROR FINAL'!D198</f>
        <v/>
      </c>
      <c r="C195" s="344">
        <f>'ERROR FINAL'!G198</f>
        <v/>
      </c>
      <c r="D195" s="85">
        <f>'ERROR FINAL'!I198</f>
        <v/>
      </c>
      <c r="E195" s="345">
        <f>'ERROR FINAL'!U198</f>
        <v/>
      </c>
      <c r="F195" s="346">
        <f>'ERROR FINAL'!AG198</f>
        <v/>
      </c>
      <c r="G195" s="346">
        <f>'ERROR FINAL'!AS198</f>
        <v/>
      </c>
      <c r="H195" s="88">
        <f>IF('ERROR FINAL'!AT198="CONFORME","CONFORME","NO CONFORME")</f>
        <v/>
      </c>
      <c r="I195" s="89">
        <f>IF(D195=0,"Medición",IF(D195=1,"Daño físico",IF(D195=2,"Fuga",IF(D195=3,"Picado",IF(D195=4,"Desfasado",IF(D195=5,"Paralizado","¿?"))))))</f>
        <v/>
      </c>
    </row>
    <row r="196">
      <c r="A196" s="82">
        <f>'ERROR FINAL'!A199</f>
        <v/>
      </c>
      <c r="B196" s="83">
        <f>'ERROR FINAL'!D199</f>
        <v/>
      </c>
      <c r="C196" s="344">
        <f>'ERROR FINAL'!G199</f>
        <v/>
      </c>
      <c r="D196" s="85">
        <f>'ERROR FINAL'!I199</f>
        <v/>
      </c>
      <c r="E196" s="345">
        <f>'ERROR FINAL'!U199</f>
        <v/>
      </c>
      <c r="F196" s="346">
        <f>'ERROR FINAL'!AG199</f>
        <v/>
      </c>
      <c r="G196" s="346">
        <f>'ERROR FINAL'!AS199</f>
        <v/>
      </c>
      <c r="H196" s="88">
        <f>IF('ERROR FINAL'!AT199="CONFORME","CONFORME","NO CONFORME")</f>
        <v/>
      </c>
      <c r="I196" s="89">
        <f>IF(D196=0,"Medición",IF(D196=1,"Daño físico",IF(D196=2,"Fuga",IF(D196=3,"Picado",IF(D196=4,"Desfasado",IF(D196=5,"Paralizado","¿?"))))))</f>
        <v/>
      </c>
    </row>
    <row r="197">
      <c r="A197" s="82">
        <f>'ERROR FINAL'!A200</f>
        <v/>
      </c>
      <c r="B197" s="83">
        <f>'ERROR FINAL'!D200</f>
        <v/>
      </c>
      <c r="C197" s="344">
        <f>'ERROR FINAL'!G200</f>
        <v/>
      </c>
      <c r="D197" s="85">
        <f>'ERROR FINAL'!I200</f>
        <v/>
      </c>
      <c r="E197" s="345">
        <f>'ERROR FINAL'!U200</f>
        <v/>
      </c>
      <c r="F197" s="346">
        <f>'ERROR FINAL'!AG200</f>
        <v/>
      </c>
      <c r="G197" s="346">
        <f>'ERROR FINAL'!AS200</f>
        <v/>
      </c>
      <c r="H197" s="88">
        <f>IF('ERROR FINAL'!AT200="CONFORME","CONFORME","NO CONFORME")</f>
        <v/>
      </c>
      <c r="I197" s="89">
        <f>IF(D197=0,"Medición",IF(D197=1,"Daño físico",IF(D197=2,"Fuga",IF(D197=3,"Picado",IF(D197=4,"Desfasado",IF(D197=5,"Paralizado","¿?"))))))</f>
        <v/>
      </c>
    </row>
    <row r="198">
      <c r="A198" s="82">
        <f>'ERROR FINAL'!A201</f>
        <v/>
      </c>
      <c r="B198" s="83">
        <f>'ERROR FINAL'!D201</f>
        <v/>
      </c>
      <c r="C198" s="344">
        <f>'ERROR FINAL'!G201</f>
        <v/>
      </c>
      <c r="D198" s="85">
        <f>'ERROR FINAL'!I201</f>
        <v/>
      </c>
      <c r="E198" s="345">
        <f>'ERROR FINAL'!U201</f>
        <v/>
      </c>
      <c r="F198" s="346">
        <f>'ERROR FINAL'!AG201</f>
        <v/>
      </c>
      <c r="G198" s="346">
        <f>'ERROR FINAL'!AS201</f>
        <v/>
      </c>
      <c r="H198" s="88">
        <f>IF('ERROR FINAL'!AT201="CONFORME","CONFORME","NO CONFORME")</f>
        <v/>
      </c>
      <c r="I198" s="89">
        <f>IF(D198=0,"Medición",IF(D198=1,"Daño físico",IF(D198=2,"Fuga",IF(D198=3,"Picado",IF(D198=4,"Desfasado",IF(D198=5,"Paralizado","¿?"))))))</f>
        <v/>
      </c>
    </row>
    <row r="199">
      <c r="A199" s="82">
        <f>'ERROR FINAL'!A202</f>
        <v/>
      </c>
      <c r="B199" s="83">
        <f>'ERROR FINAL'!D202</f>
        <v/>
      </c>
      <c r="C199" s="344">
        <f>'ERROR FINAL'!G202</f>
        <v/>
      </c>
      <c r="D199" s="85">
        <f>'ERROR FINAL'!I202</f>
        <v/>
      </c>
      <c r="E199" s="345">
        <f>'ERROR FINAL'!U202</f>
        <v/>
      </c>
      <c r="F199" s="346">
        <f>'ERROR FINAL'!AG202</f>
        <v/>
      </c>
      <c r="G199" s="346">
        <f>'ERROR FINAL'!AS202</f>
        <v/>
      </c>
      <c r="H199" s="88">
        <f>IF('ERROR FINAL'!AT202="CONFORME","CONFORME","NO CONFORME")</f>
        <v/>
      </c>
      <c r="I199" s="89">
        <f>IF(D199=0,"Medición",IF(D199=1,"Daño físico",IF(D199=2,"Fuga",IF(D199=3,"Picado",IF(D199=4,"Desfasado",IF(D199=5,"Paralizado","¿?"))))))</f>
        <v/>
      </c>
    </row>
    <row r="200">
      <c r="A200" s="82">
        <f>'ERROR FINAL'!A203</f>
        <v/>
      </c>
      <c r="B200" s="83">
        <f>'ERROR FINAL'!D203</f>
        <v/>
      </c>
      <c r="C200" s="344">
        <f>'ERROR FINAL'!G203</f>
        <v/>
      </c>
      <c r="D200" s="85">
        <f>'ERROR FINAL'!I203</f>
        <v/>
      </c>
      <c r="E200" s="345">
        <f>'ERROR FINAL'!U203</f>
        <v/>
      </c>
      <c r="F200" s="346">
        <f>'ERROR FINAL'!AG203</f>
        <v/>
      </c>
      <c r="G200" s="346">
        <f>'ERROR FINAL'!AS203</f>
        <v/>
      </c>
      <c r="H200" s="88">
        <f>IF('ERROR FINAL'!AT203="CONFORME","CONFORME","NO CONFORME")</f>
        <v/>
      </c>
      <c r="I200" s="89">
        <f>IF(D200=0,"Medición",IF(D200=1,"Daño físico",IF(D200=2,"Fuga",IF(D200=3,"Picado",IF(D200=4,"Desfasado",IF(D200=5,"Paralizado","¿?"))))))</f>
        <v/>
      </c>
    </row>
    <row r="201">
      <c r="A201" s="82">
        <f>'ERROR FINAL'!A204</f>
        <v/>
      </c>
      <c r="B201" s="83">
        <f>'ERROR FINAL'!D204</f>
        <v/>
      </c>
      <c r="C201" s="344">
        <f>'ERROR FINAL'!G204</f>
        <v/>
      </c>
      <c r="D201" s="85">
        <f>'ERROR FINAL'!I204</f>
        <v/>
      </c>
      <c r="E201" s="345">
        <f>'ERROR FINAL'!U204</f>
        <v/>
      </c>
      <c r="F201" s="346">
        <f>'ERROR FINAL'!AG204</f>
        <v/>
      </c>
      <c r="G201" s="346">
        <f>'ERROR FINAL'!AS204</f>
        <v/>
      </c>
      <c r="H201" s="88">
        <f>IF('ERROR FINAL'!AT204="CONFORME","CONFORME","NO CONFORME")</f>
        <v/>
      </c>
      <c r="I201" s="89">
        <f>IF(D201=0,"Medición",IF(D201=1,"Daño físico",IF(D201=2,"Fuga",IF(D201=3,"Picado",IF(D201=4,"Desfasado",IF(D201=5,"Paralizado","¿?"))))))</f>
        <v/>
      </c>
    </row>
    <row r="202">
      <c r="A202" s="82">
        <f>'ERROR FINAL'!A205</f>
        <v/>
      </c>
      <c r="B202" s="83">
        <f>'ERROR FINAL'!D205</f>
        <v/>
      </c>
      <c r="C202" s="344">
        <f>'ERROR FINAL'!G205</f>
        <v/>
      </c>
      <c r="D202" s="85">
        <f>'ERROR FINAL'!I205</f>
        <v/>
      </c>
      <c r="E202" s="345">
        <f>'ERROR FINAL'!U205</f>
        <v/>
      </c>
      <c r="F202" s="346">
        <f>'ERROR FINAL'!AG205</f>
        <v/>
      </c>
      <c r="G202" s="346">
        <f>'ERROR FINAL'!AS205</f>
        <v/>
      </c>
      <c r="H202" s="88">
        <f>IF('ERROR FINAL'!AT205="CONFORME","CONFORME","NO CONFORME")</f>
        <v/>
      </c>
      <c r="I202" s="89">
        <f>IF(D202=0,"Medición",IF(D202=1,"Daño físico",IF(D202=2,"Fuga",IF(D202=3,"Picado",IF(D202=4,"Desfasado",IF(D202=5,"Paralizado","¿?"))))))</f>
        <v/>
      </c>
    </row>
    <row r="203">
      <c r="A203" s="82">
        <f>'ERROR FINAL'!A206</f>
        <v/>
      </c>
      <c r="B203" s="83">
        <f>'ERROR FINAL'!D206</f>
        <v/>
      </c>
      <c r="C203" s="344">
        <f>'ERROR FINAL'!G206</f>
        <v/>
      </c>
      <c r="D203" s="85">
        <f>'ERROR FINAL'!I206</f>
        <v/>
      </c>
      <c r="E203" s="345">
        <f>'ERROR FINAL'!U206</f>
        <v/>
      </c>
      <c r="F203" s="346">
        <f>'ERROR FINAL'!AG206</f>
        <v/>
      </c>
      <c r="G203" s="346">
        <f>'ERROR FINAL'!AS206</f>
        <v/>
      </c>
      <c r="H203" s="88">
        <f>IF('ERROR FINAL'!AT206="CONFORME","CONFORME","NO CONFORME")</f>
        <v/>
      </c>
      <c r="I203" s="89">
        <f>IF(D203=0,"Medición",IF(D203=1,"Daño físico",IF(D203=2,"Fuga",IF(D203=3,"Picado",IF(D203=4,"Desfasado",IF(D203=5,"Paralizado","¿?"))))))</f>
        <v/>
      </c>
    </row>
    <row r="204">
      <c r="A204" s="82">
        <f>'ERROR FINAL'!A207</f>
        <v/>
      </c>
      <c r="B204" s="83">
        <f>'ERROR FINAL'!D207</f>
        <v/>
      </c>
      <c r="C204" s="344">
        <f>'ERROR FINAL'!G207</f>
        <v/>
      </c>
      <c r="D204" s="85">
        <f>'ERROR FINAL'!I207</f>
        <v/>
      </c>
      <c r="E204" s="345">
        <f>'ERROR FINAL'!U207</f>
        <v/>
      </c>
      <c r="F204" s="346">
        <f>'ERROR FINAL'!AG207</f>
        <v/>
      </c>
      <c r="G204" s="346">
        <f>'ERROR FINAL'!AS207</f>
        <v/>
      </c>
      <c r="H204" s="88">
        <f>IF('ERROR FINAL'!AT207="CONFORME","CONFORME","NO CONFORME")</f>
        <v/>
      </c>
      <c r="I204" s="89">
        <f>IF(D204=0,"Medición",IF(D204=1,"Daño físico",IF(D204=2,"Fuga",IF(D204=3,"Picado",IF(D204=4,"Desfasado",IF(D204=5,"Paralizado","¿?"))))))</f>
        <v/>
      </c>
    </row>
    <row r="205">
      <c r="A205" s="82">
        <f>'ERROR FINAL'!A208</f>
        <v/>
      </c>
      <c r="B205" s="83">
        <f>'ERROR FINAL'!D208</f>
        <v/>
      </c>
      <c r="C205" s="344">
        <f>'ERROR FINAL'!G208</f>
        <v/>
      </c>
      <c r="D205" s="85">
        <f>'ERROR FINAL'!I208</f>
        <v/>
      </c>
      <c r="E205" s="345">
        <f>'ERROR FINAL'!U208</f>
        <v/>
      </c>
      <c r="F205" s="346">
        <f>'ERROR FINAL'!AG208</f>
        <v/>
      </c>
      <c r="G205" s="346">
        <f>'ERROR FINAL'!AS208</f>
        <v/>
      </c>
      <c r="H205" s="88">
        <f>IF('ERROR FINAL'!AT208="CONFORME","CONFORME","NO CONFORME")</f>
        <v/>
      </c>
      <c r="I205" s="89">
        <f>IF(D205=0,"Medición",IF(D205=1,"Daño físico",IF(D205=2,"Fuga",IF(D205=3,"Picado",IF(D205=4,"Desfasado",IF(D205=5,"Paralizado","¿?"))))))</f>
        <v/>
      </c>
    </row>
    <row r="206">
      <c r="A206" s="82">
        <f>'ERROR FINAL'!A209</f>
        <v/>
      </c>
      <c r="B206" s="83">
        <f>'ERROR FINAL'!D209</f>
        <v/>
      </c>
      <c r="C206" s="344">
        <f>'ERROR FINAL'!G209</f>
        <v/>
      </c>
      <c r="D206" s="85">
        <f>'ERROR FINAL'!I209</f>
        <v/>
      </c>
      <c r="E206" s="345">
        <f>'ERROR FINAL'!U209</f>
        <v/>
      </c>
      <c r="F206" s="346">
        <f>'ERROR FINAL'!AG209</f>
        <v/>
      </c>
      <c r="G206" s="346">
        <f>'ERROR FINAL'!AS209</f>
        <v/>
      </c>
      <c r="H206" s="88">
        <f>IF('ERROR FINAL'!AT209="CONFORME","CONFORME","NO CONFORME")</f>
        <v/>
      </c>
      <c r="I206" s="89">
        <f>IF(D206=0,"Medición",IF(D206=1,"Daño físico",IF(D206=2,"Fuga",IF(D206=3,"Picado",IF(D206=4,"Desfasado",IF(D206=5,"Paralizado","¿?"))))))</f>
        <v/>
      </c>
    </row>
    <row r="207">
      <c r="A207" s="82">
        <f>'ERROR FINAL'!A210</f>
        <v/>
      </c>
      <c r="B207" s="83">
        <f>'ERROR FINAL'!D210</f>
        <v/>
      </c>
      <c r="C207" s="344">
        <f>'ERROR FINAL'!G210</f>
        <v/>
      </c>
      <c r="D207" s="85">
        <f>'ERROR FINAL'!I210</f>
        <v/>
      </c>
      <c r="E207" s="345">
        <f>'ERROR FINAL'!U210</f>
        <v/>
      </c>
      <c r="F207" s="346">
        <f>'ERROR FINAL'!AG210</f>
        <v/>
      </c>
      <c r="G207" s="346">
        <f>'ERROR FINAL'!AS210</f>
        <v/>
      </c>
      <c r="H207" s="88">
        <f>IF('ERROR FINAL'!AT210="CONFORME","CONFORME","NO CONFORME")</f>
        <v/>
      </c>
      <c r="I207" s="89">
        <f>IF(D207=0,"Medición",IF(D207=1,"Daño físico",IF(D207=2,"Fuga",IF(D207=3,"Picado",IF(D207=4,"Desfasado",IF(D207=5,"Paralizado","¿?"))))))</f>
        <v/>
      </c>
    </row>
    <row r="208">
      <c r="A208" s="82">
        <f>'ERROR FINAL'!A211</f>
        <v/>
      </c>
      <c r="B208" s="83">
        <f>'ERROR FINAL'!D211</f>
        <v/>
      </c>
      <c r="C208" s="344">
        <f>'ERROR FINAL'!G211</f>
        <v/>
      </c>
      <c r="D208" s="85">
        <f>'ERROR FINAL'!I211</f>
        <v/>
      </c>
      <c r="E208" s="345">
        <f>'ERROR FINAL'!U211</f>
        <v/>
      </c>
      <c r="F208" s="346">
        <f>'ERROR FINAL'!AG211</f>
        <v/>
      </c>
      <c r="G208" s="346">
        <f>'ERROR FINAL'!AS211</f>
        <v/>
      </c>
      <c r="H208" s="88">
        <f>IF('ERROR FINAL'!AT211="CONFORME","CONFORME","NO CONFORME")</f>
        <v/>
      </c>
      <c r="I208" s="89">
        <f>IF(D208=0,"Medición",IF(D208=1,"Daño físico",IF(D208=2,"Fuga",IF(D208=3,"Picado",IF(D208=4,"Desfasado",IF(D208=5,"Paralizado","¿?"))))))</f>
        <v/>
      </c>
    </row>
    <row r="209">
      <c r="A209" s="82">
        <f>'ERROR FINAL'!A212</f>
        <v/>
      </c>
      <c r="B209" s="83">
        <f>'ERROR FINAL'!D212</f>
        <v/>
      </c>
      <c r="C209" s="344">
        <f>'ERROR FINAL'!G212</f>
        <v/>
      </c>
      <c r="D209" s="85">
        <f>'ERROR FINAL'!I212</f>
        <v/>
      </c>
      <c r="E209" s="345">
        <f>'ERROR FINAL'!U212</f>
        <v/>
      </c>
      <c r="F209" s="346">
        <f>'ERROR FINAL'!AG212</f>
        <v/>
      </c>
      <c r="G209" s="346">
        <f>'ERROR FINAL'!AS212</f>
        <v/>
      </c>
      <c r="H209" s="88">
        <f>IF('ERROR FINAL'!AT212="CONFORME","CONFORME","NO CONFORME")</f>
        <v/>
      </c>
      <c r="I209" s="89">
        <f>IF(D209=0,"Medición",IF(D209=1,"Daño físico",IF(D209=2,"Fuga",IF(D209=3,"Picado",IF(D209=4,"Desfasado",IF(D209=5,"Paralizado","¿?"))))))</f>
        <v/>
      </c>
    </row>
    <row r="210">
      <c r="A210" s="82">
        <f>'ERROR FINAL'!A213</f>
        <v/>
      </c>
      <c r="B210" s="83">
        <f>'ERROR FINAL'!D213</f>
        <v/>
      </c>
      <c r="C210" s="344">
        <f>'ERROR FINAL'!G213</f>
        <v/>
      </c>
      <c r="D210" s="85">
        <f>'ERROR FINAL'!I213</f>
        <v/>
      </c>
      <c r="E210" s="345">
        <f>'ERROR FINAL'!U213</f>
        <v/>
      </c>
      <c r="F210" s="346">
        <f>'ERROR FINAL'!AG213</f>
        <v/>
      </c>
      <c r="G210" s="346">
        <f>'ERROR FINAL'!AS213</f>
        <v/>
      </c>
      <c r="H210" s="88">
        <f>IF('ERROR FINAL'!AT213="CONFORME","CONFORME","NO CONFORME")</f>
        <v/>
      </c>
      <c r="I210" s="89">
        <f>IF(D210=0,"Medición",IF(D210=1,"Daño físico",IF(D210=2,"Fuga",IF(D210=3,"Picado",IF(D210=4,"Desfasado",IF(D210=5,"Paralizado","¿?"))))))</f>
        <v/>
      </c>
    </row>
    <row r="211">
      <c r="A211" s="82">
        <f>'ERROR FINAL'!A214</f>
        <v/>
      </c>
      <c r="B211" s="83">
        <f>'ERROR FINAL'!D214</f>
        <v/>
      </c>
      <c r="C211" s="344">
        <f>'ERROR FINAL'!G214</f>
        <v/>
      </c>
      <c r="D211" s="85">
        <f>'ERROR FINAL'!I214</f>
        <v/>
      </c>
      <c r="E211" s="345">
        <f>'ERROR FINAL'!U214</f>
        <v/>
      </c>
      <c r="F211" s="346">
        <f>'ERROR FINAL'!AG214</f>
        <v/>
      </c>
      <c r="G211" s="346">
        <f>'ERROR FINAL'!AS214</f>
        <v/>
      </c>
      <c r="H211" s="88">
        <f>IF('ERROR FINAL'!AT214="CONFORME","CONFORME","NO CONFORME")</f>
        <v/>
      </c>
      <c r="I211" s="89">
        <f>IF(D211=0,"Medición",IF(D211=1,"Daño físico",IF(D211=2,"Fuga",IF(D211=3,"Picado",IF(D211=4,"Desfasado",IF(D211=5,"Paralizado","¿?"))))))</f>
        <v/>
      </c>
    </row>
    <row r="212">
      <c r="A212" s="82">
        <f>'ERROR FINAL'!A215</f>
        <v/>
      </c>
      <c r="B212" s="83">
        <f>'ERROR FINAL'!D215</f>
        <v/>
      </c>
      <c r="C212" s="344">
        <f>'ERROR FINAL'!G215</f>
        <v/>
      </c>
      <c r="D212" s="85">
        <f>'ERROR FINAL'!I215</f>
        <v/>
      </c>
      <c r="E212" s="345">
        <f>'ERROR FINAL'!U215</f>
        <v/>
      </c>
      <c r="F212" s="346">
        <f>'ERROR FINAL'!AG215</f>
        <v/>
      </c>
      <c r="G212" s="346">
        <f>'ERROR FINAL'!AS215</f>
        <v/>
      </c>
      <c r="H212" s="88">
        <f>IF('ERROR FINAL'!AT215="CONFORME","CONFORME","NO CONFORME")</f>
        <v/>
      </c>
      <c r="I212" s="89">
        <f>IF(D212=0,"Medición",IF(D212=1,"Daño físico",IF(D212=2,"Fuga",IF(D212=3,"Picado",IF(D212=4,"Desfasado",IF(D212=5,"Paralizado","¿?"))))))</f>
        <v/>
      </c>
    </row>
    <row r="213">
      <c r="A213" s="82">
        <f>'ERROR FINAL'!A216</f>
        <v/>
      </c>
      <c r="B213" s="83">
        <f>'ERROR FINAL'!D216</f>
        <v/>
      </c>
      <c r="C213" s="344">
        <f>'ERROR FINAL'!G216</f>
        <v/>
      </c>
      <c r="D213" s="85">
        <f>'ERROR FINAL'!I216</f>
        <v/>
      </c>
      <c r="E213" s="345">
        <f>'ERROR FINAL'!U216</f>
        <v/>
      </c>
      <c r="F213" s="346">
        <f>'ERROR FINAL'!AG216</f>
        <v/>
      </c>
      <c r="G213" s="346">
        <f>'ERROR FINAL'!AS216</f>
        <v/>
      </c>
      <c r="H213" s="88">
        <f>IF('ERROR FINAL'!AT216="CONFORME","CONFORME","NO CONFORME")</f>
        <v/>
      </c>
      <c r="I213" s="89">
        <f>IF(D213=0,"Medición",IF(D213=1,"Daño físico",IF(D213=2,"Fuga",IF(D213=3,"Picado",IF(D213=4,"Desfasado",IF(D213=5,"Paralizado","¿?"))))))</f>
        <v/>
      </c>
    </row>
    <row r="214">
      <c r="A214" s="82">
        <f>'ERROR FINAL'!A217</f>
        <v/>
      </c>
      <c r="B214" s="83">
        <f>'ERROR FINAL'!D217</f>
        <v/>
      </c>
      <c r="C214" s="344">
        <f>'ERROR FINAL'!G217</f>
        <v/>
      </c>
      <c r="D214" s="85">
        <f>'ERROR FINAL'!I217</f>
        <v/>
      </c>
      <c r="E214" s="345">
        <f>'ERROR FINAL'!U217</f>
        <v/>
      </c>
      <c r="F214" s="346">
        <f>'ERROR FINAL'!AG217</f>
        <v/>
      </c>
      <c r="G214" s="346">
        <f>'ERROR FINAL'!AS217</f>
        <v/>
      </c>
      <c r="H214" s="88">
        <f>IF('ERROR FINAL'!AT217="CONFORME","CONFORME","NO CONFORME")</f>
        <v/>
      </c>
      <c r="I214" s="89">
        <f>IF(D214=0,"Medición",IF(D214=1,"Daño físico",IF(D214=2,"Fuga",IF(D214=3,"Picado",IF(D214=4,"Desfasado",IF(D214=5,"Paralizado","¿?"))))))</f>
        <v/>
      </c>
    </row>
    <row r="215">
      <c r="A215" s="82">
        <f>'ERROR FINAL'!A218</f>
        <v/>
      </c>
      <c r="B215" s="83">
        <f>'ERROR FINAL'!D218</f>
        <v/>
      </c>
      <c r="C215" s="344">
        <f>'ERROR FINAL'!G218</f>
        <v/>
      </c>
      <c r="D215" s="85">
        <f>'ERROR FINAL'!I218</f>
        <v/>
      </c>
      <c r="E215" s="345">
        <f>'ERROR FINAL'!U218</f>
        <v/>
      </c>
      <c r="F215" s="346">
        <f>'ERROR FINAL'!AG218</f>
        <v/>
      </c>
      <c r="G215" s="346">
        <f>'ERROR FINAL'!AS218</f>
        <v/>
      </c>
      <c r="H215" s="88">
        <f>IF('ERROR FINAL'!AT218="CONFORME","CONFORME","NO CONFORME")</f>
        <v/>
      </c>
      <c r="I215" s="89">
        <f>IF(D215=0,"Medición",IF(D215=1,"Daño físico",IF(D215=2,"Fuga",IF(D215=3,"Picado",IF(D215=4,"Desfasado",IF(D215=5,"Paralizado","¿?"))))))</f>
        <v/>
      </c>
    </row>
    <row r="216">
      <c r="A216" s="82">
        <f>'ERROR FINAL'!A219</f>
        <v/>
      </c>
      <c r="B216" s="83">
        <f>'ERROR FINAL'!D219</f>
        <v/>
      </c>
      <c r="C216" s="344">
        <f>'ERROR FINAL'!G219</f>
        <v/>
      </c>
      <c r="D216" s="85">
        <f>'ERROR FINAL'!I219</f>
        <v/>
      </c>
      <c r="E216" s="345">
        <f>'ERROR FINAL'!U219</f>
        <v/>
      </c>
      <c r="F216" s="346">
        <f>'ERROR FINAL'!AG219</f>
        <v/>
      </c>
      <c r="G216" s="346">
        <f>'ERROR FINAL'!AS219</f>
        <v/>
      </c>
      <c r="H216" s="88">
        <f>IF('ERROR FINAL'!AT219="CONFORME","CONFORME","NO CONFORME")</f>
        <v/>
      </c>
      <c r="I216" s="89">
        <f>IF(D216=0,"Medición",IF(D216=1,"Daño físico",IF(D216=2,"Fuga",IF(D216=3,"Picado",IF(D216=4,"Desfasado",IF(D216=5,"Paralizado","¿?"))))))</f>
        <v/>
      </c>
    </row>
    <row r="217">
      <c r="A217" s="82">
        <f>'ERROR FINAL'!A220</f>
        <v/>
      </c>
      <c r="B217" s="83">
        <f>'ERROR FINAL'!D220</f>
        <v/>
      </c>
      <c r="C217" s="344">
        <f>'ERROR FINAL'!G220</f>
        <v/>
      </c>
      <c r="D217" s="85">
        <f>'ERROR FINAL'!I220</f>
        <v/>
      </c>
      <c r="E217" s="345">
        <f>'ERROR FINAL'!U220</f>
        <v/>
      </c>
      <c r="F217" s="346">
        <f>'ERROR FINAL'!AG220</f>
        <v/>
      </c>
      <c r="G217" s="346">
        <f>'ERROR FINAL'!AS220</f>
        <v/>
      </c>
      <c r="H217" s="88">
        <f>IF('ERROR FINAL'!AT220="CONFORME","CONFORME","NO CONFORME")</f>
        <v/>
      </c>
      <c r="I217" s="89">
        <f>IF(D217=0,"Medición",IF(D217=1,"Daño físico",IF(D217=2,"Fuga",IF(D217=3,"Picado",IF(D217=4,"Desfasado",IF(D217=5,"Paralizado","¿?"))))))</f>
        <v/>
      </c>
    </row>
    <row r="218">
      <c r="A218" s="82">
        <f>'ERROR FINAL'!A221</f>
        <v/>
      </c>
      <c r="B218" s="83">
        <f>'ERROR FINAL'!D221</f>
        <v/>
      </c>
      <c r="C218" s="344">
        <f>'ERROR FINAL'!G221</f>
        <v/>
      </c>
      <c r="D218" s="85">
        <f>'ERROR FINAL'!I221</f>
        <v/>
      </c>
      <c r="E218" s="345">
        <f>'ERROR FINAL'!U221</f>
        <v/>
      </c>
      <c r="F218" s="346">
        <f>'ERROR FINAL'!AG221</f>
        <v/>
      </c>
      <c r="G218" s="346">
        <f>'ERROR FINAL'!AS221</f>
        <v/>
      </c>
      <c r="H218" s="88">
        <f>IF('ERROR FINAL'!AT221="CONFORME","CONFORME","NO CONFORME")</f>
        <v/>
      </c>
      <c r="I218" s="89">
        <f>IF(D218=0,"Medición",IF(D218=1,"Daño físico",IF(D218=2,"Fuga",IF(D218=3,"Picado",IF(D218=4,"Desfasado",IF(D218=5,"Paralizado","¿?"))))))</f>
        <v/>
      </c>
    </row>
    <row r="219">
      <c r="A219" s="82">
        <f>'ERROR FINAL'!A222</f>
        <v/>
      </c>
      <c r="B219" s="83">
        <f>'ERROR FINAL'!D222</f>
        <v/>
      </c>
      <c r="C219" s="344">
        <f>'ERROR FINAL'!G222</f>
        <v/>
      </c>
      <c r="D219" s="85">
        <f>'ERROR FINAL'!I222</f>
        <v/>
      </c>
      <c r="E219" s="345">
        <f>'ERROR FINAL'!U222</f>
        <v/>
      </c>
      <c r="F219" s="346">
        <f>'ERROR FINAL'!AG222</f>
        <v/>
      </c>
      <c r="G219" s="346">
        <f>'ERROR FINAL'!AS222</f>
        <v/>
      </c>
      <c r="H219" s="88">
        <f>IF('ERROR FINAL'!AT222="CONFORME","CONFORME","NO CONFORME")</f>
        <v/>
      </c>
      <c r="I219" s="89">
        <f>IF(D219=0,"Medición",IF(D219=1,"Daño físico",IF(D219=2,"Fuga",IF(D219=3,"Picado",IF(D219=4,"Desfasado",IF(D219=5,"Paralizado","¿?"))))))</f>
        <v/>
      </c>
    </row>
    <row r="220">
      <c r="A220" s="82">
        <f>'ERROR FINAL'!A223</f>
        <v/>
      </c>
      <c r="B220" s="83">
        <f>'ERROR FINAL'!D223</f>
        <v/>
      </c>
      <c r="C220" s="344">
        <f>'ERROR FINAL'!G223</f>
        <v/>
      </c>
      <c r="D220" s="85">
        <f>'ERROR FINAL'!I223</f>
        <v/>
      </c>
      <c r="E220" s="345">
        <f>'ERROR FINAL'!U223</f>
        <v/>
      </c>
      <c r="F220" s="346">
        <f>'ERROR FINAL'!AG223</f>
        <v/>
      </c>
      <c r="G220" s="346">
        <f>'ERROR FINAL'!AS223</f>
        <v/>
      </c>
      <c r="H220" s="88">
        <f>IF('ERROR FINAL'!AT223="CONFORME","CONFORME","NO CONFORME")</f>
        <v/>
      </c>
      <c r="I220" s="89">
        <f>IF(D220=0,"Medición",IF(D220=1,"Daño físico",IF(D220=2,"Fuga",IF(D220=3,"Picado",IF(D220=4,"Desfasado",IF(D220=5,"Paralizado","¿?"))))))</f>
        <v/>
      </c>
    </row>
    <row r="221">
      <c r="A221" s="82">
        <f>'ERROR FINAL'!A224</f>
        <v/>
      </c>
      <c r="B221" s="83">
        <f>'ERROR FINAL'!D224</f>
        <v/>
      </c>
      <c r="C221" s="344">
        <f>'ERROR FINAL'!G224</f>
        <v/>
      </c>
      <c r="D221" s="85">
        <f>'ERROR FINAL'!I224</f>
        <v/>
      </c>
      <c r="E221" s="345">
        <f>'ERROR FINAL'!U224</f>
        <v/>
      </c>
      <c r="F221" s="346">
        <f>'ERROR FINAL'!AG224</f>
        <v/>
      </c>
      <c r="G221" s="346">
        <f>'ERROR FINAL'!AS224</f>
        <v/>
      </c>
      <c r="H221" s="88">
        <f>IF('ERROR FINAL'!AT224="CONFORME","CONFORME","NO CONFORME")</f>
        <v/>
      </c>
      <c r="I221" s="89">
        <f>IF(D221=0,"Medición",IF(D221=1,"Daño físico",IF(D221=2,"Fuga",IF(D221=3,"Picado",IF(D221=4,"Desfasado",IF(D221=5,"Paralizado","¿?"))))))</f>
        <v/>
      </c>
    </row>
    <row r="222">
      <c r="A222" s="82">
        <f>'ERROR FINAL'!A225</f>
        <v/>
      </c>
      <c r="B222" s="83">
        <f>'ERROR FINAL'!D225</f>
        <v/>
      </c>
      <c r="C222" s="344">
        <f>'ERROR FINAL'!G225</f>
        <v/>
      </c>
      <c r="D222" s="85">
        <f>'ERROR FINAL'!I225</f>
        <v/>
      </c>
      <c r="E222" s="345">
        <f>'ERROR FINAL'!U225</f>
        <v/>
      </c>
      <c r="F222" s="346">
        <f>'ERROR FINAL'!AG225</f>
        <v/>
      </c>
      <c r="G222" s="346">
        <f>'ERROR FINAL'!AS225</f>
        <v/>
      </c>
      <c r="H222" s="88">
        <f>IF('ERROR FINAL'!AT225="CONFORME","CONFORME","NO CONFORME")</f>
        <v/>
      </c>
      <c r="I222" s="89">
        <f>IF(D222=0,"Medición",IF(D222=1,"Daño físico",IF(D222=2,"Fuga",IF(D222=3,"Picado",IF(D222=4,"Desfasado",IF(D222=5,"Paralizado","¿?"))))))</f>
        <v/>
      </c>
    </row>
    <row r="223">
      <c r="A223" s="82">
        <f>'ERROR FINAL'!A226</f>
        <v/>
      </c>
      <c r="B223" s="83">
        <f>'ERROR FINAL'!D226</f>
        <v/>
      </c>
      <c r="C223" s="344">
        <f>'ERROR FINAL'!G226</f>
        <v/>
      </c>
      <c r="D223" s="85">
        <f>'ERROR FINAL'!I226</f>
        <v/>
      </c>
      <c r="E223" s="345">
        <f>'ERROR FINAL'!U226</f>
        <v/>
      </c>
      <c r="F223" s="346">
        <f>'ERROR FINAL'!AG226</f>
        <v/>
      </c>
      <c r="G223" s="346">
        <f>'ERROR FINAL'!AS226</f>
        <v/>
      </c>
      <c r="H223" s="88">
        <f>IF('ERROR FINAL'!AT226="CONFORME","CONFORME","NO CONFORME")</f>
        <v/>
      </c>
      <c r="I223" s="89">
        <f>IF(D223=0,"Medición",IF(D223=1,"Daño físico",IF(D223=2,"Fuga",IF(D223=3,"Picado",IF(D223=4,"Desfasado",IF(D223=5,"Paralizado","¿?"))))))</f>
        <v/>
      </c>
    </row>
    <row r="224">
      <c r="A224" s="82">
        <f>'ERROR FINAL'!A227</f>
        <v/>
      </c>
      <c r="B224" s="83">
        <f>'ERROR FINAL'!D227</f>
        <v/>
      </c>
      <c r="C224" s="344">
        <f>'ERROR FINAL'!G227</f>
        <v/>
      </c>
      <c r="D224" s="85">
        <f>'ERROR FINAL'!I227</f>
        <v/>
      </c>
      <c r="E224" s="345">
        <f>'ERROR FINAL'!U227</f>
        <v/>
      </c>
      <c r="F224" s="346">
        <f>'ERROR FINAL'!AG227</f>
        <v/>
      </c>
      <c r="G224" s="346">
        <f>'ERROR FINAL'!AS227</f>
        <v/>
      </c>
      <c r="H224" s="88">
        <f>IF('ERROR FINAL'!AT227="CONFORME","CONFORME","NO CONFORME")</f>
        <v/>
      </c>
      <c r="I224" s="89">
        <f>IF(D224=0,"Medición",IF(D224=1,"Daño físico",IF(D224=2,"Fuga",IF(D224=3,"Picado",IF(D224=4,"Desfasado",IF(D224=5,"Paralizado","¿?"))))))</f>
        <v/>
      </c>
    </row>
    <row r="225">
      <c r="A225" s="82">
        <f>'ERROR FINAL'!A228</f>
        <v/>
      </c>
      <c r="B225" s="83">
        <f>'ERROR FINAL'!D228</f>
        <v/>
      </c>
      <c r="C225" s="344">
        <f>'ERROR FINAL'!G228</f>
        <v/>
      </c>
      <c r="D225" s="85">
        <f>'ERROR FINAL'!I228</f>
        <v/>
      </c>
      <c r="E225" s="345">
        <f>'ERROR FINAL'!U228</f>
        <v/>
      </c>
      <c r="F225" s="346">
        <f>'ERROR FINAL'!AG228</f>
        <v/>
      </c>
      <c r="G225" s="346">
        <f>'ERROR FINAL'!AS228</f>
        <v/>
      </c>
      <c r="H225" s="88">
        <f>IF('ERROR FINAL'!AT228="CONFORME","CONFORME","NO CONFORME")</f>
        <v/>
      </c>
      <c r="I225" s="89">
        <f>IF(D225=0,"Medición",IF(D225=1,"Daño físico",IF(D225=2,"Fuga",IF(D225=3,"Picado",IF(D225=4,"Desfasado",IF(D225=5,"Paralizado","¿?"))))))</f>
        <v/>
      </c>
    </row>
    <row r="226">
      <c r="A226" s="82">
        <f>'ERROR FINAL'!A229</f>
        <v/>
      </c>
      <c r="B226" s="83">
        <f>'ERROR FINAL'!D229</f>
        <v/>
      </c>
      <c r="C226" s="344">
        <f>'ERROR FINAL'!G229</f>
        <v/>
      </c>
      <c r="D226" s="85">
        <f>'ERROR FINAL'!I229</f>
        <v/>
      </c>
      <c r="E226" s="345">
        <f>'ERROR FINAL'!U229</f>
        <v/>
      </c>
      <c r="F226" s="346">
        <f>'ERROR FINAL'!AG229</f>
        <v/>
      </c>
      <c r="G226" s="346">
        <f>'ERROR FINAL'!AS229</f>
        <v/>
      </c>
      <c r="H226" s="88">
        <f>IF('ERROR FINAL'!AT229="CONFORME","CONFORME","NO CONFORME")</f>
        <v/>
      </c>
      <c r="I226" s="89">
        <f>IF(D226=0,"Medición",IF(D226=1,"Daño físico",IF(D226=2,"Fuga",IF(D226=3,"Picado",IF(D226=4,"Desfasado",IF(D226=5,"Paralizado","¿?"))))))</f>
        <v/>
      </c>
    </row>
    <row r="227">
      <c r="A227" s="82">
        <f>'ERROR FINAL'!A230</f>
        <v/>
      </c>
      <c r="B227" s="83">
        <f>'ERROR FINAL'!D230</f>
        <v/>
      </c>
      <c r="C227" s="344">
        <f>'ERROR FINAL'!G230</f>
        <v/>
      </c>
      <c r="D227" s="85">
        <f>'ERROR FINAL'!I230</f>
        <v/>
      </c>
      <c r="E227" s="345">
        <f>'ERROR FINAL'!U230</f>
        <v/>
      </c>
      <c r="F227" s="346">
        <f>'ERROR FINAL'!AG230</f>
        <v/>
      </c>
      <c r="G227" s="346">
        <f>'ERROR FINAL'!AS230</f>
        <v/>
      </c>
      <c r="H227" s="88">
        <f>IF('ERROR FINAL'!AT230="CONFORME","CONFORME","NO CONFORME")</f>
        <v/>
      </c>
      <c r="I227" s="89">
        <f>IF(D227=0,"Medición",IF(D227=1,"Daño físico",IF(D227=2,"Fuga",IF(D227=3,"Picado",IF(D227=4,"Desfasado",IF(D227=5,"Paralizado","¿?"))))))</f>
        <v/>
      </c>
    </row>
    <row r="228">
      <c r="A228" s="82">
        <f>'ERROR FINAL'!A231</f>
        <v/>
      </c>
      <c r="B228" s="83">
        <f>'ERROR FINAL'!D231</f>
        <v/>
      </c>
      <c r="C228" s="344">
        <f>'ERROR FINAL'!G231</f>
        <v/>
      </c>
      <c r="D228" s="85">
        <f>'ERROR FINAL'!I231</f>
        <v/>
      </c>
      <c r="E228" s="345">
        <f>'ERROR FINAL'!U231</f>
        <v/>
      </c>
      <c r="F228" s="346">
        <f>'ERROR FINAL'!AG231</f>
        <v/>
      </c>
      <c r="G228" s="346">
        <f>'ERROR FINAL'!AS231</f>
        <v/>
      </c>
      <c r="H228" s="88">
        <f>IF('ERROR FINAL'!AT231="CONFORME","CONFORME","NO CONFORME")</f>
        <v/>
      </c>
      <c r="I228" s="89">
        <f>IF(D228=0,"Medición",IF(D228=1,"Daño físico",IF(D228=2,"Fuga",IF(D228=3,"Picado",IF(D228=4,"Desfasado",IF(D228=5,"Paralizado","¿?"))))))</f>
        <v/>
      </c>
    </row>
    <row r="229">
      <c r="A229" s="82">
        <f>'ERROR FINAL'!A232</f>
        <v/>
      </c>
      <c r="B229" s="83">
        <f>'ERROR FINAL'!D232</f>
        <v/>
      </c>
      <c r="C229" s="344">
        <f>'ERROR FINAL'!G232</f>
        <v/>
      </c>
      <c r="D229" s="85">
        <f>'ERROR FINAL'!I232</f>
        <v/>
      </c>
      <c r="E229" s="345">
        <f>'ERROR FINAL'!U232</f>
        <v/>
      </c>
      <c r="F229" s="346">
        <f>'ERROR FINAL'!AG232</f>
        <v/>
      </c>
      <c r="G229" s="346">
        <f>'ERROR FINAL'!AS232</f>
        <v/>
      </c>
      <c r="H229" s="88">
        <f>IF('ERROR FINAL'!AT232="CONFORME","CONFORME","NO CONFORME")</f>
        <v/>
      </c>
      <c r="I229" s="89">
        <f>IF(D229=0,"Medición",IF(D229=1,"Daño físico",IF(D229=2,"Fuga",IF(D229=3,"Picado",IF(D229=4,"Desfasado",IF(D229=5,"Paralizado","¿?"))))))</f>
        <v/>
      </c>
    </row>
    <row r="230">
      <c r="A230" s="82">
        <f>'ERROR FINAL'!A233</f>
        <v/>
      </c>
      <c r="B230" s="83">
        <f>'ERROR FINAL'!D233</f>
        <v/>
      </c>
      <c r="C230" s="344">
        <f>'ERROR FINAL'!G233</f>
        <v/>
      </c>
      <c r="D230" s="85">
        <f>'ERROR FINAL'!I233</f>
        <v/>
      </c>
      <c r="E230" s="345">
        <f>'ERROR FINAL'!U233</f>
        <v/>
      </c>
      <c r="F230" s="346">
        <f>'ERROR FINAL'!AG233</f>
        <v/>
      </c>
      <c r="G230" s="346">
        <f>'ERROR FINAL'!AS233</f>
        <v/>
      </c>
      <c r="H230" s="88">
        <f>IF('ERROR FINAL'!AT233="CONFORME","CONFORME","NO CONFORME")</f>
        <v/>
      </c>
      <c r="I230" s="89">
        <f>IF(D230=0,"Medición",IF(D230=1,"Daño físico",IF(D230=2,"Fuga",IF(D230=3,"Picado",IF(D230=4,"Desfasado",IF(D230=5,"Paralizado","¿?"))))))</f>
        <v/>
      </c>
    </row>
    <row r="231">
      <c r="A231" s="82">
        <f>'ERROR FINAL'!A234</f>
        <v/>
      </c>
      <c r="B231" s="83">
        <f>'ERROR FINAL'!D234</f>
        <v/>
      </c>
      <c r="C231" s="344">
        <f>'ERROR FINAL'!G234</f>
        <v/>
      </c>
      <c r="D231" s="85">
        <f>'ERROR FINAL'!I234</f>
        <v/>
      </c>
      <c r="E231" s="345">
        <f>'ERROR FINAL'!U234</f>
        <v/>
      </c>
      <c r="F231" s="346">
        <f>'ERROR FINAL'!AG234</f>
        <v/>
      </c>
      <c r="G231" s="346">
        <f>'ERROR FINAL'!AS234</f>
        <v/>
      </c>
      <c r="H231" s="88">
        <f>IF('ERROR FINAL'!AT234="CONFORME","CONFORME","NO CONFORME")</f>
        <v/>
      </c>
      <c r="I231" s="89">
        <f>IF(D231=0,"Medición",IF(D231=1,"Daño físico",IF(D231=2,"Fuga",IF(D231=3,"Picado",IF(D231=4,"Desfasado",IF(D231=5,"Paralizado","¿?"))))))</f>
        <v/>
      </c>
    </row>
    <row r="232">
      <c r="A232" s="82">
        <f>'ERROR FINAL'!A235</f>
        <v/>
      </c>
      <c r="B232" s="83">
        <f>'ERROR FINAL'!D235</f>
        <v/>
      </c>
      <c r="C232" s="344">
        <f>'ERROR FINAL'!G235</f>
        <v/>
      </c>
      <c r="D232" s="85">
        <f>'ERROR FINAL'!I235</f>
        <v/>
      </c>
      <c r="E232" s="345">
        <f>'ERROR FINAL'!U235</f>
        <v/>
      </c>
      <c r="F232" s="346">
        <f>'ERROR FINAL'!AG235</f>
        <v/>
      </c>
      <c r="G232" s="346">
        <f>'ERROR FINAL'!AS235</f>
        <v/>
      </c>
      <c r="H232" s="88">
        <f>IF('ERROR FINAL'!AT235="CONFORME","CONFORME","NO CONFORME")</f>
        <v/>
      </c>
      <c r="I232" s="89">
        <f>IF(D232=0,"Medición",IF(D232=1,"Daño físico",IF(D232=2,"Fuga",IF(D232=3,"Picado",IF(D232=4,"Desfasado",IF(D232=5,"Paralizado","¿?"))))))</f>
        <v/>
      </c>
    </row>
    <row r="233">
      <c r="A233" s="82">
        <f>'ERROR FINAL'!A236</f>
        <v/>
      </c>
      <c r="B233" s="83">
        <f>'ERROR FINAL'!D236</f>
        <v/>
      </c>
      <c r="C233" s="344">
        <f>'ERROR FINAL'!G236</f>
        <v/>
      </c>
      <c r="D233" s="85">
        <f>'ERROR FINAL'!I236</f>
        <v/>
      </c>
      <c r="E233" s="345">
        <f>'ERROR FINAL'!U236</f>
        <v/>
      </c>
      <c r="F233" s="346">
        <f>'ERROR FINAL'!AG236</f>
        <v/>
      </c>
      <c r="G233" s="346">
        <f>'ERROR FINAL'!AS236</f>
        <v/>
      </c>
      <c r="H233" s="88">
        <f>IF('ERROR FINAL'!AT236="CONFORME","CONFORME","NO CONFORME")</f>
        <v/>
      </c>
      <c r="I233" s="89">
        <f>IF(D233=0,"Medición",IF(D233=1,"Daño físico",IF(D233=2,"Fuga",IF(D233=3,"Picado",IF(D233=4,"Desfasado",IF(D233=5,"Paralizado","¿?"))))))</f>
        <v/>
      </c>
    </row>
    <row r="234">
      <c r="A234" s="82">
        <f>'ERROR FINAL'!A237</f>
        <v/>
      </c>
      <c r="B234" s="83">
        <f>'ERROR FINAL'!D237</f>
        <v/>
      </c>
      <c r="C234" s="344">
        <f>'ERROR FINAL'!G237</f>
        <v/>
      </c>
      <c r="D234" s="85">
        <f>'ERROR FINAL'!I237</f>
        <v/>
      </c>
      <c r="E234" s="345">
        <f>'ERROR FINAL'!U237</f>
        <v/>
      </c>
      <c r="F234" s="346">
        <f>'ERROR FINAL'!AG237</f>
        <v/>
      </c>
      <c r="G234" s="346">
        <f>'ERROR FINAL'!AS237</f>
        <v/>
      </c>
      <c r="H234" s="88">
        <f>IF('ERROR FINAL'!AT237="CONFORME","CONFORME","NO CONFORME")</f>
        <v/>
      </c>
      <c r="I234" s="89">
        <f>IF(D234=0,"Medición",IF(D234=1,"Daño físico",IF(D234=2,"Fuga",IF(D234=3,"Picado",IF(D234=4,"Desfasado",IF(D234=5,"Paralizado","¿?"))))))</f>
        <v/>
      </c>
    </row>
    <row r="235">
      <c r="A235" s="82">
        <f>'ERROR FINAL'!A238</f>
        <v/>
      </c>
      <c r="B235" s="83">
        <f>'ERROR FINAL'!D238</f>
        <v/>
      </c>
      <c r="C235" s="344">
        <f>'ERROR FINAL'!G238</f>
        <v/>
      </c>
      <c r="D235" s="85">
        <f>'ERROR FINAL'!I238</f>
        <v/>
      </c>
      <c r="E235" s="345">
        <f>'ERROR FINAL'!U238</f>
        <v/>
      </c>
      <c r="F235" s="346">
        <f>'ERROR FINAL'!AG238</f>
        <v/>
      </c>
      <c r="G235" s="346">
        <f>'ERROR FINAL'!AS238</f>
        <v/>
      </c>
      <c r="H235" s="88">
        <f>IF('ERROR FINAL'!AT238="CONFORME","CONFORME","NO CONFORME")</f>
        <v/>
      </c>
      <c r="I235" s="89">
        <f>IF(D235=0,"Medición",IF(D235=1,"Daño físico",IF(D235=2,"Fuga",IF(D235=3,"Picado",IF(D235=4,"Desfasado",IF(D235=5,"Paralizado","¿?"))))))</f>
        <v/>
      </c>
    </row>
    <row r="236">
      <c r="A236" s="82">
        <f>'ERROR FINAL'!A239</f>
        <v/>
      </c>
      <c r="B236" s="83">
        <f>'ERROR FINAL'!D239</f>
        <v/>
      </c>
      <c r="C236" s="344">
        <f>'ERROR FINAL'!G239</f>
        <v/>
      </c>
      <c r="D236" s="85">
        <f>'ERROR FINAL'!I239</f>
        <v/>
      </c>
      <c r="E236" s="345">
        <f>'ERROR FINAL'!U239</f>
        <v/>
      </c>
      <c r="F236" s="346">
        <f>'ERROR FINAL'!AG239</f>
        <v/>
      </c>
      <c r="G236" s="346">
        <f>'ERROR FINAL'!AS239</f>
        <v/>
      </c>
      <c r="H236" s="88">
        <f>IF('ERROR FINAL'!AT239="CONFORME","CONFORME","NO CONFORME")</f>
        <v/>
      </c>
      <c r="I236" s="89">
        <f>IF(D236=0,"Medición",IF(D236=1,"Daño físico",IF(D236=2,"Fuga",IF(D236=3,"Picado",IF(D236=4,"Desfasado",IF(D236=5,"Paralizado","¿?"))))))</f>
        <v/>
      </c>
    </row>
    <row r="237">
      <c r="A237" s="82">
        <f>'ERROR FINAL'!A240</f>
        <v/>
      </c>
      <c r="B237" s="83">
        <f>'ERROR FINAL'!D240</f>
        <v/>
      </c>
      <c r="C237" s="344">
        <f>'ERROR FINAL'!G240</f>
        <v/>
      </c>
      <c r="D237" s="85">
        <f>'ERROR FINAL'!I240</f>
        <v/>
      </c>
      <c r="E237" s="345">
        <f>'ERROR FINAL'!U240</f>
        <v/>
      </c>
      <c r="F237" s="346">
        <f>'ERROR FINAL'!AG240</f>
        <v/>
      </c>
      <c r="G237" s="346">
        <f>'ERROR FINAL'!AS240</f>
        <v/>
      </c>
      <c r="H237" s="88">
        <f>IF('ERROR FINAL'!AT240="CONFORME","CONFORME","NO CONFORME")</f>
        <v/>
      </c>
      <c r="I237" s="89">
        <f>IF(D237=0,"Medición",IF(D237=1,"Daño físico",IF(D237=2,"Fuga",IF(D237=3,"Picado",IF(D237=4,"Desfasado",IF(D237=5,"Paralizado","¿?"))))))</f>
        <v/>
      </c>
    </row>
    <row r="238">
      <c r="A238" s="82">
        <f>'ERROR FINAL'!A241</f>
        <v/>
      </c>
      <c r="B238" s="83">
        <f>'ERROR FINAL'!D241</f>
        <v/>
      </c>
      <c r="C238" s="344">
        <f>'ERROR FINAL'!G241</f>
        <v/>
      </c>
      <c r="D238" s="85">
        <f>'ERROR FINAL'!I241</f>
        <v/>
      </c>
      <c r="E238" s="345">
        <f>'ERROR FINAL'!U241</f>
        <v/>
      </c>
      <c r="F238" s="346">
        <f>'ERROR FINAL'!AG241</f>
        <v/>
      </c>
      <c r="G238" s="346">
        <f>'ERROR FINAL'!AS241</f>
        <v/>
      </c>
      <c r="H238" s="88">
        <f>IF('ERROR FINAL'!AT241="CONFORME","CONFORME","NO CONFORME")</f>
        <v/>
      </c>
      <c r="I238" s="89">
        <f>IF(D238=0,"Medición",IF(D238=1,"Daño físico",IF(D238=2,"Fuga",IF(D238=3,"Picado",IF(D238=4,"Desfasado",IF(D238=5,"Paralizado","¿?"))))))</f>
        <v/>
      </c>
    </row>
    <row r="239">
      <c r="A239" s="82">
        <f>'ERROR FINAL'!A242</f>
        <v/>
      </c>
      <c r="B239" s="83">
        <f>'ERROR FINAL'!D242</f>
        <v/>
      </c>
      <c r="C239" s="344">
        <f>'ERROR FINAL'!G242</f>
        <v/>
      </c>
      <c r="D239" s="85">
        <f>'ERROR FINAL'!I242</f>
        <v/>
      </c>
      <c r="E239" s="345">
        <f>'ERROR FINAL'!U242</f>
        <v/>
      </c>
      <c r="F239" s="346">
        <f>'ERROR FINAL'!AG242</f>
        <v/>
      </c>
      <c r="G239" s="346">
        <f>'ERROR FINAL'!AS242</f>
        <v/>
      </c>
      <c r="H239" s="88">
        <f>IF('ERROR FINAL'!AT242="CONFORME","CONFORME","NO CONFORME")</f>
        <v/>
      </c>
      <c r="I239" s="89">
        <f>IF(D239=0,"Medición",IF(D239=1,"Daño físico",IF(D239=2,"Fuga",IF(D239=3,"Picado",IF(D239=4,"Desfasado",IF(D239=5,"Paralizado","¿?"))))))</f>
        <v/>
      </c>
    </row>
    <row r="240">
      <c r="A240" s="82">
        <f>'ERROR FINAL'!A243</f>
        <v/>
      </c>
      <c r="B240" s="83">
        <f>'ERROR FINAL'!D243</f>
        <v/>
      </c>
      <c r="C240" s="344">
        <f>'ERROR FINAL'!G243</f>
        <v/>
      </c>
      <c r="D240" s="85">
        <f>'ERROR FINAL'!I243</f>
        <v/>
      </c>
      <c r="E240" s="345">
        <f>'ERROR FINAL'!U243</f>
        <v/>
      </c>
      <c r="F240" s="346">
        <f>'ERROR FINAL'!AG243</f>
        <v/>
      </c>
      <c r="G240" s="346">
        <f>'ERROR FINAL'!AS243</f>
        <v/>
      </c>
      <c r="H240" s="88">
        <f>IF('ERROR FINAL'!AT243="CONFORME","CONFORME","NO CONFORME")</f>
        <v/>
      </c>
      <c r="I240" s="89">
        <f>IF(D240=0,"Medición",IF(D240=1,"Daño físico",IF(D240=2,"Fuga",IF(D240=3,"Picado",IF(D240=4,"Desfasado",IF(D240=5,"Paralizado","¿?"))))))</f>
        <v/>
      </c>
    </row>
    <row r="241">
      <c r="A241" s="82">
        <f>'ERROR FINAL'!A244</f>
        <v/>
      </c>
      <c r="B241" s="83">
        <f>'ERROR FINAL'!D244</f>
        <v/>
      </c>
      <c r="C241" s="344">
        <f>'ERROR FINAL'!G244</f>
        <v/>
      </c>
      <c r="D241" s="85">
        <f>'ERROR FINAL'!I244</f>
        <v/>
      </c>
      <c r="E241" s="345">
        <f>'ERROR FINAL'!U244</f>
        <v/>
      </c>
      <c r="F241" s="346">
        <f>'ERROR FINAL'!AG244</f>
        <v/>
      </c>
      <c r="G241" s="346">
        <f>'ERROR FINAL'!AS244</f>
        <v/>
      </c>
      <c r="H241" s="88">
        <f>IF('ERROR FINAL'!AT244="CONFORME","CONFORME","NO CONFORME")</f>
        <v/>
      </c>
      <c r="I241" s="89">
        <f>IF(D241=0,"Medición",IF(D241=1,"Daño físico",IF(D241=2,"Fuga",IF(D241=3,"Picado",IF(D241=4,"Desfasado",IF(D241=5,"Paralizado","¿?"))))))</f>
        <v/>
      </c>
    </row>
    <row r="242">
      <c r="A242" s="82">
        <f>'ERROR FINAL'!A245</f>
        <v/>
      </c>
      <c r="B242" s="83">
        <f>'ERROR FINAL'!D245</f>
        <v/>
      </c>
      <c r="C242" s="344">
        <f>'ERROR FINAL'!G245</f>
        <v/>
      </c>
      <c r="D242" s="85">
        <f>'ERROR FINAL'!I245</f>
        <v/>
      </c>
      <c r="E242" s="345">
        <f>'ERROR FINAL'!U245</f>
        <v/>
      </c>
      <c r="F242" s="346">
        <f>'ERROR FINAL'!AG245</f>
        <v/>
      </c>
      <c r="G242" s="346">
        <f>'ERROR FINAL'!AS245</f>
        <v/>
      </c>
      <c r="H242" s="88">
        <f>IF('ERROR FINAL'!AT245="CONFORME","CONFORME","NO CONFORME")</f>
        <v/>
      </c>
      <c r="I242" s="89">
        <f>IF(D242=0,"Medición",IF(D242=1,"Daño físico",IF(D242=2,"Fuga",IF(D242=3,"Picado",IF(D242=4,"Desfasado",IF(D242=5,"Paralizado","¿?"))))))</f>
        <v/>
      </c>
    </row>
    <row r="243">
      <c r="A243" s="82">
        <f>'ERROR FINAL'!A246</f>
        <v/>
      </c>
      <c r="B243" s="83">
        <f>'ERROR FINAL'!D246</f>
        <v/>
      </c>
      <c r="C243" s="344">
        <f>'ERROR FINAL'!G246</f>
        <v/>
      </c>
      <c r="D243" s="85">
        <f>'ERROR FINAL'!I246</f>
        <v/>
      </c>
      <c r="E243" s="345">
        <f>'ERROR FINAL'!U246</f>
        <v/>
      </c>
      <c r="F243" s="346">
        <f>'ERROR FINAL'!AG246</f>
        <v/>
      </c>
      <c r="G243" s="346">
        <f>'ERROR FINAL'!AS246</f>
        <v/>
      </c>
      <c r="H243" s="88">
        <f>IF('ERROR FINAL'!AT246="CONFORME","CONFORME","NO CONFORME")</f>
        <v/>
      </c>
      <c r="I243" s="89">
        <f>IF(D243=0,"Medición",IF(D243=1,"Daño físico",IF(D243=2,"Fuga",IF(D243=3,"Picado",IF(D243=4,"Desfasado",IF(D243=5,"Paralizado","¿?"))))))</f>
        <v/>
      </c>
    </row>
    <row r="244">
      <c r="A244" s="82">
        <f>'ERROR FINAL'!A247</f>
        <v/>
      </c>
      <c r="B244" s="83">
        <f>'ERROR FINAL'!D247</f>
        <v/>
      </c>
      <c r="C244" s="344">
        <f>'ERROR FINAL'!G247</f>
        <v/>
      </c>
      <c r="D244" s="85">
        <f>'ERROR FINAL'!I247</f>
        <v/>
      </c>
      <c r="E244" s="345">
        <f>'ERROR FINAL'!U247</f>
        <v/>
      </c>
      <c r="F244" s="346">
        <f>'ERROR FINAL'!AG247</f>
        <v/>
      </c>
      <c r="G244" s="346">
        <f>'ERROR FINAL'!AS247</f>
        <v/>
      </c>
      <c r="H244" s="88">
        <f>IF('ERROR FINAL'!AT247="CONFORME","CONFORME","NO CONFORME")</f>
        <v/>
      </c>
      <c r="I244" s="89">
        <f>IF(D244=0,"Medición",IF(D244=1,"Daño físico",IF(D244=2,"Fuga",IF(D244=3,"Picado",IF(D244=4,"Desfasado",IF(D244=5,"Paralizado","¿?"))))))</f>
        <v/>
      </c>
    </row>
    <row r="245">
      <c r="A245" s="82">
        <f>'ERROR FINAL'!A248</f>
        <v/>
      </c>
      <c r="B245" s="83">
        <f>'ERROR FINAL'!D248</f>
        <v/>
      </c>
      <c r="C245" s="344">
        <f>'ERROR FINAL'!G248</f>
        <v/>
      </c>
      <c r="D245" s="85">
        <f>'ERROR FINAL'!I248</f>
        <v/>
      </c>
      <c r="E245" s="345">
        <f>'ERROR FINAL'!U248</f>
        <v/>
      </c>
      <c r="F245" s="346">
        <f>'ERROR FINAL'!AG248</f>
        <v/>
      </c>
      <c r="G245" s="346">
        <f>'ERROR FINAL'!AS248</f>
        <v/>
      </c>
      <c r="H245" s="88">
        <f>IF('ERROR FINAL'!AT248="CONFORME","CONFORME","NO CONFORME")</f>
        <v/>
      </c>
      <c r="I245" s="89">
        <f>IF(D245=0,"Medición",IF(D245=1,"Daño físico",IF(D245=2,"Fuga",IF(D245=3,"Picado",IF(D245=4,"Desfasado",IF(D245=5,"Paralizado","¿?"))))))</f>
        <v/>
      </c>
    </row>
    <row r="246">
      <c r="A246" s="82">
        <f>'ERROR FINAL'!A249</f>
        <v/>
      </c>
      <c r="B246" s="83">
        <f>'ERROR FINAL'!D249</f>
        <v/>
      </c>
      <c r="C246" s="344">
        <f>'ERROR FINAL'!G249</f>
        <v/>
      </c>
      <c r="D246" s="85">
        <f>'ERROR FINAL'!I249</f>
        <v/>
      </c>
      <c r="E246" s="345">
        <f>'ERROR FINAL'!U249</f>
        <v/>
      </c>
      <c r="F246" s="346">
        <f>'ERROR FINAL'!AG249</f>
        <v/>
      </c>
      <c r="G246" s="346">
        <f>'ERROR FINAL'!AS249</f>
        <v/>
      </c>
      <c r="H246" s="88">
        <f>IF('ERROR FINAL'!AT249="CONFORME","CONFORME","NO CONFORME")</f>
        <v/>
      </c>
      <c r="I246" s="89">
        <f>IF(D246=0,"Medición",IF(D246=1,"Daño físico",IF(D246=2,"Fuga",IF(D246=3,"Picado",IF(D246=4,"Desfasado",IF(D246=5,"Paralizado","¿?"))))))</f>
        <v/>
      </c>
    </row>
    <row r="247">
      <c r="A247" s="82">
        <f>'ERROR FINAL'!A250</f>
        <v/>
      </c>
      <c r="B247" s="83">
        <f>'ERROR FINAL'!D250</f>
        <v/>
      </c>
      <c r="C247" s="344">
        <f>'ERROR FINAL'!G250</f>
        <v/>
      </c>
      <c r="D247" s="85">
        <f>'ERROR FINAL'!I250</f>
        <v/>
      </c>
      <c r="E247" s="345">
        <f>'ERROR FINAL'!U250</f>
        <v/>
      </c>
      <c r="F247" s="346">
        <f>'ERROR FINAL'!AG250</f>
        <v/>
      </c>
      <c r="G247" s="346">
        <f>'ERROR FINAL'!AS250</f>
        <v/>
      </c>
      <c r="H247" s="88">
        <f>IF('ERROR FINAL'!AT250="CONFORME","CONFORME","NO CONFORME")</f>
        <v/>
      </c>
      <c r="I247" s="89">
        <f>IF(D247=0,"Medición",IF(D247=1,"Daño físico",IF(D247=2,"Fuga",IF(D247=3,"Picado",IF(D247=4,"Desfasado",IF(D247=5,"Paralizado","¿?"))))))</f>
        <v/>
      </c>
    </row>
    <row r="248">
      <c r="A248" s="82">
        <f>'ERROR FINAL'!A251</f>
        <v/>
      </c>
      <c r="B248" s="83">
        <f>'ERROR FINAL'!D251</f>
        <v/>
      </c>
      <c r="C248" s="344">
        <f>'ERROR FINAL'!G251</f>
        <v/>
      </c>
      <c r="D248" s="85">
        <f>'ERROR FINAL'!I251</f>
        <v/>
      </c>
      <c r="E248" s="345">
        <f>'ERROR FINAL'!U251</f>
        <v/>
      </c>
      <c r="F248" s="346">
        <f>'ERROR FINAL'!AG251</f>
        <v/>
      </c>
      <c r="G248" s="346">
        <f>'ERROR FINAL'!AS251</f>
        <v/>
      </c>
      <c r="H248" s="88">
        <f>IF('ERROR FINAL'!AT251="CONFORME","CONFORME","NO CONFORME")</f>
        <v/>
      </c>
      <c r="I248" s="89">
        <f>IF(D248=0,"Medición",IF(D248=1,"Daño físico",IF(D248=2,"Fuga",IF(D248=3,"Picado",IF(D248=4,"Desfasado",IF(D248=5,"Paralizado","¿?"))))))</f>
        <v/>
      </c>
    </row>
    <row r="249">
      <c r="A249" s="82">
        <f>'ERROR FINAL'!A252</f>
        <v/>
      </c>
      <c r="B249" s="83">
        <f>'ERROR FINAL'!D252</f>
        <v/>
      </c>
      <c r="C249" s="344">
        <f>'ERROR FINAL'!G252</f>
        <v/>
      </c>
      <c r="D249" s="85">
        <f>'ERROR FINAL'!I252</f>
        <v/>
      </c>
      <c r="E249" s="345">
        <f>'ERROR FINAL'!U252</f>
        <v/>
      </c>
      <c r="F249" s="346">
        <f>'ERROR FINAL'!AG252</f>
        <v/>
      </c>
      <c r="G249" s="346">
        <f>'ERROR FINAL'!AS252</f>
        <v/>
      </c>
      <c r="H249" s="88">
        <f>IF('ERROR FINAL'!AT252="CONFORME","CONFORME","NO CONFORME")</f>
        <v/>
      </c>
      <c r="I249" s="89">
        <f>IF(D249=0,"Medición",IF(D249=1,"Daño físico",IF(D249=2,"Fuga",IF(D249=3,"Picado",IF(D249=4,"Desfasado",IF(D249=5,"Paralizado","¿?"))))))</f>
        <v/>
      </c>
    </row>
    <row r="250">
      <c r="A250" s="82">
        <f>'ERROR FINAL'!A253</f>
        <v/>
      </c>
      <c r="B250" s="83">
        <f>'ERROR FINAL'!D253</f>
        <v/>
      </c>
      <c r="C250" s="344">
        <f>'ERROR FINAL'!G253</f>
        <v/>
      </c>
      <c r="D250" s="85">
        <f>'ERROR FINAL'!I253</f>
        <v/>
      </c>
      <c r="E250" s="345">
        <f>'ERROR FINAL'!U253</f>
        <v/>
      </c>
      <c r="F250" s="346">
        <f>'ERROR FINAL'!AG253</f>
        <v/>
      </c>
      <c r="G250" s="346">
        <f>'ERROR FINAL'!AS253</f>
        <v/>
      </c>
      <c r="H250" s="88">
        <f>IF('ERROR FINAL'!AT253="CONFORME","CONFORME","NO CONFORME")</f>
        <v/>
      </c>
      <c r="I250" s="89">
        <f>IF(D250=0,"Medición",IF(D250=1,"Daño físico",IF(D250=2,"Fuga",IF(D250=3,"Picado",IF(D250=4,"Desfasado",IF(D250=5,"Paralizado","¿?"))))))</f>
        <v/>
      </c>
    </row>
    <row r="251">
      <c r="A251" s="82">
        <f>'ERROR FINAL'!A254</f>
        <v/>
      </c>
      <c r="B251" s="83">
        <f>'ERROR FINAL'!D254</f>
        <v/>
      </c>
      <c r="C251" s="344">
        <f>'ERROR FINAL'!G254</f>
        <v/>
      </c>
      <c r="D251" s="85">
        <f>'ERROR FINAL'!I254</f>
        <v/>
      </c>
      <c r="E251" s="345">
        <f>'ERROR FINAL'!U254</f>
        <v/>
      </c>
      <c r="F251" s="346">
        <f>'ERROR FINAL'!AG254</f>
        <v/>
      </c>
      <c r="G251" s="346">
        <f>'ERROR FINAL'!AS254</f>
        <v/>
      </c>
      <c r="H251" s="88">
        <f>IF('ERROR FINAL'!AT254="CONFORME","CONFORME","NO CONFORME")</f>
        <v/>
      </c>
      <c r="I251" s="89">
        <f>IF(D251=0,"Medición",IF(D251=1,"Daño físico",IF(D251=2,"Fuga",IF(D251=3,"Picado",IF(D251=4,"Desfasado",IF(D251=5,"Paralizado","¿?"))))))</f>
        <v/>
      </c>
    </row>
    <row r="252">
      <c r="A252" s="82">
        <f>'ERROR FINAL'!A255</f>
        <v/>
      </c>
      <c r="B252" s="83">
        <f>'ERROR FINAL'!D255</f>
        <v/>
      </c>
      <c r="C252" s="344">
        <f>'ERROR FINAL'!G255</f>
        <v/>
      </c>
      <c r="D252" s="85">
        <f>'ERROR FINAL'!I255</f>
        <v/>
      </c>
      <c r="E252" s="345">
        <f>'ERROR FINAL'!U255</f>
        <v/>
      </c>
      <c r="F252" s="346">
        <f>'ERROR FINAL'!AG255</f>
        <v/>
      </c>
      <c r="G252" s="346">
        <f>'ERROR FINAL'!AS255</f>
        <v/>
      </c>
      <c r="H252" s="88">
        <f>IF('ERROR FINAL'!AT255="CONFORME","CONFORME","NO CONFORME")</f>
        <v/>
      </c>
      <c r="I252" s="89">
        <f>IF(D252=0,"Medición",IF(D252=1,"Daño físico",IF(D252=2,"Fuga",IF(D252=3,"Picado",IF(D252=4,"Desfasado",IF(D252=5,"Paralizado","¿?"))))))</f>
        <v/>
      </c>
    </row>
    <row r="253">
      <c r="A253" s="82">
        <f>'ERROR FINAL'!A256</f>
        <v/>
      </c>
      <c r="B253" s="83">
        <f>'ERROR FINAL'!D256</f>
        <v/>
      </c>
      <c r="C253" s="344">
        <f>'ERROR FINAL'!G256</f>
        <v/>
      </c>
      <c r="D253" s="85">
        <f>'ERROR FINAL'!I256</f>
        <v/>
      </c>
      <c r="E253" s="345">
        <f>'ERROR FINAL'!U256</f>
        <v/>
      </c>
      <c r="F253" s="346">
        <f>'ERROR FINAL'!AG256</f>
        <v/>
      </c>
      <c r="G253" s="346">
        <f>'ERROR FINAL'!AS256</f>
        <v/>
      </c>
      <c r="H253" s="88">
        <f>IF('ERROR FINAL'!AT256="CONFORME","CONFORME","NO CONFORME")</f>
        <v/>
      </c>
      <c r="I253" s="89">
        <f>IF(D253=0,"Medición",IF(D253=1,"Daño físico",IF(D253=2,"Fuga",IF(D253=3,"Picado",IF(D253=4,"Desfasado",IF(D253=5,"Paralizado","¿?"))))))</f>
        <v/>
      </c>
    </row>
    <row r="254">
      <c r="A254" s="82">
        <f>'ERROR FINAL'!A257</f>
        <v/>
      </c>
      <c r="B254" s="83">
        <f>'ERROR FINAL'!D257</f>
        <v/>
      </c>
      <c r="C254" s="344">
        <f>'ERROR FINAL'!G257</f>
        <v/>
      </c>
      <c r="D254" s="85">
        <f>'ERROR FINAL'!I257</f>
        <v/>
      </c>
      <c r="E254" s="345">
        <f>'ERROR FINAL'!U257</f>
        <v/>
      </c>
      <c r="F254" s="346">
        <f>'ERROR FINAL'!AG257</f>
        <v/>
      </c>
      <c r="G254" s="346">
        <f>'ERROR FINAL'!AS257</f>
        <v/>
      </c>
      <c r="H254" s="88">
        <f>IF('ERROR FINAL'!AT257="CONFORME","CONFORME","NO CONFORME")</f>
        <v/>
      </c>
      <c r="I254" s="89">
        <f>IF(D254=0,"Medición",IF(D254=1,"Daño físico",IF(D254=2,"Fuga",IF(D254=3,"Picado",IF(D254=4,"Desfasado",IF(D254=5,"Paralizado","¿?"))))))</f>
        <v/>
      </c>
    </row>
    <row r="255">
      <c r="A255" s="82">
        <f>'ERROR FINAL'!A258</f>
        <v/>
      </c>
      <c r="B255" s="83">
        <f>'ERROR FINAL'!D258</f>
        <v/>
      </c>
      <c r="C255" s="344">
        <f>'ERROR FINAL'!G258</f>
        <v/>
      </c>
      <c r="D255" s="85">
        <f>'ERROR FINAL'!I258</f>
        <v/>
      </c>
      <c r="E255" s="345">
        <f>'ERROR FINAL'!U258</f>
        <v/>
      </c>
      <c r="F255" s="346">
        <f>'ERROR FINAL'!AG258</f>
        <v/>
      </c>
      <c r="G255" s="346">
        <f>'ERROR FINAL'!AS258</f>
        <v/>
      </c>
      <c r="H255" s="88">
        <f>IF('ERROR FINAL'!AT258="CONFORME","CONFORME","NO CONFORME")</f>
        <v/>
      </c>
      <c r="I255" s="89">
        <f>IF(D255=0,"Medición",IF(D255=1,"Daño físico",IF(D255=2,"Fuga",IF(D255=3,"Picado",IF(D255=4,"Desfasado",IF(D255=5,"Paralizado","¿?"))))))</f>
        <v/>
      </c>
    </row>
    <row r="256">
      <c r="A256" s="82">
        <f>'ERROR FINAL'!A259</f>
        <v/>
      </c>
      <c r="B256" s="83">
        <f>'ERROR FINAL'!D259</f>
        <v/>
      </c>
      <c r="C256" s="344">
        <f>'ERROR FINAL'!G259</f>
        <v/>
      </c>
      <c r="D256" s="85">
        <f>'ERROR FINAL'!I259</f>
        <v/>
      </c>
      <c r="E256" s="345">
        <f>'ERROR FINAL'!U259</f>
        <v/>
      </c>
      <c r="F256" s="346">
        <f>'ERROR FINAL'!AG259</f>
        <v/>
      </c>
      <c r="G256" s="346">
        <f>'ERROR FINAL'!AS259</f>
        <v/>
      </c>
      <c r="H256" s="88">
        <f>IF('ERROR FINAL'!AT259="CONFORME","CONFORME","NO CONFORME")</f>
        <v/>
      </c>
      <c r="I256" s="89">
        <f>IF(D256=0,"Medición",IF(D256=1,"Daño físico",IF(D256=2,"Fuga",IF(D256=3,"Picado",IF(D256=4,"Desfasado",IF(D256=5,"Paralizado","¿?"))))))</f>
        <v/>
      </c>
    </row>
    <row r="257">
      <c r="A257" s="82">
        <f>'ERROR FINAL'!A260</f>
        <v/>
      </c>
      <c r="B257" s="83">
        <f>'ERROR FINAL'!D260</f>
        <v/>
      </c>
      <c r="C257" s="344">
        <f>'ERROR FINAL'!G260</f>
        <v/>
      </c>
      <c r="D257" s="85">
        <f>'ERROR FINAL'!I260</f>
        <v/>
      </c>
      <c r="E257" s="345">
        <f>'ERROR FINAL'!U260</f>
        <v/>
      </c>
      <c r="F257" s="346">
        <f>'ERROR FINAL'!AG260</f>
        <v/>
      </c>
      <c r="G257" s="346">
        <f>'ERROR FINAL'!AS260</f>
        <v/>
      </c>
      <c r="H257" s="88">
        <f>IF('ERROR FINAL'!AT260="CONFORME","CONFORME","NO CONFORME")</f>
        <v/>
      </c>
      <c r="I257" s="89">
        <f>IF(D257=0,"Medición",IF(D257=1,"Daño físico",IF(D257=2,"Fuga",IF(D257=3,"Picado",IF(D257=4,"Desfasado",IF(D257=5,"Paralizado","¿?"))))))</f>
        <v/>
      </c>
    </row>
    <row r="258">
      <c r="A258" s="82">
        <f>'ERROR FINAL'!A261</f>
        <v/>
      </c>
      <c r="B258" s="83">
        <f>'ERROR FINAL'!D261</f>
        <v/>
      </c>
      <c r="C258" s="344">
        <f>'ERROR FINAL'!G261</f>
        <v/>
      </c>
      <c r="D258" s="85">
        <f>'ERROR FINAL'!I261</f>
        <v/>
      </c>
      <c r="E258" s="345">
        <f>'ERROR FINAL'!U261</f>
        <v/>
      </c>
      <c r="F258" s="346">
        <f>'ERROR FINAL'!AG261</f>
        <v/>
      </c>
      <c r="G258" s="346">
        <f>'ERROR FINAL'!AS261</f>
        <v/>
      </c>
      <c r="H258" s="88">
        <f>IF('ERROR FINAL'!AT261="CONFORME","CONFORME","NO CONFORME")</f>
        <v/>
      </c>
      <c r="I258" s="89">
        <f>IF(D258=0,"Medición",IF(D258=1,"Daño físico",IF(D258=2,"Fuga",IF(D258=3,"Picado",IF(D258=4,"Desfasado",IF(D258=5,"Paralizado","¿?"))))))</f>
        <v/>
      </c>
    </row>
    <row r="259">
      <c r="A259" s="82">
        <f>'ERROR FINAL'!A262</f>
        <v/>
      </c>
      <c r="B259" s="83">
        <f>'ERROR FINAL'!D262</f>
        <v/>
      </c>
      <c r="C259" s="344">
        <f>'ERROR FINAL'!G262</f>
        <v/>
      </c>
      <c r="D259" s="85">
        <f>'ERROR FINAL'!I262</f>
        <v/>
      </c>
      <c r="E259" s="345">
        <f>'ERROR FINAL'!U262</f>
        <v/>
      </c>
      <c r="F259" s="346">
        <f>'ERROR FINAL'!AG262</f>
        <v/>
      </c>
      <c r="G259" s="346">
        <f>'ERROR FINAL'!AS262</f>
        <v/>
      </c>
      <c r="H259" s="88">
        <f>IF('ERROR FINAL'!AT262="CONFORME","CONFORME","NO CONFORME")</f>
        <v/>
      </c>
      <c r="I259" s="89">
        <f>IF(D259=0,"Medición",IF(D259=1,"Daño físico",IF(D259=2,"Fuga",IF(D259=3,"Picado",IF(D259=4,"Desfasado",IF(D259=5,"Paralizado","¿?"))))))</f>
        <v/>
      </c>
    </row>
    <row r="260">
      <c r="A260" s="82">
        <f>'ERROR FINAL'!A263</f>
        <v/>
      </c>
      <c r="B260" s="83">
        <f>'ERROR FINAL'!D263</f>
        <v/>
      </c>
      <c r="C260" s="344">
        <f>'ERROR FINAL'!G263</f>
        <v/>
      </c>
      <c r="D260" s="85">
        <f>'ERROR FINAL'!I263</f>
        <v/>
      </c>
      <c r="E260" s="345">
        <f>'ERROR FINAL'!U263</f>
        <v/>
      </c>
      <c r="F260" s="346">
        <f>'ERROR FINAL'!AG263</f>
        <v/>
      </c>
      <c r="G260" s="346">
        <f>'ERROR FINAL'!AS263</f>
        <v/>
      </c>
      <c r="H260" s="88">
        <f>IF('ERROR FINAL'!AT263="CONFORME","CONFORME","NO CONFORME")</f>
        <v/>
      </c>
      <c r="I260" s="89">
        <f>IF(D260=0,"Medición",IF(D260=1,"Daño físico",IF(D260=2,"Fuga",IF(D260=3,"Picado",IF(D260=4,"Desfasado",IF(D260=5,"Paralizado","¿?"))))))</f>
        <v/>
      </c>
    </row>
    <row r="261">
      <c r="A261" s="82">
        <f>'ERROR FINAL'!A264</f>
        <v/>
      </c>
      <c r="B261" s="83">
        <f>'ERROR FINAL'!D264</f>
        <v/>
      </c>
      <c r="C261" s="344">
        <f>'ERROR FINAL'!G264</f>
        <v/>
      </c>
      <c r="D261" s="85">
        <f>'ERROR FINAL'!I264</f>
        <v/>
      </c>
      <c r="E261" s="345">
        <f>'ERROR FINAL'!U264</f>
        <v/>
      </c>
      <c r="F261" s="346">
        <f>'ERROR FINAL'!AG264</f>
        <v/>
      </c>
      <c r="G261" s="346">
        <f>'ERROR FINAL'!AS264</f>
        <v/>
      </c>
      <c r="H261" s="88">
        <f>IF('ERROR FINAL'!AT264="CONFORME","CONFORME","NO CONFORME")</f>
        <v/>
      </c>
      <c r="I261" s="89">
        <f>IF(D261=0,"Medición",IF(D261=1,"Daño físico",IF(D261=2,"Fuga",IF(D261=3,"Picado",IF(D261=4,"Desfasado",IF(D261=5,"Paralizado","¿?"))))))</f>
        <v/>
      </c>
    </row>
    <row r="262">
      <c r="A262" s="82">
        <f>'ERROR FINAL'!A265</f>
        <v/>
      </c>
      <c r="B262" s="83">
        <f>'ERROR FINAL'!D265</f>
        <v/>
      </c>
      <c r="C262" s="344">
        <f>'ERROR FINAL'!G265</f>
        <v/>
      </c>
      <c r="D262" s="85">
        <f>'ERROR FINAL'!I265</f>
        <v/>
      </c>
      <c r="E262" s="345">
        <f>'ERROR FINAL'!U265</f>
        <v/>
      </c>
      <c r="F262" s="346">
        <f>'ERROR FINAL'!AG265</f>
        <v/>
      </c>
      <c r="G262" s="346">
        <f>'ERROR FINAL'!AS265</f>
        <v/>
      </c>
      <c r="H262" s="88">
        <f>IF('ERROR FINAL'!AT265="CONFORME","CONFORME","NO CONFORME")</f>
        <v/>
      </c>
      <c r="I262" s="89">
        <f>IF(D262=0,"Medición",IF(D262=1,"Daño físico",IF(D262=2,"Fuga",IF(D262=3,"Picado",IF(D262=4,"Desfasado",IF(D262=5,"Paralizado","¿?"))))))</f>
        <v/>
      </c>
    </row>
    <row r="263">
      <c r="A263" s="82">
        <f>'ERROR FINAL'!A266</f>
        <v/>
      </c>
      <c r="B263" s="83">
        <f>'ERROR FINAL'!D266</f>
        <v/>
      </c>
      <c r="C263" s="344">
        <f>'ERROR FINAL'!G266</f>
        <v/>
      </c>
      <c r="D263" s="85">
        <f>'ERROR FINAL'!I266</f>
        <v/>
      </c>
      <c r="E263" s="345">
        <f>'ERROR FINAL'!U266</f>
        <v/>
      </c>
      <c r="F263" s="346">
        <f>'ERROR FINAL'!AG266</f>
        <v/>
      </c>
      <c r="G263" s="346">
        <f>'ERROR FINAL'!AS266</f>
        <v/>
      </c>
      <c r="H263" s="88">
        <f>IF('ERROR FINAL'!AT266="CONFORME","CONFORME","NO CONFORME")</f>
        <v/>
      </c>
      <c r="I263" s="89">
        <f>IF(D263=0,"Medición",IF(D263=1,"Daño físico",IF(D263=2,"Fuga",IF(D263=3,"Picado",IF(D263=4,"Desfasado",IF(D263=5,"Paralizado","¿?"))))))</f>
        <v/>
      </c>
    </row>
    <row r="264">
      <c r="A264" s="82">
        <f>'ERROR FINAL'!A267</f>
        <v/>
      </c>
      <c r="B264" s="83">
        <f>'ERROR FINAL'!D267</f>
        <v/>
      </c>
      <c r="C264" s="344">
        <f>'ERROR FINAL'!G267</f>
        <v/>
      </c>
      <c r="D264" s="85">
        <f>'ERROR FINAL'!I267</f>
        <v/>
      </c>
      <c r="E264" s="345">
        <f>'ERROR FINAL'!U267</f>
        <v/>
      </c>
      <c r="F264" s="346">
        <f>'ERROR FINAL'!AG267</f>
        <v/>
      </c>
      <c r="G264" s="346">
        <f>'ERROR FINAL'!AS267</f>
        <v/>
      </c>
      <c r="H264" s="88">
        <f>IF('ERROR FINAL'!AT267="CONFORME","CONFORME","NO CONFORME")</f>
        <v/>
      </c>
      <c r="I264" s="89">
        <f>IF(D264=0,"Medición",IF(D264=1,"Daño físico",IF(D264=2,"Fuga",IF(D264=3,"Picado",IF(D264=4,"Desfasado",IF(D264=5,"Paralizado","¿?"))))))</f>
        <v/>
      </c>
    </row>
    <row r="265">
      <c r="A265" s="82">
        <f>'ERROR FINAL'!A268</f>
        <v/>
      </c>
      <c r="B265" s="83">
        <f>'ERROR FINAL'!D268</f>
        <v/>
      </c>
      <c r="C265" s="344">
        <f>'ERROR FINAL'!G268</f>
        <v/>
      </c>
      <c r="D265" s="85">
        <f>'ERROR FINAL'!I268</f>
        <v/>
      </c>
      <c r="E265" s="345">
        <f>'ERROR FINAL'!U268</f>
        <v/>
      </c>
      <c r="F265" s="346">
        <f>'ERROR FINAL'!AG268</f>
        <v/>
      </c>
      <c r="G265" s="346">
        <f>'ERROR FINAL'!AS268</f>
        <v/>
      </c>
      <c r="H265" s="88">
        <f>IF('ERROR FINAL'!AT268="CONFORME","CONFORME","NO CONFORME")</f>
        <v/>
      </c>
      <c r="I265" s="89">
        <f>IF(D265=0,"Medición",IF(D265=1,"Daño físico",IF(D265=2,"Fuga",IF(D265=3,"Picado",IF(D265=4,"Desfasado",IF(D265=5,"Paralizado","¿?"))))))</f>
        <v/>
      </c>
    </row>
    <row r="266">
      <c r="A266" s="82">
        <f>'ERROR FINAL'!A269</f>
        <v/>
      </c>
      <c r="B266" s="83">
        <f>'ERROR FINAL'!D269</f>
        <v/>
      </c>
      <c r="C266" s="344">
        <f>'ERROR FINAL'!G269</f>
        <v/>
      </c>
      <c r="D266" s="85">
        <f>'ERROR FINAL'!I269</f>
        <v/>
      </c>
      <c r="E266" s="345">
        <f>'ERROR FINAL'!U269</f>
        <v/>
      </c>
      <c r="F266" s="346">
        <f>'ERROR FINAL'!AG269</f>
        <v/>
      </c>
      <c r="G266" s="346">
        <f>'ERROR FINAL'!AS269</f>
        <v/>
      </c>
      <c r="H266" s="88">
        <f>IF('ERROR FINAL'!AT269="CONFORME","CONFORME","NO CONFORME")</f>
        <v/>
      </c>
      <c r="I266" s="89">
        <f>IF(D266=0,"Medición",IF(D266=1,"Daño físico",IF(D266=2,"Fuga",IF(D266=3,"Picado",IF(D266=4,"Desfasado",IF(D266=5,"Paralizado","¿?"))))))</f>
        <v/>
      </c>
    </row>
    <row r="267">
      <c r="A267" s="82">
        <f>'ERROR FINAL'!A270</f>
        <v/>
      </c>
      <c r="B267" s="83">
        <f>'ERROR FINAL'!D270</f>
        <v/>
      </c>
      <c r="C267" s="344">
        <f>'ERROR FINAL'!G270</f>
        <v/>
      </c>
      <c r="D267" s="85">
        <f>'ERROR FINAL'!I270</f>
        <v/>
      </c>
      <c r="E267" s="345">
        <f>'ERROR FINAL'!U270</f>
        <v/>
      </c>
      <c r="F267" s="346">
        <f>'ERROR FINAL'!AG270</f>
        <v/>
      </c>
      <c r="G267" s="346">
        <f>'ERROR FINAL'!AS270</f>
        <v/>
      </c>
      <c r="H267" s="88">
        <f>IF('ERROR FINAL'!AT270="CONFORME","CONFORME","NO CONFORME")</f>
        <v/>
      </c>
      <c r="I267" s="89">
        <f>IF(D267=0,"Medición",IF(D267=1,"Daño físico",IF(D267=2,"Fuga",IF(D267=3,"Picado",IF(D267=4,"Desfasado",IF(D267=5,"Paralizado","¿?"))))))</f>
        <v/>
      </c>
    </row>
    <row r="268">
      <c r="A268" s="82">
        <f>'ERROR FINAL'!A271</f>
        <v/>
      </c>
      <c r="B268" s="83">
        <f>'ERROR FINAL'!D271</f>
        <v/>
      </c>
      <c r="C268" s="344">
        <f>'ERROR FINAL'!G271</f>
        <v/>
      </c>
      <c r="D268" s="85">
        <f>'ERROR FINAL'!I271</f>
        <v/>
      </c>
      <c r="E268" s="345">
        <f>'ERROR FINAL'!U271</f>
        <v/>
      </c>
      <c r="F268" s="346">
        <f>'ERROR FINAL'!AG271</f>
        <v/>
      </c>
      <c r="G268" s="346">
        <f>'ERROR FINAL'!AS271</f>
        <v/>
      </c>
      <c r="H268" s="88">
        <f>IF('ERROR FINAL'!AT271="CONFORME","CONFORME","NO CONFORME")</f>
        <v/>
      </c>
      <c r="I268" s="89">
        <f>IF(D268=0,"Medición",IF(D268=1,"Daño físico",IF(D268=2,"Fuga",IF(D268=3,"Picado",IF(D268=4,"Desfasado",IF(D268=5,"Paralizado","¿?"))))))</f>
        <v/>
      </c>
    </row>
    <row r="269">
      <c r="A269" s="82">
        <f>'ERROR FINAL'!A272</f>
        <v/>
      </c>
      <c r="B269" s="83">
        <f>'ERROR FINAL'!D272</f>
        <v/>
      </c>
      <c r="C269" s="344">
        <f>'ERROR FINAL'!G272</f>
        <v/>
      </c>
      <c r="D269" s="85">
        <f>'ERROR FINAL'!I272</f>
        <v/>
      </c>
      <c r="E269" s="345">
        <f>'ERROR FINAL'!U272</f>
        <v/>
      </c>
      <c r="F269" s="346">
        <f>'ERROR FINAL'!AG272</f>
        <v/>
      </c>
      <c r="G269" s="346">
        <f>'ERROR FINAL'!AS272</f>
        <v/>
      </c>
      <c r="H269" s="88">
        <f>IF('ERROR FINAL'!AT272="CONFORME","CONFORME","NO CONFORME")</f>
        <v/>
      </c>
      <c r="I269" s="89">
        <f>IF(D269=0,"Medición",IF(D269=1,"Daño físico",IF(D269=2,"Fuga",IF(D269=3,"Picado",IF(D269=4,"Desfasado",IF(D269=5,"Paralizado","¿?"))))))</f>
        <v/>
      </c>
    </row>
    <row r="270">
      <c r="A270" s="82">
        <f>'ERROR FINAL'!A273</f>
        <v/>
      </c>
      <c r="B270" s="83">
        <f>'ERROR FINAL'!D273</f>
        <v/>
      </c>
      <c r="C270" s="344">
        <f>'ERROR FINAL'!G273</f>
        <v/>
      </c>
      <c r="D270" s="85">
        <f>'ERROR FINAL'!I273</f>
        <v/>
      </c>
      <c r="E270" s="345">
        <f>'ERROR FINAL'!U273</f>
        <v/>
      </c>
      <c r="F270" s="346">
        <f>'ERROR FINAL'!AG273</f>
        <v/>
      </c>
      <c r="G270" s="346">
        <f>'ERROR FINAL'!AS273</f>
        <v/>
      </c>
      <c r="H270" s="88">
        <f>IF('ERROR FINAL'!AT273="CONFORME","CONFORME","NO CONFORME")</f>
        <v/>
      </c>
      <c r="I270" s="89">
        <f>IF(D270=0,"Medición",IF(D270=1,"Daño físico",IF(D270=2,"Fuga",IF(D270=3,"Picado",IF(D270=4,"Desfasado",IF(D270=5,"Paralizado","¿?"))))))</f>
        <v/>
      </c>
    </row>
    <row r="271">
      <c r="A271" s="82">
        <f>'ERROR FINAL'!A274</f>
        <v/>
      </c>
      <c r="B271" s="83">
        <f>'ERROR FINAL'!D274</f>
        <v/>
      </c>
      <c r="C271" s="344">
        <f>'ERROR FINAL'!G274</f>
        <v/>
      </c>
      <c r="D271" s="85">
        <f>'ERROR FINAL'!I274</f>
        <v/>
      </c>
      <c r="E271" s="345">
        <f>'ERROR FINAL'!U274</f>
        <v/>
      </c>
      <c r="F271" s="346">
        <f>'ERROR FINAL'!AG274</f>
        <v/>
      </c>
      <c r="G271" s="346">
        <f>'ERROR FINAL'!AS274</f>
        <v/>
      </c>
      <c r="H271" s="88">
        <f>IF('ERROR FINAL'!AT274="CONFORME","CONFORME","NO CONFORME")</f>
        <v/>
      </c>
      <c r="I271" s="89">
        <f>IF(D271=0,"Medición",IF(D271=1,"Daño físico",IF(D271=2,"Fuga",IF(D271=3,"Picado",IF(D271=4,"Desfasado",IF(D271=5,"Paralizado","¿?"))))))</f>
        <v/>
      </c>
    </row>
    <row r="272">
      <c r="A272" s="82">
        <f>'ERROR FINAL'!A275</f>
        <v/>
      </c>
      <c r="B272" s="83">
        <f>'ERROR FINAL'!D275</f>
        <v/>
      </c>
      <c r="C272" s="344">
        <f>'ERROR FINAL'!G275</f>
        <v/>
      </c>
      <c r="D272" s="85">
        <f>'ERROR FINAL'!I275</f>
        <v/>
      </c>
      <c r="E272" s="345">
        <f>'ERROR FINAL'!U275</f>
        <v/>
      </c>
      <c r="F272" s="346">
        <f>'ERROR FINAL'!AG275</f>
        <v/>
      </c>
      <c r="G272" s="346">
        <f>'ERROR FINAL'!AS275</f>
        <v/>
      </c>
      <c r="H272" s="88">
        <f>IF('ERROR FINAL'!AT275="CONFORME","CONFORME","NO CONFORME")</f>
        <v/>
      </c>
      <c r="I272" s="89">
        <f>IF(D272=0,"Medición",IF(D272=1,"Daño físico",IF(D272=2,"Fuga",IF(D272=3,"Picado",IF(D272=4,"Desfasado",IF(D272=5,"Paralizado","¿?"))))))</f>
        <v/>
      </c>
    </row>
    <row r="273">
      <c r="A273" s="82">
        <f>'ERROR FINAL'!A276</f>
        <v/>
      </c>
      <c r="B273" s="83">
        <f>'ERROR FINAL'!D276</f>
        <v/>
      </c>
      <c r="C273" s="344">
        <f>'ERROR FINAL'!G276</f>
        <v/>
      </c>
      <c r="D273" s="85">
        <f>'ERROR FINAL'!I276</f>
        <v/>
      </c>
      <c r="E273" s="345">
        <f>'ERROR FINAL'!U276</f>
        <v/>
      </c>
      <c r="F273" s="346">
        <f>'ERROR FINAL'!AG276</f>
        <v/>
      </c>
      <c r="G273" s="346">
        <f>'ERROR FINAL'!AS276</f>
        <v/>
      </c>
      <c r="H273" s="88">
        <f>IF('ERROR FINAL'!AT276="CONFORME","CONFORME","NO CONFORME")</f>
        <v/>
      </c>
      <c r="I273" s="89">
        <f>IF(D273=0,"Medición",IF(D273=1,"Daño físico",IF(D273=2,"Fuga",IF(D273=3,"Picado",IF(D273=4,"Desfasado",IF(D273=5,"Paralizado","¿?"))))))</f>
        <v/>
      </c>
    </row>
    <row r="274">
      <c r="A274" s="82">
        <f>'ERROR FINAL'!A277</f>
        <v/>
      </c>
      <c r="B274" s="83">
        <f>'ERROR FINAL'!D277</f>
        <v/>
      </c>
      <c r="C274" s="344">
        <f>'ERROR FINAL'!G277</f>
        <v/>
      </c>
      <c r="D274" s="85">
        <f>'ERROR FINAL'!I277</f>
        <v/>
      </c>
      <c r="E274" s="345">
        <f>'ERROR FINAL'!U277</f>
        <v/>
      </c>
      <c r="F274" s="346">
        <f>'ERROR FINAL'!AG277</f>
        <v/>
      </c>
      <c r="G274" s="346">
        <f>'ERROR FINAL'!AS277</f>
        <v/>
      </c>
      <c r="H274" s="88">
        <f>IF('ERROR FINAL'!AT277="CONFORME","CONFORME","NO CONFORME")</f>
        <v/>
      </c>
      <c r="I274" s="89">
        <f>IF(D274=0,"Medición",IF(D274=1,"Daño físico",IF(D274=2,"Fuga",IF(D274=3,"Picado",IF(D274=4,"Desfasado",IF(D274=5,"Paralizado","¿?"))))))</f>
        <v/>
      </c>
    </row>
    <row r="275">
      <c r="A275" s="82">
        <f>'ERROR FINAL'!A278</f>
        <v/>
      </c>
      <c r="B275" s="83">
        <f>'ERROR FINAL'!D278</f>
        <v/>
      </c>
      <c r="C275" s="344">
        <f>'ERROR FINAL'!G278</f>
        <v/>
      </c>
      <c r="D275" s="85">
        <f>'ERROR FINAL'!I278</f>
        <v/>
      </c>
      <c r="E275" s="345">
        <f>'ERROR FINAL'!U278</f>
        <v/>
      </c>
      <c r="F275" s="346">
        <f>'ERROR FINAL'!AG278</f>
        <v/>
      </c>
      <c r="G275" s="346">
        <f>'ERROR FINAL'!AS278</f>
        <v/>
      </c>
      <c r="H275" s="88">
        <f>IF('ERROR FINAL'!AT278="CONFORME","CONFORME","NO CONFORME")</f>
        <v/>
      </c>
      <c r="I275" s="89">
        <f>IF(D275=0,"Medición",IF(D275=1,"Daño físico",IF(D275=2,"Fuga",IF(D275=3,"Picado",IF(D275=4,"Desfasado",IF(D275=5,"Paralizado","¿?"))))))</f>
        <v/>
      </c>
    </row>
    <row r="276">
      <c r="A276" s="82">
        <f>'ERROR FINAL'!A279</f>
        <v/>
      </c>
      <c r="B276" s="83">
        <f>'ERROR FINAL'!D279</f>
        <v/>
      </c>
      <c r="C276" s="344">
        <f>'ERROR FINAL'!G279</f>
        <v/>
      </c>
      <c r="D276" s="85">
        <f>'ERROR FINAL'!I279</f>
        <v/>
      </c>
      <c r="E276" s="345">
        <f>'ERROR FINAL'!U279</f>
        <v/>
      </c>
      <c r="F276" s="346">
        <f>'ERROR FINAL'!AG279</f>
        <v/>
      </c>
      <c r="G276" s="346">
        <f>'ERROR FINAL'!AS279</f>
        <v/>
      </c>
      <c r="H276" s="88">
        <f>IF('ERROR FINAL'!AT279="CONFORME","CONFORME","NO CONFORME")</f>
        <v/>
      </c>
      <c r="I276" s="89">
        <f>IF(D276=0,"Medición",IF(D276=1,"Daño físico",IF(D276=2,"Fuga",IF(D276=3,"Picado",IF(D276=4,"Desfasado",IF(D276=5,"Paralizado","¿?"))))))</f>
        <v/>
      </c>
    </row>
    <row r="277">
      <c r="A277" s="82">
        <f>'ERROR FINAL'!A280</f>
        <v/>
      </c>
      <c r="B277" s="83">
        <f>'ERROR FINAL'!D280</f>
        <v/>
      </c>
      <c r="C277" s="344">
        <f>'ERROR FINAL'!G280</f>
        <v/>
      </c>
      <c r="D277" s="85">
        <f>'ERROR FINAL'!I280</f>
        <v/>
      </c>
      <c r="E277" s="345">
        <f>'ERROR FINAL'!U280</f>
        <v/>
      </c>
      <c r="F277" s="346">
        <f>'ERROR FINAL'!AG280</f>
        <v/>
      </c>
      <c r="G277" s="346">
        <f>'ERROR FINAL'!AS280</f>
        <v/>
      </c>
      <c r="H277" s="88">
        <f>IF('ERROR FINAL'!AT280="CONFORME","CONFORME","NO CONFORME")</f>
        <v/>
      </c>
      <c r="I277" s="89">
        <f>IF(D277=0,"Medición",IF(D277=1,"Daño físico",IF(D277=2,"Fuga",IF(D277=3,"Picado",IF(D277=4,"Desfasado",IF(D277=5,"Paralizado","¿?"))))))</f>
        <v/>
      </c>
    </row>
    <row r="278">
      <c r="A278" s="82">
        <f>'ERROR FINAL'!A281</f>
        <v/>
      </c>
      <c r="B278" s="83">
        <f>'ERROR FINAL'!D281</f>
        <v/>
      </c>
      <c r="C278" s="344">
        <f>'ERROR FINAL'!G281</f>
        <v/>
      </c>
      <c r="D278" s="85">
        <f>'ERROR FINAL'!I281</f>
        <v/>
      </c>
      <c r="E278" s="345">
        <f>'ERROR FINAL'!U281</f>
        <v/>
      </c>
      <c r="F278" s="346">
        <f>'ERROR FINAL'!AG281</f>
        <v/>
      </c>
      <c r="G278" s="346">
        <f>'ERROR FINAL'!AS281</f>
        <v/>
      </c>
      <c r="H278" s="88">
        <f>IF('ERROR FINAL'!AT281="CONFORME","CONFORME","NO CONFORME")</f>
        <v/>
      </c>
      <c r="I278" s="89">
        <f>IF(D278=0,"Medición",IF(D278=1,"Daño físico",IF(D278=2,"Fuga",IF(D278=3,"Picado",IF(D278=4,"Desfasado",IF(D278=5,"Paralizado","¿?"))))))</f>
        <v/>
      </c>
    </row>
    <row r="279">
      <c r="A279" s="82">
        <f>'ERROR FINAL'!A282</f>
        <v/>
      </c>
      <c r="B279" s="83">
        <f>'ERROR FINAL'!D282</f>
        <v/>
      </c>
      <c r="C279" s="344">
        <f>'ERROR FINAL'!G282</f>
        <v/>
      </c>
      <c r="D279" s="85">
        <f>'ERROR FINAL'!I282</f>
        <v/>
      </c>
      <c r="E279" s="345">
        <f>'ERROR FINAL'!U282</f>
        <v/>
      </c>
      <c r="F279" s="346">
        <f>'ERROR FINAL'!AG282</f>
        <v/>
      </c>
      <c r="G279" s="346">
        <f>'ERROR FINAL'!AS282</f>
        <v/>
      </c>
      <c r="H279" s="88">
        <f>IF('ERROR FINAL'!AT282="CONFORME","CONFORME","NO CONFORME")</f>
        <v/>
      </c>
      <c r="I279" s="89">
        <f>IF(D279=0,"Medición",IF(D279=1,"Daño físico",IF(D279=2,"Fuga",IF(D279=3,"Picado",IF(D279=4,"Desfasado",IF(D279=5,"Paralizado","¿?"))))))</f>
        <v/>
      </c>
    </row>
    <row r="280">
      <c r="A280" s="82">
        <f>'ERROR FINAL'!A283</f>
        <v/>
      </c>
      <c r="B280" s="83">
        <f>'ERROR FINAL'!D283</f>
        <v/>
      </c>
      <c r="C280" s="344">
        <f>'ERROR FINAL'!G283</f>
        <v/>
      </c>
      <c r="D280" s="85">
        <f>'ERROR FINAL'!I283</f>
        <v/>
      </c>
      <c r="E280" s="345">
        <f>'ERROR FINAL'!U283</f>
        <v/>
      </c>
      <c r="F280" s="346">
        <f>'ERROR FINAL'!AG283</f>
        <v/>
      </c>
      <c r="G280" s="346">
        <f>'ERROR FINAL'!AS283</f>
        <v/>
      </c>
      <c r="H280" s="88">
        <f>IF('ERROR FINAL'!AT283="CONFORME","CONFORME","NO CONFORME")</f>
        <v/>
      </c>
      <c r="I280" s="89">
        <f>IF(D280=0,"Medición",IF(D280=1,"Daño físico",IF(D280=2,"Fuga",IF(D280=3,"Picado",IF(D280=4,"Desfasado",IF(D280=5,"Paralizado","¿?"))))))</f>
        <v/>
      </c>
    </row>
    <row r="281">
      <c r="A281" s="82">
        <f>'ERROR FINAL'!A284</f>
        <v/>
      </c>
      <c r="B281" s="83">
        <f>'ERROR FINAL'!D284</f>
        <v/>
      </c>
      <c r="C281" s="344">
        <f>'ERROR FINAL'!G284</f>
        <v/>
      </c>
      <c r="D281" s="85">
        <f>'ERROR FINAL'!I284</f>
        <v/>
      </c>
      <c r="E281" s="345">
        <f>'ERROR FINAL'!U284</f>
        <v/>
      </c>
      <c r="F281" s="346">
        <f>'ERROR FINAL'!AG284</f>
        <v/>
      </c>
      <c r="G281" s="346">
        <f>'ERROR FINAL'!AS284</f>
        <v/>
      </c>
      <c r="H281" s="88">
        <f>IF('ERROR FINAL'!AT284="CONFORME","CONFORME","NO CONFORME")</f>
        <v/>
      </c>
      <c r="I281" s="89">
        <f>IF(D281=0,"Medición",IF(D281=1,"Daño físico",IF(D281=2,"Fuga",IF(D281=3,"Picado",IF(D281=4,"Desfasado",IF(D281=5,"Paralizado","¿?"))))))</f>
        <v/>
      </c>
    </row>
    <row r="282">
      <c r="A282" s="82">
        <f>'ERROR FINAL'!A285</f>
        <v/>
      </c>
      <c r="B282" s="83">
        <f>'ERROR FINAL'!D285</f>
        <v/>
      </c>
      <c r="C282" s="344">
        <f>'ERROR FINAL'!G285</f>
        <v/>
      </c>
      <c r="D282" s="85">
        <f>'ERROR FINAL'!I285</f>
        <v/>
      </c>
      <c r="E282" s="345">
        <f>'ERROR FINAL'!U285</f>
        <v/>
      </c>
      <c r="F282" s="346">
        <f>'ERROR FINAL'!AG285</f>
        <v/>
      </c>
      <c r="G282" s="346">
        <f>'ERROR FINAL'!AS285</f>
        <v/>
      </c>
      <c r="H282" s="88">
        <f>IF('ERROR FINAL'!AT285="CONFORME","CONFORME","NO CONFORME")</f>
        <v/>
      </c>
      <c r="I282" s="89">
        <f>IF(D282=0,"Medición",IF(D282=1,"Daño físico",IF(D282=2,"Fuga",IF(D282=3,"Picado",IF(D282=4,"Desfasado",IF(D282=5,"Paralizado","¿?"))))))</f>
        <v/>
      </c>
    </row>
    <row r="283">
      <c r="A283" s="82">
        <f>'ERROR FINAL'!A286</f>
        <v/>
      </c>
      <c r="B283" s="83">
        <f>'ERROR FINAL'!D286</f>
        <v/>
      </c>
      <c r="C283" s="344">
        <f>'ERROR FINAL'!G286</f>
        <v/>
      </c>
      <c r="D283" s="85">
        <f>'ERROR FINAL'!I286</f>
        <v/>
      </c>
      <c r="E283" s="345">
        <f>'ERROR FINAL'!U286</f>
        <v/>
      </c>
      <c r="F283" s="346">
        <f>'ERROR FINAL'!AG286</f>
        <v/>
      </c>
      <c r="G283" s="346">
        <f>'ERROR FINAL'!AS286</f>
        <v/>
      </c>
      <c r="H283" s="88">
        <f>IF('ERROR FINAL'!AT286="CONFORME","CONFORME","NO CONFORME")</f>
        <v/>
      </c>
      <c r="I283" s="89">
        <f>IF(D283=0,"Medición",IF(D283=1,"Daño físico",IF(D283=2,"Fuga",IF(D283=3,"Picado",IF(D283=4,"Desfasado",IF(D283=5,"Paralizado","¿?"))))))</f>
        <v/>
      </c>
    </row>
    <row r="284">
      <c r="A284" s="82">
        <f>'ERROR FINAL'!A287</f>
        <v/>
      </c>
      <c r="B284" s="83">
        <f>'ERROR FINAL'!D287</f>
        <v/>
      </c>
      <c r="C284" s="344">
        <f>'ERROR FINAL'!G287</f>
        <v/>
      </c>
      <c r="D284" s="85">
        <f>'ERROR FINAL'!I287</f>
        <v/>
      </c>
      <c r="E284" s="345">
        <f>'ERROR FINAL'!U287</f>
        <v/>
      </c>
      <c r="F284" s="346">
        <f>'ERROR FINAL'!AG287</f>
        <v/>
      </c>
      <c r="G284" s="346">
        <f>'ERROR FINAL'!AS287</f>
        <v/>
      </c>
      <c r="H284" s="88">
        <f>IF('ERROR FINAL'!AT287="CONFORME","CONFORME","NO CONFORME")</f>
        <v/>
      </c>
      <c r="I284" s="89">
        <f>IF(D284=0,"Medición",IF(D284=1,"Daño físico",IF(D284=2,"Fuga",IF(D284=3,"Picado",IF(D284=4,"Desfasado",IF(D284=5,"Paralizado","¿?"))))))</f>
        <v/>
      </c>
    </row>
    <row r="285">
      <c r="A285" s="82">
        <f>'ERROR FINAL'!A288</f>
        <v/>
      </c>
      <c r="B285" s="83">
        <f>'ERROR FINAL'!D288</f>
        <v/>
      </c>
      <c r="C285" s="344">
        <f>'ERROR FINAL'!G288</f>
        <v/>
      </c>
      <c r="D285" s="85">
        <f>'ERROR FINAL'!I288</f>
        <v/>
      </c>
      <c r="E285" s="345">
        <f>'ERROR FINAL'!U288</f>
        <v/>
      </c>
      <c r="F285" s="346">
        <f>'ERROR FINAL'!AG288</f>
        <v/>
      </c>
      <c r="G285" s="346">
        <f>'ERROR FINAL'!AS288</f>
        <v/>
      </c>
      <c r="H285" s="88">
        <f>IF('ERROR FINAL'!AT288="CONFORME","CONFORME","NO CONFORME")</f>
        <v/>
      </c>
      <c r="I285" s="89">
        <f>IF(D285=0,"Medición",IF(D285=1,"Daño físico",IF(D285=2,"Fuga",IF(D285=3,"Picado",IF(D285=4,"Desfasado",IF(D285=5,"Paralizado","¿?"))))))</f>
        <v/>
      </c>
    </row>
    <row r="286">
      <c r="A286" s="82">
        <f>'ERROR FINAL'!A289</f>
        <v/>
      </c>
      <c r="B286" s="83">
        <f>'ERROR FINAL'!D289</f>
        <v/>
      </c>
      <c r="C286" s="344">
        <f>'ERROR FINAL'!G289</f>
        <v/>
      </c>
      <c r="D286" s="85">
        <f>'ERROR FINAL'!I289</f>
        <v/>
      </c>
      <c r="E286" s="345">
        <f>'ERROR FINAL'!U289</f>
        <v/>
      </c>
      <c r="F286" s="346">
        <f>'ERROR FINAL'!AG289</f>
        <v/>
      </c>
      <c r="G286" s="346">
        <f>'ERROR FINAL'!AS289</f>
        <v/>
      </c>
      <c r="H286" s="88">
        <f>IF('ERROR FINAL'!AT289="CONFORME","CONFORME","NO CONFORME")</f>
        <v/>
      </c>
      <c r="I286" s="89">
        <f>IF(D286=0,"Medición",IF(D286=1,"Daño físico",IF(D286=2,"Fuga",IF(D286=3,"Picado",IF(D286=4,"Desfasado",IF(D286=5,"Paralizado","¿?"))))))</f>
        <v/>
      </c>
    </row>
    <row r="287">
      <c r="A287" s="82">
        <f>'ERROR FINAL'!A290</f>
        <v/>
      </c>
      <c r="B287" s="83">
        <f>'ERROR FINAL'!D290</f>
        <v/>
      </c>
      <c r="C287" s="344">
        <f>'ERROR FINAL'!G290</f>
        <v/>
      </c>
      <c r="D287" s="85">
        <f>'ERROR FINAL'!I290</f>
        <v/>
      </c>
      <c r="E287" s="345">
        <f>'ERROR FINAL'!U290</f>
        <v/>
      </c>
      <c r="F287" s="346">
        <f>'ERROR FINAL'!AG290</f>
        <v/>
      </c>
      <c r="G287" s="346">
        <f>'ERROR FINAL'!AS290</f>
        <v/>
      </c>
      <c r="H287" s="88">
        <f>IF('ERROR FINAL'!AT290="CONFORME","CONFORME","NO CONFORME")</f>
        <v/>
      </c>
      <c r="I287" s="89">
        <f>IF(D287=0,"Medición",IF(D287=1,"Daño físico",IF(D287=2,"Fuga",IF(D287=3,"Picado",IF(D287=4,"Desfasado",IF(D287=5,"Paralizado","¿?"))))))</f>
        <v/>
      </c>
    </row>
    <row r="288">
      <c r="A288" s="82">
        <f>'ERROR FINAL'!A291</f>
        <v/>
      </c>
      <c r="B288" s="83">
        <f>'ERROR FINAL'!D291</f>
        <v/>
      </c>
      <c r="C288" s="344">
        <f>'ERROR FINAL'!G291</f>
        <v/>
      </c>
      <c r="D288" s="85">
        <f>'ERROR FINAL'!I291</f>
        <v/>
      </c>
      <c r="E288" s="345">
        <f>'ERROR FINAL'!U291</f>
        <v/>
      </c>
      <c r="F288" s="346">
        <f>'ERROR FINAL'!AG291</f>
        <v/>
      </c>
      <c r="G288" s="346">
        <f>'ERROR FINAL'!AS291</f>
        <v/>
      </c>
      <c r="H288" s="88">
        <f>IF('ERROR FINAL'!AT291="CONFORME","CONFORME","NO CONFORME")</f>
        <v/>
      </c>
      <c r="I288" s="89">
        <f>IF(D288=0,"Medición",IF(D288=1,"Daño físico",IF(D288=2,"Fuga",IF(D288=3,"Picado",IF(D288=4,"Desfasado",IF(D288=5,"Paralizado","¿?"))))))</f>
        <v/>
      </c>
    </row>
    <row r="289">
      <c r="A289" s="82">
        <f>'ERROR FINAL'!A292</f>
        <v/>
      </c>
      <c r="B289" s="83">
        <f>'ERROR FINAL'!D292</f>
        <v/>
      </c>
      <c r="C289" s="344">
        <f>'ERROR FINAL'!G292</f>
        <v/>
      </c>
      <c r="D289" s="85">
        <f>'ERROR FINAL'!I292</f>
        <v/>
      </c>
      <c r="E289" s="345">
        <f>'ERROR FINAL'!U292</f>
        <v/>
      </c>
      <c r="F289" s="346">
        <f>'ERROR FINAL'!AG292</f>
        <v/>
      </c>
      <c r="G289" s="346">
        <f>'ERROR FINAL'!AS292</f>
        <v/>
      </c>
      <c r="H289" s="88">
        <f>IF('ERROR FINAL'!AT292="CONFORME","CONFORME","NO CONFORME")</f>
        <v/>
      </c>
      <c r="I289" s="89">
        <f>IF(D289=0,"Medición",IF(D289=1,"Daño físico",IF(D289=2,"Fuga",IF(D289=3,"Picado",IF(D289=4,"Desfasado",IF(D289=5,"Paralizado","¿?"))))))</f>
        <v/>
      </c>
    </row>
    <row r="290">
      <c r="A290" s="82">
        <f>'ERROR FINAL'!A293</f>
        <v/>
      </c>
      <c r="B290" s="83">
        <f>'ERROR FINAL'!D293</f>
        <v/>
      </c>
      <c r="C290" s="344">
        <f>'ERROR FINAL'!G293</f>
        <v/>
      </c>
      <c r="D290" s="85">
        <f>'ERROR FINAL'!I293</f>
        <v/>
      </c>
      <c r="E290" s="345">
        <f>'ERROR FINAL'!U293</f>
        <v/>
      </c>
      <c r="F290" s="346">
        <f>'ERROR FINAL'!AG293</f>
        <v/>
      </c>
      <c r="G290" s="346">
        <f>'ERROR FINAL'!AS293</f>
        <v/>
      </c>
      <c r="H290" s="88">
        <f>IF('ERROR FINAL'!AT293="CONFORME","CONFORME","NO CONFORME")</f>
        <v/>
      </c>
      <c r="I290" s="89">
        <f>IF(D290=0,"Medición",IF(D290=1,"Daño físico",IF(D290=2,"Fuga",IF(D290=3,"Picado",IF(D290=4,"Desfasado",IF(D290=5,"Paralizado","¿?"))))))</f>
        <v/>
      </c>
    </row>
    <row r="291">
      <c r="A291" s="82">
        <f>'ERROR FINAL'!A294</f>
        <v/>
      </c>
      <c r="B291" s="83">
        <f>'ERROR FINAL'!D294</f>
        <v/>
      </c>
      <c r="C291" s="344">
        <f>'ERROR FINAL'!G294</f>
        <v/>
      </c>
      <c r="D291" s="85">
        <f>'ERROR FINAL'!I294</f>
        <v/>
      </c>
      <c r="E291" s="345">
        <f>'ERROR FINAL'!U294</f>
        <v/>
      </c>
      <c r="F291" s="346">
        <f>'ERROR FINAL'!AG294</f>
        <v/>
      </c>
      <c r="G291" s="346">
        <f>'ERROR FINAL'!AS294</f>
        <v/>
      </c>
      <c r="H291" s="88">
        <f>IF('ERROR FINAL'!AT294="CONFORME","CONFORME","NO CONFORME")</f>
        <v/>
      </c>
      <c r="I291" s="89">
        <f>IF(D291=0,"Medición",IF(D291=1,"Daño físico",IF(D291=2,"Fuga",IF(D291=3,"Picado",IF(D291=4,"Desfasado",IF(D291=5,"Paralizado","¿?"))))))</f>
        <v/>
      </c>
    </row>
    <row r="292">
      <c r="A292" s="82">
        <f>'ERROR FINAL'!A295</f>
        <v/>
      </c>
      <c r="B292" s="83">
        <f>'ERROR FINAL'!D295</f>
        <v/>
      </c>
      <c r="C292" s="344">
        <f>'ERROR FINAL'!G295</f>
        <v/>
      </c>
      <c r="D292" s="85">
        <f>'ERROR FINAL'!I295</f>
        <v/>
      </c>
      <c r="E292" s="345">
        <f>'ERROR FINAL'!U295</f>
        <v/>
      </c>
      <c r="F292" s="346">
        <f>'ERROR FINAL'!AG295</f>
        <v/>
      </c>
      <c r="G292" s="346">
        <f>'ERROR FINAL'!AS295</f>
        <v/>
      </c>
      <c r="H292" s="88">
        <f>IF('ERROR FINAL'!AT295="CONFORME","CONFORME","NO CONFORME")</f>
        <v/>
      </c>
      <c r="I292" s="89">
        <f>IF(D292=0,"Medición",IF(D292=1,"Daño físico",IF(D292=2,"Fuga",IF(D292=3,"Picado",IF(D292=4,"Desfasado",IF(D292=5,"Paralizado","¿?"))))))</f>
        <v/>
      </c>
    </row>
    <row r="293">
      <c r="A293" s="82">
        <f>'ERROR FINAL'!A296</f>
        <v/>
      </c>
      <c r="B293" s="83">
        <f>'ERROR FINAL'!D296</f>
        <v/>
      </c>
      <c r="C293" s="344">
        <f>'ERROR FINAL'!G296</f>
        <v/>
      </c>
      <c r="D293" s="85">
        <f>'ERROR FINAL'!I296</f>
        <v/>
      </c>
      <c r="E293" s="345">
        <f>'ERROR FINAL'!U296</f>
        <v/>
      </c>
      <c r="F293" s="346">
        <f>'ERROR FINAL'!AG296</f>
        <v/>
      </c>
      <c r="G293" s="346">
        <f>'ERROR FINAL'!AS296</f>
        <v/>
      </c>
      <c r="H293" s="88">
        <f>IF('ERROR FINAL'!AT296="CONFORME","CONFORME","NO CONFORME")</f>
        <v/>
      </c>
      <c r="I293" s="89">
        <f>IF(D293=0,"Medición",IF(D293=1,"Daño físico",IF(D293=2,"Fuga",IF(D293=3,"Picado",IF(D293=4,"Desfasado",IF(D293=5,"Paralizado","¿?"))))))</f>
        <v/>
      </c>
    </row>
    <row r="294">
      <c r="A294" s="82">
        <f>'ERROR FINAL'!A297</f>
        <v/>
      </c>
      <c r="B294" s="83">
        <f>'ERROR FINAL'!D297</f>
        <v/>
      </c>
      <c r="C294" s="344">
        <f>'ERROR FINAL'!G297</f>
        <v/>
      </c>
      <c r="D294" s="85">
        <f>'ERROR FINAL'!I297</f>
        <v/>
      </c>
      <c r="E294" s="345">
        <f>'ERROR FINAL'!U297</f>
        <v/>
      </c>
      <c r="F294" s="346">
        <f>'ERROR FINAL'!AG297</f>
        <v/>
      </c>
      <c r="G294" s="346">
        <f>'ERROR FINAL'!AS297</f>
        <v/>
      </c>
      <c r="H294" s="88">
        <f>IF('ERROR FINAL'!AT297="CONFORME","CONFORME","NO CONFORME")</f>
        <v/>
      </c>
      <c r="I294" s="89">
        <f>IF(D294=0,"Medición",IF(D294=1,"Daño físico",IF(D294=2,"Fuga",IF(D294=3,"Picado",IF(D294=4,"Desfasado",IF(D294=5,"Paralizado","¿?"))))))</f>
        <v/>
      </c>
    </row>
    <row r="295">
      <c r="A295" s="82">
        <f>'ERROR FINAL'!A298</f>
        <v/>
      </c>
      <c r="B295" s="83">
        <f>'ERROR FINAL'!D298</f>
        <v/>
      </c>
      <c r="C295" s="344">
        <f>'ERROR FINAL'!G298</f>
        <v/>
      </c>
      <c r="D295" s="85">
        <f>'ERROR FINAL'!I298</f>
        <v/>
      </c>
      <c r="E295" s="345">
        <f>'ERROR FINAL'!U298</f>
        <v/>
      </c>
      <c r="F295" s="346">
        <f>'ERROR FINAL'!AG298</f>
        <v/>
      </c>
      <c r="G295" s="346">
        <f>'ERROR FINAL'!AS298</f>
        <v/>
      </c>
      <c r="H295" s="88">
        <f>IF('ERROR FINAL'!AT298="CONFORME","CONFORME","NO CONFORME")</f>
        <v/>
      </c>
      <c r="I295" s="89">
        <f>IF(D295=0,"Medición",IF(D295=1,"Daño físico",IF(D295=2,"Fuga",IF(D295=3,"Picado",IF(D295=4,"Desfasado",IF(D295=5,"Paralizado","¿?"))))))</f>
        <v/>
      </c>
    </row>
    <row r="296">
      <c r="A296" s="82">
        <f>'ERROR FINAL'!A299</f>
        <v/>
      </c>
      <c r="B296" s="83">
        <f>'ERROR FINAL'!D299</f>
        <v/>
      </c>
      <c r="C296" s="344">
        <f>'ERROR FINAL'!G299</f>
        <v/>
      </c>
      <c r="D296" s="85">
        <f>'ERROR FINAL'!I299</f>
        <v/>
      </c>
      <c r="E296" s="345">
        <f>'ERROR FINAL'!U299</f>
        <v/>
      </c>
      <c r="F296" s="346">
        <f>'ERROR FINAL'!AG299</f>
        <v/>
      </c>
      <c r="G296" s="346">
        <f>'ERROR FINAL'!AS299</f>
        <v/>
      </c>
      <c r="H296" s="88">
        <f>IF('ERROR FINAL'!AT299="CONFORME","CONFORME","NO CONFORME")</f>
        <v/>
      </c>
      <c r="I296" s="89">
        <f>IF(D296=0,"Medición",IF(D296=1,"Daño físico",IF(D296=2,"Fuga",IF(D296=3,"Picado",IF(D296=4,"Desfasado",IF(D296=5,"Paralizado","¿?"))))))</f>
        <v/>
      </c>
    </row>
    <row r="297">
      <c r="A297" s="82">
        <f>'ERROR FINAL'!A300</f>
        <v/>
      </c>
      <c r="B297" s="83">
        <f>'ERROR FINAL'!D300</f>
        <v/>
      </c>
      <c r="C297" s="344">
        <f>'ERROR FINAL'!G300</f>
        <v/>
      </c>
      <c r="D297" s="85">
        <f>'ERROR FINAL'!I300</f>
        <v/>
      </c>
      <c r="E297" s="345">
        <f>'ERROR FINAL'!U300</f>
        <v/>
      </c>
      <c r="F297" s="346">
        <f>'ERROR FINAL'!AG300</f>
        <v/>
      </c>
      <c r="G297" s="346">
        <f>'ERROR FINAL'!AS300</f>
        <v/>
      </c>
      <c r="H297" s="88">
        <f>IF('ERROR FINAL'!AT300="CONFORME","CONFORME","NO CONFORME")</f>
        <v/>
      </c>
      <c r="I297" s="89">
        <f>IF(D297=0,"Medición",IF(D297=1,"Daño físico",IF(D297=2,"Fuga",IF(D297=3,"Picado",IF(D297=4,"Desfasado",IF(D297=5,"Paralizado","¿?"))))))</f>
        <v/>
      </c>
    </row>
    <row r="298">
      <c r="A298" s="82">
        <f>'ERROR FINAL'!A301</f>
        <v/>
      </c>
      <c r="B298" s="83">
        <f>'ERROR FINAL'!D301</f>
        <v/>
      </c>
      <c r="C298" s="344">
        <f>'ERROR FINAL'!G301</f>
        <v/>
      </c>
      <c r="D298" s="85">
        <f>'ERROR FINAL'!I301</f>
        <v/>
      </c>
      <c r="E298" s="345">
        <f>'ERROR FINAL'!U301</f>
        <v/>
      </c>
      <c r="F298" s="346">
        <f>'ERROR FINAL'!AG301</f>
        <v/>
      </c>
      <c r="G298" s="346">
        <f>'ERROR FINAL'!AS301</f>
        <v/>
      </c>
      <c r="H298" s="88">
        <f>IF('ERROR FINAL'!AT301="CONFORME","CONFORME","NO CONFORME")</f>
        <v/>
      </c>
      <c r="I298" s="89">
        <f>IF(D298=0,"Medición",IF(D298=1,"Daño físico",IF(D298=2,"Fuga",IF(D298=3,"Picado",IF(D298=4,"Desfasado",IF(D298=5,"Paralizado","¿?"))))))</f>
        <v/>
      </c>
    </row>
    <row r="299">
      <c r="A299" s="82">
        <f>'ERROR FINAL'!A302</f>
        <v/>
      </c>
      <c r="B299" s="83">
        <f>'ERROR FINAL'!D302</f>
        <v/>
      </c>
      <c r="C299" s="344">
        <f>'ERROR FINAL'!G302</f>
        <v/>
      </c>
      <c r="D299" s="85">
        <f>'ERROR FINAL'!I302</f>
        <v/>
      </c>
      <c r="E299" s="345">
        <f>'ERROR FINAL'!U302</f>
        <v/>
      </c>
      <c r="F299" s="346">
        <f>'ERROR FINAL'!AG302</f>
        <v/>
      </c>
      <c r="G299" s="346">
        <f>'ERROR FINAL'!AS302</f>
        <v/>
      </c>
      <c r="H299" s="88">
        <f>IF('ERROR FINAL'!AT302="CONFORME","CONFORME","NO CONFORME")</f>
        <v/>
      </c>
      <c r="I299" s="89">
        <f>IF(D299=0,"Medición",IF(D299=1,"Daño físico",IF(D299=2,"Fuga",IF(D299=3,"Picado",IF(D299=4,"Desfasado",IF(D299=5,"Paralizado","¿?"))))))</f>
        <v/>
      </c>
    </row>
    <row r="300">
      <c r="A300" s="82">
        <f>'ERROR FINAL'!A303</f>
        <v/>
      </c>
      <c r="B300" s="83">
        <f>'ERROR FINAL'!D303</f>
        <v/>
      </c>
      <c r="C300" s="344">
        <f>'ERROR FINAL'!G303</f>
        <v/>
      </c>
      <c r="D300" s="85">
        <f>'ERROR FINAL'!I303</f>
        <v/>
      </c>
      <c r="E300" s="345">
        <f>'ERROR FINAL'!U303</f>
        <v/>
      </c>
      <c r="F300" s="346">
        <f>'ERROR FINAL'!AG303</f>
        <v/>
      </c>
      <c r="G300" s="346">
        <f>'ERROR FINAL'!AS303</f>
        <v/>
      </c>
      <c r="H300" s="88">
        <f>IF('ERROR FINAL'!AT303="CONFORME","CONFORME","NO CONFORME")</f>
        <v/>
      </c>
      <c r="I300" s="89">
        <f>IF(D300=0,"Medición",IF(D300=1,"Daño físico",IF(D300=2,"Fuga",IF(D300=3,"Picado",IF(D300=4,"Desfasado",IF(D300=5,"Paralizado","¿?"))))))</f>
        <v/>
      </c>
    </row>
    <row r="301">
      <c r="A301" s="82">
        <f>'ERROR FINAL'!A304</f>
        <v/>
      </c>
      <c r="B301" s="83">
        <f>'ERROR FINAL'!D304</f>
        <v/>
      </c>
      <c r="C301" s="344">
        <f>'ERROR FINAL'!G304</f>
        <v/>
      </c>
      <c r="D301" s="85">
        <f>'ERROR FINAL'!I304</f>
        <v/>
      </c>
      <c r="E301" s="345">
        <f>'ERROR FINAL'!U304</f>
        <v/>
      </c>
      <c r="F301" s="346">
        <f>'ERROR FINAL'!AG304</f>
        <v/>
      </c>
      <c r="G301" s="346">
        <f>'ERROR FINAL'!AS304</f>
        <v/>
      </c>
      <c r="H301" s="88">
        <f>IF('ERROR FINAL'!AT304="CONFORME","CONFORME","NO CONFORME")</f>
        <v/>
      </c>
      <c r="I301" s="89">
        <f>IF(D301=0,"Medición",IF(D301=1,"Daño físico",IF(D301=2,"Fuga",IF(D301=3,"Picado",IF(D301=4,"Desfasado",IF(D301=5,"Paralizado","¿?"))))))</f>
        <v/>
      </c>
    </row>
    <row r="302">
      <c r="A302" s="82">
        <f>'ERROR FINAL'!A305</f>
        <v/>
      </c>
      <c r="B302" s="83">
        <f>'ERROR FINAL'!D305</f>
        <v/>
      </c>
      <c r="C302" s="344">
        <f>'ERROR FINAL'!G305</f>
        <v/>
      </c>
      <c r="D302" s="85">
        <f>'ERROR FINAL'!I305</f>
        <v/>
      </c>
      <c r="E302" s="345">
        <f>'ERROR FINAL'!U305</f>
        <v/>
      </c>
      <c r="F302" s="346">
        <f>'ERROR FINAL'!AG305</f>
        <v/>
      </c>
      <c r="G302" s="346">
        <f>'ERROR FINAL'!AS305</f>
        <v/>
      </c>
      <c r="H302" s="88">
        <f>IF('ERROR FINAL'!AT305="CONFORME","CONFORME","NO CONFORME")</f>
        <v/>
      </c>
      <c r="I302" s="89">
        <f>IF(D302=0,"Medición",IF(D302=1,"Daño físico",IF(D302=2,"Fuga",IF(D302=3,"Picado",IF(D302=4,"Desfasado",IF(D302=5,"Paralizado","¿?"))))))</f>
        <v/>
      </c>
    </row>
    <row r="303">
      <c r="A303" s="82">
        <f>'ERROR FINAL'!A306</f>
        <v/>
      </c>
      <c r="B303" s="83">
        <f>'ERROR FINAL'!D306</f>
        <v/>
      </c>
      <c r="C303" s="344">
        <f>'ERROR FINAL'!G306</f>
        <v/>
      </c>
      <c r="D303" s="85">
        <f>'ERROR FINAL'!I306</f>
        <v/>
      </c>
      <c r="E303" s="345">
        <f>'ERROR FINAL'!U306</f>
        <v/>
      </c>
      <c r="F303" s="346">
        <f>'ERROR FINAL'!AG306</f>
        <v/>
      </c>
      <c r="G303" s="346">
        <f>'ERROR FINAL'!AS306</f>
        <v/>
      </c>
      <c r="H303" s="88">
        <f>IF('ERROR FINAL'!AT306="CONFORME","CONFORME","NO CONFORME")</f>
        <v/>
      </c>
      <c r="I303" s="89">
        <f>IF(D303=0,"Medición",IF(D303=1,"Daño físico",IF(D303=2,"Fuga",IF(D303=3,"Picado",IF(D303=4,"Desfasado",IF(D303=5,"Paralizado","¿?"))))))</f>
        <v/>
      </c>
    </row>
    <row r="304">
      <c r="A304" s="82">
        <f>'ERROR FINAL'!A307</f>
        <v/>
      </c>
      <c r="B304" s="83">
        <f>'ERROR FINAL'!D307</f>
        <v/>
      </c>
      <c r="C304" s="344">
        <f>'ERROR FINAL'!G307</f>
        <v/>
      </c>
      <c r="D304" s="85">
        <f>'ERROR FINAL'!I307</f>
        <v/>
      </c>
      <c r="E304" s="345">
        <f>'ERROR FINAL'!U307</f>
        <v/>
      </c>
      <c r="F304" s="346">
        <f>'ERROR FINAL'!AG307</f>
        <v/>
      </c>
      <c r="G304" s="346">
        <f>'ERROR FINAL'!AS307</f>
        <v/>
      </c>
      <c r="H304" s="88">
        <f>IF('ERROR FINAL'!AT307="CONFORME","CONFORME","NO CONFORME")</f>
        <v/>
      </c>
      <c r="I304" s="89">
        <f>IF(D304=0,"Medición",IF(D304=1,"Daño físico",IF(D304=2,"Fuga",IF(D304=3,"Picado",IF(D304=4,"Desfasado",IF(D304=5,"Paralizado","¿?"))))))</f>
        <v/>
      </c>
    </row>
    <row r="305">
      <c r="A305" s="82">
        <f>'ERROR FINAL'!A308</f>
        <v/>
      </c>
      <c r="B305" s="83">
        <f>'ERROR FINAL'!D308</f>
        <v/>
      </c>
      <c r="C305" s="344">
        <f>'ERROR FINAL'!G308</f>
        <v/>
      </c>
      <c r="D305" s="85">
        <f>'ERROR FINAL'!I308</f>
        <v/>
      </c>
      <c r="E305" s="345">
        <f>'ERROR FINAL'!U308</f>
        <v/>
      </c>
      <c r="F305" s="346">
        <f>'ERROR FINAL'!AG308</f>
        <v/>
      </c>
      <c r="G305" s="346">
        <f>'ERROR FINAL'!AS308</f>
        <v/>
      </c>
      <c r="H305" s="88">
        <f>IF('ERROR FINAL'!AT308="CONFORME","CONFORME","NO CONFORME")</f>
        <v/>
      </c>
      <c r="I305" s="89">
        <f>IF(D305=0,"Medición",IF(D305=1,"Daño físico",IF(D305=2,"Fuga",IF(D305=3,"Picado",IF(D305=4,"Desfasado",IF(D305=5,"Paralizado","¿?"))))))</f>
        <v/>
      </c>
    </row>
    <row r="306">
      <c r="A306" s="82">
        <f>'ERROR FINAL'!A309</f>
        <v/>
      </c>
      <c r="B306" s="83">
        <f>'ERROR FINAL'!D309</f>
        <v/>
      </c>
      <c r="C306" s="344">
        <f>'ERROR FINAL'!G309</f>
        <v/>
      </c>
      <c r="D306" s="85">
        <f>'ERROR FINAL'!I309</f>
        <v/>
      </c>
      <c r="E306" s="345">
        <f>'ERROR FINAL'!U309</f>
        <v/>
      </c>
      <c r="F306" s="346">
        <f>'ERROR FINAL'!AG309</f>
        <v/>
      </c>
      <c r="G306" s="346">
        <f>'ERROR FINAL'!AS309</f>
        <v/>
      </c>
      <c r="H306" s="88">
        <f>IF('ERROR FINAL'!AT309="CONFORME","CONFORME","NO CONFORME")</f>
        <v/>
      </c>
      <c r="I306" s="89">
        <f>IF(D306=0,"Medición",IF(D306=1,"Daño físico",IF(D306=2,"Fuga",IF(D306=3,"Picado",IF(D306=4,"Desfasado",IF(D306=5,"Paralizado","¿?"))))))</f>
        <v/>
      </c>
    </row>
    <row r="307">
      <c r="A307" s="82">
        <f>'ERROR FINAL'!A310</f>
        <v/>
      </c>
      <c r="B307" s="83">
        <f>'ERROR FINAL'!D310</f>
        <v/>
      </c>
      <c r="C307" s="344">
        <f>'ERROR FINAL'!G310</f>
        <v/>
      </c>
      <c r="D307" s="85">
        <f>'ERROR FINAL'!I310</f>
        <v/>
      </c>
      <c r="E307" s="345">
        <f>'ERROR FINAL'!U310</f>
        <v/>
      </c>
      <c r="F307" s="346">
        <f>'ERROR FINAL'!AG310</f>
        <v/>
      </c>
      <c r="G307" s="346">
        <f>'ERROR FINAL'!AS310</f>
        <v/>
      </c>
      <c r="H307" s="88">
        <f>IF('ERROR FINAL'!AT310="CONFORME","CONFORME","NO CONFORME")</f>
        <v/>
      </c>
      <c r="I307" s="89">
        <f>IF(D307=0,"Medición",IF(D307=1,"Daño físico",IF(D307=2,"Fuga",IF(D307=3,"Picado",IF(D307=4,"Desfasado",IF(D307=5,"Paralizado","¿?"))))))</f>
        <v/>
      </c>
    </row>
    <row r="308">
      <c r="A308" s="82">
        <f>'ERROR FINAL'!A311</f>
        <v/>
      </c>
      <c r="B308" s="83">
        <f>'ERROR FINAL'!D311</f>
        <v/>
      </c>
      <c r="C308" s="344">
        <f>'ERROR FINAL'!G311</f>
        <v/>
      </c>
      <c r="D308" s="85">
        <f>'ERROR FINAL'!I311</f>
        <v/>
      </c>
      <c r="E308" s="345">
        <f>'ERROR FINAL'!U311</f>
        <v/>
      </c>
      <c r="F308" s="346">
        <f>'ERROR FINAL'!AG311</f>
        <v/>
      </c>
      <c r="G308" s="346">
        <f>'ERROR FINAL'!AS311</f>
        <v/>
      </c>
      <c r="H308" s="88">
        <f>IF('ERROR FINAL'!AT311="CONFORME","CONFORME","NO CONFORME")</f>
        <v/>
      </c>
      <c r="I308" s="89">
        <f>IF(D308=0,"Medición",IF(D308=1,"Daño físico",IF(D308=2,"Fuga",IF(D308=3,"Picado",IF(D308=4,"Desfasado",IF(D308=5,"Paralizado","¿?"))))))</f>
        <v/>
      </c>
    </row>
    <row r="309">
      <c r="A309" s="82">
        <f>'ERROR FINAL'!A312</f>
        <v/>
      </c>
      <c r="B309" s="83">
        <f>'ERROR FINAL'!D312</f>
        <v/>
      </c>
      <c r="C309" s="344">
        <f>'ERROR FINAL'!G312</f>
        <v/>
      </c>
      <c r="D309" s="85">
        <f>'ERROR FINAL'!I312</f>
        <v/>
      </c>
      <c r="E309" s="345">
        <f>'ERROR FINAL'!U312</f>
        <v/>
      </c>
      <c r="F309" s="346">
        <f>'ERROR FINAL'!AG312</f>
        <v/>
      </c>
      <c r="G309" s="346">
        <f>'ERROR FINAL'!AS312</f>
        <v/>
      </c>
      <c r="H309" s="88">
        <f>IF('ERROR FINAL'!AT312="CONFORME","CONFORME","NO CONFORME")</f>
        <v/>
      </c>
      <c r="I309" s="89">
        <f>IF(D309=0,"Medición",IF(D309=1,"Daño físico",IF(D309=2,"Fuga",IF(D309=3,"Picado",IF(D309=4,"Desfasado",IF(D309=5,"Paralizado","¿?"))))))</f>
        <v/>
      </c>
    </row>
    <row r="310">
      <c r="A310" s="82">
        <f>'ERROR FINAL'!A313</f>
        <v/>
      </c>
      <c r="B310" s="83">
        <f>'ERROR FINAL'!D313</f>
        <v/>
      </c>
      <c r="C310" s="344">
        <f>'ERROR FINAL'!G313</f>
        <v/>
      </c>
      <c r="D310" s="85">
        <f>'ERROR FINAL'!I313</f>
        <v/>
      </c>
      <c r="E310" s="345">
        <f>'ERROR FINAL'!U313</f>
        <v/>
      </c>
      <c r="F310" s="346">
        <f>'ERROR FINAL'!AG313</f>
        <v/>
      </c>
      <c r="G310" s="346">
        <f>'ERROR FINAL'!AS313</f>
        <v/>
      </c>
      <c r="H310" s="88">
        <f>IF('ERROR FINAL'!AT313="CONFORME","CONFORME","NO CONFORME")</f>
        <v/>
      </c>
      <c r="I310" s="89">
        <f>IF(D310=0,"Medición",IF(D310=1,"Daño físico",IF(D310=2,"Fuga",IF(D310=3,"Picado",IF(D310=4,"Desfasado",IF(D310=5,"Paralizado","¿?"))))))</f>
        <v/>
      </c>
    </row>
    <row r="311">
      <c r="A311" s="82">
        <f>'ERROR FINAL'!A314</f>
        <v/>
      </c>
      <c r="B311" s="83">
        <f>'ERROR FINAL'!D314</f>
        <v/>
      </c>
      <c r="C311" s="344">
        <f>'ERROR FINAL'!G314</f>
        <v/>
      </c>
      <c r="D311" s="85">
        <f>'ERROR FINAL'!I314</f>
        <v/>
      </c>
      <c r="E311" s="345">
        <f>'ERROR FINAL'!U314</f>
        <v/>
      </c>
      <c r="F311" s="346">
        <f>'ERROR FINAL'!AG314</f>
        <v/>
      </c>
      <c r="G311" s="346">
        <f>'ERROR FINAL'!AS314</f>
        <v/>
      </c>
      <c r="H311" s="88">
        <f>IF('ERROR FINAL'!AT314="CONFORME","CONFORME","NO CONFORME")</f>
        <v/>
      </c>
      <c r="I311" s="89">
        <f>IF(D311=0,"Medición",IF(D311=1,"Daño físico",IF(D311=2,"Fuga",IF(D311=3,"Picado",IF(D311=4,"Desfasado",IF(D311=5,"Paralizado","¿?"))))))</f>
        <v/>
      </c>
    </row>
    <row r="312">
      <c r="A312" s="82">
        <f>'ERROR FINAL'!A315</f>
        <v/>
      </c>
      <c r="B312" s="83">
        <f>'ERROR FINAL'!D315</f>
        <v/>
      </c>
      <c r="C312" s="344">
        <f>'ERROR FINAL'!G315</f>
        <v/>
      </c>
      <c r="D312" s="85">
        <f>'ERROR FINAL'!I315</f>
        <v/>
      </c>
      <c r="E312" s="345">
        <f>'ERROR FINAL'!U315</f>
        <v/>
      </c>
      <c r="F312" s="346">
        <f>'ERROR FINAL'!AG315</f>
        <v/>
      </c>
      <c r="G312" s="346">
        <f>'ERROR FINAL'!AS315</f>
        <v/>
      </c>
      <c r="H312" s="88">
        <f>IF('ERROR FINAL'!AT315="CONFORME","CONFORME","NO CONFORME")</f>
        <v/>
      </c>
      <c r="I312" s="89">
        <f>IF(D312=0,"Medición",IF(D312=1,"Daño físico",IF(D312=2,"Fuga",IF(D312=3,"Picado",IF(D312=4,"Desfasado",IF(D312=5,"Paralizado","¿?"))))))</f>
        <v/>
      </c>
    </row>
    <row r="313">
      <c r="A313" s="82">
        <f>'ERROR FINAL'!A316</f>
        <v/>
      </c>
      <c r="B313" s="83">
        <f>'ERROR FINAL'!D316</f>
        <v/>
      </c>
      <c r="C313" s="344">
        <f>'ERROR FINAL'!G316</f>
        <v/>
      </c>
      <c r="D313" s="85">
        <f>'ERROR FINAL'!I316</f>
        <v/>
      </c>
      <c r="E313" s="345">
        <f>'ERROR FINAL'!U316</f>
        <v/>
      </c>
      <c r="F313" s="346">
        <f>'ERROR FINAL'!AG316</f>
        <v/>
      </c>
      <c r="G313" s="346">
        <f>'ERROR FINAL'!AS316</f>
        <v/>
      </c>
      <c r="H313" s="88">
        <f>IF('ERROR FINAL'!AT316="CONFORME","CONFORME","NO CONFORME")</f>
        <v/>
      </c>
      <c r="I313" s="89">
        <f>IF(D313=0,"Medición",IF(D313=1,"Daño físico",IF(D313=2,"Fuga",IF(D313=3,"Picado",IF(D313=4,"Desfasado",IF(D313=5,"Paralizado","¿?"))))))</f>
        <v/>
      </c>
    </row>
    <row r="314">
      <c r="A314" s="82">
        <f>'ERROR FINAL'!A317</f>
        <v/>
      </c>
      <c r="B314" s="83">
        <f>'ERROR FINAL'!D317</f>
        <v/>
      </c>
      <c r="C314" s="344">
        <f>'ERROR FINAL'!G317</f>
        <v/>
      </c>
      <c r="D314" s="85">
        <f>'ERROR FINAL'!I317</f>
        <v/>
      </c>
      <c r="E314" s="345">
        <f>'ERROR FINAL'!U317</f>
        <v/>
      </c>
      <c r="F314" s="346">
        <f>'ERROR FINAL'!AG317</f>
        <v/>
      </c>
      <c r="G314" s="346">
        <f>'ERROR FINAL'!AS317</f>
        <v/>
      </c>
      <c r="H314" s="88">
        <f>IF('ERROR FINAL'!AT317="CONFORME","CONFORME","NO CONFORME")</f>
        <v/>
      </c>
      <c r="I314" s="89">
        <f>IF(D314=0,"Medición",IF(D314=1,"Daño físico",IF(D314=2,"Fuga",IF(D314=3,"Picado",IF(D314=4,"Desfasado",IF(D314=5,"Paralizado","¿?"))))))</f>
        <v/>
      </c>
    </row>
    <row r="315">
      <c r="A315" s="82">
        <f>'ERROR FINAL'!A318</f>
        <v/>
      </c>
      <c r="B315" s="83">
        <f>'ERROR FINAL'!D318</f>
        <v/>
      </c>
      <c r="C315" s="344">
        <f>'ERROR FINAL'!G318</f>
        <v/>
      </c>
      <c r="D315" s="85">
        <f>'ERROR FINAL'!I318</f>
        <v/>
      </c>
      <c r="E315" s="345">
        <f>'ERROR FINAL'!U318</f>
        <v/>
      </c>
      <c r="F315" s="346">
        <f>'ERROR FINAL'!AG318</f>
        <v/>
      </c>
      <c r="G315" s="346">
        <f>'ERROR FINAL'!AS318</f>
        <v/>
      </c>
      <c r="H315" s="88">
        <f>IF('ERROR FINAL'!AT318="CONFORME","CONFORME","NO CONFORME")</f>
        <v/>
      </c>
      <c r="I315" s="89">
        <f>IF(D315=0,"Medición",IF(D315=1,"Daño físico",IF(D315=2,"Fuga",IF(D315=3,"Picado",IF(D315=4,"Desfasado",IF(D315=5,"Paralizado","¿?"))))))</f>
        <v/>
      </c>
    </row>
    <row r="316">
      <c r="A316" s="82">
        <f>'ERROR FINAL'!A319</f>
        <v/>
      </c>
      <c r="B316" s="83">
        <f>'ERROR FINAL'!D319</f>
        <v/>
      </c>
      <c r="C316" s="344">
        <f>'ERROR FINAL'!G319</f>
        <v/>
      </c>
      <c r="D316" s="85">
        <f>'ERROR FINAL'!I319</f>
        <v/>
      </c>
      <c r="E316" s="345">
        <f>'ERROR FINAL'!U319</f>
        <v/>
      </c>
      <c r="F316" s="346">
        <f>'ERROR FINAL'!AG319</f>
        <v/>
      </c>
      <c r="G316" s="346">
        <f>'ERROR FINAL'!AS319</f>
        <v/>
      </c>
      <c r="H316" s="88">
        <f>IF('ERROR FINAL'!AT319="CONFORME","CONFORME","NO CONFORME")</f>
        <v/>
      </c>
      <c r="I316" s="89">
        <f>IF(D316=0,"Medición",IF(D316=1,"Daño físico",IF(D316=2,"Fuga",IF(D316=3,"Picado",IF(D316=4,"Desfasado",IF(D316=5,"Paralizado","¿?"))))))</f>
        <v/>
      </c>
    </row>
    <row r="317">
      <c r="A317" s="82">
        <f>'ERROR FINAL'!A320</f>
        <v/>
      </c>
      <c r="B317" s="83">
        <f>'ERROR FINAL'!D320</f>
        <v/>
      </c>
      <c r="C317" s="344">
        <f>'ERROR FINAL'!G320</f>
        <v/>
      </c>
      <c r="D317" s="85">
        <f>'ERROR FINAL'!I320</f>
        <v/>
      </c>
      <c r="E317" s="345">
        <f>'ERROR FINAL'!U320</f>
        <v/>
      </c>
      <c r="F317" s="346">
        <f>'ERROR FINAL'!AG320</f>
        <v/>
      </c>
      <c r="G317" s="346">
        <f>'ERROR FINAL'!AS320</f>
        <v/>
      </c>
      <c r="H317" s="88">
        <f>IF('ERROR FINAL'!AT320="CONFORME","CONFORME","NO CONFORME")</f>
        <v/>
      </c>
      <c r="I317" s="89">
        <f>IF(D317=0,"Medición",IF(D317=1,"Daño físico",IF(D317=2,"Fuga",IF(D317=3,"Picado",IF(D317=4,"Desfasado",IF(D317=5,"Paralizado","¿?"))))))</f>
        <v/>
      </c>
    </row>
    <row r="318">
      <c r="A318" s="82">
        <f>'ERROR FINAL'!A321</f>
        <v/>
      </c>
      <c r="B318" s="83">
        <f>'ERROR FINAL'!D321</f>
        <v/>
      </c>
      <c r="C318" s="344">
        <f>'ERROR FINAL'!G321</f>
        <v/>
      </c>
      <c r="D318" s="85">
        <f>'ERROR FINAL'!I321</f>
        <v/>
      </c>
      <c r="E318" s="345">
        <f>'ERROR FINAL'!U321</f>
        <v/>
      </c>
      <c r="F318" s="346">
        <f>'ERROR FINAL'!AG321</f>
        <v/>
      </c>
      <c r="G318" s="346">
        <f>'ERROR FINAL'!AS321</f>
        <v/>
      </c>
      <c r="H318" s="88">
        <f>IF('ERROR FINAL'!AT321="CONFORME","CONFORME","NO CONFORME")</f>
        <v/>
      </c>
      <c r="I318" s="89">
        <f>IF(D318=0,"Medición",IF(D318=1,"Daño físico",IF(D318=2,"Fuga",IF(D318=3,"Picado",IF(D318=4,"Desfasado",IF(D318=5,"Paralizado","¿?"))))))</f>
        <v/>
      </c>
    </row>
    <row r="319">
      <c r="A319" s="82">
        <f>'ERROR FINAL'!A322</f>
        <v/>
      </c>
      <c r="B319" s="83">
        <f>'ERROR FINAL'!D322</f>
        <v/>
      </c>
      <c r="C319" s="344">
        <f>'ERROR FINAL'!G322</f>
        <v/>
      </c>
      <c r="D319" s="85">
        <f>'ERROR FINAL'!I322</f>
        <v/>
      </c>
      <c r="E319" s="345">
        <f>'ERROR FINAL'!U322</f>
        <v/>
      </c>
      <c r="F319" s="346">
        <f>'ERROR FINAL'!AG322</f>
        <v/>
      </c>
      <c r="G319" s="346">
        <f>'ERROR FINAL'!AS322</f>
        <v/>
      </c>
      <c r="H319" s="88">
        <f>IF('ERROR FINAL'!AT322="CONFORME","CONFORME","NO CONFORME")</f>
        <v/>
      </c>
      <c r="I319" s="89">
        <f>IF(D319=0,"Medición",IF(D319=1,"Daño físico",IF(D319=2,"Fuga",IF(D319=3,"Picado",IF(D319=4,"Desfasado",IF(D319=5,"Paralizado","¿?"))))))</f>
        <v/>
      </c>
    </row>
    <row r="320">
      <c r="A320" s="82">
        <f>'ERROR FINAL'!A323</f>
        <v/>
      </c>
      <c r="B320" s="83">
        <f>'ERROR FINAL'!D323</f>
        <v/>
      </c>
      <c r="C320" s="344">
        <f>'ERROR FINAL'!G323</f>
        <v/>
      </c>
      <c r="D320" s="85">
        <f>'ERROR FINAL'!I323</f>
        <v/>
      </c>
      <c r="E320" s="345">
        <f>'ERROR FINAL'!U323</f>
        <v/>
      </c>
      <c r="F320" s="346">
        <f>'ERROR FINAL'!AG323</f>
        <v/>
      </c>
      <c r="G320" s="346">
        <f>'ERROR FINAL'!AS323</f>
        <v/>
      </c>
      <c r="H320" s="88">
        <f>IF('ERROR FINAL'!AT323="CONFORME","CONFORME","NO CONFORME")</f>
        <v/>
      </c>
      <c r="I320" s="89">
        <f>IF(D320=0,"Medición",IF(D320=1,"Daño físico",IF(D320=2,"Fuga",IF(D320=3,"Picado",IF(D320=4,"Desfasado",IF(D320=5,"Paralizado","¿?"))))))</f>
        <v/>
      </c>
    </row>
    <row r="321">
      <c r="A321" s="82">
        <f>'ERROR FINAL'!A324</f>
        <v/>
      </c>
      <c r="B321" s="83">
        <f>'ERROR FINAL'!D324</f>
        <v/>
      </c>
      <c r="C321" s="344">
        <f>'ERROR FINAL'!G324</f>
        <v/>
      </c>
      <c r="D321" s="85">
        <f>'ERROR FINAL'!I324</f>
        <v/>
      </c>
      <c r="E321" s="345">
        <f>'ERROR FINAL'!U324</f>
        <v/>
      </c>
      <c r="F321" s="346">
        <f>'ERROR FINAL'!AG324</f>
        <v/>
      </c>
      <c r="G321" s="346">
        <f>'ERROR FINAL'!AS324</f>
        <v/>
      </c>
      <c r="H321" s="88">
        <f>IF('ERROR FINAL'!AT324="CONFORME","CONFORME","NO CONFORME")</f>
        <v/>
      </c>
      <c r="I321" s="89">
        <f>IF(D321=0,"Medición",IF(D321=1,"Daño físico",IF(D321=2,"Fuga",IF(D321=3,"Picado",IF(D321=4,"Desfasado",IF(D321=5,"Paralizado","¿?"))))))</f>
        <v/>
      </c>
    </row>
    <row r="322">
      <c r="A322" s="82">
        <f>'ERROR FINAL'!A325</f>
        <v/>
      </c>
      <c r="B322" s="83">
        <f>'ERROR FINAL'!D325</f>
        <v/>
      </c>
      <c r="C322" s="344">
        <f>'ERROR FINAL'!G325</f>
        <v/>
      </c>
      <c r="D322" s="85">
        <f>'ERROR FINAL'!I325</f>
        <v/>
      </c>
      <c r="E322" s="345">
        <f>'ERROR FINAL'!U325</f>
        <v/>
      </c>
      <c r="F322" s="346">
        <f>'ERROR FINAL'!AG325</f>
        <v/>
      </c>
      <c r="G322" s="346">
        <f>'ERROR FINAL'!AS325</f>
        <v/>
      </c>
      <c r="H322" s="88">
        <f>IF('ERROR FINAL'!AT325="CONFORME","CONFORME","NO CONFORME")</f>
        <v/>
      </c>
      <c r="I322" s="89">
        <f>IF(D322=0,"Medición",IF(D322=1,"Daño físico",IF(D322=2,"Fuga",IF(D322=3,"Picado",IF(D322=4,"Desfasado",IF(D322=5,"Paralizado","¿?"))))))</f>
        <v/>
      </c>
    </row>
    <row r="323">
      <c r="A323" s="82">
        <f>'ERROR FINAL'!A326</f>
        <v/>
      </c>
      <c r="B323" s="83">
        <f>'ERROR FINAL'!D326</f>
        <v/>
      </c>
      <c r="C323" s="344">
        <f>'ERROR FINAL'!G326</f>
        <v/>
      </c>
      <c r="D323" s="85">
        <f>'ERROR FINAL'!I326</f>
        <v/>
      </c>
      <c r="E323" s="345">
        <f>'ERROR FINAL'!U326</f>
        <v/>
      </c>
      <c r="F323" s="346">
        <f>'ERROR FINAL'!AG326</f>
        <v/>
      </c>
      <c r="G323" s="346">
        <f>'ERROR FINAL'!AS326</f>
        <v/>
      </c>
      <c r="H323" s="88">
        <f>IF('ERROR FINAL'!AT326="CONFORME","CONFORME","NO CONFORME")</f>
        <v/>
      </c>
      <c r="I323" s="89">
        <f>IF(D323=0,"Medición",IF(D323=1,"Daño físico",IF(D323=2,"Fuga",IF(D323=3,"Picado",IF(D323=4,"Desfasado",IF(D323=5,"Paralizado","¿?"))))))</f>
        <v/>
      </c>
    </row>
    <row r="324">
      <c r="A324" s="82">
        <f>'ERROR FINAL'!A327</f>
        <v/>
      </c>
      <c r="B324" s="83">
        <f>'ERROR FINAL'!D327</f>
        <v/>
      </c>
      <c r="C324" s="344">
        <f>'ERROR FINAL'!G327</f>
        <v/>
      </c>
      <c r="D324" s="85">
        <f>'ERROR FINAL'!I327</f>
        <v/>
      </c>
      <c r="E324" s="345">
        <f>'ERROR FINAL'!U327</f>
        <v/>
      </c>
      <c r="F324" s="346">
        <f>'ERROR FINAL'!AG327</f>
        <v/>
      </c>
      <c r="G324" s="346">
        <f>'ERROR FINAL'!AS327</f>
        <v/>
      </c>
      <c r="H324" s="88">
        <f>IF('ERROR FINAL'!AT327="CONFORME","CONFORME","NO CONFORME")</f>
        <v/>
      </c>
      <c r="I324" s="89">
        <f>IF(D324=0,"Medición",IF(D324=1,"Daño físico",IF(D324=2,"Fuga",IF(D324=3,"Picado",IF(D324=4,"Desfasado",IF(D324=5,"Paralizado","¿?"))))))</f>
        <v/>
      </c>
    </row>
    <row r="325">
      <c r="A325" s="82">
        <f>'ERROR FINAL'!A328</f>
        <v/>
      </c>
      <c r="B325" s="83">
        <f>'ERROR FINAL'!D328</f>
        <v/>
      </c>
      <c r="C325" s="344">
        <f>'ERROR FINAL'!G328</f>
        <v/>
      </c>
      <c r="D325" s="85">
        <f>'ERROR FINAL'!I328</f>
        <v/>
      </c>
      <c r="E325" s="345">
        <f>'ERROR FINAL'!U328</f>
        <v/>
      </c>
      <c r="F325" s="346">
        <f>'ERROR FINAL'!AG328</f>
        <v/>
      </c>
      <c r="G325" s="346">
        <f>'ERROR FINAL'!AS328</f>
        <v/>
      </c>
      <c r="H325" s="88">
        <f>IF('ERROR FINAL'!AT328="CONFORME","CONFORME","NO CONFORME")</f>
        <v/>
      </c>
      <c r="I325" s="89">
        <f>IF(D325=0,"Medición",IF(D325=1,"Daño físico",IF(D325=2,"Fuga",IF(D325=3,"Picado",IF(D325=4,"Desfasado",IF(D325=5,"Paralizado","¿?"))))))</f>
        <v/>
      </c>
    </row>
    <row r="326">
      <c r="A326" s="82">
        <f>'ERROR FINAL'!A329</f>
        <v/>
      </c>
      <c r="B326" s="83">
        <f>'ERROR FINAL'!D329</f>
        <v/>
      </c>
      <c r="C326" s="344">
        <f>'ERROR FINAL'!G329</f>
        <v/>
      </c>
      <c r="D326" s="85">
        <f>'ERROR FINAL'!I329</f>
        <v/>
      </c>
      <c r="E326" s="345">
        <f>'ERROR FINAL'!U329</f>
        <v/>
      </c>
      <c r="F326" s="346">
        <f>'ERROR FINAL'!AG329</f>
        <v/>
      </c>
      <c r="G326" s="346">
        <f>'ERROR FINAL'!AS329</f>
        <v/>
      </c>
      <c r="H326" s="88">
        <f>IF('ERROR FINAL'!AT329="CONFORME","CONFORME","NO CONFORME")</f>
        <v/>
      </c>
      <c r="I326" s="89">
        <f>IF(D326=0,"Medición",IF(D326=1,"Daño físico",IF(D326=2,"Fuga",IF(D326=3,"Picado",IF(D326=4,"Desfasado",IF(D326=5,"Paralizado","¿?"))))))</f>
        <v/>
      </c>
    </row>
    <row r="327">
      <c r="A327" s="82">
        <f>'ERROR FINAL'!A330</f>
        <v/>
      </c>
      <c r="B327" s="83">
        <f>'ERROR FINAL'!D330</f>
        <v/>
      </c>
      <c r="C327" s="344">
        <f>'ERROR FINAL'!G330</f>
        <v/>
      </c>
      <c r="D327" s="85">
        <f>'ERROR FINAL'!I330</f>
        <v/>
      </c>
      <c r="E327" s="345">
        <f>'ERROR FINAL'!U330</f>
        <v/>
      </c>
      <c r="F327" s="346">
        <f>'ERROR FINAL'!AG330</f>
        <v/>
      </c>
      <c r="G327" s="346">
        <f>'ERROR FINAL'!AS330</f>
        <v/>
      </c>
      <c r="H327" s="88">
        <f>IF('ERROR FINAL'!AT330="CONFORME","CONFORME","NO CONFORME")</f>
        <v/>
      </c>
      <c r="I327" s="89">
        <f>IF(D327=0,"Medición",IF(D327=1,"Daño físico",IF(D327=2,"Fuga",IF(D327=3,"Picado",IF(D327=4,"Desfasado",IF(D327=5,"Paralizado","¿?"))))))</f>
        <v/>
      </c>
    </row>
    <row r="328">
      <c r="A328" s="82">
        <f>'ERROR FINAL'!A331</f>
        <v/>
      </c>
      <c r="B328" s="83">
        <f>'ERROR FINAL'!D331</f>
        <v/>
      </c>
      <c r="C328" s="344">
        <f>'ERROR FINAL'!G331</f>
        <v/>
      </c>
      <c r="D328" s="85">
        <f>'ERROR FINAL'!I331</f>
        <v/>
      </c>
      <c r="E328" s="345">
        <f>'ERROR FINAL'!U331</f>
        <v/>
      </c>
      <c r="F328" s="346">
        <f>'ERROR FINAL'!AG331</f>
        <v/>
      </c>
      <c r="G328" s="346">
        <f>'ERROR FINAL'!AS331</f>
        <v/>
      </c>
      <c r="H328" s="88">
        <f>IF('ERROR FINAL'!AT331="CONFORME","CONFORME","NO CONFORME")</f>
        <v/>
      </c>
      <c r="I328" s="89">
        <f>IF(D328=0,"Medición",IF(D328=1,"Daño físico",IF(D328=2,"Fuga",IF(D328=3,"Picado",IF(D328=4,"Desfasado",IF(D328=5,"Paralizado","¿?"))))))</f>
        <v/>
      </c>
    </row>
    <row r="329">
      <c r="A329" s="82">
        <f>'ERROR FINAL'!A332</f>
        <v/>
      </c>
      <c r="B329" s="83">
        <f>'ERROR FINAL'!D332</f>
        <v/>
      </c>
      <c r="C329" s="344">
        <f>'ERROR FINAL'!G332</f>
        <v/>
      </c>
      <c r="D329" s="85">
        <f>'ERROR FINAL'!I332</f>
        <v/>
      </c>
      <c r="E329" s="345">
        <f>'ERROR FINAL'!U332</f>
        <v/>
      </c>
      <c r="F329" s="346">
        <f>'ERROR FINAL'!AG332</f>
        <v/>
      </c>
      <c r="G329" s="346">
        <f>'ERROR FINAL'!AS332</f>
        <v/>
      </c>
      <c r="H329" s="88">
        <f>IF('ERROR FINAL'!AT332="CONFORME","CONFORME","NO CONFORME")</f>
        <v/>
      </c>
      <c r="I329" s="89">
        <f>IF(D329=0,"Medición",IF(D329=1,"Daño físico",IF(D329=2,"Fuga",IF(D329=3,"Picado",IF(D329=4,"Desfasado",IF(D329=5,"Paralizado","¿?"))))))</f>
        <v/>
      </c>
    </row>
    <row r="330">
      <c r="A330" s="82">
        <f>'ERROR FINAL'!A333</f>
        <v/>
      </c>
      <c r="B330" s="83">
        <f>'ERROR FINAL'!D333</f>
        <v/>
      </c>
      <c r="C330" s="344">
        <f>'ERROR FINAL'!G333</f>
        <v/>
      </c>
      <c r="D330" s="85">
        <f>'ERROR FINAL'!I333</f>
        <v/>
      </c>
      <c r="E330" s="345">
        <f>'ERROR FINAL'!U333</f>
        <v/>
      </c>
      <c r="F330" s="346">
        <f>'ERROR FINAL'!AG333</f>
        <v/>
      </c>
      <c r="G330" s="346">
        <f>'ERROR FINAL'!AS333</f>
        <v/>
      </c>
      <c r="H330" s="88">
        <f>IF('ERROR FINAL'!AT333="CONFORME","CONFORME","NO CONFORME")</f>
        <v/>
      </c>
      <c r="I330" s="89">
        <f>IF(D330=0,"Medición",IF(D330=1,"Daño físico",IF(D330=2,"Fuga",IF(D330=3,"Picado",IF(D330=4,"Desfasado",IF(D330=5,"Paralizado","¿?"))))))</f>
        <v/>
      </c>
    </row>
    <row r="331">
      <c r="A331" s="82">
        <f>'ERROR FINAL'!A334</f>
        <v/>
      </c>
      <c r="B331" s="83">
        <f>'ERROR FINAL'!D334</f>
        <v/>
      </c>
      <c r="C331" s="344">
        <f>'ERROR FINAL'!G334</f>
        <v/>
      </c>
      <c r="D331" s="85">
        <f>'ERROR FINAL'!I334</f>
        <v/>
      </c>
      <c r="E331" s="345">
        <f>'ERROR FINAL'!U334</f>
        <v/>
      </c>
      <c r="F331" s="346">
        <f>'ERROR FINAL'!AG334</f>
        <v/>
      </c>
      <c r="G331" s="346">
        <f>'ERROR FINAL'!AS334</f>
        <v/>
      </c>
      <c r="H331" s="88">
        <f>IF('ERROR FINAL'!AT334="CONFORME","CONFORME","NO CONFORME")</f>
        <v/>
      </c>
      <c r="I331" s="89">
        <f>IF(D331=0,"Medición",IF(D331=1,"Daño físico",IF(D331=2,"Fuga",IF(D331=3,"Picado",IF(D331=4,"Desfasado",IF(D331=5,"Paralizado","¿?"))))))</f>
        <v/>
      </c>
    </row>
    <row r="332">
      <c r="A332" s="82">
        <f>'ERROR FINAL'!A335</f>
        <v/>
      </c>
      <c r="B332" s="83">
        <f>'ERROR FINAL'!D335</f>
        <v/>
      </c>
      <c r="C332" s="344">
        <f>'ERROR FINAL'!G335</f>
        <v/>
      </c>
      <c r="D332" s="85">
        <f>'ERROR FINAL'!I335</f>
        <v/>
      </c>
      <c r="E332" s="345">
        <f>'ERROR FINAL'!U335</f>
        <v/>
      </c>
      <c r="F332" s="346">
        <f>'ERROR FINAL'!AG335</f>
        <v/>
      </c>
      <c r="G332" s="346">
        <f>'ERROR FINAL'!AS335</f>
        <v/>
      </c>
      <c r="H332" s="88">
        <f>IF('ERROR FINAL'!AT335="CONFORME","CONFORME","NO CONFORME")</f>
        <v/>
      </c>
      <c r="I332" s="89">
        <f>IF(D332=0,"Medición",IF(D332=1,"Daño físico",IF(D332=2,"Fuga",IF(D332=3,"Picado",IF(D332=4,"Desfasado",IF(D332=5,"Paralizado","¿?"))))))</f>
        <v/>
      </c>
    </row>
    <row r="333">
      <c r="A333" s="82">
        <f>'ERROR FINAL'!A336</f>
        <v/>
      </c>
      <c r="B333" s="83">
        <f>'ERROR FINAL'!D336</f>
        <v/>
      </c>
      <c r="C333" s="344">
        <f>'ERROR FINAL'!G336</f>
        <v/>
      </c>
      <c r="D333" s="85">
        <f>'ERROR FINAL'!I336</f>
        <v/>
      </c>
      <c r="E333" s="345">
        <f>'ERROR FINAL'!U336</f>
        <v/>
      </c>
      <c r="F333" s="346">
        <f>'ERROR FINAL'!AG336</f>
        <v/>
      </c>
      <c r="G333" s="346">
        <f>'ERROR FINAL'!AS336</f>
        <v/>
      </c>
      <c r="H333" s="88">
        <f>IF('ERROR FINAL'!AT336="CONFORME","CONFORME","NO CONFORME")</f>
        <v/>
      </c>
      <c r="I333" s="89">
        <f>IF(D333=0,"Medición",IF(D333=1,"Daño físico",IF(D333=2,"Fuga",IF(D333=3,"Picado",IF(D333=4,"Desfasado",IF(D333=5,"Paralizado","¿?"))))))</f>
        <v/>
      </c>
    </row>
    <row r="334">
      <c r="A334" s="82">
        <f>'ERROR FINAL'!A337</f>
        <v/>
      </c>
      <c r="B334" s="83">
        <f>'ERROR FINAL'!D337</f>
        <v/>
      </c>
      <c r="C334" s="344">
        <f>'ERROR FINAL'!G337</f>
        <v/>
      </c>
      <c r="D334" s="85">
        <f>'ERROR FINAL'!I337</f>
        <v/>
      </c>
      <c r="E334" s="345">
        <f>'ERROR FINAL'!U337</f>
        <v/>
      </c>
      <c r="F334" s="346">
        <f>'ERROR FINAL'!AG337</f>
        <v/>
      </c>
      <c r="G334" s="346">
        <f>'ERROR FINAL'!AS337</f>
        <v/>
      </c>
      <c r="H334" s="88">
        <f>IF('ERROR FINAL'!AT337="CONFORME","CONFORME","NO CONFORME")</f>
        <v/>
      </c>
      <c r="I334" s="89">
        <f>IF(D334=0,"Medición",IF(D334=1,"Daño físico",IF(D334=2,"Fuga",IF(D334=3,"Picado",IF(D334=4,"Desfasado",IF(D334=5,"Paralizado","¿?"))))))</f>
        <v/>
      </c>
    </row>
    <row r="335">
      <c r="A335" s="82">
        <f>'ERROR FINAL'!A338</f>
        <v/>
      </c>
      <c r="B335" s="83">
        <f>'ERROR FINAL'!D338</f>
        <v/>
      </c>
      <c r="C335" s="344">
        <f>'ERROR FINAL'!G338</f>
        <v/>
      </c>
      <c r="D335" s="85">
        <f>'ERROR FINAL'!I338</f>
        <v/>
      </c>
      <c r="E335" s="345">
        <f>'ERROR FINAL'!U338</f>
        <v/>
      </c>
      <c r="F335" s="346">
        <f>'ERROR FINAL'!AG338</f>
        <v/>
      </c>
      <c r="G335" s="346">
        <f>'ERROR FINAL'!AS338</f>
        <v/>
      </c>
      <c r="H335" s="88">
        <f>IF('ERROR FINAL'!AT338="CONFORME","CONFORME","NO CONFORME")</f>
        <v/>
      </c>
      <c r="I335" s="89">
        <f>IF(D335=0,"Medición",IF(D335=1,"Daño físico",IF(D335=2,"Fuga",IF(D335=3,"Picado",IF(D335=4,"Desfasado",IF(D335=5,"Paralizado","¿?"))))))</f>
        <v/>
      </c>
    </row>
    <row r="336">
      <c r="A336" s="82">
        <f>'ERROR FINAL'!A339</f>
        <v/>
      </c>
      <c r="B336" s="83">
        <f>'ERROR FINAL'!D339</f>
        <v/>
      </c>
      <c r="C336" s="344">
        <f>'ERROR FINAL'!G339</f>
        <v/>
      </c>
      <c r="D336" s="85">
        <f>'ERROR FINAL'!I339</f>
        <v/>
      </c>
      <c r="E336" s="345">
        <f>'ERROR FINAL'!U339</f>
        <v/>
      </c>
      <c r="F336" s="346">
        <f>'ERROR FINAL'!AG339</f>
        <v/>
      </c>
      <c r="G336" s="346">
        <f>'ERROR FINAL'!AS339</f>
        <v/>
      </c>
      <c r="H336" s="88">
        <f>IF('ERROR FINAL'!AT339="CONFORME","CONFORME","NO CONFORME")</f>
        <v/>
      </c>
      <c r="I336" s="89">
        <f>IF(D336=0,"Medición",IF(D336=1,"Daño físico",IF(D336=2,"Fuga",IF(D336=3,"Picado",IF(D336=4,"Desfasado",IF(D336=5,"Paralizado","¿?"))))))</f>
        <v/>
      </c>
    </row>
    <row r="337">
      <c r="A337" s="82">
        <f>'ERROR FINAL'!A340</f>
        <v/>
      </c>
      <c r="B337" s="83">
        <f>'ERROR FINAL'!D340</f>
        <v/>
      </c>
      <c r="C337" s="344">
        <f>'ERROR FINAL'!G340</f>
        <v/>
      </c>
      <c r="D337" s="85">
        <f>'ERROR FINAL'!I340</f>
        <v/>
      </c>
      <c r="E337" s="345">
        <f>'ERROR FINAL'!U340</f>
        <v/>
      </c>
      <c r="F337" s="346">
        <f>'ERROR FINAL'!AG340</f>
        <v/>
      </c>
      <c r="G337" s="346">
        <f>'ERROR FINAL'!AS340</f>
        <v/>
      </c>
      <c r="H337" s="88">
        <f>IF('ERROR FINAL'!AT340="CONFORME","CONFORME","NO CONFORME")</f>
        <v/>
      </c>
      <c r="I337" s="89">
        <f>IF(D337=0,"Medición",IF(D337=1,"Daño físico",IF(D337=2,"Fuga",IF(D337=3,"Picado",IF(D337=4,"Desfasado",IF(D337=5,"Paralizado","¿?"))))))</f>
        <v/>
      </c>
    </row>
    <row r="338">
      <c r="A338" s="82">
        <f>'ERROR FINAL'!A341</f>
        <v/>
      </c>
      <c r="B338" s="83">
        <f>'ERROR FINAL'!D341</f>
        <v/>
      </c>
      <c r="C338" s="344">
        <f>'ERROR FINAL'!G341</f>
        <v/>
      </c>
      <c r="D338" s="85">
        <f>'ERROR FINAL'!I341</f>
        <v/>
      </c>
      <c r="E338" s="345">
        <f>'ERROR FINAL'!U341</f>
        <v/>
      </c>
      <c r="F338" s="346">
        <f>'ERROR FINAL'!AG341</f>
        <v/>
      </c>
      <c r="G338" s="346">
        <f>'ERROR FINAL'!AS341</f>
        <v/>
      </c>
      <c r="H338" s="88">
        <f>IF('ERROR FINAL'!AT341="CONFORME","CONFORME","NO CONFORME")</f>
        <v/>
      </c>
      <c r="I338" s="89">
        <f>IF(D338=0,"Medición",IF(D338=1,"Daño físico",IF(D338=2,"Fuga",IF(D338=3,"Picado",IF(D338=4,"Desfasado",IF(D338=5,"Paralizado","¿?"))))))</f>
        <v/>
      </c>
    </row>
    <row r="339">
      <c r="A339" s="82">
        <f>'ERROR FINAL'!A342</f>
        <v/>
      </c>
      <c r="B339" s="83">
        <f>'ERROR FINAL'!D342</f>
        <v/>
      </c>
      <c r="C339" s="344">
        <f>'ERROR FINAL'!G342</f>
        <v/>
      </c>
      <c r="D339" s="85">
        <f>'ERROR FINAL'!I342</f>
        <v/>
      </c>
      <c r="E339" s="345">
        <f>'ERROR FINAL'!U342</f>
        <v/>
      </c>
      <c r="F339" s="346">
        <f>'ERROR FINAL'!AG342</f>
        <v/>
      </c>
      <c r="G339" s="346">
        <f>'ERROR FINAL'!AS342</f>
        <v/>
      </c>
      <c r="H339" s="88">
        <f>IF('ERROR FINAL'!AT342="CONFORME","CONFORME","NO CONFORME")</f>
        <v/>
      </c>
      <c r="I339" s="89">
        <f>IF(D339=0,"Medición",IF(D339=1,"Daño físico",IF(D339=2,"Fuga",IF(D339=3,"Picado",IF(D339=4,"Desfasado",IF(D339=5,"Paralizado","¿?"))))))</f>
        <v/>
      </c>
    </row>
    <row r="340">
      <c r="A340" s="82">
        <f>'ERROR FINAL'!A343</f>
        <v/>
      </c>
      <c r="B340" s="83">
        <f>'ERROR FINAL'!D343</f>
        <v/>
      </c>
      <c r="C340" s="344">
        <f>'ERROR FINAL'!G343</f>
        <v/>
      </c>
      <c r="D340" s="85">
        <f>'ERROR FINAL'!I343</f>
        <v/>
      </c>
      <c r="E340" s="345">
        <f>'ERROR FINAL'!U343</f>
        <v/>
      </c>
      <c r="F340" s="346">
        <f>'ERROR FINAL'!AG343</f>
        <v/>
      </c>
      <c r="G340" s="346">
        <f>'ERROR FINAL'!AS343</f>
        <v/>
      </c>
      <c r="H340" s="88">
        <f>IF('ERROR FINAL'!AT343="CONFORME","CONFORME","NO CONFORME")</f>
        <v/>
      </c>
      <c r="I340" s="89">
        <f>IF(D340=0,"Medición",IF(D340=1,"Daño físico",IF(D340=2,"Fuga",IF(D340=3,"Picado",IF(D340=4,"Desfasado",IF(D340=5,"Paralizado","¿?"))))))</f>
        <v/>
      </c>
    </row>
    <row r="341">
      <c r="A341" s="82">
        <f>'ERROR FINAL'!A344</f>
        <v/>
      </c>
      <c r="B341" s="83">
        <f>'ERROR FINAL'!D344</f>
        <v/>
      </c>
      <c r="C341" s="344">
        <f>'ERROR FINAL'!G344</f>
        <v/>
      </c>
      <c r="D341" s="85">
        <f>'ERROR FINAL'!I344</f>
        <v/>
      </c>
      <c r="E341" s="345">
        <f>'ERROR FINAL'!U344</f>
        <v/>
      </c>
      <c r="F341" s="346">
        <f>'ERROR FINAL'!AG344</f>
        <v/>
      </c>
      <c r="G341" s="346">
        <f>'ERROR FINAL'!AS344</f>
        <v/>
      </c>
      <c r="H341" s="88">
        <f>IF('ERROR FINAL'!AT344="CONFORME","CONFORME","NO CONFORME")</f>
        <v/>
      </c>
      <c r="I341" s="89">
        <f>IF(D341=0,"Medición",IF(D341=1,"Daño físico",IF(D341=2,"Fuga",IF(D341=3,"Picado",IF(D341=4,"Desfasado",IF(D341=5,"Paralizado","¿?"))))))</f>
        <v/>
      </c>
    </row>
    <row r="342">
      <c r="A342" s="82">
        <f>'ERROR FINAL'!A345</f>
        <v/>
      </c>
      <c r="B342" s="83">
        <f>'ERROR FINAL'!D345</f>
        <v/>
      </c>
      <c r="C342" s="344">
        <f>'ERROR FINAL'!G345</f>
        <v/>
      </c>
      <c r="D342" s="85">
        <f>'ERROR FINAL'!I345</f>
        <v/>
      </c>
      <c r="E342" s="345">
        <f>'ERROR FINAL'!U345</f>
        <v/>
      </c>
      <c r="F342" s="346">
        <f>'ERROR FINAL'!AG345</f>
        <v/>
      </c>
      <c r="G342" s="346">
        <f>'ERROR FINAL'!AS345</f>
        <v/>
      </c>
      <c r="H342" s="88">
        <f>IF('ERROR FINAL'!AT345="CONFORME","CONFORME","NO CONFORME")</f>
        <v/>
      </c>
      <c r="I342" s="89">
        <f>IF(D342=0,"Medición",IF(D342=1,"Daño físico",IF(D342=2,"Fuga",IF(D342=3,"Picado",IF(D342=4,"Desfasado",IF(D342=5,"Paralizado","¿?"))))))</f>
        <v/>
      </c>
    </row>
    <row r="343">
      <c r="A343" s="82">
        <f>'ERROR FINAL'!A346</f>
        <v/>
      </c>
      <c r="B343" s="83">
        <f>'ERROR FINAL'!D346</f>
        <v/>
      </c>
      <c r="C343" s="344">
        <f>'ERROR FINAL'!G346</f>
        <v/>
      </c>
      <c r="D343" s="85">
        <f>'ERROR FINAL'!I346</f>
        <v/>
      </c>
      <c r="E343" s="345">
        <f>'ERROR FINAL'!U346</f>
        <v/>
      </c>
      <c r="F343" s="346">
        <f>'ERROR FINAL'!AG346</f>
        <v/>
      </c>
      <c r="G343" s="346">
        <f>'ERROR FINAL'!AS346</f>
        <v/>
      </c>
      <c r="H343" s="88">
        <f>IF('ERROR FINAL'!AT346="CONFORME","CONFORME","NO CONFORME")</f>
        <v/>
      </c>
      <c r="I343" s="89">
        <f>IF(D343=0,"Medición",IF(D343=1,"Daño físico",IF(D343=2,"Fuga",IF(D343=3,"Picado",IF(D343=4,"Desfasado",IF(D343=5,"Paralizado","¿?"))))))</f>
        <v/>
      </c>
    </row>
    <row r="344">
      <c r="A344" s="82">
        <f>'ERROR FINAL'!A347</f>
        <v/>
      </c>
      <c r="B344" s="83">
        <f>'ERROR FINAL'!D347</f>
        <v/>
      </c>
      <c r="C344" s="344">
        <f>'ERROR FINAL'!G347</f>
        <v/>
      </c>
      <c r="D344" s="85">
        <f>'ERROR FINAL'!I347</f>
        <v/>
      </c>
      <c r="E344" s="345">
        <f>'ERROR FINAL'!U347</f>
        <v/>
      </c>
      <c r="F344" s="346">
        <f>'ERROR FINAL'!AG347</f>
        <v/>
      </c>
      <c r="G344" s="346">
        <f>'ERROR FINAL'!AS347</f>
        <v/>
      </c>
      <c r="H344" s="88">
        <f>IF('ERROR FINAL'!AT347="CONFORME","CONFORME","NO CONFORME")</f>
        <v/>
      </c>
      <c r="I344" s="89">
        <f>IF(D344=0,"Medición",IF(D344=1,"Daño físico",IF(D344=2,"Fuga",IF(D344=3,"Picado",IF(D344=4,"Desfasado",IF(D344=5,"Paralizado","¿?"))))))</f>
        <v/>
      </c>
    </row>
    <row r="345">
      <c r="A345" s="82">
        <f>'ERROR FINAL'!A348</f>
        <v/>
      </c>
      <c r="B345" s="83">
        <f>'ERROR FINAL'!D348</f>
        <v/>
      </c>
      <c r="C345" s="344">
        <f>'ERROR FINAL'!G348</f>
        <v/>
      </c>
      <c r="D345" s="85">
        <f>'ERROR FINAL'!I348</f>
        <v/>
      </c>
      <c r="E345" s="345">
        <f>'ERROR FINAL'!U348</f>
        <v/>
      </c>
      <c r="F345" s="346">
        <f>'ERROR FINAL'!AG348</f>
        <v/>
      </c>
      <c r="G345" s="346">
        <f>'ERROR FINAL'!AS348</f>
        <v/>
      </c>
      <c r="H345" s="88">
        <f>IF('ERROR FINAL'!AT348="CONFORME","CONFORME","NO CONFORME")</f>
        <v/>
      </c>
      <c r="I345" s="89">
        <f>IF(D345=0,"Medición",IF(D345=1,"Daño físico",IF(D345=2,"Fuga",IF(D345=3,"Picado",IF(D345=4,"Desfasado",IF(D345=5,"Paralizado","¿?"))))))</f>
        <v/>
      </c>
    </row>
    <row r="346">
      <c r="A346" s="82">
        <f>'ERROR FINAL'!A349</f>
        <v/>
      </c>
      <c r="B346" s="83">
        <f>'ERROR FINAL'!D349</f>
        <v/>
      </c>
      <c r="C346" s="344">
        <f>'ERROR FINAL'!G349</f>
        <v/>
      </c>
      <c r="D346" s="85">
        <f>'ERROR FINAL'!I349</f>
        <v/>
      </c>
      <c r="E346" s="345">
        <f>'ERROR FINAL'!U349</f>
        <v/>
      </c>
      <c r="F346" s="346">
        <f>'ERROR FINAL'!AG349</f>
        <v/>
      </c>
      <c r="G346" s="346">
        <f>'ERROR FINAL'!AS349</f>
        <v/>
      </c>
      <c r="H346" s="88">
        <f>IF('ERROR FINAL'!AT349="CONFORME","CONFORME","NO CONFORME")</f>
        <v/>
      </c>
      <c r="I346" s="89">
        <f>IF(D346=0,"Medición",IF(D346=1,"Daño físico",IF(D346=2,"Fuga",IF(D346=3,"Picado",IF(D346=4,"Desfasado",IF(D346=5,"Paralizado","¿?"))))))</f>
        <v/>
      </c>
    </row>
    <row r="347">
      <c r="A347" s="82">
        <f>'ERROR FINAL'!A350</f>
        <v/>
      </c>
      <c r="B347" s="83">
        <f>'ERROR FINAL'!D350</f>
        <v/>
      </c>
      <c r="C347" s="344">
        <f>'ERROR FINAL'!G350</f>
        <v/>
      </c>
      <c r="D347" s="85">
        <f>'ERROR FINAL'!I350</f>
        <v/>
      </c>
      <c r="E347" s="345">
        <f>'ERROR FINAL'!U350</f>
        <v/>
      </c>
      <c r="F347" s="346">
        <f>'ERROR FINAL'!AG350</f>
        <v/>
      </c>
      <c r="G347" s="346">
        <f>'ERROR FINAL'!AS350</f>
        <v/>
      </c>
      <c r="H347" s="88">
        <f>IF('ERROR FINAL'!AT350="CONFORME","CONFORME","NO CONFORME")</f>
        <v/>
      </c>
      <c r="I347" s="89">
        <f>IF(D347=0,"Medición",IF(D347=1,"Daño físico",IF(D347=2,"Fuga",IF(D347=3,"Picado",IF(D347=4,"Desfasado",IF(D347=5,"Paralizado","¿?"))))))</f>
        <v/>
      </c>
    </row>
    <row r="348">
      <c r="A348" s="82">
        <f>'ERROR FINAL'!A351</f>
        <v/>
      </c>
      <c r="B348" s="83">
        <f>'ERROR FINAL'!D351</f>
        <v/>
      </c>
      <c r="C348" s="344">
        <f>'ERROR FINAL'!G351</f>
        <v/>
      </c>
      <c r="D348" s="85">
        <f>'ERROR FINAL'!I351</f>
        <v/>
      </c>
      <c r="E348" s="345">
        <f>'ERROR FINAL'!U351</f>
        <v/>
      </c>
      <c r="F348" s="346">
        <f>'ERROR FINAL'!AG351</f>
        <v/>
      </c>
      <c r="G348" s="346">
        <f>'ERROR FINAL'!AS351</f>
        <v/>
      </c>
      <c r="H348" s="88">
        <f>IF('ERROR FINAL'!AT351="CONFORME","CONFORME","NO CONFORME")</f>
        <v/>
      </c>
      <c r="I348" s="89">
        <f>IF(D348=0,"Medición",IF(D348=1,"Daño físico",IF(D348=2,"Fuga",IF(D348=3,"Picado",IF(D348=4,"Desfasado",IF(D348=5,"Paralizado","¿?"))))))</f>
        <v/>
      </c>
    </row>
    <row r="349">
      <c r="A349" s="82">
        <f>'ERROR FINAL'!A352</f>
        <v/>
      </c>
      <c r="B349" s="83">
        <f>'ERROR FINAL'!D352</f>
        <v/>
      </c>
      <c r="C349" s="344">
        <f>'ERROR FINAL'!G352</f>
        <v/>
      </c>
      <c r="D349" s="85">
        <f>'ERROR FINAL'!I352</f>
        <v/>
      </c>
      <c r="E349" s="345">
        <f>'ERROR FINAL'!U352</f>
        <v/>
      </c>
      <c r="F349" s="346">
        <f>'ERROR FINAL'!AG352</f>
        <v/>
      </c>
      <c r="G349" s="346">
        <f>'ERROR FINAL'!AS352</f>
        <v/>
      </c>
      <c r="H349" s="88">
        <f>IF('ERROR FINAL'!AT352="CONFORME","CONFORME","NO CONFORME")</f>
        <v/>
      </c>
      <c r="I349" s="89">
        <f>IF(D349=0,"Medición",IF(D349=1,"Daño físico",IF(D349=2,"Fuga",IF(D349=3,"Picado",IF(D349=4,"Desfasado",IF(D349=5,"Paralizado","¿?"))))))</f>
        <v/>
      </c>
    </row>
    <row r="350">
      <c r="A350" s="82">
        <f>'ERROR FINAL'!A353</f>
        <v/>
      </c>
      <c r="B350" s="83">
        <f>'ERROR FINAL'!D353</f>
        <v/>
      </c>
      <c r="C350" s="344">
        <f>'ERROR FINAL'!G353</f>
        <v/>
      </c>
      <c r="D350" s="85">
        <f>'ERROR FINAL'!I353</f>
        <v/>
      </c>
      <c r="E350" s="345">
        <f>'ERROR FINAL'!U353</f>
        <v/>
      </c>
      <c r="F350" s="346">
        <f>'ERROR FINAL'!AG353</f>
        <v/>
      </c>
      <c r="G350" s="346">
        <f>'ERROR FINAL'!AS353</f>
        <v/>
      </c>
      <c r="H350" s="88">
        <f>IF('ERROR FINAL'!AT353="CONFORME","CONFORME","NO CONFORME")</f>
        <v/>
      </c>
      <c r="I350" s="89">
        <f>IF(D350=0,"Medición",IF(D350=1,"Daño físico",IF(D350=2,"Fuga",IF(D350=3,"Picado",IF(D350=4,"Desfasado",IF(D350=5,"Paralizado","¿?"))))))</f>
        <v/>
      </c>
    </row>
    <row r="351">
      <c r="A351" s="82">
        <f>'ERROR FINAL'!A354</f>
        <v/>
      </c>
      <c r="B351" s="83">
        <f>'ERROR FINAL'!D354</f>
        <v/>
      </c>
      <c r="C351" s="344">
        <f>'ERROR FINAL'!G354</f>
        <v/>
      </c>
      <c r="D351" s="85">
        <f>'ERROR FINAL'!I354</f>
        <v/>
      </c>
      <c r="E351" s="345">
        <f>'ERROR FINAL'!U354</f>
        <v/>
      </c>
      <c r="F351" s="346">
        <f>'ERROR FINAL'!AG354</f>
        <v/>
      </c>
      <c r="G351" s="346">
        <f>'ERROR FINAL'!AS354</f>
        <v/>
      </c>
      <c r="H351" s="88">
        <f>IF('ERROR FINAL'!AT354="CONFORME","CONFORME","NO CONFORME")</f>
        <v/>
      </c>
      <c r="I351" s="89">
        <f>IF(D351=0,"Medición",IF(D351=1,"Daño físico",IF(D351=2,"Fuga",IF(D351=3,"Picado",IF(D351=4,"Desfasado",IF(D351=5,"Paralizado","¿?"))))))</f>
        <v/>
      </c>
    </row>
    <row r="352">
      <c r="A352" s="82">
        <f>'ERROR FINAL'!A355</f>
        <v/>
      </c>
      <c r="B352" s="83">
        <f>'ERROR FINAL'!D355</f>
        <v/>
      </c>
      <c r="C352" s="344">
        <f>'ERROR FINAL'!G355</f>
        <v/>
      </c>
      <c r="D352" s="85">
        <f>'ERROR FINAL'!I355</f>
        <v/>
      </c>
      <c r="E352" s="345">
        <f>'ERROR FINAL'!U355</f>
        <v/>
      </c>
      <c r="F352" s="346">
        <f>'ERROR FINAL'!AG355</f>
        <v/>
      </c>
      <c r="G352" s="346">
        <f>'ERROR FINAL'!AS355</f>
        <v/>
      </c>
      <c r="H352" s="88">
        <f>IF('ERROR FINAL'!AT355="CONFORME","CONFORME","NO CONFORME")</f>
        <v/>
      </c>
      <c r="I352" s="89">
        <f>IF(D352=0,"Medición",IF(D352=1,"Daño físico",IF(D352=2,"Fuga",IF(D352=3,"Picado",IF(D352=4,"Desfasado",IF(D352=5,"Paralizado","¿?"))))))</f>
        <v/>
      </c>
    </row>
    <row r="353">
      <c r="A353" s="82">
        <f>'ERROR FINAL'!A356</f>
        <v/>
      </c>
      <c r="B353" s="83">
        <f>'ERROR FINAL'!D356</f>
        <v/>
      </c>
      <c r="C353" s="344">
        <f>'ERROR FINAL'!G356</f>
        <v/>
      </c>
      <c r="D353" s="85">
        <f>'ERROR FINAL'!I356</f>
        <v/>
      </c>
      <c r="E353" s="345">
        <f>'ERROR FINAL'!U356</f>
        <v/>
      </c>
      <c r="F353" s="346">
        <f>'ERROR FINAL'!AG356</f>
        <v/>
      </c>
      <c r="G353" s="346">
        <f>'ERROR FINAL'!AS356</f>
        <v/>
      </c>
      <c r="H353" s="88">
        <f>IF('ERROR FINAL'!AT356="CONFORME","CONFORME","NO CONFORME")</f>
        <v/>
      </c>
      <c r="I353" s="89">
        <f>IF(D353=0,"Medición",IF(D353=1,"Daño físico",IF(D353=2,"Fuga",IF(D353=3,"Picado",IF(D353=4,"Desfasado",IF(D353=5,"Paralizado","¿?"))))))</f>
        <v/>
      </c>
    </row>
    <row r="354">
      <c r="A354" s="82">
        <f>'ERROR FINAL'!A357</f>
        <v/>
      </c>
      <c r="B354" s="83">
        <f>'ERROR FINAL'!D357</f>
        <v/>
      </c>
      <c r="C354" s="344">
        <f>'ERROR FINAL'!G357</f>
        <v/>
      </c>
      <c r="D354" s="85">
        <f>'ERROR FINAL'!I357</f>
        <v/>
      </c>
      <c r="E354" s="345">
        <f>'ERROR FINAL'!U357</f>
        <v/>
      </c>
      <c r="F354" s="346">
        <f>'ERROR FINAL'!AG357</f>
        <v/>
      </c>
      <c r="G354" s="346">
        <f>'ERROR FINAL'!AS357</f>
        <v/>
      </c>
      <c r="H354" s="88">
        <f>IF('ERROR FINAL'!AT357="CONFORME","CONFORME","NO CONFORME")</f>
        <v/>
      </c>
      <c r="I354" s="89">
        <f>IF(D354=0,"Medición",IF(D354=1,"Daño físico",IF(D354=2,"Fuga",IF(D354=3,"Picado",IF(D354=4,"Desfasado",IF(D354=5,"Paralizado","¿?"))))))</f>
        <v/>
      </c>
    </row>
    <row r="355">
      <c r="A355" s="82">
        <f>'ERROR FINAL'!A358</f>
        <v/>
      </c>
      <c r="B355" s="83">
        <f>'ERROR FINAL'!D358</f>
        <v/>
      </c>
      <c r="C355" s="344">
        <f>'ERROR FINAL'!G358</f>
        <v/>
      </c>
      <c r="D355" s="85">
        <f>'ERROR FINAL'!I358</f>
        <v/>
      </c>
      <c r="E355" s="345">
        <f>'ERROR FINAL'!U358</f>
        <v/>
      </c>
      <c r="F355" s="346">
        <f>'ERROR FINAL'!AG358</f>
        <v/>
      </c>
      <c r="G355" s="346">
        <f>'ERROR FINAL'!AS358</f>
        <v/>
      </c>
      <c r="H355" s="88">
        <f>IF('ERROR FINAL'!AT358="CONFORME","CONFORME","NO CONFORME")</f>
        <v/>
      </c>
      <c r="I355" s="89">
        <f>IF(D355=0,"Medición",IF(D355=1,"Daño físico",IF(D355=2,"Fuga",IF(D355=3,"Picado",IF(D355=4,"Desfasado",IF(D355=5,"Paralizado","¿?"))))))</f>
        <v/>
      </c>
    </row>
    <row r="356">
      <c r="A356" s="82">
        <f>'ERROR FINAL'!A359</f>
        <v/>
      </c>
      <c r="B356" s="83">
        <f>'ERROR FINAL'!D359</f>
        <v/>
      </c>
      <c r="C356" s="344">
        <f>'ERROR FINAL'!G359</f>
        <v/>
      </c>
      <c r="D356" s="85">
        <f>'ERROR FINAL'!I359</f>
        <v/>
      </c>
      <c r="E356" s="345">
        <f>'ERROR FINAL'!U359</f>
        <v/>
      </c>
      <c r="F356" s="346">
        <f>'ERROR FINAL'!AG359</f>
        <v/>
      </c>
      <c r="G356" s="346">
        <f>'ERROR FINAL'!AS359</f>
        <v/>
      </c>
      <c r="H356" s="88">
        <f>IF('ERROR FINAL'!AT359="CONFORME","CONFORME","NO CONFORME")</f>
        <v/>
      </c>
      <c r="I356" s="89">
        <f>IF(D356=0,"Medición",IF(D356=1,"Daño físico",IF(D356=2,"Fuga",IF(D356=3,"Picado",IF(D356=4,"Desfasado",IF(D356=5,"Paralizado","¿?"))))))</f>
        <v/>
      </c>
    </row>
    <row r="357">
      <c r="A357" s="82">
        <f>'ERROR FINAL'!A360</f>
        <v/>
      </c>
      <c r="B357" s="83">
        <f>'ERROR FINAL'!D360</f>
        <v/>
      </c>
      <c r="C357" s="344">
        <f>'ERROR FINAL'!G360</f>
        <v/>
      </c>
      <c r="D357" s="85">
        <f>'ERROR FINAL'!I360</f>
        <v/>
      </c>
      <c r="E357" s="345">
        <f>'ERROR FINAL'!U360</f>
        <v/>
      </c>
      <c r="F357" s="346">
        <f>'ERROR FINAL'!AG360</f>
        <v/>
      </c>
      <c r="G357" s="346">
        <f>'ERROR FINAL'!AS360</f>
        <v/>
      </c>
      <c r="H357" s="88">
        <f>IF('ERROR FINAL'!AT360="CONFORME","CONFORME","NO CONFORME")</f>
        <v/>
      </c>
      <c r="I357" s="89">
        <f>IF(D357=0,"Medición",IF(D357=1,"Daño físico",IF(D357=2,"Fuga",IF(D357=3,"Picado",IF(D357=4,"Desfasado",IF(D357=5,"Paralizado","¿?"))))))</f>
        <v/>
      </c>
    </row>
    <row r="358">
      <c r="A358" s="82">
        <f>'ERROR FINAL'!A361</f>
        <v/>
      </c>
      <c r="B358" s="83">
        <f>'ERROR FINAL'!D361</f>
        <v/>
      </c>
      <c r="C358" s="344">
        <f>'ERROR FINAL'!G361</f>
        <v/>
      </c>
      <c r="D358" s="85">
        <f>'ERROR FINAL'!I361</f>
        <v/>
      </c>
      <c r="E358" s="345">
        <f>'ERROR FINAL'!U361</f>
        <v/>
      </c>
      <c r="F358" s="346">
        <f>'ERROR FINAL'!AG361</f>
        <v/>
      </c>
      <c r="G358" s="346">
        <f>'ERROR FINAL'!AS361</f>
        <v/>
      </c>
      <c r="H358" s="88">
        <f>IF('ERROR FINAL'!AT361="CONFORME","CONFORME","NO CONFORME")</f>
        <v/>
      </c>
      <c r="I358" s="89">
        <f>IF(D358=0,"Medición",IF(D358=1,"Daño físico",IF(D358=2,"Fuga",IF(D358=3,"Picado",IF(D358=4,"Desfasado",IF(D358=5,"Paralizado","¿?"))))))</f>
        <v/>
      </c>
    </row>
    <row r="359">
      <c r="A359" s="82">
        <f>'ERROR FINAL'!A362</f>
        <v/>
      </c>
      <c r="B359" s="83">
        <f>'ERROR FINAL'!D362</f>
        <v/>
      </c>
      <c r="C359" s="344">
        <f>'ERROR FINAL'!G362</f>
        <v/>
      </c>
      <c r="D359" s="85">
        <f>'ERROR FINAL'!I362</f>
        <v/>
      </c>
      <c r="E359" s="345">
        <f>'ERROR FINAL'!U362</f>
        <v/>
      </c>
      <c r="F359" s="346">
        <f>'ERROR FINAL'!AG362</f>
        <v/>
      </c>
      <c r="G359" s="346">
        <f>'ERROR FINAL'!AS362</f>
        <v/>
      </c>
      <c r="H359" s="88">
        <f>IF('ERROR FINAL'!AT362="CONFORME","CONFORME","NO CONFORME")</f>
        <v/>
      </c>
      <c r="I359" s="89">
        <f>IF(D359=0,"Medición",IF(D359=1,"Daño físico",IF(D359=2,"Fuga",IF(D359=3,"Picado",IF(D359=4,"Desfasado",IF(D359=5,"Paralizado","¿?"))))))</f>
        <v/>
      </c>
    </row>
    <row r="360">
      <c r="A360" s="82">
        <f>'ERROR FINAL'!A363</f>
        <v/>
      </c>
      <c r="B360" s="83">
        <f>'ERROR FINAL'!D363</f>
        <v/>
      </c>
      <c r="C360" s="344">
        <f>'ERROR FINAL'!G363</f>
        <v/>
      </c>
      <c r="D360" s="85">
        <f>'ERROR FINAL'!I363</f>
        <v/>
      </c>
      <c r="E360" s="345">
        <f>'ERROR FINAL'!U363</f>
        <v/>
      </c>
      <c r="F360" s="346">
        <f>'ERROR FINAL'!AG363</f>
        <v/>
      </c>
      <c r="G360" s="346">
        <f>'ERROR FINAL'!AS363</f>
        <v/>
      </c>
      <c r="H360" s="88">
        <f>IF('ERROR FINAL'!AT363="CONFORME","CONFORME","NO CONFORME")</f>
        <v/>
      </c>
      <c r="I360" s="89">
        <f>IF(D360=0,"Medición",IF(D360=1,"Daño físico",IF(D360=2,"Fuga",IF(D360=3,"Picado",IF(D360=4,"Desfasado",IF(D360=5,"Paralizado","¿?"))))))</f>
        <v/>
      </c>
    </row>
    <row r="361">
      <c r="A361" s="82">
        <f>'ERROR FINAL'!A364</f>
        <v/>
      </c>
      <c r="B361" s="83">
        <f>'ERROR FINAL'!D364</f>
        <v/>
      </c>
      <c r="C361" s="344">
        <f>'ERROR FINAL'!G364</f>
        <v/>
      </c>
      <c r="D361" s="85">
        <f>'ERROR FINAL'!I364</f>
        <v/>
      </c>
      <c r="E361" s="345">
        <f>'ERROR FINAL'!U364</f>
        <v/>
      </c>
      <c r="F361" s="346">
        <f>'ERROR FINAL'!AG364</f>
        <v/>
      </c>
      <c r="G361" s="346">
        <f>'ERROR FINAL'!AS364</f>
        <v/>
      </c>
      <c r="H361" s="88">
        <f>IF('ERROR FINAL'!AT364="CONFORME","CONFORME","NO CONFORME")</f>
        <v/>
      </c>
      <c r="I361" s="89">
        <f>IF(D361=0,"Medición",IF(D361=1,"Daño físico",IF(D361=2,"Fuga",IF(D361=3,"Picado",IF(D361=4,"Desfasado",IF(D361=5,"Paralizado","¿?"))))))</f>
        <v/>
      </c>
    </row>
    <row r="362">
      <c r="A362" s="82">
        <f>'ERROR FINAL'!A365</f>
        <v/>
      </c>
      <c r="B362" s="83">
        <f>'ERROR FINAL'!D365</f>
        <v/>
      </c>
      <c r="C362" s="344">
        <f>'ERROR FINAL'!G365</f>
        <v/>
      </c>
      <c r="D362" s="85">
        <f>'ERROR FINAL'!I365</f>
        <v/>
      </c>
      <c r="E362" s="345">
        <f>'ERROR FINAL'!U365</f>
        <v/>
      </c>
      <c r="F362" s="346">
        <f>'ERROR FINAL'!AG365</f>
        <v/>
      </c>
      <c r="G362" s="346">
        <f>'ERROR FINAL'!AS365</f>
        <v/>
      </c>
      <c r="H362" s="88">
        <f>IF('ERROR FINAL'!AT365="CONFORME","CONFORME","NO CONFORME")</f>
        <v/>
      </c>
      <c r="I362" s="89">
        <f>IF(D362=0,"Medición",IF(D362=1,"Daño físico",IF(D362=2,"Fuga",IF(D362=3,"Picado",IF(D362=4,"Desfasado",IF(D362=5,"Paralizado","¿?"))))))</f>
        <v/>
      </c>
    </row>
    <row r="363">
      <c r="A363" s="82">
        <f>'ERROR FINAL'!A366</f>
        <v/>
      </c>
      <c r="B363" s="83">
        <f>'ERROR FINAL'!D366</f>
        <v/>
      </c>
      <c r="C363" s="344">
        <f>'ERROR FINAL'!G366</f>
        <v/>
      </c>
      <c r="D363" s="85">
        <f>'ERROR FINAL'!I366</f>
        <v/>
      </c>
      <c r="E363" s="345">
        <f>'ERROR FINAL'!U366</f>
        <v/>
      </c>
      <c r="F363" s="346">
        <f>'ERROR FINAL'!AG366</f>
        <v/>
      </c>
      <c r="G363" s="346">
        <f>'ERROR FINAL'!AS366</f>
        <v/>
      </c>
      <c r="H363" s="88">
        <f>IF('ERROR FINAL'!AT366="CONFORME","CONFORME","NO CONFORME")</f>
        <v/>
      </c>
      <c r="I363" s="89">
        <f>IF(D363=0,"Medición",IF(D363=1,"Daño físico",IF(D363=2,"Fuga",IF(D363=3,"Picado",IF(D363=4,"Desfasado",IF(D363=5,"Paralizado","¿?"))))))</f>
        <v/>
      </c>
    </row>
    <row r="364">
      <c r="A364" s="82">
        <f>'ERROR FINAL'!A367</f>
        <v/>
      </c>
      <c r="B364" s="83">
        <f>'ERROR FINAL'!D367</f>
        <v/>
      </c>
      <c r="C364" s="344">
        <f>'ERROR FINAL'!G367</f>
        <v/>
      </c>
      <c r="D364" s="85">
        <f>'ERROR FINAL'!I367</f>
        <v/>
      </c>
      <c r="E364" s="345">
        <f>'ERROR FINAL'!U367</f>
        <v/>
      </c>
      <c r="F364" s="346">
        <f>'ERROR FINAL'!AG367</f>
        <v/>
      </c>
      <c r="G364" s="346">
        <f>'ERROR FINAL'!AS367</f>
        <v/>
      </c>
      <c r="H364" s="88">
        <f>IF('ERROR FINAL'!AT367="CONFORME","CONFORME","NO CONFORME")</f>
        <v/>
      </c>
      <c r="I364" s="89">
        <f>IF(D364=0,"Medición",IF(D364=1,"Daño físico",IF(D364=2,"Fuga",IF(D364=3,"Picado",IF(D364=4,"Desfasado",IF(D364=5,"Paralizado","¿?"))))))</f>
        <v/>
      </c>
    </row>
    <row r="365">
      <c r="A365" s="82">
        <f>'ERROR FINAL'!A368</f>
        <v/>
      </c>
      <c r="B365" s="83">
        <f>'ERROR FINAL'!D368</f>
        <v/>
      </c>
      <c r="C365" s="344">
        <f>'ERROR FINAL'!G368</f>
        <v/>
      </c>
      <c r="D365" s="85">
        <f>'ERROR FINAL'!I368</f>
        <v/>
      </c>
      <c r="E365" s="345">
        <f>'ERROR FINAL'!U368</f>
        <v/>
      </c>
      <c r="F365" s="346">
        <f>'ERROR FINAL'!AG368</f>
        <v/>
      </c>
      <c r="G365" s="346">
        <f>'ERROR FINAL'!AS368</f>
        <v/>
      </c>
      <c r="H365" s="88">
        <f>IF('ERROR FINAL'!AT368="CONFORME","CONFORME","NO CONFORME")</f>
        <v/>
      </c>
      <c r="I365" s="89">
        <f>IF(D365=0,"Medición",IF(D365=1,"Daño físico",IF(D365=2,"Fuga",IF(D365=3,"Picado",IF(D365=4,"Desfasado",IF(D365=5,"Paralizado","¿?"))))))</f>
        <v/>
      </c>
    </row>
    <row r="366">
      <c r="A366" s="82">
        <f>'ERROR FINAL'!A369</f>
        <v/>
      </c>
      <c r="B366" s="83">
        <f>'ERROR FINAL'!D369</f>
        <v/>
      </c>
      <c r="C366" s="344">
        <f>'ERROR FINAL'!G369</f>
        <v/>
      </c>
      <c r="D366" s="85">
        <f>'ERROR FINAL'!I369</f>
        <v/>
      </c>
      <c r="E366" s="345">
        <f>'ERROR FINAL'!U369</f>
        <v/>
      </c>
      <c r="F366" s="346">
        <f>'ERROR FINAL'!AG369</f>
        <v/>
      </c>
      <c r="G366" s="346">
        <f>'ERROR FINAL'!AS369</f>
        <v/>
      </c>
      <c r="H366" s="88">
        <f>IF('ERROR FINAL'!AT369="CONFORME","CONFORME","NO CONFORME")</f>
        <v/>
      </c>
      <c r="I366" s="89">
        <f>IF(D366=0,"Medición",IF(D366=1,"Daño físico",IF(D366=2,"Fuga",IF(D366=3,"Picado",IF(D366=4,"Desfasado",IF(D366=5,"Paralizado","¿?"))))))</f>
        <v/>
      </c>
    </row>
    <row r="367">
      <c r="A367" s="82">
        <f>'ERROR FINAL'!A370</f>
        <v/>
      </c>
      <c r="B367" s="83">
        <f>'ERROR FINAL'!D370</f>
        <v/>
      </c>
      <c r="C367" s="344">
        <f>'ERROR FINAL'!G370</f>
        <v/>
      </c>
      <c r="D367" s="85">
        <f>'ERROR FINAL'!I370</f>
        <v/>
      </c>
      <c r="E367" s="345">
        <f>'ERROR FINAL'!U370</f>
        <v/>
      </c>
      <c r="F367" s="346">
        <f>'ERROR FINAL'!AG370</f>
        <v/>
      </c>
      <c r="G367" s="346">
        <f>'ERROR FINAL'!AS370</f>
        <v/>
      </c>
      <c r="H367" s="88">
        <f>IF('ERROR FINAL'!AT370="CONFORME","CONFORME","NO CONFORME")</f>
        <v/>
      </c>
      <c r="I367" s="89">
        <f>IF(D367=0,"Medición",IF(D367=1,"Daño físico",IF(D367=2,"Fuga",IF(D367=3,"Picado",IF(D367=4,"Desfasado",IF(D367=5,"Paralizado","¿?"))))))</f>
        <v/>
      </c>
    </row>
    <row r="368">
      <c r="A368" s="82">
        <f>'ERROR FINAL'!A371</f>
        <v/>
      </c>
      <c r="B368" s="83">
        <f>'ERROR FINAL'!D371</f>
        <v/>
      </c>
      <c r="C368" s="344">
        <f>'ERROR FINAL'!G371</f>
        <v/>
      </c>
      <c r="D368" s="85">
        <f>'ERROR FINAL'!I371</f>
        <v/>
      </c>
      <c r="E368" s="345">
        <f>'ERROR FINAL'!U371</f>
        <v/>
      </c>
      <c r="F368" s="346">
        <f>'ERROR FINAL'!AG371</f>
        <v/>
      </c>
      <c r="G368" s="346">
        <f>'ERROR FINAL'!AS371</f>
        <v/>
      </c>
      <c r="H368" s="88">
        <f>IF('ERROR FINAL'!AT371="CONFORME","CONFORME","NO CONFORME")</f>
        <v/>
      </c>
      <c r="I368" s="89">
        <f>IF(D368=0,"Medición",IF(D368=1,"Daño físico",IF(D368=2,"Fuga",IF(D368=3,"Picado",IF(D368=4,"Desfasado",IF(D368=5,"Paralizado","¿?"))))))</f>
        <v/>
      </c>
    </row>
    <row r="369">
      <c r="A369" s="82">
        <f>'ERROR FINAL'!A372</f>
        <v/>
      </c>
      <c r="B369" s="83">
        <f>'ERROR FINAL'!D372</f>
        <v/>
      </c>
      <c r="C369" s="344">
        <f>'ERROR FINAL'!G372</f>
        <v/>
      </c>
      <c r="D369" s="85">
        <f>'ERROR FINAL'!I372</f>
        <v/>
      </c>
      <c r="E369" s="345">
        <f>'ERROR FINAL'!U372</f>
        <v/>
      </c>
      <c r="F369" s="346">
        <f>'ERROR FINAL'!AG372</f>
        <v/>
      </c>
      <c r="G369" s="346">
        <f>'ERROR FINAL'!AS372</f>
        <v/>
      </c>
      <c r="H369" s="88">
        <f>IF('ERROR FINAL'!AT372="CONFORME","CONFORME","NO CONFORME")</f>
        <v/>
      </c>
      <c r="I369" s="89">
        <f>IF(D369=0,"Medición",IF(D369=1,"Daño físico",IF(D369=2,"Fuga",IF(D369=3,"Picado",IF(D369=4,"Desfasado",IF(D369=5,"Paralizado","¿?"))))))</f>
        <v/>
      </c>
    </row>
    <row r="370">
      <c r="A370" s="82">
        <f>'ERROR FINAL'!A373</f>
        <v/>
      </c>
      <c r="B370" s="83">
        <f>'ERROR FINAL'!D373</f>
        <v/>
      </c>
      <c r="C370" s="344">
        <f>'ERROR FINAL'!G373</f>
        <v/>
      </c>
      <c r="D370" s="85">
        <f>'ERROR FINAL'!I373</f>
        <v/>
      </c>
      <c r="E370" s="345">
        <f>'ERROR FINAL'!U373</f>
        <v/>
      </c>
      <c r="F370" s="346">
        <f>'ERROR FINAL'!AG373</f>
        <v/>
      </c>
      <c r="G370" s="346">
        <f>'ERROR FINAL'!AS373</f>
        <v/>
      </c>
      <c r="H370" s="88">
        <f>IF('ERROR FINAL'!AT373="CONFORME","CONFORME","NO CONFORME")</f>
        <v/>
      </c>
      <c r="I370" s="89">
        <f>IF(D370=0,"Medición",IF(D370=1,"Daño físico",IF(D370=2,"Fuga",IF(D370=3,"Picado",IF(D370=4,"Desfasado",IF(D370=5,"Paralizado","¿?"))))))</f>
        <v/>
      </c>
    </row>
    <row r="371">
      <c r="A371" s="82">
        <f>'ERROR FINAL'!A374</f>
        <v/>
      </c>
      <c r="B371" s="83">
        <f>'ERROR FINAL'!D374</f>
        <v/>
      </c>
      <c r="C371" s="344">
        <f>'ERROR FINAL'!G374</f>
        <v/>
      </c>
      <c r="D371" s="85">
        <f>'ERROR FINAL'!I374</f>
        <v/>
      </c>
      <c r="E371" s="345">
        <f>'ERROR FINAL'!U374</f>
        <v/>
      </c>
      <c r="F371" s="346">
        <f>'ERROR FINAL'!AG374</f>
        <v/>
      </c>
      <c r="G371" s="346">
        <f>'ERROR FINAL'!AS374</f>
        <v/>
      </c>
      <c r="H371" s="88">
        <f>IF('ERROR FINAL'!AT374="CONFORME","CONFORME","NO CONFORME")</f>
        <v/>
      </c>
      <c r="I371" s="89">
        <f>IF(D371=0,"Medición",IF(D371=1,"Daño físico",IF(D371=2,"Fuga",IF(D371=3,"Picado",IF(D371=4,"Desfasado",IF(D371=5,"Paralizado","¿?"))))))</f>
        <v/>
      </c>
    </row>
    <row r="372">
      <c r="A372" s="82">
        <f>'ERROR FINAL'!A375</f>
        <v/>
      </c>
      <c r="B372" s="83">
        <f>'ERROR FINAL'!D375</f>
        <v/>
      </c>
      <c r="C372" s="344">
        <f>'ERROR FINAL'!G375</f>
        <v/>
      </c>
      <c r="D372" s="85">
        <f>'ERROR FINAL'!I375</f>
        <v/>
      </c>
      <c r="E372" s="345">
        <f>'ERROR FINAL'!U375</f>
        <v/>
      </c>
      <c r="F372" s="346">
        <f>'ERROR FINAL'!AG375</f>
        <v/>
      </c>
      <c r="G372" s="346">
        <f>'ERROR FINAL'!AS375</f>
        <v/>
      </c>
      <c r="H372" s="88">
        <f>IF('ERROR FINAL'!AT375="CONFORME","CONFORME","NO CONFORME")</f>
        <v/>
      </c>
      <c r="I372" s="89">
        <f>IF(D372=0,"Medición",IF(D372=1,"Daño físico",IF(D372=2,"Fuga",IF(D372=3,"Picado",IF(D372=4,"Desfasado",IF(D372=5,"Paralizado","¿?"))))))</f>
        <v/>
      </c>
    </row>
    <row r="373">
      <c r="A373" s="82">
        <f>'ERROR FINAL'!A376</f>
        <v/>
      </c>
      <c r="B373" s="83">
        <f>'ERROR FINAL'!D376</f>
        <v/>
      </c>
      <c r="C373" s="344">
        <f>'ERROR FINAL'!G376</f>
        <v/>
      </c>
      <c r="D373" s="85">
        <f>'ERROR FINAL'!I376</f>
        <v/>
      </c>
      <c r="E373" s="345">
        <f>'ERROR FINAL'!U376</f>
        <v/>
      </c>
      <c r="F373" s="346">
        <f>'ERROR FINAL'!AG376</f>
        <v/>
      </c>
      <c r="G373" s="346">
        <f>'ERROR FINAL'!AS376</f>
        <v/>
      </c>
      <c r="H373" s="88">
        <f>IF('ERROR FINAL'!AT376="CONFORME","CONFORME","NO CONFORME")</f>
        <v/>
      </c>
      <c r="I373" s="89">
        <f>IF(D373=0,"Medición",IF(D373=1,"Daño físico",IF(D373=2,"Fuga",IF(D373=3,"Picado",IF(D373=4,"Desfasado",IF(D373=5,"Paralizado","¿?"))))))</f>
        <v/>
      </c>
    </row>
    <row r="374">
      <c r="A374" s="82">
        <f>'ERROR FINAL'!A377</f>
        <v/>
      </c>
      <c r="B374" s="83">
        <f>'ERROR FINAL'!D377</f>
        <v/>
      </c>
      <c r="C374" s="344">
        <f>'ERROR FINAL'!G377</f>
        <v/>
      </c>
      <c r="D374" s="85">
        <f>'ERROR FINAL'!I377</f>
        <v/>
      </c>
      <c r="E374" s="345">
        <f>'ERROR FINAL'!U377</f>
        <v/>
      </c>
      <c r="F374" s="346">
        <f>'ERROR FINAL'!AG377</f>
        <v/>
      </c>
      <c r="G374" s="346">
        <f>'ERROR FINAL'!AS377</f>
        <v/>
      </c>
      <c r="H374" s="88">
        <f>IF('ERROR FINAL'!AT377="CONFORME","CONFORME","NO CONFORME")</f>
        <v/>
      </c>
      <c r="I374" s="89">
        <f>IF(D374=0,"Medición",IF(D374=1,"Daño físico",IF(D374=2,"Fuga",IF(D374=3,"Picado",IF(D374=4,"Desfasado",IF(D374=5,"Paralizado","¿?"))))))</f>
        <v/>
      </c>
    </row>
    <row r="375">
      <c r="A375" s="82">
        <f>'ERROR FINAL'!A378</f>
        <v/>
      </c>
      <c r="B375" s="83">
        <f>'ERROR FINAL'!D378</f>
        <v/>
      </c>
      <c r="C375" s="344">
        <f>'ERROR FINAL'!G378</f>
        <v/>
      </c>
      <c r="D375" s="85">
        <f>'ERROR FINAL'!I378</f>
        <v/>
      </c>
      <c r="E375" s="345">
        <f>'ERROR FINAL'!U378</f>
        <v/>
      </c>
      <c r="F375" s="346">
        <f>'ERROR FINAL'!AG378</f>
        <v/>
      </c>
      <c r="G375" s="346">
        <f>'ERROR FINAL'!AS378</f>
        <v/>
      </c>
      <c r="H375" s="88">
        <f>IF('ERROR FINAL'!AT378="CONFORME","CONFORME","NO CONFORME")</f>
        <v/>
      </c>
      <c r="I375" s="89">
        <f>IF(D375=0,"Medición",IF(D375=1,"Daño físico",IF(D375=2,"Fuga",IF(D375=3,"Picado",IF(D375=4,"Desfasado",IF(D375=5,"Paralizado","¿?"))))))</f>
        <v/>
      </c>
    </row>
    <row r="376">
      <c r="A376" s="82">
        <f>'ERROR FINAL'!A379</f>
        <v/>
      </c>
      <c r="B376" s="83">
        <f>'ERROR FINAL'!D379</f>
        <v/>
      </c>
      <c r="C376" s="344">
        <f>'ERROR FINAL'!G379</f>
        <v/>
      </c>
      <c r="D376" s="85">
        <f>'ERROR FINAL'!I379</f>
        <v/>
      </c>
      <c r="E376" s="345">
        <f>'ERROR FINAL'!U379</f>
        <v/>
      </c>
      <c r="F376" s="346">
        <f>'ERROR FINAL'!AG379</f>
        <v/>
      </c>
      <c r="G376" s="346">
        <f>'ERROR FINAL'!AS379</f>
        <v/>
      </c>
      <c r="H376" s="88">
        <f>IF('ERROR FINAL'!AT379="CONFORME","CONFORME","NO CONFORME")</f>
        <v/>
      </c>
      <c r="I376" s="89">
        <f>IF(D376=0,"Medición",IF(D376=1,"Daño físico",IF(D376=2,"Fuga",IF(D376=3,"Picado",IF(D376=4,"Desfasado",IF(D376=5,"Paralizado","¿?"))))))</f>
        <v/>
      </c>
    </row>
    <row r="377">
      <c r="A377" s="82">
        <f>'ERROR FINAL'!A380</f>
        <v/>
      </c>
      <c r="B377" s="83">
        <f>'ERROR FINAL'!D380</f>
        <v/>
      </c>
      <c r="C377" s="344">
        <f>'ERROR FINAL'!G380</f>
        <v/>
      </c>
      <c r="D377" s="85">
        <f>'ERROR FINAL'!I380</f>
        <v/>
      </c>
      <c r="E377" s="345">
        <f>'ERROR FINAL'!U380</f>
        <v/>
      </c>
      <c r="F377" s="346">
        <f>'ERROR FINAL'!AG380</f>
        <v/>
      </c>
      <c r="G377" s="346">
        <f>'ERROR FINAL'!AS380</f>
        <v/>
      </c>
      <c r="H377" s="88">
        <f>IF('ERROR FINAL'!AT380="CONFORME","CONFORME","NO CONFORME")</f>
        <v/>
      </c>
      <c r="I377" s="89">
        <f>IF(D377=0,"Medición",IF(D377=1,"Daño físico",IF(D377=2,"Fuga",IF(D377=3,"Picado",IF(D377=4,"Desfasado",IF(D377=5,"Paralizado","¿?"))))))</f>
        <v/>
      </c>
    </row>
    <row r="378">
      <c r="A378" s="82">
        <f>'ERROR FINAL'!A381</f>
        <v/>
      </c>
      <c r="B378" s="83">
        <f>'ERROR FINAL'!D381</f>
        <v/>
      </c>
      <c r="C378" s="344">
        <f>'ERROR FINAL'!G381</f>
        <v/>
      </c>
      <c r="D378" s="85">
        <f>'ERROR FINAL'!I381</f>
        <v/>
      </c>
      <c r="E378" s="345">
        <f>'ERROR FINAL'!U381</f>
        <v/>
      </c>
      <c r="F378" s="346">
        <f>'ERROR FINAL'!AG381</f>
        <v/>
      </c>
      <c r="G378" s="346">
        <f>'ERROR FINAL'!AS381</f>
        <v/>
      </c>
      <c r="H378" s="88">
        <f>IF('ERROR FINAL'!AT381="CONFORME","CONFORME","NO CONFORME")</f>
        <v/>
      </c>
      <c r="I378" s="89">
        <f>IF(D378=0,"Medición",IF(D378=1,"Daño físico",IF(D378=2,"Fuga",IF(D378=3,"Picado",IF(D378=4,"Desfasado",IF(D378=5,"Paralizado","¿?"))))))</f>
        <v/>
      </c>
    </row>
    <row r="379">
      <c r="A379" s="82">
        <f>'ERROR FINAL'!A382</f>
        <v/>
      </c>
      <c r="B379" s="83">
        <f>'ERROR FINAL'!D382</f>
        <v/>
      </c>
      <c r="C379" s="344">
        <f>'ERROR FINAL'!G382</f>
        <v/>
      </c>
      <c r="D379" s="85">
        <f>'ERROR FINAL'!I382</f>
        <v/>
      </c>
      <c r="E379" s="345">
        <f>'ERROR FINAL'!U382</f>
        <v/>
      </c>
      <c r="F379" s="346">
        <f>'ERROR FINAL'!AG382</f>
        <v/>
      </c>
      <c r="G379" s="346">
        <f>'ERROR FINAL'!AS382</f>
        <v/>
      </c>
      <c r="H379" s="88">
        <f>IF('ERROR FINAL'!AT382="CONFORME","CONFORME","NO CONFORME")</f>
        <v/>
      </c>
      <c r="I379" s="89">
        <f>IF(D379=0,"Medición",IF(D379=1,"Daño físico",IF(D379=2,"Fuga",IF(D379=3,"Picado",IF(D379=4,"Desfasado",IF(D379=5,"Paralizado","¿?"))))))</f>
        <v/>
      </c>
    </row>
    <row r="380">
      <c r="A380" s="82">
        <f>'ERROR FINAL'!A383</f>
        <v/>
      </c>
      <c r="B380" s="83">
        <f>'ERROR FINAL'!D383</f>
        <v/>
      </c>
      <c r="C380" s="344">
        <f>'ERROR FINAL'!G383</f>
        <v/>
      </c>
      <c r="D380" s="85">
        <f>'ERROR FINAL'!I383</f>
        <v/>
      </c>
      <c r="E380" s="345">
        <f>'ERROR FINAL'!U383</f>
        <v/>
      </c>
      <c r="F380" s="346">
        <f>'ERROR FINAL'!AG383</f>
        <v/>
      </c>
      <c r="G380" s="346">
        <f>'ERROR FINAL'!AS383</f>
        <v/>
      </c>
      <c r="H380" s="88">
        <f>IF('ERROR FINAL'!AT383="CONFORME","CONFORME","NO CONFORME")</f>
        <v/>
      </c>
      <c r="I380" s="89">
        <f>IF(D380=0,"Medición",IF(D380=1,"Daño físico",IF(D380=2,"Fuga",IF(D380=3,"Picado",IF(D380=4,"Desfasado",IF(D380=5,"Paralizado","¿?"))))))</f>
        <v/>
      </c>
    </row>
    <row r="381">
      <c r="A381" s="82">
        <f>'ERROR FINAL'!A384</f>
        <v/>
      </c>
      <c r="B381" s="83">
        <f>'ERROR FINAL'!D384</f>
        <v/>
      </c>
      <c r="C381" s="344">
        <f>'ERROR FINAL'!G384</f>
        <v/>
      </c>
      <c r="D381" s="85">
        <f>'ERROR FINAL'!I384</f>
        <v/>
      </c>
      <c r="E381" s="345">
        <f>'ERROR FINAL'!U384</f>
        <v/>
      </c>
      <c r="F381" s="346">
        <f>'ERROR FINAL'!AG384</f>
        <v/>
      </c>
      <c r="G381" s="346">
        <f>'ERROR FINAL'!AS384</f>
        <v/>
      </c>
      <c r="H381" s="88">
        <f>IF('ERROR FINAL'!AT384="CONFORME","CONFORME","NO CONFORME")</f>
        <v/>
      </c>
      <c r="I381" s="89">
        <f>IF(D381=0,"Medición",IF(D381=1,"Daño físico",IF(D381=2,"Fuga",IF(D381=3,"Picado",IF(D381=4,"Desfasado",IF(D381=5,"Paralizado","¿?"))))))</f>
        <v/>
      </c>
    </row>
    <row r="382">
      <c r="A382" s="82">
        <f>'ERROR FINAL'!A385</f>
        <v/>
      </c>
      <c r="B382" s="83">
        <f>'ERROR FINAL'!D385</f>
        <v/>
      </c>
      <c r="C382" s="344">
        <f>'ERROR FINAL'!G385</f>
        <v/>
      </c>
      <c r="D382" s="85">
        <f>'ERROR FINAL'!I385</f>
        <v/>
      </c>
      <c r="E382" s="345">
        <f>'ERROR FINAL'!U385</f>
        <v/>
      </c>
      <c r="F382" s="346">
        <f>'ERROR FINAL'!AG385</f>
        <v/>
      </c>
      <c r="G382" s="346">
        <f>'ERROR FINAL'!AS385</f>
        <v/>
      </c>
      <c r="H382" s="88">
        <f>IF('ERROR FINAL'!AT385="CONFORME","CONFORME","NO CONFORME")</f>
        <v/>
      </c>
      <c r="I382" s="89">
        <f>IF(D382=0,"Medición",IF(D382=1,"Daño físico",IF(D382=2,"Fuga",IF(D382=3,"Picado",IF(D382=4,"Desfasado",IF(D382=5,"Paralizado","¿?"))))))</f>
        <v/>
      </c>
    </row>
    <row r="383">
      <c r="A383" s="82">
        <f>'ERROR FINAL'!A386</f>
        <v/>
      </c>
      <c r="B383" s="83">
        <f>'ERROR FINAL'!D386</f>
        <v/>
      </c>
      <c r="C383" s="344">
        <f>'ERROR FINAL'!G386</f>
        <v/>
      </c>
      <c r="D383" s="85">
        <f>'ERROR FINAL'!I386</f>
        <v/>
      </c>
      <c r="E383" s="345">
        <f>'ERROR FINAL'!U386</f>
        <v/>
      </c>
      <c r="F383" s="346">
        <f>'ERROR FINAL'!AG386</f>
        <v/>
      </c>
      <c r="G383" s="346">
        <f>'ERROR FINAL'!AS386</f>
        <v/>
      </c>
      <c r="H383" s="88">
        <f>IF('ERROR FINAL'!AT386="CONFORME","CONFORME","NO CONFORME")</f>
        <v/>
      </c>
      <c r="I383" s="89">
        <f>IF(D383=0,"Medición",IF(D383=1,"Daño físico",IF(D383=2,"Fuga",IF(D383=3,"Picado",IF(D383=4,"Desfasado",IF(D383=5,"Paralizado","¿?"))))))</f>
        <v/>
      </c>
    </row>
    <row r="384">
      <c r="A384" s="82">
        <f>'ERROR FINAL'!A387</f>
        <v/>
      </c>
      <c r="B384" s="83">
        <f>'ERROR FINAL'!D387</f>
        <v/>
      </c>
      <c r="C384" s="344">
        <f>'ERROR FINAL'!G387</f>
        <v/>
      </c>
      <c r="D384" s="85">
        <f>'ERROR FINAL'!I387</f>
        <v/>
      </c>
      <c r="E384" s="345">
        <f>'ERROR FINAL'!U387</f>
        <v/>
      </c>
      <c r="F384" s="346">
        <f>'ERROR FINAL'!AG387</f>
        <v/>
      </c>
      <c r="G384" s="346">
        <f>'ERROR FINAL'!AS387</f>
        <v/>
      </c>
      <c r="H384" s="88">
        <f>IF('ERROR FINAL'!AT387="CONFORME","CONFORME","NO CONFORME")</f>
        <v/>
      </c>
      <c r="I384" s="89">
        <f>IF(D384=0,"Medición",IF(D384=1,"Daño físico",IF(D384=2,"Fuga",IF(D384=3,"Picado",IF(D384=4,"Desfasado",IF(D384=5,"Paralizado","¿?"))))))</f>
        <v/>
      </c>
    </row>
    <row r="385">
      <c r="A385" s="82">
        <f>'ERROR FINAL'!A388</f>
        <v/>
      </c>
      <c r="B385" s="83">
        <f>'ERROR FINAL'!D388</f>
        <v/>
      </c>
      <c r="C385" s="344">
        <f>'ERROR FINAL'!G388</f>
        <v/>
      </c>
      <c r="D385" s="85">
        <f>'ERROR FINAL'!I388</f>
        <v/>
      </c>
      <c r="E385" s="345">
        <f>'ERROR FINAL'!U388</f>
        <v/>
      </c>
      <c r="F385" s="346">
        <f>'ERROR FINAL'!AG388</f>
        <v/>
      </c>
      <c r="G385" s="346">
        <f>'ERROR FINAL'!AS388</f>
        <v/>
      </c>
      <c r="H385" s="88">
        <f>IF('ERROR FINAL'!AT388="CONFORME","CONFORME","NO CONFORME")</f>
        <v/>
      </c>
      <c r="I385" s="89">
        <f>IF(D385=0,"Medición",IF(D385=1,"Daño físico",IF(D385=2,"Fuga",IF(D385=3,"Picado",IF(D385=4,"Desfasado",IF(D385=5,"Paralizado","¿?"))))))</f>
        <v/>
      </c>
    </row>
    <row r="386">
      <c r="A386" s="82">
        <f>'ERROR FINAL'!A389</f>
        <v/>
      </c>
      <c r="B386" s="83">
        <f>'ERROR FINAL'!D389</f>
        <v/>
      </c>
      <c r="C386" s="344">
        <f>'ERROR FINAL'!G389</f>
        <v/>
      </c>
      <c r="D386" s="85">
        <f>'ERROR FINAL'!I389</f>
        <v/>
      </c>
      <c r="E386" s="345">
        <f>'ERROR FINAL'!U389</f>
        <v/>
      </c>
      <c r="F386" s="346">
        <f>'ERROR FINAL'!AG389</f>
        <v/>
      </c>
      <c r="G386" s="346">
        <f>'ERROR FINAL'!AS389</f>
        <v/>
      </c>
      <c r="H386" s="88">
        <f>IF('ERROR FINAL'!AT389="CONFORME","CONFORME","NO CONFORME")</f>
        <v/>
      </c>
      <c r="I386" s="89">
        <f>IF(D386=0,"Medición",IF(D386=1,"Daño físico",IF(D386=2,"Fuga",IF(D386=3,"Picado",IF(D386=4,"Desfasado",IF(D386=5,"Paralizado","¿?"))))))</f>
        <v/>
      </c>
    </row>
    <row r="387">
      <c r="A387" s="82">
        <f>'ERROR FINAL'!A390</f>
        <v/>
      </c>
      <c r="B387" s="83">
        <f>'ERROR FINAL'!D390</f>
        <v/>
      </c>
      <c r="C387" s="344">
        <f>'ERROR FINAL'!G390</f>
        <v/>
      </c>
      <c r="D387" s="85">
        <f>'ERROR FINAL'!I390</f>
        <v/>
      </c>
      <c r="E387" s="345">
        <f>'ERROR FINAL'!U390</f>
        <v/>
      </c>
      <c r="F387" s="346">
        <f>'ERROR FINAL'!AG390</f>
        <v/>
      </c>
      <c r="G387" s="346">
        <f>'ERROR FINAL'!AS390</f>
        <v/>
      </c>
      <c r="H387" s="88">
        <f>IF('ERROR FINAL'!AT390="CONFORME","CONFORME","NO CONFORME")</f>
        <v/>
      </c>
      <c r="I387" s="89">
        <f>IF(D387=0,"Medición",IF(D387=1,"Daño físico",IF(D387=2,"Fuga",IF(D387=3,"Picado",IF(D387=4,"Desfasado",IF(D387=5,"Paralizado","¿?"))))))</f>
        <v/>
      </c>
    </row>
    <row r="388">
      <c r="A388" s="82">
        <f>'ERROR FINAL'!A391</f>
        <v/>
      </c>
      <c r="B388" s="83">
        <f>'ERROR FINAL'!D391</f>
        <v/>
      </c>
      <c r="C388" s="344">
        <f>'ERROR FINAL'!G391</f>
        <v/>
      </c>
      <c r="D388" s="85">
        <f>'ERROR FINAL'!I391</f>
        <v/>
      </c>
      <c r="E388" s="345">
        <f>'ERROR FINAL'!U391</f>
        <v/>
      </c>
      <c r="F388" s="346">
        <f>'ERROR FINAL'!AG391</f>
        <v/>
      </c>
      <c r="G388" s="346">
        <f>'ERROR FINAL'!AS391</f>
        <v/>
      </c>
      <c r="H388" s="88">
        <f>IF('ERROR FINAL'!AT391="CONFORME","CONFORME","NO CONFORME")</f>
        <v/>
      </c>
      <c r="I388" s="89">
        <f>IF(D388=0,"Medición",IF(D388=1,"Daño físico",IF(D388=2,"Fuga",IF(D388=3,"Picado",IF(D388=4,"Desfasado",IF(D388=5,"Paralizado","¿?"))))))</f>
        <v/>
      </c>
    </row>
    <row r="389">
      <c r="A389" s="82">
        <f>'ERROR FINAL'!A392</f>
        <v/>
      </c>
      <c r="B389" s="83">
        <f>'ERROR FINAL'!D392</f>
        <v/>
      </c>
      <c r="C389" s="344">
        <f>'ERROR FINAL'!G392</f>
        <v/>
      </c>
      <c r="D389" s="85">
        <f>'ERROR FINAL'!I392</f>
        <v/>
      </c>
      <c r="E389" s="345">
        <f>'ERROR FINAL'!U392</f>
        <v/>
      </c>
      <c r="F389" s="346">
        <f>'ERROR FINAL'!AG392</f>
        <v/>
      </c>
      <c r="G389" s="346">
        <f>'ERROR FINAL'!AS392</f>
        <v/>
      </c>
      <c r="H389" s="88">
        <f>IF('ERROR FINAL'!AT392="CONFORME","CONFORME","NO CONFORME")</f>
        <v/>
      </c>
      <c r="I389" s="89">
        <f>IF(D389=0,"Medición",IF(D389=1,"Daño físico",IF(D389=2,"Fuga",IF(D389=3,"Picado",IF(D389=4,"Desfasado",IF(D389=5,"Paralizado","¿?"))))))</f>
        <v/>
      </c>
    </row>
    <row r="390">
      <c r="A390" s="82">
        <f>'ERROR FINAL'!A393</f>
        <v/>
      </c>
      <c r="B390" s="83">
        <f>'ERROR FINAL'!D393</f>
        <v/>
      </c>
      <c r="C390" s="344">
        <f>'ERROR FINAL'!G393</f>
        <v/>
      </c>
      <c r="D390" s="85">
        <f>'ERROR FINAL'!I393</f>
        <v/>
      </c>
      <c r="E390" s="345">
        <f>'ERROR FINAL'!U393</f>
        <v/>
      </c>
      <c r="F390" s="346">
        <f>'ERROR FINAL'!AG393</f>
        <v/>
      </c>
      <c r="G390" s="346">
        <f>'ERROR FINAL'!AS393</f>
        <v/>
      </c>
      <c r="H390" s="88">
        <f>IF('ERROR FINAL'!AT393="CONFORME","CONFORME","NO CONFORME")</f>
        <v/>
      </c>
      <c r="I390" s="89">
        <f>IF(D390=0,"Medición",IF(D390=1,"Daño físico",IF(D390=2,"Fuga",IF(D390=3,"Picado",IF(D390=4,"Desfasado",IF(D390=5,"Paralizado","¿?"))))))</f>
        <v/>
      </c>
    </row>
    <row r="391">
      <c r="A391" s="82">
        <f>'ERROR FINAL'!A394</f>
        <v/>
      </c>
      <c r="B391" s="83">
        <f>'ERROR FINAL'!D394</f>
        <v/>
      </c>
      <c r="C391" s="344">
        <f>'ERROR FINAL'!G394</f>
        <v/>
      </c>
      <c r="D391" s="85">
        <f>'ERROR FINAL'!I394</f>
        <v/>
      </c>
      <c r="E391" s="345">
        <f>'ERROR FINAL'!U394</f>
        <v/>
      </c>
      <c r="F391" s="346">
        <f>'ERROR FINAL'!AG394</f>
        <v/>
      </c>
      <c r="G391" s="346">
        <f>'ERROR FINAL'!AS394</f>
        <v/>
      </c>
      <c r="H391" s="88">
        <f>IF('ERROR FINAL'!AT394="CONFORME","CONFORME","NO CONFORME")</f>
        <v/>
      </c>
      <c r="I391" s="89">
        <f>IF(D391=0,"Medición",IF(D391=1,"Daño físico",IF(D391=2,"Fuga",IF(D391=3,"Picado",IF(D391=4,"Desfasado",IF(D391=5,"Paralizado","¿?"))))))</f>
        <v/>
      </c>
    </row>
    <row r="392">
      <c r="A392" s="82">
        <f>'ERROR FINAL'!A395</f>
        <v/>
      </c>
      <c r="B392" s="83">
        <f>'ERROR FINAL'!D395</f>
        <v/>
      </c>
      <c r="C392" s="344">
        <f>'ERROR FINAL'!G395</f>
        <v/>
      </c>
      <c r="D392" s="85">
        <f>'ERROR FINAL'!I395</f>
        <v/>
      </c>
      <c r="E392" s="345">
        <f>'ERROR FINAL'!U395</f>
        <v/>
      </c>
      <c r="F392" s="346">
        <f>'ERROR FINAL'!AG395</f>
        <v/>
      </c>
      <c r="G392" s="346">
        <f>'ERROR FINAL'!AS395</f>
        <v/>
      </c>
      <c r="H392" s="88">
        <f>IF('ERROR FINAL'!AT395="CONFORME","CONFORME","NO CONFORME")</f>
        <v/>
      </c>
      <c r="I392" s="89">
        <f>IF(D392=0,"Medición",IF(D392=1,"Daño físico",IF(D392=2,"Fuga",IF(D392=3,"Picado",IF(D392=4,"Desfasado",IF(D392=5,"Paralizado","¿?"))))))</f>
        <v/>
      </c>
    </row>
    <row r="393">
      <c r="A393" s="82">
        <f>'ERROR FINAL'!A396</f>
        <v/>
      </c>
      <c r="B393" s="83">
        <f>'ERROR FINAL'!D396</f>
        <v/>
      </c>
      <c r="C393" s="344">
        <f>'ERROR FINAL'!G396</f>
        <v/>
      </c>
      <c r="D393" s="85">
        <f>'ERROR FINAL'!I396</f>
        <v/>
      </c>
      <c r="E393" s="345">
        <f>'ERROR FINAL'!U396</f>
        <v/>
      </c>
      <c r="F393" s="346">
        <f>'ERROR FINAL'!AG396</f>
        <v/>
      </c>
      <c r="G393" s="346">
        <f>'ERROR FINAL'!AS396</f>
        <v/>
      </c>
      <c r="H393" s="88">
        <f>IF('ERROR FINAL'!AT396="CONFORME","CONFORME","NO CONFORME")</f>
        <v/>
      </c>
      <c r="I393" s="89">
        <f>IF(D393=0,"Medición",IF(D393=1,"Daño físico",IF(D393=2,"Fuga",IF(D393=3,"Picado",IF(D393=4,"Desfasado",IF(D393=5,"Paralizado","¿?"))))))</f>
        <v/>
      </c>
    </row>
    <row r="394">
      <c r="A394" s="82">
        <f>'ERROR FINAL'!A397</f>
        <v/>
      </c>
      <c r="B394" s="83">
        <f>'ERROR FINAL'!D397</f>
        <v/>
      </c>
      <c r="C394" s="344">
        <f>'ERROR FINAL'!G397</f>
        <v/>
      </c>
      <c r="D394" s="85">
        <f>'ERROR FINAL'!I397</f>
        <v/>
      </c>
      <c r="E394" s="345">
        <f>'ERROR FINAL'!U397</f>
        <v/>
      </c>
      <c r="F394" s="346">
        <f>'ERROR FINAL'!AG397</f>
        <v/>
      </c>
      <c r="G394" s="346">
        <f>'ERROR FINAL'!AS397</f>
        <v/>
      </c>
      <c r="H394" s="88">
        <f>IF('ERROR FINAL'!AT397="CONFORME","CONFORME","NO CONFORME")</f>
        <v/>
      </c>
      <c r="I394" s="89">
        <f>IF(D394=0,"Medición",IF(D394=1,"Daño físico",IF(D394=2,"Fuga",IF(D394=3,"Picado",IF(D394=4,"Desfasado",IF(D394=5,"Paralizado","¿?"))))))</f>
        <v/>
      </c>
    </row>
    <row r="395">
      <c r="A395" s="82">
        <f>'ERROR FINAL'!A398</f>
        <v/>
      </c>
      <c r="B395" s="83">
        <f>'ERROR FINAL'!D398</f>
        <v/>
      </c>
      <c r="C395" s="344">
        <f>'ERROR FINAL'!G398</f>
        <v/>
      </c>
      <c r="D395" s="85">
        <f>'ERROR FINAL'!I398</f>
        <v/>
      </c>
      <c r="E395" s="345">
        <f>'ERROR FINAL'!U398</f>
        <v/>
      </c>
      <c r="F395" s="346">
        <f>'ERROR FINAL'!AG398</f>
        <v/>
      </c>
      <c r="G395" s="346">
        <f>'ERROR FINAL'!AS398</f>
        <v/>
      </c>
      <c r="H395" s="88">
        <f>IF('ERROR FINAL'!AT398="CONFORME","CONFORME","NO CONFORME")</f>
        <v/>
      </c>
      <c r="I395" s="89">
        <f>IF(D395=0,"Medición",IF(D395=1,"Daño físico",IF(D395=2,"Fuga",IF(D395=3,"Picado",IF(D395=4,"Desfasado",IF(D395=5,"Paralizado","¿?"))))))</f>
        <v/>
      </c>
    </row>
    <row r="396">
      <c r="A396" s="82">
        <f>'ERROR FINAL'!A399</f>
        <v/>
      </c>
      <c r="B396" s="83">
        <f>'ERROR FINAL'!D399</f>
        <v/>
      </c>
      <c r="C396" s="344">
        <f>'ERROR FINAL'!G399</f>
        <v/>
      </c>
      <c r="D396" s="85">
        <f>'ERROR FINAL'!I399</f>
        <v/>
      </c>
      <c r="E396" s="345">
        <f>'ERROR FINAL'!U399</f>
        <v/>
      </c>
      <c r="F396" s="346">
        <f>'ERROR FINAL'!AG399</f>
        <v/>
      </c>
      <c r="G396" s="346">
        <f>'ERROR FINAL'!AS399</f>
        <v/>
      </c>
      <c r="H396" s="88">
        <f>IF('ERROR FINAL'!AT399="CONFORME","CONFORME","NO CONFORME")</f>
        <v/>
      </c>
      <c r="I396" s="89">
        <f>IF(D396=0,"Medición",IF(D396=1,"Daño físico",IF(D396=2,"Fuga",IF(D396=3,"Picado",IF(D396=4,"Desfasado",IF(D396=5,"Paralizado","¿?"))))))</f>
        <v/>
      </c>
    </row>
    <row r="397">
      <c r="A397" s="82">
        <f>'ERROR FINAL'!A400</f>
        <v/>
      </c>
      <c r="B397" s="83">
        <f>'ERROR FINAL'!D400</f>
        <v/>
      </c>
      <c r="C397" s="344">
        <f>'ERROR FINAL'!G400</f>
        <v/>
      </c>
      <c r="D397" s="85">
        <f>'ERROR FINAL'!I400</f>
        <v/>
      </c>
      <c r="E397" s="345">
        <f>'ERROR FINAL'!U400</f>
        <v/>
      </c>
      <c r="F397" s="346">
        <f>'ERROR FINAL'!AG400</f>
        <v/>
      </c>
      <c r="G397" s="346">
        <f>'ERROR FINAL'!AS400</f>
        <v/>
      </c>
      <c r="H397" s="88">
        <f>IF('ERROR FINAL'!AT400="CONFORME","CONFORME","NO CONFORME")</f>
        <v/>
      </c>
      <c r="I397" s="89">
        <f>IF(D397=0,"Medición",IF(D397=1,"Daño físico",IF(D397=2,"Fuga",IF(D397=3,"Picado",IF(D397=4,"Desfasado",IF(D397=5,"Paralizado","¿?"))))))</f>
        <v/>
      </c>
    </row>
    <row r="398">
      <c r="A398" s="82">
        <f>'ERROR FINAL'!A401</f>
        <v/>
      </c>
      <c r="B398" s="83">
        <f>'ERROR FINAL'!D401</f>
        <v/>
      </c>
      <c r="C398" s="344">
        <f>'ERROR FINAL'!G401</f>
        <v/>
      </c>
      <c r="D398" s="85">
        <f>'ERROR FINAL'!I401</f>
        <v/>
      </c>
      <c r="E398" s="345">
        <f>'ERROR FINAL'!U401</f>
        <v/>
      </c>
      <c r="F398" s="346">
        <f>'ERROR FINAL'!AG401</f>
        <v/>
      </c>
      <c r="G398" s="346">
        <f>'ERROR FINAL'!AS401</f>
        <v/>
      </c>
      <c r="H398" s="88">
        <f>IF('ERROR FINAL'!AT401="CONFORME","CONFORME","NO CONFORME")</f>
        <v/>
      </c>
      <c r="I398" s="89">
        <f>IF(D398=0,"Medición",IF(D398=1,"Daño físico",IF(D398=2,"Fuga",IF(D398=3,"Picado",IF(D398=4,"Desfasado",IF(D398=5,"Paralizado","¿?"))))))</f>
        <v/>
      </c>
    </row>
    <row r="399">
      <c r="A399" s="82">
        <f>'ERROR FINAL'!A402</f>
        <v/>
      </c>
      <c r="B399" s="83">
        <f>'ERROR FINAL'!D402</f>
        <v/>
      </c>
      <c r="C399" s="344">
        <f>'ERROR FINAL'!G402</f>
        <v/>
      </c>
      <c r="D399" s="85">
        <f>'ERROR FINAL'!I402</f>
        <v/>
      </c>
      <c r="E399" s="345">
        <f>'ERROR FINAL'!U402</f>
        <v/>
      </c>
      <c r="F399" s="346">
        <f>'ERROR FINAL'!AG402</f>
        <v/>
      </c>
      <c r="G399" s="346">
        <f>'ERROR FINAL'!AS402</f>
        <v/>
      </c>
      <c r="H399" s="88">
        <f>IF('ERROR FINAL'!AT402="CONFORME","CONFORME","NO CONFORME")</f>
        <v/>
      </c>
      <c r="I399" s="89">
        <f>IF(D399=0,"Medición",IF(D399=1,"Daño físico",IF(D399=2,"Fuga",IF(D399=3,"Picado",IF(D399=4,"Desfasado",IF(D399=5,"Paralizado","¿?"))))))</f>
        <v/>
      </c>
    </row>
    <row r="400">
      <c r="A400" s="82">
        <f>'ERROR FINAL'!A403</f>
        <v/>
      </c>
      <c r="B400" s="83">
        <f>'ERROR FINAL'!D403</f>
        <v/>
      </c>
      <c r="C400" s="344">
        <f>'ERROR FINAL'!G403</f>
        <v/>
      </c>
      <c r="D400" s="85">
        <f>'ERROR FINAL'!I403</f>
        <v/>
      </c>
      <c r="E400" s="345">
        <f>'ERROR FINAL'!U403</f>
        <v/>
      </c>
      <c r="F400" s="346">
        <f>'ERROR FINAL'!AG403</f>
        <v/>
      </c>
      <c r="G400" s="346">
        <f>'ERROR FINAL'!AS403</f>
        <v/>
      </c>
      <c r="H400" s="88">
        <f>IF('ERROR FINAL'!AT403="CONFORME","CONFORME","NO CONFORME")</f>
        <v/>
      </c>
      <c r="I400" s="89">
        <f>IF(D400=0,"Medición",IF(D400=1,"Daño físico",IF(D400=2,"Fuga",IF(D400=3,"Picado",IF(D400=4,"Desfasado",IF(D400=5,"Paralizado","¿?"))))))</f>
        <v/>
      </c>
    </row>
    <row r="401">
      <c r="A401" s="82">
        <f>'ERROR FINAL'!A404</f>
        <v/>
      </c>
      <c r="B401" s="83">
        <f>'ERROR FINAL'!D404</f>
        <v/>
      </c>
      <c r="C401" s="344">
        <f>'ERROR FINAL'!G404</f>
        <v/>
      </c>
      <c r="D401" s="85">
        <f>'ERROR FINAL'!I404</f>
        <v/>
      </c>
      <c r="E401" s="345">
        <f>'ERROR FINAL'!U404</f>
        <v/>
      </c>
      <c r="F401" s="346">
        <f>'ERROR FINAL'!AG404</f>
        <v/>
      </c>
      <c r="G401" s="346">
        <f>'ERROR FINAL'!AS404</f>
        <v/>
      </c>
      <c r="H401" s="88">
        <f>IF('ERROR FINAL'!AT404="CONFORME","CONFORME","NO CONFORME")</f>
        <v/>
      </c>
      <c r="I401" s="89">
        <f>IF(D401=0,"Medición",IF(D401=1,"Daño físico",IF(D401=2,"Fuga",IF(D401=3,"Picado",IF(D401=4,"Desfasado",IF(D401=5,"Paralizado","¿?"))))))</f>
        <v/>
      </c>
    </row>
    <row r="402">
      <c r="A402" s="82">
        <f>'ERROR FINAL'!A405</f>
        <v/>
      </c>
      <c r="B402" s="83">
        <f>'ERROR FINAL'!D405</f>
        <v/>
      </c>
      <c r="C402" s="344">
        <f>'ERROR FINAL'!G405</f>
        <v/>
      </c>
      <c r="D402" s="85">
        <f>'ERROR FINAL'!I405</f>
        <v/>
      </c>
      <c r="E402" s="345">
        <f>'ERROR FINAL'!U405</f>
        <v/>
      </c>
      <c r="F402" s="346">
        <f>'ERROR FINAL'!AG405</f>
        <v/>
      </c>
      <c r="G402" s="346">
        <f>'ERROR FINAL'!AS405</f>
        <v/>
      </c>
      <c r="H402" s="88">
        <f>IF('ERROR FINAL'!AT405="CONFORME","CONFORME","NO CONFORME")</f>
        <v/>
      </c>
      <c r="I402" s="89">
        <f>IF(D402=0,"Medición",IF(D402=1,"Daño físico",IF(D402=2,"Fuga",IF(D402=3,"Picado",IF(D402=4,"Desfasado",IF(D402=5,"Paralizado","¿?"))))))</f>
        <v/>
      </c>
    </row>
    <row r="403">
      <c r="A403" s="82">
        <f>'ERROR FINAL'!A406</f>
        <v/>
      </c>
      <c r="B403" s="83">
        <f>'ERROR FINAL'!D406</f>
        <v/>
      </c>
      <c r="C403" s="344">
        <f>'ERROR FINAL'!G406</f>
        <v/>
      </c>
      <c r="D403" s="85">
        <f>'ERROR FINAL'!I406</f>
        <v/>
      </c>
      <c r="E403" s="345">
        <f>'ERROR FINAL'!U406</f>
        <v/>
      </c>
      <c r="F403" s="346">
        <f>'ERROR FINAL'!AG406</f>
        <v/>
      </c>
      <c r="G403" s="346">
        <f>'ERROR FINAL'!AS406</f>
        <v/>
      </c>
      <c r="H403" s="88">
        <f>IF('ERROR FINAL'!AT406="CONFORME","CONFORME","NO CONFORME")</f>
        <v/>
      </c>
      <c r="I403" s="89">
        <f>IF(D403=0,"Medición",IF(D403=1,"Daño físico",IF(D403=2,"Fuga",IF(D403=3,"Picado",IF(D403=4,"Desfasado",IF(D403=5,"Paralizado","¿?"))))))</f>
        <v/>
      </c>
    </row>
    <row r="404">
      <c r="A404" s="82">
        <f>'ERROR FINAL'!A407</f>
        <v/>
      </c>
      <c r="B404" s="83">
        <f>'ERROR FINAL'!D407</f>
        <v/>
      </c>
      <c r="C404" s="344">
        <f>'ERROR FINAL'!G407</f>
        <v/>
      </c>
      <c r="D404" s="85">
        <f>'ERROR FINAL'!I407</f>
        <v/>
      </c>
      <c r="E404" s="345">
        <f>'ERROR FINAL'!U407</f>
        <v/>
      </c>
      <c r="F404" s="346">
        <f>'ERROR FINAL'!AG407</f>
        <v/>
      </c>
      <c r="G404" s="346">
        <f>'ERROR FINAL'!AS407</f>
        <v/>
      </c>
      <c r="H404" s="88">
        <f>IF('ERROR FINAL'!AT407="CONFORME","CONFORME","NO CONFORME")</f>
        <v/>
      </c>
      <c r="I404" s="89">
        <f>IF(D404=0,"Medición",IF(D404=1,"Daño físico",IF(D404=2,"Fuga",IF(D404=3,"Picado",IF(D404=4,"Desfasado",IF(D404=5,"Paralizado","¿?"))))))</f>
        <v/>
      </c>
    </row>
    <row r="405">
      <c r="A405" s="82">
        <f>'ERROR FINAL'!A408</f>
        <v/>
      </c>
      <c r="B405" s="83">
        <f>'ERROR FINAL'!D408</f>
        <v/>
      </c>
      <c r="C405" s="344">
        <f>'ERROR FINAL'!G408</f>
        <v/>
      </c>
      <c r="D405" s="85">
        <f>'ERROR FINAL'!I408</f>
        <v/>
      </c>
      <c r="E405" s="345">
        <f>'ERROR FINAL'!U408</f>
        <v/>
      </c>
      <c r="F405" s="346">
        <f>'ERROR FINAL'!AG408</f>
        <v/>
      </c>
      <c r="G405" s="346">
        <f>'ERROR FINAL'!AS408</f>
        <v/>
      </c>
      <c r="H405" s="88">
        <f>IF('ERROR FINAL'!AT408="CONFORME","CONFORME","NO CONFORME")</f>
        <v/>
      </c>
      <c r="I405" s="89">
        <f>IF(D405=0,"Medición",IF(D405=1,"Daño físico",IF(D405=2,"Fuga",IF(D405=3,"Picado",IF(D405=4,"Desfasado",IF(D405=5,"Paralizado","¿?"))))))</f>
        <v/>
      </c>
    </row>
    <row r="406">
      <c r="A406" s="82">
        <f>'ERROR FINAL'!A409</f>
        <v/>
      </c>
      <c r="B406" s="83">
        <f>'ERROR FINAL'!D409</f>
        <v/>
      </c>
      <c r="C406" s="344">
        <f>'ERROR FINAL'!G409</f>
        <v/>
      </c>
      <c r="D406" s="85">
        <f>'ERROR FINAL'!I409</f>
        <v/>
      </c>
      <c r="E406" s="345">
        <f>'ERROR FINAL'!U409</f>
        <v/>
      </c>
      <c r="F406" s="346">
        <f>'ERROR FINAL'!AG409</f>
        <v/>
      </c>
      <c r="G406" s="346">
        <f>'ERROR FINAL'!AS409</f>
        <v/>
      </c>
      <c r="H406" s="88">
        <f>IF('ERROR FINAL'!AT409="CONFORME","CONFORME","NO CONFORME")</f>
        <v/>
      </c>
      <c r="I406" s="89">
        <f>IF(D406=0,"Medición",IF(D406=1,"Daño físico",IF(D406=2,"Fuga",IF(D406=3,"Picado",IF(D406=4,"Desfasado",IF(D406=5,"Paralizado","¿?"))))))</f>
        <v/>
      </c>
    </row>
    <row r="407">
      <c r="A407" s="82">
        <f>'ERROR FINAL'!A410</f>
        <v/>
      </c>
      <c r="B407" s="83">
        <f>'ERROR FINAL'!D410</f>
        <v/>
      </c>
      <c r="C407" s="344">
        <f>'ERROR FINAL'!G410</f>
        <v/>
      </c>
      <c r="D407" s="85">
        <f>'ERROR FINAL'!I410</f>
        <v/>
      </c>
      <c r="E407" s="345">
        <f>'ERROR FINAL'!U410</f>
        <v/>
      </c>
      <c r="F407" s="346">
        <f>'ERROR FINAL'!AG410</f>
        <v/>
      </c>
      <c r="G407" s="346">
        <f>'ERROR FINAL'!AS410</f>
        <v/>
      </c>
      <c r="H407" s="88">
        <f>IF('ERROR FINAL'!AT410="CONFORME","CONFORME","NO CONFORME")</f>
        <v/>
      </c>
      <c r="I407" s="89">
        <f>IF(D407=0,"Medición",IF(D407=1,"Daño físico",IF(D407=2,"Fuga",IF(D407=3,"Picado",IF(D407=4,"Desfasado",IF(D407=5,"Paralizado","¿?"))))))</f>
        <v/>
      </c>
    </row>
    <row r="408">
      <c r="A408" s="82">
        <f>'ERROR FINAL'!A411</f>
        <v/>
      </c>
      <c r="B408" s="83">
        <f>'ERROR FINAL'!D411</f>
        <v/>
      </c>
      <c r="C408" s="344">
        <f>'ERROR FINAL'!G411</f>
        <v/>
      </c>
      <c r="D408" s="85">
        <f>'ERROR FINAL'!I411</f>
        <v/>
      </c>
      <c r="E408" s="345">
        <f>'ERROR FINAL'!U411</f>
        <v/>
      </c>
      <c r="F408" s="346">
        <f>'ERROR FINAL'!AG411</f>
        <v/>
      </c>
      <c r="G408" s="346">
        <f>'ERROR FINAL'!AS411</f>
        <v/>
      </c>
      <c r="H408" s="88">
        <f>IF('ERROR FINAL'!AT411="CONFORME","CONFORME","NO CONFORME")</f>
        <v/>
      </c>
      <c r="I408" s="89">
        <f>IF(D408=0,"Medición",IF(D408=1,"Daño físico",IF(D408=2,"Fuga",IF(D408=3,"Picado",IF(D408=4,"Desfasado",IF(D408=5,"Paralizado","¿?"))))))</f>
        <v/>
      </c>
    </row>
    <row r="409">
      <c r="A409" s="82">
        <f>'ERROR FINAL'!A412</f>
        <v/>
      </c>
      <c r="B409" s="83">
        <f>'ERROR FINAL'!D412</f>
        <v/>
      </c>
      <c r="C409" s="344">
        <f>'ERROR FINAL'!G412</f>
        <v/>
      </c>
      <c r="D409" s="85">
        <f>'ERROR FINAL'!I412</f>
        <v/>
      </c>
      <c r="E409" s="345">
        <f>'ERROR FINAL'!U412</f>
        <v/>
      </c>
      <c r="F409" s="346">
        <f>'ERROR FINAL'!AG412</f>
        <v/>
      </c>
      <c r="G409" s="346">
        <f>'ERROR FINAL'!AS412</f>
        <v/>
      </c>
      <c r="H409" s="88">
        <f>IF('ERROR FINAL'!AT412="CONFORME","CONFORME","NO CONFORME")</f>
        <v/>
      </c>
      <c r="I409" s="89">
        <f>IF(D409=0,"Medición",IF(D409=1,"Daño físico",IF(D409=2,"Fuga",IF(D409=3,"Picado",IF(D409=4,"Desfasado",IF(D409=5,"Paralizado","¿?"))))))</f>
        <v/>
      </c>
    </row>
    <row r="410">
      <c r="A410" s="82">
        <f>'ERROR FINAL'!A413</f>
        <v/>
      </c>
      <c r="B410" s="83">
        <f>'ERROR FINAL'!D413</f>
        <v/>
      </c>
      <c r="C410" s="344">
        <f>'ERROR FINAL'!G413</f>
        <v/>
      </c>
      <c r="D410" s="85">
        <f>'ERROR FINAL'!I413</f>
        <v/>
      </c>
      <c r="E410" s="345">
        <f>'ERROR FINAL'!U413</f>
        <v/>
      </c>
      <c r="F410" s="346">
        <f>'ERROR FINAL'!AG413</f>
        <v/>
      </c>
      <c r="G410" s="346">
        <f>'ERROR FINAL'!AS413</f>
        <v/>
      </c>
      <c r="H410" s="88">
        <f>IF('ERROR FINAL'!AT413="CONFORME","CONFORME","NO CONFORME")</f>
        <v/>
      </c>
      <c r="I410" s="89">
        <f>IF(D410=0,"Medición",IF(D410=1,"Daño físico",IF(D410=2,"Fuga",IF(D410=3,"Picado",IF(D410=4,"Desfasado",IF(D410=5,"Paralizado","¿?"))))))</f>
        <v/>
      </c>
    </row>
    <row r="411">
      <c r="A411" s="82">
        <f>'ERROR FINAL'!A414</f>
        <v/>
      </c>
      <c r="B411" s="83">
        <f>'ERROR FINAL'!D414</f>
        <v/>
      </c>
      <c r="C411" s="344">
        <f>'ERROR FINAL'!G414</f>
        <v/>
      </c>
      <c r="D411" s="85">
        <f>'ERROR FINAL'!I414</f>
        <v/>
      </c>
      <c r="E411" s="345">
        <f>'ERROR FINAL'!U414</f>
        <v/>
      </c>
      <c r="F411" s="346">
        <f>'ERROR FINAL'!AG414</f>
        <v/>
      </c>
      <c r="G411" s="346">
        <f>'ERROR FINAL'!AS414</f>
        <v/>
      </c>
      <c r="H411" s="88">
        <f>IF('ERROR FINAL'!AT414="CONFORME","CONFORME","NO CONFORME")</f>
        <v/>
      </c>
      <c r="I411" s="89">
        <f>IF(D411=0,"Medición",IF(D411=1,"Daño físico",IF(D411=2,"Fuga",IF(D411=3,"Picado",IF(D411=4,"Desfasado",IF(D411=5,"Paralizado","¿?"))))))</f>
        <v/>
      </c>
    </row>
    <row r="412">
      <c r="A412" s="82">
        <f>'ERROR FINAL'!A415</f>
        <v/>
      </c>
      <c r="B412" s="83">
        <f>'ERROR FINAL'!D415</f>
        <v/>
      </c>
      <c r="C412" s="344">
        <f>'ERROR FINAL'!G415</f>
        <v/>
      </c>
      <c r="D412" s="85">
        <f>'ERROR FINAL'!I415</f>
        <v/>
      </c>
      <c r="E412" s="345">
        <f>'ERROR FINAL'!U415</f>
        <v/>
      </c>
      <c r="F412" s="346">
        <f>'ERROR FINAL'!AG415</f>
        <v/>
      </c>
      <c r="G412" s="346">
        <f>'ERROR FINAL'!AS415</f>
        <v/>
      </c>
      <c r="H412" s="88">
        <f>IF('ERROR FINAL'!AT415="CONFORME","CONFORME","NO CONFORME")</f>
        <v/>
      </c>
      <c r="I412" s="89">
        <f>IF(D412=0,"Medición",IF(D412=1,"Daño físico",IF(D412=2,"Fuga",IF(D412=3,"Picado",IF(D412=4,"Desfasado",IF(D412=5,"Paralizado","¿?"))))))</f>
        <v/>
      </c>
    </row>
    <row r="413">
      <c r="A413" s="82">
        <f>'ERROR FINAL'!A416</f>
        <v/>
      </c>
      <c r="B413" s="83">
        <f>'ERROR FINAL'!D416</f>
        <v/>
      </c>
      <c r="C413" s="344">
        <f>'ERROR FINAL'!G416</f>
        <v/>
      </c>
      <c r="D413" s="85">
        <f>'ERROR FINAL'!I416</f>
        <v/>
      </c>
      <c r="E413" s="345">
        <f>'ERROR FINAL'!U416</f>
        <v/>
      </c>
      <c r="F413" s="346">
        <f>'ERROR FINAL'!AG416</f>
        <v/>
      </c>
      <c r="G413" s="346">
        <f>'ERROR FINAL'!AS416</f>
        <v/>
      </c>
      <c r="H413" s="88">
        <f>IF('ERROR FINAL'!AT416="CONFORME","CONFORME","NO CONFORME")</f>
        <v/>
      </c>
      <c r="I413" s="89">
        <f>IF(D413=0,"Medición",IF(D413=1,"Daño físico",IF(D413=2,"Fuga",IF(D413=3,"Picado",IF(D413=4,"Desfasado",IF(D413=5,"Paralizado","¿?"))))))</f>
        <v/>
      </c>
    </row>
    <row r="414">
      <c r="A414" s="82">
        <f>'ERROR FINAL'!A417</f>
        <v/>
      </c>
      <c r="B414" s="83">
        <f>'ERROR FINAL'!D417</f>
        <v/>
      </c>
      <c r="C414" s="344">
        <f>'ERROR FINAL'!G417</f>
        <v/>
      </c>
      <c r="D414" s="85">
        <f>'ERROR FINAL'!I417</f>
        <v/>
      </c>
      <c r="E414" s="345">
        <f>'ERROR FINAL'!U417</f>
        <v/>
      </c>
      <c r="F414" s="346">
        <f>'ERROR FINAL'!AG417</f>
        <v/>
      </c>
      <c r="G414" s="346">
        <f>'ERROR FINAL'!AS417</f>
        <v/>
      </c>
      <c r="H414" s="88">
        <f>IF('ERROR FINAL'!AT417="CONFORME","CONFORME","NO CONFORME")</f>
        <v/>
      </c>
      <c r="I414" s="89">
        <f>IF(D414=0,"Medición",IF(D414=1,"Daño físico",IF(D414=2,"Fuga",IF(D414=3,"Picado",IF(D414=4,"Desfasado",IF(D414=5,"Paralizado","¿?"))))))</f>
        <v/>
      </c>
    </row>
    <row r="415">
      <c r="A415" s="82">
        <f>'ERROR FINAL'!A418</f>
        <v/>
      </c>
      <c r="B415" s="83">
        <f>'ERROR FINAL'!D418</f>
        <v/>
      </c>
      <c r="C415" s="344">
        <f>'ERROR FINAL'!G418</f>
        <v/>
      </c>
      <c r="D415" s="85">
        <f>'ERROR FINAL'!I418</f>
        <v/>
      </c>
      <c r="E415" s="345">
        <f>'ERROR FINAL'!U418</f>
        <v/>
      </c>
      <c r="F415" s="346">
        <f>'ERROR FINAL'!AG418</f>
        <v/>
      </c>
      <c r="G415" s="346">
        <f>'ERROR FINAL'!AS418</f>
        <v/>
      </c>
      <c r="H415" s="88">
        <f>IF('ERROR FINAL'!AT418="CONFORME","CONFORME","NO CONFORME")</f>
        <v/>
      </c>
      <c r="I415" s="89">
        <f>IF(D415=0,"Medición",IF(D415=1,"Daño físico",IF(D415=2,"Fuga",IF(D415=3,"Picado",IF(D415=4,"Desfasado",IF(D415=5,"Paralizado","¿?"))))))</f>
        <v/>
      </c>
    </row>
    <row r="416">
      <c r="A416" s="82">
        <f>'ERROR FINAL'!A419</f>
        <v/>
      </c>
      <c r="B416" s="83">
        <f>'ERROR FINAL'!D419</f>
        <v/>
      </c>
      <c r="C416" s="344">
        <f>'ERROR FINAL'!G419</f>
        <v/>
      </c>
      <c r="D416" s="85">
        <f>'ERROR FINAL'!I419</f>
        <v/>
      </c>
      <c r="E416" s="345">
        <f>'ERROR FINAL'!U419</f>
        <v/>
      </c>
      <c r="F416" s="346">
        <f>'ERROR FINAL'!AG419</f>
        <v/>
      </c>
      <c r="G416" s="346">
        <f>'ERROR FINAL'!AS419</f>
        <v/>
      </c>
      <c r="H416" s="88">
        <f>IF('ERROR FINAL'!AT419="CONFORME","CONFORME","NO CONFORME")</f>
        <v/>
      </c>
      <c r="I416" s="89">
        <f>IF(D416=0,"Medición",IF(D416=1,"Daño físico",IF(D416=2,"Fuga",IF(D416=3,"Picado",IF(D416=4,"Desfasado",IF(D416=5,"Paralizado","¿?"))))))</f>
        <v/>
      </c>
    </row>
    <row r="417">
      <c r="A417" s="82">
        <f>'ERROR FINAL'!A420</f>
        <v/>
      </c>
      <c r="B417" s="83">
        <f>'ERROR FINAL'!D420</f>
        <v/>
      </c>
      <c r="C417" s="344">
        <f>'ERROR FINAL'!G420</f>
        <v/>
      </c>
      <c r="D417" s="85">
        <f>'ERROR FINAL'!I420</f>
        <v/>
      </c>
      <c r="E417" s="345">
        <f>'ERROR FINAL'!U420</f>
        <v/>
      </c>
      <c r="F417" s="346">
        <f>'ERROR FINAL'!AG420</f>
        <v/>
      </c>
      <c r="G417" s="346">
        <f>'ERROR FINAL'!AS420</f>
        <v/>
      </c>
      <c r="H417" s="88">
        <f>IF('ERROR FINAL'!AT420="CONFORME","CONFORME","NO CONFORME")</f>
        <v/>
      </c>
      <c r="I417" s="89">
        <f>IF(D417=0,"Medición",IF(D417=1,"Daño físico",IF(D417=2,"Fuga",IF(D417=3,"Picado",IF(D417=4,"Desfasado",IF(D417=5,"Paralizado","¿?"))))))</f>
        <v/>
      </c>
    </row>
    <row r="418">
      <c r="A418" s="82">
        <f>'ERROR FINAL'!A421</f>
        <v/>
      </c>
      <c r="B418" s="83">
        <f>'ERROR FINAL'!D421</f>
        <v/>
      </c>
      <c r="C418" s="344">
        <f>'ERROR FINAL'!G421</f>
        <v/>
      </c>
      <c r="D418" s="85">
        <f>'ERROR FINAL'!I421</f>
        <v/>
      </c>
      <c r="E418" s="345">
        <f>'ERROR FINAL'!U421</f>
        <v/>
      </c>
      <c r="F418" s="346">
        <f>'ERROR FINAL'!AG421</f>
        <v/>
      </c>
      <c r="G418" s="346">
        <f>'ERROR FINAL'!AS421</f>
        <v/>
      </c>
      <c r="H418" s="88">
        <f>IF('ERROR FINAL'!AT421="CONFORME","CONFORME","NO CONFORME")</f>
        <v/>
      </c>
      <c r="I418" s="89">
        <f>IF(D418=0,"Medición",IF(D418=1,"Daño físico",IF(D418=2,"Fuga",IF(D418=3,"Picado",IF(D418=4,"Desfasado",IF(D418=5,"Paralizado","¿?"))))))</f>
        <v/>
      </c>
    </row>
    <row r="419">
      <c r="A419" s="82">
        <f>'ERROR FINAL'!A422</f>
        <v/>
      </c>
      <c r="B419" s="83">
        <f>'ERROR FINAL'!D422</f>
        <v/>
      </c>
      <c r="C419" s="344">
        <f>'ERROR FINAL'!G422</f>
        <v/>
      </c>
      <c r="D419" s="85">
        <f>'ERROR FINAL'!I422</f>
        <v/>
      </c>
      <c r="E419" s="345">
        <f>'ERROR FINAL'!U422</f>
        <v/>
      </c>
      <c r="F419" s="346">
        <f>'ERROR FINAL'!AG422</f>
        <v/>
      </c>
      <c r="G419" s="346">
        <f>'ERROR FINAL'!AS422</f>
        <v/>
      </c>
      <c r="H419" s="88">
        <f>IF('ERROR FINAL'!AT422="CONFORME","CONFORME","NO CONFORME")</f>
        <v/>
      </c>
      <c r="I419" s="89">
        <f>IF(D419=0,"Medición",IF(D419=1,"Daño físico",IF(D419=2,"Fuga",IF(D419=3,"Picado",IF(D419=4,"Desfasado",IF(D419=5,"Paralizado","¿?"))))))</f>
        <v/>
      </c>
    </row>
    <row r="420">
      <c r="A420" s="82">
        <f>'ERROR FINAL'!A423</f>
        <v/>
      </c>
      <c r="B420" s="83">
        <f>'ERROR FINAL'!D423</f>
        <v/>
      </c>
      <c r="C420" s="344">
        <f>'ERROR FINAL'!G423</f>
        <v/>
      </c>
      <c r="D420" s="85">
        <f>'ERROR FINAL'!I423</f>
        <v/>
      </c>
      <c r="E420" s="345">
        <f>'ERROR FINAL'!U423</f>
        <v/>
      </c>
      <c r="F420" s="346">
        <f>'ERROR FINAL'!AG423</f>
        <v/>
      </c>
      <c r="G420" s="346">
        <f>'ERROR FINAL'!AS423</f>
        <v/>
      </c>
      <c r="H420" s="88">
        <f>IF('ERROR FINAL'!AT423="CONFORME","CONFORME","NO CONFORME")</f>
        <v/>
      </c>
      <c r="I420" s="89">
        <f>IF(D420=0,"Medición",IF(D420=1,"Daño físico",IF(D420=2,"Fuga",IF(D420=3,"Picado",IF(D420=4,"Desfasado",IF(D420=5,"Paralizado","¿?"))))))</f>
        <v/>
      </c>
    </row>
    <row r="421">
      <c r="A421" s="82">
        <f>'ERROR FINAL'!A424</f>
        <v/>
      </c>
      <c r="B421" s="83">
        <f>'ERROR FINAL'!D424</f>
        <v/>
      </c>
      <c r="C421" s="344">
        <f>'ERROR FINAL'!G424</f>
        <v/>
      </c>
      <c r="D421" s="85">
        <f>'ERROR FINAL'!I424</f>
        <v/>
      </c>
      <c r="E421" s="345">
        <f>'ERROR FINAL'!U424</f>
        <v/>
      </c>
      <c r="F421" s="346">
        <f>'ERROR FINAL'!AG424</f>
        <v/>
      </c>
      <c r="G421" s="346">
        <f>'ERROR FINAL'!AS424</f>
        <v/>
      </c>
      <c r="H421" s="88">
        <f>IF('ERROR FINAL'!AT424="CONFORME","CONFORME","NO CONFORME")</f>
        <v/>
      </c>
      <c r="I421" s="89">
        <f>IF(D421=0,"Medición",IF(D421=1,"Daño físico",IF(D421=2,"Fuga",IF(D421=3,"Picado",IF(D421=4,"Desfasado",IF(D421=5,"Paralizado","¿?"))))))</f>
        <v/>
      </c>
    </row>
    <row r="422">
      <c r="A422" s="82">
        <f>'ERROR FINAL'!A425</f>
        <v/>
      </c>
      <c r="B422" s="83">
        <f>'ERROR FINAL'!D425</f>
        <v/>
      </c>
      <c r="C422" s="344">
        <f>'ERROR FINAL'!G425</f>
        <v/>
      </c>
      <c r="D422" s="85">
        <f>'ERROR FINAL'!I425</f>
        <v/>
      </c>
      <c r="E422" s="345">
        <f>'ERROR FINAL'!U425</f>
        <v/>
      </c>
      <c r="F422" s="346">
        <f>'ERROR FINAL'!AG425</f>
        <v/>
      </c>
      <c r="G422" s="346">
        <f>'ERROR FINAL'!AS425</f>
        <v/>
      </c>
      <c r="H422" s="88">
        <f>IF('ERROR FINAL'!AT425="CONFORME","CONFORME","NO CONFORME")</f>
        <v/>
      </c>
      <c r="I422" s="89">
        <f>IF(D422=0,"Medición",IF(D422=1,"Daño físico",IF(D422=2,"Fuga",IF(D422=3,"Picado",IF(D422=4,"Desfasado",IF(D422=5,"Paralizado","¿?"))))))</f>
        <v/>
      </c>
    </row>
    <row r="423">
      <c r="A423" s="82">
        <f>'ERROR FINAL'!A426</f>
        <v/>
      </c>
      <c r="B423" s="83">
        <f>'ERROR FINAL'!D426</f>
        <v/>
      </c>
      <c r="C423" s="344">
        <f>'ERROR FINAL'!G426</f>
        <v/>
      </c>
      <c r="D423" s="85">
        <f>'ERROR FINAL'!I426</f>
        <v/>
      </c>
      <c r="E423" s="345">
        <f>'ERROR FINAL'!U426</f>
        <v/>
      </c>
      <c r="F423" s="346">
        <f>'ERROR FINAL'!AG426</f>
        <v/>
      </c>
      <c r="G423" s="346">
        <f>'ERROR FINAL'!AS426</f>
        <v/>
      </c>
      <c r="H423" s="88">
        <f>IF('ERROR FINAL'!AT426="CONFORME","CONFORME","NO CONFORME")</f>
        <v/>
      </c>
      <c r="I423" s="89">
        <f>IF(D423=0,"Medición",IF(D423=1,"Daño físico",IF(D423=2,"Fuga",IF(D423=3,"Picado",IF(D423=4,"Desfasado",IF(D423=5,"Paralizado","¿?"))))))</f>
        <v/>
      </c>
    </row>
    <row r="424">
      <c r="A424" s="82">
        <f>'ERROR FINAL'!A427</f>
        <v/>
      </c>
      <c r="B424" s="83">
        <f>'ERROR FINAL'!D427</f>
        <v/>
      </c>
      <c r="C424" s="344">
        <f>'ERROR FINAL'!G427</f>
        <v/>
      </c>
      <c r="D424" s="85">
        <f>'ERROR FINAL'!I427</f>
        <v/>
      </c>
      <c r="E424" s="345">
        <f>'ERROR FINAL'!U427</f>
        <v/>
      </c>
      <c r="F424" s="346">
        <f>'ERROR FINAL'!AG427</f>
        <v/>
      </c>
      <c r="G424" s="346">
        <f>'ERROR FINAL'!AS427</f>
        <v/>
      </c>
      <c r="H424" s="88">
        <f>IF('ERROR FINAL'!AT427="CONFORME","CONFORME","NO CONFORME")</f>
        <v/>
      </c>
      <c r="I424" s="89">
        <f>IF(D424=0,"Medición",IF(D424=1,"Daño físico",IF(D424=2,"Fuga",IF(D424=3,"Picado",IF(D424=4,"Desfasado",IF(D424=5,"Paralizado","¿?"))))))</f>
        <v/>
      </c>
    </row>
    <row r="425">
      <c r="A425" s="82">
        <f>'ERROR FINAL'!A428</f>
        <v/>
      </c>
      <c r="B425" s="83">
        <f>'ERROR FINAL'!D428</f>
        <v/>
      </c>
      <c r="C425" s="344">
        <f>'ERROR FINAL'!G428</f>
        <v/>
      </c>
      <c r="D425" s="85">
        <f>'ERROR FINAL'!I428</f>
        <v/>
      </c>
      <c r="E425" s="345">
        <f>'ERROR FINAL'!U428</f>
        <v/>
      </c>
      <c r="F425" s="346">
        <f>'ERROR FINAL'!AG428</f>
        <v/>
      </c>
      <c r="G425" s="346">
        <f>'ERROR FINAL'!AS428</f>
        <v/>
      </c>
      <c r="H425" s="88">
        <f>IF('ERROR FINAL'!AT428="CONFORME","CONFORME","NO CONFORME")</f>
        <v/>
      </c>
      <c r="I425" s="89">
        <f>IF(D425=0,"Medición",IF(D425=1,"Daño físico",IF(D425=2,"Fuga",IF(D425=3,"Picado",IF(D425=4,"Desfasado",IF(D425=5,"Paralizado","¿?"))))))</f>
        <v/>
      </c>
    </row>
    <row r="426">
      <c r="A426" s="82">
        <f>'ERROR FINAL'!A429</f>
        <v/>
      </c>
      <c r="B426" s="83">
        <f>'ERROR FINAL'!D429</f>
        <v/>
      </c>
      <c r="C426" s="344">
        <f>'ERROR FINAL'!G429</f>
        <v/>
      </c>
      <c r="D426" s="85">
        <f>'ERROR FINAL'!I429</f>
        <v/>
      </c>
      <c r="E426" s="345">
        <f>'ERROR FINAL'!U429</f>
        <v/>
      </c>
      <c r="F426" s="346">
        <f>'ERROR FINAL'!AG429</f>
        <v/>
      </c>
      <c r="G426" s="346">
        <f>'ERROR FINAL'!AS429</f>
        <v/>
      </c>
      <c r="H426" s="88">
        <f>IF('ERROR FINAL'!AT429="CONFORME","CONFORME","NO CONFORME")</f>
        <v/>
      </c>
      <c r="I426" s="89">
        <f>IF(D426=0,"Medición",IF(D426=1,"Daño físico",IF(D426=2,"Fuga",IF(D426=3,"Picado",IF(D426=4,"Desfasado",IF(D426=5,"Paralizado","¿?"))))))</f>
        <v/>
      </c>
    </row>
    <row r="427">
      <c r="A427" s="82">
        <f>'ERROR FINAL'!A430</f>
        <v/>
      </c>
      <c r="B427" s="83">
        <f>'ERROR FINAL'!D430</f>
        <v/>
      </c>
      <c r="C427" s="344">
        <f>'ERROR FINAL'!G430</f>
        <v/>
      </c>
      <c r="D427" s="85">
        <f>'ERROR FINAL'!I430</f>
        <v/>
      </c>
      <c r="E427" s="345">
        <f>'ERROR FINAL'!U430</f>
        <v/>
      </c>
      <c r="F427" s="346">
        <f>'ERROR FINAL'!AG430</f>
        <v/>
      </c>
      <c r="G427" s="346">
        <f>'ERROR FINAL'!AS430</f>
        <v/>
      </c>
      <c r="H427" s="88">
        <f>IF('ERROR FINAL'!AT430="CONFORME","CONFORME","NO CONFORME")</f>
        <v/>
      </c>
      <c r="I427" s="89">
        <f>IF(D427=0,"Medición",IF(D427=1,"Daño físico",IF(D427=2,"Fuga",IF(D427=3,"Picado",IF(D427=4,"Desfasado",IF(D427=5,"Paralizado","¿?"))))))</f>
        <v/>
      </c>
    </row>
    <row r="428">
      <c r="A428" s="82">
        <f>'ERROR FINAL'!A431</f>
        <v/>
      </c>
      <c r="B428" s="83">
        <f>'ERROR FINAL'!D431</f>
        <v/>
      </c>
      <c r="C428" s="344">
        <f>'ERROR FINAL'!G431</f>
        <v/>
      </c>
      <c r="D428" s="85">
        <f>'ERROR FINAL'!I431</f>
        <v/>
      </c>
      <c r="E428" s="345">
        <f>'ERROR FINAL'!U431</f>
        <v/>
      </c>
      <c r="F428" s="346">
        <f>'ERROR FINAL'!AG431</f>
        <v/>
      </c>
      <c r="G428" s="346">
        <f>'ERROR FINAL'!AS431</f>
        <v/>
      </c>
      <c r="H428" s="88">
        <f>IF('ERROR FINAL'!AT431="CONFORME","CONFORME","NO CONFORME")</f>
        <v/>
      </c>
      <c r="I428" s="89">
        <f>IF(D428=0,"Medición",IF(D428=1,"Daño físico",IF(D428=2,"Fuga",IF(D428=3,"Picado",IF(D428=4,"Desfasado",IF(D428=5,"Paralizado","¿?"))))))</f>
        <v/>
      </c>
    </row>
    <row r="429">
      <c r="A429" s="82">
        <f>'ERROR FINAL'!A432</f>
        <v/>
      </c>
      <c r="B429" s="83">
        <f>'ERROR FINAL'!D432</f>
        <v/>
      </c>
      <c r="C429" s="344">
        <f>'ERROR FINAL'!G432</f>
        <v/>
      </c>
      <c r="D429" s="85">
        <f>'ERROR FINAL'!I432</f>
        <v/>
      </c>
      <c r="E429" s="345">
        <f>'ERROR FINAL'!U432</f>
        <v/>
      </c>
      <c r="F429" s="346">
        <f>'ERROR FINAL'!AG432</f>
        <v/>
      </c>
      <c r="G429" s="346">
        <f>'ERROR FINAL'!AS432</f>
        <v/>
      </c>
      <c r="H429" s="88">
        <f>IF('ERROR FINAL'!AT432="CONFORME","CONFORME","NO CONFORME")</f>
        <v/>
      </c>
      <c r="I429" s="89">
        <f>IF(D429=0,"Medición",IF(D429=1,"Daño físico",IF(D429=2,"Fuga",IF(D429=3,"Picado",IF(D429=4,"Desfasado",IF(D429=5,"Paralizado","¿?"))))))</f>
        <v/>
      </c>
    </row>
    <row r="430">
      <c r="A430" s="82">
        <f>'ERROR FINAL'!A433</f>
        <v/>
      </c>
      <c r="B430" s="83">
        <f>'ERROR FINAL'!D433</f>
        <v/>
      </c>
      <c r="C430" s="344">
        <f>'ERROR FINAL'!G433</f>
        <v/>
      </c>
      <c r="D430" s="85">
        <f>'ERROR FINAL'!I433</f>
        <v/>
      </c>
      <c r="E430" s="345">
        <f>'ERROR FINAL'!U433</f>
        <v/>
      </c>
      <c r="F430" s="346">
        <f>'ERROR FINAL'!AG433</f>
        <v/>
      </c>
      <c r="G430" s="346">
        <f>'ERROR FINAL'!AS433</f>
        <v/>
      </c>
      <c r="H430" s="88">
        <f>IF('ERROR FINAL'!AT433="CONFORME","CONFORME","NO CONFORME")</f>
        <v/>
      </c>
      <c r="I430" s="89">
        <f>IF(D430=0,"Medición",IF(D430=1,"Daño físico",IF(D430=2,"Fuga",IF(D430=3,"Picado",IF(D430=4,"Desfasado",IF(D430=5,"Paralizado","¿?"))))))</f>
        <v/>
      </c>
    </row>
    <row r="431">
      <c r="A431" s="82">
        <f>'ERROR FINAL'!A434</f>
        <v/>
      </c>
      <c r="B431" s="83">
        <f>'ERROR FINAL'!D434</f>
        <v/>
      </c>
      <c r="C431" s="344">
        <f>'ERROR FINAL'!G434</f>
        <v/>
      </c>
      <c r="D431" s="85">
        <f>'ERROR FINAL'!I434</f>
        <v/>
      </c>
      <c r="E431" s="345">
        <f>'ERROR FINAL'!U434</f>
        <v/>
      </c>
      <c r="F431" s="346">
        <f>'ERROR FINAL'!AG434</f>
        <v/>
      </c>
      <c r="G431" s="346">
        <f>'ERROR FINAL'!AS434</f>
        <v/>
      </c>
      <c r="H431" s="88">
        <f>IF('ERROR FINAL'!AT434="CONFORME","CONFORME","NO CONFORME")</f>
        <v/>
      </c>
      <c r="I431" s="89">
        <f>IF(D431=0,"Medición",IF(D431=1,"Daño físico",IF(D431=2,"Fuga",IF(D431=3,"Picado",IF(D431=4,"Desfasado",IF(D431=5,"Paralizado","¿?"))))))</f>
        <v/>
      </c>
    </row>
    <row r="432">
      <c r="A432" s="82">
        <f>'ERROR FINAL'!A435</f>
        <v/>
      </c>
      <c r="B432" s="83">
        <f>'ERROR FINAL'!D435</f>
        <v/>
      </c>
      <c r="C432" s="344">
        <f>'ERROR FINAL'!G435</f>
        <v/>
      </c>
      <c r="D432" s="85">
        <f>'ERROR FINAL'!I435</f>
        <v/>
      </c>
      <c r="E432" s="345">
        <f>'ERROR FINAL'!U435</f>
        <v/>
      </c>
      <c r="F432" s="346">
        <f>'ERROR FINAL'!AG435</f>
        <v/>
      </c>
      <c r="G432" s="346">
        <f>'ERROR FINAL'!AS435</f>
        <v/>
      </c>
      <c r="H432" s="88">
        <f>IF('ERROR FINAL'!AT435="CONFORME","CONFORME","NO CONFORME")</f>
        <v/>
      </c>
      <c r="I432" s="89">
        <f>IF(D432=0,"Medición",IF(D432=1,"Daño físico",IF(D432=2,"Fuga",IF(D432=3,"Picado",IF(D432=4,"Desfasado",IF(D432=5,"Paralizado","¿?"))))))</f>
        <v/>
      </c>
    </row>
    <row r="433">
      <c r="A433" s="82">
        <f>'ERROR FINAL'!A436</f>
        <v/>
      </c>
      <c r="B433" s="83">
        <f>'ERROR FINAL'!D436</f>
        <v/>
      </c>
      <c r="C433" s="344">
        <f>'ERROR FINAL'!G436</f>
        <v/>
      </c>
      <c r="D433" s="85">
        <f>'ERROR FINAL'!I436</f>
        <v/>
      </c>
      <c r="E433" s="345">
        <f>'ERROR FINAL'!U436</f>
        <v/>
      </c>
      <c r="F433" s="346">
        <f>'ERROR FINAL'!AG436</f>
        <v/>
      </c>
      <c r="G433" s="346">
        <f>'ERROR FINAL'!AS436</f>
        <v/>
      </c>
      <c r="H433" s="88">
        <f>IF('ERROR FINAL'!AT436="CONFORME","CONFORME","NO CONFORME")</f>
        <v/>
      </c>
      <c r="I433" s="89">
        <f>IF(D433=0,"Medición",IF(D433=1,"Daño físico",IF(D433=2,"Fuga",IF(D433=3,"Picado",IF(D433=4,"Desfasado",IF(D433=5,"Paralizado","¿?"))))))</f>
        <v/>
      </c>
    </row>
    <row r="434">
      <c r="A434" s="82">
        <f>'ERROR FINAL'!A437</f>
        <v/>
      </c>
      <c r="B434" s="83">
        <f>'ERROR FINAL'!D437</f>
        <v/>
      </c>
      <c r="C434" s="344">
        <f>'ERROR FINAL'!G437</f>
        <v/>
      </c>
      <c r="D434" s="85">
        <f>'ERROR FINAL'!I437</f>
        <v/>
      </c>
      <c r="E434" s="345">
        <f>'ERROR FINAL'!U437</f>
        <v/>
      </c>
      <c r="F434" s="346">
        <f>'ERROR FINAL'!AG437</f>
        <v/>
      </c>
      <c r="G434" s="346">
        <f>'ERROR FINAL'!AS437</f>
        <v/>
      </c>
      <c r="H434" s="88">
        <f>IF('ERROR FINAL'!AT437="CONFORME","CONFORME","NO CONFORME")</f>
        <v/>
      </c>
      <c r="I434" s="89">
        <f>IF(D434=0,"Medición",IF(D434=1,"Daño físico",IF(D434=2,"Fuga",IF(D434=3,"Picado",IF(D434=4,"Desfasado",IF(D434=5,"Paralizado","¿?"))))))</f>
        <v/>
      </c>
    </row>
    <row r="435">
      <c r="A435" s="82">
        <f>'ERROR FINAL'!A438</f>
        <v/>
      </c>
      <c r="B435" s="83">
        <f>'ERROR FINAL'!D438</f>
        <v/>
      </c>
      <c r="C435" s="344">
        <f>'ERROR FINAL'!G438</f>
        <v/>
      </c>
      <c r="D435" s="85">
        <f>'ERROR FINAL'!I438</f>
        <v/>
      </c>
      <c r="E435" s="345">
        <f>'ERROR FINAL'!U438</f>
        <v/>
      </c>
      <c r="F435" s="346">
        <f>'ERROR FINAL'!AG438</f>
        <v/>
      </c>
      <c r="G435" s="346">
        <f>'ERROR FINAL'!AS438</f>
        <v/>
      </c>
      <c r="H435" s="88">
        <f>IF('ERROR FINAL'!AT438="CONFORME","CONFORME","NO CONFORME")</f>
        <v/>
      </c>
      <c r="I435" s="89">
        <f>IF(D435=0,"Medición",IF(D435=1,"Daño físico",IF(D435=2,"Fuga",IF(D435=3,"Picado",IF(D435=4,"Desfasado",IF(D435=5,"Paralizado","¿?"))))))</f>
        <v/>
      </c>
    </row>
    <row r="436">
      <c r="A436" s="82">
        <f>'ERROR FINAL'!A439</f>
        <v/>
      </c>
      <c r="B436" s="83">
        <f>'ERROR FINAL'!D439</f>
        <v/>
      </c>
      <c r="C436" s="344">
        <f>'ERROR FINAL'!G439</f>
        <v/>
      </c>
      <c r="D436" s="85">
        <f>'ERROR FINAL'!I439</f>
        <v/>
      </c>
      <c r="E436" s="345">
        <f>'ERROR FINAL'!U439</f>
        <v/>
      </c>
      <c r="F436" s="346">
        <f>'ERROR FINAL'!AG439</f>
        <v/>
      </c>
      <c r="G436" s="346">
        <f>'ERROR FINAL'!AS439</f>
        <v/>
      </c>
      <c r="H436" s="88">
        <f>IF('ERROR FINAL'!AT439="CONFORME","CONFORME","NO CONFORME")</f>
        <v/>
      </c>
      <c r="I436" s="89">
        <f>IF(D436=0,"Medición",IF(D436=1,"Daño físico",IF(D436=2,"Fuga",IF(D436=3,"Picado",IF(D436=4,"Desfasado",IF(D436=5,"Paralizado","¿?"))))))</f>
        <v/>
      </c>
    </row>
    <row r="437">
      <c r="A437" s="82">
        <f>'ERROR FINAL'!A440</f>
        <v/>
      </c>
      <c r="B437" s="83">
        <f>'ERROR FINAL'!D440</f>
        <v/>
      </c>
      <c r="C437" s="344">
        <f>'ERROR FINAL'!G440</f>
        <v/>
      </c>
      <c r="D437" s="85">
        <f>'ERROR FINAL'!I440</f>
        <v/>
      </c>
      <c r="E437" s="345">
        <f>'ERROR FINAL'!U440</f>
        <v/>
      </c>
      <c r="F437" s="346">
        <f>'ERROR FINAL'!AG440</f>
        <v/>
      </c>
      <c r="G437" s="346">
        <f>'ERROR FINAL'!AS440</f>
        <v/>
      </c>
      <c r="H437" s="88">
        <f>IF('ERROR FINAL'!AT440="CONFORME","CONFORME","NO CONFORME")</f>
        <v/>
      </c>
      <c r="I437" s="89">
        <f>IF(D437=0,"Medición",IF(D437=1,"Daño físico",IF(D437=2,"Fuga",IF(D437=3,"Picado",IF(D437=4,"Desfasado",IF(D437=5,"Paralizado","¿?"))))))</f>
        <v/>
      </c>
    </row>
    <row r="438">
      <c r="A438" s="82">
        <f>'ERROR FINAL'!A441</f>
        <v/>
      </c>
      <c r="B438" s="83">
        <f>'ERROR FINAL'!D441</f>
        <v/>
      </c>
      <c r="C438" s="344">
        <f>'ERROR FINAL'!G441</f>
        <v/>
      </c>
      <c r="D438" s="85">
        <f>'ERROR FINAL'!I441</f>
        <v/>
      </c>
      <c r="E438" s="345">
        <f>'ERROR FINAL'!U441</f>
        <v/>
      </c>
      <c r="F438" s="346">
        <f>'ERROR FINAL'!AG441</f>
        <v/>
      </c>
      <c r="G438" s="346">
        <f>'ERROR FINAL'!AS441</f>
        <v/>
      </c>
      <c r="H438" s="88">
        <f>IF('ERROR FINAL'!AT441="CONFORME","CONFORME","NO CONFORME")</f>
        <v/>
      </c>
      <c r="I438" s="89">
        <f>IF(D438=0,"Medición",IF(D438=1,"Daño físico",IF(D438=2,"Fuga",IF(D438=3,"Picado",IF(D438=4,"Desfasado",IF(D438=5,"Paralizado","¿?"))))))</f>
        <v/>
      </c>
    </row>
    <row r="439">
      <c r="A439" s="82">
        <f>'ERROR FINAL'!A442</f>
        <v/>
      </c>
      <c r="B439" s="83">
        <f>'ERROR FINAL'!D442</f>
        <v/>
      </c>
      <c r="C439" s="344">
        <f>'ERROR FINAL'!G442</f>
        <v/>
      </c>
      <c r="D439" s="85">
        <f>'ERROR FINAL'!I442</f>
        <v/>
      </c>
      <c r="E439" s="345">
        <f>'ERROR FINAL'!U442</f>
        <v/>
      </c>
      <c r="F439" s="346">
        <f>'ERROR FINAL'!AG442</f>
        <v/>
      </c>
      <c r="G439" s="346">
        <f>'ERROR FINAL'!AS442</f>
        <v/>
      </c>
      <c r="H439" s="88">
        <f>IF('ERROR FINAL'!AT442="CONFORME","CONFORME","NO CONFORME")</f>
        <v/>
      </c>
      <c r="I439" s="89">
        <f>IF(D439=0,"Medición",IF(D439=1,"Daño físico",IF(D439=2,"Fuga",IF(D439=3,"Picado",IF(D439=4,"Desfasado",IF(D439=5,"Paralizado","¿?"))))))</f>
        <v/>
      </c>
    </row>
    <row r="440">
      <c r="A440" s="82">
        <f>'ERROR FINAL'!A443</f>
        <v/>
      </c>
      <c r="B440" s="83">
        <f>'ERROR FINAL'!D443</f>
        <v/>
      </c>
      <c r="C440" s="344">
        <f>'ERROR FINAL'!G443</f>
        <v/>
      </c>
      <c r="D440" s="85">
        <f>'ERROR FINAL'!I443</f>
        <v/>
      </c>
      <c r="E440" s="345">
        <f>'ERROR FINAL'!U443</f>
        <v/>
      </c>
      <c r="F440" s="346">
        <f>'ERROR FINAL'!AG443</f>
        <v/>
      </c>
      <c r="G440" s="346">
        <f>'ERROR FINAL'!AS443</f>
        <v/>
      </c>
      <c r="H440" s="88">
        <f>IF('ERROR FINAL'!AT443="CONFORME","CONFORME","NO CONFORME")</f>
        <v/>
      </c>
      <c r="I440" s="89">
        <f>IF(D440=0,"Medición",IF(D440=1,"Daño físico",IF(D440=2,"Fuga",IF(D440=3,"Picado",IF(D440=4,"Desfasado",IF(D440=5,"Paralizado","¿?"))))))</f>
        <v/>
      </c>
    </row>
    <row r="441">
      <c r="A441" s="82">
        <f>'ERROR FINAL'!A444</f>
        <v/>
      </c>
      <c r="B441" s="83">
        <f>'ERROR FINAL'!D444</f>
        <v/>
      </c>
      <c r="C441" s="344">
        <f>'ERROR FINAL'!G444</f>
        <v/>
      </c>
      <c r="D441" s="85">
        <f>'ERROR FINAL'!I444</f>
        <v/>
      </c>
      <c r="E441" s="345">
        <f>'ERROR FINAL'!U444</f>
        <v/>
      </c>
      <c r="F441" s="346">
        <f>'ERROR FINAL'!AG444</f>
        <v/>
      </c>
      <c r="G441" s="346">
        <f>'ERROR FINAL'!AS444</f>
        <v/>
      </c>
      <c r="H441" s="88">
        <f>IF('ERROR FINAL'!AT444="CONFORME","CONFORME","NO CONFORME")</f>
        <v/>
      </c>
      <c r="I441" s="89">
        <f>IF(D441=0,"Medición",IF(D441=1,"Daño físico",IF(D441=2,"Fuga",IF(D441=3,"Picado",IF(D441=4,"Desfasado",IF(D441=5,"Paralizado","¿?"))))))</f>
        <v/>
      </c>
    </row>
    <row r="442">
      <c r="A442" s="82">
        <f>'ERROR FINAL'!A445</f>
        <v/>
      </c>
      <c r="B442" s="83">
        <f>'ERROR FINAL'!D445</f>
        <v/>
      </c>
      <c r="C442" s="344">
        <f>'ERROR FINAL'!G445</f>
        <v/>
      </c>
      <c r="D442" s="85">
        <f>'ERROR FINAL'!I445</f>
        <v/>
      </c>
      <c r="E442" s="345">
        <f>'ERROR FINAL'!U445</f>
        <v/>
      </c>
      <c r="F442" s="346">
        <f>'ERROR FINAL'!AG445</f>
        <v/>
      </c>
      <c r="G442" s="346">
        <f>'ERROR FINAL'!AS445</f>
        <v/>
      </c>
      <c r="H442" s="88">
        <f>IF('ERROR FINAL'!AT445="CONFORME","CONFORME","NO CONFORME")</f>
        <v/>
      </c>
      <c r="I442" s="89">
        <f>IF(D442=0,"Medición",IF(D442=1,"Daño físico",IF(D442=2,"Fuga",IF(D442=3,"Picado",IF(D442=4,"Desfasado",IF(D442=5,"Paralizado","¿?"))))))</f>
        <v/>
      </c>
    </row>
    <row r="443">
      <c r="A443" s="82">
        <f>'ERROR FINAL'!A446</f>
        <v/>
      </c>
      <c r="B443" s="83">
        <f>'ERROR FINAL'!D446</f>
        <v/>
      </c>
      <c r="C443" s="344">
        <f>'ERROR FINAL'!G446</f>
        <v/>
      </c>
      <c r="D443" s="85">
        <f>'ERROR FINAL'!I446</f>
        <v/>
      </c>
      <c r="E443" s="345">
        <f>'ERROR FINAL'!U446</f>
        <v/>
      </c>
      <c r="F443" s="346">
        <f>'ERROR FINAL'!AG446</f>
        <v/>
      </c>
      <c r="G443" s="346">
        <f>'ERROR FINAL'!AS446</f>
        <v/>
      </c>
      <c r="H443" s="88">
        <f>IF('ERROR FINAL'!AT446="CONFORME","CONFORME","NO CONFORME")</f>
        <v/>
      </c>
      <c r="I443" s="89">
        <f>IF(D443=0,"Medición",IF(D443=1,"Daño físico",IF(D443=2,"Fuga",IF(D443=3,"Picado",IF(D443=4,"Desfasado",IF(D443=5,"Paralizado","¿?"))))))</f>
        <v/>
      </c>
    </row>
    <row r="444">
      <c r="A444" s="82">
        <f>'ERROR FINAL'!A447</f>
        <v/>
      </c>
      <c r="B444" s="83">
        <f>'ERROR FINAL'!D447</f>
        <v/>
      </c>
      <c r="C444" s="344">
        <f>'ERROR FINAL'!G447</f>
        <v/>
      </c>
      <c r="D444" s="85">
        <f>'ERROR FINAL'!I447</f>
        <v/>
      </c>
      <c r="E444" s="345">
        <f>'ERROR FINAL'!U447</f>
        <v/>
      </c>
      <c r="F444" s="346">
        <f>'ERROR FINAL'!AG447</f>
        <v/>
      </c>
      <c r="G444" s="346">
        <f>'ERROR FINAL'!AS447</f>
        <v/>
      </c>
      <c r="H444" s="88">
        <f>IF('ERROR FINAL'!AT447="CONFORME","CONFORME","NO CONFORME")</f>
        <v/>
      </c>
      <c r="I444" s="89">
        <f>IF(D444=0,"Medición",IF(D444=1,"Daño físico",IF(D444=2,"Fuga",IF(D444=3,"Picado",IF(D444=4,"Desfasado",IF(D444=5,"Paralizado","¿?"))))))</f>
        <v/>
      </c>
    </row>
    <row r="445">
      <c r="A445" s="82">
        <f>'ERROR FINAL'!A448</f>
        <v/>
      </c>
      <c r="B445" s="83">
        <f>'ERROR FINAL'!D448</f>
        <v/>
      </c>
      <c r="C445" s="344">
        <f>'ERROR FINAL'!G448</f>
        <v/>
      </c>
      <c r="D445" s="85">
        <f>'ERROR FINAL'!I448</f>
        <v/>
      </c>
      <c r="E445" s="345">
        <f>'ERROR FINAL'!U448</f>
        <v/>
      </c>
      <c r="F445" s="346">
        <f>'ERROR FINAL'!AG448</f>
        <v/>
      </c>
      <c r="G445" s="346">
        <f>'ERROR FINAL'!AS448</f>
        <v/>
      </c>
      <c r="H445" s="88">
        <f>IF('ERROR FINAL'!AT448="CONFORME","CONFORME","NO CONFORME")</f>
        <v/>
      </c>
      <c r="I445" s="89">
        <f>IF(D445=0,"Medición",IF(D445=1,"Daño físico",IF(D445=2,"Fuga",IF(D445=3,"Picado",IF(D445=4,"Desfasado",IF(D445=5,"Paralizado","¿?"))))))</f>
        <v/>
      </c>
    </row>
    <row r="446">
      <c r="A446" s="82">
        <f>'ERROR FINAL'!A449</f>
        <v/>
      </c>
      <c r="B446" s="83">
        <f>'ERROR FINAL'!D449</f>
        <v/>
      </c>
      <c r="C446" s="344">
        <f>'ERROR FINAL'!G449</f>
        <v/>
      </c>
      <c r="D446" s="85">
        <f>'ERROR FINAL'!I449</f>
        <v/>
      </c>
      <c r="E446" s="345">
        <f>'ERROR FINAL'!U449</f>
        <v/>
      </c>
      <c r="F446" s="346">
        <f>'ERROR FINAL'!AG449</f>
        <v/>
      </c>
      <c r="G446" s="346">
        <f>'ERROR FINAL'!AS449</f>
        <v/>
      </c>
      <c r="H446" s="88">
        <f>IF('ERROR FINAL'!AT449="CONFORME","CONFORME","NO CONFORME")</f>
        <v/>
      </c>
      <c r="I446" s="89">
        <f>IF(D446=0,"Medición",IF(D446=1,"Daño físico",IF(D446=2,"Fuga",IF(D446=3,"Picado",IF(D446=4,"Desfasado",IF(D446=5,"Paralizado","¿?"))))))</f>
        <v/>
      </c>
    </row>
    <row r="447">
      <c r="A447" s="82">
        <f>'ERROR FINAL'!A450</f>
        <v/>
      </c>
      <c r="B447" s="83">
        <f>'ERROR FINAL'!D450</f>
        <v/>
      </c>
      <c r="C447" s="344">
        <f>'ERROR FINAL'!G450</f>
        <v/>
      </c>
      <c r="D447" s="85">
        <f>'ERROR FINAL'!I450</f>
        <v/>
      </c>
      <c r="E447" s="345">
        <f>'ERROR FINAL'!U450</f>
        <v/>
      </c>
      <c r="F447" s="346">
        <f>'ERROR FINAL'!AG450</f>
        <v/>
      </c>
      <c r="G447" s="346">
        <f>'ERROR FINAL'!AS450</f>
        <v/>
      </c>
      <c r="H447" s="88">
        <f>IF('ERROR FINAL'!AT450="CONFORME","CONFORME","NO CONFORME")</f>
        <v/>
      </c>
      <c r="I447" s="89">
        <f>IF(D447=0,"Medición",IF(D447=1,"Daño físico",IF(D447=2,"Fuga",IF(D447=3,"Picado",IF(D447=4,"Desfasado",IF(D447=5,"Paralizado","¿?"))))))</f>
        <v/>
      </c>
    </row>
    <row r="448">
      <c r="A448" s="82">
        <f>'ERROR FINAL'!A451</f>
        <v/>
      </c>
      <c r="B448" s="83">
        <f>'ERROR FINAL'!D451</f>
        <v/>
      </c>
      <c r="C448" s="344">
        <f>'ERROR FINAL'!G451</f>
        <v/>
      </c>
      <c r="D448" s="85">
        <f>'ERROR FINAL'!I451</f>
        <v/>
      </c>
      <c r="E448" s="345">
        <f>'ERROR FINAL'!U451</f>
        <v/>
      </c>
      <c r="F448" s="346">
        <f>'ERROR FINAL'!AG451</f>
        <v/>
      </c>
      <c r="G448" s="346">
        <f>'ERROR FINAL'!AS451</f>
        <v/>
      </c>
      <c r="H448" s="88">
        <f>IF('ERROR FINAL'!AT451="CONFORME","CONFORME","NO CONFORME")</f>
        <v/>
      </c>
      <c r="I448" s="89">
        <f>IF(D448=0,"Medición",IF(D448=1,"Daño físico",IF(D448=2,"Fuga",IF(D448=3,"Picado",IF(D448=4,"Desfasado",IF(D448=5,"Paralizado","¿?"))))))</f>
        <v/>
      </c>
    </row>
    <row r="449">
      <c r="A449" s="82">
        <f>'ERROR FINAL'!A452</f>
        <v/>
      </c>
      <c r="B449" s="83">
        <f>'ERROR FINAL'!D452</f>
        <v/>
      </c>
      <c r="C449" s="344">
        <f>'ERROR FINAL'!G452</f>
        <v/>
      </c>
      <c r="D449" s="85">
        <f>'ERROR FINAL'!I452</f>
        <v/>
      </c>
      <c r="E449" s="345">
        <f>'ERROR FINAL'!U452</f>
        <v/>
      </c>
      <c r="F449" s="346">
        <f>'ERROR FINAL'!AG452</f>
        <v/>
      </c>
      <c r="G449" s="346">
        <f>'ERROR FINAL'!AS452</f>
        <v/>
      </c>
      <c r="H449" s="88">
        <f>IF('ERROR FINAL'!AT452="CONFORME","CONFORME","NO CONFORME")</f>
        <v/>
      </c>
      <c r="I449" s="89">
        <f>IF(D449=0,"Medición",IF(D449=1,"Daño físico",IF(D449=2,"Fuga",IF(D449=3,"Picado",IF(D449=4,"Desfasado",IF(D449=5,"Paralizado","¿?"))))))</f>
        <v/>
      </c>
    </row>
    <row r="450">
      <c r="A450" s="82">
        <f>'ERROR FINAL'!A453</f>
        <v/>
      </c>
      <c r="B450" s="83">
        <f>'ERROR FINAL'!D453</f>
        <v/>
      </c>
      <c r="C450" s="344">
        <f>'ERROR FINAL'!G453</f>
        <v/>
      </c>
      <c r="D450" s="85">
        <f>'ERROR FINAL'!I453</f>
        <v/>
      </c>
      <c r="E450" s="345">
        <f>'ERROR FINAL'!U453</f>
        <v/>
      </c>
      <c r="F450" s="346">
        <f>'ERROR FINAL'!AG453</f>
        <v/>
      </c>
      <c r="G450" s="346">
        <f>'ERROR FINAL'!AS453</f>
        <v/>
      </c>
      <c r="H450" s="88">
        <f>IF('ERROR FINAL'!AT453="CONFORME","CONFORME","NO CONFORME")</f>
        <v/>
      </c>
      <c r="I450" s="89">
        <f>IF(D450=0,"Medición",IF(D450=1,"Daño físico",IF(D450=2,"Fuga",IF(D450=3,"Picado",IF(D450=4,"Desfasado",IF(D450=5,"Paralizado","¿?"))))))</f>
        <v/>
      </c>
    </row>
    <row r="451">
      <c r="A451" s="82">
        <f>'ERROR FINAL'!A454</f>
        <v/>
      </c>
      <c r="B451" s="83">
        <f>'ERROR FINAL'!D454</f>
        <v/>
      </c>
      <c r="C451" s="344">
        <f>'ERROR FINAL'!G454</f>
        <v/>
      </c>
      <c r="D451" s="85">
        <f>'ERROR FINAL'!I454</f>
        <v/>
      </c>
      <c r="E451" s="345">
        <f>'ERROR FINAL'!U454</f>
        <v/>
      </c>
      <c r="F451" s="346">
        <f>'ERROR FINAL'!AG454</f>
        <v/>
      </c>
      <c r="G451" s="346">
        <f>'ERROR FINAL'!AS454</f>
        <v/>
      </c>
      <c r="H451" s="88">
        <f>IF('ERROR FINAL'!AT454="CONFORME","CONFORME","NO CONFORME")</f>
        <v/>
      </c>
      <c r="I451" s="89">
        <f>IF(D451=0,"Medición",IF(D451=1,"Daño físico",IF(D451=2,"Fuga",IF(D451=3,"Picado",IF(D451=4,"Desfasado",IF(D451=5,"Paralizado","¿?"))))))</f>
        <v/>
      </c>
    </row>
    <row r="452">
      <c r="A452" s="82">
        <f>'ERROR FINAL'!A455</f>
        <v/>
      </c>
      <c r="B452" s="83">
        <f>'ERROR FINAL'!D455</f>
        <v/>
      </c>
      <c r="C452" s="344">
        <f>'ERROR FINAL'!G455</f>
        <v/>
      </c>
      <c r="D452" s="85">
        <f>'ERROR FINAL'!I455</f>
        <v/>
      </c>
      <c r="E452" s="345">
        <f>'ERROR FINAL'!U455</f>
        <v/>
      </c>
      <c r="F452" s="346">
        <f>'ERROR FINAL'!AG455</f>
        <v/>
      </c>
      <c r="G452" s="346">
        <f>'ERROR FINAL'!AS455</f>
        <v/>
      </c>
      <c r="H452" s="88">
        <f>IF('ERROR FINAL'!AT455="CONFORME","CONFORME","NO CONFORME")</f>
        <v/>
      </c>
      <c r="I452" s="89">
        <f>IF(D452=0,"Medición",IF(D452=1,"Daño físico",IF(D452=2,"Fuga",IF(D452=3,"Picado",IF(D452=4,"Desfasado",IF(D452=5,"Paralizado","¿?"))))))</f>
        <v/>
      </c>
    </row>
    <row r="453">
      <c r="A453" s="82">
        <f>'ERROR FINAL'!A456</f>
        <v/>
      </c>
      <c r="B453" s="83">
        <f>'ERROR FINAL'!D456</f>
        <v/>
      </c>
      <c r="C453" s="344">
        <f>'ERROR FINAL'!G456</f>
        <v/>
      </c>
      <c r="D453" s="85">
        <f>'ERROR FINAL'!I456</f>
        <v/>
      </c>
      <c r="E453" s="345">
        <f>'ERROR FINAL'!U456</f>
        <v/>
      </c>
      <c r="F453" s="346">
        <f>'ERROR FINAL'!AG456</f>
        <v/>
      </c>
      <c r="G453" s="346">
        <f>'ERROR FINAL'!AS456</f>
        <v/>
      </c>
      <c r="H453" s="88">
        <f>IF('ERROR FINAL'!AT456="CONFORME","CONFORME","NO CONFORME")</f>
        <v/>
      </c>
      <c r="I453" s="89">
        <f>IF(D453=0,"Medición",IF(D453=1,"Daño físico",IF(D453=2,"Fuga",IF(D453=3,"Picado",IF(D453=4,"Desfasado",IF(D453=5,"Paralizado","¿?"))))))</f>
        <v/>
      </c>
    </row>
    <row r="454">
      <c r="A454" s="82">
        <f>'ERROR FINAL'!A457</f>
        <v/>
      </c>
      <c r="B454" s="83">
        <f>'ERROR FINAL'!D457</f>
        <v/>
      </c>
      <c r="C454" s="344">
        <f>'ERROR FINAL'!G457</f>
        <v/>
      </c>
      <c r="D454" s="85">
        <f>'ERROR FINAL'!I457</f>
        <v/>
      </c>
      <c r="E454" s="345">
        <f>'ERROR FINAL'!U457</f>
        <v/>
      </c>
      <c r="F454" s="346">
        <f>'ERROR FINAL'!AG457</f>
        <v/>
      </c>
      <c r="G454" s="346">
        <f>'ERROR FINAL'!AS457</f>
        <v/>
      </c>
      <c r="H454" s="88">
        <f>IF('ERROR FINAL'!AT457="CONFORME","CONFORME","NO CONFORME")</f>
        <v/>
      </c>
      <c r="I454" s="89">
        <f>IF(D454=0,"Medición",IF(D454=1,"Daño físico",IF(D454=2,"Fuga",IF(D454=3,"Picado",IF(D454=4,"Desfasado",IF(D454=5,"Paralizado","¿?"))))))</f>
        <v/>
      </c>
    </row>
    <row r="455">
      <c r="A455" s="82">
        <f>'ERROR FINAL'!A458</f>
        <v/>
      </c>
      <c r="B455" s="83">
        <f>'ERROR FINAL'!D458</f>
        <v/>
      </c>
      <c r="C455" s="344">
        <f>'ERROR FINAL'!G458</f>
        <v/>
      </c>
      <c r="D455" s="85">
        <f>'ERROR FINAL'!I458</f>
        <v/>
      </c>
      <c r="E455" s="345">
        <f>'ERROR FINAL'!U458</f>
        <v/>
      </c>
      <c r="F455" s="346">
        <f>'ERROR FINAL'!AG458</f>
        <v/>
      </c>
      <c r="G455" s="346">
        <f>'ERROR FINAL'!AS458</f>
        <v/>
      </c>
      <c r="H455" s="88">
        <f>IF('ERROR FINAL'!AT458="CONFORME","CONFORME","NO CONFORME")</f>
        <v/>
      </c>
      <c r="I455" s="89">
        <f>IF(D455=0,"Medición",IF(D455=1,"Daño físico",IF(D455=2,"Fuga",IF(D455=3,"Picado",IF(D455=4,"Desfasado",IF(D455=5,"Paralizado","¿?"))))))</f>
        <v/>
      </c>
    </row>
    <row r="456">
      <c r="A456" s="82">
        <f>'ERROR FINAL'!A459</f>
        <v/>
      </c>
      <c r="B456" s="83">
        <f>'ERROR FINAL'!D459</f>
        <v/>
      </c>
      <c r="C456" s="344">
        <f>'ERROR FINAL'!G459</f>
        <v/>
      </c>
      <c r="D456" s="85">
        <f>'ERROR FINAL'!I459</f>
        <v/>
      </c>
      <c r="E456" s="345">
        <f>'ERROR FINAL'!U459</f>
        <v/>
      </c>
      <c r="F456" s="346">
        <f>'ERROR FINAL'!AG459</f>
        <v/>
      </c>
      <c r="G456" s="346">
        <f>'ERROR FINAL'!AS459</f>
        <v/>
      </c>
      <c r="H456" s="88">
        <f>IF('ERROR FINAL'!AT459="CONFORME","CONFORME","NO CONFORME")</f>
        <v/>
      </c>
      <c r="I456" s="89">
        <f>IF(D456=0,"Medición",IF(D456=1,"Daño físico",IF(D456=2,"Fuga",IF(D456=3,"Picado",IF(D456=4,"Desfasado",IF(D456=5,"Paralizado","¿?"))))))</f>
        <v/>
      </c>
    </row>
    <row r="457">
      <c r="A457" s="82">
        <f>'ERROR FINAL'!A460</f>
        <v/>
      </c>
      <c r="B457" s="83">
        <f>'ERROR FINAL'!D460</f>
        <v/>
      </c>
      <c r="C457" s="344">
        <f>'ERROR FINAL'!G460</f>
        <v/>
      </c>
      <c r="D457" s="85">
        <f>'ERROR FINAL'!I460</f>
        <v/>
      </c>
      <c r="E457" s="345">
        <f>'ERROR FINAL'!U460</f>
        <v/>
      </c>
      <c r="F457" s="346">
        <f>'ERROR FINAL'!AG460</f>
        <v/>
      </c>
      <c r="G457" s="346">
        <f>'ERROR FINAL'!AS460</f>
        <v/>
      </c>
      <c r="H457" s="88">
        <f>IF('ERROR FINAL'!AT460="CONFORME","CONFORME","NO CONFORME")</f>
        <v/>
      </c>
      <c r="I457" s="89">
        <f>IF(D457=0,"Medición",IF(D457=1,"Daño físico",IF(D457=2,"Fuga",IF(D457=3,"Picado",IF(D457=4,"Desfasado",IF(D457=5,"Paralizado","¿?"))))))</f>
        <v/>
      </c>
    </row>
    <row r="458">
      <c r="A458" s="82">
        <f>'ERROR FINAL'!A461</f>
        <v/>
      </c>
      <c r="B458" s="83">
        <f>'ERROR FINAL'!D461</f>
        <v/>
      </c>
      <c r="C458" s="344">
        <f>'ERROR FINAL'!G461</f>
        <v/>
      </c>
      <c r="D458" s="85">
        <f>'ERROR FINAL'!I461</f>
        <v/>
      </c>
      <c r="E458" s="345">
        <f>'ERROR FINAL'!U461</f>
        <v/>
      </c>
      <c r="F458" s="346">
        <f>'ERROR FINAL'!AG461</f>
        <v/>
      </c>
      <c r="G458" s="346">
        <f>'ERROR FINAL'!AS461</f>
        <v/>
      </c>
      <c r="H458" s="88">
        <f>IF('ERROR FINAL'!AT461="CONFORME","CONFORME","NO CONFORME")</f>
        <v/>
      </c>
      <c r="I458" s="89">
        <f>IF(D458=0,"Medición",IF(D458=1,"Daño físico",IF(D458=2,"Fuga",IF(D458=3,"Picado",IF(D458=4,"Desfasado",IF(D458=5,"Paralizado","¿?"))))))</f>
        <v/>
      </c>
    </row>
    <row r="459">
      <c r="A459" s="82">
        <f>'ERROR FINAL'!A462</f>
        <v/>
      </c>
      <c r="B459" s="83">
        <f>'ERROR FINAL'!D462</f>
        <v/>
      </c>
      <c r="C459" s="344">
        <f>'ERROR FINAL'!G462</f>
        <v/>
      </c>
      <c r="D459" s="85">
        <f>'ERROR FINAL'!I462</f>
        <v/>
      </c>
      <c r="E459" s="345">
        <f>'ERROR FINAL'!U462</f>
        <v/>
      </c>
      <c r="F459" s="346">
        <f>'ERROR FINAL'!AG462</f>
        <v/>
      </c>
      <c r="G459" s="346">
        <f>'ERROR FINAL'!AS462</f>
        <v/>
      </c>
      <c r="H459" s="88">
        <f>IF('ERROR FINAL'!AT462="CONFORME","CONFORME","NO CONFORME")</f>
        <v/>
      </c>
      <c r="I459" s="89">
        <f>IF(D459=0,"Medición",IF(D459=1,"Daño físico",IF(D459=2,"Fuga",IF(D459=3,"Picado",IF(D459=4,"Desfasado",IF(D459=5,"Paralizado","¿?"))))))</f>
        <v/>
      </c>
    </row>
    <row r="460">
      <c r="A460" s="82">
        <f>'ERROR FINAL'!A463</f>
        <v/>
      </c>
      <c r="B460" s="83">
        <f>'ERROR FINAL'!D463</f>
        <v/>
      </c>
      <c r="C460" s="344">
        <f>'ERROR FINAL'!G463</f>
        <v/>
      </c>
      <c r="D460" s="85">
        <f>'ERROR FINAL'!I463</f>
        <v/>
      </c>
      <c r="E460" s="345">
        <f>'ERROR FINAL'!U463</f>
        <v/>
      </c>
      <c r="F460" s="346">
        <f>'ERROR FINAL'!AG463</f>
        <v/>
      </c>
      <c r="G460" s="346">
        <f>'ERROR FINAL'!AS463</f>
        <v/>
      </c>
      <c r="H460" s="88">
        <f>IF('ERROR FINAL'!AT463="CONFORME","CONFORME","NO CONFORME")</f>
        <v/>
      </c>
      <c r="I460" s="89">
        <f>IF(D460=0,"Medición",IF(D460=1,"Daño físico",IF(D460=2,"Fuga",IF(D460=3,"Picado",IF(D460=4,"Desfasado",IF(D460=5,"Paralizado","¿?"))))))</f>
        <v/>
      </c>
    </row>
    <row r="461">
      <c r="A461" s="82">
        <f>'ERROR FINAL'!A464</f>
        <v/>
      </c>
      <c r="B461" s="83">
        <f>'ERROR FINAL'!D464</f>
        <v/>
      </c>
      <c r="C461" s="344">
        <f>'ERROR FINAL'!G464</f>
        <v/>
      </c>
      <c r="D461" s="85">
        <f>'ERROR FINAL'!I464</f>
        <v/>
      </c>
      <c r="E461" s="345">
        <f>'ERROR FINAL'!U464</f>
        <v/>
      </c>
      <c r="F461" s="346">
        <f>'ERROR FINAL'!AG464</f>
        <v/>
      </c>
      <c r="G461" s="346">
        <f>'ERROR FINAL'!AS464</f>
        <v/>
      </c>
      <c r="H461" s="88">
        <f>IF('ERROR FINAL'!AT464="CONFORME","CONFORME","NO CONFORME")</f>
        <v/>
      </c>
      <c r="I461" s="89">
        <f>IF(D461=0,"Medición",IF(D461=1,"Daño físico",IF(D461=2,"Fuga",IF(D461=3,"Picado",IF(D461=4,"Desfasado",IF(D461=5,"Paralizado","¿?"))))))</f>
        <v/>
      </c>
    </row>
    <row r="462">
      <c r="A462" s="82">
        <f>'ERROR FINAL'!A465</f>
        <v/>
      </c>
      <c r="B462" s="83">
        <f>'ERROR FINAL'!D465</f>
        <v/>
      </c>
      <c r="C462" s="344">
        <f>'ERROR FINAL'!G465</f>
        <v/>
      </c>
      <c r="D462" s="85">
        <f>'ERROR FINAL'!I465</f>
        <v/>
      </c>
      <c r="E462" s="345">
        <f>'ERROR FINAL'!U465</f>
        <v/>
      </c>
      <c r="F462" s="346">
        <f>'ERROR FINAL'!AG465</f>
        <v/>
      </c>
      <c r="G462" s="346">
        <f>'ERROR FINAL'!AS465</f>
        <v/>
      </c>
      <c r="H462" s="88">
        <f>IF('ERROR FINAL'!AT465="CONFORME","CONFORME","NO CONFORME")</f>
        <v/>
      </c>
      <c r="I462" s="89">
        <f>IF(D462=0,"Medición",IF(D462=1,"Daño físico",IF(D462=2,"Fuga",IF(D462=3,"Picado",IF(D462=4,"Desfasado",IF(D462=5,"Paralizado","¿?"))))))</f>
        <v/>
      </c>
    </row>
    <row r="463">
      <c r="A463" s="82">
        <f>'ERROR FINAL'!A466</f>
        <v/>
      </c>
      <c r="B463" s="83">
        <f>'ERROR FINAL'!D466</f>
        <v/>
      </c>
      <c r="C463" s="344">
        <f>'ERROR FINAL'!G466</f>
        <v/>
      </c>
      <c r="D463" s="85">
        <f>'ERROR FINAL'!I466</f>
        <v/>
      </c>
      <c r="E463" s="345">
        <f>'ERROR FINAL'!U466</f>
        <v/>
      </c>
      <c r="F463" s="346">
        <f>'ERROR FINAL'!AG466</f>
        <v/>
      </c>
      <c r="G463" s="346">
        <f>'ERROR FINAL'!AS466</f>
        <v/>
      </c>
      <c r="H463" s="88">
        <f>IF('ERROR FINAL'!AT466="CONFORME","CONFORME","NO CONFORME")</f>
        <v/>
      </c>
      <c r="I463" s="89">
        <f>IF(D463=0,"Medición",IF(D463=1,"Daño físico",IF(D463=2,"Fuga",IF(D463=3,"Picado",IF(D463=4,"Desfasado",IF(D463=5,"Paralizado","¿?"))))))</f>
        <v/>
      </c>
    </row>
    <row r="464">
      <c r="A464" s="82">
        <f>'ERROR FINAL'!A467</f>
        <v/>
      </c>
      <c r="B464" s="83">
        <f>'ERROR FINAL'!D467</f>
        <v/>
      </c>
      <c r="C464" s="344">
        <f>'ERROR FINAL'!G467</f>
        <v/>
      </c>
      <c r="D464" s="85">
        <f>'ERROR FINAL'!I467</f>
        <v/>
      </c>
      <c r="E464" s="345">
        <f>'ERROR FINAL'!U467</f>
        <v/>
      </c>
      <c r="F464" s="346">
        <f>'ERROR FINAL'!AG467</f>
        <v/>
      </c>
      <c r="G464" s="346">
        <f>'ERROR FINAL'!AS467</f>
        <v/>
      </c>
      <c r="H464" s="88">
        <f>IF('ERROR FINAL'!AT467="CONFORME","CONFORME","NO CONFORME")</f>
        <v/>
      </c>
      <c r="I464" s="89">
        <f>IF(D464=0,"Medición",IF(D464=1,"Daño físico",IF(D464=2,"Fuga",IF(D464=3,"Picado",IF(D464=4,"Desfasado",IF(D464=5,"Paralizado","¿?"))))))</f>
        <v/>
      </c>
    </row>
    <row r="465">
      <c r="A465" s="82">
        <f>'ERROR FINAL'!A468</f>
        <v/>
      </c>
      <c r="B465" s="83">
        <f>'ERROR FINAL'!D468</f>
        <v/>
      </c>
      <c r="C465" s="344">
        <f>'ERROR FINAL'!G468</f>
        <v/>
      </c>
      <c r="D465" s="85">
        <f>'ERROR FINAL'!I468</f>
        <v/>
      </c>
      <c r="E465" s="345">
        <f>'ERROR FINAL'!U468</f>
        <v/>
      </c>
      <c r="F465" s="346">
        <f>'ERROR FINAL'!AG468</f>
        <v/>
      </c>
      <c r="G465" s="346">
        <f>'ERROR FINAL'!AS468</f>
        <v/>
      </c>
      <c r="H465" s="88">
        <f>IF('ERROR FINAL'!AT468="CONFORME","CONFORME","NO CONFORME")</f>
        <v/>
      </c>
      <c r="I465" s="89">
        <f>IF(D465=0,"Medición",IF(D465=1,"Daño físico",IF(D465=2,"Fuga",IF(D465=3,"Picado",IF(D465=4,"Desfasado",IF(D465=5,"Paralizado","¿?"))))))</f>
        <v/>
      </c>
    </row>
    <row r="466">
      <c r="A466" s="82">
        <f>'ERROR FINAL'!A469</f>
        <v/>
      </c>
      <c r="B466" s="83">
        <f>'ERROR FINAL'!D469</f>
        <v/>
      </c>
      <c r="C466" s="344">
        <f>'ERROR FINAL'!G469</f>
        <v/>
      </c>
      <c r="D466" s="85">
        <f>'ERROR FINAL'!I469</f>
        <v/>
      </c>
      <c r="E466" s="345">
        <f>'ERROR FINAL'!U469</f>
        <v/>
      </c>
      <c r="F466" s="346">
        <f>'ERROR FINAL'!AG469</f>
        <v/>
      </c>
      <c r="G466" s="346">
        <f>'ERROR FINAL'!AS469</f>
        <v/>
      </c>
      <c r="H466" s="88">
        <f>IF('ERROR FINAL'!AT469="CONFORME","CONFORME","NO CONFORME")</f>
        <v/>
      </c>
      <c r="I466" s="89">
        <f>IF(D466=0,"Medición",IF(D466=1,"Daño físico",IF(D466=2,"Fuga",IF(D466=3,"Picado",IF(D466=4,"Desfasado",IF(D466=5,"Paralizado","¿?"))))))</f>
        <v/>
      </c>
    </row>
    <row r="467">
      <c r="A467" s="82">
        <f>'ERROR FINAL'!A470</f>
        <v/>
      </c>
      <c r="B467" s="83">
        <f>'ERROR FINAL'!D470</f>
        <v/>
      </c>
      <c r="C467" s="344">
        <f>'ERROR FINAL'!G470</f>
        <v/>
      </c>
      <c r="D467" s="85">
        <f>'ERROR FINAL'!I470</f>
        <v/>
      </c>
      <c r="E467" s="345">
        <f>'ERROR FINAL'!U470</f>
        <v/>
      </c>
      <c r="F467" s="346">
        <f>'ERROR FINAL'!AG470</f>
        <v/>
      </c>
      <c r="G467" s="346">
        <f>'ERROR FINAL'!AS470</f>
        <v/>
      </c>
      <c r="H467" s="88">
        <f>IF('ERROR FINAL'!AT470="CONFORME","CONFORME","NO CONFORME")</f>
        <v/>
      </c>
      <c r="I467" s="89">
        <f>IF(D467=0,"Medición",IF(D467=1,"Daño físico",IF(D467=2,"Fuga",IF(D467=3,"Picado",IF(D467=4,"Desfasado",IF(D467=5,"Paralizado","¿?"))))))</f>
        <v/>
      </c>
    </row>
    <row r="468">
      <c r="A468" s="82">
        <f>'ERROR FINAL'!A471</f>
        <v/>
      </c>
      <c r="B468" s="83">
        <f>'ERROR FINAL'!D471</f>
        <v/>
      </c>
      <c r="C468" s="344">
        <f>'ERROR FINAL'!G471</f>
        <v/>
      </c>
      <c r="D468" s="85">
        <f>'ERROR FINAL'!I471</f>
        <v/>
      </c>
      <c r="E468" s="345">
        <f>'ERROR FINAL'!U471</f>
        <v/>
      </c>
      <c r="F468" s="346">
        <f>'ERROR FINAL'!AG471</f>
        <v/>
      </c>
      <c r="G468" s="346">
        <f>'ERROR FINAL'!AS471</f>
        <v/>
      </c>
      <c r="H468" s="88">
        <f>IF('ERROR FINAL'!AT471="CONFORME","CONFORME","NO CONFORME")</f>
        <v/>
      </c>
      <c r="I468" s="89">
        <f>IF(D468=0,"Medición",IF(D468=1,"Daño físico",IF(D468=2,"Fuga",IF(D468=3,"Picado",IF(D468=4,"Desfasado",IF(D468=5,"Paralizado","¿?"))))))</f>
        <v/>
      </c>
    </row>
    <row r="469">
      <c r="A469" s="82">
        <f>'ERROR FINAL'!A472</f>
        <v/>
      </c>
      <c r="B469" s="83">
        <f>'ERROR FINAL'!D472</f>
        <v/>
      </c>
      <c r="C469" s="344">
        <f>'ERROR FINAL'!G472</f>
        <v/>
      </c>
      <c r="D469" s="85">
        <f>'ERROR FINAL'!I472</f>
        <v/>
      </c>
      <c r="E469" s="345">
        <f>'ERROR FINAL'!U472</f>
        <v/>
      </c>
      <c r="F469" s="346">
        <f>'ERROR FINAL'!AG472</f>
        <v/>
      </c>
      <c r="G469" s="346">
        <f>'ERROR FINAL'!AS472</f>
        <v/>
      </c>
      <c r="H469" s="88">
        <f>IF('ERROR FINAL'!AT472="CONFORME","CONFORME","NO CONFORME")</f>
        <v/>
      </c>
      <c r="I469" s="89">
        <f>IF(D469=0,"Medición",IF(D469=1,"Daño físico",IF(D469=2,"Fuga",IF(D469=3,"Picado",IF(D469=4,"Desfasado",IF(D469=5,"Paralizado","¿?"))))))</f>
        <v/>
      </c>
    </row>
    <row r="470">
      <c r="A470" s="82">
        <f>'ERROR FINAL'!A473</f>
        <v/>
      </c>
      <c r="B470" s="83">
        <f>'ERROR FINAL'!D473</f>
        <v/>
      </c>
      <c r="C470" s="344">
        <f>'ERROR FINAL'!G473</f>
        <v/>
      </c>
      <c r="D470" s="85">
        <f>'ERROR FINAL'!I473</f>
        <v/>
      </c>
      <c r="E470" s="345">
        <f>'ERROR FINAL'!U473</f>
        <v/>
      </c>
      <c r="F470" s="346">
        <f>'ERROR FINAL'!AG473</f>
        <v/>
      </c>
      <c r="G470" s="346">
        <f>'ERROR FINAL'!AS473</f>
        <v/>
      </c>
      <c r="H470" s="88">
        <f>IF('ERROR FINAL'!AT473="CONFORME","CONFORME","NO CONFORME")</f>
        <v/>
      </c>
      <c r="I470" s="89">
        <f>IF(D470=0,"Medición",IF(D470=1,"Daño físico",IF(D470=2,"Fuga",IF(D470=3,"Picado",IF(D470=4,"Desfasado",IF(D470=5,"Paralizado","¿?"))))))</f>
        <v/>
      </c>
    </row>
    <row r="471">
      <c r="A471" s="82">
        <f>'ERROR FINAL'!A474</f>
        <v/>
      </c>
      <c r="B471" s="83">
        <f>'ERROR FINAL'!D474</f>
        <v/>
      </c>
      <c r="C471" s="344">
        <f>'ERROR FINAL'!G474</f>
        <v/>
      </c>
      <c r="D471" s="85">
        <f>'ERROR FINAL'!I474</f>
        <v/>
      </c>
      <c r="E471" s="345">
        <f>'ERROR FINAL'!U474</f>
        <v/>
      </c>
      <c r="F471" s="346">
        <f>'ERROR FINAL'!AG474</f>
        <v/>
      </c>
      <c r="G471" s="346">
        <f>'ERROR FINAL'!AS474</f>
        <v/>
      </c>
      <c r="H471" s="88">
        <f>IF('ERROR FINAL'!AT474="CONFORME","CONFORME","NO CONFORME")</f>
        <v/>
      </c>
      <c r="I471" s="89">
        <f>IF(D471=0,"Medición",IF(D471=1,"Daño físico",IF(D471=2,"Fuga",IF(D471=3,"Picado",IF(D471=4,"Desfasado",IF(D471=5,"Paralizado","¿?"))))))</f>
        <v/>
      </c>
    </row>
    <row r="472">
      <c r="A472" s="82">
        <f>'ERROR FINAL'!A475</f>
        <v/>
      </c>
      <c r="B472" s="83">
        <f>'ERROR FINAL'!D475</f>
        <v/>
      </c>
      <c r="C472" s="344">
        <f>'ERROR FINAL'!G475</f>
        <v/>
      </c>
      <c r="D472" s="85">
        <f>'ERROR FINAL'!I475</f>
        <v/>
      </c>
      <c r="E472" s="345">
        <f>'ERROR FINAL'!U475</f>
        <v/>
      </c>
      <c r="F472" s="346">
        <f>'ERROR FINAL'!AG475</f>
        <v/>
      </c>
      <c r="G472" s="346">
        <f>'ERROR FINAL'!AS475</f>
        <v/>
      </c>
      <c r="H472" s="88">
        <f>IF('ERROR FINAL'!AT475="CONFORME","CONFORME","NO CONFORME")</f>
        <v/>
      </c>
      <c r="I472" s="89">
        <f>IF(D472=0,"Medición",IF(D472=1,"Daño físico",IF(D472=2,"Fuga",IF(D472=3,"Picado",IF(D472=4,"Desfasado",IF(D472=5,"Paralizado","¿?"))))))</f>
        <v/>
      </c>
    </row>
    <row r="473">
      <c r="A473" s="82">
        <f>'ERROR FINAL'!A476</f>
        <v/>
      </c>
      <c r="B473" s="83">
        <f>'ERROR FINAL'!D476</f>
        <v/>
      </c>
      <c r="C473" s="344">
        <f>'ERROR FINAL'!G476</f>
        <v/>
      </c>
      <c r="D473" s="85">
        <f>'ERROR FINAL'!I476</f>
        <v/>
      </c>
      <c r="E473" s="345">
        <f>'ERROR FINAL'!U476</f>
        <v/>
      </c>
      <c r="F473" s="346">
        <f>'ERROR FINAL'!AG476</f>
        <v/>
      </c>
      <c r="G473" s="346">
        <f>'ERROR FINAL'!AS476</f>
        <v/>
      </c>
      <c r="H473" s="88">
        <f>IF('ERROR FINAL'!AT476="CONFORME","CONFORME","NO CONFORME")</f>
        <v/>
      </c>
      <c r="I473" s="89">
        <f>IF(D473=0,"Medición",IF(D473=1,"Daño físico",IF(D473=2,"Fuga",IF(D473=3,"Picado",IF(D473=4,"Desfasado",IF(D473=5,"Paralizado","¿?"))))))</f>
        <v/>
      </c>
    </row>
    <row r="474">
      <c r="A474" s="82">
        <f>'ERROR FINAL'!A477</f>
        <v/>
      </c>
      <c r="B474" s="83">
        <f>'ERROR FINAL'!D477</f>
        <v/>
      </c>
      <c r="C474" s="344">
        <f>'ERROR FINAL'!G477</f>
        <v/>
      </c>
      <c r="D474" s="85">
        <f>'ERROR FINAL'!I477</f>
        <v/>
      </c>
      <c r="E474" s="345">
        <f>'ERROR FINAL'!U477</f>
        <v/>
      </c>
      <c r="F474" s="346">
        <f>'ERROR FINAL'!AG477</f>
        <v/>
      </c>
      <c r="G474" s="346">
        <f>'ERROR FINAL'!AS477</f>
        <v/>
      </c>
      <c r="H474" s="88">
        <f>IF('ERROR FINAL'!AT477="CONFORME","CONFORME","NO CONFORME")</f>
        <v/>
      </c>
      <c r="I474" s="89">
        <f>IF(D474=0,"Medición",IF(D474=1,"Daño físico",IF(D474=2,"Fuga",IF(D474=3,"Picado",IF(D474=4,"Desfasado",IF(D474=5,"Paralizado","¿?"))))))</f>
        <v/>
      </c>
    </row>
    <row r="475">
      <c r="A475" s="82">
        <f>'ERROR FINAL'!A478</f>
        <v/>
      </c>
      <c r="B475" s="83">
        <f>'ERROR FINAL'!D478</f>
        <v/>
      </c>
      <c r="C475" s="344">
        <f>'ERROR FINAL'!G478</f>
        <v/>
      </c>
      <c r="D475" s="85">
        <f>'ERROR FINAL'!I478</f>
        <v/>
      </c>
      <c r="E475" s="345">
        <f>'ERROR FINAL'!U478</f>
        <v/>
      </c>
      <c r="F475" s="346">
        <f>'ERROR FINAL'!AG478</f>
        <v/>
      </c>
      <c r="G475" s="346">
        <f>'ERROR FINAL'!AS478</f>
        <v/>
      </c>
      <c r="H475" s="88">
        <f>IF('ERROR FINAL'!AT478="CONFORME","CONFORME","NO CONFORME")</f>
        <v/>
      </c>
      <c r="I475" s="89">
        <f>IF(D475=0,"Medición",IF(D475=1,"Daño físico",IF(D475=2,"Fuga",IF(D475=3,"Picado",IF(D475=4,"Desfasado",IF(D475=5,"Paralizado","¿?"))))))</f>
        <v/>
      </c>
    </row>
    <row r="476">
      <c r="A476" s="82">
        <f>'ERROR FINAL'!A479</f>
        <v/>
      </c>
      <c r="B476" s="83">
        <f>'ERROR FINAL'!D479</f>
        <v/>
      </c>
      <c r="C476" s="344">
        <f>'ERROR FINAL'!G479</f>
        <v/>
      </c>
      <c r="D476" s="85">
        <f>'ERROR FINAL'!I479</f>
        <v/>
      </c>
      <c r="E476" s="345">
        <f>'ERROR FINAL'!U479</f>
        <v/>
      </c>
      <c r="F476" s="346">
        <f>'ERROR FINAL'!AG479</f>
        <v/>
      </c>
      <c r="G476" s="346">
        <f>'ERROR FINAL'!AS479</f>
        <v/>
      </c>
      <c r="H476" s="88">
        <f>IF('ERROR FINAL'!AT479="CONFORME","CONFORME","NO CONFORME")</f>
        <v/>
      </c>
      <c r="I476" s="89">
        <f>IF(D476=0,"Medición",IF(D476=1,"Daño físico",IF(D476=2,"Fuga",IF(D476=3,"Picado",IF(D476=4,"Desfasado",IF(D476=5,"Paralizado","¿?"))))))</f>
        <v/>
      </c>
    </row>
    <row r="477">
      <c r="A477" s="82">
        <f>'ERROR FINAL'!A480</f>
        <v/>
      </c>
      <c r="B477" s="83">
        <f>'ERROR FINAL'!D480</f>
        <v/>
      </c>
      <c r="C477" s="344">
        <f>'ERROR FINAL'!G480</f>
        <v/>
      </c>
      <c r="D477" s="85">
        <f>'ERROR FINAL'!I480</f>
        <v/>
      </c>
      <c r="E477" s="345">
        <f>'ERROR FINAL'!U480</f>
        <v/>
      </c>
      <c r="F477" s="346">
        <f>'ERROR FINAL'!AG480</f>
        <v/>
      </c>
      <c r="G477" s="346">
        <f>'ERROR FINAL'!AS480</f>
        <v/>
      </c>
      <c r="H477" s="88">
        <f>IF('ERROR FINAL'!AT480="CONFORME","CONFORME","NO CONFORME")</f>
        <v/>
      </c>
      <c r="I477" s="89">
        <f>IF(D477=0,"Medición",IF(D477=1,"Daño físico",IF(D477=2,"Fuga",IF(D477=3,"Picado",IF(D477=4,"Desfasado",IF(D477=5,"Paralizado","¿?"))))))</f>
        <v/>
      </c>
    </row>
    <row r="478">
      <c r="A478" s="82">
        <f>'ERROR FINAL'!A481</f>
        <v/>
      </c>
      <c r="B478" s="83">
        <f>'ERROR FINAL'!D481</f>
        <v/>
      </c>
      <c r="C478" s="344">
        <f>'ERROR FINAL'!G481</f>
        <v/>
      </c>
      <c r="D478" s="85">
        <f>'ERROR FINAL'!I481</f>
        <v/>
      </c>
      <c r="E478" s="345">
        <f>'ERROR FINAL'!U481</f>
        <v/>
      </c>
      <c r="F478" s="346">
        <f>'ERROR FINAL'!AG481</f>
        <v/>
      </c>
      <c r="G478" s="346">
        <f>'ERROR FINAL'!AS481</f>
        <v/>
      </c>
      <c r="H478" s="88">
        <f>IF('ERROR FINAL'!AT481="CONFORME","CONFORME","NO CONFORME")</f>
        <v/>
      </c>
      <c r="I478" s="89">
        <f>IF(D478=0,"Medición",IF(D478=1,"Daño físico",IF(D478=2,"Fuga",IF(D478=3,"Picado",IF(D478=4,"Desfasado",IF(D478=5,"Paralizado","¿?"))))))</f>
        <v/>
      </c>
    </row>
    <row r="479">
      <c r="A479" s="82">
        <f>'ERROR FINAL'!A482</f>
        <v/>
      </c>
      <c r="B479" s="83">
        <f>'ERROR FINAL'!D482</f>
        <v/>
      </c>
      <c r="C479" s="344">
        <f>'ERROR FINAL'!G482</f>
        <v/>
      </c>
      <c r="D479" s="85">
        <f>'ERROR FINAL'!I482</f>
        <v/>
      </c>
      <c r="E479" s="345">
        <f>'ERROR FINAL'!U482</f>
        <v/>
      </c>
      <c r="F479" s="346">
        <f>'ERROR FINAL'!AG482</f>
        <v/>
      </c>
      <c r="G479" s="346">
        <f>'ERROR FINAL'!AS482</f>
        <v/>
      </c>
      <c r="H479" s="88">
        <f>IF('ERROR FINAL'!AT482="CONFORME","CONFORME","NO CONFORME")</f>
        <v/>
      </c>
      <c r="I479" s="89">
        <f>IF(D479=0,"Medición",IF(D479=1,"Daño físico",IF(D479=2,"Fuga",IF(D479=3,"Picado",IF(D479=4,"Desfasado",IF(D479=5,"Paralizado","¿?"))))))</f>
        <v/>
      </c>
    </row>
    <row r="480">
      <c r="A480" s="82">
        <f>'ERROR FINAL'!A483</f>
        <v/>
      </c>
      <c r="B480" s="83">
        <f>'ERROR FINAL'!D483</f>
        <v/>
      </c>
      <c r="C480" s="344">
        <f>'ERROR FINAL'!G483</f>
        <v/>
      </c>
      <c r="D480" s="85">
        <f>'ERROR FINAL'!I483</f>
        <v/>
      </c>
      <c r="E480" s="345">
        <f>'ERROR FINAL'!U483</f>
        <v/>
      </c>
      <c r="F480" s="346">
        <f>'ERROR FINAL'!AG483</f>
        <v/>
      </c>
      <c r="G480" s="346">
        <f>'ERROR FINAL'!AS483</f>
        <v/>
      </c>
      <c r="H480" s="88">
        <f>IF('ERROR FINAL'!AT483="CONFORME","CONFORME","NO CONFORME")</f>
        <v/>
      </c>
      <c r="I480" s="89">
        <f>IF(D480=0,"Medición",IF(D480=1,"Daño físico",IF(D480=2,"Fuga",IF(D480=3,"Picado",IF(D480=4,"Desfasado",IF(D480=5,"Paralizado","¿?"))))))</f>
        <v/>
      </c>
    </row>
    <row r="481">
      <c r="A481" s="82">
        <f>'ERROR FINAL'!A484</f>
        <v/>
      </c>
      <c r="B481" s="83">
        <f>'ERROR FINAL'!D484</f>
        <v/>
      </c>
      <c r="C481" s="344">
        <f>'ERROR FINAL'!G484</f>
        <v/>
      </c>
      <c r="D481" s="85">
        <f>'ERROR FINAL'!I484</f>
        <v/>
      </c>
      <c r="E481" s="345">
        <f>'ERROR FINAL'!U484</f>
        <v/>
      </c>
      <c r="F481" s="346">
        <f>'ERROR FINAL'!AG484</f>
        <v/>
      </c>
      <c r="G481" s="346">
        <f>'ERROR FINAL'!AS484</f>
        <v/>
      </c>
      <c r="H481" s="88">
        <f>IF('ERROR FINAL'!AT484="CONFORME","CONFORME","NO CONFORME")</f>
        <v/>
      </c>
      <c r="I481" s="89">
        <f>IF(D481=0,"Medición",IF(D481=1,"Daño físico",IF(D481=2,"Fuga",IF(D481=3,"Picado",IF(D481=4,"Desfasado",IF(D481=5,"Paralizado","¿?"))))))</f>
        <v/>
      </c>
    </row>
    <row r="482">
      <c r="A482" s="82">
        <f>'ERROR FINAL'!A485</f>
        <v/>
      </c>
      <c r="B482" s="83">
        <f>'ERROR FINAL'!D485</f>
        <v/>
      </c>
      <c r="C482" s="344">
        <f>'ERROR FINAL'!G485</f>
        <v/>
      </c>
      <c r="D482" s="85">
        <f>'ERROR FINAL'!I485</f>
        <v/>
      </c>
      <c r="E482" s="345">
        <f>'ERROR FINAL'!U485</f>
        <v/>
      </c>
      <c r="F482" s="346">
        <f>'ERROR FINAL'!AG485</f>
        <v/>
      </c>
      <c r="G482" s="346">
        <f>'ERROR FINAL'!AS485</f>
        <v/>
      </c>
      <c r="H482" s="88">
        <f>IF('ERROR FINAL'!AT485="CONFORME","CONFORME","NO CONFORME")</f>
        <v/>
      </c>
      <c r="I482" s="89">
        <f>IF(D482=0,"Medición",IF(D482=1,"Daño físico",IF(D482=2,"Fuga",IF(D482=3,"Picado",IF(D482=4,"Desfasado",IF(D482=5,"Paralizado","¿?"))))))</f>
        <v/>
      </c>
    </row>
    <row r="483">
      <c r="A483" s="82">
        <f>'ERROR FINAL'!A486</f>
        <v/>
      </c>
      <c r="B483" s="83">
        <f>'ERROR FINAL'!D486</f>
        <v/>
      </c>
      <c r="C483" s="344">
        <f>'ERROR FINAL'!G486</f>
        <v/>
      </c>
      <c r="D483" s="85">
        <f>'ERROR FINAL'!I486</f>
        <v/>
      </c>
      <c r="E483" s="345">
        <f>'ERROR FINAL'!U486</f>
        <v/>
      </c>
      <c r="F483" s="346">
        <f>'ERROR FINAL'!AG486</f>
        <v/>
      </c>
      <c r="G483" s="346">
        <f>'ERROR FINAL'!AS486</f>
        <v/>
      </c>
      <c r="H483" s="88">
        <f>IF('ERROR FINAL'!AT486="CONFORME","CONFORME","NO CONFORME")</f>
        <v/>
      </c>
      <c r="I483" s="89">
        <f>IF(D483=0,"Medición",IF(D483=1,"Daño físico",IF(D483=2,"Fuga",IF(D483=3,"Picado",IF(D483=4,"Desfasado",IF(D483=5,"Paralizado","¿?"))))))</f>
        <v/>
      </c>
    </row>
    <row r="484">
      <c r="A484" s="82">
        <f>'ERROR FINAL'!A487</f>
        <v/>
      </c>
      <c r="B484" s="83">
        <f>'ERROR FINAL'!D487</f>
        <v/>
      </c>
      <c r="C484" s="344">
        <f>'ERROR FINAL'!G487</f>
        <v/>
      </c>
      <c r="D484" s="85">
        <f>'ERROR FINAL'!I487</f>
        <v/>
      </c>
      <c r="E484" s="345">
        <f>'ERROR FINAL'!U487</f>
        <v/>
      </c>
      <c r="F484" s="346">
        <f>'ERROR FINAL'!AG487</f>
        <v/>
      </c>
      <c r="G484" s="346">
        <f>'ERROR FINAL'!AS487</f>
        <v/>
      </c>
      <c r="H484" s="88">
        <f>IF('ERROR FINAL'!AT487="CONFORME","CONFORME","NO CONFORME")</f>
        <v/>
      </c>
      <c r="I484" s="89">
        <f>IF(D484=0,"Medición",IF(D484=1,"Daño físico",IF(D484=2,"Fuga",IF(D484=3,"Picado",IF(D484=4,"Desfasado",IF(D484=5,"Paralizado","¿?"))))))</f>
        <v/>
      </c>
    </row>
    <row r="485">
      <c r="A485" s="82">
        <f>'ERROR FINAL'!A488</f>
        <v/>
      </c>
      <c r="B485" s="83">
        <f>'ERROR FINAL'!D488</f>
        <v/>
      </c>
      <c r="C485" s="344">
        <f>'ERROR FINAL'!G488</f>
        <v/>
      </c>
      <c r="D485" s="85">
        <f>'ERROR FINAL'!I488</f>
        <v/>
      </c>
      <c r="E485" s="345">
        <f>'ERROR FINAL'!U488</f>
        <v/>
      </c>
      <c r="F485" s="346">
        <f>'ERROR FINAL'!AG488</f>
        <v/>
      </c>
      <c r="G485" s="346">
        <f>'ERROR FINAL'!AS488</f>
        <v/>
      </c>
      <c r="H485" s="88">
        <f>IF('ERROR FINAL'!AT488="CONFORME","CONFORME","NO CONFORME")</f>
        <v/>
      </c>
      <c r="I485" s="89">
        <f>IF(D485=0,"Medición",IF(D485=1,"Daño físico",IF(D485=2,"Fuga",IF(D485=3,"Picado",IF(D485=4,"Desfasado",IF(D485=5,"Paralizado","¿?"))))))</f>
        <v/>
      </c>
    </row>
    <row r="486">
      <c r="A486" s="82">
        <f>'ERROR FINAL'!A489</f>
        <v/>
      </c>
      <c r="B486" s="83">
        <f>'ERROR FINAL'!D489</f>
        <v/>
      </c>
      <c r="C486" s="344">
        <f>'ERROR FINAL'!G489</f>
        <v/>
      </c>
      <c r="D486" s="85">
        <f>'ERROR FINAL'!I489</f>
        <v/>
      </c>
      <c r="E486" s="345">
        <f>'ERROR FINAL'!U489</f>
        <v/>
      </c>
      <c r="F486" s="346">
        <f>'ERROR FINAL'!AG489</f>
        <v/>
      </c>
      <c r="G486" s="346">
        <f>'ERROR FINAL'!AS489</f>
        <v/>
      </c>
      <c r="H486" s="88">
        <f>IF('ERROR FINAL'!AT489="CONFORME","CONFORME","NO CONFORME")</f>
        <v/>
      </c>
      <c r="I486" s="89">
        <f>IF(D486=0,"Medición",IF(D486=1,"Daño físico",IF(D486=2,"Fuga",IF(D486=3,"Picado",IF(D486=4,"Desfasado",IF(D486=5,"Paralizado","¿?"))))))</f>
        <v/>
      </c>
    </row>
    <row r="487">
      <c r="A487" s="82">
        <f>'ERROR FINAL'!A490</f>
        <v/>
      </c>
      <c r="B487" s="83">
        <f>'ERROR FINAL'!D490</f>
        <v/>
      </c>
      <c r="C487" s="344">
        <f>'ERROR FINAL'!G490</f>
        <v/>
      </c>
      <c r="D487" s="85">
        <f>'ERROR FINAL'!I490</f>
        <v/>
      </c>
      <c r="E487" s="345">
        <f>'ERROR FINAL'!U490</f>
        <v/>
      </c>
      <c r="F487" s="346">
        <f>'ERROR FINAL'!AG490</f>
        <v/>
      </c>
      <c r="G487" s="346">
        <f>'ERROR FINAL'!AS490</f>
        <v/>
      </c>
      <c r="H487" s="88">
        <f>IF('ERROR FINAL'!AT490="CONFORME","CONFORME","NO CONFORME")</f>
        <v/>
      </c>
      <c r="I487" s="89">
        <f>IF(D487=0,"Medición",IF(D487=1,"Daño físico",IF(D487=2,"Fuga",IF(D487=3,"Picado",IF(D487=4,"Desfasado",IF(D487=5,"Paralizado","¿?"))))))</f>
        <v/>
      </c>
    </row>
    <row r="488">
      <c r="A488" s="82">
        <f>'ERROR FINAL'!A491</f>
        <v/>
      </c>
      <c r="B488" s="83">
        <f>'ERROR FINAL'!D491</f>
        <v/>
      </c>
      <c r="C488" s="344">
        <f>'ERROR FINAL'!G491</f>
        <v/>
      </c>
      <c r="D488" s="85">
        <f>'ERROR FINAL'!I491</f>
        <v/>
      </c>
      <c r="E488" s="345">
        <f>'ERROR FINAL'!U491</f>
        <v/>
      </c>
      <c r="F488" s="346">
        <f>'ERROR FINAL'!AG491</f>
        <v/>
      </c>
      <c r="G488" s="346">
        <f>'ERROR FINAL'!AS491</f>
        <v/>
      </c>
      <c r="H488" s="88">
        <f>IF('ERROR FINAL'!AT491="CONFORME","CONFORME","NO CONFORME")</f>
        <v/>
      </c>
      <c r="I488" s="89">
        <f>IF(D488=0,"Medición",IF(D488=1,"Daño físico",IF(D488=2,"Fuga",IF(D488=3,"Picado",IF(D488=4,"Desfasado",IF(D488=5,"Paralizado","¿?"))))))</f>
        <v/>
      </c>
    </row>
    <row r="489">
      <c r="A489" s="82">
        <f>'ERROR FINAL'!A492</f>
        <v/>
      </c>
      <c r="B489" s="83">
        <f>'ERROR FINAL'!D492</f>
        <v/>
      </c>
      <c r="C489" s="344">
        <f>'ERROR FINAL'!G492</f>
        <v/>
      </c>
      <c r="D489" s="85">
        <f>'ERROR FINAL'!I492</f>
        <v/>
      </c>
      <c r="E489" s="345">
        <f>'ERROR FINAL'!U492</f>
        <v/>
      </c>
      <c r="F489" s="346">
        <f>'ERROR FINAL'!AG492</f>
        <v/>
      </c>
      <c r="G489" s="346">
        <f>'ERROR FINAL'!AS492</f>
        <v/>
      </c>
      <c r="H489" s="88">
        <f>IF('ERROR FINAL'!AT492="CONFORME","CONFORME","NO CONFORME")</f>
        <v/>
      </c>
      <c r="I489" s="89">
        <f>IF(D489=0,"Medición",IF(D489=1,"Daño físico",IF(D489=2,"Fuga",IF(D489=3,"Picado",IF(D489=4,"Desfasado",IF(D489=5,"Paralizado","¿?"))))))</f>
        <v/>
      </c>
    </row>
    <row r="490">
      <c r="A490" s="82">
        <f>'ERROR FINAL'!A493</f>
        <v/>
      </c>
      <c r="B490" s="83">
        <f>'ERROR FINAL'!D493</f>
        <v/>
      </c>
      <c r="C490" s="344">
        <f>'ERROR FINAL'!G493</f>
        <v/>
      </c>
      <c r="D490" s="85">
        <f>'ERROR FINAL'!I493</f>
        <v/>
      </c>
      <c r="E490" s="345">
        <f>'ERROR FINAL'!U493</f>
        <v/>
      </c>
      <c r="F490" s="346">
        <f>'ERROR FINAL'!AG493</f>
        <v/>
      </c>
      <c r="G490" s="346">
        <f>'ERROR FINAL'!AS493</f>
        <v/>
      </c>
      <c r="H490" s="88">
        <f>IF('ERROR FINAL'!AT493="CONFORME","CONFORME","NO CONFORME")</f>
        <v/>
      </c>
      <c r="I490" s="89">
        <f>IF(D490=0,"Medición",IF(D490=1,"Daño físico",IF(D490=2,"Fuga",IF(D490=3,"Picado",IF(D490=4,"Desfasado",IF(D490=5,"Paralizado","¿?"))))))</f>
        <v/>
      </c>
    </row>
    <row r="491">
      <c r="A491" s="82">
        <f>'ERROR FINAL'!A494</f>
        <v/>
      </c>
      <c r="B491" s="83">
        <f>'ERROR FINAL'!D494</f>
        <v/>
      </c>
      <c r="C491" s="344">
        <f>'ERROR FINAL'!G494</f>
        <v/>
      </c>
      <c r="D491" s="85">
        <f>'ERROR FINAL'!I494</f>
        <v/>
      </c>
      <c r="E491" s="345">
        <f>'ERROR FINAL'!U494</f>
        <v/>
      </c>
      <c r="F491" s="346">
        <f>'ERROR FINAL'!AG494</f>
        <v/>
      </c>
      <c r="G491" s="346">
        <f>'ERROR FINAL'!AS494</f>
        <v/>
      </c>
      <c r="H491" s="88">
        <f>IF('ERROR FINAL'!AT494="CONFORME","CONFORME","NO CONFORME")</f>
        <v/>
      </c>
      <c r="I491" s="89">
        <f>IF(D491=0,"Medición",IF(D491=1,"Daño físico",IF(D491=2,"Fuga",IF(D491=3,"Picado",IF(D491=4,"Desfasado",IF(D491=5,"Paralizado","¿?"))))))</f>
        <v/>
      </c>
    </row>
    <row r="492">
      <c r="A492" s="82">
        <f>'ERROR FINAL'!A495</f>
        <v/>
      </c>
      <c r="B492" s="83">
        <f>'ERROR FINAL'!D495</f>
        <v/>
      </c>
      <c r="C492" s="344">
        <f>'ERROR FINAL'!G495</f>
        <v/>
      </c>
      <c r="D492" s="85">
        <f>'ERROR FINAL'!I495</f>
        <v/>
      </c>
      <c r="E492" s="345">
        <f>'ERROR FINAL'!U495</f>
        <v/>
      </c>
      <c r="F492" s="346">
        <f>'ERROR FINAL'!AG495</f>
        <v/>
      </c>
      <c r="G492" s="346">
        <f>'ERROR FINAL'!AS495</f>
        <v/>
      </c>
      <c r="H492" s="88">
        <f>IF('ERROR FINAL'!AT495="CONFORME","CONFORME","NO CONFORME")</f>
        <v/>
      </c>
      <c r="I492" s="89">
        <f>IF(D492=0,"Medición",IF(D492=1,"Daño físico",IF(D492=2,"Fuga",IF(D492=3,"Picado",IF(D492=4,"Desfasado",IF(D492=5,"Paralizado","¿?"))))))</f>
        <v/>
      </c>
    </row>
    <row r="493">
      <c r="A493" s="82">
        <f>'ERROR FINAL'!A496</f>
        <v/>
      </c>
      <c r="B493" s="83">
        <f>'ERROR FINAL'!D496</f>
        <v/>
      </c>
      <c r="C493" s="344">
        <f>'ERROR FINAL'!G496</f>
        <v/>
      </c>
      <c r="D493" s="85">
        <f>'ERROR FINAL'!I496</f>
        <v/>
      </c>
      <c r="E493" s="345">
        <f>'ERROR FINAL'!U496</f>
        <v/>
      </c>
      <c r="F493" s="346">
        <f>'ERROR FINAL'!AG496</f>
        <v/>
      </c>
      <c r="G493" s="346">
        <f>'ERROR FINAL'!AS496</f>
        <v/>
      </c>
      <c r="H493" s="88">
        <f>IF('ERROR FINAL'!AT496="CONFORME","CONFORME","NO CONFORME")</f>
        <v/>
      </c>
      <c r="I493" s="89">
        <f>IF(D493=0,"Medición",IF(D493=1,"Daño físico",IF(D493=2,"Fuga",IF(D493=3,"Picado",IF(D493=4,"Desfasado",IF(D493=5,"Paralizado","¿?"))))))</f>
        <v/>
      </c>
    </row>
    <row r="494">
      <c r="A494" s="82">
        <f>'ERROR FINAL'!A497</f>
        <v/>
      </c>
      <c r="B494" s="83">
        <f>'ERROR FINAL'!D497</f>
        <v/>
      </c>
      <c r="C494" s="344">
        <f>'ERROR FINAL'!G497</f>
        <v/>
      </c>
      <c r="D494" s="85">
        <f>'ERROR FINAL'!I497</f>
        <v/>
      </c>
      <c r="E494" s="345">
        <f>'ERROR FINAL'!U497</f>
        <v/>
      </c>
      <c r="F494" s="346">
        <f>'ERROR FINAL'!AG497</f>
        <v/>
      </c>
      <c r="G494" s="346">
        <f>'ERROR FINAL'!AS497</f>
        <v/>
      </c>
      <c r="H494" s="88">
        <f>IF('ERROR FINAL'!AT497="CONFORME","CONFORME","NO CONFORME")</f>
        <v/>
      </c>
      <c r="I494" s="89">
        <f>IF(D494=0,"Medición",IF(D494=1,"Daño físico",IF(D494=2,"Fuga",IF(D494=3,"Picado",IF(D494=4,"Desfasado",IF(D494=5,"Paralizado","¿?"))))))</f>
        <v/>
      </c>
    </row>
    <row r="495">
      <c r="A495" s="82">
        <f>'ERROR FINAL'!A498</f>
        <v/>
      </c>
      <c r="B495" s="83">
        <f>'ERROR FINAL'!D498</f>
        <v/>
      </c>
      <c r="C495" s="344">
        <f>'ERROR FINAL'!G498</f>
        <v/>
      </c>
      <c r="D495" s="85">
        <f>'ERROR FINAL'!I498</f>
        <v/>
      </c>
      <c r="E495" s="345">
        <f>'ERROR FINAL'!U498</f>
        <v/>
      </c>
      <c r="F495" s="346">
        <f>'ERROR FINAL'!AG498</f>
        <v/>
      </c>
      <c r="G495" s="346">
        <f>'ERROR FINAL'!AS498</f>
        <v/>
      </c>
      <c r="H495" s="88">
        <f>IF('ERROR FINAL'!AT498="CONFORME","CONFORME","NO CONFORME")</f>
        <v/>
      </c>
      <c r="I495" s="89">
        <f>IF(D495=0,"Medición",IF(D495=1,"Daño físico",IF(D495=2,"Fuga",IF(D495=3,"Picado",IF(D495=4,"Desfasado",IF(D495=5,"Paralizado","¿?"))))))</f>
        <v/>
      </c>
    </row>
    <row r="496">
      <c r="A496" s="82">
        <f>'ERROR FINAL'!A499</f>
        <v/>
      </c>
      <c r="B496" s="83">
        <f>'ERROR FINAL'!D499</f>
        <v/>
      </c>
      <c r="C496" s="344">
        <f>'ERROR FINAL'!G499</f>
        <v/>
      </c>
      <c r="D496" s="85">
        <f>'ERROR FINAL'!I499</f>
        <v/>
      </c>
      <c r="E496" s="345">
        <f>'ERROR FINAL'!U499</f>
        <v/>
      </c>
      <c r="F496" s="346">
        <f>'ERROR FINAL'!AG499</f>
        <v/>
      </c>
      <c r="G496" s="346">
        <f>'ERROR FINAL'!AS499</f>
        <v/>
      </c>
      <c r="H496" s="88">
        <f>IF('ERROR FINAL'!AT499="CONFORME","CONFORME","NO CONFORME")</f>
        <v/>
      </c>
      <c r="I496" s="89">
        <f>IF(D496=0,"Medición",IF(D496=1,"Daño físico",IF(D496=2,"Fuga",IF(D496=3,"Picado",IF(D496=4,"Desfasado",IF(D496=5,"Paralizado","¿?"))))))</f>
        <v/>
      </c>
    </row>
    <row r="497">
      <c r="A497" s="82">
        <f>'ERROR FINAL'!A500</f>
        <v/>
      </c>
      <c r="B497" s="83">
        <f>'ERROR FINAL'!D500</f>
        <v/>
      </c>
      <c r="C497" s="344">
        <f>'ERROR FINAL'!G500</f>
        <v/>
      </c>
      <c r="D497" s="85">
        <f>'ERROR FINAL'!I500</f>
        <v/>
      </c>
      <c r="E497" s="345">
        <f>'ERROR FINAL'!U500</f>
        <v/>
      </c>
      <c r="F497" s="346">
        <f>'ERROR FINAL'!AG500</f>
        <v/>
      </c>
      <c r="G497" s="346">
        <f>'ERROR FINAL'!AS500</f>
        <v/>
      </c>
      <c r="H497" s="88">
        <f>IF('ERROR FINAL'!AT500="CONFORME","CONFORME","NO CONFORME")</f>
        <v/>
      </c>
      <c r="I497" s="89">
        <f>IF(D497=0,"Medición",IF(D497=1,"Daño físico",IF(D497=2,"Fuga",IF(D497=3,"Picado",IF(D497=4,"Desfasado",IF(D497=5,"Paralizado","¿?"))))))</f>
        <v/>
      </c>
    </row>
    <row r="498">
      <c r="A498" s="82">
        <f>'ERROR FINAL'!A501</f>
        <v/>
      </c>
      <c r="B498" s="83">
        <f>'ERROR FINAL'!D501</f>
        <v/>
      </c>
      <c r="C498" s="344">
        <f>'ERROR FINAL'!G501</f>
        <v/>
      </c>
      <c r="D498" s="85">
        <f>'ERROR FINAL'!I501</f>
        <v/>
      </c>
      <c r="E498" s="345">
        <f>'ERROR FINAL'!U501</f>
        <v/>
      </c>
      <c r="F498" s="346">
        <f>'ERROR FINAL'!AG501</f>
        <v/>
      </c>
      <c r="G498" s="346">
        <f>'ERROR FINAL'!AS501</f>
        <v/>
      </c>
      <c r="H498" s="88">
        <f>IF('ERROR FINAL'!AT501="CONFORME","CONFORME","NO CONFORME")</f>
        <v/>
      </c>
      <c r="I498" s="89">
        <f>IF(D498=0,"Medición",IF(D498=1,"Daño físico",IF(D498=2,"Fuga",IF(D498=3,"Picado",IF(D498=4,"Desfasado",IF(D498=5,"Paralizado","¿?"))))))</f>
        <v/>
      </c>
    </row>
    <row r="499">
      <c r="A499" s="82">
        <f>'ERROR FINAL'!A502</f>
        <v/>
      </c>
      <c r="B499" s="83">
        <f>'ERROR FINAL'!D502</f>
        <v/>
      </c>
      <c r="C499" s="344">
        <f>'ERROR FINAL'!G502</f>
        <v/>
      </c>
      <c r="D499" s="85">
        <f>'ERROR FINAL'!I502</f>
        <v/>
      </c>
      <c r="E499" s="345">
        <f>'ERROR FINAL'!U502</f>
        <v/>
      </c>
      <c r="F499" s="346">
        <f>'ERROR FINAL'!AG502</f>
        <v/>
      </c>
      <c r="G499" s="346">
        <f>'ERROR FINAL'!AS502</f>
        <v/>
      </c>
      <c r="H499" s="88">
        <f>IF('ERROR FINAL'!AT502="CONFORME","CONFORME","NO CONFORME")</f>
        <v/>
      </c>
      <c r="I499" s="89">
        <f>IF(D499=0,"Medición",IF(D499=1,"Daño físico",IF(D499=2,"Fuga",IF(D499=3,"Picado",IF(D499=4,"Desfasado",IF(D499=5,"Paralizado","¿?"))))))</f>
        <v/>
      </c>
    </row>
    <row r="500">
      <c r="A500" s="82">
        <f>'ERROR FINAL'!A503</f>
        <v/>
      </c>
      <c r="B500" s="83">
        <f>'ERROR FINAL'!D503</f>
        <v/>
      </c>
      <c r="C500" s="344">
        <f>'ERROR FINAL'!G503</f>
        <v/>
      </c>
      <c r="D500" s="85">
        <f>'ERROR FINAL'!I503</f>
        <v/>
      </c>
      <c r="E500" s="345">
        <f>'ERROR FINAL'!U503</f>
        <v/>
      </c>
      <c r="F500" s="346">
        <f>'ERROR FINAL'!AG503</f>
        <v/>
      </c>
      <c r="G500" s="346">
        <f>'ERROR FINAL'!AS503</f>
        <v/>
      </c>
      <c r="H500" s="88">
        <f>IF('ERROR FINAL'!AT503="CONFORME","CONFORME","NO CONFORME")</f>
        <v/>
      </c>
      <c r="I500" s="89">
        <f>IF(D500=0,"Medición",IF(D500=1,"Daño físico",IF(D500=2,"Fuga",IF(D500=3,"Picado",IF(D500=4,"Desfasado",IF(D500=5,"Paralizado","¿?"))))))</f>
        <v/>
      </c>
    </row>
    <row r="501">
      <c r="A501" s="82">
        <f>'ERROR FINAL'!A504</f>
        <v/>
      </c>
      <c r="B501" s="83">
        <f>'ERROR FINAL'!D504</f>
        <v/>
      </c>
      <c r="C501" s="344">
        <f>'ERROR FINAL'!G504</f>
        <v/>
      </c>
      <c r="D501" s="85">
        <f>'ERROR FINAL'!I504</f>
        <v/>
      </c>
      <c r="E501" s="345">
        <f>'ERROR FINAL'!U504</f>
        <v/>
      </c>
      <c r="F501" s="346">
        <f>'ERROR FINAL'!AG504</f>
        <v/>
      </c>
      <c r="G501" s="346">
        <f>'ERROR FINAL'!AS504</f>
        <v/>
      </c>
      <c r="H501" s="88">
        <f>IF('ERROR FINAL'!AT504="CONFORME","CONFORME","NO CONFORME")</f>
        <v/>
      </c>
      <c r="I501" s="89">
        <f>IF(D501=0,"Medición",IF(D501=1,"Daño físico",IF(D501=2,"Fuga",IF(D501=3,"Picado",IF(D501=4,"Desfasado",IF(D501=5,"Paralizado","¿?"))))))</f>
        <v/>
      </c>
    </row>
    <row r="502">
      <c r="A502" s="82">
        <f>'ERROR FINAL'!A505</f>
        <v/>
      </c>
      <c r="B502" s="83">
        <f>'ERROR FINAL'!D505</f>
        <v/>
      </c>
      <c r="C502" s="344">
        <f>'ERROR FINAL'!G505</f>
        <v/>
      </c>
      <c r="D502" s="85">
        <f>'ERROR FINAL'!I505</f>
        <v/>
      </c>
      <c r="E502" s="345">
        <f>'ERROR FINAL'!U505</f>
        <v/>
      </c>
      <c r="F502" s="346">
        <f>'ERROR FINAL'!AG505</f>
        <v/>
      </c>
      <c r="G502" s="346">
        <f>'ERROR FINAL'!AS505</f>
        <v/>
      </c>
      <c r="H502" s="88">
        <f>IF('ERROR FINAL'!AT505="CONFORME","CONFORME","NO CONFORME")</f>
        <v/>
      </c>
      <c r="I502" s="89">
        <f>IF(D502=0,"Medición",IF(D502=1,"Daño físico",IF(D502=2,"Fuga",IF(D502=3,"Picado",IF(D502=4,"Desfasado",IF(D502=5,"Paralizado","¿?"))))))</f>
        <v/>
      </c>
    </row>
    <row r="503">
      <c r="A503" s="82">
        <f>'ERROR FINAL'!A506</f>
        <v/>
      </c>
      <c r="B503" s="83">
        <f>'ERROR FINAL'!D506</f>
        <v/>
      </c>
      <c r="C503" s="344">
        <f>'ERROR FINAL'!G506</f>
        <v/>
      </c>
      <c r="D503" s="85">
        <f>'ERROR FINAL'!I506</f>
        <v/>
      </c>
      <c r="E503" s="345">
        <f>'ERROR FINAL'!U506</f>
        <v/>
      </c>
      <c r="F503" s="346">
        <f>'ERROR FINAL'!AG506</f>
        <v/>
      </c>
      <c r="G503" s="346">
        <f>'ERROR FINAL'!AS506</f>
        <v/>
      </c>
      <c r="H503" s="88">
        <f>IF('ERROR FINAL'!AT506="CONFORME","CONFORME","NO CONFORME")</f>
        <v/>
      </c>
      <c r="I503" s="89">
        <f>IF(D503=0,"Medición",IF(D503=1,"Daño físico",IF(D503=2,"Fuga",IF(D503=3,"Picado",IF(D503=4,"Desfasado",IF(D503=5,"Paralizado","¿?"))))))</f>
        <v/>
      </c>
    </row>
    <row r="504">
      <c r="A504" s="82">
        <f>'ERROR FINAL'!A507</f>
        <v/>
      </c>
      <c r="B504" s="83">
        <f>'ERROR FINAL'!D507</f>
        <v/>
      </c>
      <c r="C504" s="344">
        <f>'ERROR FINAL'!G507</f>
        <v/>
      </c>
      <c r="D504" s="85">
        <f>'ERROR FINAL'!I507</f>
        <v/>
      </c>
      <c r="E504" s="345">
        <f>'ERROR FINAL'!U507</f>
        <v/>
      </c>
      <c r="F504" s="346">
        <f>'ERROR FINAL'!AG507</f>
        <v/>
      </c>
      <c r="G504" s="346">
        <f>'ERROR FINAL'!AS507</f>
        <v/>
      </c>
      <c r="H504" s="88">
        <f>IF('ERROR FINAL'!AT507="CONFORME","CONFORME","NO CONFORME")</f>
        <v/>
      </c>
      <c r="I504" s="89">
        <f>IF(D504=0,"Medición",IF(D504=1,"Daño físico",IF(D504=2,"Fuga",IF(D504=3,"Picado",IF(D504=4,"Desfasado",IF(D504=5,"Paralizado","¿?"))))))</f>
        <v/>
      </c>
    </row>
    <row r="505">
      <c r="A505" s="82">
        <f>'ERROR FINAL'!A508</f>
        <v/>
      </c>
      <c r="B505" s="83">
        <f>'ERROR FINAL'!D508</f>
        <v/>
      </c>
      <c r="C505" s="344">
        <f>'ERROR FINAL'!G508</f>
        <v/>
      </c>
      <c r="D505" s="85">
        <f>'ERROR FINAL'!I508</f>
        <v/>
      </c>
      <c r="E505" s="345">
        <f>'ERROR FINAL'!U508</f>
        <v/>
      </c>
      <c r="F505" s="346">
        <f>'ERROR FINAL'!AG508</f>
        <v/>
      </c>
      <c r="G505" s="346">
        <f>'ERROR FINAL'!AS508</f>
        <v/>
      </c>
      <c r="H505" s="88">
        <f>IF('ERROR FINAL'!AT508="CONFORME","CONFORME","NO CONFORME")</f>
        <v/>
      </c>
      <c r="I505" s="89">
        <f>IF(D505=0,"Medición",IF(D505=1,"Daño físico",IF(D505=2,"Fuga",IF(D505=3,"Picado",IF(D505=4,"Desfasado",IF(D505=5,"Paralizado","¿?"))))))</f>
        <v/>
      </c>
    </row>
    <row r="506">
      <c r="A506" s="82">
        <f>'ERROR FINAL'!A509</f>
        <v/>
      </c>
      <c r="B506" s="83">
        <f>'ERROR FINAL'!D509</f>
        <v/>
      </c>
      <c r="C506" s="344">
        <f>'ERROR FINAL'!G509</f>
        <v/>
      </c>
      <c r="D506" s="85">
        <f>'ERROR FINAL'!I509</f>
        <v/>
      </c>
      <c r="E506" s="345">
        <f>'ERROR FINAL'!U509</f>
        <v/>
      </c>
      <c r="F506" s="346">
        <f>'ERROR FINAL'!AG509</f>
        <v/>
      </c>
      <c r="G506" s="346">
        <f>'ERROR FINAL'!AS509</f>
        <v/>
      </c>
      <c r="H506" s="88">
        <f>IF('ERROR FINAL'!AT509="CONFORME","CONFORME","NO CONFORME")</f>
        <v/>
      </c>
      <c r="I506" s="89">
        <f>IF(D506=0,"Medición",IF(D506=1,"Daño físico",IF(D506=2,"Fuga",IF(D506=3,"Picado",IF(D506=4,"Desfasado",IF(D506=5,"Paralizado","¿?"))))))</f>
        <v/>
      </c>
    </row>
    <row r="507">
      <c r="A507" s="82">
        <f>'ERROR FINAL'!A510</f>
        <v/>
      </c>
      <c r="B507" s="83">
        <f>'ERROR FINAL'!D510</f>
        <v/>
      </c>
      <c r="C507" s="344">
        <f>'ERROR FINAL'!G510</f>
        <v/>
      </c>
      <c r="D507" s="85">
        <f>'ERROR FINAL'!I510</f>
        <v/>
      </c>
      <c r="E507" s="345">
        <f>'ERROR FINAL'!U510</f>
        <v/>
      </c>
      <c r="F507" s="346">
        <f>'ERROR FINAL'!AG510</f>
        <v/>
      </c>
      <c r="G507" s="346">
        <f>'ERROR FINAL'!AS510</f>
        <v/>
      </c>
      <c r="H507" s="88">
        <f>IF('ERROR FINAL'!AT510="CONFORME","CONFORME","NO CONFORME")</f>
        <v/>
      </c>
      <c r="I507" s="89">
        <f>IF(D507=0,"Medición",IF(D507=1,"Daño físico",IF(D507=2,"Fuga",IF(D507=3,"Picado",IF(D507=4,"Desfasado",IF(D507=5,"Paralizado","¿?"))))))</f>
        <v/>
      </c>
    </row>
    <row r="508">
      <c r="A508" s="82">
        <f>'ERROR FINAL'!A511</f>
        <v/>
      </c>
      <c r="B508" s="83">
        <f>'ERROR FINAL'!D511</f>
        <v/>
      </c>
      <c r="C508" s="344">
        <f>'ERROR FINAL'!G511</f>
        <v/>
      </c>
      <c r="D508" s="85">
        <f>'ERROR FINAL'!I511</f>
        <v/>
      </c>
      <c r="E508" s="345">
        <f>'ERROR FINAL'!U511</f>
        <v/>
      </c>
      <c r="F508" s="346">
        <f>'ERROR FINAL'!AG511</f>
        <v/>
      </c>
      <c r="G508" s="346">
        <f>'ERROR FINAL'!AS511</f>
        <v/>
      </c>
      <c r="H508" s="88">
        <f>IF('ERROR FINAL'!AT511="CONFORME","CONFORME","NO CONFORME")</f>
        <v/>
      </c>
      <c r="I508" s="89">
        <f>IF(D508=0,"Medición",IF(D508=1,"Daño físico",IF(D508=2,"Fuga",IF(D508=3,"Picado",IF(D508=4,"Desfasado",IF(D508=5,"Paralizado","¿?"))))))</f>
        <v/>
      </c>
    </row>
    <row r="509">
      <c r="A509" s="82">
        <f>'ERROR FINAL'!A512</f>
        <v/>
      </c>
      <c r="B509" s="83">
        <f>'ERROR FINAL'!D512</f>
        <v/>
      </c>
      <c r="C509" s="344">
        <f>'ERROR FINAL'!G512</f>
        <v/>
      </c>
      <c r="D509" s="85">
        <f>'ERROR FINAL'!I512</f>
        <v/>
      </c>
      <c r="E509" s="345">
        <f>'ERROR FINAL'!U512</f>
        <v/>
      </c>
      <c r="F509" s="346">
        <f>'ERROR FINAL'!AG512</f>
        <v/>
      </c>
      <c r="G509" s="346">
        <f>'ERROR FINAL'!AS512</f>
        <v/>
      </c>
      <c r="H509" s="88">
        <f>IF('ERROR FINAL'!AT512="CONFORME","CONFORME","NO CONFORME")</f>
        <v/>
      </c>
      <c r="I509" s="89">
        <f>IF(D509=0,"Medición",IF(D509=1,"Daño físico",IF(D509=2,"Fuga",IF(D509=3,"Picado",IF(D509=4,"Desfasado",IF(D509=5,"Paralizado","¿?"))))))</f>
        <v/>
      </c>
    </row>
    <row r="510">
      <c r="A510" s="82">
        <f>'ERROR FINAL'!A513</f>
        <v/>
      </c>
      <c r="B510" s="83">
        <f>'ERROR FINAL'!D513</f>
        <v/>
      </c>
      <c r="C510" s="344">
        <f>'ERROR FINAL'!G513</f>
        <v/>
      </c>
      <c r="D510" s="85">
        <f>'ERROR FINAL'!I513</f>
        <v/>
      </c>
      <c r="E510" s="345">
        <f>'ERROR FINAL'!U513</f>
        <v/>
      </c>
      <c r="F510" s="346">
        <f>'ERROR FINAL'!AG513</f>
        <v/>
      </c>
      <c r="G510" s="346">
        <f>'ERROR FINAL'!AS513</f>
        <v/>
      </c>
      <c r="H510" s="88">
        <f>IF('ERROR FINAL'!AT513="CONFORME","CONFORME","NO CONFORME")</f>
        <v/>
      </c>
      <c r="I510" s="89">
        <f>IF(D510=0,"Medición",IF(D510=1,"Daño físico",IF(D510=2,"Fuga",IF(D510=3,"Picado",IF(D510=4,"Desfasado",IF(D510=5,"Paralizado","¿?"))))))</f>
        <v/>
      </c>
    </row>
    <row r="511">
      <c r="A511" s="82">
        <f>'ERROR FINAL'!A514</f>
        <v/>
      </c>
      <c r="B511" s="83">
        <f>'ERROR FINAL'!D514</f>
        <v/>
      </c>
      <c r="C511" s="344">
        <f>'ERROR FINAL'!G514</f>
        <v/>
      </c>
      <c r="D511" s="85">
        <f>'ERROR FINAL'!I514</f>
        <v/>
      </c>
      <c r="E511" s="345">
        <f>'ERROR FINAL'!U514</f>
        <v/>
      </c>
      <c r="F511" s="346">
        <f>'ERROR FINAL'!AG514</f>
        <v/>
      </c>
      <c r="G511" s="346">
        <f>'ERROR FINAL'!AS514</f>
        <v/>
      </c>
      <c r="H511" s="88">
        <f>IF('ERROR FINAL'!AT514="CONFORME","CONFORME","NO CONFORME")</f>
        <v/>
      </c>
      <c r="I511" s="89">
        <f>IF(D511=0,"Medición",IF(D511=1,"Daño físico",IF(D511=2,"Fuga",IF(D511=3,"Picado",IF(D511=4,"Desfasado",IF(D511=5,"Paralizado","¿?"))))))</f>
        <v/>
      </c>
    </row>
    <row r="512">
      <c r="A512" s="82">
        <f>'ERROR FINAL'!A515</f>
        <v/>
      </c>
      <c r="B512" s="83">
        <f>'ERROR FINAL'!D515</f>
        <v/>
      </c>
      <c r="C512" s="344">
        <f>'ERROR FINAL'!G515</f>
        <v/>
      </c>
      <c r="D512" s="85">
        <f>'ERROR FINAL'!I515</f>
        <v/>
      </c>
      <c r="E512" s="345">
        <f>'ERROR FINAL'!U515</f>
        <v/>
      </c>
      <c r="F512" s="346">
        <f>'ERROR FINAL'!AG515</f>
        <v/>
      </c>
      <c r="G512" s="346">
        <f>'ERROR FINAL'!AS515</f>
        <v/>
      </c>
      <c r="H512" s="88">
        <f>IF('ERROR FINAL'!AT515="CONFORME","CONFORME","NO CONFORME")</f>
        <v/>
      </c>
      <c r="I512" s="89">
        <f>IF(D512=0,"Medición",IF(D512=1,"Daño físico",IF(D512=2,"Fuga",IF(D512=3,"Picado",IF(D512=4,"Desfasado",IF(D512=5,"Paralizado","¿?"))))))</f>
        <v/>
      </c>
    </row>
    <row r="513">
      <c r="A513" s="82">
        <f>'ERROR FINAL'!A516</f>
        <v/>
      </c>
      <c r="B513" s="83">
        <f>'ERROR FINAL'!D516</f>
        <v/>
      </c>
      <c r="C513" s="344">
        <f>'ERROR FINAL'!G516</f>
        <v/>
      </c>
      <c r="D513" s="85">
        <f>'ERROR FINAL'!I516</f>
        <v/>
      </c>
      <c r="E513" s="345">
        <f>'ERROR FINAL'!U516</f>
        <v/>
      </c>
      <c r="F513" s="346">
        <f>'ERROR FINAL'!AG516</f>
        <v/>
      </c>
      <c r="G513" s="346">
        <f>'ERROR FINAL'!AS516</f>
        <v/>
      </c>
      <c r="H513" s="88">
        <f>IF('ERROR FINAL'!AT516="CONFORME","CONFORME","NO CONFORME")</f>
        <v/>
      </c>
      <c r="I513" s="89">
        <f>IF(D513=0,"Medición",IF(D513=1,"Daño físico",IF(D513=2,"Fuga",IF(D513=3,"Picado",IF(D513=4,"Desfasado",IF(D513=5,"Paralizado","¿?"))))))</f>
        <v/>
      </c>
    </row>
    <row r="514">
      <c r="A514" s="82">
        <f>'ERROR FINAL'!A517</f>
        <v/>
      </c>
      <c r="B514" s="83">
        <f>'ERROR FINAL'!D517</f>
        <v/>
      </c>
      <c r="C514" s="344">
        <f>'ERROR FINAL'!G517</f>
        <v/>
      </c>
      <c r="D514" s="85">
        <f>'ERROR FINAL'!I517</f>
        <v/>
      </c>
      <c r="E514" s="345">
        <f>'ERROR FINAL'!U517</f>
        <v/>
      </c>
      <c r="F514" s="346">
        <f>'ERROR FINAL'!AG517</f>
        <v/>
      </c>
      <c r="G514" s="346">
        <f>'ERROR FINAL'!AS517</f>
        <v/>
      </c>
      <c r="H514" s="88">
        <f>IF('ERROR FINAL'!AT517="CONFORME","CONFORME","NO CONFORME")</f>
        <v/>
      </c>
      <c r="I514" s="89">
        <f>IF(D514=0,"Medición",IF(D514=1,"Daño físico",IF(D514=2,"Fuga",IF(D514=3,"Picado",IF(D514=4,"Desfasado",IF(D514=5,"Paralizado","¿?"))))))</f>
        <v/>
      </c>
    </row>
    <row r="515">
      <c r="A515" s="82">
        <f>'ERROR FINAL'!A518</f>
        <v/>
      </c>
      <c r="B515" s="83">
        <f>'ERROR FINAL'!D518</f>
        <v/>
      </c>
      <c r="C515" s="344">
        <f>'ERROR FINAL'!G518</f>
        <v/>
      </c>
      <c r="D515" s="85">
        <f>'ERROR FINAL'!I518</f>
        <v/>
      </c>
      <c r="E515" s="345">
        <f>'ERROR FINAL'!U518</f>
        <v/>
      </c>
      <c r="F515" s="346">
        <f>'ERROR FINAL'!AG518</f>
        <v/>
      </c>
      <c r="G515" s="346">
        <f>'ERROR FINAL'!AS518</f>
        <v/>
      </c>
      <c r="H515" s="88">
        <f>IF('ERROR FINAL'!AT518="CONFORME","CONFORME","NO CONFORME")</f>
        <v/>
      </c>
      <c r="I515" s="89">
        <f>IF(D515=0,"Medición",IF(D515=1,"Daño físico",IF(D515=2,"Fuga",IF(D515=3,"Picado",IF(D515=4,"Desfasado",IF(D515=5,"Paralizado","¿?"))))))</f>
        <v/>
      </c>
    </row>
    <row r="516">
      <c r="A516" s="82">
        <f>'ERROR FINAL'!A519</f>
        <v/>
      </c>
      <c r="B516" s="83">
        <f>'ERROR FINAL'!D519</f>
        <v/>
      </c>
      <c r="C516" s="344">
        <f>'ERROR FINAL'!G519</f>
        <v/>
      </c>
      <c r="D516" s="85">
        <f>'ERROR FINAL'!I519</f>
        <v/>
      </c>
      <c r="E516" s="345">
        <f>'ERROR FINAL'!U519</f>
        <v/>
      </c>
      <c r="F516" s="346">
        <f>'ERROR FINAL'!AG519</f>
        <v/>
      </c>
      <c r="G516" s="346">
        <f>'ERROR FINAL'!AS519</f>
        <v/>
      </c>
      <c r="H516" s="88">
        <f>IF('ERROR FINAL'!AT519="CONFORME","CONFORME","NO CONFORME")</f>
        <v/>
      </c>
      <c r="I516" s="89">
        <f>IF(D516=0,"Medición",IF(D516=1,"Daño físico",IF(D516=2,"Fuga",IF(D516=3,"Picado",IF(D516=4,"Desfasado",IF(D516=5,"Paralizado","¿?"))))))</f>
        <v/>
      </c>
    </row>
    <row r="517">
      <c r="A517" s="82">
        <f>'ERROR FINAL'!A520</f>
        <v/>
      </c>
      <c r="B517" s="83">
        <f>'ERROR FINAL'!D520</f>
        <v/>
      </c>
      <c r="C517" s="344">
        <f>'ERROR FINAL'!G520</f>
        <v/>
      </c>
      <c r="D517" s="85">
        <f>'ERROR FINAL'!I520</f>
        <v/>
      </c>
      <c r="E517" s="345">
        <f>'ERROR FINAL'!U520</f>
        <v/>
      </c>
      <c r="F517" s="346">
        <f>'ERROR FINAL'!AG520</f>
        <v/>
      </c>
      <c r="G517" s="346">
        <f>'ERROR FINAL'!AS520</f>
        <v/>
      </c>
      <c r="H517" s="88">
        <f>IF('ERROR FINAL'!AT520="CONFORME","CONFORME","NO CONFORME")</f>
        <v/>
      </c>
      <c r="I517" s="89">
        <f>IF(D517=0,"Medición",IF(D517=1,"Daño físico",IF(D517=2,"Fuga",IF(D517=3,"Picado",IF(D517=4,"Desfasado",IF(D517=5,"Paralizado","¿?"))))))</f>
        <v/>
      </c>
    </row>
    <row r="518">
      <c r="A518" s="82">
        <f>'ERROR FINAL'!A521</f>
        <v/>
      </c>
      <c r="B518" s="83">
        <f>'ERROR FINAL'!D521</f>
        <v/>
      </c>
      <c r="C518" s="344">
        <f>'ERROR FINAL'!G521</f>
        <v/>
      </c>
      <c r="D518" s="85">
        <f>'ERROR FINAL'!I521</f>
        <v/>
      </c>
      <c r="E518" s="345">
        <f>'ERROR FINAL'!U521</f>
        <v/>
      </c>
      <c r="F518" s="346">
        <f>'ERROR FINAL'!AG521</f>
        <v/>
      </c>
      <c r="G518" s="346">
        <f>'ERROR FINAL'!AS521</f>
        <v/>
      </c>
      <c r="H518" s="88">
        <f>IF('ERROR FINAL'!AT521="CONFORME","CONFORME","NO CONFORME")</f>
        <v/>
      </c>
      <c r="I518" s="89">
        <f>IF(D518=0,"Medición",IF(D518=1,"Daño físico",IF(D518=2,"Fuga",IF(D518=3,"Picado",IF(D518=4,"Desfasado",IF(D518=5,"Paralizado","¿?"))))))</f>
        <v/>
      </c>
    </row>
    <row r="519">
      <c r="A519" s="82">
        <f>'ERROR FINAL'!A522</f>
        <v/>
      </c>
      <c r="B519" s="83">
        <f>'ERROR FINAL'!D522</f>
        <v/>
      </c>
      <c r="C519" s="344">
        <f>'ERROR FINAL'!G522</f>
        <v/>
      </c>
      <c r="D519" s="85">
        <f>'ERROR FINAL'!I522</f>
        <v/>
      </c>
      <c r="E519" s="345">
        <f>'ERROR FINAL'!U522</f>
        <v/>
      </c>
      <c r="F519" s="346">
        <f>'ERROR FINAL'!AG522</f>
        <v/>
      </c>
      <c r="G519" s="346">
        <f>'ERROR FINAL'!AS522</f>
        <v/>
      </c>
      <c r="H519" s="88">
        <f>IF('ERROR FINAL'!AT522="CONFORME","CONFORME","NO CONFORME")</f>
        <v/>
      </c>
      <c r="I519" s="89">
        <f>IF(D519=0,"Medición",IF(D519=1,"Daño físico",IF(D519=2,"Fuga",IF(D519=3,"Picado",IF(D519=4,"Desfasado",IF(D519=5,"Paralizado","¿?"))))))</f>
        <v/>
      </c>
    </row>
    <row r="520">
      <c r="A520" s="82">
        <f>'ERROR FINAL'!A523</f>
        <v/>
      </c>
      <c r="B520" s="83">
        <f>'ERROR FINAL'!D523</f>
        <v/>
      </c>
      <c r="C520" s="344">
        <f>'ERROR FINAL'!G523</f>
        <v/>
      </c>
      <c r="D520" s="85">
        <f>'ERROR FINAL'!I523</f>
        <v/>
      </c>
      <c r="E520" s="345">
        <f>'ERROR FINAL'!U523</f>
        <v/>
      </c>
      <c r="F520" s="346">
        <f>'ERROR FINAL'!AG523</f>
        <v/>
      </c>
      <c r="G520" s="346">
        <f>'ERROR FINAL'!AS523</f>
        <v/>
      </c>
      <c r="H520" s="88">
        <f>IF('ERROR FINAL'!AT523="CONFORME","CONFORME","NO CONFORME")</f>
        <v/>
      </c>
      <c r="I520" s="89">
        <f>IF(D520=0,"Medición",IF(D520=1,"Daño físico",IF(D520=2,"Fuga",IF(D520=3,"Picado",IF(D520=4,"Desfasado",IF(D520=5,"Paralizado","¿?"))))))</f>
        <v/>
      </c>
    </row>
    <row r="521">
      <c r="A521" s="82">
        <f>'ERROR FINAL'!A524</f>
        <v/>
      </c>
      <c r="B521" s="83">
        <f>'ERROR FINAL'!D524</f>
        <v/>
      </c>
      <c r="C521" s="344">
        <f>'ERROR FINAL'!G524</f>
        <v/>
      </c>
      <c r="D521" s="85">
        <f>'ERROR FINAL'!I524</f>
        <v/>
      </c>
      <c r="E521" s="345">
        <f>'ERROR FINAL'!U524</f>
        <v/>
      </c>
      <c r="F521" s="346">
        <f>'ERROR FINAL'!AG524</f>
        <v/>
      </c>
      <c r="G521" s="346">
        <f>'ERROR FINAL'!AS524</f>
        <v/>
      </c>
      <c r="H521" s="88">
        <f>IF('ERROR FINAL'!AT524="CONFORME","CONFORME","NO CONFORME")</f>
        <v/>
      </c>
      <c r="I521" s="89">
        <f>IF(D521=0,"Medición",IF(D521=1,"Daño físico",IF(D521=2,"Fuga",IF(D521=3,"Picado",IF(D521=4,"Desfasado",IF(D521=5,"Paralizado","¿?"))))))</f>
        <v/>
      </c>
    </row>
    <row r="522">
      <c r="A522" s="82">
        <f>'ERROR FINAL'!A525</f>
        <v/>
      </c>
      <c r="B522" s="83">
        <f>'ERROR FINAL'!D525</f>
        <v/>
      </c>
      <c r="C522" s="344">
        <f>'ERROR FINAL'!G525</f>
        <v/>
      </c>
      <c r="D522" s="85">
        <f>'ERROR FINAL'!I525</f>
        <v/>
      </c>
      <c r="E522" s="345">
        <f>'ERROR FINAL'!U525</f>
        <v/>
      </c>
      <c r="F522" s="346">
        <f>'ERROR FINAL'!AG525</f>
        <v/>
      </c>
      <c r="G522" s="346">
        <f>'ERROR FINAL'!AS525</f>
        <v/>
      </c>
      <c r="H522" s="88">
        <f>IF('ERROR FINAL'!AT525="CONFORME","CONFORME","NO CONFORME")</f>
        <v/>
      </c>
      <c r="I522" s="89">
        <f>IF(D522=0,"Medición",IF(D522=1,"Daño físico",IF(D522=2,"Fuga",IF(D522=3,"Picado",IF(D522=4,"Desfasado",IF(D522=5,"Paralizado","¿?"))))))</f>
        <v/>
      </c>
    </row>
    <row r="523">
      <c r="A523" s="82">
        <f>'ERROR FINAL'!A526</f>
        <v/>
      </c>
      <c r="B523" s="83">
        <f>'ERROR FINAL'!D526</f>
        <v/>
      </c>
      <c r="C523" s="344">
        <f>'ERROR FINAL'!G526</f>
        <v/>
      </c>
      <c r="D523" s="85">
        <f>'ERROR FINAL'!I526</f>
        <v/>
      </c>
      <c r="E523" s="345">
        <f>'ERROR FINAL'!U526</f>
        <v/>
      </c>
      <c r="F523" s="346">
        <f>'ERROR FINAL'!AG526</f>
        <v/>
      </c>
      <c r="G523" s="346">
        <f>'ERROR FINAL'!AS526</f>
        <v/>
      </c>
      <c r="H523" s="88">
        <f>IF('ERROR FINAL'!AT526="CONFORME","CONFORME","NO CONFORME")</f>
        <v/>
      </c>
      <c r="I523" s="89">
        <f>IF(D523=0,"Medición",IF(D523=1,"Daño físico",IF(D523=2,"Fuga",IF(D523=3,"Picado",IF(D523=4,"Desfasado",IF(D523=5,"Paralizado","¿?"))))))</f>
        <v/>
      </c>
    </row>
    <row r="524">
      <c r="A524" s="82">
        <f>'ERROR FINAL'!A527</f>
        <v/>
      </c>
      <c r="B524" s="83">
        <f>'ERROR FINAL'!D527</f>
        <v/>
      </c>
      <c r="C524" s="344">
        <f>'ERROR FINAL'!G527</f>
        <v/>
      </c>
      <c r="D524" s="85">
        <f>'ERROR FINAL'!I527</f>
        <v/>
      </c>
      <c r="E524" s="345">
        <f>'ERROR FINAL'!U527</f>
        <v/>
      </c>
      <c r="F524" s="346">
        <f>'ERROR FINAL'!AG527</f>
        <v/>
      </c>
      <c r="G524" s="346">
        <f>'ERROR FINAL'!AS527</f>
        <v/>
      </c>
      <c r="H524" s="88">
        <f>IF('ERROR FINAL'!AT527="CONFORME","CONFORME","NO CONFORME")</f>
        <v/>
      </c>
      <c r="I524" s="89">
        <f>IF(D524=0,"Medición",IF(D524=1,"Daño físico",IF(D524=2,"Fuga",IF(D524=3,"Picado",IF(D524=4,"Desfasado",IF(D524=5,"Paralizado","¿?"))))))</f>
        <v/>
      </c>
    </row>
    <row r="525">
      <c r="A525" s="82">
        <f>'ERROR FINAL'!A528</f>
        <v/>
      </c>
      <c r="B525" s="83">
        <f>'ERROR FINAL'!D528</f>
        <v/>
      </c>
      <c r="C525" s="344">
        <f>'ERROR FINAL'!G528</f>
        <v/>
      </c>
      <c r="D525" s="85">
        <f>'ERROR FINAL'!I528</f>
        <v/>
      </c>
      <c r="E525" s="345">
        <f>'ERROR FINAL'!U528</f>
        <v/>
      </c>
      <c r="F525" s="346">
        <f>'ERROR FINAL'!AG528</f>
        <v/>
      </c>
      <c r="G525" s="346">
        <f>'ERROR FINAL'!AS528</f>
        <v/>
      </c>
      <c r="H525" s="88">
        <f>IF('ERROR FINAL'!AT528="CONFORME","CONFORME","NO CONFORME")</f>
        <v/>
      </c>
      <c r="I525" s="89">
        <f>IF(D525=0,"Medición",IF(D525=1,"Daño físico",IF(D525=2,"Fuga",IF(D525=3,"Picado",IF(D525=4,"Desfasado",IF(D525=5,"Paralizado","¿?"))))))</f>
        <v/>
      </c>
    </row>
    <row r="526">
      <c r="A526" s="82">
        <f>'ERROR FINAL'!A529</f>
        <v/>
      </c>
      <c r="B526" s="83">
        <f>'ERROR FINAL'!D529</f>
        <v/>
      </c>
      <c r="C526" s="344">
        <f>'ERROR FINAL'!G529</f>
        <v/>
      </c>
      <c r="D526" s="85">
        <f>'ERROR FINAL'!I529</f>
        <v/>
      </c>
      <c r="E526" s="345">
        <f>'ERROR FINAL'!U529</f>
        <v/>
      </c>
      <c r="F526" s="346">
        <f>'ERROR FINAL'!AG529</f>
        <v/>
      </c>
      <c r="G526" s="346">
        <f>'ERROR FINAL'!AS529</f>
        <v/>
      </c>
      <c r="H526" s="88">
        <f>IF('ERROR FINAL'!AT529="CONFORME","CONFORME","NO CONFORME")</f>
        <v/>
      </c>
      <c r="I526" s="89">
        <f>IF(D526=0,"Medición",IF(D526=1,"Daño físico",IF(D526=2,"Fuga",IF(D526=3,"Picado",IF(D526=4,"Desfasado",IF(D526=5,"Paralizado","¿?"))))))</f>
        <v/>
      </c>
    </row>
    <row r="527">
      <c r="A527" s="82">
        <f>'ERROR FINAL'!A530</f>
        <v/>
      </c>
      <c r="B527" s="83">
        <f>'ERROR FINAL'!D530</f>
        <v/>
      </c>
      <c r="C527" s="344">
        <f>'ERROR FINAL'!G530</f>
        <v/>
      </c>
      <c r="D527" s="85">
        <f>'ERROR FINAL'!I530</f>
        <v/>
      </c>
      <c r="E527" s="345">
        <f>'ERROR FINAL'!U530</f>
        <v/>
      </c>
      <c r="F527" s="346">
        <f>'ERROR FINAL'!AG530</f>
        <v/>
      </c>
      <c r="G527" s="346">
        <f>'ERROR FINAL'!AS530</f>
        <v/>
      </c>
      <c r="H527" s="88">
        <f>IF('ERROR FINAL'!AT530="CONFORME","CONFORME","NO CONFORME")</f>
        <v/>
      </c>
      <c r="I527" s="89">
        <f>IF(D527=0,"Medición",IF(D527=1,"Daño físico",IF(D527=2,"Fuga",IF(D527=3,"Picado",IF(D527=4,"Desfasado",IF(D527=5,"Paralizado","¿?"))))))</f>
        <v/>
      </c>
    </row>
    <row r="528">
      <c r="A528" s="82">
        <f>'ERROR FINAL'!A531</f>
        <v/>
      </c>
      <c r="B528" s="83">
        <f>'ERROR FINAL'!D531</f>
        <v/>
      </c>
      <c r="C528" s="344">
        <f>'ERROR FINAL'!G531</f>
        <v/>
      </c>
      <c r="D528" s="85">
        <f>'ERROR FINAL'!I531</f>
        <v/>
      </c>
      <c r="E528" s="345">
        <f>'ERROR FINAL'!U531</f>
        <v/>
      </c>
      <c r="F528" s="346">
        <f>'ERROR FINAL'!AG531</f>
        <v/>
      </c>
      <c r="G528" s="346">
        <f>'ERROR FINAL'!AS531</f>
        <v/>
      </c>
      <c r="H528" s="88">
        <f>IF('ERROR FINAL'!AT531="CONFORME","CONFORME","NO CONFORME")</f>
        <v/>
      </c>
      <c r="I528" s="89">
        <f>IF(D528=0,"Medición",IF(D528=1,"Daño físico",IF(D528=2,"Fuga",IF(D528=3,"Picado",IF(D528=4,"Desfasado",IF(D528=5,"Paralizado","¿?"))))))</f>
        <v/>
      </c>
    </row>
    <row r="529">
      <c r="A529" s="82">
        <f>'ERROR FINAL'!A532</f>
        <v/>
      </c>
      <c r="B529" s="83">
        <f>'ERROR FINAL'!D532</f>
        <v/>
      </c>
      <c r="C529" s="344">
        <f>'ERROR FINAL'!G532</f>
        <v/>
      </c>
      <c r="D529" s="85">
        <f>'ERROR FINAL'!I532</f>
        <v/>
      </c>
      <c r="E529" s="345">
        <f>'ERROR FINAL'!U532</f>
        <v/>
      </c>
      <c r="F529" s="346">
        <f>'ERROR FINAL'!AG532</f>
        <v/>
      </c>
      <c r="G529" s="346">
        <f>'ERROR FINAL'!AS532</f>
        <v/>
      </c>
      <c r="H529" s="88">
        <f>IF('ERROR FINAL'!AT532="CONFORME","CONFORME","NO CONFORME")</f>
        <v/>
      </c>
      <c r="I529" s="89">
        <f>IF(D529=0,"Medición",IF(D529=1,"Daño físico",IF(D529=2,"Fuga",IF(D529=3,"Picado",IF(D529=4,"Desfasado",IF(D529=5,"Paralizado","¿?"))))))</f>
        <v/>
      </c>
    </row>
    <row r="530">
      <c r="A530" s="82">
        <f>'ERROR FINAL'!A533</f>
        <v/>
      </c>
      <c r="B530" s="83">
        <f>'ERROR FINAL'!D533</f>
        <v/>
      </c>
      <c r="C530" s="344">
        <f>'ERROR FINAL'!G533</f>
        <v/>
      </c>
      <c r="D530" s="85">
        <f>'ERROR FINAL'!I533</f>
        <v/>
      </c>
      <c r="E530" s="345">
        <f>'ERROR FINAL'!U533</f>
        <v/>
      </c>
      <c r="F530" s="346">
        <f>'ERROR FINAL'!AG533</f>
        <v/>
      </c>
      <c r="G530" s="346">
        <f>'ERROR FINAL'!AS533</f>
        <v/>
      </c>
      <c r="H530" s="88">
        <f>IF('ERROR FINAL'!AT533="CONFORME","CONFORME","NO CONFORME")</f>
        <v/>
      </c>
      <c r="I530" s="89">
        <f>IF(D530=0,"Medición",IF(D530=1,"Daño físico",IF(D530=2,"Fuga",IF(D530=3,"Picado",IF(D530=4,"Desfasado",IF(D530=5,"Paralizado","¿?"))))))</f>
        <v/>
      </c>
    </row>
    <row r="531">
      <c r="A531" s="82">
        <f>'ERROR FINAL'!A534</f>
        <v/>
      </c>
      <c r="B531" s="83">
        <f>'ERROR FINAL'!D534</f>
        <v/>
      </c>
      <c r="C531" s="344">
        <f>'ERROR FINAL'!G534</f>
        <v/>
      </c>
      <c r="D531" s="85">
        <f>'ERROR FINAL'!I534</f>
        <v/>
      </c>
      <c r="E531" s="345">
        <f>'ERROR FINAL'!U534</f>
        <v/>
      </c>
      <c r="F531" s="346">
        <f>'ERROR FINAL'!AG534</f>
        <v/>
      </c>
      <c r="G531" s="346">
        <f>'ERROR FINAL'!AS534</f>
        <v/>
      </c>
      <c r="H531" s="88">
        <f>IF('ERROR FINAL'!AT534="CONFORME","CONFORME","NO CONFORME")</f>
        <v/>
      </c>
      <c r="I531" s="89">
        <f>IF(D531=0,"Medición",IF(D531=1,"Daño físico",IF(D531=2,"Fuga",IF(D531=3,"Picado",IF(D531=4,"Desfasado",IF(D531=5,"Paralizado","¿?"))))))</f>
        <v/>
      </c>
    </row>
    <row r="532">
      <c r="A532" s="82">
        <f>'ERROR FINAL'!A535</f>
        <v/>
      </c>
      <c r="B532" s="83">
        <f>'ERROR FINAL'!D535</f>
        <v/>
      </c>
      <c r="C532" s="344">
        <f>'ERROR FINAL'!G535</f>
        <v/>
      </c>
      <c r="D532" s="85">
        <f>'ERROR FINAL'!I535</f>
        <v/>
      </c>
      <c r="E532" s="345">
        <f>'ERROR FINAL'!U535</f>
        <v/>
      </c>
      <c r="F532" s="346">
        <f>'ERROR FINAL'!AG535</f>
        <v/>
      </c>
      <c r="G532" s="346">
        <f>'ERROR FINAL'!AS535</f>
        <v/>
      </c>
      <c r="H532" s="88">
        <f>IF('ERROR FINAL'!AT535="CONFORME","CONFORME","NO CONFORME")</f>
        <v/>
      </c>
      <c r="I532" s="89">
        <f>IF(D532=0,"Medición",IF(D532=1,"Daño físico",IF(D532=2,"Fuga",IF(D532=3,"Picado",IF(D532=4,"Desfasado",IF(D532=5,"Paralizado","¿?"))))))</f>
        <v/>
      </c>
    </row>
    <row r="533">
      <c r="A533" s="82">
        <f>'ERROR FINAL'!A536</f>
        <v/>
      </c>
      <c r="B533" s="83">
        <f>'ERROR FINAL'!D536</f>
        <v/>
      </c>
      <c r="C533" s="344">
        <f>'ERROR FINAL'!G536</f>
        <v/>
      </c>
      <c r="D533" s="85">
        <f>'ERROR FINAL'!I536</f>
        <v/>
      </c>
      <c r="E533" s="345">
        <f>'ERROR FINAL'!U536</f>
        <v/>
      </c>
      <c r="F533" s="346">
        <f>'ERROR FINAL'!AG536</f>
        <v/>
      </c>
      <c r="G533" s="346">
        <f>'ERROR FINAL'!AS536</f>
        <v/>
      </c>
      <c r="H533" s="88">
        <f>IF('ERROR FINAL'!AT536="CONFORME","CONFORME","NO CONFORME")</f>
        <v/>
      </c>
      <c r="I533" s="89">
        <f>IF(D533=0,"Medición",IF(D533=1,"Daño físico",IF(D533=2,"Fuga",IF(D533=3,"Picado",IF(D533=4,"Desfasado",IF(D533=5,"Paralizado","¿?"))))))</f>
        <v/>
      </c>
    </row>
    <row r="534">
      <c r="A534" s="82">
        <f>'ERROR FINAL'!A537</f>
        <v/>
      </c>
      <c r="B534" s="83">
        <f>'ERROR FINAL'!D537</f>
        <v/>
      </c>
      <c r="C534" s="344">
        <f>'ERROR FINAL'!G537</f>
        <v/>
      </c>
      <c r="D534" s="85">
        <f>'ERROR FINAL'!I537</f>
        <v/>
      </c>
      <c r="E534" s="345">
        <f>'ERROR FINAL'!U537</f>
        <v/>
      </c>
      <c r="F534" s="346">
        <f>'ERROR FINAL'!AG537</f>
        <v/>
      </c>
      <c r="G534" s="346">
        <f>'ERROR FINAL'!AS537</f>
        <v/>
      </c>
      <c r="H534" s="88">
        <f>IF('ERROR FINAL'!AT537="CONFORME","CONFORME","NO CONFORME")</f>
        <v/>
      </c>
      <c r="I534" s="89">
        <f>IF(D534=0,"Medición",IF(D534=1,"Daño físico",IF(D534=2,"Fuga",IF(D534=3,"Picado",IF(D534=4,"Desfasado",IF(D534=5,"Paralizado","¿?"))))))</f>
        <v/>
      </c>
    </row>
    <row r="535">
      <c r="A535" s="82">
        <f>'ERROR FINAL'!A538</f>
        <v/>
      </c>
      <c r="B535" s="83">
        <f>'ERROR FINAL'!D538</f>
        <v/>
      </c>
      <c r="C535" s="344">
        <f>'ERROR FINAL'!G538</f>
        <v/>
      </c>
      <c r="D535" s="85">
        <f>'ERROR FINAL'!I538</f>
        <v/>
      </c>
      <c r="E535" s="345">
        <f>'ERROR FINAL'!U538</f>
        <v/>
      </c>
      <c r="F535" s="346">
        <f>'ERROR FINAL'!AG538</f>
        <v/>
      </c>
      <c r="G535" s="346">
        <f>'ERROR FINAL'!AS538</f>
        <v/>
      </c>
      <c r="H535" s="88">
        <f>IF('ERROR FINAL'!AT538="CONFORME","CONFORME","NO CONFORME")</f>
        <v/>
      </c>
      <c r="I535" s="89">
        <f>IF(D535=0,"Medición",IF(D535=1,"Daño físico",IF(D535=2,"Fuga",IF(D535=3,"Picado",IF(D535=4,"Desfasado",IF(D535=5,"Paralizado","¿?"))))))</f>
        <v/>
      </c>
    </row>
    <row r="536">
      <c r="A536" s="82">
        <f>'ERROR FINAL'!A539</f>
        <v/>
      </c>
      <c r="B536" s="83">
        <f>'ERROR FINAL'!D539</f>
        <v/>
      </c>
      <c r="C536" s="344">
        <f>'ERROR FINAL'!G539</f>
        <v/>
      </c>
      <c r="D536" s="85">
        <f>'ERROR FINAL'!I539</f>
        <v/>
      </c>
      <c r="E536" s="345">
        <f>'ERROR FINAL'!U539</f>
        <v/>
      </c>
      <c r="F536" s="346">
        <f>'ERROR FINAL'!AG539</f>
        <v/>
      </c>
      <c r="G536" s="346">
        <f>'ERROR FINAL'!AS539</f>
        <v/>
      </c>
      <c r="H536" s="88">
        <f>IF('ERROR FINAL'!AT539="CONFORME","CONFORME","NO CONFORME")</f>
        <v/>
      </c>
      <c r="I536" s="89">
        <f>IF(D536=0,"Medición",IF(D536=1,"Daño físico",IF(D536=2,"Fuga",IF(D536=3,"Picado",IF(D536=4,"Desfasado",IF(D536=5,"Paralizado","¿?"))))))</f>
        <v/>
      </c>
    </row>
    <row r="537">
      <c r="A537" s="82">
        <f>'ERROR FINAL'!A540</f>
        <v/>
      </c>
      <c r="B537" s="83">
        <f>'ERROR FINAL'!D540</f>
        <v/>
      </c>
      <c r="C537" s="344">
        <f>'ERROR FINAL'!G540</f>
        <v/>
      </c>
      <c r="D537" s="85">
        <f>'ERROR FINAL'!I540</f>
        <v/>
      </c>
      <c r="E537" s="345">
        <f>'ERROR FINAL'!U540</f>
        <v/>
      </c>
      <c r="F537" s="346">
        <f>'ERROR FINAL'!AG540</f>
        <v/>
      </c>
      <c r="G537" s="346">
        <f>'ERROR FINAL'!AS540</f>
        <v/>
      </c>
      <c r="H537" s="88">
        <f>IF('ERROR FINAL'!AT540="CONFORME","CONFORME","NO CONFORME")</f>
        <v/>
      </c>
      <c r="I537" s="89">
        <f>IF(D537=0,"Medición",IF(D537=1,"Daño físico",IF(D537=2,"Fuga",IF(D537=3,"Picado",IF(D537=4,"Desfasado",IF(D537=5,"Paralizado","¿?"))))))</f>
        <v/>
      </c>
    </row>
    <row r="538">
      <c r="A538" s="82">
        <f>'ERROR FINAL'!A541</f>
        <v/>
      </c>
      <c r="B538" s="83">
        <f>'ERROR FINAL'!D541</f>
        <v/>
      </c>
      <c r="C538" s="344">
        <f>'ERROR FINAL'!G541</f>
        <v/>
      </c>
      <c r="D538" s="85">
        <f>'ERROR FINAL'!I541</f>
        <v/>
      </c>
      <c r="E538" s="345">
        <f>'ERROR FINAL'!U541</f>
        <v/>
      </c>
      <c r="F538" s="346">
        <f>'ERROR FINAL'!AG541</f>
        <v/>
      </c>
      <c r="G538" s="346">
        <f>'ERROR FINAL'!AS541</f>
        <v/>
      </c>
      <c r="H538" s="88">
        <f>IF('ERROR FINAL'!AT541="CONFORME","CONFORME","NO CONFORME")</f>
        <v/>
      </c>
      <c r="I538" s="89">
        <f>IF(D538=0,"Medición",IF(D538=1,"Daño físico",IF(D538=2,"Fuga",IF(D538=3,"Picado",IF(D538=4,"Desfasado",IF(D538=5,"Paralizado","¿?"))))))</f>
        <v/>
      </c>
    </row>
    <row r="539">
      <c r="A539" s="82">
        <f>'ERROR FINAL'!A542</f>
        <v/>
      </c>
      <c r="B539" s="83">
        <f>'ERROR FINAL'!D542</f>
        <v/>
      </c>
      <c r="C539" s="344">
        <f>'ERROR FINAL'!G542</f>
        <v/>
      </c>
      <c r="D539" s="85">
        <f>'ERROR FINAL'!I542</f>
        <v/>
      </c>
      <c r="E539" s="345">
        <f>'ERROR FINAL'!U542</f>
        <v/>
      </c>
      <c r="F539" s="346">
        <f>'ERROR FINAL'!AG542</f>
        <v/>
      </c>
      <c r="G539" s="346">
        <f>'ERROR FINAL'!AS542</f>
        <v/>
      </c>
      <c r="H539" s="88">
        <f>IF('ERROR FINAL'!AT542="CONFORME","CONFORME","NO CONFORME")</f>
        <v/>
      </c>
      <c r="I539" s="89">
        <f>IF(D539=0,"Medición",IF(D539=1,"Daño físico",IF(D539=2,"Fuga",IF(D539=3,"Picado",IF(D539=4,"Desfasado",IF(D539=5,"Paralizado","¿?"))))))</f>
        <v/>
      </c>
    </row>
    <row r="540">
      <c r="A540" s="82">
        <f>'ERROR FINAL'!A543</f>
        <v/>
      </c>
      <c r="B540" s="83">
        <f>'ERROR FINAL'!D543</f>
        <v/>
      </c>
      <c r="C540" s="344">
        <f>'ERROR FINAL'!G543</f>
        <v/>
      </c>
      <c r="D540" s="85">
        <f>'ERROR FINAL'!I543</f>
        <v/>
      </c>
      <c r="E540" s="345">
        <f>'ERROR FINAL'!U543</f>
        <v/>
      </c>
      <c r="F540" s="346">
        <f>'ERROR FINAL'!AG543</f>
        <v/>
      </c>
      <c r="G540" s="346">
        <f>'ERROR FINAL'!AS543</f>
        <v/>
      </c>
      <c r="H540" s="88">
        <f>IF('ERROR FINAL'!AT543="CONFORME","CONFORME","NO CONFORME")</f>
        <v/>
      </c>
      <c r="I540" s="89">
        <f>IF(D540=0,"Medición",IF(D540=1,"Daño físico",IF(D540=2,"Fuga",IF(D540=3,"Picado",IF(D540=4,"Desfasado",IF(D540=5,"Paralizado","¿?"))))))</f>
        <v/>
      </c>
    </row>
    <row r="541">
      <c r="A541" s="82">
        <f>'ERROR FINAL'!A544</f>
        <v/>
      </c>
      <c r="B541" s="83">
        <f>'ERROR FINAL'!D544</f>
        <v/>
      </c>
      <c r="C541" s="344">
        <f>'ERROR FINAL'!G544</f>
        <v/>
      </c>
      <c r="D541" s="85">
        <f>'ERROR FINAL'!I544</f>
        <v/>
      </c>
      <c r="E541" s="345">
        <f>'ERROR FINAL'!U544</f>
        <v/>
      </c>
      <c r="F541" s="346">
        <f>'ERROR FINAL'!AG544</f>
        <v/>
      </c>
      <c r="G541" s="346">
        <f>'ERROR FINAL'!AS544</f>
        <v/>
      </c>
      <c r="H541" s="88">
        <f>IF('ERROR FINAL'!AT544="CONFORME","CONFORME","NO CONFORME")</f>
        <v/>
      </c>
      <c r="I541" s="89">
        <f>IF(D541=0,"Medición",IF(D541=1,"Daño físico",IF(D541=2,"Fuga",IF(D541=3,"Picado",IF(D541=4,"Desfasado",IF(D541=5,"Paralizado","¿?"))))))</f>
        <v/>
      </c>
    </row>
    <row r="542">
      <c r="A542" s="82">
        <f>'ERROR FINAL'!A545</f>
        <v/>
      </c>
      <c r="B542" s="83">
        <f>'ERROR FINAL'!D545</f>
        <v/>
      </c>
      <c r="C542" s="344">
        <f>'ERROR FINAL'!G545</f>
        <v/>
      </c>
      <c r="D542" s="85">
        <f>'ERROR FINAL'!I545</f>
        <v/>
      </c>
      <c r="E542" s="345">
        <f>'ERROR FINAL'!U545</f>
        <v/>
      </c>
      <c r="F542" s="346">
        <f>'ERROR FINAL'!AG545</f>
        <v/>
      </c>
      <c r="G542" s="346">
        <f>'ERROR FINAL'!AS545</f>
        <v/>
      </c>
      <c r="H542" s="88">
        <f>IF('ERROR FINAL'!AT545="CONFORME","CONFORME","NO CONFORME")</f>
        <v/>
      </c>
      <c r="I542" s="89">
        <f>IF(D542=0,"Medición",IF(D542=1,"Daño físico",IF(D542=2,"Fuga",IF(D542=3,"Picado",IF(D542=4,"Desfasado",IF(D542=5,"Paralizado","¿?"))))))</f>
        <v/>
      </c>
    </row>
    <row r="543">
      <c r="A543" s="82">
        <f>'ERROR FINAL'!A546</f>
        <v/>
      </c>
      <c r="B543" s="83">
        <f>'ERROR FINAL'!D546</f>
        <v/>
      </c>
      <c r="C543" s="344">
        <f>'ERROR FINAL'!G546</f>
        <v/>
      </c>
      <c r="D543" s="85">
        <f>'ERROR FINAL'!I546</f>
        <v/>
      </c>
      <c r="E543" s="345">
        <f>'ERROR FINAL'!U546</f>
        <v/>
      </c>
      <c r="F543" s="346">
        <f>'ERROR FINAL'!AG546</f>
        <v/>
      </c>
      <c r="G543" s="346">
        <f>'ERROR FINAL'!AS546</f>
        <v/>
      </c>
      <c r="H543" s="88">
        <f>IF('ERROR FINAL'!AT546="CONFORME","CONFORME","NO CONFORME")</f>
        <v/>
      </c>
      <c r="I543" s="89">
        <f>IF(D543=0,"Medición",IF(D543=1,"Daño físico",IF(D543=2,"Fuga",IF(D543=3,"Picado",IF(D543=4,"Desfasado",IF(D543=5,"Paralizado","¿?"))))))</f>
        <v/>
      </c>
    </row>
    <row r="544">
      <c r="A544" s="82">
        <f>'ERROR FINAL'!A547</f>
        <v/>
      </c>
      <c r="B544" s="83">
        <f>'ERROR FINAL'!D547</f>
        <v/>
      </c>
      <c r="C544" s="344">
        <f>'ERROR FINAL'!G547</f>
        <v/>
      </c>
      <c r="D544" s="85">
        <f>'ERROR FINAL'!I547</f>
        <v/>
      </c>
      <c r="E544" s="345">
        <f>'ERROR FINAL'!U547</f>
        <v/>
      </c>
      <c r="F544" s="346">
        <f>'ERROR FINAL'!AG547</f>
        <v/>
      </c>
      <c r="G544" s="346">
        <f>'ERROR FINAL'!AS547</f>
        <v/>
      </c>
      <c r="H544" s="88">
        <f>IF('ERROR FINAL'!AT547="CONFORME","CONFORME","NO CONFORME")</f>
        <v/>
      </c>
      <c r="I544" s="89">
        <f>IF(D544=0,"Medición",IF(D544=1,"Daño físico",IF(D544=2,"Fuga",IF(D544=3,"Picado",IF(D544=4,"Desfasado",IF(D544=5,"Paralizado","¿?"))))))</f>
        <v/>
      </c>
    </row>
    <row r="545">
      <c r="A545" s="82">
        <f>'ERROR FINAL'!A548</f>
        <v/>
      </c>
      <c r="B545" s="83">
        <f>'ERROR FINAL'!D548</f>
        <v/>
      </c>
      <c r="C545" s="344">
        <f>'ERROR FINAL'!G548</f>
        <v/>
      </c>
      <c r="D545" s="85">
        <f>'ERROR FINAL'!I548</f>
        <v/>
      </c>
      <c r="E545" s="345">
        <f>'ERROR FINAL'!U548</f>
        <v/>
      </c>
      <c r="F545" s="346">
        <f>'ERROR FINAL'!AG548</f>
        <v/>
      </c>
      <c r="G545" s="346">
        <f>'ERROR FINAL'!AS548</f>
        <v/>
      </c>
      <c r="H545" s="88">
        <f>IF('ERROR FINAL'!AT548="CONFORME","CONFORME","NO CONFORME")</f>
        <v/>
      </c>
      <c r="I545" s="89">
        <f>IF(D545=0,"Medición",IF(D545=1,"Daño físico",IF(D545=2,"Fuga",IF(D545=3,"Picado",IF(D545=4,"Desfasado",IF(D545=5,"Paralizado","¿?"))))))</f>
        <v/>
      </c>
    </row>
    <row r="546">
      <c r="A546" s="82">
        <f>'ERROR FINAL'!A549</f>
        <v/>
      </c>
      <c r="B546" s="83">
        <f>'ERROR FINAL'!D549</f>
        <v/>
      </c>
      <c r="C546" s="344">
        <f>'ERROR FINAL'!G549</f>
        <v/>
      </c>
      <c r="D546" s="85">
        <f>'ERROR FINAL'!I549</f>
        <v/>
      </c>
      <c r="E546" s="345">
        <f>'ERROR FINAL'!U549</f>
        <v/>
      </c>
      <c r="F546" s="346">
        <f>'ERROR FINAL'!AG549</f>
        <v/>
      </c>
      <c r="G546" s="346">
        <f>'ERROR FINAL'!AS549</f>
        <v/>
      </c>
      <c r="H546" s="88">
        <f>IF('ERROR FINAL'!AT549="CONFORME","CONFORME","NO CONFORME")</f>
        <v/>
      </c>
      <c r="I546" s="89">
        <f>IF(D546=0,"Medición",IF(D546=1,"Daño físico",IF(D546=2,"Fuga",IF(D546=3,"Picado",IF(D546=4,"Desfasado",IF(D546=5,"Paralizado","¿?"))))))</f>
        <v/>
      </c>
    </row>
    <row r="547">
      <c r="A547" s="82">
        <f>'ERROR FINAL'!A550</f>
        <v/>
      </c>
      <c r="B547" s="83">
        <f>'ERROR FINAL'!D550</f>
        <v/>
      </c>
      <c r="C547" s="344">
        <f>'ERROR FINAL'!G550</f>
        <v/>
      </c>
      <c r="D547" s="85">
        <f>'ERROR FINAL'!I550</f>
        <v/>
      </c>
      <c r="E547" s="345">
        <f>'ERROR FINAL'!U550</f>
        <v/>
      </c>
      <c r="F547" s="346">
        <f>'ERROR FINAL'!AG550</f>
        <v/>
      </c>
      <c r="G547" s="346">
        <f>'ERROR FINAL'!AS550</f>
        <v/>
      </c>
      <c r="H547" s="88">
        <f>IF('ERROR FINAL'!AT550="CONFORME","CONFORME","NO CONFORME")</f>
        <v/>
      </c>
      <c r="I547" s="89">
        <f>IF(D547=0,"Medición",IF(D547=1,"Daño físico",IF(D547=2,"Fuga",IF(D547=3,"Picado",IF(D547=4,"Desfasado",IF(D547=5,"Paralizado","¿?"))))))</f>
        <v/>
      </c>
    </row>
    <row r="548">
      <c r="A548" s="82">
        <f>'ERROR FINAL'!A551</f>
        <v/>
      </c>
      <c r="B548" s="83">
        <f>'ERROR FINAL'!D551</f>
        <v/>
      </c>
      <c r="C548" s="344">
        <f>'ERROR FINAL'!G551</f>
        <v/>
      </c>
      <c r="D548" s="85">
        <f>'ERROR FINAL'!I551</f>
        <v/>
      </c>
      <c r="E548" s="345">
        <f>'ERROR FINAL'!U551</f>
        <v/>
      </c>
      <c r="F548" s="346">
        <f>'ERROR FINAL'!AG551</f>
        <v/>
      </c>
      <c r="G548" s="346">
        <f>'ERROR FINAL'!AS551</f>
        <v/>
      </c>
      <c r="H548" s="88">
        <f>IF('ERROR FINAL'!AT551="CONFORME","CONFORME","NO CONFORME")</f>
        <v/>
      </c>
      <c r="I548" s="89">
        <f>IF(D548=0,"Medición",IF(D548=1,"Daño físico",IF(D548=2,"Fuga",IF(D548=3,"Picado",IF(D548=4,"Desfasado",IF(D548=5,"Paralizado","¿?"))))))</f>
        <v/>
      </c>
    </row>
    <row r="549">
      <c r="A549" s="82">
        <f>'ERROR FINAL'!A552</f>
        <v/>
      </c>
      <c r="B549" s="83">
        <f>'ERROR FINAL'!D552</f>
        <v/>
      </c>
      <c r="C549" s="344">
        <f>'ERROR FINAL'!G552</f>
        <v/>
      </c>
      <c r="D549" s="85">
        <f>'ERROR FINAL'!I552</f>
        <v/>
      </c>
      <c r="E549" s="345">
        <f>'ERROR FINAL'!U552</f>
        <v/>
      </c>
      <c r="F549" s="346">
        <f>'ERROR FINAL'!AG552</f>
        <v/>
      </c>
      <c r="G549" s="346">
        <f>'ERROR FINAL'!AS552</f>
        <v/>
      </c>
      <c r="H549" s="88">
        <f>IF('ERROR FINAL'!AT552="CONFORME","CONFORME","NO CONFORME")</f>
        <v/>
      </c>
      <c r="I549" s="89">
        <f>IF(D549=0,"Medición",IF(D549=1,"Daño físico",IF(D549=2,"Fuga",IF(D549=3,"Picado",IF(D549=4,"Desfasado",IF(D549=5,"Paralizado","¿?"))))))</f>
        <v/>
      </c>
    </row>
    <row r="550">
      <c r="A550" s="82">
        <f>'ERROR FINAL'!A553</f>
        <v/>
      </c>
      <c r="B550" s="83">
        <f>'ERROR FINAL'!D553</f>
        <v/>
      </c>
      <c r="C550" s="344">
        <f>'ERROR FINAL'!G553</f>
        <v/>
      </c>
      <c r="D550" s="85">
        <f>'ERROR FINAL'!I553</f>
        <v/>
      </c>
      <c r="E550" s="345">
        <f>'ERROR FINAL'!U553</f>
        <v/>
      </c>
      <c r="F550" s="346">
        <f>'ERROR FINAL'!AG553</f>
        <v/>
      </c>
      <c r="G550" s="346">
        <f>'ERROR FINAL'!AS553</f>
        <v/>
      </c>
      <c r="H550" s="88">
        <f>IF('ERROR FINAL'!AT553="CONFORME","CONFORME","NO CONFORME")</f>
        <v/>
      </c>
      <c r="I550" s="89">
        <f>IF(D550=0,"Medición",IF(D550=1,"Daño físico",IF(D550=2,"Fuga",IF(D550=3,"Picado",IF(D550=4,"Desfasado",IF(D550=5,"Paralizado","¿?"))))))</f>
        <v/>
      </c>
    </row>
    <row r="551">
      <c r="A551" s="82">
        <f>'ERROR FINAL'!A554</f>
        <v/>
      </c>
      <c r="B551" s="83">
        <f>'ERROR FINAL'!D554</f>
        <v/>
      </c>
      <c r="C551" s="344">
        <f>'ERROR FINAL'!G554</f>
        <v/>
      </c>
      <c r="D551" s="85">
        <f>'ERROR FINAL'!I554</f>
        <v/>
      </c>
      <c r="E551" s="345">
        <f>'ERROR FINAL'!U554</f>
        <v/>
      </c>
      <c r="F551" s="346">
        <f>'ERROR FINAL'!AG554</f>
        <v/>
      </c>
      <c r="G551" s="346">
        <f>'ERROR FINAL'!AS554</f>
        <v/>
      </c>
      <c r="H551" s="88">
        <f>IF('ERROR FINAL'!AT554="CONFORME","CONFORME","NO CONFORME")</f>
        <v/>
      </c>
      <c r="I551" s="89">
        <f>IF(D551=0,"Medición",IF(D551=1,"Daño físico",IF(D551=2,"Fuga",IF(D551=3,"Picado",IF(D551=4,"Desfasado",IF(D551=5,"Paralizado","¿?"))))))</f>
        <v/>
      </c>
    </row>
    <row r="552">
      <c r="A552" s="82">
        <f>'ERROR FINAL'!A555</f>
        <v/>
      </c>
      <c r="B552" s="83">
        <f>'ERROR FINAL'!D555</f>
        <v/>
      </c>
      <c r="C552" s="344">
        <f>'ERROR FINAL'!G555</f>
        <v/>
      </c>
      <c r="D552" s="85">
        <f>'ERROR FINAL'!I555</f>
        <v/>
      </c>
      <c r="E552" s="345">
        <f>'ERROR FINAL'!U555</f>
        <v/>
      </c>
      <c r="F552" s="346">
        <f>'ERROR FINAL'!AG555</f>
        <v/>
      </c>
      <c r="G552" s="346">
        <f>'ERROR FINAL'!AS555</f>
        <v/>
      </c>
      <c r="H552" s="88">
        <f>IF('ERROR FINAL'!AT555="CONFORME","CONFORME","NO CONFORME")</f>
        <v/>
      </c>
      <c r="I552" s="89">
        <f>IF(D552=0,"Medición",IF(D552=1,"Daño físico",IF(D552=2,"Fuga",IF(D552=3,"Picado",IF(D552=4,"Desfasado",IF(D552=5,"Paralizado","¿?"))))))</f>
        <v/>
      </c>
    </row>
    <row r="553">
      <c r="A553" s="82">
        <f>'ERROR FINAL'!A556</f>
        <v/>
      </c>
      <c r="B553" s="83">
        <f>'ERROR FINAL'!D556</f>
        <v/>
      </c>
      <c r="C553" s="344">
        <f>'ERROR FINAL'!G556</f>
        <v/>
      </c>
      <c r="D553" s="85">
        <f>'ERROR FINAL'!I556</f>
        <v/>
      </c>
      <c r="E553" s="345">
        <f>'ERROR FINAL'!U556</f>
        <v/>
      </c>
      <c r="F553" s="346">
        <f>'ERROR FINAL'!AG556</f>
        <v/>
      </c>
      <c r="G553" s="346">
        <f>'ERROR FINAL'!AS556</f>
        <v/>
      </c>
      <c r="H553" s="88">
        <f>IF('ERROR FINAL'!AT556="CONFORME","CONFORME","NO CONFORME")</f>
        <v/>
      </c>
      <c r="I553" s="89">
        <f>IF(D553=0,"Medición",IF(D553=1,"Daño físico",IF(D553=2,"Fuga",IF(D553=3,"Picado",IF(D553=4,"Desfasado",IF(D553=5,"Paralizado","¿?"))))))</f>
        <v/>
      </c>
    </row>
    <row r="554">
      <c r="A554" s="82">
        <f>'ERROR FINAL'!A557</f>
        <v/>
      </c>
      <c r="B554" s="83">
        <f>'ERROR FINAL'!D557</f>
        <v/>
      </c>
      <c r="C554" s="344">
        <f>'ERROR FINAL'!G557</f>
        <v/>
      </c>
      <c r="D554" s="85">
        <f>'ERROR FINAL'!I557</f>
        <v/>
      </c>
      <c r="E554" s="345">
        <f>'ERROR FINAL'!U557</f>
        <v/>
      </c>
      <c r="F554" s="346">
        <f>'ERROR FINAL'!AG557</f>
        <v/>
      </c>
      <c r="G554" s="346">
        <f>'ERROR FINAL'!AS557</f>
        <v/>
      </c>
      <c r="H554" s="88">
        <f>IF('ERROR FINAL'!AT557="CONFORME","CONFORME","NO CONFORME")</f>
        <v/>
      </c>
      <c r="I554" s="89">
        <f>IF(D554=0,"Medición",IF(D554=1,"Daño físico",IF(D554=2,"Fuga",IF(D554=3,"Picado",IF(D554=4,"Desfasado",IF(D554=5,"Paralizado","¿?"))))))</f>
        <v/>
      </c>
    </row>
    <row r="555">
      <c r="A555" s="82">
        <f>'ERROR FINAL'!A558</f>
        <v/>
      </c>
      <c r="B555" s="83">
        <f>'ERROR FINAL'!D558</f>
        <v/>
      </c>
      <c r="C555" s="344">
        <f>'ERROR FINAL'!G558</f>
        <v/>
      </c>
      <c r="D555" s="85">
        <f>'ERROR FINAL'!I558</f>
        <v/>
      </c>
      <c r="E555" s="345">
        <f>'ERROR FINAL'!U558</f>
        <v/>
      </c>
      <c r="F555" s="346">
        <f>'ERROR FINAL'!AG558</f>
        <v/>
      </c>
      <c r="G555" s="346">
        <f>'ERROR FINAL'!AS558</f>
        <v/>
      </c>
      <c r="H555" s="88">
        <f>IF('ERROR FINAL'!AT558="CONFORME","CONFORME","NO CONFORME")</f>
        <v/>
      </c>
      <c r="I555" s="89">
        <f>IF(D555=0,"Medición",IF(D555=1,"Daño físico",IF(D555=2,"Fuga",IF(D555=3,"Picado",IF(D555=4,"Desfasado",IF(D555=5,"Paralizado","¿?"))))))</f>
        <v/>
      </c>
    </row>
    <row r="556">
      <c r="A556" s="82">
        <f>'ERROR FINAL'!A559</f>
        <v/>
      </c>
      <c r="B556" s="83">
        <f>'ERROR FINAL'!D559</f>
        <v/>
      </c>
      <c r="C556" s="344">
        <f>'ERROR FINAL'!G559</f>
        <v/>
      </c>
      <c r="D556" s="85">
        <f>'ERROR FINAL'!I559</f>
        <v/>
      </c>
      <c r="E556" s="345">
        <f>'ERROR FINAL'!U559</f>
        <v/>
      </c>
      <c r="F556" s="346">
        <f>'ERROR FINAL'!AG559</f>
        <v/>
      </c>
      <c r="G556" s="346">
        <f>'ERROR FINAL'!AS559</f>
        <v/>
      </c>
      <c r="H556" s="88">
        <f>IF('ERROR FINAL'!AT559="CONFORME","CONFORME","NO CONFORME")</f>
        <v/>
      </c>
      <c r="I556" s="89">
        <f>IF(D556=0,"Medición",IF(D556=1,"Daño físico",IF(D556=2,"Fuga",IF(D556=3,"Picado",IF(D556=4,"Desfasado",IF(D556=5,"Paralizado","¿?"))))))</f>
        <v/>
      </c>
    </row>
    <row r="557">
      <c r="A557" s="82">
        <f>'ERROR FINAL'!A560</f>
        <v/>
      </c>
      <c r="B557" s="83">
        <f>'ERROR FINAL'!D560</f>
        <v/>
      </c>
      <c r="C557" s="344">
        <f>'ERROR FINAL'!G560</f>
        <v/>
      </c>
      <c r="D557" s="85">
        <f>'ERROR FINAL'!I560</f>
        <v/>
      </c>
      <c r="E557" s="345">
        <f>'ERROR FINAL'!U560</f>
        <v/>
      </c>
      <c r="F557" s="346">
        <f>'ERROR FINAL'!AG560</f>
        <v/>
      </c>
      <c r="G557" s="346">
        <f>'ERROR FINAL'!AS560</f>
        <v/>
      </c>
      <c r="H557" s="88">
        <f>IF('ERROR FINAL'!AT560="CONFORME","CONFORME","NO CONFORME")</f>
        <v/>
      </c>
      <c r="I557" s="89">
        <f>IF(D557=0,"Medición",IF(D557=1,"Daño físico",IF(D557=2,"Fuga",IF(D557=3,"Picado",IF(D557=4,"Desfasado",IF(D557=5,"Paralizado","¿?"))))))</f>
        <v/>
      </c>
    </row>
    <row r="558">
      <c r="A558" s="82">
        <f>'ERROR FINAL'!A561</f>
        <v/>
      </c>
      <c r="B558" s="83">
        <f>'ERROR FINAL'!D561</f>
        <v/>
      </c>
      <c r="C558" s="344">
        <f>'ERROR FINAL'!G561</f>
        <v/>
      </c>
      <c r="D558" s="85">
        <f>'ERROR FINAL'!I561</f>
        <v/>
      </c>
      <c r="E558" s="345">
        <f>'ERROR FINAL'!U561</f>
        <v/>
      </c>
      <c r="F558" s="346">
        <f>'ERROR FINAL'!AG561</f>
        <v/>
      </c>
      <c r="G558" s="346">
        <f>'ERROR FINAL'!AS561</f>
        <v/>
      </c>
      <c r="H558" s="88">
        <f>IF('ERROR FINAL'!AT561="CONFORME","CONFORME","NO CONFORME")</f>
        <v/>
      </c>
      <c r="I558" s="89">
        <f>IF(D558=0,"Medición",IF(D558=1,"Daño físico",IF(D558=2,"Fuga",IF(D558=3,"Picado",IF(D558=4,"Desfasado",IF(D558=5,"Paralizado","¿?"))))))</f>
        <v/>
      </c>
    </row>
    <row r="559">
      <c r="A559" s="82">
        <f>'ERROR FINAL'!A562</f>
        <v/>
      </c>
      <c r="B559" s="83">
        <f>'ERROR FINAL'!D562</f>
        <v/>
      </c>
      <c r="C559" s="344">
        <f>'ERROR FINAL'!G562</f>
        <v/>
      </c>
      <c r="D559" s="85">
        <f>'ERROR FINAL'!I562</f>
        <v/>
      </c>
      <c r="E559" s="345">
        <f>'ERROR FINAL'!U562</f>
        <v/>
      </c>
      <c r="F559" s="346">
        <f>'ERROR FINAL'!AG562</f>
        <v/>
      </c>
      <c r="G559" s="346">
        <f>'ERROR FINAL'!AS562</f>
        <v/>
      </c>
      <c r="H559" s="88">
        <f>IF('ERROR FINAL'!AT562="CONFORME","CONFORME","NO CONFORME")</f>
        <v/>
      </c>
      <c r="I559" s="89">
        <f>IF(D559=0,"Medición",IF(D559=1,"Daño físico",IF(D559=2,"Fuga",IF(D559=3,"Picado",IF(D559=4,"Desfasado",IF(D559=5,"Paralizado","¿?"))))))</f>
        <v/>
      </c>
    </row>
    <row r="560">
      <c r="A560" s="82">
        <f>'ERROR FINAL'!A563</f>
        <v/>
      </c>
      <c r="B560" s="83">
        <f>'ERROR FINAL'!D563</f>
        <v/>
      </c>
      <c r="C560" s="344">
        <f>'ERROR FINAL'!G563</f>
        <v/>
      </c>
      <c r="D560" s="85">
        <f>'ERROR FINAL'!I563</f>
        <v/>
      </c>
      <c r="E560" s="345">
        <f>'ERROR FINAL'!U563</f>
        <v/>
      </c>
      <c r="F560" s="346">
        <f>'ERROR FINAL'!AG563</f>
        <v/>
      </c>
      <c r="G560" s="346">
        <f>'ERROR FINAL'!AS563</f>
        <v/>
      </c>
      <c r="H560" s="88">
        <f>IF('ERROR FINAL'!AT563="CONFORME","CONFORME","NO CONFORME")</f>
        <v/>
      </c>
      <c r="I560" s="89">
        <f>IF(D560=0,"Medición",IF(D560=1,"Daño físico",IF(D560=2,"Fuga",IF(D560=3,"Picado",IF(D560=4,"Desfasado",IF(D560=5,"Paralizado","¿?"))))))</f>
        <v/>
      </c>
    </row>
    <row r="561">
      <c r="A561" s="82">
        <f>'ERROR FINAL'!A564</f>
        <v/>
      </c>
      <c r="B561" s="83">
        <f>'ERROR FINAL'!D564</f>
        <v/>
      </c>
      <c r="C561" s="344">
        <f>'ERROR FINAL'!G564</f>
        <v/>
      </c>
      <c r="D561" s="85">
        <f>'ERROR FINAL'!I564</f>
        <v/>
      </c>
      <c r="E561" s="345">
        <f>'ERROR FINAL'!U564</f>
        <v/>
      </c>
      <c r="F561" s="346">
        <f>'ERROR FINAL'!AG564</f>
        <v/>
      </c>
      <c r="G561" s="346">
        <f>'ERROR FINAL'!AS564</f>
        <v/>
      </c>
      <c r="H561" s="88">
        <f>IF('ERROR FINAL'!AT564="CONFORME","CONFORME","NO CONFORME")</f>
        <v/>
      </c>
      <c r="I561" s="89">
        <f>IF(D561=0,"Medición",IF(D561=1,"Daño físico",IF(D561=2,"Fuga",IF(D561=3,"Picado",IF(D561=4,"Desfasado",IF(D561=5,"Paralizado","¿?"))))))</f>
        <v/>
      </c>
    </row>
    <row r="562">
      <c r="A562" s="82">
        <f>'ERROR FINAL'!A565</f>
        <v/>
      </c>
      <c r="B562" s="83">
        <f>'ERROR FINAL'!D565</f>
        <v/>
      </c>
      <c r="C562" s="344">
        <f>'ERROR FINAL'!G565</f>
        <v/>
      </c>
      <c r="D562" s="85">
        <f>'ERROR FINAL'!I565</f>
        <v/>
      </c>
      <c r="E562" s="345">
        <f>'ERROR FINAL'!U565</f>
        <v/>
      </c>
      <c r="F562" s="346">
        <f>'ERROR FINAL'!AG565</f>
        <v/>
      </c>
      <c r="G562" s="346">
        <f>'ERROR FINAL'!AS565</f>
        <v/>
      </c>
      <c r="H562" s="88">
        <f>IF('ERROR FINAL'!AT565="CONFORME","CONFORME","NO CONFORME")</f>
        <v/>
      </c>
      <c r="I562" s="89">
        <f>IF(D562=0,"Medición",IF(D562=1,"Daño físico",IF(D562=2,"Fuga",IF(D562=3,"Picado",IF(D562=4,"Desfasado",IF(D562=5,"Paralizado","¿?"))))))</f>
        <v/>
      </c>
    </row>
    <row r="563">
      <c r="A563" s="82">
        <f>'ERROR FINAL'!A566</f>
        <v/>
      </c>
      <c r="B563" s="83">
        <f>'ERROR FINAL'!D566</f>
        <v/>
      </c>
      <c r="C563" s="344">
        <f>'ERROR FINAL'!G566</f>
        <v/>
      </c>
      <c r="D563" s="85">
        <f>'ERROR FINAL'!I566</f>
        <v/>
      </c>
      <c r="E563" s="345">
        <f>'ERROR FINAL'!U566</f>
        <v/>
      </c>
      <c r="F563" s="346">
        <f>'ERROR FINAL'!AG566</f>
        <v/>
      </c>
      <c r="G563" s="346">
        <f>'ERROR FINAL'!AS566</f>
        <v/>
      </c>
      <c r="H563" s="88">
        <f>IF('ERROR FINAL'!AT566="CONFORME","CONFORME","NO CONFORME")</f>
        <v/>
      </c>
      <c r="I563" s="89">
        <f>IF(D563=0,"Medición",IF(D563=1,"Daño físico",IF(D563=2,"Fuga",IF(D563=3,"Picado",IF(D563=4,"Desfasado",IF(D563=5,"Paralizado","¿?"))))))</f>
        <v/>
      </c>
    </row>
    <row r="564">
      <c r="A564" s="82">
        <f>'ERROR FINAL'!A567</f>
        <v/>
      </c>
      <c r="B564" s="83">
        <f>'ERROR FINAL'!D567</f>
        <v/>
      </c>
      <c r="C564" s="344">
        <f>'ERROR FINAL'!G567</f>
        <v/>
      </c>
      <c r="D564" s="85">
        <f>'ERROR FINAL'!I567</f>
        <v/>
      </c>
      <c r="E564" s="345">
        <f>'ERROR FINAL'!U567</f>
        <v/>
      </c>
      <c r="F564" s="346">
        <f>'ERROR FINAL'!AG567</f>
        <v/>
      </c>
      <c r="G564" s="346">
        <f>'ERROR FINAL'!AS567</f>
        <v/>
      </c>
      <c r="H564" s="88">
        <f>IF('ERROR FINAL'!AT567="CONFORME","CONFORME","NO CONFORME")</f>
        <v/>
      </c>
      <c r="I564" s="89">
        <f>IF(D564=0,"Medición",IF(D564=1,"Daño físico",IF(D564=2,"Fuga",IF(D564=3,"Picado",IF(D564=4,"Desfasado",IF(D564=5,"Paralizado","¿?"))))))</f>
        <v/>
      </c>
    </row>
    <row r="565">
      <c r="A565" s="82">
        <f>'ERROR FINAL'!A568</f>
        <v/>
      </c>
      <c r="B565" s="83">
        <f>'ERROR FINAL'!D568</f>
        <v/>
      </c>
      <c r="C565" s="344">
        <f>'ERROR FINAL'!G568</f>
        <v/>
      </c>
      <c r="D565" s="85">
        <f>'ERROR FINAL'!I568</f>
        <v/>
      </c>
      <c r="E565" s="345">
        <f>'ERROR FINAL'!U568</f>
        <v/>
      </c>
      <c r="F565" s="346">
        <f>'ERROR FINAL'!AG568</f>
        <v/>
      </c>
      <c r="G565" s="346">
        <f>'ERROR FINAL'!AS568</f>
        <v/>
      </c>
      <c r="H565" s="88">
        <f>IF('ERROR FINAL'!AT568="CONFORME","CONFORME","NO CONFORME")</f>
        <v/>
      </c>
      <c r="I565" s="89">
        <f>IF(D565=0,"Medición",IF(D565=1,"Daño físico",IF(D565=2,"Fuga",IF(D565=3,"Picado",IF(D565=4,"Desfasado",IF(D565=5,"Paralizado","¿?"))))))</f>
        <v/>
      </c>
    </row>
    <row r="566">
      <c r="A566" s="82">
        <f>'ERROR FINAL'!A569</f>
        <v/>
      </c>
      <c r="B566" s="83">
        <f>'ERROR FINAL'!D569</f>
        <v/>
      </c>
      <c r="C566" s="344">
        <f>'ERROR FINAL'!G569</f>
        <v/>
      </c>
      <c r="D566" s="85">
        <f>'ERROR FINAL'!I569</f>
        <v/>
      </c>
      <c r="E566" s="345">
        <f>'ERROR FINAL'!U569</f>
        <v/>
      </c>
      <c r="F566" s="346">
        <f>'ERROR FINAL'!AG569</f>
        <v/>
      </c>
      <c r="G566" s="346">
        <f>'ERROR FINAL'!AS569</f>
        <v/>
      </c>
      <c r="H566" s="88">
        <f>IF('ERROR FINAL'!AT569="CONFORME","CONFORME","NO CONFORME")</f>
        <v/>
      </c>
      <c r="I566" s="89">
        <f>IF(D566=0,"Medición",IF(D566=1,"Daño físico",IF(D566=2,"Fuga",IF(D566=3,"Picado",IF(D566=4,"Desfasado",IF(D566=5,"Paralizado","¿?"))))))</f>
        <v/>
      </c>
    </row>
    <row r="567">
      <c r="A567" s="82">
        <f>'ERROR FINAL'!A570</f>
        <v/>
      </c>
      <c r="B567" s="83">
        <f>'ERROR FINAL'!D570</f>
        <v/>
      </c>
      <c r="C567" s="344">
        <f>'ERROR FINAL'!G570</f>
        <v/>
      </c>
      <c r="D567" s="85">
        <f>'ERROR FINAL'!I570</f>
        <v/>
      </c>
      <c r="E567" s="345">
        <f>'ERROR FINAL'!U570</f>
        <v/>
      </c>
      <c r="F567" s="346">
        <f>'ERROR FINAL'!AG570</f>
        <v/>
      </c>
      <c r="G567" s="346">
        <f>'ERROR FINAL'!AS570</f>
        <v/>
      </c>
      <c r="H567" s="88">
        <f>IF('ERROR FINAL'!AT570="CONFORME","CONFORME","NO CONFORME")</f>
        <v/>
      </c>
      <c r="I567" s="89">
        <f>IF(D567=0,"Medición",IF(D567=1,"Daño físico",IF(D567=2,"Fuga",IF(D567=3,"Picado",IF(D567=4,"Desfasado",IF(D567=5,"Paralizado","¿?"))))))</f>
        <v/>
      </c>
    </row>
    <row r="568">
      <c r="A568" s="82">
        <f>'ERROR FINAL'!A571</f>
        <v/>
      </c>
      <c r="B568" s="83">
        <f>'ERROR FINAL'!D571</f>
        <v/>
      </c>
      <c r="C568" s="344">
        <f>'ERROR FINAL'!G571</f>
        <v/>
      </c>
      <c r="D568" s="85">
        <f>'ERROR FINAL'!I571</f>
        <v/>
      </c>
      <c r="E568" s="345">
        <f>'ERROR FINAL'!U571</f>
        <v/>
      </c>
      <c r="F568" s="346">
        <f>'ERROR FINAL'!AG571</f>
        <v/>
      </c>
      <c r="G568" s="346">
        <f>'ERROR FINAL'!AS571</f>
        <v/>
      </c>
      <c r="H568" s="88">
        <f>IF('ERROR FINAL'!AT571="CONFORME","CONFORME","NO CONFORME")</f>
        <v/>
      </c>
      <c r="I568" s="89">
        <f>IF(D568=0,"Medición",IF(D568=1,"Daño físico",IF(D568=2,"Fuga",IF(D568=3,"Picado",IF(D568=4,"Desfasado",IF(D568=5,"Paralizado","¿?"))))))</f>
        <v/>
      </c>
    </row>
    <row r="569">
      <c r="A569" s="82">
        <f>'ERROR FINAL'!A572</f>
        <v/>
      </c>
      <c r="B569" s="83">
        <f>'ERROR FINAL'!D572</f>
        <v/>
      </c>
      <c r="C569" s="344">
        <f>'ERROR FINAL'!G572</f>
        <v/>
      </c>
      <c r="D569" s="85">
        <f>'ERROR FINAL'!I572</f>
        <v/>
      </c>
      <c r="E569" s="345">
        <f>'ERROR FINAL'!U572</f>
        <v/>
      </c>
      <c r="F569" s="346">
        <f>'ERROR FINAL'!AG572</f>
        <v/>
      </c>
      <c r="G569" s="346">
        <f>'ERROR FINAL'!AS572</f>
        <v/>
      </c>
      <c r="H569" s="88">
        <f>IF('ERROR FINAL'!AT572="CONFORME","CONFORME","NO CONFORME")</f>
        <v/>
      </c>
      <c r="I569" s="89">
        <f>IF(D569=0,"Medición",IF(D569=1,"Daño físico",IF(D569=2,"Fuga",IF(D569=3,"Picado",IF(D569=4,"Desfasado",IF(D569=5,"Paralizado","¿?"))))))</f>
        <v/>
      </c>
    </row>
    <row r="570">
      <c r="A570" s="82">
        <f>'ERROR FINAL'!A573</f>
        <v/>
      </c>
      <c r="B570" s="83">
        <f>'ERROR FINAL'!D573</f>
        <v/>
      </c>
      <c r="C570" s="344">
        <f>'ERROR FINAL'!G573</f>
        <v/>
      </c>
      <c r="D570" s="85">
        <f>'ERROR FINAL'!I573</f>
        <v/>
      </c>
      <c r="E570" s="345">
        <f>'ERROR FINAL'!U573</f>
        <v/>
      </c>
      <c r="F570" s="346">
        <f>'ERROR FINAL'!AG573</f>
        <v/>
      </c>
      <c r="G570" s="346">
        <f>'ERROR FINAL'!AS573</f>
        <v/>
      </c>
      <c r="H570" s="88">
        <f>IF('ERROR FINAL'!AT573="CONFORME","CONFORME","NO CONFORME")</f>
        <v/>
      </c>
      <c r="I570" s="89">
        <f>IF(D570=0,"Medición",IF(D570=1,"Daño físico",IF(D570=2,"Fuga",IF(D570=3,"Picado",IF(D570=4,"Desfasado",IF(D570=5,"Paralizado","¿?"))))))</f>
        <v/>
      </c>
    </row>
    <row r="571">
      <c r="A571" s="82">
        <f>'ERROR FINAL'!A574</f>
        <v/>
      </c>
      <c r="B571" s="83">
        <f>'ERROR FINAL'!D574</f>
        <v/>
      </c>
      <c r="C571" s="344">
        <f>'ERROR FINAL'!G574</f>
        <v/>
      </c>
      <c r="D571" s="85">
        <f>'ERROR FINAL'!I574</f>
        <v/>
      </c>
      <c r="E571" s="345">
        <f>'ERROR FINAL'!U574</f>
        <v/>
      </c>
      <c r="F571" s="346">
        <f>'ERROR FINAL'!AG574</f>
        <v/>
      </c>
      <c r="G571" s="346">
        <f>'ERROR FINAL'!AS574</f>
        <v/>
      </c>
      <c r="H571" s="88">
        <f>IF('ERROR FINAL'!AT574="CONFORME","CONFORME","NO CONFORME")</f>
        <v/>
      </c>
      <c r="I571" s="89">
        <f>IF(D571=0,"Medición",IF(D571=1,"Daño físico",IF(D571=2,"Fuga",IF(D571=3,"Picado",IF(D571=4,"Desfasado",IF(D571=5,"Paralizado","¿?"))))))</f>
        <v/>
      </c>
    </row>
    <row r="572">
      <c r="A572" s="82">
        <f>'ERROR FINAL'!A575</f>
        <v/>
      </c>
      <c r="B572" s="83">
        <f>'ERROR FINAL'!D575</f>
        <v/>
      </c>
      <c r="C572" s="344">
        <f>'ERROR FINAL'!G575</f>
        <v/>
      </c>
      <c r="D572" s="85">
        <f>'ERROR FINAL'!I575</f>
        <v/>
      </c>
      <c r="E572" s="345">
        <f>'ERROR FINAL'!U575</f>
        <v/>
      </c>
      <c r="F572" s="346">
        <f>'ERROR FINAL'!AG575</f>
        <v/>
      </c>
      <c r="G572" s="346">
        <f>'ERROR FINAL'!AS575</f>
        <v/>
      </c>
      <c r="H572" s="88">
        <f>IF('ERROR FINAL'!AT575="CONFORME","CONFORME","NO CONFORME")</f>
        <v/>
      </c>
      <c r="I572" s="89">
        <f>IF(D572=0,"Medición",IF(D572=1,"Daño físico",IF(D572=2,"Fuga",IF(D572=3,"Picado",IF(D572=4,"Desfasado",IF(D572=5,"Paralizado","¿?"))))))</f>
        <v/>
      </c>
    </row>
    <row r="573">
      <c r="A573" s="82">
        <f>'ERROR FINAL'!A576</f>
        <v/>
      </c>
      <c r="B573" s="83">
        <f>'ERROR FINAL'!D576</f>
        <v/>
      </c>
      <c r="C573" s="344">
        <f>'ERROR FINAL'!G576</f>
        <v/>
      </c>
      <c r="D573" s="85">
        <f>'ERROR FINAL'!I576</f>
        <v/>
      </c>
      <c r="E573" s="345">
        <f>'ERROR FINAL'!U576</f>
        <v/>
      </c>
      <c r="F573" s="346">
        <f>'ERROR FINAL'!AG576</f>
        <v/>
      </c>
      <c r="G573" s="346">
        <f>'ERROR FINAL'!AS576</f>
        <v/>
      </c>
      <c r="H573" s="88">
        <f>IF('ERROR FINAL'!AT576="CONFORME","CONFORME","NO CONFORME")</f>
        <v/>
      </c>
      <c r="I573" s="89">
        <f>IF(D573=0,"Medición",IF(D573=1,"Daño físico",IF(D573=2,"Fuga",IF(D573=3,"Picado",IF(D573=4,"Desfasado",IF(D573=5,"Paralizado","¿?"))))))</f>
        <v/>
      </c>
    </row>
    <row r="574">
      <c r="A574" s="82">
        <f>'ERROR FINAL'!A577</f>
        <v/>
      </c>
      <c r="B574" s="83">
        <f>'ERROR FINAL'!D577</f>
        <v/>
      </c>
      <c r="C574" s="344">
        <f>'ERROR FINAL'!G577</f>
        <v/>
      </c>
      <c r="D574" s="85">
        <f>'ERROR FINAL'!I577</f>
        <v/>
      </c>
      <c r="E574" s="345">
        <f>'ERROR FINAL'!U577</f>
        <v/>
      </c>
      <c r="F574" s="346">
        <f>'ERROR FINAL'!AG577</f>
        <v/>
      </c>
      <c r="G574" s="346">
        <f>'ERROR FINAL'!AS577</f>
        <v/>
      </c>
      <c r="H574" s="88">
        <f>IF('ERROR FINAL'!AT577="CONFORME","CONFORME","NO CONFORME")</f>
        <v/>
      </c>
      <c r="I574" s="89">
        <f>IF(D574=0,"Medición",IF(D574=1,"Daño físico",IF(D574=2,"Fuga",IF(D574=3,"Picado",IF(D574=4,"Desfasado",IF(D574=5,"Paralizado","¿?"))))))</f>
        <v/>
      </c>
    </row>
    <row r="575">
      <c r="A575" s="82">
        <f>'ERROR FINAL'!A578</f>
        <v/>
      </c>
      <c r="B575" s="83">
        <f>'ERROR FINAL'!D578</f>
        <v/>
      </c>
      <c r="C575" s="344">
        <f>'ERROR FINAL'!G578</f>
        <v/>
      </c>
      <c r="D575" s="85">
        <f>'ERROR FINAL'!I578</f>
        <v/>
      </c>
      <c r="E575" s="345">
        <f>'ERROR FINAL'!U578</f>
        <v/>
      </c>
      <c r="F575" s="346">
        <f>'ERROR FINAL'!AG578</f>
        <v/>
      </c>
      <c r="G575" s="346">
        <f>'ERROR FINAL'!AS578</f>
        <v/>
      </c>
      <c r="H575" s="88">
        <f>IF('ERROR FINAL'!AT578="CONFORME","CONFORME","NO CONFORME")</f>
        <v/>
      </c>
      <c r="I575" s="89">
        <f>IF(D575=0,"Medición",IF(D575=1,"Daño físico",IF(D575=2,"Fuga",IF(D575=3,"Picado",IF(D575=4,"Desfasado",IF(D575=5,"Paralizado","¿?"))))))</f>
        <v/>
      </c>
    </row>
    <row r="576">
      <c r="A576" s="82">
        <f>'ERROR FINAL'!A579</f>
        <v/>
      </c>
      <c r="B576" s="83">
        <f>'ERROR FINAL'!D579</f>
        <v/>
      </c>
      <c r="C576" s="344">
        <f>'ERROR FINAL'!G579</f>
        <v/>
      </c>
      <c r="D576" s="85">
        <f>'ERROR FINAL'!I579</f>
        <v/>
      </c>
      <c r="E576" s="345">
        <f>'ERROR FINAL'!U579</f>
        <v/>
      </c>
      <c r="F576" s="346">
        <f>'ERROR FINAL'!AG579</f>
        <v/>
      </c>
      <c r="G576" s="346">
        <f>'ERROR FINAL'!AS579</f>
        <v/>
      </c>
      <c r="H576" s="88">
        <f>IF('ERROR FINAL'!AT579="CONFORME","CONFORME","NO CONFORME")</f>
        <v/>
      </c>
      <c r="I576" s="89">
        <f>IF(D576=0,"Medición",IF(D576=1,"Daño físico",IF(D576=2,"Fuga",IF(D576=3,"Picado",IF(D576=4,"Desfasado",IF(D576=5,"Paralizado","¿?"))))))</f>
        <v/>
      </c>
    </row>
    <row r="577">
      <c r="A577" s="82">
        <f>'ERROR FINAL'!A580</f>
        <v/>
      </c>
      <c r="B577" s="83">
        <f>'ERROR FINAL'!D580</f>
        <v/>
      </c>
      <c r="C577" s="344">
        <f>'ERROR FINAL'!G580</f>
        <v/>
      </c>
      <c r="D577" s="85">
        <f>'ERROR FINAL'!I580</f>
        <v/>
      </c>
      <c r="E577" s="345">
        <f>'ERROR FINAL'!U580</f>
        <v/>
      </c>
      <c r="F577" s="346">
        <f>'ERROR FINAL'!AG580</f>
        <v/>
      </c>
      <c r="G577" s="346">
        <f>'ERROR FINAL'!AS580</f>
        <v/>
      </c>
      <c r="H577" s="88">
        <f>IF('ERROR FINAL'!AT580="CONFORME","CONFORME","NO CONFORME")</f>
        <v/>
      </c>
      <c r="I577" s="89">
        <f>IF(D577=0,"Medición",IF(D577=1,"Daño físico",IF(D577=2,"Fuga",IF(D577=3,"Picado",IF(D577=4,"Desfasado",IF(D577=5,"Paralizado","¿?"))))))</f>
        <v/>
      </c>
    </row>
    <row r="578">
      <c r="A578" s="82">
        <f>'ERROR FINAL'!A581</f>
        <v/>
      </c>
      <c r="B578" s="83">
        <f>'ERROR FINAL'!D581</f>
        <v/>
      </c>
      <c r="C578" s="344">
        <f>'ERROR FINAL'!G581</f>
        <v/>
      </c>
      <c r="D578" s="85">
        <f>'ERROR FINAL'!I581</f>
        <v/>
      </c>
      <c r="E578" s="345">
        <f>'ERROR FINAL'!U581</f>
        <v/>
      </c>
      <c r="F578" s="346">
        <f>'ERROR FINAL'!AG581</f>
        <v/>
      </c>
      <c r="G578" s="346">
        <f>'ERROR FINAL'!AS581</f>
        <v/>
      </c>
      <c r="H578" s="88">
        <f>IF('ERROR FINAL'!AT581="CONFORME","CONFORME","NO CONFORME")</f>
        <v/>
      </c>
      <c r="I578" s="89">
        <f>IF(D578=0,"Medición",IF(D578=1,"Daño físico",IF(D578=2,"Fuga",IF(D578=3,"Picado",IF(D578=4,"Desfasado",IF(D578=5,"Paralizado","¿?"))))))</f>
        <v/>
      </c>
    </row>
    <row r="579">
      <c r="A579" s="82">
        <f>'ERROR FINAL'!A582</f>
        <v/>
      </c>
      <c r="B579" s="83">
        <f>'ERROR FINAL'!D582</f>
        <v/>
      </c>
      <c r="C579" s="344">
        <f>'ERROR FINAL'!G582</f>
        <v/>
      </c>
      <c r="D579" s="85">
        <f>'ERROR FINAL'!I582</f>
        <v/>
      </c>
      <c r="E579" s="345">
        <f>'ERROR FINAL'!U582</f>
        <v/>
      </c>
      <c r="F579" s="346">
        <f>'ERROR FINAL'!AG582</f>
        <v/>
      </c>
      <c r="G579" s="346">
        <f>'ERROR FINAL'!AS582</f>
        <v/>
      </c>
      <c r="H579" s="88">
        <f>IF('ERROR FINAL'!AT582="CONFORME","CONFORME","NO CONFORME")</f>
        <v/>
      </c>
      <c r="I579" s="89">
        <f>IF(D579=0,"Medición",IF(D579=1,"Daño físico",IF(D579=2,"Fuga",IF(D579=3,"Picado",IF(D579=4,"Desfasado",IF(D579=5,"Paralizado","¿?"))))))</f>
        <v/>
      </c>
    </row>
    <row r="580">
      <c r="A580" s="82">
        <f>'ERROR FINAL'!A583</f>
        <v/>
      </c>
      <c r="B580" s="83">
        <f>'ERROR FINAL'!D583</f>
        <v/>
      </c>
      <c r="C580" s="344">
        <f>'ERROR FINAL'!G583</f>
        <v/>
      </c>
      <c r="D580" s="85">
        <f>'ERROR FINAL'!I583</f>
        <v/>
      </c>
      <c r="E580" s="345">
        <f>'ERROR FINAL'!U583</f>
        <v/>
      </c>
      <c r="F580" s="346">
        <f>'ERROR FINAL'!AG583</f>
        <v/>
      </c>
      <c r="G580" s="346">
        <f>'ERROR FINAL'!AS583</f>
        <v/>
      </c>
      <c r="H580" s="88">
        <f>IF('ERROR FINAL'!AT583="CONFORME","CONFORME","NO CONFORME")</f>
        <v/>
      </c>
      <c r="I580" s="89">
        <f>IF(D580=0,"Medición",IF(D580=1,"Daño físico",IF(D580=2,"Fuga",IF(D580=3,"Picado",IF(D580=4,"Desfasado",IF(D580=5,"Paralizado","¿?"))))))</f>
        <v/>
      </c>
    </row>
    <row r="581">
      <c r="A581" s="82">
        <f>'ERROR FINAL'!A584</f>
        <v/>
      </c>
      <c r="B581" s="83">
        <f>'ERROR FINAL'!D584</f>
        <v/>
      </c>
      <c r="C581" s="344">
        <f>'ERROR FINAL'!G584</f>
        <v/>
      </c>
      <c r="D581" s="85">
        <f>'ERROR FINAL'!I584</f>
        <v/>
      </c>
      <c r="E581" s="345">
        <f>'ERROR FINAL'!U584</f>
        <v/>
      </c>
      <c r="F581" s="346">
        <f>'ERROR FINAL'!AG584</f>
        <v/>
      </c>
      <c r="G581" s="346">
        <f>'ERROR FINAL'!AS584</f>
        <v/>
      </c>
      <c r="H581" s="88">
        <f>IF('ERROR FINAL'!AT584="CONFORME","CONFORME","NO CONFORME")</f>
        <v/>
      </c>
      <c r="I581" s="89">
        <f>IF(D581=0,"Medición",IF(D581=1,"Daño físico",IF(D581=2,"Fuga",IF(D581=3,"Picado",IF(D581=4,"Desfasado",IF(D581=5,"Paralizado","¿?"))))))</f>
        <v/>
      </c>
    </row>
    <row r="582">
      <c r="A582" s="82">
        <f>'ERROR FINAL'!A585</f>
        <v/>
      </c>
      <c r="B582" s="83">
        <f>'ERROR FINAL'!D585</f>
        <v/>
      </c>
      <c r="C582" s="344">
        <f>'ERROR FINAL'!G585</f>
        <v/>
      </c>
      <c r="D582" s="85">
        <f>'ERROR FINAL'!I585</f>
        <v/>
      </c>
      <c r="E582" s="345">
        <f>'ERROR FINAL'!U585</f>
        <v/>
      </c>
      <c r="F582" s="346">
        <f>'ERROR FINAL'!AG585</f>
        <v/>
      </c>
      <c r="G582" s="346">
        <f>'ERROR FINAL'!AS585</f>
        <v/>
      </c>
      <c r="H582" s="88">
        <f>IF('ERROR FINAL'!AT585="CONFORME","CONFORME","NO CONFORME")</f>
        <v/>
      </c>
      <c r="I582" s="89">
        <f>IF(D582=0,"Medición",IF(D582=1,"Daño físico",IF(D582=2,"Fuga",IF(D582=3,"Picado",IF(D582=4,"Desfasado",IF(D582=5,"Paralizado","¿?"))))))</f>
        <v/>
      </c>
    </row>
    <row r="583">
      <c r="A583" s="82">
        <f>'ERROR FINAL'!A586</f>
        <v/>
      </c>
      <c r="B583" s="83">
        <f>'ERROR FINAL'!D586</f>
        <v/>
      </c>
      <c r="C583" s="344">
        <f>'ERROR FINAL'!G586</f>
        <v/>
      </c>
      <c r="D583" s="85">
        <f>'ERROR FINAL'!I586</f>
        <v/>
      </c>
      <c r="E583" s="345">
        <f>'ERROR FINAL'!U586</f>
        <v/>
      </c>
      <c r="F583" s="346">
        <f>'ERROR FINAL'!AG586</f>
        <v/>
      </c>
      <c r="G583" s="346">
        <f>'ERROR FINAL'!AS586</f>
        <v/>
      </c>
      <c r="H583" s="88">
        <f>IF('ERROR FINAL'!AT586="CONFORME","CONFORME","NO CONFORME")</f>
        <v/>
      </c>
      <c r="I583" s="89">
        <f>IF(D583=0,"Medición",IF(D583=1,"Daño físico",IF(D583=2,"Fuga",IF(D583=3,"Picado",IF(D583=4,"Desfasado",IF(D583=5,"Paralizado","¿?"))))))</f>
        <v/>
      </c>
    </row>
    <row r="584">
      <c r="A584" s="82">
        <f>'ERROR FINAL'!A587</f>
        <v/>
      </c>
      <c r="B584" s="83">
        <f>'ERROR FINAL'!D587</f>
        <v/>
      </c>
      <c r="C584" s="344">
        <f>'ERROR FINAL'!G587</f>
        <v/>
      </c>
      <c r="D584" s="85">
        <f>'ERROR FINAL'!I587</f>
        <v/>
      </c>
      <c r="E584" s="345">
        <f>'ERROR FINAL'!U587</f>
        <v/>
      </c>
      <c r="F584" s="346">
        <f>'ERROR FINAL'!AG587</f>
        <v/>
      </c>
      <c r="G584" s="346">
        <f>'ERROR FINAL'!AS587</f>
        <v/>
      </c>
      <c r="H584" s="88">
        <f>IF('ERROR FINAL'!AT587="CONFORME","CONFORME","NO CONFORME")</f>
        <v/>
      </c>
      <c r="I584" s="89">
        <f>IF(D584=0,"Medición",IF(D584=1,"Daño físico",IF(D584=2,"Fuga",IF(D584=3,"Picado",IF(D584=4,"Desfasado",IF(D584=5,"Paralizado","¿?"))))))</f>
        <v/>
      </c>
    </row>
    <row r="585">
      <c r="A585" s="82">
        <f>'ERROR FINAL'!A588</f>
        <v/>
      </c>
      <c r="B585" s="83">
        <f>'ERROR FINAL'!D588</f>
        <v/>
      </c>
      <c r="C585" s="344">
        <f>'ERROR FINAL'!G588</f>
        <v/>
      </c>
      <c r="D585" s="85">
        <f>'ERROR FINAL'!I588</f>
        <v/>
      </c>
      <c r="E585" s="345">
        <f>'ERROR FINAL'!U588</f>
        <v/>
      </c>
      <c r="F585" s="346">
        <f>'ERROR FINAL'!AG588</f>
        <v/>
      </c>
      <c r="G585" s="346">
        <f>'ERROR FINAL'!AS588</f>
        <v/>
      </c>
      <c r="H585" s="88">
        <f>IF('ERROR FINAL'!AT588="CONFORME","CONFORME","NO CONFORME")</f>
        <v/>
      </c>
      <c r="I585" s="89">
        <f>IF(D585=0,"Medición",IF(D585=1,"Daño físico",IF(D585=2,"Fuga",IF(D585=3,"Picado",IF(D585=4,"Desfasado",IF(D585=5,"Paralizado","¿?"))))))</f>
        <v/>
      </c>
    </row>
    <row r="586">
      <c r="A586" s="82">
        <f>'ERROR FINAL'!A589</f>
        <v/>
      </c>
      <c r="B586" s="83">
        <f>'ERROR FINAL'!D589</f>
        <v/>
      </c>
      <c r="C586" s="344">
        <f>'ERROR FINAL'!G589</f>
        <v/>
      </c>
      <c r="D586" s="85">
        <f>'ERROR FINAL'!I589</f>
        <v/>
      </c>
      <c r="E586" s="345">
        <f>'ERROR FINAL'!U589</f>
        <v/>
      </c>
      <c r="F586" s="346">
        <f>'ERROR FINAL'!AG589</f>
        <v/>
      </c>
      <c r="G586" s="346">
        <f>'ERROR FINAL'!AS589</f>
        <v/>
      </c>
      <c r="H586" s="88">
        <f>IF('ERROR FINAL'!AT589="CONFORME","CONFORME","NO CONFORME")</f>
        <v/>
      </c>
      <c r="I586" s="89">
        <f>IF(D586=0,"Medición",IF(D586=1,"Daño físico",IF(D586=2,"Fuga",IF(D586=3,"Picado",IF(D586=4,"Desfasado",IF(D586=5,"Paralizado","¿?"))))))</f>
        <v/>
      </c>
    </row>
    <row r="587">
      <c r="A587" s="82">
        <f>'ERROR FINAL'!A590</f>
        <v/>
      </c>
      <c r="B587" s="83">
        <f>'ERROR FINAL'!D590</f>
        <v/>
      </c>
      <c r="C587" s="344">
        <f>'ERROR FINAL'!G590</f>
        <v/>
      </c>
      <c r="D587" s="85">
        <f>'ERROR FINAL'!I590</f>
        <v/>
      </c>
      <c r="E587" s="345">
        <f>'ERROR FINAL'!U590</f>
        <v/>
      </c>
      <c r="F587" s="346">
        <f>'ERROR FINAL'!AG590</f>
        <v/>
      </c>
      <c r="G587" s="346">
        <f>'ERROR FINAL'!AS590</f>
        <v/>
      </c>
      <c r="H587" s="88">
        <f>IF('ERROR FINAL'!AT590="CONFORME","CONFORME","NO CONFORME")</f>
        <v/>
      </c>
      <c r="I587" s="89">
        <f>IF(D587=0,"Medición",IF(D587=1,"Daño físico",IF(D587=2,"Fuga",IF(D587=3,"Picado",IF(D587=4,"Desfasado",IF(D587=5,"Paralizado","¿?"))))))</f>
        <v/>
      </c>
    </row>
    <row r="588">
      <c r="A588" s="82">
        <f>'ERROR FINAL'!A591</f>
        <v/>
      </c>
      <c r="B588" s="83">
        <f>'ERROR FINAL'!D591</f>
        <v/>
      </c>
      <c r="C588" s="344">
        <f>'ERROR FINAL'!G591</f>
        <v/>
      </c>
      <c r="D588" s="85">
        <f>'ERROR FINAL'!I591</f>
        <v/>
      </c>
      <c r="E588" s="345">
        <f>'ERROR FINAL'!U591</f>
        <v/>
      </c>
      <c r="F588" s="346">
        <f>'ERROR FINAL'!AG591</f>
        <v/>
      </c>
      <c r="G588" s="346">
        <f>'ERROR FINAL'!AS591</f>
        <v/>
      </c>
      <c r="H588" s="88">
        <f>IF('ERROR FINAL'!AT591="CONFORME","CONFORME","NO CONFORME")</f>
        <v/>
      </c>
      <c r="I588" s="89">
        <f>IF(D588=0,"Medición",IF(D588=1,"Daño físico",IF(D588=2,"Fuga",IF(D588=3,"Picado",IF(D588=4,"Desfasado",IF(D588=5,"Paralizado","¿?"))))))</f>
        <v/>
      </c>
    </row>
    <row r="589">
      <c r="A589" s="82">
        <f>'ERROR FINAL'!A592</f>
        <v/>
      </c>
      <c r="B589" s="83">
        <f>'ERROR FINAL'!D592</f>
        <v/>
      </c>
      <c r="C589" s="344">
        <f>'ERROR FINAL'!G592</f>
        <v/>
      </c>
      <c r="D589" s="85">
        <f>'ERROR FINAL'!I592</f>
        <v/>
      </c>
      <c r="E589" s="345">
        <f>'ERROR FINAL'!U592</f>
        <v/>
      </c>
      <c r="F589" s="346">
        <f>'ERROR FINAL'!AG592</f>
        <v/>
      </c>
      <c r="G589" s="346">
        <f>'ERROR FINAL'!AS592</f>
        <v/>
      </c>
      <c r="H589" s="88">
        <f>IF('ERROR FINAL'!AT592="CONFORME","CONFORME","NO CONFORME")</f>
        <v/>
      </c>
      <c r="I589" s="89">
        <f>IF(D589=0,"Medición",IF(D589=1,"Daño físico",IF(D589=2,"Fuga",IF(D589=3,"Picado",IF(D589=4,"Desfasado",IF(D589=5,"Paralizado","¿?"))))))</f>
        <v/>
      </c>
    </row>
    <row r="590">
      <c r="A590" s="82">
        <f>'ERROR FINAL'!A593</f>
        <v/>
      </c>
      <c r="B590" s="83">
        <f>'ERROR FINAL'!D593</f>
        <v/>
      </c>
      <c r="C590" s="344">
        <f>'ERROR FINAL'!G593</f>
        <v/>
      </c>
      <c r="D590" s="85">
        <f>'ERROR FINAL'!I593</f>
        <v/>
      </c>
      <c r="E590" s="345">
        <f>'ERROR FINAL'!U593</f>
        <v/>
      </c>
      <c r="F590" s="346">
        <f>'ERROR FINAL'!AG593</f>
        <v/>
      </c>
      <c r="G590" s="346">
        <f>'ERROR FINAL'!AS593</f>
        <v/>
      </c>
      <c r="H590" s="88">
        <f>IF('ERROR FINAL'!AT593="CONFORME","CONFORME","NO CONFORME")</f>
        <v/>
      </c>
      <c r="I590" s="89">
        <f>IF(D590=0,"Medición",IF(D590=1,"Daño físico",IF(D590=2,"Fuga",IF(D590=3,"Picado",IF(D590=4,"Desfasado",IF(D590=5,"Paralizado","¿?"))))))</f>
        <v/>
      </c>
    </row>
    <row r="591">
      <c r="A591" s="82">
        <f>'ERROR FINAL'!A594</f>
        <v/>
      </c>
      <c r="B591" s="83">
        <f>'ERROR FINAL'!D594</f>
        <v/>
      </c>
      <c r="C591" s="344">
        <f>'ERROR FINAL'!G594</f>
        <v/>
      </c>
      <c r="D591" s="85">
        <f>'ERROR FINAL'!I594</f>
        <v/>
      </c>
      <c r="E591" s="345">
        <f>'ERROR FINAL'!U594</f>
        <v/>
      </c>
      <c r="F591" s="346">
        <f>'ERROR FINAL'!AG594</f>
        <v/>
      </c>
      <c r="G591" s="346">
        <f>'ERROR FINAL'!AS594</f>
        <v/>
      </c>
      <c r="H591" s="88">
        <f>IF('ERROR FINAL'!AT594="CONFORME","CONFORME","NO CONFORME")</f>
        <v/>
      </c>
      <c r="I591" s="89">
        <f>IF(D591=0,"Medición",IF(D591=1,"Daño físico",IF(D591=2,"Fuga",IF(D591=3,"Picado",IF(D591=4,"Desfasado",IF(D591=5,"Paralizado","¿?"))))))</f>
        <v/>
      </c>
    </row>
    <row r="592">
      <c r="A592" s="82">
        <f>'ERROR FINAL'!A595</f>
        <v/>
      </c>
      <c r="B592" s="83">
        <f>'ERROR FINAL'!D595</f>
        <v/>
      </c>
      <c r="C592" s="344">
        <f>'ERROR FINAL'!G595</f>
        <v/>
      </c>
      <c r="D592" s="85">
        <f>'ERROR FINAL'!I595</f>
        <v/>
      </c>
      <c r="E592" s="345">
        <f>'ERROR FINAL'!U595</f>
        <v/>
      </c>
      <c r="F592" s="346">
        <f>'ERROR FINAL'!AG595</f>
        <v/>
      </c>
      <c r="G592" s="346">
        <f>'ERROR FINAL'!AS595</f>
        <v/>
      </c>
      <c r="H592" s="88">
        <f>IF('ERROR FINAL'!AT595="CONFORME","CONFORME","NO CONFORME")</f>
        <v/>
      </c>
      <c r="I592" s="89">
        <f>IF(D592=0,"Medición",IF(D592=1,"Daño físico",IF(D592=2,"Fuga",IF(D592=3,"Picado",IF(D592=4,"Desfasado",IF(D592=5,"Paralizado","¿?"))))))</f>
        <v/>
      </c>
    </row>
    <row r="593">
      <c r="A593" s="82">
        <f>'ERROR FINAL'!A596</f>
        <v/>
      </c>
      <c r="B593" s="83">
        <f>'ERROR FINAL'!D596</f>
        <v/>
      </c>
      <c r="C593" s="344">
        <f>'ERROR FINAL'!G596</f>
        <v/>
      </c>
      <c r="D593" s="85">
        <f>'ERROR FINAL'!I596</f>
        <v/>
      </c>
      <c r="E593" s="345">
        <f>'ERROR FINAL'!U596</f>
        <v/>
      </c>
      <c r="F593" s="346">
        <f>'ERROR FINAL'!AG596</f>
        <v/>
      </c>
      <c r="G593" s="346">
        <f>'ERROR FINAL'!AS596</f>
        <v/>
      </c>
      <c r="H593" s="88">
        <f>IF('ERROR FINAL'!AT596="CONFORME","CONFORME","NO CONFORME")</f>
        <v/>
      </c>
      <c r="I593" s="89">
        <f>IF(D593=0,"Medición",IF(D593=1,"Daño físico",IF(D593=2,"Fuga",IF(D593=3,"Picado",IF(D593=4,"Desfasado",IF(D593=5,"Paralizado","¿?"))))))</f>
        <v/>
      </c>
    </row>
    <row r="594">
      <c r="A594" s="82">
        <f>'ERROR FINAL'!A597</f>
        <v/>
      </c>
      <c r="B594" s="83">
        <f>'ERROR FINAL'!D597</f>
        <v/>
      </c>
      <c r="C594" s="344">
        <f>'ERROR FINAL'!G597</f>
        <v/>
      </c>
      <c r="D594" s="85">
        <f>'ERROR FINAL'!I597</f>
        <v/>
      </c>
      <c r="E594" s="345">
        <f>'ERROR FINAL'!U597</f>
        <v/>
      </c>
      <c r="F594" s="346">
        <f>'ERROR FINAL'!AG597</f>
        <v/>
      </c>
      <c r="G594" s="346">
        <f>'ERROR FINAL'!AS597</f>
        <v/>
      </c>
      <c r="H594" s="88">
        <f>IF('ERROR FINAL'!AT597="CONFORME","CONFORME","NO CONFORME")</f>
        <v/>
      </c>
      <c r="I594" s="89">
        <f>IF(D594=0,"Medición",IF(D594=1,"Daño físico",IF(D594=2,"Fuga",IF(D594=3,"Picado",IF(D594=4,"Desfasado",IF(D594=5,"Paralizado","¿?"))))))</f>
        <v/>
      </c>
    </row>
    <row r="595">
      <c r="A595" s="82">
        <f>'ERROR FINAL'!A598</f>
        <v/>
      </c>
      <c r="B595" s="83">
        <f>'ERROR FINAL'!D598</f>
        <v/>
      </c>
      <c r="C595" s="344">
        <f>'ERROR FINAL'!G598</f>
        <v/>
      </c>
      <c r="D595" s="85">
        <f>'ERROR FINAL'!I598</f>
        <v/>
      </c>
      <c r="E595" s="345">
        <f>'ERROR FINAL'!U598</f>
        <v/>
      </c>
      <c r="F595" s="346">
        <f>'ERROR FINAL'!AG598</f>
        <v/>
      </c>
      <c r="G595" s="346">
        <f>'ERROR FINAL'!AS598</f>
        <v/>
      </c>
      <c r="H595" s="88">
        <f>IF('ERROR FINAL'!AT598="CONFORME","CONFORME","NO CONFORME")</f>
        <v/>
      </c>
      <c r="I595" s="89">
        <f>IF(D595=0,"Medición",IF(D595=1,"Daño físico",IF(D595=2,"Fuga",IF(D595=3,"Picado",IF(D595=4,"Desfasado",IF(D595=5,"Paralizado","¿?"))))))</f>
        <v/>
      </c>
    </row>
    <row r="596">
      <c r="A596" s="82">
        <f>'ERROR FINAL'!A599</f>
        <v/>
      </c>
      <c r="B596" s="83">
        <f>'ERROR FINAL'!D599</f>
        <v/>
      </c>
      <c r="C596" s="344">
        <f>'ERROR FINAL'!G599</f>
        <v/>
      </c>
      <c r="D596" s="85">
        <f>'ERROR FINAL'!I599</f>
        <v/>
      </c>
      <c r="E596" s="345">
        <f>'ERROR FINAL'!U599</f>
        <v/>
      </c>
      <c r="F596" s="346">
        <f>'ERROR FINAL'!AG599</f>
        <v/>
      </c>
      <c r="G596" s="346">
        <f>'ERROR FINAL'!AS599</f>
        <v/>
      </c>
      <c r="H596" s="88">
        <f>IF('ERROR FINAL'!AT599="CONFORME","CONFORME","NO CONFORME")</f>
        <v/>
      </c>
      <c r="I596" s="89">
        <f>IF(D596=0,"Medición",IF(D596=1,"Daño físico",IF(D596=2,"Fuga",IF(D596=3,"Picado",IF(D596=4,"Desfasado",IF(D596=5,"Paralizado","¿?"))))))</f>
        <v/>
      </c>
    </row>
    <row r="597">
      <c r="A597" s="82">
        <f>'ERROR FINAL'!A600</f>
        <v/>
      </c>
      <c r="B597" s="83">
        <f>'ERROR FINAL'!D600</f>
        <v/>
      </c>
      <c r="C597" s="344">
        <f>'ERROR FINAL'!G600</f>
        <v/>
      </c>
      <c r="D597" s="85">
        <f>'ERROR FINAL'!I600</f>
        <v/>
      </c>
      <c r="E597" s="345">
        <f>'ERROR FINAL'!U600</f>
        <v/>
      </c>
      <c r="F597" s="346">
        <f>'ERROR FINAL'!AG600</f>
        <v/>
      </c>
      <c r="G597" s="346">
        <f>'ERROR FINAL'!AS600</f>
        <v/>
      </c>
      <c r="H597" s="88">
        <f>IF('ERROR FINAL'!AT600="CONFORME","CONFORME","NO CONFORME")</f>
        <v/>
      </c>
      <c r="I597" s="89">
        <f>IF(D597=0,"Medición",IF(D597=1,"Daño físico",IF(D597=2,"Fuga",IF(D597=3,"Picado",IF(D597=4,"Desfasado",IF(D597=5,"Paralizado","¿?"))))))</f>
        <v/>
      </c>
    </row>
    <row r="598">
      <c r="A598" s="82">
        <f>'ERROR FINAL'!A601</f>
        <v/>
      </c>
      <c r="B598" s="83">
        <f>'ERROR FINAL'!D601</f>
        <v/>
      </c>
      <c r="C598" s="344">
        <f>'ERROR FINAL'!G601</f>
        <v/>
      </c>
      <c r="D598" s="85">
        <f>'ERROR FINAL'!I601</f>
        <v/>
      </c>
      <c r="E598" s="345">
        <f>'ERROR FINAL'!U601</f>
        <v/>
      </c>
      <c r="F598" s="346">
        <f>'ERROR FINAL'!AG601</f>
        <v/>
      </c>
      <c r="G598" s="346">
        <f>'ERROR FINAL'!AS601</f>
        <v/>
      </c>
      <c r="H598" s="88">
        <f>IF('ERROR FINAL'!AT601="CONFORME","CONFORME","NO CONFORME")</f>
        <v/>
      </c>
      <c r="I598" s="89">
        <f>IF(D598=0,"Medición",IF(D598=1,"Daño físico",IF(D598=2,"Fuga",IF(D598=3,"Picado",IF(D598=4,"Desfasado",IF(D598=5,"Paralizado","¿?"))))))</f>
        <v/>
      </c>
    </row>
    <row r="599">
      <c r="A599" s="82">
        <f>'ERROR FINAL'!A602</f>
        <v/>
      </c>
      <c r="B599" s="83">
        <f>'ERROR FINAL'!D602</f>
        <v/>
      </c>
      <c r="C599" s="344">
        <f>'ERROR FINAL'!G602</f>
        <v/>
      </c>
      <c r="D599" s="85">
        <f>'ERROR FINAL'!I602</f>
        <v/>
      </c>
      <c r="E599" s="345">
        <f>'ERROR FINAL'!U602</f>
        <v/>
      </c>
      <c r="F599" s="346">
        <f>'ERROR FINAL'!AG602</f>
        <v/>
      </c>
      <c r="G599" s="346">
        <f>'ERROR FINAL'!AS602</f>
        <v/>
      </c>
      <c r="H599" s="88">
        <f>IF('ERROR FINAL'!AT602="CONFORME","CONFORME","NO CONFORME")</f>
        <v/>
      </c>
      <c r="I599" s="89">
        <f>IF(D599=0,"Medición",IF(D599=1,"Daño físico",IF(D599=2,"Fuga",IF(D599=3,"Picado",IF(D599=4,"Desfasado",IF(D599=5,"Paralizado","¿?"))))))</f>
        <v/>
      </c>
    </row>
    <row r="600">
      <c r="A600" s="82">
        <f>'ERROR FINAL'!A603</f>
        <v/>
      </c>
      <c r="B600" s="83">
        <f>'ERROR FINAL'!D603</f>
        <v/>
      </c>
      <c r="C600" s="344">
        <f>'ERROR FINAL'!G603</f>
        <v/>
      </c>
      <c r="D600" s="85">
        <f>'ERROR FINAL'!I603</f>
        <v/>
      </c>
      <c r="E600" s="345">
        <f>'ERROR FINAL'!U603</f>
        <v/>
      </c>
      <c r="F600" s="346">
        <f>'ERROR FINAL'!AG603</f>
        <v/>
      </c>
      <c r="G600" s="346">
        <f>'ERROR FINAL'!AS603</f>
        <v/>
      </c>
      <c r="H600" s="88">
        <f>IF('ERROR FINAL'!AT603="CONFORME","CONFORME","NO CONFORME")</f>
        <v/>
      </c>
      <c r="I600" s="89">
        <f>IF(D600=0,"Medición",IF(D600=1,"Daño físico",IF(D600=2,"Fuga",IF(D600=3,"Picado",IF(D600=4,"Desfasado",IF(D600=5,"Paralizado","¿?"))))))</f>
        <v/>
      </c>
    </row>
    <row r="601">
      <c r="A601" s="82">
        <f>'ERROR FINAL'!A604</f>
        <v/>
      </c>
      <c r="B601" s="83">
        <f>'ERROR FINAL'!D604</f>
        <v/>
      </c>
      <c r="C601" s="344">
        <f>'ERROR FINAL'!G604</f>
        <v/>
      </c>
      <c r="D601" s="85">
        <f>'ERROR FINAL'!I604</f>
        <v/>
      </c>
      <c r="E601" s="345">
        <f>'ERROR FINAL'!U604</f>
        <v/>
      </c>
      <c r="F601" s="346">
        <f>'ERROR FINAL'!AG604</f>
        <v/>
      </c>
      <c r="G601" s="346">
        <f>'ERROR FINAL'!AS604</f>
        <v/>
      </c>
      <c r="H601" s="88">
        <f>IF('ERROR FINAL'!AT604="CONFORME","CONFORME","NO CONFORME")</f>
        <v/>
      </c>
      <c r="I601" s="89">
        <f>IF(D601=0,"Medición",IF(D601=1,"Daño físico",IF(D601=2,"Fuga",IF(D601=3,"Picado",IF(D601=4,"Desfasado",IF(D601=5,"Paralizado","¿?"))))))</f>
        <v/>
      </c>
    </row>
    <row r="602">
      <c r="A602" s="82">
        <f>'ERROR FINAL'!A605</f>
        <v/>
      </c>
      <c r="B602" s="83">
        <f>'ERROR FINAL'!D605</f>
        <v/>
      </c>
      <c r="C602" s="344">
        <f>'ERROR FINAL'!G605</f>
        <v/>
      </c>
      <c r="D602" s="85">
        <f>'ERROR FINAL'!I605</f>
        <v/>
      </c>
      <c r="E602" s="345">
        <f>'ERROR FINAL'!U605</f>
        <v/>
      </c>
      <c r="F602" s="346">
        <f>'ERROR FINAL'!AG605</f>
        <v/>
      </c>
      <c r="G602" s="346">
        <f>'ERROR FINAL'!AS605</f>
        <v/>
      </c>
      <c r="H602" s="88">
        <f>IF('ERROR FINAL'!AT605="CONFORME","CONFORME","NO CONFORME")</f>
        <v/>
      </c>
      <c r="I602" s="89">
        <f>IF(D602=0,"Medición",IF(D602=1,"Daño físico",IF(D602=2,"Fuga",IF(D602=3,"Picado",IF(D602=4,"Desfasado",IF(D602=5,"Paralizado","¿?"))))))</f>
        <v/>
      </c>
    </row>
    <row r="603">
      <c r="A603" s="82">
        <f>'ERROR FINAL'!A606</f>
        <v/>
      </c>
      <c r="B603" s="83">
        <f>'ERROR FINAL'!D606</f>
        <v/>
      </c>
      <c r="C603" s="344">
        <f>'ERROR FINAL'!G606</f>
        <v/>
      </c>
      <c r="D603" s="85">
        <f>'ERROR FINAL'!I606</f>
        <v/>
      </c>
      <c r="E603" s="345">
        <f>'ERROR FINAL'!U606</f>
        <v/>
      </c>
      <c r="F603" s="346">
        <f>'ERROR FINAL'!AG606</f>
        <v/>
      </c>
      <c r="G603" s="346">
        <f>'ERROR FINAL'!AS606</f>
        <v/>
      </c>
      <c r="H603" s="88">
        <f>IF('ERROR FINAL'!AT606="CONFORME","CONFORME","NO CONFORME")</f>
        <v/>
      </c>
      <c r="I603" s="89">
        <f>IF(D603=0,"Medición",IF(D603=1,"Daño físico",IF(D603=2,"Fuga",IF(D603=3,"Picado",IF(D603=4,"Desfasado",IF(D603=5,"Paralizado","¿?"))))))</f>
        <v/>
      </c>
    </row>
    <row r="604">
      <c r="A604" s="82">
        <f>'ERROR FINAL'!A607</f>
        <v/>
      </c>
      <c r="B604" s="83">
        <f>'ERROR FINAL'!D607</f>
        <v/>
      </c>
      <c r="C604" s="344">
        <f>'ERROR FINAL'!G607</f>
        <v/>
      </c>
      <c r="D604" s="85">
        <f>'ERROR FINAL'!I607</f>
        <v/>
      </c>
      <c r="E604" s="345">
        <f>'ERROR FINAL'!U607</f>
        <v/>
      </c>
      <c r="F604" s="346">
        <f>'ERROR FINAL'!AG607</f>
        <v/>
      </c>
      <c r="G604" s="346">
        <f>'ERROR FINAL'!AS607</f>
        <v/>
      </c>
      <c r="H604" s="88">
        <f>IF('ERROR FINAL'!AT607="CONFORME","CONFORME","NO CONFORME")</f>
        <v/>
      </c>
      <c r="I604" s="89">
        <f>IF(D604=0,"Medición",IF(D604=1,"Daño físico",IF(D604=2,"Fuga",IF(D604=3,"Picado",IF(D604=4,"Desfasado",IF(D604=5,"Paralizado","¿?"))))))</f>
        <v/>
      </c>
    </row>
    <row r="605">
      <c r="A605" s="82">
        <f>'ERROR FINAL'!A608</f>
        <v/>
      </c>
      <c r="B605" s="83">
        <f>'ERROR FINAL'!D608</f>
        <v/>
      </c>
      <c r="C605" s="344">
        <f>'ERROR FINAL'!G608</f>
        <v/>
      </c>
      <c r="D605" s="85">
        <f>'ERROR FINAL'!I608</f>
        <v/>
      </c>
      <c r="E605" s="345">
        <f>'ERROR FINAL'!U608</f>
        <v/>
      </c>
      <c r="F605" s="346">
        <f>'ERROR FINAL'!AG608</f>
        <v/>
      </c>
      <c r="G605" s="346">
        <f>'ERROR FINAL'!AS608</f>
        <v/>
      </c>
      <c r="H605" s="88">
        <f>IF('ERROR FINAL'!AT608="CONFORME","CONFORME","NO CONFORME")</f>
        <v/>
      </c>
      <c r="I605" s="89">
        <f>IF(D605=0,"Medición",IF(D605=1,"Daño físico",IF(D605=2,"Fuga",IF(D605=3,"Picado",IF(D605=4,"Desfasado",IF(D605=5,"Paralizado","¿?"))))))</f>
        <v/>
      </c>
    </row>
    <row r="606">
      <c r="A606" s="82">
        <f>'ERROR FINAL'!A609</f>
        <v/>
      </c>
      <c r="B606" s="83">
        <f>'ERROR FINAL'!D609</f>
        <v/>
      </c>
      <c r="C606" s="344">
        <f>'ERROR FINAL'!G609</f>
        <v/>
      </c>
      <c r="D606" s="85">
        <f>'ERROR FINAL'!I609</f>
        <v/>
      </c>
      <c r="E606" s="345">
        <f>'ERROR FINAL'!U609</f>
        <v/>
      </c>
      <c r="F606" s="346">
        <f>'ERROR FINAL'!AG609</f>
        <v/>
      </c>
      <c r="G606" s="346">
        <f>'ERROR FINAL'!AS609</f>
        <v/>
      </c>
      <c r="H606" s="88">
        <f>IF('ERROR FINAL'!AT609="CONFORME","CONFORME","NO CONFORME")</f>
        <v/>
      </c>
      <c r="I606" s="89">
        <f>IF(D606=0,"Medición",IF(D606=1,"Daño físico",IF(D606=2,"Fuga",IF(D606=3,"Picado",IF(D606=4,"Desfasado",IF(D606=5,"Paralizado","¿?"))))))</f>
        <v/>
      </c>
    </row>
    <row r="607">
      <c r="A607" s="82">
        <f>'ERROR FINAL'!A610</f>
        <v/>
      </c>
      <c r="B607" s="83">
        <f>'ERROR FINAL'!D610</f>
        <v/>
      </c>
      <c r="C607" s="344">
        <f>'ERROR FINAL'!G610</f>
        <v/>
      </c>
      <c r="D607" s="85">
        <f>'ERROR FINAL'!I610</f>
        <v/>
      </c>
      <c r="E607" s="345">
        <f>'ERROR FINAL'!U610</f>
        <v/>
      </c>
      <c r="F607" s="346">
        <f>'ERROR FINAL'!AG610</f>
        <v/>
      </c>
      <c r="G607" s="346">
        <f>'ERROR FINAL'!AS610</f>
        <v/>
      </c>
      <c r="H607" s="88">
        <f>IF('ERROR FINAL'!AT610="CONFORME","CONFORME","NO CONFORME")</f>
        <v/>
      </c>
      <c r="I607" s="89">
        <f>IF(D607=0,"Medición",IF(D607=1,"Daño físico",IF(D607=2,"Fuga",IF(D607=3,"Picado",IF(D607=4,"Desfasado",IF(D607=5,"Paralizado","¿?"))))))</f>
        <v/>
      </c>
    </row>
    <row r="608">
      <c r="A608" s="82">
        <f>'ERROR FINAL'!A611</f>
        <v/>
      </c>
      <c r="B608" s="83">
        <f>'ERROR FINAL'!D611</f>
        <v/>
      </c>
      <c r="C608" s="344">
        <f>'ERROR FINAL'!G611</f>
        <v/>
      </c>
      <c r="D608" s="85">
        <f>'ERROR FINAL'!I611</f>
        <v/>
      </c>
      <c r="E608" s="345">
        <f>'ERROR FINAL'!U611</f>
        <v/>
      </c>
      <c r="F608" s="346">
        <f>'ERROR FINAL'!AG611</f>
        <v/>
      </c>
      <c r="G608" s="346">
        <f>'ERROR FINAL'!AS611</f>
        <v/>
      </c>
      <c r="H608" s="88">
        <f>IF('ERROR FINAL'!AT611="CONFORME","CONFORME","NO CONFORME")</f>
        <v/>
      </c>
      <c r="I608" s="89">
        <f>IF(D608=0,"Medición",IF(D608=1,"Daño físico",IF(D608=2,"Fuga",IF(D608=3,"Picado",IF(D608=4,"Desfasado",IF(D608=5,"Paralizado","¿?"))))))</f>
        <v/>
      </c>
    </row>
    <row r="609">
      <c r="A609" s="82">
        <f>'ERROR FINAL'!A612</f>
        <v/>
      </c>
      <c r="B609" s="83">
        <f>'ERROR FINAL'!D612</f>
        <v/>
      </c>
      <c r="C609" s="344">
        <f>'ERROR FINAL'!G612</f>
        <v/>
      </c>
      <c r="D609" s="85">
        <f>'ERROR FINAL'!I612</f>
        <v/>
      </c>
      <c r="E609" s="345">
        <f>'ERROR FINAL'!U612</f>
        <v/>
      </c>
      <c r="F609" s="346">
        <f>'ERROR FINAL'!AG612</f>
        <v/>
      </c>
      <c r="G609" s="346">
        <f>'ERROR FINAL'!AS612</f>
        <v/>
      </c>
      <c r="H609" s="88">
        <f>IF('ERROR FINAL'!AT612="CONFORME","CONFORME","NO CONFORME")</f>
        <v/>
      </c>
      <c r="I609" s="89">
        <f>IF(D609=0,"Medición",IF(D609=1,"Daño físico",IF(D609=2,"Fuga",IF(D609=3,"Picado",IF(D609=4,"Desfasado",IF(D609=5,"Paralizado","¿?"))))))</f>
        <v/>
      </c>
    </row>
    <row r="610">
      <c r="A610" s="82">
        <f>'ERROR FINAL'!A613</f>
        <v/>
      </c>
      <c r="B610" s="83">
        <f>'ERROR FINAL'!D613</f>
        <v/>
      </c>
      <c r="C610" s="344">
        <f>'ERROR FINAL'!G613</f>
        <v/>
      </c>
      <c r="D610" s="85">
        <f>'ERROR FINAL'!I613</f>
        <v/>
      </c>
      <c r="E610" s="345">
        <f>'ERROR FINAL'!U613</f>
        <v/>
      </c>
      <c r="F610" s="346">
        <f>'ERROR FINAL'!AG613</f>
        <v/>
      </c>
      <c r="G610" s="346">
        <f>'ERROR FINAL'!AS613</f>
        <v/>
      </c>
      <c r="H610" s="88">
        <f>IF('ERROR FINAL'!AT613="CONFORME","CONFORME","NO CONFORME")</f>
        <v/>
      </c>
      <c r="I610" s="89">
        <f>IF(D610=0,"Medición",IF(D610=1,"Daño físico",IF(D610=2,"Fuga",IF(D610=3,"Picado",IF(D610=4,"Desfasado",IF(D610=5,"Paralizado","¿?"))))))</f>
        <v/>
      </c>
    </row>
    <row r="611">
      <c r="A611" s="82">
        <f>'ERROR FINAL'!A614</f>
        <v/>
      </c>
      <c r="B611" s="83">
        <f>'ERROR FINAL'!D614</f>
        <v/>
      </c>
      <c r="C611" s="344">
        <f>'ERROR FINAL'!G614</f>
        <v/>
      </c>
      <c r="D611" s="85">
        <f>'ERROR FINAL'!I614</f>
        <v/>
      </c>
      <c r="E611" s="345">
        <f>'ERROR FINAL'!U614</f>
        <v/>
      </c>
      <c r="F611" s="346">
        <f>'ERROR FINAL'!AG614</f>
        <v/>
      </c>
      <c r="G611" s="346">
        <f>'ERROR FINAL'!AS614</f>
        <v/>
      </c>
      <c r="H611" s="88">
        <f>IF('ERROR FINAL'!AT614="CONFORME","CONFORME","NO CONFORME")</f>
        <v/>
      </c>
      <c r="I611" s="89">
        <f>IF(D611=0,"Medición",IF(D611=1,"Daño físico",IF(D611=2,"Fuga",IF(D611=3,"Picado",IF(D611=4,"Desfasado",IF(D611=5,"Paralizado","¿?"))))))</f>
        <v/>
      </c>
    </row>
    <row r="612">
      <c r="A612" s="82">
        <f>'ERROR FINAL'!A615</f>
        <v/>
      </c>
      <c r="B612" s="83">
        <f>'ERROR FINAL'!D615</f>
        <v/>
      </c>
      <c r="C612" s="344">
        <f>'ERROR FINAL'!G615</f>
        <v/>
      </c>
      <c r="D612" s="85">
        <f>'ERROR FINAL'!I615</f>
        <v/>
      </c>
      <c r="E612" s="345">
        <f>'ERROR FINAL'!U615</f>
        <v/>
      </c>
      <c r="F612" s="346">
        <f>'ERROR FINAL'!AG615</f>
        <v/>
      </c>
      <c r="G612" s="346">
        <f>'ERROR FINAL'!AS615</f>
        <v/>
      </c>
      <c r="H612" s="88">
        <f>IF('ERROR FINAL'!AT615="CONFORME","CONFORME","NO CONFORME")</f>
        <v/>
      </c>
      <c r="I612" s="89">
        <f>IF(D612=0,"Medición",IF(D612=1,"Daño físico",IF(D612=2,"Fuga",IF(D612=3,"Picado",IF(D612=4,"Desfasado",IF(D612=5,"Paralizado","¿?"))))))</f>
        <v/>
      </c>
    </row>
    <row r="613">
      <c r="A613" s="82">
        <f>'ERROR FINAL'!A616</f>
        <v/>
      </c>
      <c r="B613" s="83">
        <f>'ERROR FINAL'!D616</f>
        <v/>
      </c>
      <c r="C613" s="344">
        <f>'ERROR FINAL'!G616</f>
        <v/>
      </c>
      <c r="D613" s="85">
        <f>'ERROR FINAL'!I616</f>
        <v/>
      </c>
      <c r="E613" s="345">
        <f>'ERROR FINAL'!U616</f>
        <v/>
      </c>
      <c r="F613" s="346">
        <f>'ERROR FINAL'!AG616</f>
        <v/>
      </c>
      <c r="G613" s="346">
        <f>'ERROR FINAL'!AS616</f>
        <v/>
      </c>
      <c r="H613" s="88">
        <f>IF('ERROR FINAL'!AT616="CONFORME","CONFORME","NO CONFORME")</f>
        <v/>
      </c>
      <c r="I613" s="89">
        <f>IF(D613=0,"Medición",IF(D613=1,"Daño físico",IF(D613=2,"Fuga",IF(D613=3,"Picado",IF(D613=4,"Desfasado",IF(D613=5,"Paralizado","¿?"))))))</f>
        <v/>
      </c>
    </row>
    <row r="614">
      <c r="A614" s="82">
        <f>'ERROR FINAL'!A617</f>
        <v/>
      </c>
      <c r="B614" s="83">
        <f>'ERROR FINAL'!D617</f>
        <v/>
      </c>
      <c r="C614" s="344">
        <f>'ERROR FINAL'!G617</f>
        <v/>
      </c>
      <c r="D614" s="85">
        <f>'ERROR FINAL'!I617</f>
        <v/>
      </c>
      <c r="E614" s="345">
        <f>'ERROR FINAL'!U617</f>
        <v/>
      </c>
      <c r="F614" s="346">
        <f>'ERROR FINAL'!AG617</f>
        <v/>
      </c>
      <c r="G614" s="346">
        <f>'ERROR FINAL'!AS617</f>
        <v/>
      </c>
      <c r="H614" s="88">
        <f>IF('ERROR FINAL'!AT617="CONFORME","CONFORME","NO CONFORME")</f>
        <v/>
      </c>
      <c r="I614" s="89">
        <f>IF(D614=0,"Medición",IF(D614=1,"Daño físico",IF(D614=2,"Fuga",IF(D614=3,"Picado",IF(D614=4,"Desfasado",IF(D614=5,"Paralizado","¿?"))))))</f>
        <v/>
      </c>
    </row>
    <row r="615">
      <c r="A615" s="82">
        <f>'ERROR FINAL'!A618</f>
        <v/>
      </c>
      <c r="B615" s="83">
        <f>'ERROR FINAL'!D618</f>
        <v/>
      </c>
      <c r="C615" s="344">
        <f>'ERROR FINAL'!G618</f>
        <v/>
      </c>
      <c r="D615" s="85">
        <f>'ERROR FINAL'!I618</f>
        <v/>
      </c>
      <c r="E615" s="345">
        <f>'ERROR FINAL'!U618</f>
        <v/>
      </c>
      <c r="F615" s="346">
        <f>'ERROR FINAL'!AG618</f>
        <v/>
      </c>
      <c r="G615" s="346">
        <f>'ERROR FINAL'!AS618</f>
        <v/>
      </c>
      <c r="H615" s="88">
        <f>IF('ERROR FINAL'!AT618="CONFORME","CONFORME","NO CONFORME")</f>
        <v/>
      </c>
      <c r="I615" s="89">
        <f>IF(D615=0,"Medición",IF(D615=1,"Daño físico",IF(D615=2,"Fuga",IF(D615=3,"Picado",IF(D615=4,"Desfasado",IF(D615=5,"Paralizado","¿?"))))))</f>
        <v/>
      </c>
    </row>
    <row r="616">
      <c r="A616" s="82">
        <f>'ERROR FINAL'!A619</f>
        <v/>
      </c>
      <c r="B616" s="83">
        <f>'ERROR FINAL'!D619</f>
        <v/>
      </c>
      <c r="C616" s="344">
        <f>'ERROR FINAL'!G619</f>
        <v/>
      </c>
      <c r="D616" s="85">
        <f>'ERROR FINAL'!I619</f>
        <v/>
      </c>
      <c r="E616" s="345">
        <f>'ERROR FINAL'!U619</f>
        <v/>
      </c>
      <c r="F616" s="346">
        <f>'ERROR FINAL'!AG619</f>
        <v/>
      </c>
      <c r="G616" s="346">
        <f>'ERROR FINAL'!AS619</f>
        <v/>
      </c>
      <c r="H616" s="88">
        <f>IF('ERROR FINAL'!AT619="CONFORME","CONFORME","NO CONFORME")</f>
        <v/>
      </c>
      <c r="I616" s="89">
        <f>IF(D616=0,"Medición",IF(D616=1,"Daño físico",IF(D616=2,"Fuga",IF(D616=3,"Picado",IF(D616=4,"Desfasado",IF(D616=5,"Paralizado","¿?"))))))</f>
        <v/>
      </c>
    </row>
    <row r="617">
      <c r="A617" s="82">
        <f>'ERROR FINAL'!A620</f>
        <v/>
      </c>
      <c r="B617" s="83">
        <f>'ERROR FINAL'!D620</f>
        <v/>
      </c>
      <c r="C617" s="344">
        <f>'ERROR FINAL'!G620</f>
        <v/>
      </c>
      <c r="D617" s="85">
        <f>'ERROR FINAL'!I620</f>
        <v/>
      </c>
      <c r="E617" s="345">
        <f>'ERROR FINAL'!U620</f>
        <v/>
      </c>
      <c r="F617" s="346">
        <f>'ERROR FINAL'!AG620</f>
        <v/>
      </c>
      <c r="G617" s="346">
        <f>'ERROR FINAL'!AS620</f>
        <v/>
      </c>
      <c r="H617" s="88">
        <f>IF('ERROR FINAL'!AT620="CONFORME","CONFORME","NO CONFORME")</f>
        <v/>
      </c>
      <c r="I617" s="89">
        <f>IF(D617=0,"Medición",IF(D617=1,"Daño físico",IF(D617=2,"Fuga",IF(D617=3,"Picado",IF(D617=4,"Desfasado",IF(D617=5,"Paralizado","¿?"))))))</f>
        <v/>
      </c>
    </row>
    <row r="618">
      <c r="A618" s="82">
        <f>'ERROR FINAL'!A621</f>
        <v/>
      </c>
      <c r="B618" s="83">
        <f>'ERROR FINAL'!D621</f>
        <v/>
      </c>
      <c r="C618" s="344">
        <f>'ERROR FINAL'!G621</f>
        <v/>
      </c>
      <c r="D618" s="85">
        <f>'ERROR FINAL'!I621</f>
        <v/>
      </c>
      <c r="E618" s="345">
        <f>'ERROR FINAL'!U621</f>
        <v/>
      </c>
      <c r="F618" s="346">
        <f>'ERROR FINAL'!AG621</f>
        <v/>
      </c>
      <c r="G618" s="346">
        <f>'ERROR FINAL'!AS621</f>
        <v/>
      </c>
      <c r="H618" s="88">
        <f>IF('ERROR FINAL'!AT621="CONFORME","CONFORME","NO CONFORME")</f>
        <v/>
      </c>
      <c r="I618" s="89">
        <f>IF(D618=0,"Medición",IF(D618=1,"Daño físico",IF(D618=2,"Fuga",IF(D618=3,"Picado",IF(D618=4,"Desfasado",IF(D618=5,"Paralizado","¿?"))))))</f>
        <v/>
      </c>
    </row>
    <row r="619">
      <c r="A619" s="82">
        <f>'ERROR FINAL'!A622</f>
        <v/>
      </c>
      <c r="B619" s="83">
        <f>'ERROR FINAL'!D622</f>
        <v/>
      </c>
      <c r="C619" s="344">
        <f>'ERROR FINAL'!G622</f>
        <v/>
      </c>
      <c r="D619" s="85">
        <f>'ERROR FINAL'!I622</f>
        <v/>
      </c>
      <c r="E619" s="345">
        <f>'ERROR FINAL'!U622</f>
        <v/>
      </c>
      <c r="F619" s="346">
        <f>'ERROR FINAL'!AG622</f>
        <v/>
      </c>
      <c r="G619" s="346">
        <f>'ERROR FINAL'!AS622</f>
        <v/>
      </c>
      <c r="H619" s="88">
        <f>IF('ERROR FINAL'!AT622="CONFORME","CONFORME","NO CONFORME")</f>
        <v/>
      </c>
      <c r="I619" s="89">
        <f>IF(D619=0,"Medición",IF(D619=1,"Daño físico",IF(D619=2,"Fuga",IF(D619=3,"Picado",IF(D619=4,"Desfasado",IF(D619=5,"Paralizado","¿?"))))))</f>
        <v/>
      </c>
    </row>
    <row r="620">
      <c r="A620" s="82">
        <f>'ERROR FINAL'!A623</f>
        <v/>
      </c>
      <c r="B620" s="83">
        <f>'ERROR FINAL'!D623</f>
        <v/>
      </c>
      <c r="C620" s="344">
        <f>'ERROR FINAL'!G623</f>
        <v/>
      </c>
      <c r="D620" s="85">
        <f>'ERROR FINAL'!I623</f>
        <v/>
      </c>
      <c r="E620" s="345">
        <f>'ERROR FINAL'!U623</f>
        <v/>
      </c>
      <c r="F620" s="346">
        <f>'ERROR FINAL'!AG623</f>
        <v/>
      </c>
      <c r="G620" s="346">
        <f>'ERROR FINAL'!AS623</f>
        <v/>
      </c>
      <c r="H620" s="88">
        <f>IF('ERROR FINAL'!AT623="CONFORME","CONFORME","NO CONFORME")</f>
        <v/>
      </c>
      <c r="I620" s="89">
        <f>IF(D620=0,"Medición",IF(D620=1,"Daño físico",IF(D620=2,"Fuga",IF(D620=3,"Picado",IF(D620=4,"Desfasado",IF(D620=5,"Paralizado","¿?"))))))</f>
        <v/>
      </c>
    </row>
    <row r="621">
      <c r="A621" s="82">
        <f>'ERROR FINAL'!A624</f>
        <v/>
      </c>
      <c r="B621" s="83">
        <f>'ERROR FINAL'!D624</f>
        <v/>
      </c>
      <c r="C621" s="344">
        <f>'ERROR FINAL'!G624</f>
        <v/>
      </c>
      <c r="D621" s="85">
        <f>'ERROR FINAL'!I624</f>
        <v/>
      </c>
      <c r="E621" s="345">
        <f>'ERROR FINAL'!U624</f>
        <v/>
      </c>
      <c r="F621" s="346">
        <f>'ERROR FINAL'!AG624</f>
        <v/>
      </c>
      <c r="G621" s="346">
        <f>'ERROR FINAL'!AS624</f>
        <v/>
      </c>
      <c r="H621" s="88">
        <f>IF('ERROR FINAL'!AT624="CONFORME","CONFORME","NO CONFORME")</f>
        <v/>
      </c>
      <c r="I621" s="89">
        <f>IF(D621=0,"Medición",IF(D621=1,"Daño físico",IF(D621=2,"Fuga",IF(D621=3,"Picado",IF(D621=4,"Desfasado",IF(D621=5,"Paralizado","¿?"))))))</f>
        <v/>
      </c>
    </row>
    <row r="622">
      <c r="A622" s="82">
        <f>'ERROR FINAL'!A625</f>
        <v/>
      </c>
      <c r="B622" s="83">
        <f>'ERROR FINAL'!D625</f>
        <v/>
      </c>
      <c r="C622" s="344">
        <f>'ERROR FINAL'!G625</f>
        <v/>
      </c>
      <c r="D622" s="85">
        <f>'ERROR FINAL'!I625</f>
        <v/>
      </c>
      <c r="E622" s="345">
        <f>'ERROR FINAL'!U625</f>
        <v/>
      </c>
      <c r="F622" s="346">
        <f>'ERROR FINAL'!AG625</f>
        <v/>
      </c>
      <c r="G622" s="346">
        <f>'ERROR FINAL'!AS625</f>
        <v/>
      </c>
      <c r="H622" s="88">
        <f>IF('ERROR FINAL'!AT625="CONFORME","CONFORME","NO CONFORME")</f>
        <v/>
      </c>
      <c r="I622" s="89">
        <f>IF(D622=0,"Medición",IF(D622=1,"Daño físico",IF(D622=2,"Fuga",IF(D622=3,"Picado",IF(D622=4,"Desfasado",IF(D622=5,"Paralizado","¿?"))))))</f>
        <v/>
      </c>
    </row>
    <row r="623">
      <c r="A623" s="82">
        <f>'ERROR FINAL'!A626</f>
        <v/>
      </c>
      <c r="B623" s="83">
        <f>'ERROR FINAL'!D626</f>
        <v/>
      </c>
      <c r="C623" s="344">
        <f>'ERROR FINAL'!G626</f>
        <v/>
      </c>
      <c r="D623" s="85">
        <f>'ERROR FINAL'!I626</f>
        <v/>
      </c>
      <c r="E623" s="345">
        <f>'ERROR FINAL'!U626</f>
        <v/>
      </c>
      <c r="F623" s="346">
        <f>'ERROR FINAL'!AG626</f>
        <v/>
      </c>
      <c r="G623" s="346">
        <f>'ERROR FINAL'!AS626</f>
        <v/>
      </c>
      <c r="H623" s="88">
        <f>IF('ERROR FINAL'!AT626="CONFORME","CONFORME","NO CONFORME")</f>
        <v/>
      </c>
      <c r="I623" s="89">
        <f>IF(D623=0,"Medición",IF(D623=1,"Daño físico",IF(D623=2,"Fuga",IF(D623=3,"Picado",IF(D623=4,"Desfasado",IF(D623=5,"Paralizado","¿?"))))))</f>
        <v/>
      </c>
    </row>
    <row r="624">
      <c r="A624" s="82">
        <f>'ERROR FINAL'!A627</f>
        <v/>
      </c>
      <c r="B624" s="83">
        <f>'ERROR FINAL'!D627</f>
        <v/>
      </c>
      <c r="C624" s="344">
        <f>'ERROR FINAL'!G627</f>
        <v/>
      </c>
      <c r="D624" s="85">
        <f>'ERROR FINAL'!I627</f>
        <v/>
      </c>
      <c r="E624" s="345">
        <f>'ERROR FINAL'!U627</f>
        <v/>
      </c>
      <c r="F624" s="346">
        <f>'ERROR FINAL'!AG627</f>
        <v/>
      </c>
      <c r="G624" s="346">
        <f>'ERROR FINAL'!AS627</f>
        <v/>
      </c>
      <c r="H624" s="88">
        <f>IF('ERROR FINAL'!AT627="CONFORME","CONFORME","NO CONFORME")</f>
        <v/>
      </c>
      <c r="I624" s="89">
        <f>IF(D624=0,"Medición",IF(D624=1,"Daño físico",IF(D624=2,"Fuga",IF(D624=3,"Picado",IF(D624=4,"Desfasado",IF(D624=5,"Paralizado","¿?"))))))</f>
        <v/>
      </c>
    </row>
    <row r="625">
      <c r="A625" s="82">
        <f>'ERROR FINAL'!A628</f>
        <v/>
      </c>
      <c r="B625" s="83">
        <f>'ERROR FINAL'!D628</f>
        <v/>
      </c>
      <c r="C625" s="344">
        <f>'ERROR FINAL'!G628</f>
        <v/>
      </c>
      <c r="D625" s="85">
        <f>'ERROR FINAL'!I628</f>
        <v/>
      </c>
      <c r="E625" s="345">
        <f>'ERROR FINAL'!U628</f>
        <v/>
      </c>
      <c r="F625" s="346">
        <f>'ERROR FINAL'!AG628</f>
        <v/>
      </c>
      <c r="G625" s="346">
        <f>'ERROR FINAL'!AS628</f>
        <v/>
      </c>
      <c r="H625" s="88">
        <f>IF('ERROR FINAL'!AT628="CONFORME","CONFORME","NO CONFORME")</f>
        <v/>
      </c>
      <c r="I625" s="89">
        <f>IF(D625=0,"Medición",IF(D625=1,"Daño físico",IF(D625=2,"Fuga",IF(D625=3,"Picado",IF(D625=4,"Desfasado",IF(D625=5,"Paralizado","¿?"))))))</f>
        <v/>
      </c>
    </row>
    <row r="626">
      <c r="A626" s="82">
        <f>'ERROR FINAL'!A629</f>
        <v/>
      </c>
      <c r="B626" s="83">
        <f>'ERROR FINAL'!D629</f>
        <v/>
      </c>
      <c r="C626" s="344">
        <f>'ERROR FINAL'!G629</f>
        <v/>
      </c>
      <c r="D626" s="85">
        <f>'ERROR FINAL'!I629</f>
        <v/>
      </c>
      <c r="E626" s="345">
        <f>'ERROR FINAL'!U629</f>
        <v/>
      </c>
      <c r="F626" s="346">
        <f>'ERROR FINAL'!AG629</f>
        <v/>
      </c>
      <c r="G626" s="346">
        <f>'ERROR FINAL'!AS629</f>
        <v/>
      </c>
      <c r="H626" s="88">
        <f>IF('ERROR FINAL'!AT629="CONFORME","CONFORME","NO CONFORME")</f>
        <v/>
      </c>
      <c r="I626" s="89">
        <f>IF(D626=0,"Medición",IF(D626=1,"Daño físico",IF(D626=2,"Fuga",IF(D626=3,"Picado",IF(D626=4,"Desfasado",IF(D626=5,"Paralizado","¿?"))))))</f>
        <v/>
      </c>
    </row>
    <row r="627">
      <c r="A627" s="82">
        <f>'ERROR FINAL'!A630</f>
        <v/>
      </c>
      <c r="B627" s="83">
        <f>'ERROR FINAL'!D630</f>
        <v/>
      </c>
      <c r="C627" s="344">
        <f>'ERROR FINAL'!G630</f>
        <v/>
      </c>
      <c r="D627" s="85">
        <f>'ERROR FINAL'!I630</f>
        <v/>
      </c>
      <c r="E627" s="345">
        <f>'ERROR FINAL'!U630</f>
        <v/>
      </c>
      <c r="F627" s="346">
        <f>'ERROR FINAL'!AG630</f>
        <v/>
      </c>
      <c r="G627" s="346">
        <f>'ERROR FINAL'!AS630</f>
        <v/>
      </c>
      <c r="H627" s="88">
        <f>IF('ERROR FINAL'!AT630="CONFORME","CONFORME","NO CONFORME")</f>
        <v/>
      </c>
      <c r="I627" s="89">
        <f>IF(D627=0,"Medición",IF(D627=1,"Daño físico",IF(D627=2,"Fuga",IF(D627=3,"Picado",IF(D627=4,"Desfasado",IF(D627=5,"Paralizado","¿?"))))))</f>
        <v/>
      </c>
    </row>
    <row r="628">
      <c r="A628" s="82">
        <f>'ERROR FINAL'!A631</f>
        <v/>
      </c>
      <c r="B628" s="83">
        <f>'ERROR FINAL'!D631</f>
        <v/>
      </c>
      <c r="C628" s="344">
        <f>'ERROR FINAL'!G631</f>
        <v/>
      </c>
      <c r="D628" s="85">
        <f>'ERROR FINAL'!I631</f>
        <v/>
      </c>
      <c r="E628" s="345">
        <f>'ERROR FINAL'!U631</f>
        <v/>
      </c>
      <c r="F628" s="346">
        <f>'ERROR FINAL'!AG631</f>
        <v/>
      </c>
      <c r="G628" s="346">
        <f>'ERROR FINAL'!AS631</f>
        <v/>
      </c>
      <c r="H628" s="88">
        <f>IF('ERROR FINAL'!AT631="CONFORME","CONFORME","NO CONFORME")</f>
        <v/>
      </c>
      <c r="I628" s="89">
        <f>IF(D628=0,"Medición",IF(D628=1,"Daño físico",IF(D628=2,"Fuga",IF(D628=3,"Picado",IF(D628=4,"Desfasado",IF(D628=5,"Paralizado","¿?"))))))</f>
        <v/>
      </c>
    </row>
    <row r="629">
      <c r="A629" s="82">
        <f>'ERROR FINAL'!A632</f>
        <v/>
      </c>
      <c r="B629" s="83">
        <f>'ERROR FINAL'!D632</f>
        <v/>
      </c>
      <c r="C629" s="344">
        <f>'ERROR FINAL'!G632</f>
        <v/>
      </c>
      <c r="D629" s="85">
        <f>'ERROR FINAL'!I632</f>
        <v/>
      </c>
      <c r="E629" s="345">
        <f>'ERROR FINAL'!U632</f>
        <v/>
      </c>
      <c r="F629" s="346">
        <f>'ERROR FINAL'!AG632</f>
        <v/>
      </c>
      <c r="G629" s="346">
        <f>'ERROR FINAL'!AS632</f>
        <v/>
      </c>
      <c r="H629" s="88">
        <f>IF('ERROR FINAL'!AT632="CONFORME","CONFORME","NO CONFORME")</f>
        <v/>
      </c>
      <c r="I629" s="89">
        <f>IF(D629=0,"Medición",IF(D629=1,"Daño físico",IF(D629=2,"Fuga",IF(D629=3,"Picado",IF(D629=4,"Desfasado",IF(D629=5,"Paralizado","¿?"))))))</f>
        <v/>
      </c>
    </row>
    <row r="630">
      <c r="A630" s="82">
        <f>'ERROR FINAL'!A633</f>
        <v/>
      </c>
      <c r="B630" s="83">
        <f>'ERROR FINAL'!D633</f>
        <v/>
      </c>
      <c r="C630" s="344">
        <f>'ERROR FINAL'!G633</f>
        <v/>
      </c>
      <c r="D630" s="85">
        <f>'ERROR FINAL'!I633</f>
        <v/>
      </c>
      <c r="E630" s="345">
        <f>'ERROR FINAL'!U633</f>
        <v/>
      </c>
      <c r="F630" s="346">
        <f>'ERROR FINAL'!AG633</f>
        <v/>
      </c>
      <c r="G630" s="346">
        <f>'ERROR FINAL'!AS633</f>
        <v/>
      </c>
      <c r="H630" s="88">
        <f>IF('ERROR FINAL'!AT633="CONFORME","CONFORME","NO CONFORME")</f>
        <v/>
      </c>
      <c r="I630" s="89">
        <f>IF(D630=0,"Medición",IF(D630=1,"Daño físico",IF(D630=2,"Fuga",IF(D630=3,"Picado",IF(D630=4,"Desfasado",IF(D630=5,"Paralizado","¿?"))))))</f>
        <v/>
      </c>
    </row>
    <row r="631">
      <c r="A631" s="82">
        <f>'ERROR FINAL'!A634</f>
        <v/>
      </c>
      <c r="B631" s="83">
        <f>'ERROR FINAL'!D634</f>
        <v/>
      </c>
      <c r="C631" s="344">
        <f>'ERROR FINAL'!G634</f>
        <v/>
      </c>
      <c r="D631" s="85">
        <f>'ERROR FINAL'!I634</f>
        <v/>
      </c>
      <c r="E631" s="345">
        <f>'ERROR FINAL'!U634</f>
        <v/>
      </c>
      <c r="F631" s="346">
        <f>'ERROR FINAL'!AG634</f>
        <v/>
      </c>
      <c r="G631" s="346">
        <f>'ERROR FINAL'!AS634</f>
        <v/>
      </c>
      <c r="H631" s="88">
        <f>IF('ERROR FINAL'!AT634="CONFORME","CONFORME","NO CONFORME")</f>
        <v/>
      </c>
      <c r="I631" s="89">
        <f>IF(D631=0,"Medición",IF(D631=1,"Daño físico",IF(D631=2,"Fuga",IF(D631=3,"Picado",IF(D631=4,"Desfasado",IF(D631=5,"Paralizado","¿?"))))))</f>
        <v/>
      </c>
    </row>
    <row r="632">
      <c r="A632" s="82">
        <f>'ERROR FINAL'!A635</f>
        <v/>
      </c>
      <c r="B632" s="83">
        <f>'ERROR FINAL'!D635</f>
        <v/>
      </c>
      <c r="C632" s="344">
        <f>'ERROR FINAL'!G635</f>
        <v/>
      </c>
      <c r="D632" s="85">
        <f>'ERROR FINAL'!I635</f>
        <v/>
      </c>
      <c r="E632" s="345">
        <f>'ERROR FINAL'!U635</f>
        <v/>
      </c>
      <c r="F632" s="346">
        <f>'ERROR FINAL'!AG635</f>
        <v/>
      </c>
      <c r="G632" s="346">
        <f>'ERROR FINAL'!AS635</f>
        <v/>
      </c>
      <c r="H632" s="88">
        <f>IF('ERROR FINAL'!AT635="CONFORME","CONFORME","NO CONFORME")</f>
        <v/>
      </c>
      <c r="I632" s="89">
        <f>IF(D632=0,"Medición",IF(D632=1,"Daño físico",IF(D632=2,"Fuga",IF(D632=3,"Picado",IF(D632=4,"Desfasado",IF(D632=5,"Paralizado","¿?"))))))</f>
        <v/>
      </c>
    </row>
    <row r="633">
      <c r="A633" s="82">
        <f>'ERROR FINAL'!A636</f>
        <v/>
      </c>
      <c r="B633" s="83">
        <f>'ERROR FINAL'!D636</f>
        <v/>
      </c>
      <c r="C633" s="344">
        <f>'ERROR FINAL'!G636</f>
        <v/>
      </c>
      <c r="D633" s="85">
        <f>'ERROR FINAL'!I636</f>
        <v/>
      </c>
      <c r="E633" s="345">
        <f>'ERROR FINAL'!U636</f>
        <v/>
      </c>
      <c r="F633" s="346">
        <f>'ERROR FINAL'!AG636</f>
        <v/>
      </c>
      <c r="G633" s="346">
        <f>'ERROR FINAL'!AS636</f>
        <v/>
      </c>
      <c r="H633" s="88">
        <f>IF('ERROR FINAL'!AT636="CONFORME","CONFORME","NO CONFORME")</f>
        <v/>
      </c>
      <c r="I633" s="89">
        <f>IF(D633=0,"Medición",IF(D633=1,"Daño físico",IF(D633=2,"Fuga",IF(D633=3,"Picado",IF(D633=4,"Desfasado",IF(D633=5,"Paralizado","¿?"))))))</f>
        <v/>
      </c>
    </row>
    <row r="634">
      <c r="A634" s="82">
        <f>'ERROR FINAL'!A637</f>
        <v/>
      </c>
      <c r="B634" s="83">
        <f>'ERROR FINAL'!D637</f>
        <v/>
      </c>
      <c r="C634" s="344">
        <f>'ERROR FINAL'!G637</f>
        <v/>
      </c>
      <c r="D634" s="85">
        <f>'ERROR FINAL'!I637</f>
        <v/>
      </c>
      <c r="E634" s="345">
        <f>'ERROR FINAL'!U637</f>
        <v/>
      </c>
      <c r="F634" s="346">
        <f>'ERROR FINAL'!AG637</f>
        <v/>
      </c>
      <c r="G634" s="346">
        <f>'ERROR FINAL'!AS637</f>
        <v/>
      </c>
      <c r="H634" s="88">
        <f>IF('ERROR FINAL'!AT637="CONFORME","CONFORME","NO CONFORME")</f>
        <v/>
      </c>
      <c r="I634" s="89">
        <f>IF(D634=0,"Medición",IF(D634=1,"Daño físico",IF(D634=2,"Fuga",IF(D634=3,"Picado",IF(D634=4,"Desfasado",IF(D634=5,"Paralizado","¿?"))))))</f>
        <v/>
      </c>
    </row>
    <row r="635">
      <c r="A635" s="82">
        <f>'ERROR FINAL'!A638</f>
        <v/>
      </c>
      <c r="B635" s="83">
        <f>'ERROR FINAL'!D638</f>
        <v/>
      </c>
      <c r="C635" s="344">
        <f>'ERROR FINAL'!G638</f>
        <v/>
      </c>
      <c r="D635" s="85">
        <f>'ERROR FINAL'!I638</f>
        <v/>
      </c>
      <c r="E635" s="345">
        <f>'ERROR FINAL'!U638</f>
        <v/>
      </c>
      <c r="F635" s="346">
        <f>'ERROR FINAL'!AG638</f>
        <v/>
      </c>
      <c r="G635" s="346">
        <f>'ERROR FINAL'!AS638</f>
        <v/>
      </c>
      <c r="H635" s="88">
        <f>IF('ERROR FINAL'!AT638="CONFORME","CONFORME","NO CONFORME")</f>
        <v/>
      </c>
      <c r="I635" s="89">
        <f>IF(D635=0,"Medición",IF(D635=1,"Daño físico",IF(D635=2,"Fuga",IF(D635=3,"Picado",IF(D635=4,"Desfasado",IF(D635=5,"Paralizado","¿?"))))))</f>
        <v/>
      </c>
    </row>
    <row r="636">
      <c r="A636" s="82">
        <f>'ERROR FINAL'!A639</f>
        <v/>
      </c>
      <c r="B636" s="83">
        <f>'ERROR FINAL'!D639</f>
        <v/>
      </c>
      <c r="C636" s="344">
        <f>'ERROR FINAL'!G639</f>
        <v/>
      </c>
      <c r="D636" s="85">
        <f>'ERROR FINAL'!I639</f>
        <v/>
      </c>
      <c r="E636" s="345">
        <f>'ERROR FINAL'!U639</f>
        <v/>
      </c>
      <c r="F636" s="346">
        <f>'ERROR FINAL'!AG639</f>
        <v/>
      </c>
      <c r="G636" s="346">
        <f>'ERROR FINAL'!AS639</f>
        <v/>
      </c>
      <c r="H636" s="88">
        <f>IF('ERROR FINAL'!AT639="CONFORME","CONFORME","NO CONFORME")</f>
        <v/>
      </c>
      <c r="I636" s="89">
        <f>IF(D636=0,"Medición",IF(D636=1,"Daño físico",IF(D636=2,"Fuga",IF(D636=3,"Picado",IF(D636=4,"Desfasado",IF(D636=5,"Paralizado","¿?"))))))</f>
        <v/>
      </c>
    </row>
    <row r="637">
      <c r="A637" s="82">
        <f>'ERROR FINAL'!A640</f>
        <v/>
      </c>
      <c r="B637" s="83">
        <f>'ERROR FINAL'!D640</f>
        <v/>
      </c>
      <c r="C637" s="344">
        <f>'ERROR FINAL'!G640</f>
        <v/>
      </c>
      <c r="D637" s="85">
        <f>'ERROR FINAL'!I640</f>
        <v/>
      </c>
      <c r="E637" s="345">
        <f>'ERROR FINAL'!U640</f>
        <v/>
      </c>
      <c r="F637" s="346">
        <f>'ERROR FINAL'!AG640</f>
        <v/>
      </c>
      <c r="G637" s="346">
        <f>'ERROR FINAL'!AS640</f>
        <v/>
      </c>
      <c r="H637" s="88">
        <f>IF('ERROR FINAL'!AT640="CONFORME","CONFORME","NO CONFORME")</f>
        <v/>
      </c>
      <c r="I637" s="89">
        <f>IF(D637=0,"Medición",IF(D637=1,"Daño físico",IF(D637=2,"Fuga",IF(D637=3,"Picado",IF(D637=4,"Desfasado",IF(D637=5,"Paralizado","¿?"))))))</f>
        <v/>
      </c>
    </row>
    <row r="638">
      <c r="A638" s="82">
        <f>'ERROR FINAL'!A641</f>
        <v/>
      </c>
      <c r="B638" s="83">
        <f>'ERROR FINAL'!D641</f>
        <v/>
      </c>
      <c r="C638" s="344">
        <f>'ERROR FINAL'!G641</f>
        <v/>
      </c>
      <c r="D638" s="85">
        <f>'ERROR FINAL'!I641</f>
        <v/>
      </c>
      <c r="E638" s="345">
        <f>'ERROR FINAL'!U641</f>
        <v/>
      </c>
      <c r="F638" s="346">
        <f>'ERROR FINAL'!AG641</f>
        <v/>
      </c>
      <c r="G638" s="346">
        <f>'ERROR FINAL'!AS641</f>
        <v/>
      </c>
      <c r="H638" s="88">
        <f>IF('ERROR FINAL'!AT641="CONFORME","CONFORME","NO CONFORME")</f>
        <v/>
      </c>
      <c r="I638" s="89">
        <f>IF(D638=0,"Medición",IF(D638=1,"Daño físico",IF(D638=2,"Fuga",IF(D638=3,"Picado",IF(D638=4,"Desfasado",IF(D638=5,"Paralizado","¿?"))))))</f>
        <v/>
      </c>
    </row>
    <row r="639">
      <c r="A639" s="82">
        <f>'ERROR FINAL'!A642</f>
        <v/>
      </c>
      <c r="B639" s="83">
        <f>'ERROR FINAL'!D642</f>
        <v/>
      </c>
      <c r="C639" s="344">
        <f>'ERROR FINAL'!G642</f>
        <v/>
      </c>
      <c r="D639" s="85">
        <f>'ERROR FINAL'!I642</f>
        <v/>
      </c>
      <c r="E639" s="345">
        <f>'ERROR FINAL'!U642</f>
        <v/>
      </c>
      <c r="F639" s="346">
        <f>'ERROR FINAL'!AG642</f>
        <v/>
      </c>
      <c r="G639" s="346">
        <f>'ERROR FINAL'!AS642</f>
        <v/>
      </c>
      <c r="H639" s="88">
        <f>IF('ERROR FINAL'!AT642="CONFORME","CONFORME","NO CONFORME")</f>
        <v/>
      </c>
      <c r="I639" s="89">
        <f>IF(D639=0,"Medición",IF(D639=1,"Daño físico",IF(D639=2,"Fuga",IF(D639=3,"Picado",IF(D639=4,"Desfasado",IF(D639=5,"Paralizado","¿?"))))))</f>
        <v/>
      </c>
    </row>
    <row r="640">
      <c r="A640" s="82">
        <f>'ERROR FINAL'!A643</f>
        <v/>
      </c>
      <c r="B640" s="83">
        <f>'ERROR FINAL'!D643</f>
        <v/>
      </c>
      <c r="C640" s="344">
        <f>'ERROR FINAL'!G643</f>
        <v/>
      </c>
      <c r="D640" s="85">
        <f>'ERROR FINAL'!I643</f>
        <v/>
      </c>
      <c r="E640" s="345">
        <f>'ERROR FINAL'!U643</f>
        <v/>
      </c>
      <c r="F640" s="346">
        <f>'ERROR FINAL'!AG643</f>
        <v/>
      </c>
      <c r="G640" s="346">
        <f>'ERROR FINAL'!AS643</f>
        <v/>
      </c>
      <c r="H640" s="88">
        <f>IF('ERROR FINAL'!AT643="CONFORME","CONFORME","NO CONFORME")</f>
        <v/>
      </c>
      <c r="I640" s="89">
        <f>IF(D640=0,"Medición",IF(D640=1,"Daño físico",IF(D640=2,"Fuga",IF(D640=3,"Picado",IF(D640=4,"Desfasado",IF(D640=5,"Paralizado","¿?"))))))</f>
        <v/>
      </c>
    </row>
    <row r="641">
      <c r="A641" s="82">
        <f>'ERROR FINAL'!A644</f>
        <v/>
      </c>
      <c r="B641" s="83">
        <f>'ERROR FINAL'!D644</f>
        <v/>
      </c>
      <c r="C641" s="344">
        <f>'ERROR FINAL'!G644</f>
        <v/>
      </c>
      <c r="D641" s="85">
        <f>'ERROR FINAL'!I644</f>
        <v/>
      </c>
      <c r="E641" s="345">
        <f>'ERROR FINAL'!U644</f>
        <v/>
      </c>
      <c r="F641" s="346">
        <f>'ERROR FINAL'!AG644</f>
        <v/>
      </c>
      <c r="G641" s="346">
        <f>'ERROR FINAL'!AS644</f>
        <v/>
      </c>
      <c r="H641" s="88">
        <f>IF('ERROR FINAL'!AT644="CONFORME","CONFORME","NO CONFORME")</f>
        <v/>
      </c>
      <c r="I641" s="89">
        <f>IF(D641=0,"Medición",IF(D641=1,"Daño físico",IF(D641=2,"Fuga",IF(D641=3,"Picado",IF(D641=4,"Desfasado",IF(D641=5,"Paralizado","¿?"))))))</f>
        <v/>
      </c>
    </row>
    <row r="642">
      <c r="A642" s="82">
        <f>'ERROR FINAL'!A645</f>
        <v/>
      </c>
      <c r="B642" s="83">
        <f>'ERROR FINAL'!D645</f>
        <v/>
      </c>
      <c r="C642" s="344">
        <f>'ERROR FINAL'!G645</f>
        <v/>
      </c>
      <c r="D642" s="85">
        <f>'ERROR FINAL'!I645</f>
        <v/>
      </c>
      <c r="E642" s="345">
        <f>'ERROR FINAL'!U645</f>
        <v/>
      </c>
      <c r="F642" s="346">
        <f>'ERROR FINAL'!AG645</f>
        <v/>
      </c>
      <c r="G642" s="346">
        <f>'ERROR FINAL'!AS645</f>
        <v/>
      </c>
      <c r="H642" s="88">
        <f>IF('ERROR FINAL'!AT645="CONFORME","CONFORME","NO CONFORME")</f>
        <v/>
      </c>
      <c r="I642" s="89">
        <f>IF(D642=0,"Medición",IF(D642=1,"Daño físico",IF(D642=2,"Fuga",IF(D642=3,"Picado",IF(D642=4,"Desfasado",IF(D642=5,"Paralizado","¿?"))))))</f>
        <v/>
      </c>
    </row>
    <row r="643">
      <c r="A643" s="82">
        <f>'ERROR FINAL'!A646</f>
        <v/>
      </c>
      <c r="B643" s="83">
        <f>'ERROR FINAL'!D646</f>
        <v/>
      </c>
      <c r="C643" s="344">
        <f>'ERROR FINAL'!G646</f>
        <v/>
      </c>
      <c r="D643" s="85">
        <f>'ERROR FINAL'!I646</f>
        <v/>
      </c>
      <c r="E643" s="345">
        <f>'ERROR FINAL'!U646</f>
        <v/>
      </c>
      <c r="F643" s="346">
        <f>'ERROR FINAL'!AG646</f>
        <v/>
      </c>
      <c r="G643" s="346">
        <f>'ERROR FINAL'!AS646</f>
        <v/>
      </c>
      <c r="H643" s="88">
        <f>IF('ERROR FINAL'!AT646="CONFORME","CONFORME","NO CONFORME")</f>
        <v/>
      </c>
      <c r="I643" s="89">
        <f>IF(D643=0,"Medición",IF(D643=1,"Daño físico",IF(D643=2,"Fuga",IF(D643=3,"Picado",IF(D643=4,"Desfasado",IF(D643=5,"Paralizado","¿?"))))))</f>
        <v/>
      </c>
    </row>
    <row r="644">
      <c r="A644" s="82">
        <f>'ERROR FINAL'!A647</f>
        <v/>
      </c>
      <c r="B644" s="83">
        <f>'ERROR FINAL'!D647</f>
        <v/>
      </c>
      <c r="C644" s="344">
        <f>'ERROR FINAL'!G647</f>
        <v/>
      </c>
      <c r="D644" s="85">
        <f>'ERROR FINAL'!I647</f>
        <v/>
      </c>
      <c r="E644" s="345">
        <f>'ERROR FINAL'!U647</f>
        <v/>
      </c>
      <c r="F644" s="346">
        <f>'ERROR FINAL'!AG647</f>
        <v/>
      </c>
      <c r="G644" s="346">
        <f>'ERROR FINAL'!AS647</f>
        <v/>
      </c>
      <c r="H644" s="88">
        <f>IF('ERROR FINAL'!AT647="CONFORME","CONFORME","NO CONFORME")</f>
        <v/>
      </c>
      <c r="I644" s="89">
        <f>IF(D644=0,"Medición",IF(D644=1,"Daño físico",IF(D644=2,"Fuga",IF(D644=3,"Picado",IF(D644=4,"Desfasado",IF(D644=5,"Paralizado","¿?"))))))</f>
        <v/>
      </c>
    </row>
    <row r="645">
      <c r="A645" s="82">
        <f>'ERROR FINAL'!A648</f>
        <v/>
      </c>
      <c r="B645" s="83">
        <f>'ERROR FINAL'!D648</f>
        <v/>
      </c>
      <c r="C645" s="344">
        <f>'ERROR FINAL'!G648</f>
        <v/>
      </c>
      <c r="D645" s="85">
        <f>'ERROR FINAL'!I648</f>
        <v/>
      </c>
      <c r="E645" s="345">
        <f>'ERROR FINAL'!U648</f>
        <v/>
      </c>
      <c r="F645" s="346">
        <f>'ERROR FINAL'!AG648</f>
        <v/>
      </c>
      <c r="G645" s="346">
        <f>'ERROR FINAL'!AS648</f>
        <v/>
      </c>
      <c r="H645" s="88">
        <f>IF('ERROR FINAL'!AT648="CONFORME","CONFORME","NO CONFORME")</f>
        <v/>
      </c>
      <c r="I645" s="89">
        <f>IF(D645=0,"Medición",IF(D645=1,"Daño físico",IF(D645=2,"Fuga",IF(D645=3,"Picado",IF(D645=4,"Desfasado",IF(D645=5,"Paralizado","¿?"))))))</f>
        <v/>
      </c>
    </row>
    <row r="646">
      <c r="A646" s="82">
        <f>'ERROR FINAL'!A649</f>
        <v/>
      </c>
      <c r="B646" s="83">
        <f>'ERROR FINAL'!D649</f>
        <v/>
      </c>
      <c r="C646" s="344">
        <f>'ERROR FINAL'!G649</f>
        <v/>
      </c>
      <c r="D646" s="85">
        <f>'ERROR FINAL'!I649</f>
        <v/>
      </c>
      <c r="E646" s="345">
        <f>'ERROR FINAL'!U649</f>
        <v/>
      </c>
      <c r="F646" s="346">
        <f>'ERROR FINAL'!AG649</f>
        <v/>
      </c>
      <c r="G646" s="346">
        <f>'ERROR FINAL'!AS649</f>
        <v/>
      </c>
      <c r="H646" s="88">
        <f>IF('ERROR FINAL'!AT649="CONFORME","CONFORME","NO CONFORME")</f>
        <v/>
      </c>
      <c r="I646" s="89">
        <f>IF(D646=0,"Medición",IF(D646=1,"Daño físico",IF(D646=2,"Fuga",IF(D646=3,"Picado",IF(D646=4,"Desfasado",IF(D646=5,"Paralizado","¿?"))))))</f>
        <v/>
      </c>
    </row>
    <row r="647">
      <c r="A647" s="82">
        <f>'ERROR FINAL'!A650</f>
        <v/>
      </c>
      <c r="B647" s="83">
        <f>'ERROR FINAL'!D650</f>
        <v/>
      </c>
      <c r="C647" s="344">
        <f>'ERROR FINAL'!G650</f>
        <v/>
      </c>
      <c r="D647" s="85">
        <f>'ERROR FINAL'!I650</f>
        <v/>
      </c>
      <c r="E647" s="345">
        <f>'ERROR FINAL'!U650</f>
        <v/>
      </c>
      <c r="F647" s="346">
        <f>'ERROR FINAL'!AG650</f>
        <v/>
      </c>
      <c r="G647" s="346">
        <f>'ERROR FINAL'!AS650</f>
        <v/>
      </c>
      <c r="H647" s="88">
        <f>IF('ERROR FINAL'!AT650="CONFORME","CONFORME","NO CONFORME")</f>
        <v/>
      </c>
      <c r="I647" s="89">
        <f>IF(D647=0,"Medición",IF(D647=1,"Daño físico",IF(D647=2,"Fuga",IF(D647=3,"Picado",IF(D647=4,"Desfasado",IF(D647=5,"Paralizado","¿?"))))))</f>
        <v/>
      </c>
    </row>
    <row r="648">
      <c r="A648" s="82">
        <f>'ERROR FINAL'!A651</f>
        <v/>
      </c>
      <c r="B648" s="83">
        <f>'ERROR FINAL'!D651</f>
        <v/>
      </c>
      <c r="C648" s="344">
        <f>'ERROR FINAL'!G651</f>
        <v/>
      </c>
      <c r="D648" s="85">
        <f>'ERROR FINAL'!I651</f>
        <v/>
      </c>
      <c r="E648" s="345">
        <f>'ERROR FINAL'!U651</f>
        <v/>
      </c>
      <c r="F648" s="346">
        <f>'ERROR FINAL'!AG651</f>
        <v/>
      </c>
      <c r="G648" s="346">
        <f>'ERROR FINAL'!AS651</f>
        <v/>
      </c>
      <c r="H648" s="88">
        <f>IF('ERROR FINAL'!AT651="CONFORME","CONFORME","NO CONFORME")</f>
        <v/>
      </c>
      <c r="I648" s="89">
        <f>IF(D648=0,"Medición",IF(D648=1,"Daño físico",IF(D648=2,"Fuga",IF(D648=3,"Picado",IF(D648=4,"Desfasado",IF(D648=5,"Paralizado","¿?"))))))</f>
        <v/>
      </c>
    </row>
    <row r="649">
      <c r="A649" s="82">
        <f>'ERROR FINAL'!A652</f>
        <v/>
      </c>
      <c r="B649" s="83">
        <f>'ERROR FINAL'!D652</f>
        <v/>
      </c>
      <c r="C649" s="344">
        <f>'ERROR FINAL'!G652</f>
        <v/>
      </c>
      <c r="D649" s="85">
        <f>'ERROR FINAL'!I652</f>
        <v/>
      </c>
      <c r="E649" s="345">
        <f>'ERROR FINAL'!U652</f>
        <v/>
      </c>
      <c r="F649" s="346">
        <f>'ERROR FINAL'!AG652</f>
        <v/>
      </c>
      <c r="G649" s="346">
        <f>'ERROR FINAL'!AS652</f>
        <v/>
      </c>
      <c r="H649" s="88">
        <f>IF('ERROR FINAL'!AT652="CONFORME","CONFORME","NO CONFORME")</f>
        <v/>
      </c>
      <c r="I649" s="89">
        <f>IF(D649=0,"Medición",IF(D649=1,"Daño físico",IF(D649=2,"Fuga",IF(D649=3,"Picado",IF(D649=4,"Desfasado",IF(D649=5,"Paralizado","¿?"))))))</f>
        <v/>
      </c>
    </row>
    <row r="650">
      <c r="A650" s="82">
        <f>'ERROR FINAL'!A653</f>
        <v/>
      </c>
      <c r="B650" s="83">
        <f>'ERROR FINAL'!D653</f>
        <v/>
      </c>
      <c r="C650" s="344">
        <f>'ERROR FINAL'!G653</f>
        <v/>
      </c>
      <c r="D650" s="85">
        <f>'ERROR FINAL'!I653</f>
        <v/>
      </c>
      <c r="E650" s="345">
        <f>'ERROR FINAL'!U653</f>
        <v/>
      </c>
      <c r="F650" s="346">
        <f>'ERROR FINAL'!AG653</f>
        <v/>
      </c>
      <c r="G650" s="346">
        <f>'ERROR FINAL'!AS653</f>
        <v/>
      </c>
      <c r="H650" s="88">
        <f>IF('ERROR FINAL'!AT653="CONFORME","CONFORME","NO CONFORME")</f>
        <v/>
      </c>
      <c r="I650" s="89">
        <f>IF(D650=0,"Medición",IF(D650=1,"Daño físico",IF(D650=2,"Fuga",IF(D650=3,"Picado",IF(D650=4,"Desfasado",IF(D650=5,"Paralizado","¿?"))))))</f>
        <v/>
      </c>
    </row>
    <row r="651">
      <c r="A651" s="82">
        <f>'ERROR FINAL'!A654</f>
        <v/>
      </c>
      <c r="B651" s="83">
        <f>'ERROR FINAL'!D654</f>
        <v/>
      </c>
      <c r="C651" s="344">
        <f>'ERROR FINAL'!G654</f>
        <v/>
      </c>
      <c r="D651" s="85">
        <f>'ERROR FINAL'!I654</f>
        <v/>
      </c>
      <c r="E651" s="345">
        <f>'ERROR FINAL'!U654</f>
        <v/>
      </c>
      <c r="F651" s="346">
        <f>'ERROR FINAL'!AG654</f>
        <v/>
      </c>
      <c r="G651" s="346">
        <f>'ERROR FINAL'!AS654</f>
        <v/>
      </c>
      <c r="H651" s="88">
        <f>IF('ERROR FINAL'!AT654="CONFORME","CONFORME","NO CONFORME")</f>
        <v/>
      </c>
      <c r="I651" s="89">
        <f>IF(D651=0,"Medición",IF(D651=1,"Daño físico",IF(D651=2,"Fuga",IF(D651=3,"Picado",IF(D651=4,"Desfasado",IF(D651=5,"Paralizado","¿?"))))))</f>
        <v/>
      </c>
    </row>
    <row r="652">
      <c r="A652" s="82">
        <f>'ERROR FINAL'!A655</f>
        <v/>
      </c>
      <c r="B652" s="83">
        <f>'ERROR FINAL'!D655</f>
        <v/>
      </c>
      <c r="C652" s="344">
        <f>'ERROR FINAL'!G655</f>
        <v/>
      </c>
      <c r="D652" s="85">
        <f>'ERROR FINAL'!I655</f>
        <v/>
      </c>
      <c r="E652" s="345">
        <f>'ERROR FINAL'!U655</f>
        <v/>
      </c>
      <c r="F652" s="346">
        <f>'ERROR FINAL'!AG655</f>
        <v/>
      </c>
      <c r="G652" s="346">
        <f>'ERROR FINAL'!AS655</f>
        <v/>
      </c>
      <c r="H652" s="88">
        <f>IF('ERROR FINAL'!AT655="CONFORME","CONFORME","NO CONFORME")</f>
        <v/>
      </c>
      <c r="I652" s="89">
        <f>IF(D652=0,"Medición",IF(D652=1,"Daño físico",IF(D652=2,"Fuga",IF(D652=3,"Picado",IF(D652=4,"Desfasado",IF(D652=5,"Paralizado","¿?"))))))</f>
        <v/>
      </c>
    </row>
    <row r="653">
      <c r="A653" s="82">
        <f>'ERROR FINAL'!A656</f>
        <v/>
      </c>
      <c r="B653" s="83">
        <f>'ERROR FINAL'!D656</f>
        <v/>
      </c>
      <c r="C653" s="344">
        <f>'ERROR FINAL'!G656</f>
        <v/>
      </c>
      <c r="D653" s="85">
        <f>'ERROR FINAL'!I656</f>
        <v/>
      </c>
      <c r="E653" s="345">
        <f>'ERROR FINAL'!U656</f>
        <v/>
      </c>
      <c r="F653" s="346">
        <f>'ERROR FINAL'!AG656</f>
        <v/>
      </c>
      <c r="G653" s="346">
        <f>'ERROR FINAL'!AS656</f>
        <v/>
      </c>
      <c r="H653" s="88">
        <f>IF('ERROR FINAL'!AT656="CONFORME","CONFORME","NO CONFORME")</f>
        <v/>
      </c>
      <c r="I653" s="89">
        <f>IF(D653=0,"Medición",IF(D653=1,"Daño físico",IF(D653=2,"Fuga",IF(D653=3,"Picado",IF(D653=4,"Desfasado",IF(D653=5,"Paralizado","¿?"))))))</f>
        <v/>
      </c>
    </row>
    <row r="654">
      <c r="A654" s="82">
        <f>'ERROR FINAL'!A657</f>
        <v/>
      </c>
      <c r="B654" s="83">
        <f>'ERROR FINAL'!D657</f>
        <v/>
      </c>
      <c r="C654" s="344">
        <f>'ERROR FINAL'!G657</f>
        <v/>
      </c>
      <c r="D654" s="85">
        <f>'ERROR FINAL'!I657</f>
        <v/>
      </c>
      <c r="E654" s="345">
        <f>'ERROR FINAL'!U657</f>
        <v/>
      </c>
      <c r="F654" s="346">
        <f>'ERROR FINAL'!AG657</f>
        <v/>
      </c>
      <c r="G654" s="346">
        <f>'ERROR FINAL'!AS657</f>
        <v/>
      </c>
      <c r="H654" s="88">
        <f>IF('ERROR FINAL'!AT657="CONFORME","CONFORME","NO CONFORME")</f>
        <v/>
      </c>
      <c r="I654" s="89">
        <f>IF(D654=0,"Medición",IF(D654=1,"Daño físico",IF(D654=2,"Fuga",IF(D654=3,"Picado",IF(D654=4,"Desfasado",IF(D654=5,"Paralizado","¿?"))))))</f>
        <v/>
      </c>
    </row>
    <row r="655">
      <c r="A655" s="82">
        <f>'ERROR FINAL'!A658</f>
        <v/>
      </c>
      <c r="B655" s="83">
        <f>'ERROR FINAL'!D658</f>
        <v/>
      </c>
      <c r="C655" s="344">
        <f>'ERROR FINAL'!G658</f>
        <v/>
      </c>
      <c r="D655" s="85">
        <f>'ERROR FINAL'!I658</f>
        <v/>
      </c>
      <c r="E655" s="345">
        <f>'ERROR FINAL'!U658</f>
        <v/>
      </c>
      <c r="F655" s="346">
        <f>'ERROR FINAL'!AG658</f>
        <v/>
      </c>
      <c r="G655" s="346">
        <f>'ERROR FINAL'!AS658</f>
        <v/>
      </c>
      <c r="H655" s="88">
        <f>IF('ERROR FINAL'!AT658="CONFORME","CONFORME","NO CONFORME")</f>
        <v/>
      </c>
      <c r="I655" s="89">
        <f>IF(D655=0,"Medición",IF(D655=1,"Daño físico",IF(D655=2,"Fuga",IF(D655=3,"Picado",IF(D655=4,"Desfasado",IF(D655=5,"Paralizado","¿?"))))))</f>
        <v/>
      </c>
    </row>
    <row r="656">
      <c r="A656" s="82">
        <f>'ERROR FINAL'!A659</f>
        <v/>
      </c>
      <c r="B656" s="83">
        <f>'ERROR FINAL'!D659</f>
        <v/>
      </c>
      <c r="C656" s="344">
        <f>'ERROR FINAL'!G659</f>
        <v/>
      </c>
      <c r="D656" s="85">
        <f>'ERROR FINAL'!I659</f>
        <v/>
      </c>
      <c r="E656" s="345">
        <f>'ERROR FINAL'!U659</f>
        <v/>
      </c>
      <c r="F656" s="346">
        <f>'ERROR FINAL'!AG659</f>
        <v/>
      </c>
      <c r="G656" s="346">
        <f>'ERROR FINAL'!AS659</f>
        <v/>
      </c>
      <c r="H656" s="88">
        <f>IF('ERROR FINAL'!AT659="CONFORME","CONFORME","NO CONFORME")</f>
        <v/>
      </c>
      <c r="I656" s="89">
        <f>IF(D656=0,"Medición",IF(D656=1,"Daño físico",IF(D656=2,"Fuga",IF(D656=3,"Picado",IF(D656=4,"Desfasado",IF(D656=5,"Paralizado","¿?"))))))</f>
        <v/>
      </c>
    </row>
    <row r="657">
      <c r="A657" s="82">
        <f>'ERROR FINAL'!A660</f>
        <v/>
      </c>
      <c r="B657" s="83">
        <f>'ERROR FINAL'!D660</f>
        <v/>
      </c>
      <c r="C657" s="344">
        <f>'ERROR FINAL'!G660</f>
        <v/>
      </c>
      <c r="D657" s="85">
        <f>'ERROR FINAL'!I660</f>
        <v/>
      </c>
      <c r="E657" s="345">
        <f>'ERROR FINAL'!U660</f>
        <v/>
      </c>
      <c r="F657" s="346">
        <f>'ERROR FINAL'!AG660</f>
        <v/>
      </c>
      <c r="G657" s="346">
        <f>'ERROR FINAL'!AS660</f>
        <v/>
      </c>
      <c r="H657" s="88">
        <f>IF('ERROR FINAL'!AT660="CONFORME","CONFORME","NO CONFORME")</f>
        <v/>
      </c>
      <c r="I657" s="89">
        <f>IF(D657=0,"Medición",IF(D657=1,"Daño físico",IF(D657=2,"Fuga",IF(D657=3,"Picado",IF(D657=4,"Desfasado",IF(D657=5,"Paralizado","¿?"))))))</f>
        <v/>
      </c>
    </row>
    <row r="658">
      <c r="A658" s="82">
        <f>'ERROR FINAL'!A661</f>
        <v/>
      </c>
      <c r="B658" s="83">
        <f>'ERROR FINAL'!D661</f>
        <v/>
      </c>
      <c r="C658" s="344">
        <f>'ERROR FINAL'!G661</f>
        <v/>
      </c>
      <c r="D658" s="85">
        <f>'ERROR FINAL'!I661</f>
        <v/>
      </c>
      <c r="E658" s="345">
        <f>'ERROR FINAL'!U661</f>
        <v/>
      </c>
      <c r="F658" s="346">
        <f>'ERROR FINAL'!AG661</f>
        <v/>
      </c>
      <c r="G658" s="346">
        <f>'ERROR FINAL'!AS661</f>
        <v/>
      </c>
      <c r="H658" s="88">
        <f>IF('ERROR FINAL'!AT661="CONFORME","CONFORME","NO CONFORME")</f>
        <v/>
      </c>
      <c r="I658" s="89">
        <f>IF(D658=0,"Medición",IF(D658=1,"Daño físico",IF(D658=2,"Fuga",IF(D658=3,"Picado",IF(D658=4,"Desfasado",IF(D658=5,"Paralizado","¿?"))))))</f>
        <v/>
      </c>
    </row>
    <row r="659">
      <c r="A659" s="82">
        <f>'ERROR FINAL'!A662</f>
        <v/>
      </c>
      <c r="B659" s="83">
        <f>'ERROR FINAL'!D662</f>
        <v/>
      </c>
      <c r="C659" s="344">
        <f>'ERROR FINAL'!G662</f>
        <v/>
      </c>
      <c r="D659" s="85">
        <f>'ERROR FINAL'!I662</f>
        <v/>
      </c>
      <c r="E659" s="345">
        <f>'ERROR FINAL'!U662</f>
        <v/>
      </c>
      <c r="F659" s="346">
        <f>'ERROR FINAL'!AG662</f>
        <v/>
      </c>
      <c r="G659" s="346">
        <f>'ERROR FINAL'!AS662</f>
        <v/>
      </c>
      <c r="H659" s="88">
        <f>IF('ERROR FINAL'!AT662="CONFORME","CONFORME","NO CONFORME")</f>
        <v/>
      </c>
      <c r="I659" s="89">
        <f>IF(D659=0,"Medición",IF(D659=1,"Daño físico",IF(D659=2,"Fuga",IF(D659=3,"Picado",IF(D659=4,"Desfasado",IF(D659=5,"Paralizado","¿?"))))))</f>
        <v/>
      </c>
    </row>
    <row r="660">
      <c r="A660" s="82">
        <f>'ERROR FINAL'!A663</f>
        <v/>
      </c>
      <c r="B660" s="83">
        <f>'ERROR FINAL'!D663</f>
        <v/>
      </c>
      <c r="C660" s="344">
        <f>'ERROR FINAL'!G663</f>
        <v/>
      </c>
      <c r="D660" s="85">
        <f>'ERROR FINAL'!I663</f>
        <v/>
      </c>
      <c r="E660" s="345">
        <f>'ERROR FINAL'!U663</f>
        <v/>
      </c>
      <c r="F660" s="346">
        <f>'ERROR FINAL'!AG663</f>
        <v/>
      </c>
      <c r="G660" s="346">
        <f>'ERROR FINAL'!AS663</f>
        <v/>
      </c>
      <c r="H660" s="88">
        <f>IF('ERROR FINAL'!AT663="CONFORME","CONFORME","NO CONFORME")</f>
        <v/>
      </c>
      <c r="I660" s="89">
        <f>IF(D660=0,"Medición",IF(D660=1,"Daño físico",IF(D660=2,"Fuga",IF(D660=3,"Picado",IF(D660=4,"Desfasado",IF(D660=5,"Paralizado","¿?"))))))</f>
        <v/>
      </c>
    </row>
    <row r="661">
      <c r="A661" s="82">
        <f>'ERROR FINAL'!A664</f>
        <v/>
      </c>
      <c r="B661" s="83">
        <f>'ERROR FINAL'!D664</f>
        <v/>
      </c>
      <c r="C661" s="344">
        <f>'ERROR FINAL'!G664</f>
        <v/>
      </c>
      <c r="D661" s="85">
        <f>'ERROR FINAL'!I664</f>
        <v/>
      </c>
      <c r="E661" s="345">
        <f>'ERROR FINAL'!U664</f>
        <v/>
      </c>
      <c r="F661" s="346">
        <f>'ERROR FINAL'!AG664</f>
        <v/>
      </c>
      <c r="G661" s="346">
        <f>'ERROR FINAL'!AS664</f>
        <v/>
      </c>
      <c r="H661" s="88">
        <f>IF('ERROR FINAL'!AT664="CONFORME","CONFORME","NO CONFORME")</f>
        <v/>
      </c>
      <c r="I661" s="89">
        <f>IF(D661=0,"Medición",IF(D661=1,"Daño físico",IF(D661=2,"Fuga",IF(D661=3,"Picado",IF(D661=4,"Desfasado",IF(D661=5,"Paralizado","¿?"))))))</f>
        <v/>
      </c>
    </row>
    <row r="662">
      <c r="A662" s="82">
        <f>'ERROR FINAL'!A665</f>
        <v/>
      </c>
      <c r="B662" s="83">
        <f>'ERROR FINAL'!D665</f>
        <v/>
      </c>
      <c r="C662" s="344">
        <f>'ERROR FINAL'!G665</f>
        <v/>
      </c>
      <c r="D662" s="85">
        <f>'ERROR FINAL'!I665</f>
        <v/>
      </c>
      <c r="E662" s="345">
        <f>'ERROR FINAL'!U665</f>
        <v/>
      </c>
      <c r="F662" s="346">
        <f>'ERROR FINAL'!AG665</f>
        <v/>
      </c>
      <c r="G662" s="346">
        <f>'ERROR FINAL'!AS665</f>
        <v/>
      </c>
      <c r="H662" s="88">
        <f>IF('ERROR FINAL'!AT665="CONFORME","CONFORME","NO CONFORME")</f>
        <v/>
      </c>
      <c r="I662" s="89">
        <f>IF(D662=0,"Medición",IF(D662=1,"Daño físico",IF(D662=2,"Fuga",IF(D662=3,"Picado",IF(D662=4,"Desfasado",IF(D662=5,"Paralizado","¿?"))))))</f>
        <v/>
      </c>
    </row>
    <row r="663">
      <c r="A663" s="82">
        <f>'ERROR FINAL'!A666</f>
        <v/>
      </c>
      <c r="B663" s="83">
        <f>'ERROR FINAL'!D666</f>
        <v/>
      </c>
      <c r="C663" s="344">
        <f>'ERROR FINAL'!G666</f>
        <v/>
      </c>
      <c r="D663" s="85">
        <f>'ERROR FINAL'!I666</f>
        <v/>
      </c>
      <c r="E663" s="345">
        <f>'ERROR FINAL'!U666</f>
        <v/>
      </c>
      <c r="F663" s="346">
        <f>'ERROR FINAL'!AG666</f>
        <v/>
      </c>
      <c r="G663" s="346">
        <f>'ERROR FINAL'!AS666</f>
        <v/>
      </c>
      <c r="H663" s="88">
        <f>IF('ERROR FINAL'!AT666="CONFORME","CONFORME","NO CONFORME")</f>
        <v/>
      </c>
      <c r="I663" s="89">
        <f>IF(D663=0,"Medición",IF(D663=1,"Daño físico",IF(D663=2,"Fuga",IF(D663=3,"Picado",IF(D663=4,"Desfasado",IF(D663=5,"Paralizado","¿?"))))))</f>
        <v/>
      </c>
    </row>
    <row r="664">
      <c r="A664" s="82">
        <f>'ERROR FINAL'!A667</f>
        <v/>
      </c>
      <c r="B664" s="83">
        <f>'ERROR FINAL'!D667</f>
        <v/>
      </c>
      <c r="C664" s="344">
        <f>'ERROR FINAL'!G667</f>
        <v/>
      </c>
      <c r="D664" s="85">
        <f>'ERROR FINAL'!I667</f>
        <v/>
      </c>
      <c r="E664" s="345">
        <f>'ERROR FINAL'!U667</f>
        <v/>
      </c>
      <c r="F664" s="346">
        <f>'ERROR FINAL'!AG667</f>
        <v/>
      </c>
      <c r="G664" s="346">
        <f>'ERROR FINAL'!AS667</f>
        <v/>
      </c>
      <c r="H664" s="88">
        <f>IF('ERROR FINAL'!AT667="CONFORME","CONFORME","NO CONFORME")</f>
        <v/>
      </c>
      <c r="I664" s="89">
        <f>IF(D664=0,"Medición",IF(D664=1,"Daño físico",IF(D664=2,"Fuga",IF(D664=3,"Picado",IF(D664=4,"Desfasado",IF(D664=5,"Paralizado","¿?"))))))</f>
        <v/>
      </c>
    </row>
    <row r="665">
      <c r="A665" s="82">
        <f>'ERROR FINAL'!A668</f>
        <v/>
      </c>
      <c r="B665" s="83">
        <f>'ERROR FINAL'!D668</f>
        <v/>
      </c>
      <c r="C665" s="344">
        <f>'ERROR FINAL'!G668</f>
        <v/>
      </c>
      <c r="D665" s="85">
        <f>'ERROR FINAL'!I668</f>
        <v/>
      </c>
      <c r="E665" s="345">
        <f>'ERROR FINAL'!U668</f>
        <v/>
      </c>
      <c r="F665" s="346">
        <f>'ERROR FINAL'!AG668</f>
        <v/>
      </c>
      <c r="G665" s="346">
        <f>'ERROR FINAL'!AS668</f>
        <v/>
      </c>
      <c r="H665" s="88">
        <f>IF('ERROR FINAL'!AT668="CONFORME","CONFORME","NO CONFORME")</f>
        <v/>
      </c>
      <c r="I665" s="89">
        <f>IF(D665=0,"Medición",IF(D665=1,"Daño físico",IF(D665=2,"Fuga",IF(D665=3,"Picado",IF(D665=4,"Desfasado",IF(D665=5,"Paralizado","¿?"))))))</f>
        <v/>
      </c>
    </row>
    <row r="666">
      <c r="A666" s="82">
        <f>'ERROR FINAL'!A669</f>
        <v/>
      </c>
      <c r="B666" s="83">
        <f>'ERROR FINAL'!D669</f>
        <v/>
      </c>
      <c r="C666" s="344">
        <f>'ERROR FINAL'!G669</f>
        <v/>
      </c>
      <c r="D666" s="85">
        <f>'ERROR FINAL'!I669</f>
        <v/>
      </c>
      <c r="E666" s="345">
        <f>'ERROR FINAL'!U669</f>
        <v/>
      </c>
      <c r="F666" s="346">
        <f>'ERROR FINAL'!AG669</f>
        <v/>
      </c>
      <c r="G666" s="346">
        <f>'ERROR FINAL'!AS669</f>
        <v/>
      </c>
      <c r="H666" s="88">
        <f>IF('ERROR FINAL'!AT669="CONFORME","CONFORME","NO CONFORME")</f>
        <v/>
      </c>
      <c r="I666" s="89">
        <f>IF(D666=0,"Medición",IF(D666=1,"Daño físico",IF(D666=2,"Fuga",IF(D666=3,"Picado",IF(D666=4,"Desfasado",IF(D666=5,"Paralizado","¿?"))))))</f>
        <v/>
      </c>
    </row>
    <row r="667">
      <c r="A667" s="82">
        <f>'ERROR FINAL'!A670</f>
        <v/>
      </c>
      <c r="B667" s="83">
        <f>'ERROR FINAL'!D670</f>
        <v/>
      </c>
      <c r="C667" s="344">
        <f>'ERROR FINAL'!G670</f>
        <v/>
      </c>
      <c r="D667" s="85">
        <f>'ERROR FINAL'!I670</f>
        <v/>
      </c>
      <c r="E667" s="345">
        <f>'ERROR FINAL'!U670</f>
        <v/>
      </c>
      <c r="F667" s="346">
        <f>'ERROR FINAL'!AG670</f>
        <v/>
      </c>
      <c r="G667" s="346">
        <f>'ERROR FINAL'!AS670</f>
        <v/>
      </c>
      <c r="H667" s="88">
        <f>IF('ERROR FINAL'!AT670="CONFORME","CONFORME","NO CONFORME")</f>
        <v/>
      </c>
      <c r="I667" s="89">
        <f>IF(D667=0,"Medición",IF(D667=1,"Daño físico",IF(D667=2,"Fuga",IF(D667=3,"Picado",IF(D667=4,"Desfasado",IF(D667=5,"Paralizado","¿?"))))))</f>
        <v/>
      </c>
    </row>
    <row r="668">
      <c r="A668" s="82">
        <f>'ERROR FINAL'!A671</f>
        <v/>
      </c>
      <c r="B668" s="83">
        <f>'ERROR FINAL'!D671</f>
        <v/>
      </c>
      <c r="C668" s="344">
        <f>'ERROR FINAL'!G671</f>
        <v/>
      </c>
      <c r="D668" s="85">
        <f>'ERROR FINAL'!I671</f>
        <v/>
      </c>
      <c r="E668" s="345">
        <f>'ERROR FINAL'!U671</f>
        <v/>
      </c>
      <c r="F668" s="346">
        <f>'ERROR FINAL'!AG671</f>
        <v/>
      </c>
      <c r="G668" s="346">
        <f>'ERROR FINAL'!AS671</f>
        <v/>
      </c>
      <c r="H668" s="88">
        <f>IF('ERROR FINAL'!AT671="CONFORME","CONFORME","NO CONFORME")</f>
        <v/>
      </c>
      <c r="I668" s="89">
        <f>IF(D668=0,"Medición",IF(D668=1,"Daño físico",IF(D668=2,"Fuga",IF(D668=3,"Picado",IF(D668=4,"Desfasado",IF(D668=5,"Paralizado","¿?"))))))</f>
        <v/>
      </c>
    </row>
    <row r="669">
      <c r="A669" s="82">
        <f>'ERROR FINAL'!A672</f>
        <v/>
      </c>
      <c r="B669" s="83">
        <f>'ERROR FINAL'!D672</f>
        <v/>
      </c>
      <c r="C669" s="344">
        <f>'ERROR FINAL'!G672</f>
        <v/>
      </c>
      <c r="D669" s="85">
        <f>'ERROR FINAL'!I672</f>
        <v/>
      </c>
      <c r="E669" s="345">
        <f>'ERROR FINAL'!U672</f>
        <v/>
      </c>
      <c r="F669" s="346">
        <f>'ERROR FINAL'!AG672</f>
        <v/>
      </c>
      <c r="G669" s="346">
        <f>'ERROR FINAL'!AS672</f>
        <v/>
      </c>
      <c r="H669" s="88">
        <f>IF('ERROR FINAL'!AT672="CONFORME","CONFORME","NO CONFORME")</f>
        <v/>
      </c>
      <c r="I669" s="89">
        <f>IF(D669=0,"Medición",IF(D669=1,"Daño físico",IF(D669=2,"Fuga",IF(D669=3,"Picado",IF(D669=4,"Desfasado",IF(D669=5,"Paralizado","¿?"))))))</f>
        <v/>
      </c>
    </row>
    <row r="670">
      <c r="A670" s="82">
        <f>'ERROR FINAL'!A673</f>
        <v/>
      </c>
      <c r="B670" s="83">
        <f>'ERROR FINAL'!D673</f>
        <v/>
      </c>
      <c r="C670" s="344">
        <f>'ERROR FINAL'!G673</f>
        <v/>
      </c>
      <c r="D670" s="85">
        <f>'ERROR FINAL'!I673</f>
        <v/>
      </c>
      <c r="E670" s="345">
        <f>'ERROR FINAL'!U673</f>
        <v/>
      </c>
      <c r="F670" s="346">
        <f>'ERROR FINAL'!AG673</f>
        <v/>
      </c>
      <c r="G670" s="346">
        <f>'ERROR FINAL'!AS673</f>
        <v/>
      </c>
      <c r="H670" s="88">
        <f>IF('ERROR FINAL'!AT673="CONFORME","CONFORME","NO CONFORME")</f>
        <v/>
      </c>
      <c r="I670" s="89">
        <f>IF(D670=0,"Medición",IF(D670=1,"Daño físico",IF(D670=2,"Fuga",IF(D670=3,"Picado",IF(D670=4,"Desfasado",IF(D670=5,"Paralizado","¿?"))))))</f>
        <v/>
      </c>
    </row>
    <row r="671">
      <c r="A671" s="82">
        <f>'ERROR FINAL'!A674</f>
        <v/>
      </c>
      <c r="B671" s="83">
        <f>'ERROR FINAL'!D674</f>
        <v/>
      </c>
      <c r="C671" s="344">
        <f>'ERROR FINAL'!G674</f>
        <v/>
      </c>
      <c r="D671" s="85">
        <f>'ERROR FINAL'!I674</f>
        <v/>
      </c>
      <c r="E671" s="345">
        <f>'ERROR FINAL'!U674</f>
        <v/>
      </c>
      <c r="F671" s="346">
        <f>'ERROR FINAL'!AG674</f>
        <v/>
      </c>
      <c r="G671" s="346">
        <f>'ERROR FINAL'!AS674</f>
        <v/>
      </c>
      <c r="H671" s="88">
        <f>IF('ERROR FINAL'!AT674="CONFORME","CONFORME","NO CONFORME")</f>
        <v/>
      </c>
      <c r="I671" s="89">
        <f>IF(D671=0,"Medición",IF(D671=1,"Daño físico",IF(D671=2,"Fuga",IF(D671=3,"Picado",IF(D671=4,"Desfasado",IF(D671=5,"Paralizado","¿?"))))))</f>
        <v/>
      </c>
    </row>
    <row r="672">
      <c r="A672" s="82">
        <f>'ERROR FINAL'!A675</f>
        <v/>
      </c>
      <c r="B672" s="83">
        <f>'ERROR FINAL'!D675</f>
        <v/>
      </c>
      <c r="C672" s="344">
        <f>'ERROR FINAL'!G675</f>
        <v/>
      </c>
      <c r="D672" s="85">
        <f>'ERROR FINAL'!I675</f>
        <v/>
      </c>
      <c r="E672" s="345">
        <f>'ERROR FINAL'!U675</f>
        <v/>
      </c>
      <c r="F672" s="346">
        <f>'ERROR FINAL'!AG675</f>
        <v/>
      </c>
      <c r="G672" s="346">
        <f>'ERROR FINAL'!AS675</f>
        <v/>
      </c>
      <c r="H672" s="88">
        <f>IF('ERROR FINAL'!AT675="CONFORME","CONFORME","NO CONFORME")</f>
        <v/>
      </c>
      <c r="I672" s="89">
        <f>IF(D672=0,"Medición",IF(D672=1,"Daño físico",IF(D672=2,"Fuga",IF(D672=3,"Picado",IF(D672=4,"Desfasado",IF(D672=5,"Paralizado","¿?"))))))</f>
        <v/>
      </c>
    </row>
    <row r="673">
      <c r="A673" s="82">
        <f>'ERROR FINAL'!A676</f>
        <v/>
      </c>
      <c r="B673" s="83">
        <f>'ERROR FINAL'!D676</f>
        <v/>
      </c>
      <c r="C673" s="344">
        <f>'ERROR FINAL'!G676</f>
        <v/>
      </c>
      <c r="D673" s="85">
        <f>'ERROR FINAL'!I676</f>
        <v/>
      </c>
      <c r="E673" s="345">
        <f>'ERROR FINAL'!U676</f>
        <v/>
      </c>
      <c r="F673" s="346">
        <f>'ERROR FINAL'!AG676</f>
        <v/>
      </c>
      <c r="G673" s="346">
        <f>'ERROR FINAL'!AS676</f>
        <v/>
      </c>
      <c r="H673" s="88">
        <f>IF('ERROR FINAL'!AT676="CONFORME","CONFORME","NO CONFORME")</f>
        <v/>
      </c>
      <c r="I673" s="89">
        <f>IF(D673=0,"Medición",IF(D673=1,"Daño físico",IF(D673=2,"Fuga",IF(D673=3,"Picado",IF(D673=4,"Desfasado",IF(D673=5,"Paralizado","¿?"))))))</f>
        <v/>
      </c>
    </row>
    <row r="674">
      <c r="A674" s="82">
        <f>'ERROR FINAL'!A677</f>
        <v/>
      </c>
      <c r="B674" s="83">
        <f>'ERROR FINAL'!D677</f>
        <v/>
      </c>
      <c r="C674" s="344">
        <f>'ERROR FINAL'!G677</f>
        <v/>
      </c>
      <c r="D674" s="85">
        <f>'ERROR FINAL'!I677</f>
        <v/>
      </c>
      <c r="E674" s="345">
        <f>'ERROR FINAL'!U677</f>
        <v/>
      </c>
      <c r="F674" s="346">
        <f>'ERROR FINAL'!AG677</f>
        <v/>
      </c>
      <c r="G674" s="346">
        <f>'ERROR FINAL'!AS677</f>
        <v/>
      </c>
      <c r="H674" s="88">
        <f>IF('ERROR FINAL'!AT677="CONFORME","CONFORME","NO CONFORME")</f>
        <v/>
      </c>
      <c r="I674" s="89">
        <f>IF(D674=0,"Medición",IF(D674=1,"Daño físico",IF(D674=2,"Fuga",IF(D674=3,"Picado",IF(D674=4,"Desfasado",IF(D674=5,"Paralizado","¿?"))))))</f>
        <v/>
      </c>
    </row>
    <row r="675">
      <c r="A675" s="82">
        <f>'ERROR FINAL'!A678</f>
        <v/>
      </c>
      <c r="B675" s="83">
        <f>'ERROR FINAL'!D678</f>
        <v/>
      </c>
      <c r="C675" s="344">
        <f>'ERROR FINAL'!G678</f>
        <v/>
      </c>
      <c r="D675" s="85">
        <f>'ERROR FINAL'!I678</f>
        <v/>
      </c>
      <c r="E675" s="345">
        <f>'ERROR FINAL'!U678</f>
        <v/>
      </c>
      <c r="F675" s="346">
        <f>'ERROR FINAL'!AG678</f>
        <v/>
      </c>
      <c r="G675" s="346">
        <f>'ERROR FINAL'!AS678</f>
        <v/>
      </c>
      <c r="H675" s="88">
        <f>IF('ERROR FINAL'!AT678="CONFORME","CONFORME","NO CONFORME")</f>
        <v/>
      </c>
      <c r="I675" s="89">
        <f>IF(D675=0,"Medición",IF(D675=1,"Daño físico",IF(D675=2,"Fuga",IF(D675=3,"Picado",IF(D675=4,"Desfasado",IF(D675=5,"Paralizado","¿?"))))))</f>
        <v/>
      </c>
    </row>
    <row r="676">
      <c r="A676" s="82">
        <f>'ERROR FINAL'!A679</f>
        <v/>
      </c>
      <c r="B676" s="83">
        <f>'ERROR FINAL'!D679</f>
        <v/>
      </c>
      <c r="C676" s="344">
        <f>'ERROR FINAL'!G679</f>
        <v/>
      </c>
      <c r="D676" s="85">
        <f>'ERROR FINAL'!I679</f>
        <v/>
      </c>
      <c r="E676" s="345">
        <f>'ERROR FINAL'!U679</f>
        <v/>
      </c>
      <c r="F676" s="346">
        <f>'ERROR FINAL'!AG679</f>
        <v/>
      </c>
      <c r="G676" s="346">
        <f>'ERROR FINAL'!AS679</f>
        <v/>
      </c>
      <c r="H676" s="88">
        <f>IF('ERROR FINAL'!AT679="CONFORME","CONFORME","NO CONFORME")</f>
        <v/>
      </c>
      <c r="I676" s="89">
        <f>IF(D676=0,"Medición",IF(D676=1,"Daño físico",IF(D676=2,"Fuga",IF(D676=3,"Picado",IF(D676=4,"Desfasado",IF(D676=5,"Paralizado","¿?"))))))</f>
        <v/>
      </c>
    </row>
    <row r="677">
      <c r="A677" s="82">
        <f>'ERROR FINAL'!A680</f>
        <v/>
      </c>
      <c r="B677" s="83">
        <f>'ERROR FINAL'!D680</f>
        <v/>
      </c>
      <c r="C677" s="344">
        <f>'ERROR FINAL'!G680</f>
        <v/>
      </c>
      <c r="D677" s="85">
        <f>'ERROR FINAL'!I680</f>
        <v/>
      </c>
      <c r="E677" s="345">
        <f>'ERROR FINAL'!U680</f>
        <v/>
      </c>
      <c r="F677" s="346">
        <f>'ERROR FINAL'!AG680</f>
        <v/>
      </c>
      <c r="G677" s="346">
        <f>'ERROR FINAL'!AS680</f>
        <v/>
      </c>
      <c r="H677" s="88">
        <f>IF('ERROR FINAL'!AT680="CONFORME","CONFORME","NO CONFORME")</f>
        <v/>
      </c>
      <c r="I677" s="89">
        <f>IF(D677=0,"Medición",IF(D677=1,"Daño físico",IF(D677=2,"Fuga",IF(D677=3,"Picado",IF(D677=4,"Desfasado",IF(D677=5,"Paralizado","¿?"))))))</f>
        <v/>
      </c>
    </row>
    <row r="678">
      <c r="A678" s="82">
        <f>'ERROR FINAL'!A681</f>
        <v/>
      </c>
      <c r="B678" s="83">
        <f>'ERROR FINAL'!D681</f>
        <v/>
      </c>
      <c r="C678" s="344">
        <f>'ERROR FINAL'!G681</f>
        <v/>
      </c>
      <c r="D678" s="85">
        <f>'ERROR FINAL'!I681</f>
        <v/>
      </c>
      <c r="E678" s="345">
        <f>'ERROR FINAL'!U681</f>
        <v/>
      </c>
      <c r="F678" s="346">
        <f>'ERROR FINAL'!AG681</f>
        <v/>
      </c>
      <c r="G678" s="346">
        <f>'ERROR FINAL'!AS681</f>
        <v/>
      </c>
      <c r="H678" s="88">
        <f>IF('ERROR FINAL'!AT681="CONFORME","CONFORME","NO CONFORME")</f>
        <v/>
      </c>
      <c r="I678" s="89">
        <f>IF(D678=0,"Medición",IF(D678=1,"Daño físico",IF(D678=2,"Fuga",IF(D678=3,"Picado",IF(D678=4,"Desfasado",IF(D678=5,"Paralizado","¿?"))))))</f>
        <v/>
      </c>
    </row>
    <row r="679">
      <c r="A679" s="82">
        <f>'ERROR FINAL'!A682</f>
        <v/>
      </c>
      <c r="B679" s="83">
        <f>'ERROR FINAL'!D682</f>
        <v/>
      </c>
      <c r="C679" s="344">
        <f>'ERROR FINAL'!G682</f>
        <v/>
      </c>
      <c r="D679" s="85">
        <f>'ERROR FINAL'!I682</f>
        <v/>
      </c>
      <c r="E679" s="345">
        <f>'ERROR FINAL'!U682</f>
        <v/>
      </c>
      <c r="F679" s="346">
        <f>'ERROR FINAL'!AG682</f>
        <v/>
      </c>
      <c r="G679" s="346">
        <f>'ERROR FINAL'!AS682</f>
        <v/>
      </c>
      <c r="H679" s="88">
        <f>IF('ERROR FINAL'!AT682="CONFORME","CONFORME","NO CONFORME")</f>
        <v/>
      </c>
      <c r="I679" s="89">
        <f>IF(D679=0,"Medición",IF(D679=1,"Daño físico",IF(D679=2,"Fuga",IF(D679=3,"Picado",IF(D679=4,"Desfasado",IF(D679=5,"Paralizado","¿?"))))))</f>
        <v/>
      </c>
    </row>
    <row r="680">
      <c r="A680" s="82">
        <f>'ERROR FINAL'!A683</f>
        <v/>
      </c>
      <c r="B680" s="83">
        <f>'ERROR FINAL'!D683</f>
        <v/>
      </c>
      <c r="C680" s="344">
        <f>'ERROR FINAL'!G683</f>
        <v/>
      </c>
      <c r="D680" s="85">
        <f>'ERROR FINAL'!I683</f>
        <v/>
      </c>
      <c r="E680" s="345">
        <f>'ERROR FINAL'!U683</f>
        <v/>
      </c>
      <c r="F680" s="346">
        <f>'ERROR FINAL'!AG683</f>
        <v/>
      </c>
      <c r="G680" s="346">
        <f>'ERROR FINAL'!AS683</f>
        <v/>
      </c>
      <c r="H680" s="88">
        <f>IF('ERROR FINAL'!AT683="CONFORME","CONFORME","NO CONFORME")</f>
        <v/>
      </c>
      <c r="I680" s="89">
        <f>IF(D680=0,"Medición",IF(D680=1,"Daño físico",IF(D680=2,"Fuga",IF(D680=3,"Picado",IF(D680=4,"Desfasado",IF(D680=5,"Paralizado","¿?"))))))</f>
        <v/>
      </c>
    </row>
    <row r="681">
      <c r="A681" s="82">
        <f>'ERROR FINAL'!A684</f>
        <v/>
      </c>
      <c r="B681" s="83">
        <f>'ERROR FINAL'!D684</f>
        <v/>
      </c>
      <c r="C681" s="344">
        <f>'ERROR FINAL'!G684</f>
        <v/>
      </c>
      <c r="D681" s="85">
        <f>'ERROR FINAL'!I684</f>
        <v/>
      </c>
      <c r="E681" s="345">
        <f>'ERROR FINAL'!U684</f>
        <v/>
      </c>
      <c r="F681" s="346">
        <f>'ERROR FINAL'!AG684</f>
        <v/>
      </c>
      <c r="G681" s="346">
        <f>'ERROR FINAL'!AS684</f>
        <v/>
      </c>
      <c r="H681" s="88">
        <f>IF('ERROR FINAL'!AT684="CONFORME","CONFORME","NO CONFORME")</f>
        <v/>
      </c>
      <c r="I681" s="89">
        <f>IF(D681=0,"Medición",IF(D681=1,"Daño físico",IF(D681=2,"Fuga",IF(D681=3,"Picado",IF(D681=4,"Desfasado",IF(D681=5,"Paralizado","¿?"))))))</f>
        <v/>
      </c>
    </row>
    <row r="682">
      <c r="A682" s="82">
        <f>'ERROR FINAL'!A685</f>
        <v/>
      </c>
      <c r="B682" s="83">
        <f>'ERROR FINAL'!D685</f>
        <v/>
      </c>
      <c r="C682" s="344">
        <f>'ERROR FINAL'!G685</f>
        <v/>
      </c>
      <c r="D682" s="85">
        <f>'ERROR FINAL'!I685</f>
        <v/>
      </c>
      <c r="E682" s="345">
        <f>'ERROR FINAL'!U685</f>
        <v/>
      </c>
      <c r="F682" s="346">
        <f>'ERROR FINAL'!AG685</f>
        <v/>
      </c>
      <c r="G682" s="346">
        <f>'ERROR FINAL'!AS685</f>
        <v/>
      </c>
      <c r="H682" s="88">
        <f>IF('ERROR FINAL'!AT685="CONFORME","CONFORME","NO CONFORME")</f>
        <v/>
      </c>
      <c r="I682" s="89">
        <f>IF(D682=0,"Medición",IF(D682=1,"Daño físico",IF(D682=2,"Fuga",IF(D682=3,"Picado",IF(D682=4,"Desfasado",IF(D682=5,"Paralizado","¿?"))))))</f>
        <v/>
      </c>
    </row>
    <row r="683">
      <c r="A683" s="82">
        <f>'ERROR FINAL'!A686</f>
        <v/>
      </c>
      <c r="B683" s="83">
        <f>'ERROR FINAL'!D686</f>
        <v/>
      </c>
      <c r="C683" s="344">
        <f>'ERROR FINAL'!G686</f>
        <v/>
      </c>
      <c r="D683" s="85">
        <f>'ERROR FINAL'!I686</f>
        <v/>
      </c>
      <c r="E683" s="345">
        <f>'ERROR FINAL'!U686</f>
        <v/>
      </c>
      <c r="F683" s="346">
        <f>'ERROR FINAL'!AG686</f>
        <v/>
      </c>
      <c r="G683" s="346">
        <f>'ERROR FINAL'!AS686</f>
        <v/>
      </c>
      <c r="H683" s="88">
        <f>IF('ERROR FINAL'!AT686="CONFORME","CONFORME","NO CONFORME")</f>
        <v/>
      </c>
      <c r="I683" s="89">
        <f>IF(D683=0,"Medición",IF(D683=1,"Daño físico",IF(D683=2,"Fuga",IF(D683=3,"Picado",IF(D683=4,"Desfasado",IF(D683=5,"Paralizado","¿?"))))))</f>
        <v/>
      </c>
    </row>
    <row r="684">
      <c r="A684" s="82">
        <f>'ERROR FINAL'!A687</f>
        <v/>
      </c>
      <c r="B684" s="83">
        <f>'ERROR FINAL'!D687</f>
        <v/>
      </c>
      <c r="C684" s="344">
        <f>'ERROR FINAL'!G687</f>
        <v/>
      </c>
      <c r="D684" s="85">
        <f>'ERROR FINAL'!I687</f>
        <v/>
      </c>
      <c r="E684" s="345">
        <f>'ERROR FINAL'!U687</f>
        <v/>
      </c>
      <c r="F684" s="346">
        <f>'ERROR FINAL'!AG687</f>
        <v/>
      </c>
      <c r="G684" s="346">
        <f>'ERROR FINAL'!AS687</f>
        <v/>
      </c>
      <c r="H684" s="88">
        <f>IF('ERROR FINAL'!AT687="CONFORME","CONFORME","NO CONFORME")</f>
        <v/>
      </c>
      <c r="I684" s="89">
        <f>IF(D684=0,"Medición",IF(D684=1,"Daño físico",IF(D684=2,"Fuga",IF(D684=3,"Picado",IF(D684=4,"Desfasado",IF(D684=5,"Paralizado","¿?"))))))</f>
        <v/>
      </c>
    </row>
    <row r="685">
      <c r="A685" s="82">
        <f>'ERROR FINAL'!A688</f>
        <v/>
      </c>
      <c r="B685" s="83">
        <f>'ERROR FINAL'!D688</f>
        <v/>
      </c>
      <c r="C685" s="344">
        <f>'ERROR FINAL'!G688</f>
        <v/>
      </c>
      <c r="D685" s="85">
        <f>'ERROR FINAL'!I688</f>
        <v/>
      </c>
      <c r="E685" s="345">
        <f>'ERROR FINAL'!U688</f>
        <v/>
      </c>
      <c r="F685" s="346">
        <f>'ERROR FINAL'!AG688</f>
        <v/>
      </c>
      <c r="G685" s="346">
        <f>'ERROR FINAL'!AS688</f>
        <v/>
      </c>
      <c r="H685" s="88">
        <f>IF('ERROR FINAL'!AT688="CONFORME","CONFORME","NO CONFORME")</f>
        <v/>
      </c>
      <c r="I685" s="89">
        <f>IF(D685=0,"Medición",IF(D685=1,"Daño físico",IF(D685=2,"Fuga",IF(D685=3,"Picado",IF(D685=4,"Desfasado",IF(D685=5,"Paralizado","¿?"))))))</f>
        <v/>
      </c>
    </row>
    <row r="686">
      <c r="A686" s="82">
        <f>'ERROR FINAL'!A689</f>
        <v/>
      </c>
      <c r="B686" s="83">
        <f>'ERROR FINAL'!D689</f>
        <v/>
      </c>
      <c r="C686" s="344">
        <f>'ERROR FINAL'!G689</f>
        <v/>
      </c>
      <c r="D686" s="85">
        <f>'ERROR FINAL'!I689</f>
        <v/>
      </c>
      <c r="E686" s="345">
        <f>'ERROR FINAL'!U689</f>
        <v/>
      </c>
      <c r="F686" s="346">
        <f>'ERROR FINAL'!AG689</f>
        <v/>
      </c>
      <c r="G686" s="346">
        <f>'ERROR FINAL'!AS689</f>
        <v/>
      </c>
      <c r="H686" s="88">
        <f>IF('ERROR FINAL'!AT689="CONFORME","CONFORME","NO CONFORME")</f>
        <v/>
      </c>
      <c r="I686" s="89">
        <f>IF(D686=0,"Medición",IF(D686=1,"Daño físico",IF(D686=2,"Fuga",IF(D686=3,"Picado",IF(D686=4,"Desfasado",IF(D686=5,"Paralizado","¿?"))))))</f>
        <v/>
      </c>
    </row>
    <row r="687">
      <c r="A687" s="82">
        <f>'ERROR FINAL'!A690</f>
        <v/>
      </c>
      <c r="B687" s="83">
        <f>'ERROR FINAL'!D690</f>
        <v/>
      </c>
      <c r="C687" s="344">
        <f>'ERROR FINAL'!G690</f>
        <v/>
      </c>
      <c r="D687" s="85">
        <f>'ERROR FINAL'!I690</f>
        <v/>
      </c>
      <c r="E687" s="345">
        <f>'ERROR FINAL'!U690</f>
        <v/>
      </c>
      <c r="F687" s="346">
        <f>'ERROR FINAL'!AG690</f>
        <v/>
      </c>
      <c r="G687" s="346">
        <f>'ERROR FINAL'!AS690</f>
        <v/>
      </c>
      <c r="H687" s="88">
        <f>IF('ERROR FINAL'!AT690="CONFORME","CONFORME","NO CONFORME")</f>
        <v/>
      </c>
      <c r="I687" s="89">
        <f>IF(D687=0,"Medición",IF(D687=1,"Daño físico",IF(D687=2,"Fuga",IF(D687=3,"Picado",IF(D687=4,"Desfasado",IF(D687=5,"Paralizado","¿?"))))))</f>
        <v/>
      </c>
    </row>
    <row r="688">
      <c r="A688" s="82">
        <f>'ERROR FINAL'!A691</f>
        <v/>
      </c>
      <c r="B688" s="83">
        <f>'ERROR FINAL'!D691</f>
        <v/>
      </c>
      <c r="C688" s="344">
        <f>'ERROR FINAL'!G691</f>
        <v/>
      </c>
      <c r="D688" s="85">
        <f>'ERROR FINAL'!I691</f>
        <v/>
      </c>
      <c r="E688" s="345">
        <f>'ERROR FINAL'!U691</f>
        <v/>
      </c>
      <c r="F688" s="346">
        <f>'ERROR FINAL'!AG691</f>
        <v/>
      </c>
      <c r="G688" s="346">
        <f>'ERROR FINAL'!AS691</f>
        <v/>
      </c>
      <c r="H688" s="88">
        <f>IF('ERROR FINAL'!AT691="CONFORME","CONFORME","NO CONFORME")</f>
        <v/>
      </c>
      <c r="I688" s="89">
        <f>IF(D688=0,"Medición",IF(D688=1,"Daño físico",IF(D688=2,"Fuga",IF(D688=3,"Picado",IF(D688=4,"Desfasado",IF(D688=5,"Paralizado","¿?"))))))</f>
        <v/>
      </c>
    </row>
    <row r="689">
      <c r="A689" s="82">
        <f>'ERROR FINAL'!A692</f>
        <v/>
      </c>
      <c r="B689" s="83">
        <f>'ERROR FINAL'!D692</f>
        <v/>
      </c>
      <c r="C689" s="344">
        <f>'ERROR FINAL'!G692</f>
        <v/>
      </c>
      <c r="D689" s="85">
        <f>'ERROR FINAL'!I692</f>
        <v/>
      </c>
      <c r="E689" s="345">
        <f>'ERROR FINAL'!U692</f>
        <v/>
      </c>
      <c r="F689" s="346">
        <f>'ERROR FINAL'!AG692</f>
        <v/>
      </c>
      <c r="G689" s="346">
        <f>'ERROR FINAL'!AS692</f>
        <v/>
      </c>
      <c r="H689" s="88">
        <f>IF('ERROR FINAL'!AT692="CONFORME","CONFORME","NO CONFORME")</f>
        <v/>
      </c>
      <c r="I689" s="89">
        <f>IF(D689=0,"Medición",IF(D689=1,"Daño físico",IF(D689=2,"Fuga",IF(D689=3,"Picado",IF(D689=4,"Desfasado",IF(D689=5,"Paralizado","¿?"))))))</f>
        <v/>
      </c>
    </row>
    <row r="690">
      <c r="A690" s="82">
        <f>'ERROR FINAL'!A693</f>
        <v/>
      </c>
      <c r="B690" s="83">
        <f>'ERROR FINAL'!D693</f>
        <v/>
      </c>
      <c r="C690" s="344">
        <f>'ERROR FINAL'!G693</f>
        <v/>
      </c>
      <c r="D690" s="85">
        <f>'ERROR FINAL'!I693</f>
        <v/>
      </c>
      <c r="E690" s="345">
        <f>'ERROR FINAL'!U693</f>
        <v/>
      </c>
      <c r="F690" s="346">
        <f>'ERROR FINAL'!AG693</f>
        <v/>
      </c>
      <c r="G690" s="346">
        <f>'ERROR FINAL'!AS693</f>
        <v/>
      </c>
      <c r="H690" s="88">
        <f>IF('ERROR FINAL'!AT693="CONFORME","CONFORME","NO CONFORME")</f>
        <v/>
      </c>
      <c r="I690" s="89">
        <f>IF(D690=0,"Medición",IF(D690=1,"Daño físico",IF(D690=2,"Fuga",IF(D690=3,"Picado",IF(D690=4,"Desfasado",IF(D690=5,"Paralizado","¿?"))))))</f>
        <v/>
      </c>
    </row>
    <row r="691">
      <c r="A691" s="82">
        <f>'ERROR FINAL'!A694</f>
        <v/>
      </c>
      <c r="B691" s="83">
        <f>'ERROR FINAL'!D694</f>
        <v/>
      </c>
      <c r="C691" s="344">
        <f>'ERROR FINAL'!G694</f>
        <v/>
      </c>
      <c r="D691" s="85">
        <f>'ERROR FINAL'!I694</f>
        <v/>
      </c>
      <c r="E691" s="345">
        <f>'ERROR FINAL'!U694</f>
        <v/>
      </c>
      <c r="F691" s="346">
        <f>'ERROR FINAL'!AG694</f>
        <v/>
      </c>
      <c r="G691" s="346">
        <f>'ERROR FINAL'!AS694</f>
        <v/>
      </c>
      <c r="H691" s="88">
        <f>IF('ERROR FINAL'!AT694="CONFORME","CONFORME","NO CONFORME")</f>
        <v/>
      </c>
      <c r="I691" s="89">
        <f>IF(D691=0,"Medición",IF(D691=1,"Daño físico",IF(D691=2,"Fuga",IF(D691=3,"Picado",IF(D691=4,"Desfasado",IF(D691=5,"Paralizado","¿?"))))))</f>
        <v/>
      </c>
    </row>
    <row r="692">
      <c r="A692" s="82">
        <f>'ERROR FINAL'!A695</f>
        <v/>
      </c>
      <c r="B692" s="83">
        <f>'ERROR FINAL'!D695</f>
        <v/>
      </c>
      <c r="C692" s="344">
        <f>'ERROR FINAL'!G695</f>
        <v/>
      </c>
      <c r="D692" s="85">
        <f>'ERROR FINAL'!I695</f>
        <v/>
      </c>
      <c r="E692" s="345">
        <f>'ERROR FINAL'!U695</f>
        <v/>
      </c>
      <c r="F692" s="346">
        <f>'ERROR FINAL'!AG695</f>
        <v/>
      </c>
      <c r="G692" s="346">
        <f>'ERROR FINAL'!AS695</f>
        <v/>
      </c>
      <c r="H692" s="88">
        <f>IF('ERROR FINAL'!AT695="CONFORME","CONFORME","NO CONFORME")</f>
        <v/>
      </c>
      <c r="I692" s="89">
        <f>IF(D692=0,"Medición",IF(D692=1,"Daño físico",IF(D692=2,"Fuga",IF(D692=3,"Picado",IF(D692=4,"Desfasado",IF(D692=5,"Paralizado","¿?"))))))</f>
        <v/>
      </c>
    </row>
    <row r="693">
      <c r="A693" s="82">
        <f>'ERROR FINAL'!A696</f>
        <v/>
      </c>
      <c r="B693" s="83">
        <f>'ERROR FINAL'!D696</f>
        <v/>
      </c>
      <c r="C693" s="344">
        <f>'ERROR FINAL'!G696</f>
        <v/>
      </c>
      <c r="D693" s="85">
        <f>'ERROR FINAL'!I696</f>
        <v/>
      </c>
      <c r="E693" s="345">
        <f>'ERROR FINAL'!U696</f>
        <v/>
      </c>
      <c r="F693" s="346">
        <f>'ERROR FINAL'!AG696</f>
        <v/>
      </c>
      <c r="G693" s="346">
        <f>'ERROR FINAL'!AS696</f>
        <v/>
      </c>
      <c r="H693" s="88">
        <f>IF('ERROR FINAL'!AT696="CONFORME","CONFORME","NO CONFORME")</f>
        <v/>
      </c>
      <c r="I693" s="89">
        <f>IF(D693=0,"Medición",IF(D693=1,"Daño físico",IF(D693=2,"Fuga",IF(D693=3,"Picado",IF(D693=4,"Desfasado",IF(D693=5,"Paralizado","¿?"))))))</f>
        <v/>
      </c>
    </row>
    <row r="694">
      <c r="A694" s="82">
        <f>'ERROR FINAL'!A697</f>
        <v/>
      </c>
      <c r="B694" s="83">
        <f>'ERROR FINAL'!D697</f>
        <v/>
      </c>
      <c r="C694" s="344">
        <f>'ERROR FINAL'!G697</f>
        <v/>
      </c>
      <c r="D694" s="85">
        <f>'ERROR FINAL'!I697</f>
        <v/>
      </c>
      <c r="E694" s="345">
        <f>'ERROR FINAL'!U697</f>
        <v/>
      </c>
      <c r="F694" s="346">
        <f>'ERROR FINAL'!AG697</f>
        <v/>
      </c>
      <c r="G694" s="346">
        <f>'ERROR FINAL'!AS697</f>
        <v/>
      </c>
      <c r="H694" s="88">
        <f>IF('ERROR FINAL'!AT697="CONFORME","CONFORME","NO CONFORME")</f>
        <v/>
      </c>
      <c r="I694" s="89">
        <f>IF(D694=0,"Medición",IF(D694=1,"Daño físico",IF(D694=2,"Fuga",IF(D694=3,"Picado",IF(D694=4,"Desfasado",IF(D694=5,"Paralizado","¿?"))))))</f>
        <v/>
      </c>
    </row>
    <row r="695">
      <c r="A695" s="82">
        <f>'ERROR FINAL'!A698</f>
        <v/>
      </c>
      <c r="B695" s="83">
        <f>'ERROR FINAL'!D698</f>
        <v/>
      </c>
      <c r="C695" s="344">
        <f>'ERROR FINAL'!G698</f>
        <v/>
      </c>
      <c r="D695" s="85">
        <f>'ERROR FINAL'!I698</f>
        <v/>
      </c>
      <c r="E695" s="345">
        <f>'ERROR FINAL'!U698</f>
        <v/>
      </c>
      <c r="F695" s="346">
        <f>'ERROR FINAL'!AG698</f>
        <v/>
      </c>
      <c r="G695" s="346">
        <f>'ERROR FINAL'!AS698</f>
        <v/>
      </c>
      <c r="H695" s="88">
        <f>IF('ERROR FINAL'!AT698="CONFORME","CONFORME","NO CONFORME")</f>
        <v/>
      </c>
      <c r="I695" s="89">
        <f>IF(D695=0,"Medición",IF(D695=1,"Daño físico",IF(D695=2,"Fuga",IF(D695=3,"Picado",IF(D695=4,"Desfasado",IF(D695=5,"Paralizado","¿?"))))))</f>
        <v/>
      </c>
    </row>
    <row r="696">
      <c r="A696" s="82">
        <f>'ERROR FINAL'!A699</f>
        <v/>
      </c>
      <c r="B696" s="83">
        <f>'ERROR FINAL'!D699</f>
        <v/>
      </c>
      <c r="C696" s="344">
        <f>'ERROR FINAL'!G699</f>
        <v/>
      </c>
      <c r="D696" s="85">
        <f>'ERROR FINAL'!I699</f>
        <v/>
      </c>
      <c r="E696" s="345">
        <f>'ERROR FINAL'!U699</f>
        <v/>
      </c>
      <c r="F696" s="346">
        <f>'ERROR FINAL'!AG699</f>
        <v/>
      </c>
      <c r="G696" s="346">
        <f>'ERROR FINAL'!AS699</f>
        <v/>
      </c>
      <c r="H696" s="88">
        <f>IF('ERROR FINAL'!AT699="CONFORME","CONFORME","NO CONFORME")</f>
        <v/>
      </c>
      <c r="I696" s="89">
        <f>IF(D696=0,"Medición",IF(D696=1,"Daño físico",IF(D696=2,"Fuga",IF(D696=3,"Picado",IF(D696=4,"Desfasado",IF(D696=5,"Paralizado","¿?"))))))</f>
        <v/>
      </c>
    </row>
    <row r="697">
      <c r="A697" s="82">
        <f>'ERROR FINAL'!A700</f>
        <v/>
      </c>
      <c r="B697" s="83">
        <f>'ERROR FINAL'!D700</f>
        <v/>
      </c>
      <c r="C697" s="344">
        <f>'ERROR FINAL'!G700</f>
        <v/>
      </c>
      <c r="D697" s="85">
        <f>'ERROR FINAL'!I700</f>
        <v/>
      </c>
      <c r="E697" s="345">
        <f>'ERROR FINAL'!U700</f>
        <v/>
      </c>
      <c r="F697" s="346">
        <f>'ERROR FINAL'!AG700</f>
        <v/>
      </c>
      <c r="G697" s="346">
        <f>'ERROR FINAL'!AS700</f>
        <v/>
      </c>
      <c r="H697" s="88">
        <f>IF('ERROR FINAL'!AT700="CONFORME","CONFORME","NO CONFORME")</f>
        <v/>
      </c>
      <c r="I697" s="89">
        <f>IF(D697=0,"Medición",IF(D697=1,"Daño físico",IF(D697=2,"Fuga",IF(D697=3,"Picado",IF(D697=4,"Desfasado",IF(D697=5,"Paralizado","¿?"))))))</f>
        <v/>
      </c>
    </row>
    <row r="698">
      <c r="A698" s="82">
        <f>'ERROR FINAL'!A701</f>
        <v/>
      </c>
      <c r="B698" s="83">
        <f>'ERROR FINAL'!D701</f>
        <v/>
      </c>
      <c r="C698" s="344">
        <f>'ERROR FINAL'!G701</f>
        <v/>
      </c>
      <c r="D698" s="85">
        <f>'ERROR FINAL'!I701</f>
        <v/>
      </c>
      <c r="E698" s="345">
        <f>'ERROR FINAL'!U701</f>
        <v/>
      </c>
      <c r="F698" s="346">
        <f>'ERROR FINAL'!AG701</f>
        <v/>
      </c>
      <c r="G698" s="346">
        <f>'ERROR FINAL'!AS701</f>
        <v/>
      </c>
      <c r="H698" s="88">
        <f>IF('ERROR FINAL'!AT701="CONFORME","CONFORME","NO CONFORME")</f>
        <v/>
      </c>
      <c r="I698" s="89">
        <f>IF(D698=0,"Medición",IF(D698=1,"Daño físico",IF(D698=2,"Fuga",IF(D698=3,"Picado",IF(D698=4,"Desfasado",IF(D698=5,"Paralizado","¿?"))))))</f>
        <v/>
      </c>
    </row>
    <row r="699">
      <c r="A699" s="82">
        <f>'ERROR FINAL'!A702</f>
        <v/>
      </c>
      <c r="B699" s="83">
        <f>'ERROR FINAL'!D702</f>
        <v/>
      </c>
      <c r="C699" s="344">
        <f>'ERROR FINAL'!G702</f>
        <v/>
      </c>
      <c r="D699" s="85">
        <f>'ERROR FINAL'!I702</f>
        <v/>
      </c>
      <c r="E699" s="345">
        <f>'ERROR FINAL'!U702</f>
        <v/>
      </c>
      <c r="F699" s="346">
        <f>'ERROR FINAL'!AG702</f>
        <v/>
      </c>
      <c r="G699" s="346">
        <f>'ERROR FINAL'!AS702</f>
        <v/>
      </c>
      <c r="H699" s="88">
        <f>IF('ERROR FINAL'!AT702="CONFORME","CONFORME","NO CONFORME")</f>
        <v/>
      </c>
      <c r="I699" s="89">
        <f>IF(D699=0,"Medición",IF(D699=1,"Daño físico",IF(D699=2,"Fuga",IF(D699=3,"Picado",IF(D699=4,"Desfasado",IF(D699=5,"Paralizado","¿?"))))))</f>
        <v/>
      </c>
    </row>
    <row r="700">
      <c r="A700" s="82">
        <f>'ERROR FINAL'!A703</f>
        <v/>
      </c>
      <c r="B700" s="83">
        <f>'ERROR FINAL'!D703</f>
        <v/>
      </c>
      <c r="C700" s="344">
        <f>'ERROR FINAL'!G703</f>
        <v/>
      </c>
      <c r="D700" s="85">
        <f>'ERROR FINAL'!I703</f>
        <v/>
      </c>
      <c r="E700" s="345">
        <f>'ERROR FINAL'!U703</f>
        <v/>
      </c>
      <c r="F700" s="346">
        <f>'ERROR FINAL'!AG703</f>
        <v/>
      </c>
      <c r="G700" s="346">
        <f>'ERROR FINAL'!AS703</f>
        <v/>
      </c>
      <c r="H700" s="88">
        <f>IF('ERROR FINAL'!AT703="CONFORME","CONFORME","NO CONFORME")</f>
        <v/>
      </c>
      <c r="I700" s="89">
        <f>IF(D700=0,"Medición",IF(D700=1,"Daño físico",IF(D700=2,"Fuga",IF(D700=3,"Picado",IF(D700=4,"Desfasado",IF(D700=5,"Paralizado","¿?"))))))</f>
        <v/>
      </c>
    </row>
    <row r="701">
      <c r="A701" s="82">
        <f>'ERROR FINAL'!A704</f>
        <v/>
      </c>
      <c r="B701" s="83">
        <f>'ERROR FINAL'!D704</f>
        <v/>
      </c>
      <c r="C701" s="344">
        <f>'ERROR FINAL'!G704</f>
        <v/>
      </c>
      <c r="D701" s="85">
        <f>'ERROR FINAL'!I704</f>
        <v/>
      </c>
      <c r="E701" s="345">
        <f>'ERROR FINAL'!U704</f>
        <v/>
      </c>
      <c r="F701" s="346">
        <f>'ERROR FINAL'!AG704</f>
        <v/>
      </c>
      <c r="G701" s="346">
        <f>'ERROR FINAL'!AS704</f>
        <v/>
      </c>
      <c r="H701" s="88">
        <f>IF('ERROR FINAL'!AT704="CONFORME","CONFORME","NO CONFORME")</f>
        <v/>
      </c>
      <c r="I701" s="89">
        <f>IF(D701=0,"Medición",IF(D701=1,"Daño físico",IF(D701=2,"Fuga",IF(D701=3,"Picado",IF(D701=4,"Desfasado",IF(D701=5,"Paralizado","¿?"))))))</f>
        <v/>
      </c>
    </row>
    <row r="702">
      <c r="A702" s="82">
        <f>'ERROR FINAL'!A705</f>
        <v/>
      </c>
      <c r="B702" s="83">
        <f>'ERROR FINAL'!D705</f>
        <v/>
      </c>
      <c r="C702" s="344">
        <f>'ERROR FINAL'!G705</f>
        <v/>
      </c>
      <c r="D702" s="85">
        <f>'ERROR FINAL'!I705</f>
        <v/>
      </c>
      <c r="E702" s="345">
        <f>'ERROR FINAL'!U705</f>
        <v/>
      </c>
      <c r="F702" s="346">
        <f>'ERROR FINAL'!AG705</f>
        <v/>
      </c>
      <c r="G702" s="346">
        <f>'ERROR FINAL'!AS705</f>
        <v/>
      </c>
      <c r="H702" s="88">
        <f>IF('ERROR FINAL'!AT705="CONFORME","CONFORME","NO CONFORME")</f>
        <v/>
      </c>
      <c r="I702" s="89">
        <f>IF(D702=0,"Medición",IF(D702=1,"Daño físico",IF(D702=2,"Fuga",IF(D702=3,"Picado",IF(D702=4,"Desfasado",IF(D702=5,"Paralizado","¿?"))))))</f>
        <v/>
      </c>
    </row>
    <row r="703">
      <c r="A703" s="82">
        <f>'ERROR FINAL'!A706</f>
        <v/>
      </c>
      <c r="B703" s="83">
        <f>'ERROR FINAL'!D706</f>
        <v/>
      </c>
      <c r="C703" s="344">
        <f>'ERROR FINAL'!G706</f>
        <v/>
      </c>
      <c r="D703" s="85">
        <f>'ERROR FINAL'!I706</f>
        <v/>
      </c>
      <c r="E703" s="345">
        <f>'ERROR FINAL'!U706</f>
        <v/>
      </c>
      <c r="F703" s="346">
        <f>'ERROR FINAL'!AG706</f>
        <v/>
      </c>
      <c r="G703" s="346">
        <f>'ERROR FINAL'!AS706</f>
        <v/>
      </c>
      <c r="H703" s="88">
        <f>IF('ERROR FINAL'!AT706="CONFORME","CONFORME","NO CONFORME")</f>
        <v/>
      </c>
      <c r="I703" s="89">
        <f>IF(D703=0,"Medición",IF(D703=1,"Daño físico",IF(D703=2,"Fuga",IF(D703=3,"Picado",IF(D703=4,"Desfasado",IF(D703=5,"Paralizado","¿?"))))))</f>
        <v/>
      </c>
    </row>
    <row r="704">
      <c r="A704" s="82">
        <f>'ERROR FINAL'!A707</f>
        <v/>
      </c>
      <c r="B704" s="83">
        <f>'ERROR FINAL'!D707</f>
        <v/>
      </c>
      <c r="C704" s="344">
        <f>'ERROR FINAL'!G707</f>
        <v/>
      </c>
      <c r="D704" s="85">
        <f>'ERROR FINAL'!I707</f>
        <v/>
      </c>
      <c r="E704" s="345">
        <f>'ERROR FINAL'!U707</f>
        <v/>
      </c>
      <c r="F704" s="346">
        <f>'ERROR FINAL'!AG707</f>
        <v/>
      </c>
      <c r="G704" s="346">
        <f>'ERROR FINAL'!AS707</f>
        <v/>
      </c>
      <c r="H704" s="88">
        <f>IF('ERROR FINAL'!AT707="CONFORME","CONFORME","NO CONFORME")</f>
        <v/>
      </c>
      <c r="I704" s="89">
        <f>IF(D704=0,"Medición",IF(D704=1,"Daño físico",IF(D704=2,"Fuga",IF(D704=3,"Picado",IF(D704=4,"Desfasado",IF(D704=5,"Paralizado","¿?"))))))</f>
        <v/>
      </c>
    </row>
    <row r="705">
      <c r="A705" s="82">
        <f>'ERROR FINAL'!A708</f>
        <v/>
      </c>
      <c r="B705" s="83">
        <f>'ERROR FINAL'!D708</f>
        <v/>
      </c>
      <c r="C705" s="344">
        <f>'ERROR FINAL'!G708</f>
        <v/>
      </c>
      <c r="D705" s="85">
        <f>'ERROR FINAL'!I708</f>
        <v/>
      </c>
      <c r="E705" s="345">
        <f>'ERROR FINAL'!U708</f>
        <v/>
      </c>
      <c r="F705" s="346">
        <f>'ERROR FINAL'!AG708</f>
        <v/>
      </c>
      <c r="G705" s="346">
        <f>'ERROR FINAL'!AS708</f>
        <v/>
      </c>
      <c r="H705" s="88">
        <f>IF('ERROR FINAL'!AT708="CONFORME","CONFORME","NO CONFORME")</f>
        <v/>
      </c>
      <c r="I705" s="89">
        <f>IF(D705=0,"Medición",IF(D705=1,"Daño físico",IF(D705=2,"Fuga",IF(D705=3,"Picado",IF(D705=4,"Desfasado",IF(D705=5,"Paralizado","¿?"))))))</f>
        <v/>
      </c>
    </row>
    <row r="706">
      <c r="A706" s="82">
        <f>'ERROR FINAL'!A709</f>
        <v/>
      </c>
      <c r="B706" s="83">
        <f>'ERROR FINAL'!D709</f>
        <v/>
      </c>
      <c r="C706" s="344">
        <f>'ERROR FINAL'!G709</f>
        <v/>
      </c>
      <c r="D706" s="85">
        <f>'ERROR FINAL'!I709</f>
        <v/>
      </c>
      <c r="E706" s="345">
        <f>'ERROR FINAL'!U709</f>
        <v/>
      </c>
      <c r="F706" s="346">
        <f>'ERROR FINAL'!AG709</f>
        <v/>
      </c>
      <c r="G706" s="346">
        <f>'ERROR FINAL'!AS709</f>
        <v/>
      </c>
      <c r="H706" s="88">
        <f>IF('ERROR FINAL'!AT709="CONFORME","CONFORME","NO CONFORME")</f>
        <v/>
      </c>
      <c r="I706" s="89">
        <f>IF(D706=0,"Medición",IF(D706=1,"Daño físico",IF(D706=2,"Fuga",IF(D706=3,"Picado",IF(D706=4,"Desfasado",IF(D706=5,"Paralizado","¿?"))))))</f>
        <v/>
      </c>
    </row>
    <row r="707">
      <c r="A707" s="82">
        <f>'ERROR FINAL'!A710</f>
        <v/>
      </c>
      <c r="B707" s="83">
        <f>'ERROR FINAL'!D710</f>
        <v/>
      </c>
      <c r="C707" s="344">
        <f>'ERROR FINAL'!G710</f>
        <v/>
      </c>
      <c r="D707" s="85">
        <f>'ERROR FINAL'!I710</f>
        <v/>
      </c>
      <c r="E707" s="345">
        <f>'ERROR FINAL'!U710</f>
        <v/>
      </c>
      <c r="F707" s="346">
        <f>'ERROR FINAL'!AG710</f>
        <v/>
      </c>
      <c r="G707" s="346">
        <f>'ERROR FINAL'!AS710</f>
        <v/>
      </c>
      <c r="H707" s="88">
        <f>IF('ERROR FINAL'!AT710="CONFORME","CONFORME","NO CONFORME")</f>
        <v/>
      </c>
      <c r="I707" s="89">
        <f>IF(D707=0,"Medición",IF(D707=1,"Daño físico",IF(D707=2,"Fuga",IF(D707=3,"Picado",IF(D707=4,"Desfasado",IF(D707=5,"Paralizado","¿?"))))))</f>
        <v/>
      </c>
    </row>
    <row r="708">
      <c r="A708" s="82">
        <f>'ERROR FINAL'!A711</f>
        <v/>
      </c>
      <c r="B708" s="83">
        <f>'ERROR FINAL'!D711</f>
        <v/>
      </c>
      <c r="C708" s="344">
        <f>'ERROR FINAL'!G711</f>
        <v/>
      </c>
      <c r="D708" s="85">
        <f>'ERROR FINAL'!I711</f>
        <v/>
      </c>
      <c r="E708" s="345">
        <f>'ERROR FINAL'!U711</f>
        <v/>
      </c>
      <c r="F708" s="346">
        <f>'ERROR FINAL'!AG711</f>
        <v/>
      </c>
      <c r="G708" s="346">
        <f>'ERROR FINAL'!AS711</f>
        <v/>
      </c>
      <c r="H708" s="88">
        <f>IF('ERROR FINAL'!AT711="CONFORME","CONFORME","NO CONFORME")</f>
        <v/>
      </c>
      <c r="I708" s="89">
        <f>IF(D708=0,"Medición",IF(D708=1,"Daño físico",IF(D708=2,"Fuga",IF(D708=3,"Picado",IF(D708=4,"Desfasado",IF(D708=5,"Paralizado","¿?"))))))</f>
        <v/>
      </c>
    </row>
    <row r="709">
      <c r="A709" s="82">
        <f>'ERROR FINAL'!A712</f>
        <v/>
      </c>
      <c r="B709" s="83">
        <f>'ERROR FINAL'!D712</f>
        <v/>
      </c>
      <c r="C709" s="344">
        <f>'ERROR FINAL'!G712</f>
        <v/>
      </c>
      <c r="D709" s="85">
        <f>'ERROR FINAL'!I712</f>
        <v/>
      </c>
      <c r="E709" s="345">
        <f>'ERROR FINAL'!U712</f>
        <v/>
      </c>
      <c r="F709" s="346">
        <f>'ERROR FINAL'!AG712</f>
        <v/>
      </c>
      <c r="G709" s="346">
        <f>'ERROR FINAL'!AS712</f>
        <v/>
      </c>
      <c r="H709" s="88">
        <f>IF('ERROR FINAL'!AT712="CONFORME","CONFORME","NO CONFORME")</f>
        <v/>
      </c>
      <c r="I709" s="89">
        <f>IF(D709=0,"Medición",IF(D709=1,"Daño físico",IF(D709=2,"Fuga",IF(D709=3,"Picado",IF(D709=4,"Desfasado",IF(D709=5,"Paralizado","¿?"))))))</f>
        <v/>
      </c>
    </row>
    <row r="710">
      <c r="A710" s="82">
        <f>'ERROR FINAL'!A713</f>
        <v/>
      </c>
      <c r="B710" s="83">
        <f>'ERROR FINAL'!D713</f>
        <v/>
      </c>
      <c r="C710" s="344">
        <f>'ERROR FINAL'!G713</f>
        <v/>
      </c>
      <c r="D710" s="85">
        <f>'ERROR FINAL'!I713</f>
        <v/>
      </c>
      <c r="E710" s="345">
        <f>'ERROR FINAL'!U713</f>
        <v/>
      </c>
      <c r="F710" s="346">
        <f>'ERROR FINAL'!AG713</f>
        <v/>
      </c>
      <c r="G710" s="346">
        <f>'ERROR FINAL'!AS713</f>
        <v/>
      </c>
      <c r="H710" s="88">
        <f>IF('ERROR FINAL'!AT713="CONFORME","CONFORME","NO CONFORME")</f>
        <v/>
      </c>
      <c r="I710" s="89">
        <f>IF(D710=0,"Medición",IF(D710=1,"Daño físico",IF(D710=2,"Fuga",IF(D710=3,"Picado",IF(D710=4,"Desfasado",IF(D710=5,"Paralizado","¿?"))))))</f>
        <v/>
      </c>
    </row>
    <row r="711">
      <c r="A711" s="82">
        <f>'ERROR FINAL'!A714</f>
        <v/>
      </c>
      <c r="B711" s="83">
        <f>'ERROR FINAL'!D714</f>
        <v/>
      </c>
      <c r="C711" s="344">
        <f>'ERROR FINAL'!G714</f>
        <v/>
      </c>
      <c r="D711" s="85">
        <f>'ERROR FINAL'!I714</f>
        <v/>
      </c>
      <c r="E711" s="345">
        <f>'ERROR FINAL'!U714</f>
        <v/>
      </c>
      <c r="F711" s="346">
        <f>'ERROR FINAL'!AG714</f>
        <v/>
      </c>
      <c r="G711" s="346">
        <f>'ERROR FINAL'!AS714</f>
        <v/>
      </c>
      <c r="H711" s="88">
        <f>IF('ERROR FINAL'!AT714="CONFORME","CONFORME","NO CONFORME")</f>
        <v/>
      </c>
      <c r="I711" s="89">
        <f>IF(D711=0,"Medición",IF(D711=1,"Daño físico",IF(D711=2,"Fuga",IF(D711=3,"Picado",IF(D711=4,"Desfasado",IF(D711=5,"Paralizado","¿?"))))))</f>
        <v/>
      </c>
    </row>
    <row r="712">
      <c r="A712" s="82">
        <f>'ERROR FINAL'!A715</f>
        <v/>
      </c>
      <c r="B712" s="83">
        <f>'ERROR FINAL'!D715</f>
        <v/>
      </c>
      <c r="C712" s="344">
        <f>'ERROR FINAL'!G715</f>
        <v/>
      </c>
      <c r="D712" s="85">
        <f>'ERROR FINAL'!I715</f>
        <v/>
      </c>
      <c r="E712" s="345">
        <f>'ERROR FINAL'!U715</f>
        <v/>
      </c>
      <c r="F712" s="346">
        <f>'ERROR FINAL'!AG715</f>
        <v/>
      </c>
      <c r="G712" s="346">
        <f>'ERROR FINAL'!AS715</f>
        <v/>
      </c>
      <c r="H712" s="88">
        <f>IF('ERROR FINAL'!AT715="CONFORME","CONFORME","NO CONFORME")</f>
        <v/>
      </c>
      <c r="I712" s="89">
        <f>IF(D712=0,"Medición",IF(D712=1,"Daño físico",IF(D712=2,"Fuga",IF(D712=3,"Picado",IF(D712=4,"Desfasado",IF(D712=5,"Paralizado","¿?"))))))</f>
        <v/>
      </c>
    </row>
    <row r="713">
      <c r="A713" s="82">
        <f>'ERROR FINAL'!A716</f>
        <v/>
      </c>
      <c r="B713" s="83">
        <f>'ERROR FINAL'!D716</f>
        <v/>
      </c>
      <c r="C713" s="344">
        <f>'ERROR FINAL'!G716</f>
        <v/>
      </c>
      <c r="D713" s="85">
        <f>'ERROR FINAL'!I716</f>
        <v/>
      </c>
      <c r="E713" s="345">
        <f>'ERROR FINAL'!U716</f>
        <v/>
      </c>
      <c r="F713" s="346">
        <f>'ERROR FINAL'!AG716</f>
        <v/>
      </c>
      <c r="G713" s="346">
        <f>'ERROR FINAL'!AS716</f>
        <v/>
      </c>
      <c r="H713" s="88">
        <f>IF('ERROR FINAL'!AT716="CONFORME","CONFORME","NO CONFORME")</f>
        <v/>
      </c>
      <c r="I713" s="89">
        <f>IF(D713=0,"Medición",IF(D713=1,"Daño físico",IF(D713=2,"Fuga",IF(D713=3,"Picado",IF(D713=4,"Desfasado",IF(D713=5,"Paralizado","¿?"))))))</f>
        <v/>
      </c>
    </row>
    <row r="714">
      <c r="A714" s="82">
        <f>'ERROR FINAL'!A717</f>
        <v/>
      </c>
      <c r="B714" s="83">
        <f>'ERROR FINAL'!D717</f>
        <v/>
      </c>
      <c r="C714" s="344">
        <f>'ERROR FINAL'!G717</f>
        <v/>
      </c>
      <c r="D714" s="85">
        <f>'ERROR FINAL'!I717</f>
        <v/>
      </c>
      <c r="E714" s="345">
        <f>'ERROR FINAL'!U717</f>
        <v/>
      </c>
      <c r="F714" s="346">
        <f>'ERROR FINAL'!AG717</f>
        <v/>
      </c>
      <c r="G714" s="346">
        <f>'ERROR FINAL'!AS717</f>
        <v/>
      </c>
      <c r="H714" s="88">
        <f>IF('ERROR FINAL'!AT717="CONFORME","CONFORME","NO CONFORME")</f>
        <v/>
      </c>
      <c r="I714" s="89">
        <f>IF(D714=0,"Medición",IF(D714=1,"Daño físico",IF(D714=2,"Fuga",IF(D714=3,"Picado",IF(D714=4,"Desfasado",IF(D714=5,"Paralizado","¿?"))))))</f>
        <v/>
      </c>
    </row>
    <row r="715">
      <c r="A715" s="82">
        <f>'ERROR FINAL'!A718</f>
        <v/>
      </c>
      <c r="B715" s="83">
        <f>'ERROR FINAL'!D718</f>
        <v/>
      </c>
      <c r="C715" s="344">
        <f>'ERROR FINAL'!G718</f>
        <v/>
      </c>
      <c r="D715" s="85">
        <f>'ERROR FINAL'!I718</f>
        <v/>
      </c>
      <c r="E715" s="345">
        <f>'ERROR FINAL'!U718</f>
        <v/>
      </c>
      <c r="F715" s="346">
        <f>'ERROR FINAL'!AG718</f>
        <v/>
      </c>
      <c r="G715" s="346">
        <f>'ERROR FINAL'!AS718</f>
        <v/>
      </c>
      <c r="H715" s="88">
        <f>IF('ERROR FINAL'!AT718="CONFORME","CONFORME","NO CONFORME")</f>
        <v/>
      </c>
      <c r="I715" s="89">
        <f>IF(D715=0,"Medición",IF(D715=1,"Daño físico",IF(D715=2,"Fuga",IF(D715=3,"Picado",IF(D715=4,"Desfasado",IF(D715=5,"Paralizado","¿?"))))))</f>
        <v/>
      </c>
    </row>
    <row r="716">
      <c r="A716" s="82">
        <f>'ERROR FINAL'!A719</f>
        <v/>
      </c>
      <c r="B716" s="83">
        <f>'ERROR FINAL'!D719</f>
        <v/>
      </c>
      <c r="C716" s="344">
        <f>'ERROR FINAL'!G719</f>
        <v/>
      </c>
      <c r="D716" s="85">
        <f>'ERROR FINAL'!I719</f>
        <v/>
      </c>
      <c r="E716" s="345">
        <f>'ERROR FINAL'!U719</f>
        <v/>
      </c>
      <c r="F716" s="346">
        <f>'ERROR FINAL'!AG719</f>
        <v/>
      </c>
      <c r="G716" s="346">
        <f>'ERROR FINAL'!AS719</f>
        <v/>
      </c>
      <c r="H716" s="88">
        <f>IF('ERROR FINAL'!AT719="CONFORME","CONFORME","NO CONFORME")</f>
        <v/>
      </c>
      <c r="I716" s="89">
        <f>IF(D716=0,"Medición",IF(D716=1,"Daño físico",IF(D716=2,"Fuga",IF(D716=3,"Picado",IF(D716=4,"Desfasado",IF(D716=5,"Paralizado","¿?"))))))</f>
        <v/>
      </c>
    </row>
    <row r="717">
      <c r="A717" s="82">
        <f>'ERROR FINAL'!A720</f>
        <v/>
      </c>
      <c r="B717" s="83">
        <f>'ERROR FINAL'!D720</f>
        <v/>
      </c>
      <c r="C717" s="344">
        <f>'ERROR FINAL'!G720</f>
        <v/>
      </c>
      <c r="D717" s="85">
        <f>'ERROR FINAL'!I720</f>
        <v/>
      </c>
      <c r="E717" s="345">
        <f>'ERROR FINAL'!U720</f>
        <v/>
      </c>
      <c r="F717" s="346">
        <f>'ERROR FINAL'!AG720</f>
        <v/>
      </c>
      <c r="G717" s="346">
        <f>'ERROR FINAL'!AS720</f>
        <v/>
      </c>
      <c r="H717" s="88">
        <f>IF('ERROR FINAL'!AT720="CONFORME","CONFORME","NO CONFORME")</f>
        <v/>
      </c>
      <c r="I717" s="89">
        <f>IF(D717=0,"Medición",IF(D717=1,"Daño físico",IF(D717=2,"Fuga",IF(D717=3,"Picado",IF(D717=4,"Desfasado",IF(D717=5,"Paralizado","¿?"))))))</f>
        <v/>
      </c>
    </row>
    <row r="718">
      <c r="A718" s="82">
        <f>'ERROR FINAL'!A721</f>
        <v/>
      </c>
      <c r="B718" s="83">
        <f>'ERROR FINAL'!D721</f>
        <v/>
      </c>
      <c r="C718" s="344">
        <f>'ERROR FINAL'!G721</f>
        <v/>
      </c>
      <c r="D718" s="85">
        <f>'ERROR FINAL'!I721</f>
        <v/>
      </c>
      <c r="E718" s="345">
        <f>'ERROR FINAL'!U721</f>
        <v/>
      </c>
      <c r="F718" s="346">
        <f>'ERROR FINAL'!AG721</f>
        <v/>
      </c>
      <c r="G718" s="346">
        <f>'ERROR FINAL'!AS721</f>
        <v/>
      </c>
      <c r="H718" s="88">
        <f>IF('ERROR FINAL'!AT721="CONFORME","CONFORME","NO CONFORME")</f>
        <v/>
      </c>
      <c r="I718" s="89">
        <f>IF(D718=0,"Medición",IF(D718=1,"Daño físico",IF(D718=2,"Fuga",IF(D718=3,"Picado",IF(D718=4,"Desfasado",IF(D718=5,"Paralizado","¿?"))))))</f>
        <v/>
      </c>
    </row>
    <row r="719">
      <c r="A719" s="82">
        <f>'ERROR FINAL'!A722</f>
        <v/>
      </c>
      <c r="B719" s="83">
        <f>'ERROR FINAL'!D722</f>
        <v/>
      </c>
      <c r="C719" s="344">
        <f>'ERROR FINAL'!G722</f>
        <v/>
      </c>
      <c r="D719" s="85">
        <f>'ERROR FINAL'!I722</f>
        <v/>
      </c>
      <c r="E719" s="345">
        <f>'ERROR FINAL'!U722</f>
        <v/>
      </c>
      <c r="F719" s="346">
        <f>'ERROR FINAL'!AG722</f>
        <v/>
      </c>
      <c r="G719" s="346">
        <f>'ERROR FINAL'!AS722</f>
        <v/>
      </c>
      <c r="H719" s="88">
        <f>IF('ERROR FINAL'!AT722="CONFORME","CONFORME","NO CONFORME")</f>
        <v/>
      </c>
      <c r="I719" s="89">
        <f>IF(D719=0,"Medición",IF(D719=1,"Daño físico",IF(D719=2,"Fuga",IF(D719=3,"Picado",IF(D719=4,"Desfasado",IF(D719=5,"Paralizado","¿?"))))))</f>
        <v/>
      </c>
    </row>
    <row r="720">
      <c r="A720" s="82">
        <f>'ERROR FINAL'!A723</f>
        <v/>
      </c>
      <c r="B720" s="83">
        <f>'ERROR FINAL'!D723</f>
        <v/>
      </c>
      <c r="C720" s="344">
        <f>'ERROR FINAL'!G723</f>
        <v/>
      </c>
      <c r="D720" s="85">
        <f>'ERROR FINAL'!I723</f>
        <v/>
      </c>
      <c r="E720" s="345">
        <f>'ERROR FINAL'!U723</f>
        <v/>
      </c>
      <c r="F720" s="346">
        <f>'ERROR FINAL'!AG723</f>
        <v/>
      </c>
      <c r="G720" s="346">
        <f>'ERROR FINAL'!AS723</f>
        <v/>
      </c>
      <c r="H720" s="88">
        <f>IF('ERROR FINAL'!AT723="CONFORME","CONFORME","NO CONFORME")</f>
        <v/>
      </c>
      <c r="I720" s="89">
        <f>IF(D720=0,"Medición",IF(D720=1,"Daño físico",IF(D720=2,"Fuga",IF(D720=3,"Picado",IF(D720=4,"Desfasado",IF(D720=5,"Paralizado","¿?"))))))</f>
        <v/>
      </c>
    </row>
    <row r="721">
      <c r="A721" s="82">
        <f>'ERROR FINAL'!A724</f>
        <v/>
      </c>
      <c r="B721" s="83">
        <f>'ERROR FINAL'!D724</f>
        <v/>
      </c>
      <c r="C721" s="344">
        <f>'ERROR FINAL'!G724</f>
        <v/>
      </c>
      <c r="D721" s="85">
        <f>'ERROR FINAL'!I724</f>
        <v/>
      </c>
      <c r="E721" s="345">
        <f>'ERROR FINAL'!U724</f>
        <v/>
      </c>
      <c r="F721" s="346">
        <f>'ERROR FINAL'!AG724</f>
        <v/>
      </c>
      <c r="G721" s="346">
        <f>'ERROR FINAL'!AS724</f>
        <v/>
      </c>
      <c r="H721" s="88">
        <f>IF('ERROR FINAL'!AT724="CONFORME","CONFORME","NO CONFORME")</f>
        <v/>
      </c>
      <c r="I721" s="89">
        <f>IF(D721=0,"Medición",IF(D721=1,"Daño físico",IF(D721=2,"Fuga",IF(D721=3,"Picado",IF(D721=4,"Desfasado",IF(D721=5,"Paralizado","¿?"))))))</f>
        <v/>
      </c>
    </row>
    <row r="722">
      <c r="A722" s="82">
        <f>'ERROR FINAL'!A725</f>
        <v/>
      </c>
      <c r="B722" s="83">
        <f>'ERROR FINAL'!D725</f>
        <v/>
      </c>
      <c r="C722" s="344">
        <f>'ERROR FINAL'!G725</f>
        <v/>
      </c>
      <c r="D722" s="85">
        <f>'ERROR FINAL'!I725</f>
        <v/>
      </c>
      <c r="E722" s="345">
        <f>'ERROR FINAL'!U725</f>
        <v/>
      </c>
      <c r="F722" s="346">
        <f>'ERROR FINAL'!AG725</f>
        <v/>
      </c>
      <c r="G722" s="346">
        <f>'ERROR FINAL'!AS725</f>
        <v/>
      </c>
      <c r="H722" s="88">
        <f>IF('ERROR FINAL'!AT725="CONFORME","CONFORME","NO CONFORME")</f>
        <v/>
      </c>
      <c r="I722" s="89">
        <f>IF(D722=0,"Medición",IF(D722=1,"Daño físico",IF(D722=2,"Fuga",IF(D722=3,"Picado",IF(D722=4,"Desfasado",IF(D722=5,"Paralizado","¿?"))))))</f>
        <v/>
      </c>
    </row>
    <row r="723">
      <c r="A723" s="82">
        <f>'ERROR FINAL'!A726</f>
        <v/>
      </c>
      <c r="B723" s="83">
        <f>'ERROR FINAL'!D726</f>
        <v/>
      </c>
      <c r="C723" s="344">
        <f>'ERROR FINAL'!G726</f>
        <v/>
      </c>
      <c r="D723" s="85">
        <f>'ERROR FINAL'!I726</f>
        <v/>
      </c>
      <c r="E723" s="345">
        <f>'ERROR FINAL'!U726</f>
        <v/>
      </c>
      <c r="F723" s="346">
        <f>'ERROR FINAL'!AG726</f>
        <v/>
      </c>
      <c r="G723" s="346">
        <f>'ERROR FINAL'!AS726</f>
        <v/>
      </c>
      <c r="H723" s="88">
        <f>IF('ERROR FINAL'!AT726="CONFORME","CONFORME","NO CONFORME")</f>
        <v/>
      </c>
      <c r="I723" s="89">
        <f>IF(D723=0,"Medición",IF(D723=1,"Daño físico",IF(D723=2,"Fuga",IF(D723=3,"Picado",IF(D723=4,"Desfasado",IF(D723=5,"Paralizado","¿?"))))))</f>
        <v/>
      </c>
    </row>
    <row r="724">
      <c r="A724" s="82">
        <f>'ERROR FINAL'!A727</f>
        <v/>
      </c>
      <c r="B724" s="83">
        <f>'ERROR FINAL'!D727</f>
        <v/>
      </c>
      <c r="C724" s="344">
        <f>'ERROR FINAL'!G727</f>
        <v/>
      </c>
      <c r="D724" s="85">
        <f>'ERROR FINAL'!I727</f>
        <v/>
      </c>
      <c r="E724" s="345">
        <f>'ERROR FINAL'!U727</f>
        <v/>
      </c>
      <c r="F724" s="346">
        <f>'ERROR FINAL'!AG727</f>
        <v/>
      </c>
      <c r="G724" s="346">
        <f>'ERROR FINAL'!AS727</f>
        <v/>
      </c>
      <c r="H724" s="88">
        <f>IF('ERROR FINAL'!AT727="CONFORME","CONFORME","NO CONFORME")</f>
        <v/>
      </c>
      <c r="I724" s="89">
        <f>IF(D724=0,"Medición",IF(D724=1,"Daño físico",IF(D724=2,"Fuga",IF(D724=3,"Picado",IF(D724=4,"Desfasado",IF(D724=5,"Paralizado","¿?"))))))</f>
        <v/>
      </c>
    </row>
    <row r="725">
      <c r="A725" s="82">
        <f>'ERROR FINAL'!A728</f>
        <v/>
      </c>
      <c r="B725" s="83">
        <f>'ERROR FINAL'!D728</f>
        <v/>
      </c>
      <c r="C725" s="344">
        <f>'ERROR FINAL'!G728</f>
        <v/>
      </c>
      <c r="D725" s="85">
        <f>'ERROR FINAL'!I728</f>
        <v/>
      </c>
      <c r="E725" s="345">
        <f>'ERROR FINAL'!U728</f>
        <v/>
      </c>
      <c r="F725" s="346">
        <f>'ERROR FINAL'!AG728</f>
        <v/>
      </c>
      <c r="G725" s="346">
        <f>'ERROR FINAL'!AS728</f>
        <v/>
      </c>
      <c r="H725" s="88">
        <f>IF('ERROR FINAL'!AT728="CONFORME","CONFORME","NO CONFORME")</f>
        <v/>
      </c>
      <c r="I725" s="89">
        <f>IF(D725=0,"Medición",IF(D725=1,"Daño físico",IF(D725=2,"Fuga",IF(D725=3,"Picado",IF(D725=4,"Desfasado",IF(D725=5,"Paralizado","¿?"))))))</f>
        <v/>
      </c>
    </row>
  </sheetData>
  <autoFilter ref="A3:I725"/>
  <mergeCells count="10">
    <mergeCell ref="H3:H5"/>
    <mergeCell ref="C3:C5"/>
    <mergeCell ref="G3:G5"/>
    <mergeCell ref="A3:A5"/>
    <mergeCell ref="E3:E5"/>
    <mergeCell ref="F3:F5"/>
    <mergeCell ref="D3:D5"/>
    <mergeCell ref="B3:B5"/>
    <mergeCell ref="A1:B1"/>
    <mergeCell ref="I3:I5"/>
  </mergeCells>
  <conditionalFormatting sqref="E6:F725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725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:G725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:H725">
    <cfRule type="cellIs" priority="1" operator="equal" dxfId="0">
      <formula>"NO CONFORME"</formula>
    </cfRule>
  </conditionalFormatting>
  <pageMargins left="0.2362204724409449" right="0.2362204724409449" top="0" bottom="0" header="0.3149606299212598" footer="0.3149606299212598"/>
  <pageSetup orientation="portrait" paperSize="9" scale="14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F20" sqref="F20"/>
    </sheetView>
  </sheetViews>
  <sheetFormatPr baseColWidth="10" defaultRowHeight="12.75"/>
  <cols>
    <col width="8" customWidth="1" min="2" max="2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5" customHeight="1" thickBo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116" t="n"/>
      <c r="B6" s="117" t="n"/>
      <c r="C6" s="347" t="n"/>
      <c r="D6" s="119" t="n"/>
      <c r="E6" s="348" t="n"/>
      <c r="F6" s="349" t="n"/>
      <c r="G6" s="349" t="n"/>
      <c r="H6" s="122" t="n"/>
      <c r="I6" s="123" t="n"/>
    </row>
    <row r="10">
      <c r="B10" s="131" t="n"/>
    </row>
  </sheetData>
  <mergeCells count="10">
    <mergeCell ref="H3:H5"/>
    <mergeCell ref="C3:C5"/>
    <mergeCell ref="A3:A5"/>
    <mergeCell ref="G3:G5"/>
    <mergeCell ref="E3:E5"/>
    <mergeCell ref="F3:F5"/>
    <mergeCell ref="D3:D5"/>
    <mergeCell ref="A1:B1"/>
    <mergeCell ref="B3:B5"/>
    <mergeCell ref="I3:I5"/>
  </mergeCells>
  <conditionalFormatting sqref="E6:F6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6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">
    <cfRule type="cellIs" priority="1" operator="equal" dxfId="0">
      <formula>"NO CONFORME"</formula>
    </cfRule>
  </conditionalFormatting>
  <pageMargins left="0.2362204724409449" right="0.2362204724409449" top="0.7480314960629921" bottom="0.7480314960629921" header="0.3149606299212598" footer="0.3149606299212598"/>
  <pageSetup orientation="portrait" paperSize="9" scale="97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9" sqref="C39"/>
    </sheetView>
  </sheetViews>
  <sheetFormatPr baseColWidth="10" defaultColWidth="11.5703125" defaultRowHeight="12.75"/>
  <cols>
    <col width="11.5703125" customWidth="1" style="126" min="1" max="2"/>
    <col width="29.85546875" customWidth="1" style="126" min="3" max="3"/>
    <col width="11.5703125" customWidth="1" style="126" min="4" max="16384"/>
  </cols>
  <sheetData>
    <row r="1">
      <c r="A1" s="125" t="inlineStr">
        <is>
          <t>Fecha</t>
        </is>
      </c>
      <c r="B1" s="125" t="inlineStr">
        <is>
          <t>Celdas</t>
        </is>
      </c>
      <c r="C1" s="125" t="inlineStr">
        <is>
          <t>Descripción</t>
        </is>
      </c>
    </row>
    <row r="2">
      <c r="A2" s="350" t="n">
        <v>45555</v>
      </c>
      <c r="B2" s="125" t="inlineStr">
        <is>
          <t>O4</t>
        </is>
      </c>
      <c r="C2" s="125" t="inlineStr">
        <is>
          <t>Se agregó "500" como opción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</dc:creator>
  <dcterms:created xsi:type="dcterms:W3CDTF">2004-07-20T12:46:03Z</dcterms:created>
  <dcterms:modified xsi:type="dcterms:W3CDTF">2025-12-16T18:35:39Z</dcterms:modified>
  <cp:lastModifiedBy>medileser SAC</cp:lastModifiedBy>
  <cp:lastPrinted>2023-11-20T19:43:35Z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96 96 1366 768</vt:lpwstr>
  </property>
</Properties>
</file>