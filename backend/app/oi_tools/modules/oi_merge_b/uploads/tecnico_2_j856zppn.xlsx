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fileSharing userName="Banco03" algorithmName="SHA-512" hashValue="YPubocebq576cjEQBVa9ARA+mct4IWujU6y+tN+Lf620mBIwn8s3WOnAVBrJLxv9CpodKXFpq98FRa4ShXfSpQ==" saltValue="9hfY1eGLTYs7vWp/M5ZBj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3\Desktop\DIEGO FLORES MANCILLA\"/>
    </mc:Choice>
  </mc:AlternateContent>
  <xr:revisionPtr revIDLastSave="0" documentId="13_ncr:10001_{2D38F41E-D5DE-4D46-8DDF-BCC54F0457D2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AG9" i="27"/>
  <c r="E1" i="29"/>
  <c r="BB9" i="27" l="1"/>
  <c r="AM16" i="27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F22" i="27" l="1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E157" i="27" l="1"/>
  <c r="AQ156" i="27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E213" i="27" l="1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Q260" i="27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<sst xmlns="http://schemas.openxmlformats.org/spreadsheetml/2006/main" count="110" uniqueCount="67">
  <si>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</si>
  <si>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</si>
  <si>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</si>
  <si>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</si>
  <si>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</si>
  <si>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</si>
  <si>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</si>
  <si>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</si>
  <si>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</si>
  <si>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</si>
  <si>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</si>
  <si>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</si>
  <si>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</si>
  <si>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</si>
  <si>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</si>
  <si>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</si>
  <si>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</si>
  <si>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</si>
  <si>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</si>
  <si>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</si>
  <si>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</si>
  <si>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</si>
  <si>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</si>
  <si>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</si>
  <si>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</si>
  <si>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</si>
  <si>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</si>
  <si>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</si>
  <si>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</si>
  <si>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</si>
  <si>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</si>
  <si>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</si>
  <si>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</si>
  <si>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</si>
  <si>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</si>
  <si>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</si>
  <si>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</si>
  <si>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</si>
  <si>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</si>
  <si>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</si>
  <si>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</si>
  <si>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</si>
  <si>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</si>
  <si>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</si>
  <si>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</si>
  <si>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</si>
  <si>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</si>
  <si>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</si>
  <si>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</si>
  <si>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QA24366721</t>
  </si>
  <si>
    <t>QA24366496</t>
  </si>
  <si>
    <t>QA24366389</t>
  </si>
  <si>
    <t>QA24366557</t>
  </si>
  <si>
    <t>QA24366359</t>
  </si>
  <si>
    <t>QA24366821</t>
  </si>
  <si>
    <t>QA24366779</t>
  </si>
  <si>
    <t>QA24366811</t>
  </si>
  <si>
    <t>QA24366812</t>
  </si>
  <si>
    <t>QA24366829</t>
  </si>
  <si>
    <t>QA24366408</t>
  </si>
  <si>
    <t>QA24366772</t>
  </si>
  <si>
    <t>QA24366421</t>
  </si>
  <si>
    <t>QA24366454</t>
  </si>
  <si>
    <t>QA24366419</t>
  </si>
  <si>
    <t>9,05,040</t>
  </si>
  <si>
    <t>2,31,180</t>
  </si>
  <si>
    <t>5,40,620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</si>
</sst>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2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  <xf numFmtId="165" fontId="10" fillId="0" borderId="1" xfId="2" applyNumberFormat="1" applyFont="1" applyBorder="1" applyAlignment="1" applyProtection="1">
      <alignment horizontal="center" shrinkToFit="1"/>
    </xf>
    <xf numFmtId="170" fontId="9" fillId="11" borderId="23" xfId="2" applyNumberFormat="1" applyFont="1" applyFill="1" applyBorder="1" applyAlignment="1">
      <alignment horizontal="center" shrinkToFit="1"/>
    </xf>
    <xf numFmtId="1" fontId="9" fillId="11" borderId="23" xfId="4" applyNumberFormat="1" applyFont="1" applyFill="1" applyBorder="1" applyAlignment="1">
      <alignment horizontal="center" vertical="center" shrinkToFit="1"/>
    </xf>
    <xf numFmtId="1" fontId="9" fillId="3" borderId="23" xfId="2" applyNumberFormat="1" applyFont="1" applyFill="1" applyBorder="1" applyAlignment="1">
      <alignment horizontal="center" shrinkToFit="1"/>
    </xf>
    <xf numFmtId="167" fontId="22" fillId="3" borderId="23" xfId="2" applyNumberFormat="1" applyFont="1" applyFill="1" applyBorder="1" applyAlignment="1">
      <alignment horizontal="center" shrinkToFit="1"/>
    </xf>
    <xf numFmtId="168" fontId="22" fillId="3" borderId="23" xfId="2" applyNumberFormat="1" applyFont="1" applyFill="1" applyBorder="1" applyAlignment="1">
      <alignment horizontal="center" shrinkToFit="1"/>
    </xf>
    <xf numFmtId="169" fontId="22" fillId="3" borderId="23" xfId="2" applyNumberFormat="1" applyFont="1" applyFill="1" applyBorder="1" applyAlignment="1">
      <alignment horizontal="center" shrinkToFit="1"/>
    </xf>
    <xf numFmtId="4" fontId="9" fillId="3" borderId="23" xfId="2" applyNumberFormat="1" applyFont="1" applyFill="1" applyBorder="1" applyAlignment="1">
      <alignment horizontal="center" shrinkToFit="1"/>
    </xf>
    <xf numFmtId="166" fontId="9" fillId="8" borderId="23" xfId="2" applyNumberFormat="1" applyFont="1" applyFill="1" applyBorder="1" applyAlignment="1">
      <alignment horizontal="center" shrinkToFit="1"/>
    </xf>
    <xf numFmtId="168" fontId="15" fillId="3" borderId="23" xfId="2" applyNumberFormat="1" applyFont="1" applyFill="1" applyBorder="1" applyAlignment="1">
      <alignment horizontal="center" shrinkToFit="1"/>
    </xf>
    <xf numFmtId="169" fontId="15" fillId="3" borderId="23" xfId="2" applyNumberFormat="1" applyFont="1" applyFill="1" applyBorder="1" applyAlignment="1">
      <alignment horizontal="center" shrinkToFit="1"/>
    </xf>
    <xf numFmtId="169" fontId="2" fillId="3" borderId="23" xfId="2" applyNumberFormat="1" applyFont="1" applyFill="1" applyBorder="1" applyAlignment="1">
      <alignment horizontal="center" shrinkToFit="1"/>
    </xf>
    <xf numFmtId="169" fontId="2" fillId="8" borderId="23" xfId="2" applyNumberFormat="1" applyFont="1" applyFill="1" applyBorder="1" applyAlignment="1">
      <alignment horizontal="center" shrinkToFit="1"/>
    </xf>
    <xf numFmtId="169" fontId="9" fillId="3" borderId="23" xfId="2" applyNumberFormat="1" applyFont="1" applyFill="1" applyBorder="1" applyAlignment="1">
      <alignment horizontal="center" shrinkToFit="1"/>
    </xf>
    <xf numFmtId="1" fontId="9" fillId="3" borderId="44" xfId="2" applyNumberFormat="1" applyFont="1" applyFill="1" applyBorder="1" applyAlignment="1">
      <alignment horizontal="center" shrinkToFit="1"/>
    </xf>
    <xf numFmtId="170" fontId="9" fillId="11" borderId="35" xfId="2" applyNumberFormat="1" applyFont="1" applyFill="1" applyBorder="1" applyAlignment="1">
      <alignment horizontal="center" shrinkToFit="1"/>
    </xf>
    <xf numFmtId="1" fontId="9" fillId="11" borderId="35" xfId="4" applyNumberFormat="1" applyFont="1" applyFill="1" applyBorder="1" applyAlignment="1">
      <alignment horizontal="center" vertical="center" shrinkToFit="1"/>
    </xf>
    <xf numFmtId="1" fontId="9" fillId="3" borderId="35" xfId="2" applyNumberFormat="1" applyFont="1" applyFill="1" applyBorder="1" applyAlignment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0" fontId="9" fillId="0" borderId="16" xfId="4" applyFont="1" applyBorder="1" applyAlignment="1">
      <alignment horizontal="center" shrinkToFit="1"/>
    </xf>
    <xf numFmtId="0" fontId="9" fillId="0" borderId="35" xfId="4" applyFont="1" applyBorder="1" applyAlignment="1">
      <alignment horizontal="center" shrinkToFit="1"/>
    </xf>
    <xf numFmtId="0" fontId="11" fillId="7" borderId="49" xfId="3" applyFont="1" applyFill="1" applyBorder="1" applyAlignment="1">
      <alignment horizontal="center" vertical="center" shrinkToFit="1"/>
    </xf>
    <xf numFmtId="0" fontId="19" fillId="7" borderId="49" xfId="3" applyFont="1" applyFill="1" applyBorder="1" applyAlignment="1">
      <alignment horizontal="center" vertical="center" shrinkToFit="1"/>
    </xf>
    <xf numFmtId="0" fontId="9" fillId="0" borderId="16" xfId="2" applyFont="1" applyBorder="1" applyAlignment="1">
      <alignment horizontal="center" shrinkToFit="1"/>
    </xf>
    <xf numFmtId="0" fontId="9" fillId="0" borderId="16" xfId="2" applyFont="1" applyBorder="1" applyAlignment="1">
      <alignment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F18" zoomScale="160" zoomScaleNormal="160" workbookViewId="0">
      <selection activeCell="O4" sqref="O4:R4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2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5.777343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5.777343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5.777343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125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32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20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3" t="s">
        <v>16</v>
      </c>
      <c r="I8" s="104" t="s">
        <v>4</v>
      </c>
      <c r="J8" s="105" t="s">
        <v>8</v>
      </c>
      <c r="K8" s="106" t="s">
        <v>24</v>
      </c>
      <c r="L8" s="106" t="s">
        <v>25</v>
      </c>
      <c r="M8" s="107" t="s">
        <v>0</v>
      </c>
      <c r="N8" s="107" t="s">
        <v>1</v>
      </c>
      <c r="O8" s="102" t="s">
        <v>2</v>
      </c>
      <c r="P8" s="167" t="s">
        <v>9</v>
      </c>
      <c r="Q8" s="168"/>
      <c r="R8" s="168"/>
      <c r="S8" s="169"/>
      <c r="T8" s="108" t="s">
        <v>6</v>
      </c>
      <c r="U8" s="109" t="s">
        <v>3</v>
      </c>
      <c r="V8" s="105" t="s">
        <v>8</v>
      </c>
      <c r="W8" s="106" t="s">
        <v>24</v>
      </c>
      <c r="X8" s="106" t="s">
        <v>25</v>
      </c>
      <c r="Y8" s="107" t="s">
        <v>0</v>
      </c>
      <c r="Z8" s="107" t="s">
        <v>1</v>
      </c>
      <c r="AA8" s="102" t="s">
        <v>2</v>
      </c>
      <c r="AB8" s="163" t="s">
        <v>9</v>
      </c>
      <c r="AC8" s="163"/>
      <c r="AD8" s="163"/>
      <c r="AE8" s="163"/>
      <c r="AF8" s="108" t="s">
        <v>7</v>
      </c>
      <c r="AG8" s="109" t="s">
        <v>3</v>
      </c>
      <c r="AH8" s="105" t="s">
        <v>8</v>
      </c>
      <c r="AI8" s="106" t="s">
        <v>24</v>
      </c>
      <c r="AJ8" s="106" t="s">
        <v>25</v>
      </c>
      <c r="AK8" s="107" t="s">
        <v>0</v>
      </c>
      <c r="AL8" s="107" t="s">
        <v>1</v>
      </c>
      <c r="AM8" s="102" t="s">
        <v>2</v>
      </c>
      <c r="AN8" s="163" t="s">
        <v>9</v>
      </c>
      <c r="AO8" s="163"/>
      <c r="AP8" s="163"/>
      <c r="AQ8" s="163"/>
      <c r="AR8" s="108" t="s">
        <v>5</v>
      </c>
      <c r="AS8" s="109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1">
        <v>1</v>
      </c>
      <c r="B9" s="92">
        <v>45903</v>
      </c>
      <c r="C9" s="92">
        <f>B9</f>
        <v>45903</v>
      </c>
      <c r="D9" s="93">
        <v>3</v>
      </c>
      <c r="E9" s="94">
        <v>11</v>
      </c>
      <c r="F9" s="46"/>
      <c r="G9" s="76" t="s">
        <v>49</v>
      </c>
      <c r="H9" s="95">
        <v>25.6</v>
      </c>
      <c r="I9" s="110">
        <v>0</v>
      </c>
      <c r="J9" s="111">
        <v>16</v>
      </c>
      <c r="K9" s="121">
        <v>8.1690000000000005</v>
      </c>
      <c r="L9" s="121">
        <v>0.879</v>
      </c>
      <c r="M9" s="125">
        <v>1072.49</v>
      </c>
      <c r="N9" s="125">
        <v>1172.68</v>
      </c>
      <c r="O9" s="112">
        <v>100.65</v>
      </c>
      <c r="P9" s="113" t="s">
        <v>65</v>
      </c>
      <c r="Q9" s="96" t="str">
        <f>LEFT(P9,1)</f>
        <v>2</v>
      </c>
      <c r="R9" s="96" t="str">
        <f>RIGHT(P9,6)</f>
        <v>31,180</v>
      </c>
      <c r="S9" s="96">
        <f>+(Q9*60+R9)/(60*60)</f>
        <v>4.1994444444444445E-2</v>
      </c>
      <c r="T9" s="97">
        <f>+O9/S9</f>
        <v>2396.7456012700095</v>
      </c>
      <c r="U9" s="98">
        <f t="shared" ref="U9:U18" si="0">+(((N9-M9-O9)/O9)*100)</f>
        <v>-0.4570293094882773</v>
      </c>
      <c r="V9" s="114">
        <v>19.8</v>
      </c>
      <c r="W9" s="123">
        <v>1.08</v>
      </c>
      <c r="X9" s="123">
        <v>1.075</v>
      </c>
      <c r="Y9" s="125">
        <v>1177.25</v>
      </c>
      <c r="Z9" s="125">
        <v>1182.3</v>
      </c>
      <c r="AA9" s="115">
        <v>5.0149999999999997</v>
      </c>
      <c r="AB9" s="113" t="s">
        <v>64</v>
      </c>
      <c r="AC9" s="96" t="str">
        <f>LEFT(AB9,2)</f>
        <v>9,</v>
      </c>
      <c r="AD9" s="96" t="str">
        <f>RIGHT(AB9,6)</f>
        <v>05,040</v>
      </c>
      <c r="AE9" s="96">
        <f>+(AC9*60+AD9)/(60*60)</f>
        <v>0.15139999999999998</v>
      </c>
      <c r="AF9" s="97">
        <f t="shared" ref="AF9:AF18" si="1">+AA9/AE9</f>
        <v>33.124174372523122</v>
      </c>
      <c r="AG9" s="99">
        <f>+(((Z9-Y9-AA9)/AA9)*100)</f>
        <v>0.69790628115563003</v>
      </c>
      <c r="AH9" s="114">
        <v>19.600000000000001</v>
      </c>
      <c r="AI9" s="123">
        <v>1.0860000000000001</v>
      </c>
      <c r="AJ9" s="123">
        <v>1.0780000000000001</v>
      </c>
      <c r="AK9" s="125">
        <f>Z9</f>
        <v>1182.3</v>
      </c>
      <c r="AL9" s="125">
        <v>1184.3399999999999</v>
      </c>
      <c r="AM9" s="100">
        <v>2.0059999999999998</v>
      </c>
      <c r="AN9" s="113" t="s">
        <v>66</v>
      </c>
      <c r="AO9" s="96" t="str">
        <f>LEFT(AN9,2)</f>
        <v>5,</v>
      </c>
      <c r="AP9" s="96" t="str">
        <f>RIGHT(AN9,6)</f>
        <v>40,620</v>
      </c>
      <c r="AQ9" s="96">
        <f>+(AO9*60+AP9)/(60*60)</f>
        <v>9.4616666666666668E-2</v>
      </c>
      <c r="AR9" s="97">
        <f t="shared" ref="AR9:AR18" si="2">+AM9/AQ9</f>
        <v>21.201338735247486</v>
      </c>
      <c r="AS9" s="99">
        <f t="shared" ref="AS9:AS18" si="3">+(((AL9-AK9-AM9)/AM9)*100)</f>
        <v>1.6949152542354855</v>
      </c>
      <c r="AT9" s="101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1</v>
      </c>
      <c r="BF9" s="15">
        <f t="shared" ref="BF9:BF72" si="9">SIGN(AS9)</f>
        <v>1</v>
      </c>
      <c r="BG9" s="15" t="str">
        <f t="shared" ref="BG9:BG72" si="10">CONCATENATE(BD9,BE9,BF9)</f>
        <v>-111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45903</v>
      </c>
      <c r="C10" s="28">
        <f>C9</f>
        <v>45903</v>
      </c>
      <c r="D10" s="12">
        <f>D9</f>
        <v>3</v>
      </c>
      <c r="E10" s="10">
        <f>E9</f>
        <v>11</v>
      </c>
      <c r="F10" s="13"/>
      <c r="G10" s="69" t="s">
        <v>50</v>
      </c>
      <c r="H10" s="70">
        <f>H9</f>
        <v>25.6</v>
      </c>
      <c r="I10" s="37">
        <f>I9</f>
        <v>0</v>
      </c>
      <c r="J10" s="35">
        <f>J9</f>
        <v>16</v>
      </c>
      <c r="K10" s="122">
        <f>K9</f>
        <v>8.1690000000000005</v>
      </c>
      <c r="L10" s="122">
        <f>L9</f>
        <v>0.879</v>
      </c>
      <c r="M10" s="126">
        <v>745.29</v>
      </c>
      <c r="N10" s="126">
        <v>845.72</v>
      </c>
      <c r="O10" s="32">
        <f>O9</f>
        <v>100.65</v>
      </c>
      <c r="P10" s="33" t="str">
        <f>P9</f>
        <v>2,31,180</v>
      </c>
      <c r="Q10" s="11" t="str">
        <f t="shared" ref="Q10:Q18" si="16">LEFT(P10,1)</f>
        <v>2</v>
      </c>
      <c r="R10" s="11" t="str">
        <f t="shared" ref="R10:R18" si="17">RIGHT(P10,6)</f>
        <v>31,180</v>
      </c>
      <c r="S10" s="11">
        <f t="shared" ref="S10:S18" si="18">+(Q10*60+R10)/(60*60)</f>
        <v>4.1994444444444445E-2</v>
      </c>
      <c r="T10" s="14">
        <f t="shared" ref="T10:T18" si="19">+O10/S10</f>
        <v>2396.7456012700095</v>
      </c>
      <c r="U10" s="38">
        <f t="shared" si="0"/>
        <v>-0.21857923497261997</v>
      </c>
      <c r="V10" s="39">
        <f>V9</f>
        <v>19.8</v>
      </c>
      <c r="W10" s="124">
        <f>W9</f>
        <v>1.08</v>
      </c>
      <c r="X10" s="124">
        <f t="shared" ref="X10:X73" si="20">X9</f>
        <v>1.075</v>
      </c>
      <c r="Y10" s="126">
        <v>850.32</v>
      </c>
      <c r="Z10" s="126">
        <v>855.4</v>
      </c>
      <c r="AA10" s="90">
        <f>AA9</f>
        <v>5.0149999999999997</v>
      </c>
      <c r="AB10" s="73" t="str">
        <f>AB9</f>
        <v>9,05,040</v>
      </c>
      <c r="AC10" s="11" t="str">
        <f t="shared" ref="AC10:AC18" si="21">LEFT(AB10,2)</f>
        <v>9,</v>
      </c>
      <c r="AD10" s="11" t="str">
        <f t="shared" ref="AD10:AD18" si="22">RIGHT(AB10,6)</f>
        <v>05,040</v>
      </c>
      <c r="AE10" s="11">
        <f t="shared" ref="AE10:AE18" si="23">+(AC10*60+AD10)/(60*60)</f>
        <v>0.15139999999999998</v>
      </c>
      <c r="AF10" s="14">
        <f t="shared" si="1"/>
        <v>33.124174372523122</v>
      </c>
      <c r="AG10" s="40">
        <f>+(((Z10-Y10-AA10)/AA10)*100)</f>
        <v>1.2961116650035407</v>
      </c>
      <c r="AH10" s="39">
        <f>AH9</f>
        <v>19.600000000000001</v>
      </c>
      <c r="AI10" s="124">
        <f>AI9</f>
        <v>1.0860000000000001</v>
      </c>
      <c r="AJ10" s="124">
        <f t="shared" ref="AJ10:AJ73" si="24">AJ9</f>
        <v>1.0780000000000001</v>
      </c>
      <c r="AK10" s="126">
        <f>Z10</f>
        <v>855.4</v>
      </c>
      <c r="AL10" s="126">
        <v>857.44</v>
      </c>
      <c r="AM10" s="34">
        <f>AM9</f>
        <v>2.0059999999999998</v>
      </c>
      <c r="AN10" s="33" t="str">
        <f>AN9</f>
        <v>5,40,620</v>
      </c>
      <c r="AO10" s="11" t="str">
        <f t="shared" ref="AO10:AO18" si="25">LEFT(AN10,2)</f>
        <v>5,</v>
      </c>
      <c r="AP10" s="11" t="str">
        <f t="shared" ref="AP10:AP18" si="26">RIGHT(AN10,6)</f>
        <v>40,620</v>
      </c>
      <c r="AQ10" s="11">
        <f t="shared" ref="AQ10:AQ18" si="27">+(AO10*60+AP10)/(60*60)</f>
        <v>9.4616666666666668E-2</v>
      </c>
      <c r="AR10" s="14">
        <f t="shared" si="2"/>
        <v>21.201338735247486</v>
      </c>
      <c r="AS10" s="40">
        <f t="shared" si="3"/>
        <v>1.6949152542411527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1</v>
      </c>
      <c r="BF10" s="15">
        <f t="shared" si="9"/>
        <v>1</v>
      </c>
      <c r="BG10" s="15" t="str">
        <f t="shared" si="10"/>
        <v>-111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45903</v>
      </c>
      <c r="C11" s="28">
        <f t="shared" si="35"/>
        <v>45903</v>
      </c>
      <c r="D11" s="12">
        <f t="shared" si="35"/>
        <v>3</v>
      </c>
      <c r="E11" s="10">
        <f t="shared" si="35"/>
        <v>11</v>
      </c>
      <c r="F11" s="13"/>
      <c r="G11" s="229" t="s">
        <v>51</v>
      </c>
      <c r="H11" s="70">
        <f t="shared" ref="H11:L18" si="36">H10</f>
        <v>25.6</v>
      </c>
      <c r="I11" s="37">
        <f t="shared" si="36"/>
        <v>0</v>
      </c>
      <c r="J11" s="35">
        <f t="shared" si="36"/>
        <v>16</v>
      </c>
      <c r="K11" s="122">
        <f t="shared" si="36"/>
        <v>8.1690000000000005</v>
      </c>
      <c r="L11" s="122">
        <f t="shared" si="36"/>
        <v>0.879</v>
      </c>
      <c r="M11" s="126">
        <v>694.54</v>
      </c>
      <c r="N11" s="126">
        <v>794.98</v>
      </c>
      <c r="O11" s="32">
        <f t="shared" ref="O11:P18" si="37">O10</f>
        <v>100.65</v>
      </c>
      <c r="P11" s="33" t="str">
        <f t="shared" si="37"/>
        <v>2,31,180</v>
      </c>
      <c r="Q11" s="11" t="str">
        <f t="shared" si="16"/>
        <v>2</v>
      </c>
      <c r="R11" s="11" t="str">
        <f t="shared" si="17"/>
        <v>31,180</v>
      </c>
      <c r="S11" s="11">
        <f t="shared" si="18"/>
        <v>4.1994444444444445E-2</v>
      </c>
      <c r="T11" s="14">
        <f t="shared" si="19"/>
        <v>2396.7456012700095</v>
      </c>
      <c r="U11" s="38">
        <f t="shared" si="0"/>
        <v>-0.20864381520114367</v>
      </c>
      <c r="V11" s="39">
        <f t="shared" ref="V11:W18" si="38">V10</f>
        <v>19.8</v>
      </c>
      <c r="W11" s="124">
        <f t="shared" si="38"/>
        <v>1.08</v>
      </c>
      <c r="X11" s="124">
        <f t="shared" si="20"/>
        <v>1.075</v>
      </c>
      <c r="Y11" s="126">
        <v>799.59</v>
      </c>
      <c r="Z11" s="126">
        <v>804.61</v>
      </c>
      <c r="AA11" s="90">
        <f t="shared" ref="AA11:AB18" si="39">AA10</f>
        <v>5.0149999999999997</v>
      </c>
      <c r="AB11" s="73" t="str">
        <f>AB10</f>
        <v>9,05,040</v>
      </c>
      <c r="AC11" s="11" t="str">
        <f t="shared" si="21"/>
        <v>9,</v>
      </c>
      <c r="AD11" s="11" t="str">
        <f t="shared" si="22"/>
        <v>05,040</v>
      </c>
      <c r="AE11" s="11">
        <f t="shared" si="23"/>
        <v>0.15139999999999998</v>
      </c>
      <c r="AF11" s="14">
        <f t="shared" si="1"/>
        <v>33.124174372523122</v>
      </c>
      <c r="AG11" s="40">
        <f t="shared" ref="AG11:AG18" si="40">+(((Z11-Y11-AA11)/AA11)*100)</f>
        <v>9.9700897307719458E-2</v>
      </c>
      <c r="AH11" s="39">
        <f t="shared" ref="AH11:AI26" si="41">AH10</f>
        <v>19.600000000000001</v>
      </c>
      <c r="AI11" s="124">
        <f t="shared" si="41"/>
        <v>1.0860000000000001</v>
      </c>
      <c r="AJ11" s="124">
        <f t="shared" si="24"/>
        <v>1.0780000000000001</v>
      </c>
      <c r="AK11" s="126">
        <f t="shared" ref="AK11:AK18" si="42">Z11</f>
        <v>804.61</v>
      </c>
      <c r="AL11" s="126">
        <v>806.64</v>
      </c>
      <c r="AM11" s="34">
        <f t="shared" ref="AM11:AN18" si="43">AM10</f>
        <v>2.0059999999999998</v>
      </c>
      <c r="AN11" s="33" t="str">
        <f t="shared" si="43"/>
        <v>5,40,620</v>
      </c>
      <c r="AO11" s="11" t="str">
        <f t="shared" si="25"/>
        <v>5,</v>
      </c>
      <c r="AP11" s="11" t="str">
        <f t="shared" si="26"/>
        <v>40,620</v>
      </c>
      <c r="AQ11" s="11">
        <f t="shared" si="27"/>
        <v>9.4616666666666668E-2</v>
      </c>
      <c r="AR11" s="14">
        <f t="shared" si="2"/>
        <v>21.201338735247486</v>
      </c>
      <c r="AS11" s="40">
        <f t="shared" si="3"/>
        <v>1.19641076769556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45903</v>
      </c>
      <c r="C12" s="28">
        <f t="shared" si="35"/>
        <v>45903</v>
      </c>
      <c r="D12" s="12">
        <f t="shared" si="35"/>
        <v>3</v>
      </c>
      <c r="E12" s="10">
        <f t="shared" si="35"/>
        <v>11</v>
      </c>
      <c r="F12" s="13"/>
      <c r="G12" s="230" t="s">
        <v>52</v>
      </c>
      <c r="H12" s="70">
        <f t="shared" si="36"/>
        <v>25.6</v>
      </c>
      <c r="I12" s="37">
        <f t="shared" si="36"/>
        <v>0</v>
      </c>
      <c r="J12" s="35">
        <f t="shared" si="36"/>
        <v>16</v>
      </c>
      <c r="K12" s="122">
        <f t="shared" si="36"/>
        <v>8.1690000000000005</v>
      </c>
      <c r="L12" s="122">
        <f t="shared" si="36"/>
        <v>0.879</v>
      </c>
      <c r="M12" s="126">
        <v>737.74</v>
      </c>
      <c r="N12" s="126">
        <v>838.34</v>
      </c>
      <c r="O12" s="32">
        <f t="shared" si="37"/>
        <v>100.65</v>
      </c>
      <c r="P12" s="33" t="str">
        <f t="shared" si="37"/>
        <v>2,31,180</v>
      </c>
      <c r="Q12" s="11" t="str">
        <f t="shared" si="16"/>
        <v>2</v>
      </c>
      <c r="R12" s="11" t="str">
        <f t="shared" si="17"/>
        <v>31,180</v>
      </c>
      <c r="S12" s="11">
        <f t="shared" si="18"/>
        <v>4.1994444444444445E-2</v>
      </c>
      <c r="T12" s="14">
        <f t="shared" si="19"/>
        <v>2396.7456012700095</v>
      </c>
      <c r="U12" s="38">
        <f t="shared" si="0"/>
        <v>-4.9677098857409778E-2</v>
      </c>
      <c r="V12" s="39">
        <f t="shared" si="38"/>
        <v>19.8</v>
      </c>
      <c r="W12" s="124">
        <f t="shared" si="38"/>
        <v>1.08</v>
      </c>
      <c r="X12" s="124">
        <f t="shared" si="20"/>
        <v>1.075</v>
      </c>
      <c r="Y12" s="126">
        <v>842.97</v>
      </c>
      <c r="Z12" s="126">
        <v>848.03</v>
      </c>
      <c r="AA12" s="90">
        <f t="shared" si="39"/>
        <v>5.0149999999999997</v>
      </c>
      <c r="AB12" s="73" t="str">
        <f t="shared" si="39"/>
        <v>9,05,040</v>
      </c>
      <c r="AC12" s="11" t="str">
        <f t="shared" si="21"/>
        <v>9,</v>
      </c>
      <c r="AD12" s="11" t="str">
        <f t="shared" si="22"/>
        <v>05,040</v>
      </c>
      <c r="AE12" s="11">
        <f t="shared" si="23"/>
        <v>0.15139999999999998</v>
      </c>
      <c r="AF12" s="14">
        <f t="shared" si="1"/>
        <v>33.124174372523122</v>
      </c>
      <c r="AG12" s="40">
        <f t="shared" si="40"/>
        <v>0.89730807577160021</v>
      </c>
      <c r="AH12" s="39">
        <f t="shared" si="41"/>
        <v>19.600000000000001</v>
      </c>
      <c r="AI12" s="124">
        <f t="shared" si="41"/>
        <v>1.0860000000000001</v>
      </c>
      <c r="AJ12" s="124">
        <f t="shared" si="24"/>
        <v>1.0780000000000001</v>
      </c>
      <c r="AK12" s="126">
        <f t="shared" si="42"/>
        <v>848.03</v>
      </c>
      <c r="AL12" s="126">
        <v>850.05</v>
      </c>
      <c r="AM12" s="34">
        <f t="shared" si="43"/>
        <v>2.0059999999999998</v>
      </c>
      <c r="AN12" s="33" t="str">
        <f t="shared" si="43"/>
        <v>5,40,620</v>
      </c>
      <c r="AO12" s="11" t="str">
        <f t="shared" si="25"/>
        <v>5,</v>
      </c>
      <c r="AP12" s="11" t="str">
        <f t="shared" si="26"/>
        <v>40,620</v>
      </c>
      <c r="AQ12" s="11">
        <f t="shared" si="27"/>
        <v>9.4616666666666668E-2</v>
      </c>
      <c r="AR12" s="14">
        <f t="shared" si="2"/>
        <v>21.201338735247486</v>
      </c>
      <c r="AS12" s="40">
        <f t="shared" si="3"/>
        <v>0.69790628115563447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1</v>
      </c>
      <c r="BF12" s="15">
        <f t="shared" si="9"/>
        <v>1</v>
      </c>
      <c r="BG12" s="15" t="str">
        <f t="shared" si="10"/>
        <v>-111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45903</v>
      </c>
      <c r="C13" s="28">
        <f t="shared" si="35"/>
        <v>45903</v>
      </c>
      <c r="D13" s="12">
        <f t="shared" si="35"/>
        <v>3</v>
      </c>
      <c r="E13" s="10">
        <f t="shared" si="35"/>
        <v>11</v>
      </c>
      <c r="F13" s="13"/>
      <c r="G13" s="229" t="s">
        <v>53</v>
      </c>
      <c r="H13" s="70">
        <f t="shared" si="36"/>
        <v>25.6</v>
      </c>
      <c r="I13" s="37">
        <f t="shared" si="36"/>
        <v>0</v>
      </c>
      <c r="J13" s="35">
        <f t="shared" si="36"/>
        <v>16</v>
      </c>
      <c r="K13" s="122">
        <f t="shared" si="36"/>
        <v>8.1690000000000005</v>
      </c>
      <c r="L13" s="122">
        <f t="shared" si="36"/>
        <v>0.879</v>
      </c>
      <c r="M13" s="126">
        <v>971.91</v>
      </c>
      <c r="N13" s="126">
        <v>1072.54</v>
      </c>
      <c r="O13" s="32">
        <f t="shared" si="37"/>
        <v>100.65</v>
      </c>
      <c r="P13" s="33" t="str">
        <f t="shared" si="37"/>
        <v>2,31,180</v>
      </c>
      <c r="Q13" s="11" t="str">
        <f t="shared" si="16"/>
        <v>2</v>
      </c>
      <c r="R13" s="11" t="str">
        <f t="shared" si="17"/>
        <v>31,180</v>
      </c>
      <c r="S13" s="11">
        <f t="shared" si="18"/>
        <v>4.1994444444444445E-2</v>
      </c>
      <c r="T13" s="14">
        <f>+O13/S13</f>
        <v>2396.7456012700095</v>
      </c>
      <c r="U13" s="38">
        <f t="shared" si="0"/>
        <v>-1.9870839542980856E-2</v>
      </c>
      <c r="V13" s="39">
        <f t="shared" si="38"/>
        <v>19.8</v>
      </c>
      <c r="W13" s="124">
        <f t="shared" si="38"/>
        <v>1.08</v>
      </c>
      <c r="X13" s="124">
        <f t="shared" si="20"/>
        <v>1.075</v>
      </c>
      <c r="Y13" s="126">
        <v>1077.1199999999999</v>
      </c>
      <c r="Z13" s="126">
        <v>1082.1500000000001</v>
      </c>
      <c r="AA13" s="90">
        <f>AA12</f>
        <v>5.0149999999999997</v>
      </c>
      <c r="AB13" s="73" t="str">
        <f t="shared" si="39"/>
        <v>9,05,040</v>
      </c>
      <c r="AC13" s="11" t="str">
        <f t="shared" si="21"/>
        <v>9,</v>
      </c>
      <c r="AD13" s="11" t="str">
        <f t="shared" si="22"/>
        <v>05,040</v>
      </c>
      <c r="AE13" s="11">
        <f t="shared" si="23"/>
        <v>0.15139999999999998</v>
      </c>
      <c r="AF13" s="14">
        <f t="shared" si="1"/>
        <v>33.124174372523122</v>
      </c>
      <c r="AG13" s="40">
        <f t="shared" si="40"/>
        <v>0.29910269192822353</v>
      </c>
      <c r="AH13" s="39">
        <f t="shared" si="41"/>
        <v>19.600000000000001</v>
      </c>
      <c r="AI13" s="124">
        <f t="shared" si="41"/>
        <v>1.0860000000000001</v>
      </c>
      <c r="AJ13" s="124">
        <f t="shared" si="24"/>
        <v>1.0780000000000001</v>
      </c>
      <c r="AK13" s="126">
        <f t="shared" si="42"/>
        <v>1082.1500000000001</v>
      </c>
      <c r="AL13" s="126">
        <v>1084.1600000000001</v>
      </c>
      <c r="AM13" s="34">
        <f t="shared" si="43"/>
        <v>2.0059999999999998</v>
      </c>
      <c r="AN13" s="33" t="str">
        <f t="shared" si="43"/>
        <v>5,40,620</v>
      </c>
      <c r="AO13" s="11" t="str">
        <f t="shared" si="25"/>
        <v>5,</v>
      </c>
      <c r="AP13" s="11" t="str">
        <f t="shared" si="26"/>
        <v>40,620</v>
      </c>
      <c r="AQ13" s="11">
        <f t="shared" si="27"/>
        <v>9.4616666666666668E-2</v>
      </c>
      <c r="AR13" s="14">
        <f t="shared" si="2"/>
        <v>21.201338735247486</v>
      </c>
      <c r="AS13" s="40">
        <f t="shared" si="3"/>
        <v>0.199401794615709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1</v>
      </c>
      <c r="BF13" s="15">
        <f t="shared" si="9"/>
        <v>1</v>
      </c>
      <c r="BG13" s="15" t="str">
        <f t="shared" si="10"/>
        <v>-111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45903</v>
      </c>
      <c r="C14" s="28">
        <f t="shared" si="35"/>
        <v>45903</v>
      </c>
      <c r="D14" s="12">
        <f t="shared" si="35"/>
        <v>3</v>
      </c>
      <c r="E14" s="10">
        <f t="shared" si="35"/>
        <v>11</v>
      </c>
      <c r="F14" s="13"/>
      <c r="G14" s="230" t="s">
        <v>54</v>
      </c>
      <c r="H14" s="70">
        <f t="shared" si="36"/>
        <v>25.6</v>
      </c>
      <c r="I14" s="37">
        <f t="shared" si="36"/>
        <v>0</v>
      </c>
      <c r="J14" s="35">
        <f t="shared" si="36"/>
        <v>16</v>
      </c>
      <c r="K14" s="122">
        <f t="shared" si="36"/>
        <v>8.1690000000000005</v>
      </c>
      <c r="L14" s="122">
        <f t="shared" si="36"/>
        <v>0.879</v>
      </c>
      <c r="M14" s="126">
        <v>745.36</v>
      </c>
      <c r="N14" s="126">
        <v>846.29</v>
      </c>
      <c r="O14" s="32">
        <f t="shared" si="37"/>
        <v>100.65</v>
      </c>
      <c r="P14" s="33" t="str">
        <f t="shared" si="37"/>
        <v>2,31,180</v>
      </c>
      <c r="Q14" s="11" t="str">
        <f t="shared" si="16"/>
        <v>2</v>
      </c>
      <c r="R14" s="11" t="str">
        <f t="shared" si="17"/>
        <v>31,180</v>
      </c>
      <c r="S14" s="11">
        <f t="shared" si="18"/>
        <v>4.1994444444444445E-2</v>
      </c>
      <c r="T14" s="14">
        <f t="shared" si="19"/>
        <v>2396.7456012700095</v>
      </c>
      <c r="U14" s="38">
        <f t="shared" si="0"/>
        <v>0.27819175360153431</v>
      </c>
      <c r="V14" s="39">
        <f t="shared" si="38"/>
        <v>19.8</v>
      </c>
      <c r="W14" s="124">
        <f t="shared" si="38"/>
        <v>1.08</v>
      </c>
      <c r="X14" s="124">
        <f t="shared" si="20"/>
        <v>1.075</v>
      </c>
      <c r="Y14" s="126">
        <v>850.94</v>
      </c>
      <c r="Z14" s="126">
        <v>855.98</v>
      </c>
      <c r="AA14" s="90">
        <f t="shared" si="39"/>
        <v>5.0149999999999997</v>
      </c>
      <c r="AB14" s="73" t="str">
        <f t="shared" si="39"/>
        <v>9,05,040</v>
      </c>
      <c r="AC14" s="11" t="str">
        <f t="shared" si="21"/>
        <v>9,</v>
      </c>
      <c r="AD14" s="11" t="str">
        <f t="shared" si="22"/>
        <v>05,040</v>
      </c>
      <c r="AE14" s="11">
        <f t="shared" si="23"/>
        <v>0.15139999999999998</v>
      </c>
      <c r="AF14" s="14">
        <f t="shared" si="1"/>
        <v>33.124174372523122</v>
      </c>
      <c r="AG14" s="40">
        <f t="shared" si="40"/>
        <v>0.49850448653965984</v>
      </c>
      <c r="AH14" s="39">
        <f t="shared" si="41"/>
        <v>19.600000000000001</v>
      </c>
      <c r="AI14" s="124">
        <f t="shared" si="41"/>
        <v>1.0860000000000001</v>
      </c>
      <c r="AJ14" s="124">
        <f t="shared" si="24"/>
        <v>1.0780000000000001</v>
      </c>
      <c r="AK14" s="126">
        <f t="shared" si="42"/>
        <v>855.98</v>
      </c>
      <c r="AL14" s="126">
        <v>858</v>
      </c>
      <c r="AM14" s="34">
        <f t="shared" si="43"/>
        <v>2.0059999999999998</v>
      </c>
      <c r="AN14" s="33" t="str">
        <f t="shared" si="43"/>
        <v>5,40,620</v>
      </c>
      <c r="AO14" s="11" t="str">
        <f t="shared" si="25"/>
        <v>5,</v>
      </c>
      <c r="AP14" s="11" t="str">
        <f t="shared" si="26"/>
        <v>40,620</v>
      </c>
      <c r="AQ14" s="11">
        <f t="shared" si="27"/>
        <v>9.4616666666666668E-2</v>
      </c>
      <c r="AR14" s="14">
        <f t="shared" si="2"/>
        <v>21.201338735247486</v>
      </c>
      <c r="AS14" s="40">
        <f t="shared" si="3"/>
        <v>0.69790628115563447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1</v>
      </c>
      <c r="BE14" s="15">
        <f t="shared" si="8"/>
        <v>1</v>
      </c>
      <c r="BF14" s="15">
        <f t="shared" si="9"/>
        <v>1</v>
      </c>
      <c r="BG14" s="15" t="str">
        <f t="shared" si="10"/>
        <v>111</v>
      </c>
      <c r="BH14" s="15" t="str">
        <f t="shared" si="11"/>
        <v>SI</v>
      </c>
      <c r="BI14" s="15" t="str">
        <f t="shared" si="12"/>
        <v>SD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45903</v>
      </c>
      <c r="C15" s="28">
        <f t="shared" si="35"/>
        <v>45903</v>
      </c>
      <c r="D15" s="12">
        <f t="shared" si="35"/>
        <v>3</v>
      </c>
      <c r="E15" s="10">
        <f t="shared" si="35"/>
        <v>11</v>
      </c>
      <c r="F15" s="13"/>
      <c r="G15" s="229" t="s">
        <v>55</v>
      </c>
      <c r="H15" s="70">
        <f t="shared" si="36"/>
        <v>25.6</v>
      </c>
      <c r="I15" s="37">
        <f t="shared" si="36"/>
        <v>0</v>
      </c>
      <c r="J15" s="35">
        <f t="shared" si="36"/>
        <v>16</v>
      </c>
      <c r="K15" s="122">
        <f t="shared" si="36"/>
        <v>8.1690000000000005</v>
      </c>
      <c r="L15" s="122">
        <f t="shared" si="36"/>
        <v>0.879</v>
      </c>
      <c r="M15" s="126">
        <v>752.38</v>
      </c>
      <c r="N15" s="126">
        <v>852.78</v>
      </c>
      <c r="O15" s="32">
        <f t="shared" si="37"/>
        <v>100.65</v>
      </c>
      <c r="P15" s="33" t="str">
        <f t="shared" si="37"/>
        <v>2,31,180</v>
      </c>
      <c r="Q15" s="11" t="str">
        <f t="shared" si="16"/>
        <v>2</v>
      </c>
      <c r="R15" s="11" t="str">
        <f t="shared" si="17"/>
        <v>31,180</v>
      </c>
      <c r="S15" s="11">
        <f t="shared" si="18"/>
        <v>4.1994444444444445E-2</v>
      </c>
      <c r="T15" s="14">
        <f t="shared" si="19"/>
        <v>2396.7456012700095</v>
      </c>
      <c r="U15" s="38">
        <f t="shared" si="0"/>
        <v>-0.24838549428716186</v>
      </c>
      <c r="V15" s="39">
        <f t="shared" si="38"/>
        <v>19.8</v>
      </c>
      <c r="W15" s="124">
        <f t="shared" si="38"/>
        <v>1.08</v>
      </c>
      <c r="X15" s="124">
        <f t="shared" si="20"/>
        <v>1.075</v>
      </c>
      <c r="Y15" s="126">
        <v>857.38</v>
      </c>
      <c r="Z15" s="126">
        <v>862.47</v>
      </c>
      <c r="AA15" s="90">
        <f t="shared" si="39"/>
        <v>5.0149999999999997</v>
      </c>
      <c r="AB15" s="73" t="str">
        <f t="shared" si="39"/>
        <v>9,05,040</v>
      </c>
      <c r="AC15" s="11" t="str">
        <f t="shared" si="21"/>
        <v>9,</v>
      </c>
      <c r="AD15" s="11" t="str">
        <f t="shared" si="22"/>
        <v>05,040</v>
      </c>
      <c r="AE15" s="11">
        <f t="shared" si="23"/>
        <v>0.15139999999999998</v>
      </c>
      <c r="AF15" s="14">
        <f t="shared" si="1"/>
        <v>33.124174372523122</v>
      </c>
      <c r="AG15" s="40">
        <f t="shared" si="40"/>
        <v>1.4955134596217778</v>
      </c>
      <c r="AH15" s="39">
        <f t="shared" si="41"/>
        <v>19.600000000000001</v>
      </c>
      <c r="AI15" s="124">
        <f t="shared" si="41"/>
        <v>1.0860000000000001</v>
      </c>
      <c r="AJ15" s="124">
        <f t="shared" si="24"/>
        <v>1.0780000000000001</v>
      </c>
      <c r="AK15" s="126">
        <f t="shared" si="42"/>
        <v>862.47</v>
      </c>
      <c r="AL15" s="126">
        <v>864.5</v>
      </c>
      <c r="AM15" s="34">
        <f t="shared" si="43"/>
        <v>2.0059999999999998</v>
      </c>
      <c r="AN15" s="33" t="str">
        <f t="shared" si="43"/>
        <v>5,40,620</v>
      </c>
      <c r="AO15" s="11" t="str">
        <f t="shared" si="25"/>
        <v>5,</v>
      </c>
      <c r="AP15" s="11" t="str">
        <f t="shared" si="26"/>
        <v>40,620</v>
      </c>
      <c r="AQ15" s="11">
        <f t="shared" si="27"/>
        <v>9.4616666666666668E-2</v>
      </c>
      <c r="AR15" s="14">
        <f t="shared" si="2"/>
        <v>21.201338735247486</v>
      </c>
      <c r="AS15" s="40">
        <f t="shared" si="3"/>
        <v>1.19641076769556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1</v>
      </c>
      <c r="BF15" s="15">
        <f t="shared" si="9"/>
        <v>1</v>
      </c>
      <c r="BG15" s="15" t="str">
        <f t="shared" si="10"/>
        <v>-111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45903</v>
      </c>
      <c r="C16" s="28">
        <f t="shared" si="35"/>
        <v>45903</v>
      </c>
      <c r="D16" s="12">
        <f t="shared" si="35"/>
        <v>3</v>
      </c>
      <c r="E16" s="10">
        <f t="shared" si="35"/>
        <v>11</v>
      </c>
      <c r="F16" s="13"/>
      <c r="G16" s="230" t="s">
        <v>56</v>
      </c>
      <c r="H16" s="70">
        <f t="shared" si="36"/>
        <v>25.6</v>
      </c>
      <c r="I16" s="37">
        <f t="shared" si="36"/>
        <v>0</v>
      </c>
      <c r="J16" s="35">
        <f t="shared" si="36"/>
        <v>16</v>
      </c>
      <c r="K16" s="122">
        <f t="shared" si="36"/>
        <v>8.1690000000000005</v>
      </c>
      <c r="L16" s="122">
        <f t="shared" si="36"/>
        <v>0.879</v>
      </c>
      <c r="M16" s="126">
        <v>726.34</v>
      </c>
      <c r="N16" s="126">
        <v>827.1</v>
      </c>
      <c r="O16" s="32">
        <f t="shared" si="37"/>
        <v>100.65</v>
      </c>
      <c r="P16" s="33" t="str">
        <f t="shared" si="37"/>
        <v>2,31,180</v>
      </c>
      <c r="Q16" s="11" t="str">
        <f t="shared" si="16"/>
        <v>2</v>
      </c>
      <c r="R16" s="11" t="str">
        <f t="shared" si="17"/>
        <v>31,180</v>
      </c>
      <c r="S16" s="11">
        <f t="shared" si="18"/>
        <v>4.1994444444444445E-2</v>
      </c>
      <c r="T16" s="14">
        <f t="shared" si="19"/>
        <v>2396.7456012700095</v>
      </c>
      <c r="U16" s="38">
        <f t="shared" si="0"/>
        <v>0.10928961748632411</v>
      </c>
      <c r="V16" s="39">
        <f t="shared" si="38"/>
        <v>19.8</v>
      </c>
      <c r="W16" s="124">
        <f t="shared" si="38"/>
        <v>1.08</v>
      </c>
      <c r="X16" s="124">
        <f t="shared" si="20"/>
        <v>1.075</v>
      </c>
      <c r="Y16" s="126">
        <v>831.74</v>
      </c>
      <c r="Z16" s="126">
        <v>836.81</v>
      </c>
      <c r="AA16" s="90">
        <f t="shared" si="39"/>
        <v>5.0149999999999997</v>
      </c>
      <c r="AB16" s="73" t="str">
        <f t="shared" si="39"/>
        <v>9,05,040</v>
      </c>
      <c r="AC16" s="11" t="str">
        <f t="shared" si="21"/>
        <v>9,</v>
      </c>
      <c r="AD16" s="11" t="str">
        <f t="shared" si="22"/>
        <v>05,040</v>
      </c>
      <c r="AE16" s="11">
        <f t="shared" si="23"/>
        <v>0.15139999999999998</v>
      </c>
      <c r="AF16" s="14">
        <f t="shared" si="1"/>
        <v>33.124174372523122</v>
      </c>
      <c r="AG16" s="40">
        <f t="shared" si="40"/>
        <v>1.0967098703875704</v>
      </c>
      <c r="AH16" s="39">
        <f t="shared" si="41"/>
        <v>19.600000000000001</v>
      </c>
      <c r="AI16" s="124">
        <f t="shared" si="41"/>
        <v>1.0860000000000001</v>
      </c>
      <c r="AJ16" s="124">
        <f t="shared" si="24"/>
        <v>1.0780000000000001</v>
      </c>
      <c r="AK16" s="126">
        <f t="shared" si="42"/>
        <v>836.81</v>
      </c>
      <c r="AL16" s="126">
        <v>838.82</v>
      </c>
      <c r="AM16" s="34">
        <f t="shared" si="43"/>
        <v>2.0059999999999998</v>
      </c>
      <c r="AN16" s="33" t="str">
        <f t="shared" si="43"/>
        <v>5,40,620</v>
      </c>
      <c r="AO16" s="11" t="str">
        <f t="shared" si="25"/>
        <v>5,</v>
      </c>
      <c r="AP16" s="11" t="str">
        <f t="shared" si="26"/>
        <v>40,620</v>
      </c>
      <c r="AQ16" s="11">
        <f t="shared" si="27"/>
        <v>9.4616666666666668E-2</v>
      </c>
      <c r="AR16" s="14">
        <f t="shared" si="2"/>
        <v>21.201338735247486</v>
      </c>
      <c r="AS16" s="40">
        <f t="shared" si="3"/>
        <v>0.19940179462137633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1</v>
      </c>
      <c r="BE16" s="15">
        <f t="shared" si="8"/>
        <v>1</v>
      </c>
      <c r="BF16" s="15">
        <f t="shared" si="9"/>
        <v>1</v>
      </c>
      <c r="BG16" s="15" t="str">
        <f t="shared" si="10"/>
        <v>111</v>
      </c>
      <c r="BH16" s="15" t="str">
        <f t="shared" si="11"/>
        <v>SI</v>
      </c>
      <c r="BI16" s="15" t="str">
        <f t="shared" si="12"/>
        <v>SD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45903</v>
      </c>
      <c r="C17" s="28">
        <f t="shared" si="35"/>
        <v>45903</v>
      </c>
      <c r="D17" s="12">
        <f t="shared" si="35"/>
        <v>3</v>
      </c>
      <c r="E17" s="10">
        <f t="shared" si="35"/>
        <v>11</v>
      </c>
      <c r="F17" s="13"/>
      <c r="G17" s="229" t="s">
        <v>57</v>
      </c>
      <c r="H17" s="70">
        <f t="shared" si="36"/>
        <v>25.6</v>
      </c>
      <c r="I17" s="37">
        <f t="shared" si="36"/>
        <v>0</v>
      </c>
      <c r="J17" s="35">
        <f t="shared" si="36"/>
        <v>16</v>
      </c>
      <c r="K17" s="122">
        <f t="shared" si="36"/>
        <v>8.1690000000000005</v>
      </c>
      <c r="L17" s="122">
        <f t="shared" si="36"/>
        <v>0.879</v>
      </c>
      <c r="M17" s="126">
        <v>711.38</v>
      </c>
      <c r="N17" s="126">
        <v>812.04</v>
      </c>
      <c r="O17" s="32">
        <f t="shared" si="37"/>
        <v>100.65</v>
      </c>
      <c r="P17" s="33" t="str">
        <f t="shared" si="37"/>
        <v>2,31,180</v>
      </c>
      <c r="Q17" s="11" t="str">
        <f t="shared" si="16"/>
        <v>2</v>
      </c>
      <c r="R17" s="11" t="str">
        <f t="shared" si="17"/>
        <v>31,180</v>
      </c>
      <c r="S17" s="11">
        <f t="shared" si="18"/>
        <v>4.1994444444444445E-2</v>
      </c>
      <c r="T17" s="14">
        <f t="shared" si="19"/>
        <v>2396.7456012700095</v>
      </c>
      <c r="U17" s="38">
        <f t="shared" si="0"/>
        <v>9.9354197714480695E-3</v>
      </c>
      <c r="V17" s="39">
        <f t="shared" si="38"/>
        <v>19.8</v>
      </c>
      <c r="W17" s="124">
        <f t="shared" si="38"/>
        <v>1.08</v>
      </c>
      <c r="X17" s="124">
        <f t="shared" si="20"/>
        <v>1.075</v>
      </c>
      <c r="Y17" s="126">
        <v>816.66</v>
      </c>
      <c r="Z17" s="126">
        <v>821.7</v>
      </c>
      <c r="AA17" s="90">
        <f t="shared" si="39"/>
        <v>5.0149999999999997</v>
      </c>
      <c r="AB17" s="73" t="str">
        <f t="shared" si="39"/>
        <v>9,05,040</v>
      </c>
      <c r="AC17" s="11" t="str">
        <f t="shared" si="21"/>
        <v>9,</v>
      </c>
      <c r="AD17" s="11" t="str">
        <f t="shared" si="22"/>
        <v>05,040</v>
      </c>
      <c r="AE17" s="11">
        <f t="shared" si="23"/>
        <v>0.15139999999999998</v>
      </c>
      <c r="AF17" s="14">
        <f t="shared" si="1"/>
        <v>33.124174372523122</v>
      </c>
      <c r="AG17" s="40">
        <f t="shared" si="40"/>
        <v>0.49850448654192675</v>
      </c>
      <c r="AH17" s="39">
        <f t="shared" si="41"/>
        <v>19.600000000000001</v>
      </c>
      <c r="AI17" s="124">
        <f t="shared" si="41"/>
        <v>1.0860000000000001</v>
      </c>
      <c r="AJ17" s="124">
        <f t="shared" si="24"/>
        <v>1.0780000000000001</v>
      </c>
      <c r="AK17" s="126">
        <f t="shared" si="42"/>
        <v>821.7</v>
      </c>
      <c r="AL17" s="126">
        <v>823.73</v>
      </c>
      <c r="AM17" s="34">
        <f t="shared" si="43"/>
        <v>2.0059999999999998</v>
      </c>
      <c r="AN17" s="33" t="str">
        <f t="shared" si="43"/>
        <v>5,40,620</v>
      </c>
      <c r="AO17" s="11" t="str">
        <f t="shared" si="25"/>
        <v>5,</v>
      </c>
      <c r="AP17" s="11" t="str">
        <f t="shared" si="26"/>
        <v>40,620</v>
      </c>
      <c r="AQ17" s="11">
        <f t="shared" si="27"/>
        <v>9.4616666666666668E-2</v>
      </c>
      <c r="AR17" s="14">
        <f t="shared" si="2"/>
        <v>21.201338735247486</v>
      </c>
      <c r="AS17" s="40">
        <f t="shared" si="3"/>
        <v>1.19641076769556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1</v>
      </c>
      <c r="BE17" s="15">
        <f t="shared" si="8"/>
        <v>1</v>
      </c>
      <c r="BF17" s="15">
        <f t="shared" si="9"/>
        <v>1</v>
      </c>
      <c r="BG17" s="15" t="str">
        <f t="shared" si="10"/>
        <v>111</v>
      </c>
      <c r="BH17" s="15" t="str">
        <f t="shared" si="11"/>
        <v>SI</v>
      </c>
      <c r="BI17" s="15" t="str">
        <f t="shared" si="12"/>
        <v>SD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45903</v>
      </c>
      <c r="C18" s="28">
        <f t="shared" si="35"/>
        <v>45903</v>
      </c>
      <c r="D18" s="12">
        <f t="shared" si="35"/>
        <v>3</v>
      </c>
      <c r="E18" s="10">
        <f t="shared" si="35"/>
        <v>11</v>
      </c>
      <c r="F18" s="13"/>
      <c r="G18" s="230" t="s">
        <v>58</v>
      </c>
      <c r="H18" s="70">
        <f t="shared" si="36"/>
        <v>25.6</v>
      </c>
      <c r="I18" s="37">
        <f t="shared" si="36"/>
        <v>0</v>
      </c>
      <c r="J18" s="35">
        <f t="shared" si="36"/>
        <v>16</v>
      </c>
      <c r="K18" s="122">
        <f t="shared" si="36"/>
        <v>8.1690000000000005</v>
      </c>
      <c r="L18" s="122">
        <f t="shared" si="36"/>
        <v>0.879</v>
      </c>
      <c r="M18" s="126">
        <v>694.79</v>
      </c>
      <c r="N18" s="126">
        <v>795.09</v>
      </c>
      <c r="O18" s="32">
        <f t="shared" si="37"/>
        <v>100.65</v>
      </c>
      <c r="P18" s="33" t="str">
        <f t="shared" si="37"/>
        <v>2,31,180</v>
      </c>
      <c r="Q18" s="11" t="str">
        <f t="shared" si="16"/>
        <v>2</v>
      </c>
      <c r="R18" s="11" t="str">
        <f t="shared" si="17"/>
        <v>31,180</v>
      </c>
      <c r="S18" s="11">
        <f t="shared" si="18"/>
        <v>4.1994444444444445E-2</v>
      </c>
      <c r="T18" s="14">
        <f t="shared" si="19"/>
        <v>2396.7456012700095</v>
      </c>
      <c r="U18" s="38">
        <f t="shared" si="0"/>
        <v>-0.34773969200192495</v>
      </c>
      <c r="V18" s="39">
        <f t="shared" si="38"/>
        <v>19.8</v>
      </c>
      <c r="W18" s="124">
        <f t="shared" si="38"/>
        <v>1.08</v>
      </c>
      <c r="X18" s="124">
        <f t="shared" si="20"/>
        <v>1.075</v>
      </c>
      <c r="Y18" s="126">
        <v>799.7</v>
      </c>
      <c r="Z18" s="126">
        <v>804.74</v>
      </c>
      <c r="AA18" s="90">
        <f t="shared" si="39"/>
        <v>5.0149999999999997</v>
      </c>
      <c r="AB18" s="73" t="str">
        <f t="shared" si="39"/>
        <v>9,05,040</v>
      </c>
      <c r="AC18" s="11" t="str">
        <f t="shared" si="21"/>
        <v>9,</v>
      </c>
      <c r="AD18" s="11" t="str">
        <f t="shared" si="22"/>
        <v>05,040</v>
      </c>
      <c r="AE18" s="11">
        <f t="shared" si="23"/>
        <v>0.15139999999999998</v>
      </c>
      <c r="AF18" s="14">
        <f t="shared" si="1"/>
        <v>33.124174372523122</v>
      </c>
      <c r="AG18" s="40">
        <f t="shared" si="40"/>
        <v>0.49850448653965984</v>
      </c>
      <c r="AH18" s="39">
        <f t="shared" si="41"/>
        <v>19.600000000000001</v>
      </c>
      <c r="AI18" s="124">
        <f t="shared" si="41"/>
        <v>1.0860000000000001</v>
      </c>
      <c r="AJ18" s="124">
        <f t="shared" si="24"/>
        <v>1.0780000000000001</v>
      </c>
      <c r="AK18" s="126">
        <f t="shared" si="42"/>
        <v>804.74</v>
      </c>
      <c r="AL18" s="126">
        <v>806.74</v>
      </c>
      <c r="AM18" s="34">
        <f t="shared" si="43"/>
        <v>2.0059999999999998</v>
      </c>
      <c r="AN18" s="33" t="str">
        <f t="shared" si="43"/>
        <v>5,40,620</v>
      </c>
      <c r="AO18" s="11" t="str">
        <f t="shared" si="25"/>
        <v>5,</v>
      </c>
      <c r="AP18" s="11" t="str">
        <f t="shared" si="26"/>
        <v>40,620</v>
      </c>
      <c r="AQ18" s="11">
        <f t="shared" si="27"/>
        <v>9.4616666666666668E-2</v>
      </c>
      <c r="AR18" s="14">
        <f t="shared" si="2"/>
        <v>21.201338735247486</v>
      </c>
      <c r="AS18" s="40">
        <f t="shared" si="3"/>
        <v>-0.29910269192421651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1</v>
      </c>
      <c r="BF18" s="15">
        <f t="shared" si="9"/>
        <v>-1</v>
      </c>
      <c r="BG18" s="15" t="str">
        <f t="shared" si="10"/>
        <v>-11-1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45903</v>
      </c>
      <c r="C19" s="28">
        <f t="shared" si="44"/>
        <v>45903</v>
      </c>
      <c r="D19" s="12">
        <f t="shared" si="44"/>
        <v>3</v>
      </c>
      <c r="E19" s="10">
        <f t="shared" si="44"/>
        <v>11</v>
      </c>
      <c r="F19" s="13"/>
      <c r="G19" s="229" t="s">
        <v>59</v>
      </c>
      <c r="H19" s="70">
        <f t="shared" ref="H19:L19" si="45">H18</f>
        <v>25.6</v>
      </c>
      <c r="I19" s="37">
        <f t="shared" si="45"/>
        <v>0</v>
      </c>
      <c r="J19" s="35">
        <f t="shared" si="45"/>
        <v>16</v>
      </c>
      <c r="K19" s="122">
        <f t="shared" si="45"/>
        <v>8.1690000000000005</v>
      </c>
      <c r="L19" s="122">
        <f t="shared" si="45"/>
        <v>0.879</v>
      </c>
      <c r="M19" s="126">
        <v>711.18</v>
      </c>
      <c r="N19" s="126">
        <v>811.14</v>
      </c>
      <c r="O19" s="32">
        <f t="shared" ref="O19:P19" si="46">O18</f>
        <v>100.65</v>
      </c>
      <c r="P19" s="33" t="str">
        <f t="shared" si="46"/>
        <v>2,31,180</v>
      </c>
      <c r="Q19" s="11" t="str">
        <f t="shared" ref="Q19:Q82" si="47">LEFT(P19,1)</f>
        <v>2</v>
      </c>
      <c r="R19" s="11" t="str">
        <f t="shared" ref="R19:R82" si="48">RIGHT(P19,6)</f>
        <v>31,180</v>
      </c>
      <c r="S19" s="11">
        <f t="shared" ref="S19:S82" si="49">+(Q19*60+R19)/(60*60)</f>
        <v>4.1994444444444445E-2</v>
      </c>
      <c r="T19" s="14">
        <f t="shared" ref="T19:T82" si="50">+O19/S19</f>
        <v>2396.7456012700095</v>
      </c>
      <c r="U19" s="38">
        <f t="shared" ref="U19:U82" si="51">+(((N19-M19-O19)/O19)*100)</f>
        <v>-0.68554396423245834</v>
      </c>
      <c r="V19" s="39">
        <f t="shared" ref="V19:W19" si="52">V18</f>
        <v>19.8</v>
      </c>
      <c r="W19" s="124">
        <f t="shared" si="52"/>
        <v>1.08</v>
      </c>
      <c r="X19" s="124">
        <f t="shared" si="20"/>
        <v>1.075</v>
      </c>
      <c r="Y19" s="126">
        <v>815.76</v>
      </c>
      <c r="Z19" s="126">
        <v>820.78</v>
      </c>
      <c r="AA19" s="90">
        <f t="shared" ref="AA19:AB19" si="53">AA18</f>
        <v>5.0149999999999997</v>
      </c>
      <c r="AB19" s="73" t="str">
        <f t="shared" si="53"/>
        <v>9,05,040</v>
      </c>
      <c r="AC19" s="11" t="str">
        <f t="shared" ref="AC19:AC82" si="54">LEFT(AB19,2)</f>
        <v>9,</v>
      </c>
      <c r="AD19" s="11" t="str">
        <f t="shared" ref="AD19:AD82" si="55">RIGHT(AB19,6)</f>
        <v>05,040</v>
      </c>
      <c r="AE19" s="11">
        <f t="shared" ref="AE19:AE82" si="56">+(AC19*60+AD19)/(60*60)</f>
        <v>0.15139999999999998</v>
      </c>
      <c r="AF19" s="14">
        <f t="shared" ref="AF19:AF82" si="57">+AA19/AE19</f>
        <v>33.124174372523122</v>
      </c>
      <c r="AG19" s="40">
        <f t="shared" ref="AG19:AG82" si="58">+(((Z19-Y19-AA19)/AA19)*100)</f>
        <v>9.9700897307719458E-2</v>
      </c>
      <c r="AH19" s="39">
        <f t="shared" si="41"/>
        <v>19.600000000000001</v>
      </c>
      <c r="AI19" s="124">
        <f t="shared" si="41"/>
        <v>1.0860000000000001</v>
      </c>
      <c r="AJ19" s="124">
        <f t="shared" si="24"/>
        <v>1.0780000000000001</v>
      </c>
      <c r="AK19" s="126">
        <f t="shared" ref="AK19:AK82" si="59">Z19</f>
        <v>820.78</v>
      </c>
      <c r="AL19" s="126">
        <v>822.79</v>
      </c>
      <c r="AM19" s="34">
        <f t="shared" ref="AM19:AN19" si="60">AM18</f>
        <v>2.0059999999999998</v>
      </c>
      <c r="AN19" s="33" t="str">
        <f t="shared" si="60"/>
        <v>5,40,620</v>
      </c>
      <c r="AO19" s="11" t="str">
        <f t="shared" ref="AO19:AO82" si="61">LEFT(AN19,2)</f>
        <v>5,</v>
      </c>
      <c r="AP19" s="11" t="str">
        <f t="shared" ref="AP19:AP82" si="62">RIGHT(AN19,6)</f>
        <v>40,620</v>
      </c>
      <c r="AQ19" s="11">
        <f t="shared" ref="AQ19:AQ82" si="63">+(AO19*60+AP19)/(60*60)</f>
        <v>9.4616666666666668E-2</v>
      </c>
      <c r="AR19" s="14">
        <f t="shared" ref="AR19:AR82" si="64">+AM19/AQ19</f>
        <v>21.201338735247486</v>
      </c>
      <c r="AS19" s="40">
        <f t="shared" ref="AS19:AS82" si="65">+(((AL19-AK19-AM19)/AM19)*100)</f>
        <v>0.199401794615709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1</v>
      </c>
      <c r="BF19" s="15">
        <f t="shared" si="9"/>
        <v>1</v>
      </c>
      <c r="BG19" s="15" t="str">
        <f t="shared" si="10"/>
        <v>-111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45903</v>
      </c>
      <c r="C20" s="28">
        <f t="shared" si="67"/>
        <v>45903</v>
      </c>
      <c r="D20" s="12">
        <f t="shared" si="67"/>
        <v>3</v>
      </c>
      <c r="E20" s="10">
        <f t="shared" si="67"/>
        <v>11</v>
      </c>
      <c r="F20" s="13"/>
      <c r="G20" s="230" t="s">
        <v>60</v>
      </c>
      <c r="H20" s="70">
        <f t="shared" ref="H20:L20" si="68">H19</f>
        <v>25.6</v>
      </c>
      <c r="I20" s="37">
        <f t="shared" si="68"/>
        <v>0</v>
      </c>
      <c r="J20" s="35">
        <f t="shared" si="68"/>
        <v>16</v>
      </c>
      <c r="K20" s="122">
        <f t="shared" si="68"/>
        <v>8.1690000000000005</v>
      </c>
      <c r="L20" s="122">
        <f t="shared" si="68"/>
        <v>0.879</v>
      </c>
      <c r="M20" s="126">
        <v>787.11</v>
      </c>
      <c r="N20" s="126">
        <v>887.45</v>
      </c>
      <c r="O20" s="32">
        <f t="shared" ref="O20:P20" si="69">O19</f>
        <v>100.65</v>
      </c>
      <c r="P20" s="33" t="str">
        <f t="shared" si="69"/>
        <v>2,31,180</v>
      </c>
      <c r="Q20" s="11" t="str">
        <f t="shared" si="47"/>
        <v>2</v>
      </c>
      <c r="R20" s="11" t="str">
        <f t="shared" si="48"/>
        <v>31,180</v>
      </c>
      <c r="S20" s="11">
        <f t="shared" si="49"/>
        <v>4.1994444444444445E-2</v>
      </c>
      <c r="T20" s="14">
        <f t="shared" si="50"/>
        <v>2396.7456012700095</v>
      </c>
      <c r="U20" s="38">
        <f t="shared" si="51"/>
        <v>-0.30799801291601975</v>
      </c>
      <c r="V20" s="39">
        <f t="shared" ref="V20:W20" si="70">V19</f>
        <v>19.8</v>
      </c>
      <c r="W20" s="124">
        <f t="shared" si="70"/>
        <v>1.08</v>
      </c>
      <c r="X20" s="124">
        <f t="shared" si="20"/>
        <v>1.075</v>
      </c>
      <c r="Y20" s="126">
        <v>892.08</v>
      </c>
      <c r="Z20" s="126">
        <v>897.13</v>
      </c>
      <c r="AA20" s="90">
        <f t="shared" ref="AA20:AB20" si="71">AA19</f>
        <v>5.0149999999999997</v>
      </c>
      <c r="AB20" s="73" t="str">
        <f t="shared" si="71"/>
        <v>9,05,040</v>
      </c>
      <c r="AC20" s="11" t="str">
        <f t="shared" si="54"/>
        <v>9,</v>
      </c>
      <c r="AD20" s="11" t="str">
        <f t="shared" si="55"/>
        <v>05,040</v>
      </c>
      <c r="AE20" s="11">
        <f t="shared" si="56"/>
        <v>0.15139999999999998</v>
      </c>
      <c r="AF20" s="14">
        <f t="shared" si="57"/>
        <v>33.124174372523122</v>
      </c>
      <c r="AG20" s="40">
        <f t="shared" si="58"/>
        <v>0.69790628115563003</v>
      </c>
      <c r="AH20" s="39">
        <f t="shared" si="41"/>
        <v>19.600000000000001</v>
      </c>
      <c r="AI20" s="124">
        <f t="shared" si="41"/>
        <v>1.0860000000000001</v>
      </c>
      <c r="AJ20" s="124">
        <f t="shared" si="24"/>
        <v>1.0780000000000001</v>
      </c>
      <c r="AK20" s="126">
        <f t="shared" si="59"/>
        <v>897.13</v>
      </c>
      <c r="AL20" s="126">
        <v>899.15</v>
      </c>
      <c r="AM20" s="34">
        <f t="shared" ref="AM20:AN20" si="72">AM19</f>
        <v>2.0059999999999998</v>
      </c>
      <c r="AN20" s="33" t="str">
        <f t="shared" si="72"/>
        <v>5,40,620</v>
      </c>
      <c r="AO20" s="11" t="str">
        <f t="shared" si="61"/>
        <v>5,</v>
      </c>
      <c r="AP20" s="11" t="str">
        <f t="shared" si="62"/>
        <v>40,620</v>
      </c>
      <c r="AQ20" s="11">
        <f t="shared" si="63"/>
        <v>9.4616666666666668E-2</v>
      </c>
      <c r="AR20" s="14">
        <f t="shared" si="64"/>
        <v>21.201338735247486</v>
      </c>
      <c r="AS20" s="40">
        <f t="shared" si="65"/>
        <v>0.69790628115563447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1</v>
      </c>
      <c r="BF20" s="15">
        <f t="shared" si="9"/>
        <v>1</v>
      </c>
      <c r="BG20" s="15" t="str">
        <f t="shared" si="10"/>
        <v>-111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45903</v>
      </c>
      <c r="C21" s="28">
        <f t="shared" si="73"/>
        <v>45903</v>
      </c>
      <c r="D21" s="12">
        <f t="shared" si="73"/>
        <v>3</v>
      </c>
      <c r="E21" s="10">
        <f t="shared" si="73"/>
        <v>11</v>
      </c>
      <c r="F21" s="13"/>
      <c r="G21" s="229" t="s">
        <v>61</v>
      </c>
      <c r="H21" s="70">
        <f t="shared" ref="H21:L21" si="74">H20</f>
        <v>25.6</v>
      </c>
      <c r="I21" s="37">
        <f t="shared" si="74"/>
        <v>0</v>
      </c>
      <c r="J21" s="35">
        <f t="shared" si="74"/>
        <v>16</v>
      </c>
      <c r="K21" s="122">
        <f t="shared" si="74"/>
        <v>8.1690000000000005</v>
      </c>
      <c r="L21" s="122">
        <f t="shared" si="74"/>
        <v>0.879</v>
      </c>
      <c r="M21" s="126">
        <v>712.35</v>
      </c>
      <c r="N21" s="126">
        <v>812.36</v>
      </c>
      <c r="O21" s="32">
        <f t="shared" ref="O21:P21" si="75">O20</f>
        <v>100.65</v>
      </c>
      <c r="P21" s="33" t="str">
        <f t="shared" si="75"/>
        <v>2,31,180</v>
      </c>
      <c r="Q21" s="11" t="str">
        <f t="shared" si="47"/>
        <v>2</v>
      </c>
      <c r="R21" s="11" t="str">
        <f t="shared" si="48"/>
        <v>31,180</v>
      </c>
      <c r="S21" s="11">
        <f t="shared" si="49"/>
        <v>4.1994444444444445E-2</v>
      </c>
      <c r="T21" s="14">
        <f t="shared" si="50"/>
        <v>2396.7456012700095</v>
      </c>
      <c r="U21" s="38">
        <f t="shared" si="51"/>
        <v>-0.63586686537507675</v>
      </c>
      <c r="V21" s="39">
        <f t="shared" ref="V21:W21" si="76">V20</f>
        <v>19.8</v>
      </c>
      <c r="W21" s="124">
        <f t="shared" si="76"/>
        <v>1.08</v>
      </c>
      <c r="X21" s="124">
        <f t="shared" si="20"/>
        <v>1.075</v>
      </c>
      <c r="Y21" s="126">
        <v>816.94</v>
      </c>
      <c r="Z21" s="126">
        <v>821.96</v>
      </c>
      <c r="AA21" s="90">
        <f t="shared" ref="AA21:AB21" si="77">AA20</f>
        <v>5.0149999999999997</v>
      </c>
      <c r="AB21" s="73" t="str">
        <f t="shared" si="77"/>
        <v>9,05,040</v>
      </c>
      <c r="AC21" s="11" t="str">
        <f t="shared" si="54"/>
        <v>9,</v>
      </c>
      <c r="AD21" s="11" t="str">
        <f t="shared" si="55"/>
        <v>05,040</v>
      </c>
      <c r="AE21" s="11">
        <f t="shared" si="56"/>
        <v>0.15139999999999998</v>
      </c>
      <c r="AF21" s="14">
        <f t="shared" si="57"/>
        <v>33.124174372523122</v>
      </c>
      <c r="AG21" s="40">
        <f t="shared" si="58"/>
        <v>9.9700897307719458E-2</v>
      </c>
      <c r="AH21" s="39">
        <f t="shared" si="41"/>
        <v>19.600000000000001</v>
      </c>
      <c r="AI21" s="124">
        <f t="shared" si="41"/>
        <v>1.0860000000000001</v>
      </c>
      <c r="AJ21" s="124">
        <f t="shared" si="24"/>
        <v>1.0780000000000001</v>
      </c>
      <c r="AK21" s="126">
        <f t="shared" si="59"/>
        <v>821.96</v>
      </c>
      <c r="AL21" s="126">
        <v>823.97</v>
      </c>
      <c r="AM21" s="34">
        <f t="shared" ref="AM21:AN21" si="78">AM20</f>
        <v>2.0059999999999998</v>
      </c>
      <c r="AN21" s="33" t="str">
        <f t="shared" si="78"/>
        <v>5,40,620</v>
      </c>
      <c r="AO21" s="11" t="str">
        <f t="shared" si="61"/>
        <v>5,</v>
      </c>
      <c r="AP21" s="11" t="str">
        <f t="shared" si="62"/>
        <v>40,620</v>
      </c>
      <c r="AQ21" s="11">
        <f t="shared" si="63"/>
        <v>9.4616666666666668E-2</v>
      </c>
      <c r="AR21" s="14">
        <f t="shared" si="64"/>
        <v>21.201338735247486</v>
      </c>
      <c r="AS21" s="40">
        <f t="shared" si="65"/>
        <v>0.199401794615709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1</v>
      </c>
      <c r="BF21" s="15">
        <f t="shared" si="9"/>
        <v>1</v>
      </c>
      <c r="BG21" s="15" t="str">
        <f t="shared" si="10"/>
        <v>-111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45903</v>
      </c>
      <c r="C22" s="28">
        <f t="shared" si="79"/>
        <v>45903</v>
      </c>
      <c r="D22" s="12">
        <f t="shared" si="79"/>
        <v>3</v>
      </c>
      <c r="E22" s="10">
        <f t="shared" si="79"/>
        <v>11</v>
      </c>
      <c r="F22" s="13"/>
      <c r="G22" s="230" t="s">
        <v>62</v>
      </c>
      <c r="H22" s="70">
        <f t="shared" ref="H22:L22" si="80">H21</f>
        <v>25.6</v>
      </c>
      <c r="I22" s="37">
        <f t="shared" si="80"/>
        <v>0</v>
      </c>
      <c r="J22" s="35">
        <f t="shared" si="80"/>
        <v>16</v>
      </c>
      <c r="K22" s="122">
        <f t="shared" si="80"/>
        <v>8.1690000000000005</v>
      </c>
      <c r="L22" s="122">
        <f t="shared" si="80"/>
        <v>0.879</v>
      </c>
      <c r="M22" s="126">
        <v>735.21</v>
      </c>
      <c r="N22" s="126">
        <v>836.48</v>
      </c>
      <c r="O22" s="32">
        <f t="shared" ref="O22:P22" si="81">O21</f>
        <v>100.65</v>
      </c>
      <c r="P22" s="33" t="str">
        <f t="shared" si="81"/>
        <v>2,31,180</v>
      </c>
      <c r="Q22" s="11" t="str">
        <f t="shared" si="47"/>
        <v>2</v>
      </c>
      <c r="R22" s="11" t="str">
        <f t="shared" si="48"/>
        <v>31,180</v>
      </c>
      <c r="S22" s="11">
        <f t="shared" si="49"/>
        <v>4.1994444444444445E-2</v>
      </c>
      <c r="T22" s="14">
        <f t="shared" si="50"/>
        <v>2396.7456012700095</v>
      </c>
      <c r="U22" s="38">
        <f t="shared" si="51"/>
        <v>0.61599602583206758</v>
      </c>
      <c r="V22" s="39">
        <f t="shared" ref="V22:W22" si="82">V21</f>
        <v>19.8</v>
      </c>
      <c r="W22" s="124">
        <f t="shared" si="82"/>
        <v>1.08</v>
      </c>
      <c r="X22" s="124">
        <f t="shared" si="20"/>
        <v>1.075</v>
      </c>
      <c r="Y22" s="126">
        <v>841.09</v>
      </c>
      <c r="Z22" s="126">
        <v>846.17</v>
      </c>
      <c r="AA22" s="90">
        <f t="shared" ref="AA22:AB22" si="83">AA21</f>
        <v>5.0149999999999997</v>
      </c>
      <c r="AB22" s="73" t="str">
        <f t="shared" si="83"/>
        <v>9,05,040</v>
      </c>
      <c r="AC22" s="11" t="str">
        <f t="shared" si="54"/>
        <v>9,</v>
      </c>
      <c r="AD22" s="11" t="str">
        <f t="shared" si="55"/>
        <v>05,040</v>
      </c>
      <c r="AE22" s="11">
        <f t="shared" si="56"/>
        <v>0.15139999999999998</v>
      </c>
      <c r="AF22" s="14">
        <f t="shared" si="57"/>
        <v>33.124174372523122</v>
      </c>
      <c r="AG22" s="40">
        <f t="shared" si="58"/>
        <v>1.2961116650035407</v>
      </c>
      <c r="AH22" s="39">
        <f t="shared" si="41"/>
        <v>19.600000000000001</v>
      </c>
      <c r="AI22" s="124">
        <f t="shared" si="41"/>
        <v>1.0860000000000001</v>
      </c>
      <c r="AJ22" s="124">
        <f t="shared" si="24"/>
        <v>1.0780000000000001</v>
      </c>
      <c r="AK22" s="126">
        <f t="shared" si="59"/>
        <v>846.17</v>
      </c>
      <c r="AL22" s="126">
        <v>848.19</v>
      </c>
      <c r="AM22" s="34">
        <f t="shared" ref="AM22:AN22" si="84">AM21</f>
        <v>2.0059999999999998</v>
      </c>
      <c r="AN22" s="33" t="str">
        <f t="shared" si="84"/>
        <v>5,40,620</v>
      </c>
      <c r="AO22" s="11" t="str">
        <f t="shared" si="61"/>
        <v>5,</v>
      </c>
      <c r="AP22" s="11" t="str">
        <f t="shared" si="62"/>
        <v>40,620</v>
      </c>
      <c r="AQ22" s="11">
        <f t="shared" si="63"/>
        <v>9.4616666666666668E-2</v>
      </c>
      <c r="AR22" s="14">
        <f t="shared" si="64"/>
        <v>21.201338735247486</v>
      </c>
      <c r="AS22" s="40">
        <f t="shared" si="65"/>
        <v>0.69790628116130182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1</v>
      </c>
      <c r="BE22" s="15">
        <f t="shared" si="8"/>
        <v>1</v>
      </c>
      <c r="BF22" s="15">
        <f t="shared" si="9"/>
        <v>1</v>
      </c>
      <c r="BG22" s="15" t="str">
        <f t="shared" si="10"/>
        <v>111</v>
      </c>
      <c r="BH22" s="15" t="str">
        <f t="shared" si="11"/>
        <v>SI</v>
      </c>
      <c r="BI22" s="15" t="str">
        <f t="shared" si="12"/>
        <v>SD</v>
      </c>
      <c r="BJ22" s="15" t="b">
        <f t="shared" si="13"/>
        <v>1</v>
      </c>
      <c r="BK22" s="15" t="str">
        <f t="shared" si="14"/>
        <v>SIGIGUALES</v>
      </c>
      <c r="BL22" s="22" t="str">
        <f t="shared" si="15"/>
        <v>CONFORME</v>
      </c>
    </row>
    <row r="23" spans="1:64" s="271" customFormat="1" ht="15" customHeight="1" thickBot="1" x14ac:dyDescent="0.35">
      <c r="A23" s="244">
        <v>15</v>
      </c>
      <c r="B23" s="245">
        <f t="shared" ref="B23:E23" si="85">B22</f>
        <v>45903</v>
      </c>
      <c r="C23" s="245">
        <f t="shared" si="85"/>
        <v>45903</v>
      </c>
      <c r="D23" s="246">
        <f t="shared" si="85"/>
        <v>3</v>
      </c>
      <c r="E23" s="247">
        <f t="shared" si="85"/>
        <v>11</v>
      </c>
      <c r="F23" s="43"/>
      <c r="G23" s="248" t="s">
        <v>63</v>
      </c>
      <c r="H23" s="249">
        <f t="shared" ref="H23:L23" si="86">H22</f>
        <v>25.6</v>
      </c>
      <c r="I23" s="250">
        <f t="shared" si="86"/>
        <v>0</v>
      </c>
      <c r="J23" s="251">
        <f t="shared" si="86"/>
        <v>16</v>
      </c>
      <c r="K23" s="252">
        <f t="shared" si="86"/>
        <v>8.1690000000000005</v>
      </c>
      <c r="L23" s="252">
        <f t="shared" si="86"/>
        <v>0.879</v>
      </c>
      <c r="M23" s="253">
        <v>571.80999999999995</v>
      </c>
      <c r="N23" s="253">
        <v>672.5</v>
      </c>
      <c r="O23" s="254">
        <f t="shared" ref="O23:P23" si="87">O22</f>
        <v>100.65</v>
      </c>
      <c r="P23" s="255" t="str">
        <f t="shared" si="87"/>
        <v>2,31,180</v>
      </c>
      <c r="Q23" s="256" t="str">
        <f t="shared" si="47"/>
        <v>2</v>
      </c>
      <c r="R23" s="256" t="str">
        <f t="shared" si="48"/>
        <v>31,180</v>
      </c>
      <c r="S23" s="256">
        <f t="shared" si="49"/>
        <v>4.1994444444444445E-2</v>
      </c>
      <c r="T23" s="257">
        <f t="shared" si="50"/>
        <v>2396.7456012700095</v>
      </c>
      <c r="U23" s="258">
        <f t="shared" si="51"/>
        <v>3.9741679085989946E-2</v>
      </c>
      <c r="V23" s="259">
        <f t="shared" ref="V23:W23" si="88">V22</f>
        <v>19.8</v>
      </c>
      <c r="W23" s="260">
        <f t="shared" si="88"/>
        <v>1.08</v>
      </c>
      <c r="X23" s="260">
        <f t="shared" si="20"/>
        <v>1.075</v>
      </c>
      <c r="Y23" s="253">
        <v>677.05</v>
      </c>
      <c r="Z23" s="253">
        <v>682.01</v>
      </c>
      <c r="AA23" s="261">
        <f t="shared" ref="AA23:AB23" si="89">AA22</f>
        <v>5.0149999999999997</v>
      </c>
      <c r="AB23" s="262" t="str">
        <f t="shared" si="89"/>
        <v>9,05,040</v>
      </c>
      <c r="AC23" s="256" t="str">
        <f t="shared" si="54"/>
        <v>9,</v>
      </c>
      <c r="AD23" s="256" t="str">
        <f t="shared" si="55"/>
        <v>05,040</v>
      </c>
      <c r="AE23" s="256">
        <f t="shared" si="56"/>
        <v>0.15139999999999998</v>
      </c>
      <c r="AF23" s="257">
        <f t="shared" si="57"/>
        <v>33.124174372523122</v>
      </c>
      <c r="AG23" s="263">
        <f t="shared" si="58"/>
        <v>-1.0967098703881017</v>
      </c>
      <c r="AH23" s="259">
        <f t="shared" si="41"/>
        <v>19.600000000000001</v>
      </c>
      <c r="AI23" s="260">
        <f t="shared" si="41"/>
        <v>1.0860000000000001</v>
      </c>
      <c r="AJ23" s="260">
        <f t="shared" si="24"/>
        <v>1.0780000000000001</v>
      </c>
      <c r="AK23" s="253">
        <f t="shared" si="59"/>
        <v>682.01</v>
      </c>
      <c r="AL23" s="253">
        <v>684.03</v>
      </c>
      <c r="AM23" s="264">
        <f t="shared" ref="AM23:AN23" si="90">AM22</f>
        <v>2.0059999999999998</v>
      </c>
      <c r="AN23" s="255" t="str">
        <f t="shared" si="90"/>
        <v>5,40,620</v>
      </c>
      <c r="AO23" s="256" t="str">
        <f t="shared" si="61"/>
        <v>5,</v>
      </c>
      <c r="AP23" s="256" t="str">
        <f t="shared" si="62"/>
        <v>40,620</v>
      </c>
      <c r="AQ23" s="256">
        <f t="shared" si="63"/>
        <v>9.4616666666666668E-2</v>
      </c>
      <c r="AR23" s="257">
        <f t="shared" si="64"/>
        <v>21.201338735247486</v>
      </c>
      <c r="AS23" s="263">
        <f t="shared" si="65"/>
        <v>0.69790628115563447</v>
      </c>
      <c r="AT23" s="265" t="str">
        <f t="shared" si="66"/>
        <v>CONFORME</v>
      </c>
      <c r="AU23" s="266" t="b">
        <f t="shared" si="28"/>
        <v>1</v>
      </c>
      <c r="AV23" s="266" t="b">
        <f t="shared" si="29"/>
        <v>1</v>
      </c>
      <c r="AW23" s="266" t="b">
        <f t="shared" si="30"/>
        <v>1</v>
      </c>
      <c r="AX23" s="266" t="str">
        <f t="shared" si="31"/>
        <v>Qcorrecto</v>
      </c>
      <c r="AY23" s="267" t="str">
        <f t="shared" si="5"/>
        <v>aceptable</v>
      </c>
      <c r="AZ23" s="267" t="str">
        <f t="shared" si="6"/>
        <v>aceptable</v>
      </c>
      <c r="BA23" s="267" t="str">
        <f t="shared" si="32"/>
        <v>aceptable</v>
      </c>
      <c r="BB23" s="268" t="str">
        <f t="shared" si="33"/>
        <v>CONFORME</v>
      </c>
      <c r="BC23" s="269" t="str">
        <f t="shared" si="34"/>
        <v>CONFORME</v>
      </c>
      <c r="BD23" s="270">
        <f t="shared" si="7"/>
        <v>1</v>
      </c>
      <c r="BE23" s="270">
        <f t="shared" si="8"/>
        <v>-1</v>
      </c>
      <c r="BF23" s="270">
        <f t="shared" si="9"/>
        <v>1</v>
      </c>
      <c r="BG23" s="270" t="str">
        <f t="shared" si="10"/>
        <v>1-11</v>
      </c>
      <c r="BH23" s="270" t="str">
        <f t="shared" si="11"/>
        <v>SD</v>
      </c>
      <c r="BI23" s="270" t="str">
        <f t="shared" si="12"/>
        <v>SD</v>
      </c>
      <c r="BJ23" s="270" t="b">
        <f t="shared" si="13"/>
        <v>0</v>
      </c>
      <c r="BK23" s="270" t="str">
        <f t="shared" si="14"/>
        <v>SIGDIFERENTES</v>
      </c>
      <c r="BL23" s="267" t="str">
        <f t="shared" si="15"/>
        <v>CONFORME</v>
      </c>
    </row>
    <row r="24" spans="1:64" ht="15" customHeight="1" x14ac:dyDescent="0.3">
      <c r="A24" s="91">
        <v>16</v>
      </c>
      <c r="B24" s="231">
        <f t="shared" ref="B24:E24" si="91">B23</f>
        <v>45903</v>
      </c>
      <c r="C24" s="231">
        <f t="shared" si="91"/>
        <v>45903</v>
      </c>
      <c r="D24" s="232">
        <f t="shared" si="91"/>
        <v>3</v>
      </c>
      <c r="E24" s="233">
        <f t="shared" si="91"/>
        <v>11</v>
      </c>
      <c r="F24" s="46"/>
      <c r="G24" s="76"/>
      <c r="H24" s="234">
        <f t="shared" ref="H24:L24" si="92">H23</f>
        <v>25.6</v>
      </c>
      <c r="I24" s="110">
        <f t="shared" si="92"/>
        <v>0</v>
      </c>
      <c r="J24" s="235">
        <f t="shared" si="92"/>
        <v>16</v>
      </c>
      <c r="K24" s="236">
        <f t="shared" si="92"/>
        <v>8.1690000000000005</v>
      </c>
      <c r="L24" s="236">
        <f t="shared" si="92"/>
        <v>0.879</v>
      </c>
      <c r="M24" s="125"/>
      <c r="N24" s="125"/>
      <c r="O24" s="237">
        <f t="shared" ref="O24:P24" si="93">O23</f>
        <v>100.65</v>
      </c>
      <c r="P24" s="238" t="str">
        <f t="shared" si="93"/>
        <v>2,31,180</v>
      </c>
      <c r="Q24" s="96" t="str">
        <f t="shared" si="47"/>
        <v>2</v>
      </c>
      <c r="R24" s="96" t="str">
        <f t="shared" si="48"/>
        <v>31,180</v>
      </c>
      <c r="S24" s="96">
        <f t="shared" si="49"/>
        <v>4.1994444444444445E-2</v>
      </c>
      <c r="T24" s="97">
        <f t="shared" si="50"/>
        <v>2396.7456012700095</v>
      </c>
      <c r="U24" s="98">
        <f t="shared" si="51"/>
        <v>-100</v>
      </c>
      <c r="V24" s="239">
        <f t="shared" ref="V24:W24" si="94">V23</f>
        <v>19.8</v>
      </c>
      <c r="W24" s="240">
        <f t="shared" si="94"/>
        <v>1.08</v>
      </c>
      <c r="X24" s="240">
        <f t="shared" si="20"/>
        <v>1.075</v>
      </c>
      <c r="Y24" s="125"/>
      <c r="Z24" s="125"/>
      <c r="AA24" s="241">
        <f t="shared" ref="AA24:AB24" si="95">AA23</f>
        <v>5.0149999999999997</v>
      </c>
      <c r="AB24" s="242" t="str">
        <f t="shared" si="95"/>
        <v>9,05,040</v>
      </c>
      <c r="AC24" s="96" t="str">
        <f t="shared" si="54"/>
        <v>9,</v>
      </c>
      <c r="AD24" s="96" t="str">
        <f t="shared" si="55"/>
        <v>05,040</v>
      </c>
      <c r="AE24" s="96">
        <f t="shared" si="56"/>
        <v>0.15139999999999998</v>
      </c>
      <c r="AF24" s="97">
        <f t="shared" si="57"/>
        <v>33.124174372523122</v>
      </c>
      <c r="AG24" s="99">
        <f t="shared" si="58"/>
        <v>-100</v>
      </c>
      <c r="AH24" s="239">
        <f t="shared" si="41"/>
        <v>19.600000000000001</v>
      </c>
      <c r="AI24" s="240">
        <f t="shared" si="41"/>
        <v>1.0860000000000001</v>
      </c>
      <c r="AJ24" s="240">
        <f t="shared" si="24"/>
        <v>1.0780000000000001</v>
      </c>
      <c r="AK24" s="125">
        <f t="shared" si="59"/>
        <v>0</v>
      </c>
      <c r="AL24" s="125"/>
      <c r="AM24" s="243">
        <f t="shared" ref="AM24:AN24" si="96">AM23</f>
        <v>2.0059999999999998</v>
      </c>
      <c r="AN24" s="238" t="str">
        <f t="shared" si="96"/>
        <v>5,40,620</v>
      </c>
      <c r="AO24" s="96" t="str">
        <f t="shared" si="61"/>
        <v>5,</v>
      </c>
      <c r="AP24" s="96" t="str">
        <f t="shared" si="62"/>
        <v>40,620</v>
      </c>
      <c r="AQ24" s="96">
        <f t="shared" si="63"/>
        <v>9.4616666666666668E-2</v>
      </c>
      <c r="AR24" s="97">
        <f t="shared" si="64"/>
        <v>21.201338735247486</v>
      </c>
      <c r="AS24" s="99">
        <f t="shared" si="65"/>
        <v>-100</v>
      </c>
      <c r="AT24" s="101" t="str">
        <f t="shared" si="66"/>
        <v>NO CONFORME</v>
      </c>
      <c r="AU24" s="8" t="b">
        <f t="shared" si="28"/>
        <v>1</v>
      </c>
      <c r="AV24" s="8" t="b">
        <f t="shared" si="29"/>
        <v>0</v>
      </c>
      <c r="AW24" s="8" t="b">
        <f t="shared" si="30"/>
        <v>1</v>
      </c>
      <c r="AX24" s="8" t="str">
        <f t="shared" si="31"/>
        <v>Qcorrecto</v>
      </c>
      <c r="AY24" s="26" t="str">
        <f t="shared" si="5"/>
        <v>aceptable</v>
      </c>
      <c r="AZ24" s="26" t="str">
        <f t="shared" si="6"/>
        <v>aceptable</v>
      </c>
      <c r="BA24" s="26" t="str">
        <f t="shared" si="32"/>
        <v>aceptable</v>
      </c>
      <c r="BB24" s="25" t="str">
        <f t="shared" si="33"/>
        <v>NO CONFORME</v>
      </c>
      <c r="BC24" s="5" t="str">
        <f t="shared" si="34"/>
        <v>NO CONFORME</v>
      </c>
      <c r="BD24" s="15">
        <f t="shared" si="7"/>
        <v>-1</v>
      </c>
      <c r="BE24" s="15">
        <f t="shared" si="8"/>
        <v>-1</v>
      </c>
      <c r="BF24" s="15">
        <f t="shared" si="9"/>
        <v>-1</v>
      </c>
      <c r="BG24" s="15" t="str">
        <f t="shared" si="10"/>
        <v>-1-1-1</v>
      </c>
      <c r="BH24" s="15" t="str">
        <f t="shared" si="11"/>
        <v>SD</v>
      </c>
      <c r="BI24" s="15" t="str">
        <f t="shared" si="12"/>
        <v>SI</v>
      </c>
      <c r="BJ24" s="15" t="b">
        <f t="shared" si="13"/>
        <v>1</v>
      </c>
      <c r="BK24" s="15" t="str">
        <f t="shared" si="14"/>
        <v>SIGIGUALES</v>
      </c>
      <c r="BL24" s="26" t="str">
        <f t="shared" si="15"/>
        <v>NO CONFORME</v>
      </c>
    </row>
    <row r="25" spans="1:64" ht="15" customHeight="1" x14ac:dyDescent="0.3">
      <c r="A25" s="36">
        <v>17</v>
      </c>
      <c r="B25" s="28">
        <f t="shared" ref="B25:E25" si="97">B24</f>
        <v>45903</v>
      </c>
      <c r="C25" s="28">
        <f t="shared" si="97"/>
        <v>45903</v>
      </c>
      <c r="D25" s="12">
        <f t="shared" si="97"/>
        <v>3</v>
      </c>
      <c r="E25" s="10">
        <f t="shared" si="97"/>
        <v>11</v>
      </c>
      <c r="F25" s="13"/>
      <c r="G25" s="69"/>
      <c r="H25" s="70">
        <f t="shared" ref="H25:L25" si="98">H24</f>
        <v>25.6</v>
      </c>
      <c r="I25" s="37">
        <f t="shared" si="98"/>
        <v>0</v>
      </c>
      <c r="J25" s="35">
        <f t="shared" si="98"/>
        <v>16</v>
      </c>
      <c r="K25" s="122">
        <f t="shared" si="98"/>
        <v>8.1690000000000005</v>
      </c>
      <c r="L25" s="122">
        <f t="shared" si="98"/>
        <v>0.879</v>
      </c>
      <c r="M25" s="126"/>
      <c r="N25" s="126"/>
      <c r="O25" s="32">
        <f t="shared" ref="O25:P25" si="99">O24</f>
        <v>100.65</v>
      </c>
      <c r="P25" s="33" t="str">
        <f t="shared" si="99"/>
        <v>2,31,180</v>
      </c>
      <c r="Q25" s="11" t="str">
        <f t="shared" si="47"/>
        <v>2</v>
      </c>
      <c r="R25" s="11" t="str">
        <f t="shared" si="48"/>
        <v>31,180</v>
      </c>
      <c r="S25" s="11">
        <f t="shared" si="49"/>
        <v>4.1994444444444445E-2</v>
      </c>
      <c r="T25" s="14">
        <f t="shared" si="50"/>
        <v>2396.7456012700095</v>
      </c>
      <c r="U25" s="38">
        <f t="shared" si="51"/>
        <v>-100</v>
      </c>
      <c r="V25" s="39">
        <f t="shared" ref="V25:W25" si="100">V24</f>
        <v>19.8</v>
      </c>
      <c r="W25" s="124">
        <f t="shared" si="100"/>
        <v>1.08</v>
      </c>
      <c r="X25" s="124">
        <f t="shared" si="20"/>
        <v>1.075</v>
      </c>
      <c r="Y25" s="126"/>
      <c r="Z25" s="126"/>
      <c r="AA25" s="90">
        <f t="shared" ref="AA25:AB25" si="101">AA24</f>
        <v>5.0149999999999997</v>
      </c>
      <c r="AB25" s="73" t="str">
        <f t="shared" si="101"/>
        <v>9,05,040</v>
      </c>
      <c r="AC25" s="11" t="str">
        <f t="shared" si="54"/>
        <v>9,</v>
      </c>
      <c r="AD25" s="11" t="str">
        <f t="shared" si="55"/>
        <v>05,040</v>
      </c>
      <c r="AE25" s="11">
        <f t="shared" si="56"/>
        <v>0.15139999999999998</v>
      </c>
      <c r="AF25" s="14">
        <f t="shared" si="57"/>
        <v>33.124174372523122</v>
      </c>
      <c r="AG25" s="40">
        <f t="shared" si="58"/>
        <v>-100</v>
      </c>
      <c r="AH25" s="39">
        <f t="shared" si="41"/>
        <v>19.600000000000001</v>
      </c>
      <c r="AI25" s="124">
        <f t="shared" si="41"/>
        <v>1.0860000000000001</v>
      </c>
      <c r="AJ25" s="124">
        <f t="shared" si="24"/>
        <v>1.0780000000000001</v>
      </c>
      <c r="AK25" s="126">
        <f t="shared" si="59"/>
        <v>0</v>
      </c>
      <c r="AL25" s="126"/>
      <c r="AM25" s="34">
        <f t="shared" ref="AM25:AN25" si="102">AM24</f>
        <v>2.0059999999999998</v>
      </c>
      <c r="AN25" s="33" t="str">
        <f t="shared" si="102"/>
        <v>5,40,620</v>
      </c>
      <c r="AO25" s="11" t="str">
        <f t="shared" si="61"/>
        <v>5,</v>
      </c>
      <c r="AP25" s="11" t="str">
        <f t="shared" si="62"/>
        <v>40,620</v>
      </c>
      <c r="AQ25" s="11">
        <f t="shared" si="63"/>
        <v>9.4616666666666668E-2</v>
      </c>
      <c r="AR25" s="14">
        <f t="shared" si="64"/>
        <v>21.201338735247486</v>
      </c>
      <c r="AS25" s="40">
        <f t="shared" si="65"/>
        <v>-100</v>
      </c>
      <c r="AT25" s="41" t="str">
        <f t="shared" si="66"/>
        <v>NO CONFORME</v>
      </c>
      <c r="AU25" s="8" t="b">
        <f t="shared" si="28"/>
        <v>1</v>
      </c>
      <c r="AV25" s="8" t="b">
        <f t="shared" si="29"/>
        <v>0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NO CONFORME</v>
      </c>
      <c r="BC25" s="5" t="str">
        <f t="shared" si="34"/>
        <v>NO 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NO CONFORME</v>
      </c>
    </row>
    <row r="26" spans="1:64" ht="15" customHeight="1" x14ac:dyDescent="0.3">
      <c r="A26" s="36">
        <v>18</v>
      </c>
      <c r="B26" s="28">
        <f t="shared" ref="B26:E26" si="103">B25</f>
        <v>45903</v>
      </c>
      <c r="C26" s="28">
        <f t="shared" si="103"/>
        <v>45903</v>
      </c>
      <c r="D26" s="12">
        <f t="shared" si="103"/>
        <v>3</v>
      </c>
      <c r="E26" s="10">
        <f t="shared" si="103"/>
        <v>11</v>
      </c>
      <c r="F26" s="13"/>
      <c r="G26" s="69"/>
      <c r="H26" s="70">
        <f t="shared" ref="H26:L26" si="104">H25</f>
        <v>25.6</v>
      </c>
      <c r="I26" s="37">
        <f t="shared" si="104"/>
        <v>0</v>
      </c>
      <c r="J26" s="35">
        <f t="shared" si="104"/>
        <v>16</v>
      </c>
      <c r="K26" s="122">
        <f t="shared" si="104"/>
        <v>8.1690000000000005</v>
      </c>
      <c r="L26" s="122">
        <f t="shared" si="104"/>
        <v>0.879</v>
      </c>
      <c r="M26" s="126"/>
      <c r="N26" s="126"/>
      <c r="O26" s="32">
        <f t="shared" ref="O26:P26" si="105">O25</f>
        <v>100.65</v>
      </c>
      <c r="P26" s="33" t="str">
        <f t="shared" si="105"/>
        <v>2,31,180</v>
      </c>
      <c r="Q26" s="11" t="str">
        <f t="shared" si="47"/>
        <v>2</v>
      </c>
      <c r="R26" s="11" t="str">
        <f t="shared" si="48"/>
        <v>31,180</v>
      </c>
      <c r="S26" s="11">
        <f t="shared" si="49"/>
        <v>4.1994444444444445E-2</v>
      </c>
      <c r="T26" s="14">
        <f t="shared" si="50"/>
        <v>2396.7456012700095</v>
      </c>
      <c r="U26" s="38">
        <f t="shared" si="51"/>
        <v>-100</v>
      </c>
      <c r="V26" s="39">
        <f t="shared" ref="V26:W26" si="106">V25</f>
        <v>19.8</v>
      </c>
      <c r="W26" s="124">
        <f t="shared" si="106"/>
        <v>1.08</v>
      </c>
      <c r="X26" s="124">
        <f t="shared" si="20"/>
        <v>1.075</v>
      </c>
      <c r="Y26" s="126"/>
      <c r="Z26" s="126"/>
      <c r="AA26" s="90">
        <f t="shared" ref="AA26:AB26" si="107">AA25</f>
        <v>5.0149999999999997</v>
      </c>
      <c r="AB26" s="73" t="str">
        <f t="shared" si="107"/>
        <v>9,05,040</v>
      </c>
      <c r="AC26" s="11" t="str">
        <f t="shared" si="54"/>
        <v>9,</v>
      </c>
      <c r="AD26" s="11" t="str">
        <f t="shared" si="55"/>
        <v>05,040</v>
      </c>
      <c r="AE26" s="11">
        <f t="shared" si="56"/>
        <v>0.15139999999999998</v>
      </c>
      <c r="AF26" s="14">
        <f t="shared" si="57"/>
        <v>33.124174372523122</v>
      </c>
      <c r="AG26" s="40">
        <f t="shared" si="58"/>
        <v>-100</v>
      </c>
      <c r="AH26" s="39">
        <f t="shared" si="41"/>
        <v>19.600000000000001</v>
      </c>
      <c r="AI26" s="124">
        <f t="shared" si="41"/>
        <v>1.0860000000000001</v>
      </c>
      <c r="AJ26" s="124">
        <f t="shared" si="24"/>
        <v>1.0780000000000001</v>
      </c>
      <c r="AK26" s="126">
        <f t="shared" si="59"/>
        <v>0</v>
      </c>
      <c r="AL26" s="126"/>
      <c r="AM26" s="34">
        <f t="shared" ref="AM26:AN26" si="108">AM25</f>
        <v>2.0059999999999998</v>
      </c>
      <c r="AN26" s="33" t="str">
        <f t="shared" si="108"/>
        <v>5,40,620</v>
      </c>
      <c r="AO26" s="11" t="str">
        <f t="shared" si="61"/>
        <v>5,</v>
      </c>
      <c r="AP26" s="11" t="str">
        <f t="shared" si="62"/>
        <v>40,620</v>
      </c>
      <c r="AQ26" s="11">
        <f t="shared" si="63"/>
        <v>9.4616666666666668E-2</v>
      </c>
      <c r="AR26" s="14">
        <f t="shared" si="64"/>
        <v>21.201338735247486</v>
      </c>
      <c r="AS26" s="40">
        <f t="shared" si="65"/>
        <v>-100</v>
      </c>
      <c r="AT26" s="41" t="str">
        <f t="shared" si="66"/>
        <v>NO CONFORME</v>
      </c>
      <c r="AU26" s="8" t="b">
        <f t="shared" si="28"/>
        <v>1</v>
      </c>
      <c r="AV26" s="8" t="b">
        <f t="shared" si="29"/>
        <v>0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NO CONFORME</v>
      </c>
      <c r="BC26" s="5" t="str">
        <f t="shared" si="34"/>
        <v>NO 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NO CONFORME</v>
      </c>
    </row>
    <row r="27" spans="1:64" ht="15" customHeight="1" x14ac:dyDescent="0.3">
      <c r="A27" s="36">
        <v>19</v>
      </c>
      <c r="B27" s="28">
        <f t="shared" ref="B27:E27" si="109">B26</f>
        <v>45903</v>
      </c>
      <c r="C27" s="28">
        <f t="shared" si="109"/>
        <v>45903</v>
      </c>
      <c r="D27" s="12">
        <f t="shared" si="109"/>
        <v>3</v>
      </c>
      <c r="E27" s="10">
        <f t="shared" si="109"/>
        <v>11</v>
      </c>
      <c r="F27" s="13"/>
      <c r="G27" s="69"/>
      <c r="H27" s="70">
        <f t="shared" ref="H27:L27" si="110">H26</f>
        <v>25.6</v>
      </c>
      <c r="I27" s="37">
        <f t="shared" si="110"/>
        <v>0</v>
      </c>
      <c r="J27" s="35">
        <f t="shared" si="110"/>
        <v>16</v>
      </c>
      <c r="K27" s="122">
        <f t="shared" si="110"/>
        <v>8.1690000000000005</v>
      </c>
      <c r="L27" s="122">
        <f t="shared" si="110"/>
        <v>0.879</v>
      </c>
      <c r="M27" s="126"/>
      <c r="N27" s="126"/>
      <c r="O27" s="32">
        <f t="shared" ref="O27:P27" si="111">O26</f>
        <v>100.65</v>
      </c>
      <c r="P27" s="33" t="str">
        <f t="shared" si="111"/>
        <v>2,31,180</v>
      </c>
      <c r="Q27" s="11" t="str">
        <f t="shared" si="47"/>
        <v>2</v>
      </c>
      <c r="R27" s="11" t="str">
        <f t="shared" si="48"/>
        <v>31,180</v>
      </c>
      <c r="S27" s="11">
        <f t="shared" si="49"/>
        <v>4.1994444444444445E-2</v>
      </c>
      <c r="T27" s="14">
        <f t="shared" si="50"/>
        <v>2396.7456012700095</v>
      </c>
      <c r="U27" s="38">
        <f t="shared" si="51"/>
        <v>-100</v>
      </c>
      <c r="V27" s="39">
        <f t="shared" ref="V27:W27" si="112">V26</f>
        <v>19.8</v>
      </c>
      <c r="W27" s="124">
        <f t="shared" si="112"/>
        <v>1.08</v>
      </c>
      <c r="X27" s="124">
        <f t="shared" si="20"/>
        <v>1.075</v>
      </c>
      <c r="Y27" s="126"/>
      <c r="Z27" s="126"/>
      <c r="AA27" s="90">
        <f t="shared" ref="AA27:AB27" si="113">AA26</f>
        <v>5.0149999999999997</v>
      </c>
      <c r="AB27" s="73" t="str">
        <f t="shared" si="113"/>
        <v>9,05,040</v>
      </c>
      <c r="AC27" s="11" t="str">
        <f t="shared" si="54"/>
        <v>9,</v>
      </c>
      <c r="AD27" s="11" t="str">
        <f t="shared" si="55"/>
        <v>05,040</v>
      </c>
      <c r="AE27" s="11">
        <f t="shared" si="56"/>
        <v>0.15139999999999998</v>
      </c>
      <c r="AF27" s="14">
        <f t="shared" si="57"/>
        <v>33.124174372523122</v>
      </c>
      <c r="AG27" s="40">
        <f t="shared" si="58"/>
        <v>-100</v>
      </c>
      <c r="AH27" s="39">
        <f t="shared" ref="AH27:AI42" si="114">AH26</f>
        <v>19.600000000000001</v>
      </c>
      <c r="AI27" s="124">
        <f t="shared" si="114"/>
        <v>1.0860000000000001</v>
      </c>
      <c r="AJ27" s="124">
        <f t="shared" si="24"/>
        <v>1.0780000000000001</v>
      </c>
      <c r="AK27" s="126">
        <f t="shared" si="59"/>
        <v>0</v>
      </c>
      <c r="AL27" s="126"/>
      <c r="AM27" s="34">
        <f t="shared" ref="AM27:AN27" si="115">AM26</f>
        <v>2.0059999999999998</v>
      </c>
      <c r="AN27" s="33" t="str">
        <f t="shared" si="115"/>
        <v>5,40,620</v>
      </c>
      <c r="AO27" s="11" t="str">
        <f t="shared" si="61"/>
        <v>5,</v>
      </c>
      <c r="AP27" s="11" t="str">
        <f t="shared" si="62"/>
        <v>40,620</v>
      </c>
      <c r="AQ27" s="11">
        <f t="shared" si="63"/>
        <v>9.4616666666666668E-2</v>
      </c>
      <c r="AR27" s="14">
        <f t="shared" si="64"/>
        <v>21.201338735247486</v>
      </c>
      <c r="AS27" s="40">
        <f t="shared" si="65"/>
        <v>-100</v>
      </c>
      <c r="AT27" s="41" t="str">
        <f t="shared" si="66"/>
        <v>NO CONFORME</v>
      </c>
      <c r="AU27" s="8" t="b">
        <f t="shared" si="28"/>
        <v>1</v>
      </c>
      <c r="AV27" s="8" t="b">
        <f t="shared" si="29"/>
        <v>0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NO CONFORME</v>
      </c>
      <c r="BC27" s="5" t="str">
        <f t="shared" si="34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customHeight="1" x14ac:dyDescent="0.3">
      <c r="A28" s="36">
        <v>20</v>
      </c>
      <c r="B28" s="28">
        <f t="shared" ref="B28:E28" si="116">B27</f>
        <v>45903</v>
      </c>
      <c r="C28" s="28">
        <f t="shared" si="116"/>
        <v>45903</v>
      </c>
      <c r="D28" s="12">
        <f t="shared" si="116"/>
        <v>3</v>
      </c>
      <c r="E28" s="10">
        <f t="shared" si="116"/>
        <v>11</v>
      </c>
      <c r="F28" s="13"/>
      <c r="G28" s="69"/>
      <c r="H28" s="70">
        <f t="shared" ref="H28:L28" si="117">H27</f>
        <v>25.6</v>
      </c>
      <c r="I28" s="37">
        <f t="shared" si="117"/>
        <v>0</v>
      </c>
      <c r="J28" s="35">
        <f t="shared" si="117"/>
        <v>16</v>
      </c>
      <c r="K28" s="122">
        <f t="shared" si="117"/>
        <v>8.1690000000000005</v>
      </c>
      <c r="L28" s="122">
        <f t="shared" si="117"/>
        <v>0.879</v>
      </c>
      <c r="M28" s="126"/>
      <c r="N28" s="126"/>
      <c r="O28" s="32">
        <f t="shared" ref="O28:P28" si="118">O27</f>
        <v>100.65</v>
      </c>
      <c r="P28" s="33" t="str">
        <f t="shared" si="118"/>
        <v>2,31,180</v>
      </c>
      <c r="Q28" s="11" t="str">
        <f t="shared" si="47"/>
        <v>2</v>
      </c>
      <c r="R28" s="11" t="str">
        <f t="shared" si="48"/>
        <v>31,180</v>
      </c>
      <c r="S28" s="11">
        <f t="shared" si="49"/>
        <v>4.1994444444444445E-2</v>
      </c>
      <c r="T28" s="14">
        <f t="shared" si="50"/>
        <v>2396.7456012700095</v>
      </c>
      <c r="U28" s="38">
        <f t="shared" si="51"/>
        <v>-100</v>
      </c>
      <c r="V28" s="39">
        <f t="shared" ref="V28:W28" si="119">V27</f>
        <v>19.8</v>
      </c>
      <c r="W28" s="124">
        <f t="shared" si="119"/>
        <v>1.08</v>
      </c>
      <c r="X28" s="124">
        <f t="shared" si="20"/>
        <v>1.075</v>
      </c>
      <c r="Y28" s="126"/>
      <c r="Z28" s="126"/>
      <c r="AA28" s="90">
        <f t="shared" ref="AA28:AB28" si="120">AA27</f>
        <v>5.0149999999999997</v>
      </c>
      <c r="AB28" s="73" t="str">
        <f t="shared" si="120"/>
        <v>9,05,040</v>
      </c>
      <c r="AC28" s="11" t="str">
        <f t="shared" si="54"/>
        <v>9,</v>
      </c>
      <c r="AD28" s="11" t="str">
        <f t="shared" si="55"/>
        <v>05,040</v>
      </c>
      <c r="AE28" s="11">
        <f t="shared" si="56"/>
        <v>0.15139999999999998</v>
      </c>
      <c r="AF28" s="14">
        <f t="shared" si="57"/>
        <v>33.124174372523122</v>
      </c>
      <c r="AG28" s="40">
        <f t="shared" si="58"/>
        <v>-100</v>
      </c>
      <c r="AH28" s="39">
        <f t="shared" si="114"/>
        <v>19.600000000000001</v>
      </c>
      <c r="AI28" s="124">
        <f t="shared" si="114"/>
        <v>1.0860000000000001</v>
      </c>
      <c r="AJ28" s="124">
        <f t="shared" si="24"/>
        <v>1.0780000000000001</v>
      </c>
      <c r="AK28" s="126">
        <f t="shared" si="59"/>
        <v>0</v>
      </c>
      <c r="AL28" s="126"/>
      <c r="AM28" s="34">
        <f t="shared" ref="AM28:AN28" si="121">AM27</f>
        <v>2.0059999999999998</v>
      </c>
      <c r="AN28" s="33" t="str">
        <f t="shared" si="121"/>
        <v>5,40,620</v>
      </c>
      <c r="AO28" s="11" t="str">
        <f t="shared" si="61"/>
        <v>5,</v>
      </c>
      <c r="AP28" s="11" t="str">
        <f t="shared" si="62"/>
        <v>40,620</v>
      </c>
      <c r="AQ28" s="11">
        <f t="shared" si="63"/>
        <v>9.4616666666666668E-2</v>
      </c>
      <c r="AR28" s="14">
        <f t="shared" si="64"/>
        <v>21.201338735247486</v>
      </c>
      <c r="AS28" s="40">
        <f t="shared" si="65"/>
        <v>-100</v>
      </c>
      <c r="AT28" s="41" t="str">
        <f t="shared" si="66"/>
        <v>NO CONFORME</v>
      </c>
      <c r="AU28" s="8" t="b">
        <f t="shared" si="28"/>
        <v>1</v>
      </c>
      <c r="AV28" s="8" t="b">
        <f t="shared" si="29"/>
        <v>0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NO CONFORME</v>
      </c>
      <c r="BC28" s="5" t="str">
        <f t="shared" si="34"/>
        <v>NO 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NO CONFORME</v>
      </c>
    </row>
    <row r="29" spans="1:64" ht="15.75" customHeight="1" x14ac:dyDescent="0.3">
      <c r="A29" s="36">
        <v>21</v>
      </c>
      <c r="B29" s="28">
        <f t="shared" ref="B29:E29" si="122">B28</f>
        <v>45903</v>
      </c>
      <c r="C29" s="28">
        <f t="shared" si="122"/>
        <v>45903</v>
      </c>
      <c r="D29" s="12">
        <f t="shared" si="122"/>
        <v>3</v>
      </c>
      <c r="E29" s="10">
        <f t="shared" si="122"/>
        <v>11</v>
      </c>
      <c r="F29" s="13"/>
      <c r="G29" s="69"/>
      <c r="H29" s="70">
        <f t="shared" ref="H29:L29" si="123">H28</f>
        <v>25.6</v>
      </c>
      <c r="I29" s="37">
        <f t="shared" si="123"/>
        <v>0</v>
      </c>
      <c r="J29" s="35">
        <f t="shared" si="123"/>
        <v>16</v>
      </c>
      <c r="K29" s="122">
        <f t="shared" si="123"/>
        <v>8.1690000000000005</v>
      </c>
      <c r="L29" s="122">
        <f t="shared" si="123"/>
        <v>0.879</v>
      </c>
      <c r="M29" s="126"/>
      <c r="N29" s="126"/>
      <c r="O29" s="32">
        <f t="shared" ref="O29:P29" si="124">O28</f>
        <v>100.65</v>
      </c>
      <c r="P29" s="33" t="str">
        <f t="shared" si="124"/>
        <v>2,31,180</v>
      </c>
      <c r="Q29" s="11" t="str">
        <f t="shared" si="47"/>
        <v>2</v>
      </c>
      <c r="R29" s="11" t="str">
        <f t="shared" si="48"/>
        <v>31,180</v>
      </c>
      <c r="S29" s="11">
        <f t="shared" si="49"/>
        <v>4.1994444444444445E-2</v>
      </c>
      <c r="T29" s="14">
        <f t="shared" si="50"/>
        <v>2396.7456012700095</v>
      </c>
      <c r="U29" s="38">
        <f t="shared" si="51"/>
        <v>-100</v>
      </c>
      <c r="V29" s="39">
        <f t="shared" ref="V29:W29" si="125">V28</f>
        <v>19.8</v>
      </c>
      <c r="W29" s="124">
        <f t="shared" si="125"/>
        <v>1.08</v>
      </c>
      <c r="X29" s="124">
        <f t="shared" si="20"/>
        <v>1.075</v>
      </c>
      <c r="Y29" s="126"/>
      <c r="Z29" s="126"/>
      <c r="AA29" s="90">
        <f t="shared" ref="AA29:AB29" si="126">AA28</f>
        <v>5.0149999999999997</v>
      </c>
      <c r="AB29" s="73" t="str">
        <f t="shared" si="126"/>
        <v>9,05,040</v>
      </c>
      <c r="AC29" s="11" t="str">
        <f t="shared" si="54"/>
        <v>9,</v>
      </c>
      <c r="AD29" s="11" t="str">
        <f t="shared" si="55"/>
        <v>05,040</v>
      </c>
      <c r="AE29" s="11">
        <f t="shared" si="56"/>
        <v>0.15139999999999998</v>
      </c>
      <c r="AF29" s="14">
        <f t="shared" si="57"/>
        <v>33.124174372523122</v>
      </c>
      <c r="AG29" s="40">
        <f t="shared" si="58"/>
        <v>-100</v>
      </c>
      <c r="AH29" s="39">
        <f t="shared" si="114"/>
        <v>19.600000000000001</v>
      </c>
      <c r="AI29" s="124">
        <f t="shared" si="114"/>
        <v>1.0860000000000001</v>
      </c>
      <c r="AJ29" s="124">
        <f t="shared" si="24"/>
        <v>1.0780000000000001</v>
      </c>
      <c r="AK29" s="126">
        <f t="shared" si="59"/>
        <v>0</v>
      </c>
      <c r="AL29" s="126"/>
      <c r="AM29" s="34">
        <f t="shared" ref="AM29:AN29" si="127">AM28</f>
        <v>2.0059999999999998</v>
      </c>
      <c r="AN29" s="33" t="str">
        <f t="shared" si="127"/>
        <v>5,40,620</v>
      </c>
      <c r="AO29" s="11" t="str">
        <f t="shared" si="61"/>
        <v>5,</v>
      </c>
      <c r="AP29" s="11" t="str">
        <f t="shared" si="62"/>
        <v>40,620</v>
      </c>
      <c r="AQ29" s="11">
        <f t="shared" si="63"/>
        <v>9.4616666666666668E-2</v>
      </c>
      <c r="AR29" s="14">
        <f t="shared" si="64"/>
        <v>21.201338735247486</v>
      </c>
      <c r="AS29" s="40">
        <f t="shared" si="65"/>
        <v>-100</v>
      </c>
      <c r="AT29" s="41" t="str">
        <f t="shared" si="66"/>
        <v>NO CONFORME</v>
      </c>
      <c r="AU29" s="8" t="b">
        <f t="shared" si="28"/>
        <v>1</v>
      </c>
      <c r="AV29" s="8" t="b">
        <f t="shared" si="29"/>
        <v>0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NO CONFORME</v>
      </c>
      <c r="BC29" s="5" t="str">
        <f t="shared" si="34"/>
        <v>NO 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NO CONFORME</v>
      </c>
    </row>
    <row r="30" spans="1:64" ht="15" customHeight="1" x14ac:dyDescent="0.3">
      <c r="A30" s="36">
        <v>22</v>
      </c>
      <c r="B30" s="28">
        <f t="shared" ref="B30:E30" si="128">B29</f>
        <v>45903</v>
      </c>
      <c r="C30" s="28">
        <f t="shared" si="128"/>
        <v>45903</v>
      </c>
      <c r="D30" s="12">
        <f t="shared" si="128"/>
        <v>3</v>
      </c>
      <c r="E30" s="10">
        <f t="shared" si="128"/>
        <v>11</v>
      </c>
      <c r="F30" s="13"/>
      <c r="G30" s="69"/>
      <c r="H30" s="70">
        <f t="shared" ref="H30:L30" si="129">H29</f>
        <v>25.6</v>
      </c>
      <c r="I30" s="37">
        <f t="shared" si="129"/>
        <v>0</v>
      </c>
      <c r="J30" s="35">
        <f t="shared" si="129"/>
        <v>16</v>
      </c>
      <c r="K30" s="122">
        <f t="shared" si="129"/>
        <v>8.1690000000000005</v>
      </c>
      <c r="L30" s="122">
        <f t="shared" si="129"/>
        <v>0.879</v>
      </c>
      <c r="M30" s="126"/>
      <c r="N30" s="126"/>
      <c r="O30" s="32">
        <f t="shared" ref="O30:P30" si="130">O29</f>
        <v>100.65</v>
      </c>
      <c r="P30" s="33" t="str">
        <f t="shared" si="130"/>
        <v>2,31,180</v>
      </c>
      <c r="Q30" s="11" t="str">
        <f t="shared" si="47"/>
        <v>2</v>
      </c>
      <c r="R30" s="11" t="str">
        <f t="shared" si="48"/>
        <v>31,180</v>
      </c>
      <c r="S30" s="11">
        <f t="shared" si="49"/>
        <v>4.1994444444444445E-2</v>
      </c>
      <c r="T30" s="14">
        <f t="shared" si="50"/>
        <v>2396.7456012700095</v>
      </c>
      <c r="U30" s="38">
        <f t="shared" si="51"/>
        <v>-100</v>
      </c>
      <c r="V30" s="39">
        <f t="shared" ref="V30:W30" si="131">V29</f>
        <v>19.8</v>
      </c>
      <c r="W30" s="124">
        <f t="shared" si="131"/>
        <v>1.08</v>
      </c>
      <c r="X30" s="124">
        <f t="shared" si="20"/>
        <v>1.075</v>
      </c>
      <c r="Y30" s="126"/>
      <c r="Z30" s="126"/>
      <c r="AA30" s="90">
        <f t="shared" ref="AA30:AB30" si="132">AA29</f>
        <v>5.0149999999999997</v>
      </c>
      <c r="AB30" s="73" t="str">
        <f t="shared" si="132"/>
        <v>9,05,040</v>
      </c>
      <c r="AC30" s="11" t="str">
        <f t="shared" si="54"/>
        <v>9,</v>
      </c>
      <c r="AD30" s="11" t="str">
        <f t="shared" si="55"/>
        <v>05,040</v>
      </c>
      <c r="AE30" s="11">
        <f t="shared" si="56"/>
        <v>0.15139999999999998</v>
      </c>
      <c r="AF30" s="14">
        <f t="shared" si="57"/>
        <v>33.124174372523122</v>
      </c>
      <c r="AG30" s="40">
        <f t="shared" si="58"/>
        <v>-100</v>
      </c>
      <c r="AH30" s="39">
        <f t="shared" si="114"/>
        <v>19.600000000000001</v>
      </c>
      <c r="AI30" s="124">
        <f t="shared" si="114"/>
        <v>1.0860000000000001</v>
      </c>
      <c r="AJ30" s="124">
        <f t="shared" si="24"/>
        <v>1.0780000000000001</v>
      </c>
      <c r="AK30" s="126">
        <f t="shared" si="59"/>
        <v>0</v>
      </c>
      <c r="AL30" s="126"/>
      <c r="AM30" s="34">
        <f t="shared" ref="AM30:AN30" si="133">AM29</f>
        <v>2.0059999999999998</v>
      </c>
      <c r="AN30" s="33" t="str">
        <f t="shared" si="133"/>
        <v>5,40,620</v>
      </c>
      <c r="AO30" s="11" t="str">
        <f t="shared" si="61"/>
        <v>5,</v>
      </c>
      <c r="AP30" s="11" t="str">
        <f t="shared" si="62"/>
        <v>40,620</v>
      </c>
      <c r="AQ30" s="11">
        <f t="shared" si="63"/>
        <v>9.4616666666666668E-2</v>
      </c>
      <c r="AR30" s="14">
        <f t="shared" si="64"/>
        <v>21.201338735247486</v>
      </c>
      <c r="AS30" s="40">
        <f t="shared" si="65"/>
        <v>-100</v>
      </c>
      <c r="AT30" s="41" t="str">
        <f t="shared" si="66"/>
        <v>NO CONFORME</v>
      </c>
      <c r="AU30" s="8" t="b">
        <f t="shared" si="28"/>
        <v>1</v>
      </c>
      <c r="AV30" s="8" t="b">
        <f t="shared" si="29"/>
        <v>0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NO CONFORME</v>
      </c>
      <c r="BC30" s="5" t="str">
        <f t="shared" si="34"/>
        <v>NO 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NO CONFORME</v>
      </c>
    </row>
    <row r="31" spans="1:64" ht="15" customHeight="1" x14ac:dyDescent="0.3">
      <c r="A31" s="36">
        <v>23</v>
      </c>
      <c r="B31" s="28">
        <f t="shared" ref="B31:E31" si="134">B30</f>
        <v>45903</v>
      </c>
      <c r="C31" s="28">
        <f t="shared" si="134"/>
        <v>45903</v>
      </c>
      <c r="D31" s="12">
        <f t="shared" si="134"/>
        <v>3</v>
      </c>
      <c r="E31" s="10">
        <f t="shared" si="134"/>
        <v>11</v>
      </c>
      <c r="F31" s="13"/>
      <c r="G31" s="69"/>
      <c r="H31" s="70">
        <f t="shared" ref="H31:L31" si="135">H30</f>
        <v>25.6</v>
      </c>
      <c r="I31" s="37">
        <f t="shared" si="135"/>
        <v>0</v>
      </c>
      <c r="J31" s="35">
        <f t="shared" si="135"/>
        <v>16</v>
      </c>
      <c r="K31" s="122">
        <f t="shared" si="135"/>
        <v>8.1690000000000005</v>
      </c>
      <c r="L31" s="122">
        <f t="shared" si="135"/>
        <v>0.879</v>
      </c>
      <c r="M31" s="126"/>
      <c r="N31" s="126"/>
      <c r="O31" s="32">
        <f t="shared" ref="O31:P31" si="136">O30</f>
        <v>100.65</v>
      </c>
      <c r="P31" s="33" t="str">
        <f t="shared" si="136"/>
        <v>2,31,180</v>
      </c>
      <c r="Q31" s="11" t="str">
        <f t="shared" si="47"/>
        <v>2</v>
      </c>
      <c r="R31" s="11" t="str">
        <f t="shared" si="48"/>
        <v>31,180</v>
      </c>
      <c r="S31" s="11">
        <f t="shared" si="49"/>
        <v>4.1994444444444445E-2</v>
      </c>
      <c r="T31" s="14">
        <f t="shared" si="50"/>
        <v>2396.7456012700095</v>
      </c>
      <c r="U31" s="38">
        <f t="shared" si="51"/>
        <v>-100</v>
      </c>
      <c r="V31" s="39">
        <f t="shared" ref="V31:W31" si="137">V30</f>
        <v>19.8</v>
      </c>
      <c r="W31" s="124">
        <f t="shared" si="137"/>
        <v>1.08</v>
      </c>
      <c r="X31" s="124">
        <f t="shared" si="20"/>
        <v>1.075</v>
      </c>
      <c r="Y31" s="126"/>
      <c r="Z31" s="126"/>
      <c r="AA31" s="90">
        <f t="shared" ref="AA31:AB31" si="138">AA30</f>
        <v>5.0149999999999997</v>
      </c>
      <c r="AB31" s="73" t="str">
        <f t="shared" si="138"/>
        <v>9,05,040</v>
      </c>
      <c r="AC31" s="11" t="str">
        <f t="shared" si="54"/>
        <v>9,</v>
      </c>
      <c r="AD31" s="11" t="str">
        <f t="shared" si="55"/>
        <v>05,040</v>
      </c>
      <c r="AE31" s="11">
        <f t="shared" si="56"/>
        <v>0.15139999999999998</v>
      </c>
      <c r="AF31" s="14">
        <f t="shared" si="57"/>
        <v>33.124174372523122</v>
      </c>
      <c r="AG31" s="40">
        <f t="shared" si="58"/>
        <v>-100</v>
      </c>
      <c r="AH31" s="39">
        <f t="shared" si="114"/>
        <v>19.600000000000001</v>
      </c>
      <c r="AI31" s="124">
        <f t="shared" si="114"/>
        <v>1.0860000000000001</v>
      </c>
      <c r="AJ31" s="124">
        <f t="shared" si="24"/>
        <v>1.0780000000000001</v>
      </c>
      <c r="AK31" s="126">
        <f t="shared" si="59"/>
        <v>0</v>
      </c>
      <c r="AL31" s="126"/>
      <c r="AM31" s="34">
        <f t="shared" ref="AM31:AN31" si="139">AM30</f>
        <v>2.0059999999999998</v>
      </c>
      <c r="AN31" s="33" t="str">
        <f t="shared" si="139"/>
        <v>5,40,620</v>
      </c>
      <c r="AO31" s="11" t="str">
        <f t="shared" si="61"/>
        <v>5,</v>
      </c>
      <c r="AP31" s="11" t="str">
        <f t="shared" si="62"/>
        <v>40,620</v>
      </c>
      <c r="AQ31" s="11">
        <f t="shared" si="63"/>
        <v>9.4616666666666668E-2</v>
      </c>
      <c r="AR31" s="14">
        <f t="shared" si="64"/>
        <v>21.201338735247486</v>
      </c>
      <c r="AS31" s="40">
        <f t="shared" si="65"/>
        <v>-100</v>
      </c>
      <c r="AT31" s="41" t="str">
        <f t="shared" si="66"/>
        <v>NO CONFORME</v>
      </c>
      <c r="AU31" s="8" t="b">
        <f t="shared" si="28"/>
        <v>1</v>
      </c>
      <c r="AV31" s="8" t="b">
        <f t="shared" si="29"/>
        <v>0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NO CONFORME</v>
      </c>
      <c r="BC31" s="5" t="str">
        <f t="shared" si="34"/>
        <v>NO 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NO CONFORME</v>
      </c>
    </row>
    <row r="32" spans="1:64" ht="15" customHeight="1" x14ac:dyDescent="0.3">
      <c r="A32" s="36">
        <v>24</v>
      </c>
      <c r="B32" s="28">
        <f t="shared" ref="B32:E32" si="140">B31</f>
        <v>45903</v>
      </c>
      <c r="C32" s="28">
        <f t="shared" si="140"/>
        <v>45903</v>
      </c>
      <c r="D32" s="12">
        <f t="shared" si="140"/>
        <v>3</v>
      </c>
      <c r="E32" s="10">
        <f t="shared" si="140"/>
        <v>11</v>
      </c>
      <c r="F32" s="13"/>
      <c r="G32" s="69"/>
      <c r="H32" s="70">
        <f t="shared" ref="H32:L32" si="141">H31</f>
        <v>25.6</v>
      </c>
      <c r="I32" s="37">
        <f t="shared" si="141"/>
        <v>0</v>
      </c>
      <c r="J32" s="35">
        <f t="shared" si="141"/>
        <v>16</v>
      </c>
      <c r="K32" s="122">
        <f t="shared" si="141"/>
        <v>8.1690000000000005</v>
      </c>
      <c r="L32" s="122">
        <f t="shared" si="141"/>
        <v>0.879</v>
      </c>
      <c r="M32" s="126"/>
      <c r="N32" s="126"/>
      <c r="O32" s="32">
        <f t="shared" ref="O32:P32" si="142">O31</f>
        <v>100.65</v>
      </c>
      <c r="P32" s="33" t="str">
        <f t="shared" si="142"/>
        <v>2,31,180</v>
      </c>
      <c r="Q32" s="11" t="str">
        <f t="shared" si="47"/>
        <v>2</v>
      </c>
      <c r="R32" s="11" t="str">
        <f t="shared" si="48"/>
        <v>31,180</v>
      </c>
      <c r="S32" s="11">
        <f t="shared" si="49"/>
        <v>4.1994444444444445E-2</v>
      </c>
      <c r="T32" s="14">
        <f t="shared" si="50"/>
        <v>2396.7456012700095</v>
      </c>
      <c r="U32" s="38">
        <f t="shared" si="51"/>
        <v>-100</v>
      </c>
      <c r="V32" s="39">
        <f t="shared" ref="V32:W32" si="143">V31</f>
        <v>19.8</v>
      </c>
      <c r="W32" s="124">
        <f t="shared" si="143"/>
        <v>1.08</v>
      </c>
      <c r="X32" s="124">
        <f t="shared" si="20"/>
        <v>1.075</v>
      </c>
      <c r="Y32" s="126"/>
      <c r="Z32" s="126"/>
      <c r="AA32" s="90">
        <f t="shared" ref="AA32:AB32" si="144">AA31</f>
        <v>5.0149999999999997</v>
      </c>
      <c r="AB32" s="73" t="str">
        <f t="shared" si="144"/>
        <v>9,05,040</v>
      </c>
      <c r="AC32" s="11" t="str">
        <f t="shared" si="54"/>
        <v>9,</v>
      </c>
      <c r="AD32" s="11" t="str">
        <f t="shared" si="55"/>
        <v>05,040</v>
      </c>
      <c r="AE32" s="11">
        <f t="shared" si="56"/>
        <v>0.15139999999999998</v>
      </c>
      <c r="AF32" s="14">
        <f t="shared" si="57"/>
        <v>33.124174372523122</v>
      </c>
      <c r="AG32" s="40">
        <f t="shared" si="58"/>
        <v>-100</v>
      </c>
      <c r="AH32" s="39">
        <f t="shared" si="114"/>
        <v>19.600000000000001</v>
      </c>
      <c r="AI32" s="124">
        <f t="shared" si="114"/>
        <v>1.0860000000000001</v>
      </c>
      <c r="AJ32" s="124">
        <f t="shared" si="24"/>
        <v>1.0780000000000001</v>
      </c>
      <c r="AK32" s="126">
        <f t="shared" si="59"/>
        <v>0</v>
      </c>
      <c r="AL32" s="126"/>
      <c r="AM32" s="34">
        <f t="shared" ref="AM32:AN32" si="145">AM31</f>
        <v>2.0059999999999998</v>
      </c>
      <c r="AN32" s="33" t="str">
        <f t="shared" si="145"/>
        <v>5,40,620</v>
      </c>
      <c r="AO32" s="11" t="str">
        <f t="shared" si="61"/>
        <v>5,</v>
      </c>
      <c r="AP32" s="11" t="str">
        <f t="shared" si="62"/>
        <v>40,620</v>
      </c>
      <c r="AQ32" s="11">
        <f t="shared" si="63"/>
        <v>9.4616666666666668E-2</v>
      </c>
      <c r="AR32" s="14">
        <f t="shared" si="64"/>
        <v>21.201338735247486</v>
      </c>
      <c r="AS32" s="40">
        <f t="shared" si="65"/>
        <v>-100</v>
      </c>
      <c r="AT32" s="41" t="str">
        <f t="shared" si="66"/>
        <v>NO CONFORME</v>
      </c>
      <c r="AU32" s="8" t="b">
        <f t="shared" si="28"/>
        <v>1</v>
      </c>
      <c r="AV32" s="8" t="b">
        <f t="shared" si="29"/>
        <v>0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NO CONFORME</v>
      </c>
      <c r="BC32" s="5" t="str">
        <f t="shared" si="34"/>
        <v>NO 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NO CONFORME</v>
      </c>
    </row>
    <row r="33" spans="1:64" ht="15" customHeight="1" x14ac:dyDescent="0.3">
      <c r="A33" s="36">
        <v>25</v>
      </c>
      <c r="B33" s="28">
        <f t="shared" ref="B33:E33" si="146">B32</f>
        <v>45903</v>
      </c>
      <c r="C33" s="28">
        <f t="shared" si="146"/>
        <v>45903</v>
      </c>
      <c r="D33" s="12">
        <f t="shared" si="146"/>
        <v>3</v>
      </c>
      <c r="E33" s="10">
        <f t="shared" si="146"/>
        <v>11</v>
      </c>
      <c r="F33" s="13"/>
      <c r="G33" s="69"/>
      <c r="H33" s="70">
        <f t="shared" ref="H33:L33" si="147">H32</f>
        <v>25.6</v>
      </c>
      <c r="I33" s="37">
        <f t="shared" si="147"/>
        <v>0</v>
      </c>
      <c r="J33" s="35">
        <f t="shared" si="147"/>
        <v>16</v>
      </c>
      <c r="K33" s="122">
        <f t="shared" si="147"/>
        <v>8.1690000000000005</v>
      </c>
      <c r="L33" s="122">
        <f t="shared" si="147"/>
        <v>0.879</v>
      </c>
      <c r="M33" s="126"/>
      <c r="N33" s="126"/>
      <c r="O33" s="32">
        <f t="shared" ref="O33:P33" si="148">O32</f>
        <v>100.65</v>
      </c>
      <c r="P33" s="33" t="str">
        <f t="shared" si="148"/>
        <v>2,31,180</v>
      </c>
      <c r="Q33" s="11" t="str">
        <f t="shared" si="47"/>
        <v>2</v>
      </c>
      <c r="R33" s="11" t="str">
        <f t="shared" si="48"/>
        <v>31,180</v>
      </c>
      <c r="S33" s="11">
        <f t="shared" si="49"/>
        <v>4.1994444444444445E-2</v>
      </c>
      <c r="T33" s="14">
        <f t="shared" si="50"/>
        <v>2396.7456012700095</v>
      </c>
      <c r="U33" s="38">
        <f t="shared" si="51"/>
        <v>-100</v>
      </c>
      <c r="V33" s="39">
        <f t="shared" ref="V33:W33" si="149">V32</f>
        <v>19.8</v>
      </c>
      <c r="W33" s="124">
        <f t="shared" si="149"/>
        <v>1.08</v>
      </c>
      <c r="X33" s="124">
        <f t="shared" si="20"/>
        <v>1.075</v>
      </c>
      <c r="Y33" s="126"/>
      <c r="Z33" s="126"/>
      <c r="AA33" s="90">
        <f t="shared" ref="AA33:AB33" si="150">AA32</f>
        <v>5.0149999999999997</v>
      </c>
      <c r="AB33" s="73" t="str">
        <f t="shared" si="150"/>
        <v>9,05,040</v>
      </c>
      <c r="AC33" s="11" t="str">
        <f t="shared" si="54"/>
        <v>9,</v>
      </c>
      <c r="AD33" s="11" t="str">
        <f t="shared" si="55"/>
        <v>05,040</v>
      </c>
      <c r="AE33" s="11">
        <f t="shared" si="56"/>
        <v>0.15139999999999998</v>
      </c>
      <c r="AF33" s="14">
        <f t="shared" si="57"/>
        <v>33.124174372523122</v>
      </c>
      <c r="AG33" s="40">
        <f t="shared" si="58"/>
        <v>-100</v>
      </c>
      <c r="AH33" s="39">
        <f t="shared" si="114"/>
        <v>19.600000000000001</v>
      </c>
      <c r="AI33" s="124">
        <f t="shared" si="114"/>
        <v>1.0860000000000001</v>
      </c>
      <c r="AJ33" s="124">
        <f t="shared" si="24"/>
        <v>1.0780000000000001</v>
      </c>
      <c r="AK33" s="126">
        <f t="shared" si="59"/>
        <v>0</v>
      </c>
      <c r="AL33" s="126"/>
      <c r="AM33" s="34">
        <f t="shared" ref="AM33:AN33" si="151">AM32</f>
        <v>2.0059999999999998</v>
      </c>
      <c r="AN33" s="33" t="str">
        <f t="shared" si="151"/>
        <v>5,40,620</v>
      </c>
      <c r="AO33" s="11" t="str">
        <f t="shared" si="61"/>
        <v>5,</v>
      </c>
      <c r="AP33" s="11" t="str">
        <f t="shared" si="62"/>
        <v>40,620</v>
      </c>
      <c r="AQ33" s="11">
        <f t="shared" si="63"/>
        <v>9.4616666666666668E-2</v>
      </c>
      <c r="AR33" s="14">
        <f t="shared" si="64"/>
        <v>21.201338735247486</v>
      </c>
      <c r="AS33" s="40">
        <f t="shared" si="65"/>
        <v>-100</v>
      </c>
      <c r="AT33" s="41" t="str">
        <f t="shared" si="66"/>
        <v>NO CONFORME</v>
      </c>
      <c r="AU33" s="8" t="b">
        <f t="shared" si="28"/>
        <v>1</v>
      </c>
      <c r="AV33" s="8" t="b">
        <f t="shared" si="29"/>
        <v>0</v>
      </c>
      <c r="AW33" s="8" t="b">
        <f t="shared" si="30"/>
        <v>1</v>
      </c>
      <c r="AX33" s="8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NO CONFORME</v>
      </c>
      <c r="BC33" s="5" t="str">
        <f t="shared" si="34"/>
        <v>NO 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NO CONFORME</v>
      </c>
    </row>
    <row r="34" spans="1:64" ht="15" customHeight="1" x14ac:dyDescent="0.3">
      <c r="A34" s="36">
        <v>26</v>
      </c>
      <c r="B34" s="28">
        <f t="shared" ref="B34:E34" si="152">B33</f>
        <v>45903</v>
      </c>
      <c r="C34" s="28">
        <f t="shared" si="152"/>
        <v>45903</v>
      </c>
      <c r="D34" s="12">
        <f t="shared" si="152"/>
        <v>3</v>
      </c>
      <c r="E34" s="10">
        <f t="shared" si="152"/>
        <v>11</v>
      </c>
      <c r="F34" s="13"/>
      <c r="G34" s="69"/>
      <c r="H34" s="70">
        <f t="shared" ref="H34:L34" si="153">H33</f>
        <v>25.6</v>
      </c>
      <c r="I34" s="37">
        <f t="shared" si="153"/>
        <v>0</v>
      </c>
      <c r="J34" s="35">
        <f t="shared" si="153"/>
        <v>16</v>
      </c>
      <c r="K34" s="122">
        <f t="shared" si="153"/>
        <v>8.1690000000000005</v>
      </c>
      <c r="L34" s="122">
        <f t="shared" si="153"/>
        <v>0.879</v>
      </c>
      <c r="M34" s="126"/>
      <c r="N34" s="126"/>
      <c r="O34" s="32">
        <f t="shared" ref="O34:P34" si="154">O33</f>
        <v>100.65</v>
      </c>
      <c r="P34" s="33" t="str">
        <f t="shared" si="154"/>
        <v>2,31,180</v>
      </c>
      <c r="Q34" s="11" t="str">
        <f t="shared" si="47"/>
        <v>2</v>
      </c>
      <c r="R34" s="11" t="str">
        <f t="shared" si="48"/>
        <v>31,180</v>
      </c>
      <c r="S34" s="11">
        <f t="shared" si="49"/>
        <v>4.1994444444444445E-2</v>
      </c>
      <c r="T34" s="14">
        <f t="shared" si="50"/>
        <v>2396.7456012700095</v>
      </c>
      <c r="U34" s="38">
        <f t="shared" si="51"/>
        <v>-100</v>
      </c>
      <c r="V34" s="39">
        <f t="shared" ref="V34:W34" si="155">V33</f>
        <v>19.8</v>
      </c>
      <c r="W34" s="124">
        <f t="shared" si="155"/>
        <v>1.08</v>
      </c>
      <c r="X34" s="124">
        <f t="shared" si="20"/>
        <v>1.075</v>
      </c>
      <c r="Y34" s="126"/>
      <c r="Z34" s="126"/>
      <c r="AA34" s="90">
        <f t="shared" ref="AA34:AB34" si="156">AA33</f>
        <v>5.0149999999999997</v>
      </c>
      <c r="AB34" s="73" t="str">
        <f t="shared" si="156"/>
        <v>9,05,040</v>
      </c>
      <c r="AC34" s="11" t="str">
        <f t="shared" si="54"/>
        <v>9,</v>
      </c>
      <c r="AD34" s="11" t="str">
        <f t="shared" si="55"/>
        <v>05,040</v>
      </c>
      <c r="AE34" s="11">
        <f t="shared" si="56"/>
        <v>0.15139999999999998</v>
      </c>
      <c r="AF34" s="14">
        <f t="shared" si="57"/>
        <v>33.124174372523122</v>
      </c>
      <c r="AG34" s="40">
        <f t="shared" si="58"/>
        <v>-100</v>
      </c>
      <c r="AH34" s="39">
        <f t="shared" si="114"/>
        <v>19.600000000000001</v>
      </c>
      <c r="AI34" s="124">
        <f t="shared" si="114"/>
        <v>1.0860000000000001</v>
      </c>
      <c r="AJ34" s="124">
        <f t="shared" si="24"/>
        <v>1.0780000000000001</v>
      </c>
      <c r="AK34" s="126">
        <f t="shared" si="59"/>
        <v>0</v>
      </c>
      <c r="AL34" s="126"/>
      <c r="AM34" s="34">
        <f t="shared" ref="AM34:AN34" si="157">AM33</f>
        <v>2.0059999999999998</v>
      </c>
      <c r="AN34" s="33" t="str">
        <f t="shared" si="157"/>
        <v>5,40,620</v>
      </c>
      <c r="AO34" s="11" t="str">
        <f t="shared" si="61"/>
        <v>5,</v>
      </c>
      <c r="AP34" s="11" t="str">
        <f t="shared" si="62"/>
        <v>40,620</v>
      </c>
      <c r="AQ34" s="11">
        <f t="shared" si="63"/>
        <v>9.4616666666666668E-2</v>
      </c>
      <c r="AR34" s="14">
        <f t="shared" si="64"/>
        <v>21.201338735247486</v>
      </c>
      <c r="AS34" s="40">
        <f t="shared" si="65"/>
        <v>-100</v>
      </c>
      <c r="AT34" s="41" t="str">
        <f t="shared" si="66"/>
        <v>NO CONFORME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NO CONFORME</v>
      </c>
      <c r="BC34" s="5" t="str">
        <f t="shared" si="34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NO CONFORME</v>
      </c>
    </row>
    <row r="35" spans="1:64" ht="15" customHeight="1" x14ac:dyDescent="0.3">
      <c r="A35" s="36">
        <v>27</v>
      </c>
      <c r="B35" s="28">
        <f t="shared" ref="B35:E35" si="158">B34</f>
        <v>45903</v>
      </c>
      <c r="C35" s="28">
        <f t="shared" si="158"/>
        <v>45903</v>
      </c>
      <c r="D35" s="12">
        <f t="shared" si="158"/>
        <v>3</v>
      </c>
      <c r="E35" s="10">
        <f t="shared" si="158"/>
        <v>11</v>
      </c>
      <c r="F35" s="13"/>
      <c r="G35" s="69"/>
      <c r="H35" s="70">
        <f t="shared" ref="H35:L35" si="159">H34</f>
        <v>25.6</v>
      </c>
      <c r="I35" s="37">
        <f t="shared" si="159"/>
        <v>0</v>
      </c>
      <c r="J35" s="35">
        <f t="shared" si="159"/>
        <v>16</v>
      </c>
      <c r="K35" s="122">
        <f t="shared" si="159"/>
        <v>8.1690000000000005</v>
      </c>
      <c r="L35" s="122">
        <f t="shared" si="159"/>
        <v>0.879</v>
      </c>
      <c r="M35" s="126"/>
      <c r="N35" s="126"/>
      <c r="O35" s="32">
        <f t="shared" ref="O35:P35" si="160">O34</f>
        <v>100.65</v>
      </c>
      <c r="P35" s="33" t="str">
        <f t="shared" si="160"/>
        <v>2,31,180</v>
      </c>
      <c r="Q35" s="11" t="str">
        <f t="shared" si="47"/>
        <v>2</v>
      </c>
      <c r="R35" s="11" t="str">
        <f t="shared" si="48"/>
        <v>31,180</v>
      </c>
      <c r="S35" s="11">
        <f t="shared" si="49"/>
        <v>4.1994444444444445E-2</v>
      </c>
      <c r="T35" s="14">
        <f t="shared" si="50"/>
        <v>2396.7456012700095</v>
      </c>
      <c r="U35" s="38">
        <f t="shared" si="51"/>
        <v>-100</v>
      </c>
      <c r="V35" s="39">
        <f t="shared" ref="V35:W35" si="161">V34</f>
        <v>19.8</v>
      </c>
      <c r="W35" s="124">
        <f t="shared" si="161"/>
        <v>1.08</v>
      </c>
      <c r="X35" s="124">
        <f t="shared" si="20"/>
        <v>1.075</v>
      </c>
      <c r="Y35" s="126"/>
      <c r="Z35" s="126"/>
      <c r="AA35" s="90">
        <f t="shared" ref="AA35:AB35" si="162">AA34</f>
        <v>5.0149999999999997</v>
      </c>
      <c r="AB35" s="73" t="str">
        <f t="shared" si="162"/>
        <v>9,05,040</v>
      </c>
      <c r="AC35" s="11" t="str">
        <f t="shared" si="54"/>
        <v>9,</v>
      </c>
      <c r="AD35" s="11" t="str">
        <f t="shared" si="55"/>
        <v>05,040</v>
      </c>
      <c r="AE35" s="11">
        <f t="shared" si="56"/>
        <v>0.15139999999999998</v>
      </c>
      <c r="AF35" s="14">
        <f t="shared" si="57"/>
        <v>33.124174372523122</v>
      </c>
      <c r="AG35" s="40">
        <f t="shared" si="58"/>
        <v>-100</v>
      </c>
      <c r="AH35" s="39">
        <f t="shared" si="114"/>
        <v>19.600000000000001</v>
      </c>
      <c r="AI35" s="124">
        <f t="shared" si="114"/>
        <v>1.0860000000000001</v>
      </c>
      <c r="AJ35" s="124">
        <f t="shared" si="24"/>
        <v>1.0780000000000001</v>
      </c>
      <c r="AK35" s="126">
        <f t="shared" si="59"/>
        <v>0</v>
      </c>
      <c r="AL35" s="126"/>
      <c r="AM35" s="34">
        <f t="shared" ref="AM35:AN35" si="163">AM34</f>
        <v>2.0059999999999998</v>
      </c>
      <c r="AN35" s="33" t="str">
        <f t="shared" si="163"/>
        <v>5,40,620</v>
      </c>
      <c r="AO35" s="11" t="str">
        <f t="shared" si="61"/>
        <v>5,</v>
      </c>
      <c r="AP35" s="11" t="str">
        <f t="shared" si="62"/>
        <v>40,620</v>
      </c>
      <c r="AQ35" s="11">
        <f t="shared" si="63"/>
        <v>9.4616666666666668E-2</v>
      </c>
      <c r="AR35" s="14">
        <f t="shared" si="64"/>
        <v>21.201338735247486</v>
      </c>
      <c r="AS35" s="40">
        <f t="shared" si="65"/>
        <v>-100</v>
      </c>
      <c r="AT35" s="41" t="str">
        <f t="shared" si="66"/>
        <v>NO CONFORME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NO CONFORME</v>
      </c>
      <c r="BC35" s="5" t="str">
        <f t="shared" si="34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customHeight="1" x14ac:dyDescent="0.3">
      <c r="A36" s="36">
        <v>28</v>
      </c>
      <c r="B36" s="28">
        <f t="shared" ref="B36:E36" si="164">B35</f>
        <v>45903</v>
      </c>
      <c r="C36" s="28">
        <f t="shared" si="164"/>
        <v>45903</v>
      </c>
      <c r="D36" s="12">
        <f t="shared" si="164"/>
        <v>3</v>
      </c>
      <c r="E36" s="10">
        <f t="shared" si="164"/>
        <v>11</v>
      </c>
      <c r="F36" s="13"/>
      <c r="G36" s="69"/>
      <c r="H36" s="70">
        <f t="shared" ref="H36:L36" si="165">H35</f>
        <v>25.6</v>
      </c>
      <c r="I36" s="37">
        <f t="shared" si="165"/>
        <v>0</v>
      </c>
      <c r="J36" s="35">
        <f t="shared" si="165"/>
        <v>16</v>
      </c>
      <c r="K36" s="122">
        <f t="shared" si="165"/>
        <v>8.1690000000000005</v>
      </c>
      <c r="L36" s="122">
        <f t="shared" si="165"/>
        <v>0.879</v>
      </c>
      <c r="M36" s="126"/>
      <c r="N36" s="126"/>
      <c r="O36" s="32">
        <f t="shared" ref="O36:P36" si="166">O35</f>
        <v>100.65</v>
      </c>
      <c r="P36" s="33" t="str">
        <f t="shared" si="166"/>
        <v>2,31,180</v>
      </c>
      <c r="Q36" s="11" t="str">
        <f t="shared" si="47"/>
        <v>2</v>
      </c>
      <c r="R36" s="11" t="str">
        <f t="shared" si="48"/>
        <v>31,180</v>
      </c>
      <c r="S36" s="11">
        <f t="shared" si="49"/>
        <v>4.1994444444444445E-2</v>
      </c>
      <c r="T36" s="14">
        <f t="shared" si="50"/>
        <v>2396.7456012700095</v>
      </c>
      <c r="U36" s="38">
        <f t="shared" si="51"/>
        <v>-100</v>
      </c>
      <c r="V36" s="39">
        <f t="shared" ref="V36:W36" si="167">V35</f>
        <v>19.8</v>
      </c>
      <c r="W36" s="124">
        <f t="shared" si="167"/>
        <v>1.08</v>
      </c>
      <c r="X36" s="124">
        <f t="shared" si="20"/>
        <v>1.075</v>
      </c>
      <c r="Y36" s="126"/>
      <c r="Z36" s="126"/>
      <c r="AA36" s="90">
        <f t="shared" ref="AA36:AB36" si="168">AA35</f>
        <v>5.0149999999999997</v>
      </c>
      <c r="AB36" s="73" t="str">
        <f t="shared" si="168"/>
        <v>9,05,040</v>
      </c>
      <c r="AC36" s="11" t="str">
        <f t="shared" si="54"/>
        <v>9,</v>
      </c>
      <c r="AD36" s="11" t="str">
        <f t="shared" si="55"/>
        <v>05,040</v>
      </c>
      <c r="AE36" s="11">
        <f t="shared" si="56"/>
        <v>0.15139999999999998</v>
      </c>
      <c r="AF36" s="14">
        <f t="shared" si="57"/>
        <v>33.124174372523122</v>
      </c>
      <c r="AG36" s="40">
        <f t="shared" si="58"/>
        <v>-100</v>
      </c>
      <c r="AH36" s="39">
        <f t="shared" si="114"/>
        <v>19.600000000000001</v>
      </c>
      <c r="AI36" s="124">
        <f t="shared" si="114"/>
        <v>1.0860000000000001</v>
      </c>
      <c r="AJ36" s="124">
        <f t="shared" si="24"/>
        <v>1.0780000000000001</v>
      </c>
      <c r="AK36" s="126">
        <f t="shared" si="59"/>
        <v>0</v>
      </c>
      <c r="AL36" s="126"/>
      <c r="AM36" s="34">
        <f t="shared" ref="AM36:AN36" si="169">AM35</f>
        <v>2.0059999999999998</v>
      </c>
      <c r="AN36" s="33" t="str">
        <f t="shared" si="169"/>
        <v>5,40,620</v>
      </c>
      <c r="AO36" s="11" t="str">
        <f t="shared" si="61"/>
        <v>5,</v>
      </c>
      <c r="AP36" s="11" t="str">
        <f t="shared" si="62"/>
        <v>40,620</v>
      </c>
      <c r="AQ36" s="11">
        <f t="shared" si="63"/>
        <v>9.4616666666666668E-2</v>
      </c>
      <c r="AR36" s="14">
        <f t="shared" si="64"/>
        <v>21.201338735247486</v>
      </c>
      <c r="AS36" s="40">
        <f t="shared" si="65"/>
        <v>-100</v>
      </c>
      <c r="AT36" s="41" t="str">
        <f t="shared" si="66"/>
        <v>NO CONFORME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NO CONFORME</v>
      </c>
      <c r="BC36" s="5" t="str">
        <f t="shared" si="34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4.4" x14ac:dyDescent="0.3">
      <c r="A37" s="36">
        <v>29</v>
      </c>
      <c r="B37" s="28">
        <f t="shared" ref="B37:E37" si="170">B36</f>
        <v>45903</v>
      </c>
      <c r="C37" s="28">
        <f t="shared" si="170"/>
        <v>45903</v>
      </c>
      <c r="D37" s="12">
        <f t="shared" si="170"/>
        <v>3</v>
      </c>
      <c r="E37" s="10">
        <f t="shared" si="170"/>
        <v>11</v>
      </c>
      <c r="F37" s="13"/>
      <c r="G37" s="69"/>
      <c r="H37" s="70">
        <f t="shared" ref="H37:L37" si="171">H36</f>
        <v>25.6</v>
      </c>
      <c r="I37" s="37">
        <f t="shared" si="171"/>
        <v>0</v>
      </c>
      <c r="J37" s="35">
        <f t="shared" si="171"/>
        <v>16</v>
      </c>
      <c r="K37" s="122">
        <f t="shared" si="171"/>
        <v>8.1690000000000005</v>
      </c>
      <c r="L37" s="122">
        <f t="shared" si="171"/>
        <v>0.879</v>
      </c>
      <c r="M37" s="126"/>
      <c r="N37" s="126"/>
      <c r="O37" s="32">
        <f t="shared" ref="O37:P37" si="172">O36</f>
        <v>100.65</v>
      </c>
      <c r="P37" s="33" t="str">
        <f t="shared" si="172"/>
        <v>2,31,180</v>
      </c>
      <c r="Q37" s="11" t="str">
        <f t="shared" si="47"/>
        <v>2</v>
      </c>
      <c r="R37" s="11" t="str">
        <f t="shared" si="48"/>
        <v>31,180</v>
      </c>
      <c r="S37" s="11">
        <f t="shared" si="49"/>
        <v>4.1994444444444445E-2</v>
      </c>
      <c r="T37" s="14">
        <f t="shared" si="50"/>
        <v>2396.7456012700095</v>
      </c>
      <c r="U37" s="38">
        <f t="shared" si="51"/>
        <v>-100</v>
      </c>
      <c r="V37" s="39">
        <f t="shared" ref="V37:W37" si="173">V36</f>
        <v>19.8</v>
      </c>
      <c r="W37" s="124">
        <f t="shared" si="173"/>
        <v>1.08</v>
      </c>
      <c r="X37" s="124">
        <f t="shared" si="20"/>
        <v>1.075</v>
      </c>
      <c r="Y37" s="126"/>
      <c r="Z37" s="126"/>
      <c r="AA37" s="90">
        <f t="shared" ref="AA37:AB37" si="174">AA36</f>
        <v>5.0149999999999997</v>
      </c>
      <c r="AB37" s="73" t="str">
        <f t="shared" si="174"/>
        <v>9,05,040</v>
      </c>
      <c r="AC37" s="11" t="str">
        <f t="shared" si="54"/>
        <v>9,</v>
      </c>
      <c r="AD37" s="11" t="str">
        <f t="shared" si="55"/>
        <v>05,040</v>
      </c>
      <c r="AE37" s="11">
        <f t="shared" si="56"/>
        <v>0.15139999999999998</v>
      </c>
      <c r="AF37" s="14">
        <f t="shared" si="57"/>
        <v>33.124174372523122</v>
      </c>
      <c r="AG37" s="40">
        <f t="shared" si="58"/>
        <v>-100</v>
      </c>
      <c r="AH37" s="39">
        <f t="shared" si="114"/>
        <v>19.600000000000001</v>
      </c>
      <c r="AI37" s="124">
        <f t="shared" si="114"/>
        <v>1.0860000000000001</v>
      </c>
      <c r="AJ37" s="124">
        <f t="shared" si="24"/>
        <v>1.0780000000000001</v>
      </c>
      <c r="AK37" s="126">
        <f t="shared" si="59"/>
        <v>0</v>
      </c>
      <c r="AL37" s="126"/>
      <c r="AM37" s="34">
        <f t="shared" ref="AM37:AN37" si="175">AM36</f>
        <v>2.0059999999999998</v>
      </c>
      <c r="AN37" s="33" t="str">
        <f t="shared" si="175"/>
        <v>5,40,620</v>
      </c>
      <c r="AO37" s="11" t="str">
        <f t="shared" si="61"/>
        <v>5,</v>
      </c>
      <c r="AP37" s="11" t="str">
        <f t="shared" si="62"/>
        <v>40,620</v>
      </c>
      <c r="AQ37" s="11">
        <f t="shared" si="63"/>
        <v>9.4616666666666668E-2</v>
      </c>
      <c r="AR37" s="14">
        <f t="shared" si="64"/>
        <v>21.201338735247486</v>
      </c>
      <c r="AS37" s="40">
        <f t="shared" si="65"/>
        <v>-100</v>
      </c>
      <c r="AT37" s="41" t="str">
        <f t="shared" si="66"/>
        <v>NO CONFORME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NO CONFORME</v>
      </c>
      <c r="BC37" s="5" t="str">
        <f t="shared" si="34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4.4" x14ac:dyDescent="0.3">
      <c r="A38" s="36">
        <v>30</v>
      </c>
      <c r="B38" s="28">
        <f t="shared" ref="B38:E38" si="176">B37</f>
        <v>45903</v>
      </c>
      <c r="C38" s="28">
        <f t="shared" si="176"/>
        <v>45903</v>
      </c>
      <c r="D38" s="12">
        <f t="shared" si="176"/>
        <v>3</v>
      </c>
      <c r="E38" s="10">
        <f t="shared" si="176"/>
        <v>11</v>
      </c>
      <c r="F38" s="13"/>
      <c r="G38" s="69"/>
      <c r="H38" s="70">
        <f t="shared" ref="H38:L38" si="177">H37</f>
        <v>25.6</v>
      </c>
      <c r="I38" s="37">
        <f t="shared" si="177"/>
        <v>0</v>
      </c>
      <c r="J38" s="35">
        <f t="shared" si="177"/>
        <v>16</v>
      </c>
      <c r="K38" s="122">
        <f t="shared" si="177"/>
        <v>8.1690000000000005</v>
      </c>
      <c r="L38" s="122">
        <f t="shared" si="177"/>
        <v>0.879</v>
      </c>
      <c r="M38" s="126"/>
      <c r="N38" s="126"/>
      <c r="O38" s="32">
        <f t="shared" ref="O38:P38" si="178">O37</f>
        <v>100.65</v>
      </c>
      <c r="P38" s="33" t="str">
        <f t="shared" si="178"/>
        <v>2,31,180</v>
      </c>
      <c r="Q38" s="11" t="str">
        <f t="shared" si="47"/>
        <v>2</v>
      </c>
      <c r="R38" s="11" t="str">
        <f t="shared" si="48"/>
        <v>31,180</v>
      </c>
      <c r="S38" s="11">
        <f t="shared" si="49"/>
        <v>4.1994444444444445E-2</v>
      </c>
      <c r="T38" s="14">
        <f t="shared" si="50"/>
        <v>2396.7456012700095</v>
      </c>
      <c r="U38" s="38">
        <f t="shared" si="51"/>
        <v>-100</v>
      </c>
      <c r="V38" s="39">
        <f t="shared" ref="V38:W38" si="179">V37</f>
        <v>19.8</v>
      </c>
      <c r="W38" s="124">
        <f t="shared" si="179"/>
        <v>1.08</v>
      </c>
      <c r="X38" s="124">
        <f t="shared" si="20"/>
        <v>1.075</v>
      </c>
      <c r="Y38" s="126"/>
      <c r="Z38" s="126"/>
      <c r="AA38" s="90">
        <f t="shared" ref="AA38:AB38" si="180">AA37</f>
        <v>5.0149999999999997</v>
      </c>
      <c r="AB38" s="73" t="str">
        <f t="shared" si="180"/>
        <v>9,05,040</v>
      </c>
      <c r="AC38" s="11" t="str">
        <f t="shared" si="54"/>
        <v>9,</v>
      </c>
      <c r="AD38" s="11" t="str">
        <f t="shared" si="55"/>
        <v>05,040</v>
      </c>
      <c r="AE38" s="11">
        <f t="shared" si="56"/>
        <v>0.15139999999999998</v>
      </c>
      <c r="AF38" s="14">
        <f t="shared" si="57"/>
        <v>33.124174372523122</v>
      </c>
      <c r="AG38" s="40">
        <f t="shared" si="58"/>
        <v>-100</v>
      </c>
      <c r="AH38" s="39">
        <f t="shared" si="114"/>
        <v>19.600000000000001</v>
      </c>
      <c r="AI38" s="124">
        <f t="shared" si="114"/>
        <v>1.0860000000000001</v>
      </c>
      <c r="AJ38" s="124">
        <f t="shared" si="24"/>
        <v>1.0780000000000001</v>
      </c>
      <c r="AK38" s="126">
        <f t="shared" si="59"/>
        <v>0</v>
      </c>
      <c r="AL38" s="126"/>
      <c r="AM38" s="34">
        <f t="shared" ref="AM38:AN38" si="181">AM37</f>
        <v>2.0059999999999998</v>
      </c>
      <c r="AN38" s="33" t="str">
        <f t="shared" si="181"/>
        <v>5,40,620</v>
      </c>
      <c r="AO38" s="11" t="str">
        <f t="shared" si="61"/>
        <v>5,</v>
      </c>
      <c r="AP38" s="11" t="str">
        <f t="shared" si="62"/>
        <v>40,620</v>
      </c>
      <c r="AQ38" s="11">
        <f t="shared" si="63"/>
        <v>9.4616666666666668E-2</v>
      </c>
      <c r="AR38" s="14">
        <f t="shared" si="64"/>
        <v>21.201338735247486</v>
      </c>
      <c r="AS38" s="40">
        <f t="shared" si="65"/>
        <v>-100</v>
      </c>
      <c r="AT38" s="41" t="str">
        <f t="shared" si="66"/>
        <v>NO CONFORME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NO CONFORME</v>
      </c>
      <c r="BC38" s="5" t="str">
        <f t="shared" si="34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ht="14.4" x14ac:dyDescent="0.3">
      <c r="A39" s="36">
        <v>31</v>
      </c>
      <c r="B39" s="28">
        <f t="shared" ref="B39:E39" si="182">B38</f>
        <v>45903</v>
      </c>
      <c r="C39" s="28">
        <f t="shared" si="182"/>
        <v>45903</v>
      </c>
      <c r="D39" s="12">
        <f t="shared" si="182"/>
        <v>3</v>
      </c>
      <c r="E39" s="10">
        <f t="shared" si="182"/>
        <v>11</v>
      </c>
      <c r="F39" s="13"/>
      <c r="G39" s="69"/>
      <c r="H39" s="70">
        <f t="shared" ref="H39:L39" si="183">H38</f>
        <v>25.6</v>
      </c>
      <c r="I39" s="37">
        <f t="shared" si="183"/>
        <v>0</v>
      </c>
      <c r="J39" s="35">
        <f t="shared" si="183"/>
        <v>16</v>
      </c>
      <c r="K39" s="122">
        <f t="shared" si="183"/>
        <v>8.1690000000000005</v>
      </c>
      <c r="L39" s="122">
        <f t="shared" si="183"/>
        <v>0.879</v>
      </c>
      <c r="M39" s="126"/>
      <c r="N39" s="126"/>
      <c r="O39" s="32">
        <f t="shared" ref="O39:P39" si="184">O38</f>
        <v>100.65</v>
      </c>
      <c r="P39" s="33" t="str">
        <f t="shared" si="184"/>
        <v>2,31,180</v>
      </c>
      <c r="Q39" s="11" t="str">
        <f t="shared" si="47"/>
        <v>2</v>
      </c>
      <c r="R39" s="11" t="str">
        <f t="shared" si="48"/>
        <v>31,180</v>
      </c>
      <c r="S39" s="11">
        <f t="shared" si="49"/>
        <v>4.1994444444444445E-2</v>
      </c>
      <c r="T39" s="14">
        <f t="shared" si="50"/>
        <v>2396.7456012700095</v>
      </c>
      <c r="U39" s="38">
        <f t="shared" si="51"/>
        <v>-100</v>
      </c>
      <c r="V39" s="39">
        <f t="shared" ref="V39:W39" si="185">V38</f>
        <v>19.8</v>
      </c>
      <c r="W39" s="124">
        <f t="shared" si="185"/>
        <v>1.08</v>
      </c>
      <c r="X39" s="124">
        <f t="shared" si="20"/>
        <v>1.075</v>
      </c>
      <c r="Y39" s="126"/>
      <c r="Z39" s="126"/>
      <c r="AA39" s="90">
        <f t="shared" ref="AA39:AB39" si="186">AA38</f>
        <v>5.0149999999999997</v>
      </c>
      <c r="AB39" s="73" t="str">
        <f t="shared" si="186"/>
        <v>9,05,040</v>
      </c>
      <c r="AC39" s="11" t="str">
        <f t="shared" si="54"/>
        <v>9,</v>
      </c>
      <c r="AD39" s="11" t="str">
        <f t="shared" si="55"/>
        <v>05,040</v>
      </c>
      <c r="AE39" s="11">
        <f t="shared" si="56"/>
        <v>0.15139999999999998</v>
      </c>
      <c r="AF39" s="14">
        <f t="shared" si="57"/>
        <v>33.124174372523122</v>
      </c>
      <c r="AG39" s="40">
        <f t="shared" si="58"/>
        <v>-100</v>
      </c>
      <c r="AH39" s="39">
        <f t="shared" si="114"/>
        <v>19.600000000000001</v>
      </c>
      <c r="AI39" s="124">
        <f t="shared" si="114"/>
        <v>1.0860000000000001</v>
      </c>
      <c r="AJ39" s="124">
        <f t="shared" si="24"/>
        <v>1.0780000000000001</v>
      </c>
      <c r="AK39" s="126">
        <f t="shared" si="59"/>
        <v>0</v>
      </c>
      <c r="AL39" s="126"/>
      <c r="AM39" s="34">
        <f t="shared" ref="AM39:AN39" si="187">AM38</f>
        <v>2.0059999999999998</v>
      </c>
      <c r="AN39" s="33" t="str">
        <f t="shared" si="187"/>
        <v>5,40,620</v>
      </c>
      <c r="AO39" s="11" t="str">
        <f t="shared" si="61"/>
        <v>5,</v>
      </c>
      <c r="AP39" s="11" t="str">
        <f t="shared" si="62"/>
        <v>40,620</v>
      </c>
      <c r="AQ39" s="11">
        <f t="shared" si="63"/>
        <v>9.4616666666666668E-2</v>
      </c>
      <c r="AR39" s="14">
        <f t="shared" si="64"/>
        <v>21.201338735247486</v>
      </c>
      <c r="AS39" s="40">
        <f t="shared" si="65"/>
        <v>-100</v>
      </c>
      <c r="AT39" s="41" t="str">
        <f t="shared" si="66"/>
        <v>NO CONFORME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NO CONFORME</v>
      </c>
      <c r="BC39" s="5" t="str">
        <f t="shared" si="34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NO CONFORME</v>
      </c>
    </row>
    <row r="40" spans="1:64" ht="14.4" x14ac:dyDescent="0.3">
      <c r="A40" s="36">
        <v>32</v>
      </c>
      <c r="B40" s="28">
        <f t="shared" ref="B40:E40" si="188">B39</f>
        <v>45903</v>
      </c>
      <c r="C40" s="28">
        <f t="shared" si="188"/>
        <v>45903</v>
      </c>
      <c r="D40" s="12">
        <f t="shared" si="188"/>
        <v>3</v>
      </c>
      <c r="E40" s="10">
        <f t="shared" si="188"/>
        <v>11</v>
      </c>
      <c r="F40" s="13"/>
      <c r="G40" s="69"/>
      <c r="H40" s="70">
        <f t="shared" ref="H40:L40" si="189">H39</f>
        <v>25.6</v>
      </c>
      <c r="I40" s="37">
        <f t="shared" si="189"/>
        <v>0</v>
      </c>
      <c r="J40" s="35">
        <f t="shared" si="189"/>
        <v>16</v>
      </c>
      <c r="K40" s="122">
        <f t="shared" si="189"/>
        <v>8.1690000000000005</v>
      </c>
      <c r="L40" s="122">
        <f t="shared" si="189"/>
        <v>0.879</v>
      </c>
      <c r="M40" s="126"/>
      <c r="N40" s="126"/>
      <c r="O40" s="32">
        <f t="shared" ref="O40:P40" si="190">O39</f>
        <v>100.65</v>
      </c>
      <c r="P40" s="33" t="str">
        <f t="shared" si="190"/>
        <v>2,31,180</v>
      </c>
      <c r="Q40" s="11" t="str">
        <f t="shared" si="47"/>
        <v>2</v>
      </c>
      <c r="R40" s="11" t="str">
        <f t="shared" si="48"/>
        <v>31,180</v>
      </c>
      <c r="S40" s="11">
        <f t="shared" si="49"/>
        <v>4.1994444444444445E-2</v>
      </c>
      <c r="T40" s="14">
        <f t="shared" si="50"/>
        <v>2396.7456012700095</v>
      </c>
      <c r="U40" s="38">
        <f t="shared" si="51"/>
        <v>-100</v>
      </c>
      <c r="V40" s="39">
        <f t="shared" ref="V40:W40" si="191">V39</f>
        <v>19.8</v>
      </c>
      <c r="W40" s="124">
        <f t="shared" si="191"/>
        <v>1.08</v>
      </c>
      <c r="X40" s="124">
        <f t="shared" si="20"/>
        <v>1.075</v>
      </c>
      <c r="Y40" s="126"/>
      <c r="Z40" s="126"/>
      <c r="AA40" s="90">
        <f t="shared" ref="AA40:AB40" si="192">AA39</f>
        <v>5.0149999999999997</v>
      </c>
      <c r="AB40" s="73" t="str">
        <f t="shared" si="192"/>
        <v>9,05,040</v>
      </c>
      <c r="AC40" s="11" t="str">
        <f t="shared" si="54"/>
        <v>9,</v>
      </c>
      <c r="AD40" s="11" t="str">
        <f t="shared" si="55"/>
        <v>05,040</v>
      </c>
      <c r="AE40" s="11">
        <f t="shared" si="56"/>
        <v>0.15139999999999998</v>
      </c>
      <c r="AF40" s="14">
        <f t="shared" si="57"/>
        <v>33.124174372523122</v>
      </c>
      <c r="AG40" s="40">
        <f t="shared" si="58"/>
        <v>-100</v>
      </c>
      <c r="AH40" s="39">
        <f t="shared" si="114"/>
        <v>19.600000000000001</v>
      </c>
      <c r="AI40" s="124">
        <f t="shared" si="114"/>
        <v>1.0860000000000001</v>
      </c>
      <c r="AJ40" s="124">
        <f t="shared" si="24"/>
        <v>1.0780000000000001</v>
      </c>
      <c r="AK40" s="126">
        <f t="shared" si="59"/>
        <v>0</v>
      </c>
      <c r="AL40" s="126"/>
      <c r="AM40" s="34">
        <f t="shared" ref="AM40:AN40" si="193">AM39</f>
        <v>2.0059999999999998</v>
      </c>
      <c r="AN40" s="33" t="str">
        <f t="shared" si="193"/>
        <v>5,40,620</v>
      </c>
      <c r="AO40" s="11" t="str">
        <f t="shared" si="61"/>
        <v>5,</v>
      </c>
      <c r="AP40" s="11" t="str">
        <f t="shared" si="62"/>
        <v>40,620</v>
      </c>
      <c r="AQ40" s="11">
        <f t="shared" si="63"/>
        <v>9.4616666666666668E-2</v>
      </c>
      <c r="AR40" s="14">
        <f t="shared" si="64"/>
        <v>21.201338735247486</v>
      </c>
      <c r="AS40" s="40">
        <f t="shared" si="65"/>
        <v>-100</v>
      </c>
      <c r="AT40" s="41" t="str">
        <f t="shared" si="66"/>
        <v>NO CONFORME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NO CONFORME</v>
      </c>
      <c r="BC40" s="5" t="str">
        <f t="shared" si="34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4.4" x14ac:dyDescent="0.3">
      <c r="A41" s="36">
        <v>33</v>
      </c>
      <c r="B41" s="28">
        <f t="shared" ref="B41:E41" si="194">B40</f>
        <v>45903</v>
      </c>
      <c r="C41" s="28">
        <f t="shared" si="194"/>
        <v>45903</v>
      </c>
      <c r="D41" s="12">
        <f t="shared" si="194"/>
        <v>3</v>
      </c>
      <c r="E41" s="10">
        <f t="shared" si="194"/>
        <v>11</v>
      </c>
      <c r="F41" s="13"/>
      <c r="G41" s="69"/>
      <c r="H41" s="70">
        <f t="shared" ref="H41:L41" si="195">H40</f>
        <v>25.6</v>
      </c>
      <c r="I41" s="37">
        <f t="shared" si="195"/>
        <v>0</v>
      </c>
      <c r="J41" s="35">
        <f t="shared" si="195"/>
        <v>16</v>
      </c>
      <c r="K41" s="122">
        <f t="shared" si="195"/>
        <v>8.1690000000000005</v>
      </c>
      <c r="L41" s="122">
        <f t="shared" si="195"/>
        <v>0.879</v>
      </c>
      <c r="M41" s="126"/>
      <c r="N41" s="126"/>
      <c r="O41" s="32">
        <f t="shared" ref="O41:P41" si="196">O40</f>
        <v>100.65</v>
      </c>
      <c r="P41" s="33" t="str">
        <f t="shared" si="196"/>
        <v>2,31,180</v>
      </c>
      <c r="Q41" s="11" t="str">
        <f t="shared" si="47"/>
        <v>2</v>
      </c>
      <c r="R41" s="11" t="str">
        <f t="shared" si="48"/>
        <v>31,180</v>
      </c>
      <c r="S41" s="11">
        <f t="shared" si="49"/>
        <v>4.1994444444444445E-2</v>
      </c>
      <c r="T41" s="14">
        <f t="shared" si="50"/>
        <v>2396.7456012700095</v>
      </c>
      <c r="U41" s="38">
        <f t="shared" si="51"/>
        <v>-100</v>
      </c>
      <c r="V41" s="39">
        <f t="shared" ref="V41:W41" si="197">V40</f>
        <v>19.8</v>
      </c>
      <c r="W41" s="124">
        <f t="shared" si="197"/>
        <v>1.08</v>
      </c>
      <c r="X41" s="124">
        <f t="shared" si="20"/>
        <v>1.075</v>
      </c>
      <c r="Y41" s="126"/>
      <c r="Z41" s="126"/>
      <c r="AA41" s="90">
        <f t="shared" ref="AA41:AB41" si="198">AA40</f>
        <v>5.0149999999999997</v>
      </c>
      <c r="AB41" s="73" t="str">
        <f t="shared" si="198"/>
        <v>9,05,040</v>
      </c>
      <c r="AC41" s="11" t="str">
        <f t="shared" si="54"/>
        <v>9,</v>
      </c>
      <c r="AD41" s="11" t="str">
        <f t="shared" si="55"/>
        <v>05,040</v>
      </c>
      <c r="AE41" s="11">
        <f t="shared" si="56"/>
        <v>0.15139999999999998</v>
      </c>
      <c r="AF41" s="14">
        <f t="shared" si="57"/>
        <v>33.124174372523122</v>
      </c>
      <c r="AG41" s="40">
        <f t="shared" si="58"/>
        <v>-100</v>
      </c>
      <c r="AH41" s="39">
        <f t="shared" si="114"/>
        <v>19.600000000000001</v>
      </c>
      <c r="AI41" s="124">
        <f t="shared" si="114"/>
        <v>1.0860000000000001</v>
      </c>
      <c r="AJ41" s="124">
        <f t="shared" si="24"/>
        <v>1.0780000000000001</v>
      </c>
      <c r="AK41" s="126">
        <f t="shared" si="59"/>
        <v>0</v>
      </c>
      <c r="AL41" s="126"/>
      <c r="AM41" s="34">
        <f t="shared" ref="AM41:AN41" si="199">AM40</f>
        <v>2.0059999999999998</v>
      </c>
      <c r="AN41" s="33" t="str">
        <f t="shared" si="199"/>
        <v>5,40,620</v>
      </c>
      <c r="AO41" s="11" t="str">
        <f t="shared" si="61"/>
        <v>5,</v>
      </c>
      <c r="AP41" s="11" t="str">
        <f t="shared" si="62"/>
        <v>40,620</v>
      </c>
      <c r="AQ41" s="11">
        <f t="shared" si="63"/>
        <v>9.4616666666666668E-2</v>
      </c>
      <c r="AR41" s="14">
        <f t="shared" si="64"/>
        <v>21.201338735247486</v>
      </c>
      <c r="AS41" s="40">
        <f t="shared" si="65"/>
        <v>-100</v>
      </c>
      <c r="AT41" s="41" t="str">
        <f t="shared" si="66"/>
        <v>NO CONFORME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NO CONFORME</v>
      </c>
      <c r="BC41" s="5" t="str">
        <f t="shared" si="34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x14ac:dyDescent="0.3">
      <c r="A42" s="36">
        <v>34</v>
      </c>
      <c r="B42" s="28">
        <f t="shared" ref="B42:E42" si="200">B41</f>
        <v>45903</v>
      </c>
      <c r="C42" s="28">
        <f t="shared" si="200"/>
        <v>45903</v>
      </c>
      <c r="D42" s="12">
        <f t="shared" si="200"/>
        <v>3</v>
      </c>
      <c r="E42" s="10">
        <f t="shared" si="200"/>
        <v>11</v>
      </c>
      <c r="F42" s="13"/>
      <c r="G42" s="69"/>
      <c r="H42" s="70">
        <f t="shared" ref="H42:L42" si="201">H41</f>
        <v>25.6</v>
      </c>
      <c r="I42" s="37">
        <f t="shared" si="201"/>
        <v>0</v>
      </c>
      <c r="J42" s="35">
        <f t="shared" si="201"/>
        <v>16</v>
      </c>
      <c r="K42" s="122">
        <f t="shared" si="201"/>
        <v>8.1690000000000005</v>
      </c>
      <c r="L42" s="122">
        <f t="shared" si="201"/>
        <v>0.879</v>
      </c>
      <c r="M42" s="126"/>
      <c r="N42" s="126"/>
      <c r="O42" s="32">
        <f t="shared" ref="O42:P42" si="202">O41</f>
        <v>100.65</v>
      </c>
      <c r="P42" s="33" t="str">
        <f t="shared" si="202"/>
        <v>2,31,180</v>
      </c>
      <c r="Q42" s="11" t="str">
        <f t="shared" si="47"/>
        <v>2</v>
      </c>
      <c r="R42" s="11" t="str">
        <f t="shared" si="48"/>
        <v>31,180</v>
      </c>
      <c r="S42" s="11">
        <f t="shared" si="49"/>
        <v>4.1994444444444445E-2</v>
      </c>
      <c r="T42" s="14">
        <f t="shared" si="50"/>
        <v>2396.7456012700095</v>
      </c>
      <c r="U42" s="38">
        <f t="shared" si="51"/>
        <v>-100</v>
      </c>
      <c r="V42" s="39">
        <f t="shared" ref="V42:W42" si="203">V41</f>
        <v>19.8</v>
      </c>
      <c r="W42" s="124">
        <f t="shared" si="203"/>
        <v>1.08</v>
      </c>
      <c r="X42" s="124">
        <f t="shared" si="20"/>
        <v>1.075</v>
      </c>
      <c r="Y42" s="126"/>
      <c r="Z42" s="126"/>
      <c r="AA42" s="90">
        <f t="shared" ref="AA42:AB42" si="204">AA41</f>
        <v>5.0149999999999997</v>
      </c>
      <c r="AB42" s="73" t="str">
        <f t="shared" si="204"/>
        <v>9,05,040</v>
      </c>
      <c r="AC42" s="11" t="str">
        <f t="shared" si="54"/>
        <v>9,</v>
      </c>
      <c r="AD42" s="11" t="str">
        <f t="shared" si="55"/>
        <v>05,040</v>
      </c>
      <c r="AE42" s="11">
        <f t="shared" si="56"/>
        <v>0.15139999999999998</v>
      </c>
      <c r="AF42" s="14">
        <f t="shared" si="57"/>
        <v>33.124174372523122</v>
      </c>
      <c r="AG42" s="40">
        <f t="shared" si="58"/>
        <v>-100</v>
      </c>
      <c r="AH42" s="39">
        <f t="shared" si="114"/>
        <v>19.600000000000001</v>
      </c>
      <c r="AI42" s="124">
        <f t="shared" si="114"/>
        <v>1.0860000000000001</v>
      </c>
      <c r="AJ42" s="124">
        <f t="shared" si="24"/>
        <v>1.0780000000000001</v>
      </c>
      <c r="AK42" s="126">
        <f t="shared" si="59"/>
        <v>0</v>
      </c>
      <c r="AL42" s="126"/>
      <c r="AM42" s="34">
        <f t="shared" ref="AM42:AN42" si="205">AM41</f>
        <v>2.0059999999999998</v>
      </c>
      <c r="AN42" s="33" t="str">
        <f t="shared" si="205"/>
        <v>5,40,620</v>
      </c>
      <c r="AO42" s="11" t="str">
        <f t="shared" si="61"/>
        <v>5,</v>
      </c>
      <c r="AP42" s="11" t="str">
        <f t="shared" si="62"/>
        <v>40,620</v>
      </c>
      <c r="AQ42" s="11">
        <f t="shared" si="63"/>
        <v>9.4616666666666668E-2</v>
      </c>
      <c r="AR42" s="14">
        <f t="shared" si="64"/>
        <v>21.201338735247486</v>
      </c>
      <c r="AS42" s="40">
        <f t="shared" si="65"/>
        <v>-100</v>
      </c>
      <c r="AT42" s="41" t="str">
        <f t="shared" si="66"/>
        <v>NO CONFORME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NO CONFORME</v>
      </c>
      <c r="BC42" s="5" t="str">
        <f t="shared" si="34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x14ac:dyDescent="0.3">
      <c r="A43" s="36">
        <v>35</v>
      </c>
      <c r="B43" s="28">
        <f t="shared" ref="B43:E43" si="206">B42</f>
        <v>45903</v>
      </c>
      <c r="C43" s="28">
        <f t="shared" si="206"/>
        <v>45903</v>
      </c>
      <c r="D43" s="12">
        <f t="shared" si="206"/>
        <v>3</v>
      </c>
      <c r="E43" s="10">
        <f t="shared" si="206"/>
        <v>11</v>
      </c>
      <c r="F43" s="13"/>
      <c r="G43" s="69"/>
      <c r="H43" s="70">
        <f t="shared" ref="H43:L43" si="207">H42</f>
        <v>25.6</v>
      </c>
      <c r="I43" s="37">
        <f t="shared" si="207"/>
        <v>0</v>
      </c>
      <c r="J43" s="35">
        <f t="shared" si="207"/>
        <v>16</v>
      </c>
      <c r="K43" s="122">
        <f t="shared" si="207"/>
        <v>8.1690000000000005</v>
      </c>
      <c r="L43" s="122">
        <f t="shared" si="207"/>
        <v>0.879</v>
      </c>
      <c r="M43" s="126"/>
      <c r="N43" s="126"/>
      <c r="O43" s="32">
        <f t="shared" ref="O43:P43" si="208">O42</f>
        <v>100.65</v>
      </c>
      <c r="P43" s="33" t="str">
        <f t="shared" si="208"/>
        <v>2,31,180</v>
      </c>
      <c r="Q43" s="11" t="str">
        <f t="shared" si="47"/>
        <v>2</v>
      </c>
      <c r="R43" s="11" t="str">
        <f t="shared" si="48"/>
        <v>31,180</v>
      </c>
      <c r="S43" s="11">
        <f t="shared" si="49"/>
        <v>4.1994444444444445E-2</v>
      </c>
      <c r="T43" s="14">
        <f t="shared" si="50"/>
        <v>2396.7456012700095</v>
      </c>
      <c r="U43" s="38">
        <f t="shared" si="51"/>
        <v>-100</v>
      </c>
      <c r="V43" s="39">
        <f t="shared" ref="V43:W43" si="209">V42</f>
        <v>19.8</v>
      </c>
      <c r="W43" s="124">
        <f t="shared" si="209"/>
        <v>1.08</v>
      </c>
      <c r="X43" s="124">
        <f t="shared" si="20"/>
        <v>1.075</v>
      </c>
      <c r="Y43" s="126"/>
      <c r="Z43" s="126"/>
      <c r="AA43" s="90">
        <f t="shared" ref="AA43:AB43" si="210">AA42</f>
        <v>5.0149999999999997</v>
      </c>
      <c r="AB43" s="73" t="str">
        <f t="shared" si="210"/>
        <v>9,05,040</v>
      </c>
      <c r="AC43" s="11" t="str">
        <f t="shared" si="54"/>
        <v>9,</v>
      </c>
      <c r="AD43" s="11" t="str">
        <f t="shared" si="55"/>
        <v>05,040</v>
      </c>
      <c r="AE43" s="11">
        <f t="shared" si="56"/>
        <v>0.15139999999999998</v>
      </c>
      <c r="AF43" s="14">
        <f t="shared" si="57"/>
        <v>33.124174372523122</v>
      </c>
      <c r="AG43" s="40">
        <f t="shared" si="58"/>
        <v>-100</v>
      </c>
      <c r="AH43" s="39">
        <f t="shared" ref="AH43:AI58" si="211">AH42</f>
        <v>19.600000000000001</v>
      </c>
      <c r="AI43" s="124">
        <f t="shared" si="211"/>
        <v>1.0860000000000001</v>
      </c>
      <c r="AJ43" s="124">
        <f t="shared" si="24"/>
        <v>1.0780000000000001</v>
      </c>
      <c r="AK43" s="126">
        <f t="shared" si="59"/>
        <v>0</v>
      </c>
      <c r="AL43" s="126"/>
      <c r="AM43" s="34">
        <f t="shared" ref="AM43:AN43" si="212">AM42</f>
        <v>2.0059999999999998</v>
      </c>
      <c r="AN43" s="33" t="str">
        <f t="shared" si="212"/>
        <v>5,40,620</v>
      </c>
      <c r="AO43" s="11" t="str">
        <f t="shared" si="61"/>
        <v>5,</v>
      </c>
      <c r="AP43" s="11" t="str">
        <f t="shared" si="62"/>
        <v>40,620</v>
      </c>
      <c r="AQ43" s="11">
        <f t="shared" si="63"/>
        <v>9.4616666666666668E-2</v>
      </c>
      <c r="AR43" s="14">
        <f t="shared" si="64"/>
        <v>21.201338735247486</v>
      </c>
      <c r="AS43" s="40">
        <f t="shared" si="65"/>
        <v>-100</v>
      </c>
      <c r="AT43" s="41" t="str">
        <f t="shared" si="66"/>
        <v>NO CONFORME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NO CONFORME</v>
      </c>
      <c r="BC43" s="5" t="str">
        <f t="shared" si="34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x14ac:dyDescent="0.3">
      <c r="A44" s="36">
        <v>36</v>
      </c>
      <c r="B44" s="28">
        <f t="shared" ref="B44:E44" si="213">B43</f>
        <v>45903</v>
      </c>
      <c r="C44" s="28">
        <f t="shared" si="213"/>
        <v>45903</v>
      </c>
      <c r="D44" s="12">
        <f t="shared" si="213"/>
        <v>3</v>
      </c>
      <c r="E44" s="10">
        <f t="shared" si="213"/>
        <v>11</v>
      </c>
      <c r="F44" s="13"/>
      <c r="G44" s="69"/>
      <c r="H44" s="70">
        <f t="shared" ref="H44:L44" si="214">H43</f>
        <v>25.6</v>
      </c>
      <c r="I44" s="37">
        <f t="shared" si="214"/>
        <v>0</v>
      </c>
      <c r="J44" s="35">
        <f t="shared" si="214"/>
        <v>16</v>
      </c>
      <c r="K44" s="122">
        <f t="shared" si="214"/>
        <v>8.1690000000000005</v>
      </c>
      <c r="L44" s="122">
        <f t="shared" si="214"/>
        <v>0.879</v>
      </c>
      <c r="M44" s="126"/>
      <c r="N44" s="126"/>
      <c r="O44" s="32">
        <f t="shared" ref="O44:P44" si="215">O43</f>
        <v>100.65</v>
      </c>
      <c r="P44" s="33" t="str">
        <f t="shared" si="215"/>
        <v>2,31,180</v>
      </c>
      <c r="Q44" s="11" t="str">
        <f t="shared" si="47"/>
        <v>2</v>
      </c>
      <c r="R44" s="11" t="str">
        <f t="shared" si="48"/>
        <v>31,180</v>
      </c>
      <c r="S44" s="11">
        <f t="shared" si="49"/>
        <v>4.1994444444444445E-2</v>
      </c>
      <c r="T44" s="14">
        <f t="shared" si="50"/>
        <v>2396.7456012700095</v>
      </c>
      <c r="U44" s="38">
        <f t="shared" si="51"/>
        <v>-100</v>
      </c>
      <c r="V44" s="39">
        <f t="shared" ref="V44:W44" si="216">V43</f>
        <v>19.8</v>
      </c>
      <c r="W44" s="124">
        <f t="shared" si="216"/>
        <v>1.08</v>
      </c>
      <c r="X44" s="124">
        <f t="shared" si="20"/>
        <v>1.075</v>
      </c>
      <c r="Y44" s="126"/>
      <c r="Z44" s="126"/>
      <c r="AA44" s="90">
        <f t="shared" ref="AA44:AB44" si="217">AA43</f>
        <v>5.0149999999999997</v>
      </c>
      <c r="AB44" s="73" t="str">
        <f t="shared" si="217"/>
        <v>9,05,040</v>
      </c>
      <c r="AC44" s="11" t="str">
        <f t="shared" si="54"/>
        <v>9,</v>
      </c>
      <c r="AD44" s="11" t="str">
        <f t="shared" si="55"/>
        <v>05,040</v>
      </c>
      <c r="AE44" s="11">
        <f t="shared" si="56"/>
        <v>0.15139999999999998</v>
      </c>
      <c r="AF44" s="14">
        <f t="shared" si="57"/>
        <v>33.124174372523122</v>
      </c>
      <c r="AG44" s="40">
        <f t="shared" si="58"/>
        <v>-100</v>
      </c>
      <c r="AH44" s="39">
        <f t="shared" si="211"/>
        <v>19.600000000000001</v>
      </c>
      <c r="AI44" s="124">
        <f t="shared" si="211"/>
        <v>1.0860000000000001</v>
      </c>
      <c r="AJ44" s="124">
        <f t="shared" si="24"/>
        <v>1.0780000000000001</v>
      </c>
      <c r="AK44" s="126">
        <f t="shared" si="59"/>
        <v>0</v>
      </c>
      <c r="AL44" s="126"/>
      <c r="AM44" s="34">
        <f t="shared" ref="AM44:AN44" si="218">AM43</f>
        <v>2.0059999999999998</v>
      </c>
      <c r="AN44" s="33" t="str">
        <f t="shared" si="218"/>
        <v>5,40,620</v>
      </c>
      <c r="AO44" s="11" t="str">
        <f t="shared" si="61"/>
        <v>5,</v>
      </c>
      <c r="AP44" s="11" t="str">
        <f t="shared" si="62"/>
        <v>40,620</v>
      </c>
      <c r="AQ44" s="11">
        <f t="shared" si="63"/>
        <v>9.4616666666666668E-2</v>
      </c>
      <c r="AR44" s="14">
        <f t="shared" si="64"/>
        <v>21.201338735247486</v>
      </c>
      <c r="AS44" s="40">
        <f t="shared" si="65"/>
        <v>-100</v>
      </c>
      <c r="AT44" s="41" t="str">
        <f t="shared" si="66"/>
        <v>NO CONFORME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NO CONFORME</v>
      </c>
      <c r="BC44" s="5" t="str">
        <f t="shared" si="34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x14ac:dyDescent="0.3">
      <c r="A45" s="36">
        <v>37</v>
      </c>
      <c r="B45" s="28">
        <f t="shared" ref="B45:E45" si="219">B44</f>
        <v>45903</v>
      </c>
      <c r="C45" s="28">
        <f t="shared" si="219"/>
        <v>45903</v>
      </c>
      <c r="D45" s="12">
        <f t="shared" si="219"/>
        <v>3</v>
      </c>
      <c r="E45" s="10">
        <f t="shared" si="219"/>
        <v>11</v>
      </c>
      <c r="F45" s="13"/>
      <c r="G45" s="69"/>
      <c r="H45" s="70">
        <f t="shared" ref="H45:L45" si="220">H44</f>
        <v>25.6</v>
      </c>
      <c r="I45" s="37">
        <f t="shared" si="220"/>
        <v>0</v>
      </c>
      <c r="J45" s="35">
        <f t="shared" si="220"/>
        <v>16</v>
      </c>
      <c r="K45" s="122">
        <f t="shared" si="220"/>
        <v>8.1690000000000005</v>
      </c>
      <c r="L45" s="122">
        <f t="shared" si="220"/>
        <v>0.879</v>
      </c>
      <c r="M45" s="126"/>
      <c r="N45" s="126"/>
      <c r="O45" s="32">
        <f t="shared" ref="O45:P45" si="221">O44</f>
        <v>100.65</v>
      </c>
      <c r="P45" s="33" t="str">
        <f t="shared" si="221"/>
        <v>2,31,180</v>
      </c>
      <c r="Q45" s="11" t="str">
        <f t="shared" si="47"/>
        <v>2</v>
      </c>
      <c r="R45" s="11" t="str">
        <f t="shared" si="48"/>
        <v>31,180</v>
      </c>
      <c r="S45" s="11">
        <f t="shared" si="49"/>
        <v>4.1994444444444445E-2</v>
      </c>
      <c r="T45" s="14">
        <f t="shared" si="50"/>
        <v>2396.7456012700095</v>
      </c>
      <c r="U45" s="38">
        <f t="shared" si="51"/>
        <v>-100</v>
      </c>
      <c r="V45" s="39">
        <f t="shared" ref="V45:W45" si="222">V44</f>
        <v>19.8</v>
      </c>
      <c r="W45" s="124">
        <f t="shared" si="222"/>
        <v>1.08</v>
      </c>
      <c r="X45" s="124">
        <f t="shared" si="20"/>
        <v>1.075</v>
      </c>
      <c r="Y45" s="126"/>
      <c r="Z45" s="126"/>
      <c r="AA45" s="90">
        <f t="shared" ref="AA45:AB45" si="223">AA44</f>
        <v>5.0149999999999997</v>
      </c>
      <c r="AB45" s="73" t="str">
        <f t="shared" si="223"/>
        <v>9,05,040</v>
      </c>
      <c r="AC45" s="11" t="str">
        <f t="shared" si="54"/>
        <v>9,</v>
      </c>
      <c r="AD45" s="11" t="str">
        <f t="shared" si="55"/>
        <v>05,040</v>
      </c>
      <c r="AE45" s="11">
        <f t="shared" si="56"/>
        <v>0.15139999999999998</v>
      </c>
      <c r="AF45" s="14">
        <f t="shared" si="57"/>
        <v>33.124174372523122</v>
      </c>
      <c r="AG45" s="40">
        <f t="shared" si="58"/>
        <v>-100</v>
      </c>
      <c r="AH45" s="39">
        <f t="shared" si="211"/>
        <v>19.600000000000001</v>
      </c>
      <c r="AI45" s="124">
        <f t="shared" si="211"/>
        <v>1.0860000000000001</v>
      </c>
      <c r="AJ45" s="124">
        <f t="shared" si="24"/>
        <v>1.0780000000000001</v>
      </c>
      <c r="AK45" s="126">
        <f t="shared" si="59"/>
        <v>0</v>
      </c>
      <c r="AL45" s="126"/>
      <c r="AM45" s="34">
        <f t="shared" ref="AM45:AN45" si="224">AM44</f>
        <v>2.0059999999999998</v>
      </c>
      <c r="AN45" s="33" t="str">
        <f t="shared" si="224"/>
        <v>5,40,620</v>
      </c>
      <c r="AO45" s="11" t="str">
        <f t="shared" si="61"/>
        <v>5,</v>
      </c>
      <c r="AP45" s="11" t="str">
        <f t="shared" si="62"/>
        <v>40,620</v>
      </c>
      <c r="AQ45" s="11">
        <f t="shared" si="63"/>
        <v>9.4616666666666668E-2</v>
      </c>
      <c r="AR45" s="14">
        <f t="shared" si="64"/>
        <v>21.201338735247486</v>
      </c>
      <c r="AS45" s="40">
        <f t="shared" si="65"/>
        <v>-100</v>
      </c>
      <c r="AT45" s="41" t="str">
        <f t="shared" si="66"/>
        <v>NO CONFORME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NO CONFORME</v>
      </c>
      <c r="BC45" s="5" t="str">
        <f t="shared" si="34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x14ac:dyDescent="0.3">
      <c r="A46" s="36">
        <v>38</v>
      </c>
      <c r="B46" s="28">
        <f t="shared" ref="B46:E46" si="225">B45</f>
        <v>45903</v>
      </c>
      <c r="C46" s="28">
        <f t="shared" si="225"/>
        <v>45903</v>
      </c>
      <c r="D46" s="12">
        <f t="shared" si="225"/>
        <v>3</v>
      </c>
      <c r="E46" s="10">
        <f t="shared" si="225"/>
        <v>11</v>
      </c>
      <c r="F46" s="13"/>
      <c r="G46" s="69"/>
      <c r="H46" s="70">
        <f t="shared" ref="H46:L46" si="226">H45</f>
        <v>25.6</v>
      </c>
      <c r="I46" s="37">
        <f t="shared" si="226"/>
        <v>0</v>
      </c>
      <c r="J46" s="35">
        <f t="shared" si="226"/>
        <v>16</v>
      </c>
      <c r="K46" s="122">
        <f t="shared" si="226"/>
        <v>8.1690000000000005</v>
      </c>
      <c r="L46" s="122">
        <f t="shared" si="226"/>
        <v>0.879</v>
      </c>
      <c r="M46" s="126"/>
      <c r="N46" s="126"/>
      <c r="O46" s="32">
        <f t="shared" ref="O46:P46" si="227">O45</f>
        <v>100.65</v>
      </c>
      <c r="P46" s="33" t="str">
        <f t="shared" si="227"/>
        <v>2,31,180</v>
      </c>
      <c r="Q46" s="11" t="str">
        <f t="shared" si="47"/>
        <v>2</v>
      </c>
      <c r="R46" s="11" t="str">
        <f t="shared" si="48"/>
        <v>31,180</v>
      </c>
      <c r="S46" s="11">
        <f t="shared" si="49"/>
        <v>4.1994444444444445E-2</v>
      </c>
      <c r="T46" s="14">
        <f t="shared" si="50"/>
        <v>2396.7456012700095</v>
      </c>
      <c r="U46" s="38">
        <f t="shared" si="51"/>
        <v>-100</v>
      </c>
      <c r="V46" s="39">
        <f t="shared" ref="V46:W46" si="228">V45</f>
        <v>19.8</v>
      </c>
      <c r="W46" s="124">
        <f t="shared" si="228"/>
        <v>1.08</v>
      </c>
      <c r="X46" s="124">
        <f t="shared" si="20"/>
        <v>1.075</v>
      </c>
      <c r="Y46" s="126"/>
      <c r="Z46" s="126"/>
      <c r="AA46" s="90">
        <f t="shared" ref="AA46:AB46" si="229">AA45</f>
        <v>5.0149999999999997</v>
      </c>
      <c r="AB46" s="73" t="str">
        <f t="shared" si="229"/>
        <v>9,05,040</v>
      </c>
      <c r="AC46" s="11" t="str">
        <f t="shared" si="54"/>
        <v>9,</v>
      </c>
      <c r="AD46" s="11" t="str">
        <f t="shared" si="55"/>
        <v>05,040</v>
      </c>
      <c r="AE46" s="11">
        <f t="shared" si="56"/>
        <v>0.15139999999999998</v>
      </c>
      <c r="AF46" s="14">
        <f t="shared" si="57"/>
        <v>33.124174372523122</v>
      </c>
      <c r="AG46" s="40">
        <f t="shared" si="58"/>
        <v>-100</v>
      </c>
      <c r="AH46" s="39">
        <f t="shared" si="211"/>
        <v>19.600000000000001</v>
      </c>
      <c r="AI46" s="124">
        <f t="shared" si="211"/>
        <v>1.0860000000000001</v>
      </c>
      <c r="AJ46" s="124">
        <f t="shared" si="24"/>
        <v>1.0780000000000001</v>
      </c>
      <c r="AK46" s="126">
        <f t="shared" si="59"/>
        <v>0</v>
      </c>
      <c r="AL46" s="126"/>
      <c r="AM46" s="34">
        <f t="shared" ref="AM46:AN46" si="230">AM45</f>
        <v>2.0059999999999998</v>
      </c>
      <c r="AN46" s="33" t="str">
        <f t="shared" si="230"/>
        <v>5,40,620</v>
      </c>
      <c r="AO46" s="11" t="str">
        <f t="shared" si="61"/>
        <v>5,</v>
      </c>
      <c r="AP46" s="11" t="str">
        <f t="shared" si="62"/>
        <v>40,620</v>
      </c>
      <c r="AQ46" s="11">
        <f t="shared" si="63"/>
        <v>9.4616666666666668E-2</v>
      </c>
      <c r="AR46" s="14">
        <f t="shared" si="64"/>
        <v>21.201338735247486</v>
      </c>
      <c r="AS46" s="40">
        <f t="shared" si="65"/>
        <v>-100</v>
      </c>
      <c r="AT46" s="41" t="str">
        <f t="shared" si="66"/>
        <v>NO CONFORME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NO CONFORME</v>
      </c>
      <c r="BC46" s="5" t="str">
        <f t="shared" si="34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x14ac:dyDescent="0.3">
      <c r="A47" s="36">
        <v>39</v>
      </c>
      <c r="B47" s="28">
        <f t="shared" ref="B47:E47" si="231">B46</f>
        <v>45903</v>
      </c>
      <c r="C47" s="28">
        <f t="shared" si="231"/>
        <v>45903</v>
      </c>
      <c r="D47" s="12">
        <f t="shared" si="231"/>
        <v>3</v>
      </c>
      <c r="E47" s="10">
        <f t="shared" si="231"/>
        <v>11</v>
      </c>
      <c r="F47" s="13"/>
      <c r="G47" s="69"/>
      <c r="H47" s="70">
        <f t="shared" ref="H47:L47" si="232">H46</f>
        <v>25.6</v>
      </c>
      <c r="I47" s="37">
        <f t="shared" si="232"/>
        <v>0</v>
      </c>
      <c r="J47" s="35">
        <f t="shared" si="232"/>
        <v>16</v>
      </c>
      <c r="K47" s="122">
        <f t="shared" si="232"/>
        <v>8.1690000000000005</v>
      </c>
      <c r="L47" s="122">
        <f t="shared" si="232"/>
        <v>0.879</v>
      </c>
      <c r="M47" s="126"/>
      <c r="N47" s="126"/>
      <c r="O47" s="32">
        <f t="shared" ref="O47:P47" si="233">O46</f>
        <v>100.65</v>
      </c>
      <c r="P47" s="33" t="str">
        <f t="shared" si="233"/>
        <v>2,31,180</v>
      </c>
      <c r="Q47" s="11" t="str">
        <f t="shared" si="47"/>
        <v>2</v>
      </c>
      <c r="R47" s="11" t="str">
        <f t="shared" si="48"/>
        <v>31,180</v>
      </c>
      <c r="S47" s="11">
        <f t="shared" si="49"/>
        <v>4.1994444444444445E-2</v>
      </c>
      <c r="T47" s="14">
        <f t="shared" si="50"/>
        <v>2396.7456012700095</v>
      </c>
      <c r="U47" s="38">
        <f t="shared" si="51"/>
        <v>-100</v>
      </c>
      <c r="V47" s="39">
        <f t="shared" ref="V47:W47" si="234">V46</f>
        <v>19.8</v>
      </c>
      <c r="W47" s="124">
        <f t="shared" si="234"/>
        <v>1.08</v>
      </c>
      <c r="X47" s="124">
        <f t="shared" si="20"/>
        <v>1.075</v>
      </c>
      <c r="Y47" s="126"/>
      <c r="Z47" s="126"/>
      <c r="AA47" s="90">
        <f t="shared" ref="AA47:AB47" si="235">AA46</f>
        <v>5.0149999999999997</v>
      </c>
      <c r="AB47" s="73" t="str">
        <f t="shared" si="235"/>
        <v>9,05,040</v>
      </c>
      <c r="AC47" s="11" t="str">
        <f t="shared" si="54"/>
        <v>9,</v>
      </c>
      <c r="AD47" s="11" t="str">
        <f t="shared" si="55"/>
        <v>05,040</v>
      </c>
      <c r="AE47" s="11">
        <f t="shared" si="56"/>
        <v>0.15139999999999998</v>
      </c>
      <c r="AF47" s="14">
        <f t="shared" si="57"/>
        <v>33.124174372523122</v>
      </c>
      <c r="AG47" s="40">
        <f t="shared" si="58"/>
        <v>-100</v>
      </c>
      <c r="AH47" s="39">
        <f t="shared" si="211"/>
        <v>19.600000000000001</v>
      </c>
      <c r="AI47" s="124">
        <f t="shared" si="211"/>
        <v>1.0860000000000001</v>
      </c>
      <c r="AJ47" s="124">
        <f t="shared" si="24"/>
        <v>1.0780000000000001</v>
      </c>
      <c r="AK47" s="126">
        <f t="shared" si="59"/>
        <v>0</v>
      </c>
      <c r="AL47" s="126"/>
      <c r="AM47" s="34">
        <f t="shared" ref="AM47:AN47" si="236">AM46</f>
        <v>2.0059999999999998</v>
      </c>
      <c r="AN47" s="33" t="str">
        <f t="shared" si="236"/>
        <v>5,40,620</v>
      </c>
      <c r="AO47" s="11" t="str">
        <f t="shared" si="61"/>
        <v>5,</v>
      </c>
      <c r="AP47" s="11" t="str">
        <f t="shared" si="62"/>
        <v>40,620</v>
      </c>
      <c r="AQ47" s="11">
        <f t="shared" si="63"/>
        <v>9.4616666666666668E-2</v>
      </c>
      <c r="AR47" s="14">
        <f t="shared" si="64"/>
        <v>21.201338735247486</v>
      </c>
      <c r="AS47" s="40">
        <f t="shared" si="65"/>
        <v>-100</v>
      </c>
      <c r="AT47" s="41" t="str">
        <f t="shared" si="66"/>
        <v>NO CONFORME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NO CONFORME</v>
      </c>
      <c r="BC47" s="5" t="str">
        <f t="shared" si="34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x14ac:dyDescent="0.3">
      <c r="A48" s="36">
        <v>40</v>
      </c>
      <c r="B48" s="28">
        <f t="shared" ref="B48:E48" si="237">B47</f>
        <v>45903</v>
      </c>
      <c r="C48" s="28">
        <f t="shared" si="237"/>
        <v>45903</v>
      </c>
      <c r="D48" s="12">
        <f t="shared" si="237"/>
        <v>3</v>
      </c>
      <c r="E48" s="10">
        <f t="shared" si="237"/>
        <v>11</v>
      </c>
      <c r="F48" s="13"/>
      <c r="G48" s="69"/>
      <c r="H48" s="70">
        <f t="shared" ref="H48:L48" si="238">H47</f>
        <v>25.6</v>
      </c>
      <c r="I48" s="37">
        <f t="shared" si="238"/>
        <v>0</v>
      </c>
      <c r="J48" s="35">
        <f t="shared" si="238"/>
        <v>16</v>
      </c>
      <c r="K48" s="122">
        <f t="shared" si="238"/>
        <v>8.1690000000000005</v>
      </c>
      <c r="L48" s="122">
        <f t="shared" si="238"/>
        <v>0.879</v>
      </c>
      <c r="M48" s="126"/>
      <c r="N48" s="126"/>
      <c r="O48" s="32">
        <f t="shared" ref="O48:P48" si="239">O47</f>
        <v>100.65</v>
      </c>
      <c r="P48" s="33" t="str">
        <f t="shared" si="239"/>
        <v>2,31,180</v>
      </c>
      <c r="Q48" s="11" t="str">
        <f t="shared" si="47"/>
        <v>2</v>
      </c>
      <c r="R48" s="11" t="str">
        <f t="shared" si="48"/>
        <v>31,180</v>
      </c>
      <c r="S48" s="11">
        <f t="shared" si="49"/>
        <v>4.1994444444444445E-2</v>
      </c>
      <c r="T48" s="14">
        <f t="shared" si="50"/>
        <v>2396.7456012700095</v>
      </c>
      <c r="U48" s="38">
        <f t="shared" si="51"/>
        <v>-100</v>
      </c>
      <c r="V48" s="39">
        <f t="shared" ref="V48:W48" si="240">V47</f>
        <v>19.8</v>
      </c>
      <c r="W48" s="124">
        <f t="shared" si="240"/>
        <v>1.08</v>
      </c>
      <c r="X48" s="124">
        <f t="shared" si="20"/>
        <v>1.075</v>
      </c>
      <c r="Y48" s="126"/>
      <c r="Z48" s="126"/>
      <c r="AA48" s="90">
        <f t="shared" ref="AA48:AB48" si="241">AA47</f>
        <v>5.0149999999999997</v>
      </c>
      <c r="AB48" s="73" t="str">
        <f t="shared" si="241"/>
        <v>9,05,040</v>
      </c>
      <c r="AC48" s="11" t="str">
        <f t="shared" si="54"/>
        <v>9,</v>
      </c>
      <c r="AD48" s="11" t="str">
        <f t="shared" si="55"/>
        <v>05,040</v>
      </c>
      <c r="AE48" s="11">
        <f t="shared" si="56"/>
        <v>0.15139999999999998</v>
      </c>
      <c r="AF48" s="14">
        <f t="shared" si="57"/>
        <v>33.124174372523122</v>
      </c>
      <c r="AG48" s="40">
        <f t="shared" si="58"/>
        <v>-100</v>
      </c>
      <c r="AH48" s="39">
        <f t="shared" si="211"/>
        <v>19.600000000000001</v>
      </c>
      <c r="AI48" s="124">
        <f t="shared" si="211"/>
        <v>1.0860000000000001</v>
      </c>
      <c r="AJ48" s="124">
        <f t="shared" si="24"/>
        <v>1.0780000000000001</v>
      </c>
      <c r="AK48" s="126">
        <f t="shared" si="59"/>
        <v>0</v>
      </c>
      <c r="AL48" s="126"/>
      <c r="AM48" s="34">
        <f t="shared" ref="AM48:AN48" si="242">AM47</f>
        <v>2.0059999999999998</v>
      </c>
      <c r="AN48" s="33" t="str">
        <f t="shared" si="242"/>
        <v>5,40,620</v>
      </c>
      <c r="AO48" s="11" t="str">
        <f t="shared" si="61"/>
        <v>5,</v>
      </c>
      <c r="AP48" s="11" t="str">
        <f t="shared" si="62"/>
        <v>40,620</v>
      </c>
      <c r="AQ48" s="11">
        <f t="shared" si="63"/>
        <v>9.4616666666666668E-2</v>
      </c>
      <c r="AR48" s="14">
        <f t="shared" si="64"/>
        <v>21.201338735247486</v>
      </c>
      <c r="AS48" s="40">
        <f t="shared" si="65"/>
        <v>-100</v>
      </c>
      <c r="AT48" s="41" t="str">
        <f t="shared" si="66"/>
        <v>NO CONFORME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NO CONFORME</v>
      </c>
      <c r="BC48" s="5" t="str">
        <f t="shared" si="34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x14ac:dyDescent="0.3">
      <c r="A49" s="36">
        <v>41</v>
      </c>
      <c r="B49" s="28">
        <f t="shared" ref="B49:E49" si="243">B48</f>
        <v>45903</v>
      </c>
      <c r="C49" s="28">
        <f t="shared" si="243"/>
        <v>45903</v>
      </c>
      <c r="D49" s="12">
        <f t="shared" si="243"/>
        <v>3</v>
      </c>
      <c r="E49" s="10">
        <f t="shared" si="243"/>
        <v>11</v>
      </c>
      <c r="F49" s="13"/>
      <c r="G49" s="69"/>
      <c r="H49" s="70">
        <f t="shared" ref="H49:L49" si="244">H48</f>
        <v>25.6</v>
      </c>
      <c r="I49" s="37">
        <f t="shared" si="244"/>
        <v>0</v>
      </c>
      <c r="J49" s="35">
        <f t="shared" si="244"/>
        <v>16</v>
      </c>
      <c r="K49" s="122">
        <f t="shared" si="244"/>
        <v>8.1690000000000005</v>
      </c>
      <c r="L49" s="122">
        <f t="shared" si="244"/>
        <v>0.879</v>
      </c>
      <c r="M49" s="126"/>
      <c r="N49" s="126"/>
      <c r="O49" s="32">
        <f t="shared" ref="O49:P49" si="245">O48</f>
        <v>100.65</v>
      </c>
      <c r="P49" s="33" t="str">
        <f t="shared" si="245"/>
        <v>2,31,180</v>
      </c>
      <c r="Q49" s="11" t="str">
        <f t="shared" si="47"/>
        <v>2</v>
      </c>
      <c r="R49" s="11" t="str">
        <f t="shared" si="48"/>
        <v>31,180</v>
      </c>
      <c r="S49" s="11">
        <f t="shared" si="49"/>
        <v>4.1994444444444445E-2</v>
      </c>
      <c r="T49" s="14">
        <f t="shared" si="50"/>
        <v>2396.7456012700095</v>
      </c>
      <c r="U49" s="38">
        <f t="shared" si="51"/>
        <v>-100</v>
      </c>
      <c r="V49" s="39">
        <f t="shared" ref="V49:W49" si="246">V48</f>
        <v>19.8</v>
      </c>
      <c r="W49" s="124">
        <f t="shared" si="246"/>
        <v>1.08</v>
      </c>
      <c r="X49" s="124">
        <f t="shared" si="20"/>
        <v>1.075</v>
      </c>
      <c r="Y49" s="126"/>
      <c r="Z49" s="126"/>
      <c r="AA49" s="90">
        <f t="shared" ref="AA49:AB49" si="247">AA48</f>
        <v>5.0149999999999997</v>
      </c>
      <c r="AB49" s="73" t="str">
        <f t="shared" si="247"/>
        <v>9,05,040</v>
      </c>
      <c r="AC49" s="11" t="str">
        <f t="shared" si="54"/>
        <v>9,</v>
      </c>
      <c r="AD49" s="11" t="str">
        <f t="shared" si="55"/>
        <v>05,040</v>
      </c>
      <c r="AE49" s="11">
        <f t="shared" si="56"/>
        <v>0.15139999999999998</v>
      </c>
      <c r="AF49" s="14">
        <f t="shared" si="57"/>
        <v>33.124174372523122</v>
      </c>
      <c r="AG49" s="40">
        <f t="shared" si="58"/>
        <v>-100</v>
      </c>
      <c r="AH49" s="39">
        <f t="shared" si="211"/>
        <v>19.600000000000001</v>
      </c>
      <c r="AI49" s="124">
        <f t="shared" si="211"/>
        <v>1.0860000000000001</v>
      </c>
      <c r="AJ49" s="124">
        <f t="shared" si="24"/>
        <v>1.0780000000000001</v>
      </c>
      <c r="AK49" s="126">
        <f t="shared" si="59"/>
        <v>0</v>
      </c>
      <c r="AL49" s="126"/>
      <c r="AM49" s="34">
        <f t="shared" ref="AM49:AN49" si="248">AM48</f>
        <v>2.0059999999999998</v>
      </c>
      <c r="AN49" s="33" t="str">
        <f t="shared" si="248"/>
        <v>5,40,620</v>
      </c>
      <c r="AO49" s="11" t="str">
        <f t="shared" si="61"/>
        <v>5,</v>
      </c>
      <c r="AP49" s="11" t="str">
        <f t="shared" si="62"/>
        <v>40,620</v>
      </c>
      <c r="AQ49" s="11">
        <f t="shared" si="63"/>
        <v>9.4616666666666668E-2</v>
      </c>
      <c r="AR49" s="14">
        <f t="shared" si="64"/>
        <v>21.201338735247486</v>
      </c>
      <c r="AS49" s="40">
        <f t="shared" si="65"/>
        <v>-100</v>
      </c>
      <c r="AT49" s="41" t="str">
        <f t="shared" si="66"/>
        <v>NO CONFORME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NO CONFORME</v>
      </c>
      <c r="BC49" s="5" t="str">
        <f t="shared" si="34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x14ac:dyDescent="0.3">
      <c r="A50" s="36">
        <v>42</v>
      </c>
      <c r="B50" s="28">
        <f t="shared" ref="B50:E50" si="249">B49</f>
        <v>45903</v>
      </c>
      <c r="C50" s="28">
        <f t="shared" si="249"/>
        <v>45903</v>
      </c>
      <c r="D50" s="12">
        <f t="shared" si="249"/>
        <v>3</v>
      </c>
      <c r="E50" s="10">
        <f t="shared" si="249"/>
        <v>11</v>
      </c>
      <c r="F50" s="13"/>
      <c r="G50" s="69"/>
      <c r="H50" s="70">
        <f t="shared" ref="H50:L50" si="250">H49</f>
        <v>25.6</v>
      </c>
      <c r="I50" s="37">
        <f t="shared" si="250"/>
        <v>0</v>
      </c>
      <c r="J50" s="35">
        <f t="shared" si="250"/>
        <v>16</v>
      </c>
      <c r="K50" s="122">
        <f t="shared" si="250"/>
        <v>8.1690000000000005</v>
      </c>
      <c r="L50" s="122">
        <f t="shared" si="250"/>
        <v>0.879</v>
      </c>
      <c r="M50" s="126"/>
      <c r="N50" s="126"/>
      <c r="O50" s="32">
        <f t="shared" ref="O50:P50" si="251">O49</f>
        <v>100.65</v>
      </c>
      <c r="P50" s="33" t="str">
        <f t="shared" si="251"/>
        <v>2,31,180</v>
      </c>
      <c r="Q50" s="11" t="str">
        <f t="shared" si="47"/>
        <v>2</v>
      </c>
      <c r="R50" s="11" t="str">
        <f t="shared" si="48"/>
        <v>31,180</v>
      </c>
      <c r="S50" s="11">
        <f t="shared" si="49"/>
        <v>4.1994444444444445E-2</v>
      </c>
      <c r="T50" s="14">
        <f t="shared" si="50"/>
        <v>2396.7456012700095</v>
      </c>
      <c r="U50" s="38">
        <f t="shared" si="51"/>
        <v>-100</v>
      </c>
      <c r="V50" s="39">
        <f t="shared" ref="V50:W50" si="252">V49</f>
        <v>19.8</v>
      </c>
      <c r="W50" s="124">
        <f t="shared" si="252"/>
        <v>1.08</v>
      </c>
      <c r="X50" s="124">
        <f t="shared" si="20"/>
        <v>1.075</v>
      </c>
      <c r="Y50" s="126"/>
      <c r="Z50" s="126"/>
      <c r="AA50" s="90">
        <f t="shared" ref="AA50:AB50" si="253">AA49</f>
        <v>5.0149999999999997</v>
      </c>
      <c r="AB50" s="73" t="str">
        <f t="shared" si="253"/>
        <v>9,05,040</v>
      </c>
      <c r="AC50" s="11" t="str">
        <f t="shared" si="54"/>
        <v>9,</v>
      </c>
      <c r="AD50" s="11" t="str">
        <f t="shared" si="55"/>
        <v>05,040</v>
      </c>
      <c r="AE50" s="11">
        <f t="shared" si="56"/>
        <v>0.15139999999999998</v>
      </c>
      <c r="AF50" s="14">
        <f t="shared" si="57"/>
        <v>33.124174372523122</v>
      </c>
      <c r="AG50" s="40">
        <f t="shared" si="58"/>
        <v>-100</v>
      </c>
      <c r="AH50" s="39">
        <f t="shared" si="211"/>
        <v>19.600000000000001</v>
      </c>
      <c r="AI50" s="124">
        <f t="shared" si="211"/>
        <v>1.0860000000000001</v>
      </c>
      <c r="AJ50" s="124">
        <f t="shared" si="24"/>
        <v>1.0780000000000001</v>
      </c>
      <c r="AK50" s="126">
        <f t="shared" si="59"/>
        <v>0</v>
      </c>
      <c r="AL50" s="126"/>
      <c r="AM50" s="34">
        <f t="shared" ref="AM50:AN50" si="254">AM49</f>
        <v>2.0059999999999998</v>
      </c>
      <c r="AN50" s="33" t="str">
        <f t="shared" si="254"/>
        <v>5,40,620</v>
      </c>
      <c r="AO50" s="11" t="str">
        <f t="shared" si="61"/>
        <v>5,</v>
      </c>
      <c r="AP50" s="11" t="str">
        <f t="shared" si="62"/>
        <v>40,620</v>
      </c>
      <c r="AQ50" s="11">
        <f t="shared" si="63"/>
        <v>9.4616666666666668E-2</v>
      </c>
      <c r="AR50" s="14">
        <f t="shared" si="64"/>
        <v>21.201338735247486</v>
      </c>
      <c r="AS50" s="40">
        <f t="shared" si="65"/>
        <v>-100</v>
      </c>
      <c r="AT50" s="41" t="str">
        <f t="shared" si="66"/>
        <v>NO CONFORME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NO CONFORME</v>
      </c>
      <c r="BC50" s="5" t="str">
        <f t="shared" si="34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x14ac:dyDescent="0.3">
      <c r="A51" s="36">
        <v>43</v>
      </c>
      <c r="B51" s="28">
        <f t="shared" ref="B51:E51" si="255">B50</f>
        <v>45903</v>
      </c>
      <c r="C51" s="28">
        <f t="shared" si="255"/>
        <v>45903</v>
      </c>
      <c r="D51" s="12">
        <f t="shared" si="255"/>
        <v>3</v>
      </c>
      <c r="E51" s="10">
        <f t="shared" si="255"/>
        <v>11</v>
      </c>
      <c r="F51" s="13"/>
      <c r="G51" s="69"/>
      <c r="H51" s="70">
        <f t="shared" ref="H51:L51" si="256">H50</f>
        <v>25.6</v>
      </c>
      <c r="I51" s="37">
        <f t="shared" si="256"/>
        <v>0</v>
      </c>
      <c r="J51" s="35">
        <f t="shared" si="256"/>
        <v>16</v>
      </c>
      <c r="K51" s="122">
        <f t="shared" si="256"/>
        <v>8.1690000000000005</v>
      </c>
      <c r="L51" s="122">
        <f t="shared" si="256"/>
        <v>0.879</v>
      </c>
      <c r="M51" s="126"/>
      <c r="N51" s="126"/>
      <c r="O51" s="32">
        <f t="shared" ref="O51:P51" si="257">O50</f>
        <v>100.65</v>
      </c>
      <c r="P51" s="33" t="str">
        <f t="shared" si="257"/>
        <v>2,31,180</v>
      </c>
      <c r="Q51" s="11" t="str">
        <f t="shared" si="47"/>
        <v>2</v>
      </c>
      <c r="R51" s="11" t="str">
        <f t="shared" si="48"/>
        <v>31,180</v>
      </c>
      <c r="S51" s="11">
        <f t="shared" si="49"/>
        <v>4.1994444444444445E-2</v>
      </c>
      <c r="T51" s="14">
        <f t="shared" si="50"/>
        <v>2396.7456012700095</v>
      </c>
      <c r="U51" s="38">
        <f t="shared" si="51"/>
        <v>-100</v>
      </c>
      <c r="V51" s="39">
        <f t="shared" ref="V51:W51" si="258">V50</f>
        <v>19.8</v>
      </c>
      <c r="W51" s="124">
        <f t="shared" si="258"/>
        <v>1.08</v>
      </c>
      <c r="X51" s="124">
        <f t="shared" si="20"/>
        <v>1.075</v>
      </c>
      <c r="Y51" s="126"/>
      <c r="Z51" s="126"/>
      <c r="AA51" s="90">
        <f t="shared" ref="AA51:AB51" si="259">AA50</f>
        <v>5.0149999999999997</v>
      </c>
      <c r="AB51" s="73" t="str">
        <f t="shared" si="259"/>
        <v>9,05,040</v>
      </c>
      <c r="AC51" s="11" t="str">
        <f t="shared" si="54"/>
        <v>9,</v>
      </c>
      <c r="AD51" s="11" t="str">
        <f t="shared" si="55"/>
        <v>05,040</v>
      </c>
      <c r="AE51" s="11">
        <f t="shared" si="56"/>
        <v>0.15139999999999998</v>
      </c>
      <c r="AF51" s="14">
        <f t="shared" si="57"/>
        <v>33.124174372523122</v>
      </c>
      <c r="AG51" s="40">
        <f t="shared" si="58"/>
        <v>-100</v>
      </c>
      <c r="AH51" s="39">
        <f t="shared" si="211"/>
        <v>19.600000000000001</v>
      </c>
      <c r="AI51" s="124">
        <f t="shared" si="211"/>
        <v>1.0860000000000001</v>
      </c>
      <c r="AJ51" s="124">
        <f t="shared" si="24"/>
        <v>1.0780000000000001</v>
      </c>
      <c r="AK51" s="126">
        <f t="shared" si="59"/>
        <v>0</v>
      </c>
      <c r="AL51" s="126"/>
      <c r="AM51" s="34">
        <f t="shared" ref="AM51:AN51" si="260">AM50</f>
        <v>2.0059999999999998</v>
      </c>
      <c r="AN51" s="33" t="str">
        <f t="shared" si="260"/>
        <v>5,40,620</v>
      </c>
      <c r="AO51" s="11" t="str">
        <f t="shared" si="61"/>
        <v>5,</v>
      </c>
      <c r="AP51" s="11" t="str">
        <f t="shared" si="62"/>
        <v>40,620</v>
      </c>
      <c r="AQ51" s="11">
        <f t="shared" si="63"/>
        <v>9.4616666666666668E-2</v>
      </c>
      <c r="AR51" s="14">
        <f t="shared" si="64"/>
        <v>21.201338735247486</v>
      </c>
      <c r="AS51" s="40">
        <f t="shared" si="65"/>
        <v>-100</v>
      </c>
      <c r="AT51" s="41" t="str">
        <f t="shared" si="66"/>
        <v>NO CONFORME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NO CONFORME</v>
      </c>
      <c r="BC51" s="5" t="str">
        <f t="shared" si="34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x14ac:dyDescent="0.3">
      <c r="A52" s="36">
        <v>44</v>
      </c>
      <c r="B52" s="28">
        <f t="shared" ref="B52:E52" si="261">B51</f>
        <v>45903</v>
      </c>
      <c r="C52" s="28">
        <f t="shared" si="261"/>
        <v>45903</v>
      </c>
      <c r="D52" s="12">
        <f t="shared" si="261"/>
        <v>3</v>
      </c>
      <c r="E52" s="10">
        <f t="shared" si="261"/>
        <v>11</v>
      </c>
      <c r="F52" s="13"/>
      <c r="G52" s="69"/>
      <c r="H52" s="70">
        <f t="shared" ref="H52:L52" si="262">H51</f>
        <v>25.6</v>
      </c>
      <c r="I52" s="37">
        <f t="shared" si="262"/>
        <v>0</v>
      </c>
      <c r="J52" s="35">
        <f t="shared" si="262"/>
        <v>16</v>
      </c>
      <c r="K52" s="122">
        <f t="shared" si="262"/>
        <v>8.1690000000000005</v>
      </c>
      <c r="L52" s="122">
        <f t="shared" si="262"/>
        <v>0.879</v>
      </c>
      <c r="M52" s="126"/>
      <c r="N52" s="126"/>
      <c r="O52" s="32">
        <f t="shared" ref="O52:P52" si="263">O51</f>
        <v>100.65</v>
      </c>
      <c r="P52" s="33" t="str">
        <f t="shared" si="263"/>
        <v>2,31,180</v>
      </c>
      <c r="Q52" s="11" t="str">
        <f t="shared" si="47"/>
        <v>2</v>
      </c>
      <c r="R52" s="11" t="str">
        <f t="shared" si="48"/>
        <v>31,180</v>
      </c>
      <c r="S52" s="11">
        <f t="shared" si="49"/>
        <v>4.1994444444444445E-2</v>
      </c>
      <c r="T52" s="14">
        <f t="shared" si="50"/>
        <v>2396.7456012700095</v>
      </c>
      <c r="U52" s="38">
        <f t="shared" si="51"/>
        <v>-100</v>
      </c>
      <c r="V52" s="39">
        <f t="shared" ref="V52:W52" si="264">V51</f>
        <v>19.8</v>
      </c>
      <c r="W52" s="124">
        <f t="shared" si="264"/>
        <v>1.08</v>
      </c>
      <c r="X52" s="124">
        <f t="shared" si="20"/>
        <v>1.075</v>
      </c>
      <c r="Y52" s="126"/>
      <c r="Z52" s="126"/>
      <c r="AA52" s="90">
        <f t="shared" ref="AA52:AB52" si="265">AA51</f>
        <v>5.0149999999999997</v>
      </c>
      <c r="AB52" s="73" t="str">
        <f t="shared" si="265"/>
        <v>9,05,040</v>
      </c>
      <c r="AC52" s="11" t="str">
        <f t="shared" si="54"/>
        <v>9,</v>
      </c>
      <c r="AD52" s="11" t="str">
        <f t="shared" si="55"/>
        <v>05,040</v>
      </c>
      <c r="AE52" s="11">
        <f t="shared" si="56"/>
        <v>0.15139999999999998</v>
      </c>
      <c r="AF52" s="14">
        <f t="shared" si="57"/>
        <v>33.124174372523122</v>
      </c>
      <c r="AG52" s="40">
        <f t="shared" si="58"/>
        <v>-100</v>
      </c>
      <c r="AH52" s="39">
        <f t="shared" si="211"/>
        <v>19.600000000000001</v>
      </c>
      <c r="AI52" s="124">
        <f t="shared" si="211"/>
        <v>1.0860000000000001</v>
      </c>
      <c r="AJ52" s="124">
        <f t="shared" si="24"/>
        <v>1.0780000000000001</v>
      </c>
      <c r="AK52" s="126">
        <f t="shared" si="59"/>
        <v>0</v>
      </c>
      <c r="AL52" s="126"/>
      <c r="AM52" s="34">
        <f t="shared" ref="AM52:AN52" si="266">AM51</f>
        <v>2.0059999999999998</v>
      </c>
      <c r="AN52" s="33" t="str">
        <f t="shared" si="266"/>
        <v>5,40,620</v>
      </c>
      <c r="AO52" s="11" t="str">
        <f t="shared" si="61"/>
        <v>5,</v>
      </c>
      <c r="AP52" s="11" t="str">
        <f t="shared" si="62"/>
        <v>40,620</v>
      </c>
      <c r="AQ52" s="11">
        <f t="shared" si="63"/>
        <v>9.4616666666666668E-2</v>
      </c>
      <c r="AR52" s="14">
        <f t="shared" si="64"/>
        <v>21.201338735247486</v>
      </c>
      <c r="AS52" s="40">
        <f t="shared" si="65"/>
        <v>-100</v>
      </c>
      <c r="AT52" s="41" t="str">
        <f t="shared" si="66"/>
        <v>NO CONFORME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NO CONFORME</v>
      </c>
      <c r="BC52" s="5" t="str">
        <f t="shared" si="34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x14ac:dyDescent="0.3">
      <c r="A53" s="36">
        <v>45</v>
      </c>
      <c r="B53" s="28">
        <f t="shared" ref="B53:E53" si="267">B52</f>
        <v>45903</v>
      </c>
      <c r="C53" s="28">
        <f t="shared" si="267"/>
        <v>45903</v>
      </c>
      <c r="D53" s="12">
        <f t="shared" si="267"/>
        <v>3</v>
      </c>
      <c r="E53" s="10">
        <f t="shared" si="267"/>
        <v>11</v>
      </c>
      <c r="F53" s="13"/>
      <c r="G53" s="69"/>
      <c r="H53" s="70">
        <f t="shared" ref="H53:L53" si="268">H52</f>
        <v>25.6</v>
      </c>
      <c r="I53" s="37">
        <f t="shared" si="268"/>
        <v>0</v>
      </c>
      <c r="J53" s="35">
        <f t="shared" si="268"/>
        <v>16</v>
      </c>
      <c r="K53" s="122">
        <f t="shared" si="268"/>
        <v>8.1690000000000005</v>
      </c>
      <c r="L53" s="122">
        <f t="shared" si="268"/>
        <v>0.879</v>
      </c>
      <c r="M53" s="126"/>
      <c r="N53" s="126"/>
      <c r="O53" s="32">
        <f t="shared" ref="O53:P53" si="269">O52</f>
        <v>100.65</v>
      </c>
      <c r="P53" s="33" t="str">
        <f t="shared" si="269"/>
        <v>2,31,180</v>
      </c>
      <c r="Q53" s="11" t="str">
        <f t="shared" si="47"/>
        <v>2</v>
      </c>
      <c r="R53" s="11" t="str">
        <f t="shared" si="48"/>
        <v>31,180</v>
      </c>
      <c r="S53" s="11">
        <f t="shared" si="49"/>
        <v>4.1994444444444445E-2</v>
      </c>
      <c r="T53" s="14">
        <f t="shared" si="50"/>
        <v>2396.7456012700095</v>
      </c>
      <c r="U53" s="38">
        <f t="shared" si="51"/>
        <v>-100</v>
      </c>
      <c r="V53" s="39">
        <f t="shared" ref="V53:W53" si="270">V52</f>
        <v>19.8</v>
      </c>
      <c r="W53" s="124">
        <f t="shared" si="270"/>
        <v>1.08</v>
      </c>
      <c r="X53" s="124">
        <f t="shared" si="20"/>
        <v>1.075</v>
      </c>
      <c r="Y53" s="126"/>
      <c r="Z53" s="126"/>
      <c r="AA53" s="90">
        <f t="shared" ref="AA53:AB53" si="271">AA52</f>
        <v>5.0149999999999997</v>
      </c>
      <c r="AB53" s="73" t="str">
        <f t="shared" si="271"/>
        <v>9,05,040</v>
      </c>
      <c r="AC53" s="11" t="str">
        <f t="shared" si="54"/>
        <v>9,</v>
      </c>
      <c r="AD53" s="11" t="str">
        <f t="shared" si="55"/>
        <v>05,040</v>
      </c>
      <c r="AE53" s="11">
        <f t="shared" si="56"/>
        <v>0.15139999999999998</v>
      </c>
      <c r="AF53" s="14">
        <f t="shared" si="57"/>
        <v>33.124174372523122</v>
      </c>
      <c r="AG53" s="40">
        <f t="shared" si="58"/>
        <v>-100</v>
      </c>
      <c r="AH53" s="39">
        <f t="shared" si="211"/>
        <v>19.600000000000001</v>
      </c>
      <c r="AI53" s="124">
        <f t="shared" si="211"/>
        <v>1.0860000000000001</v>
      </c>
      <c r="AJ53" s="124">
        <f t="shared" si="24"/>
        <v>1.0780000000000001</v>
      </c>
      <c r="AK53" s="126">
        <f t="shared" si="59"/>
        <v>0</v>
      </c>
      <c r="AL53" s="126"/>
      <c r="AM53" s="34">
        <f t="shared" ref="AM53:AN53" si="272">AM52</f>
        <v>2.0059999999999998</v>
      </c>
      <c r="AN53" s="33" t="str">
        <f t="shared" si="272"/>
        <v>5,40,620</v>
      </c>
      <c r="AO53" s="11" t="str">
        <f t="shared" si="61"/>
        <v>5,</v>
      </c>
      <c r="AP53" s="11" t="str">
        <f t="shared" si="62"/>
        <v>40,620</v>
      </c>
      <c r="AQ53" s="11">
        <f t="shared" si="63"/>
        <v>9.4616666666666668E-2</v>
      </c>
      <c r="AR53" s="14">
        <f t="shared" si="64"/>
        <v>21.201338735247486</v>
      </c>
      <c r="AS53" s="40">
        <f t="shared" si="65"/>
        <v>-100</v>
      </c>
      <c r="AT53" s="41" t="str">
        <f t="shared" si="66"/>
        <v>NO CONFORME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NO CONFORME</v>
      </c>
      <c r="BC53" s="5" t="str">
        <f t="shared" si="34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x14ac:dyDescent="0.3">
      <c r="A54" s="36">
        <v>46</v>
      </c>
      <c r="B54" s="28">
        <f t="shared" ref="B54:E54" si="273">B53</f>
        <v>45903</v>
      </c>
      <c r="C54" s="28">
        <f t="shared" si="273"/>
        <v>45903</v>
      </c>
      <c r="D54" s="12">
        <f t="shared" si="273"/>
        <v>3</v>
      </c>
      <c r="E54" s="10">
        <f t="shared" si="273"/>
        <v>11</v>
      </c>
      <c r="F54" s="13"/>
      <c r="G54" s="69"/>
      <c r="H54" s="70">
        <f t="shared" ref="H54:L54" si="274">H53</f>
        <v>25.6</v>
      </c>
      <c r="I54" s="37">
        <f t="shared" si="274"/>
        <v>0</v>
      </c>
      <c r="J54" s="35">
        <f t="shared" si="274"/>
        <v>16</v>
      </c>
      <c r="K54" s="122">
        <f t="shared" si="274"/>
        <v>8.1690000000000005</v>
      </c>
      <c r="L54" s="122">
        <f t="shared" si="274"/>
        <v>0.879</v>
      </c>
      <c r="M54" s="126"/>
      <c r="N54" s="126"/>
      <c r="O54" s="32">
        <f t="shared" ref="O54:P54" si="275">O53</f>
        <v>100.65</v>
      </c>
      <c r="P54" s="33" t="str">
        <f t="shared" si="275"/>
        <v>2,31,180</v>
      </c>
      <c r="Q54" s="11" t="str">
        <f t="shared" si="47"/>
        <v>2</v>
      </c>
      <c r="R54" s="11" t="str">
        <f t="shared" si="48"/>
        <v>31,180</v>
      </c>
      <c r="S54" s="11">
        <f t="shared" si="49"/>
        <v>4.1994444444444445E-2</v>
      </c>
      <c r="T54" s="14">
        <f t="shared" si="50"/>
        <v>2396.7456012700095</v>
      </c>
      <c r="U54" s="38">
        <f t="shared" si="51"/>
        <v>-100</v>
      </c>
      <c r="V54" s="39">
        <f t="shared" ref="V54:W54" si="276">V53</f>
        <v>19.8</v>
      </c>
      <c r="W54" s="124">
        <f t="shared" si="276"/>
        <v>1.08</v>
      </c>
      <c r="X54" s="124">
        <f t="shared" si="20"/>
        <v>1.075</v>
      </c>
      <c r="Y54" s="126"/>
      <c r="Z54" s="126"/>
      <c r="AA54" s="90">
        <f t="shared" ref="AA54:AB54" si="277">AA53</f>
        <v>5.0149999999999997</v>
      </c>
      <c r="AB54" s="73" t="str">
        <f t="shared" si="277"/>
        <v>9,05,040</v>
      </c>
      <c r="AC54" s="11" t="str">
        <f t="shared" si="54"/>
        <v>9,</v>
      </c>
      <c r="AD54" s="11" t="str">
        <f t="shared" si="55"/>
        <v>05,040</v>
      </c>
      <c r="AE54" s="11">
        <f t="shared" si="56"/>
        <v>0.15139999999999998</v>
      </c>
      <c r="AF54" s="14">
        <f t="shared" si="57"/>
        <v>33.124174372523122</v>
      </c>
      <c r="AG54" s="40">
        <f t="shared" si="58"/>
        <v>-100</v>
      </c>
      <c r="AH54" s="39">
        <f t="shared" si="211"/>
        <v>19.600000000000001</v>
      </c>
      <c r="AI54" s="124">
        <f t="shared" si="211"/>
        <v>1.0860000000000001</v>
      </c>
      <c r="AJ54" s="124">
        <f t="shared" si="24"/>
        <v>1.0780000000000001</v>
      </c>
      <c r="AK54" s="126">
        <f t="shared" si="59"/>
        <v>0</v>
      </c>
      <c r="AL54" s="126"/>
      <c r="AM54" s="34">
        <f t="shared" ref="AM54:AN54" si="278">AM53</f>
        <v>2.0059999999999998</v>
      </c>
      <c r="AN54" s="33" t="str">
        <f t="shared" si="278"/>
        <v>5,40,620</v>
      </c>
      <c r="AO54" s="11" t="str">
        <f t="shared" si="61"/>
        <v>5,</v>
      </c>
      <c r="AP54" s="11" t="str">
        <f t="shared" si="62"/>
        <v>40,620</v>
      </c>
      <c r="AQ54" s="11">
        <f t="shared" si="63"/>
        <v>9.4616666666666668E-2</v>
      </c>
      <c r="AR54" s="14">
        <f t="shared" si="64"/>
        <v>21.201338735247486</v>
      </c>
      <c r="AS54" s="40">
        <f t="shared" si="65"/>
        <v>-100</v>
      </c>
      <c r="AT54" s="41" t="str">
        <f t="shared" si="66"/>
        <v>NO CONFORME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NO CONFORME</v>
      </c>
      <c r="BC54" s="5" t="str">
        <f t="shared" si="34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x14ac:dyDescent="0.3">
      <c r="A55" s="36">
        <v>47</v>
      </c>
      <c r="B55" s="28">
        <f t="shared" ref="B55:E55" si="279">B54</f>
        <v>45903</v>
      </c>
      <c r="C55" s="28">
        <f t="shared" si="279"/>
        <v>45903</v>
      </c>
      <c r="D55" s="12">
        <f t="shared" si="279"/>
        <v>3</v>
      </c>
      <c r="E55" s="10">
        <f t="shared" si="279"/>
        <v>11</v>
      </c>
      <c r="F55" s="13"/>
      <c r="G55" s="69"/>
      <c r="H55" s="70">
        <f t="shared" ref="H55:L55" si="280">H54</f>
        <v>25.6</v>
      </c>
      <c r="I55" s="37">
        <f t="shared" si="280"/>
        <v>0</v>
      </c>
      <c r="J55" s="35">
        <f t="shared" si="280"/>
        <v>16</v>
      </c>
      <c r="K55" s="122">
        <f t="shared" si="280"/>
        <v>8.1690000000000005</v>
      </c>
      <c r="L55" s="122">
        <f t="shared" si="280"/>
        <v>0.879</v>
      </c>
      <c r="M55" s="126"/>
      <c r="N55" s="126"/>
      <c r="O55" s="32">
        <f t="shared" ref="O55:P55" si="281">O54</f>
        <v>100.65</v>
      </c>
      <c r="P55" s="33" t="str">
        <f t="shared" si="281"/>
        <v>2,31,180</v>
      </c>
      <c r="Q55" s="11" t="str">
        <f t="shared" si="47"/>
        <v>2</v>
      </c>
      <c r="R55" s="11" t="str">
        <f t="shared" si="48"/>
        <v>31,180</v>
      </c>
      <c r="S55" s="11">
        <f t="shared" si="49"/>
        <v>4.1994444444444445E-2</v>
      </c>
      <c r="T55" s="14">
        <f t="shared" si="50"/>
        <v>2396.7456012700095</v>
      </c>
      <c r="U55" s="38">
        <f t="shared" si="51"/>
        <v>-100</v>
      </c>
      <c r="V55" s="39">
        <f t="shared" ref="V55:W55" si="282">V54</f>
        <v>19.8</v>
      </c>
      <c r="W55" s="124">
        <f t="shared" si="282"/>
        <v>1.08</v>
      </c>
      <c r="X55" s="124">
        <f t="shared" si="20"/>
        <v>1.075</v>
      </c>
      <c r="Y55" s="126"/>
      <c r="Z55" s="126"/>
      <c r="AA55" s="90">
        <f t="shared" ref="AA55:AB55" si="283">AA54</f>
        <v>5.0149999999999997</v>
      </c>
      <c r="AB55" s="73" t="str">
        <f t="shared" si="283"/>
        <v>9,05,040</v>
      </c>
      <c r="AC55" s="11" t="str">
        <f t="shared" si="54"/>
        <v>9,</v>
      </c>
      <c r="AD55" s="11" t="str">
        <f t="shared" si="55"/>
        <v>05,040</v>
      </c>
      <c r="AE55" s="11">
        <f t="shared" si="56"/>
        <v>0.15139999999999998</v>
      </c>
      <c r="AF55" s="14">
        <f t="shared" si="57"/>
        <v>33.124174372523122</v>
      </c>
      <c r="AG55" s="40">
        <f t="shared" si="58"/>
        <v>-100</v>
      </c>
      <c r="AH55" s="39">
        <f t="shared" si="211"/>
        <v>19.600000000000001</v>
      </c>
      <c r="AI55" s="124">
        <f t="shared" si="211"/>
        <v>1.0860000000000001</v>
      </c>
      <c r="AJ55" s="124">
        <f t="shared" si="24"/>
        <v>1.0780000000000001</v>
      </c>
      <c r="AK55" s="126">
        <f t="shared" si="59"/>
        <v>0</v>
      </c>
      <c r="AL55" s="126"/>
      <c r="AM55" s="34">
        <f t="shared" ref="AM55:AN55" si="284">AM54</f>
        <v>2.0059999999999998</v>
      </c>
      <c r="AN55" s="33" t="str">
        <f t="shared" si="284"/>
        <v>5,40,620</v>
      </c>
      <c r="AO55" s="11" t="str">
        <f t="shared" si="61"/>
        <v>5,</v>
      </c>
      <c r="AP55" s="11" t="str">
        <f t="shared" si="62"/>
        <v>40,620</v>
      </c>
      <c r="AQ55" s="11">
        <f t="shared" si="63"/>
        <v>9.4616666666666668E-2</v>
      </c>
      <c r="AR55" s="14">
        <f t="shared" si="64"/>
        <v>21.201338735247486</v>
      </c>
      <c r="AS55" s="40">
        <f t="shared" si="65"/>
        <v>-100</v>
      </c>
      <c r="AT55" s="41" t="str">
        <f t="shared" si="66"/>
        <v>NO CONFORME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NO CONFORME</v>
      </c>
      <c r="BC55" s="5" t="str">
        <f t="shared" si="34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x14ac:dyDescent="0.3">
      <c r="A56" s="36">
        <v>48</v>
      </c>
      <c r="B56" s="28">
        <f t="shared" ref="B56:E56" si="285">B55</f>
        <v>45903</v>
      </c>
      <c r="C56" s="28">
        <f t="shared" si="285"/>
        <v>45903</v>
      </c>
      <c r="D56" s="12">
        <f t="shared" si="285"/>
        <v>3</v>
      </c>
      <c r="E56" s="10">
        <f t="shared" si="285"/>
        <v>11</v>
      </c>
      <c r="F56" s="13"/>
      <c r="G56" s="69"/>
      <c r="H56" s="70">
        <f t="shared" ref="H56:L56" si="286">H55</f>
        <v>25.6</v>
      </c>
      <c r="I56" s="37">
        <f t="shared" si="286"/>
        <v>0</v>
      </c>
      <c r="J56" s="35">
        <f t="shared" si="286"/>
        <v>16</v>
      </c>
      <c r="K56" s="122">
        <f t="shared" si="286"/>
        <v>8.1690000000000005</v>
      </c>
      <c r="L56" s="122">
        <f t="shared" si="286"/>
        <v>0.879</v>
      </c>
      <c r="M56" s="126"/>
      <c r="N56" s="126"/>
      <c r="O56" s="32">
        <f t="shared" ref="O56:P56" si="287">O55</f>
        <v>100.65</v>
      </c>
      <c r="P56" s="33" t="str">
        <f t="shared" si="287"/>
        <v>2,31,180</v>
      </c>
      <c r="Q56" s="11" t="str">
        <f t="shared" si="47"/>
        <v>2</v>
      </c>
      <c r="R56" s="11" t="str">
        <f t="shared" si="48"/>
        <v>31,180</v>
      </c>
      <c r="S56" s="11">
        <f t="shared" si="49"/>
        <v>4.1994444444444445E-2</v>
      </c>
      <c r="T56" s="14">
        <f t="shared" si="50"/>
        <v>2396.7456012700095</v>
      </c>
      <c r="U56" s="38">
        <f t="shared" si="51"/>
        <v>-100</v>
      </c>
      <c r="V56" s="39">
        <f t="shared" ref="V56:W56" si="288">V55</f>
        <v>19.8</v>
      </c>
      <c r="W56" s="124">
        <f t="shared" si="288"/>
        <v>1.08</v>
      </c>
      <c r="X56" s="124">
        <f t="shared" si="20"/>
        <v>1.075</v>
      </c>
      <c r="Y56" s="126"/>
      <c r="Z56" s="126"/>
      <c r="AA56" s="90">
        <f t="shared" ref="AA56:AB56" si="289">AA55</f>
        <v>5.0149999999999997</v>
      </c>
      <c r="AB56" s="73" t="str">
        <f t="shared" si="289"/>
        <v>9,05,040</v>
      </c>
      <c r="AC56" s="11" t="str">
        <f t="shared" si="54"/>
        <v>9,</v>
      </c>
      <c r="AD56" s="11" t="str">
        <f t="shared" si="55"/>
        <v>05,040</v>
      </c>
      <c r="AE56" s="11">
        <f t="shared" si="56"/>
        <v>0.15139999999999998</v>
      </c>
      <c r="AF56" s="14">
        <f t="shared" si="57"/>
        <v>33.124174372523122</v>
      </c>
      <c r="AG56" s="40">
        <f t="shared" si="58"/>
        <v>-100</v>
      </c>
      <c r="AH56" s="39">
        <f t="shared" si="211"/>
        <v>19.600000000000001</v>
      </c>
      <c r="AI56" s="124">
        <f t="shared" si="211"/>
        <v>1.0860000000000001</v>
      </c>
      <c r="AJ56" s="124">
        <f t="shared" si="24"/>
        <v>1.0780000000000001</v>
      </c>
      <c r="AK56" s="126">
        <f t="shared" si="59"/>
        <v>0</v>
      </c>
      <c r="AL56" s="126"/>
      <c r="AM56" s="34">
        <f t="shared" ref="AM56:AN56" si="290">AM55</f>
        <v>2.0059999999999998</v>
      </c>
      <c r="AN56" s="33" t="str">
        <f t="shared" si="290"/>
        <v>5,40,620</v>
      </c>
      <c r="AO56" s="11" t="str">
        <f t="shared" si="61"/>
        <v>5,</v>
      </c>
      <c r="AP56" s="11" t="str">
        <f t="shared" si="62"/>
        <v>40,620</v>
      </c>
      <c r="AQ56" s="11">
        <f t="shared" si="63"/>
        <v>9.4616666666666668E-2</v>
      </c>
      <c r="AR56" s="14">
        <f t="shared" si="64"/>
        <v>21.201338735247486</v>
      </c>
      <c r="AS56" s="40">
        <f t="shared" si="65"/>
        <v>-100</v>
      </c>
      <c r="AT56" s="41" t="str">
        <f t="shared" si="66"/>
        <v>NO CONFORME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NO CONFORME</v>
      </c>
      <c r="BC56" s="5" t="str">
        <f t="shared" si="34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x14ac:dyDescent="0.3">
      <c r="A57" s="36">
        <v>49</v>
      </c>
      <c r="B57" s="28">
        <f t="shared" ref="B57:E57" si="291">B56</f>
        <v>45903</v>
      </c>
      <c r="C57" s="28">
        <f t="shared" si="291"/>
        <v>45903</v>
      </c>
      <c r="D57" s="12">
        <f t="shared" si="291"/>
        <v>3</v>
      </c>
      <c r="E57" s="10">
        <f t="shared" si="291"/>
        <v>11</v>
      </c>
      <c r="F57" s="13"/>
      <c r="G57" s="69"/>
      <c r="H57" s="70">
        <f t="shared" ref="H57:L57" si="292">H56</f>
        <v>25.6</v>
      </c>
      <c r="I57" s="37">
        <f t="shared" si="292"/>
        <v>0</v>
      </c>
      <c r="J57" s="35">
        <f t="shared" si="292"/>
        <v>16</v>
      </c>
      <c r="K57" s="122">
        <f t="shared" si="292"/>
        <v>8.1690000000000005</v>
      </c>
      <c r="L57" s="122">
        <f t="shared" si="292"/>
        <v>0.879</v>
      </c>
      <c r="M57" s="126"/>
      <c r="N57" s="126"/>
      <c r="O57" s="32">
        <f t="shared" ref="O57:P57" si="293">O56</f>
        <v>100.65</v>
      </c>
      <c r="P57" s="33" t="str">
        <f t="shared" si="293"/>
        <v>2,31,180</v>
      </c>
      <c r="Q57" s="11" t="str">
        <f t="shared" si="47"/>
        <v>2</v>
      </c>
      <c r="R57" s="11" t="str">
        <f t="shared" si="48"/>
        <v>31,180</v>
      </c>
      <c r="S57" s="11">
        <f t="shared" si="49"/>
        <v>4.1994444444444445E-2</v>
      </c>
      <c r="T57" s="14">
        <f t="shared" si="50"/>
        <v>2396.7456012700095</v>
      </c>
      <c r="U57" s="38">
        <f t="shared" si="51"/>
        <v>-100</v>
      </c>
      <c r="V57" s="39">
        <f t="shared" ref="V57:W57" si="294">V56</f>
        <v>19.8</v>
      </c>
      <c r="W57" s="124">
        <f t="shared" si="294"/>
        <v>1.08</v>
      </c>
      <c r="X57" s="124">
        <f t="shared" si="20"/>
        <v>1.075</v>
      </c>
      <c r="Y57" s="126"/>
      <c r="Z57" s="126"/>
      <c r="AA57" s="90">
        <f t="shared" ref="AA57:AB57" si="295">AA56</f>
        <v>5.0149999999999997</v>
      </c>
      <c r="AB57" s="73" t="str">
        <f t="shared" si="295"/>
        <v>9,05,040</v>
      </c>
      <c r="AC57" s="11" t="str">
        <f t="shared" si="54"/>
        <v>9,</v>
      </c>
      <c r="AD57" s="11" t="str">
        <f t="shared" si="55"/>
        <v>05,040</v>
      </c>
      <c r="AE57" s="11">
        <f t="shared" si="56"/>
        <v>0.15139999999999998</v>
      </c>
      <c r="AF57" s="14">
        <f t="shared" si="57"/>
        <v>33.124174372523122</v>
      </c>
      <c r="AG57" s="40">
        <f t="shared" si="58"/>
        <v>-100</v>
      </c>
      <c r="AH57" s="39">
        <f t="shared" si="211"/>
        <v>19.600000000000001</v>
      </c>
      <c r="AI57" s="124">
        <f t="shared" si="211"/>
        <v>1.0860000000000001</v>
      </c>
      <c r="AJ57" s="124">
        <f t="shared" si="24"/>
        <v>1.0780000000000001</v>
      </c>
      <c r="AK57" s="126">
        <f t="shared" si="59"/>
        <v>0</v>
      </c>
      <c r="AL57" s="126"/>
      <c r="AM57" s="34">
        <f t="shared" ref="AM57:AN57" si="296">AM56</f>
        <v>2.0059999999999998</v>
      </c>
      <c r="AN57" s="33" t="str">
        <f t="shared" si="296"/>
        <v>5,40,620</v>
      </c>
      <c r="AO57" s="11" t="str">
        <f t="shared" si="61"/>
        <v>5,</v>
      </c>
      <c r="AP57" s="11" t="str">
        <f t="shared" si="62"/>
        <v>40,620</v>
      </c>
      <c r="AQ57" s="11">
        <f t="shared" si="63"/>
        <v>9.4616666666666668E-2</v>
      </c>
      <c r="AR57" s="14">
        <f t="shared" si="64"/>
        <v>21.201338735247486</v>
      </c>
      <c r="AS57" s="40">
        <f t="shared" si="65"/>
        <v>-100</v>
      </c>
      <c r="AT57" s="41" t="str">
        <f t="shared" si="66"/>
        <v>NO CONFORME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NO CONFORME</v>
      </c>
      <c r="BC57" s="5" t="str">
        <f t="shared" si="34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x14ac:dyDescent="0.3">
      <c r="A58" s="36">
        <v>50</v>
      </c>
      <c r="B58" s="28">
        <f t="shared" ref="B58:E58" si="297">B57</f>
        <v>45903</v>
      </c>
      <c r="C58" s="28">
        <f t="shared" si="297"/>
        <v>45903</v>
      </c>
      <c r="D58" s="12">
        <f t="shared" si="297"/>
        <v>3</v>
      </c>
      <c r="E58" s="10">
        <f t="shared" si="297"/>
        <v>11</v>
      </c>
      <c r="F58" s="13"/>
      <c r="G58" s="69"/>
      <c r="H58" s="70">
        <f t="shared" ref="H58:L58" si="298">H57</f>
        <v>25.6</v>
      </c>
      <c r="I58" s="37">
        <f t="shared" si="298"/>
        <v>0</v>
      </c>
      <c r="J58" s="35">
        <f t="shared" si="298"/>
        <v>16</v>
      </c>
      <c r="K58" s="122">
        <f t="shared" si="298"/>
        <v>8.1690000000000005</v>
      </c>
      <c r="L58" s="122">
        <f t="shared" si="298"/>
        <v>0.879</v>
      </c>
      <c r="M58" s="126"/>
      <c r="N58" s="126"/>
      <c r="O58" s="32">
        <f t="shared" ref="O58:P58" si="299">O57</f>
        <v>100.65</v>
      </c>
      <c r="P58" s="33" t="str">
        <f t="shared" si="299"/>
        <v>2,31,180</v>
      </c>
      <c r="Q58" s="11" t="str">
        <f t="shared" si="47"/>
        <v>2</v>
      </c>
      <c r="R58" s="11" t="str">
        <f t="shared" si="48"/>
        <v>31,180</v>
      </c>
      <c r="S58" s="11">
        <f t="shared" si="49"/>
        <v>4.1994444444444445E-2</v>
      </c>
      <c r="T58" s="14">
        <f t="shared" si="50"/>
        <v>2396.7456012700095</v>
      </c>
      <c r="U58" s="38">
        <f t="shared" si="51"/>
        <v>-100</v>
      </c>
      <c r="V58" s="39">
        <f t="shared" ref="V58:W58" si="300">V57</f>
        <v>19.8</v>
      </c>
      <c r="W58" s="124">
        <f t="shared" si="300"/>
        <v>1.08</v>
      </c>
      <c r="X58" s="124">
        <f t="shared" si="20"/>
        <v>1.075</v>
      </c>
      <c r="Y58" s="126"/>
      <c r="Z58" s="126"/>
      <c r="AA58" s="90">
        <f t="shared" ref="AA58:AB58" si="301">AA57</f>
        <v>5.0149999999999997</v>
      </c>
      <c r="AB58" s="73" t="str">
        <f t="shared" si="301"/>
        <v>9,05,040</v>
      </c>
      <c r="AC58" s="11" t="str">
        <f t="shared" si="54"/>
        <v>9,</v>
      </c>
      <c r="AD58" s="11" t="str">
        <f t="shared" si="55"/>
        <v>05,040</v>
      </c>
      <c r="AE58" s="11">
        <f t="shared" si="56"/>
        <v>0.15139999999999998</v>
      </c>
      <c r="AF58" s="14">
        <f t="shared" si="57"/>
        <v>33.124174372523122</v>
      </c>
      <c r="AG58" s="40">
        <f t="shared" si="58"/>
        <v>-100</v>
      </c>
      <c r="AH58" s="39">
        <f t="shared" si="211"/>
        <v>19.600000000000001</v>
      </c>
      <c r="AI58" s="124">
        <f t="shared" si="211"/>
        <v>1.0860000000000001</v>
      </c>
      <c r="AJ58" s="124">
        <f t="shared" si="24"/>
        <v>1.0780000000000001</v>
      </c>
      <c r="AK58" s="126">
        <f t="shared" si="59"/>
        <v>0</v>
      </c>
      <c r="AL58" s="126"/>
      <c r="AM58" s="34">
        <f t="shared" ref="AM58:AN58" si="302">AM57</f>
        <v>2.0059999999999998</v>
      </c>
      <c r="AN58" s="33" t="str">
        <f t="shared" si="302"/>
        <v>5,40,620</v>
      </c>
      <c r="AO58" s="11" t="str">
        <f t="shared" si="61"/>
        <v>5,</v>
      </c>
      <c r="AP58" s="11" t="str">
        <f t="shared" si="62"/>
        <v>40,620</v>
      </c>
      <c r="AQ58" s="11">
        <f t="shared" si="63"/>
        <v>9.4616666666666668E-2</v>
      </c>
      <c r="AR58" s="14">
        <f t="shared" si="64"/>
        <v>21.201338735247486</v>
      </c>
      <c r="AS58" s="40">
        <f t="shared" si="65"/>
        <v>-100</v>
      </c>
      <c r="AT58" s="41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x14ac:dyDescent="0.3">
      <c r="A59" s="36">
        <v>51</v>
      </c>
      <c r="B59" s="28">
        <f t="shared" ref="B59:E59" si="303">B58</f>
        <v>45903</v>
      </c>
      <c r="C59" s="28">
        <f t="shared" si="303"/>
        <v>45903</v>
      </c>
      <c r="D59" s="12">
        <f t="shared" si="303"/>
        <v>3</v>
      </c>
      <c r="E59" s="10">
        <f t="shared" si="303"/>
        <v>11</v>
      </c>
      <c r="F59" s="13"/>
      <c r="G59" s="69"/>
      <c r="H59" s="70">
        <f t="shared" ref="H59:L59" si="304">H58</f>
        <v>25.6</v>
      </c>
      <c r="I59" s="37">
        <f t="shared" si="304"/>
        <v>0</v>
      </c>
      <c r="J59" s="35">
        <f t="shared" si="304"/>
        <v>16</v>
      </c>
      <c r="K59" s="122">
        <f t="shared" si="304"/>
        <v>8.1690000000000005</v>
      </c>
      <c r="L59" s="122">
        <f t="shared" si="304"/>
        <v>0.879</v>
      </c>
      <c r="M59" s="126"/>
      <c r="N59" s="126"/>
      <c r="O59" s="32">
        <f t="shared" ref="O59:P59" si="305">O58</f>
        <v>100.65</v>
      </c>
      <c r="P59" s="33" t="str">
        <f t="shared" si="305"/>
        <v>2,31,180</v>
      </c>
      <c r="Q59" s="11" t="str">
        <f t="shared" si="47"/>
        <v>2</v>
      </c>
      <c r="R59" s="11" t="str">
        <f t="shared" si="48"/>
        <v>31,180</v>
      </c>
      <c r="S59" s="11">
        <f t="shared" si="49"/>
        <v>4.1994444444444445E-2</v>
      </c>
      <c r="T59" s="14">
        <f t="shared" si="50"/>
        <v>2396.7456012700095</v>
      </c>
      <c r="U59" s="38">
        <f t="shared" si="51"/>
        <v>-100</v>
      </c>
      <c r="V59" s="39">
        <f t="shared" ref="V59:W59" si="306">V58</f>
        <v>19.8</v>
      </c>
      <c r="W59" s="124">
        <f t="shared" si="306"/>
        <v>1.08</v>
      </c>
      <c r="X59" s="124">
        <f t="shared" si="20"/>
        <v>1.075</v>
      </c>
      <c r="Y59" s="126"/>
      <c r="Z59" s="126"/>
      <c r="AA59" s="90">
        <f t="shared" ref="AA59:AB59" si="307">AA58</f>
        <v>5.0149999999999997</v>
      </c>
      <c r="AB59" s="73" t="str">
        <f t="shared" si="307"/>
        <v>9,05,040</v>
      </c>
      <c r="AC59" s="11" t="str">
        <f t="shared" si="54"/>
        <v>9,</v>
      </c>
      <c r="AD59" s="11" t="str">
        <f t="shared" si="55"/>
        <v>05,040</v>
      </c>
      <c r="AE59" s="11">
        <f t="shared" si="56"/>
        <v>0.15139999999999998</v>
      </c>
      <c r="AF59" s="14">
        <f t="shared" si="57"/>
        <v>33.124174372523122</v>
      </c>
      <c r="AG59" s="40">
        <f t="shared" si="58"/>
        <v>-100</v>
      </c>
      <c r="AH59" s="39">
        <f t="shared" ref="AH59:AJ74" si="308">AH58</f>
        <v>19.600000000000001</v>
      </c>
      <c r="AI59" s="124">
        <f t="shared" si="308"/>
        <v>1.0860000000000001</v>
      </c>
      <c r="AJ59" s="124">
        <f t="shared" si="24"/>
        <v>1.0780000000000001</v>
      </c>
      <c r="AK59" s="126">
        <f t="shared" si="59"/>
        <v>0</v>
      </c>
      <c r="AL59" s="126"/>
      <c r="AM59" s="34">
        <f t="shared" ref="AM59:AN59" si="309">AM58</f>
        <v>2.0059999999999998</v>
      </c>
      <c r="AN59" s="33" t="str">
        <f t="shared" si="309"/>
        <v>5,40,620</v>
      </c>
      <c r="AO59" s="11" t="str">
        <f t="shared" si="61"/>
        <v>5,</v>
      </c>
      <c r="AP59" s="11" t="str">
        <f t="shared" si="62"/>
        <v>40,620</v>
      </c>
      <c r="AQ59" s="11">
        <f t="shared" si="63"/>
        <v>9.4616666666666668E-2</v>
      </c>
      <c r="AR59" s="14">
        <f t="shared" si="64"/>
        <v>21.201338735247486</v>
      </c>
      <c r="AS59" s="40">
        <f t="shared" si="65"/>
        <v>-100</v>
      </c>
      <c r="AT59" s="41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x14ac:dyDescent="0.3">
      <c r="A60" s="36">
        <v>52</v>
      </c>
      <c r="B60" s="28">
        <f t="shared" ref="B60:E60" si="310">B59</f>
        <v>45903</v>
      </c>
      <c r="C60" s="28">
        <f t="shared" si="310"/>
        <v>45903</v>
      </c>
      <c r="D60" s="12">
        <f t="shared" si="310"/>
        <v>3</v>
      </c>
      <c r="E60" s="10">
        <f t="shared" si="310"/>
        <v>11</v>
      </c>
      <c r="F60" s="13"/>
      <c r="G60" s="69"/>
      <c r="H60" s="70">
        <f t="shared" ref="H60:L60" si="311">H59</f>
        <v>25.6</v>
      </c>
      <c r="I60" s="37">
        <f t="shared" si="311"/>
        <v>0</v>
      </c>
      <c r="J60" s="35">
        <f t="shared" si="311"/>
        <v>16</v>
      </c>
      <c r="K60" s="122">
        <f t="shared" si="311"/>
        <v>8.1690000000000005</v>
      </c>
      <c r="L60" s="122">
        <f t="shared" si="311"/>
        <v>0.879</v>
      </c>
      <c r="M60" s="126"/>
      <c r="N60" s="126"/>
      <c r="O60" s="32">
        <f t="shared" ref="O60:P60" si="312">O59</f>
        <v>100.65</v>
      </c>
      <c r="P60" s="33" t="str">
        <f t="shared" si="312"/>
        <v>2,31,180</v>
      </c>
      <c r="Q60" s="11" t="str">
        <f t="shared" si="47"/>
        <v>2</v>
      </c>
      <c r="R60" s="11" t="str">
        <f t="shared" si="48"/>
        <v>31,180</v>
      </c>
      <c r="S60" s="11">
        <f t="shared" si="49"/>
        <v>4.1994444444444445E-2</v>
      </c>
      <c r="T60" s="14">
        <f t="shared" si="50"/>
        <v>2396.7456012700095</v>
      </c>
      <c r="U60" s="38">
        <f t="shared" si="51"/>
        <v>-100</v>
      </c>
      <c r="V60" s="39">
        <f t="shared" ref="V60:W60" si="313">V59</f>
        <v>19.8</v>
      </c>
      <c r="W60" s="124">
        <f t="shared" si="313"/>
        <v>1.08</v>
      </c>
      <c r="X60" s="124">
        <f t="shared" si="20"/>
        <v>1.075</v>
      </c>
      <c r="Y60" s="126"/>
      <c r="Z60" s="126"/>
      <c r="AA60" s="90">
        <f t="shared" ref="AA60:AB60" si="314">AA59</f>
        <v>5.0149999999999997</v>
      </c>
      <c r="AB60" s="73" t="str">
        <f t="shared" si="314"/>
        <v>9,05,040</v>
      </c>
      <c r="AC60" s="11" t="str">
        <f t="shared" si="54"/>
        <v>9,</v>
      </c>
      <c r="AD60" s="11" t="str">
        <f t="shared" si="55"/>
        <v>05,040</v>
      </c>
      <c r="AE60" s="11">
        <f t="shared" si="56"/>
        <v>0.15139999999999998</v>
      </c>
      <c r="AF60" s="14">
        <f t="shared" si="57"/>
        <v>33.124174372523122</v>
      </c>
      <c r="AG60" s="40">
        <f t="shared" si="58"/>
        <v>-100</v>
      </c>
      <c r="AH60" s="39">
        <f t="shared" si="308"/>
        <v>19.600000000000001</v>
      </c>
      <c r="AI60" s="124">
        <f t="shared" si="308"/>
        <v>1.0860000000000001</v>
      </c>
      <c r="AJ60" s="124">
        <f t="shared" si="24"/>
        <v>1.0780000000000001</v>
      </c>
      <c r="AK60" s="126">
        <f t="shared" si="59"/>
        <v>0</v>
      </c>
      <c r="AL60" s="126"/>
      <c r="AM60" s="34">
        <f t="shared" ref="AM60:AN60" si="315">AM59</f>
        <v>2.0059999999999998</v>
      </c>
      <c r="AN60" s="33" t="str">
        <f t="shared" si="315"/>
        <v>5,40,620</v>
      </c>
      <c r="AO60" s="11" t="str">
        <f t="shared" si="61"/>
        <v>5,</v>
      </c>
      <c r="AP60" s="11" t="str">
        <f t="shared" si="62"/>
        <v>40,620</v>
      </c>
      <c r="AQ60" s="11">
        <f t="shared" si="63"/>
        <v>9.4616666666666668E-2</v>
      </c>
      <c r="AR60" s="14">
        <f t="shared" si="64"/>
        <v>21.201338735247486</v>
      </c>
      <c r="AS60" s="40">
        <f t="shared" si="65"/>
        <v>-100</v>
      </c>
      <c r="AT60" s="41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x14ac:dyDescent="0.3">
      <c r="A61" s="36">
        <v>53</v>
      </c>
      <c r="B61" s="28">
        <f t="shared" ref="B61:E61" si="316">B60</f>
        <v>45903</v>
      </c>
      <c r="C61" s="28">
        <f t="shared" si="316"/>
        <v>45903</v>
      </c>
      <c r="D61" s="12">
        <f t="shared" si="316"/>
        <v>3</v>
      </c>
      <c r="E61" s="10">
        <f t="shared" si="316"/>
        <v>11</v>
      </c>
      <c r="F61" s="13"/>
      <c r="G61" s="69"/>
      <c r="H61" s="70">
        <f t="shared" ref="H61:L61" si="317">H60</f>
        <v>25.6</v>
      </c>
      <c r="I61" s="37">
        <f t="shared" si="317"/>
        <v>0</v>
      </c>
      <c r="J61" s="35">
        <f t="shared" si="317"/>
        <v>16</v>
      </c>
      <c r="K61" s="122">
        <f t="shared" si="317"/>
        <v>8.1690000000000005</v>
      </c>
      <c r="L61" s="122">
        <f t="shared" si="317"/>
        <v>0.879</v>
      </c>
      <c r="M61" s="126"/>
      <c r="N61" s="126"/>
      <c r="O61" s="32">
        <f t="shared" ref="O61:P61" si="318">O60</f>
        <v>100.65</v>
      </c>
      <c r="P61" s="33" t="str">
        <f t="shared" si="318"/>
        <v>2,31,180</v>
      </c>
      <c r="Q61" s="11" t="str">
        <f t="shared" si="47"/>
        <v>2</v>
      </c>
      <c r="R61" s="11" t="str">
        <f t="shared" si="48"/>
        <v>31,180</v>
      </c>
      <c r="S61" s="11">
        <f t="shared" si="49"/>
        <v>4.1994444444444445E-2</v>
      </c>
      <c r="T61" s="14">
        <f t="shared" si="50"/>
        <v>2396.7456012700095</v>
      </c>
      <c r="U61" s="38">
        <f t="shared" si="51"/>
        <v>-100</v>
      </c>
      <c r="V61" s="39">
        <f t="shared" ref="V61:W61" si="319">V60</f>
        <v>19.8</v>
      </c>
      <c r="W61" s="124">
        <f t="shared" si="319"/>
        <v>1.08</v>
      </c>
      <c r="X61" s="124">
        <f t="shared" si="20"/>
        <v>1.075</v>
      </c>
      <c r="Y61" s="126"/>
      <c r="Z61" s="126"/>
      <c r="AA61" s="90">
        <f t="shared" ref="AA61:AB61" si="320">AA60</f>
        <v>5.0149999999999997</v>
      </c>
      <c r="AB61" s="73" t="str">
        <f t="shared" si="320"/>
        <v>9,05,040</v>
      </c>
      <c r="AC61" s="11" t="str">
        <f t="shared" si="54"/>
        <v>9,</v>
      </c>
      <c r="AD61" s="11" t="str">
        <f t="shared" si="55"/>
        <v>05,040</v>
      </c>
      <c r="AE61" s="11">
        <f t="shared" si="56"/>
        <v>0.15139999999999998</v>
      </c>
      <c r="AF61" s="14">
        <f t="shared" si="57"/>
        <v>33.124174372523122</v>
      </c>
      <c r="AG61" s="40">
        <f t="shared" si="58"/>
        <v>-100</v>
      </c>
      <c r="AH61" s="39">
        <f t="shared" si="308"/>
        <v>19.600000000000001</v>
      </c>
      <c r="AI61" s="124">
        <f t="shared" si="308"/>
        <v>1.0860000000000001</v>
      </c>
      <c r="AJ61" s="124">
        <f t="shared" si="24"/>
        <v>1.0780000000000001</v>
      </c>
      <c r="AK61" s="126">
        <f t="shared" si="59"/>
        <v>0</v>
      </c>
      <c r="AL61" s="126"/>
      <c r="AM61" s="34">
        <f t="shared" ref="AM61:AN61" si="321">AM60</f>
        <v>2.0059999999999998</v>
      </c>
      <c r="AN61" s="33" t="str">
        <f t="shared" si="321"/>
        <v>5,40,620</v>
      </c>
      <c r="AO61" s="11" t="str">
        <f t="shared" si="61"/>
        <v>5,</v>
      </c>
      <c r="AP61" s="11" t="str">
        <f t="shared" si="62"/>
        <v>40,620</v>
      </c>
      <c r="AQ61" s="11">
        <f t="shared" si="63"/>
        <v>9.4616666666666668E-2</v>
      </c>
      <c r="AR61" s="14">
        <f t="shared" si="64"/>
        <v>21.201338735247486</v>
      </c>
      <c r="AS61" s="40">
        <f t="shared" si="65"/>
        <v>-100</v>
      </c>
      <c r="AT61" s="41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x14ac:dyDescent="0.3">
      <c r="A62" s="36">
        <v>54</v>
      </c>
      <c r="B62" s="28">
        <f t="shared" ref="B62:E62" si="322">B61</f>
        <v>45903</v>
      </c>
      <c r="C62" s="28">
        <f t="shared" si="322"/>
        <v>45903</v>
      </c>
      <c r="D62" s="12">
        <f t="shared" si="322"/>
        <v>3</v>
      </c>
      <c r="E62" s="10">
        <f t="shared" si="322"/>
        <v>11</v>
      </c>
      <c r="F62" s="13"/>
      <c r="G62" s="69"/>
      <c r="H62" s="70">
        <f t="shared" ref="H62:L62" si="323">H61</f>
        <v>25.6</v>
      </c>
      <c r="I62" s="37">
        <f t="shared" si="323"/>
        <v>0</v>
      </c>
      <c r="J62" s="35">
        <f t="shared" si="323"/>
        <v>16</v>
      </c>
      <c r="K62" s="122">
        <f t="shared" si="323"/>
        <v>8.1690000000000005</v>
      </c>
      <c r="L62" s="122">
        <f t="shared" si="323"/>
        <v>0.879</v>
      </c>
      <c r="M62" s="126"/>
      <c r="N62" s="126"/>
      <c r="O62" s="32">
        <f t="shared" ref="O62:P62" si="324">O61</f>
        <v>100.65</v>
      </c>
      <c r="P62" s="33" t="str">
        <f t="shared" si="324"/>
        <v>2,31,180</v>
      </c>
      <c r="Q62" s="11" t="str">
        <f t="shared" si="47"/>
        <v>2</v>
      </c>
      <c r="R62" s="11" t="str">
        <f t="shared" si="48"/>
        <v>31,180</v>
      </c>
      <c r="S62" s="11">
        <f t="shared" si="49"/>
        <v>4.1994444444444445E-2</v>
      </c>
      <c r="T62" s="14">
        <f t="shared" si="50"/>
        <v>2396.7456012700095</v>
      </c>
      <c r="U62" s="38">
        <f t="shared" si="51"/>
        <v>-100</v>
      </c>
      <c r="V62" s="39">
        <f t="shared" ref="V62:W62" si="325">V61</f>
        <v>19.8</v>
      </c>
      <c r="W62" s="124">
        <f t="shared" si="325"/>
        <v>1.08</v>
      </c>
      <c r="X62" s="124">
        <f t="shared" si="20"/>
        <v>1.075</v>
      </c>
      <c r="Y62" s="126"/>
      <c r="Z62" s="126"/>
      <c r="AA62" s="90">
        <f t="shared" ref="AA62:AB62" si="326">AA61</f>
        <v>5.0149999999999997</v>
      </c>
      <c r="AB62" s="73" t="str">
        <f t="shared" si="326"/>
        <v>9,05,040</v>
      </c>
      <c r="AC62" s="11" t="str">
        <f t="shared" si="54"/>
        <v>9,</v>
      </c>
      <c r="AD62" s="11" t="str">
        <f t="shared" si="55"/>
        <v>05,040</v>
      </c>
      <c r="AE62" s="11">
        <f t="shared" si="56"/>
        <v>0.15139999999999998</v>
      </c>
      <c r="AF62" s="14">
        <f t="shared" si="57"/>
        <v>33.124174372523122</v>
      </c>
      <c r="AG62" s="40">
        <f t="shared" si="58"/>
        <v>-100</v>
      </c>
      <c r="AH62" s="39">
        <f t="shared" si="308"/>
        <v>19.600000000000001</v>
      </c>
      <c r="AI62" s="124">
        <f t="shared" si="308"/>
        <v>1.0860000000000001</v>
      </c>
      <c r="AJ62" s="124">
        <f t="shared" si="24"/>
        <v>1.0780000000000001</v>
      </c>
      <c r="AK62" s="126">
        <f t="shared" si="59"/>
        <v>0</v>
      </c>
      <c r="AL62" s="126"/>
      <c r="AM62" s="34">
        <f t="shared" ref="AM62:AN62" si="327">AM61</f>
        <v>2.0059999999999998</v>
      </c>
      <c r="AN62" s="33" t="str">
        <f t="shared" si="327"/>
        <v>5,40,620</v>
      </c>
      <c r="AO62" s="11" t="str">
        <f t="shared" si="61"/>
        <v>5,</v>
      </c>
      <c r="AP62" s="11" t="str">
        <f t="shared" si="62"/>
        <v>40,620</v>
      </c>
      <c r="AQ62" s="11">
        <f t="shared" si="63"/>
        <v>9.4616666666666668E-2</v>
      </c>
      <c r="AR62" s="14">
        <f t="shared" si="64"/>
        <v>21.201338735247486</v>
      </c>
      <c r="AS62" s="40">
        <f t="shared" si="65"/>
        <v>-100</v>
      </c>
      <c r="AT62" s="41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x14ac:dyDescent="0.3">
      <c r="A63" s="36">
        <v>55</v>
      </c>
      <c r="B63" s="28">
        <f t="shared" ref="B63:E63" si="328">B62</f>
        <v>45903</v>
      </c>
      <c r="C63" s="28">
        <f t="shared" si="328"/>
        <v>45903</v>
      </c>
      <c r="D63" s="12">
        <f t="shared" si="328"/>
        <v>3</v>
      </c>
      <c r="E63" s="10">
        <f t="shared" si="328"/>
        <v>11</v>
      </c>
      <c r="F63" s="13"/>
      <c r="G63" s="69"/>
      <c r="H63" s="70">
        <f t="shared" ref="H63:L63" si="329">H62</f>
        <v>25.6</v>
      </c>
      <c r="I63" s="37">
        <f t="shared" si="329"/>
        <v>0</v>
      </c>
      <c r="J63" s="35">
        <f t="shared" si="329"/>
        <v>16</v>
      </c>
      <c r="K63" s="122">
        <f t="shared" si="329"/>
        <v>8.1690000000000005</v>
      </c>
      <c r="L63" s="122">
        <f t="shared" si="329"/>
        <v>0.879</v>
      </c>
      <c r="M63" s="126"/>
      <c r="N63" s="126"/>
      <c r="O63" s="32">
        <f t="shared" ref="O63:P63" si="330">O62</f>
        <v>100.65</v>
      </c>
      <c r="P63" s="33" t="str">
        <f t="shared" si="330"/>
        <v>2,31,180</v>
      </c>
      <c r="Q63" s="11" t="str">
        <f t="shared" si="47"/>
        <v>2</v>
      </c>
      <c r="R63" s="11" t="str">
        <f t="shared" si="48"/>
        <v>31,180</v>
      </c>
      <c r="S63" s="11">
        <f t="shared" si="49"/>
        <v>4.1994444444444445E-2</v>
      </c>
      <c r="T63" s="14">
        <f t="shared" si="50"/>
        <v>2396.7456012700095</v>
      </c>
      <c r="U63" s="38">
        <f t="shared" si="51"/>
        <v>-100</v>
      </c>
      <c r="V63" s="39">
        <f t="shared" ref="V63:W63" si="331">V62</f>
        <v>19.8</v>
      </c>
      <c r="W63" s="124">
        <f t="shared" si="331"/>
        <v>1.08</v>
      </c>
      <c r="X63" s="124">
        <f t="shared" si="20"/>
        <v>1.075</v>
      </c>
      <c r="Y63" s="126"/>
      <c r="Z63" s="126"/>
      <c r="AA63" s="90">
        <f t="shared" ref="AA63:AB63" si="332">AA62</f>
        <v>5.0149999999999997</v>
      </c>
      <c r="AB63" s="73" t="str">
        <f t="shared" si="332"/>
        <v>9,05,040</v>
      </c>
      <c r="AC63" s="11" t="str">
        <f t="shared" si="54"/>
        <v>9,</v>
      </c>
      <c r="AD63" s="11" t="str">
        <f t="shared" si="55"/>
        <v>05,040</v>
      </c>
      <c r="AE63" s="11">
        <f t="shared" si="56"/>
        <v>0.15139999999999998</v>
      </c>
      <c r="AF63" s="14">
        <f t="shared" si="57"/>
        <v>33.124174372523122</v>
      </c>
      <c r="AG63" s="40">
        <f t="shared" si="58"/>
        <v>-100</v>
      </c>
      <c r="AH63" s="39">
        <f t="shared" si="308"/>
        <v>19.600000000000001</v>
      </c>
      <c r="AI63" s="124">
        <f t="shared" si="308"/>
        <v>1.0860000000000001</v>
      </c>
      <c r="AJ63" s="124">
        <f t="shared" si="24"/>
        <v>1.0780000000000001</v>
      </c>
      <c r="AK63" s="126">
        <f t="shared" si="59"/>
        <v>0</v>
      </c>
      <c r="AL63" s="126"/>
      <c r="AM63" s="34">
        <f t="shared" ref="AM63:AN63" si="333">AM62</f>
        <v>2.0059999999999998</v>
      </c>
      <c r="AN63" s="33" t="str">
        <f t="shared" si="333"/>
        <v>5,40,620</v>
      </c>
      <c r="AO63" s="11" t="str">
        <f t="shared" si="61"/>
        <v>5,</v>
      </c>
      <c r="AP63" s="11" t="str">
        <f t="shared" si="62"/>
        <v>40,620</v>
      </c>
      <c r="AQ63" s="11">
        <f t="shared" si="63"/>
        <v>9.4616666666666668E-2</v>
      </c>
      <c r="AR63" s="14">
        <f t="shared" si="64"/>
        <v>21.201338735247486</v>
      </c>
      <c r="AS63" s="40">
        <f t="shared" si="65"/>
        <v>-100</v>
      </c>
      <c r="AT63" s="41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x14ac:dyDescent="0.3">
      <c r="A64" s="36">
        <v>56</v>
      </c>
      <c r="B64" s="28">
        <f t="shared" ref="B64:E64" si="334">B63</f>
        <v>45903</v>
      </c>
      <c r="C64" s="28">
        <f t="shared" si="334"/>
        <v>45903</v>
      </c>
      <c r="D64" s="12">
        <f t="shared" si="334"/>
        <v>3</v>
      </c>
      <c r="E64" s="10">
        <f t="shared" si="334"/>
        <v>11</v>
      </c>
      <c r="F64" s="13"/>
      <c r="G64" s="69"/>
      <c r="H64" s="70">
        <f t="shared" ref="H64:L64" si="335">H63</f>
        <v>25.6</v>
      </c>
      <c r="I64" s="37">
        <f t="shared" si="335"/>
        <v>0</v>
      </c>
      <c r="J64" s="35">
        <f t="shared" si="335"/>
        <v>16</v>
      </c>
      <c r="K64" s="122">
        <f t="shared" si="335"/>
        <v>8.1690000000000005</v>
      </c>
      <c r="L64" s="122">
        <f t="shared" si="335"/>
        <v>0.879</v>
      </c>
      <c r="M64" s="126"/>
      <c r="N64" s="126"/>
      <c r="O64" s="32">
        <f t="shared" ref="O64:P64" si="336">O63</f>
        <v>100.65</v>
      </c>
      <c r="P64" s="33" t="str">
        <f t="shared" si="336"/>
        <v>2,31,180</v>
      </c>
      <c r="Q64" s="11" t="str">
        <f t="shared" si="47"/>
        <v>2</v>
      </c>
      <c r="R64" s="11" t="str">
        <f t="shared" si="48"/>
        <v>31,180</v>
      </c>
      <c r="S64" s="11">
        <f t="shared" si="49"/>
        <v>4.1994444444444445E-2</v>
      </c>
      <c r="T64" s="14">
        <f t="shared" si="50"/>
        <v>2396.7456012700095</v>
      </c>
      <c r="U64" s="38">
        <f t="shared" si="51"/>
        <v>-100</v>
      </c>
      <c r="V64" s="39">
        <f t="shared" ref="V64:W64" si="337">V63</f>
        <v>19.8</v>
      </c>
      <c r="W64" s="124">
        <f t="shared" si="337"/>
        <v>1.08</v>
      </c>
      <c r="X64" s="124">
        <f t="shared" si="20"/>
        <v>1.075</v>
      </c>
      <c r="Y64" s="126"/>
      <c r="Z64" s="126"/>
      <c r="AA64" s="90">
        <f t="shared" ref="AA64:AB64" si="338">AA63</f>
        <v>5.0149999999999997</v>
      </c>
      <c r="AB64" s="73" t="str">
        <f t="shared" si="338"/>
        <v>9,05,040</v>
      </c>
      <c r="AC64" s="11" t="str">
        <f t="shared" si="54"/>
        <v>9,</v>
      </c>
      <c r="AD64" s="11" t="str">
        <f t="shared" si="55"/>
        <v>05,040</v>
      </c>
      <c r="AE64" s="11">
        <f t="shared" si="56"/>
        <v>0.15139999999999998</v>
      </c>
      <c r="AF64" s="14">
        <f t="shared" si="57"/>
        <v>33.124174372523122</v>
      </c>
      <c r="AG64" s="40">
        <f t="shared" si="58"/>
        <v>-100</v>
      </c>
      <c r="AH64" s="39">
        <f t="shared" si="308"/>
        <v>19.600000000000001</v>
      </c>
      <c r="AI64" s="124">
        <f t="shared" si="308"/>
        <v>1.0860000000000001</v>
      </c>
      <c r="AJ64" s="124">
        <f t="shared" si="24"/>
        <v>1.0780000000000001</v>
      </c>
      <c r="AK64" s="126">
        <f t="shared" si="59"/>
        <v>0</v>
      </c>
      <c r="AL64" s="126"/>
      <c r="AM64" s="34">
        <f t="shared" ref="AM64:AN64" si="339">AM63</f>
        <v>2.0059999999999998</v>
      </c>
      <c r="AN64" s="33" t="str">
        <f t="shared" si="339"/>
        <v>5,40,620</v>
      </c>
      <c r="AO64" s="11" t="str">
        <f t="shared" si="61"/>
        <v>5,</v>
      </c>
      <c r="AP64" s="11" t="str">
        <f t="shared" si="62"/>
        <v>40,620</v>
      </c>
      <c r="AQ64" s="11">
        <f t="shared" si="63"/>
        <v>9.4616666666666668E-2</v>
      </c>
      <c r="AR64" s="14">
        <f t="shared" si="64"/>
        <v>21.201338735247486</v>
      </c>
      <c r="AS64" s="40">
        <f t="shared" si="65"/>
        <v>-100</v>
      </c>
      <c r="AT64" s="41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x14ac:dyDescent="0.3">
      <c r="A65" s="36">
        <v>57</v>
      </c>
      <c r="B65" s="28">
        <f t="shared" ref="B65:E65" si="340">B64</f>
        <v>45903</v>
      </c>
      <c r="C65" s="28">
        <f t="shared" si="340"/>
        <v>45903</v>
      </c>
      <c r="D65" s="12">
        <f t="shared" si="340"/>
        <v>3</v>
      </c>
      <c r="E65" s="10">
        <f t="shared" si="340"/>
        <v>11</v>
      </c>
      <c r="F65" s="13"/>
      <c r="G65" s="69"/>
      <c r="H65" s="70">
        <f t="shared" ref="H65:L65" si="341">H64</f>
        <v>25.6</v>
      </c>
      <c r="I65" s="37">
        <f t="shared" si="341"/>
        <v>0</v>
      </c>
      <c r="J65" s="35">
        <f t="shared" si="341"/>
        <v>16</v>
      </c>
      <c r="K65" s="122">
        <f t="shared" si="341"/>
        <v>8.1690000000000005</v>
      </c>
      <c r="L65" s="122">
        <f t="shared" si="341"/>
        <v>0.879</v>
      </c>
      <c r="M65" s="126"/>
      <c r="N65" s="126"/>
      <c r="O65" s="32">
        <f t="shared" ref="O65:P65" si="342">O64</f>
        <v>100.65</v>
      </c>
      <c r="P65" s="33" t="str">
        <f t="shared" si="342"/>
        <v>2,31,180</v>
      </c>
      <c r="Q65" s="11" t="str">
        <f t="shared" si="47"/>
        <v>2</v>
      </c>
      <c r="R65" s="11" t="str">
        <f t="shared" si="48"/>
        <v>31,180</v>
      </c>
      <c r="S65" s="11">
        <f t="shared" si="49"/>
        <v>4.1994444444444445E-2</v>
      </c>
      <c r="T65" s="14">
        <f t="shared" si="50"/>
        <v>2396.7456012700095</v>
      </c>
      <c r="U65" s="38">
        <f t="shared" si="51"/>
        <v>-100</v>
      </c>
      <c r="V65" s="39">
        <f t="shared" ref="V65:W65" si="343">V64</f>
        <v>19.8</v>
      </c>
      <c r="W65" s="124">
        <f t="shared" si="343"/>
        <v>1.08</v>
      </c>
      <c r="X65" s="124">
        <f t="shared" si="20"/>
        <v>1.075</v>
      </c>
      <c r="Y65" s="126"/>
      <c r="Z65" s="126"/>
      <c r="AA65" s="90">
        <f t="shared" ref="AA65:AB65" si="344">AA64</f>
        <v>5.0149999999999997</v>
      </c>
      <c r="AB65" s="73" t="str">
        <f t="shared" si="344"/>
        <v>9,05,040</v>
      </c>
      <c r="AC65" s="11" t="str">
        <f t="shared" si="54"/>
        <v>9,</v>
      </c>
      <c r="AD65" s="11" t="str">
        <f t="shared" si="55"/>
        <v>05,040</v>
      </c>
      <c r="AE65" s="11">
        <f t="shared" si="56"/>
        <v>0.15139999999999998</v>
      </c>
      <c r="AF65" s="14">
        <f t="shared" si="57"/>
        <v>33.124174372523122</v>
      </c>
      <c r="AG65" s="40">
        <f t="shared" si="58"/>
        <v>-100</v>
      </c>
      <c r="AH65" s="39">
        <f t="shared" si="308"/>
        <v>19.600000000000001</v>
      </c>
      <c r="AI65" s="124">
        <f t="shared" si="308"/>
        <v>1.0860000000000001</v>
      </c>
      <c r="AJ65" s="124">
        <f t="shared" si="24"/>
        <v>1.0780000000000001</v>
      </c>
      <c r="AK65" s="126">
        <f t="shared" si="59"/>
        <v>0</v>
      </c>
      <c r="AL65" s="126"/>
      <c r="AM65" s="34">
        <f t="shared" ref="AM65:AN65" si="345">AM64</f>
        <v>2.0059999999999998</v>
      </c>
      <c r="AN65" s="33" t="str">
        <f t="shared" si="345"/>
        <v>5,40,620</v>
      </c>
      <c r="AO65" s="11" t="str">
        <f t="shared" si="61"/>
        <v>5,</v>
      </c>
      <c r="AP65" s="11" t="str">
        <f t="shared" si="62"/>
        <v>40,620</v>
      </c>
      <c r="AQ65" s="11">
        <f t="shared" si="63"/>
        <v>9.4616666666666668E-2</v>
      </c>
      <c r="AR65" s="14">
        <f t="shared" si="64"/>
        <v>21.201338735247486</v>
      </c>
      <c r="AS65" s="40">
        <f t="shared" si="65"/>
        <v>-100</v>
      </c>
      <c r="AT65" s="41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x14ac:dyDescent="0.3">
      <c r="A66" s="36">
        <v>58</v>
      </c>
      <c r="B66" s="28">
        <f t="shared" ref="B66:E66" si="346">B65</f>
        <v>45903</v>
      </c>
      <c r="C66" s="28">
        <f t="shared" si="346"/>
        <v>45903</v>
      </c>
      <c r="D66" s="12">
        <f t="shared" si="346"/>
        <v>3</v>
      </c>
      <c r="E66" s="10">
        <f t="shared" si="346"/>
        <v>11</v>
      </c>
      <c r="F66" s="13"/>
      <c r="G66" s="69"/>
      <c r="H66" s="70">
        <f t="shared" ref="H66:L66" si="347">H65</f>
        <v>25.6</v>
      </c>
      <c r="I66" s="37">
        <f t="shared" si="347"/>
        <v>0</v>
      </c>
      <c r="J66" s="35">
        <f t="shared" si="347"/>
        <v>16</v>
      </c>
      <c r="K66" s="122">
        <f t="shared" si="347"/>
        <v>8.1690000000000005</v>
      </c>
      <c r="L66" s="122">
        <f t="shared" si="347"/>
        <v>0.879</v>
      </c>
      <c r="M66" s="126"/>
      <c r="N66" s="126"/>
      <c r="O66" s="32">
        <f t="shared" ref="O66:P66" si="348">O65</f>
        <v>100.65</v>
      </c>
      <c r="P66" s="33" t="str">
        <f t="shared" si="348"/>
        <v>2,31,180</v>
      </c>
      <c r="Q66" s="11" t="str">
        <f t="shared" si="47"/>
        <v>2</v>
      </c>
      <c r="R66" s="11" t="str">
        <f t="shared" si="48"/>
        <v>31,180</v>
      </c>
      <c r="S66" s="11">
        <f t="shared" si="49"/>
        <v>4.1994444444444445E-2</v>
      </c>
      <c r="T66" s="14">
        <f t="shared" si="50"/>
        <v>2396.7456012700095</v>
      </c>
      <c r="U66" s="38">
        <f t="shared" si="51"/>
        <v>-100</v>
      </c>
      <c r="V66" s="39">
        <f t="shared" ref="V66:W66" si="349">V65</f>
        <v>19.8</v>
      </c>
      <c r="W66" s="124">
        <f t="shared" si="349"/>
        <v>1.08</v>
      </c>
      <c r="X66" s="124">
        <f t="shared" si="20"/>
        <v>1.075</v>
      </c>
      <c r="Y66" s="126"/>
      <c r="Z66" s="126"/>
      <c r="AA66" s="90">
        <f t="shared" ref="AA66:AB66" si="350">AA65</f>
        <v>5.0149999999999997</v>
      </c>
      <c r="AB66" s="73" t="str">
        <f t="shared" si="350"/>
        <v>9,05,040</v>
      </c>
      <c r="AC66" s="11" t="str">
        <f t="shared" si="54"/>
        <v>9,</v>
      </c>
      <c r="AD66" s="11" t="str">
        <f t="shared" si="55"/>
        <v>05,040</v>
      </c>
      <c r="AE66" s="11">
        <f t="shared" si="56"/>
        <v>0.15139999999999998</v>
      </c>
      <c r="AF66" s="14">
        <f t="shared" si="57"/>
        <v>33.124174372523122</v>
      </c>
      <c r="AG66" s="40">
        <f t="shared" si="58"/>
        <v>-100</v>
      </c>
      <c r="AH66" s="39">
        <f t="shared" si="308"/>
        <v>19.600000000000001</v>
      </c>
      <c r="AI66" s="124">
        <f t="shared" si="308"/>
        <v>1.0860000000000001</v>
      </c>
      <c r="AJ66" s="124">
        <f t="shared" si="24"/>
        <v>1.0780000000000001</v>
      </c>
      <c r="AK66" s="126">
        <f t="shared" si="59"/>
        <v>0</v>
      </c>
      <c r="AL66" s="126"/>
      <c r="AM66" s="34">
        <f t="shared" ref="AM66:AN66" si="351">AM65</f>
        <v>2.0059999999999998</v>
      </c>
      <c r="AN66" s="33" t="str">
        <f t="shared" si="351"/>
        <v>5,40,620</v>
      </c>
      <c r="AO66" s="11" t="str">
        <f t="shared" si="61"/>
        <v>5,</v>
      </c>
      <c r="AP66" s="11" t="str">
        <f t="shared" si="62"/>
        <v>40,620</v>
      </c>
      <c r="AQ66" s="11">
        <f t="shared" si="63"/>
        <v>9.4616666666666668E-2</v>
      </c>
      <c r="AR66" s="14">
        <f t="shared" si="64"/>
        <v>21.201338735247486</v>
      </c>
      <c r="AS66" s="40">
        <f t="shared" si="65"/>
        <v>-100</v>
      </c>
      <c r="AT66" s="41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x14ac:dyDescent="0.3">
      <c r="A67" s="36">
        <v>59</v>
      </c>
      <c r="B67" s="28">
        <f t="shared" ref="B67:E67" si="352">B66</f>
        <v>45903</v>
      </c>
      <c r="C67" s="28">
        <f t="shared" si="352"/>
        <v>45903</v>
      </c>
      <c r="D67" s="12">
        <f t="shared" si="352"/>
        <v>3</v>
      </c>
      <c r="E67" s="10">
        <f t="shared" si="352"/>
        <v>11</v>
      </c>
      <c r="F67" s="13"/>
      <c r="G67" s="69"/>
      <c r="H67" s="70">
        <f t="shared" ref="H67:L67" si="353">H66</f>
        <v>25.6</v>
      </c>
      <c r="I67" s="37">
        <f t="shared" si="353"/>
        <v>0</v>
      </c>
      <c r="J67" s="35">
        <f t="shared" si="353"/>
        <v>16</v>
      </c>
      <c r="K67" s="122">
        <f t="shared" si="353"/>
        <v>8.1690000000000005</v>
      </c>
      <c r="L67" s="122">
        <f t="shared" si="353"/>
        <v>0.879</v>
      </c>
      <c r="M67" s="126"/>
      <c r="N67" s="126"/>
      <c r="O67" s="32">
        <f t="shared" ref="O67:P67" si="354">O66</f>
        <v>100.65</v>
      </c>
      <c r="P67" s="33" t="str">
        <f t="shared" si="354"/>
        <v>2,31,180</v>
      </c>
      <c r="Q67" s="11" t="str">
        <f t="shared" si="47"/>
        <v>2</v>
      </c>
      <c r="R67" s="11" t="str">
        <f t="shared" si="48"/>
        <v>31,180</v>
      </c>
      <c r="S67" s="11">
        <f t="shared" si="49"/>
        <v>4.1994444444444445E-2</v>
      </c>
      <c r="T67" s="14">
        <f t="shared" si="50"/>
        <v>2396.7456012700095</v>
      </c>
      <c r="U67" s="38">
        <f t="shared" si="51"/>
        <v>-100</v>
      </c>
      <c r="V67" s="39">
        <f t="shared" ref="V67:W67" si="355">V66</f>
        <v>19.8</v>
      </c>
      <c r="W67" s="124">
        <f t="shared" si="355"/>
        <v>1.08</v>
      </c>
      <c r="X67" s="124">
        <f t="shared" si="20"/>
        <v>1.075</v>
      </c>
      <c r="Y67" s="126"/>
      <c r="Z67" s="126"/>
      <c r="AA67" s="90">
        <f t="shared" ref="AA67:AB67" si="356">AA66</f>
        <v>5.0149999999999997</v>
      </c>
      <c r="AB67" s="73" t="str">
        <f t="shared" si="356"/>
        <v>9,05,040</v>
      </c>
      <c r="AC67" s="11" t="str">
        <f t="shared" si="54"/>
        <v>9,</v>
      </c>
      <c r="AD67" s="11" t="str">
        <f t="shared" si="55"/>
        <v>05,040</v>
      </c>
      <c r="AE67" s="11">
        <f t="shared" si="56"/>
        <v>0.15139999999999998</v>
      </c>
      <c r="AF67" s="14">
        <f t="shared" si="57"/>
        <v>33.124174372523122</v>
      </c>
      <c r="AG67" s="40">
        <f t="shared" si="58"/>
        <v>-100</v>
      </c>
      <c r="AH67" s="39">
        <f t="shared" si="308"/>
        <v>19.600000000000001</v>
      </c>
      <c r="AI67" s="124">
        <f t="shared" si="308"/>
        <v>1.0860000000000001</v>
      </c>
      <c r="AJ67" s="124">
        <f t="shared" si="24"/>
        <v>1.0780000000000001</v>
      </c>
      <c r="AK67" s="126">
        <f t="shared" si="59"/>
        <v>0</v>
      </c>
      <c r="AL67" s="126"/>
      <c r="AM67" s="34">
        <f t="shared" ref="AM67:AN67" si="357">AM66</f>
        <v>2.0059999999999998</v>
      </c>
      <c r="AN67" s="33" t="str">
        <f t="shared" si="357"/>
        <v>5,40,620</v>
      </c>
      <c r="AO67" s="11" t="str">
        <f t="shared" si="61"/>
        <v>5,</v>
      </c>
      <c r="AP67" s="11" t="str">
        <f t="shared" si="62"/>
        <v>40,620</v>
      </c>
      <c r="AQ67" s="11">
        <f t="shared" si="63"/>
        <v>9.4616666666666668E-2</v>
      </c>
      <c r="AR67" s="14">
        <f t="shared" si="64"/>
        <v>21.201338735247486</v>
      </c>
      <c r="AS67" s="40">
        <f t="shared" si="65"/>
        <v>-100</v>
      </c>
      <c r="AT67" s="41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x14ac:dyDescent="0.3">
      <c r="A68" s="36">
        <v>60</v>
      </c>
      <c r="B68" s="28">
        <f t="shared" ref="B68:E68" si="358">B67</f>
        <v>45903</v>
      </c>
      <c r="C68" s="28">
        <f t="shared" si="358"/>
        <v>45903</v>
      </c>
      <c r="D68" s="12">
        <f t="shared" si="358"/>
        <v>3</v>
      </c>
      <c r="E68" s="10">
        <f t="shared" si="358"/>
        <v>11</v>
      </c>
      <c r="F68" s="13"/>
      <c r="G68" s="69"/>
      <c r="H68" s="70">
        <f t="shared" ref="H68:L68" si="359">H67</f>
        <v>25.6</v>
      </c>
      <c r="I68" s="37">
        <f t="shared" si="359"/>
        <v>0</v>
      </c>
      <c r="J68" s="35">
        <f t="shared" si="359"/>
        <v>16</v>
      </c>
      <c r="K68" s="122">
        <f t="shared" si="359"/>
        <v>8.1690000000000005</v>
      </c>
      <c r="L68" s="122">
        <f t="shared" si="359"/>
        <v>0.879</v>
      </c>
      <c r="M68" s="126"/>
      <c r="N68" s="126"/>
      <c r="O68" s="32">
        <f t="shared" ref="O68:P68" si="360">O67</f>
        <v>100.65</v>
      </c>
      <c r="P68" s="33" t="str">
        <f t="shared" si="360"/>
        <v>2,31,180</v>
      </c>
      <c r="Q68" s="11" t="str">
        <f t="shared" si="47"/>
        <v>2</v>
      </c>
      <c r="R68" s="11" t="str">
        <f t="shared" si="48"/>
        <v>31,180</v>
      </c>
      <c r="S68" s="11">
        <f t="shared" si="49"/>
        <v>4.1994444444444445E-2</v>
      </c>
      <c r="T68" s="14">
        <f t="shared" si="50"/>
        <v>2396.7456012700095</v>
      </c>
      <c r="U68" s="38">
        <f t="shared" si="51"/>
        <v>-100</v>
      </c>
      <c r="V68" s="39">
        <f t="shared" ref="V68:W68" si="361">V67</f>
        <v>19.8</v>
      </c>
      <c r="W68" s="124">
        <f t="shared" si="361"/>
        <v>1.08</v>
      </c>
      <c r="X68" s="124">
        <f t="shared" si="20"/>
        <v>1.075</v>
      </c>
      <c r="Y68" s="126"/>
      <c r="Z68" s="126"/>
      <c r="AA68" s="90">
        <f t="shared" ref="AA68:AB68" si="362">AA67</f>
        <v>5.0149999999999997</v>
      </c>
      <c r="AB68" s="73" t="str">
        <f t="shared" si="362"/>
        <v>9,05,040</v>
      </c>
      <c r="AC68" s="11" t="str">
        <f t="shared" si="54"/>
        <v>9,</v>
      </c>
      <c r="AD68" s="11" t="str">
        <f t="shared" si="55"/>
        <v>05,040</v>
      </c>
      <c r="AE68" s="11">
        <f t="shared" si="56"/>
        <v>0.15139999999999998</v>
      </c>
      <c r="AF68" s="14">
        <f t="shared" si="57"/>
        <v>33.124174372523122</v>
      </c>
      <c r="AG68" s="40">
        <f t="shared" si="58"/>
        <v>-100</v>
      </c>
      <c r="AH68" s="39">
        <f t="shared" si="308"/>
        <v>19.600000000000001</v>
      </c>
      <c r="AI68" s="124">
        <f t="shared" si="308"/>
        <v>1.0860000000000001</v>
      </c>
      <c r="AJ68" s="124">
        <f t="shared" si="24"/>
        <v>1.0780000000000001</v>
      </c>
      <c r="AK68" s="126">
        <f t="shared" si="59"/>
        <v>0</v>
      </c>
      <c r="AL68" s="126"/>
      <c r="AM68" s="34">
        <f t="shared" ref="AM68:AN68" si="363">AM67</f>
        <v>2.0059999999999998</v>
      </c>
      <c r="AN68" s="33" t="str">
        <f t="shared" si="363"/>
        <v>5,40,620</v>
      </c>
      <c r="AO68" s="11" t="str">
        <f t="shared" si="61"/>
        <v>5,</v>
      </c>
      <c r="AP68" s="11" t="str">
        <f t="shared" si="62"/>
        <v>40,620</v>
      </c>
      <c r="AQ68" s="11">
        <f t="shared" si="63"/>
        <v>9.4616666666666668E-2</v>
      </c>
      <c r="AR68" s="14">
        <f t="shared" si="64"/>
        <v>21.201338735247486</v>
      </c>
      <c r="AS68" s="40">
        <f t="shared" si="65"/>
        <v>-100</v>
      </c>
      <c r="AT68" s="41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NO CONFORME</v>
      </c>
      <c r="BC68" s="5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x14ac:dyDescent="0.3">
      <c r="A69" s="36">
        <v>61</v>
      </c>
      <c r="B69" s="28">
        <f t="shared" ref="B69:E69" si="364">B68</f>
        <v>45903</v>
      </c>
      <c r="C69" s="28">
        <f t="shared" si="364"/>
        <v>45903</v>
      </c>
      <c r="D69" s="12">
        <f t="shared" si="364"/>
        <v>3</v>
      </c>
      <c r="E69" s="10">
        <f t="shared" si="364"/>
        <v>11</v>
      </c>
      <c r="F69" s="13"/>
      <c r="G69" s="69"/>
      <c r="H69" s="70">
        <f t="shared" ref="H69:L69" si="365">H68</f>
        <v>25.6</v>
      </c>
      <c r="I69" s="37">
        <f t="shared" si="365"/>
        <v>0</v>
      </c>
      <c r="J69" s="35">
        <f t="shared" si="365"/>
        <v>16</v>
      </c>
      <c r="K69" s="122">
        <f t="shared" si="365"/>
        <v>8.1690000000000005</v>
      </c>
      <c r="L69" s="122">
        <f t="shared" si="365"/>
        <v>0.879</v>
      </c>
      <c r="M69" s="126"/>
      <c r="N69" s="126"/>
      <c r="O69" s="32">
        <f t="shared" ref="O69:P69" si="366">O68</f>
        <v>100.65</v>
      </c>
      <c r="P69" s="33" t="str">
        <f t="shared" si="366"/>
        <v>2,31,180</v>
      </c>
      <c r="Q69" s="11" t="str">
        <f t="shared" si="47"/>
        <v>2</v>
      </c>
      <c r="R69" s="11" t="str">
        <f t="shared" si="48"/>
        <v>31,180</v>
      </c>
      <c r="S69" s="11">
        <f t="shared" si="49"/>
        <v>4.1994444444444445E-2</v>
      </c>
      <c r="T69" s="14">
        <f t="shared" si="50"/>
        <v>2396.7456012700095</v>
      </c>
      <c r="U69" s="38">
        <f t="shared" si="51"/>
        <v>-100</v>
      </c>
      <c r="V69" s="39">
        <f t="shared" ref="V69:W69" si="367">V68</f>
        <v>19.8</v>
      </c>
      <c r="W69" s="124">
        <f t="shared" si="367"/>
        <v>1.08</v>
      </c>
      <c r="X69" s="124">
        <f t="shared" si="20"/>
        <v>1.075</v>
      </c>
      <c r="Y69" s="126"/>
      <c r="Z69" s="126"/>
      <c r="AA69" s="90">
        <f t="shared" ref="AA69:AB69" si="368">AA68</f>
        <v>5.0149999999999997</v>
      </c>
      <c r="AB69" s="73" t="str">
        <f t="shared" si="368"/>
        <v>9,05,040</v>
      </c>
      <c r="AC69" s="11" t="str">
        <f t="shared" si="54"/>
        <v>9,</v>
      </c>
      <c r="AD69" s="11" t="str">
        <f t="shared" si="55"/>
        <v>05,040</v>
      </c>
      <c r="AE69" s="11">
        <f t="shared" si="56"/>
        <v>0.15139999999999998</v>
      </c>
      <c r="AF69" s="14">
        <f t="shared" si="57"/>
        <v>33.124174372523122</v>
      </c>
      <c r="AG69" s="40">
        <f t="shared" si="58"/>
        <v>-100</v>
      </c>
      <c r="AH69" s="39">
        <f t="shared" si="308"/>
        <v>19.600000000000001</v>
      </c>
      <c r="AI69" s="124">
        <f t="shared" si="308"/>
        <v>1.0860000000000001</v>
      </c>
      <c r="AJ69" s="124">
        <f t="shared" si="24"/>
        <v>1.0780000000000001</v>
      </c>
      <c r="AK69" s="126">
        <f t="shared" si="59"/>
        <v>0</v>
      </c>
      <c r="AL69" s="126"/>
      <c r="AM69" s="34">
        <f t="shared" ref="AM69:AN69" si="369">AM68</f>
        <v>2.0059999999999998</v>
      </c>
      <c r="AN69" s="33" t="str">
        <f t="shared" si="369"/>
        <v>5,40,620</v>
      </c>
      <c r="AO69" s="11" t="str">
        <f t="shared" si="61"/>
        <v>5,</v>
      </c>
      <c r="AP69" s="11" t="str">
        <f t="shared" si="62"/>
        <v>40,620</v>
      </c>
      <c r="AQ69" s="11">
        <f t="shared" si="63"/>
        <v>9.4616666666666668E-2</v>
      </c>
      <c r="AR69" s="14">
        <f t="shared" si="64"/>
        <v>21.201338735247486</v>
      </c>
      <c r="AS69" s="40">
        <f t="shared" si="65"/>
        <v>-100</v>
      </c>
      <c r="AT69" s="41" t="str">
        <f t="shared" si="66"/>
        <v>NO CONFORME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NO CONFORME</v>
      </c>
      <c r="BC69" s="5" t="str">
        <f t="shared" si="34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x14ac:dyDescent="0.3">
      <c r="A70" s="36">
        <v>62</v>
      </c>
      <c r="B70" s="28">
        <f t="shared" ref="B70:E70" si="370">B69</f>
        <v>45903</v>
      </c>
      <c r="C70" s="28">
        <f t="shared" si="370"/>
        <v>45903</v>
      </c>
      <c r="D70" s="12">
        <f t="shared" si="370"/>
        <v>3</v>
      </c>
      <c r="E70" s="10">
        <f t="shared" si="370"/>
        <v>11</v>
      </c>
      <c r="F70" s="13"/>
      <c r="G70" s="69"/>
      <c r="H70" s="70">
        <f t="shared" ref="H70:L70" si="371">H69</f>
        <v>25.6</v>
      </c>
      <c r="I70" s="37">
        <f t="shared" si="371"/>
        <v>0</v>
      </c>
      <c r="J70" s="35">
        <f t="shared" si="371"/>
        <v>16</v>
      </c>
      <c r="K70" s="122">
        <f t="shared" si="371"/>
        <v>8.1690000000000005</v>
      </c>
      <c r="L70" s="122">
        <f t="shared" si="371"/>
        <v>0.879</v>
      </c>
      <c r="M70" s="126"/>
      <c r="N70" s="126"/>
      <c r="O70" s="32">
        <f t="shared" ref="O70:P70" si="372">O69</f>
        <v>100.65</v>
      </c>
      <c r="P70" s="33" t="str">
        <f t="shared" si="372"/>
        <v>2,31,180</v>
      </c>
      <c r="Q70" s="11" t="str">
        <f t="shared" si="47"/>
        <v>2</v>
      </c>
      <c r="R70" s="11" t="str">
        <f t="shared" si="48"/>
        <v>31,180</v>
      </c>
      <c r="S70" s="11">
        <f t="shared" si="49"/>
        <v>4.1994444444444445E-2</v>
      </c>
      <c r="T70" s="14">
        <f t="shared" si="50"/>
        <v>2396.7456012700095</v>
      </c>
      <c r="U70" s="38">
        <f t="shared" si="51"/>
        <v>-100</v>
      </c>
      <c r="V70" s="39">
        <f t="shared" ref="V70:W70" si="373">V69</f>
        <v>19.8</v>
      </c>
      <c r="W70" s="124">
        <f t="shared" si="373"/>
        <v>1.08</v>
      </c>
      <c r="X70" s="124">
        <f t="shared" si="20"/>
        <v>1.075</v>
      </c>
      <c r="Y70" s="126"/>
      <c r="Z70" s="126"/>
      <c r="AA70" s="90">
        <f t="shared" ref="AA70:AB70" si="374">AA69</f>
        <v>5.0149999999999997</v>
      </c>
      <c r="AB70" s="73" t="str">
        <f t="shared" si="374"/>
        <v>9,05,040</v>
      </c>
      <c r="AC70" s="11" t="str">
        <f t="shared" si="54"/>
        <v>9,</v>
      </c>
      <c r="AD70" s="11" t="str">
        <f t="shared" si="55"/>
        <v>05,040</v>
      </c>
      <c r="AE70" s="11">
        <f t="shared" si="56"/>
        <v>0.15139999999999998</v>
      </c>
      <c r="AF70" s="14">
        <f t="shared" si="57"/>
        <v>33.124174372523122</v>
      </c>
      <c r="AG70" s="40">
        <f t="shared" si="58"/>
        <v>-100</v>
      </c>
      <c r="AH70" s="39">
        <f t="shared" si="308"/>
        <v>19.600000000000001</v>
      </c>
      <c r="AI70" s="124">
        <f t="shared" si="308"/>
        <v>1.0860000000000001</v>
      </c>
      <c r="AJ70" s="124">
        <f t="shared" si="24"/>
        <v>1.0780000000000001</v>
      </c>
      <c r="AK70" s="126">
        <f t="shared" si="59"/>
        <v>0</v>
      </c>
      <c r="AL70" s="126"/>
      <c r="AM70" s="34">
        <f t="shared" ref="AM70:AN70" si="375">AM69</f>
        <v>2.0059999999999998</v>
      </c>
      <c r="AN70" s="33" t="str">
        <f t="shared" si="375"/>
        <v>5,40,620</v>
      </c>
      <c r="AO70" s="11" t="str">
        <f t="shared" si="61"/>
        <v>5,</v>
      </c>
      <c r="AP70" s="11" t="str">
        <f t="shared" si="62"/>
        <v>40,620</v>
      </c>
      <c r="AQ70" s="11">
        <f t="shared" si="63"/>
        <v>9.4616666666666668E-2</v>
      </c>
      <c r="AR70" s="14">
        <f t="shared" si="64"/>
        <v>21.201338735247486</v>
      </c>
      <c r="AS70" s="40">
        <f t="shared" si="65"/>
        <v>-100</v>
      </c>
      <c r="AT70" s="41" t="str">
        <f t="shared" si="66"/>
        <v>NO CONFORME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NO CONFORME</v>
      </c>
      <c r="BC70" s="5" t="str">
        <f t="shared" si="34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x14ac:dyDescent="0.3">
      <c r="A71" s="36">
        <v>63</v>
      </c>
      <c r="B71" s="28">
        <f t="shared" ref="B71:E71" si="376">B70</f>
        <v>45903</v>
      </c>
      <c r="C71" s="28">
        <f t="shared" si="376"/>
        <v>45903</v>
      </c>
      <c r="D71" s="12">
        <f t="shared" si="376"/>
        <v>3</v>
      </c>
      <c r="E71" s="10">
        <f t="shared" si="376"/>
        <v>11</v>
      </c>
      <c r="F71" s="13"/>
      <c r="G71" s="69"/>
      <c r="H71" s="70">
        <f t="shared" ref="H71:L71" si="377">H70</f>
        <v>25.6</v>
      </c>
      <c r="I71" s="37">
        <f t="shared" si="377"/>
        <v>0</v>
      </c>
      <c r="J71" s="35">
        <f t="shared" si="377"/>
        <v>16</v>
      </c>
      <c r="K71" s="122">
        <f t="shared" si="377"/>
        <v>8.1690000000000005</v>
      </c>
      <c r="L71" s="122">
        <f t="shared" si="377"/>
        <v>0.879</v>
      </c>
      <c r="M71" s="126"/>
      <c r="N71" s="126"/>
      <c r="O71" s="32">
        <f t="shared" ref="O71:P71" si="378">O70</f>
        <v>100.65</v>
      </c>
      <c r="P71" s="33" t="str">
        <f t="shared" si="378"/>
        <v>2,31,180</v>
      </c>
      <c r="Q71" s="11" t="str">
        <f t="shared" si="47"/>
        <v>2</v>
      </c>
      <c r="R71" s="11" t="str">
        <f t="shared" si="48"/>
        <v>31,180</v>
      </c>
      <c r="S71" s="11">
        <f t="shared" si="49"/>
        <v>4.1994444444444445E-2</v>
      </c>
      <c r="T71" s="14">
        <f t="shared" si="50"/>
        <v>2396.7456012700095</v>
      </c>
      <c r="U71" s="38">
        <f t="shared" si="51"/>
        <v>-100</v>
      </c>
      <c r="V71" s="39">
        <f t="shared" ref="V71:W71" si="379">V70</f>
        <v>19.8</v>
      </c>
      <c r="W71" s="124">
        <f t="shared" si="379"/>
        <v>1.08</v>
      </c>
      <c r="X71" s="124">
        <f t="shared" si="20"/>
        <v>1.075</v>
      </c>
      <c r="Y71" s="126"/>
      <c r="Z71" s="126"/>
      <c r="AA71" s="90">
        <f t="shared" ref="AA71:AB71" si="380">AA70</f>
        <v>5.0149999999999997</v>
      </c>
      <c r="AB71" s="73" t="str">
        <f t="shared" si="380"/>
        <v>9,05,040</v>
      </c>
      <c r="AC71" s="11" t="str">
        <f t="shared" si="54"/>
        <v>9,</v>
      </c>
      <c r="AD71" s="11" t="str">
        <f t="shared" si="55"/>
        <v>05,040</v>
      </c>
      <c r="AE71" s="11">
        <f t="shared" si="56"/>
        <v>0.15139999999999998</v>
      </c>
      <c r="AF71" s="14">
        <f t="shared" si="57"/>
        <v>33.124174372523122</v>
      </c>
      <c r="AG71" s="40">
        <f t="shared" si="58"/>
        <v>-100</v>
      </c>
      <c r="AH71" s="39">
        <f t="shared" si="308"/>
        <v>19.600000000000001</v>
      </c>
      <c r="AI71" s="124">
        <f t="shared" si="308"/>
        <v>1.0860000000000001</v>
      </c>
      <c r="AJ71" s="124">
        <f t="shared" si="24"/>
        <v>1.0780000000000001</v>
      </c>
      <c r="AK71" s="126">
        <f t="shared" si="59"/>
        <v>0</v>
      </c>
      <c r="AL71" s="126"/>
      <c r="AM71" s="34">
        <f t="shared" ref="AM71:AN71" si="381">AM70</f>
        <v>2.0059999999999998</v>
      </c>
      <c r="AN71" s="33" t="str">
        <f t="shared" si="381"/>
        <v>5,40,620</v>
      </c>
      <c r="AO71" s="11" t="str">
        <f t="shared" si="61"/>
        <v>5,</v>
      </c>
      <c r="AP71" s="11" t="str">
        <f t="shared" si="62"/>
        <v>40,620</v>
      </c>
      <c r="AQ71" s="11">
        <f t="shared" si="63"/>
        <v>9.4616666666666668E-2</v>
      </c>
      <c r="AR71" s="14">
        <f t="shared" si="64"/>
        <v>21.201338735247486</v>
      </c>
      <c r="AS71" s="40">
        <f t="shared" si="65"/>
        <v>-100</v>
      </c>
      <c r="AT71" s="41" t="str">
        <f t="shared" si="66"/>
        <v>NO CONFORME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NO CONFORME</v>
      </c>
      <c r="BC71" s="5" t="str">
        <f t="shared" si="34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x14ac:dyDescent="0.3">
      <c r="A72" s="36">
        <v>64</v>
      </c>
      <c r="B72" s="28">
        <f t="shared" ref="B72:E72" si="382">B71</f>
        <v>45903</v>
      </c>
      <c r="C72" s="28">
        <f t="shared" si="382"/>
        <v>45903</v>
      </c>
      <c r="D72" s="12">
        <f t="shared" si="382"/>
        <v>3</v>
      </c>
      <c r="E72" s="10">
        <f t="shared" si="382"/>
        <v>11</v>
      </c>
      <c r="F72" s="13"/>
      <c r="G72" s="69"/>
      <c r="H72" s="70">
        <f t="shared" ref="H72:L72" si="383">H71</f>
        <v>25.6</v>
      </c>
      <c r="I72" s="37">
        <f t="shared" si="383"/>
        <v>0</v>
      </c>
      <c r="J72" s="35">
        <f t="shared" si="383"/>
        <v>16</v>
      </c>
      <c r="K72" s="122">
        <f t="shared" si="383"/>
        <v>8.1690000000000005</v>
      </c>
      <c r="L72" s="122">
        <f t="shared" si="383"/>
        <v>0.879</v>
      </c>
      <c r="M72" s="126"/>
      <c r="N72" s="126"/>
      <c r="O72" s="32">
        <f t="shared" ref="O72:P72" si="384">O71</f>
        <v>100.65</v>
      </c>
      <c r="P72" s="33" t="str">
        <f t="shared" si="384"/>
        <v>2,31,180</v>
      </c>
      <c r="Q72" s="11" t="str">
        <f t="shared" si="47"/>
        <v>2</v>
      </c>
      <c r="R72" s="11" t="str">
        <f t="shared" si="48"/>
        <v>31,180</v>
      </c>
      <c r="S72" s="11">
        <f t="shared" si="49"/>
        <v>4.1994444444444445E-2</v>
      </c>
      <c r="T72" s="14">
        <f t="shared" si="50"/>
        <v>2396.7456012700095</v>
      </c>
      <c r="U72" s="38">
        <f t="shared" si="51"/>
        <v>-100</v>
      </c>
      <c r="V72" s="39">
        <f t="shared" ref="V72:W72" si="385">V71</f>
        <v>19.8</v>
      </c>
      <c r="W72" s="124">
        <f t="shared" si="385"/>
        <v>1.08</v>
      </c>
      <c r="X72" s="124">
        <f t="shared" si="20"/>
        <v>1.075</v>
      </c>
      <c r="Y72" s="126"/>
      <c r="Z72" s="126"/>
      <c r="AA72" s="90">
        <f t="shared" ref="AA72:AB72" si="386">AA71</f>
        <v>5.0149999999999997</v>
      </c>
      <c r="AB72" s="73" t="str">
        <f t="shared" si="386"/>
        <v>9,05,040</v>
      </c>
      <c r="AC72" s="11" t="str">
        <f t="shared" si="54"/>
        <v>9,</v>
      </c>
      <c r="AD72" s="11" t="str">
        <f t="shared" si="55"/>
        <v>05,040</v>
      </c>
      <c r="AE72" s="11">
        <f t="shared" si="56"/>
        <v>0.15139999999999998</v>
      </c>
      <c r="AF72" s="14">
        <f t="shared" si="57"/>
        <v>33.124174372523122</v>
      </c>
      <c r="AG72" s="40">
        <f t="shared" si="58"/>
        <v>-100</v>
      </c>
      <c r="AH72" s="39">
        <f t="shared" si="308"/>
        <v>19.600000000000001</v>
      </c>
      <c r="AI72" s="124">
        <f t="shared" si="308"/>
        <v>1.0860000000000001</v>
      </c>
      <c r="AJ72" s="124">
        <f t="shared" si="24"/>
        <v>1.0780000000000001</v>
      </c>
      <c r="AK72" s="126">
        <f t="shared" si="59"/>
        <v>0</v>
      </c>
      <c r="AL72" s="126"/>
      <c r="AM72" s="34">
        <f t="shared" ref="AM72:AN72" si="387">AM71</f>
        <v>2.0059999999999998</v>
      </c>
      <c r="AN72" s="33" t="str">
        <f t="shared" si="387"/>
        <v>5,40,620</v>
      </c>
      <c r="AO72" s="11" t="str">
        <f t="shared" si="61"/>
        <v>5,</v>
      </c>
      <c r="AP72" s="11" t="str">
        <f t="shared" si="62"/>
        <v>40,620</v>
      </c>
      <c r="AQ72" s="11">
        <f t="shared" si="63"/>
        <v>9.4616666666666668E-2</v>
      </c>
      <c r="AR72" s="14">
        <f t="shared" si="64"/>
        <v>21.201338735247486</v>
      </c>
      <c r="AS72" s="40">
        <f t="shared" si="65"/>
        <v>-100</v>
      </c>
      <c r="AT72" s="41" t="str">
        <f t="shared" si="66"/>
        <v>NO CONFORME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NO CONFORME</v>
      </c>
      <c r="BC72" s="5" t="str">
        <f t="shared" si="34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x14ac:dyDescent="0.3">
      <c r="A73" s="36">
        <v>65</v>
      </c>
      <c r="B73" s="28">
        <f t="shared" ref="B73:E73" si="388">B72</f>
        <v>45903</v>
      </c>
      <c r="C73" s="28">
        <f t="shared" si="388"/>
        <v>45903</v>
      </c>
      <c r="D73" s="12">
        <f t="shared" si="388"/>
        <v>3</v>
      </c>
      <c r="E73" s="10">
        <f t="shared" si="388"/>
        <v>11</v>
      </c>
      <c r="F73" s="13"/>
      <c r="G73" s="69"/>
      <c r="H73" s="70">
        <f t="shared" ref="H73:L73" si="389">H72</f>
        <v>25.6</v>
      </c>
      <c r="I73" s="37">
        <f t="shared" si="389"/>
        <v>0</v>
      </c>
      <c r="J73" s="35">
        <f t="shared" si="389"/>
        <v>16</v>
      </c>
      <c r="K73" s="122">
        <f t="shared" si="389"/>
        <v>8.1690000000000005</v>
      </c>
      <c r="L73" s="122">
        <f t="shared" si="389"/>
        <v>0.879</v>
      </c>
      <c r="M73" s="126"/>
      <c r="N73" s="126"/>
      <c r="O73" s="32">
        <f t="shared" ref="O73:P73" si="390">O72</f>
        <v>100.65</v>
      </c>
      <c r="P73" s="33" t="str">
        <f t="shared" si="390"/>
        <v>2,31,180</v>
      </c>
      <c r="Q73" s="11" t="str">
        <f t="shared" si="47"/>
        <v>2</v>
      </c>
      <c r="R73" s="11" t="str">
        <f t="shared" si="48"/>
        <v>31,180</v>
      </c>
      <c r="S73" s="11">
        <f t="shared" si="49"/>
        <v>4.1994444444444445E-2</v>
      </c>
      <c r="T73" s="14">
        <f t="shared" si="50"/>
        <v>2396.7456012700095</v>
      </c>
      <c r="U73" s="38">
        <f t="shared" si="51"/>
        <v>-100</v>
      </c>
      <c r="V73" s="39">
        <f t="shared" ref="V73:W73" si="391">V72</f>
        <v>19.8</v>
      </c>
      <c r="W73" s="124">
        <f t="shared" si="391"/>
        <v>1.08</v>
      </c>
      <c r="X73" s="124">
        <f t="shared" si="20"/>
        <v>1.075</v>
      </c>
      <c r="Y73" s="126"/>
      <c r="Z73" s="126"/>
      <c r="AA73" s="90">
        <f t="shared" ref="AA73:AB73" si="392">AA72</f>
        <v>5.0149999999999997</v>
      </c>
      <c r="AB73" s="73" t="str">
        <f t="shared" si="392"/>
        <v>9,05,040</v>
      </c>
      <c r="AC73" s="11" t="str">
        <f t="shared" si="54"/>
        <v>9,</v>
      </c>
      <c r="AD73" s="11" t="str">
        <f t="shared" si="55"/>
        <v>05,040</v>
      </c>
      <c r="AE73" s="11">
        <f t="shared" si="56"/>
        <v>0.15139999999999998</v>
      </c>
      <c r="AF73" s="14">
        <f t="shared" si="57"/>
        <v>33.124174372523122</v>
      </c>
      <c r="AG73" s="40">
        <f t="shared" si="58"/>
        <v>-100</v>
      </c>
      <c r="AH73" s="39">
        <f t="shared" si="308"/>
        <v>19.600000000000001</v>
      </c>
      <c r="AI73" s="124">
        <f t="shared" si="308"/>
        <v>1.0860000000000001</v>
      </c>
      <c r="AJ73" s="124">
        <f t="shared" si="24"/>
        <v>1.0780000000000001</v>
      </c>
      <c r="AK73" s="126">
        <f t="shared" si="59"/>
        <v>0</v>
      </c>
      <c r="AL73" s="126"/>
      <c r="AM73" s="34">
        <f t="shared" ref="AM73:AN73" si="393">AM72</f>
        <v>2.0059999999999998</v>
      </c>
      <c r="AN73" s="33" t="str">
        <f t="shared" si="393"/>
        <v>5,40,620</v>
      </c>
      <c r="AO73" s="11" t="str">
        <f t="shared" si="61"/>
        <v>5,</v>
      </c>
      <c r="AP73" s="11" t="str">
        <f t="shared" si="62"/>
        <v>40,620</v>
      </c>
      <c r="AQ73" s="11">
        <f t="shared" si="63"/>
        <v>9.4616666666666668E-2</v>
      </c>
      <c r="AR73" s="14">
        <f t="shared" si="64"/>
        <v>21.201338735247486</v>
      </c>
      <c r="AS73" s="40">
        <f t="shared" si="65"/>
        <v>-100</v>
      </c>
      <c r="AT73" s="41" t="str">
        <f t="shared" si="66"/>
        <v>NO CONFORME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94">IF(AR73&lt;$AH$6,"error",IF(AR73&gt;$AH$6*1.1,"error","aceptable"))</f>
        <v>aceptable</v>
      </c>
      <c r="AZ73" s="22" t="str">
        <f t="shared" ref="AZ73:AZ136" si="395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NO CONFORME</v>
      </c>
      <c r="BC73" s="5" t="str">
        <f t="shared" si="34"/>
        <v>NO CONFORME</v>
      </c>
      <c r="BD73" s="15">
        <f t="shared" ref="BD73:BD136" si="396">SIGN(U73)</f>
        <v>-1</v>
      </c>
      <c r="BE73" s="15">
        <f t="shared" ref="BE73:BE136" si="397">SIGN(AG73)</f>
        <v>-1</v>
      </c>
      <c r="BF73" s="15">
        <f t="shared" ref="BF73:BF136" si="398">SIGN(AS73)</f>
        <v>-1</v>
      </c>
      <c r="BG73" s="15" t="str">
        <f t="shared" ref="BG73:BG136" si="399">CONCATENATE(BD73,BE73,BF73)</f>
        <v>-1-1-1</v>
      </c>
      <c r="BH73" s="15" t="str">
        <f t="shared" ref="BH73:BH136" si="400">IF(BG73="111","SI","SD")</f>
        <v>SD</v>
      </c>
      <c r="BI73" s="15" t="str">
        <f t="shared" ref="BI73:BI136" si="401">IF(BG73="-1-1-1","SI","SD")</f>
        <v>SI</v>
      </c>
      <c r="BJ73" s="15" t="b">
        <f t="shared" ref="BJ73:BJ136" si="402">OR(BH73="SI",BI73="SI")</f>
        <v>1</v>
      </c>
      <c r="BK73" s="15" t="str">
        <f t="shared" ref="BK73:BK136" si="403">IF(BJ73=FALSE,"SIGDIFERENTES","SIGIGUALES")</f>
        <v>SIGIGUALES</v>
      </c>
      <c r="BL73" s="22" t="str">
        <f t="shared" ref="BL73:BL136" si="404">IF(BC73="NO CONFORME","NO CONFORME",IF(BB73="CONFORME","CONFORME","NO CONFORME"))</f>
        <v>NO CONFORME</v>
      </c>
    </row>
    <row r="74" spans="1:64" ht="14.4" x14ac:dyDescent="0.3">
      <c r="A74" s="36">
        <v>66</v>
      </c>
      <c r="B74" s="28">
        <f t="shared" ref="B74:E74" si="405">B73</f>
        <v>45903</v>
      </c>
      <c r="C74" s="28">
        <f t="shared" si="405"/>
        <v>45903</v>
      </c>
      <c r="D74" s="12">
        <f t="shared" si="405"/>
        <v>3</v>
      </c>
      <c r="E74" s="10">
        <f t="shared" si="405"/>
        <v>11</v>
      </c>
      <c r="F74" s="13"/>
      <c r="G74" s="69"/>
      <c r="H74" s="70">
        <f t="shared" ref="H74:L74" si="406">H73</f>
        <v>25.6</v>
      </c>
      <c r="I74" s="37">
        <f t="shared" si="406"/>
        <v>0</v>
      </c>
      <c r="J74" s="35">
        <f t="shared" si="406"/>
        <v>16</v>
      </c>
      <c r="K74" s="122">
        <f t="shared" si="406"/>
        <v>8.1690000000000005</v>
      </c>
      <c r="L74" s="122">
        <f t="shared" si="406"/>
        <v>0.879</v>
      </c>
      <c r="M74" s="126"/>
      <c r="N74" s="126"/>
      <c r="O74" s="32">
        <f t="shared" ref="O74:P74" si="407">O73</f>
        <v>100.65</v>
      </c>
      <c r="P74" s="33" t="str">
        <f t="shared" si="407"/>
        <v>2,31,180</v>
      </c>
      <c r="Q74" s="11" t="str">
        <f t="shared" si="47"/>
        <v>2</v>
      </c>
      <c r="R74" s="11" t="str">
        <f t="shared" si="48"/>
        <v>31,180</v>
      </c>
      <c r="S74" s="11">
        <f t="shared" si="49"/>
        <v>4.1994444444444445E-2</v>
      </c>
      <c r="T74" s="14">
        <f t="shared" si="50"/>
        <v>2396.7456012700095</v>
      </c>
      <c r="U74" s="38">
        <f t="shared" si="51"/>
        <v>-100</v>
      </c>
      <c r="V74" s="39">
        <f t="shared" ref="V74:X89" si="408">V73</f>
        <v>19.8</v>
      </c>
      <c r="W74" s="124">
        <f t="shared" si="408"/>
        <v>1.08</v>
      </c>
      <c r="X74" s="124">
        <f t="shared" si="408"/>
        <v>1.075</v>
      </c>
      <c r="Y74" s="126"/>
      <c r="Z74" s="126"/>
      <c r="AA74" s="90">
        <f t="shared" ref="AA74:AB74" si="409">AA73</f>
        <v>5.0149999999999997</v>
      </c>
      <c r="AB74" s="73" t="str">
        <f t="shared" si="409"/>
        <v>9,05,040</v>
      </c>
      <c r="AC74" s="11" t="str">
        <f t="shared" si="54"/>
        <v>9,</v>
      </c>
      <c r="AD74" s="11" t="str">
        <f t="shared" si="55"/>
        <v>05,040</v>
      </c>
      <c r="AE74" s="11">
        <f t="shared" si="56"/>
        <v>0.15139999999999998</v>
      </c>
      <c r="AF74" s="14">
        <f t="shared" si="57"/>
        <v>33.124174372523122</v>
      </c>
      <c r="AG74" s="40">
        <f t="shared" si="58"/>
        <v>-100</v>
      </c>
      <c r="AH74" s="39">
        <f t="shared" si="308"/>
        <v>19.600000000000001</v>
      </c>
      <c r="AI74" s="124">
        <f t="shared" si="308"/>
        <v>1.0860000000000001</v>
      </c>
      <c r="AJ74" s="124">
        <f t="shared" si="308"/>
        <v>1.0780000000000001</v>
      </c>
      <c r="AK74" s="126">
        <f t="shared" si="59"/>
        <v>0</v>
      </c>
      <c r="AL74" s="126"/>
      <c r="AM74" s="34">
        <f t="shared" ref="AM74:AN74" si="410">AM73</f>
        <v>2.0059999999999998</v>
      </c>
      <c r="AN74" s="33" t="str">
        <f t="shared" si="410"/>
        <v>5,40,620</v>
      </c>
      <c r="AO74" s="11" t="str">
        <f t="shared" si="61"/>
        <v>5,</v>
      </c>
      <c r="AP74" s="11" t="str">
        <f t="shared" si="62"/>
        <v>40,620</v>
      </c>
      <c r="AQ74" s="11">
        <f t="shared" si="63"/>
        <v>9.4616666666666668E-2</v>
      </c>
      <c r="AR74" s="14">
        <f t="shared" si="64"/>
        <v>21.201338735247486</v>
      </c>
      <c r="AS74" s="40">
        <f t="shared" si="65"/>
        <v>-100</v>
      </c>
      <c r="AT74" s="41" t="str">
        <f t="shared" si="66"/>
        <v>NO CONFORME</v>
      </c>
      <c r="AU74" s="8" t="b">
        <f t="shared" ref="AU74:AU137" si="411">B74&lt;=C74</f>
        <v>1</v>
      </c>
      <c r="AV74" s="8" t="b">
        <f t="shared" ref="AV74:AV137" si="412">N74&lt;Y74</f>
        <v>0</v>
      </c>
      <c r="AW74" s="8" t="b">
        <f t="shared" ref="AW74:AW137" si="413">Z74&lt;=AK74</f>
        <v>1</v>
      </c>
      <c r="AX74" s="8" t="str">
        <f t="shared" ref="AX74:AX137" si="414">IF(I74&gt;=1,"Qcorrecto",IF(AND(AY74="aceptable",AZ74="aceptable",BA74="aceptable"),"Qcorrecto","Qincorrecto"))</f>
        <v>Qcorrecto</v>
      </c>
      <c r="AY74" s="22" t="str">
        <f t="shared" si="394"/>
        <v>aceptable</v>
      </c>
      <c r="AZ74" s="22" t="str">
        <f t="shared" si="395"/>
        <v>aceptable</v>
      </c>
      <c r="BA74" s="22" t="str">
        <f t="shared" ref="BA74:BA137" si="415">IF(T74&lt;$J$6*0.9,"error",IF(T74&gt;$J$6,"error","aceptable"))</f>
        <v>aceptable</v>
      </c>
      <c r="BB74" s="25" t="str">
        <f t="shared" ref="BB74:BB137" si="416">(IF(ABS(U74)&lt;1.05,"CONFORME",IF(ABS(AG74)&lt;1.05,"CONFORME",IF(ABS(AS74)&lt;2.55,"CONFORME","NO CONFORME"))))</f>
        <v>NO CONFORME</v>
      </c>
      <c r="BC74" s="5" t="str">
        <f t="shared" ref="BC74:BC137" si="417">(IF(ABS(U74)&gt;2.05,"NO CONFORME",IF(ABS(AG74)&gt;2.05,"NO CONFORME",IF(ABS(AS74)&gt;5.05,"NO CONFORME","CONFORME"))))</f>
        <v>NO CONFORME</v>
      </c>
      <c r="BD74" s="15">
        <f t="shared" si="396"/>
        <v>-1</v>
      </c>
      <c r="BE74" s="15">
        <f t="shared" si="397"/>
        <v>-1</v>
      </c>
      <c r="BF74" s="15">
        <f t="shared" si="398"/>
        <v>-1</v>
      </c>
      <c r="BG74" s="15" t="str">
        <f t="shared" si="399"/>
        <v>-1-1-1</v>
      </c>
      <c r="BH74" s="15" t="str">
        <f t="shared" si="400"/>
        <v>SD</v>
      </c>
      <c r="BI74" s="15" t="str">
        <f t="shared" si="401"/>
        <v>SI</v>
      </c>
      <c r="BJ74" s="15" t="b">
        <f t="shared" si="402"/>
        <v>1</v>
      </c>
      <c r="BK74" s="15" t="str">
        <f t="shared" si="403"/>
        <v>SIGIGUALES</v>
      </c>
      <c r="BL74" s="22" t="str">
        <f t="shared" si="404"/>
        <v>NO CONFORME</v>
      </c>
    </row>
    <row r="75" spans="1:64" ht="14.4" x14ac:dyDescent="0.3">
      <c r="A75" s="36">
        <v>67</v>
      </c>
      <c r="B75" s="28">
        <f t="shared" ref="B75:E75" si="418">B74</f>
        <v>45903</v>
      </c>
      <c r="C75" s="28">
        <f t="shared" si="418"/>
        <v>45903</v>
      </c>
      <c r="D75" s="12">
        <f t="shared" si="418"/>
        <v>3</v>
      </c>
      <c r="E75" s="10">
        <f t="shared" si="418"/>
        <v>11</v>
      </c>
      <c r="F75" s="13"/>
      <c r="G75" s="69"/>
      <c r="H75" s="70">
        <f t="shared" ref="H75:L75" si="419">H74</f>
        <v>25.6</v>
      </c>
      <c r="I75" s="37">
        <f t="shared" si="419"/>
        <v>0</v>
      </c>
      <c r="J75" s="35">
        <f t="shared" si="419"/>
        <v>16</v>
      </c>
      <c r="K75" s="122">
        <f t="shared" si="419"/>
        <v>8.1690000000000005</v>
      </c>
      <c r="L75" s="122">
        <f t="shared" si="419"/>
        <v>0.879</v>
      </c>
      <c r="M75" s="126"/>
      <c r="N75" s="126"/>
      <c r="O75" s="32">
        <f t="shared" ref="O75:P75" si="420">O74</f>
        <v>100.65</v>
      </c>
      <c r="P75" s="33" t="str">
        <f t="shared" si="420"/>
        <v>2,31,180</v>
      </c>
      <c r="Q75" s="11" t="str">
        <f t="shared" si="47"/>
        <v>2</v>
      </c>
      <c r="R75" s="11" t="str">
        <f t="shared" si="48"/>
        <v>31,180</v>
      </c>
      <c r="S75" s="11">
        <f t="shared" si="49"/>
        <v>4.1994444444444445E-2</v>
      </c>
      <c r="T75" s="14">
        <f t="shared" si="50"/>
        <v>2396.7456012700095</v>
      </c>
      <c r="U75" s="38">
        <f t="shared" si="51"/>
        <v>-100</v>
      </c>
      <c r="V75" s="39">
        <f t="shared" ref="V75:W75" si="421">V74</f>
        <v>19.8</v>
      </c>
      <c r="W75" s="124">
        <f t="shared" si="421"/>
        <v>1.08</v>
      </c>
      <c r="X75" s="124">
        <f t="shared" si="408"/>
        <v>1.075</v>
      </c>
      <c r="Y75" s="126"/>
      <c r="Z75" s="126"/>
      <c r="AA75" s="90">
        <f t="shared" ref="AA75:AB75" si="422">AA74</f>
        <v>5.0149999999999997</v>
      </c>
      <c r="AB75" s="73" t="str">
        <f t="shared" si="422"/>
        <v>9,05,040</v>
      </c>
      <c r="AC75" s="11" t="str">
        <f t="shared" si="54"/>
        <v>9,</v>
      </c>
      <c r="AD75" s="11" t="str">
        <f t="shared" si="55"/>
        <v>05,040</v>
      </c>
      <c r="AE75" s="11">
        <f t="shared" si="56"/>
        <v>0.15139999999999998</v>
      </c>
      <c r="AF75" s="14">
        <f t="shared" si="57"/>
        <v>33.124174372523122</v>
      </c>
      <c r="AG75" s="40">
        <f t="shared" si="58"/>
        <v>-100</v>
      </c>
      <c r="AH75" s="39">
        <f t="shared" ref="AH75:AJ90" si="423">AH74</f>
        <v>19.600000000000001</v>
      </c>
      <c r="AI75" s="124">
        <f t="shared" si="423"/>
        <v>1.0860000000000001</v>
      </c>
      <c r="AJ75" s="124">
        <f t="shared" si="423"/>
        <v>1.0780000000000001</v>
      </c>
      <c r="AK75" s="126">
        <f t="shared" si="59"/>
        <v>0</v>
      </c>
      <c r="AL75" s="126"/>
      <c r="AM75" s="34">
        <f t="shared" ref="AM75:AN75" si="424">AM74</f>
        <v>2.0059999999999998</v>
      </c>
      <c r="AN75" s="33" t="str">
        <f t="shared" si="424"/>
        <v>5,40,620</v>
      </c>
      <c r="AO75" s="11" t="str">
        <f t="shared" si="61"/>
        <v>5,</v>
      </c>
      <c r="AP75" s="11" t="str">
        <f t="shared" si="62"/>
        <v>40,620</v>
      </c>
      <c r="AQ75" s="11">
        <f t="shared" si="63"/>
        <v>9.4616666666666668E-2</v>
      </c>
      <c r="AR75" s="14">
        <f t="shared" si="64"/>
        <v>21.201338735247486</v>
      </c>
      <c r="AS75" s="40">
        <f t="shared" si="65"/>
        <v>-100</v>
      </c>
      <c r="AT75" s="41" t="str">
        <f t="shared" si="66"/>
        <v>NO CONFORME</v>
      </c>
      <c r="AU75" s="8" t="b">
        <f t="shared" si="411"/>
        <v>1</v>
      </c>
      <c r="AV75" s="8" t="b">
        <f t="shared" si="412"/>
        <v>0</v>
      </c>
      <c r="AW75" s="8" t="b">
        <f t="shared" si="413"/>
        <v>1</v>
      </c>
      <c r="AX75" s="8" t="str">
        <f t="shared" si="414"/>
        <v>Qcorrecto</v>
      </c>
      <c r="AY75" s="22" t="str">
        <f t="shared" si="394"/>
        <v>aceptable</v>
      </c>
      <c r="AZ75" s="22" t="str">
        <f t="shared" si="395"/>
        <v>aceptable</v>
      </c>
      <c r="BA75" s="22" t="str">
        <f t="shared" si="415"/>
        <v>aceptable</v>
      </c>
      <c r="BB75" s="25" t="str">
        <f t="shared" si="416"/>
        <v>NO CONFORME</v>
      </c>
      <c r="BC75" s="5" t="str">
        <f t="shared" si="417"/>
        <v>NO CONFORME</v>
      </c>
      <c r="BD75" s="15">
        <f t="shared" si="396"/>
        <v>-1</v>
      </c>
      <c r="BE75" s="15">
        <f t="shared" si="397"/>
        <v>-1</v>
      </c>
      <c r="BF75" s="15">
        <f t="shared" si="398"/>
        <v>-1</v>
      </c>
      <c r="BG75" s="15" t="str">
        <f t="shared" si="399"/>
        <v>-1-1-1</v>
      </c>
      <c r="BH75" s="15" t="str">
        <f t="shared" si="400"/>
        <v>SD</v>
      </c>
      <c r="BI75" s="15" t="str">
        <f t="shared" si="401"/>
        <v>SI</v>
      </c>
      <c r="BJ75" s="15" t="b">
        <f t="shared" si="402"/>
        <v>1</v>
      </c>
      <c r="BK75" s="15" t="str">
        <f t="shared" si="403"/>
        <v>SIGIGUALES</v>
      </c>
      <c r="BL75" s="22" t="str">
        <f t="shared" si="404"/>
        <v>NO CONFORME</v>
      </c>
    </row>
    <row r="76" spans="1:64" ht="14.4" x14ac:dyDescent="0.3">
      <c r="A76" s="36">
        <v>68</v>
      </c>
      <c r="B76" s="28">
        <f t="shared" ref="B76:E76" si="425">B75</f>
        <v>45903</v>
      </c>
      <c r="C76" s="28">
        <f t="shared" si="425"/>
        <v>45903</v>
      </c>
      <c r="D76" s="12">
        <f t="shared" si="425"/>
        <v>3</v>
      </c>
      <c r="E76" s="10">
        <f t="shared" si="425"/>
        <v>11</v>
      </c>
      <c r="F76" s="13"/>
      <c r="G76" s="69"/>
      <c r="H76" s="70">
        <f t="shared" ref="H76:L76" si="426">H75</f>
        <v>25.6</v>
      </c>
      <c r="I76" s="37">
        <f t="shared" si="426"/>
        <v>0</v>
      </c>
      <c r="J76" s="35">
        <f t="shared" si="426"/>
        <v>16</v>
      </c>
      <c r="K76" s="122">
        <f t="shared" si="426"/>
        <v>8.1690000000000005</v>
      </c>
      <c r="L76" s="122">
        <f t="shared" si="426"/>
        <v>0.879</v>
      </c>
      <c r="M76" s="126"/>
      <c r="N76" s="126"/>
      <c r="O76" s="32">
        <f t="shared" ref="O76:P76" si="427">O75</f>
        <v>100.65</v>
      </c>
      <c r="P76" s="33" t="str">
        <f t="shared" si="427"/>
        <v>2,31,180</v>
      </c>
      <c r="Q76" s="11" t="str">
        <f t="shared" si="47"/>
        <v>2</v>
      </c>
      <c r="R76" s="11" t="str">
        <f t="shared" si="48"/>
        <v>31,180</v>
      </c>
      <c r="S76" s="11">
        <f t="shared" si="49"/>
        <v>4.1994444444444445E-2</v>
      </c>
      <c r="T76" s="14">
        <f t="shared" si="50"/>
        <v>2396.7456012700095</v>
      </c>
      <c r="U76" s="38">
        <f t="shared" si="51"/>
        <v>-100</v>
      </c>
      <c r="V76" s="39">
        <f t="shared" ref="V76:W76" si="428">V75</f>
        <v>19.8</v>
      </c>
      <c r="W76" s="124">
        <f t="shared" si="428"/>
        <v>1.08</v>
      </c>
      <c r="X76" s="124">
        <f t="shared" si="408"/>
        <v>1.075</v>
      </c>
      <c r="Y76" s="126"/>
      <c r="Z76" s="126"/>
      <c r="AA76" s="90">
        <f t="shared" ref="AA76:AB76" si="429">AA75</f>
        <v>5.0149999999999997</v>
      </c>
      <c r="AB76" s="73" t="str">
        <f t="shared" si="429"/>
        <v>9,05,040</v>
      </c>
      <c r="AC76" s="11" t="str">
        <f t="shared" si="54"/>
        <v>9,</v>
      </c>
      <c r="AD76" s="11" t="str">
        <f t="shared" si="55"/>
        <v>05,040</v>
      </c>
      <c r="AE76" s="11">
        <f t="shared" si="56"/>
        <v>0.15139999999999998</v>
      </c>
      <c r="AF76" s="14">
        <f t="shared" si="57"/>
        <v>33.124174372523122</v>
      </c>
      <c r="AG76" s="40">
        <f t="shared" si="58"/>
        <v>-100</v>
      </c>
      <c r="AH76" s="39">
        <f t="shared" si="423"/>
        <v>19.600000000000001</v>
      </c>
      <c r="AI76" s="124">
        <f t="shared" si="423"/>
        <v>1.0860000000000001</v>
      </c>
      <c r="AJ76" s="124">
        <f t="shared" si="423"/>
        <v>1.0780000000000001</v>
      </c>
      <c r="AK76" s="126">
        <f t="shared" si="59"/>
        <v>0</v>
      </c>
      <c r="AL76" s="126"/>
      <c r="AM76" s="34">
        <f t="shared" ref="AM76:AN76" si="430">AM75</f>
        <v>2.0059999999999998</v>
      </c>
      <c r="AN76" s="33" t="str">
        <f t="shared" si="430"/>
        <v>5,40,620</v>
      </c>
      <c r="AO76" s="11" t="str">
        <f t="shared" si="61"/>
        <v>5,</v>
      </c>
      <c r="AP76" s="11" t="str">
        <f t="shared" si="62"/>
        <v>40,620</v>
      </c>
      <c r="AQ76" s="11">
        <f t="shared" si="63"/>
        <v>9.4616666666666668E-2</v>
      </c>
      <c r="AR76" s="14">
        <f t="shared" si="64"/>
        <v>21.201338735247486</v>
      </c>
      <c r="AS76" s="40">
        <f t="shared" si="65"/>
        <v>-100</v>
      </c>
      <c r="AT76" s="41" t="str">
        <f t="shared" si="66"/>
        <v>NO CONFORME</v>
      </c>
      <c r="AU76" s="8" t="b">
        <f t="shared" si="411"/>
        <v>1</v>
      </c>
      <c r="AV76" s="8" t="b">
        <f t="shared" si="412"/>
        <v>0</v>
      </c>
      <c r="AW76" s="8" t="b">
        <f t="shared" si="413"/>
        <v>1</v>
      </c>
      <c r="AX76" s="8" t="str">
        <f t="shared" si="414"/>
        <v>Qcorrecto</v>
      </c>
      <c r="AY76" s="22" t="str">
        <f t="shared" si="394"/>
        <v>aceptable</v>
      </c>
      <c r="AZ76" s="22" t="str">
        <f t="shared" si="395"/>
        <v>aceptable</v>
      </c>
      <c r="BA76" s="22" t="str">
        <f t="shared" si="415"/>
        <v>aceptable</v>
      </c>
      <c r="BB76" s="25" t="str">
        <f t="shared" si="416"/>
        <v>NO CONFORME</v>
      </c>
      <c r="BC76" s="5" t="str">
        <f t="shared" si="417"/>
        <v>NO CONFORME</v>
      </c>
      <c r="BD76" s="15">
        <f t="shared" si="396"/>
        <v>-1</v>
      </c>
      <c r="BE76" s="15">
        <f t="shared" si="397"/>
        <v>-1</v>
      </c>
      <c r="BF76" s="15">
        <f t="shared" si="398"/>
        <v>-1</v>
      </c>
      <c r="BG76" s="15" t="str">
        <f t="shared" si="399"/>
        <v>-1-1-1</v>
      </c>
      <c r="BH76" s="15" t="str">
        <f t="shared" si="400"/>
        <v>SD</v>
      </c>
      <c r="BI76" s="15" t="str">
        <f t="shared" si="401"/>
        <v>SI</v>
      </c>
      <c r="BJ76" s="15" t="b">
        <f t="shared" si="402"/>
        <v>1</v>
      </c>
      <c r="BK76" s="15" t="str">
        <f t="shared" si="403"/>
        <v>SIGIGUALES</v>
      </c>
      <c r="BL76" s="22" t="str">
        <f t="shared" si="404"/>
        <v>NO CONFORME</v>
      </c>
    </row>
    <row r="77" spans="1:64" ht="14.4" x14ac:dyDescent="0.3">
      <c r="A77" s="36">
        <v>69</v>
      </c>
      <c r="B77" s="28">
        <f t="shared" ref="B77:E77" si="431">B76</f>
        <v>45903</v>
      </c>
      <c r="C77" s="28">
        <f t="shared" si="431"/>
        <v>45903</v>
      </c>
      <c r="D77" s="12">
        <f t="shared" si="431"/>
        <v>3</v>
      </c>
      <c r="E77" s="10">
        <f t="shared" si="431"/>
        <v>11</v>
      </c>
      <c r="F77" s="13"/>
      <c r="G77" s="69"/>
      <c r="H77" s="70">
        <f t="shared" ref="H77:L77" si="432">H76</f>
        <v>25.6</v>
      </c>
      <c r="I77" s="37">
        <f t="shared" si="432"/>
        <v>0</v>
      </c>
      <c r="J77" s="35">
        <f t="shared" si="432"/>
        <v>16</v>
      </c>
      <c r="K77" s="122">
        <f t="shared" si="432"/>
        <v>8.1690000000000005</v>
      </c>
      <c r="L77" s="122">
        <f t="shared" si="432"/>
        <v>0.879</v>
      </c>
      <c r="M77" s="126"/>
      <c r="N77" s="126"/>
      <c r="O77" s="32">
        <f t="shared" ref="O77:P77" si="433">O76</f>
        <v>100.65</v>
      </c>
      <c r="P77" s="33" t="str">
        <f t="shared" si="433"/>
        <v>2,31,180</v>
      </c>
      <c r="Q77" s="11" t="str">
        <f t="shared" si="47"/>
        <v>2</v>
      </c>
      <c r="R77" s="11" t="str">
        <f t="shared" si="48"/>
        <v>31,180</v>
      </c>
      <c r="S77" s="11">
        <f t="shared" si="49"/>
        <v>4.1994444444444445E-2</v>
      </c>
      <c r="T77" s="14">
        <f t="shared" si="50"/>
        <v>2396.7456012700095</v>
      </c>
      <c r="U77" s="38">
        <f t="shared" si="51"/>
        <v>-100</v>
      </c>
      <c r="V77" s="39">
        <f t="shared" ref="V77:W77" si="434">V76</f>
        <v>19.8</v>
      </c>
      <c r="W77" s="124">
        <f t="shared" si="434"/>
        <v>1.08</v>
      </c>
      <c r="X77" s="124">
        <f t="shared" si="408"/>
        <v>1.075</v>
      </c>
      <c r="Y77" s="126"/>
      <c r="Z77" s="126"/>
      <c r="AA77" s="90">
        <f t="shared" ref="AA77:AB77" si="435">AA76</f>
        <v>5.0149999999999997</v>
      </c>
      <c r="AB77" s="73" t="str">
        <f t="shared" si="435"/>
        <v>9,05,040</v>
      </c>
      <c r="AC77" s="11" t="str">
        <f t="shared" si="54"/>
        <v>9,</v>
      </c>
      <c r="AD77" s="11" t="str">
        <f t="shared" si="55"/>
        <v>05,040</v>
      </c>
      <c r="AE77" s="11">
        <f t="shared" si="56"/>
        <v>0.15139999999999998</v>
      </c>
      <c r="AF77" s="14">
        <f t="shared" si="57"/>
        <v>33.124174372523122</v>
      </c>
      <c r="AG77" s="40">
        <f t="shared" si="58"/>
        <v>-100</v>
      </c>
      <c r="AH77" s="39">
        <f t="shared" si="423"/>
        <v>19.600000000000001</v>
      </c>
      <c r="AI77" s="124">
        <f t="shared" si="423"/>
        <v>1.0860000000000001</v>
      </c>
      <c r="AJ77" s="124">
        <f t="shared" si="423"/>
        <v>1.0780000000000001</v>
      </c>
      <c r="AK77" s="126">
        <f t="shared" si="59"/>
        <v>0</v>
      </c>
      <c r="AL77" s="126"/>
      <c r="AM77" s="34">
        <f t="shared" ref="AM77:AN77" si="436">AM76</f>
        <v>2.0059999999999998</v>
      </c>
      <c r="AN77" s="33" t="str">
        <f t="shared" si="436"/>
        <v>5,40,620</v>
      </c>
      <c r="AO77" s="11" t="str">
        <f t="shared" si="61"/>
        <v>5,</v>
      </c>
      <c r="AP77" s="11" t="str">
        <f t="shared" si="62"/>
        <v>40,620</v>
      </c>
      <c r="AQ77" s="11">
        <f t="shared" si="63"/>
        <v>9.4616666666666668E-2</v>
      </c>
      <c r="AR77" s="14">
        <f t="shared" si="64"/>
        <v>21.201338735247486</v>
      </c>
      <c r="AS77" s="40">
        <f t="shared" si="65"/>
        <v>-100</v>
      </c>
      <c r="AT77" s="41" t="str">
        <f t="shared" si="66"/>
        <v>NO CONFORME</v>
      </c>
      <c r="AU77" s="8" t="b">
        <f t="shared" si="411"/>
        <v>1</v>
      </c>
      <c r="AV77" s="8" t="b">
        <f t="shared" si="412"/>
        <v>0</v>
      </c>
      <c r="AW77" s="8" t="b">
        <f t="shared" si="413"/>
        <v>1</v>
      </c>
      <c r="AX77" s="8" t="str">
        <f t="shared" si="414"/>
        <v>Qcorrecto</v>
      </c>
      <c r="AY77" s="22" t="str">
        <f t="shared" si="394"/>
        <v>aceptable</v>
      </c>
      <c r="AZ77" s="22" t="str">
        <f t="shared" si="395"/>
        <v>aceptable</v>
      </c>
      <c r="BA77" s="22" t="str">
        <f t="shared" si="415"/>
        <v>aceptable</v>
      </c>
      <c r="BB77" s="25" t="str">
        <f t="shared" si="416"/>
        <v>NO CONFORME</v>
      </c>
      <c r="BC77" s="5" t="str">
        <f t="shared" si="417"/>
        <v>NO CONFORME</v>
      </c>
      <c r="BD77" s="15">
        <f t="shared" si="396"/>
        <v>-1</v>
      </c>
      <c r="BE77" s="15">
        <f t="shared" si="397"/>
        <v>-1</v>
      </c>
      <c r="BF77" s="15">
        <f t="shared" si="398"/>
        <v>-1</v>
      </c>
      <c r="BG77" s="15" t="str">
        <f t="shared" si="399"/>
        <v>-1-1-1</v>
      </c>
      <c r="BH77" s="15" t="str">
        <f t="shared" si="400"/>
        <v>SD</v>
      </c>
      <c r="BI77" s="15" t="str">
        <f t="shared" si="401"/>
        <v>SI</v>
      </c>
      <c r="BJ77" s="15" t="b">
        <f t="shared" si="402"/>
        <v>1</v>
      </c>
      <c r="BK77" s="15" t="str">
        <f t="shared" si="403"/>
        <v>SIGIGUALES</v>
      </c>
      <c r="BL77" s="22" t="str">
        <f t="shared" si="404"/>
        <v>NO CONFORME</v>
      </c>
    </row>
    <row r="78" spans="1:64" ht="14.4" x14ac:dyDescent="0.3">
      <c r="A78" s="36">
        <v>70</v>
      </c>
      <c r="B78" s="28">
        <f t="shared" ref="B78:E78" si="437">B77</f>
        <v>45903</v>
      </c>
      <c r="C78" s="28">
        <f t="shared" si="437"/>
        <v>45903</v>
      </c>
      <c r="D78" s="12">
        <f t="shared" si="437"/>
        <v>3</v>
      </c>
      <c r="E78" s="10">
        <f t="shared" si="437"/>
        <v>11</v>
      </c>
      <c r="F78" s="13"/>
      <c r="G78" s="69"/>
      <c r="H78" s="70">
        <f t="shared" ref="H78:L78" si="438">H77</f>
        <v>25.6</v>
      </c>
      <c r="I78" s="37">
        <f t="shared" si="438"/>
        <v>0</v>
      </c>
      <c r="J78" s="35">
        <f t="shared" si="438"/>
        <v>16</v>
      </c>
      <c r="K78" s="122">
        <f t="shared" si="438"/>
        <v>8.1690000000000005</v>
      </c>
      <c r="L78" s="122">
        <f t="shared" si="438"/>
        <v>0.879</v>
      </c>
      <c r="M78" s="126"/>
      <c r="N78" s="126"/>
      <c r="O78" s="32">
        <f t="shared" ref="O78:P78" si="439">O77</f>
        <v>100.65</v>
      </c>
      <c r="P78" s="33" t="str">
        <f t="shared" si="439"/>
        <v>2,31,180</v>
      </c>
      <c r="Q78" s="11" t="str">
        <f t="shared" si="47"/>
        <v>2</v>
      </c>
      <c r="R78" s="11" t="str">
        <f t="shared" si="48"/>
        <v>31,180</v>
      </c>
      <c r="S78" s="11">
        <f t="shared" si="49"/>
        <v>4.1994444444444445E-2</v>
      </c>
      <c r="T78" s="14">
        <f t="shared" si="50"/>
        <v>2396.7456012700095</v>
      </c>
      <c r="U78" s="38">
        <f t="shared" si="51"/>
        <v>-100</v>
      </c>
      <c r="V78" s="39">
        <f t="shared" ref="V78:W78" si="440">V77</f>
        <v>19.8</v>
      </c>
      <c r="W78" s="124">
        <f t="shared" si="440"/>
        <v>1.08</v>
      </c>
      <c r="X78" s="124">
        <f t="shared" si="408"/>
        <v>1.075</v>
      </c>
      <c r="Y78" s="126"/>
      <c r="Z78" s="126"/>
      <c r="AA78" s="90">
        <f t="shared" ref="AA78:AB78" si="441">AA77</f>
        <v>5.0149999999999997</v>
      </c>
      <c r="AB78" s="73" t="str">
        <f t="shared" si="441"/>
        <v>9,05,040</v>
      </c>
      <c r="AC78" s="11" t="str">
        <f t="shared" si="54"/>
        <v>9,</v>
      </c>
      <c r="AD78" s="11" t="str">
        <f t="shared" si="55"/>
        <v>05,040</v>
      </c>
      <c r="AE78" s="11">
        <f t="shared" si="56"/>
        <v>0.15139999999999998</v>
      </c>
      <c r="AF78" s="14">
        <f t="shared" si="57"/>
        <v>33.124174372523122</v>
      </c>
      <c r="AG78" s="40">
        <f t="shared" si="58"/>
        <v>-100</v>
      </c>
      <c r="AH78" s="39">
        <f t="shared" si="423"/>
        <v>19.600000000000001</v>
      </c>
      <c r="AI78" s="124">
        <f t="shared" si="423"/>
        <v>1.0860000000000001</v>
      </c>
      <c r="AJ78" s="124">
        <f t="shared" si="423"/>
        <v>1.0780000000000001</v>
      </c>
      <c r="AK78" s="126">
        <f t="shared" si="59"/>
        <v>0</v>
      </c>
      <c r="AL78" s="126"/>
      <c r="AM78" s="34">
        <f t="shared" ref="AM78:AN78" si="442">AM77</f>
        <v>2.0059999999999998</v>
      </c>
      <c r="AN78" s="33" t="str">
        <f t="shared" si="442"/>
        <v>5,40,620</v>
      </c>
      <c r="AO78" s="11" t="str">
        <f t="shared" si="61"/>
        <v>5,</v>
      </c>
      <c r="AP78" s="11" t="str">
        <f t="shared" si="62"/>
        <v>40,620</v>
      </c>
      <c r="AQ78" s="11">
        <f t="shared" si="63"/>
        <v>9.4616666666666668E-2</v>
      </c>
      <c r="AR78" s="14">
        <f t="shared" si="64"/>
        <v>21.201338735247486</v>
      </c>
      <c r="AS78" s="40">
        <f t="shared" si="65"/>
        <v>-100</v>
      </c>
      <c r="AT78" s="41" t="str">
        <f t="shared" si="66"/>
        <v>NO CONFORME</v>
      </c>
      <c r="AU78" s="8" t="b">
        <f t="shared" si="411"/>
        <v>1</v>
      </c>
      <c r="AV78" s="8" t="b">
        <f t="shared" si="412"/>
        <v>0</v>
      </c>
      <c r="AW78" s="8" t="b">
        <f t="shared" si="413"/>
        <v>1</v>
      </c>
      <c r="AX78" s="8" t="str">
        <f t="shared" si="414"/>
        <v>Qcorrecto</v>
      </c>
      <c r="AY78" s="22" t="str">
        <f t="shared" si="394"/>
        <v>aceptable</v>
      </c>
      <c r="AZ78" s="22" t="str">
        <f t="shared" si="395"/>
        <v>aceptable</v>
      </c>
      <c r="BA78" s="22" t="str">
        <f t="shared" si="415"/>
        <v>aceptable</v>
      </c>
      <c r="BB78" s="25" t="str">
        <f t="shared" si="416"/>
        <v>NO CONFORME</v>
      </c>
      <c r="BC78" s="5" t="str">
        <f t="shared" si="417"/>
        <v>NO CONFORME</v>
      </c>
      <c r="BD78" s="15">
        <f t="shared" si="396"/>
        <v>-1</v>
      </c>
      <c r="BE78" s="15">
        <f t="shared" si="397"/>
        <v>-1</v>
      </c>
      <c r="BF78" s="15">
        <f t="shared" si="398"/>
        <v>-1</v>
      </c>
      <c r="BG78" s="15" t="str">
        <f t="shared" si="399"/>
        <v>-1-1-1</v>
      </c>
      <c r="BH78" s="15" t="str">
        <f t="shared" si="400"/>
        <v>SD</v>
      </c>
      <c r="BI78" s="15" t="str">
        <f t="shared" si="401"/>
        <v>SI</v>
      </c>
      <c r="BJ78" s="15" t="b">
        <f t="shared" si="402"/>
        <v>1</v>
      </c>
      <c r="BK78" s="15" t="str">
        <f t="shared" si="403"/>
        <v>SIGIGUALES</v>
      </c>
      <c r="BL78" s="22" t="str">
        <f t="shared" si="404"/>
        <v>NO CONFORME</v>
      </c>
    </row>
    <row r="79" spans="1:64" ht="14.4" x14ac:dyDescent="0.3">
      <c r="A79" s="36">
        <v>71</v>
      </c>
      <c r="B79" s="28">
        <f t="shared" ref="B79:E79" si="443">B78</f>
        <v>45903</v>
      </c>
      <c r="C79" s="28">
        <f t="shared" si="443"/>
        <v>45903</v>
      </c>
      <c r="D79" s="12">
        <f t="shared" si="443"/>
        <v>3</v>
      </c>
      <c r="E79" s="10">
        <f t="shared" si="443"/>
        <v>11</v>
      </c>
      <c r="F79" s="13"/>
      <c r="G79" s="69"/>
      <c r="H79" s="70">
        <f t="shared" ref="H79:L79" si="444">H78</f>
        <v>25.6</v>
      </c>
      <c r="I79" s="37">
        <f t="shared" si="444"/>
        <v>0</v>
      </c>
      <c r="J79" s="35">
        <f t="shared" si="444"/>
        <v>16</v>
      </c>
      <c r="K79" s="122">
        <f t="shared" si="444"/>
        <v>8.1690000000000005</v>
      </c>
      <c r="L79" s="122">
        <f t="shared" si="444"/>
        <v>0.879</v>
      </c>
      <c r="M79" s="126"/>
      <c r="N79" s="126"/>
      <c r="O79" s="32">
        <f t="shared" ref="O79:P79" si="445">O78</f>
        <v>100.65</v>
      </c>
      <c r="P79" s="33" t="str">
        <f t="shared" si="445"/>
        <v>2,31,180</v>
      </c>
      <c r="Q79" s="11" t="str">
        <f t="shared" si="47"/>
        <v>2</v>
      </c>
      <c r="R79" s="11" t="str">
        <f t="shared" si="48"/>
        <v>31,180</v>
      </c>
      <c r="S79" s="11">
        <f t="shared" si="49"/>
        <v>4.1994444444444445E-2</v>
      </c>
      <c r="T79" s="14">
        <f t="shared" si="50"/>
        <v>2396.7456012700095</v>
      </c>
      <c r="U79" s="38">
        <f t="shared" si="51"/>
        <v>-100</v>
      </c>
      <c r="V79" s="39">
        <f t="shared" ref="V79:W79" si="446">V78</f>
        <v>19.8</v>
      </c>
      <c r="W79" s="124">
        <f t="shared" si="446"/>
        <v>1.08</v>
      </c>
      <c r="X79" s="124">
        <f t="shared" si="408"/>
        <v>1.075</v>
      </c>
      <c r="Y79" s="126"/>
      <c r="Z79" s="126"/>
      <c r="AA79" s="90">
        <f t="shared" ref="AA79:AB79" si="447">AA78</f>
        <v>5.0149999999999997</v>
      </c>
      <c r="AB79" s="73" t="str">
        <f t="shared" si="447"/>
        <v>9,05,040</v>
      </c>
      <c r="AC79" s="11" t="str">
        <f t="shared" si="54"/>
        <v>9,</v>
      </c>
      <c r="AD79" s="11" t="str">
        <f t="shared" si="55"/>
        <v>05,040</v>
      </c>
      <c r="AE79" s="11">
        <f t="shared" si="56"/>
        <v>0.15139999999999998</v>
      </c>
      <c r="AF79" s="14">
        <f t="shared" si="57"/>
        <v>33.124174372523122</v>
      </c>
      <c r="AG79" s="40">
        <f t="shared" si="58"/>
        <v>-100</v>
      </c>
      <c r="AH79" s="39">
        <f t="shared" si="423"/>
        <v>19.600000000000001</v>
      </c>
      <c r="AI79" s="124">
        <f t="shared" si="423"/>
        <v>1.0860000000000001</v>
      </c>
      <c r="AJ79" s="124">
        <f t="shared" si="423"/>
        <v>1.0780000000000001</v>
      </c>
      <c r="AK79" s="126">
        <f t="shared" si="59"/>
        <v>0</v>
      </c>
      <c r="AL79" s="126"/>
      <c r="AM79" s="34">
        <f t="shared" ref="AM79:AN79" si="448">AM78</f>
        <v>2.0059999999999998</v>
      </c>
      <c r="AN79" s="33" t="str">
        <f t="shared" si="448"/>
        <v>5,40,620</v>
      </c>
      <c r="AO79" s="11" t="str">
        <f t="shared" si="61"/>
        <v>5,</v>
      </c>
      <c r="AP79" s="11" t="str">
        <f t="shared" si="62"/>
        <v>40,620</v>
      </c>
      <c r="AQ79" s="11">
        <f t="shared" si="63"/>
        <v>9.4616666666666668E-2</v>
      </c>
      <c r="AR79" s="14">
        <f t="shared" si="64"/>
        <v>21.201338735247486</v>
      </c>
      <c r="AS79" s="40">
        <f t="shared" si="65"/>
        <v>-100</v>
      </c>
      <c r="AT79" s="41" t="str">
        <f t="shared" si="66"/>
        <v>NO CONFORME</v>
      </c>
      <c r="AU79" s="8" t="b">
        <f t="shared" si="411"/>
        <v>1</v>
      </c>
      <c r="AV79" s="8" t="b">
        <f t="shared" si="412"/>
        <v>0</v>
      </c>
      <c r="AW79" s="8" t="b">
        <f t="shared" si="413"/>
        <v>1</v>
      </c>
      <c r="AX79" s="8" t="str">
        <f t="shared" si="414"/>
        <v>Qcorrecto</v>
      </c>
      <c r="AY79" s="22" t="str">
        <f t="shared" si="394"/>
        <v>aceptable</v>
      </c>
      <c r="AZ79" s="22" t="str">
        <f t="shared" si="395"/>
        <v>aceptable</v>
      </c>
      <c r="BA79" s="22" t="str">
        <f t="shared" si="415"/>
        <v>aceptable</v>
      </c>
      <c r="BB79" s="25" t="str">
        <f t="shared" si="416"/>
        <v>NO CONFORME</v>
      </c>
      <c r="BC79" s="5" t="str">
        <f t="shared" si="417"/>
        <v>NO CONFORME</v>
      </c>
      <c r="BD79" s="15">
        <f t="shared" si="396"/>
        <v>-1</v>
      </c>
      <c r="BE79" s="15">
        <f t="shared" si="397"/>
        <v>-1</v>
      </c>
      <c r="BF79" s="15">
        <f t="shared" si="398"/>
        <v>-1</v>
      </c>
      <c r="BG79" s="15" t="str">
        <f t="shared" si="399"/>
        <v>-1-1-1</v>
      </c>
      <c r="BH79" s="15" t="str">
        <f t="shared" si="400"/>
        <v>SD</v>
      </c>
      <c r="BI79" s="15" t="str">
        <f t="shared" si="401"/>
        <v>SI</v>
      </c>
      <c r="BJ79" s="15" t="b">
        <f t="shared" si="402"/>
        <v>1</v>
      </c>
      <c r="BK79" s="15" t="str">
        <f t="shared" si="403"/>
        <v>SIGIGUALES</v>
      </c>
      <c r="BL79" s="22" t="str">
        <f t="shared" si="404"/>
        <v>NO CONFORME</v>
      </c>
    </row>
    <row r="80" spans="1:64" ht="14.4" x14ac:dyDescent="0.3">
      <c r="A80" s="36">
        <v>72</v>
      </c>
      <c r="B80" s="28">
        <f t="shared" ref="B80:E80" si="449">B79</f>
        <v>45903</v>
      </c>
      <c r="C80" s="28">
        <f t="shared" si="449"/>
        <v>45903</v>
      </c>
      <c r="D80" s="12">
        <f t="shared" si="449"/>
        <v>3</v>
      </c>
      <c r="E80" s="10">
        <f t="shared" si="449"/>
        <v>11</v>
      </c>
      <c r="F80" s="13"/>
      <c r="G80" s="69"/>
      <c r="H80" s="70">
        <f t="shared" ref="H80:L80" si="450">H79</f>
        <v>25.6</v>
      </c>
      <c r="I80" s="37">
        <f t="shared" si="450"/>
        <v>0</v>
      </c>
      <c r="J80" s="35">
        <f t="shared" si="450"/>
        <v>16</v>
      </c>
      <c r="K80" s="122">
        <f t="shared" si="450"/>
        <v>8.1690000000000005</v>
      </c>
      <c r="L80" s="122">
        <f t="shared" si="450"/>
        <v>0.879</v>
      </c>
      <c r="M80" s="126"/>
      <c r="N80" s="126"/>
      <c r="O80" s="32">
        <f t="shared" ref="O80:P80" si="451">O79</f>
        <v>100.65</v>
      </c>
      <c r="P80" s="33" t="str">
        <f t="shared" si="451"/>
        <v>2,31,180</v>
      </c>
      <c r="Q80" s="11" t="str">
        <f t="shared" si="47"/>
        <v>2</v>
      </c>
      <c r="R80" s="11" t="str">
        <f t="shared" si="48"/>
        <v>31,180</v>
      </c>
      <c r="S80" s="11">
        <f t="shared" si="49"/>
        <v>4.1994444444444445E-2</v>
      </c>
      <c r="T80" s="14">
        <f t="shared" si="50"/>
        <v>2396.7456012700095</v>
      </c>
      <c r="U80" s="38">
        <f t="shared" si="51"/>
        <v>-100</v>
      </c>
      <c r="V80" s="39">
        <f t="shared" ref="V80:W80" si="452">V79</f>
        <v>19.8</v>
      </c>
      <c r="W80" s="124">
        <f t="shared" si="452"/>
        <v>1.08</v>
      </c>
      <c r="X80" s="124">
        <f t="shared" si="408"/>
        <v>1.075</v>
      </c>
      <c r="Y80" s="126"/>
      <c r="Z80" s="126"/>
      <c r="AA80" s="90">
        <f t="shared" ref="AA80:AB80" si="453">AA79</f>
        <v>5.0149999999999997</v>
      </c>
      <c r="AB80" s="73" t="str">
        <f t="shared" si="453"/>
        <v>9,05,040</v>
      </c>
      <c r="AC80" s="11" t="str">
        <f t="shared" si="54"/>
        <v>9,</v>
      </c>
      <c r="AD80" s="11" t="str">
        <f t="shared" si="55"/>
        <v>05,040</v>
      </c>
      <c r="AE80" s="11">
        <f t="shared" si="56"/>
        <v>0.15139999999999998</v>
      </c>
      <c r="AF80" s="14">
        <f t="shared" si="57"/>
        <v>33.124174372523122</v>
      </c>
      <c r="AG80" s="40">
        <f t="shared" si="58"/>
        <v>-100</v>
      </c>
      <c r="AH80" s="39">
        <f t="shared" si="423"/>
        <v>19.600000000000001</v>
      </c>
      <c r="AI80" s="124">
        <f t="shared" si="423"/>
        <v>1.0860000000000001</v>
      </c>
      <c r="AJ80" s="124">
        <f t="shared" si="423"/>
        <v>1.0780000000000001</v>
      </c>
      <c r="AK80" s="126">
        <f t="shared" si="59"/>
        <v>0</v>
      </c>
      <c r="AL80" s="126"/>
      <c r="AM80" s="34">
        <f t="shared" ref="AM80:AN80" si="454">AM79</f>
        <v>2.0059999999999998</v>
      </c>
      <c r="AN80" s="33" t="str">
        <f t="shared" si="454"/>
        <v>5,40,620</v>
      </c>
      <c r="AO80" s="11" t="str">
        <f t="shared" si="61"/>
        <v>5,</v>
      </c>
      <c r="AP80" s="11" t="str">
        <f t="shared" si="62"/>
        <v>40,620</v>
      </c>
      <c r="AQ80" s="11">
        <f t="shared" si="63"/>
        <v>9.4616666666666668E-2</v>
      </c>
      <c r="AR80" s="14">
        <f t="shared" si="64"/>
        <v>21.201338735247486</v>
      </c>
      <c r="AS80" s="40">
        <f t="shared" si="65"/>
        <v>-100</v>
      </c>
      <c r="AT80" s="41" t="str">
        <f t="shared" si="66"/>
        <v>NO CONFORME</v>
      </c>
      <c r="AU80" s="8" t="b">
        <f t="shared" si="411"/>
        <v>1</v>
      </c>
      <c r="AV80" s="8" t="b">
        <f t="shared" si="412"/>
        <v>0</v>
      </c>
      <c r="AW80" s="8" t="b">
        <f t="shared" si="413"/>
        <v>1</v>
      </c>
      <c r="AX80" s="8" t="str">
        <f t="shared" si="414"/>
        <v>Qcorrecto</v>
      </c>
      <c r="AY80" s="22" t="str">
        <f t="shared" si="394"/>
        <v>aceptable</v>
      </c>
      <c r="AZ80" s="22" t="str">
        <f t="shared" si="395"/>
        <v>aceptable</v>
      </c>
      <c r="BA80" s="22" t="str">
        <f t="shared" si="415"/>
        <v>aceptable</v>
      </c>
      <c r="BB80" s="25" t="str">
        <f t="shared" si="416"/>
        <v>NO CONFORME</v>
      </c>
      <c r="BC80" s="5" t="str">
        <f t="shared" si="417"/>
        <v>NO CONFORME</v>
      </c>
      <c r="BD80" s="15">
        <f t="shared" si="396"/>
        <v>-1</v>
      </c>
      <c r="BE80" s="15">
        <f t="shared" si="397"/>
        <v>-1</v>
      </c>
      <c r="BF80" s="15">
        <f t="shared" si="398"/>
        <v>-1</v>
      </c>
      <c r="BG80" s="15" t="str">
        <f t="shared" si="399"/>
        <v>-1-1-1</v>
      </c>
      <c r="BH80" s="15" t="str">
        <f t="shared" si="400"/>
        <v>SD</v>
      </c>
      <c r="BI80" s="15" t="str">
        <f t="shared" si="401"/>
        <v>SI</v>
      </c>
      <c r="BJ80" s="15" t="b">
        <f t="shared" si="402"/>
        <v>1</v>
      </c>
      <c r="BK80" s="15" t="str">
        <f t="shared" si="403"/>
        <v>SIGIGUALES</v>
      </c>
      <c r="BL80" s="22" t="str">
        <f t="shared" si="404"/>
        <v>NO CONFORME</v>
      </c>
    </row>
    <row r="81" spans="1:64" ht="14.4" x14ac:dyDescent="0.3">
      <c r="A81" s="36">
        <v>73</v>
      </c>
      <c r="B81" s="28">
        <f t="shared" ref="B81:E81" si="455">B80</f>
        <v>45903</v>
      </c>
      <c r="C81" s="28">
        <f t="shared" si="455"/>
        <v>45903</v>
      </c>
      <c r="D81" s="12">
        <f t="shared" si="455"/>
        <v>3</v>
      </c>
      <c r="E81" s="10">
        <f t="shared" si="455"/>
        <v>11</v>
      </c>
      <c r="F81" s="13"/>
      <c r="G81" s="69"/>
      <c r="H81" s="70">
        <f t="shared" ref="H81:L81" si="456">H80</f>
        <v>25.6</v>
      </c>
      <c r="I81" s="37">
        <f t="shared" si="456"/>
        <v>0</v>
      </c>
      <c r="J81" s="35">
        <f t="shared" si="456"/>
        <v>16</v>
      </c>
      <c r="K81" s="122">
        <f t="shared" si="456"/>
        <v>8.1690000000000005</v>
      </c>
      <c r="L81" s="122">
        <f t="shared" si="456"/>
        <v>0.879</v>
      </c>
      <c r="M81" s="126"/>
      <c r="N81" s="126"/>
      <c r="O81" s="32">
        <f t="shared" ref="O81:P81" si="457">O80</f>
        <v>100.65</v>
      </c>
      <c r="P81" s="33" t="str">
        <f t="shared" si="457"/>
        <v>2,31,180</v>
      </c>
      <c r="Q81" s="11" t="str">
        <f t="shared" si="47"/>
        <v>2</v>
      </c>
      <c r="R81" s="11" t="str">
        <f t="shared" si="48"/>
        <v>31,180</v>
      </c>
      <c r="S81" s="11">
        <f t="shared" si="49"/>
        <v>4.1994444444444445E-2</v>
      </c>
      <c r="T81" s="14">
        <f t="shared" si="50"/>
        <v>2396.7456012700095</v>
      </c>
      <c r="U81" s="38">
        <f t="shared" si="51"/>
        <v>-100</v>
      </c>
      <c r="V81" s="39">
        <f t="shared" ref="V81:W81" si="458">V80</f>
        <v>19.8</v>
      </c>
      <c r="W81" s="124">
        <f t="shared" si="458"/>
        <v>1.08</v>
      </c>
      <c r="X81" s="124">
        <f t="shared" si="408"/>
        <v>1.075</v>
      </c>
      <c r="Y81" s="126"/>
      <c r="Z81" s="126"/>
      <c r="AA81" s="90">
        <f t="shared" ref="AA81:AB81" si="459">AA80</f>
        <v>5.0149999999999997</v>
      </c>
      <c r="AB81" s="73" t="str">
        <f t="shared" si="459"/>
        <v>9,05,040</v>
      </c>
      <c r="AC81" s="11" t="str">
        <f t="shared" si="54"/>
        <v>9,</v>
      </c>
      <c r="AD81" s="11" t="str">
        <f t="shared" si="55"/>
        <v>05,040</v>
      </c>
      <c r="AE81" s="11">
        <f t="shared" si="56"/>
        <v>0.15139999999999998</v>
      </c>
      <c r="AF81" s="14">
        <f t="shared" si="57"/>
        <v>33.124174372523122</v>
      </c>
      <c r="AG81" s="40">
        <f t="shared" si="58"/>
        <v>-100</v>
      </c>
      <c r="AH81" s="39">
        <f t="shared" si="423"/>
        <v>19.600000000000001</v>
      </c>
      <c r="AI81" s="124">
        <f t="shared" si="423"/>
        <v>1.0860000000000001</v>
      </c>
      <c r="AJ81" s="124">
        <f t="shared" si="423"/>
        <v>1.0780000000000001</v>
      </c>
      <c r="AK81" s="126">
        <f t="shared" si="59"/>
        <v>0</v>
      </c>
      <c r="AL81" s="126"/>
      <c r="AM81" s="34">
        <f t="shared" ref="AM81:AN81" si="460">AM80</f>
        <v>2.0059999999999998</v>
      </c>
      <c r="AN81" s="33" t="str">
        <f t="shared" si="460"/>
        <v>5,40,620</v>
      </c>
      <c r="AO81" s="11" t="str">
        <f t="shared" si="61"/>
        <v>5,</v>
      </c>
      <c r="AP81" s="11" t="str">
        <f t="shared" si="62"/>
        <v>40,620</v>
      </c>
      <c r="AQ81" s="11">
        <f t="shared" si="63"/>
        <v>9.4616666666666668E-2</v>
      </c>
      <c r="AR81" s="14">
        <f t="shared" si="64"/>
        <v>21.201338735247486</v>
      </c>
      <c r="AS81" s="40">
        <f t="shared" si="65"/>
        <v>-100</v>
      </c>
      <c r="AT81" s="41" t="str">
        <f t="shared" si="66"/>
        <v>NO CONFORME</v>
      </c>
      <c r="AU81" s="8" t="b">
        <f t="shared" si="411"/>
        <v>1</v>
      </c>
      <c r="AV81" s="8" t="b">
        <f t="shared" si="412"/>
        <v>0</v>
      </c>
      <c r="AW81" s="8" t="b">
        <f t="shared" si="413"/>
        <v>1</v>
      </c>
      <c r="AX81" s="8" t="str">
        <f t="shared" si="414"/>
        <v>Qcorrecto</v>
      </c>
      <c r="AY81" s="22" t="str">
        <f t="shared" si="394"/>
        <v>aceptable</v>
      </c>
      <c r="AZ81" s="22" t="str">
        <f t="shared" si="395"/>
        <v>aceptable</v>
      </c>
      <c r="BA81" s="22" t="str">
        <f t="shared" si="415"/>
        <v>aceptable</v>
      </c>
      <c r="BB81" s="25" t="str">
        <f t="shared" si="416"/>
        <v>NO CONFORME</v>
      </c>
      <c r="BC81" s="5" t="str">
        <f t="shared" si="417"/>
        <v>NO CONFORME</v>
      </c>
      <c r="BD81" s="15">
        <f t="shared" si="396"/>
        <v>-1</v>
      </c>
      <c r="BE81" s="15">
        <f t="shared" si="397"/>
        <v>-1</v>
      </c>
      <c r="BF81" s="15">
        <f t="shared" si="398"/>
        <v>-1</v>
      </c>
      <c r="BG81" s="15" t="str">
        <f t="shared" si="399"/>
        <v>-1-1-1</v>
      </c>
      <c r="BH81" s="15" t="str">
        <f t="shared" si="400"/>
        <v>SD</v>
      </c>
      <c r="BI81" s="15" t="str">
        <f t="shared" si="401"/>
        <v>SI</v>
      </c>
      <c r="BJ81" s="15" t="b">
        <f t="shared" si="402"/>
        <v>1</v>
      </c>
      <c r="BK81" s="15" t="str">
        <f t="shared" si="403"/>
        <v>SIGIGUALES</v>
      </c>
      <c r="BL81" s="22" t="str">
        <f t="shared" si="404"/>
        <v>NO CONFORME</v>
      </c>
    </row>
    <row r="82" spans="1:64" ht="14.4" x14ac:dyDescent="0.3">
      <c r="A82" s="36">
        <v>74</v>
      </c>
      <c r="B82" s="28">
        <f t="shared" ref="B82:E82" si="461">B81</f>
        <v>45903</v>
      </c>
      <c r="C82" s="28">
        <f t="shared" si="461"/>
        <v>45903</v>
      </c>
      <c r="D82" s="12">
        <f t="shared" si="461"/>
        <v>3</v>
      </c>
      <c r="E82" s="10">
        <f t="shared" si="461"/>
        <v>11</v>
      </c>
      <c r="F82" s="13"/>
      <c r="G82" s="69"/>
      <c r="H82" s="70">
        <f t="shared" ref="H82:L82" si="462">H81</f>
        <v>25.6</v>
      </c>
      <c r="I82" s="37">
        <f t="shared" si="462"/>
        <v>0</v>
      </c>
      <c r="J82" s="35">
        <f t="shared" si="462"/>
        <v>16</v>
      </c>
      <c r="K82" s="122">
        <f t="shared" si="462"/>
        <v>8.1690000000000005</v>
      </c>
      <c r="L82" s="122">
        <f t="shared" si="462"/>
        <v>0.879</v>
      </c>
      <c r="M82" s="126"/>
      <c r="N82" s="126"/>
      <c r="O82" s="32">
        <f t="shared" ref="O82:P82" si="463">O81</f>
        <v>100.65</v>
      </c>
      <c r="P82" s="33" t="str">
        <f t="shared" si="463"/>
        <v>2,31,180</v>
      </c>
      <c r="Q82" s="11" t="str">
        <f t="shared" si="47"/>
        <v>2</v>
      </c>
      <c r="R82" s="11" t="str">
        <f t="shared" si="48"/>
        <v>31,180</v>
      </c>
      <c r="S82" s="11">
        <f t="shared" si="49"/>
        <v>4.1994444444444445E-2</v>
      </c>
      <c r="T82" s="14">
        <f t="shared" si="50"/>
        <v>2396.7456012700095</v>
      </c>
      <c r="U82" s="38">
        <f t="shared" si="51"/>
        <v>-100</v>
      </c>
      <c r="V82" s="39">
        <f t="shared" ref="V82:W82" si="464">V81</f>
        <v>19.8</v>
      </c>
      <c r="W82" s="124">
        <f t="shared" si="464"/>
        <v>1.08</v>
      </c>
      <c r="X82" s="124">
        <f t="shared" si="408"/>
        <v>1.075</v>
      </c>
      <c r="Y82" s="126"/>
      <c r="Z82" s="126"/>
      <c r="AA82" s="90">
        <f t="shared" ref="AA82:AB82" si="465">AA81</f>
        <v>5.0149999999999997</v>
      </c>
      <c r="AB82" s="73" t="str">
        <f t="shared" si="465"/>
        <v>9,05,040</v>
      </c>
      <c r="AC82" s="11" t="str">
        <f t="shared" si="54"/>
        <v>9,</v>
      </c>
      <c r="AD82" s="11" t="str">
        <f t="shared" si="55"/>
        <v>05,040</v>
      </c>
      <c r="AE82" s="11">
        <f t="shared" si="56"/>
        <v>0.15139999999999998</v>
      </c>
      <c r="AF82" s="14">
        <f t="shared" si="57"/>
        <v>33.124174372523122</v>
      </c>
      <c r="AG82" s="40">
        <f t="shared" si="58"/>
        <v>-100</v>
      </c>
      <c r="AH82" s="39">
        <f t="shared" si="423"/>
        <v>19.600000000000001</v>
      </c>
      <c r="AI82" s="124">
        <f t="shared" si="423"/>
        <v>1.0860000000000001</v>
      </c>
      <c r="AJ82" s="124">
        <f t="shared" si="423"/>
        <v>1.0780000000000001</v>
      </c>
      <c r="AK82" s="126">
        <f t="shared" si="59"/>
        <v>0</v>
      </c>
      <c r="AL82" s="126"/>
      <c r="AM82" s="34">
        <f t="shared" ref="AM82:AN82" si="466">AM81</f>
        <v>2.0059999999999998</v>
      </c>
      <c r="AN82" s="33" t="str">
        <f t="shared" si="466"/>
        <v>5,40,620</v>
      </c>
      <c r="AO82" s="11" t="str">
        <f t="shared" si="61"/>
        <v>5,</v>
      </c>
      <c r="AP82" s="11" t="str">
        <f t="shared" si="62"/>
        <v>40,620</v>
      </c>
      <c r="AQ82" s="11">
        <f t="shared" si="63"/>
        <v>9.4616666666666668E-2</v>
      </c>
      <c r="AR82" s="14">
        <f t="shared" si="64"/>
        <v>21.201338735247486</v>
      </c>
      <c r="AS82" s="40">
        <f t="shared" si="65"/>
        <v>-100</v>
      </c>
      <c r="AT82" s="41" t="str">
        <f t="shared" si="66"/>
        <v>NO CONFORME</v>
      </c>
      <c r="AU82" s="8" t="b">
        <f t="shared" si="411"/>
        <v>1</v>
      </c>
      <c r="AV82" s="8" t="b">
        <f t="shared" si="412"/>
        <v>0</v>
      </c>
      <c r="AW82" s="8" t="b">
        <f t="shared" si="413"/>
        <v>1</v>
      </c>
      <c r="AX82" s="8" t="str">
        <f t="shared" si="414"/>
        <v>Qcorrecto</v>
      </c>
      <c r="AY82" s="22" t="str">
        <f t="shared" si="394"/>
        <v>aceptable</v>
      </c>
      <c r="AZ82" s="22" t="str">
        <f t="shared" si="395"/>
        <v>aceptable</v>
      </c>
      <c r="BA82" s="22" t="str">
        <f t="shared" si="415"/>
        <v>aceptable</v>
      </c>
      <c r="BB82" s="25" t="str">
        <f t="shared" si="416"/>
        <v>NO CONFORME</v>
      </c>
      <c r="BC82" s="5" t="str">
        <f t="shared" si="417"/>
        <v>NO CONFORME</v>
      </c>
      <c r="BD82" s="15">
        <f t="shared" si="396"/>
        <v>-1</v>
      </c>
      <c r="BE82" s="15">
        <f t="shared" si="397"/>
        <v>-1</v>
      </c>
      <c r="BF82" s="15">
        <f t="shared" si="398"/>
        <v>-1</v>
      </c>
      <c r="BG82" s="15" t="str">
        <f t="shared" si="399"/>
        <v>-1-1-1</v>
      </c>
      <c r="BH82" s="15" t="str">
        <f t="shared" si="400"/>
        <v>SD</v>
      </c>
      <c r="BI82" s="15" t="str">
        <f t="shared" si="401"/>
        <v>SI</v>
      </c>
      <c r="BJ82" s="15" t="b">
        <f t="shared" si="402"/>
        <v>1</v>
      </c>
      <c r="BK82" s="15" t="str">
        <f t="shared" si="403"/>
        <v>SIGIGUALES</v>
      </c>
      <c r="BL82" s="22" t="str">
        <f t="shared" si="404"/>
        <v>NO CONFORME</v>
      </c>
    </row>
    <row r="83" spans="1:64" ht="14.4" x14ac:dyDescent="0.3">
      <c r="A83" s="36">
        <v>75</v>
      </c>
      <c r="B83" s="28">
        <f t="shared" ref="B83:E83" si="467">B82</f>
        <v>45903</v>
      </c>
      <c r="C83" s="28">
        <f t="shared" si="467"/>
        <v>45903</v>
      </c>
      <c r="D83" s="12">
        <f t="shared" si="467"/>
        <v>3</v>
      </c>
      <c r="E83" s="10">
        <f t="shared" si="467"/>
        <v>11</v>
      </c>
      <c r="F83" s="13"/>
      <c r="G83" s="69"/>
      <c r="H83" s="70">
        <f t="shared" ref="H83:L83" si="468">H82</f>
        <v>25.6</v>
      </c>
      <c r="I83" s="37">
        <f t="shared" si="468"/>
        <v>0</v>
      </c>
      <c r="J83" s="35">
        <f t="shared" si="468"/>
        <v>16</v>
      </c>
      <c r="K83" s="122">
        <f t="shared" si="468"/>
        <v>8.1690000000000005</v>
      </c>
      <c r="L83" s="122">
        <f t="shared" si="468"/>
        <v>0.879</v>
      </c>
      <c r="M83" s="126"/>
      <c r="N83" s="126"/>
      <c r="O83" s="32">
        <f t="shared" ref="O83:P83" si="469">O82</f>
        <v>100.65</v>
      </c>
      <c r="P83" s="33" t="str">
        <f t="shared" si="469"/>
        <v>2,31,180</v>
      </c>
      <c r="Q83" s="11" t="str">
        <f t="shared" ref="Q83:Q146" si="470">LEFT(P83,1)</f>
        <v>2</v>
      </c>
      <c r="R83" s="11" t="str">
        <f t="shared" ref="R83:R146" si="471">RIGHT(P83,6)</f>
        <v>31,180</v>
      </c>
      <c r="S83" s="11">
        <f t="shared" ref="S83:S146" si="472">+(Q83*60+R83)/(60*60)</f>
        <v>4.1994444444444445E-2</v>
      </c>
      <c r="T83" s="14">
        <f t="shared" ref="T83:T146" si="473">+O83/S83</f>
        <v>2396.7456012700095</v>
      </c>
      <c r="U83" s="38">
        <f t="shared" ref="U83:U146" si="474">+(((N83-M83-O83)/O83)*100)</f>
        <v>-100</v>
      </c>
      <c r="V83" s="39">
        <f t="shared" ref="V83:W83" si="475">V82</f>
        <v>19.8</v>
      </c>
      <c r="W83" s="124">
        <f t="shared" si="475"/>
        <v>1.08</v>
      </c>
      <c r="X83" s="124">
        <f t="shared" si="408"/>
        <v>1.075</v>
      </c>
      <c r="Y83" s="126"/>
      <c r="Z83" s="126"/>
      <c r="AA83" s="90">
        <f t="shared" ref="AA83:AB83" si="476">AA82</f>
        <v>5.0149999999999997</v>
      </c>
      <c r="AB83" s="73" t="str">
        <f t="shared" si="476"/>
        <v>9,05,040</v>
      </c>
      <c r="AC83" s="11" t="str">
        <f t="shared" ref="AC83:AC146" si="477">LEFT(AB83,2)</f>
        <v>9,</v>
      </c>
      <c r="AD83" s="11" t="str">
        <f t="shared" ref="AD83:AD146" si="478">RIGHT(AB83,6)</f>
        <v>05,040</v>
      </c>
      <c r="AE83" s="11">
        <f t="shared" ref="AE83:AE146" si="479">+(AC83*60+AD83)/(60*60)</f>
        <v>0.15139999999999998</v>
      </c>
      <c r="AF83" s="14">
        <f t="shared" ref="AF83:AF146" si="480">+AA83/AE83</f>
        <v>33.124174372523122</v>
      </c>
      <c r="AG83" s="40">
        <f t="shared" ref="AG83:AG146" si="481">+(((Z83-Y83-AA83)/AA83)*100)</f>
        <v>-100</v>
      </c>
      <c r="AH83" s="39">
        <f t="shared" si="423"/>
        <v>19.600000000000001</v>
      </c>
      <c r="AI83" s="124">
        <f t="shared" si="423"/>
        <v>1.0860000000000001</v>
      </c>
      <c r="AJ83" s="124">
        <f t="shared" si="423"/>
        <v>1.0780000000000001</v>
      </c>
      <c r="AK83" s="126">
        <f t="shared" ref="AK83:AK146" si="482">Z83</f>
        <v>0</v>
      </c>
      <c r="AL83" s="126"/>
      <c r="AM83" s="34">
        <f t="shared" ref="AM83:AN83" si="483">AM82</f>
        <v>2.0059999999999998</v>
      </c>
      <c r="AN83" s="33" t="str">
        <f t="shared" si="483"/>
        <v>5,40,620</v>
      </c>
      <c r="AO83" s="11" t="str">
        <f t="shared" ref="AO83:AO146" si="484">LEFT(AN83,2)</f>
        <v>5,</v>
      </c>
      <c r="AP83" s="11" t="str">
        <f t="shared" ref="AP83:AP146" si="485">RIGHT(AN83,6)</f>
        <v>40,620</v>
      </c>
      <c r="AQ83" s="11">
        <f t="shared" ref="AQ83:AQ146" si="486">+(AO83*60+AP83)/(60*60)</f>
        <v>9.4616666666666668E-2</v>
      </c>
      <c r="AR83" s="14">
        <f t="shared" ref="AR83:AR146" si="487">+AM83/AQ83</f>
        <v>21.201338735247486</v>
      </c>
      <c r="AS83" s="40">
        <f t="shared" ref="AS83:AS146" si="488">+(((AL83-AK83-AM83)/AM83)*100)</f>
        <v>-100</v>
      </c>
      <c r="AT83" s="41" t="str">
        <f t="shared" ref="AT83:AT146" si="489">IF(I83&gt;=1,"NO CONFORME",IF(BK83="SIGDIFERENTES",BC83,BL83))</f>
        <v>NO CONFORME</v>
      </c>
      <c r="AU83" s="8" t="b">
        <f t="shared" si="411"/>
        <v>1</v>
      </c>
      <c r="AV83" s="8" t="b">
        <f t="shared" si="412"/>
        <v>0</v>
      </c>
      <c r="AW83" s="8" t="b">
        <f t="shared" si="413"/>
        <v>1</v>
      </c>
      <c r="AX83" s="8" t="str">
        <f t="shared" si="414"/>
        <v>Qcorrecto</v>
      </c>
      <c r="AY83" s="22" t="str">
        <f t="shared" si="394"/>
        <v>aceptable</v>
      </c>
      <c r="AZ83" s="22" t="str">
        <f t="shared" si="395"/>
        <v>aceptable</v>
      </c>
      <c r="BA83" s="22" t="str">
        <f t="shared" si="415"/>
        <v>aceptable</v>
      </c>
      <c r="BB83" s="25" t="str">
        <f t="shared" si="416"/>
        <v>NO CONFORME</v>
      </c>
      <c r="BC83" s="5" t="str">
        <f t="shared" si="417"/>
        <v>NO CONFORME</v>
      </c>
      <c r="BD83" s="15">
        <f t="shared" si="396"/>
        <v>-1</v>
      </c>
      <c r="BE83" s="15">
        <f t="shared" si="397"/>
        <v>-1</v>
      </c>
      <c r="BF83" s="15">
        <f t="shared" si="398"/>
        <v>-1</v>
      </c>
      <c r="BG83" s="15" t="str">
        <f t="shared" si="399"/>
        <v>-1-1-1</v>
      </c>
      <c r="BH83" s="15" t="str">
        <f t="shared" si="400"/>
        <v>SD</v>
      </c>
      <c r="BI83" s="15" t="str">
        <f t="shared" si="401"/>
        <v>SI</v>
      </c>
      <c r="BJ83" s="15" t="b">
        <f t="shared" si="402"/>
        <v>1</v>
      </c>
      <c r="BK83" s="15" t="str">
        <f t="shared" si="403"/>
        <v>SIGIGUALES</v>
      </c>
      <c r="BL83" s="22" t="str">
        <f t="shared" si="404"/>
        <v>NO CONFORME</v>
      </c>
    </row>
    <row r="84" spans="1:64" ht="14.4" x14ac:dyDescent="0.3">
      <c r="A84" s="36">
        <v>76</v>
      </c>
      <c r="B84" s="28">
        <f t="shared" ref="B84:E84" si="490">B83</f>
        <v>45903</v>
      </c>
      <c r="C84" s="28">
        <f t="shared" si="490"/>
        <v>45903</v>
      </c>
      <c r="D84" s="12">
        <f t="shared" si="490"/>
        <v>3</v>
      </c>
      <c r="E84" s="10">
        <f t="shared" si="490"/>
        <v>11</v>
      </c>
      <c r="F84" s="13"/>
      <c r="G84" s="69"/>
      <c r="H84" s="70">
        <f t="shared" ref="H84:L84" si="491">H83</f>
        <v>25.6</v>
      </c>
      <c r="I84" s="37">
        <f t="shared" si="491"/>
        <v>0</v>
      </c>
      <c r="J84" s="35">
        <f t="shared" si="491"/>
        <v>16</v>
      </c>
      <c r="K84" s="122">
        <f t="shared" si="491"/>
        <v>8.1690000000000005</v>
      </c>
      <c r="L84" s="122">
        <f t="shared" si="491"/>
        <v>0.879</v>
      </c>
      <c r="M84" s="126"/>
      <c r="N84" s="126"/>
      <c r="O84" s="32">
        <f t="shared" ref="O84:P84" si="492">O83</f>
        <v>100.65</v>
      </c>
      <c r="P84" s="33" t="str">
        <f t="shared" si="492"/>
        <v>2,31,180</v>
      </c>
      <c r="Q84" s="11" t="str">
        <f t="shared" si="470"/>
        <v>2</v>
      </c>
      <c r="R84" s="11" t="str">
        <f t="shared" si="471"/>
        <v>31,180</v>
      </c>
      <c r="S84" s="11">
        <f t="shared" si="472"/>
        <v>4.1994444444444445E-2</v>
      </c>
      <c r="T84" s="14">
        <f t="shared" si="473"/>
        <v>2396.7456012700095</v>
      </c>
      <c r="U84" s="38">
        <f t="shared" si="474"/>
        <v>-100</v>
      </c>
      <c r="V84" s="39">
        <f t="shared" ref="V84:W84" si="493">V83</f>
        <v>19.8</v>
      </c>
      <c r="W84" s="124">
        <f t="shared" si="493"/>
        <v>1.08</v>
      </c>
      <c r="X84" s="124">
        <f t="shared" si="408"/>
        <v>1.075</v>
      </c>
      <c r="Y84" s="126"/>
      <c r="Z84" s="126"/>
      <c r="AA84" s="90">
        <f t="shared" ref="AA84:AB84" si="494">AA83</f>
        <v>5.0149999999999997</v>
      </c>
      <c r="AB84" s="73" t="str">
        <f t="shared" si="494"/>
        <v>9,05,040</v>
      </c>
      <c r="AC84" s="11" t="str">
        <f t="shared" si="477"/>
        <v>9,</v>
      </c>
      <c r="AD84" s="11" t="str">
        <f t="shared" si="478"/>
        <v>05,040</v>
      </c>
      <c r="AE84" s="11">
        <f t="shared" si="479"/>
        <v>0.15139999999999998</v>
      </c>
      <c r="AF84" s="14">
        <f t="shared" si="480"/>
        <v>33.124174372523122</v>
      </c>
      <c r="AG84" s="40">
        <f t="shared" si="481"/>
        <v>-100</v>
      </c>
      <c r="AH84" s="39">
        <f t="shared" si="423"/>
        <v>19.600000000000001</v>
      </c>
      <c r="AI84" s="124">
        <f t="shared" si="423"/>
        <v>1.0860000000000001</v>
      </c>
      <c r="AJ84" s="124">
        <f t="shared" si="423"/>
        <v>1.0780000000000001</v>
      </c>
      <c r="AK84" s="126">
        <f t="shared" si="482"/>
        <v>0</v>
      </c>
      <c r="AL84" s="126"/>
      <c r="AM84" s="34">
        <f t="shared" ref="AM84:AN84" si="495">AM83</f>
        <v>2.0059999999999998</v>
      </c>
      <c r="AN84" s="33" t="str">
        <f t="shared" si="495"/>
        <v>5,40,620</v>
      </c>
      <c r="AO84" s="11" t="str">
        <f t="shared" si="484"/>
        <v>5,</v>
      </c>
      <c r="AP84" s="11" t="str">
        <f t="shared" si="485"/>
        <v>40,620</v>
      </c>
      <c r="AQ84" s="11">
        <f t="shared" si="486"/>
        <v>9.4616666666666668E-2</v>
      </c>
      <c r="AR84" s="14">
        <f t="shared" si="487"/>
        <v>21.201338735247486</v>
      </c>
      <c r="AS84" s="40">
        <f t="shared" si="488"/>
        <v>-100</v>
      </c>
      <c r="AT84" s="41" t="str">
        <f t="shared" si="489"/>
        <v>NO CONFORME</v>
      </c>
      <c r="AU84" s="8" t="b">
        <f t="shared" si="411"/>
        <v>1</v>
      </c>
      <c r="AV84" s="8" t="b">
        <f t="shared" si="412"/>
        <v>0</v>
      </c>
      <c r="AW84" s="8" t="b">
        <f t="shared" si="413"/>
        <v>1</v>
      </c>
      <c r="AX84" s="8" t="str">
        <f t="shared" si="414"/>
        <v>Qcorrecto</v>
      </c>
      <c r="AY84" s="22" t="str">
        <f t="shared" si="394"/>
        <v>aceptable</v>
      </c>
      <c r="AZ84" s="22" t="str">
        <f t="shared" si="395"/>
        <v>aceptable</v>
      </c>
      <c r="BA84" s="22" t="str">
        <f t="shared" si="415"/>
        <v>aceptable</v>
      </c>
      <c r="BB84" s="25" t="str">
        <f t="shared" si="416"/>
        <v>NO CONFORME</v>
      </c>
      <c r="BC84" s="5" t="str">
        <f t="shared" si="417"/>
        <v>NO CONFORME</v>
      </c>
      <c r="BD84" s="15">
        <f t="shared" si="396"/>
        <v>-1</v>
      </c>
      <c r="BE84" s="15">
        <f t="shared" si="397"/>
        <v>-1</v>
      </c>
      <c r="BF84" s="15">
        <f t="shared" si="398"/>
        <v>-1</v>
      </c>
      <c r="BG84" s="15" t="str">
        <f t="shared" si="399"/>
        <v>-1-1-1</v>
      </c>
      <c r="BH84" s="15" t="str">
        <f t="shared" si="400"/>
        <v>SD</v>
      </c>
      <c r="BI84" s="15" t="str">
        <f t="shared" si="401"/>
        <v>SI</v>
      </c>
      <c r="BJ84" s="15" t="b">
        <f t="shared" si="402"/>
        <v>1</v>
      </c>
      <c r="BK84" s="15" t="str">
        <f t="shared" si="403"/>
        <v>SIGIGUALES</v>
      </c>
      <c r="BL84" s="22" t="str">
        <f t="shared" si="404"/>
        <v>NO CONFORME</v>
      </c>
    </row>
    <row r="85" spans="1:64" ht="14.4" x14ac:dyDescent="0.3">
      <c r="A85" s="36">
        <v>77</v>
      </c>
      <c r="B85" s="28">
        <f t="shared" ref="B85:E85" si="496">B84</f>
        <v>45903</v>
      </c>
      <c r="C85" s="28">
        <f t="shared" si="496"/>
        <v>45903</v>
      </c>
      <c r="D85" s="12">
        <f t="shared" si="496"/>
        <v>3</v>
      </c>
      <c r="E85" s="10">
        <f t="shared" si="496"/>
        <v>11</v>
      </c>
      <c r="F85" s="13"/>
      <c r="G85" s="69"/>
      <c r="H85" s="70">
        <f t="shared" ref="H85:L85" si="497">H84</f>
        <v>25.6</v>
      </c>
      <c r="I85" s="37">
        <f t="shared" si="497"/>
        <v>0</v>
      </c>
      <c r="J85" s="35">
        <f t="shared" si="497"/>
        <v>16</v>
      </c>
      <c r="K85" s="122">
        <f t="shared" si="497"/>
        <v>8.1690000000000005</v>
      </c>
      <c r="L85" s="122">
        <f t="shared" si="497"/>
        <v>0.879</v>
      </c>
      <c r="M85" s="126"/>
      <c r="N85" s="126"/>
      <c r="O85" s="32">
        <f t="shared" ref="O85:P85" si="498">O84</f>
        <v>100.65</v>
      </c>
      <c r="P85" s="33" t="str">
        <f t="shared" si="498"/>
        <v>2,31,180</v>
      </c>
      <c r="Q85" s="11" t="str">
        <f t="shared" si="470"/>
        <v>2</v>
      </c>
      <c r="R85" s="11" t="str">
        <f t="shared" si="471"/>
        <v>31,180</v>
      </c>
      <c r="S85" s="11">
        <f t="shared" si="472"/>
        <v>4.1994444444444445E-2</v>
      </c>
      <c r="T85" s="14">
        <f t="shared" si="473"/>
        <v>2396.7456012700095</v>
      </c>
      <c r="U85" s="38">
        <f t="shared" si="474"/>
        <v>-100</v>
      </c>
      <c r="V85" s="39">
        <f t="shared" ref="V85:W85" si="499">V84</f>
        <v>19.8</v>
      </c>
      <c r="W85" s="124">
        <f t="shared" si="499"/>
        <v>1.08</v>
      </c>
      <c r="X85" s="124">
        <f t="shared" si="408"/>
        <v>1.075</v>
      </c>
      <c r="Y85" s="126"/>
      <c r="Z85" s="126"/>
      <c r="AA85" s="90">
        <f t="shared" ref="AA85:AB85" si="500">AA84</f>
        <v>5.0149999999999997</v>
      </c>
      <c r="AB85" s="73" t="str">
        <f t="shared" si="500"/>
        <v>9,05,040</v>
      </c>
      <c r="AC85" s="11" t="str">
        <f t="shared" si="477"/>
        <v>9,</v>
      </c>
      <c r="AD85" s="11" t="str">
        <f t="shared" si="478"/>
        <v>05,040</v>
      </c>
      <c r="AE85" s="11">
        <f t="shared" si="479"/>
        <v>0.15139999999999998</v>
      </c>
      <c r="AF85" s="14">
        <f t="shared" si="480"/>
        <v>33.124174372523122</v>
      </c>
      <c r="AG85" s="40">
        <f t="shared" si="481"/>
        <v>-100</v>
      </c>
      <c r="AH85" s="39">
        <f t="shared" si="423"/>
        <v>19.600000000000001</v>
      </c>
      <c r="AI85" s="124">
        <f t="shared" si="423"/>
        <v>1.0860000000000001</v>
      </c>
      <c r="AJ85" s="124">
        <f t="shared" si="423"/>
        <v>1.0780000000000001</v>
      </c>
      <c r="AK85" s="126">
        <f t="shared" si="482"/>
        <v>0</v>
      </c>
      <c r="AL85" s="126"/>
      <c r="AM85" s="34">
        <f t="shared" ref="AM85:AN85" si="501">AM84</f>
        <v>2.0059999999999998</v>
      </c>
      <c r="AN85" s="33" t="str">
        <f t="shared" si="501"/>
        <v>5,40,620</v>
      </c>
      <c r="AO85" s="11" t="str">
        <f t="shared" si="484"/>
        <v>5,</v>
      </c>
      <c r="AP85" s="11" t="str">
        <f t="shared" si="485"/>
        <v>40,620</v>
      </c>
      <c r="AQ85" s="11">
        <f t="shared" si="486"/>
        <v>9.4616666666666668E-2</v>
      </c>
      <c r="AR85" s="14">
        <f t="shared" si="487"/>
        <v>21.201338735247486</v>
      </c>
      <c r="AS85" s="40">
        <f t="shared" si="488"/>
        <v>-100</v>
      </c>
      <c r="AT85" s="41" t="str">
        <f t="shared" si="489"/>
        <v>NO CONFORME</v>
      </c>
      <c r="AU85" s="8" t="b">
        <f t="shared" si="411"/>
        <v>1</v>
      </c>
      <c r="AV85" s="8" t="b">
        <f t="shared" si="412"/>
        <v>0</v>
      </c>
      <c r="AW85" s="8" t="b">
        <f t="shared" si="413"/>
        <v>1</v>
      </c>
      <c r="AX85" s="8" t="str">
        <f t="shared" si="414"/>
        <v>Qcorrecto</v>
      </c>
      <c r="AY85" s="22" t="str">
        <f t="shared" si="394"/>
        <v>aceptable</v>
      </c>
      <c r="AZ85" s="22" t="str">
        <f t="shared" si="395"/>
        <v>aceptable</v>
      </c>
      <c r="BA85" s="22" t="str">
        <f t="shared" si="415"/>
        <v>aceptable</v>
      </c>
      <c r="BB85" s="25" t="str">
        <f t="shared" si="416"/>
        <v>NO CONFORME</v>
      </c>
      <c r="BC85" s="5" t="str">
        <f t="shared" si="417"/>
        <v>NO CONFORME</v>
      </c>
      <c r="BD85" s="15">
        <f t="shared" si="396"/>
        <v>-1</v>
      </c>
      <c r="BE85" s="15">
        <f t="shared" si="397"/>
        <v>-1</v>
      </c>
      <c r="BF85" s="15">
        <f t="shared" si="398"/>
        <v>-1</v>
      </c>
      <c r="BG85" s="15" t="str">
        <f t="shared" si="399"/>
        <v>-1-1-1</v>
      </c>
      <c r="BH85" s="15" t="str">
        <f t="shared" si="400"/>
        <v>SD</v>
      </c>
      <c r="BI85" s="15" t="str">
        <f t="shared" si="401"/>
        <v>SI</v>
      </c>
      <c r="BJ85" s="15" t="b">
        <f t="shared" si="402"/>
        <v>1</v>
      </c>
      <c r="BK85" s="15" t="str">
        <f t="shared" si="403"/>
        <v>SIGIGUALES</v>
      </c>
      <c r="BL85" s="22" t="str">
        <f t="shared" si="404"/>
        <v>NO CONFORME</v>
      </c>
    </row>
    <row r="86" spans="1:64" ht="14.4" x14ac:dyDescent="0.3">
      <c r="A86" s="36">
        <v>78</v>
      </c>
      <c r="B86" s="28">
        <f t="shared" ref="B86:E86" si="502">B85</f>
        <v>45903</v>
      </c>
      <c r="C86" s="28">
        <f t="shared" si="502"/>
        <v>45903</v>
      </c>
      <c r="D86" s="12">
        <f t="shared" si="502"/>
        <v>3</v>
      </c>
      <c r="E86" s="10">
        <f t="shared" si="502"/>
        <v>11</v>
      </c>
      <c r="F86" s="13"/>
      <c r="G86" s="69"/>
      <c r="H86" s="70">
        <f t="shared" ref="H86:L86" si="503">H85</f>
        <v>25.6</v>
      </c>
      <c r="I86" s="37">
        <f t="shared" si="503"/>
        <v>0</v>
      </c>
      <c r="J86" s="35">
        <f t="shared" si="503"/>
        <v>16</v>
      </c>
      <c r="K86" s="122">
        <f t="shared" si="503"/>
        <v>8.1690000000000005</v>
      </c>
      <c r="L86" s="122">
        <f t="shared" si="503"/>
        <v>0.879</v>
      </c>
      <c r="M86" s="126"/>
      <c r="N86" s="126"/>
      <c r="O86" s="32">
        <f t="shared" ref="O86:P86" si="504">O85</f>
        <v>100.65</v>
      </c>
      <c r="P86" s="33" t="str">
        <f t="shared" si="504"/>
        <v>2,31,180</v>
      </c>
      <c r="Q86" s="11" t="str">
        <f t="shared" si="470"/>
        <v>2</v>
      </c>
      <c r="R86" s="11" t="str">
        <f t="shared" si="471"/>
        <v>31,180</v>
      </c>
      <c r="S86" s="11">
        <f t="shared" si="472"/>
        <v>4.1994444444444445E-2</v>
      </c>
      <c r="T86" s="14">
        <f t="shared" si="473"/>
        <v>2396.7456012700095</v>
      </c>
      <c r="U86" s="38">
        <f t="shared" si="474"/>
        <v>-100</v>
      </c>
      <c r="V86" s="39">
        <f t="shared" ref="V86:W86" si="505">V85</f>
        <v>19.8</v>
      </c>
      <c r="W86" s="124">
        <f t="shared" si="505"/>
        <v>1.08</v>
      </c>
      <c r="X86" s="124">
        <f t="shared" si="408"/>
        <v>1.075</v>
      </c>
      <c r="Y86" s="126"/>
      <c r="Z86" s="126"/>
      <c r="AA86" s="90">
        <f t="shared" ref="AA86:AB86" si="506">AA85</f>
        <v>5.0149999999999997</v>
      </c>
      <c r="AB86" s="73" t="str">
        <f t="shared" si="506"/>
        <v>9,05,040</v>
      </c>
      <c r="AC86" s="11" t="str">
        <f t="shared" si="477"/>
        <v>9,</v>
      </c>
      <c r="AD86" s="11" t="str">
        <f t="shared" si="478"/>
        <v>05,040</v>
      </c>
      <c r="AE86" s="11">
        <f t="shared" si="479"/>
        <v>0.15139999999999998</v>
      </c>
      <c r="AF86" s="14">
        <f t="shared" si="480"/>
        <v>33.124174372523122</v>
      </c>
      <c r="AG86" s="40">
        <f t="shared" si="481"/>
        <v>-100</v>
      </c>
      <c r="AH86" s="39">
        <f t="shared" si="423"/>
        <v>19.600000000000001</v>
      </c>
      <c r="AI86" s="124">
        <f t="shared" si="423"/>
        <v>1.0860000000000001</v>
      </c>
      <c r="AJ86" s="124">
        <f t="shared" si="423"/>
        <v>1.0780000000000001</v>
      </c>
      <c r="AK86" s="126">
        <f t="shared" si="482"/>
        <v>0</v>
      </c>
      <c r="AL86" s="126"/>
      <c r="AM86" s="34">
        <f t="shared" ref="AM86:AN86" si="507">AM85</f>
        <v>2.0059999999999998</v>
      </c>
      <c r="AN86" s="33" t="str">
        <f t="shared" si="507"/>
        <v>5,40,620</v>
      </c>
      <c r="AO86" s="11" t="str">
        <f t="shared" si="484"/>
        <v>5,</v>
      </c>
      <c r="AP86" s="11" t="str">
        <f t="shared" si="485"/>
        <v>40,620</v>
      </c>
      <c r="AQ86" s="11">
        <f t="shared" si="486"/>
        <v>9.4616666666666668E-2</v>
      </c>
      <c r="AR86" s="14">
        <f t="shared" si="487"/>
        <v>21.201338735247486</v>
      </c>
      <c r="AS86" s="40">
        <f t="shared" si="488"/>
        <v>-100</v>
      </c>
      <c r="AT86" s="41" t="str">
        <f t="shared" si="489"/>
        <v>NO CONFORME</v>
      </c>
      <c r="AU86" s="8" t="b">
        <f t="shared" si="411"/>
        <v>1</v>
      </c>
      <c r="AV86" s="8" t="b">
        <f t="shared" si="412"/>
        <v>0</v>
      </c>
      <c r="AW86" s="8" t="b">
        <f t="shared" si="413"/>
        <v>1</v>
      </c>
      <c r="AX86" s="8" t="str">
        <f t="shared" si="414"/>
        <v>Qcorrecto</v>
      </c>
      <c r="AY86" s="22" t="str">
        <f t="shared" si="394"/>
        <v>aceptable</v>
      </c>
      <c r="AZ86" s="22" t="str">
        <f t="shared" si="395"/>
        <v>aceptable</v>
      </c>
      <c r="BA86" s="22" t="str">
        <f t="shared" si="415"/>
        <v>aceptable</v>
      </c>
      <c r="BB86" s="25" t="str">
        <f t="shared" si="416"/>
        <v>NO CONFORME</v>
      </c>
      <c r="BC86" s="5" t="str">
        <f t="shared" si="417"/>
        <v>NO CONFORME</v>
      </c>
      <c r="BD86" s="15">
        <f t="shared" si="396"/>
        <v>-1</v>
      </c>
      <c r="BE86" s="15">
        <f t="shared" si="397"/>
        <v>-1</v>
      </c>
      <c r="BF86" s="15">
        <f t="shared" si="398"/>
        <v>-1</v>
      </c>
      <c r="BG86" s="15" t="str">
        <f t="shared" si="399"/>
        <v>-1-1-1</v>
      </c>
      <c r="BH86" s="15" t="str">
        <f t="shared" si="400"/>
        <v>SD</v>
      </c>
      <c r="BI86" s="15" t="str">
        <f t="shared" si="401"/>
        <v>SI</v>
      </c>
      <c r="BJ86" s="15" t="b">
        <f t="shared" si="402"/>
        <v>1</v>
      </c>
      <c r="BK86" s="15" t="str">
        <f t="shared" si="403"/>
        <v>SIGIGUALES</v>
      </c>
      <c r="BL86" s="22" t="str">
        <f t="shared" si="404"/>
        <v>NO CONFORME</v>
      </c>
    </row>
    <row r="87" spans="1:64" ht="14.4" x14ac:dyDescent="0.3">
      <c r="A87" s="36">
        <v>79</v>
      </c>
      <c r="B87" s="28">
        <f t="shared" ref="B87:E87" si="508">B86</f>
        <v>45903</v>
      </c>
      <c r="C87" s="28">
        <f t="shared" si="508"/>
        <v>45903</v>
      </c>
      <c r="D87" s="12">
        <f t="shared" si="508"/>
        <v>3</v>
      </c>
      <c r="E87" s="10">
        <f t="shared" si="508"/>
        <v>11</v>
      </c>
      <c r="F87" s="13"/>
      <c r="G87" s="69"/>
      <c r="H87" s="70">
        <f t="shared" ref="H87:L87" si="509">H86</f>
        <v>25.6</v>
      </c>
      <c r="I87" s="37">
        <f t="shared" si="509"/>
        <v>0</v>
      </c>
      <c r="J87" s="35">
        <f t="shared" si="509"/>
        <v>16</v>
      </c>
      <c r="K87" s="122">
        <f t="shared" si="509"/>
        <v>8.1690000000000005</v>
      </c>
      <c r="L87" s="122">
        <f t="shared" si="509"/>
        <v>0.879</v>
      </c>
      <c r="M87" s="126"/>
      <c r="N87" s="126"/>
      <c r="O87" s="32">
        <f t="shared" ref="O87:P87" si="510">O86</f>
        <v>100.65</v>
      </c>
      <c r="P87" s="33" t="str">
        <f t="shared" si="510"/>
        <v>2,31,180</v>
      </c>
      <c r="Q87" s="11" t="str">
        <f t="shared" si="470"/>
        <v>2</v>
      </c>
      <c r="R87" s="11" t="str">
        <f t="shared" si="471"/>
        <v>31,180</v>
      </c>
      <c r="S87" s="11">
        <f t="shared" si="472"/>
        <v>4.1994444444444445E-2</v>
      </c>
      <c r="T87" s="14">
        <f t="shared" si="473"/>
        <v>2396.7456012700095</v>
      </c>
      <c r="U87" s="38">
        <f t="shared" si="474"/>
        <v>-100</v>
      </c>
      <c r="V87" s="39">
        <f t="shared" ref="V87:W87" si="511">V86</f>
        <v>19.8</v>
      </c>
      <c r="W87" s="124">
        <f t="shared" si="511"/>
        <v>1.08</v>
      </c>
      <c r="X87" s="124">
        <f t="shared" si="408"/>
        <v>1.075</v>
      </c>
      <c r="Y87" s="126"/>
      <c r="Z87" s="126"/>
      <c r="AA87" s="90">
        <f t="shared" ref="AA87:AB87" si="512">AA86</f>
        <v>5.0149999999999997</v>
      </c>
      <c r="AB87" s="73" t="str">
        <f t="shared" si="512"/>
        <v>9,05,040</v>
      </c>
      <c r="AC87" s="11" t="str">
        <f t="shared" si="477"/>
        <v>9,</v>
      </c>
      <c r="AD87" s="11" t="str">
        <f t="shared" si="478"/>
        <v>05,040</v>
      </c>
      <c r="AE87" s="11">
        <f t="shared" si="479"/>
        <v>0.15139999999999998</v>
      </c>
      <c r="AF87" s="14">
        <f t="shared" si="480"/>
        <v>33.124174372523122</v>
      </c>
      <c r="AG87" s="40">
        <f t="shared" si="481"/>
        <v>-100</v>
      </c>
      <c r="AH87" s="39">
        <f t="shared" si="423"/>
        <v>19.600000000000001</v>
      </c>
      <c r="AI87" s="124">
        <f t="shared" si="423"/>
        <v>1.0860000000000001</v>
      </c>
      <c r="AJ87" s="124">
        <f t="shared" si="423"/>
        <v>1.0780000000000001</v>
      </c>
      <c r="AK87" s="126">
        <f t="shared" si="482"/>
        <v>0</v>
      </c>
      <c r="AL87" s="126"/>
      <c r="AM87" s="34">
        <f t="shared" ref="AM87:AN87" si="513">AM86</f>
        <v>2.0059999999999998</v>
      </c>
      <c r="AN87" s="33" t="str">
        <f t="shared" si="513"/>
        <v>5,40,620</v>
      </c>
      <c r="AO87" s="11" t="str">
        <f t="shared" si="484"/>
        <v>5,</v>
      </c>
      <c r="AP87" s="11" t="str">
        <f t="shared" si="485"/>
        <v>40,620</v>
      </c>
      <c r="AQ87" s="11">
        <f t="shared" si="486"/>
        <v>9.4616666666666668E-2</v>
      </c>
      <c r="AR87" s="14">
        <f t="shared" si="487"/>
        <v>21.201338735247486</v>
      </c>
      <c r="AS87" s="40">
        <f t="shared" si="488"/>
        <v>-100</v>
      </c>
      <c r="AT87" s="41" t="str">
        <f t="shared" si="489"/>
        <v>NO CONFORME</v>
      </c>
      <c r="AU87" s="8" t="b">
        <f t="shared" si="411"/>
        <v>1</v>
      </c>
      <c r="AV87" s="8" t="b">
        <f t="shared" si="412"/>
        <v>0</v>
      </c>
      <c r="AW87" s="8" t="b">
        <f t="shared" si="413"/>
        <v>1</v>
      </c>
      <c r="AX87" s="8" t="str">
        <f t="shared" si="414"/>
        <v>Qcorrecto</v>
      </c>
      <c r="AY87" s="22" t="str">
        <f t="shared" si="394"/>
        <v>aceptable</v>
      </c>
      <c r="AZ87" s="22" t="str">
        <f t="shared" si="395"/>
        <v>aceptable</v>
      </c>
      <c r="BA87" s="22" t="str">
        <f t="shared" si="415"/>
        <v>aceptable</v>
      </c>
      <c r="BB87" s="25" t="str">
        <f t="shared" si="416"/>
        <v>NO CONFORME</v>
      </c>
      <c r="BC87" s="5" t="str">
        <f t="shared" si="417"/>
        <v>NO CONFORME</v>
      </c>
      <c r="BD87" s="15">
        <f t="shared" si="396"/>
        <v>-1</v>
      </c>
      <c r="BE87" s="15">
        <f t="shared" si="397"/>
        <v>-1</v>
      </c>
      <c r="BF87" s="15">
        <f t="shared" si="398"/>
        <v>-1</v>
      </c>
      <c r="BG87" s="15" t="str">
        <f t="shared" si="399"/>
        <v>-1-1-1</v>
      </c>
      <c r="BH87" s="15" t="str">
        <f t="shared" si="400"/>
        <v>SD</v>
      </c>
      <c r="BI87" s="15" t="str">
        <f t="shared" si="401"/>
        <v>SI</v>
      </c>
      <c r="BJ87" s="15" t="b">
        <f t="shared" si="402"/>
        <v>1</v>
      </c>
      <c r="BK87" s="15" t="str">
        <f t="shared" si="403"/>
        <v>SIGIGUALES</v>
      </c>
      <c r="BL87" s="22" t="str">
        <f t="shared" si="404"/>
        <v>NO CONFORME</v>
      </c>
    </row>
    <row r="88" spans="1:64" ht="14.4" x14ac:dyDescent="0.3">
      <c r="A88" s="36">
        <v>80</v>
      </c>
      <c r="B88" s="28">
        <f t="shared" ref="B88:E88" si="514">B87</f>
        <v>45903</v>
      </c>
      <c r="C88" s="28">
        <f t="shared" si="514"/>
        <v>45903</v>
      </c>
      <c r="D88" s="12">
        <f t="shared" si="514"/>
        <v>3</v>
      </c>
      <c r="E88" s="10">
        <f t="shared" si="514"/>
        <v>11</v>
      </c>
      <c r="F88" s="13"/>
      <c r="G88" s="69"/>
      <c r="H88" s="70">
        <f t="shared" ref="H88:L88" si="515">H87</f>
        <v>25.6</v>
      </c>
      <c r="I88" s="37">
        <f t="shared" si="515"/>
        <v>0</v>
      </c>
      <c r="J88" s="35">
        <f t="shared" si="515"/>
        <v>16</v>
      </c>
      <c r="K88" s="122">
        <f t="shared" si="515"/>
        <v>8.1690000000000005</v>
      </c>
      <c r="L88" s="122">
        <f t="shared" si="515"/>
        <v>0.879</v>
      </c>
      <c r="M88" s="126"/>
      <c r="N88" s="126"/>
      <c r="O88" s="32">
        <f t="shared" ref="O88:P88" si="516">O87</f>
        <v>100.65</v>
      </c>
      <c r="P88" s="33" t="str">
        <f t="shared" si="516"/>
        <v>2,31,180</v>
      </c>
      <c r="Q88" s="11" t="str">
        <f t="shared" si="470"/>
        <v>2</v>
      </c>
      <c r="R88" s="11" t="str">
        <f t="shared" si="471"/>
        <v>31,180</v>
      </c>
      <c r="S88" s="11">
        <f t="shared" si="472"/>
        <v>4.1994444444444445E-2</v>
      </c>
      <c r="T88" s="14">
        <f t="shared" si="473"/>
        <v>2396.7456012700095</v>
      </c>
      <c r="U88" s="38">
        <f t="shared" si="474"/>
        <v>-100</v>
      </c>
      <c r="V88" s="39">
        <f t="shared" ref="V88:W88" si="517">V87</f>
        <v>19.8</v>
      </c>
      <c r="W88" s="124">
        <f t="shared" si="517"/>
        <v>1.08</v>
      </c>
      <c r="X88" s="124">
        <f t="shared" si="408"/>
        <v>1.075</v>
      </c>
      <c r="Y88" s="126"/>
      <c r="Z88" s="126"/>
      <c r="AA88" s="90">
        <f t="shared" ref="AA88:AB88" si="518">AA87</f>
        <v>5.0149999999999997</v>
      </c>
      <c r="AB88" s="73" t="str">
        <f t="shared" si="518"/>
        <v>9,05,040</v>
      </c>
      <c r="AC88" s="11" t="str">
        <f t="shared" si="477"/>
        <v>9,</v>
      </c>
      <c r="AD88" s="11" t="str">
        <f t="shared" si="478"/>
        <v>05,040</v>
      </c>
      <c r="AE88" s="11">
        <f t="shared" si="479"/>
        <v>0.15139999999999998</v>
      </c>
      <c r="AF88" s="14">
        <f t="shared" si="480"/>
        <v>33.124174372523122</v>
      </c>
      <c r="AG88" s="40">
        <f t="shared" si="481"/>
        <v>-100</v>
      </c>
      <c r="AH88" s="39">
        <f t="shared" si="423"/>
        <v>19.600000000000001</v>
      </c>
      <c r="AI88" s="124">
        <f t="shared" si="423"/>
        <v>1.0860000000000001</v>
      </c>
      <c r="AJ88" s="124">
        <f t="shared" si="423"/>
        <v>1.0780000000000001</v>
      </c>
      <c r="AK88" s="126">
        <f t="shared" si="482"/>
        <v>0</v>
      </c>
      <c r="AL88" s="126"/>
      <c r="AM88" s="34">
        <f t="shared" ref="AM88:AN88" si="519">AM87</f>
        <v>2.0059999999999998</v>
      </c>
      <c r="AN88" s="33" t="str">
        <f t="shared" si="519"/>
        <v>5,40,620</v>
      </c>
      <c r="AO88" s="11" t="str">
        <f t="shared" si="484"/>
        <v>5,</v>
      </c>
      <c r="AP88" s="11" t="str">
        <f t="shared" si="485"/>
        <v>40,620</v>
      </c>
      <c r="AQ88" s="11">
        <f t="shared" si="486"/>
        <v>9.4616666666666668E-2</v>
      </c>
      <c r="AR88" s="14">
        <f t="shared" si="487"/>
        <v>21.201338735247486</v>
      </c>
      <c r="AS88" s="40">
        <f t="shared" si="488"/>
        <v>-100</v>
      </c>
      <c r="AT88" s="41" t="str">
        <f t="shared" si="489"/>
        <v>NO CONFORME</v>
      </c>
      <c r="AU88" s="8" t="b">
        <f t="shared" si="411"/>
        <v>1</v>
      </c>
      <c r="AV88" s="8" t="b">
        <f t="shared" si="412"/>
        <v>0</v>
      </c>
      <c r="AW88" s="8" t="b">
        <f t="shared" si="413"/>
        <v>1</v>
      </c>
      <c r="AX88" s="8" t="str">
        <f t="shared" si="414"/>
        <v>Qcorrecto</v>
      </c>
      <c r="AY88" s="22" t="str">
        <f t="shared" si="394"/>
        <v>aceptable</v>
      </c>
      <c r="AZ88" s="22" t="str">
        <f t="shared" si="395"/>
        <v>aceptable</v>
      </c>
      <c r="BA88" s="22" t="str">
        <f t="shared" si="415"/>
        <v>aceptable</v>
      </c>
      <c r="BB88" s="25" t="str">
        <f t="shared" si="416"/>
        <v>NO CONFORME</v>
      </c>
      <c r="BC88" s="5" t="str">
        <f t="shared" si="417"/>
        <v>NO CONFORME</v>
      </c>
      <c r="BD88" s="15">
        <f t="shared" si="396"/>
        <v>-1</v>
      </c>
      <c r="BE88" s="15">
        <f t="shared" si="397"/>
        <v>-1</v>
      </c>
      <c r="BF88" s="15">
        <f t="shared" si="398"/>
        <v>-1</v>
      </c>
      <c r="BG88" s="15" t="str">
        <f t="shared" si="399"/>
        <v>-1-1-1</v>
      </c>
      <c r="BH88" s="15" t="str">
        <f t="shared" si="400"/>
        <v>SD</v>
      </c>
      <c r="BI88" s="15" t="str">
        <f t="shared" si="401"/>
        <v>SI</v>
      </c>
      <c r="BJ88" s="15" t="b">
        <f t="shared" si="402"/>
        <v>1</v>
      </c>
      <c r="BK88" s="15" t="str">
        <f t="shared" si="403"/>
        <v>SIGIGUALES</v>
      </c>
      <c r="BL88" s="22" t="str">
        <f t="shared" si="404"/>
        <v>NO CONFORME</v>
      </c>
    </row>
    <row r="89" spans="1:64" ht="14.4" x14ac:dyDescent="0.3">
      <c r="A89" s="36">
        <v>81</v>
      </c>
      <c r="B89" s="28">
        <f t="shared" ref="B89:E89" si="520">B88</f>
        <v>45903</v>
      </c>
      <c r="C89" s="28">
        <f t="shared" si="520"/>
        <v>45903</v>
      </c>
      <c r="D89" s="12">
        <f t="shared" si="520"/>
        <v>3</v>
      </c>
      <c r="E89" s="10">
        <f t="shared" si="520"/>
        <v>11</v>
      </c>
      <c r="F89" s="13"/>
      <c r="G89" s="69"/>
      <c r="H89" s="70">
        <f t="shared" ref="H89:L89" si="521">H88</f>
        <v>25.6</v>
      </c>
      <c r="I89" s="37">
        <f t="shared" si="521"/>
        <v>0</v>
      </c>
      <c r="J89" s="35">
        <f t="shared" si="521"/>
        <v>16</v>
      </c>
      <c r="K89" s="122">
        <f t="shared" si="521"/>
        <v>8.1690000000000005</v>
      </c>
      <c r="L89" s="122">
        <f t="shared" si="521"/>
        <v>0.879</v>
      </c>
      <c r="M89" s="126"/>
      <c r="N89" s="126"/>
      <c r="O89" s="32">
        <f t="shared" ref="O89:P89" si="522">O88</f>
        <v>100.65</v>
      </c>
      <c r="P89" s="33" t="str">
        <f t="shared" si="522"/>
        <v>2,31,180</v>
      </c>
      <c r="Q89" s="11" t="str">
        <f t="shared" si="470"/>
        <v>2</v>
      </c>
      <c r="R89" s="11" t="str">
        <f t="shared" si="471"/>
        <v>31,180</v>
      </c>
      <c r="S89" s="11">
        <f t="shared" si="472"/>
        <v>4.1994444444444445E-2</v>
      </c>
      <c r="T89" s="14">
        <f t="shared" si="473"/>
        <v>2396.7456012700095</v>
      </c>
      <c r="U89" s="38">
        <f t="shared" si="474"/>
        <v>-100</v>
      </c>
      <c r="V89" s="39">
        <f t="shared" ref="V89:W89" si="523">V88</f>
        <v>19.8</v>
      </c>
      <c r="W89" s="124">
        <f t="shared" si="523"/>
        <v>1.08</v>
      </c>
      <c r="X89" s="124">
        <f t="shared" si="408"/>
        <v>1.075</v>
      </c>
      <c r="Y89" s="126"/>
      <c r="Z89" s="126"/>
      <c r="AA89" s="90">
        <f t="shared" ref="AA89:AB89" si="524">AA88</f>
        <v>5.0149999999999997</v>
      </c>
      <c r="AB89" s="73" t="str">
        <f t="shared" si="524"/>
        <v>9,05,040</v>
      </c>
      <c r="AC89" s="11" t="str">
        <f t="shared" si="477"/>
        <v>9,</v>
      </c>
      <c r="AD89" s="11" t="str">
        <f t="shared" si="478"/>
        <v>05,040</v>
      </c>
      <c r="AE89" s="11">
        <f t="shared" si="479"/>
        <v>0.15139999999999998</v>
      </c>
      <c r="AF89" s="14">
        <f t="shared" si="480"/>
        <v>33.124174372523122</v>
      </c>
      <c r="AG89" s="40">
        <f t="shared" si="481"/>
        <v>-100</v>
      </c>
      <c r="AH89" s="39">
        <f t="shared" si="423"/>
        <v>19.600000000000001</v>
      </c>
      <c r="AI89" s="124">
        <f t="shared" si="423"/>
        <v>1.0860000000000001</v>
      </c>
      <c r="AJ89" s="124">
        <f t="shared" si="423"/>
        <v>1.0780000000000001</v>
      </c>
      <c r="AK89" s="126">
        <f t="shared" si="482"/>
        <v>0</v>
      </c>
      <c r="AL89" s="126"/>
      <c r="AM89" s="34">
        <f t="shared" ref="AM89:AN89" si="525">AM88</f>
        <v>2.0059999999999998</v>
      </c>
      <c r="AN89" s="33" t="str">
        <f t="shared" si="525"/>
        <v>5,40,620</v>
      </c>
      <c r="AO89" s="11" t="str">
        <f t="shared" si="484"/>
        <v>5,</v>
      </c>
      <c r="AP89" s="11" t="str">
        <f t="shared" si="485"/>
        <v>40,620</v>
      </c>
      <c r="AQ89" s="11">
        <f t="shared" si="486"/>
        <v>9.4616666666666668E-2</v>
      </c>
      <c r="AR89" s="14">
        <f t="shared" si="487"/>
        <v>21.201338735247486</v>
      </c>
      <c r="AS89" s="40">
        <f t="shared" si="488"/>
        <v>-100</v>
      </c>
      <c r="AT89" s="41" t="str">
        <f t="shared" si="489"/>
        <v>NO CONFORME</v>
      </c>
      <c r="AU89" s="8" t="b">
        <f t="shared" si="411"/>
        <v>1</v>
      </c>
      <c r="AV89" s="8" t="b">
        <f t="shared" si="412"/>
        <v>0</v>
      </c>
      <c r="AW89" s="8" t="b">
        <f t="shared" si="413"/>
        <v>1</v>
      </c>
      <c r="AX89" s="8" t="str">
        <f t="shared" si="414"/>
        <v>Qcorrecto</v>
      </c>
      <c r="AY89" s="22" t="str">
        <f t="shared" si="394"/>
        <v>aceptable</v>
      </c>
      <c r="AZ89" s="22" t="str">
        <f t="shared" si="395"/>
        <v>aceptable</v>
      </c>
      <c r="BA89" s="22" t="str">
        <f t="shared" si="415"/>
        <v>aceptable</v>
      </c>
      <c r="BB89" s="25" t="str">
        <f t="shared" si="416"/>
        <v>NO CONFORME</v>
      </c>
      <c r="BC89" s="5" t="str">
        <f t="shared" si="417"/>
        <v>NO CONFORME</v>
      </c>
      <c r="BD89" s="15">
        <f t="shared" si="396"/>
        <v>-1</v>
      </c>
      <c r="BE89" s="15">
        <f t="shared" si="397"/>
        <v>-1</v>
      </c>
      <c r="BF89" s="15">
        <f t="shared" si="398"/>
        <v>-1</v>
      </c>
      <c r="BG89" s="15" t="str">
        <f t="shared" si="399"/>
        <v>-1-1-1</v>
      </c>
      <c r="BH89" s="15" t="str">
        <f t="shared" si="400"/>
        <v>SD</v>
      </c>
      <c r="BI89" s="15" t="str">
        <f t="shared" si="401"/>
        <v>SI</v>
      </c>
      <c r="BJ89" s="15" t="b">
        <f t="shared" si="402"/>
        <v>1</v>
      </c>
      <c r="BK89" s="15" t="str">
        <f t="shared" si="403"/>
        <v>SIGIGUALES</v>
      </c>
      <c r="BL89" s="22" t="str">
        <f t="shared" si="404"/>
        <v>NO CONFORME</v>
      </c>
    </row>
    <row r="90" spans="1:64" ht="14.4" x14ac:dyDescent="0.3">
      <c r="A90" s="36">
        <v>82</v>
      </c>
      <c r="B90" s="28">
        <f t="shared" ref="B90:E90" si="526">B89</f>
        <v>45903</v>
      </c>
      <c r="C90" s="28">
        <f t="shared" si="526"/>
        <v>45903</v>
      </c>
      <c r="D90" s="12">
        <f t="shared" si="526"/>
        <v>3</v>
      </c>
      <c r="E90" s="10">
        <f t="shared" si="526"/>
        <v>11</v>
      </c>
      <c r="F90" s="13"/>
      <c r="G90" s="69"/>
      <c r="H90" s="70">
        <f t="shared" ref="H90:L90" si="527">H89</f>
        <v>25.6</v>
      </c>
      <c r="I90" s="37">
        <f t="shared" si="527"/>
        <v>0</v>
      </c>
      <c r="J90" s="35">
        <f t="shared" si="527"/>
        <v>16</v>
      </c>
      <c r="K90" s="122">
        <f t="shared" si="527"/>
        <v>8.1690000000000005</v>
      </c>
      <c r="L90" s="122">
        <f t="shared" si="527"/>
        <v>0.879</v>
      </c>
      <c r="M90" s="126"/>
      <c r="N90" s="126"/>
      <c r="O90" s="32">
        <f t="shared" ref="O90:P90" si="528">O89</f>
        <v>100.65</v>
      </c>
      <c r="P90" s="33" t="str">
        <f t="shared" si="528"/>
        <v>2,31,180</v>
      </c>
      <c r="Q90" s="11" t="str">
        <f t="shared" si="470"/>
        <v>2</v>
      </c>
      <c r="R90" s="11" t="str">
        <f t="shared" si="471"/>
        <v>31,180</v>
      </c>
      <c r="S90" s="11">
        <f t="shared" si="472"/>
        <v>4.1994444444444445E-2</v>
      </c>
      <c r="T90" s="14">
        <f t="shared" si="473"/>
        <v>2396.7456012700095</v>
      </c>
      <c r="U90" s="38">
        <f t="shared" si="474"/>
        <v>-100</v>
      </c>
      <c r="V90" s="39">
        <f t="shared" ref="V90:X105" si="529">V89</f>
        <v>19.8</v>
      </c>
      <c r="W90" s="124">
        <f t="shared" si="529"/>
        <v>1.08</v>
      </c>
      <c r="X90" s="124">
        <f t="shared" si="529"/>
        <v>1.075</v>
      </c>
      <c r="Y90" s="126"/>
      <c r="Z90" s="126"/>
      <c r="AA90" s="90">
        <f t="shared" ref="AA90:AB90" si="530">AA89</f>
        <v>5.0149999999999997</v>
      </c>
      <c r="AB90" s="73" t="str">
        <f t="shared" si="530"/>
        <v>9,05,040</v>
      </c>
      <c r="AC90" s="11" t="str">
        <f t="shared" si="477"/>
        <v>9,</v>
      </c>
      <c r="AD90" s="11" t="str">
        <f t="shared" si="478"/>
        <v>05,040</v>
      </c>
      <c r="AE90" s="11">
        <f t="shared" si="479"/>
        <v>0.15139999999999998</v>
      </c>
      <c r="AF90" s="14">
        <f t="shared" si="480"/>
        <v>33.124174372523122</v>
      </c>
      <c r="AG90" s="40">
        <f t="shared" si="481"/>
        <v>-100</v>
      </c>
      <c r="AH90" s="39">
        <f t="shared" si="423"/>
        <v>19.600000000000001</v>
      </c>
      <c r="AI90" s="124">
        <f t="shared" si="423"/>
        <v>1.0860000000000001</v>
      </c>
      <c r="AJ90" s="124">
        <f t="shared" si="423"/>
        <v>1.0780000000000001</v>
      </c>
      <c r="AK90" s="126">
        <f t="shared" si="482"/>
        <v>0</v>
      </c>
      <c r="AL90" s="126"/>
      <c r="AM90" s="34">
        <f t="shared" ref="AM90:AN90" si="531">AM89</f>
        <v>2.0059999999999998</v>
      </c>
      <c r="AN90" s="33" t="str">
        <f t="shared" si="531"/>
        <v>5,40,620</v>
      </c>
      <c r="AO90" s="11" t="str">
        <f t="shared" si="484"/>
        <v>5,</v>
      </c>
      <c r="AP90" s="11" t="str">
        <f t="shared" si="485"/>
        <v>40,620</v>
      </c>
      <c r="AQ90" s="11">
        <f t="shared" si="486"/>
        <v>9.4616666666666668E-2</v>
      </c>
      <c r="AR90" s="14">
        <f t="shared" si="487"/>
        <v>21.201338735247486</v>
      </c>
      <c r="AS90" s="40">
        <f t="shared" si="488"/>
        <v>-100</v>
      </c>
      <c r="AT90" s="41" t="str">
        <f t="shared" si="489"/>
        <v>NO CONFORME</v>
      </c>
      <c r="AU90" s="8" t="b">
        <f t="shared" si="411"/>
        <v>1</v>
      </c>
      <c r="AV90" s="8" t="b">
        <f t="shared" si="412"/>
        <v>0</v>
      </c>
      <c r="AW90" s="8" t="b">
        <f t="shared" si="413"/>
        <v>1</v>
      </c>
      <c r="AX90" s="8" t="str">
        <f t="shared" si="414"/>
        <v>Qcorrecto</v>
      </c>
      <c r="AY90" s="22" t="str">
        <f t="shared" si="394"/>
        <v>aceptable</v>
      </c>
      <c r="AZ90" s="22" t="str">
        <f t="shared" si="395"/>
        <v>aceptable</v>
      </c>
      <c r="BA90" s="22" t="str">
        <f t="shared" si="415"/>
        <v>aceptable</v>
      </c>
      <c r="BB90" s="25" t="str">
        <f t="shared" si="416"/>
        <v>NO CONFORME</v>
      </c>
      <c r="BC90" s="5" t="str">
        <f t="shared" si="417"/>
        <v>NO CONFORME</v>
      </c>
      <c r="BD90" s="15">
        <f t="shared" si="396"/>
        <v>-1</v>
      </c>
      <c r="BE90" s="15">
        <f t="shared" si="397"/>
        <v>-1</v>
      </c>
      <c r="BF90" s="15">
        <f t="shared" si="398"/>
        <v>-1</v>
      </c>
      <c r="BG90" s="15" t="str">
        <f t="shared" si="399"/>
        <v>-1-1-1</v>
      </c>
      <c r="BH90" s="15" t="str">
        <f t="shared" si="400"/>
        <v>SD</v>
      </c>
      <c r="BI90" s="15" t="str">
        <f t="shared" si="401"/>
        <v>SI</v>
      </c>
      <c r="BJ90" s="15" t="b">
        <f t="shared" si="402"/>
        <v>1</v>
      </c>
      <c r="BK90" s="15" t="str">
        <f t="shared" si="403"/>
        <v>SIGIGUALES</v>
      </c>
      <c r="BL90" s="22" t="str">
        <f t="shared" si="404"/>
        <v>NO CONFORME</v>
      </c>
    </row>
    <row r="91" spans="1:64" ht="14.4" x14ac:dyDescent="0.3">
      <c r="A91" s="36">
        <v>83</v>
      </c>
      <c r="B91" s="28">
        <f t="shared" ref="B91:E91" si="532">B90</f>
        <v>45903</v>
      </c>
      <c r="C91" s="28">
        <f t="shared" si="532"/>
        <v>45903</v>
      </c>
      <c r="D91" s="12">
        <f t="shared" si="532"/>
        <v>3</v>
      </c>
      <c r="E91" s="10">
        <f t="shared" si="532"/>
        <v>11</v>
      </c>
      <c r="F91" s="13"/>
      <c r="G91" s="69"/>
      <c r="H91" s="70">
        <f t="shared" ref="H91:L91" si="533">H90</f>
        <v>25.6</v>
      </c>
      <c r="I91" s="37">
        <f t="shared" si="533"/>
        <v>0</v>
      </c>
      <c r="J91" s="35">
        <f t="shared" si="533"/>
        <v>16</v>
      </c>
      <c r="K91" s="122">
        <f t="shared" si="533"/>
        <v>8.1690000000000005</v>
      </c>
      <c r="L91" s="122">
        <f t="shared" si="533"/>
        <v>0.879</v>
      </c>
      <c r="M91" s="126"/>
      <c r="N91" s="126"/>
      <c r="O91" s="32">
        <f t="shared" ref="O91:P91" si="534">O90</f>
        <v>100.65</v>
      </c>
      <c r="P91" s="33" t="str">
        <f t="shared" si="534"/>
        <v>2,31,180</v>
      </c>
      <c r="Q91" s="11" t="str">
        <f t="shared" si="470"/>
        <v>2</v>
      </c>
      <c r="R91" s="11" t="str">
        <f t="shared" si="471"/>
        <v>31,180</v>
      </c>
      <c r="S91" s="11">
        <f t="shared" si="472"/>
        <v>4.1994444444444445E-2</v>
      </c>
      <c r="T91" s="14">
        <f t="shared" si="473"/>
        <v>2396.7456012700095</v>
      </c>
      <c r="U91" s="38">
        <f t="shared" si="474"/>
        <v>-100</v>
      </c>
      <c r="V91" s="39">
        <f t="shared" ref="V91:W91" si="535">V90</f>
        <v>19.8</v>
      </c>
      <c r="W91" s="124">
        <f t="shared" si="535"/>
        <v>1.08</v>
      </c>
      <c r="X91" s="124">
        <f t="shared" si="529"/>
        <v>1.075</v>
      </c>
      <c r="Y91" s="126"/>
      <c r="Z91" s="126"/>
      <c r="AA91" s="90">
        <f t="shared" ref="AA91:AB91" si="536">AA90</f>
        <v>5.0149999999999997</v>
      </c>
      <c r="AB91" s="73" t="str">
        <f t="shared" si="536"/>
        <v>9,05,040</v>
      </c>
      <c r="AC91" s="11" t="str">
        <f t="shared" si="477"/>
        <v>9,</v>
      </c>
      <c r="AD91" s="11" t="str">
        <f t="shared" si="478"/>
        <v>05,040</v>
      </c>
      <c r="AE91" s="11">
        <f t="shared" si="479"/>
        <v>0.15139999999999998</v>
      </c>
      <c r="AF91" s="14">
        <f t="shared" si="480"/>
        <v>33.124174372523122</v>
      </c>
      <c r="AG91" s="40">
        <f t="shared" si="481"/>
        <v>-100</v>
      </c>
      <c r="AH91" s="39">
        <f t="shared" ref="AH91:AJ106" si="537">AH90</f>
        <v>19.600000000000001</v>
      </c>
      <c r="AI91" s="124">
        <f t="shared" si="537"/>
        <v>1.0860000000000001</v>
      </c>
      <c r="AJ91" s="124">
        <f t="shared" si="537"/>
        <v>1.0780000000000001</v>
      </c>
      <c r="AK91" s="126">
        <f t="shared" si="482"/>
        <v>0</v>
      </c>
      <c r="AL91" s="126"/>
      <c r="AM91" s="34">
        <f t="shared" ref="AM91:AN91" si="538">AM90</f>
        <v>2.0059999999999998</v>
      </c>
      <c r="AN91" s="33" t="str">
        <f t="shared" si="538"/>
        <v>5,40,620</v>
      </c>
      <c r="AO91" s="11" t="str">
        <f t="shared" si="484"/>
        <v>5,</v>
      </c>
      <c r="AP91" s="11" t="str">
        <f t="shared" si="485"/>
        <v>40,620</v>
      </c>
      <c r="AQ91" s="11">
        <f t="shared" si="486"/>
        <v>9.4616666666666668E-2</v>
      </c>
      <c r="AR91" s="14">
        <f t="shared" si="487"/>
        <v>21.201338735247486</v>
      </c>
      <c r="AS91" s="40">
        <f t="shared" si="488"/>
        <v>-100</v>
      </c>
      <c r="AT91" s="41" t="str">
        <f t="shared" si="489"/>
        <v>NO CONFORME</v>
      </c>
      <c r="AU91" s="8" t="b">
        <f t="shared" si="411"/>
        <v>1</v>
      </c>
      <c r="AV91" s="8" t="b">
        <f t="shared" si="412"/>
        <v>0</v>
      </c>
      <c r="AW91" s="8" t="b">
        <f t="shared" si="413"/>
        <v>1</v>
      </c>
      <c r="AX91" s="8" t="str">
        <f t="shared" si="414"/>
        <v>Qcorrecto</v>
      </c>
      <c r="AY91" s="22" t="str">
        <f t="shared" si="394"/>
        <v>aceptable</v>
      </c>
      <c r="AZ91" s="22" t="str">
        <f t="shared" si="395"/>
        <v>aceptable</v>
      </c>
      <c r="BA91" s="22" t="str">
        <f t="shared" si="415"/>
        <v>aceptable</v>
      </c>
      <c r="BB91" s="25" t="str">
        <f t="shared" si="416"/>
        <v>NO CONFORME</v>
      </c>
      <c r="BC91" s="5" t="str">
        <f t="shared" si="417"/>
        <v>NO CONFORME</v>
      </c>
      <c r="BD91" s="15">
        <f t="shared" si="396"/>
        <v>-1</v>
      </c>
      <c r="BE91" s="15">
        <f t="shared" si="397"/>
        <v>-1</v>
      </c>
      <c r="BF91" s="15">
        <f t="shared" si="398"/>
        <v>-1</v>
      </c>
      <c r="BG91" s="15" t="str">
        <f t="shared" si="399"/>
        <v>-1-1-1</v>
      </c>
      <c r="BH91" s="15" t="str">
        <f t="shared" si="400"/>
        <v>SD</v>
      </c>
      <c r="BI91" s="15" t="str">
        <f t="shared" si="401"/>
        <v>SI</v>
      </c>
      <c r="BJ91" s="15" t="b">
        <f t="shared" si="402"/>
        <v>1</v>
      </c>
      <c r="BK91" s="15" t="str">
        <f t="shared" si="403"/>
        <v>SIGIGUALES</v>
      </c>
      <c r="BL91" s="22" t="str">
        <f t="shared" si="404"/>
        <v>NO CONFORME</v>
      </c>
    </row>
    <row r="92" spans="1:64" ht="14.4" x14ac:dyDescent="0.3">
      <c r="A92" s="36">
        <v>84</v>
      </c>
      <c r="B92" s="28">
        <f t="shared" ref="B92:E92" si="539">B91</f>
        <v>45903</v>
      </c>
      <c r="C92" s="28">
        <f t="shared" si="539"/>
        <v>45903</v>
      </c>
      <c r="D92" s="12">
        <f t="shared" si="539"/>
        <v>3</v>
      </c>
      <c r="E92" s="10">
        <f t="shared" si="539"/>
        <v>11</v>
      </c>
      <c r="F92" s="13"/>
      <c r="G92" s="69"/>
      <c r="H92" s="70">
        <f t="shared" ref="H92:L92" si="540">H91</f>
        <v>25.6</v>
      </c>
      <c r="I92" s="37">
        <f t="shared" si="540"/>
        <v>0</v>
      </c>
      <c r="J92" s="35">
        <f t="shared" si="540"/>
        <v>16</v>
      </c>
      <c r="K92" s="122">
        <f t="shared" si="540"/>
        <v>8.1690000000000005</v>
      </c>
      <c r="L92" s="122">
        <f t="shared" si="540"/>
        <v>0.879</v>
      </c>
      <c r="M92" s="126"/>
      <c r="N92" s="126"/>
      <c r="O92" s="32">
        <f t="shared" ref="O92:P92" si="541">O91</f>
        <v>100.65</v>
      </c>
      <c r="P92" s="33" t="str">
        <f t="shared" si="541"/>
        <v>2,31,180</v>
      </c>
      <c r="Q92" s="11" t="str">
        <f t="shared" si="470"/>
        <v>2</v>
      </c>
      <c r="R92" s="11" t="str">
        <f t="shared" si="471"/>
        <v>31,180</v>
      </c>
      <c r="S92" s="11">
        <f t="shared" si="472"/>
        <v>4.1994444444444445E-2</v>
      </c>
      <c r="T92" s="14">
        <f t="shared" si="473"/>
        <v>2396.7456012700095</v>
      </c>
      <c r="U92" s="38">
        <f t="shared" si="474"/>
        <v>-100</v>
      </c>
      <c r="V92" s="39">
        <f t="shared" ref="V92:W92" si="542">V91</f>
        <v>19.8</v>
      </c>
      <c r="W92" s="124">
        <f t="shared" si="542"/>
        <v>1.08</v>
      </c>
      <c r="X92" s="124">
        <f t="shared" si="529"/>
        <v>1.075</v>
      </c>
      <c r="Y92" s="126"/>
      <c r="Z92" s="126"/>
      <c r="AA92" s="90">
        <f t="shared" ref="AA92:AB92" si="543">AA91</f>
        <v>5.0149999999999997</v>
      </c>
      <c r="AB92" s="73" t="str">
        <f t="shared" si="543"/>
        <v>9,05,040</v>
      </c>
      <c r="AC92" s="11" t="str">
        <f t="shared" si="477"/>
        <v>9,</v>
      </c>
      <c r="AD92" s="11" t="str">
        <f t="shared" si="478"/>
        <v>05,040</v>
      </c>
      <c r="AE92" s="11">
        <f t="shared" si="479"/>
        <v>0.15139999999999998</v>
      </c>
      <c r="AF92" s="14">
        <f t="shared" si="480"/>
        <v>33.124174372523122</v>
      </c>
      <c r="AG92" s="40">
        <f t="shared" si="481"/>
        <v>-100</v>
      </c>
      <c r="AH92" s="39">
        <f t="shared" si="537"/>
        <v>19.600000000000001</v>
      </c>
      <c r="AI92" s="124">
        <f t="shared" si="537"/>
        <v>1.0860000000000001</v>
      </c>
      <c r="AJ92" s="124">
        <f t="shared" si="537"/>
        <v>1.0780000000000001</v>
      </c>
      <c r="AK92" s="126">
        <f t="shared" si="482"/>
        <v>0</v>
      </c>
      <c r="AL92" s="126"/>
      <c r="AM92" s="34">
        <f t="shared" ref="AM92:AN92" si="544">AM91</f>
        <v>2.0059999999999998</v>
      </c>
      <c r="AN92" s="33" t="str">
        <f t="shared" si="544"/>
        <v>5,40,620</v>
      </c>
      <c r="AO92" s="11" t="str">
        <f t="shared" si="484"/>
        <v>5,</v>
      </c>
      <c r="AP92" s="11" t="str">
        <f t="shared" si="485"/>
        <v>40,620</v>
      </c>
      <c r="AQ92" s="11">
        <f t="shared" si="486"/>
        <v>9.4616666666666668E-2</v>
      </c>
      <c r="AR92" s="14">
        <f t="shared" si="487"/>
        <v>21.201338735247486</v>
      </c>
      <c r="AS92" s="40">
        <f t="shared" si="488"/>
        <v>-100</v>
      </c>
      <c r="AT92" s="41" t="str">
        <f t="shared" si="489"/>
        <v>NO CONFORME</v>
      </c>
      <c r="AU92" s="8" t="b">
        <f t="shared" si="411"/>
        <v>1</v>
      </c>
      <c r="AV92" s="8" t="b">
        <f t="shared" si="412"/>
        <v>0</v>
      </c>
      <c r="AW92" s="8" t="b">
        <f t="shared" si="413"/>
        <v>1</v>
      </c>
      <c r="AX92" s="8" t="str">
        <f t="shared" si="414"/>
        <v>Qcorrecto</v>
      </c>
      <c r="AY92" s="22" t="str">
        <f t="shared" si="394"/>
        <v>aceptable</v>
      </c>
      <c r="AZ92" s="22" t="str">
        <f t="shared" si="395"/>
        <v>aceptable</v>
      </c>
      <c r="BA92" s="22" t="str">
        <f t="shared" si="415"/>
        <v>aceptable</v>
      </c>
      <c r="BB92" s="25" t="str">
        <f t="shared" si="416"/>
        <v>NO CONFORME</v>
      </c>
      <c r="BC92" s="5" t="str">
        <f t="shared" si="417"/>
        <v>NO CONFORME</v>
      </c>
      <c r="BD92" s="15">
        <f t="shared" si="396"/>
        <v>-1</v>
      </c>
      <c r="BE92" s="15">
        <f t="shared" si="397"/>
        <v>-1</v>
      </c>
      <c r="BF92" s="15">
        <f t="shared" si="398"/>
        <v>-1</v>
      </c>
      <c r="BG92" s="15" t="str">
        <f t="shared" si="399"/>
        <v>-1-1-1</v>
      </c>
      <c r="BH92" s="15" t="str">
        <f t="shared" si="400"/>
        <v>SD</v>
      </c>
      <c r="BI92" s="15" t="str">
        <f t="shared" si="401"/>
        <v>SI</v>
      </c>
      <c r="BJ92" s="15" t="b">
        <f t="shared" si="402"/>
        <v>1</v>
      </c>
      <c r="BK92" s="15" t="str">
        <f t="shared" si="403"/>
        <v>SIGIGUALES</v>
      </c>
      <c r="BL92" s="22" t="str">
        <f t="shared" si="404"/>
        <v>NO CONFORME</v>
      </c>
    </row>
    <row r="93" spans="1:64" ht="14.4" x14ac:dyDescent="0.3">
      <c r="A93" s="36">
        <v>85</v>
      </c>
      <c r="B93" s="28">
        <f t="shared" ref="B93:E93" si="545">B92</f>
        <v>45903</v>
      </c>
      <c r="C93" s="28">
        <f t="shared" si="545"/>
        <v>45903</v>
      </c>
      <c r="D93" s="12">
        <f t="shared" si="545"/>
        <v>3</v>
      </c>
      <c r="E93" s="10">
        <f t="shared" si="545"/>
        <v>11</v>
      </c>
      <c r="F93" s="13"/>
      <c r="G93" s="69"/>
      <c r="H93" s="70">
        <f t="shared" ref="H93:L93" si="546">H92</f>
        <v>25.6</v>
      </c>
      <c r="I93" s="37">
        <f t="shared" si="546"/>
        <v>0</v>
      </c>
      <c r="J93" s="35">
        <f t="shared" si="546"/>
        <v>16</v>
      </c>
      <c r="K93" s="122">
        <f t="shared" si="546"/>
        <v>8.1690000000000005</v>
      </c>
      <c r="L93" s="122">
        <f t="shared" si="546"/>
        <v>0.879</v>
      </c>
      <c r="M93" s="126"/>
      <c r="N93" s="126"/>
      <c r="O93" s="32">
        <f t="shared" ref="O93:P93" si="547">O92</f>
        <v>100.65</v>
      </c>
      <c r="P93" s="33" t="str">
        <f t="shared" si="547"/>
        <v>2,31,180</v>
      </c>
      <c r="Q93" s="11" t="str">
        <f t="shared" si="470"/>
        <v>2</v>
      </c>
      <c r="R93" s="11" t="str">
        <f t="shared" si="471"/>
        <v>31,180</v>
      </c>
      <c r="S93" s="11">
        <f t="shared" si="472"/>
        <v>4.1994444444444445E-2</v>
      </c>
      <c r="T93" s="14">
        <f t="shared" si="473"/>
        <v>2396.7456012700095</v>
      </c>
      <c r="U93" s="38">
        <f t="shared" si="474"/>
        <v>-100</v>
      </c>
      <c r="V93" s="39">
        <f t="shared" ref="V93:W93" si="548">V92</f>
        <v>19.8</v>
      </c>
      <c r="W93" s="124">
        <f t="shared" si="548"/>
        <v>1.08</v>
      </c>
      <c r="X93" s="124">
        <f t="shared" si="529"/>
        <v>1.075</v>
      </c>
      <c r="Y93" s="126"/>
      <c r="Z93" s="126"/>
      <c r="AA93" s="90">
        <f t="shared" ref="AA93:AB93" si="549">AA92</f>
        <v>5.0149999999999997</v>
      </c>
      <c r="AB93" s="73" t="str">
        <f t="shared" si="549"/>
        <v>9,05,040</v>
      </c>
      <c r="AC93" s="11" t="str">
        <f t="shared" si="477"/>
        <v>9,</v>
      </c>
      <c r="AD93" s="11" t="str">
        <f t="shared" si="478"/>
        <v>05,040</v>
      </c>
      <c r="AE93" s="11">
        <f t="shared" si="479"/>
        <v>0.15139999999999998</v>
      </c>
      <c r="AF93" s="14">
        <f t="shared" si="480"/>
        <v>33.124174372523122</v>
      </c>
      <c r="AG93" s="40">
        <f t="shared" si="481"/>
        <v>-100</v>
      </c>
      <c r="AH93" s="39">
        <f t="shared" si="537"/>
        <v>19.600000000000001</v>
      </c>
      <c r="AI93" s="124">
        <f t="shared" si="537"/>
        <v>1.0860000000000001</v>
      </c>
      <c r="AJ93" s="124">
        <f t="shared" si="537"/>
        <v>1.0780000000000001</v>
      </c>
      <c r="AK93" s="126">
        <f t="shared" si="482"/>
        <v>0</v>
      </c>
      <c r="AL93" s="126"/>
      <c r="AM93" s="34">
        <f t="shared" ref="AM93:AN93" si="550">AM92</f>
        <v>2.0059999999999998</v>
      </c>
      <c r="AN93" s="33" t="str">
        <f t="shared" si="550"/>
        <v>5,40,620</v>
      </c>
      <c r="AO93" s="11" t="str">
        <f t="shared" si="484"/>
        <v>5,</v>
      </c>
      <c r="AP93" s="11" t="str">
        <f t="shared" si="485"/>
        <v>40,620</v>
      </c>
      <c r="AQ93" s="11">
        <f t="shared" si="486"/>
        <v>9.4616666666666668E-2</v>
      </c>
      <c r="AR93" s="14">
        <f t="shared" si="487"/>
        <v>21.201338735247486</v>
      </c>
      <c r="AS93" s="40">
        <f t="shared" si="488"/>
        <v>-100</v>
      </c>
      <c r="AT93" s="41" t="str">
        <f t="shared" si="489"/>
        <v>NO CONFORME</v>
      </c>
      <c r="AU93" s="8" t="b">
        <f t="shared" si="411"/>
        <v>1</v>
      </c>
      <c r="AV93" s="8" t="b">
        <f t="shared" si="412"/>
        <v>0</v>
      </c>
      <c r="AW93" s="8" t="b">
        <f t="shared" si="413"/>
        <v>1</v>
      </c>
      <c r="AX93" s="8" t="str">
        <f t="shared" si="414"/>
        <v>Qcorrecto</v>
      </c>
      <c r="AY93" s="22" t="str">
        <f t="shared" si="394"/>
        <v>aceptable</v>
      </c>
      <c r="AZ93" s="22" t="str">
        <f t="shared" si="395"/>
        <v>aceptable</v>
      </c>
      <c r="BA93" s="22" t="str">
        <f t="shared" si="415"/>
        <v>aceptable</v>
      </c>
      <c r="BB93" s="25" t="str">
        <f t="shared" si="416"/>
        <v>NO CONFORME</v>
      </c>
      <c r="BC93" s="5" t="str">
        <f t="shared" si="417"/>
        <v>NO CONFORME</v>
      </c>
      <c r="BD93" s="15">
        <f t="shared" si="396"/>
        <v>-1</v>
      </c>
      <c r="BE93" s="15">
        <f t="shared" si="397"/>
        <v>-1</v>
      </c>
      <c r="BF93" s="15">
        <f t="shared" si="398"/>
        <v>-1</v>
      </c>
      <c r="BG93" s="15" t="str">
        <f t="shared" si="399"/>
        <v>-1-1-1</v>
      </c>
      <c r="BH93" s="15" t="str">
        <f t="shared" si="400"/>
        <v>SD</v>
      </c>
      <c r="BI93" s="15" t="str">
        <f t="shared" si="401"/>
        <v>SI</v>
      </c>
      <c r="BJ93" s="15" t="b">
        <f t="shared" si="402"/>
        <v>1</v>
      </c>
      <c r="BK93" s="15" t="str">
        <f t="shared" si="403"/>
        <v>SIGIGUALES</v>
      </c>
      <c r="BL93" s="22" t="str">
        <f t="shared" si="404"/>
        <v>NO CONFORME</v>
      </c>
    </row>
    <row r="94" spans="1:64" ht="14.4" x14ac:dyDescent="0.3">
      <c r="A94" s="36">
        <v>86</v>
      </c>
      <c r="B94" s="28">
        <f t="shared" ref="B94:E94" si="551">B93</f>
        <v>45903</v>
      </c>
      <c r="C94" s="28">
        <f t="shared" si="551"/>
        <v>45903</v>
      </c>
      <c r="D94" s="12">
        <f t="shared" si="551"/>
        <v>3</v>
      </c>
      <c r="E94" s="10">
        <f t="shared" si="551"/>
        <v>11</v>
      </c>
      <c r="F94" s="13"/>
      <c r="G94" s="69"/>
      <c r="H94" s="70">
        <f t="shared" ref="H94:L94" si="552">H93</f>
        <v>25.6</v>
      </c>
      <c r="I94" s="37">
        <f t="shared" si="552"/>
        <v>0</v>
      </c>
      <c r="J94" s="35">
        <f t="shared" si="552"/>
        <v>16</v>
      </c>
      <c r="K94" s="122">
        <f t="shared" si="552"/>
        <v>8.1690000000000005</v>
      </c>
      <c r="L94" s="122">
        <f t="shared" si="552"/>
        <v>0.879</v>
      </c>
      <c r="M94" s="126"/>
      <c r="N94" s="126"/>
      <c r="O94" s="32">
        <f t="shared" ref="O94:P94" si="553">O93</f>
        <v>100.65</v>
      </c>
      <c r="P94" s="33" t="str">
        <f t="shared" si="553"/>
        <v>2,31,180</v>
      </c>
      <c r="Q94" s="11" t="str">
        <f t="shared" si="470"/>
        <v>2</v>
      </c>
      <c r="R94" s="11" t="str">
        <f t="shared" si="471"/>
        <v>31,180</v>
      </c>
      <c r="S94" s="11">
        <f t="shared" si="472"/>
        <v>4.1994444444444445E-2</v>
      </c>
      <c r="T94" s="14">
        <f t="shared" si="473"/>
        <v>2396.7456012700095</v>
      </c>
      <c r="U94" s="38">
        <f t="shared" si="474"/>
        <v>-100</v>
      </c>
      <c r="V94" s="39">
        <f t="shared" ref="V94:W94" si="554">V93</f>
        <v>19.8</v>
      </c>
      <c r="W94" s="124">
        <f t="shared" si="554"/>
        <v>1.08</v>
      </c>
      <c r="X94" s="124">
        <f t="shared" si="529"/>
        <v>1.075</v>
      </c>
      <c r="Y94" s="126"/>
      <c r="Z94" s="126"/>
      <c r="AA94" s="90">
        <f t="shared" ref="AA94:AB94" si="555">AA93</f>
        <v>5.0149999999999997</v>
      </c>
      <c r="AB94" s="73" t="str">
        <f t="shared" si="555"/>
        <v>9,05,040</v>
      </c>
      <c r="AC94" s="11" t="str">
        <f t="shared" si="477"/>
        <v>9,</v>
      </c>
      <c r="AD94" s="11" t="str">
        <f t="shared" si="478"/>
        <v>05,040</v>
      </c>
      <c r="AE94" s="11">
        <f t="shared" si="479"/>
        <v>0.15139999999999998</v>
      </c>
      <c r="AF94" s="14">
        <f t="shared" si="480"/>
        <v>33.124174372523122</v>
      </c>
      <c r="AG94" s="40">
        <f t="shared" si="481"/>
        <v>-100</v>
      </c>
      <c r="AH94" s="39">
        <f t="shared" si="537"/>
        <v>19.600000000000001</v>
      </c>
      <c r="AI94" s="124">
        <f t="shared" si="537"/>
        <v>1.0860000000000001</v>
      </c>
      <c r="AJ94" s="124">
        <f t="shared" si="537"/>
        <v>1.0780000000000001</v>
      </c>
      <c r="AK94" s="126">
        <f t="shared" si="482"/>
        <v>0</v>
      </c>
      <c r="AL94" s="126"/>
      <c r="AM94" s="34">
        <f t="shared" ref="AM94:AN94" si="556">AM93</f>
        <v>2.0059999999999998</v>
      </c>
      <c r="AN94" s="33" t="str">
        <f t="shared" si="556"/>
        <v>5,40,620</v>
      </c>
      <c r="AO94" s="11" t="str">
        <f t="shared" si="484"/>
        <v>5,</v>
      </c>
      <c r="AP94" s="11" t="str">
        <f t="shared" si="485"/>
        <v>40,620</v>
      </c>
      <c r="AQ94" s="11">
        <f t="shared" si="486"/>
        <v>9.4616666666666668E-2</v>
      </c>
      <c r="AR94" s="14">
        <f t="shared" si="487"/>
        <v>21.201338735247486</v>
      </c>
      <c r="AS94" s="40">
        <f t="shared" si="488"/>
        <v>-100</v>
      </c>
      <c r="AT94" s="41" t="str">
        <f t="shared" si="489"/>
        <v>NO CONFORME</v>
      </c>
      <c r="AU94" s="8" t="b">
        <f t="shared" si="411"/>
        <v>1</v>
      </c>
      <c r="AV94" s="8" t="b">
        <f t="shared" si="412"/>
        <v>0</v>
      </c>
      <c r="AW94" s="8" t="b">
        <f t="shared" si="413"/>
        <v>1</v>
      </c>
      <c r="AX94" s="8" t="str">
        <f t="shared" si="414"/>
        <v>Qcorrecto</v>
      </c>
      <c r="AY94" s="22" t="str">
        <f t="shared" si="394"/>
        <v>aceptable</v>
      </c>
      <c r="AZ94" s="22" t="str">
        <f t="shared" si="395"/>
        <v>aceptable</v>
      </c>
      <c r="BA94" s="22" t="str">
        <f t="shared" si="415"/>
        <v>aceptable</v>
      </c>
      <c r="BB94" s="25" t="str">
        <f t="shared" si="416"/>
        <v>NO CONFORME</v>
      </c>
      <c r="BC94" s="5" t="str">
        <f t="shared" si="417"/>
        <v>NO CONFORME</v>
      </c>
      <c r="BD94" s="15">
        <f t="shared" si="396"/>
        <v>-1</v>
      </c>
      <c r="BE94" s="15">
        <f t="shared" si="397"/>
        <v>-1</v>
      </c>
      <c r="BF94" s="15">
        <f t="shared" si="398"/>
        <v>-1</v>
      </c>
      <c r="BG94" s="15" t="str">
        <f t="shared" si="399"/>
        <v>-1-1-1</v>
      </c>
      <c r="BH94" s="15" t="str">
        <f t="shared" si="400"/>
        <v>SD</v>
      </c>
      <c r="BI94" s="15" t="str">
        <f t="shared" si="401"/>
        <v>SI</v>
      </c>
      <c r="BJ94" s="15" t="b">
        <f t="shared" si="402"/>
        <v>1</v>
      </c>
      <c r="BK94" s="15" t="str">
        <f t="shared" si="403"/>
        <v>SIGIGUALES</v>
      </c>
      <c r="BL94" s="22" t="str">
        <f t="shared" si="404"/>
        <v>NO CONFORME</v>
      </c>
    </row>
    <row r="95" spans="1:64" ht="14.4" x14ac:dyDescent="0.3">
      <c r="A95" s="36">
        <v>87</v>
      </c>
      <c r="B95" s="28">
        <f t="shared" ref="B95:E95" si="557">B94</f>
        <v>45903</v>
      </c>
      <c r="C95" s="28">
        <f t="shared" si="557"/>
        <v>45903</v>
      </c>
      <c r="D95" s="12">
        <f t="shared" si="557"/>
        <v>3</v>
      </c>
      <c r="E95" s="10">
        <f t="shared" si="557"/>
        <v>11</v>
      </c>
      <c r="F95" s="13"/>
      <c r="G95" s="69"/>
      <c r="H95" s="70">
        <f t="shared" ref="H95:L95" si="558">H94</f>
        <v>25.6</v>
      </c>
      <c r="I95" s="37">
        <f t="shared" si="558"/>
        <v>0</v>
      </c>
      <c r="J95" s="35">
        <f t="shared" si="558"/>
        <v>16</v>
      </c>
      <c r="K95" s="122">
        <f t="shared" si="558"/>
        <v>8.1690000000000005</v>
      </c>
      <c r="L95" s="122">
        <f t="shared" si="558"/>
        <v>0.879</v>
      </c>
      <c r="M95" s="126"/>
      <c r="N95" s="126"/>
      <c r="O95" s="32">
        <f t="shared" ref="O95:P95" si="559">O94</f>
        <v>100.65</v>
      </c>
      <c r="P95" s="33" t="str">
        <f t="shared" si="559"/>
        <v>2,31,180</v>
      </c>
      <c r="Q95" s="11" t="str">
        <f t="shared" si="470"/>
        <v>2</v>
      </c>
      <c r="R95" s="11" t="str">
        <f t="shared" si="471"/>
        <v>31,180</v>
      </c>
      <c r="S95" s="11">
        <f t="shared" si="472"/>
        <v>4.1994444444444445E-2</v>
      </c>
      <c r="T95" s="14">
        <f t="shared" si="473"/>
        <v>2396.7456012700095</v>
      </c>
      <c r="U95" s="38">
        <f t="shared" si="474"/>
        <v>-100</v>
      </c>
      <c r="V95" s="39">
        <f t="shared" ref="V95:W95" si="560">V94</f>
        <v>19.8</v>
      </c>
      <c r="W95" s="124">
        <f t="shared" si="560"/>
        <v>1.08</v>
      </c>
      <c r="X95" s="124">
        <f t="shared" si="529"/>
        <v>1.075</v>
      </c>
      <c r="Y95" s="126"/>
      <c r="Z95" s="126"/>
      <c r="AA95" s="90">
        <f t="shared" ref="AA95:AB95" si="561">AA94</f>
        <v>5.0149999999999997</v>
      </c>
      <c r="AB95" s="73" t="str">
        <f t="shared" si="561"/>
        <v>9,05,040</v>
      </c>
      <c r="AC95" s="11" t="str">
        <f t="shared" si="477"/>
        <v>9,</v>
      </c>
      <c r="AD95" s="11" t="str">
        <f t="shared" si="478"/>
        <v>05,040</v>
      </c>
      <c r="AE95" s="11">
        <f t="shared" si="479"/>
        <v>0.15139999999999998</v>
      </c>
      <c r="AF95" s="14">
        <f t="shared" si="480"/>
        <v>33.124174372523122</v>
      </c>
      <c r="AG95" s="40">
        <f t="shared" si="481"/>
        <v>-100</v>
      </c>
      <c r="AH95" s="39">
        <f t="shared" si="537"/>
        <v>19.600000000000001</v>
      </c>
      <c r="AI95" s="124">
        <f t="shared" si="537"/>
        <v>1.0860000000000001</v>
      </c>
      <c r="AJ95" s="124">
        <f t="shared" si="537"/>
        <v>1.0780000000000001</v>
      </c>
      <c r="AK95" s="126">
        <f t="shared" si="482"/>
        <v>0</v>
      </c>
      <c r="AL95" s="126"/>
      <c r="AM95" s="34">
        <f t="shared" ref="AM95:AN95" si="562">AM94</f>
        <v>2.0059999999999998</v>
      </c>
      <c r="AN95" s="33" t="str">
        <f t="shared" si="562"/>
        <v>5,40,620</v>
      </c>
      <c r="AO95" s="11" t="str">
        <f t="shared" si="484"/>
        <v>5,</v>
      </c>
      <c r="AP95" s="11" t="str">
        <f t="shared" si="485"/>
        <v>40,620</v>
      </c>
      <c r="AQ95" s="11">
        <f t="shared" si="486"/>
        <v>9.4616666666666668E-2</v>
      </c>
      <c r="AR95" s="14">
        <f t="shared" si="487"/>
        <v>21.201338735247486</v>
      </c>
      <c r="AS95" s="40">
        <f t="shared" si="488"/>
        <v>-100</v>
      </c>
      <c r="AT95" s="41" t="str">
        <f t="shared" si="489"/>
        <v>NO CONFORME</v>
      </c>
      <c r="AU95" s="8" t="b">
        <f t="shared" si="411"/>
        <v>1</v>
      </c>
      <c r="AV95" s="8" t="b">
        <f t="shared" si="412"/>
        <v>0</v>
      </c>
      <c r="AW95" s="8" t="b">
        <f t="shared" si="413"/>
        <v>1</v>
      </c>
      <c r="AX95" s="8" t="str">
        <f t="shared" si="414"/>
        <v>Qcorrecto</v>
      </c>
      <c r="AY95" s="22" t="str">
        <f t="shared" si="394"/>
        <v>aceptable</v>
      </c>
      <c r="AZ95" s="22" t="str">
        <f t="shared" si="395"/>
        <v>aceptable</v>
      </c>
      <c r="BA95" s="22" t="str">
        <f t="shared" si="415"/>
        <v>aceptable</v>
      </c>
      <c r="BB95" s="25" t="str">
        <f t="shared" si="416"/>
        <v>NO CONFORME</v>
      </c>
      <c r="BC95" s="5" t="str">
        <f t="shared" si="417"/>
        <v>NO CONFORME</v>
      </c>
      <c r="BD95" s="15">
        <f t="shared" si="396"/>
        <v>-1</v>
      </c>
      <c r="BE95" s="15">
        <f t="shared" si="397"/>
        <v>-1</v>
      </c>
      <c r="BF95" s="15">
        <f t="shared" si="398"/>
        <v>-1</v>
      </c>
      <c r="BG95" s="15" t="str">
        <f t="shared" si="399"/>
        <v>-1-1-1</v>
      </c>
      <c r="BH95" s="15" t="str">
        <f t="shared" si="400"/>
        <v>SD</v>
      </c>
      <c r="BI95" s="15" t="str">
        <f t="shared" si="401"/>
        <v>SI</v>
      </c>
      <c r="BJ95" s="15" t="b">
        <f t="shared" si="402"/>
        <v>1</v>
      </c>
      <c r="BK95" s="15" t="str">
        <f t="shared" si="403"/>
        <v>SIGIGUALES</v>
      </c>
      <c r="BL95" s="22" t="str">
        <f t="shared" si="404"/>
        <v>NO CONFORME</v>
      </c>
    </row>
    <row r="96" spans="1:64" ht="14.4" x14ac:dyDescent="0.3">
      <c r="A96" s="36">
        <v>88</v>
      </c>
      <c r="B96" s="28">
        <f t="shared" ref="B96:E96" si="563">B95</f>
        <v>45903</v>
      </c>
      <c r="C96" s="28">
        <f t="shared" si="563"/>
        <v>45903</v>
      </c>
      <c r="D96" s="12">
        <f t="shared" si="563"/>
        <v>3</v>
      </c>
      <c r="E96" s="10">
        <f t="shared" si="563"/>
        <v>11</v>
      </c>
      <c r="F96" s="13"/>
      <c r="G96" s="69"/>
      <c r="H96" s="70">
        <f t="shared" ref="H96:L96" si="564">H95</f>
        <v>25.6</v>
      </c>
      <c r="I96" s="37">
        <f t="shared" si="564"/>
        <v>0</v>
      </c>
      <c r="J96" s="35">
        <f t="shared" si="564"/>
        <v>16</v>
      </c>
      <c r="K96" s="122">
        <f t="shared" si="564"/>
        <v>8.1690000000000005</v>
      </c>
      <c r="L96" s="122">
        <f t="shared" si="564"/>
        <v>0.879</v>
      </c>
      <c r="M96" s="126"/>
      <c r="N96" s="126"/>
      <c r="O96" s="32">
        <f t="shared" ref="O96:P96" si="565">O95</f>
        <v>100.65</v>
      </c>
      <c r="P96" s="33" t="str">
        <f t="shared" si="565"/>
        <v>2,31,180</v>
      </c>
      <c r="Q96" s="11" t="str">
        <f t="shared" si="470"/>
        <v>2</v>
      </c>
      <c r="R96" s="11" t="str">
        <f t="shared" si="471"/>
        <v>31,180</v>
      </c>
      <c r="S96" s="11">
        <f t="shared" si="472"/>
        <v>4.1994444444444445E-2</v>
      </c>
      <c r="T96" s="14">
        <f t="shared" si="473"/>
        <v>2396.7456012700095</v>
      </c>
      <c r="U96" s="38">
        <f t="shared" si="474"/>
        <v>-100</v>
      </c>
      <c r="V96" s="39">
        <f t="shared" ref="V96:W96" si="566">V95</f>
        <v>19.8</v>
      </c>
      <c r="W96" s="124">
        <f t="shared" si="566"/>
        <v>1.08</v>
      </c>
      <c r="X96" s="124">
        <f t="shared" si="529"/>
        <v>1.075</v>
      </c>
      <c r="Y96" s="126"/>
      <c r="Z96" s="126"/>
      <c r="AA96" s="90">
        <f t="shared" ref="AA96:AB96" si="567">AA95</f>
        <v>5.0149999999999997</v>
      </c>
      <c r="AB96" s="73" t="str">
        <f t="shared" si="567"/>
        <v>9,05,040</v>
      </c>
      <c r="AC96" s="11" t="str">
        <f t="shared" si="477"/>
        <v>9,</v>
      </c>
      <c r="AD96" s="11" t="str">
        <f t="shared" si="478"/>
        <v>05,040</v>
      </c>
      <c r="AE96" s="11">
        <f t="shared" si="479"/>
        <v>0.15139999999999998</v>
      </c>
      <c r="AF96" s="14">
        <f t="shared" si="480"/>
        <v>33.124174372523122</v>
      </c>
      <c r="AG96" s="40">
        <f t="shared" si="481"/>
        <v>-100</v>
      </c>
      <c r="AH96" s="39">
        <f t="shared" si="537"/>
        <v>19.600000000000001</v>
      </c>
      <c r="AI96" s="124">
        <f t="shared" si="537"/>
        <v>1.0860000000000001</v>
      </c>
      <c r="AJ96" s="124">
        <f t="shared" si="537"/>
        <v>1.0780000000000001</v>
      </c>
      <c r="AK96" s="126">
        <f t="shared" si="482"/>
        <v>0</v>
      </c>
      <c r="AL96" s="126"/>
      <c r="AM96" s="34">
        <f t="shared" ref="AM96:AN96" si="568">AM95</f>
        <v>2.0059999999999998</v>
      </c>
      <c r="AN96" s="33" t="str">
        <f t="shared" si="568"/>
        <v>5,40,620</v>
      </c>
      <c r="AO96" s="11" t="str">
        <f t="shared" si="484"/>
        <v>5,</v>
      </c>
      <c r="AP96" s="11" t="str">
        <f t="shared" si="485"/>
        <v>40,620</v>
      </c>
      <c r="AQ96" s="11">
        <f t="shared" si="486"/>
        <v>9.4616666666666668E-2</v>
      </c>
      <c r="AR96" s="14">
        <f t="shared" si="487"/>
        <v>21.201338735247486</v>
      </c>
      <c r="AS96" s="40">
        <f t="shared" si="488"/>
        <v>-100</v>
      </c>
      <c r="AT96" s="41" t="str">
        <f t="shared" si="489"/>
        <v>NO CONFORME</v>
      </c>
      <c r="AU96" s="8" t="b">
        <f t="shared" si="411"/>
        <v>1</v>
      </c>
      <c r="AV96" s="8" t="b">
        <f t="shared" si="412"/>
        <v>0</v>
      </c>
      <c r="AW96" s="8" t="b">
        <f t="shared" si="413"/>
        <v>1</v>
      </c>
      <c r="AX96" s="8" t="str">
        <f t="shared" si="414"/>
        <v>Qcorrecto</v>
      </c>
      <c r="AY96" s="22" t="str">
        <f t="shared" si="394"/>
        <v>aceptable</v>
      </c>
      <c r="AZ96" s="22" t="str">
        <f t="shared" si="395"/>
        <v>aceptable</v>
      </c>
      <c r="BA96" s="22" t="str">
        <f t="shared" si="415"/>
        <v>aceptable</v>
      </c>
      <c r="BB96" s="25" t="str">
        <f t="shared" si="416"/>
        <v>NO CONFORME</v>
      </c>
      <c r="BC96" s="5" t="str">
        <f t="shared" si="417"/>
        <v>NO CONFORME</v>
      </c>
      <c r="BD96" s="15">
        <f t="shared" si="396"/>
        <v>-1</v>
      </c>
      <c r="BE96" s="15">
        <f t="shared" si="397"/>
        <v>-1</v>
      </c>
      <c r="BF96" s="15">
        <f t="shared" si="398"/>
        <v>-1</v>
      </c>
      <c r="BG96" s="15" t="str">
        <f t="shared" si="399"/>
        <v>-1-1-1</v>
      </c>
      <c r="BH96" s="15" t="str">
        <f t="shared" si="400"/>
        <v>SD</v>
      </c>
      <c r="BI96" s="15" t="str">
        <f t="shared" si="401"/>
        <v>SI</v>
      </c>
      <c r="BJ96" s="15" t="b">
        <f t="shared" si="402"/>
        <v>1</v>
      </c>
      <c r="BK96" s="15" t="str">
        <f t="shared" si="403"/>
        <v>SIGIGUALES</v>
      </c>
      <c r="BL96" s="22" t="str">
        <f t="shared" si="404"/>
        <v>NO CONFORME</v>
      </c>
    </row>
    <row r="97" spans="1:64" ht="14.4" x14ac:dyDescent="0.3">
      <c r="A97" s="36">
        <v>89</v>
      </c>
      <c r="B97" s="28">
        <f t="shared" ref="B97:E97" si="569">B96</f>
        <v>45903</v>
      </c>
      <c r="C97" s="28">
        <f t="shared" si="569"/>
        <v>45903</v>
      </c>
      <c r="D97" s="12">
        <f t="shared" si="569"/>
        <v>3</v>
      </c>
      <c r="E97" s="10">
        <f t="shared" si="569"/>
        <v>11</v>
      </c>
      <c r="F97" s="13"/>
      <c r="G97" s="69"/>
      <c r="H97" s="70">
        <f t="shared" ref="H97:L97" si="570">H96</f>
        <v>25.6</v>
      </c>
      <c r="I97" s="37">
        <f t="shared" si="570"/>
        <v>0</v>
      </c>
      <c r="J97" s="35">
        <f t="shared" si="570"/>
        <v>16</v>
      </c>
      <c r="K97" s="122">
        <f t="shared" si="570"/>
        <v>8.1690000000000005</v>
      </c>
      <c r="L97" s="122">
        <f t="shared" si="570"/>
        <v>0.879</v>
      </c>
      <c r="M97" s="126"/>
      <c r="N97" s="126"/>
      <c r="O97" s="32">
        <f t="shared" ref="O97:P97" si="571">O96</f>
        <v>100.65</v>
      </c>
      <c r="P97" s="33" t="str">
        <f t="shared" si="571"/>
        <v>2,31,180</v>
      </c>
      <c r="Q97" s="11" t="str">
        <f t="shared" si="470"/>
        <v>2</v>
      </c>
      <c r="R97" s="11" t="str">
        <f t="shared" si="471"/>
        <v>31,180</v>
      </c>
      <c r="S97" s="11">
        <f t="shared" si="472"/>
        <v>4.1994444444444445E-2</v>
      </c>
      <c r="T97" s="14">
        <f t="shared" si="473"/>
        <v>2396.7456012700095</v>
      </c>
      <c r="U97" s="38">
        <f t="shared" si="474"/>
        <v>-100</v>
      </c>
      <c r="V97" s="39">
        <f t="shared" ref="V97:W97" si="572">V96</f>
        <v>19.8</v>
      </c>
      <c r="W97" s="124">
        <f t="shared" si="572"/>
        <v>1.08</v>
      </c>
      <c r="X97" s="124">
        <f t="shared" si="529"/>
        <v>1.075</v>
      </c>
      <c r="Y97" s="126"/>
      <c r="Z97" s="126"/>
      <c r="AA97" s="90">
        <f t="shared" ref="AA97:AB97" si="573">AA96</f>
        <v>5.0149999999999997</v>
      </c>
      <c r="AB97" s="73" t="str">
        <f t="shared" si="573"/>
        <v>9,05,040</v>
      </c>
      <c r="AC97" s="11" t="str">
        <f t="shared" si="477"/>
        <v>9,</v>
      </c>
      <c r="AD97" s="11" t="str">
        <f t="shared" si="478"/>
        <v>05,040</v>
      </c>
      <c r="AE97" s="11">
        <f t="shared" si="479"/>
        <v>0.15139999999999998</v>
      </c>
      <c r="AF97" s="14">
        <f t="shared" si="480"/>
        <v>33.124174372523122</v>
      </c>
      <c r="AG97" s="40">
        <f t="shared" si="481"/>
        <v>-100</v>
      </c>
      <c r="AH97" s="39">
        <f t="shared" si="537"/>
        <v>19.600000000000001</v>
      </c>
      <c r="AI97" s="124">
        <f t="shared" si="537"/>
        <v>1.0860000000000001</v>
      </c>
      <c r="AJ97" s="124">
        <f t="shared" si="537"/>
        <v>1.0780000000000001</v>
      </c>
      <c r="AK97" s="126">
        <f t="shared" si="482"/>
        <v>0</v>
      </c>
      <c r="AL97" s="126"/>
      <c r="AM97" s="34">
        <f t="shared" ref="AM97:AN97" si="574">AM96</f>
        <v>2.0059999999999998</v>
      </c>
      <c r="AN97" s="33" t="str">
        <f t="shared" si="574"/>
        <v>5,40,620</v>
      </c>
      <c r="AO97" s="11" t="str">
        <f t="shared" si="484"/>
        <v>5,</v>
      </c>
      <c r="AP97" s="11" t="str">
        <f t="shared" si="485"/>
        <v>40,620</v>
      </c>
      <c r="AQ97" s="11">
        <f t="shared" si="486"/>
        <v>9.4616666666666668E-2</v>
      </c>
      <c r="AR97" s="14">
        <f t="shared" si="487"/>
        <v>21.201338735247486</v>
      </c>
      <c r="AS97" s="40">
        <f t="shared" si="488"/>
        <v>-100</v>
      </c>
      <c r="AT97" s="41" t="str">
        <f t="shared" si="489"/>
        <v>NO CONFORME</v>
      </c>
      <c r="AU97" s="8" t="b">
        <f t="shared" si="411"/>
        <v>1</v>
      </c>
      <c r="AV97" s="8" t="b">
        <f t="shared" si="412"/>
        <v>0</v>
      </c>
      <c r="AW97" s="8" t="b">
        <f t="shared" si="413"/>
        <v>1</v>
      </c>
      <c r="AX97" s="8" t="str">
        <f t="shared" si="414"/>
        <v>Qcorrecto</v>
      </c>
      <c r="AY97" s="22" t="str">
        <f t="shared" si="394"/>
        <v>aceptable</v>
      </c>
      <c r="AZ97" s="22" t="str">
        <f t="shared" si="395"/>
        <v>aceptable</v>
      </c>
      <c r="BA97" s="22" t="str">
        <f t="shared" si="415"/>
        <v>aceptable</v>
      </c>
      <c r="BB97" s="25" t="str">
        <f t="shared" si="416"/>
        <v>NO CONFORME</v>
      </c>
      <c r="BC97" s="5" t="str">
        <f t="shared" si="417"/>
        <v>NO CONFORME</v>
      </c>
      <c r="BD97" s="15">
        <f t="shared" si="396"/>
        <v>-1</v>
      </c>
      <c r="BE97" s="15">
        <f t="shared" si="397"/>
        <v>-1</v>
      </c>
      <c r="BF97" s="15">
        <f t="shared" si="398"/>
        <v>-1</v>
      </c>
      <c r="BG97" s="15" t="str">
        <f t="shared" si="399"/>
        <v>-1-1-1</v>
      </c>
      <c r="BH97" s="15" t="str">
        <f t="shared" si="400"/>
        <v>SD</v>
      </c>
      <c r="BI97" s="15" t="str">
        <f t="shared" si="401"/>
        <v>SI</v>
      </c>
      <c r="BJ97" s="15" t="b">
        <f t="shared" si="402"/>
        <v>1</v>
      </c>
      <c r="BK97" s="15" t="str">
        <f t="shared" si="403"/>
        <v>SIGIGUALES</v>
      </c>
      <c r="BL97" s="22" t="str">
        <f t="shared" si="404"/>
        <v>NO CONFORME</v>
      </c>
    </row>
    <row r="98" spans="1:64" ht="14.4" x14ac:dyDescent="0.3">
      <c r="A98" s="36">
        <v>90</v>
      </c>
      <c r="B98" s="28">
        <f t="shared" ref="B98:E98" si="575">B97</f>
        <v>45903</v>
      </c>
      <c r="C98" s="28">
        <f t="shared" si="575"/>
        <v>45903</v>
      </c>
      <c r="D98" s="12">
        <f t="shared" si="575"/>
        <v>3</v>
      </c>
      <c r="E98" s="10">
        <f t="shared" si="575"/>
        <v>11</v>
      </c>
      <c r="F98" s="13"/>
      <c r="G98" s="69"/>
      <c r="H98" s="70">
        <f t="shared" ref="H98:L98" si="576">H97</f>
        <v>25.6</v>
      </c>
      <c r="I98" s="37">
        <f t="shared" si="576"/>
        <v>0</v>
      </c>
      <c r="J98" s="35">
        <f t="shared" si="576"/>
        <v>16</v>
      </c>
      <c r="K98" s="122">
        <f t="shared" si="576"/>
        <v>8.1690000000000005</v>
      </c>
      <c r="L98" s="122">
        <f t="shared" si="576"/>
        <v>0.879</v>
      </c>
      <c r="M98" s="126"/>
      <c r="N98" s="126"/>
      <c r="O98" s="32">
        <f t="shared" ref="O98:P98" si="577">O97</f>
        <v>100.65</v>
      </c>
      <c r="P98" s="33" t="str">
        <f t="shared" si="577"/>
        <v>2,31,180</v>
      </c>
      <c r="Q98" s="11" t="str">
        <f t="shared" si="470"/>
        <v>2</v>
      </c>
      <c r="R98" s="11" t="str">
        <f t="shared" si="471"/>
        <v>31,180</v>
      </c>
      <c r="S98" s="11">
        <f t="shared" si="472"/>
        <v>4.1994444444444445E-2</v>
      </c>
      <c r="T98" s="14">
        <f t="shared" si="473"/>
        <v>2396.7456012700095</v>
      </c>
      <c r="U98" s="38">
        <f t="shared" si="474"/>
        <v>-100</v>
      </c>
      <c r="V98" s="39">
        <f t="shared" ref="V98:W98" si="578">V97</f>
        <v>19.8</v>
      </c>
      <c r="W98" s="124">
        <f t="shared" si="578"/>
        <v>1.08</v>
      </c>
      <c r="X98" s="124">
        <f t="shared" si="529"/>
        <v>1.075</v>
      </c>
      <c r="Y98" s="126"/>
      <c r="Z98" s="126"/>
      <c r="AA98" s="90">
        <f t="shared" ref="AA98:AB98" si="579">AA97</f>
        <v>5.0149999999999997</v>
      </c>
      <c r="AB98" s="73" t="str">
        <f t="shared" si="579"/>
        <v>9,05,040</v>
      </c>
      <c r="AC98" s="11" t="str">
        <f t="shared" si="477"/>
        <v>9,</v>
      </c>
      <c r="AD98" s="11" t="str">
        <f t="shared" si="478"/>
        <v>05,040</v>
      </c>
      <c r="AE98" s="11">
        <f t="shared" si="479"/>
        <v>0.15139999999999998</v>
      </c>
      <c r="AF98" s="14">
        <f t="shared" si="480"/>
        <v>33.124174372523122</v>
      </c>
      <c r="AG98" s="40">
        <f t="shared" si="481"/>
        <v>-100</v>
      </c>
      <c r="AH98" s="39">
        <f t="shared" si="537"/>
        <v>19.600000000000001</v>
      </c>
      <c r="AI98" s="124">
        <f t="shared" si="537"/>
        <v>1.0860000000000001</v>
      </c>
      <c r="AJ98" s="124">
        <f t="shared" si="537"/>
        <v>1.0780000000000001</v>
      </c>
      <c r="AK98" s="126">
        <f t="shared" si="482"/>
        <v>0</v>
      </c>
      <c r="AL98" s="126"/>
      <c r="AM98" s="34">
        <f t="shared" ref="AM98:AN98" si="580">AM97</f>
        <v>2.0059999999999998</v>
      </c>
      <c r="AN98" s="33" t="str">
        <f t="shared" si="580"/>
        <v>5,40,620</v>
      </c>
      <c r="AO98" s="11" t="str">
        <f t="shared" si="484"/>
        <v>5,</v>
      </c>
      <c r="AP98" s="11" t="str">
        <f t="shared" si="485"/>
        <v>40,620</v>
      </c>
      <c r="AQ98" s="11">
        <f t="shared" si="486"/>
        <v>9.4616666666666668E-2</v>
      </c>
      <c r="AR98" s="14">
        <f t="shared" si="487"/>
        <v>21.201338735247486</v>
      </c>
      <c r="AS98" s="40">
        <f t="shared" si="488"/>
        <v>-100</v>
      </c>
      <c r="AT98" s="41" t="str">
        <f t="shared" si="489"/>
        <v>NO CONFORME</v>
      </c>
      <c r="AU98" s="8" t="b">
        <f t="shared" si="411"/>
        <v>1</v>
      </c>
      <c r="AV98" s="8" t="b">
        <f t="shared" si="412"/>
        <v>0</v>
      </c>
      <c r="AW98" s="8" t="b">
        <f t="shared" si="413"/>
        <v>1</v>
      </c>
      <c r="AX98" s="8" t="str">
        <f t="shared" si="414"/>
        <v>Qcorrecto</v>
      </c>
      <c r="AY98" s="22" t="str">
        <f t="shared" si="394"/>
        <v>aceptable</v>
      </c>
      <c r="AZ98" s="22" t="str">
        <f t="shared" si="395"/>
        <v>aceptable</v>
      </c>
      <c r="BA98" s="22" t="str">
        <f t="shared" si="415"/>
        <v>aceptable</v>
      </c>
      <c r="BB98" s="25" t="str">
        <f t="shared" si="416"/>
        <v>NO CONFORME</v>
      </c>
      <c r="BC98" s="5" t="str">
        <f t="shared" si="417"/>
        <v>NO CONFORME</v>
      </c>
      <c r="BD98" s="15">
        <f t="shared" si="396"/>
        <v>-1</v>
      </c>
      <c r="BE98" s="15">
        <f t="shared" si="397"/>
        <v>-1</v>
      </c>
      <c r="BF98" s="15">
        <f t="shared" si="398"/>
        <v>-1</v>
      </c>
      <c r="BG98" s="15" t="str">
        <f t="shared" si="399"/>
        <v>-1-1-1</v>
      </c>
      <c r="BH98" s="15" t="str">
        <f t="shared" si="400"/>
        <v>SD</v>
      </c>
      <c r="BI98" s="15" t="str">
        <f t="shared" si="401"/>
        <v>SI</v>
      </c>
      <c r="BJ98" s="15" t="b">
        <f t="shared" si="402"/>
        <v>1</v>
      </c>
      <c r="BK98" s="15" t="str">
        <f t="shared" si="403"/>
        <v>SIGIGUALES</v>
      </c>
      <c r="BL98" s="22" t="str">
        <f t="shared" si="404"/>
        <v>NO CONFORME</v>
      </c>
    </row>
    <row r="99" spans="1:64" ht="14.4" x14ac:dyDescent="0.3">
      <c r="A99" s="36">
        <v>91</v>
      </c>
      <c r="B99" s="28">
        <f t="shared" ref="B99:E99" si="581">B98</f>
        <v>45903</v>
      </c>
      <c r="C99" s="28">
        <f t="shared" si="581"/>
        <v>45903</v>
      </c>
      <c r="D99" s="12">
        <f t="shared" si="581"/>
        <v>3</v>
      </c>
      <c r="E99" s="10">
        <f t="shared" si="581"/>
        <v>11</v>
      </c>
      <c r="F99" s="13"/>
      <c r="G99" s="69"/>
      <c r="H99" s="70">
        <f t="shared" ref="H99:L99" si="582">H98</f>
        <v>25.6</v>
      </c>
      <c r="I99" s="37">
        <f t="shared" si="582"/>
        <v>0</v>
      </c>
      <c r="J99" s="35">
        <f t="shared" si="582"/>
        <v>16</v>
      </c>
      <c r="K99" s="122">
        <f t="shared" si="582"/>
        <v>8.1690000000000005</v>
      </c>
      <c r="L99" s="122">
        <f t="shared" si="582"/>
        <v>0.879</v>
      </c>
      <c r="M99" s="126"/>
      <c r="N99" s="126"/>
      <c r="O99" s="32">
        <f t="shared" ref="O99:P99" si="583">O98</f>
        <v>100.65</v>
      </c>
      <c r="P99" s="33" t="str">
        <f t="shared" si="583"/>
        <v>2,31,180</v>
      </c>
      <c r="Q99" s="11" t="str">
        <f t="shared" si="470"/>
        <v>2</v>
      </c>
      <c r="R99" s="11" t="str">
        <f t="shared" si="471"/>
        <v>31,180</v>
      </c>
      <c r="S99" s="11">
        <f t="shared" si="472"/>
        <v>4.1994444444444445E-2</v>
      </c>
      <c r="T99" s="14">
        <f t="shared" si="473"/>
        <v>2396.7456012700095</v>
      </c>
      <c r="U99" s="38">
        <f t="shared" si="474"/>
        <v>-100</v>
      </c>
      <c r="V99" s="39">
        <f t="shared" ref="V99:W99" si="584">V98</f>
        <v>19.8</v>
      </c>
      <c r="W99" s="124">
        <f t="shared" si="584"/>
        <v>1.08</v>
      </c>
      <c r="X99" s="124">
        <f t="shared" si="529"/>
        <v>1.075</v>
      </c>
      <c r="Y99" s="126"/>
      <c r="Z99" s="126"/>
      <c r="AA99" s="90">
        <f t="shared" ref="AA99:AB99" si="585">AA98</f>
        <v>5.0149999999999997</v>
      </c>
      <c r="AB99" s="73" t="str">
        <f t="shared" si="585"/>
        <v>9,05,040</v>
      </c>
      <c r="AC99" s="11" t="str">
        <f t="shared" si="477"/>
        <v>9,</v>
      </c>
      <c r="AD99" s="11" t="str">
        <f t="shared" si="478"/>
        <v>05,040</v>
      </c>
      <c r="AE99" s="11">
        <f t="shared" si="479"/>
        <v>0.15139999999999998</v>
      </c>
      <c r="AF99" s="14">
        <f t="shared" si="480"/>
        <v>33.124174372523122</v>
      </c>
      <c r="AG99" s="40">
        <f t="shared" si="481"/>
        <v>-100</v>
      </c>
      <c r="AH99" s="39">
        <f t="shared" si="537"/>
        <v>19.600000000000001</v>
      </c>
      <c r="AI99" s="124">
        <f t="shared" si="537"/>
        <v>1.0860000000000001</v>
      </c>
      <c r="AJ99" s="124">
        <f t="shared" si="537"/>
        <v>1.0780000000000001</v>
      </c>
      <c r="AK99" s="126">
        <f t="shared" si="482"/>
        <v>0</v>
      </c>
      <c r="AL99" s="126"/>
      <c r="AM99" s="34">
        <f t="shared" ref="AM99:AN99" si="586">AM98</f>
        <v>2.0059999999999998</v>
      </c>
      <c r="AN99" s="33" t="str">
        <f t="shared" si="586"/>
        <v>5,40,620</v>
      </c>
      <c r="AO99" s="11" t="str">
        <f t="shared" si="484"/>
        <v>5,</v>
      </c>
      <c r="AP99" s="11" t="str">
        <f t="shared" si="485"/>
        <v>40,620</v>
      </c>
      <c r="AQ99" s="11">
        <f t="shared" si="486"/>
        <v>9.4616666666666668E-2</v>
      </c>
      <c r="AR99" s="14">
        <f t="shared" si="487"/>
        <v>21.201338735247486</v>
      </c>
      <c r="AS99" s="40">
        <f t="shared" si="488"/>
        <v>-100</v>
      </c>
      <c r="AT99" s="41" t="str">
        <f t="shared" si="489"/>
        <v>NO CONFORME</v>
      </c>
      <c r="AU99" s="8" t="b">
        <f t="shared" si="411"/>
        <v>1</v>
      </c>
      <c r="AV99" s="8" t="b">
        <f t="shared" si="412"/>
        <v>0</v>
      </c>
      <c r="AW99" s="8" t="b">
        <f t="shared" si="413"/>
        <v>1</v>
      </c>
      <c r="AX99" s="8" t="str">
        <f t="shared" si="414"/>
        <v>Qcorrecto</v>
      </c>
      <c r="AY99" s="22" t="str">
        <f t="shared" si="394"/>
        <v>aceptable</v>
      </c>
      <c r="AZ99" s="22" t="str">
        <f t="shared" si="395"/>
        <v>aceptable</v>
      </c>
      <c r="BA99" s="22" t="str">
        <f t="shared" si="415"/>
        <v>aceptable</v>
      </c>
      <c r="BB99" s="25" t="str">
        <f t="shared" si="416"/>
        <v>NO CONFORME</v>
      </c>
      <c r="BC99" s="5" t="str">
        <f t="shared" si="417"/>
        <v>NO CONFORME</v>
      </c>
      <c r="BD99" s="15">
        <f t="shared" si="396"/>
        <v>-1</v>
      </c>
      <c r="BE99" s="15">
        <f t="shared" si="397"/>
        <v>-1</v>
      </c>
      <c r="BF99" s="15">
        <f t="shared" si="398"/>
        <v>-1</v>
      </c>
      <c r="BG99" s="15" t="str">
        <f t="shared" si="399"/>
        <v>-1-1-1</v>
      </c>
      <c r="BH99" s="15" t="str">
        <f t="shared" si="400"/>
        <v>SD</v>
      </c>
      <c r="BI99" s="15" t="str">
        <f t="shared" si="401"/>
        <v>SI</v>
      </c>
      <c r="BJ99" s="15" t="b">
        <f t="shared" si="402"/>
        <v>1</v>
      </c>
      <c r="BK99" s="15" t="str">
        <f t="shared" si="403"/>
        <v>SIGIGUALES</v>
      </c>
      <c r="BL99" s="22" t="str">
        <f t="shared" si="404"/>
        <v>NO CONFORME</v>
      </c>
    </row>
    <row r="100" spans="1:64" ht="14.4" x14ac:dyDescent="0.3">
      <c r="A100" s="36">
        <v>92</v>
      </c>
      <c r="B100" s="28">
        <f t="shared" ref="B100:E100" si="587">B99</f>
        <v>45903</v>
      </c>
      <c r="C100" s="28">
        <f t="shared" si="587"/>
        <v>45903</v>
      </c>
      <c r="D100" s="12">
        <f t="shared" si="587"/>
        <v>3</v>
      </c>
      <c r="E100" s="10">
        <f t="shared" si="587"/>
        <v>11</v>
      </c>
      <c r="F100" s="13"/>
      <c r="G100" s="69"/>
      <c r="H100" s="70">
        <f t="shared" ref="H100:L100" si="588">H99</f>
        <v>25.6</v>
      </c>
      <c r="I100" s="37">
        <f t="shared" si="588"/>
        <v>0</v>
      </c>
      <c r="J100" s="35">
        <f t="shared" si="588"/>
        <v>16</v>
      </c>
      <c r="K100" s="122">
        <f t="shared" si="588"/>
        <v>8.1690000000000005</v>
      </c>
      <c r="L100" s="122">
        <f t="shared" si="588"/>
        <v>0.879</v>
      </c>
      <c r="M100" s="126"/>
      <c r="N100" s="126"/>
      <c r="O100" s="32">
        <f t="shared" ref="O100:P100" si="589">O99</f>
        <v>100.65</v>
      </c>
      <c r="P100" s="33" t="str">
        <f t="shared" si="589"/>
        <v>2,31,180</v>
      </c>
      <c r="Q100" s="11" t="str">
        <f t="shared" si="470"/>
        <v>2</v>
      </c>
      <c r="R100" s="11" t="str">
        <f t="shared" si="471"/>
        <v>31,180</v>
      </c>
      <c r="S100" s="11">
        <f t="shared" si="472"/>
        <v>4.1994444444444445E-2</v>
      </c>
      <c r="T100" s="14">
        <f t="shared" si="473"/>
        <v>2396.7456012700095</v>
      </c>
      <c r="U100" s="38">
        <f t="shared" si="474"/>
        <v>-100</v>
      </c>
      <c r="V100" s="39">
        <f t="shared" ref="V100:W100" si="590">V99</f>
        <v>19.8</v>
      </c>
      <c r="W100" s="124">
        <f t="shared" si="590"/>
        <v>1.08</v>
      </c>
      <c r="X100" s="124">
        <f t="shared" si="529"/>
        <v>1.075</v>
      </c>
      <c r="Y100" s="126"/>
      <c r="Z100" s="126"/>
      <c r="AA100" s="90">
        <f t="shared" ref="AA100:AB100" si="591">AA99</f>
        <v>5.0149999999999997</v>
      </c>
      <c r="AB100" s="73" t="str">
        <f t="shared" si="591"/>
        <v>9,05,040</v>
      </c>
      <c r="AC100" s="11" t="str">
        <f t="shared" si="477"/>
        <v>9,</v>
      </c>
      <c r="AD100" s="11" t="str">
        <f t="shared" si="478"/>
        <v>05,040</v>
      </c>
      <c r="AE100" s="11">
        <f t="shared" si="479"/>
        <v>0.15139999999999998</v>
      </c>
      <c r="AF100" s="14">
        <f t="shared" si="480"/>
        <v>33.124174372523122</v>
      </c>
      <c r="AG100" s="40">
        <f t="shared" si="481"/>
        <v>-100</v>
      </c>
      <c r="AH100" s="39">
        <f t="shared" si="537"/>
        <v>19.600000000000001</v>
      </c>
      <c r="AI100" s="124">
        <f t="shared" si="537"/>
        <v>1.0860000000000001</v>
      </c>
      <c r="AJ100" s="124">
        <f t="shared" si="537"/>
        <v>1.0780000000000001</v>
      </c>
      <c r="AK100" s="126">
        <f t="shared" si="482"/>
        <v>0</v>
      </c>
      <c r="AL100" s="126"/>
      <c r="AM100" s="34">
        <f t="shared" ref="AM100:AN100" si="592">AM99</f>
        <v>2.0059999999999998</v>
      </c>
      <c r="AN100" s="33" t="str">
        <f t="shared" si="592"/>
        <v>5,40,620</v>
      </c>
      <c r="AO100" s="11" t="str">
        <f t="shared" si="484"/>
        <v>5,</v>
      </c>
      <c r="AP100" s="11" t="str">
        <f t="shared" si="485"/>
        <v>40,620</v>
      </c>
      <c r="AQ100" s="11">
        <f t="shared" si="486"/>
        <v>9.4616666666666668E-2</v>
      </c>
      <c r="AR100" s="14">
        <f t="shared" si="487"/>
        <v>21.201338735247486</v>
      </c>
      <c r="AS100" s="40">
        <f t="shared" si="488"/>
        <v>-100</v>
      </c>
      <c r="AT100" s="41" t="str">
        <f t="shared" si="489"/>
        <v>NO CONFORME</v>
      </c>
      <c r="AU100" s="8" t="b">
        <f t="shared" si="411"/>
        <v>1</v>
      </c>
      <c r="AV100" s="8" t="b">
        <f t="shared" si="412"/>
        <v>0</v>
      </c>
      <c r="AW100" s="8" t="b">
        <f t="shared" si="413"/>
        <v>1</v>
      </c>
      <c r="AX100" s="8" t="str">
        <f t="shared" si="414"/>
        <v>Qcorrecto</v>
      </c>
      <c r="AY100" s="22" t="str">
        <f t="shared" si="394"/>
        <v>aceptable</v>
      </c>
      <c r="AZ100" s="22" t="str">
        <f t="shared" si="395"/>
        <v>aceptable</v>
      </c>
      <c r="BA100" s="22" t="str">
        <f t="shared" si="415"/>
        <v>aceptable</v>
      </c>
      <c r="BB100" s="25" t="str">
        <f t="shared" si="416"/>
        <v>NO CONFORME</v>
      </c>
      <c r="BC100" s="5" t="str">
        <f t="shared" si="417"/>
        <v>NO CONFORME</v>
      </c>
      <c r="BD100" s="15">
        <f t="shared" si="396"/>
        <v>-1</v>
      </c>
      <c r="BE100" s="15">
        <f t="shared" si="397"/>
        <v>-1</v>
      </c>
      <c r="BF100" s="15">
        <f t="shared" si="398"/>
        <v>-1</v>
      </c>
      <c r="BG100" s="15" t="str">
        <f t="shared" si="399"/>
        <v>-1-1-1</v>
      </c>
      <c r="BH100" s="15" t="str">
        <f t="shared" si="400"/>
        <v>SD</v>
      </c>
      <c r="BI100" s="15" t="str">
        <f t="shared" si="401"/>
        <v>SI</v>
      </c>
      <c r="BJ100" s="15" t="b">
        <f t="shared" si="402"/>
        <v>1</v>
      </c>
      <c r="BK100" s="15" t="str">
        <f t="shared" si="403"/>
        <v>SIGIGUALES</v>
      </c>
      <c r="BL100" s="22" t="str">
        <f t="shared" si="404"/>
        <v>NO CONFORME</v>
      </c>
    </row>
    <row r="101" spans="1:64" ht="14.4" x14ac:dyDescent="0.3">
      <c r="A101" s="36">
        <v>93</v>
      </c>
      <c r="B101" s="28">
        <f t="shared" ref="B101:E101" si="593">B100</f>
        <v>45903</v>
      </c>
      <c r="C101" s="28">
        <f t="shared" si="593"/>
        <v>45903</v>
      </c>
      <c r="D101" s="12">
        <f t="shared" si="593"/>
        <v>3</v>
      </c>
      <c r="E101" s="10">
        <f t="shared" si="593"/>
        <v>11</v>
      </c>
      <c r="F101" s="13"/>
      <c r="G101" s="69"/>
      <c r="H101" s="70">
        <f t="shared" ref="H101:L101" si="594">H100</f>
        <v>25.6</v>
      </c>
      <c r="I101" s="37">
        <f t="shared" si="594"/>
        <v>0</v>
      </c>
      <c r="J101" s="35">
        <f t="shared" si="594"/>
        <v>16</v>
      </c>
      <c r="K101" s="122">
        <f t="shared" si="594"/>
        <v>8.1690000000000005</v>
      </c>
      <c r="L101" s="122">
        <f t="shared" si="594"/>
        <v>0.879</v>
      </c>
      <c r="M101" s="126"/>
      <c r="N101" s="126"/>
      <c r="O101" s="32">
        <f t="shared" ref="O101:P101" si="595">O100</f>
        <v>100.65</v>
      </c>
      <c r="P101" s="33" t="str">
        <f t="shared" si="595"/>
        <v>2,31,180</v>
      </c>
      <c r="Q101" s="11" t="str">
        <f t="shared" si="470"/>
        <v>2</v>
      </c>
      <c r="R101" s="11" t="str">
        <f t="shared" si="471"/>
        <v>31,180</v>
      </c>
      <c r="S101" s="11">
        <f t="shared" si="472"/>
        <v>4.1994444444444445E-2</v>
      </c>
      <c r="T101" s="14">
        <f t="shared" si="473"/>
        <v>2396.7456012700095</v>
      </c>
      <c r="U101" s="38">
        <f t="shared" si="474"/>
        <v>-100</v>
      </c>
      <c r="V101" s="39">
        <f t="shared" ref="V101:W101" si="596">V100</f>
        <v>19.8</v>
      </c>
      <c r="W101" s="124">
        <f t="shared" si="596"/>
        <v>1.08</v>
      </c>
      <c r="X101" s="124">
        <f t="shared" si="529"/>
        <v>1.075</v>
      </c>
      <c r="Y101" s="126"/>
      <c r="Z101" s="126"/>
      <c r="AA101" s="90">
        <f t="shared" ref="AA101:AB101" si="597">AA100</f>
        <v>5.0149999999999997</v>
      </c>
      <c r="AB101" s="73" t="str">
        <f t="shared" si="597"/>
        <v>9,05,040</v>
      </c>
      <c r="AC101" s="11" t="str">
        <f t="shared" si="477"/>
        <v>9,</v>
      </c>
      <c r="AD101" s="11" t="str">
        <f t="shared" si="478"/>
        <v>05,040</v>
      </c>
      <c r="AE101" s="11">
        <f t="shared" si="479"/>
        <v>0.15139999999999998</v>
      </c>
      <c r="AF101" s="14">
        <f t="shared" si="480"/>
        <v>33.124174372523122</v>
      </c>
      <c r="AG101" s="40">
        <f t="shared" si="481"/>
        <v>-100</v>
      </c>
      <c r="AH101" s="39">
        <f t="shared" si="537"/>
        <v>19.600000000000001</v>
      </c>
      <c r="AI101" s="124">
        <f t="shared" si="537"/>
        <v>1.0860000000000001</v>
      </c>
      <c r="AJ101" s="124">
        <f t="shared" si="537"/>
        <v>1.0780000000000001</v>
      </c>
      <c r="AK101" s="126">
        <f t="shared" si="482"/>
        <v>0</v>
      </c>
      <c r="AL101" s="126"/>
      <c r="AM101" s="34">
        <f t="shared" ref="AM101:AN101" si="598">AM100</f>
        <v>2.0059999999999998</v>
      </c>
      <c r="AN101" s="33" t="str">
        <f t="shared" si="598"/>
        <v>5,40,620</v>
      </c>
      <c r="AO101" s="11" t="str">
        <f t="shared" si="484"/>
        <v>5,</v>
      </c>
      <c r="AP101" s="11" t="str">
        <f t="shared" si="485"/>
        <v>40,620</v>
      </c>
      <c r="AQ101" s="11">
        <f t="shared" si="486"/>
        <v>9.4616666666666668E-2</v>
      </c>
      <c r="AR101" s="14">
        <f t="shared" si="487"/>
        <v>21.201338735247486</v>
      </c>
      <c r="AS101" s="40">
        <f t="shared" si="488"/>
        <v>-100</v>
      </c>
      <c r="AT101" s="41" t="str">
        <f t="shared" si="489"/>
        <v>NO CONFORME</v>
      </c>
      <c r="AU101" s="8" t="b">
        <f t="shared" si="411"/>
        <v>1</v>
      </c>
      <c r="AV101" s="8" t="b">
        <f t="shared" si="412"/>
        <v>0</v>
      </c>
      <c r="AW101" s="8" t="b">
        <f t="shared" si="413"/>
        <v>1</v>
      </c>
      <c r="AX101" s="8" t="str">
        <f t="shared" si="414"/>
        <v>Qcorrecto</v>
      </c>
      <c r="AY101" s="22" t="str">
        <f t="shared" si="394"/>
        <v>aceptable</v>
      </c>
      <c r="AZ101" s="22" t="str">
        <f t="shared" si="395"/>
        <v>aceptable</v>
      </c>
      <c r="BA101" s="22" t="str">
        <f t="shared" si="415"/>
        <v>aceptable</v>
      </c>
      <c r="BB101" s="25" t="str">
        <f t="shared" si="416"/>
        <v>NO CONFORME</v>
      </c>
      <c r="BC101" s="5" t="str">
        <f t="shared" si="417"/>
        <v>NO CONFORME</v>
      </c>
      <c r="BD101" s="15">
        <f t="shared" si="396"/>
        <v>-1</v>
      </c>
      <c r="BE101" s="15">
        <f t="shared" si="397"/>
        <v>-1</v>
      </c>
      <c r="BF101" s="15">
        <f t="shared" si="398"/>
        <v>-1</v>
      </c>
      <c r="BG101" s="15" t="str">
        <f t="shared" si="399"/>
        <v>-1-1-1</v>
      </c>
      <c r="BH101" s="15" t="str">
        <f t="shared" si="400"/>
        <v>SD</v>
      </c>
      <c r="BI101" s="15" t="str">
        <f t="shared" si="401"/>
        <v>SI</v>
      </c>
      <c r="BJ101" s="15" t="b">
        <f t="shared" si="402"/>
        <v>1</v>
      </c>
      <c r="BK101" s="15" t="str">
        <f t="shared" si="403"/>
        <v>SIGIGUALES</v>
      </c>
      <c r="BL101" s="22" t="str">
        <f t="shared" si="404"/>
        <v>NO CONFORME</v>
      </c>
    </row>
    <row r="102" spans="1:64" ht="14.4" x14ac:dyDescent="0.3">
      <c r="A102" s="36">
        <v>94</v>
      </c>
      <c r="B102" s="28">
        <f t="shared" ref="B102:E102" si="599">B101</f>
        <v>45903</v>
      </c>
      <c r="C102" s="28">
        <f t="shared" si="599"/>
        <v>45903</v>
      </c>
      <c r="D102" s="12">
        <f t="shared" si="599"/>
        <v>3</v>
      </c>
      <c r="E102" s="10">
        <f t="shared" si="599"/>
        <v>11</v>
      </c>
      <c r="F102" s="13"/>
      <c r="G102" s="69"/>
      <c r="H102" s="70">
        <f t="shared" ref="H102:L102" si="600">H101</f>
        <v>25.6</v>
      </c>
      <c r="I102" s="37">
        <f t="shared" si="600"/>
        <v>0</v>
      </c>
      <c r="J102" s="35">
        <f t="shared" si="600"/>
        <v>16</v>
      </c>
      <c r="K102" s="122">
        <f t="shared" si="600"/>
        <v>8.1690000000000005</v>
      </c>
      <c r="L102" s="122">
        <f t="shared" si="600"/>
        <v>0.879</v>
      </c>
      <c r="M102" s="126"/>
      <c r="N102" s="126"/>
      <c r="O102" s="32">
        <f t="shared" ref="O102:P102" si="601">O101</f>
        <v>100.65</v>
      </c>
      <c r="P102" s="33" t="str">
        <f t="shared" si="601"/>
        <v>2,31,180</v>
      </c>
      <c r="Q102" s="11" t="str">
        <f t="shared" si="470"/>
        <v>2</v>
      </c>
      <c r="R102" s="11" t="str">
        <f t="shared" si="471"/>
        <v>31,180</v>
      </c>
      <c r="S102" s="11">
        <f t="shared" si="472"/>
        <v>4.1994444444444445E-2</v>
      </c>
      <c r="T102" s="14">
        <f t="shared" si="473"/>
        <v>2396.7456012700095</v>
      </c>
      <c r="U102" s="38">
        <f t="shared" si="474"/>
        <v>-100</v>
      </c>
      <c r="V102" s="39">
        <f t="shared" ref="V102:W102" si="602">V101</f>
        <v>19.8</v>
      </c>
      <c r="W102" s="124">
        <f t="shared" si="602"/>
        <v>1.08</v>
      </c>
      <c r="X102" s="124">
        <f t="shared" si="529"/>
        <v>1.075</v>
      </c>
      <c r="Y102" s="126"/>
      <c r="Z102" s="126"/>
      <c r="AA102" s="90">
        <f t="shared" ref="AA102:AB102" si="603">AA101</f>
        <v>5.0149999999999997</v>
      </c>
      <c r="AB102" s="73" t="str">
        <f t="shared" si="603"/>
        <v>9,05,040</v>
      </c>
      <c r="AC102" s="11" t="str">
        <f t="shared" si="477"/>
        <v>9,</v>
      </c>
      <c r="AD102" s="11" t="str">
        <f t="shared" si="478"/>
        <v>05,040</v>
      </c>
      <c r="AE102" s="11">
        <f t="shared" si="479"/>
        <v>0.15139999999999998</v>
      </c>
      <c r="AF102" s="14">
        <f t="shared" si="480"/>
        <v>33.124174372523122</v>
      </c>
      <c r="AG102" s="40">
        <f t="shared" si="481"/>
        <v>-100</v>
      </c>
      <c r="AH102" s="39">
        <f t="shared" si="537"/>
        <v>19.600000000000001</v>
      </c>
      <c r="AI102" s="124">
        <f t="shared" si="537"/>
        <v>1.0860000000000001</v>
      </c>
      <c r="AJ102" s="124">
        <f t="shared" si="537"/>
        <v>1.0780000000000001</v>
      </c>
      <c r="AK102" s="126">
        <f t="shared" si="482"/>
        <v>0</v>
      </c>
      <c r="AL102" s="126"/>
      <c r="AM102" s="34">
        <f t="shared" ref="AM102:AN102" si="604">AM101</f>
        <v>2.0059999999999998</v>
      </c>
      <c r="AN102" s="33" t="str">
        <f t="shared" si="604"/>
        <v>5,40,620</v>
      </c>
      <c r="AO102" s="11" t="str">
        <f t="shared" si="484"/>
        <v>5,</v>
      </c>
      <c r="AP102" s="11" t="str">
        <f t="shared" si="485"/>
        <v>40,620</v>
      </c>
      <c r="AQ102" s="11">
        <f t="shared" si="486"/>
        <v>9.4616666666666668E-2</v>
      </c>
      <c r="AR102" s="14">
        <f t="shared" si="487"/>
        <v>21.201338735247486</v>
      </c>
      <c r="AS102" s="40">
        <f t="shared" si="488"/>
        <v>-100</v>
      </c>
      <c r="AT102" s="41" t="str">
        <f t="shared" si="489"/>
        <v>NO CONFORME</v>
      </c>
      <c r="AU102" s="8" t="b">
        <f t="shared" si="411"/>
        <v>1</v>
      </c>
      <c r="AV102" s="8" t="b">
        <f t="shared" si="412"/>
        <v>0</v>
      </c>
      <c r="AW102" s="8" t="b">
        <f t="shared" si="413"/>
        <v>1</v>
      </c>
      <c r="AX102" s="8" t="str">
        <f t="shared" si="414"/>
        <v>Qcorrecto</v>
      </c>
      <c r="AY102" s="22" t="str">
        <f t="shared" si="394"/>
        <v>aceptable</v>
      </c>
      <c r="AZ102" s="22" t="str">
        <f t="shared" si="395"/>
        <v>aceptable</v>
      </c>
      <c r="BA102" s="22" t="str">
        <f t="shared" si="415"/>
        <v>aceptable</v>
      </c>
      <c r="BB102" s="25" t="str">
        <f t="shared" si="416"/>
        <v>NO CONFORME</v>
      </c>
      <c r="BC102" s="5" t="str">
        <f t="shared" si="417"/>
        <v>NO CONFORME</v>
      </c>
      <c r="BD102" s="15">
        <f t="shared" si="396"/>
        <v>-1</v>
      </c>
      <c r="BE102" s="15">
        <f t="shared" si="397"/>
        <v>-1</v>
      </c>
      <c r="BF102" s="15">
        <f t="shared" si="398"/>
        <v>-1</v>
      </c>
      <c r="BG102" s="15" t="str">
        <f t="shared" si="399"/>
        <v>-1-1-1</v>
      </c>
      <c r="BH102" s="15" t="str">
        <f t="shared" si="400"/>
        <v>SD</v>
      </c>
      <c r="BI102" s="15" t="str">
        <f t="shared" si="401"/>
        <v>SI</v>
      </c>
      <c r="BJ102" s="15" t="b">
        <f t="shared" si="402"/>
        <v>1</v>
      </c>
      <c r="BK102" s="15" t="str">
        <f t="shared" si="403"/>
        <v>SIGIGUALES</v>
      </c>
      <c r="BL102" s="22" t="str">
        <f t="shared" si="404"/>
        <v>NO CONFORME</v>
      </c>
    </row>
    <row r="103" spans="1:64" ht="14.4" x14ac:dyDescent="0.3">
      <c r="A103" s="36">
        <v>95</v>
      </c>
      <c r="B103" s="28">
        <f t="shared" ref="B103:E103" si="605">B102</f>
        <v>45903</v>
      </c>
      <c r="C103" s="28">
        <f t="shared" si="605"/>
        <v>45903</v>
      </c>
      <c r="D103" s="12">
        <f t="shared" si="605"/>
        <v>3</v>
      </c>
      <c r="E103" s="10">
        <f t="shared" si="605"/>
        <v>11</v>
      </c>
      <c r="F103" s="13"/>
      <c r="G103" s="69"/>
      <c r="H103" s="70">
        <f t="shared" ref="H103:L103" si="606">H102</f>
        <v>25.6</v>
      </c>
      <c r="I103" s="37">
        <f t="shared" si="606"/>
        <v>0</v>
      </c>
      <c r="J103" s="35">
        <f t="shared" si="606"/>
        <v>16</v>
      </c>
      <c r="K103" s="122">
        <f t="shared" si="606"/>
        <v>8.1690000000000005</v>
      </c>
      <c r="L103" s="122">
        <f t="shared" si="606"/>
        <v>0.879</v>
      </c>
      <c r="M103" s="126"/>
      <c r="N103" s="126"/>
      <c r="O103" s="32">
        <f t="shared" ref="O103:P103" si="607">O102</f>
        <v>100.65</v>
      </c>
      <c r="P103" s="33" t="str">
        <f t="shared" si="607"/>
        <v>2,31,180</v>
      </c>
      <c r="Q103" s="11" t="str">
        <f t="shared" si="470"/>
        <v>2</v>
      </c>
      <c r="R103" s="11" t="str">
        <f t="shared" si="471"/>
        <v>31,180</v>
      </c>
      <c r="S103" s="11">
        <f t="shared" si="472"/>
        <v>4.1994444444444445E-2</v>
      </c>
      <c r="T103" s="14">
        <f t="shared" si="473"/>
        <v>2396.7456012700095</v>
      </c>
      <c r="U103" s="38">
        <f t="shared" si="474"/>
        <v>-100</v>
      </c>
      <c r="V103" s="39">
        <f t="shared" ref="V103:W103" si="608">V102</f>
        <v>19.8</v>
      </c>
      <c r="W103" s="124">
        <f t="shared" si="608"/>
        <v>1.08</v>
      </c>
      <c r="X103" s="124">
        <f t="shared" si="529"/>
        <v>1.075</v>
      </c>
      <c r="Y103" s="126"/>
      <c r="Z103" s="126"/>
      <c r="AA103" s="90">
        <f t="shared" ref="AA103:AB103" si="609">AA102</f>
        <v>5.0149999999999997</v>
      </c>
      <c r="AB103" s="73" t="str">
        <f t="shared" si="609"/>
        <v>9,05,040</v>
      </c>
      <c r="AC103" s="11" t="str">
        <f t="shared" si="477"/>
        <v>9,</v>
      </c>
      <c r="AD103" s="11" t="str">
        <f t="shared" si="478"/>
        <v>05,040</v>
      </c>
      <c r="AE103" s="11">
        <f t="shared" si="479"/>
        <v>0.15139999999999998</v>
      </c>
      <c r="AF103" s="14">
        <f t="shared" si="480"/>
        <v>33.124174372523122</v>
      </c>
      <c r="AG103" s="40">
        <f t="shared" si="481"/>
        <v>-100</v>
      </c>
      <c r="AH103" s="39">
        <f t="shared" si="537"/>
        <v>19.600000000000001</v>
      </c>
      <c r="AI103" s="124">
        <f t="shared" si="537"/>
        <v>1.0860000000000001</v>
      </c>
      <c r="AJ103" s="124">
        <f t="shared" si="537"/>
        <v>1.0780000000000001</v>
      </c>
      <c r="AK103" s="126">
        <f t="shared" si="482"/>
        <v>0</v>
      </c>
      <c r="AL103" s="126"/>
      <c r="AM103" s="34">
        <f t="shared" ref="AM103:AN103" si="610">AM102</f>
        <v>2.0059999999999998</v>
      </c>
      <c r="AN103" s="33" t="str">
        <f t="shared" si="610"/>
        <v>5,40,620</v>
      </c>
      <c r="AO103" s="11" t="str">
        <f t="shared" si="484"/>
        <v>5,</v>
      </c>
      <c r="AP103" s="11" t="str">
        <f t="shared" si="485"/>
        <v>40,620</v>
      </c>
      <c r="AQ103" s="11">
        <f t="shared" si="486"/>
        <v>9.4616666666666668E-2</v>
      </c>
      <c r="AR103" s="14">
        <f t="shared" si="487"/>
        <v>21.201338735247486</v>
      </c>
      <c r="AS103" s="40">
        <f t="shared" si="488"/>
        <v>-100</v>
      </c>
      <c r="AT103" s="41" t="str">
        <f t="shared" si="489"/>
        <v>NO CONFORME</v>
      </c>
      <c r="AU103" s="8" t="b">
        <f t="shared" si="411"/>
        <v>1</v>
      </c>
      <c r="AV103" s="8" t="b">
        <f t="shared" si="412"/>
        <v>0</v>
      </c>
      <c r="AW103" s="8" t="b">
        <f t="shared" si="413"/>
        <v>1</v>
      </c>
      <c r="AX103" s="8" t="str">
        <f t="shared" si="414"/>
        <v>Qcorrecto</v>
      </c>
      <c r="AY103" s="22" t="str">
        <f t="shared" si="394"/>
        <v>aceptable</v>
      </c>
      <c r="AZ103" s="22" t="str">
        <f t="shared" si="395"/>
        <v>aceptable</v>
      </c>
      <c r="BA103" s="22" t="str">
        <f t="shared" si="415"/>
        <v>aceptable</v>
      </c>
      <c r="BB103" s="25" t="str">
        <f t="shared" si="416"/>
        <v>NO CONFORME</v>
      </c>
      <c r="BC103" s="5" t="str">
        <f t="shared" si="417"/>
        <v>NO CONFORME</v>
      </c>
      <c r="BD103" s="15">
        <f t="shared" si="396"/>
        <v>-1</v>
      </c>
      <c r="BE103" s="15">
        <f t="shared" si="397"/>
        <v>-1</v>
      </c>
      <c r="BF103" s="15">
        <f t="shared" si="398"/>
        <v>-1</v>
      </c>
      <c r="BG103" s="15" t="str">
        <f t="shared" si="399"/>
        <v>-1-1-1</v>
      </c>
      <c r="BH103" s="15" t="str">
        <f t="shared" si="400"/>
        <v>SD</v>
      </c>
      <c r="BI103" s="15" t="str">
        <f t="shared" si="401"/>
        <v>SI</v>
      </c>
      <c r="BJ103" s="15" t="b">
        <f t="shared" si="402"/>
        <v>1</v>
      </c>
      <c r="BK103" s="15" t="str">
        <f t="shared" si="403"/>
        <v>SIGIGUALES</v>
      </c>
      <c r="BL103" s="22" t="str">
        <f t="shared" si="404"/>
        <v>NO CONFORME</v>
      </c>
    </row>
    <row r="104" spans="1:64" ht="14.4" x14ac:dyDescent="0.3">
      <c r="A104" s="36">
        <v>96</v>
      </c>
      <c r="B104" s="28">
        <f t="shared" ref="B104:E104" si="611">B103</f>
        <v>45903</v>
      </c>
      <c r="C104" s="28">
        <f t="shared" si="611"/>
        <v>45903</v>
      </c>
      <c r="D104" s="12">
        <f t="shared" si="611"/>
        <v>3</v>
      </c>
      <c r="E104" s="10">
        <f t="shared" si="611"/>
        <v>11</v>
      </c>
      <c r="F104" s="13"/>
      <c r="G104" s="69"/>
      <c r="H104" s="70">
        <f t="shared" ref="H104:L104" si="612">H103</f>
        <v>25.6</v>
      </c>
      <c r="I104" s="37">
        <f t="shared" si="612"/>
        <v>0</v>
      </c>
      <c r="J104" s="35">
        <f t="shared" si="612"/>
        <v>16</v>
      </c>
      <c r="K104" s="122">
        <f t="shared" si="612"/>
        <v>8.1690000000000005</v>
      </c>
      <c r="L104" s="122">
        <f t="shared" si="612"/>
        <v>0.879</v>
      </c>
      <c r="M104" s="126"/>
      <c r="N104" s="126"/>
      <c r="O104" s="32">
        <f t="shared" ref="O104:P104" si="613">O103</f>
        <v>100.65</v>
      </c>
      <c r="P104" s="33" t="str">
        <f t="shared" si="613"/>
        <v>2,31,180</v>
      </c>
      <c r="Q104" s="11" t="str">
        <f t="shared" si="470"/>
        <v>2</v>
      </c>
      <c r="R104" s="11" t="str">
        <f t="shared" si="471"/>
        <v>31,180</v>
      </c>
      <c r="S104" s="11">
        <f t="shared" si="472"/>
        <v>4.1994444444444445E-2</v>
      </c>
      <c r="T104" s="14">
        <f t="shared" si="473"/>
        <v>2396.7456012700095</v>
      </c>
      <c r="U104" s="38">
        <f t="shared" si="474"/>
        <v>-100</v>
      </c>
      <c r="V104" s="39">
        <f t="shared" ref="V104:W104" si="614">V103</f>
        <v>19.8</v>
      </c>
      <c r="W104" s="124">
        <f t="shared" si="614"/>
        <v>1.08</v>
      </c>
      <c r="X104" s="124">
        <f t="shared" si="529"/>
        <v>1.075</v>
      </c>
      <c r="Y104" s="126"/>
      <c r="Z104" s="126"/>
      <c r="AA104" s="90">
        <f t="shared" ref="AA104:AB104" si="615">AA103</f>
        <v>5.0149999999999997</v>
      </c>
      <c r="AB104" s="73" t="str">
        <f t="shared" si="615"/>
        <v>9,05,040</v>
      </c>
      <c r="AC104" s="11" t="str">
        <f t="shared" si="477"/>
        <v>9,</v>
      </c>
      <c r="AD104" s="11" t="str">
        <f t="shared" si="478"/>
        <v>05,040</v>
      </c>
      <c r="AE104" s="11">
        <f t="shared" si="479"/>
        <v>0.15139999999999998</v>
      </c>
      <c r="AF104" s="14">
        <f t="shared" si="480"/>
        <v>33.124174372523122</v>
      </c>
      <c r="AG104" s="40">
        <f t="shared" si="481"/>
        <v>-100</v>
      </c>
      <c r="AH104" s="39">
        <f t="shared" si="537"/>
        <v>19.600000000000001</v>
      </c>
      <c r="AI104" s="124">
        <f t="shared" si="537"/>
        <v>1.0860000000000001</v>
      </c>
      <c r="AJ104" s="124">
        <f t="shared" si="537"/>
        <v>1.0780000000000001</v>
      </c>
      <c r="AK104" s="126">
        <f t="shared" si="482"/>
        <v>0</v>
      </c>
      <c r="AL104" s="126"/>
      <c r="AM104" s="34">
        <f t="shared" ref="AM104:AN104" si="616">AM103</f>
        <v>2.0059999999999998</v>
      </c>
      <c r="AN104" s="33" t="str">
        <f t="shared" si="616"/>
        <v>5,40,620</v>
      </c>
      <c r="AO104" s="11" t="str">
        <f t="shared" si="484"/>
        <v>5,</v>
      </c>
      <c r="AP104" s="11" t="str">
        <f t="shared" si="485"/>
        <v>40,620</v>
      </c>
      <c r="AQ104" s="11">
        <f t="shared" si="486"/>
        <v>9.4616666666666668E-2</v>
      </c>
      <c r="AR104" s="14">
        <f t="shared" si="487"/>
        <v>21.201338735247486</v>
      </c>
      <c r="AS104" s="40">
        <f t="shared" si="488"/>
        <v>-100</v>
      </c>
      <c r="AT104" s="41" t="str">
        <f t="shared" si="489"/>
        <v>NO CONFORME</v>
      </c>
      <c r="AU104" s="8" t="b">
        <f t="shared" si="411"/>
        <v>1</v>
      </c>
      <c r="AV104" s="8" t="b">
        <f t="shared" si="412"/>
        <v>0</v>
      </c>
      <c r="AW104" s="8" t="b">
        <f t="shared" si="413"/>
        <v>1</v>
      </c>
      <c r="AX104" s="8" t="str">
        <f t="shared" si="414"/>
        <v>Qcorrecto</v>
      </c>
      <c r="AY104" s="22" t="str">
        <f t="shared" si="394"/>
        <v>aceptable</v>
      </c>
      <c r="AZ104" s="22" t="str">
        <f t="shared" si="395"/>
        <v>aceptable</v>
      </c>
      <c r="BA104" s="22" t="str">
        <f t="shared" si="415"/>
        <v>aceptable</v>
      </c>
      <c r="BB104" s="25" t="str">
        <f t="shared" si="416"/>
        <v>NO CONFORME</v>
      </c>
      <c r="BC104" s="5" t="str">
        <f t="shared" si="417"/>
        <v>NO CONFORME</v>
      </c>
      <c r="BD104" s="15">
        <f t="shared" si="396"/>
        <v>-1</v>
      </c>
      <c r="BE104" s="15">
        <f t="shared" si="397"/>
        <v>-1</v>
      </c>
      <c r="BF104" s="15">
        <f t="shared" si="398"/>
        <v>-1</v>
      </c>
      <c r="BG104" s="15" t="str">
        <f t="shared" si="399"/>
        <v>-1-1-1</v>
      </c>
      <c r="BH104" s="15" t="str">
        <f t="shared" si="400"/>
        <v>SD</v>
      </c>
      <c r="BI104" s="15" t="str">
        <f t="shared" si="401"/>
        <v>SI</v>
      </c>
      <c r="BJ104" s="15" t="b">
        <f t="shared" si="402"/>
        <v>1</v>
      </c>
      <c r="BK104" s="15" t="str">
        <f t="shared" si="403"/>
        <v>SIGIGUALES</v>
      </c>
      <c r="BL104" s="22" t="str">
        <f t="shared" si="404"/>
        <v>NO CONFORME</v>
      </c>
    </row>
    <row r="105" spans="1:64" ht="14.4" x14ac:dyDescent="0.3">
      <c r="A105" s="36">
        <v>97</v>
      </c>
      <c r="B105" s="28">
        <f t="shared" ref="B105:E105" si="617">B104</f>
        <v>45903</v>
      </c>
      <c r="C105" s="28">
        <f t="shared" si="617"/>
        <v>45903</v>
      </c>
      <c r="D105" s="12">
        <f t="shared" si="617"/>
        <v>3</v>
      </c>
      <c r="E105" s="10">
        <f t="shared" si="617"/>
        <v>11</v>
      </c>
      <c r="F105" s="13"/>
      <c r="G105" s="69"/>
      <c r="H105" s="70">
        <f t="shared" ref="H105:L105" si="618">H104</f>
        <v>25.6</v>
      </c>
      <c r="I105" s="37">
        <f t="shared" si="618"/>
        <v>0</v>
      </c>
      <c r="J105" s="35">
        <f t="shared" si="618"/>
        <v>16</v>
      </c>
      <c r="K105" s="122">
        <f t="shared" si="618"/>
        <v>8.1690000000000005</v>
      </c>
      <c r="L105" s="122">
        <f t="shared" si="618"/>
        <v>0.879</v>
      </c>
      <c r="M105" s="126"/>
      <c r="N105" s="126"/>
      <c r="O105" s="32">
        <f t="shared" ref="O105:P105" si="619">O104</f>
        <v>100.65</v>
      </c>
      <c r="P105" s="33" t="str">
        <f t="shared" si="619"/>
        <v>2,31,180</v>
      </c>
      <c r="Q105" s="11" t="str">
        <f t="shared" si="470"/>
        <v>2</v>
      </c>
      <c r="R105" s="11" t="str">
        <f t="shared" si="471"/>
        <v>31,180</v>
      </c>
      <c r="S105" s="11">
        <f t="shared" si="472"/>
        <v>4.1994444444444445E-2</v>
      </c>
      <c r="T105" s="14">
        <f t="shared" si="473"/>
        <v>2396.7456012700095</v>
      </c>
      <c r="U105" s="38">
        <f t="shared" si="474"/>
        <v>-100</v>
      </c>
      <c r="V105" s="39">
        <f t="shared" ref="V105:W105" si="620">V104</f>
        <v>19.8</v>
      </c>
      <c r="W105" s="124">
        <f t="shared" si="620"/>
        <v>1.08</v>
      </c>
      <c r="X105" s="124">
        <f t="shared" si="529"/>
        <v>1.075</v>
      </c>
      <c r="Y105" s="126"/>
      <c r="Z105" s="126"/>
      <c r="AA105" s="90">
        <f t="shared" ref="AA105:AB105" si="621">AA104</f>
        <v>5.0149999999999997</v>
      </c>
      <c r="AB105" s="73" t="str">
        <f t="shared" si="621"/>
        <v>9,05,040</v>
      </c>
      <c r="AC105" s="11" t="str">
        <f t="shared" si="477"/>
        <v>9,</v>
      </c>
      <c r="AD105" s="11" t="str">
        <f t="shared" si="478"/>
        <v>05,040</v>
      </c>
      <c r="AE105" s="11">
        <f t="shared" si="479"/>
        <v>0.15139999999999998</v>
      </c>
      <c r="AF105" s="14">
        <f t="shared" si="480"/>
        <v>33.124174372523122</v>
      </c>
      <c r="AG105" s="40">
        <f t="shared" si="481"/>
        <v>-100</v>
      </c>
      <c r="AH105" s="39">
        <f t="shared" si="537"/>
        <v>19.600000000000001</v>
      </c>
      <c r="AI105" s="124">
        <f t="shared" si="537"/>
        <v>1.0860000000000001</v>
      </c>
      <c r="AJ105" s="124">
        <f t="shared" si="537"/>
        <v>1.0780000000000001</v>
      </c>
      <c r="AK105" s="126">
        <f t="shared" si="482"/>
        <v>0</v>
      </c>
      <c r="AL105" s="126"/>
      <c r="AM105" s="34">
        <f t="shared" ref="AM105:AN105" si="622">AM104</f>
        <v>2.0059999999999998</v>
      </c>
      <c r="AN105" s="33" t="str">
        <f t="shared" si="622"/>
        <v>5,40,620</v>
      </c>
      <c r="AO105" s="11" t="str">
        <f t="shared" si="484"/>
        <v>5,</v>
      </c>
      <c r="AP105" s="11" t="str">
        <f t="shared" si="485"/>
        <v>40,620</v>
      </c>
      <c r="AQ105" s="11">
        <f t="shared" si="486"/>
        <v>9.4616666666666668E-2</v>
      </c>
      <c r="AR105" s="14">
        <f t="shared" si="487"/>
        <v>21.201338735247486</v>
      </c>
      <c r="AS105" s="40">
        <f t="shared" si="488"/>
        <v>-100</v>
      </c>
      <c r="AT105" s="41" t="str">
        <f t="shared" si="489"/>
        <v>NO CONFORME</v>
      </c>
      <c r="AU105" s="8" t="b">
        <f t="shared" si="411"/>
        <v>1</v>
      </c>
      <c r="AV105" s="8" t="b">
        <f t="shared" si="412"/>
        <v>0</v>
      </c>
      <c r="AW105" s="8" t="b">
        <f t="shared" si="413"/>
        <v>1</v>
      </c>
      <c r="AX105" s="8" t="str">
        <f t="shared" si="414"/>
        <v>Qcorrecto</v>
      </c>
      <c r="AY105" s="22" t="str">
        <f t="shared" si="394"/>
        <v>aceptable</v>
      </c>
      <c r="AZ105" s="22" t="str">
        <f t="shared" si="395"/>
        <v>aceptable</v>
      </c>
      <c r="BA105" s="22" t="str">
        <f t="shared" si="415"/>
        <v>aceptable</v>
      </c>
      <c r="BB105" s="25" t="str">
        <f t="shared" si="416"/>
        <v>NO CONFORME</v>
      </c>
      <c r="BC105" s="5" t="str">
        <f t="shared" si="417"/>
        <v>NO CONFORME</v>
      </c>
      <c r="BD105" s="15">
        <f t="shared" si="396"/>
        <v>-1</v>
      </c>
      <c r="BE105" s="15">
        <f t="shared" si="397"/>
        <v>-1</v>
      </c>
      <c r="BF105" s="15">
        <f t="shared" si="398"/>
        <v>-1</v>
      </c>
      <c r="BG105" s="15" t="str">
        <f t="shared" si="399"/>
        <v>-1-1-1</v>
      </c>
      <c r="BH105" s="15" t="str">
        <f t="shared" si="400"/>
        <v>SD</v>
      </c>
      <c r="BI105" s="15" t="str">
        <f t="shared" si="401"/>
        <v>SI</v>
      </c>
      <c r="BJ105" s="15" t="b">
        <f t="shared" si="402"/>
        <v>1</v>
      </c>
      <c r="BK105" s="15" t="str">
        <f t="shared" si="403"/>
        <v>SIGIGUALES</v>
      </c>
      <c r="BL105" s="22" t="str">
        <f t="shared" si="404"/>
        <v>NO CONFORME</v>
      </c>
    </row>
    <row r="106" spans="1:64" ht="14.4" x14ac:dyDescent="0.3">
      <c r="A106" s="36">
        <v>98</v>
      </c>
      <c r="B106" s="28">
        <f t="shared" ref="B106:E106" si="623">B105</f>
        <v>45903</v>
      </c>
      <c r="C106" s="28">
        <f t="shared" si="623"/>
        <v>45903</v>
      </c>
      <c r="D106" s="12">
        <f t="shared" si="623"/>
        <v>3</v>
      </c>
      <c r="E106" s="10">
        <f t="shared" si="623"/>
        <v>11</v>
      </c>
      <c r="F106" s="13"/>
      <c r="G106" s="69"/>
      <c r="H106" s="70">
        <f t="shared" ref="H106:L106" si="624">H105</f>
        <v>25.6</v>
      </c>
      <c r="I106" s="37">
        <f t="shared" si="624"/>
        <v>0</v>
      </c>
      <c r="J106" s="35">
        <f t="shared" si="624"/>
        <v>16</v>
      </c>
      <c r="K106" s="122">
        <f t="shared" si="624"/>
        <v>8.1690000000000005</v>
      </c>
      <c r="L106" s="122">
        <f t="shared" si="624"/>
        <v>0.879</v>
      </c>
      <c r="M106" s="126"/>
      <c r="N106" s="126"/>
      <c r="O106" s="32">
        <f t="shared" ref="O106:P106" si="625">O105</f>
        <v>100.65</v>
      </c>
      <c r="P106" s="33" t="str">
        <f t="shared" si="625"/>
        <v>2,31,180</v>
      </c>
      <c r="Q106" s="11" t="str">
        <f t="shared" si="470"/>
        <v>2</v>
      </c>
      <c r="R106" s="11" t="str">
        <f t="shared" si="471"/>
        <v>31,180</v>
      </c>
      <c r="S106" s="11">
        <f t="shared" si="472"/>
        <v>4.1994444444444445E-2</v>
      </c>
      <c r="T106" s="14">
        <f t="shared" si="473"/>
        <v>2396.7456012700095</v>
      </c>
      <c r="U106" s="38">
        <f t="shared" si="474"/>
        <v>-100</v>
      </c>
      <c r="V106" s="39">
        <f t="shared" ref="V106:X121" si="626">V105</f>
        <v>19.8</v>
      </c>
      <c r="W106" s="124">
        <f t="shared" si="626"/>
        <v>1.08</v>
      </c>
      <c r="X106" s="124">
        <f t="shared" si="626"/>
        <v>1.075</v>
      </c>
      <c r="Y106" s="126"/>
      <c r="Z106" s="126"/>
      <c r="AA106" s="90">
        <f t="shared" ref="AA106:AB106" si="627">AA105</f>
        <v>5.0149999999999997</v>
      </c>
      <c r="AB106" s="73" t="str">
        <f t="shared" si="627"/>
        <v>9,05,040</v>
      </c>
      <c r="AC106" s="11" t="str">
        <f t="shared" si="477"/>
        <v>9,</v>
      </c>
      <c r="AD106" s="11" t="str">
        <f t="shared" si="478"/>
        <v>05,040</v>
      </c>
      <c r="AE106" s="11">
        <f t="shared" si="479"/>
        <v>0.15139999999999998</v>
      </c>
      <c r="AF106" s="14">
        <f t="shared" si="480"/>
        <v>33.124174372523122</v>
      </c>
      <c r="AG106" s="40">
        <f t="shared" si="481"/>
        <v>-100</v>
      </c>
      <c r="AH106" s="39">
        <f t="shared" si="537"/>
        <v>19.600000000000001</v>
      </c>
      <c r="AI106" s="124">
        <f t="shared" si="537"/>
        <v>1.0860000000000001</v>
      </c>
      <c r="AJ106" s="124">
        <f t="shared" si="537"/>
        <v>1.0780000000000001</v>
      </c>
      <c r="AK106" s="126">
        <f t="shared" si="482"/>
        <v>0</v>
      </c>
      <c r="AL106" s="126"/>
      <c r="AM106" s="34">
        <f t="shared" ref="AM106:AN106" si="628">AM105</f>
        <v>2.0059999999999998</v>
      </c>
      <c r="AN106" s="33" t="str">
        <f t="shared" si="628"/>
        <v>5,40,620</v>
      </c>
      <c r="AO106" s="11" t="str">
        <f t="shared" si="484"/>
        <v>5,</v>
      </c>
      <c r="AP106" s="11" t="str">
        <f t="shared" si="485"/>
        <v>40,620</v>
      </c>
      <c r="AQ106" s="11">
        <f t="shared" si="486"/>
        <v>9.4616666666666668E-2</v>
      </c>
      <c r="AR106" s="14">
        <f t="shared" si="487"/>
        <v>21.201338735247486</v>
      </c>
      <c r="AS106" s="40">
        <f t="shared" si="488"/>
        <v>-100</v>
      </c>
      <c r="AT106" s="41" t="str">
        <f t="shared" si="489"/>
        <v>NO CONFORME</v>
      </c>
      <c r="AU106" s="8" t="b">
        <f t="shared" si="411"/>
        <v>1</v>
      </c>
      <c r="AV106" s="8" t="b">
        <f t="shared" si="412"/>
        <v>0</v>
      </c>
      <c r="AW106" s="8" t="b">
        <f t="shared" si="413"/>
        <v>1</v>
      </c>
      <c r="AX106" s="8" t="str">
        <f t="shared" si="414"/>
        <v>Qcorrecto</v>
      </c>
      <c r="AY106" s="22" t="str">
        <f t="shared" si="394"/>
        <v>aceptable</v>
      </c>
      <c r="AZ106" s="22" t="str">
        <f t="shared" si="395"/>
        <v>aceptable</v>
      </c>
      <c r="BA106" s="22" t="str">
        <f t="shared" si="415"/>
        <v>aceptable</v>
      </c>
      <c r="BB106" s="25" t="str">
        <f t="shared" si="416"/>
        <v>NO CONFORME</v>
      </c>
      <c r="BC106" s="5" t="str">
        <f t="shared" si="417"/>
        <v>NO CONFORME</v>
      </c>
      <c r="BD106" s="15">
        <f t="shared" si="396"/>
        <v>-1</v>
      </c>
      <c r="BE106" s="15">
        <f t="shared" si="397"/>
        <v>-1</v>
      </c>
      <c r="BF106" s="15">
        <f t="shared" si="398"/>
        <v>-1</v>
      </c>
      <c r="BG106" s="15" t="str">
        <f t="shared" si="399"/>
        <v>-1-1-1</v>
      </c>
      <c r="BH106" s="15" t="str">
        <f t="shared" si="400"/>
        <v>SD</v>
      </c>
      <c r="BI106" s="15" t="str">
        <f t="shared" si="401"/>
        <v>SI</v>
      </c>
      <c r="BJ106" s="15" t="b">
        <f t="shared" si="402"/>
        <v>1</v>
      </c>
      <c r="BK106" s="15" t="str">
        <f t="shared" si="403"/>
        <v>SIGIGUALES</v>
      </c>
      <c r="BL106" s="22" t="str">
        <f t="shared" si="404"/>
        <v>NO CONFORME</v>
      </c>
    </row>
    <row r="107" spans="1:64" ht="14.4" x14ac:dyDescent="0.3">
      <c r="A107" s="36">
        <v>99</v>
      </c>
      <c r="B107" s="28">
        <f t="shared" ref="B107:E107" si="629">B106</f>
        <v>45903</v>
      </c>
      <c r="C107" s="28">
        <f t="shared" si="629"/>
        <v>45903</v>
      </c>
      <c r="D107" s="12">
        <f t="shared" si="629"/>
        <v>3</v>
      </c>
      <c r="E107" s="10">
        <f t="shared" si="629"/>
        <v>11</v>
      </c>
      <c r="F107" s="13"/>
      <c r="G107" s="69"/>
      <c r="H107" s="70">
        <f t="shared" ref="H107:L107" si="630">H106</f>
        <v>25.6</v>
      </c>
      <c r="I107" s="37">
        <f t="shared" si="630"/>
        <v>0</v>
      </c>
      <c r="J107" s="35">
        <f t="shared" si="630"/>
        <v>16</v>
      </c>
      <c r="K107" s="122">
        <f t="shared" si="630"/>
        <v>8.1690000000000005</v>
      </c>
      <c r="L107" s="122">
        <f t="shared" si="630"/>
        <v>0.879</v>
      </c>
      <c r="M107" s="126"/>
      <c r="N107" s="126"/>
      <c r="O107" s="32">
        <f t="shared" ref="O107:P107" si="631">O106</f>
        <v>100.65</v>
      </c>
      <c r="P107" s="33" t="str">
        <f t="shared" si="631"/>
        <v>2,31,180</v>
      </c>
      <c r="Q107" s="11" t="str">
        <f t="shared" si="470"/>
        <v>2</v>
      </c>
      <c r="R107" s="11" t="str">
        <f t="shared" si="471"/>
        <v>31,180</v>
      </c>
      <c r="S107" s="11">
        <f t="shared" si="472"/>
        <v>4.1994444444444445E-2</v>
      </c>
      <c r="T107" s="14">
        <f t="shared" si="473"/>
        <v>2396.7456012700095</v>
      </c>
      <c r="U107" s="38">
        <f t="shared" si="474"/>
        <v>-100</v>
      </c>
      <c r="V107" s="39">
        <f t="shared" ref="V107:W107" si="632">V106</f>
        <v>19.8</v>
      </c>
      <c r="W107" s="124">
        <f t="shared" si="632"/>
        <v>1.08</v>
      </c>
      <c r="X107" s="124">
        <f t="shared" si="626"/>
        <v>1.075</v>
      </c>
      <c r="Y107" s="126"/>
      <c r="Z107" s="126"/>
      <c r="AA107" s="90">
        <f t="shared" ref="AA107:AB107" si="633">AA106</f>
        <v>5.0149999999999997</v>
      </c>
      <c r="AB107" s="73" t="str">
        <f t="shared" si="633"/>
        <v>9,05,040</v>
      </c>
      <c r="AC107" s="11" t="str">
        <f t="shared" si="477"/>
        <v>9,</v>
      </c>
      <c r="AD107" s="11" t="str">
        <f t="shared" si="478"/>
        <v>05,040</v>
      </c>
      <c r="AE107" s="11">
        <f t="shared" si="479"/>
        <v>0.15139999999999998</v>
      </c>
      <c r="AF107" s="14">
        <f t="shared" si="480"/>
        <v>33.124174372523122</v>
      </c>
      <c r="AG107" s="40">
        <f t="shared" si="481"/>
        <v>-100</v>
      </c>
      <c r="AH107" s="39">
        <f t="shared" ref="AH107:AJ122" si="634">AH106</f>
        <v>19.600000000000001</v>
      </c>
      <c r="AI107" s="124">
        <f t="shared" si="634"/>
        <v>1.0860000000000001</v>
      </c>
      <c r="AJ107" s="124">
        <f t="shared" si="634"/>
        <v>1.0780000000000001</v>
      </c>
      <c r="AK107" s="126">
        <f t="shared" si="482"/>
        <v>0</v>
      </c>
      <c r="AL107" s="126"/>
      <c r="AM107" s="34">
        <f t="shared" ref="AM107:AN107" si="635">AM106</f>
        <v>2.0059999999999998</v>
      </c>
      <c r="AN107" s="33" t="str">
        <f t="shared" si="635"/>
        <v>5,40,620</v>
      </c>
      <c r="AO107" s="11" t="str">
        <f t="shared" si="484"/>
        <v>5,</v>
      </c>
      <c r="AP107" s="11" t="str">
        <f t="shared" si="485"/>
        <v>40,620</v>
      </c>
      <c r="AQ107" s="11">
        <f t="shared" si="486"/>
        <v>9.4616666666666668E-2</v>
      </c>
      <c r="AR107" s="14">
        <f t="shared" si="487"/>
        <v>21.201338735247486</v>
      </c>
      <c r="AS107" s="40">
        <f t="shared" si="488"/>
        <v>-100</v>
      </c>
      <c r="AT107" s="41" t="str">
        <f t="shared" si="489"/>
        <v>NO CONFORME</v>
      </c>
      <c r="AU107" s="8" t="b">
        <f t="shared" si="411"/>
        <v>1</v>
      </c>
      <c r="AV107" s="8" t="b">
        <f t="shared" si="412"/>
        <v>0</v>
      </c>
      <c r="AW107" s="8" t="b">
        <f t="shared" si="413"/>
        <v>1</v>
      </c>
      <c r="AX107" s="8" t="str">
        <f t="shared" si="414"/>
        <v>Qcorrecto</v>
      </c>
      <c r="AY107" s="22" t="str">
        <f t="shared" si="394"/>
        <v>aceptable</v>
      </c>
      <c r="AZ107" s="22" t="str">
        <f t="shared" si="395"/>
        <v>aceptable</v>
      </c>
      <c r="BA107" s="22" t="str">
        <f t="shared" si="415"/>
        <v>aceptable</v>
      </c>
      <c r="BB107" s="25" t="str">
        <f t="shared" si="416"/>
        <v>NO CONFORME</v>
      </c>
      <c r="BC107" s="5" t="str">
        <f t="shared" si="417"/>
        <v>NO CONFORME</v>
      </c>
      <c r="BD107" s="15">
        <f t="shared" si="396"/>
        <v>-1</v>
      </c>
      <c r="BE107" s="15">
        <f t="shared" si="397"/>
        <v>-1</v>
      </c>
      <c r="BF107" s="15">
        <f t="shared" si="398"/>
        <v>-1</v>
      </c>
      <c r="BG107" s="15" t="str">
        <f t="shared" si="399"/>
        <v>-1-1-1</v>
      </c>
      <c r="BH107" s="15" t="str">
        <f t="shared" si="400"/>
        <v>SD</v>
      </c>
      <c r="BI107" s="15" t="str">
        <f t="shared" si="401"/>
        <v>SI</v>
      </c>
      <c r="BJ107" s="15" t="b">
        <f t="shared" si="402"/>
        <v>1</v>
      </c>
      <c r="BK107" s="15" t="str">
        <f t="shared" si="403"/>
        <v>SIGIGUALES</v>
      </c>
      <c r="BL107" s="22" t="str">
        <f t="shared" si="404"/>
        <v>NO CONFORME</v>
      </c>
    </row>
    <row r="108" spans="1:64" ht="14.4" x14ac:dyDescent="0.3">
      <c r="A108" s="36">
        <v>100</v>
      </c>
      <c r="B108" s="28">
        <f t="shared" ref="B108:E108" si="636">B107</f>
        <v>45903</v>
      </c>
      <c r="C108" s="28">
        <f t="shared" si="636"/>
        <v>45903</v>
      </c>
      <c r="D108" s="12">
        <f t="shared" si="636"/>
        <v>3</v>
      </c>
      <c r="E108" s="10">
        <f t="shared" si="636"/>
        <v>11</v>
      </c>
      <c r="F108" s="13"/>
      <c r="G108" s="69"/>
      <c r="H108" s="70">
        <f t="shared" ref="H108:L108" si="637">H107</f>
        <v>25.6</v>
      </c>
      <c r="I108" s="37">
        <f t="shared" si="637"/>
        <v>0</v>
      </c>
      <c r="J108" s="35">
        <f t="shared" si="637"/>
        <v>16</v>
      </c>
      <c r="K108" s="122">
        <f t="shared" si="637"/>
        <v>8.1690000000000005</v>
      </c>
      <c r="L108" s="122">
        <f t="shared" si="637"/>
        <v>0.879</v>
      </c>
      <c r="M108" s="126"/>
      <c r="N108" s="126"/>
      <c r="O108" s="32">
        <f t="shared" ref="O108:P108" si="638">O107</f>
        <v>100.65</v>
      </c>
      <c r="P108" s="33" t="str">
        <f t="shared" si="638"/>
        <v>2,31,180</v>
      </c>
      <c r="Q108" s="11" t="str">
        <f t="shared" si="470"/>
        <v>2</v>
      </c>
      <c r="R108" s="11" t="str">
        <f t="shared" si="471"/>
        <v>31,180</v>
      </c>
      <c r="S108" s="11">
        <f t="shared" si="472"/>
        <v>4.1994444444444445E-2</v>
      </c>
      <c r="T108" s="14">
        <f t="shared" si="473"/>
        <v>2396.7456012700095</v>
      </c>
      <c r="U108" s="38">
        <f t="shared" si="474"/>
        <v>-100</v>
      </c>
      <c r="V108" s="39">
        <f t="shared" ref="V108:W108" si="639">V107</f>
        <v>19.8</v>
      </c>
      <c r="W108" s="124">
        <f t="shared" si="639"/>
        <v>1.08</v>
      </c>
      <c r="X108" s="124">
        <f t="shared" si="626"/>
        <v>1.075</v>
      </c>
      <c r="Y108" s="126"/>
      <c r="Z108" s="126"/>
      <c r="AA108" s="90">
        <f t="shared" ref="AA108:AB108" si="640">AA107</f>
        <v>5.0149999999999997</v>
      </c>
      <c r="AB108" s="73" t="str">
        <f t="shared" si="640"/>
        <v>9,05,040</v>
      </c>
      <c r="AC108" s="11" t="str">
        <f t="shared" si="477"/>
        <v>9,</v>
      </c>
      <c r="AD108" s="11" t="str">
        <f t="shared" si="478"/>
        <v>05,040</v>
      </c>
      <c r="AE108" s="11">
        <f t="shared" si="479"/>
        <v>0.15139999999999998</v>
      </c>
      <c r="AF108" s="14">
        <f t="shared" si="480"/>
        <v>33.124174372523122</v>
      </c>
      <c r="AG108" s="40">
        <f t="shared" si="481"/>
        <v>-100</v>
      </c>
      <c r="AH108" s="39">
        <f t="shared" si="634"/>
        <v>19.600000000000001</v>
      </c>
      <c r="AI108" s="124">
        <f t="shared" si="634"/>
        <v>1.0860000000000001</v>
      </c>
      <c r="AJ108" s="124">
        <f t="shared" si="634"/>
        <v>1.0780000000000001</v>
      </c>
      <c r="AK108" s="126">
        <f t="shared" si="482"/>
        <v>0</v>
      </c>
      <c r="AL108" s="126"/>
      <c r="AM108" s="34">
        <f t="shared" ref="AM108:AN108" si="641">AM107</f>
        <v>2.0059999999999998</v>
      </c>
      <c r="AN108" s="33" t="str">
        <f t="shared" si="641"/>
        <v>5,40,620</v>
      </c>
      <c r="AO108" s="11" t="str">
        <f t="shared" si="484"/>
        <v>5,</v>
      </c>
      <c r="AP108" s="11" t="str">
        <f t="shared" si="485"/>
        <v>40,620</v>
      </c>
      <c r="AQ108" s="11">
        <f t="shared" si="486"/>
        <v>9.4616666666666668E-2</v>
      </c>
      <c r="AR108" s="14">
        <f t="shared" si="487"/>
        <v>21.201338735247486</v>
      </c>
      <c r="AS108" s="40">
        <f t="shared" si="488"/>
        <v>-100</v>
      </c>
      <c r="AT108" s="41" t="str">
        <f t="shared" si="489"/>
        <v>NO CONFORME</v>
      </c>
      <c r="AU108" s="8" t="b">
        <f t="shared" si="411"/>
        <v>1</v>
      </c>
      <c r="AV108" s="8" t="b">
        <f t="shared" si="412"/>
        <v>0</v>
      </c>
      <c r="AW108" s="8" t="b">
        <f t="shared" si="413"/>
        <v>1</v>
      </c>
      <c r="AX108" s="8" t="str">
        <f t="shared" si="414"/>
        <v>Qcorrecto</v>
      </c>
      <c r="AY108" s="22" t="str">
        <f t="shared" si="394"/>
        <v>aceptable</v>
      </c>
      <c r="AZ108" s="22" t="str">
        <f t="shared" si="395"/>
        <v>aceptable</v>
      </c>
      <c r="BA108" s="22" t="str">
        <f t="shared" si="415"/>
        <v>aceptable</v>
      </c>
      <c r="BB108" s="25" t="str">
        <f t="shared" si="416"/>
        <v>NO CONFORME</v>
      </c>
      <c r="BC108" s="5" t="str">
        <f t="shared" si="417"/>
        <v>NO CONFORME</v>
      </c>
      <c r="BD108" s="15">
        <f t="shared" si="396"/>
        <v>-1</v>
      </c>
      <c r="BE108" s="15">
        <f t="shared" si="397"/>
        <v>-1</v>
      </c>
      <c r="BF108" s="15">
        <f t="shared" si="398"/>
        <v>-1</v>
      </c>
      <c r="BG108" s="15" t="str">
        <f t="shared" si="399"/>
        <v>-1-1-1</v>
      </c>
      <c r="BH108" s="15" t="str">
        <f t="shared" si="400"/>
        <v>SD</v>
      </c>
      <c r="BI108" s="15" t="str">
        <f t="shared" si="401"/>
        <v>SI</v>
      </c>
      <c r="BJ108" s="15" t="b">
        <f t="shared" si="402"/>
        <v>1</v>
      </c>
      <c r="BK108" s="15" t="str">
        <f t="shared" si="403"/>
        <v>SIGIGUALES</v>
      </c>
      <c r="BL108" s="22" t="str">
        <f t="shared" si="404"/>
        <v>NO CONFORME</v>
      </c>
    </row>
    <row r="109" spans="1:64" ht="14.4" x14ac:dyDescent="0.3">
      <c r="A109" s="36">
        <v>101</v>
      </c>
      <c r="B109" s="28">
        <f t="shared" ref="B109:E109" si="642">B108</f>
        <v>45903</v>
      </c>
      <c r="C109" s="28">
        <f t="shared" si="642"/>
        <v>45903</v>
      </c>
      <c r="D109" s="12">
        <f t="shared" si="642"/>
        <v>3</v>
      </c>
      <c r="E109" s="10">
        <f t="shared" si="642"/>
        <v>11</v>
      </c>
      <c r="F109" s="13"/>
      <c r="G109" s="69"/>
      <c r="H109" s="70">
        <f t="shared" ref="H109:L109" si="643">H108</f>
        <v>25.6</v>
      </c>
      <c r="I109" s="37">
        <f t="shared" si="643"/>
        <v>0</v>
      </c>
      <c r="J109" s="35">
        <f t="shared" si="643"/>
        <v>16</v>
      </c>
      <c r="K109" s="122">
        <f t="shared" si="643"/>
        <v>8.1690000000000005</v>
      </c>
      <c r="L109" s="122">
        <f t="shared" si="643"/>
        <v>0.879</v>
      </c>
      <c r="M109" s="126"/>
      <c r="N109" s="126"/>
      <c r="O109" s="32">
        <f t="shared" ref="O109:P109" si="644">O108</f>
        <v>100.65</v>
      </c>
      <c r="P109" s="33" t="str">
        <f t="shared" si="644"/>
        <v>2,31,180</v>
      </c>
      <c r="Q109" s="11" t="str">
        <f t="shared" si="470"/>
        <v>2</v>
      </c>
      <c r="R109" s="11" t="str">
        <f t="shared" si="471"/>
        <v>31,180</v>
      </c>
      <c r="S109" s="11">
        <f t="shared" si="472"/>
        <v>4.1994444444444445E-2</v>
      </c>
      <c r="T109" s="14">
        <f t="shared" si="473"/>
        <v>2396.7456012700095</v>
      </c>
      <c r="U109" s="38">
        <f t="shared" si="474"/>
        <v>-100</v>
      </c>
      <c r="V109" s="39">
        <f t="shared" ref="V109:W109" si="645">V108</f>
        <v>19.8</v>
      </c>
      <c r="W109" s="124">
        <f t="shared" si="645"/>
        <v>1.08</v>
      </c>
      <c r="X109" s="124">
        <f t="shared" si="626"/>
        <v>1.075</v>
      </c>
      <c r="Y109" s="126"/>
      <c r="Z109" s="126"/>
      <c r="AA109" s="90">
        <f t="shared" ref="AA109:AB109" si="646">AA108</f>
        <v>5.0149999999999997</v>
      </c>
      <c r="AB109" s="73" t="str">
        <f t="shared" si="646"/>
        <v>9,05,040</v>
      </c>
      <c r="AC109" s="11" t="str">
        <f t="shared" si="477"/>
        <v>9,</v>
      </c>
      <c r="AD109" s="11" t="str">
        <f t="shared" si="478"/>
        <v>05,040</v>
      </c>
      <c r="AE109" s="11">
        <f t="shared" si="479"/>
        <v>0.15139999999999998</v>
      </c>
      <c r="AF109" s="14">
        <f t="shared" si="480"/>
        <v>33.124174372523122</v>
      </c>
      <c r="AG109" s="40">
        <f t="shared" si="481"/>
        <v>-100</v>
      </c>
      <c r="AH109" s="39">
        <f t="shared" si="634"/>
        <v>19.600000000000001</v>
      </c>
      <c r="AI109" s="124">
        <f t="shared" si="634"/>
        <v>1.0860000000000001</v>
      </c>
      <c r="AJ109" s="124">
        <f t="shared" si="634"/>
        <v>1.0780000000000001</v>
      </c>
      <c r="AK109" s="126">
        <f t="shared" si="482"/>
        <v>0</v>
      </c>
      <c r="AL109" s="126"/>
      <c r="AM109" s="34">
        <f t="shared" ref="AM109:AN109" si="647">AM108</f>
        <v>2.0059999999999998</v>
      </c>
      <c r="AN109" s="33" t="str">
        <f t="shared" si="647"/>
        <v>5,40,620</v>
      </c>
      <c r="AO109" s="11" t="str">
        <f t="shared" si="484"/>
        <v>5,</v>
      </c>
      <c r="AP109" s="11" t="str">
        <f t="shared" si="485"/>
        <v>40,620</v>
      </c>
      <c r="AQ109" s="11">
        <f t="shared" si="486"/>
        <v>9.4616666666666668E-2</v>
      </c>
      <c r="AR109" s="14">
        <f t="shared" si="487"/>
        <v>21.201338735247486</v>
      </c>
      <c r="AS109" s="40">
        <f t="shared" si="488"/>
        <v>-100</v>
      </c>
      <c r="AT109" s="41" t="str">
        <f t="shared" si="489"/>
        <v>NO CONFORME</v>
      </c>
      <c r="AU109" s="8" t="b">
        <f t="shared" si="411"/>
        <v>1</v>
      </c>
      <c r="AV109" s="8" t="b">
        <f t="shared" si="412"/>
        <v>0</v>
      </c>
      <c r="AW109" s="8" t="b">
        <f t="shared" si="413"/>
        <v>1</v>
      </c>
      <c r="AX109" s="8" t="str">
        <f t="shared" si="414"/>
        <v>Qcorrecto</v>
      </c>
      <c r="AY109" s="22" t="str">
        <f t="shared" si="394"/>
        <v>aceptable</v>
      </c>
      <c r="AZ109" s="22" t="str">
        <f t="shared" si="395"/>
        <v>aceptable</v>
      </c>
      <c r="BA109" s="22" t="str">
        <f t="shared" si="415"/>
        <v>aceptable</v>
      </c>
      <c r="BB109" s="25" t="str">
        <f t="shared" si="416"/>
        <v>NO CONFORME</v>
      </c>
      <c r="BC109" s="5" t="str">
        <f t="shared" si="417"/>
        <v>NO CONFORME</v>
      </c>
      <c r="BD109" s="15">
        <f t="shared" si="396"/>
        <v>-1</v>
      </c>
      <c r="BE109" s="15">
        <f t="shared" si="397"/>
        <v>-1</v>
      </c>
      <c r="BF109" s="15">
        <f t="shared" si="398"/>
        <v>-1</v>
      </c>
      <c r="BG109" s="15" t="str">
        <f t="shared" si="399"/>
        <v>-1-1-1</v>
      </c>
      <c r="BH109" s="15" t="str">
        <f t="shared" si="400"/>
        <v>SD</v>
      </c>
      <c r="BI109" s="15" t="str">
        <f t="shared" si="401"/>
        <v>SI</v>
      </c>
      <c r="BJ109" s="15" t="b">
        <f t="shared" si="402"/>
        <v>1</v>
      </c>
      <c r="BK109" s="15" t="str">
        <f t="shared" si="403"/>
        <v>SIGIGUALES</v>
      </c>
      <c r="BL109" s="22" t="str">
        <f t="shared" si="404"/>
        <v>NO CONFORME</v>
      </c>
    </row>
    <row r="110" spans="1:64" ht="14.4" x14ac:dyDescent="0.3">
      <c r="A110" s="36">
        <v>102</v>
      </c>
      <c r="B110" s="28">
        <f t="shared" ref="B110:E110" si="648">B109</f>
        <v>45903</v>
      </c>
      <c r="C110" s="28">
        <f t="shared" si="648"/>
        <v>45903</v>
      </c>
      <c r="D110" s="12">
        <f t="shared" si="648"/>
        <v>3</v>
      </c>
      <c r="E110" s="10">
        <f t="shared" si="648"/>
        <v>11</v>
      </c>
      <c r="F110" s="13"/>
      <c r="G110" s="69"/>
      <c r="H110" s="70">
        <f t="shared" ref="H110:L110" si="649">H109</f>
        <v>25.6</v>
      </c>
      <c r="I110" s="37">
        <f t="shared" si="649"/>
        <v>0</v>
      </c>
      <c r="J110" s="35">
        <f t="shared" si="649"/>
        <v>16</v>
      </c>
      <c r="K110" s="122">
        <f t="shared" si="649"/>
        <v>8.1690000000000005</v>
      </c>
      <c r="L110" s="122">
        <f t="shared" si="649"/>
        <v>0.879</v>
      </c>
      <c r="M110" s="126"/>
      <c r="N110" s="126"/>
      <c r="O110" s="32">
        <f t="shared" ref="O110:P110" si="650">O109</f>
        <v>100.65</v>
      </c>
      <c r="P110" s="33" t="str">
        <f t="shared" si="650"/>
        <v>2,31,180</v>
      </c>
      <c r="Q110" s="11" t="str">
        <f t="shared" si="470"/>
        <v>2</v>
      </c>
      <c r="R110" s="11" t="str">
        <f t="shared" si="471"/>
        <v>31,180</v>
      </c>
      <c r="S110" s="11">
        <f t="shared" si="472"/>
        <v>4.1994444444444445E-2</v>
      </c>
      <c r="T110" s="14">
        <f t="shared" si="473"/>
        <v>2396.7456012700095</v>
      </c>
      <c r="U110" s="38">
        <f t="shared" si="474"/>
        <v>-100</v>
      </c>
      <c r="V110" s="39">
        <f t="shared" ref="V110:W110" si="651">V109</f>
        <v>19.8</v>
      </c>
      <c r="W110" s="124">
        <f t="shared" si="651"/>
        <v>1.08</v>
      </c>
      <c r="X110" s="124">
        <f t="shared" si="626"/>
        <v>1.075</v>
      </c>
      <c r="Y110" s="126"/>
      <c r="Z110" s="126"/>
      <c r="AA110" s="90">
        <f t="shared" ref="AA110:AB110" si="652">AA109</f>
        <v>5.0149999999999997</v>
      </c>
      <c r="AB110" s="73" t="str">
        <f t="shared" si="652"/>
        <v>9,05,040</v>
      </c>
      <c r="AC110" s="11" t="str">
        <f t="shared" si="477"/>
        <v>9,</v>
      </c>
      <c r="AD110" s="11" t="str">
        <f t="shared" si="478"/>
        <v>05,040</v>
      </c>
      <c r="AE110" s="11">
        <f t="shared" si="479"/>
        <v>0.15139999999999998</v>
      </c>
      <c r="AF110" s="14">
        <f t="shared" si="480"/>
        <v>33.124174372523122</v>
      </c>
      <c r="AG110" s="40">
        <f t="shared" si="481"/>
        <v>-100</v>
      </c>
      <c r="AH110" s="39">
        <f t="shared" si="634"/>
        <v>19.600000000000001</v>
      </c>
      <c r="AI110" s="124">
        <f t="shared" si="634"/>
        <v>1.0860000000000001</v>
      </c>
      <c r="AJ110" s="124">
        <f t="shared" si="634"/>
        <v>1.0780000000000001</v>
      </c>
      <c r="AK110" s="126">
        <f t="shared" si="482"/>
        <v>0</v>
      </c>
      <c r="AL110" s="126"/>
      <c r="AM110" s="34">
        <f t="shared" ref="AM110:AN110" si="653">AM109</f>
        <v>2.0059999999999998</v>
      </c>
      <c r="AN110" s="33" t="str">
        <f t="shared" si="653"/>
        <v>5,40,620</v>
      </c>
      <c r="AO110" s="11" t="str">
        <f t="shared" si="484"/>
        <v>5,</v>
      </c>
      <c r="AP110" s="11" t="str">
        <f t="shared" si="485"/>
        <v>40,620</v>
      </c>
      <c r="AQ110" s="11">
        <f t="shared" si="486"/>
        <v>9.4616666666666668E-2</v>
      </c>
      <c r="AR110" s="14">
        <f t="shared" si="487"/>
        <v>21.201338735247486</v>
      </c>
      <c r="AS110" s="40">
        <f t="shared" si="488"/>
        <v>-100</v>
      </c>
      <c r="AT110" s="41" t="str">
        <f t="shared" si="489"/>
        <v>NO CONFORME</v>
      </c>
      <c r="AU110" s="8" t="b">
        <f t="shared" si="411"/>
        <v>1</v>
      </c>
      <c r="AV110" s="8" t="b">
        <f t="shared" si="412"/>
        <v>0</v>
      </c>
      <c r="AW110" s="8" t="b">
        <f t="shared" si="413"/>
        <v>1</v>
      </c>
      <c r="AX110" s="8" t="str">
        <f t="shared" si="414"/>
        <v>Qcorrecto</v>
      </c>
      <c r="AY110" s="22" t="str">
        <f t="shared" si="394"/>
        <v>aceptable</v>
      </c>
      <c r="AZ110" s="22" t="str">
        <f t="shared" si="395"/>
        <v>aceptable</v>
      </c>
      <c r="BA110" s="22" t="str">
        <f t="shared" si="415"/>
        <v>aceptable</v>
      </c>
      <c r="BB110" s="25" t="str">
        <f t="shared" si="416"/>
        <v>NO CONFORME</v>
      </c>
      <c r="BC110" s="5" t="str">
        <f t="shared" si="417"/>
        <v>NO CONFORME</v>
      </c>
      <c r="BD110" s="15">
        <f t="shared" si="396"/>
        <v>-1</v>
      </c>
      <c r="BE110" s="15">
        <f t="shared" si="397"/>
        <v>-1</v>
      </c>
      <c r="BF110" s="15">
        <f t="shared" si="398"/>
        <v>-1</v>
      </c>
      <c r="BG110" s="15" t="str">
        <f t="shared" si="399"/>
        <v>-1-1-1</v>
      </c>
      <c r="BH110" s="15" t="str">
        <f t="shared" si="400"/>
        <v>SD</v>
      </c>
      <c r="BI110" s="15" t="str">
        <f t="shared" si="401"/>
        <v>SI</v>
      </c>
      <c r="BJ110" s="15" t="b">
        <f t="shared" si="402"/>
        <v>1</v>
      </c>
      <c r="BK110" s="15" t="str">
        <f t="shared" si="403"/>
        <v>SIGIGUALES</v>
      </c>
      <c r="BL110" s="22" t="str">
        <f t="shared" si="404"/>
        <v>NO CONFORME</v>
      </c>
    </row>
    <row r="111" spans="1:64" ht="14.4" x14ac:dyDescent="0.3">
      <c r="A111" s="36">
        <v>103</v>
      </c>
      <c r="B111" s="28">
        <f t="shared" ref="B111:E111" si="654">B110</f>
        <v>45903</v>
      </c>
      <c r="C111" s="28">
        <f t="shared" si="654"/>
        <v>45903</v>
      </c>
      <c r="D111" s="12">
        <f t="shared" si="654"/>
        <v>3</v>
      </c>
      <c r="E111" s="10">
        <f t="shared" si="654"/>
        <v>11</v>
      </c>
      <c r="F111" s="13"/>
      <c r="G111" s="69"/>
      <c r="H111" s="70">
        <f t="shared" ref="H111:L111" si="655">H110</f>
        <v>25.6</v>
      </c>
      <c r="I111" s="37">
        <f t="shared" si="655"/>
        <v>0</v>
      </c>
      <c r="J111" s="35">
        <f t="shared" si="655"/>
        <v>16</v>
      </c>
      <c r="K111" s="122">
        <f t="shared" si="655"/>
        <v>8.1690000000000005</v>
      </c>
      <c r="L111" s="122">
        <f t="shared" si="655"/>
        <v>0.879</v>
      </c>
      <c r="M111" s="126"/>
      <c r="N111" s="126"/>
      <c r="O111" s="32">
        <f t="shared" ref="O111:P111" si="656">O110</f>
        <v>100.65</v>
      </c>
      <c r="P111" s="33" t="str">
        <f t="shared" si="656"/>
        <v>2,31,180</v>
      </c>
      <c r="Q111" s="11" t="str">
        <f t="shared" si="470"/>
        <v>2</v>
      </c>
      <c r="R111" s="11" t="str">
        <f t="shared" si="471"/>
        <v>31,180</v>
      </c>
      <c r="S111" s="11">
        <f t="shared" si="472"/>
        <v>4.1994444444444445E-2</v>
      </c>
      <c r="T111" s="14">
        <f t="shared" si="473"/>
        <v>2396.7456012700095</v>
      </c>
      <c r="U111" s="38">
        <f t="shared" si="474"/>
        <v>-100</v>
      </c>
      <c r="V111" s="39">
        <f t="shared" ref="V111:W111" si="657">V110</f>
        <v>19.8</v>
      </c>
      <c r="W111" s="124">
        <f t="shared" si="657"/>
        <v>1.08</v>
      </c>
      <c r="X111" s="124">
        <f t="shared" si="626"/>
        <v>1.075</v>
      </c>
      <c r="Y111" s="126"/>
      <c r="Z111" s="126"/>
      <c r="AA111" s="90">
        <f t="shared" ref="AA111:AB111" si="658">AA110</f>
        <v>5.0149999999999997</v>
      </c>
      <c r="AB111" s="73" t="str">
        <f t="shared" si="658"/>
        <v>9,05,040</v>
      </c>
      <c r="AC111" s="11" t="str">
        <f t="shared" si="477"/>
        <v>9,</v>
      </c>
      <c r="AD111" s="11" t="str">
        <f t="shared" si="478"/>
        <v>05,040</v>
      </c>
      <c r="AE111" s="11">
        <f t="shared" si="479"/>
        <v>0.15139999999999998</v>
      </c>
      <c r="AF111" s="14">
        <f t="shared" si="480"/>
        <v>33.124174372523122</v>
      </c>
      <c r="AG111" s="40">
        <f t="shared" si="481"/>
        <v>-100</v>
      </c>
      <c r="AH111" s="39">
        <f t="shared" si="634"/>
        <v>19.600000000000001</v>
      </c>
      <c r="AI111" s="124">
        <f t="shared" si="634"/>
        <v>1.0860000000000001</v>
      </c>
      <c r="AJ111" s="124">
        <f t="shared" si="634"/>
        <v>1.0780000000000001</v>
      </c>
      <c r="AK111" s="126">
        <f t="shared" si="482"/>
        <v>0</v>
      </c>
      <c r="AL111" s="126"/>
      <c r="AM111" s="34">
        <f t="shared" ref="AM111:AN111" si="659">AM110</f>
        <v>2.0059999999999998</v>
      </c>
      <c r="AN111" s="33" t="str">
        <f t="shared" si="659"/>
        <v>5,40,620</v>
      </c>
      <c r="AO111" s="11" t="str">
        <f t="shared" si="484"/>
        <v>5,</v>
      </c>
      <c r="AP111" s="11" t="str">
        <f t="shared" si="485"/>
        <v>40,620</v>
      </c>
      <c r="AQ111" s="11">
        <f t="shared" si="486"/>
        <v>9.4616666666666668E-2</v>
      </c>
      <c r="AR111" s="14">
        <f t="shared" si="487"/>
        <v>21.201338735247486</v>
      </c>
      <c r="AS111" s="40">
        <f t="shared" si="488"/>
        <v>-100</v>
      </c>
      <c r="AT111" s="41" t="str">
        <f t="shared" si="489"/>
        <v>NO CONFORME</v>
      </c>
      <c r="AU111" s="8" t="b">
        <f t="shared" si="411"/>
        <v>1</v>
      </c>
      <c r="AV111" s="8" t="b">
        <f t="shared" si="412"/>
        <v>0</v>
      </c>
      <c r="AW111" s="8" t="b">
        <f t="shared" si="413"/>
        <v>1</v>
      </c>
      <c r="AX111" s="8" t="str">
        <f t="shared" si="414"/>
        <v>Qcorrecto</v>
      </c>
      <c r="AY111" s="22" t="str">
        <f t="shared" si="394"/>
        <v>aceptable</v>
      </c>
      <c r="AZ111" s="22" t="str">
        <f t="shared" si="395"/>
        <v>aceptable</v>
      </c>
      <c r="BA111" s="22" t="str">
        <f t="shared" si="415"/>
        <v>aceptable</v>
      </c>
      <c r="BB111" s="25" t="str">
        <f t="shared" si="416"/>
        <v>NO CONFORME</v>
      </c>
      <c r="BC111" s="5" t="str">
        <f t="shared" si="417"/>
        <v>NO CONFORME</v>
      </c>
      <c r="BD111" s="15">
        <f t="shared" si="396"/>
        <v>-1</v>
      </c>
      <c r="BE111" s="15">
        <f t="shared" si="397"/>
        <v>-1</v>
      </c>
      <c r="BF111" s="15">
        <f t="shared" si="398"/>
        <v>-1</v>
      </c>
      <c r="BG111" s="15" t="str">
        <f t="shared" si="399"/>
        <v>-1-1-1</v>
      </c>
      <c r="BH111" s="15" t="str">
        <f t="shared" si="400"/>
        <v>SD</v>
      </c>
      <c r="BI111" s="15" t="str">
        <f t="shared" si="401"/>
        <v>SI</v>
      </c>
      <c r="BJ111" s="15" t="b">
        <f t="shared" si="402"/>
        <v>1</v>
      </c>
      <c r="BK111" s="15" t="str">
        <f t="shared" si="403"/>
        <v>SIGIGUALES</v>
      </c>
      <c r="BL111" s="22" t="str">
        <f t="shared" si="404"/>
        <v>NO CONFORME</v>
      </c>
    </row>
    <row r="112" spans="1:64" ht="14.4" x14ac:dyDescent="0.3">
      <c r="A112" s="36">
        <v>104</v>
      </c>
      <c r="B112" s="28">
        <f t="shared" ref="B112:E112" si="660">B111</f>
        <v>45903</v>
      </c>
      <c r="C112" s="28">
        <f t="shared" si="660"/>
        <v>45903</v>
      </c>
      <c r="D112" s="12">
        <f t="shared" si="660"/>
        <v>3</v>
      </c>
      <c r="E112" s="10">
        <f t="shared" si="660"/>
        <v>11</v>
      </c>
      <c r="F112" s="13"/>
      <c r="G112" s="69"/>
      <c r="H112" s="70">
        <f t="shared" ref="H112:L112" si="661">H111</f>
        <v>25.6</v>
      </c>
      <c r="I112" s="37">
        <f t="shared" si="661"/>
        <v>0</v>
      </c>
      <c r="J112" s="35">
        <f t="shared" si="661"/>
        <v>16</v>
      </c>
      <c r="K112" s="122">
        <f t="shared" si="661"/>
        <v>8.1690000000000005</v>
      </c>
      <c r="L112" s="122">
        <f t="shared" si="661"/>
        <v>0.879</v>
      </c>
      <c r="M112" s="126"/>
      <c r="N112" s="126"/>
      <c r="O112" s="32">
        <f t="shared" ref="O112:P112" si="662">O111</f>
        <v>100.65</v>
      </c>
      <c r="P112" s="33" t="str">
        <f t="shared" si="662"/>
        <v>2,31,180</v>
      </c>
      <c r="Q112" s="11" t="str">
        <f t="shared" si="470"/>
        <v>2</v>
      </c>
      <c r="R112" s="11" t="str">
        <f t="shared" si="471"/>
        <v>31,180</v>
      </c>
      <c r="S112" s="11">
        <f t="shared" si="472"/>
        <v>4.1994444444444445E-2</v>
      </c>
      <c r="T112" s="14">
        <f t="shared" si="473"/>
        <v>2396.7456012700095</v>
      </c>
      <c r="U112" s="38">
        <f t="shared" si="474"/>
        <v>-100</v>
      </c>
      <c r="V112" s="39">
        <f t="shared" ref="V112:W112" si="663">V111</f>
        <v>19.8</v>
      </c>
      <c r="W112" s="124">
        <f t="shared" si="663"/>
        <v>1.08</v>
      </c>
      <c r="X112" s="124">
        <f t="shared" si="626"/>
        <v>1.075</v>
      </c>
      <c r="Y112" s="126"/>
      <c r="Z112" s="126"/>
      <c r="AA112" s="90">
        <f t="shared" ref="AA112:AB112" si="664">AA111</f>
        <v>5.0149999999999997</v>
      </c>
      <c r="AB112" s="73" t="str">
        <f t="shared" si="664"/>
        <v>9,05,040</v>
      </c>
      <c r="AC112" s="11" t="str">
        <f t="shared" si="477"/>
        <v>9,</v>
      </c>
      <c r="AD112" s="11" t="str">
        <f t="shared" si="478"/>
        <v>05,040</v>
      </c>
      <c r="AE112" s="11">
        <f t="shared" si="479"/>
        <v>0.15139999999999998</v>
      </c>
      <c r="AF112" s="14">
        <f t="shared" si="480"/>
        <v>33.124174372523122</v>
      </c>
      <c r="AG112" s="40">
        <f t="shared" si="481"/>
        <v>-100</v>
      </c>
      <c r="AH112" s="39">
        <f t="shared" si="634"/>
        <v>19.600000000000001</v>
      </c>
      <c r="AI112" s="124">
        <f t="shared" si="634"/>
        <v>1.0860000000000001</v>
      </c>
      <c r="AJ112" s="124">
        <f t="shared" si="634"/>
        <v>1.0780000000000001</v>
      </c>
      <c r="AK112" s="126">
        <f t="shared" si="482"/>
        <v>0</v>
      </c>
      <c r="AL112" s="126"/>
      <c r="AM112" s="34">
        <f t="shared" ref="AM112:AN112" si="665">AM111</f>
        <v>2.0059999999999998</v>
      </c>
      <c r="AN112" s="33" t="str">
        <f t="shared" si="665"/>
        <v>5,40,620</v>
      </c>
      <c r="AO112" s="11" t="str">
        <f t="shared" si="484"/>
        <v>5,</v>
      </c>
      <c r="AP112" s="11" t="str">
        <f t="shared" si="485"/>
        <v>40,620</v>
      </c>
      <c r="AQ112" s="11">
        <f t="shared" si="486"/>
        <v>9.4616666666666668E-2</v>
      </c>
      <c r="AR112" s="14">
        <f t="shared" si="487"/>
        <v>21.201338735247486</v>
      </c>
      <c r="AS112" s="40">
        <f t="shared" si="488"/>
        <v>-100</v>
      </c>
      <c r="AT112" s="41" t="str">
        <f t="shared" si="489"/>
        <v>NO CONFORME</v>
      </c>
      <c r="AU112" s="8" t="b">
        <f t="shared" si="411"/>
        <v>1</v>
      </c>
      <c r="AV112" s="8" t="b">
        <f t="shared" si="412"/>
        <v>0</v>
      </c>
      <c r="AW112" s="8" t="b">
        <f t="shared" si="413"/>
        <v>1</v>
      </c>
      <c r="AX112" s="8" t="str">
        <f t="shared" si="414"/>
        <v>Qcorrecto</v>
      </c>
      <c r="AY112" s="22" t="str">
        <f t="shared" si="394"/>
        <v>aceptable</v>
      </c>
      <c r="AZ112" s="22" t="str">
        <f t="shared" si="395"/>
        <v>aceptable</v>
      </c>
      <c r="BA112" s="22" t="str">
        <f t="shared" si="415"/>
        <v>aceptable</v>
      </c>
      <c r="BB112" s="25" t="str">
        <f t="shared" si="416"/>
        <v>NO CONFORME</v>
      </c>
      <c r="BC112" s="5" t="str">
        <f t="shared" si="417"/>
        <v>NO CONFORME</v>
      </c>
      <c r="BD112" s="15">
        <f t="shared" si="396"/>
        <v>-1</v>
      </c>
      <c r="BE112" s="15">
        <f t="shared" si="397"/>
        <v>-1</v>
      </c>
      <c r="BF112" s="15">
        <f t="shared" si="398"/>
        <v>-1</v>
      </c>
      <c r="BG112" s="15" t="str">
        <f t="shared" si="399"/>
        <v>-1-1-1</v>
      </c>
      <c r="BH112" s="15" t="str">
        <f t="shared" si="400"/>
        <v>SD</v>
      </c>
      <c r="BI112" s="15" t="str">
        <f t="shared" si="401"/>
        <v>SI</v>
      </c>
      <c r="BJ112" s="15" t="b">
        <f t="shared" si="402"/>
        <v>1</v>
      </c>
      <c r="BK112" s="15" t="str">
        <f t="shared" si="403"/>
        <v>SIGIGUALES</v>
      </c>
      <c r="BL112" s="22" t="str">
        <f t="shared" si="404"/>
        <v>NO CONFORME</v>
      </c>
    </row>
    <row r="113" spans="1:64" ht="14.4" x14ac:dyDescent="0.3">
      <c r="A113" s="36">
        <v>105</v>
      </c>
      <c r="B113" s="28">
        <f t="shared" ref="B113:E113" si="666">B112</f>
        <v>45903</v>
      </c>
      <c r="C113" s="28">
        <f t="shared" si="666"/>
        <v>45903</v>
      </c>
      <c r="D113" s="12">
        <f t="shared" si="666"/>
        <v>3</v>
      </c>
      <c r="E113" s="10">
        <f t="shared" si="666"/>
        <v>11</v>
      </c>
      <c r="F113" s="13"/>
      <c r="G113" s="69"/>
      <c r="H113" s="70">
        <f t="shared" ref="H113:L113" si="667">H112</f>
        <v>25.6</v>
      </c>
      <c r="I113" s="37">
        <f t="shared" si="667"/>
        <v>0</v>
      </c>
      <c r="J113" s="35">
        <f t="shared" si="667"/>
        <v>16</v>
      </c>
      <c r="K113" s="122">
        <f t="shared" si="667"/>
        <v>8.1690000000000005</v>
      </c>
      <c r="L113" s="122">
        <f t="shared" si="667"/>
        <v>0.879</v>
      </c>
      <c r="M113" s="126"/>
      <c r="N113" s="126"/>
      <c r="O113" s="32">
        <f t="shared" ref="O113:P113" si="668">O112</f>
        <v>100.65</v>
      </c>
      <c r="P113" s="33" t="str">
        <f t="shared" si="668"/>
        <v>2,31,180</v>
      </c>
      <c r="Q113" s="11" t="str">
        <f t="shared" si="470"/>
        <v>2</v>
      </c>
      <c r="R113" s="11" t="str">
        <f t="shared" si="471"/>
        <v>31,180</v>
      </c>
      <c r="S113" s="11">
        <f t="shared" si="472"/>
        <v>4.1994444444444445E-2</v>
      </c>
      <c r="T113" s="14">
        <f t="shared" si="473"/>
        <v>2396.7456012700095</v>
      </c>
      <c r="U113" s="38">
        <f t="shared" si="474"/>
        <v>-100</v>
      </c>
      <c r="V113" s="39">
        <f t="shared" ref="V113:W113" si="669">V112</f>
        <v>19.8</v>
      </c>
      <c r="W113" s="124">
        <f t="shared" si="669"/>
        <v>1.08</v>
      </c>
      <c r="X113" s="124">
        <f t="shared" si="626"/>
        <v>1.075</v>
      </c>
      <c r="Y113" s="126"/>
      <c r="Z113" s="126"/>
      <c r="AA113" s="90">
        <f t="shared" ref="AA113:AB113" si="670">AA112</f>
        <v>5.0149999999999997</v>
      </c>
      <c r="AB113" s="73" t="str">
        <f t="shared" si="670"/>
        <v>9,05,040</v>
      </c>
      <c r="AC113" s="11" t="str">
        <f t="shared" si="477"/>
        <v>9,</v>
      </c>
      <c r="AD113" s="11" t="str">
        <f t="shared" si="478"/>
        <v>05,040</v>
      </c>
      <c r="AE113" s="11">
        <f t="shared" si="479"/>
        <v>0.15139999999999998</v>
      </c>
      <c r="AF113" s="14">
        <f t="shared" si="480"/>
        <v>33.124174372523122</v>
      </c>
      <c r="AG113" s="40">
        <f t="shared" si="481"/>
        <v>-100</v>
      </c>
      <c r="AH113" s="39">
        <f t="shared" si="634"/>
        <v>19.600000000000001</v>
      </c>
      <c r="AI113" s="124">
        <f t="shared" si="634"/>
        <v>1.0860000000000001</v>
      </c>
      <c r="AJ113" s="124">
        <f t="shared" si="634"/>
        <v>1.0780000000000001</v>
      </c>
      <c r="AK113" s="126">
        <f t="shared" si="482"/>
        <v>0</v>
      </c>
      <c r="AL113" s="126"/>
      <c r="AM113" s="34">
        <f t="shared" ref="AM113:AN113" si="671">AM112</f>
        <v>2.0059999999999998</v>
      </c>
      <c r="AN113" s="33" t="str">
        <f t="shared" si="671"/>
        <v>5,40,620</v>
      </c>
      <c r="AO113" s="11" t="str">
        <f t="shared" si="484"/>
        <v>5,</v>
      </c>
      <c r="AP113" s="11" t="str">
        <f t="shared" si="485"/>
        <v>40,620</v>
      </c>
      <c r="AQ113" s="11">
        <f t="shared" si="486"/>
        <v>9.4616666666666668E-2</v>
      </c>
      <c r="AR113" s="14">
        <f t="shared" si="487"/>
        <v>21.201338735247486</v>
      </c>
      <c r="AS113" s="40">
        <f t="shared" si="488"/>
        <v>-100</v>
      </c>
      <c r="AT113" s="41" t="str">
        <f t="shared" si="489"/>
        <v>NO CONFORME</v>
      </c>
      <c r="AU113" s="8" t="b">
        <f t="shared" si="411"/>
        <v>1</v>
      </c>
      <c r="AV113" s="8" t="b">
        <f t="shared" si="412"/>
        <v>0</v>
      </c>
      <c r="AW113" s="8" t="b">
        <f t="shared" si="413"/>
        <v>1</v>
      </c>
      <c r="AX113" s="8" t="str">
        <f t="shared" si="414"/>
        <v>Qcorrecto</v>
      </c>
      <c r="AY113" s="22" t="str">
        <f t="shared" si="394"/>
        <v>aceptable</v>
      </c>
      <c r="AZ113" s="22" t="str">
        <f t="shared" si="395"/>
        <v>aceptable</v>
      </c>
      <c r="BA113" s="22" t="str">
        <f t="shared" si="415"/>
        <v>aceptable</v>
      </c>
      <c r="BB113" s="25" t="str">
        <f t="shared" si="416"/>
        <v>NO CONFORME</v>
      </c>
      <c r="BC113" s="5" t="str">
        <f t="shared" si="417"/>
        <v>NO CONFORME</v>
      </c>
      <c r="BD113" s="15">
        <f t="shared" si="396"/>
        <v>-1</v>
      </c>
      <c r="BE113" s="15">
        <f t="shared" si="397"/>
        <v>-1</v>
      </c>
      <c r="BF113" s="15">
        <f t="shared" si="398"/>
        <v>-1</v>
      </c>
      <c r="BG113" s="15" t="str">
        <f t="shared" si="399"/>
        <v>-1-1-1</v>
      </c>
      <c r="BH113" s="15" t="str">
        <f t="shared" si="400"/>
        <v>SD</v>
      </c>
      <c r="BI113" s="15" t="str">
        <f t="shared" si="401"/>
        <v>SI</v>
      </c>
      <c r="BJ113" s="15" t="b">
        <f t="shared" si="402"/>
        <v>1</v>
      </c>
      <c r="BK113" s="15" t="str">
        <f t="shared" si="403"/>
        <v>SIGIGUALES</v>
      </c>
      <c r="BL113" s="22" t="str">
        <f t="shared" si="404"/>
        <v>NO CONFORME</v>
      </c>
    </row>
    <row r="114" spans="1:64" ht="14.4" x14ac:dyDescent="0.3">
      <c r="A114" s="36">
        <v>106</v>
      </c>
      <c r="B114" s="28">
        <f t="shared" ref="B114:E114" si="672">B113</f>
        <v>45903</v>
      </c>
      <c r="C114" s="28">
        <f t="shared" si="672"/>
        <v>45903</v>
      </c>
      <c r="D114" s="12">
        <f t="shared" si="672"/>
        <v>3</v>
      </c>
      <c r="E114" s="10">
        <f t="shared" si="672"/>
        <v>11</v>
      </c>
      <c r="F114" s="13"/>
      <c r="G114" s="69"/>
      <c r="H114" s="70">
        <f t="shared" ref="H114:L114" si="673">H113</f>
        <v>25.6</v>
      </c>
      <c r="I114" s="37">
        <f t="shared" si="673"/>
        <v>0</v>
      </c>
      <c r="J114" s="35">
        <f t="shared" si="673"/>
        <v>16</v>
      </c>
      <c r="K114" s="122">
        <f t="shared" si="673"/>
        <v>8.1690000000000005</v>
      </c>
      <c r="L114" s="122">
        <f t="shared" si="673"/>
        <v>0.879</v>
      </c>
      <c r="M114" s="126"/>
      <c r="N114" s="126"/>
      <c r="O114" s="32">
        <f t="shared" ref="O114:P114" si="674">O113</f>
        <v>100.65</v>
      </c>
      <c r="P114" s="33" t="str">
        <f t="shared" si="674"/>
        <v>2,31,180</v>
      </c>
      <c r="Q114" s="11" t="str">
        <f t="shared" si="470"/>
        <v>2</v>
      </c>
      <c r="R114" s="11" t="str">
        <f t="shared" si="471"/>
        <v>31,180</v>
      </c>
      <c r="S114" s="11">
        <f t="shared" si="472"/>
        <v>4.1994444444444445E-2</v>
      </c>
      <c r="T114" s="14">
        <f t="shared" si="473"/>
        <v>2396.7456012700095</v>
      </c>
      <c r="U114" s="38">
        <f t="shared" si="474"/>
        <v>-100</v>
      </c>
      <c r="V114" s="39">
        <f t="shared" ref="V114:W114" si="675">V113</f>
        <v>19.8</v>
      </c>
      <c r="W114" s="124">
        <f t="shared" si="675"/>
        <v>1.08</v>
      </c>
      <c r="X114" s="124">
        <f t="shared" si="626"/>
        <v>1.075</v>
      </c>
      <c r="Y114" s="126"/>
      <c r="Z114" s="126"/>
      <c r="AA114" s="90">
        <f t="shared" ref="AA114:AB114" si="676">AA113</f>
        <v>5.0149999999999997</v>
      </c>
      <c r="AB114" s="73" t="str">
        <f t="shared" si="676"/>
        <v>9,05,040</v>
      </c>
      <c r="AC114" s="11" t="str">
        <f t="shared" si="477"/>
        <v>9,</v>
      </c>
      <c r="AD114" s="11" t="str">
        <f t="shared" si="478"/>
        <v>05,040</v>
      </c>
      <c r="AE114" s="11">
        <f t="shared" si="479"/>
        <v>0.15139999999999998</v>
      </c>
      <c r="AF114" s="14">
        <f t="shared" si="480"/>
        <v>33.124174372523122</v>
      </c>
      <c r="AG114" s="40">
        <f t="shared" si="481"/>
        <v>-100</v>
      </c>
      <c r="AH114" s="39">
        <f t="shared" si="634"/>
        <v>19.600000000000001</v>
      </c>
      <c r="AI114" s="124">
        <f t="shared" si="634"/>
        <v>1.0860000000000001</v>
      </c>
      <c r="AJ114" s="124">
        <f t="shared" si="634"/>
        <v>1.0780000000000001</v>
      </c>
      <c r="AK114" s="126">
        <f t="shared" si="482"/>
        <v>0</v>
      </c>
      <c r="AL114" s="126"/>
      <c r="AM114" s="34">
        <f t="shared" ref="AM114:AN114" si="677">AM113</f>
        <v>2.0059999999999998</v>
      </c>
      <c r="AN114" s="33" t="str">
        <f t="shared" si="677"/>
        <v>5,40,620</v>
      </c>
      <c r="AO114" s="11" t="str">
        <f t="shared" si="484"/>
        <v>5,</v>
      </c>
      <c r="AP114" s="11" t="str">
        <f t="shared" si="485"/>
        <v>40,620</v>
      </c>
      <c r="AQ114" s="11">
        <f t="shared" si="486"/>
        <v>9.4616666666666668E-2</v>
      </c>
      <c r="AR114" s="14">
        <f t="shared" si="487"/>
        <v>21.201338735247486</v>
      </c>
      <c r="AS114" s="40">
        <f t="shared" si="488"/>
        <v>-100</v>
      </c>
      <c r="AT114" s="41" t="str">
        <f t="shared" si="489"/>
        <v>NO CONFORME</v>
      </c>
      <c r="AU114" s="8" t="b">
        <f t="shared" si="411"/>
        <v>1</v>
      </c>
      <c r="AV114" s="8" t="b">
        <f t="shared" si="412"/>
        <v>0</v>
      </c>
      <c r="AW114" s="8" t="b">
        <f t="shared" si="413"/>
        <v>1</v>
      </c>
      <c r="AX114" s="8" t="str">
        <f t="shared" si="414"/>
        <v>Qcorrecto</v>
      </c>
      <c r="AY114" s="22" t="str">
        <f t="shared" si="394"/>
        <v>aceptable</v>
      </c>
      <c r="AZ114" s="22" t="str">
        <f t="shared" si="395"/>
        <v>aceptable</v>
      </c>
      <c r="BA114" s="22" t="str">
        <f t="shared" si="415"/>
        <v>aceptable</v>
      </c>
      <c r="BB114" s="25" t="str">
        <f t="shared" si="416"/>
        <v>NO CONFORME</v>
      </c>
      <c r="BC114" s="5" t="str">
        <f t="shared" si="417"/>
        <v>NO CONFORME</v>
      </c>
      <c r="BD114" s="15">
        <f t="shared" si="396"/>
        <v>-1</v>
      </c>
      <c r="BE114" s="15">
        <f t="shared" si="397"/>
        <v>-1</v>
      </c>
      <c r="BF114" s="15">
        <f t="shared" si="398"/>
        <v>-1</v>
      </c>
      <c r="BG114" s="15" t="str">
        <f t="shared" si="399"/>
        <v>-1-1-1</v>
      </c>
      <c r="BH114" s="15" t="str">
        <f t="shared" si="400"/>
        <v>SD</v>
      </c>
      <c r="BI114" s="15" t="str">
        <f t="shared" si="401"/>
        <v>SI</v>
      </c>
      <c r="BJ114" s="15" t="b">
        <f t="shared" si="402"/>
        <v>1</v>
      </c>
      <c r="BK114" s="15" t="str">
        <f t="shared" si="403"/>
        <v>SIGIGUALES</v>
      </c>
      <c r="BL114" s="22" t="str">
        <f t="shared" si="404"/>
        <v>NO CONFORME</v>
      </c>
    </row>
    <row r="115" spans="1:64" ht="14.4" x14ac:dyDescent="0.3">
      <c r="A115" s="36">
        <v>107</v>
      </c>
      <c r="B115" s="28">
        <f t="shared" ref="B115:E115" si="678">B114</f>
        <v>45903</v>
      </c>
      <c r="C115" s="28">
        <f t="shared" si="678"/>
        <v>45903</v>
      </c>
      <c r="D115" s="12">
        <f t="shared" si="678"/>
        <v>3</v>
      </c>
      <c r="E115" s="10">
        <f t="shared" si="678"/>
        <v>11</v>
      </c>
      <c r="F115" s="13"/>
      <c r="G115" s="69"/>
      <c r="H115" s="70">
        <f t="shared" ref="H115:L115" si="679">H114</f>
        <v>25.6</v>
      </c>
      <c r="I115" s="37">
        <f t="shared" si="679"/>
        <v>0</v>
      </c>
      <c r="J115" s="35">
        <f t="shared" si="679"/>
        <v>16</v>
      </c>
      <c r="K115" s="122">
        <f t="shared" si="679"/>
        <v>8.1690000000000005</v>
      </c>
      <c r="L115" s="122">
        <f t="shared" si="679"/>
        <v>0.879</v>
      </c>
      <c r="M115" s="126"/>
      <c r="N115" s="126"/>
      <c r="O115" s="32">
        <f t="shared" ref="O115:P115" si="680">O114</f>
        <v>100.65</v>
      </c>
      <c r="P115" s="33" t="str">
        <f t="shared" si="680"/>
        <v>2,31,180</v>
      </c>
      <c r="Q115" s="11" t="str">
        <f t="shared" si="470"/>
        <v>2</v>
      </c>
      <c r="R115" s="11" t="str">
        <f t="shared" si="471"/>
        <v>31,180</v>
      </c>
      <c r="S115" s="11">
        <f t="shared" si="472"/>
        <v>4.1994444444444445E-2</v>
      </c>
      <c r="T115" s="14">
        <f t="shared" si="473"/>
        <v>2396.7456012700095</v>
      </c>
      <c r="U115" s="38">
        <f t="shared" si="474"/>
        <v>-100</v>
      </c>
      <c r="V115" s="39">
        <f t="shared" ref="V115:W115" si="681">V114</f>
        <v>19.8</v>
      </c>
      <c r="W115" s="124">
        <f t="shared" si="681"/>
        <v>1.08</v>
      </c>
      <c r="X115" s="124">
        <f t="shared" si="626"/>
        <v>1.075</v>
      </c>
      <c r="Y115" s="126"/>
      <c r="Z115" s="126"/>
      <c r="AA115" s="90">
        <f t="shared" ref="AA115:AB115" si="682">AA114</f>
        <v>5.0149999999999997</v>
      </c>
      <c r="AB115" s="73" t="str">
        <f t="shared" si="682"/>
        <v>9,05,040</v>
      </c>
      <c r="AC115" s="11" t="str">
        <f t="shared" si="477"/>
        <v>9,</v>
      </c>
      <c r="AD115" s="11" t="str">
        <f t="shared" si="478"/>
        <v>05,040</v>
      </c>
      <c r="AE115" s="11">
        <f t="shared" si="479"/>
        <v>0.15139999999999998</v>
      </c>
      <c r="AF115" s="14">
        <f t="shared" si="480"/>
        <v>33.124174372523122</v>
      </c>
      <c r="AG115" s="40">
        <f t="shared" si="481"/>
        <v>-100</v>
      </c>
      <c r="AH115" s="39">
        <f t="shared" si="634"/>
        <v>19.600000000000001</v>
      </c>
      <c r="AI115" s="124">
        <f t="shared" si="634"/>
        <v>1.0860000000000001</v>
      </c>
      <c r="AJ115" s="124">
        <f t="shared" si="634"/>
        <v>1.0780000000000001</v>
      </c>
      <c r="AK115" s="126">
        <f t="shared" si="482"/>
        <v>0</v>
      </c>
      <c r="AL115" s="126"/>
      <c r="AM115" s="34">
        <f t="shared" ref="AM115:AN115" si="683">AM114</f>
        <v>2.0059999999999998</v>
      </c>
      <c r="AN115" s="33" t="str">
        <f t="shared" si="683"/>
        <v>5,40,620</v>
      </c>
      <c r="AO115" s="11" t="str">
        <f t="shared" si="484"/>
        <v>5,</v>
      </c>
      <c r="AP115" s="11" t="str">
        <f t="shared" si="485"/>
        <v>40,620</v>
      </c>
      <c r="AQ115" s="11">
        <f t="shared" si="486"/>
        <v>9.4616666666666668E-2</v>
      </c>
      <c r="AR115" s="14">
        <f t="shared" si="487"/>
        <v>21.201338735247486</v>
      </c>
      <c r="AS115" s="40">
        <f t="shared" si="488"/>
        <v>-100</v>
      </c>
      <c r="AT115" s="41" t="str">
        <f t="shared" si="489"/>
        <v>NO CONFORME</v>
      </c>
      <c r="AU115" s="8" t="b">
        <f t="shared" si="411"/>
        <v>1</v>
      </c>
      <c r="AV115" s="8" t="b">
        <f t="shared" si="412"/>
        <v>0</v>
      </c>
      <c r="AW115" s="8" t="b">
        <f t="shared" si="413"/>
        <v>1</v>
      </c>
      <c r="AX115" s="8" t="str">
        <f t="shared" si="414"/>
        <v>Qcorrecto</v>
      </c>
      <c r="AY115" s="22" t="str">
        <f t="shared" si="394"/>
        <v>aceptable</v>
      </c>
      <c r="AZ115" s="22" t="str">
        <f t="shared" si="395"/>
        <v>aceptable</v>
      </c>
      <c r="BA115" s="22" t="str">
        <f t="shared" si="415"/>
        <v>aceptable</v>
      </c>
      <c r="BB115" s="25" t="str">
        <f t="shared" si="416"/>
        <v>NO CONFORME</v>
      </c>
      <c r="BC115" s="5" t="str">
        <f t="shared" si="417"/>
        <v>NO CONFORME</v>
      </c>
      <c r="BD115" s="15">
        <f t="shared" si="396"/>
        <v>-1</v>
      </c>
      <c r="BE115" s="15">
        <f t="shared" si="397"/>
        <v>-1</v>
      </c>
      <c r="BF115" s="15">
        <f t="shared" si="398"/>
        <v>-1</v>
      </c>
      <c r="BG115" s="15" t="str">
        <f t="shared" si="399"/>
        <v>-1-1-1</v>
      </c>
      <c r="BH115" s="15" t="str">
        <f t="shared" si="400"/>
        <v>SD</v>
      </c>
      <c r="BI115" s="15" t="str">
        <f t="shared" si="401"/>
        <v>SI</v>
      </c>
      <c r="BJ115" s="15" t="b">
        <f t="shared" si="402"/>
        <v>1</v>
      </c>
      <c r="BK115" s="15" t="str">
        <f t="shared" si="403"/>
        <v>SIGIGUALES</v>
      </c>
      <c r="BL115" s="22" t="str">
        <f t="shared" si="404"/>
        <v>NO CONFORME</v>
      </c>
    </row>
    <row r="116" spans="1:64" ht="14.4" x14ac:dyDescent="0.3">
      <c r="A116" s="36">
        <v>108</v>
      </c>
      <c r="B116" s="28">
        <f t="shared" ref="B116:E116" si="684">B115</f>
        <v>45903</v>
      </c>
      <c r="C116" s="28">
        <f t="shared" si="684"/>
        <v>45903</v>
      </c>
      <c r="D116" s="12">
        <f t="shared" si="684"/>
        <v>3</v>
      </c>
      <c r="E116" s="10">
        <f t="shared" si="684"/>
        <v>11</v>
      </c>
      <c r="F116" s="13"/>
      <c r="G116" s="69"/>
      <c r="H116" s="70">
        <f t="shared" ref="H116:L116" si="685">H115</f>
        <v>25.6</v>
      </c>
      <c r="I116" s="37">
        <f t="shared" si="685"/>
        <v>0</v>
      </c>
      <c r="J116" s="35">
        <f t="shared" si="685"/>
        <v>16</v>
      </c>
      <c r="K116" s="122">
        <f t="shared" si="685"/>
        <v>8.1690000000000005</v>
      </c>
      <c r="L116" s="122">
        <f t="shared" si="685"/>
        <v>0.879</v>
      </c>
      <c r="M116" s="126"/>
      <c r="N116" s="126"/>
      <c r="O116" s="32">
        <f t="shared" ref="O116:P116" si="686">O115</f>
        <v>100.65</v>
      </c>
      <c r="P116" s="33" t="str">
        <f t="shared" si="686"/>
        <v>2,31,180</v>
      </c>
      <c r="Q116" s="11" t="str">
        <f t="shared" si="470"/>
        <v>2</v>
      </c>
      <c r="R116" s="11" t="str">
        <f t="shared" si="471"/>
        <v>31,180</v>
      </c>
      <c r="S116" s="11">
        <f t="shared" si="472"/>
        <v>4.1994444444444445E-2</v>
      </c>
      <c r="T116" s="14">
        <f t="shared" si="473"/>
        <v>2396.7456012700095</v>
      </c>
      <c r="U116" s="38">
        <f t="shared" si="474"/>
        <v>-100</v>
      </c>
      <c r="V116" s="39">
        <f t="shared" ref="V116:W116" si="687">V115</f>
        <v>19.8</v>
      </c>
      <c r="W116" s="124">
        <f t="shared" si="687"/>
        <v>1.08</v>
      </c>
      <c r="X116" s="124">
        <f t="shared" si="626"/>
        <v>1.075</v>
      </c>
      <c r="Y116" s="126"/>
      <c r="Z116" s="126"/>
      <c r="AA116" s="90">
        <f t="shared" ref="AA116:AB116" si="688">AA115</f>
        <v>5.0149999999999997</v>
      </c>
      <c r="AB116" s="73" t="str">
        <f t="shared" si="688"/>
        <v>9,05,040</v>
      </c>
      <c r="AC116" s="11" t="str">
        <f t="shared" si="477"/>
        <v>9,</v>
      </c>
      <c r="AD116" s="11" t="str">
        <f t="shared" si="478"/>
        <v>05,040</v>
      </c>
      <c r="AE116" s="11">
        <f t="shared" si="479"/>
        <v>0.15139999999999998</v>
      </c>
      <c r="AF116" s="14">
        <f t="shared" si="480"/>
        <v>33.124174372523122</v>
      </c>
      <c r="AG116" s="40">
        <f t="shared" si="481"/>
        <v>-100</v>
      </c>
      <c r="AH116" s="39">
        <f t="shared" si="634"/>
        <v>19.600000000000001</v>
      </c>
      <c r="AI116" s="124">
        <f t="shared" si="634"/>
        <v>1.0860000000000001</v>
      </c>
      <c r="AJ116" s="124">
        <f t="shared" si="634"/>
        <v>1.0780000000000001</v>
      </c>
      <c r="AK116" s="126">
        <f t="shared" si="482"/>
        <v>0</v>
      </c>
      <c r="AL116" s="126"/>
      <c r="AM116" s="34">
        <f t="shared" ref="AM116:AN116" si="689">AM115</f>
        <v>2.0059999999999998</v>
      </c>
      <c r="AN116" s="33" t="str">
        <f t="shared" si="689"/>
        <v>5,40,620</v>
      </c>
      <c r="AO116" s="11" t="str">
        <f t="shared" si="484"/>
        <v>5,</v>
      </c>
      <c r="AP116" s="11" t="str">
        <f t="shared" si="485"/>
        <v>40,620</v>
      </c>
      <c r="AQ116" s="11">
        <f t="shared" si="486"/>
        <v>9.4616666666666668E-2</v>
      </c>
      <c r="AR116" s="14">
        <f t="shared" si="487"/>
        <v>21.201338735247486</v>
      </c>
      <c r="AS116" s="40">
        <f t="shared" si="488"/>
        <v>-100</v>
      </c>
      <c r="AT116" s="41" t="str">
        <f t="shared" si="489"/>
        <v>NO CONFORME</v>
      </c>
      <c r="AU116" s="8" t="b">
        <f t="shared" si="411"/>
        <v>1</v>
      </c>
      <c r="AV116" s="8" t="b">
        <f t="shared" si="412"/>
        <v>0</v>
      </c>
      <c r="AW116" s="8" t="b">
        <f t="shared" si="413"/>
        <v>1</v>
      </c>
      <c r="AX116" s="8" t="str">
        <f t="shared" si="414"/>
        <v>Qcorrecto</v>
      </c>
      <c r="AY116" s="22" t="str">
        <f t="shared" si="394"/>
        <v>aceptable</v>
      </c>
      <c r="AZ116" s="22" t="str">
        <f t="shared" si="395"/>
        <v>aceptable</v>
      </c>
      <c r="BA116" s="22" t="str">
        <f t="shared" si="415"/>
        <v>aceptable</v>
      </c>
      <c r="BB116" s="25" t="str">
        <f t="shared" si="416"/>
        <v>NO CONFORME</v>
      </c>
      <c r="BC116" s="5" t="str">
        <f t="shared" si="417"/>
        <v>NO CONFORME</v>
      </c>
      <c r="BD116" s="15">
        <f t="shared" si="396"/>
        <v>-1</v>
      </c>
      <c r="BE116" s="15">
        <f t="shared" si="397"/>
        <v>-1</v>
      </c>
      <c r="BF116" s="15">
        <f t="shared" si="398"/>
        <v>-1</v>
      </c>
      <c r="BG116" s="15" t="str">
        <f t="shared" si="399"/>
        <v>-1-1-1</v>
      </c>
      <c r="BH116" s="15" t="str">
        <f t="shared" si="400"/>
        <v>SD</v>
      </c>
      <c r="BI116" s="15" t="str">
        <f t="shared" si="401"/>
        <v>SI</v>
      </c>
      <c r="BJ116" s="15" t="b">
        <f t="shared" si="402"/>
        <v>1</v>
      </c>
      <c r="BK116" s="15" t="str">
        <f t="shared" si="403"/>
        <v>SIGIGUALES</v>
      </c>
      <c r="BL116" s="22" t="str">
        <f t="shared" si="404"/>
        <v>NO CONFORME</v>
      </c>
    </row>
    <row r="117" spans="1:64" ht="14.4" x14ac:dyDescent="0.3">
      <c r="A117" s="36">
        <v>109</v>
      </c>
      <c r="B117" s="28">
        <f t="shared" ref="B117:E117" si="690">B116</f>
        <v>45903</v>
      </c>
      <c r="C117" s="28">
        <f t="shared" si="690"/>
        <v>45903</v>
      </c>
      <c r="D117" s="12">
        <f t="shared" si="690"/>
        <v>3</v>
      </c>
      <c r="E117" s="10">
        <f t="shared" si="690"/>
        <v>11</v>
      </c>
      <c r="F117" s="13"/>
      <c r="G117" s="69"/>
      <c r="H117" s="70">
        <f t="shared" ref="H117:L117" si="691">H116</f>
        <v>25.6</v>
      </c>
      <c r="I117" s="37">
        <f t="shared" si="691"/>
        <v>0</v>
      </c>
      <c r="J117" s="35">
        <f t="shared" si="691"/>
        <v>16</v>
      </c>
      <c r="K117" s="122">
        <f t="shared" si="691"/>
        <v>8.1690000000000005</v>
      </c>
      <c r="L117" s="122">
        <f t="shared" si="691"/>
        <v>0.879</v>
      </c>
      <c r="M117" s="126"/>
      <c r="N117" s="126"/>
      <c r="O117" s="32">
        <f t="shared" ref="O117:P117" si="692">O116</f>
        <v>100.65</v>
      </c>
      <c r="P117" s="33" t="str">
        <f t="shared" si="692"/>
        <v>2,31,180</v>
      </c>
      <c r="Q117" s="11" t="str">
        <f t="shared" si="470"/>
        <v>2</v>
      </c>
      <c r="R117" s="11" t="str">
        <f t="shared" si="471"/>
        <v>31,180</v>
      </c>
      <c r="S117" s="11">
        <f t="shared" si="472"/>
        <v>4.1994444444444445E-2</v>
      </c>
      <c r="T117" s="14">
        <f t="shared" si="473"/>
        <v>2396.7456012700095</v>
      </c>
      <c r="U117" s="38">
        <f t="shared" si="474"/>
        <v>-100</v>
      </c>
      <c r="V117" s="39">
        <f t="shared" ref="V117:W117" si="693">V116</f>
        <v>19.8</v>
      </c>
      <c r="W117" s="124">
        <f t="shared" si="693"/>
        <v>1.08</v>
      </c>
      <c r="X117" s="124">
        <f t="shared" si="626"/>
        <v>1.075</v>
      </c>
      <c r="Y117" s="126"/>
      <c r="Z117" s="126"/>
      <c r="AA117" s="90">
        <f t="shared" ref="AA117:AB117" si="694">AA116</f>
        <v>5.0149999999999997</v>
      </c>
      <c r="AB117" s="73" t="str">
        <f t="shared" si="694"/>
        <v>9,05,040</v>
      </c>
      <c r="AC117" s="11" t="str">
        <f t="shared" si="477"/>
        <v>9,</v>
      </c>
      <c r="AD117" s="11" t="str">
        <f t="shared" si="478"/>
        <v>05,040</v>
      </c>
      <c r="AE117" s="11">
        <f t="shared" si="479"/>
        <v>0.15139999999999998</v>
      </c>
      <c r="AF117" s="14">
        <f t="shared" si="480"/>
        <v>33.124174372523122</v>
      </c>
      <c r="AG117" s="40">
        <f t="shared" si="481"/>
        <v>-100</v>
      </c>
      <c r="AH117" s="39">
        <f t="shared" si="634"/>
        <v>19.600000000000001</v>
      </c>
      <c r="AI117" s="124">
        <f t="shared" si="634"/>
        <v>1.0860000000000001</v>
      </c>
      <c r="AJ117" s="124">
        <f t="shared" si="634"/>
        <v>1.0780000000000001</v>
      </c>
      <c r="AK117" s="126">
        <f t="shared" si="482"/>
        <v>0</v>
      </c>
      <c r="AL117" s="126"/>
      <c r="AM117" s="34">
        <f t="shared" ref="AM117:AN117" si="695">AM116</f>
        <v>2.0059999999999998</v>
      </c>
      <c r="AN117" s="33" t="str">
        <f t="shared" si="695"/>
        <v>5,40,620</v>
      </c>
      <c r="AO117" s="11" t="str">
        <f t="shared" si="484"/>
        <v>5,</v>
      </c>
      <c r="AP117" s="11" t="str">
        <f t="shared" si="485"/>
        <v>40,620</v>
      </c>
      <c r="AQ117" s="11">
        <f t="shared" si="486"/>
        <v>9.4616666666666668E-2</v>
      </c>
      <c r="AR117" s="14">
        <f t="shared" si="487"/>
        <v>21.201338735247486</v>
      </c>
      <c r="AS117" s="40">
        <f t="shared" si="488"/>
        <v>-100</v>
      </c>
      <c r="AT117" s="41" t="str">
        <f t="shared" si="489"/>
        <v>NO CONFORME</v>
      </c>
      <c r="AU117" s="8" t="b">
        <f t="shared" si="411"/>
        <v>1</v>
      </c>
      <c r="AV117" s="8" t="b">
        <f t="shared" si="412"/>
        <v>0</v>
      </c>
      <c r="AW117" s="8" t="b">
        <f t="shared" si="413"/>
        <v>1</v>
      </c>
      <c r="AX117" s="8" t="str">
        <f t="shared" si="414"/>
        <v>Qcorrecto</v>
      </c>
      <c r="AY117" s="22" t="str">
        <f t="shared" si="394"/>
        <v>aceptable</v>
      </c>
      <c r="AZ117" s="22" t="str">
        <f t="shared" si="395"/>
        <v>aceptable</v>
      </c>
      <c r="BA117" s="22" t="str">
        <f t="shared" si="415"/>
        <v>aceptable</v>
      </c>
      <c r="BB117" s="25" t="str">
        <f t="shared" si="416"/>
        <v>NO CONFORME</v>
      </c>
      <c r="BC117" s="5" t="str">
        <f t="shared" si="417"/>
        <v>NO CONFORME</v>
      </c>
      <c r="BD117" s="15">
        <f t="shared" si="396"/>
        <v>-1</v>
      </c>
      <c r="BE117" s="15">
        <f t="shared" si="397"/>
        <v>-1</v>
      </c>
      <c r="BF117" s="15">
        <f t="shared" si="398"/>
        <v>-1</v>
      </c>
      <c r="BG117" s="15" t="str">
        <f t="shared" si="399"/>
        <v>-1-1-1</v>
      </c>
      <c r="BH117" s="15" t="str">
        <f t="shared" si="400"/>
        <v>SD</v>
      </c>
      <c r="BI117" s="15" t="str">
        <f t="shared" si="401"/>
        <v>SI</v>
      </c>
      <c r="BJ117" s="15" t="b">
        <f t="shared" si="402"/>
        <v>1</v>
      </c>
      <c r="BK117" s="15" t="str">
        <f t="shared" si="403"/>
        <v>SIGIGUALES</v>
      </c>
      <c r="BL117" s="22" t="str">
        <f t="shared" si="404"/>
        <v>NO CONFORME</v>
      </c>
    </row>
    <row r="118" spans="1:64" ht="14.4" x14ac:dyDescent="0.3">
      <c r="A118" s="36">
        <v>110</v>
      </c>
      <c r="B118" s="28">
        <f t="shared" ref="B118:E118" si="696">B117</f>
        <v>45903</v>
      </c>
      <c r="C118" s="28">
        <f t="shared" si="696"/>
        <v>45903</v>
      </c>
      <c r="D118" s="12">
        <f t="shared" si="696"/>
        <v>3</v>
      </c>
      <c r="E118" s="10">
        <f t="shared" si="696"/>
        <v>11</v>
      </c>
      <c r="F118" s="13"/>
      <c r="G118" s="69"/>
      <c r="H118" s="70">
        <f t="shared" ref="H118:L118" si="697">H117</f>
        <v>25.6</v>
      </c>
      <c r="I118" s="37">
        <f t="shared" si="697"/>
        <v>0</v>
      </c>
      <c r="J118" s="35">
        <f t="shared" si="697"/>
        <v>16</v>
      </c>
      <c r="K118" s="122">
        <f t="shared" si="697"/>
        <v>8.1690000000000005</v>
      </c>
      <c r="L118" s="122">
        <f t="shared" si="697"/>
        <v>0.879</v>
      </c>
      <c r="M118" s="126"/>
      <c r="N118" s="126"/>
      <c r="O118" s="32">
        <f t="shared" ref="O118:P118" si="698">O117</f>
        <v>100.65</v>
      </c>
      <c r="P118" s="33" t="str">
        <f t="shared" si="698"/>
        <v>2,31,180</v>
      </c>
      <c r="Q118" s="11" t="str">
        <f t="shared" si="470"/>
        <v>2</v>
      </c>
      <c r="R118" s="11" t="str">
        <f t="shared" si="471"/>
        <v>31,180</v>
      </c>
      <c r="S118" s="11">
        <f t="shared" si="472"/>
        <v>4.1994444444444445E-2</v>
      </c>
      <c r="T118" s="14">
        <f t="shared" si="473"/>
        <v>2396.7456012700095</v>
      </c>
      <c r="U118" s="38">
        <f t="shared" si="474"/>
        <v>-100</v>
      </c>
      <c r="V118" s="39">
        <f t="shared" ref="V118:W118" si="699">V117</f>
        <v>19.8</v>
      </c>
      <c r="W118" s="124">
        <f t="shared" si="699"/>
        <v>1.08</v>
      </c>
      <c r="X118" s="124">
        <f t="shared" si="626"/>
        <v>1.075</v>
      </c>
      <c r="Y118" s="126"/>
      <c r="Z118" s="126"/>
      <c r="AA118" s="90">
        <f t="shared" ref="AA118:AB118" si="700">AA117</f>
        <v>5.0149999999999997</v>
      </c>
      <c r="AB118" s="73" t="str">
        <f t="shared" si="700"/>
        <v>9,05,040</v>
      </c>
      <c r="AC118" s="11" t="str">
        <f t="shared" si="477"/>
        <v>9,</v>
      </c>
      <c r="AD118" s="11" t="str">
        <f t="shared" si="478"/>
        <v>05,040</v>
      </c>
      <c r="AE118" s="11">
        <f t="shared" si="479"/>
        <v>0.15139999999999998</v>
      </c>
      <c r="AF118" s="14">
        <f t="shared" si="480"/>
        <v>33.124174372523122</v>
      </c>
      <c r="AG118" s="40">
        <f t="shared" si="481"/>
        <v>-100</v>
      </c>
      <c r="AH118" s="39">
        <f t="shared" si="634"/>
        <v>19.600000000000001</v>
      </c>
      <c r="AI118" s="124">
        <f t="shared" si="634"/>
        <v>1.0860000000000001</v>
      </c>
      <c r="AJ118" s="124">
        <f t="shared" si="634"/>
        <v>1.0780000000000001</v>
      </c>
      <c r="AK118" s="126">
        <f t="shared" si="482"/>
        <v>0</v>
      </c>
      <c r="AL118" s="126"/>
      <c r="AM118" s="34">
        <f t="shared" ref="AM118:AN118" si="701">AM117</f>
        <v>2.0059999999999998</v>
      </c>
      <c r="AN118" s="33" t="str">
        <f t="shared" si="701"/>
        <v>5,40,620</v>
      </c>
      <c r="AO118" s="11" t="str">
        <f t="shared" si="484"/>
        <v>5,</v>
      </c>
      <c r="AP118" s="11" t="str">
        <f t="shared" si="485"/>
        <v>40,620</v>
      </c>
      <c r="AQ118" s="11">
        <f t="shared" si="486"/>
        <v>9.4616666666666668E-2</v>
      </c>
      <c r="AR118" s="14">
        <f t="shared" si="487"/>
        <v>21.201338735247486</v>
      </c>
      <c r="AS118" s="40">
        <f t="shared" si="488"/>
        <v>-100</v>
      </c>
      <c r="AT118" s="41" t="str">
        <f t="shared" si="489"/>
        <v>NO CONFORME</v>
      </c>
      <c r="AU118" s="8" t="b">
        <f t="shared" si="411"/>
        <v>1</v>
      </c>
      <c r="AV118" s="8" t="b">
        <f t="shared" si="412"/>
        <v>0</v>
      </c>
      <c r="AW118" s="8" t="b">
        <f t="shared" si="413"/>
        <v>1</v>
      </c>
      <c r="AX118" s="8" t="str">
        <f t="shared" si="414"/>
        <v>Qcorrecto</v>
      </c>
      <c r="AY118" s="22" t="str">
        <f t="shared" si="394"/>
        <v>aceptable</v>
      </c>
      <c r="AZ118" s="22" t="str">
        <f t="shared" si="395"/>
        <v>aceptable</v>
      </c>
      <c r="BA118" s="22" t="str">
        <f t="shared" si="415"/>
        <v>aceptable</v>
      </c>
      <c r="BB118" s="25" t="str">
        <f t="shared" si="416"/>
        <v>NO CONFORME</v>
      </c>
      <c r="BC118" s="5" t="str">
        <f t="shared" si="417"/>
        <v>NO CONFORME</v>
      </c>
      <c r="BD118" s="15">
        <f t="shared" si="396"/>
        <v>-1</v>
      </c>
      <c r="BE118" s="15">
        <f t="shared" si="397"/>
        <v>-1</v>
      </c>
      <c r="BF118" s="15">
        <f t="shared" si="398"/>
        <v>-1</v>
      </c>
      <c r="BG118" s="15" t="str">
        <f t="shared" si="399"/>
        <v>-1-1-1</v>
      </c>
      <c r="BH118" s="15" t="str">
        <f t="shared" si="400"/>
        <v>SD</v>
      </c>
      <c r="BI118" s="15" t="str">
        <f t="shared" si="401"/>
        <v>SI</v>
      </c>
      <c r="BJ118" s="15" t="b">
        <f t="shared" si="402"/>
        <v>1</v>
      </c>
      <c r="BK118" s="15" t="str">
        <f t="shared" si="403"/>
        <v>SIGIGUALES</v>
      </c>
      <c r="BL118" s="22" t="str">
        <f t="shared" si="404"/>
        <v>NO CONFORME</v>
      </c>
    </row>
    <row r="119" spans="1:64" ht="14.4" x14ac:dyDescent="0.3">
      <c r="A119" s="36">
        <v>111</v>
      </c>
      <c r="B119" s="28">
        <f t="shared" ref="B119:E119" si="702">B118</f>
        <v>45903</v>
      </c>
      <c r="C119" s="28">
        <f t="shared" si="702"/>
        <v>45903</v>
      </c>
      <c r="D119" s="12">
        <f t="shared" si="702"/>
        <v>3</v>
      </c>
      <c r="E119" s="10">
        <f t="shared" si="702"/>
        <v>11</v>
      </c>
      <c r="F119" s="13"/>
      <c r="G119" s="69"/>
      <c r="H119" s="70">
        <f t="shared" ref="H119:L119" si="703">H118</f>
        <v>25.6</v>
      </c>
      <c r="I119" s="37">
        <f t="shared" si="703"/>
        <v>0</v>
      </c>
      <c r="J119" s="35">
        <f t="shared" si="703"/>
        <v>16</v>
      </c>
      <c r="K119" s="122">
        <f t="shared" si="703"/>
        <v>8.1690000000000005</v>
      </c>
      <c r="L119" s="122">
        <f t="shared" si="703"/>
        <v>0.879</v>
      </c>
      <c r="M119" s="126"/>
      <c r="N119" s="126"/>
      <c r="O119" s="32">
        <f t="shared" ref="O119:P119" si="704">O118</f>
        <v>100.65</v>
      </c>
      <c r="P119" s="33" t="str">
        <f t="shared" si="704"/>
        <v>2,31,180</v>
      </c>
      <c r="Q119" s="11" t="str">
        <f t="shared" si="470"/>
        <v>2</v>
      </c>
      <c r="R119" s="11" t="str">
        <f t="shared" si="471"/>
        <v>31,180</v>
      </c>
      <c r="S119" s="11">
        <f t="shared" si="472"/>
        <v>4.1994444444444445E-2</v>
      </c>
      <c r="T119" s="14">
        <f t="shared" si="473"/>
        <v>2396.7456012700095</v>
      </c>
      <c r="U119" s="38">
        <f t="shared" si="474"/>
        <v>-100</v>
      </c>
      <c r="V119" s="39">
        <f t="shared" ref="V119:W119" si="705">V118</f>
        <v>19.8</v>
      </c>
      <c r="W119" s="124">
        <f t="shared" si="705"/>
        <v>1.08</v>
      </c>
      <c r="X119" s="124">
        <f t="shared" si="626"/>
        <v>1.075</v>
      </c>
      <c r="Y119" s="126"/>
      <c r="Z119" s="126"/>
      <c r="AA119" s="90">
        <f t="shared" ref="AA119:AB119" si="706">AA118</f>
        <v>5.0149999999999997</v>
      </c>
      <c r="AB119" s="73" t="str">
        <f t="shared" si="706"/>
        <v>9,05,040</v>
      </c>
      <c r="AC119" s="11" t="str">
        <f t="shared" si="477"/>
        <v>9,</v>
      </c>
      <c r="AD119" s="11" t="str">
        <f t="shared" si="478"/>
        <v>05,040</v>
      </c>
      <c r="AE119" s="11">
        <f t="shared" si="479"/>
        <v>0.15139999999999998</v>
      </c>
      <c r="AF119" s="14">
        <f t="shared" si="480"/>
        <v>33.124174372523122</v>
      </c>
      <c r="AG119" s="40">
        <f t="shared" si="481"/>
        <v>-100</v>
      </c>
      <c r="AH119" s="39">
        <f t="shared" si="634"/>
        <v>19.600000000000001</v>
      </c>
      <c r="AI119" s="124">
        <f t="shared" si="634"/>
        <v>1.0860000000000001</v>
      </c>
      <c r="AJ119" s="124">
        <f t="shared" si="634"/>
        <v>1.0780000000000001</v>
      </c>
      <c r="AK119" s="126">
        <f t="shared" si="482"/>
        <v>0</v>
      </c>
      <c r="AL119" s="126"/>
      <c r="AM119" s="34">
        <f t="shared" ref="AM119:AN119" si="707">AM118</f>
        <v>2.0059999999999998</v>
      </c>
      <c r="AN119" s="33" t="str">
        <f t="shared" si="707"/>
        <v>5,40,620</v>
      </c>
      <c r="AO119" s="11" t="str">
        <f t="shared" si="484"/>
        <v>5,</v>
      </c>
      <c r="AP119" s="11" t="str">
        <f t="shared" si="485"/>
        <v>40,620</v>
      </c>
      <c r="AQ119" s="11">
        <f t="shared" si="486"/>
        <v>9.4616666666666668E-2</v>
      </c>
      <c r="AR119" s="14">
        <f t="shared" si="487"/>
        <v>21.201338735247486</v>
      </c>
      <c r="AS119" s="40">
        <f t="shared" si="488"/>
        <v>-100</v>
      </c>
      <c r="AT119" s="41" t="str">
        <f t="shared" si="489"/>
        <v>NO CONFORME</v>
      </c>
      <c r="AU119" s="8" t="b">
        <f t="shared" si="411"/>
        <v>1</v>
      </c>
      <c r="AV119" s="8" t="b">
        <f t="shared" si="412"/>
        <v>0</v>
      </c>
      <c r="AW119" s="8" t="b">
        <f t="shared" si="413"/>
        <v>1</v>
      </c>
      <c r="AX119" s="8" t="str">
        <f t="shared" si="414"/>
        <v>Qcorrecto</v>
      </c>
      <c r="AY119" s="22" t="str">
        <f t="shared" si="394"/>
        <v>aceptable</v>
      </c>
      <c r="AZ119" s="22" t="str">
        <f t="shared" si="395"/>
        <v>aceptable</v>
      </c>
      <c r="BA119" s="22" t="str">
        <f t="shared" si="415"/>
        <v>aceptable</v>
      </c>
      <c r="BB119" s="25" t="str">
        <f t="shared" si="416"/>
        <v>NO CONFORME</v>
      </c>
      <c r="BC119" s="5" t="str">
        <f t="shared" si="417"/>
        <v>NO CONFORME</v>
      </c>
      <c r="BD119" s="15">
        <f t="shared" si="396"/>
        <v>-1</v>
      </c>
      <c r="BE119" s="15">
        <f t="shared" si="397"/>
        <v>-1</v>
      </c>
      <c r="BF119" s="15">
        <f t="shared" si="398"/>
        <v>-1</v>
      </c>
      <c r="BG119" s="15" t="str">
        <f t="shared" si="399"/>
        <v>-1-1-1</v>
      </c>
      <c r="BH119" s="15" t="str">
        <f t="shared" si="400"/>
        <v>SD</v>
      </c>
      <c r="BI119" s="15" t="str">
        <f t="shared" si="401"/>
        <v>SI</v>
      </c>
      <c r="BJ119" s="15" t="b">
        <f t="shared" si="402"/>
        <v>1</v>
      </c>
      <c r="BK119" s="15" t="str">
        <f t="shared" si="403"/>
        <v>SIGIGUALES</v>
      </c>
      <c r="BL119" s="22" t="str">
        <f t="shared" si="404"/>
        <v>NO CONFORME</v>
      </c>
    </row>
    <row r="120" spans="1:64" ht="14.4" x14ac:dyDescent="0.3">
      <c r="A120" s="36">
        <v>112</v>
      </c>
      <c r="B120" s="28">
        <f t="shared" ref="B120:E120" si="708">B119</f>
        <v>45903</v>
      </c>
      <c r="C120" s="28">
        <f t="shared" si="708"/>
        <v>45903</v>
      </c>
      <c r="D120" s="12">
        <f t="shared" si="708"/>
        <v>3</v>
      </c>
      <c r="E120" s="10">
        <f t="shared" si="708"/>
        <v>11</v>
      </c>
      <c r="F120" s="13"/>
      <c r="G120" s="69"/>
      <c r="H120" s="70">
        <f t="shared" ref="H120:L120" si="709">H119</f>
        <v>25.6</v>
      </c>
      <c r="I120" s="37">
        <f t="shared" si="709"/>
        <v>0</v>
      </c>
      <c r="J120" s="35">
        <f t="shared" si="709"/>
        <v>16</v>
      </c>
      <c r="K120" s="122">
        <f t="shared" si="709"/>
        <v>8.1690000000000005</v>
      </c>
      <c r="L120" s="122">
        <f t="shared" si="709"/>
        <v>0.879</v>
      </c>
      <c r="M120" s="126"/>
      <c r="N120" s="126"/>
      <c r="O120" s="32">
        <f t="shared" ref="O120:P120" si="710">O119</f>
        <v>100.65</v>
      </c>
      <c r="P120" s="33" t="str">
        <f t="shared" si="710"/>
        <v>2,31,180</v>
      </c>
      <c r="Q120" s="11" t="str">
        <f t="shared" si="470"/>
        <v>2</v>
      </c>
      <c r="R120" s="11" t="str">
        <f t="shared" si="471"/>
        <v>31,180</v>
      </c>
      <c r="S120" s="11">
        <f t="shared" si="472"/>
        <v>4.1994444444444445E-2</v>
      </c>
      <c r="T120" s="14">
        <f t="shared" si="473"/>
        <v>2396.7456012700095</v>
      </c>
      <c r="U120" s="38">
        <f t="shared" si="474"/>
        <v>-100</v>
      </c>
      <c r="V120" s="39">
        <f t="shared" ref="V120:W120" si="711">V119</f>
        <v>19.8</v>
      </c>
      <c r="W120" s="124">
        <f t="shared" si="711"/>
        <v>1.08</v>
      </c>
      <c r="X120" s="124">
        <f t="shared" si="626"/>
        <v>1.075</v>
      </c>
      <c r="Y120" s="126"/>
      <c r="Z120" s="126"/>
      <c r="AA120" s="90">
        <f t="shared" ref="AA120:AB120" si="712">AA119</f>
        <v>5.0149999999999997</v>
      </c>
      <c r="AB120" s="73" t="str">
        <f t="shared" si="712"/>
        <v>9,05,040</v>
      </c>
      <c r="AC120" s="11" t="str">
        <f t="shared" si="477"/>
        <v>9,</v>
      </c>
      <c r="AD120" s="11" t="str">
        <f t="shared" si="478"/>
        <v>05,040</v>
      </c>
      <c r="AE120" s="11">
        <f t="shared" si="479"/>
        <v>0.15139999999999998</v>
      </c>
      <c r="AF120" s="14">
        <f t="shared" si="480"/>
        <v>33.124174372523122</v>
      </c>
      <c r="AG120" s="40">
        <f t="shared" si="481"/>
        <v>-100</v>
      </c>
      <c r="AH120" s="39">
        <f t="shared" si="634"/>
        <v>19.600000000000001</v>
      </c>
      <c r="AI120" s="124">
        <f t="shared" si="634"/>
        <v>1.0860000000000001</v>
      </c>
      <c r="AJ120" s="124">
        <f t="shared" si="634"/>
        <v>1.0780000000000001</v>
      </c>
      <c r="AK120" s="126">
        <f t="shared" si="482"/>
        <v>0</v>
      </c>
      <c r="AL120" s="126"/>
      <c r="AM120" s="34">
        <f t="shared" ref="AM120:AN120" si="713">AM119</f>
        <v>2.0059999999999998</v>
      </c>
      <c r="AN120" s="33" t="str">
        <f t="shared" si="713"/>
        <v>5,40,620</v>
      </c>
      <c r="AO120" s="11" t="str">
        <f t="shared" si="484"/>
        <v>5,</v>
      </c>
      <c r="AP120" s="11" t="str">
        <f t="shared" si="485"/>
        <v>40,620</v>
      </c>
      <c r="AQ120" s="11">
        <f t="shared" si="486"/>
        <v>9.4616666666666668E-2</v>
      </c>
      <c r="AR120" s="14">
        <f t="shared" si="487"/>
        <v>21.201338735247486</v>
      </c>
      <c r="AS120" s="40">
        <f t="shared" si="488"/>
        <v>-100</v>
      </c>
      <c r="AT120" s="41" t="str">
        <f t="shared" si="489"/>
        <v>NO CONFORME</v>
      </c>
      <c r="AU120" s="8" t="b">
        <f t="shared" si="411"/>
        <v>1</v>
      </c>
      <c r="AV120" s="8" t="b">
        <f t="shared" si="412"/>
        <v>0</v>
      </c>
      <c r="AW120" s="8" t="b">
        <f t="shared" si="413"/>
        <v>1</v>
      </c>
      <c r="AX120" s="8" t="str">
        <f t="shared" si="414"/>
        <v>Qcorrecto</v>
      </c>
      <c r="AY120" s="22" t="str">
        <f t="shared" si="394"/>
        <v>aceptable</v>
      </c>
      <c r="AZ120" s="22" t="str">
        <f t="shared" si="395"/>
        <v>aceptable</v>
      </c>
      <c r="BA120" s="22" t="str">
        <f t="shared" si="415"/>
        <v>aceptable</v>
      </c>
      <c r="BB120" s="25" t="str">
        <f t="shared" si="416"/>
        <v>NO CONFORME</v>
      </c>
      <c r="BC120" s="5" t="str">
        <f t="shared" si="417"/>
        <v>NO CONFORME</v>
      </c>
      <c r="BD120" s="15">
        <f t="shared" si="396"/>
        <v>-1</v>
      </c>
      <c r="BE120" s="15">
        <f t="shared" si="397"/>
        <v>-1</v>
      </c>
      <c r="BF120" s="15">
        <f t="shared" si="398"/>
        <v>-1</v>
      </c>
      <c r="BG120" s="15" t="str">
        <f t="shared" si="399"/>
        <v>-1-1-1</v>
      </c>
      <c r="BH120" s="15" t="str">
        <f t="shared" si="400"/>
        <v>SD</v>
      </c>
      <c r="BI120" s="15" t="str">
        <f t="shared" si="401"/>
        <v>SI</v>
      </c>
      <c r="BJ120" s="15" t="b">
        <f t="shared" si="402"/>
        <v>1</v>
      </c>
      <c r="BK120" s="15" t="str">
        <f t="shared" si="403"/>
        <v>SIGIGUALES</v>
      </c>
      <c r="BL120" s="22" t="str">
        <f t="shared" si="404"/>
        <v>NO CONFORME</v>
      </c>
    </row>
    <row r="121" spans="1:64" ht="14.4" x14ac:dyDescent="0.3">
      <c r="A121" s="36">
        <v>113</v>
      </c>
      <c r="B121" s="28">
        <f t="shared" ref="B121:E121" si="714">B120</f>
        <v>45903</v>
      </c>
      <c r="C121" s="28">
        <f t="shared" si="714"/>
        <v>45903</v>
      </c>
      <c r="D121" s="12">
        <f t="shared" si="714"/>
        <v>3</v>
      </c>
      <c r="E121" s="10">
        <f t="shared" si="714"/>
        <v>11</v>
      </c>
      <c r="F121" s="13"/>
      <c r="G121" s="69"/>
      <c r="H121" s="70">
        <f t="shared" ref="H121:L121" si="715">H120</f>
        <v>25.6</v>
      </c>
      <c r="I121" s="37">
        <f t="shared" si="715"/>
        <v>0</v>
      </c>
      <c r="J121" s="35">
        <f t="shared" si="715"/>
        <v>16</v>
      </c>
      <c r="K121" s="122">
        <f t="shared" si="715"/>
        <v>8.1690000000000005</v>
      </c>
      <c r="L121" s="122">
        <f t="shared" si="715"/>
        <v>0.879</v>
      </c>
      <c r="M121" s="126"/>
      <c r="N121" s="126"/>
      <c r="O121" s="32">
        <f t="shared" ref="O121:P121" si="716">O120</f>
        <v>100.65</v>
      </c>
      <c r="P121" s="33" t="str">
        <f t="shared" si="716"/>
        <v>2,31,180</v>
      </c>
      <c r="Q121" s="11" t="str">
        <f t="shared" si="470"/>
        <v>2</v>
      </c>
      <c r="R121" s="11" t="str">
        <f t="shared" si="471"/>
        <v>31,180</v>
      </c>
      <c r="S121" s="11">
        <f t="shared" si="472"/>
        <v>4.1994444444444445E-2</v>
      </c>
      <c r="T121" s="14">
        <f t="shared" si="473"/>
        <v>2396.7456012700095</v>
      </c>
      <c r="U121" s="38">
        <f t="shared" si="474"/>
        <v>-100</v>
      </c>
      <c r="V121" s="39">
        <f t="shared" ref="V121:W121" si="717">V120</f>
        <v>19.8</v>
      </c>
      <c r="W121" s="124">
        <f t="shared" si="717"/>
        <v>1.08</v>
      </c>
      <c r="X121" s="124">
        <f t="shared" si="626"/>
        <v>1.075</v>
      </c>
      <c r="Y121" s="126"/>
      <c r="Z121" s="126"/>
      <c r="AA121" s="90">
        <f t="shared" ref="AA121:AB121" si="718">AA120</f>
        <v>5.0149999999999997</v>
      </c>
      <c r="AB121" s="73" t="str">
        <f t="shared" si="718"/>
        <v>9,05,040</v>
      </c>
      <c r="AC121" s="11" t="str">
        <f t="shared" si="477"/>
        <v>9,</v>
      </c>
      <c r="AD121" s="11" t="str">
        <f t="shared" si="478"/>
        <v>05,040</v>
      </c>
      <c r="AE121" s="11">
        <f t="shared" si="479"/>
        <v>0.15139999999999998</v>
      </c>
      <c r="AF121" s="14">
        <f t="shared" si="480"/>
        <v>33.124174372523122</v>
      </c>
      <c r="AG121" s="40">
        <f t="shared" si="481"/>
        <v>-100</v>
      </c>
      <c r="AH121" s="39">
        <f t="shared" si="634"/>
        <v>19.600000000000001</v>
      </c>
      <c r="AI121" s="124">
        <f t="shared" si="634"/>
        <v>1.0860000000000001</v>
      </c>
      <c r="AJ121" s="124">
        <f t="shared" si="634"/>
        <v>1.0780000000000001</v>
      </c>
      <c r="AK121" s="126">
        <f t="shared" si="482"/>
        <v>0</v>
      </c>
      <c r="AL121" s="126"/>
      <c r="AM121" s="34">
        <f t="shared" ref="AM121:AN121" si="719">AM120</f>
        <v>2.0059999999999998</v>
      </c>
      <c r="AN121" s="33" t="str">
        <f t="shared" si="719"/>
        <v>5,40,620</v>
      </c>
      <c r="AO121" s="11" t="str">
        <f t="shared" si="484"/>
        <v>5,</v>
      </c>
      <c r="AP121" s="11" t="str">
        <f t="shared" si="485"/>
        <v>40,620</v>
      </c>
      <c r="AQ121" s="11">
        <f t="shared" si="486"/>
        <v>9.4616666666666668E-2</v>
      </c>
      <c r="AR121" s="14">
        <f t="shared" si="487"/>
        <v>21.201338735247486</v>
      </c>
      <c r="AS121" s="40">
        <f t="shared" si="488"/>
        <v>-100</v>
      </c>
      <c r="AT121" s="41" t="str">
        <f t="shared" si="489"/>
        <v>NO CONFORME</v>
      </c>
      <c r="AU121" s="8" t="b">
        <f t="shared" si="411"/>
        <v>1</v>
      </c>
      <c r="AV121" s="8" t="b">
        <f t="shared" si="412"/>
        <v>0</v>
      </c>
      <c r="AW121" s="8" t="b">
        <f t="shared" si="413"/>
        <v>1</v>
      </c>
      <c r="AX121" s="8" t="str">
        <f t="shared" si="414"/>
        <v>Qcorrecto</v>
      </c>
      <c r="AY121" s="22" t="str">
        <f t="shared" si="394"/>
        <v>aceptable</v>
      </c>
      <c r="AZ121" s="22" t="str">
        <f t="shared" si="395"/>
        <v>aceptable</v>
      </c>
      <c r="BA121" s="22" t="str">
        <f t="shared" si="415"/>
        <v>aceptable</v>
      </c>
      <c r="BB121" s="25" t="str">
        <f t="shared" si="416"/>
        <v>NO CONFORME</v>
      </c>
      <c r="BC121" s="5" t="str">
        <f t="shared" si="417"/>
        <v>NO CONFORME</v>
      </c>
      <c r="BD121" s="15">
        <f t="shared" si="396"/>
        <v>-1</v>
      </c>
      <c r="BE121" s="15">
        <f t="shared" si="397"/>
        <v>-1</v>
      </c>
      <c r="BF121" s="15">
        <f t="shared" si="398"/>
        <v>-1</v>
      </c>
      <c r="BG121" s="15" t="str">
        <f t="shared" si="399"/>
        <v>-1-1-1</v>
      </c>
      <c r="BH121" s="15" t="str">
        <f t="shared" si="400"/>
        <v>SD</v>
      </c>
      <c r="BI121" s="15" t="str">
        <f t="shared" si="401"/>
        <v>SI</v>
      </c>
      <c r="BJ121" s="15" t="b">
        <f t="shared" si="402"/>
        <v>1</v>
      </c>
      <c r="BK121" s="15" t="str">
        <f t="shared" si="403"/>
        <v>SIGIGUALES</v>
      </c>
      <c r="BL121" s="22" t="str">
        <f t="shared" si="404"/>
        <v>NO CONFORME</v>
      </c>
    </row>
    <row r="122" spans="1:64" ht="14.4" x14ac:dyDescent="0.3">
      <c r="A122" s="36">
        <v>114</v>
      </c>
      <c r="B122" s="28">
        <f t="shared" ref="B122:E122" si="720">B121</f>
        <v>45903</v>
      </c>
      <c r="C122" s="28">
        <f t="shared" si="720"/>
        <v>45903</v>
      </c>
      <c r="D122" s="12">
        <f t="shared" si="720"/>
        <v>3</v>
      </c>
      <c r="E122" s="10">
        <f t="shared" si="720"/>
        <v>11</v>
      </c>
      <c r="F122" s="13"/>
      <c r="G122" s="69"/>
      <c r="H122" s="70">
        <f t="shared" ref="H122:L122" si="721">H121</f>
        <v>25.6</v>
      </c>
      <c r="I122" s="37">
        <f t="shared" si="721"/>
        <v>0</v>
      </c>
      <c r="J122" s="35">
        <f t="shared" si="721"/>
        <v>16</v>
      </c>
      <c r="K122" s="122">
        <f t="shared" si="721"/>
        <v>8.1690000000000005</v>
      </c>
      <c r="L122" s="122">
        <f t="shared" si="721"/>
        <v>0.879</v>
      </c>
      <c r="M122" s="126"/>
      <c r="N122" s="126"/>
      <c r="O122" s="32">
        <f t="shared" ref="O122:P122" si="722">O121</f>
        <v>100.65</v>
      </c>
      <c r="P122" s="33" t="str">
        <f t="shared" si="722"/>
        <v>2,31,180</v>
      </c>
      <c r="Q122" s="11" t="str">
        <f t="shared" si="470"/>
        <v>2</v>
      </c>
      <c r="R122" s="11" t="str">
        <f t="shared" si="471"/>
        <v>31,180</v>
      </c>
      <c r="S122" s="11">
        <f t="shared" si="472"/>
        <v>4.1994444444444445E-2</v>
      </c>
      <c r="T122" s="14">
        <f t="shared" si="473"/>
        <v>2396.7456012700095</v>
      </c>
      <c r="U122" s="38">
        <f t="shared" si="474"/>
        <v>-100</v>
      </c>
      <c r="V122" s="39">
        <f t="shared" ref="V122:X137" si="723">V121</f>
        <v>19.8</v>
      </c>
      <c r="W122" s="124">
        <f t="shared" si="723"/>
        <v>1.08</v>
      </c>
      <c r="X122" s="124">
        <f t="shared" si="723"/>
        <v>1.075</v>
      </c>
      <c r="Y122" s="126"/>
      <c r="Z122" s="126"/>
      <c r="AA122" s="90">
        <f t="shared" ref="AA122:AB122" si="724">AA121</f>
        <v>5.0149999999999997</v>
      </c>
      <c r="AB122" s="73" t="str">
        <f t="shared" si="724"/>
        <v>9,05,040</v>
      </c>
      <c r="AC122" s="11" t="str">
        <f t="shared" si="477"/>
        <v>9,</v>
      </c>
      <c r="AD122" s="11" t="str">
        <f t="shared" si="478"/>
        <v>05,040</v>
      </c>
      <c r="AE122" s="11">
        <f t="shared" si="479"/>
        <v>0.15139999999999998</v>
      </c>
      <c r="AF122" s="14">
        <f t="shared" si="480"/>
        <v>33.124174372523122</v>
      </c>
      <c r="AG122" s="40">
        <f t="shared" si="481"/>
        <v>-100</v>
      </c>
      <c r="AH122" s="39">
        <f t="shared" si="634"/>
        <v>19.600000000000001</v>
      </c>
      <c r="AI122" s="124">
        <f t="shared" si="634"/>
        <v>1.0860000000000001</v>
      </c>
      <c r="AJ122" s="124">
        <f t="shared" si="634"/>
        <v>1.0780000000000001</v>
      </c>
      <c r="AK122" s="126">
        <f t="shared" si="482"/>
        <v>0</v>
      </c>
      <c r="AL122" s="126"/>
      <c r="AM122" s="34">
        <f t="shared" ref="AM122:AN122" si="725">AM121</f>
        <v>2.0059999999999998</v>
      </c>
      <c r="AN122" s="33" t="str">
        <f t="shared" si="725"/>
        <v>5,40,620</v>
      </c>
      <c r="AO122" s="11" t="str">
        <f t="shared" si="484"/>
        <v>5,</v>
      </c>
      <c r="AP122" s="11" t="str">
        <f t="shared" si="485"/>
        <v>40,620</v>
      </c>
      <c r="AQ122" s="11">
        <f t="shared" si="486"/>
        <v>9.4616666666666668E-2</v>
      </c>
      <c r="AR122" s="14">
        <f t="shared" si="487"/>
        <v>21.201338735247486</v>
      </c>
      <c r="AS122" s="40">
        <f t="shared" si="488"/>
        <v>-100</v>
      </c>
      <c r="AT122" s="41" t="str">
        <f t="shared" si="489"/>
        <v>NO CONFORME</v>
      </c>
      <c r="AU122" s="8" t="b">
        <f t="shared" si="411"/>
        <v>1</v>
      </c>
      <c r="AV122" s="8" t="b">
        <f t="shared" si="412"/>
        <v>0</v>
      </c>
      <c r="AW122" s="8" t="b">
        <f t="shared" si="413"/>
        <v>1</v>
      </c>
      <c r="AX122" s="8" t="str">
        <f t="shared" si="414"/>
        <v>Qcorrecto</v>
      </c>
      <c r="AY122" s="22" t="str">
        <f t="shared" si="394"/>
        <v>aceptable</v>
      </c>
      <c r="AZ122" s="22" t="str">
        <f t="shared" si="395"/>
        <v>aceptable</v>
      </c>
      <c r="BA122" s="22" t="str">
        <f t="shared" si="415"/>
        <v>aceptable</v>
      </c>
      <c r="BB122" s="25" t="str">
        <f t="shared" si="416"/>
        <v>NO CONFORME</v>
      </c>
      <c r="BC122" s="5" t="str">
        <f t="shared" si="417"/>
        <v>NO CONFORME</v>
      </c>
      <c r="BD122" s="15">
        <f t="shared" si="396"/>
        <v>-1</v>
      </c>
      <c r="BE122" s="15">
        <f t="shared" si="397"/>
        <v>-1</v>
      </c>
      <c r="BF122" s="15">
        <f t="shared" si="398"/>
        <v>-1</v>
      </c>
      <c r="BG122" s="15" t="str">
        <f t="shared" si="399"/>
        <v>-1-1-1</v>
      </c>
      <c r="BH122" s="15" t="str">
        <f t="shared" si="400"/>
        <v>SD</v>
      </c>
      <c r="BI122" s="15" t="str">
        <f t="shared" si="401"/>
        <v>SI</v>
      </c>
      <c r="BJ122" s="15" t="b">
        <f t="shared" si="402"/>
        <v>1</v>
      </c>
      <c r="BK122" s="15" t="str">
        <f t="shared" si="403"/>
        <v>SIGIGUALES</v>
      </c>
      <c r="BL122" s="22" t="str">
        <f t="shared" si="404"/>
        <v>NO CONFORME</v>
      </c>
    </row>
    <row r="123" spans="1:64" ht="14.4" x14ac:dyDescent="0.3">
      <c r="A123" s="36">
        <v>115</v>
      </c>
      <c r="B123" s="28">
        <f t="shared" ref="B123:E123" si="726">B122</f>
        <v>45903</v>
      </c>
      <c r="C123" s="28">
        <f t="shared" si="726"/>
        <v>45903</v>
      </c>
      <c r="D123" s="12">
        <f t="shared" si="726"/>
        <v>3</v>
      </c>
      <c r="E123" s="10">
        <f t="shared" si="726"/>
        <v>11</v>
      </c>
      <c r="F123" s="13"/>
      <c r="G123" s="69"/>
      <c r="H123" s="70">
        <f t="shared" ref="H123:L123" si="727">H122</f>
        <v>25.6</v>
      </c>
      <c r="I123" s="37">
        <f t="shared" si="727"/>
        <v>0</v>
      </c>
      <c r="J123" s="35">
        <f t="shared" si="727"/>
        <v>16</v>
      </c>
      <c r="K123" s="122">
        <f t="shared" si="727"/>
        <v>8.1690000000000005</v>
      </c>
      <c r="L123" s="122">
        <f t="shared" si="727"/>
        <v>0.879</v>
      </c>
      <c r="M123" s="126"/>
      <c r="N123" s="126"/>
      <c r="O123" s="32">
        <f t="shared" ref="O123:P123" si="728">O122</f>
        <v>100.65</v>
      </c>
      <c r="P123" s="33" t="str">
        <f t="shared" si="728"/>
        <v>2,31,180</v>
      </c>
      <c r="Q123" s="11" t="str">
        <f t="shared" si="470"/>
        <v>2</v>
      </c>
      <c r="R123" s="11" t="str">
        <f t="shared" si="471"/>
        <v>31,180</v>
      </c>
      <c r="S123" s="11">
        <f t="shared" si="472"/>
        <v>4.1994444444444445E-2</v>
      </c>
      <c r="T123" s="14">
        <f t="shared" si="473"/>
        <v>2396.7456012700095</v>
      </c>
      <c r="U123" s="38">
        <f t="shared" si="474"/>
        <v>-100</v>
      </c>
      <c r="V123" s="39">
        <f t="shared" ref="V123:W123" si="729">V122</f>
        <v>19.8</v>
      </c>
      <c r="W123" s="124">
        <f t="shared" si="729"/>
        <v>1.08</v>
      </c>
      <c r="X123" s="124">
        <f t="shared" si="723"/>
        <v>1.075</v>
      </c>
      <c r="Y123" s="126"/>
      <c r="Z123" s="126"/>
      <c r="AA123" s="90">
        <f t="shared" ref="AA123:AB123" si="730">AA122</f>
        <v>5.0149999999999997</v>
      </c>
      <c r="AB123" s="73" t="str">
        <f t="shared" si="730"/>
        <v>9,05,040</v>
      </c>
      <c r="AC123" s="11" t="str">
        <f t="shared" si="477"/>
        <v>9,</v>
      </c>
      <c r="AD123" s="11" t="str">
        <f t="shared" si="478"/>
        <v>05,040</v>
      </c>
      <c r="AE123" s="11">
        <f t="shared" si="479"/>
        <v>0.15139999999999998</v>
      </c>
      <c r="AF123" s="14">
        <f t="shared" si="480"/>
        <v>33.124174372523122</v>
      </c>
      <c r="AG123" s="40">
        <f t="shared" si="481"/>
        <v>-100</v>
      </c>
      <c r="AH123" s="39">
        <f t="shared" ref="AH123:AJ138" si="731">AH122</f>
        <v>19.600000000000001</v>
      </c>
      <c r="AI123" s="124">
        <f t="shared" si="731"/>
        <v>1.0860000000000001</v>
      </c>
      <c r="AJ123" s="124">
        <f t="shared" si="731"/>
        <v>1.0780000000000001</v>
      </c>
      <c r="AK123" s="126">
        <f t="shared" si="482"/>
        <v>0</v>
      </c>
      <c r="AL123" s="126"/>
      <c r="AM123" s="34">
        <f t="shared" ref="AM123:AN123" si="732">AM122</f>
        <v>2.0059999999999998</v>
      </c>
      <c r="AN123" s="33" t="str">
        <f t="shared" si="732"/>
        <v>5,40,620</v>
      </c>
      <c r="AO123" s="11" t="str">
        <f t="shared" si="484"/>
        <v>5,</v>
      </c>
      <c r="AP123" s="11" t="str">
        <f t="shared" si="485"/>
        <v>40,620</v>
      </c>
      <c r="AQ123" s="11">
        <f t="shared" si="486"/>
        <v>9.4616666666666668E-2</v>
      </c>
      <c r="AR123" s="14">
        <f t="shared" si="487"/>
        <v>21.201338735247486</v>
      </c>
      <c r="AS123" s="40">
        <f t="shared" si="488"/>
        <v>-100</v>
      </c>
      <c r="AT123" s="41" t="str">
        <f t="shared" si="489"/>
        <v>NO CONFORME</v>
      </c>
      <c r="AU123" s="8" t="b">
        <f t="shared" si="411"/>
        <v>1</v>
      </c>
      <c r="AV123" s="8" t="b">
        <f t="shared" si="412"/>
        <v>0</v>
      </c>
      <c r="AW123" s="8" t="b">
        <f t="shared" si="413"/>
        <v>1</v>
      </c>
      <c r="AX123" s="8" t="str">
        <f t="shared" si="414"/>
        <v>Qcorrecto</v>
      </c>
      <c r="AY123" s="22" t="str">
        <f t="shared" si="394"/>
        <v>aceptable</v>
      </c>
      <c r="AZ123" s="22" t="str">
        <f t="shared" si="395"/>
        <v>aceptable</v>
      </c>
      <c r="BA123" s="22" t="str">
        <f t="shared" si="415"/>
        <v>aceptable</v>
      </c>
      <c r="BB123" s="25" t="str">
        <f t="shared" si="416"/>
        <v>NO CONFORME</v>
      </c>
      <c r="BC123" s="5" t="str">
        <f t="shared" si="417"/>
        <v>NO CONFORME</v>
      </c>
      <c r="BD123" s="15">
        <f t="shared" si="396"/>
        <v>-1</v>
      </c>
      <c r="BE123" s="15">
        <f t="shared" si="397"/>
        <v>-1</v>
      </c>
      <c r="BF123" s="15">
        <f t="shared" si="398"/>
        <v>-1</v>
      </c>
      <c r="BG123" s="15" t="str">
        <f t="shared" si="399"/>
        <v>-1-1-1</v>
      </c>
      <c r="BH123" s="15" t="str">
        <f t="shared" si="400"/>
        <v>SD</v>
      </c>
      <c r="BI123" s="15" t="str">
        <f t="shared" si="401"/>
        <v>SI</v>
      </c>
      <c r="BJ123" s="15" t="b">
        <f t="shared" si="402"/>
        <v>1</v>
      </c>
      <c r="BK123" s="15" t="str">
        <f t="shared" si="403"/>
        <v>SIGIGUALES</v>
      </c>
      <c r="BL123" s="22" t="str">
        <f t="shared" si="404"/>
        <v>NO CONFORME</v>
      </c>
    </row>
    <row r="124" spans="1:64" ht="14.4" x14ac:dyDescent="0.3">
      <c r="A124" s="36">
        <v>116</v>
      </c>
      <c r="B124" s="28">
        <f t="shared" ref="B124:E124" si="733">B123</f>
        <v>45903</v>
      </c>
      <c r="C124" s="28">
        <f t="shared" si="733"/>
        <v>45903</v>
      </c>
      <c r="D124" s="12">
        <f t="shared" si="733"/>
        <v>3</v>
      </c>
      <c r="E124" s="10">
        <f t="shared" si="733"/>
        <v>11</v>
      </c>
      <c r="F124" s="13"/>
      <c r="G124" s="69"/>
      <c r="H124" s="70">
        <f t="shared" ref="H124:L124" si="734">H123</f>
        <v>25.6</v>
      </c>
      <c r="I124" s="37">
        <f t="shared" si="734"/>
        <v>0</v>
      </c>
      <c r="J124" s="35">
        <f t="shared" si="734"/>
        <v>16</v>
      </c>
      <c r="K124" s="122">
        <f t="shared" si="734"/>
        <v>8.1690000000000005</v>
      </c>
      <c r="L124" s="122">
        <f t="shared" si="734"/>
        <v>0.879</v>
      </c>
      <c r="M124" s="126"/>
      <c r="N124" s="126"/>
      <c r="O124" s="32">
        <f t="shared" ref="O124:P124" si="735">O123</f>
        <v>100.65</v>
      </c>
      <c r="P124" s="33" t="str">
        <f t="shared" si="735"/>
        <v>2,31,180</v>
      </c>
      <c r="Q124" s="11" t="str">
        <f t="shared" si="470"/>
        <v>2</v>
      </c>
      <c r="R124" s="11" t="str">
        <f t="shared" si="471"/>
        <v>31,180</v>
      </c>
      <c r="S124" s="11">
        <f t="shared" si="472"/>
        <v>4.1994444444444445E-2</v>
      </c>
      <c r="T124" s="14">
        <f t="shared" si="473"/>
        <v>2396.7456012700095</v>
      </c>
      <c r="U124" s="38">
        <f t="shared" si="474"/>
        <v>-100</v>
      </c>
      <c r="V124" s="39">
        <f t="shared" ref="V124:W124" si="736">V123</f>
        <v>19.8</v>
      </c>
      <c r="W124" s="124">
        <f t="shared" si="736"/>
        <v>1.08</v>
      </c>
      <c r="X124" s="124">
        <f t="shared" si="723"/>
        <v>1.075</v>
      </c>
      <c r="Y124" s="126"/>
      <c r="Z124" s="126"/>
      <c r="AA124" s="90">
        <f t="shared" ref="AA124:AB124" si="737">AA123</f>
        <v>5.0149999999999997</v>
      </c>
      <c r="AB124" s="73" t="str">
        <f t="shared" si="737"/>
        <v>9,05,040</v>
      </c>
      <c r="AC124" s="11" t="str">
        <f t="shared" si="477"/>
        <v>9,</v>
      </c>
      <c r="AD124" s="11" t="str">
        <f t="shared" si="478"/>
        <v>05,040</v>
      </c>
      <c r="AE124" s="11">
        <f t="shared" si="479"/>
        <v>0.15139999999999998</v>
      </c>
      <c r="AF124" s="14">
        <f t="shared" si="480"/>
        <v>33.124174372523122</v>
      </c>
      <c r="AG124" s="40">
        <f t="shared" si="481"/>
        <v>-100</v>
      </c>
      <c r="AH124" s="39">
        <f t="shared" si="731"/>
        <v>19.600000000000001</v>
      </c>
      <c r="AI124" s="124">
        <f t="shared" si="731"/>
        <v>1.0860000000000001</v>
      </c>
      <c r="AJ124" s="124">
        <f t="shared" si="731"/>
        <v>1.0780000000000001</v>
      </c>
      <c r="AK124" s="126">
        <f t="shared" si="482"/>
        <v>0</v>
      </c>
      <c r="AL124" s="126"/>
      <c r="AM124" s="34">
        <f t="shared" ref="AM124:AN124" si="738">AM123</f>
        <v>2.0059999999999998</v>
      </c>
      <c r="AN124" s="33" t="str">
        <f t="shared" si="738"/>
        <v>5,40,620</v>
      </c>
      <c r="AO124" s="11" t="str">
        <f t="shared" si="484"/>
        <v>5,</v>
      </c>
      <c r="AP124" s="11" t="str">
        <f t="shared" si="485"/>
        <v>40,620</v>
      </c>
      <c r="AQ124" s="11">
        <f t="shared" si="486"/>
        <v>9.4616666666666668E-2</v>
      </c>
      <c r="AR124" s="14">
        <f t="shared" si="487"/>
        <v>21.201338735247486</v>
      </c>
      <c r="AS124" s="40">
        <f t="shared" si="488"/>
        <v>-100</v>
      </c>
      <c r="AT124" s="41" t="str">
        <f t="shared" si="489"/>
        <v>NO CONFORME</v>
      </c>
      <c r="AU124" s="8" t="b">
        <f t="shared" si="411"/>
        <v>1</v>
      </c>
      <c r="AV124" s="8" t="b">
        <f t="shared" si="412"/>
        <v>0</v>
      </c>
      <c r="AW124" s="8" t="b">
        <f t="shared" si="413"/>
        <v>1</v>
      </c>
      <c r="AX124" s="8" t="str">
        <f t="shared" si="414"/>
        <v>Qcorrecto</v>
      </c>
      <c r="AY124" s="22" t="str">
        <f t="shared" si="394"/>
        <v>aceptable</v>
      </c>
      <c r="AZ124" s="22" t="str">
        <f t="shared" si="395"/>
        <v>aceptable</v>
      </c>
      <c r="BA124" s="22" t="str">
        <f t="shared" si="415"/>
        <v>aceptable</v>
      </c>
      <c r="BB124" s="25" t="str">
        <f t="shared" si="416"/>
        <v>NO CONFORME</v>
      </c>
      <c r="BC124" s="5" t="str">
        <f t="shared" si="417"/>
        <v>NO CONFORME</v>
      </c>
      <c r="BD124" s="15">
        <f t="shared" si="396"/>
        <v>-1</v>
      </c>
      <c r="BE124" s="15">
        <f t="shared" si="397"/>
        <v>-1</v>
      </c>
      <c r="BF124" s="15">
        <f t="shared" si="398"/>
        <v>-1</v>
      </c>
      <c r="BG124" s="15" t="str">
        <f t="shared" si="399"/>
        <v>-1-1-1</v>
      </c>
      <c r="BH124" s="15" t="str">
        <f t="shared" si="400"/>
        <v>SD</v>
      </c>
      <c r="BI124" s="15" t="str">
        <f t="shared" si="401"/>
        <v>SI</v>
      </c>
      <c r="BJ124" s="15" t="b">
        <f t="shared" si="402"/>
        <v>1</v>
      </c>
      <c r="BK124" s="15" t="str">
        <f t="shared" si="403"/>
        <v>SIGIGUALES</v>
      </c>
      <c r="BL124" s="22" t="str">
        <f t="shared" si="404"/>
        <v>NO CONFORME</v>
      </c>
    </row>
    <row r="125" spans="1:64" ht="14.4" x14ac:dyDescent="0.3">
      <c r="A125" s="36">
        <v>117</v>
      </c>
      <c r="B125" s="28">
        <f t="shared" ref="B125:E125" si="739">B124</f>
        <v>45903</v>
      </c>
      <c r="C125" s="28">
        <f t="shared" si="739"/>
        <v>45903</v>
      </c>
      <c r="D125" s="12">
        <f t="shared" si="739"/>
        <v>3</v>
      </c>
      <c r="E125" s="10">
        <f t="shared" si="739"/>
        <v>11</v>
      </c>
      <c r="F125" s="13"/>
      <c r="G125" s="69"/>
      <c r="H125" s="70">
        <f t="shared" ref="H125:L125" si="740">H124</f>
        <v>25.6</v>
      </c>
      <c r="I125" s="37">
        <f t="shared" si="740"/>
        <v>0</v>
      </c>
      <c r="J125" s="35">
        <f t="shared" si="740"/>
        <v>16</v>
      </c>
      <c r="K125" s="122">
        <f t="shared" si="740"/>
        <v>8.1690000000000005</v>
      </c>
      <c r="L125" s="122">
        <f t="shared" si="740"/>
        <v>0.879</v>
      </c>
      <c r="M125" s="126"/>
      <c r="N125" s="126"/>
      <c r="O125" s="32">
        <f t="shared" ref="O125:P125" si="741">O124</f>
        <v>100.65</v>
      </c>
      <c r="P125" s="33" t="str">
        <f t="shared" si="741"/>
        <v>2,31,180</v>
      </c>
      <c r="Q125" s="11" t="str">
        <f t="shared" si="470"/>
        <v>2</v>
      </c>
      <c r="R125" s="11" t="str">
        <f t="shared" si="471"/>
        <v>31,180</v>
      </c>
      <c r="S125" s="11">
        <f t="shared" si="472"/>
        <v>4.1994444444444445E-2</v>
      </c>
      <c r="T125" s="14">
        <f t="shared" si="473"/>
        <v>2396.7456012700095</v>
      </c>
      <c r="U125" s="38">
        <f t="shared" si="474"/>
        <v>-100</v>
      </c>
      <c r="V125" s="39">
        <f t="shared" ref="V125:W125" si="742">V124</f>
        <v>19.8</v>
      </c>
      <c r="W125" s="124">
        <f t="shared" si="742"/>
        <v>1.08</v>
      </c>
      <c r="X125" s="124">
        <f t="shared" si="723"/>
        <v>1.075</v>
      </c>
      <c r="Y125" s="126"/>
      <c r="Z125" s="126"/>
      <c r="AA125" s="90">
        <f t="shared" ref="AA125:AB125" si="743">AA124</f>
        <v>5.0149999999999997</v>
      </c>
      <c r="AB125" s="73" t="str">
        <f t="shared" si="743"/>
        <v>9,05,040</v>
      </c>
      <c r="AC125" s="11" t="str">
        <f t="shared" si="477"/>
        <v>9,</v>
      </c>
      <c r="AD125" s="11" t="str">
        <f t="shared" si="478"/>
        <v>05,040</v>
      </c>
      <c r="AE125" s="11">
        <f t="shared" si="479"/>
        <v>0.15139999999999998</v>
      </c>
      <c r="AF125" s="14">
        <f t="shared" si="480"/>
        <v>33.124174372523122</v>
      </c>
      <c r="AG125" s="40">
        <f t="shared" si="481"/>
        <v>-100</v>
      </c>
      <c r="AH125" s="39">
        <f t="shared" si="731"/>
        <v>19.600000000000001</v>
      </c>
      <c r="AI125" s="124">
        <f t="shared" si="731"/>
        <v>1.0860000000000001</v>
      </c>
      <c r="AJ125" s="124">
        <f t="shared" si="731"/>
        <v>1.0780000000000001</v>
      </c>
      <c r="AK125" s="126">
        <f t="shared" si="482"/>
        <v>0</v>
      </c>
      <c r="AL125" s="126"/>
      <c r="AM125" s="34">
        <f t="shared" ref="AM125:AN125" si="744">AM124</f>
        <v>2.0059999999999998</v>
      </c>
      <c r="AN125" s="33" t="str">
        <f t="shared" si="744"/>
        <v>5,40,620</v>
      </c>
      <c r="AO125" s="11" t="str">
        <f t="shared" si="484"/>
        <v>5,</v>
      </c>
      <c r="AP125" s="11" t="str">
        <f t="shared" si="485"/>
        <v>40,620</v>
      </c>
      <c r="AQ125" s="11">
        <f t="shared" si="486"/>
        <v>9.4616666666666668E-2</v>
      </c>
      <c r="AR125" s="14">
        <f t="shared" si="487"/>
        <v>21.201338735247486</v>
      </c>
      <c r="AS125" s="40">
        <f t="shared" si="488"/>
        <v>-100</v>
      </c>
      <c r="AT125" s="41" t="str">
        <f t="shared" si="489"/>
        <v>NO CONFORME</v>
      </c>
      <c r="AU125" s="8" t="b">
        <f t="shared" si="411"/>
        <v>1</v>
      </c>
      <c r="AV125" s="8" t="b">
        <f t="shared" si="412"/>
        <v>0</v>
      </c>
      <c r="AW125" s="8" t="b">
        <f t="shared" si="413"/>
        <v>1</v>
      </c>
      <c r="AX125" s="8" t="str">
        <f t="shared" si="414"/>
        <v>Qcorrecto</v>
      </c>
      <c r="AY125" s="22" t="str">
        <f t="shared" si="394"/>
        <v>aceptable</v>
      </c>
      <c r="AZ125" s="22" t="str">
        <f t="shared" si="395"/>
        <v>aceptable</v>
      </c>
      <c r="BA125" s="22" t="str">
        <f t="shared" si="415"/>
        <v>aceptable</v>
      </c>
      <c r="BB125" s="25" t="str">
        <f t="shared" si="416"/>
        <v>NO CONFORME</v>
      </c>
      <c r="BC125" s="5" t="str">
        <f t="shared" si="417"/>
        <v>NO CONFORME</v>
      </c>
      <c r="BD125" s="15">
        <f t="shared" si="396"/>
        <v>-1</v>
      </c>
      <c r="BE125" s="15">
        <f t="shared" si="397"/>
        <v>-1</v>
      </c>
      <c r="BF125" s="15">
        <f t="shared" si="398"/>
        <v>-1</v>
      </c>
      <c r="BG125" s="15" t="str">
        <f t="shared" si="399"/>
        <v>-1-1-1</v>
      </c>
      <c r="BH125" s="15" t="str">
        <f t="shared" si="400"/>
        <v>SD</v>
      </c>
      <c r="BI125" s="15" t="str">
        <f t="shared" si="401"/>
        <v>SI</v>
      </c>
      <c r="BJ125" s="15" t="b">
        <f t="shared" si="402"/>
        <v>1</v>
      </c>
      <c r="BK125" s="15" t="str">
        <f t="shared" si="403"/>
        <v>SIGIGUALES</v>
      </c>
      <c r="BL125" s="22" t="str">
        <f t="shared" si="404"/>
        <v>NO CONFORME</v>
      </c>
    </row>
    <row r="126" spans="1:64" ht="14.4" x14ac:dyDescent="0.3">
      <c r="A126" s="36">
        <v>118</v>
      </c>
      <c r="B126" s="28">
        <f t="shared" ref="B126:E126" si="745">B125</f>
        <v>45903</v>
      </c>
      <c r="C126" s="28">
        <f t="shared" si="745"/>
        <v>45903</v>
      </c>
      <c r="D126" s="12">
        <f t="shared" si="745"/>
        <v>3</v>
      </c>
      <c r="E126" s="10">
        <f t="shared" si="745"/>
        <v>11</v>
      </c>
      <c r="F126" s="13"/>
      <c r="G126" s="69"/>
      <c r="H126" s="70">
        <f t="shared" ref="H126:L126" si="746">H125</f>
        <v>25.6</v>
      </c>
      <c r="I126" s="37">
        <f t="shared" si="746"/>
        <v>0</v>
      </c>
      <c r="J126" s="35">
        <f t="shared" si="746"/>
        <v>16</v>
      </c>
      <c r="K126" s="122">
        <f t="shared" si="746"/>
        <v>8.1690000000000005</v>
      </c>
      <c r="L126" s="122">
        <f t="shared" si="746"/>
        <v>0.879</v>
      </c>
      <c r="M126" s="126"/>
      <c r="N126" s="126"/>
      <c r="O126" s="32">
        <f t="shared" ref="O126:P126" si="747">O125</f>
        <v>100.65</v>
      </c>
      <c r="P126" s="33" t="str">
        <f t="shared" si="747"/>
        <v>2,31,180</v>
      </c>
      <c r="Q126" s="11" t="str">
        <f t="shared" si="470"/>
        <v>2</v>
      </c>
      <c r="R126" s="11" t="str">
        <f t="shared" si="471"/>
        <v>31,180</v>
      </c>
      <c r="S126" s="11">
        <f t="shared" si="472"/>
        <v>4.1994444444444445E-2</v>
      </c>
      <c r="T126" s="14">
        <f t="shared" si="473"/>
        <v>2396.7456012700095</v>
      </c>
      <c r="U126" s="38">
        <f t="shared" si="474"/>
        <v>-100</v>
      </c>
      <c r="V126" s="39">
        <f t="shared" ref="V126:W126" si="748">V125</f>
        <v>19.8</v>
      </c>
      <c r="W126" s="124">
        <f t="shared" si="748"/>
        <v>1.08</v>
      </c>
      <c r="X126" s="124">
        <f t="shared" si="723"/>
        <v>1.075</v>
      </c>
      <c r="Y126" s="126"/>
      <c r="Z126" s="126"/>
      <c r="AA126" s="90">
        <f t="shared" ref="AA126:AB126" si="749">AA125</f>
        <v>5.0149999999999997</v>
      </c>
      <c r="AB126" s="73" t="str">
        <f t="shared" si="749"/>
        <v>9,05,040</v>
      </c>
      <c r="AC126" s="11" t="str">
        <f t="shared" si="477"/>
        <v>9,</v>
      </c>
      <c r="AD126" s="11" t="str">
        <f t="shared" si="478"/>
        <v>05,040</v>
      </c>
      <c r="AE126" s="11">
        <f t="shared" si="479"/>
        <v>0.15139999999999998</v>
      </c>
      <c r="AF126" s="14">
        <f t="shared" si="480"/>
        <v>33.124174372523122</v>
      </c>
      <c r="AG126" s="40">
        <f t="shared" si="481"/>
        <v>-100</v>
      </c>
      <c r="AH126" s="39">
        <f t="shared" si="731"/>
        <v>19.600000000000001</v>
      </c>
      <c r="AI126" s="124">
        <f t="shared" si="731"/>
        <v>1.0860000000000001</v>
      </c>
      <c r="AJ126" s="124">
        <f t="shared" si="731"/>
        <v>1.0780000000000001</v>
      </c>
      <c r="AK126" s="126">
        <f t="shared" si="482"/>
        <v>0</v>
      </c>
      <c r="AL126" s="126"/>
      <c r="AM126" s="34">
        <f t="shared" ref="AM126:AN126" si="750">AM125</f>
        <v>2.0059999999999998</v>
      </c>
      <c r="AN126" s="33" t="str">
        <f t="shared" si="750"/>
        <v>5,40,620</v>
      </c>
      <c r="AO126" s="11" t="str">
        <f t="shared" si="484"/>
        <v>5,</v>
      </c>
      <c r="AP126" s="11" t="str">
        <f t="shared" si="485"/>
        <v>40,620</v>
      </c>
      <c r="AQ126" s="11">
        <f t="shared" si="486"/>
        <v>9.4616666666666668E-2</v>
      </c>
      <c r="AR126" s="14">
        <f t="shared" si="487"/>
        <v>21.201338735247486</v>
      </c>
      <c r="AS126" s="40">
        <f t="shared" si="488"/>
        <v>-100</v>
      </c>
      <c r="AT126" s="41" t="str">
        <f t="shared" si="489"/>
        <v>NO CONFORME</v>
      </c>
      <c r="AU126" s="8" t="b">
        <f t="shared" si="411"/>
        <v>1</v>
      </c>
      <c r="AV126" s="8" t="b">
        <f t="shared" si="412"/>
        <v>0</v>
      </c>
      <c r="AW126" s="8" t="b">
        <f t="shared" si="413"/>
        <v>1</v>
      </c>
      <c r="AX126" s="8" t="str">
        <f t="shared" si="414"/>
        <v>Qcorrecto</v>
      </c>
      <c r="AY126" s="22" t="str">
        <f t="shared" si="394"/>
        <v>aceptable</v>
      </c>
      <c r="AZ126" s="22" t="str">
        <f t="shared" si="395"/>
        <v>aceptable</v>
      </c>
      <c r="BA126" s="22" t="str">
        <f t="shared" si="415"/>
        <v>aceptable</v>
      </c>
      <c r="BB126" s="25" t="str">
        <f t="shared" si="416"/>
        <v>NO CONFORME</v>
      </c>
      <c r="BC126" s="5" t="str">
        <f t="shared" si="417"/>
        <v>NO CONFORME</v>
      </c>
      <c r="BD126" s="15">
        <f t="shared" si="396"/>
        <v>-1</v>
      </c>
      <c r="BE126" s="15">
        <f t="shared" si="397"/>
        <v>-1</v>
      </c>
      <c r="BF126" s="15">
        <f t="shared" si="398"/>
        <v>-1</v>
      </c>
      <c r="BG126" s="15" t="str">
        <f t="shared" si="399"/>
        <v>-1-1-1</v>
      </c>
      <c r="BH126" s="15" t="str">
        <f t="shared" si="400"/>
        <v>SD</v>
      </c>
      <c r="BI126" s="15" t="str">
        <f t="shared" si="401"/>
        <v>SI</v>
      </c>
      <c r="BJ126" s="15" t="b">
        <f t="shared" si="402"/>
        <v>1</v>
      </c>
      <c r="BK126" s="15" t="str">
        <f t="shared" si="403"/>
        <v>SIGIGUALES</v>
      </c>
      <c r="BL126" s="22" t="str">
        <f t="shared" si="404"/>
        <v>NO CONFORME</v>
      </c>
    </row>
    <row r="127" spans="1:64" ht="14.4" x14ac:dyDescent="0.3">
      <c r="A127" s="36">
        <v>119</v>
      </c>
      <c r="B127" s="28">
        <f t="shared" ref="B127:E127" si="751">B126</f>
        <v>45903</v>
      </c>
      <c r="C127" s="28">
        <f t="shared" si="751"/>
        <v>45903</v>
      </c>
      <c r="D127" s="12">
        <f t="shared" si="751"/>
        <v>3</v>
      </c>
      <c r="E127" s="10">
        <f t="shared" si="751"/>
        <v>11</v>
      </c>
      <c r="F127" s="13"/>
      <c r="G127" s="69"/>
      <c r="H127" s="70">
        <f t="shared" ref="H127:L127" si="752">H126</f>
        <v>25.6</v>
      </c>
      <c r="I127" s="37">
        <f t="shared" si="752"/>
        <v>0</v>
      </c>
      <c r="J127" s="35">
        <f t="shared" si="752"/>
        <v>16</v>
      </c>
      <c r="K127" s="122">
        <f t="shared" si="752"/>
        <v>8.1690000000000005</v>
      </c>
      <c r="L127" s="122">
        <f t="shared" si="752"/>
        <v>0.879</v>
      </c>
      <c r="M127" s="126"/>
      <c r="N127" s="126"/>
      <c r="O127" s="32">
        <f t="shared" ref="O127:P127" si="753">O126</f>
        <v>100.65</v>
      </c>
      <c r="P127" s="33" t="str">
        <f t="shared" si="753"/>
        <v>2,31,180</v>
      </c>
      <c r="Q127" s="11" t="str">
        <f t="shared" si="470"/>
        <v>2</v>
      </c>
      <c r="R127" s="11" t="str">
        <f t="shared" si="471"/>
        <v>31,180</v>
      </c>
      <c r="S127" s="11">
        <f t="shared" si="472"/>
        <v>4.1994444444444445E-2</v>
      </c>
      <c r="T127" s="14">
        <f t="shared" si="473"/>
        <v>2396.7456012700095</v>
      </c>
      <c r="U127" s="38">
        <f t="shared" si="474"/>
        <v>-100</v>
      </c>
      <c r="V127" s="39">
        <f t="shared" ref="V127:W127" si="754">V126</f>
        <v>19.8</v>
      </c>
      <c r="W127" s="124">
        <f t="shared" si="754"/>
        <v>1.08</v>
      </c>
      <c r="X127" s="124">
        <f t="shared" si="723"/>
        <v>1.075</v>
      </c>
      <c r="Y127" s="126"/>
      <c r="Z127" s="126"/>
      <c r="AA127" s="90">
        <f t="shared" ref="AA127:AB127" si="755">AA126</f>
        <v>5.0149999999999997</v>
      </c>
      <c r="AB127" s="73" t="str">
        <f t="shared" si="755"/>
        <v>9,05,040</v>
      </c>
      <c r="AC127" s="11" t="str">
        <f t="shared" si="477"/>
        <v>9,</v>
      </c>
      <c r="AD127" s="11" t="str">
        <f t="shared" si="478"/>
        <v>05,040</v>
      </c>
      <c r="AE127" s="11">
        <f t="shared" si="479"/>
        <v>0.15139999999999998</v>
      </c>
      <c r="AF127" s="14">
        <f t="shared" si="480"/>
        <v>33.124174372523122</v>
      </c>
      <c r="AG127" s="40">
        <f t="shared" si="481"/>
        <v>-100</v>
      </c>
      <c r="AH127" s="39">
        <f t="shared" si="731"/>
        <v>19.600000000000001</v>
      </c>
      <c r="AI127" s="124">
        <f t="shared" si="731"/>
        <v>1.0860000000000001</v>
      </c>
      <c r="AJ127" s="124">
        <f t="shared" si="731"/>
        <v>1.0780000000000001</v>
      </c>
      <c r="AK127" s="126">
        <f t="shared" si="482"/>
        <v>0</v>
      </c>
      <c r="AL127" s="126"/>
      <c r="AM127" s="34">
        <f t="shared" ref="AM127:AN127" si="756">AM126</f>
        <v>2.0059999999999998</v>
      </c>
      <c r="AN127" s="33" t="str">
        <f t="shared" si="756"/>
        <v>5,40,620</v>
      </c>
      <c r="AO127" s="11" t="str">
        <f t="shared" si="484"/>
        <v>5,</v>
      </c>
      <c r="AP127" s="11" t="str">
        <f t="shared" si="485"/>
        <v>40,620</v>
      </c>
      <c r="AQ127" s="11">
        <f t="shared" si="486"/>
        <v>9.4616666666666668E-2</v>
      </c>
      <c r="AR127" s="14">
        <f t="shared" si="487"/>
        <v>21.201338735247486</v>
      </c>
      <c r="AS127" s="40">
        <f t="shared" si="488"/>
        <v>-100</v>
      </c>
      <c r="AT127" s="41" t="str">
        <f t="shared" si="489"/>
        <v>NO CONFORME</v>
      </c>
      <c r="AU127" s="8" t="b">
        <f t="shared" si="411"/>
        <v>1</v>
      </c>
      <c r="AV127" s="8" t="b">
        <f t="shared" si="412"/>
        <v>0</v>
      </c>
      <c r="AW127" s="8" t="b">
        <f t="shared" si="413"/>
        <v>1</v>
      </c>
      <c r="AX127" s="8" t="str">
        <f t="shared" si="414"/>
        <v>Qcorrecto</v>
      </c>
      <c r="AY127" s="22" t="str">
        <f t="shared" si="394"/>
        <v>aceptable</v>
      </c>
      <c r="AZ127" s="22" t="str">
        <f t="shared" si="395"/>
        <v>aceptable</v>
      </c>
      <c r="BA127" s="22" t="str">
        <f t="shared" si="415"/>
        <v>aceptable</v>
      </c>
      <c r="BB127" s="25" t="str">
        <f t="shared" si="416"/>
        <v>NO CONFORME</v>
      </c>
      <c r="BC127" s="5" t="str">
        <f t="shared" si="417"/>
        <v>NO CONFORME</v>
      </c>
      <c r="BD127" s="15">
        <f t="shared" si="396"/>
        <v>-1</v>
      </c>
      <c r="BE127" s="15">
        <f t="shared" si="397"/>
        <v>-1</v>
      </c>
      <c r="BF127" s="15">
        <f t="shared" si="398"/>
        <v>-1</v>
      </c>
      <c r="BG127" s="15" t="str">
        <f t="shared" si="399"/>
        <v>-1-1-1</v>
      </c>
      <c r="BH127" s="15" t="str">
        <f t="shared" si="400"/>
        <v>SD</v>
      </c>
      <c r="BI127" s="15" t="str">
        <f t="shared" si="401"/>
        <v>SI</v>
      </c>
      <c r="BJ127" s="15" t="b">
        <f t="shared" si="402"/>
        <v>1</v>
      </c>
      <c r="BK127" s="15" t="str">
        <f t="shared" si="403"/>
        <v>SIGIGUALES</v>
      </c>
      <c r="BL127" s="22" t="str">
        <f t="shared" si="404"/>
        <v>NO CONFORME</v>
      </c>
    </row>
    <row r="128" spans="1:64" ht="14.4" x14ac:dyDescent="0.3">
      <c r="A128" s="36">
        <v>120</v>
      </c>
      <c r="B128" s="28">
        <f t="shared" ref="B128:E128" si="757">B127</f>
        <v>45903</v>
      </c>
      <c r="C128" s="28">
        <f t="shared" si="757"/>
        <v>45903</v>
      </c>
      <c r="D128" s="12">
        <f t="shared" si="757"/>
        <v>3</v>
      </c>
      <c r="E128" s="10">
        <f t="shared" si="757"/>
        <v>11</v>
      </c>
      <c r="F128" s="13"/>
      <c r="G128" s="69"/>
      <c r="H128" s="70">
        <f t="shared" ref="H128:L128" si="758">H127</f>
        <v>25.6</v>
      </c>
      <c r="I128" s="37">
        <f t="shared" si="758"/>
        <v>0</v>
      </c>
      <c r="J128" s="35">
        <f t="shared" si="758"/>
        <v>16</v>
      </c>
      <c r="K128" s="122">
        <f t="shared" si="758"/>
        <v>8.1690000000000005</v>
      </c>
      <c r="L128" s="122">
        <f t="shared" si="758"/>
        <v>0.879</v>
      </c>
      <c r="M128" s="126"/>
      <c r="N128" s="126"/>
      <c r="O128" s="32">
        <f t="shared" ref="O128:P128" si="759">O127</f>
        <v>100.65</v>
      </c>
      <c r="P128" s="33" t="str">
        <f t="shared" si="759"/>
        <v>2,31,180</v>
      </c>
      <c r="Q128" s="11" t="str">
        <f t="shared" si="470"/>
        <v>2</v>
      </c>
      <c r="R128" s="11" t="str">
        <f t="shared" si="471"/>
        <v>31,180</v>
      </c>
      <c r="S128" s="11">
        <f t="shared" si="472"/>
        <v>4.1994444444444445E-2</v>
      </c>
      <c r="T128" s="14">
        <f t="shared" si="473"/>
        <v>2396.7456012700095</v>
      </c>
      <c r="U128" s="38">
        <f t="shared" si="474"/>
        <v>-100</v>
      </c>
      <c r="V128" s="39">
        <f t="shared" ref="V128:W128" si="760">V127</f>
        <v>19.8</v>
      </c>
      <c r="W128" s="124">
        <f t="shared" si="760"/>
        <v>1.08</v>
      </c>
      <c r="X128" s="124">
        <f t="shared" si="723"/>
        <v>1.075</v>
      </c>
      <c r="Y128" s="126"/>
      <c r="Z128" s="126"/>
      <c r="AA128" s="90">
        <f t="shared" ref="AA128:AB128" si="761">AA127</f>
        <v>5.0149999999999997</v>
      </c>
      <c r="AB128" s="73" t="str">
        <f t="shared" si="761"/>
        <v>9,05,040</v>
      </c>
      <c r="AC128" s="11" t="str">
        <f t="shared" si="477"/>
        <v>9,</v>
      </c>
      <c r="AD128" s="11" t="str">
        <f t="shared" si="478"/>
        <v>05,040</v>
      </c>
      <c r="AE128" s="11">
        <f t="shared" si="479"/>
        <v>0.15139999999999998</v>
      </c>
      <c r="AF128" s="14">
        <f t="shared" si="480"/>
        <v>33.124174372523122</v>
      </c>
      <c r="AG128" s="40">
        <f t="shared" si="481"/>
        <v>-100</v>
      </c>
      <c r="AH128" s="39">
        <f t="shared" si="731"/>
        <v>19.600000000000001</v>
      </c>
      <c r="AI128" s="124">
        <f t="shared" si="731"/>
        <v>1.0860000000000001</v>
      </c>
      <c r="AJ128" s="124">
        <f t="shared" si="731"/>
        <v>1.0780000000000001</v>
      </c>
      <c r="AK128" s="126">
        <f t="shared" si="482"/>
        <v>0</v>
      </c>
      <c r="AL128" s="126"/>
      <c r="AM128" s="34">
        <f t="shared" ref="AM128:AN128" si="762">AM127</f>
        <v>2.0059999999999998</v>
      </c>
      <c r="AN128" s="33" t="str">
        <f t="shared" si="762"/>
        <v>5,40,620</v>
      </c>
      <c r="AO128" s="11" t="str">
        <f t="shared" si="484"/>
        <v>5,</v>
      </c>
      <c r="AP128" s="11" t="str">
        <f t="shared" si="485"/>
        <v>40,620</v>
      </c>
      <c r="AQ128" s="11">
        <f t="shared" si="486"/>
        <v>9.4616666666666668E-2</v>
      </c>
      <c r="AR128" s="14">
        <f t="shared" si="487"/>
        <v>21.201338735247486</v>
      </c>
      <c r="AS128" s="40">
        <f t="shared" si="488"/>
        <v>-100</v>
      </c>
      <c r="AT128" s="41" t="str">
        <f t="shared" si="489"/>
        <v>NO CONFORME</v>
      </c>
      <c r="AU128" s="8" t="b">
        <f t="shared" si="411"/>
        <v>1</v>
      </c>
      <c r="AV128" s="8" t="b">
        <f t="shared" si="412"/>
        <v>0</v>
      </c>
      <c r="AW128" s="8" t="b">
        <f t="shared" si="413"/>
        <v>1</v>
      </c>
      <c r="AX128" s="8" t="str">
        <f t="shared" si="414"/>
        <v>Qcorrecto</v>
      </c>
      <c r="AY128" s="22" t="str">
        <f t="shared" si="394"/>
        <v>aceptable</v>
      </c>
      <c r="AZ128" s="22" t="str">
        <f t="shared" si="395"/>
        <v>aceptable</v>
      </c>
      <c r="BA128" s="22" t="str">
        <f t="shared" si="415"/>
        <v>aceptable</v>
      </c>
      <c r="BB128" s="25" t="str">
        <f t="shared" si="416"/>
        <v>NO CONFORME</v>
      </c>
      <c r="BC128" s="5" t="str">
        <f t="shared" si="417"/>
        <v>NO CONFORME</v>
      </c>
      <c r="BD128" s="15">
        <f t="shared" si="396"/>
        <v>-1</v>
      </c>
      <c r="BE128" s="15">
        <f t="shared" si="397"/>
        <v>-1</v>
      </c>
      <c r="BF128" s="15">
        <f t="shared" si="398"/>
        <v>-1</v>
      </c>
      <c r="BG128" s="15" t="str">
        <f t="shared" si="399"/>
        <v>-1-1-1</v>
      </c>
      <c r="BH128" s="15" t="str">
        <f t="shared" si="400"/>
        <v>SD</v>
      </c>
      <c r="BI128" s="15" t="str">
        <f t="shared" si="401"/>
        <v>SI</v>
      </c>
      <c r="BJ128" s="15" t="b">
        <f t="shared" si="402"/>
        <v>1</v>
      </c>
      <c r="BK128" s="15" t="str">
        <f t="shared" si="403"/>
        <v>SIGIGUALES</v>
      </c>
      <c r="BL128" s="22" t="str">
        <f t="shared" si="404"/>
        <v>NO CONFORME</v>
      </c>
    </row>
    <row r="129" spans="1:64" ht="14.4" x14ac:dyDescent="0.3">
      <c r="A129" s="36">
        <v>121</v>
      </c>
      <c r="B129" s="28">
        <f t="shared" ref="B129:E129" si="763">B128</f>
        <v>45903</v>
      </c>
      <c r="C129" s="28">
        <f t="shared" si="763"/>
        <v>45903</v>
      </c>
      <c r="D129" s="12">
        <f t="shared" si="763"/>
        <v>3</v>
      </c>
      <c r="E129" s="10">
        <f t="shared" si="763"/>
        <v>11</v>
      </c>
      <c r="F129" s="13"/>
      <c r="G129" s="69"/>
      <c r="H129" s="70">
        <f t="shared" ref="H129:L129" si="764">H128</f>
        <v>25.6</v>
      </c>
      <c r="I129" s="37">
        <f t="shared" si="764"/>
        <v>0</v>
      </c>
      <c r="J129" s="35">
        <f t="shared" si="764"/>
        <v>16</v>
      </c>
      <c r="K129" s="122">
        <f t="shared" si="764"/>
        <v>8.1690000000000005</v>
      </c>
      <c r="L129" s="122">
        <f t="shared" si="764"/>
        <v>0.879</v>
      </c>
      <c r="M129" s="126"/>
      <c r="N129" s="126"/>
      <c r="O129" s="32">
        <f t="shared" ref="O129:P129" si="765">O128</f>
        <v>100.65</v>
      </c>
      <c r="P129" s="33" t="str">
        <f t="shared" si="765"/>
        <v>2,31,180</v>
      </c>
      <c r="Q129" s="11" t="str">
        <f t="shared" si="470"/>
        <v>2</v>
      </c>
      <c r="R129" s="11" t="str">
        <f t="shared" si="471"/>
        <v>31,180</v>
      </c>
      <c r="S129" s="11">
        <f t="shared" si="472"/>
        <v>4.1994444444444445E-2</v>
      </c>
      <c r="T129" s="14">
        <f t="shared" si="473"/>
        <v>2396.7456012700095</v>
      </c>
      <c r="U129" s="38">
        <f t="shared" si="474"/>
        <v>-100</v>
      </c>
      <c r="V129" s="39">
        <f t="shared" ref="V129:W129" si="766">V128</f>
        <v>19.8</v>
      </c>
      <c r="W129" s="124">
        <f t="shared" si="766"/>
        <v>1.08</v>
      </c>
      <c r="X129" s="124">
        <f t="shared" si="723"/>
        <v>1.075</v>
      </c>
      <c r="Y129" s="126"/>
      <c r="Z129" s="126"/>
      <c r="AA129" s="90">
        <f t="shared" ref="AA129:AB129" si="767">AA128</f>
        <v>5.0149999999999997</v>
      </c>
      <c r="AB129" s="73" t="str">
        <f t="shared" si="767"/>
        <v>9,05,040</v>
      </c>
      <c r="AC129" s="11" t="str">
        <f t="shared" si="477"/>
        <v>9,</v>
      </c>
      <c r="AD129" s="11" t="str">
        <f t="shared" si="478"/>
        <v>05,040</v>
      </c>
      <c r="AE129" s="11">
        <f t="shared" si="479"/>
        <v>0.15139999999999998</v>
      </c>
      <c r="AF129" s="14">
        <f t="shared" si="480"/>
        <v>33.124174372523122</v>
      </c>
      <c r="AG129" s="40">
        <f t="shared" si="481"/>
        <v>-100</v>
      </c>
      <c r="AH129" s="39">
        <f t="shared" si="731"/>
        <v>19.600000000000001</v>
      </c>
      <c r="AI129" s="124">
        <f t="shared" si="731"/>
        <v>1.0860000000000001</v>
      </c>
      <c r="AJ129" s="124">
        <f t="shared" si="731"/>
        <v>1.0780000000000001</v>
      </c>
      <c r="AK129" s="126">
        <f t="shared" si="482"/>
        <v>0</v>
      </c>
      <c r="AL129" s="126"/>
      <c r="AM129" s="34">
        <f t="shared" ref="AM129:AN129" si="768">AM128</f>
        <v>2.0059999999999998</v>
      </c>
      <c r="AN129" s="33" t="str">
        <f t="shared" si="768"/>
        <v>5,40,620</v>
      </c>
      <c r="AO129" s="11" t="str">
        <f t="shared" si="484"/>
        <v>5,</v>
      </c>
      <c r="AP129" s="11" t="str">
        <f t="shared" si="485"/>
        <v>40,620</v>
      </c>
      <c r="AQ129" s="11">
        <f t="shared" si="486"/>
        <v>9.4616666666666668E-2</v>
      </c>
      <c r="AR129" s="14">
        <f t="shared" si="487"/>
        <v>21.201338735247486</v>
      </c>
      <c r="AS129" s="40">
        <f t="shared" si="488"/>
        <v>-100</v>
      </c>
      <c r="AT129" s="41" t="str">
        <f t="shared" si="489"/>
        <v>NO CONFORME</v>
      </c>
      <c r="AU129" s="8" t="b">
        <f t="shared" si="411"/>
        <v>1</v>
      </c>
      <c r="AV129" s="8" t="b">
        <f t="shared" si="412"/>
        <v>0</v>
      </c>
      <c r="AW129" s="8" t="b">
        <f t="shared" si="413"/>
        <v>1</v>
      </c>
      <c r="AX129" s="8" t="str">
        <f t="shared" si="414"/>
        <v>Qcorrecto</v>
      </c>
      <c r="AY129" s="22" t="str">
        <f t="shared" si="394"/>
        <v>aceptable</v>
      </c>
      <c r="AZ129" s="22" t="str">
        <f t="shared" si="395"/>
        <v>aceptable</v>
      </c>
      <c r="BA129" s="22" t="str">
        <f t="shared" si="415"/>
        <v>aceptable</v>
      </c>
      <c r="BB129" s="25" t="str">
        <f t="shared" si="416"/>
        <v>NO CONFORME</v>
      </c>
      <c r="BC129" s="5" t="str">
        <f t="shared" si="417"/>
        <v>NO CONFORME</v>
      </c>
      <c r="BD129" s="15">
        <f t="shared" si="396"/>
        <v>-1</v>
      </c>
      <c r="BE129" s="15">
        <f t="shared" si="397"/>
        <v>-1</v>
      </c>
      <c r="BF129" s="15">
        <f t="shared" si="398"/>
        <v>-1</v>
      </c>
      <c r="BG129" s="15" t="str">
        <f t="shared" si="399"/>
        <v>-1-1-1</v>
      </c>
      <c r="BH129" s="15" t="str">
        <f t="shared" si="400"/>
        <v>SD</v>
      </c>
      <c r="BI129" s="15" t="str">
        <f t="shared" si="401"/>
        <v>SI</v>
      </c>
      <c r="BJ129" s="15" t="b">
        <f t="shared" si="402"/>
        <v>1</v>
      </c>
      <c r="BK129" s="15" t="str">
        <f t="shared" si="403"/>
        <v>SIGIGUALES</v>
      </c>
      <c r="BL129" s="22" t="str">
        <f t="shared" si="404"/>
        <v>NO CONFORME</v>
      </c>
    </row>
    <row r="130" spans="1:64" ht="14.4" x14ac:dyDescent="0.3">
      <c r="A130" s="36">
        <v>122</v>
      </c>
      <c r="B130" s="28">
        <f t="shared" ref="B130:E130" si="769">B129</f>
        <v>45903</v>
      </c>
      <c r="C130" s="28">
        <f t="shared" si="769"/>
        <v>45903</v>
      </c>
      <c r="D130" s="12">
        <f t="shared" si="769"/>
        <v>3</v>
      </c>
      <c r="E130" s="10">
        <f t="shared" si="769"/>
        <v>11</v>
      </c>
      <c r="F130" s="13"/>
      <c r="G130" s="69"/>
      <c r="H130" s="70">
        <f t="shared" ref="H130:L130" si="770">H129</f>
        <v>25.6</v>
      </c>
      <c r="I130" s="37">
        <f t="shared" si="770"/>
        <v>0</v>
      </c>
      <c r="J130" s="35">
        <f t="shared" si="770"/>
        <v>16</v>
      </c>
      <c r="K130" s="122">
        <f t="shared" si="770"/>
        <v>8.1690000000000005</v>
      </c>
      <c r="L130" s="122">
        <f t="shared" si="770"/>
        <v>0.879</v>
      </c>
      <c r="M130" s="126"/>
      <c r="N130" s="126"/>
      <c r="O130" s="32">
        <f t="shared" ref="O130:P130" si="771">O129</f>
        <v>100.65</v>
      </c>
      <c r="P130" s="33" t="str">
        <f t="shared" si="771"/>
        <v>2,31,180</v>
      </c>
      <c r="Q130" s="11" t="str">
        <f t="shared" si="470"/>
        <v>2</v>
      </c>
      <c r="R130" s="11" t="str">
        <f t="shared" si="471"/>
        <v>31,180</v>
      </c>
      <c r="S130" s="11">
        <f t="shared" si="472"/>
        <v>4.1994444444444445E-2</v>
      </c>
      <c r="T130" s="14">
        <f t="shared" si="473"/>
        <v>2396.7456012700095</v>
      </c>
      <c r="U130" s="38">
        <f t="shared" si="474"/>
        <v>-100</v>
      </c>
      <c r="V130" s="39">
        <f t="shared" ref="V130:W130" si="772">V129</f>
        <v>19.8</v>
      </c>
      <c r="W130" s="124">
        <f t="shared" si="772"/>
        <v>1.08</v>
      </c>
      <c r="X130" s="124">
        <f t="shared" si="723"/>
        <v>1.075</v>
      </c>
      <c r="Y130" s="126"/>
      <c r="Z130" s="126"/>
      <c r="AA130" s="90">
        <f t="shared" ref="AA130:AB130" si="773">AA129</f>
        <v>5.0149999999999997</v>
      </c>
      <c r="AB130" s="73" t="str">
        <f t="shared" si="773"/>
        <v>9,05,040</v>
      </c>
      <c r="AC130" s="11" t="str">
        <f t="shared" si="477"/>
        <v>9,</v>
      </c>
      <c r="AD130" s="11" t="str">
        <f t="shared" si="478"/>
        <v>05,040</v>
      </c>
      <c r="AE130" s="11">
        <f t="shared" si="479"/>
        <v>0.15139999999999998</v>
      </c>
      <c r="AF130" s="14">
        <f t="shared" si="480"/>
        <v>33.124174372523122</v>
      </c>
      <c r="AG130" s="40">
        <f t="shared" si="481"/>
        <v>-100</v>
      </c>
      <c r="AH130" s="39">
        <f t="shared" si="731"/>
        <v>19.600000000000001</v>
      </c>
      <c r="AI130" s="124">
        <f t="shared" si="731"/>
        <v>1.0860000000000001</v>
      </c>
      <c r="AJ130" s="124">
        <f t="shared" si="731"/>
        <v>1.0780000000000001</v>
      </c>
      <c r="AK130" s="126">
        <f t="shared" si="482"/>
        <v>0</v>
      </c>
      <c r="AL130" s="126"/>
      <c r="AM130" s="34">
        <f t="shared" ref="AM130:AN130" si="774">AM129</f>
        <v>2.0059999999999998</v>
      </c>
      <c r="AN130" s="33" t="str">
        <f t="shared" si="774"/>
        <v>5,40,620</v>
      </c>
      <c r="AO130" s="11" t="str">
        <f t="shared" si="484"/>
        <v>5,</v>
      </c>
      <c r="AP130" s="11" t="str">
        <f t="shared" si="485"/>
        <v>40,620</v>
      </c>
      <c r="AQ130" s="11">
        <f t="shared" si="486"/>
        <v>9.4616666666666668E-2</v>
      </c>
      <c r="AR130" s="14">
        <f t="shared" si="487"/>
        <v>21.201338735247486</v>
      </c>
      <c r="AS130" s="40">
        <f t="shared" si="488"/>
        <v>-100</v>
      </c>
      <c r="AT130" s="41" t="str">
        <f t="shared" si="489"/>
        <v>NO CONFORME</v>
      </c>
      <c r="AU130" s="8" t="b">
        <f t="shared" si="411"/>
        <v>1</v>
      </c>
      <c r="AV130" s="8" t="b">
        <f t="shared" si="412"/>
        <v>0</v>
      </c>
      <c r="AW130" s="8" t="b">
        <f t="shared" si="413"/>
        <v>1</v>
      </c>
      <c r="AX130" s="8" t="str">
        <f t="shared" si="414"/>
        <v>Qcorrecto</v>
      </c>
      <c r="AY130" s="22" t="str">
        <f t="shared" si="394"/>
        <v>aceptable</v>
      </c>
      <c r="AZ130" s="22" t="str">
        <f t="shared" si="395"/>
        <v>aceptable</v>
      </c>
      <c r="BA130" s="22" t="str">
        <f t="shared" si="415"/>
        <v>aceptable</v>
      </c>
      <c r="BB130" s="25" t="str">
        <f t="shared" si="416"/>
        <v>NO CONFORME</v>
      </c>
      <c r="BC130" s="5" t="str">
        <f t="shared" si="417"/>
        <v>NO CONFORME</v>
      </c>
      <c r="BD130" s="15">
        <f t="shared" si="396"/>
        <v>-1</v>
      </c>
      <c r="BE130" s="15">
        <f t="shared" si="397"/>
        <v>-1</v>
      </c>
      <c r="BF130" s="15">
        <f t="shared" si="398"/>
        <v>-1</v>
      </c>
      <c r="BG130" s="15" t="str">
        <f t="shared" si="399"/>
        <v>-1-1-1</v>
      </c>
      <c r="BH130" s="15" t="str">
        <f t="shared" si="400"/>
        <v>SD</v>
      </c>
      <c r="BI130" s="15" t="str">
        <f t="shared" si="401"/>
        <v>SI</v>
      </c>
      <c r="BJ130" s="15" t="b">
        <f t="shared" si="402"/>
        <v>1</v>
      </c>
      <c r="BK130" s="15" t="str">
        <f t="shared" si="403"/>
        <v>SIGIGUALES</v>
      </c>
      <c r="BL130" s="22" t="str">
        <f t="shared" si="404"/>
        <v>NO CONFORME</v>
      </c>
    </row>
    <row r="131" spans="1:64" ht="14.4" x14ac:dyDescent="0.3">
      <c r="A131" s="36">
        <v>123</v>
      </c>
      <c r="B131" s="28">
        <f t="shared" ref="B131:E131" si="775">B130</f>
        <v>45903</v>
      </c>
      <c r="C131" s="28">
        <f t="shared" si="775"/>
        <v>45903</v>
      </c>
      <c r="D131" s="12">
        <f t="shared" si="775"/>
        <v>3</v>
      </c>
      <c r="E131" s="10">
        <f t="shared" si="775"/>
        <v>11</v>
      </c>
      <c r="F131" s="13"/>
      <c r="G131" s="69"/>
      <c r="H131" s="70">
        <f t="shared" ref="H131:L131" si="776">H130</f>
        <v>25.6</v>
      </c>
      <c r="I131" s="37">
        <f t="shared" si="776"/>
        <v>0</v>
      </c>
      <c r="J131" s="35">
        <f t="shared" si="776"/>
        <v>16</v>
      </c>
      <c r="K131" s="122">
        <f t="shared" si="776"/>
        <v>8.1690000000000005</v>
      </c>
      <c r="L131" s="122">
        <f t="shared" si="776"/>
        <v>0.879</v>
      </c>
      <c r="M131" s="126"/>
      <c r="N131" s="126"/>
      <c r="O131" s="32">
        <f t="shared" ref="O131:P131" si="777">O130</f>
        <v>100.65</v>
      </c>
      <c r="P131" s="33" t="str">
        <f t="shared" si="777"/>
        <v>2,31,180</v>
      </c>
      <c r="Q131" s="11" t="str">
        <f t="shared" si="470"/>
        <v>2</v>
      </c>
      <c r="R131" s="11" t="str">
        <f t="shared" si="471"/>
        <v>31,180</v>
      </c>
      <c r="S131" s="11">
        <f t="shared" si="472"/>
        <v>4.1994444444444445E-2</v>
      </c>
      <c r="T131" s="14">
        <f t="shared" si="473"/>
        <v>2396.7456012700095</v>
      </c>
      <c r="U131" s="38">
        <f t="shared" si="474"/>
        <v>-100</v>
      </c>
      <c r="V131" s="39">
        <f t="shared" ref="V131:W131" si="778">V130</f>
        <v>19.8</v>
      </c>
      <c r="W131" s="124">
        <f t="shared" si="778"/>
        <v>1.08</v>
      </c>
      <c r="X131" s="124">
        <f t="shared" si="723"/>
        <v>1.075</v>
      </c>
      <c r="Y131" s="126"/>
      <c r="Z131" s="126"/>
      <c r="AA131" s="90">
        <f t="shared" ref="AA131:AB131" si="779">AA130</f>
        <v>5.0149999999999997</v>
      </c>
      <c r="AB131" s="73" t="str">
        <f t="shared" si="779"/>
        <v>9,05,040</v>
      </c>
      <c r="AC131" s="11" t="str">
        <f t="shared" si="477"/>
        <v>9,</v>
      </c>
      <c r="AD131" s="11" t="str">
        <f t="shared" si="478"/>
        <v>05,040</v>
      </c>
      <c r="AE131" s="11">
        <f t="shared" si="479"/>
        <v>0.15139999999999998</v>
      </c>
      <c r="AF131" s="14">
        <f t="shared" si="480"/>
        <v>33.124174372523122</v>
      </c>
      <c r="AG131" s="40">
        <f t="shared" si="481"/>
        <v>-100</v>
      </c>
      <c r="AH131" s="39">
        <f t="shared" si="731"/>
        <v>19.600000000000001</v>
      </c>
      <c r="AI131" s="124">
        <f t="shared" si="731"/>
        <v>1.0860000000000001</v>
      </c>
      <c r="AJ131" s="124">
        <f t="shared" si="731"/>
        <v>1.0780000000000001</v>
      </c>
      <c r="AK131" s="126">
        <f t="shared" si="482"/>
        <v>0</v>
      </c>
      <c r="AL131" s="126"/>
      <c r="AM131" s="34">
        <f t="shared" ref="AM131:AN131" si="780">AM130</f>
        <v>2.0059999999999998</v>
      </c>
      <c r="AN131" s="33" t="str">
        <f t="shared" si="780"/>
        <v>5,40,620</v>
      </c>
      <c r="AO131" s="11" t="str">
        <f t="shared" si="484"/>
        <v>5,</v>
      </c>
      <c r="AP131" s="11" t="str">
        <f t="shared" si="485"/>
        <v>40,620</v>
      </c>
      <c r="AQ131" s="11">
        <f t="shared" si="486"/>
        <v>9.4616666666666668E-2</v>
      </c>
      <c r="AR131" s="14">
        <f t="shared" si="487"/>
        <v>21.201338735247486</v>
      </c>
      <c r="AS131" s="40">
        <f t="shared" si="488"/>
        <v>-100</v>
      </c>
      <c r="AT131" s="41" t="str">
        <f t="shared" si="489"/>
        <v>NO CONFORME</v>
      </c>
      <c r="AU131" s="8" t="b">
        <f t="shared" si="411"/>
        <v>1</v>
      </c>
      <c r="AV131" s="8" t="b">
        <f t="shared" si="412"/>
        <v>0</v>
      </c>
      <c r="AW131" s="8" t="b">
        <f t="shared" si="413"/>
        <v>1</v>
      </c>
      <c r="AX131" s="8" t="str">
        <f t="shared" si="414"/>
        <v>Qcorrecto</v>
      </c>
      <c r="AY131" s="22" t="str">
        <f t="shared" si="394"/>
        <v>aceptable</v>
      </c>
      <c r="AZ131" s="22" t="str">
        <f t="shared" si="395"/>
        <v>aceptable</v>
      </c>
      <c r="BA131" s="22" t="str">
        <f t="shared" si="415"/>
        <v>aceptable</v>
      </c>
      <c r="BB131" s="25" t="str">
        <f t="shared" si="416"/>
        <v>NO CONFORME</v>
      </c>
      <c r="BC131" s="5" t="str">
        <f t="shared" si="417"/>
        <v>NO CONFORME</v>
      </c>
      <c r="BD131" s="15">
        <f t="shared" si="396"/>
        <v>-1</v>
      </c>
      <c r="BE131" s="15">
        <f t="shared" si="397"/>
        <v>-1</v>
      </c>
      <c r="BF131" s="15">
        <f t="shared" si="398"/>
        <v>-1</v>
      </c>
      <c r="BG131" s="15" t="str">
        <f t="shared" si="399"/>
        <v>-1-1-1</v>
      </c>
      <c r="BH131" s="15" t="str">
        <f t="shared" si="400"/>
        <v>SD</v>
      </c>
      <c r="BI131" s="15" t="str">
        <f t="shared" si="401"/>
        <v>SI</v>
      </c>
      <c r="BJ131" s="15" t="b">
        <f t="shared" si="402"/>
        <v>1</v>
      </c>
      <c r="BK131" s="15" t="str">
        <f t="shared" si="403"/>
        <v>SIGIGUALES</v>
      </c>
      <c r="BL131" s="22" t="str">
        <f t="shared" si="404"/>
        <v>NO CONFORME</v>
      </c>
    </row>
    <row r="132" spans="1:64" ht="14.4" x14ac:dyDescent="0.3">
      <c r="A132" s="36">
        <v>124</v>
      </c>
      <c r="B132" s="28">
        <f t="shared" ref="B132:E132" si="781">B131</f>
        <v>45903</v>
      </c>
      <c r="C132" s="28">
        <f t="shared" si="781"/>
        <v>45903</v>
      </c>
      <c r="D132" s="12">
        <f t="shared" si="781"/>
        <v>3</v>
      </c>
      <c r="E132" s="10">
        <f t="shared" si="781"/>
        <v>11</v>
      </c>
      <c r="F132" s="13"/>
      <c r="G132" s="69"/>
      <c r="H132" s="70">
        <f t="shared" ref="H132:L132" si="782">H131</f>
        <v>25.6</v>
      </c>
      <c r="I132" s="37">
        <f t="shared" si="782"/>
        <v>0</v>
      </c>
      <c r="J132" s="35">
        <f t="shared" si="782"/>
        <v>16</v>
      </c>
      <c r="K132" s="122">
        <f t="shared" si="782"/>
        <v>8.1690000000000005</v>
      </c>
      <c r="L132" s="122">
        <f t="shared" si="782"/>
        <v>0.879</v>
      </c>
      <c r="M132" s="126"/>
      <c r="N132" s="126"/>
      <c r="O132" s="32">
        <f t="shared" ref="O132:P132" si="783">O131</f>
        <v>100.65</v>
      </c>
      <c r="P132" s="33" t="str">
        <f t="shared" si="783"/>
        <v>2,31,180</v>
      </c>
      <c r="Q132" s="11" t="str">
        <f t="shared" si="470"/>
        <v>2</v>
      </c>
      <c r="R132" s="11" t="str">
        <f t="shared" si="471"/>
        <v>31,180</v>
      </c>
      <c r="S132" s="11">
        <f t="shared" si="472"/>
        <v>4.1994444444444445E-2</v>
      </c>
      <c r="T132" s="14">
        <f t="shared" si="473"/>
        <v>2396.7456012700095</v>
      </c>
      <c r="U132" s="38">
        <f t="shared" si="474"/>
        <v>-100</v>
      </c>
      <c r="V132" s="39">
        <f t="shared" ref="V132:W132" si="784">V131</f>
        <v>19.8</v>
      </c>
      <c r="W132" s="124">
        <f t="shared" si="784"/>
        <v>1.08</v>
      </c>
      <c r="X132" s="124">
        <f t="shared" si="723"/>
        <v>1.075</v>
      </c>
      <c r="Y132" s="126"/>
      <c r="Z132" s="126"/>
      <c r="AA132" s="90">
        <f t="shared" ref="AA132:AB132" si="785">AA131</f>
        <v>5.0149999999999997</v>
      </c>
      <c r="AB132" s="73" t="str">
        <f t="shared" si="785"/>
        <v>9,05,040</v>
      </c>
      <c r="AC132" s="11" t="str">
        <f t="shared" si="477"/>
        <v>9,</v>
      </c>
      <c r="AD132" s="11" t="str">
        <f t="shared" si="478"/>
        <v>05,040</v>
      </c>
      <c r="AE132" s="11">
        <f t="shared" si="479"/>
        <v>0.15139999999999998</v>
      </c>
      <c r="AF132" s="14">
        <f t="shared" si="480"/>
        <v>33.124174372523122</v>
      </c>
      <c r="AG132" s="40">
        <f t="shared" si="481"/>
        <v>-100</v>
      </c>
      <c r="AH132" s="39">
        <f t="shared" si="731"/>
        <v>19.600000000000001</v>
      </c>
      <c r="AI132" s="124">
        <f t="shared" si="731"/>
        <v>1.0860000000000001</v>
      </c>
      <c r="AJ132" s="124">
        <f t="shared" si="731"/>
        <v>1.0780000000000001</v>
      </c>
      <c r="AK132" s="126">
        <f t="shared" si="482"/>
        <v>0</v>
      </c>
      <c r="AL132" s="126"/>
      <c r="AM132" s="34">
        <f t="shared" ref="AM132:AN132" si="786">AM131</f>
        <v>2.0059999999999998</v>
      </c>
      <c r="AN132" s="33" t="str">
        <f t="shared" si="786"/>
        <v>5,40,620</v>
      </c>
      <c r="AO132" s="11" t="str">
        <f t="shared" si="484"/>
        <v>5,</v>
      </c>
      <c r="AP132" s="11" t="str">
        <f t="shared" si="485"/>
        <v>40,620</v>
      </c>
      <c r="AQ132" s="11">
        <f t="shared" si="486"/>
        <v>9.4616666666666668E-2</v>
      </c>
      <c r="AR132" s="14">
        <f t="shared" si="487"/>
        <v>21.201338735247486</v>
      </c>
      <c r="AS132" s="40">
        <f t="shared" si="488"/>
        <v>-100</v>
      </c>
      <c r="AT132" s="41" t="str">
        <f t="shared" si="489"/>
        <v>NO CONFORME</v>
      </c>
      <c r="AU132" s="8" t="b">
        <f t="shared" si="411"/>
        <v>1</v>
      </c>
      <c r="AV132" s="8" t="b">
        <f t="shared" si="412"/>
        <v>0</v>
      </c>
      <c r="AW132" s="8" t="b">
        <f t="shared" si="413"/>
        <v>1</v>
      </c>
      <c r="AX132" s="8" t="str">
        <f t="shared" si="414"/>
        <v>Qcorrecto</v>
      </c>
      <c r="AY132" s="22" t="str">
        <f t="shared" si="394"/>
        <v>aceptable</v>
      </c>
      <c r="AZ132" s="22" t="str">
        <f t="shared" si="395"/>
        <v>aceptable</v>
      </c>
      <c r="BA132" s="22" t="str">
        <f t="shared" si="415"/>
        <v>aceptable</v>
      </c>
      <c r="BB132" s="25" t="str">
        <f t="shared" si="416"/>
        <v>NO CONFORME</v>
      </c>
      <c r="BC132" s="5" t="str">
        <f t="shared" si="417"/>
        <v>NO CONFORME</v>
      </c>
      <c r="BD132" s="15">
        <f t="shared" si="396"/>
        <v>-1</v>
      </c>
      <c r="BE132" s="15">
        <f t="shared" si="397"/>
        <v>-1</v>
      </c>
      <c r="BF132" s="15">
        <f t="shared" si="398"/>
        <v>-1</v>
      </c>
      <c r="BG132" s="15" t="str">
        <f t="shared" si="399"/>
        <v>-1-1-1</v>
      </c>
      <c r="BH132" s="15" t="str">
        <f t="shared" si="400"/>
        <v>SD</v>
      </c>
      <c r="BI132" s="15" t="str">
        <f t="shared" si="401"/>
        <v>SI</v>
      </c>
      <c r="BJ132" s="15" t="b">
        <f t="shared" si="402"/>
        <v>1</v>
      </c>
      <c r="BK132" s="15" t="str">
        <f t="shared" si="403"/>
        <v>SIGIGUALES</v>
      </c>
      <c r="BL132" s="22" t="str">
        <f t="shared" si="404"/>
        <v>NO CONFORME</v>
      </c>
    </row>
    <row r="133" spans="1:64" ht="14.4" x14ac:dyDescent="0.3">
      <c r="A133" s="36">
        <v>125</v>
      </c>
      <c r="B133" s="28">
        <f t="shared" ref="B133:E133" si="787">B132</f>
        <v>45903</v>
      </c>
      <c r="C133" s="28">
        <f t="shared" si="787"/>
        <v>45903</v>
      </c>
      <c r="D133" s="12">
        <f t="shared" si="787"/>
        <v>3</v>
      </c>
      <c r="E133" s="10">
        <f t="shared" si="787"/>
        <v>11</v>
      </c>
      <c r="F133" s="13"/>
      <c r="G133" s="69"/>
      <c r="H133" s="70">
        <f t="shared" ref="H133:L133" si="788">H132</f>
        <v>25.6</v>
      </c>
      <c r="I133" s="37">
        <f t="shared" si="788"/>
        <v>0</v>
      </c>
      <c r="J133" s="35">
        <f t="shared" si="788"/>
        <v>16</v>
      </c>
      <c r="K133" s="122">
        <f t="shared" si="788"/>
        <v>8.1690000000000005</v>
      </c>
      <c r="L133" s="122">
        <f t="shared" si="788"/>
        <v>0.879</v>
      </c>
      <c r="M133" s="126"/>
      <c r="N133" s="126"/>
      <c r="O133" s="32">
        <f t="shared" ref="O133:P133" si="789">O132</f>
        <v>100.65</v>
      </c>
      <c r="P133" s="33" t="str">
        <f t="shared" si="789"/>
        <v>2,31,180</v>
      </c>
      <c r="Q133" s="11" t="str">
        <f t="shared" si="470"/>
        <v>2</v>
      </c>
      <c r="R133" s="11" t="str">
        <f t="shared" si="471"/>
        <v>31,180</v>
      </c>
      <c r="S133" s="11">
        <f t="shared" si="472"/>
        <v>4.1994444444444445E-2</v>
      </c>
      <c r="T133" s="14">
        <f t="shared" si="473"/>
        <v>2396.7456012700095</v>
      </c>
      <c r="U133" s="38">
        <f t="shared" si="474"/>
        <v>-100</v>
      </c>
      <c r="V133" s="39">
        <f t="shared" ref="V133:W133" si="790">V132</f>
        <v>19.8</v>
      </c>
      <c r="W133" s="124">
        <f t="shared" si="790"/>
        <v>1.08</v>
      </c>
      <c r="X133" s="124">
        <f t="shared" si="723"/>
        <v>1.075</v>
      </c>
      <c r="Y133" s="126"/>
      <c r="Z133" s="126"/>
      <c r="AA133" s="90">
        <f t="shared" ref="AA133:AB133" si="791">AA132</f>
        <v>5.0149999999999997</v>
      </c>
      <c r="AB133" s="73" t="str">
        <f t="shared" si="791"/>
        <v>9,05,040</v>
      </c>
      <c r="AC133" s="11" t="str">
        <f t="shared" si="477"/>
        <v>9,</v>
      </c>
      <c r="AD133" s="11" t="str">
        <f t="shared" si="478"/>
        <v>05,040</v>
      </c>
      <c r="AE133" s="11">
        <f t="shared" si="479"/>
        <v>0.15139999999999998</v>
      </c>
      <c r="AF133" s="14">
        <f t="shared" si="480"/>
        <v>33.124174372523122</v>
      </c>
      <c r="AG133" s="40">
        <f t="shared" si="481"/>
        <v>-100</v>
      </c>
      <c r="AH133" s="39">
        <f t="shared" si="731"/>
        <v>19.600000000000001</v>
      </c>
      <c r="AI133" s="124">
        <f t="shared" si="731"/>
        <v>1.0860000000000001</v>
      </c>
      <c r="AJ133" s="124">
        <f t="shared" si="731"/>
        <v>1.0780000000000001</v>
      </c>
      <c r="AK133" s="126">
        <f t="shared" si="482"/>
        <v>0</v>
      </c>
      <c r="AL133" s="126"/>
      <c r="AM133" s="34">
        <f t="shared" ref="AM133:AN133" si="792">AM132</f>
        <v>2.0059999999999998</v>
      </c>
      <c r="AN133" s="33" t="str">
        <f t="shared" si="792"/>
        <v>5,40,620</v>
      </c>
      <c r="AO133" s="11" t="str">
        <f t="shared" si="484"/>
        <v>5,</v>
      </c>
      <c r="AP133" s="11" t="str">
        <f t="shared" si="485"/>
        <v>40,620</v>
      </c>
      <c r="AQ133" s="11">
        <f t="shared" si="486"/>
        <v>9.4616666666666668E-2</v>
      </c>
      <c r="AR133" s="14">
        <f t="shared" si="487"/>
        <v>21.201338735247486</v>
      </c>
      <c r="AS133" s="40">
        <f t="shared" si="488"/>
        <v>-100</v>
      </c>
      <c r="AT133" s="41" t="str">
        <f t="shared" si="489"/>
        <v>NO CONFORME</v>
      </c>
      <c r="AU133" s="8" t="b">
        <f t="shared" si="411"/>
        <v>1</v>
      </c>
      <c r="AV133" s="8" t="b">
        <f t="shared" si="412"/>
        <v>0</v>
      </c>
      <c r="AW133" s="8" t="b">
        <f t="shared" si="413"/>
        <v>1</v>
      </c>
      <c r="AX133" s="8" t="str">
        <f t="shared" si="414"/>
        <v>Qcorrecto</v>
      </c>
      <c r="AY133" s="22" t="str">
        <f t="shared" si="394"/>
        <v>aceptable</v>
      </c>
      <c r="AZ133" s="22" t="str">
        <f t="shared" si="395"/>
        <v>aceptable</v>
      </c>
      <c r="BA133" s="22" t="str">
        <f t="shared" si="415"/>
        <v>aceptable</v>
      </c>
      <c r="BB133" s="25" t="str">
        <f t="shared" si="416"/>
        <v>NO CONFORME</v>
      </c>
      <c r="BC133" s="5" t="str">
        <f t="shared" si="417"/>
        <v>NO CONFORME</v>
      </c>
      <c r="BD133" s="15">
        <f t="shared" si="396"/>
        <v>-1</v>
      </c>
      <c r="BE133" s="15">
        <f t="shared" si="397"/>
        <v>-1</v>
      </c>
      <c r="BF133" s="15">
        <f t="shared" si="398"/>
        <v>-1</v>
      </c>
      <c r="BG133" s="15" t="str">
        <f t="shared" si="399"/>
        <v>-1-1-1</v>
      </c>
      <c r="BH133" s="15" t="str">
        <f t="shared" si="400"/>
        <v>SD</v>
      </c>
      <c r="BI133" s="15" t="str">
        <f t="shared" si="401"/>
        <v>SI</v>
      </c>
      <c r="BJ133" s="15" t="b">
        <f t="shared" si="402"/>
        <v>1</v>
      </c>
      <c r="BK133" s="15" t="str">
        <f t="shared" si="403"/>
        <v>SIGIGUALES</v>
      </c>
      <c r="BL133" s="22" t="str">
        <f t="shared" si="404"/>
        <v>NO CONFORME</v>
      </c>
    </row>
    <row r="134" spans="1:64" ht="14.4" x14ac:dyDescent="0.3">
      <c r="A134" s="36">
        <v>126</v>
      </c>
      <c r="B134" s="28">
        <f t="shared" ref="B134:E134" si="793">B133</f>
        <v>45903</v>
      </c>
      <c r="C134" s="28">
        <f t="shared" si="793"/>
        <v>45903</v>
      </c>
      <c r="D134" s="12">
        <f t="shared" si="793"/>
        <v>3</v>
      </c>
      <c r="E134" s="10">
        <f t="shared" si="793"/>
        <v>11</v>
      </c>
      <c r="F134" s="13"/>
      <c r="G134" s="69"/>
      <c r="H134" s="70">
        <f t="shared" ref="H134:L134" si="794">H133</f>
        <v>25.6</v>
      </c>
      <c r="I134" s="37">
        <f t="shared" si="794"/>
        <v>0</v>
      </c>
      <c r="J134" s="35">
        <f t="shared" si="794"/>
        <v>16</v>
      </c>
      <c r="K134" s="122">
        <f t="shared" si="794"/>
        <v>8.1690000000000005</v>
      </c>
      <c r="L134" s="122">
        <f t="shared" si="794"/>
        <v>0.879</v>
      </c>
      <c r="M134" s="126"/>
      <c r="N134" s="126"/>
      <c r="O134" s="32">
        <f t="shared" ref="O134:P134" si="795">O133</f>
        <v>100.65</v>
      </c>
      <c r="P134" s="33" t="str">
        <f t="shared" si="795"/>
        <v>2,31,180</v>
      </c>
      <c r="Q134" s="11" t="str">
        <f t="shared" si="470"/>
        <v>2</v>
      </c>
      <c r="R134" s="11" t="str">
        <f t="shared" si="471"/>
        <v>31,180</v>
      </c>
      <c r="S134" s="11">
        <f t="shared" si="472"/>
        <v>4.1994444444444445E-2</v>
      </c>
      <c r="T134" s="14">
        <f t="shared" si="473"/>
        <v>2396.7456012700095</v>
      </c>
      <c r="U134" s="38">
        <f t="shared" si="474"/>
        <v>-100</v>
      </c>
      <c r="V134" s="39">
        <f t="shared" ref="V134:W134" si="796">V133</f>
        <v>19.8</v>
      </c>
      <c r="W134" s="124">
        <f t="shared" si="796"/>
        <v>1.08</v>
      </c>
      <c r="X134" s="124">
        <f t="shared" si="723"/>
        <v>1.075</v>
      </c>
      <c r="Y134" s="126"/>
      <c r="Z134" s="126"/>
      <c r="AA134" s="90">
        <f t="shared" ref="AA134:AB134" si="797">AA133</f>
        <v>5.0149999999999997</v>
      </c>
      <c r="AB134" s="73" t="str">
        <f t="shared" si="797"/>
        <v>9,05,040</v>
      </c>
      <c r="AC134" s="11" t="str">
        <f t="shared" si="477"/>
        <v>9,</v>
      </c>
      <c r="AD134" s="11" t="str">
        <f t="shared" si="478"/>
        <v>05,040</v>
      </c>
      <c r="AE134" s="11">
        <f t="shared" si="479"/>
        <v>0.15139999999999998</v>
      </c>
      <c r="AF134" s="14">
        <f t="shared" si="480"/>
        <v>33.124174372523122</v>
      </c>
      <c r="AG134" s="40">
        <f t="shared" si="481"/>
        <v>-100</v>
      </c>
      <c r="AH134" s="39">
        <f t="shared" si="731"/>
        <v>19.600000000000001</v>
      </c>
      <c r="AI134" s="124">
        <f t="shared" si="731"/>
        <v>1.0860000000000001</v>
      </c>
      <c r="AJ134" s="124">
        <f t="shared" si="731"/>
        <v>1.0780000000000001</v>
      </c>
      <c r="AK134" s="126">
        <f t="shared" si="482"/>
        <v>0</v>
      </c>
      <c r="AL134" s="126"/>
      <c r="AM134" s="34">
        <f t="shared" ref="AM134:AN134" si="798">AM133</f>
        <v>2.0059999999999998</v>
      </c>
      <c r="AN134" s="33" t="str">
        <f t="shared" si="798"/>
        <v>5,40,620</v>
      </c>
      <c r="AO134" s="11" t="str">
        <f t="shared" si="484"/>
        <v>5,</v>
      </c>
      <c r="AP134" s="11" t="str">
        <f t="shared" si="485"/>
        <v>40,620</v>
      </c>
      <c r="AQ134" s="11">
        <f t="shared" si="486"/>
        <v>9.4616666666666668E-2</v>
      </c>
      <c r="AR134" s="14">
        <f t="shared" si="487"/>
        <v>21.201338735247486</v>
      </c>
      <c r="AS134" s="40">
        <f t="shared" si="488"/>
        <v>-100</v>
      </c>
      <c r="AT134" s="41" t="str">
        <f t="shared" si="489"/>
        <v>NO CONFORME</v>
      </c>
      <c r="AU134" s="8" t="b">
        <f t="shared" si="411"/>
        <v>1</v>
      </c>
      <c r="AV134" s="8" t="b">
        <f t="shared" si="412"/>
        <v>0</v>
      </c>
      <c r="AW134" s="8" t="b">
        <f t="shared" si="413"/>
        <v>1</v>
      </c>
      <c r="AX134" s="8" t="str">
        <f t="shared" si="414"/>
        <v>Qcorrecto</v>
      </c>
      <c r="AY134" s="22" t="str">
        <f t="shared" si="394"/>
        <v>aceptable</v>
      </c>
      <c r="AZ134" s="22" t="str">
        <f t="shared" si="395"/>
        <v>aceptable</v>
      </c>
      <c r="BA134" s="22" t="str">
        <f t="shared" si="415"/>
        <v>aceptable</v>
      </c>
      <c r="BB134" s="25" t="str">
        <f t="shared" si="416"/>
        <v>NO CONFORME</v>
      </c>
      <c r="BC134" s="5" t="str">
        <f t="shared" si="417"/>
        <v>NO CONFORME</v>
      </c>
      <c r="BD134" s="15">
        <f t="shared" si="396"/>
        <v>-1</v>
      </c>
      <c r="BE134" s="15">
        <f t="shared" si="397"/>
        <v>-1</v>
      </c>
      <c r="BF134" s="15">
        <f t="shared" si="398"/>
        <v>-1</v>
      </c>
      <c r="BG134" s="15" t="str">
        <f t="shared" si="399"/>
        <v>-1-1-1</v>
      </c>
      <c r="BH134" s="15" t="str">
        <f t="shared" si="400"/>
        <v>SD</v>
      </c>
      <c r="BI134" s="15" t="str">
        <f t="shared" si="401"/>
        <v>SI</v>
      </c>
      <c r="BJ134" s="15" t="b">
        <f t="shared" si="402"/>
        <v>1</v>
      </c>
      <c r="BK134" s="15" t="str">
        <f t="shared" si="403"/>
        <v>SIGIGUALES</v>
      </c>
      <c r="BL134" s="22" t="str">
        <f t="shared" si="404"/>
        <v>NO CONFORME</v>
      </c>
    </row>
    <row r="135" spans="1:64" ht="14.4" x14ac:dyDescent="0.3">
      <c r="A135" s="36">
        <v>127</v>
      </c>
      <c r="B135" s="28">
        <f t="shared" ref="B135:E135" si="799">B134</f>
        <v>45903</v>
      </c>
      <c r="C135" s="28">
        <f t="shared" si="799"/>
        <v>45903</v>
      </c>
      <c r="D135" s="12">
        <f t="shared" si="799"/>
        <v>3</v>
      </c>
      <c r="E135" s="10">
        <f t="shared" si="799"/>
        <v>11</v>
      </c>
      <c r="F135" s="13"/>
      <c r="G135" s="69"/>
      <c r="H135" s="70">
        <f t="shared" ref="H135:L135" si="800">H134</f>
        <v>25.6</v>
      </c>
      <c r="I135" s="37">
        <f t="shared" si="800"/>
        <v>0</v>
      </c>
      <c r="J135" s="35">
        <f t="shared" si="800"/>
        <v>16</v>
      </c>
      <c r="K135" s="122">
        <f t="shared" si="800"/>
        <v>8.1690000000000005</v>
      </c>
      <c r="L135" s="122">
        <f t="shared" si="800"/>
        <v>0.879</v>
      </c>
      <c r="M135" s="126"/>
      <c r="N135" s="126"/>
      <c r="O135" s="32">
        <f t="shared" ref="O135:P135" si="801">O134</f>
        <v>100.65</v>
      </c>
      <c r="P135" s="33" t="str">
        <f t="shared" si="801"/>
        <v>2,31,180</v>
      </c>
      <c r="Q135" s="11" t="str">
        <f t="shared" si="470"/>
        <v>2</v>
      </c>
      <c r="R135" s="11" t="str">
        <f t="shared" si="471"/>
        <v>31,180</v>
      </c>
      <c r="S135" s="11">
        <f t="shared" si="472"/>
        <v>4.1994444444444445E-2</v>
      </c>
      <c r="T135" s="14">
        <f t="shared" si="473"/>
        <v>2396.7456012700095</v>
      </c>
      <c r="U135" s="38">
        <f t="shared" si="474"/>
        <v>-100</v>
      </c>
      <c r="V135" s="39">
        <f t="shared" ref="V135:W135" si="802">V134</f>
        <v>19.8</v>
      </c>
      <c r="W135" s="124">
        <f t="shared" si="802"/>
        <v>1.08</v>
      </c>
      <c r="X135" s="124">
        <f t="shared" si="723"/>
        <v>1.075</v>
      </c>
      <c r="Y135" s="126"/>
      <c r="Z135" s="126"/>
      <c r="AA135" s="90">
        <f t="shared" ref="AA135:AB135" si="803">AA134</f>
        <v>5.0149999999999997</v>
      </c>
      <c r="AB135" s="73" t="str">
        <f t="shared" si="803"/>
        <v>9,05,040</v>
      </c>
      <c r="AC135" s="11" t="str">
        <f t="shared" si="477"/>
        <v>9,</v>
      </c>
      <c r="AD135" s="11" t="str">
        <f t="shared" si="478"/>
        <v>05,040</v>
      </c>
      <c r="AE135" s="11">
        <f t="shared" si="479"/>
        <v>0.15139999999999998</v>
      </c>
      <c r="AF135" s="14">
        <f t="shared" si="480"/>
        <v>33.124174372523122</v>
      </c>
      <c r="AG135" s="40">
        <f t="shared" si="481"/>
        <v>-100</v>
      </c>
      <c r="AH135" s="39">
        <f t="shared" si="731"/>
        <v>19.600000000000001</v>
      </c>
      <c r="AI135" s="124">
        <f t="shared" si="731"/>
        <v>1.0860000000000001</v>
      </c>
      <c r="AJ135" s="124">
        <f t="shared" si="731"/>
        <v>1.0780000000000001</v>
      </c>
      <c r="AK135" s="126">
        <f t="shared" si="482"/>
        <v>0</v>
      </c>
      <c r="AL135" s="126"/>
      <c r="AM135" s="34">
        <f t="shared" ref="AM135:AN135" si="804">AM134</f>
        <v>2.0059999999999998</v>
      </c>
      <c r="AN135" s="33" t="str">
        <f t="shared" si="804"/>
        <v>5,40,620</v>
      </c>
      <c r="AO135" s="11" t="str">
        <f t="shared" si="484"/>
        <v>5,</v>
      </c>
      <c r="AP135" s="11" t="str">
        <f t="shared" si="485"/>
        <v>40,620</v>
      </c>
      <c r="AQ135" s="11">
        <f t="shared" si="486"/>
        <v>9.4616666666666668E-2</v>
      </c>
      <c r="AR135" s="14">
        <f t="shared" si="487"/>
        <v>21.201338735247486</v>
      </c>
      <c r="AS135" s="40">
        <f t="shared" si="488"/>
        <v>-100</v>
      </c>
      <c r="AT135" s="41" t="str">
        <f t="shared" si="489"/>
        <v>NO CONFORME</v>
      </c>
      <c r="AU135" s="8" t="b">
        <f t="shared" si="411"/>
        <v>1</v>
      </c>
      <c r="AV135" s="8" t="b">
        <f t="shared" si="412"/>
        <v>0</v>
      </c>
      <c r="AW135" s="8" t="b">
        <f t="shared" si="413"/>
        <v>1</v>
      </c>
      <c r="AX135" s="8" t="str">
        <f t="shared" si="414"/>
        <v>Qcorrecto</v>
      </c>
      <c r="AY135" s="22" t="str">
        <f t="shared" si="394"/>
        <v>aceptable</v>
      </c>
      <c r="AZ135" s="22" t="str">
        <f t="shared" si="395"/>
        <v>aceptable</v>
      </c>
      <c r="BA135" s="22" t="str">
        <f t="shared" si="415"/>
        <v>aceptable</v>
      </c>
      <c r="BB135" s="25" t="str">
        <f t="shared" si="416"/>
        <v>NO CONFORME</v>
      </c>
      <c r="BC135" s="5" t="str">
        <f t="shared" si="417"/>
        <v>NO CONFORME</v>
      </c>
      <c r="BD135" s="15">
        <f t="shared" si="396"/>
        <v>-1</v>
      </c>
      <c r="BE135" s="15">
        <f t="shared" si="397"/>
        <v>-1</v>
      </c>
      <c r="BF135" s="15">
        <f t="shared" si="398"/>
        <v>-1</v>
      </c>
      <c r="BG135" s="15" t="str">
        <f t="shared" si="399"/>
        <v>-1-1-1</v>
      </c>
      <c r="BH135" s="15" t="str">
        <f t="shared" si="400"/>
        <v>SD</v>
      </c>
      <c r="BI135" s="15" t="str">
        <f t="shared" si="401"/>
        <v>SI</v>
      </c>
      <c r="BJ135" s="15" t="b">
        <f t="shared" si="402"/>
        <v>1</v>
      </c>
      <c r="BK135" s="15" t="str">
        <f t="shared" si="403"/>
        <v>SIGIGUALES</v>
      </c>
      <c r="BL135" s="22" t="str">
        <f t="shared" si="404"/>
        <v>NO CONFORME</v>
      </c>
    </row>
    <row r="136" spans="1:64" ht="14.4" x14ac:dyDescent="0.3">
      <c r="A136" s="36">
        <v>128</v>
      </c>
      <c r="B136" s="28">
        <f t="shared" ref="B136:E136" si="805">B135</f>
        <v>45903</v>
      </c>
      <c r="C136" s="28">
        <f t="shared" si="805"/>
        <v>45903</v>
      </c>
      <c r="D136" s="12">
        <f t="shared" si="805"/>
        <v>3</v>
      </c>
      <c r="E136" s="10">
        <f t="shared" si="805"/>
        <v>11</v>
      </c>
      <c r="F136" s="13"/>
      <c r="G136" s="69"/>
      <c r="H136" s="70">
        <f t="shared" ref="H136:L136" si="806">H135</f>
        <v>25.6</v>
      </c>
      <c r="I136" s="37">
        <f t="shared" si="806"/>
        <v>0</v>
      </c>
      <c r="J136" s="35">
        <f t="shared" si="806"/>
        <v>16</v>
      </c>
      <c r="K136" s="122">
        <f t="shared" si="806"/>
        <v>8.1690000000000005</v>
      </c>
      <c r="L136" s="122">
        <f t="shared" si="806"/>
        <v>0.879</v>
      </c>
      <c r="M136" s="126"/>
      <c r="N136" s="126"/>
      <c r="O136" s="32">
        <f t="shared" ref="O136:P136" si="807">O135</f>
        <v>100.65</v>
      </c>
      <c r="P136" s="33" t="str">
        <f t="shared" si="807"/>
        <v>2,31,180</v>
      </c>
      <c r="Q136" s="11" t="str">
        <f t="shared" si="470"/>
        <v>2</v>
      </c>
      <c r="R136" s="11" t="str">
        <f t="shared" si="471"/>
        <v>31,180</v>
      </c>
      <c r="S136" s="11">
        <f t="shared" si="472"/>
        <v>4.1994444444444445E-2</v>
      </c>
      <c r="T136" s="14">
        <f t="shared" si="473"/>
        <v>2396.7456012700095</v>
      </c>
      <c r="U136" s="38">
        <f t="shared" si="474"/>
        <v>-100</v>
      </c>
      <c r="V136" s="39">
        <f t="shared" ref="V136:W136" si="808">V135</f>
        <v>19.8</v>
      </c>
      <c r="W136" s="124">
        <f t="shared" si="808"/>
        <v>1.08</v>
      </c>
      <c r="X136" s="124">
        <f t="shared" si="723"/>
        <v>1.075</v>
      </c>
      <c r="Y136" s="126"/>
      <c r="Z136" s="126"/>
      <c r="AA136" s="90">
        <f t="shared" ref="AA136:AB136" si="809">AA135</f>
        <v>5.0149999999999997</v>
      </c>
      <c r="AB136" s="73" t="str">
        <f t="shared" si="809"/>
        <v>9,05,040</v>
      </c>
      <c r="AC136" s="11" t="str">
        <f t="shared" si="477"/>
        <v>9,</v>
      </c>
      <c r="AD136" s="11" t="str">
        <f t="shared" si="478"/>
        <v>05,040</v>
      </c>
      <c r="AE136" s="11">
        <f t="shared" si="479"/>
        <v>0.15139999999999998</v>
      </c>
      <c r="AF136" s="14">
        <f t="shared" si="480"/>
        <v>33.124174372523122</v>
      </c>
      <c r="AG136" s="40">
        <f t="shared" si="481"/>
        <v>-100</v>
      </c>
      <c r="AH136" s="39">
        <f t="shared" si="731"/>
        <v>19.600000000000001</v>
      </c>
      <c r="AI136" s="124">
        <f t="shared" si="731"/>
        <v>1.0860000000000001</v>
      </c>
      <c r="AJ136" s="124">
        <f t="shared" si="731"/>
        <v>1.0780000000000001</v>
      </c>
      <c r="AK136" s="126">
        <f t="shared" si="482"/>
        <v>0</v>
      </c>
      <c r="AL136" s="126"/>
      <c r="AM136" s="34">
        <f t="shared" ref="AM136:AN136" si="810">AM135</f>
        <v>2.0059999999999998</v>
      </c>
      <c r="AN136" s="33" t="str">
        <f t="shared" si="810"/>
        <v>5,40,620</v>
      </c>
      <c r="AO136" s="11" t="str">
        <f t="shared" si="484"/>
        <v>5,</v>
      </c>
      <c r="AP136" s="11" t="str">
        <f t="shared" si="485"/>
        <v>40,620</v>
      </c>
      <c r="AQ136" s="11">
        <f t="shared" si="486"/>
        <v>9.4616666666666668E-2</v>
      </c>
      <c r="AR136" s="14">
        <f t="shared" si="487"/>
        <v>21.201338735247486</v>
      </c>
      <c r="AS136" s="40">
        <f t="shared" si="488"/>
        <v>-100</v>
      </c>
      <c r="AT136" s="41" t="str">
        <f t="shared" si="489"/>
        <v>NO CONFORME</v>
      </c>
      <c r="AU136" s="8" t="b">
        <f t="shared" si="411"/>
        <v>1</v>
      </c>
      <c r="AV136" s="8" t="b">
        <f t="shared" si="412"/>
        <v>0</v>
      </c>
      <c r="AW136" s="8" t="b">
        <f t="shared" si="413"/>
        <v>1</v>
      </c>
      <c r="AX136" s="8" t="str">
        <f t="shared" si="414"/>
        <v>Qcorrecto</v>
      </c>
      <c r="AY136" s="22" t="str">
        <f t="shared" si="394"/>
        <v>aceptable</v>
      </c>
      <c r="AZ136" s="22" t="str">
        <f t="shared" si="395"/>
        <v>aceptable</v>
      </c>
      <c r="BA136" s="22" t="str">
        <f t="shared" si="415"/>
        <v>aceptable</v>
      </c>
      <c r="BB136" s="25" t="str">
        <f t="shared" si="416"/>
        <v>NO CONFORME</v>
      </c>
      <c r="BC136" s="5" t="str">
        <f t="shared" si="417"/>
        <v>NO CONFORME</v>
      </c>
      <c r="BD136" s="15">
        <f t="shared" si="396"/>
        <v>-1</v>
      </c>
      <c r="BE136" s="15">
        <f t="shared" si="397"/>
        <v>-1</v>
      </c>
      <c r="BF136" s="15">
        <f t="shared" si="398"/>
        <v>-1</v>
      </c>
      <c r="BG136" s="15" t="str">
        <f t="shared" si="399"/>
        <v>-1-1-1</v>
      </c>
      <c r="BH136" s="15" t="str">
        <f t="shared" si="400"/>
        <v>SD</v>
      </c>
      <c r="BI136" s="15" t="str">
        <f t="shared" si="401"/>
        <v>SI</v>
      </c>
      <c r="BJ136" s="15" t="b">
        <f t="shared" si="402"/>
        <v>1</v>
      </c>
      <c r="BK136" s="15" t="str">
        <f t="shared" si="403"/>
        <v>SIGIGUALES</v>
      </c>
      <c r="BL136" s="22" t="str">
        <f t="shared" si="404"/>
        <v>NO CONFORME</v>
      </c>
    </row>
    <row r="137" spans="1:64" ht="14.4" x14ac:dyDescent="0.3">
      <c r="A137" s="36">
        <v>129</v>
      </c>
      <c r="B137" s="28">
        <f t="shared" ref="B137:E137" si="811">B136</f>
        <v>45903</v>
      </c>
      <c r="C137" s="28">
        <f t="shared" si="811"/>
        <v>45903</v>
      </c>
      <c r="D137" s="12">
        <f t="shared" si="811"/>
        <v>3</v>
      </c>
      <c r="E137" s="10">
        <f t="shared" si="811"/>
        <v>11</v>
      </c>
      <c r="F137" s="13"/>
      <c r="G137" s="69"/>
      <c r="H137" s="70">
        <f t="shared" ref="H137:L137" si="812">H136</f>
        <v>25.6</v>
      </c>
      <c r="I137" s="37">
        <f t="shared" si="812"/>
        <v>0</v>
      </c>
      <c r="J137" s="35">
        <f t="shared" si="812"/>
        <v>16</v>
      </c>
      <c r="K137" s="122">
        <f t="shared" si="812"/>
        <v>8.1690000000000005</v>
      </c>
      <c r="L137" s="122">
        <f t="shared" si="812"/>
        <v>0.879</v>
      </c>
      <c r="M137" s="126"/>
      <c r="N137" s="126"/>
      <c r="O137" s="32">
        <f t="shared" ref="O137:P137" si="813">O136</f>
        <v>100.65</v>
      </c>
      <c r="P137" s="33" t="str">
        <f t="shared" si="813"/>
        <v>2,31,180</v>
      </c>
      <c r="Q137" s="11" t="str">
        <f t="shared" si="470"/>
        <v>2</v>
      </c>
      <c r="R137" s="11" t="str">
        <f t="shared" si="471"/>
        <v>31,180</v>
      </c>
      <c r="S137" s="11">
        <f t="shared" si="472"/>
        <v>4.1994444444444445E-2</v>
      </c>
      <c r="T137" s="14">
        <f t="shared" si="473"/>
        <v>2396.7456012700095</v>
      </c>
      <c r="U137" s="38">
        <f t="shared" si="474"/>
        <v>-100</v>
      </c>
      <c r="V137" s="39">
        <f t="shared" ref="V137:W137" si="814">V136</f>
        <v>19.8</v>
      </c>
      <c r="W137" s="124">
        <f t="shared" si="814"/>
        <v>1.08</v>
      </c>
      <c r="X137" s="124">
        <f t="shared" si="723"/>
        <v>1.075</v>
      </c>
      <c r="Y137" s="126"/>
      <c r="Z137" s="126"/>
      <c r="AA137" s="90">
        <f t="shared" ref="AA137:AB137" si="815">AA136</f>
        <v>5.0149999999999997</v>
      </c>
      <c r="AB137" s="73" t="str">
        <f t="shared" si="815"/>
        <v>9,05,040</v>
      </c>
      <c r="AC137" s="11" t="str">
        <f t="shared" si="477"/>
        <v>9,</v>
      </c>
      <c r="AD137" s="11" t="str">
        <f t="shared" si="478"/>
        <v>05,040</v>
      </c>
      <c r="AE137" s="11">
        <f t="shared" si="479"/>
        <v>0.15139999999999998</v>
      </c>
      <c r="AF137" s="14">
        <f t="shared" si="480"/>
        <v>33.124174372523122</v>
      </c>
      <c r="AG137" s="40">
        <f t="shared" si="481"/>
        <v>-100</v>
      </c>
      <c r="AH137" s="39">
        <f t="shared" si="731"/>
        <v>19.600000000000001</v>
      </c>
      <c r="AI137" s="124">
        <f t="shared" si="731"/>
        <v>1.0860000000000001</v>
      </c>
      <c r="AJ137" s="124">
        <f t="shared" si="731"/>
        <v>1.0780000000000001</v>
      </c>
      <c r="AK137" s="126">
        <f t="shared" si="482"/>
        <v>0</v>
      </c>
      <c r="AL137" s="126"/>
      <c r="AM137" s="34">
        <f t="shared" ref="AM137:AN137" si="816">AM136</f>
        <v>2.0059999999999998</v>
      </c>
      <c r="AN137" s="33" t="str">
        <f t="shared" si="816"/>
        <v>5,40,620</v>
      </c>
      <c r="AO137" s="11" t="str">
        <f t="shared" si="484"/>
        <v>5,</v>
      </c>
      <c r="AP137" s="11" t="str">
        <f t="shared" si="485"/>
        <v>40,620</v>
      </c>
      <c r="AQ137" s="11">
        <f t="shared" si="486"/>
        <v>9.4616666666666668E-2</v>
      </c>
      <c r="AR137" s="14">
        <f t="shared" si="487"/>
        <v>21.201338735247486</v>
      </c>
      <c r="AS137" s="40">
        <f t="shared" si="488"/>
        <v>-100</v>
      </c>
      <c r="AT137" s="41" t="str">
        <f t="shared" si="489"/>
        <v>NO CONFORME</v>
      </c>
      <c r="AU137" s="8" t="b">
        <f t="shared" si="411"/>
        <v>1</v>
      </c>
      <c r="AV137" s="8" t="b">
        <f t="shared" si="412"/>
        <v>0</v>
      </c>
      <c r="AW137" s="8" t="b">
        <f t="shared" si="413"/>
        <v>1</v>
      </c>
      <c r="AX137" s="8" t="str">
        <f t="shared" si="414"/>
        <v>Qcorrecto</v>
      </c>
      <c r="AY137" s="22" t="str">
        <f t="shared" ref="AY137:AY200" si="817">IF(AR137&lt;$AH$6,"error",IF(AR137&gt;$AH$6*1.1,"error","aceptable"))</f>
        <v>aceptable</v>
      </c>
      <c r="AZ137" s="22" t="str">
        <f t="shared" ref="AZ137:AZ200" si="818">IF(AF137&lt;$V$6,"error",IF(AF137&gt;$V$6*1.1,"error","aceptable"))</f>
        <v>aceptable</v>
      </c>
      <c r="BA137" s="22" t="str">
        <f t="shared" si="415"/>
        <v>aceptable</v>
      </c>
      <c r="BB137" s="25" t="str">
        <f t="shared" si="416"/>
        <v>NO CONFORME</v>
      </c>
      <c r="BC137" s="5" t="str">
        <f t="shared" si="417"/>
        <v>NO CONFORME</v>
      </c>
      <c r="BD137" s="15">
        <f t="shared" ref="BD137:BD200" si="819">SIGN(U137)</f>
        <v>-1</v>
      </c>
      <c r="BE137" s="15">
        <f t="shared" ref="BE137:BE200" si="820">SIGN(AG137)</f>
        <v>-1</v>
      </c>
      <c r="BF137" s="15">
        <f t="shared" ref="BF137:BF200" si="821">SIGN(AS137)</f>
        <v>-1</v>
      </c>
      <c r="BG137" s="15" t="str">
        <f t="shared" ref="BG137:BG200" si="822">CONCATENATE(BD137,BE137,BF137)</f>
        <v>-1-1-1</v>
      </c>
      <c r="BH137" s="15" t="str">
        <f t="shared" ref="BH137:BH200" si="823">IF(BG137="111","SI","SD")</f>
        <v>SD</v>
      </c>
      <c r="BI137" s="15" t="str">
        <f t="shared" ref="BI137:BI200" si="824">IF(BG137="-1-1-1","SI","SD")</f>
        <v>SI</v>
      </c>
      <c r="BJ137" s="15" t="b">
        <f t="shared" ref="BJ137:BJ200" si="825">OR(BH137="SI",BI137="SI")</f>
        <v>1</v>
      </c>
      <c r="BK137" s="15" t="str">
        <f t="shared" ref="BK137:BK200" si="826">IF(BJ137=FALSE,"SIGDIFERENTES","SIGIGUALES")</f>
        <v>SIGIGUALES</v>
      </c>
      <c r="BL137" s="22" t="str">
        <f t="shared" ref="BL137:BL200" si="827">IF(BC137="NO CONFORME","NO CONFORME",IF(BB137="CONFORME","CONFORME","NO CONFORME"))</f>
        <v>NO CONFORME</v>
      </c>
    </row>
    <row r="138" spans="1:64" ht="14.4" x14ac:dyDescent="0.3">
      <c r="A138" s="36">
        <v>130</v>
      </c>
      <c r="B138" s="28">
        <f t="shared" ref="B138:E138" si="828">B137</f>
        <v>45903</v>
      </c>
      <c r="C138" s="28">
        <f t="shared" si="828"/>
        <v>45903</v>
      </c>
      <c r="D138" s="12">
        <f t="shared" si="828"/>
        <v>3</v>
      </c>
      <c r="E138" s="10">
        <f t="shared" si="828"/>
        <v>11</v>
      </c>
      <c r="F138" s="13"/>
      <c r="G138" s="69"/>
      <c r="H138" s="70">
        <f t="shared" ref="H138:L138" si="829">H137</f>
        <v>25.6</v>
      </c>
      <c r="I138" s="37">
        <f t="shared" si="829"/>
        <v>0</v>
      </c>
      <c r="J138" s="35">
        <f t="shared" si="829"/>
        <v>16</v>
      </c>
      <c r="K138" s="122">
        <f t="shared" si="829"/>
        <v>8.1690000000000005</v>
      </c>
      <c r="L138" s="122">
        <f t="shared" si="829"/>
        <v>0.879</v>
      </c>
      <c r="M138" s="126"/>
      <c r="N138" s="126"/>
      <c r="O138" s="32">
        <f t="shared" ref="O138:P138" si="830">O137</f>
        <v>100.65</v>
      </c>
      <c r="P138" s="33" t="str">
        <f t="shared" si="830"/>
        <v>2,31,180</v>
      </c>
      <c r="Q138" s="11" t="str">
        <f t="shared" si="470"/>
        <v>2</v>
      </c>
      <c r="R138" s="11" t="str">
        <f t="shared" si="471"/>
        <v>31,180</v>
      </c>
      <c r="S138" s="11">
        <f t="shared" si="472"/>
        <v>4.1994444444444445E-2</v>
      </c>
      <c r="T138" s="14">
        <f t="shared" si="473"/>
        <v>2396.7456012700095</v>
      </c>
      <c r="U138" s="38">
        <f t="shared" si="474"/>
        <v>-100</v>
      </c>
      <c r="V138" s="39">
        <f t="shared" ref="V138:X153" si="831">V137</f>
        <v>19.8</v>
      </c>
      <c r="W138" s="124">
        <f t="shared" si="831"/>
        <v>1.08</v>
      </c>
      <c r="X138" s="124">
        <f t="shared" si="831"/>
        <v>1.075</v>
      </c>
      <c r="Y138" s="126"/>
      <c r="Z138" s="126"/>
      <c r="AA138" s="90">
        <f t="shared" ref="AA138:AB138" si="832">AA137</f>
        <v>5.0149999999999997</v>
      </c>
      <c r="AB138" s="73" t="str">
        <f t="shared" si="832"/>
        <v>9,05,040</v>
      </c>
      <c r="AC138" s="11" t="str">
        <f t="shared" si="477"/>
        <v>9,</v>
      </c>
      <c r="AD138" s="11" t="str">
        <f t="shared" si="478"/>
        <v>05,040</v>
      </c>
      <c r="AE138" s="11">
        <f t="shared" si="479"/>
        <v>0.15139999999999998</v>
      </c>
      <c r="AF138" s="14">
        <f t="shared" si="480"/>
        <v>33.124174372523122</v>
      </c>
      <c r="AG138" s="40">
        <f t="shared" si="481"/>
        <v>-100</v>
      </c>
      <c r="AH138" s="39">
        <f t="shared" si="731"/>
        <v>19.600000000000001</v>
      </c>
      <c r="AI138" s="124">
        <f t="shared" si="731"/>
        <v>1.0860000000000001</v>
      </c>
      <c r="AJ138" s="124">
        <f t="shared" si="731"/>
        <v>1.0780000000000001</v>
      </c>
      <c r="AK138" s="126">
        <f t="shared" si="482"/>
        <v>0</v>
      </c>
      <c r="AL138" s="126"/>
      <c r="AM138" s="34">
        <f t="shared" ref="AM138:AN138" si="833">AM137</f>
        <v>2.0059999999999998</v>
      </c>
      <c r="AN138" s="33" t="str">
        <f t="shared" si="833"/>
        <v>5,40,620</v>
      </c>
      <c r="AO138" s="11" t="str">
        <f t="shared" si="484"/>
        <v>5,</v>
      </c>
      <c r="AP138" s="11" t="str">
        <f t="shared" si="485"/>
        <v>40,620</v>
      </c>
      <c r="AQ138" s="11">
        <f t="shared" si="486"/>
        <v>9.4616666666666668E-2</v>
      </c>
      <c r="AR138" s="14">
        <f t="shared" si="487"/>
        <v>21.201338735247486</v>
      </c>
      <c r="AS138" s="40">
        <f t="shared" si="488"/>
        <v>-100</v>
      </c>
      <c r="AT138" s="41" t="str">
        <f t="shared" si="489"/>
        <v>NO CONFORME</v>
      </c>
      <c r="AU138" s="8" t="b">
        <f t="shared" ref="AU138:AU201" si="834">B138&lt;=C138</f>
        <v>1</v>
      </c>
      <c r="AV138" s="8" t="b">
        <f t="shared" ref="AV138:AV201" si="835">N138&lt;Y138</f>
        <v>0</v>
      </c>
      <c r="AW138" s="8" t="b">
        <f t="shared" ref="AW138:AW201" si="836">Z138&lt;=AK138</f>
        <v>1</v>
      </c>
      <c r="AX138" s="8" t="str">
        <f t="shared" ref="AX138:AX201" si="837">IF(I138&gt;=1,"Qcorrecto",IF(AND(AY138="aceptable",AZ138="aceptable",BA138="aceptable"),"Qcorrecto","Qincorrecto"))</f>
        <v>Qcorrecto</v>
      </c>
      <c r="AY138" s="22" t="str">
        <f t="shared" si="817"/>
        <v>aceptable</v>
      </c>
      <c r="AZ138" s="22" t="str">
        <f t="shared" si="818"/>
        <v>aceptable</v>
      </c>
      <c r="BA138" s="22" t="str">
        <f t="shared" ref="BA138:BA201" si="838">IF(T138&lt;$J$6*0.9,"error",IF(T138&gt;$J$6,"error","aceptable"))</f>
        <v>aceptable</v>
      </c>
      <c r="BB138" s="25" t="str">
        <f t="shared" ref="BB138:BB201" si="839">(IF(ABS(U138)&lt;1.05,"CONFORME",IF(ABS(AG138)&lt;1.05,"CONFORME",IF(ABS(AS138)&lt;2.55,"CONFORME","NO CONFORME"))))</f>
        <v>NO CONFORME</v>
      </c>
      <c r="BC138" s="5" t="str">
        <f t="shared" ref="BC138:BC201" si="840">(IF(ABS(U138)&gt;2.05,"NO CONFORME",IF(ABS(AG138)&gt;2.05,"NO CONFORME",IF(ABS(AS138)&gt;5.05,"NO CONFORME","CONFORME"))))</f>
        <v>NO CONFORME</v>
      </c>
      <c r="BD138" s="15">
        <f t="shared" si="819"/>
        <v>-1</v>
      </c>
      <c r="BE138" s="15">
        <f t="shared" si="820"/>
        <v>-1</v>
      </c>
      <c r="BF138" s="15">
        <f t="shared" si="821"/>
        <v>-1</v>
      </c>
      <c r="BG138" s="15" t="str">
        <f t="shared" si="822"/>
        <v>-1-1-1</v>
      </c>
      <c r="BH138" s="15" t="str">
        <f t="shared" si="823"/>
        <v>SD</v>
      </c>
      <c r="BI138" s="15" t="str">
        <f t="shared" si="824"/>
        <v>SI</v>
      </c>
      <c r="BJ138" s="15" t="b">
        <f t="shared" si="825"/>
        <v>1</v>
      </c>
      <c r="BK138" s="15" t="str">
        <f t="shared" si="826"/>
        <v>SIGIGUALES</v>
      </c>
      <c r="BL138" s="22" t="str">
        <f t="shared" si="827"/>
        <v>NO CONFORME</v>
      </c>
    </row>
    <row r="139" spans="1:64" ht="14.4" x14ac:dyDescent="0.3">
      <c r="A139" s="36">
        <v>131</v>
      </c>
      <c r="B139" s="28">
        <f t="shared" ref="B139:E139" si="841">B138</f>
        <v>45903</v>
      </c>
      <c r="C139" s="28">
        <f t="shared" si="841"/>
        <v>45903</v>
      </c>
      <c r="D139" s="12">
        <f t="shared" si="841"/>
        <v>3</v>
      </c>
      <c r="E139" s="10">
        <f t="shared" si="841"/>
        <v>11</v>
      </c>
      <c r="F139" s="13"/>
      <c r="G139" s="69"/>
      <c r="H139" s="70">
        <f t="shared" ref="H139:L139" si="842">H138</f>
        <v>25.6</v>
      </c>
      <c r="I139" s="37">
        <f t="shared" si="842"/>
        <v>0</v>
      </c>
      <c r="J139" s="35">
        <f t="shared" si="842"/>
        <v>16</v>
      </c>
      <c r="K139" s="122">
        <f t="shared" si="842"/>
        <v>8.1690000000000005</v>
      </c>
      <c r="L139" s="122">
        <f t="shared" si="842"/>
        <v>0.879</v>
      </c>
      <c r="M139" s="126"/>
      <c r="N139" s="126"/>
      <c r="O139" s="32">
        <f t="shared" ref="O139:P139" si="843">O138</f>
        <v>100.65</v>
      </c>
      <c r="P139" s="33" t="str">
        <f t="shared" si="843"/>
        <v>2,31,180</v>
      </c>
      <c r="Q139" s="11" t="str">
        <f t="shared" si="470"/>
        <v>2</v>
      </c>
      <c r="R139" s="11" t="str">
        <f t="shared" si="471"/>
        <v>31,180</v>
      </c>
      <c r="S139" s="11">
        <f t="shared" si="472"/>
        <v>4.1994444444444445E-2</v>
      </c>
      <c r="T139" s="14">
        <f t="shared" si="473"/>
        <v>2396.7456012700095</v>
      </c>
      <c r="U139" s="38">
        <f t="shared" si="474"/>
        <v>-100</v>
      </c>
      <c r="V139" s="39">
        <f t="shared" ref="V139:W139" si="844">V138</f>
        <v>19.8</v>
      </c>
      <c r="W139" s="124">
        <f t="shared" si="844"/>
        <v>1.08</v>
      </c>
      <c r="X139" s="124">
        <f t="shared" si="831"/>
        <v>1.075</v>
      </c>
      <c r="Y139" s="126"/>
      <c r="Z139" s="126"/>
      <c r="AA139" s="90">
        <f t="shared" ref="AA139:AB139" si="845">AA138</f>
        <v>5.0149999999999997</v>
      </c>
      <c r="AB139" s="73" t="str">
        <f t="shared" si="845"/>
        <v>9,05,040</v>
      </c>
      <c r="AC139" s="11" t="str">
        <f t="shared" si="477"/>
        <v>9,</v>
      </c>
      <c r="AD139" s="11" t="str">
        <f t="shared" si="478"/>
        <v>05,040</v>
      </c>
      <c r="AE139" s="11">
        <f t="shared" si="479"/>
        <v>0.15139999999999998</v>
      </c>
      <c r="AF139" s="14">
        <f t="shared" si="480"/>
        <v>33.124174372523122</v>
      </c>
      <c r="AG139" s="40">
        <f t="shared" si="481"/>
        <v>-100</v>
      </c>
      <c r="AH139" s="39">
        <f t="shared" ref="AH139:AJ154" si="846">AH138</f>
        <v>19.600000000000001</v>
      </c>
      <c r="AI139" s="124">
        <f t="shared" si="846"/>
        <v>1.0860000000000001</v>
      </c>
      <c r="AJ139" s="124">
        <f t="shared" si="846"/>
        <v>1.0780000000000001</v>
      </c>
      <c r="AK139" s="126">
        <f t="shared" si="482"/>
        <v>0</v>
      </c>
      <c r="AL139" s="126"/>
      <c r="AM139" s="34">
        <f t="shared" ref="AM139:AN139" si="847">AM138</f>
        <v>2.0059999999999998</v>
      </c>
      <c r="AN139" s="33" t="str">
        <f t="shared" si="847"/>
        <v>5,40,620</v>
      </c>
      <c r="AO139" s="11" t="str">
        <f t="shared" si="484"/>
        <v>5,</v>
      </c>
      <c r="AP139" s="11" t="str">
        <f t="shared" si="485"/>
        <v>40,620</v>
      </c>
      <c r="AQ139" s="11">
        <f t="shared" si="486"/>
        <v>9.4616666666666668E-2</v>
      </c>
      <c r="AR139" s="14">
        <f t="shared" si="487"/>
        <v>21.201338735247486</v>
      </c>
      <c r="AS139" s="40">
        <f t="shared" si="488"/>
        <v>-100</v>
      </c>
      <c r="AT139" s="41" t="str">
        <f t="shared" si="489"/>
        <v>NO CONFORME</v>
      </c>
      <c r="AU139" s="8" t="b">
        <f t="shared" si="834"/>
        <v>1</v>
      </c>
      <c r="AV139" s="8" t="b">
        <f t="shared" si="835"/>
        <v>0</v>
      </c>
      <c r="AW139" s="8" t="b">
        <f t="shared" si="836"/>
        <v>1</v>
      </c>
      <c r="AX139" s="8" t="str">
        <f t="shared" si="837"/>
        <v>Qcorrecto</v>
      </c>
      <c r="AY139" s="22" t="str">
        <f t="shared" si="817"/>
        <v>aceptable</v>
      </c>
      <c r="AZ139" s="22" t="str">
        <f t="shared" si="818"/>
        <v>aceptable</v>
      </c>
      <c r="BA139" s="22" t="str">
        <f t="shared" si="838"/>
        <v>aceptable</v>
      </c>
      <c r="BB139" s="25" t="str">
        <f t="shared" si="839"/>
        <v>NO CONFORME</v>
      </c>
      <c r="BC139" s="5" t="str">
        <f t="shared" si="840"/>
        <v>NO CONFORME</v>
      </c>
      <c r="BD139" s="15">
        <f t="shared" si="819"/>
        <v>-1</v>
      </c>
      <c r="BE139" s="15">
        <f t="shared" si="820"/>
        <v>-1</v>
      </c>
      <c r="BF139" s="15">
        <f t="shared" si="821"/>
        <v>-1</v>
      </c>
      <c r="BG139" s="15" t="str">
        <f t="shared" si="822"/>
        <v>-1-1-1</v>
      </c>
      <c r="BH139" s="15" t="str">
        <f t="shared" si="823"/>
        <v>SD</v>
      </c>
      <c r="BI139" s="15" t="str">
        <f t="shared" si="824"/>
        <v>SI</v>
      </c>
      <c r="BJ139" s="15" t="b">
        <f t="shared" si="825"/>
        <v>1</v>
      </c>
      <c r="BK139" s="15" t="str">
        <f t="shared" si="826"/>
        <v>SIGIGUALES</v>
      </c>
      <c r="BL139" s="22" t="str">
        <f t="shared" si="827"/>
        <v>NO CONFORME</v>
      </c>
    </row>
    <row r="140" spans="1:64" ht="14.4" x14ac:dyDescent="0.3">
      <c r="A140" s="36">
        <v>132</v>
      </c>
      <c r="B140" s="28">
        <f t="shared" ref="B140:E140" si="848">B139</f>
        <v>45903</v>
      </c>
      <c r="C140" s="28">
        <f t="shared" si="848"/>
        <v>45903</v>
      </c>
      <c r="D140" s="12">
        <f t="shared" si="848"/>
        <v>3</v>
      </c>
      <c r="E140" s="10">
        <f t="shared" si="848"/>
        <v>11</v>
      </c>
      <c r="F140" s="13"/>
      <c r="G140" s="69"/>
      <c r="H140" s="70">
        <f t="shared" ref="H140:L140" si="849">H139</f>
        <v>25.6</v>
      </c>
      <c r="I140" s="37">
        <f t="shared" si="849"/>
        <v>0</v>
      </c>
      <c r="J140" s="35">
        <f t="shared" si="849"/>
        <v>16</v>
      </c>
      <c r="K140" s="122">
        <f t="shared" si="849"/>
        <v>8.1690000000000005</v>
      </c>
      <c r="L140" s="122">
        <f t="shared" si="849"/>
        <v>0.879</v>
      </c>
      <c r="M140" s="126"/>
      <c r="N140" s="126"/>
      <c r="O140" s="32">
        <f t="shared" ref="O140:P140" si="850">O139</f>
        <v>100.65</v>
      </c>
      <c r="P140" s="33" t="str">
        <f t="shared" si="850"/>
        <v>2,31,180</v>
      </c>
      <c r="Q140" s="11" t="str">
        <f t="shared" si="470"/>
        <v>2</v>
      </c>
      <c r="R140" s="11" t="str">
        <f t="shared" si="471"/>
        <v>31,180</v>
      </c>
      <c r="S140" s="11">
        <f t="shared" si="472"/>
        <v>4.1994444444444445E-2</v>
      </c>
      <c r="T140" s="14">
        <f t="shared" si="473"/>
        <v>2396.7456012700095</v>
      </c>
      <c r="U140" s="38">
        <f t="shared" si="474"/>
        <v>-100</v>
      </c>
      <c r="V140" s="39">
        <f t="shared" ref="V140:W140" si="851">V139</f>
        <v>19.8</v>
      </c>
      <c r="W140" s="124">
        <f t="shared" si="851"/>
        <v>1.08</v>
      </c>
      <c r="X140" s="124">
        <f t="shared" si="831"/>
        <v>1.075</v>
      </c>
      <c r="Y140" s="126"/>
      <c r="Z140" s="126"/>
      <c r="AA140" s="90">
        <f t="shared" ref="AA140:AB140" si="852">AA139</f>
        <v>5.0149999999999997</v>
      </c>
      <c r="AB140" s="73" t="str">
        <f t="shared" si="852"/>
        <v>9,05,040</v>
      </c>
      <c r="AC140" s="11" t="str">
        <f t="shared" si="477"/>
        <v>9,</v>
      </c>
      <c r="AD140" s="11" t="str">
        <f t="shared" si="478"/>
        <v>05,040</v>
      </c>
      <c r="AE140" s="11">
        <f t="shared" si="479"/>
        <v>0.15139999999999998</v>
      </c>
      <c r="AF140" s="14">
        <f t="shared" si="480"/>
        <v>33.124174372523122</v>
      </c>
      <c r="AG140" s="40">
        <f t="shared" si="481"/>
        <v>-100</v>
      </c>
      <c r="AH140" s="39">
        <f t="shared" si="846"/>
        <v>19.600000000000001</v>
      </c>
      <c r="AI140" s="124">
        <f t="shared" si="846"/>
        <v>1.0860000000000001</v>
      </c>
      <c r="AJ140" s="124">
        <f t="shared" si="846"/>
        <v>1.0780000000000001</v>
      </c>
      <c r="AK140" s="126">
        <f t="shared" si="482"/>
        <v>0</v>
      </c>
      <c r="AL140" s="126"/>
      <c r="AM140" s="34">
        <f t="shared" ref="AM140:AN140" si="853">AM139</f>
        <v>2.0059999999999998</v>
      </c>
      <c r="AN140" s="33" t="str">
        <f t="shared" si="853"/>
        <v>5,40,620</v>
      </c>
      <c r="AO140" s="11" t="str">
        <f t="shared" si="484"/>
        <v>5,</v>
      </c>
      <c r="AP140" s="11" t="str">
        <f t="shared" si="485"/>
        <v>40,620</v>
      </c>
      <c r="AQ140" s="11">
        <f t="shared" si="486"/>
        <v>9.4616666666666668E-2</v>
      </c>
      <c r="AR140" s="14">
        <f t="shared" si="487"/>
        <v>21.201338735247486</v>
      </c>
      <c r="AS140" s="40">
        <f t="shared" si="488"/>
        <v>-100</v>
      </c>
      <c r="AT140" s="41" t="str">
        <f t="shared" si="489"/>
        <v>NO CONFORME</v>
      </c>
      <c r="AU140" s="8" t="b">
        <f t="shared" si="834"/>
        <v>1</v>
      </c>
      <c r="AV140" s="8" t="b">
        <f t="shared" si="835"/>
        <v>0</v>
      </c>
      <c r="AW140" s="8" t="b">
        <f t="shared" si="836"/>
        <v>1</v>
      </c>
      <c r="AX140" s="8" t="str">
        <f t="shared" si="837"/>
        <v>Qcorrecto</v>
      </c>
      <c r="AY140" s="22" t="str">
        <f t="shared" si="817"/>
        <v>aceptable</v>
      </c>
      <c r="AZ140" s="22" t="str">
        <f t="shared" si="818"/>
        <v>aceptable</v>
      </c>
      <c r="BA140" s="22" t="str">
        <f t="shared" si="838"/>
        <v>aceptable</v>
      </c>
      <c r="BB140" s="25" t="str">
        <f t="shared" si="839"/>
        <v>NO CONFORME</v>
      </c>
      <c r="BC140" s="5" t="str">
        <f t="shared" si="840"/>
        <v>NO CONFORME</v>
      </c>
      <c r="BD140" s="15">
        <f t="shared" si="819"/>
        <v>-1</v>
      </c>
      <c r="BE140" s="15">
        <f t="shared" si="820"/>
        <v>-1</v>
      </c>
      <c r="BF140" s="15">
        <f t="shared" si="821"/>
        <v>-1</v>
      </c>
      <c r="BG140" s="15" t="str">
        <f t="shared" si="822"/>
        <v>-1-1-1</v>
      </c>
      <c r="BH140" s="15" t="str">
        <f t="shared" si="823"/>
        <v>SD</v>
      </c>
      <c r="BI140" s="15" t="str">
        <f t="shared" si="824"/>
        <v>SI</v>
      </c>
      <c r="BJ140" s="15" t="b">
        <f t="shared" si="825"/>
        <v>1</v>
      </c>
      <c r="BK140" s="15" t="str">
        <f t="shared" si="826"/>
        <v>SIGIGUALES</v>
      </c>
      <c r="BL140" s="22" t="str">
        <f t="shared" si="827"/>
        <v>NO CONFORME</v>
      </c>
    </row>
    <row r="141" spans="1:64" ht="14.4" x14ac:dyDescent="0.3">
      <c r="A141" s="36">
        <v>133</v>
      </c>
      <c r="B141" s="28">
        <f t="shared" ref="B141:E141" si="854">B140</f>
        <v>45903</v>
      </c>
      <c r="C141" s="28">
        <f t="shared" si="854"/>
        <v>45903</v>
      </c>
      <c r="D141" s="12">
        <f t="shared" si="854"/>
        <v>3</v>
      </c>
      <c r="E141" s="10">
        <f t="shared" si="854"/>
        <v>11</v>
      </c>
      <c r="F141" s="13"/>
      <c r="G141" s="69"/>
      <c r="H141" s="70">
        <f t="shared" ref="H141:L141" si="855">H140</f>
        <v>25.6</v>
      </c>
      <c r="I141" s="37">
        <f t="shared" si="855"/>
        <v>0</v>
      </c>
      <c r="J141" s="35">
        <f t="shared" si="855"/>
        <v>16</v>
      </c>
      <c r="K141" s="122">
        <f t="shared" si="855"/>
        <v>8.1690000000000005</v>
      </c>
      <c r="L141" s="122">
        <f t="shared" si="855"/>
        <v>0.879</v>
      </c>
      <c r="M141" s="126"/>
      <c r="N141" s="126"/>
      <c r="O141" s="32">
        <f t="shared" ref="O141:P141" si="856">O140</f>
        <v>100.65</v>
      </c>
      <c r="P141" s="33" t="str">
        <f t="shared" si="856"/>
        <v>2,31,180</v>
      </c>
      <c r="Q141" s="11" t="str">
        <f t="shared" si="470"/>
        <v>2</v>
      </c>
      <c r="R141" s="11" t="str">
        <f t="shared" si="471"/>
        <v>31,180</v>
      </c>
      <c r="S141" s="11">
        <f t="shared" si="472"/>
        <v>4.1994444444444445E-2</v>
      </c>
      <c r="T141" s="14">
        <f t="shared" si="473"/>
        <v>2396.7456012700095</v>
      </c>
      <c r="U141" s="38">
        <f t="shared" si="474"/>
        <v>-100</v>
      </c>
      <c r="V141" s="39">
        <f t="shared" ref="V141:W141" si="857">V140</f>
        <v>19.8</v>
      </c>
      <c r="W141" s="124">
        <f t="shared" si="857"/>
        <v>1.08</v>
      </c>
      <c r="X141" s="124">
        <f t="shared" si="831"/>
        <v>1.075</v>
      </c>
      <c r="Y141" s="126"/>
      <c r="Z141" s="126"/>
      <c r="AA141" s="90">
        <f t="shared" ref="AA141:AB141" si="858">AA140</f>
        <v>5.0149999999999997</v>
      </c>
      <c r="AB141" s="73" t="str">
        <f t="shared" si="858"/>
        <v>9,05,040</v>
      </c>
      <c r="AC141" s="11" t="str">
        <f t="shared" si="477"/>
        <v>9,</v>
      </c>
      <c r="AD141" s="11" t="str">
        <f t="shared" si="478"/>
        <v>05,040</v>
      </c>
      <c r="AE141" s="11">
        <f t="shared" si="479"/>
        <v>0.15139999999999998</v>
      </c>
      <c r="AF141" s="14">
        <f t="shared" si="480"/>
        <v>33.124174372523122</v>
      </c>
      <c r="AG141" s="40">
        <f t="shared" si="481"/>
        <v>-100</v>
      </c>
      <c r="AH141" s="39">
        <f t="shared" si="846"/>
        <v>19.600000000000001</v>
      </c>
      <c r="AI141" s="124">
        <f t="shared" si="846"/>
        <v>1.0860000000000001</v>
      </c>
      <c r="AJ141" s="124">
        <f t="shared" si="846"/>
        <v>1.0780000000000001</v>
      </c>
      <c r="AK141" s="126">
        <f t="shared" si="482"/>
        <v>0</v>
      </c>
      <c r="AL141" s="126"/>
      <c r="AM141" s="34">
        <f t="shared" ref="AM141:AN141" si="859">AM140</f>
        <v>2.0059999999999998</v>
      </c>
      <c r="AN141" s="33" t="str">
        <f t="shared" si="859"/>
        <v>5,40,620</v>
      </c>
      <c r="AO141" s="11" t="str">
        <f t="shared" si="484"/>
        <v>5,</v>
      </c>
      <c r="AP141" s="11" t="str">
        <f t="shared" si="485"/>
        <v>40,620</v>
      </c>
      <c r="AQ141" s="11">
        <f t="shared" si="486"/>
        <v>9.4616666666666668E-2</v>
      </c>
      <c r="AR141" s="14">
        <f t="shared" si="487"/>
        <v>21.201338735247486</v>
      </c>
      <c r="AS141" s="40">
        <f t="shared" si="488"/>
        <v>-100</v>
      </c>
      <c r="AT141" s="41" t="str">
        <f t="shared" si="489"/>
        <v>NO CONFORME</v>
      </c>
      <c r="AU141" s="8" t="b">
        <f t="shared" si="834"/>
        <v>1</v>
      </c>
      <c r="AV141" s="8" t="b">
        <f t="shared" si="835"/>
        <v>0</v>
      </c>
      <c r="AW141" s="8" t="b">
        <f t="shared" si="836"/>
        <v>1</v>
      </c>
      <c r="AX141" s="8" t="str">
        <f t="shared" si="837"/>
        <v>Qcorrecto</v>
      </c>
      <c r="AY141" s="22" t="str">
        <f t="shared" si="817"/>
        <v>aceptable</v>
      </c>
      <c r="AZ141" s="22" t="str">
        <f t="shared" si="818"/>
        <v>aceptable</v>
      </c>
      <c r="BA141" s="22" t="str">
        <f t="shared" si="838"/>
        <v>aceptable</v>
      </c>
      <c r="BB141" s="25" t="str">
        <f t="shared" si="839"/>
        <v>NO CONFORME</v>
      </c>
      <c r="BC141" s="5" t="str">
        <f t="shared" si="840"/>
        <v>NO CONFORME</v>
      </c>
      <c r="BD141" s="15">
        <f t="shared" si="819"/>
        <v>-1</v>
      </c>
      <c r="BE141" s="15">
        <f t="shared" si="820"/>
        <v>-1</v>
      </c>
      <c r="BF141" s="15">
        <f t="shared" si="821"/>
        <v>-1</v>
      </c>
      <c r="BG141" s="15" t="str">
        <f t="shared" si="822"/>
        <v>-1-1-1</v>
      </c>
      <c r="BH141" s="15" t="str">
        <f t="shared" si="823"/>
        <v>SD</v>
      </c>
      <c r="BI141" s="15" t="str">
        <f t="shared" si="824"/>
        <v>SI</v>
      </c>
      <c r="BJ141" s="15" t="b">
        <f t="shared" si="825"/>
        <v>1</v>
      </c>
      <c r="BK141" s="15" t="str">
        <f t="shared" si="826"/>
        <v>SIGIGUALES</v>
      </c>
      <c r="BL141" s="22" t="str">
        <f t="shared" si="827"/>
        <v>NO CONFORME</v>
      </c>
    </row>
    <row r="142" spans="1:64" ht="14.4" x14ac:dyDescent="0.3">
      <c r="A142" s="36">
        <v>134</v>
      </c>
      <c r="B142" s="28">
        <f t="shared" ref="B142:E142" si="860">B141</f>
        <v>45903</v>
      </c>
      <c r="C142" s="28">
        <f t="shared" si="860"/>
        <v>45903</v>
      </c>
      <c r="D142" s="12">
        <f t="shared" si="860"/>
        <v>3</v>
      </c>
      <c r="E142" s="10">
        <f t="shared" si="860"/>
        <v>11</v>
      </c>
      <c r="F142" s="13"/>
      <c r="G142" s="69"/>
      <c r="H142" s="70">
        <f t="shared" ref="H142:L142" si="861">H141</f>
        <v>25.6</v>
      </c>
      <c r="I142" s="37">
        <f t="shared" si="861"/>
        <v>0</v>
      </c>
      <c r="J142" s="35">
        <f t="shared" si="861"/>
        <v>16</v>
      </c>
      <c r="K142" s="122">
        <f t="shared" si="861"/>
        <v>8.1690000000000005</v>
      </c>
      <c r="L142" s="122">
        <f t="shared" si="861"/>
        <v>0.879</v>
      </c>
      <c r="M142" s="126"/>
      <c r="N142" s="126"/>
      <c r="O142" s="32">
        <f t="shared" ref="O142:P142" si="862">O141</f>
        <v>100.65</v>
      </c>
      <c r="P142" s="33" t="str">
        <f t="shared" si="862"/>
        <v>2,31,180</v>
      </c>
      <c r="Q142" s="11" t="str">
        <f t="shared" si="470"/>
        <v>2</v>
      </c>
      <c r="R142" s="11" t="str">
        <f t="shared" si="471"/>
        <v>31,180</v>
      </c>
      <c r="S142" s="11">
        <f t="shared" si="472"/>
        <v>4.1994444444444445E-2</v>
      </c>
      <c r="T142" s="14">
        <f t="shared" si="473"/>
        <v>2396.7456012700095</v>
      </c>
      <c r="U142" s="38">
        <f t="shared" si="474"/>
        <v>-100</v>
      </c>
      <c r="V142" s="39">
        <f t="shared" ref="V142:W142" si="863">V141</f>
        <v>19.8</v>
      </c>
      <c r="W142" s="124">
        <f t="shared" si="863"/>
        <v>1.08</v>
      </c>
      <c r="X142" s="124">
        <f t="shared" si="831"/>
        <v>1.075</v>
      </c>
      <c r="Y142" s="126"/>
      <c r="Z142" s="126"/>
      <c r="AA142" s="90">
        <f t="shared" ref="AA142:AB142" si="864">AA141</f>
        <v>5.0149999999999997</v>
      </c>
      <c r="AB142" s="73" t="str">
        <f t="shared" si="864"/>
        <v>9,05,040</v>
      </c>
      <c r="AC142" s="11" t="str">
        <f t="shared" si="477"/>
        <v>9,</v>
      </c>
      <c r="AD142" s="11" t="str">
        <f t="shared" si="478"/>
        <v>05,040</v>
      </c>
      <c r="AE142" s="11">
        <f t="shared" si="479"/>
        <v>0.15139999999999998</v>
      </c>
      <c r="AF142" s="14">
        <f t="shared" si="480"/>
        <v>33.124174372523122</v>
      </c>
      <c r="AG142" s="40">
        <f t="shared" si="481"/>
        <v>-100</v>
      </c>
      <c r="AH142" s="39">
        <f t="shared" si="846"/>
        <v>19.600000000000001</v>
      </c>
      <c r="AI142" s="124">
        <f t="shared" si="846"/>
        <v>1.0860000000000001</v>
      </c>
      <c r="AJ142" s="124">
        <f t="shared" si="846"/>
        <v>1.0780000000000001</v>
      </c>
      <c r="AK142" s="126">
        <f t="shared" si="482"/>
        <v>0</v>
      </c>
      <c r="AL142" s="126"/>
      <c r="AM142" s="34">
        <f t="shared" ref="AM142:AN142" si="865">AM141</f>
        <v>2.0059999999999998</v>
      </c>
      <c r="AN142" s="33" t="str">
        <f t="shared" si="865"/>
        <v>5,40,620</v>
      </c>
      <c r="AO142" s="11" t="str">
        <f t="shared" si="484"/>
        <v>5,</v>
      </c>
      <c r="AP142" s="11" t="str">
        <f t="shared" si="485"/>
        <v>40,620</v>
      </c>
      <c r="AQ142" s="11">
        <f t="shared" si="486"/>
        <v>9.4616666666666668E-2</v>
      </c>
      <c r="AR142" s="14">
        <f t="shared" si="487"/>
        <v>21.201338735247486</v>
      </c>
      <c r="AS142" s="40">
        <f t="shared" si="488"/>
        <v>-100</v>
      </c>
      <c r="AT142" s="41" t="str">
        <f t="shared" si="489"/>
        <v>NO CONFORME</v>
      </c>
      <c r="AU142" s="8" t="b">
        <f t="shared" si="834"/>
        <v>1</v>
      </c>
      <c r="AV142" s="8" t="b">
        <f t="shared" si="835"/>
        <v>0</v>
      </c>
      <c r="AW142" s="8" t="b">
        <f t="shared" si="836"/>
        <v>1</v>
      </c>
      <c r="AX142" s="8" t="str">
        <f t="shared" si="837"/>
        <v>Qcorrecto</v>
      </c>
      <c r="AY142" s="22" t="str">
        <f t="shared" si="817"/>
        <v>aceptable</v>
      </c>
      <c r="AZ142" s="22" t="str">
        <f t="shared" si="818"/>
        <v>aceptable</v>
      </c>
      <c r="BA142" s="22" t="str">
        <f t="shared" si="838"/>
        <v>aceptable</v>
      </c>
      <c r="BB142" s="25" t="str">
        <f t="shared" si="839"/>
        <v>NO CONFORME</v>
      </c>
      <c r="BC142" s="5" t="str">
        <f t="shared" si="840"/>
        <v>NO CONFORME</v>
      </c>
      <c r="BD142" s="15">
        <f t="shared" si="819"/>
        <v>-1</v>
      </c>
      <c r="BE142" s="15">
        <f t="shared" si="820"/>
        <v>-1</v>
      </c>
      <c r="BF142" s="15">
        <f t="shared" si="821"/>
        <v>-1</v>
      </c>
      <c r="BG142" s="15" t="str">
        <f t="shared" si="822"/>
        <v>-1-1-1</v>
      </c>
      <c r="BH142" s="15" t="str">
        <f t="shared" si="823"/>
        <v>SD</v>
      </c>
      <c r="BI142" s="15" t="str">
        <f t="shared" si="824"/>
        <v>SI</v>
      </c>
      <c r="BJ142" s="15" t="b">
        <f t="shared" si="825"/>
        <v>1</v>
      </c>
      <c r="BK142" s="15" t="str">
        <f t="shared" si="826"/>
        <v>SIGIGUALES</v>
      </c>
      <c r="BL142" s="22" t="str">
        <f t="shared" si="827"/>
        <v>NO CONFORME</v>
      </c>
    </row>
    <row r="143" spans="1:64" ht="14.4" x14ac:dyDescent="0.3">
      <c r="A143" s="36">
        <v>135</v>
      </c>
      <c r="B143" s="28">
        <f t="shared" ref="B143:E143" si="866">B142</f>
        <v>45903</v>
      </c>
      <c r="C143" s="28">
        <f t="shared" si="866"/>
        <v>45903</v>
      </c>
      <c r="D143" s="12">
        <f t="shared" si="866"/>
        <v>3</v>
      </c>
      <c r="E143" s="10">
        <f t="shared" si="866"/>
        <v>11</v>
      </c>
      <c r="F143" s="13"/>
      <c r="G143" s="69"/>
      <c r="H143" s="70">
        <f t="shared" ref="H143:L143" si="867">H142</f>
        <v>25.6</v>
      </c>
      <c r="I143" s="37">
        <f t="shared" si="867"/>
        <v>0</v>
      </c>
      <c r="J143" s="35">
        <f t="shared" si="867"/>
        <v>16</v>
      </c>
      <c r="K143" s="122">
        <f t="shared" si="867"/>
        <v>8.1690000000000005</v>
      </c>
      <c r="L143" s="122">
        <f t="shared" si="867"/>
        <v>0.879</v>
      </c>
      <c r="M143" s="126"/>
      <c r="N143" s="126"/>
      <c r="O143" s="32">
        <f t="shared" ref="O143:P143" si="868">O142</f>
        <v>100.65</v>
      </c>
      <c r="P143" s="33" t="str">
        <f t="shared" si="868"/>
        <v>2,31,180</v>
      </c>
      <c r="Q143" s="11" t="str">
        <f t="shared" si="470"/>
        <v>2</v>
      </c>
      <c r="R143" s="11" t="str">
        <f t="shared" si="471"/>
        <v>31,180</v>
      </c>
      <c r="S143" s="11">
        <f t="shared" si="472"/>
        <v>4.1994444444444445E-2</v>
      </c>
      <c r="T143" s="14">
        <f t="shared" si="473"/>
        <v>2396.7456012700095</v>
      </c>
      <c r="U143" s="38">
        <f t="shared" si="474"/>
        <v>-100</v>
      </c>
      <c r="V143" s="39">
        <f t="shared" ref="V143:W143" si="869">V142</f>
        <v>19.8</v>
      </c>
      <c r="W143" s="124">
        <f t="shared" si="869"/>
        <v>1.08</v>
      </c>
      <c r="X143" s="124">
        <f t="shared" si="831"/>
        <v>1.075</v>
      </c>
      <c r="Y143" s="126"/>
      <c r="Z143" s="126"/>
      <c r="AA143" s="90">
        <f t="shared" ref="AA143:AB143" si="870">AA142</f>
        <v>5.0149999999999997</v>
      </c>
      <c r="AB143" s="73" t="str">
        <f t="shared" si="870"/>
        <v>9,05,040</v>
      </c>
      <c r="AC143" s="11" t="str">
        <f t="shared" si="477"/>
        <v>9,</v>
      </c>
      <c r="AD143" s="11" t="str">
        <f t="shared" si="478"/>
        <v>05,040</v>
      </c>
      <c r="AE143" s="11">
        <f t="shared" si="479"/>
        <v>0.15139999999999998</v>
      </c>
      <c r="AF143" s="14">
        <f t="shared" si="480"/>
        <v>33.124174372523122</v>
      </c>
      <c r="AG143" s="40">
        <f t="shared" si="481"/>
        <v>-100</v>
      </c>
      <c r="AH143" s="39">
        <f t="shared" si="846"/>
        <v>19.600000000000001</v>
      </c>
      <c r="AI143" s="124">
        <f t="shared" si="846"/>
        <v>1.0860000000000001</v>
      </c>
      <c r="AJ143" s="124">
        <f t="shared" si="846"/>
        <v>1.0780000000000001</v>
      </c>
      <c r="AK143" s="126">
        <f t="shared" si="482"/>
        <v>0</v>
      </c>
      <c r="AL143" s="126"/>
      <c r="AM143" s="34">
        <f t="shared" ref="AM143:AN143" si="871">AM142</f>
        <v>2.0059999999999998</v>
      </c>
      <c r="AN143" s="33" t="str">
        <f t="shared" si="871"/>
        <v>5,40,620</v>
      </c>
      <c r="AO143" s="11" t="str">
        <f t="shared" si="484"/>
        <v>5,</v>
      </c>
      <c r="AP143" s="11" t="str">
        <f t="shared" si="485"/>
        <v>40,620</v>
      </c>
      <c r="AQ143" s="11">
        <f t="shared" si="486"/>
        <v>9.4616666666666668E-2</v>
      </c>
      <c r="AR143" s="14">
        <f t="shared" si="487"/>
        <v>21.201338735247486</v>
      </c>
      <c r="AS143" s="40">
        <f t="shared" si="488"/>
        <v>-100</v>
      </c>
      <c r="AT143" s="41" t="str">
        <f t="shared" si="489"/>
        <v>NO CONFORME</v>
      </c>
      <c r="AU143" s="8" t="b">
        <f t="shared" si="834"/>
        <v>1</v>
      </c>
      <c r="AV143" s="8" t="b">
        <f t="shared" si="835"/>
        <v>0</v>
      </c>
      <c r="AW143" s="8" t="b">
        <f t="shared" si="836"/>
        <v>1</v>
      </c>
      <c r="AX143" s="8" t="str">
        <f t="shared" si="837"/>
        <v>Qcorrecto</v>
      </c>
      <c r="AY143" s="22" t="str">
        <f t="shared" si="817"/>
        <v>aceptable</v>
      </c>
      <c r="AZ143" s="22" t="str">
        <f t="shared" si="818"/>
        <v>aceptable</v>
      </c>
      <c r="BA143" s="22" t="str">
        <f t="shared" si="838"/>
        <v>aceptable</v>
      </c>
      <c r="BB143" s="25" t="str">
        <f t="shared" si="839"/>
        <v>NO CONFORME</v>
      </c>
      <c r="BC143" s="5" t="str">
        <f t="shared" si="840"/>
        <v>NO CONFORME</v>
      </c>
      <c r="BD143" s="15">
        <f t="shared" si="819"/>
        <v>-1</v>
      </c>
      <c r="BE143" s="15">
        <f t="shared" si="820"/>
        <v>-1</v>
      </c>
      <c r="BF143" s="15">
        <f t="shared" si="821"/>
        <v>-1</v>
      </c>
      <c r="BG143" s="15" t="str">
        <f t="shared" si="822"/>
        <v>-1-1-1</v>
      </c>
      <c r="BH143" s="15" t="str">
        <f t="shared" si="823"/>
        <v>SD</v>
      </c>
      <c r="BI143" s="15" t="str">
        <f t="shared" si="824"/>
        <v>SI</v>
      </c>
      <c r="BJ143" s="15" t="b">
        <f t="shared" si="825"/>
        <v>1</v>
      </c>
      <c r="BK143" s="15" t="str">
        <f t="shared" si="826"/>
        <v>SIGIGUALES</v>
      </c>
      <c r="BL143" s="22" t="str">
        <f t="shared" si="827"/>
        <v>NO CONFORME</v>
      </c>
    </row>
    <row r="144" spans="1:64" ht="14.4" x14ac:dyDescent="0.3">
      <c r="A144" s="36">
        <v>136</v>
      </c>
      <c r="B144" s="28">
        <f t="shared" ref="B144:E144" si="872">B143</f>
        <v>45903</v>
      </c>
      <c r="C144" s="28">
        <f t="shared" si="872"/>
        <v>45903</v>
      </c>
      <c r="D144" s="12">
        <f t="shared" si="872"/>
        <v>3</v>
      </c>
      <c r="E144" s="10">
        <f t="shared" si="872"/>
        <v>11</v>
      </c>
      <c r="F144" s="13"/>
      <c r="G144" s="69"/>
      <c r="H144" s="70">
        <f t="shared" ref="H144:L144" si="873">H143</f>
        <v>25.6</v>
      </c>
      <c r="I144" s="37">
        <f t="shared" si="873"/>
        <v>0</v>
      </c>
      <c r="J144" s="35">
        <f t="shared" si="873"/>
        <v>16</v>
      </c>
      <c r="K144" s="122">
        <f t="shared" si="873"/>
        <v>8.1690000000000005</v>
      </c>
      <c r="L144" s="122">
        <f t="shared" si="873"/>
        <v>0.879</v>
      </c>
      <c r="M144" s="126"/>
      <c r="N144" s="126"/>
      <c r="O144" s="32">
        <f t="shared" ref="O144:P144" si="874">O143</f>
        <v>100.65</v>
      </c>
      <c r="P144" s="33" t="str">
        <f t="shared" si="874"/>
        <v>2,31,180</v>
      </c>
      <c r="Q144" s="11" t="str">
        <f t="shared" si="470"/>
        <v>2</v>
      </c>
      <c r="R144" s="11" t="str">
        <f t="shared" si="471"/>
        <v>31,180</v>
      </c>
      <c r="S144" s="11">
        <f t="shared" si="472"/>
        <v>4.1994444444444445E-2</v>
      </c>
      <c r="T144" s="14">
        <f t="shared" si="473"/>
        <v>2396.7456012700095</v>
      </c>
      <c r="U144" s="38">
        <f t="shared" si="474"/>
        <v>-100</v>
      </c>
      <c r="V144" s="39">
        <f t="shared" ref="V144:W144" si="875">V143</f>
        <v>19.8</v>
      </c>
      <c r="W144" s="124">
        <f t="shared" si="875"/>
        <v>1.08</v>
      </c>
      <c r="X144" s="124">
        <f t="shared" si="831"/>
        <v>1.075</v>
      </c>
      <c r="Y144" s="126"/>
      <c r="Z144" s="126"/>
      <c r="AA144" s="90">
        <f t="shared" ref="AA144:AB144" si="876">AA143</f>
        <v>5.0149999999999997</v>
      </c>
      <c r="AB144" s="73" t="str">
        <f t="shared" si="876"/>
        <v>9,05,040</v>
      </c>
      <c r="AC144" s="11" t="str">
        <f t="shared" si="477"/>
        <v>9,</v>
      </c>
      <c r="AD144" s="11" t="str">
        <f t="shared" si="478"/>
        <v>05,040</v>
      </c>
      <c r="AE144" s="11">
        <f t="shared" si="479"/>
        <v>0.15139999999999998</v>
      </c>
      <c r="AF144" s="14">
        <f t="shared" si="480"/>
        <v>33.124174372523122</v>
      </c>
      <c r="AG144" s="40">
        <f t="shared" si="481"/>
        <v>-100</v>
      </c>
      <c r="AH144" s="39">
        <f t="shared" si="846"/>
        <v>19.600000000000001</v>
      </c>
      <c r="AI144" s="124">
        <f t="shared" si="846"/>
        <v>1.0860000000000001</v>
      </c>
      <c r="AJ144" s="124">
        <f t="shared" si="846"/>
        <v>1.0780000000000001</v>
      </c>
      <c r="AK144" s="126">
        <f t="shared" si="482"/>
        <v>0</v>
      </c>
      <c r="AL144" s="126"/>
      <c r="AM144" s="34">
        <f t="shared" ref="AM144:AN144" si="877">AM143</f>
        <v>2.0059999999999998</v>
      </c>
      <c r="AN144" s="33" t="str">
        <f t="shared" si="877"/>
        <v>5,40,620</v>
      </c>
      <c r="AO144" s="11" t="str">
        <f t="shared" si="484"/>
        <v>5,</v>
      </c>
      <c r="AP144" s="11" t="str">
        <f t="shared" si="485"/>
        <v>40,620</v>
      </c>
      <c r="AQ144" s="11">
        <f t="shared" si="486"/>
        <v>9.4616666666666668E-2</v>
      </c>
      <c r="AR144" s="14">
        <f t="shared" si="487"/>
        <v>21.201338735247486</v>
      </c>
      <c r="AS144" s="40">
        <f t="shared" si="488"/>
        <v>-100</v>
      </c>
      <c r="AT144" s="41" t="str">
        <f t="shared" si="489"/>
        <v>NO CONFORME</v>
      </c>
      <c r="AU144" s="8" t="b">
        <f t="shared" si="834"/>
        <v>1</v>
      </c>
      <c r="AV144" s="8" t="b">
        <f t="shared" si="835"/>
        <v>0</v>
      </c>
      <c r="AW144" s="8" t="b">
        <f t="shared" si="836"/>
        <v>1</v>
      </c>
      <c r="AX144" s="8" t="str">
        <f t="shared" si="837"/>
        <v>Qcorrecto</v>
      </c>
      <c r="AY144" s="22" t="str">
        <f t="shared" si="817"/>
        <v>aceptable</v>
      </c>
      <c r="AZ144" s="22" t="str">
        <f t="shared" si="818"/>
        <v>aceptable</v>
      </c>
      <c r="BA144" s="22" t="str">
        <f t="shared" si="838"/>
        <v>aceptable</v>
      </c>
      <c r="BB144" s="25" t="str">
        <f t="shared" si="839"/>
        <v>NO CONFORME</v>
      </c>
      <c r="BC144" s="5" t="str">
        <f t="shared" si="840"/>
        <v>NO CONFORME</v>
      </c>
      <c r="BD144" s="15">
        <f t="shared" si="819"/>
        <v>-1</v>
      </c>
      <c r="BE144" s="15">
        <f t="shared" si="820"/>
        <v>-1</v>
      </c>
      <c r="BF144" s="15">
        <f t="shared" si="821"/>
        <v>-1</v>
      </c>
      <c r="BG144" s="15" t="str">
        <f t="shared" si="822"/>
        <v>-1-1-1</v>
      </c>
      <c r="BH144" s="15" t="str">
        <f t="shared" si="823"/>
        <v>SD</v>
      </c>
      <c r="BI144" s="15" t="str">
        <f t="shared" si="824"/>
        <v>SI</v>
      </c>
      <c r="BJ144" s="15" t="b">
        <f t="shared" si="825"/>
        <v>1</v>
      </c>
      <c r="BK144" s="15" t="str">
        <f t="shared" si="826"/>
        <v>SIGIGUALES</v>
      </c>
      <c r="BL144" s="22" t="str">
        <f t="shared" si="827"/>
        <v>NO CONFORME</v>
      </c>
    </row>
    <row r="145" spans="1:64" ht="14.4" x14ac:dyDescent="0.3">
      <c r="A145" s="36">
        <v>137</v>
      </c>
      <c r="B145" s="28">
        <f t="shared" ref="B145:E145" si="878">B144</f>
        <v>45903</v>
      </c>
      <c r="C145" s="28">
        <f t="shared" si="878"/>
        <v>45903</v>
      </c>
      <c r="D145" s="12">
        <f t="shared" si="878"/>
        <v>3</v>
      </c>
      <c r="E145" s="10">
        <f t="shared" si="878"/>
        <v>11</v>
      </c>
      <c r="F145" s="13"/>
      <c r="G145" s="69"/>
      <c r="H145" s="70">
        <f t="shared" ref="H145:L145" si="879">H144</f>
        <v>25.6</v>
      </c>
      <c r="I145" s="37">
        <f t="shared" si="879"/>
        <v>0</v>
      </c>
      <c r="J145" s="35">
        <f t="shared" si="879"/>
        <v>16</v>
      </c>
      <c r="K145" s="122">
        <f t="shared" si="879"/>
        <v>8.1690000000000005</v>
      </c>
      <c r="L145" s="122">
        <f t="shared" si="879"/>
        <v>0.879</v>
      </c>
      <c r="M145" s="126"/>
      <c r="N145" s="126"/>
      <c r="O145" s="32">
        <f t="shared" ref="O145:P145" si="880">O144</f>
        <v>100.65</v>
      </c>
      <c r="P145" s="33" t="str">
        <f t="shared" si="880"/>
        <v>2,31,180</v>
      </c>
      <c r="Q145" s="11" t="str">
        <f t="shared" si="470"/>
        <v>2</v>
      </c>
      <c r="R145" s="11" t="str">
        <f t="shared" si="471"/>
        <v>31,180</v>
      </c>
      <c r="S145" s="11">
        <f t="shared" si="472"/>
        <v>4.1994444444444445E-2</v>
      </c>
      <c r="T145" s="14">
        <f t="shared" si="473"/>
        <v>2396.7456012700095</v>
      </c>
      <c r="U145" s="38">
        <f t="shared" si="474"/>
        <v>-100</v>
      </c>
      <c r="V145" s="39">
        <f t="shared" ref="V145:W145" si="881">V144</f>
        <v>19.8</v>
      </c>
      <c r="W145" s="124">
        <f t="shared" si="881"/>
        <v>1.08</v>
      </c>
      <c r="X145" s="124">
        <f t="shared" si="831"/>
        <v>1.075</v>
      </c>
      <c r="Y145" s="126"/>
      <c r="Z145" s="126"/>
      <c r="AA145" s="90">
        <f t="shared" ref="AA145:AB145" si="882">AA144</f>
        <v>5.0149999999999997</v>
      </c>
      <c r="AB145" s="73" t="str">
        <f t="shared" si="882"/>
        <v>9,05,040</v>
      </c>
      <c r="AC145" s="11" t="str">
        <f t="shared" si="477"/>
        <v>9,</v>
      </c>
      <c r="AD145" s="11" t="str">
        <f t="shared" si="478"/>
        <v>05,040</v>
      </c>
      <c r="AE145" s="11">
        <f t="shared" si="479"/>
        <v>0.15139999999999998</v>
      </c>
      <c r="AF145" s="14">
        <f t="shared" si="480"/>
        <v>33.124174372523122</v>
      </c>
      <c r="AG145" s="40">
        <f t="shared" si="481"/>
        <v>-100</v>
      </c>
      <c r="AH145" s="39">
        <f t="shared" si="846"/>
        <v>19.600000000000001</v>
      </c>
      <c r="AI145" s="124">
        <f t="shared" si="846"/>
        <v>1.0860000000000001</v>
      </c>
      <c r="AJ145" s="124">
        <f t="shared" si="846"/>
        <v>1.0780000000000001</v>
      </c>
      <c r="AK145" s="126">
        <f t="shared" si="482"/>
        <v>0</v>
      </c>
      <c r="AL145" s="126"/>
      <c r="AM145" s="34">
        <f t="shared" ref="AM145:AN145" si="883">AM144</f>
        <v>2.0059999999999998</v>
      </c>
      <c r="AN145" s="33" t="str">
        <f t="shared" si="883"/>
        <v>5,40,620</v>
      </c>
      <c r="AO145" s="11" t="str">
        <f t="shared" si="484"/>
        <v>5,</v>
      </c>
      <c r="AP145" s="11" t="str">
        <f t="shared" si="485"/>
        <v>40,620</v>
      </c>
      <c r="AQ145" s="11">
        <f t="shared" si="486"/>
        <v>9.4616666666666668E-2</v>
      </c>
      <c r="AR145" s="14">
        <f t="shared" si="487"/>
        <v>21.201338735247486</v>
      </c>
      <c r="AS145" s="40">
        <f t="shared" si="488"/>
        <v>-100</v>
      </c>
      <c r="AT145" s="41" t="str">
        <f t="shared" si="489"/>
        <v>NO CONFORME</v>
      </c>
      <c r="AU145" s="8" t="b">
        <f t="shared" si="834"/>
        <v>1</v>
      </c>
      <c r="AV145" s="8" t="b">
        <f t="shared" si="835"/>
        <v>0</v>
      </c>
      <c r="AW145" s="8" t="b">
        <f t="shared" si="836"/>
        <v>1</v>
      </c>
      <c r="AX145" s="8" t="str">
        <f t="shared" si="837"/>
        <v>Qcorrecto</v>
      </c>
      <c r="AY145" s="22" t="str">
        <f t="shared" si="817"/>
        <v>aceptable</v>
      </c>
      <c r="AZ145" s="22" t="str">
        <f t="shared" si="818"/>
        <v>aceptable</v>
      </c>
      <c r="BA145" s="22" t="str">
        <f t="shared" si="838"/>
        <v>aceptable</v>
      </c>
      <c r="BB145" s="25" t="str">
        <f t="shared" si="839"/>
        <v>NO CONFORME</v>
      </c>
      <c r="BC145" s="5" t="str">
        <f t="shared" si="840"/>
        <v>NO CONFORME</v>
      </c>
      <c r="BD145" s="15">
        <f t="shared" si="819"/>
        <v>-1</v>
      </c>
      <c r="BE145" s="15">
        <f t="shared" si="820"/>
        <v>-1</v>
      </c>
      <c r="BF145" s="15">
        <f t="shared" si="821"/>
        <v>-1</v>
      </c>
      <c r="BG145" s="15" t="str">
        <f t="shared" si="822"/>
        <v>-1-1-1</v>
      </c>
      <c r="BH145" s="15" t="str">
        <f t="shared" si="823"/>
        <v>SD</v>
      </c>
      <c r="BI145" s="15" t="str">
        <f t="shared" si="824"/>
        <v>SI</v>
      </c>
      <c r="BJ145" s="15" t="b">
        <f t="shared" si="825"/>
        <v>1</v>
      </c>
      <c r="BK145" s="15" t="str">
        <f t="shared" si="826"/>
        <v>SIGIGUALES</v>
      </c>
      <c r="BL145" s="22" t="str">
        <f t="shared" si="827"/>
        <v>NO CONFORME</v>
      </c>
    </row>
    <row r="146" spans="1:64" ht="14.4" x14ac:dyDescent="0.3">
      <c r="A146" s="36">
        <v>138</v>
      </c>
      <c r="B146" s="28">
        <f t="shared" ref="B146:E146" si="884">B145</f>
        <v>45903</v>
      </c>
      <c r="C146" s="28">
        <f t="shared" si="884"/>
        <v>45903</v>
      </c>
      <c r="D146" s="12">
        <f t="shared" si="884"/>
        <v>3</v>
      </c>
      <c r="E146" s="10">
        <f t="shared" si="884"/>
        <v>11</v>
      </c>
      <c r="F146" s="13"/>
      <c r="G146" s="69"/>
      <c r="H146" s="70">
        <f t="shared" ref="H146:L146" si="885">H145</f>
        <v>25.6</v>
      </c>
      <c r="I146" s="37">
        <f t="shared" si="885"/>
        <v>0</v>
      </c>
      <c r="J146" s="35">
        <f t="shared" si="885"/>
        <v>16</v>
      </c>
      <c r="K146" s="122">
        <f t="shared" si="885"/>
        <v>8.1690000000000005</v>
      </c>
      <c r="L146" s="122">
        <f t="shared" si="885"/>
        <v>0.879</v>
      </c>
      <c r="M146" s="126"/>
      <c r="N146" s="126"/>
      <c r="O146" s="32">
        <f t="shared" ref="O146:P146" si="886">O145</f>
        <v>100.65</v>
      </c>
      <c r="P146" s="33" t="str">
        <f t="shared" si="886"/>
        <v>2,31,180</v>
      </c>
      <c r="Q146" s="11" t="str">
        <f t="shared" si="470"/>
        <v>2</v>
      </c>
      <c r="R146" s="11" t="str">
        <f t="shared" si="471"/>
        <v>31,180</v>
      </c>
      <c r="S146" s="11">
        <f t="shared" si="472"/>
        <v>4.1994444444444445E-2</v>
      </c>
      <c r="T146" s="14">
        <f t="shared" si="473"/>
        <v>2396.7456012700095</v>
      </c>
      <c r="U146" s="38">
        <f t="shared" si="474"/>
        <v>-100</v>
      </c>
      <c r="V146" s="39">
        <f t="shared" ref="V146:W146" si="887">V145</f>
        <v>19.8</v>
      </c>
      <c r="W146" s="124">
        <f t="shared" si="887"/>
        <v>1.08</v>
      </c>
      <c r="X146" s="124">
        <f t="shared" si="831"/>
        <v>1.075</v>
      </c>
      <c r="Y146" s="126"/>
      <c r="Z146" s="126"/>
      <c r="AA146" s="90">
        <f t="shared" ref="AA146:AB146" si="888">AA145</f>
        <v>5.0149999999999997</v>
      </c>
      <c r="AB146" s="73" t="str">
        <f t="shared" si="888"/>
        <v>9,05,040</v>
      </c>
      <c r="AC146" s="11" t="str">
        <f t="shared" si="477"/>
        <v>9,</v>
      </c>
      <c r="AD146" s="11" t="str">
        <f t="shared" si="478"/>
        <v>05,040</v>
      </c>
      <c r="AE146" s="11">
        <f t="shared" si="479"/>
        <v>0.15139999999999998</v>
      </c>
      <c r="AF146" s="14">
        <f t="shared" si="480"/>
        <v>33.124174372523122</v>
      </c>
      <c r="AG146" s="40">
        <f t="shared" si="481"/>
        <v>-100</v>
      </c>
      <c r="AH146" s="39">
        <f t="shared" si="846"/>
        <v>19.600000000000001</v>
      </c>
      <c r="AI146" s="124">
        <f t="shared" si="846"/>
        <v>1.0860000000000001</v>
      </c>
      <c r="AJ146" s="124">
        <f t="shared" si="846"/>
        <v>1.0780000000000001</v>
      </c>
      <c r="AK146" s="126">
        <f t="shared" si="482"/>
        <v>0</v>
      </c>
      <c r="AL146" s="126"/>
      <c r="AM146" s="34">
        <f t="shared" ref="AM146:AN146" si="889">AM145</f>
        <v>2.0059999999999998</v>
      </c>
      <c r="AN146" s="33" t="str">
        <f t="shared" si="889"/>
        <v>5,40,620</v>
      </c>
      <c r="AO146" s="11" t="str">
        <f t="shared" si="484"/>
        <v>5,</v>
      </c>
      <c r="AP146" s="11" t="str">
        <f t="shared" si="485"/>
        <v>40,620</v>
      </c>
      <c r="AQ146" s="11">
        <f t="shared" si="486"/>
        <v>9.4616666666666668E-2</v>
      </c>
      <c r="AR146" s="14">
        <f t="shared" si="487"/>
        <v>21.201338735247486</v>
      </c>
      <c r="AS146" s="40">
        <f t="shared" si="488"/>
        <v>-100</v>
      </c>
      <c r="AT146" s="41" t="str">
        <f t="shared" si="489"/>
        <v>NO CONFORME</v>
      </c>
      <c r="AU146" s="8" t="b">
        <f t="shared" si="834"/>
        <v>1</v>
      </c>
      <c r="AV146" s="8" t="b">
        <f t="shared" si="835"/>
        <v>0</v>
      </c>
      <c r="AW146" s="8" t="b">
        <f t="shared" si="836"/>
        <v>1</v>
      </c>
      <c r="AX146" s="8" t="str">
        <f t="shared" si="837"/>
        <v>Qcorrecto</v>
      </c>
      <c r="AY146" s="22" t="str">
        <f t="shared" si="817"/>
        <v>aceptable</v>
      </c>
      <c r="AZ146" s="22" t="str">
        <f t="shared" si="818"/>
        <v>aceptable</v>
      </c>
      <c r="BA146" s="22" t="str">
        <f t="shared" si="838"/>
        <v>aceptable</v>
      </c>
      <c r="BB146" s="25" t="str">
        <f t="shared" si="839"/>
        <v>NO CONFORME</v>
      </c>
      <c r="BC146" s="5" t="str">
        <f t="shared" si="840"/>
        <v>NO CONFORME</v>
      </c>
      <c r="BD146" s="15">
        <f t="shared" si="819"/>
        <v>-1</v>
      </c>
      <c r="BE146" s="15">
        <f t="shared" si="820"/>
        <v>-1</v>
      </c>
      <c r="BF146" s="15">
        <f t="shared" si="821"/>
        <v>-1</v>
      </c>
      <c r="BG146" s="15" t="str">
        <f t="shared" si="822"/>
        <v>-1-1-1</v>
      </c>
      <c r="BH146" s="15" t="str">
        <f t="shared" si="823"/>
        <v>SD</v>
      </c>
      <c r="BI146" s="15" t="str">
        <f t="shared" si="824"/>
        <v>SI</v>
      </c>
      <c r="BJ146" s="15" t="b">
        <f t="shared" si="825"/>
        <v>1</v>
      </c>
      <c r="BK146" s="15" t="str">
        <f t="shared" si="826"/>
        <v>SIGIGUALES</v>
      </c>
      <c r="BL146" s="22" t="str">
        <f t="shared" si="827"/>
        <v>NO CONFORME</v>
      </c>
    </row>
    <row r="147" spans="1:64" ht="14.4" x14ac:dyDescent="0.3">
      <c r="A147" s="36">
        <v>139</v>
      </c>
      <c r="B147" s="28">
        <f t="shared" ref="B147:E147" si="890">B146</f>
        <v>45903</v>
      </c>
      <c r="C147" s="28">
        <f t="shared" si="890"/>
        <v>45903</v>
      </c>
      <c r="D147" s="12">
        <f t="shared" si="890"/>
        <v>3</v>
      </c>
      <c r="E147" s="10">
        <f t="shared" si="890"/>
        <v>11</v>
      </c>
      <c r="F147" s="13"/>
      <c r="G147" s="69"/>
      <c r="H147" s="70">
        <f t="shared" ref="H147:L147" si="891">H146</f>
        <v>25.6</v>
      </c>
      <c r="I147" s="37">
        <f t="shared" si="891"/>
        <v>0</v>
      </c>
      <c r="J147" s="35">
        <f t="shared" si="891"/>
        <v>16</v>
      </c>
      <c r="K147" s="122">
        <f t="shared" si="891"/>
        <v>8.1690000000000005</v>
      </c>
      <c r="L147" s="122">
        <f t="shared" si="891"/>
        <v>0.879</v>
      </c>
      <c r="M147" s="126"/>
      <c r="N147" s="126"/>
      <c r="O147" s="32">
        <f t="shared" ref="O147:P147" si="892">O146</f>
        <v>100.65</v>
      </c>
      <c r="P147" s="33" t="str">
        <f t="shared" si="892"/>
        <v>2,31,180</v>
      </c>
      <c r="Q147" s="11" t="str">
        <f t="shared" ref="Q147:Q210" si="893">LEFT(P147,1)</f>
        <v>2</v>
      </c>
      <c r="R147" s="11" t="str">
        <f t="shared" ref="R147:R210" si="894">RIGHT(P147,6)</f>
        <v>31,180</v>
      </c>
      <c r="S147" s="11">
        <f t="shared" ref="S147:S210" si="895">+(Q147*60+R147)/(60*60)</f>
        <v>4.1994444444444445E-2</v>
      </c>
      <c r="T147" s="14">
        <f t="shared" ref="T147:T210" si="896">+O147/S147</f>
        <v>2396.7456012700095</v>
      </c>
      <c r="U147" s="38">
        <f t="shared" ref="U147:U210" si="897">+(((N147-M147-O147)/O147)*100)</f>
        <v>-100</v>
      </c>
      <c r="V147" s="39">
        <f t="shared" ref="V147:W147" si="898">V146</f>
        <v>19.8</v>
      </c>
      <c r="W147" s="124">
        <f t="shared" si="898"/>
        <v>1.08</v>
      </c>
      <c r="X147" s="124">
        <f t="shared" si="831"/>
        <v>1.075</v>
      </c>
      <c r="Y147" s="126"/>
      <c r="Z147" s="126"/>
      <c r="AA147" s="90">
        <f t="shared" ref="AA147:AB147" si="899">AA146</f>
        <v>5.0149999999999997</v>
      </c>
      <c r="AB147" s="73" t="str">
        <f t="shared" si="899"/>
        <v>9,05,040</v>
      </c>
      <c r="AC147" s="11" t="str">
        <f t="shared" ref="AC147:AC210" si="900">LEFT(AB147,2)</f>
        <v>9,</v>
      </c>
      <c r="AD147" s="11" t="str">
        <f t="shared" ref="AD147:AD210" si="901">RIGHT(AB147,6)</f>
        <v>05,040</v>
      </c>
      <c r="AE147" s="11">
        <f t="shared" ref="AE147:AE210" si="902">+(AC147*60+AD147)/(60*60)</f>
        <v>0.15139999999999998</v>
      </c>
      <c r="AF147" s="14">
        <f t="shared" ref="AF147:AF210" si="903">+AA147/AE147</f>
        <v>33.124174372523122</v>
      </c>
      <c r="AG147" s="40">
        <f t="shared" ref="AG147:AG210" si="904">+(((Z147-Y147-AA147)/AA147)*100)</f>
        <v>-100</v>
      </c>
      <c r="AH147" s="39">
        <f t="shared" si="846"/>
        <v>19.600000000000001</v>
      </c>
      <c r="AI147" s="124">
        <f t="shared" si="846"/>
        <v>1.0860000000000001</v>
      </c>
      <c r="AJ147" s="124">
        <f t="shared" si="846"/>
        <v>1.0780000000000001</v>
      </c>
      <c r="AK147" s="126">
        <f t="shared" ref="AK147:AK210" si="905">Z147</f>
        <v>0</v>
      </c>
      <c r="AL147" s="126"/>
      <c r="AM147" s="34">
        <f t="shared" ref="AM147:AN147" si="906">AM146</f>
        <v>2.0059999999999998</v>
      </c>
      <c r="AN147" s="33" t="str">
        <f t="shared" si="906"/>
        <v>5,40,620</v>
      </c>
      <c r="AO147" s="11" t="str">
        <f t="shared" ref="AO147:AO210" si="907">LEFT(AN147,2)</f>
        <v>5,</v>
      </c>
      <c r="AP147" s="11" t="str">
        <f t="shared" ref="AP147:AP210" si="908">RIGHT(AN147,6)</f>
        <v>40,620</v>
      </c>
      <c r="AQ147" s="11">
        <f t="shared" ref="AQ147:AQ210" si="909">+(AO147*60+AP147)/(60*60)</f>
        <v>9.4616666666666668E-2</v>
      </c>
      <c r="AR147" s="14">
        <f t="shared" ref="AR147:AR210" si="910">+AM147/AQ147</f>
        <v>21.201338735247486</v>
      </c>
      <c r="AS147" s="40">
        <f t="shared" ref="AS147:AS210" si="911">+(((AL147-AK147-AM147)/AM147)*100)</f>
        <v>-100</v>
      </c>
      <c r="AT147" s="41" t="str">
        <f t="shared" ref="AT147:AT210" si="912">IF(I147&gt;=1,"NO CONFORME",IF(BK147="SIGDIFERENTES",BC147,BL147))</f>
        <v>NO CONFORME</v>
      </c>
      <c r="AU147" s="8" t="b">
        <f t="shared" si="834"/>
        <v>1</v>
      </c>
      <c r="AV147" s="8" t="b">
        <f t="shared" si="835"/>
        <v>0</v>
      </c>
      <c r="AW147" s="8" t="b">
        <f t="shared" si="836"/>
        <v>1</v>
      </c>
      <c r="AX147" s="8" t="str">
        <f t="shared" si="837"/>
        <v>Qcorrecto</v>
      </c>
      <c r="AY147" s="22" t="str">
        <f t="shared" si="817"/>
        <v>aceptable</v>
      </c>
      <c r="AZ147" s="22" t="str">
        <f t="shared" si="818"/>
        <v>aceptable</v>
      </c>
      <c r="BA147" s="22" t="str">
        <f t="shared" si="838"/>
        <v>aceptable</v>
      </c>
      <c r="BB147" s="25" t="str">
        <f t="shared" si="839"/>
        <v>NO CONFORME</v>
      </c>
      <c r="BC147" s="5" t="str">
        <f t="shared" si="840"/>
        <v>NO CONFORME</v>
      </c>
      <c r="BD147" s="15">
        <f t="shared" si="819"/>
        <v>-1</v>
      </c>
      <c r="BE147" s="15">
        <f t="shared" si="820"/>
        <v>-1</v>
      </c>
      <c r="BF147" s="15">
        <f t="shared" si="821"/>
        <v>-1</v>
      </c>
      <c r="BG147" s="15" t="str">
        <f t="shared" si="822"/>
        <v>-1-1-1</v>
      </c>
      <c r="BH147" s="15" t="str">
        <f t="shared" si="823"/>
        <v>SD</v>
      </c>
      <c r="BI147" s="15" t="str">
        <f t="shared" si="824"/>
        <v>SI</v>
      </c>
      <c r="BJ147" s="15" t="b">
        <f t="shared" si="825"/>
        <v>1</v>
      </c>
      <c r="BK147" s="15" t="str">
        <f t="shared" si="826"/>
        <v>SIGIGUALES</v>
      </c>
      <c r="BL147" s="22" t="str">
        <f t="shared" si="827"/>
        <v>NO CONFORME</v>
      </c>
    </row>
    <row r="148" spans="1:64" ht="14.4" x14ac:dyDescent="0.3">
      <c r="A148" s="36">
        <v>140</v>
      </c>
      <c r="B148" s="28">
        <f t="shared" ref="B148:E148" si="913">B147</f>
        <v>45903</v>
      </c>
      <c r="C148" s="28">
        <f t="shared" si="913"/>
        <v>45903</v>
      </c>
      <c r="D148" s="12">
        <f t="shared" si="913"/>
        <v>3</v>
      </c>
      <c r="E148" s="10">
        <f t="shared" si="913"/>
        <v>11</v>
      </c>
      <c r="F148" s="13"/>
      <c r="G148" s="69"/>
      <c r="H148" s="70">
        <f t="shared" ref="H148:L148" si="914">H147</f>
        <v>25.6</v>
      </c>
      <c r="I148" s="37">
        <f t="shared" si="914"/>
        <v>0</v>
      </c>
      <c r="J148" s="35">
        <f t="shared" si="914"/>
        <v>16</v>
      </c>
      <c r="K148" s="122">
        <f t="shared" si="914"/>
        <v>8.1690000000000005</v>
      </c>
      <c r="L148" s="122">
        <f t="shared" si="914"/>
        <v>0.879</v>
      </c>
      <c r="M148" s="126"/>
      <c r="N148" s="126"/>
      <c r="O148" s="32">
        <f t="shared" ref="O148:P148" si="915">O147</f>
        <v>100.65</v>
      </c>
      <c r="P148" s="33" t="str">
        <f t="shared" si="915"/>
        <v>2,31,180</v>
      </c>
      <c r="Q148" s="11" t="str">
        <f t="shared" si="893"/>
        <v>2</v>
      </c>
      <c r="R148" s="11" t="str">
        <f t="shared" si="894"/>
        <v>31,180</v>
      </c>
      <c r="S148" s="11">
        <f t="shared" si="895"/>
        <v>4.1994444444444445E-2</v>
      </c>
      <c r="T148" s="14">
        <f t="shared" si="896"/>
        <v>2396.7456012700095</v>
      </c>
      <c r="U148" s="38">
        <f t="shared" si="897"/>
        <v>-100</v>
      </c>
      <c r="V148" s="39">
        <f t="shared" ref="V148:W148" si="916">V147</f>
        <v>19.8</v>
      </c>
      <c r="W148" s="124">
        <f t="shared" si="916"/>
        <v>1.08</v>
      </c>
      <c r="X148" s="124">
        <f t="shared" si="831"/>
        <v>1.075</v>
      </c>
      <c r="Y148" s="126"/>
      <c r="Z148" s="126"/>
      <c r="AA148" s="90">
        <f t="shared" ref="AA148:AB148" si="917">AA147</f>
        <v>5.0149999999999997</v>
      </c>
      <c r="AB148" s="73" t="str">
        <f t="shared" si="917"/>
        <v>9,05,040</v>
      </c>
      <c r="AC148" s="11" t="str">
        <f t="shared" si="900"/>
        <v>9,</v>
      </c>
      <c r="AD148" s="11" t="str">
        <f t="shared" si="901"/>
        <v>05,040</v>
      </c>
      <c r="AE148" s="11">
        <f t="shared" si="902"/>
        <v>0.15139999999999998</v>
      </c>
      <c r="AF148" s="14">
        <f t="shared" si="903"/>
        <v>33.124174372523122</v>
      </c>
      <c r="AG148" s="40">
        <f t="shared" si="904"/>
        <v>-100</v>
      </c>
      <c r="AH148" s="39">
        <f t="shared" si="846"/>
        <v>19.600000000000001</v>
      </c>
      <c r="AI148" s="124">
        <f t="shared" si="846"/>
        <v>1.0860000000000001</v>
      </c>
      <c r="AJ148" s="124">
        <f t="shared" si="846"/>
        <v>1.0780000000000001</v>
      </c>
      <c r="AK148" s="126">
        <f t="shared" si="905"/>
        <v>0</v>
      </c>
      <c r="AL148" s="126"/>
      <c r="AM148" s="34">
        <f t="shared" ref="AM148:AN148" si="918">AM147</f>
        <v>2.0059999999999998</v>
      </c>
      <c r="AN148" s="33" t="str">
        <f t="shared" si="918"/>
        <v>5,40,620</v>
      </c>
      <c r="AO148" s="11" t="str">
        <f t="shared" si="907"/>
        <v>5,</v>
      </c>
      <c r="AP148" s="11" t="str">
        <f t="shared" si="908"/>
        <v>40,620</v>
      </c>
      <c r="AQ148" s="11">
        <f t="shared" si="909"/>
        <v>9.4616666666666668E-2</v>
      </c>
      <c r="AR148" s="14">
        <f t="shared" si="910"/>
        <v>21.201338735247486</v>
      </c>
      <c r="AS148" s="40">
        <f t="shared" si="911"/>
        <v>-100</v>
      </c>
      <c r="AT148" s="41" t="str">
        <f t="shared" si="912"/>
        <v>NO CONFORME</v>
      </c>
      <c r="AU148" s="8" t="b">
        <f t="shared" si="834"/>
        <v>1</v>
      </c>
      <c r="AV148" s="8" t="b">
        <f t="shared" si="835"/>
        <v>0</v>
      </c>
      <c r="AW148" s="8" t="b">
        <f t="shared" si="836"/>
        <v>1</v>
      </c>
      <c r="AX148" s="8" t="str">
        <f t="shared" si="837"/>
        <v>Qcorrecto</v>
      </c>
      <c r="AY148" s="22" t="str">
        <f t="shared" si="817"/>
        <v>aceptable</v>
      </c>
      <c r="AZ148" s="22" t="str">
        <f t="shared" si="818"/>
        <v>aceptable</v>
      </c>
      <c r="BA148" s="22" t="str">
        <f t="shared" si="838"/>
        <v>aceptable</v>
      </c>
      <c r="BB148" s="25" t="str">
        <f t="shared" si="839"/>
        <v>NO CONFORME</v>
      </c>
      <c r="BC148" s="5" t="str">
        <f t="shared" si="840"/>
        <v>NO CONFORME</v>
      </c>
      <c r="BD148" s="15">
        <f t="shared" si="819"/>
        <v>-1</v>
      </c>
      <c r="BE148" s="15">
        <f t="shared" si="820"/>
        <v>-1</v>
      </c>
      <c r="BF148" s="15">
        <f t="shared" si="821"/>
        <v>-1</v>
      </c>
      <c r="BG148" s="15" t="str">
        <f t="shared" si="822"/>
        <v>-1-1-1</v>
      </c>
      <c r="BH148" s="15" t="str">
        <f t="shared" si="823"/>
        <v>SD</v>
      </c>
      <c r="BI148" s="15" t="str">
        <f t="shared" si="824"/>
        <v>SI</v>
      </c>
      <c r="BJ148" s="15" t="b">
        <f t="shared" si="825"/>
        <v>1</v>
      </c>
      <c r="BK148" s="15" t="str">
        <f t="shared" si="826"/>
        <v>SIGIGUALES</v>
      </c>
      <c r="BL148" s="22" t="str">
        <f t="shared" si="827"/>
        <v>NO CONFORME</v>
      </c>
    </row>
    <row r="149" spans="1:64" ht="14.4" x14ac:dyDescent="0.3">
      <c r="A149" s="36">
        <v>141</v>
      </c>
      <c r="B149" s="28">
        <f t="shared" ref="B149:E149" si="919">B148</f>
        <v>45903</v>
      </c>
      <c r="C149" s="28">
        <f t="shared" si="919"/>
        <v>45903</v>
      </c>
      <c r="D149" s="12">
        <f t="shared" si="919"/>
        <v>3</v>
      </c>
      <c r="E149" s="10">
        <f t="shared" si="919"/>
        <v>11</v>
      </c>
      <c r="F149" s="13"/>
      <c r="G149" s="69"/>
      <c r="H149" s="70">
        <f t="shared" ref="H149:L149" si="920">H148</f>
        <v>25.6</v>
      </c>
      <c r="I149" s="37">
        <f t="shared" si="920"/>
        <v>0</v>
      </c>
      <c r="J149" s="35">
        <f t="shared" si="920"/>
        <v>16</v>
      </c>
      <c r="K149" s="122">
        <f t="shared" si="920"/>
        <v>8.1690000000000005</v>
      </c>
      <c r="L149" s="122">
        <f t="shared" si="920"/>
        <v>0.879</v>
      </c>
      <c r="M149" s="126"/>
      <c r="N149" s="126"/>
      <c r="O149" s="32">
        <f t="shared" ref="O149:P149" si="921">O148</f>
        <v>100.65</v>
      </c>
      <c r="P149" s="33" t="str">
        <f t="shared" si="921"/>
        <v>2,31,180</v>
      </c>
      <c r="Q149" s="11" t="str">
        <f t="shared" si="893"/>
        <v>2</v>
      </c>
      <c r="R149" s="11" t="str">
        <f t="shared" si="894"/>
        <v>31,180</v>
      </c>
      <c r="S149" s="11">
        <f t="shared" si="895"/>
        <v>4.1994444444444445E-2</v>
      </c>
      <c r="T149" s="14">
        <f t="shared" si="896"/>
        <v>2396.7456012700095</v>
      </c>
      <c r="U149" s="38">
        <f t="shared" si="897"/>
        <v>-100</v>
      </c>
      <c r="V149" s="39">
        <f t="shared" ref="V149:W149" si="922">V148</f>
        <v>19.8</v>
      </c>
      <c r="W149" s="124">
        <f t="shared" si="922"/>
        <v>1.08</v>
      </c>
      <c r="X149" s="124">
        <f t="shared" si="831"/>
        <v>1.075</v>
      </c>
      <c r="Y149" s="126"/>
      <c r="Z149" s="126"/>
      <c r="AA149" s="90">
        <f t="shared" ref="AA149:AB149" si="923">AA148</f>
        <v>5.0149999999999997</v>
      </c>
      <c r="AB149" s="73" t="str">
        <f t="shared" si="923"/>
        <v>9,05,040</v>
      </c>
      <c r="AC149" s="11" t="str">
        <f t="shared" si="900"/>
        <v>9,</v>
      </c>
      <c r="AD149" s="11" t="str">
        <f t="shared" si="901"/>
        <v>05,040</v>
      </c>
      <c r="AE149" s="11">
        <f t="shared" si="902"/>
        <v>0.15139999999999998</v>
      </c>
      <c r="AF149" s="14">
        <f t="shared" si="903"/>
        <v>33.124174372523122</v>
      </c>
      <c r="AG149" s="40">
        <f t="shared" si="904"/>
        <v>-100</v>
      </c>
      <c r="AH149" s="39">
        <f t="shared" si="846"/>
        <v>19.600000000000001</v>
      </c>
      <c r="AI149" s="124">
        <f t="shared" si="846"/>
        <v>1.0860000000000001</v>
      </c>
      <c r="AJ149" s="124">
        <f t="shared" si="846"/>
        <v>1.0780000000000001</v>
      </c>
      <c r="AK149" s="126">
        <f t="shared" si="905"/>
        <v>0</v>
      </c>
      <c r="AL149" s="126"/>
      <c r="AM149" s="34">
        <f t="shared" ref="AM149:AN149" si="924">AM148</f>
        <v>2.0059999999999998</v>
      </c>
      <c r="AN149" s="33" t="str">
        <f t="shared" si="924"/>
        <v>5,40,620</v>
      </c>
      <c r="AO149" s="11" t="str">
        <f t="shared" si="907"/>
        <v>5,</v>
      </c>
      <c r="AP149" s="11" t="str">
        <f t="shared" si="908"/>
        <v>40,620</v>
      </c>
      <c r="AQ149" s="11">
        <f t="shared" si="909"/>
        <v>9.4616666666666668E-2</v>
      </c>
      <c r="AR149" s="14">
        <f t="shared" si="910"/>
        <v>21.201338735247486</v>
      </c>
      <c r="AS149" s="40">
        <f t="shared" si="911"/>
        <v>-100</v>
      </c>
      <c r="AT149" s="41" t="str">
        <f t="shared" si="912"/>
        <v>NO CONFORME</v>
      </c>
      <c r="AU149" s="8" t="b">
        <f t="shared" si="834"/>
        <v>1</v>
      </c>
      <c r="AV149" s="8" t="b">
        <f t="shared" si="835"/>
        <v>0</v>
      </c>
      <c r="AW149" s="8" t="b">
        <f t="shared" si="836"/>
        <v>1</v>
      </c>
      <c r="AX149" s="8" t="str">
        <f t="shared" si="837"/>
        <v>Qcorrecto</v>
      </c>
      <c r="AY149" s="22" t="str">
        <f t="shared" si="817"/>
        <v>aceptable</v>
      </c>
      <c r="AZ149" s="22" t="str">
        <f t="shared" si="818"/>
        <v>aceptable</v>
      </c>
      <c r="BA149" s="22" t="str">
        <f t="shared" si="838"/>
        <v>aceptable</v>
      </c>
      <c r="BB149" s="25" t="str">
        <f t="shared" si="839"/>
        <v>NO CONFORME</v>
      </c>
      <c r="BC149" s="5" t="str">
        <f t="shared" si="840"/>
        <v>NO CONFORME</v>
      </c>
      <c r="BD149" s="15">
        <f t="shared" si="819"/>
        <v>-1</v>
      </c>
      <c r="BE149" s="15">
        <f t="shared" si="820"/>
        <v>-1</v>
      </c>
      <c r="BF149" s="15">
        <f t="shared" si="821"/>
        <v>-1</v>
      </c>
      <c r="BG149" s="15" t="str">
        <f t="shared" si="822"/>
        <v>-1-1-1</v>
      </c>
      <c r="BH149" s="15" t="str">
        <f t="shared" si="823"/>
        <v>SD</v>
      </c>
      <c r="BI149" s="15" t="str">
        <f t="shared" si="824"/>
        <v>SI</v>
      </c>
      <c r="BJ149" s="15" t="b">
        <f t="shared" si="825"/>
        <v>1</v>
      </c>
      <c r="BK149" s="15" t="str">
        <f t="shared" si="826"/>
        <v>SIGIGUALES</v>
      </c>
      <c r="BL149" s="22" t="str">
        <f t="shared" si="827"/>
        <v>NO CONFORME</v>
      </c>
    </row>
    <row r="150" spans="1:64" ht="14.4" x14ac:dyDescent="0.3">
      <c r="A150" s="36">
        <v>142</v>
      </c>
      <c r="B150" s="28">
        <f t="shared" ref="B150:E150" si="925">B149</f>
        <v>45903</v>
      </c>
      <c r="C150" s="28">
        <f t="shared" si="925"/>
        <v>45903</v>
      </c>
      <c r="D150" s="12">
        <f t="shared" si="925"/>
        <v>3</v>
      </c>
      <c r="E150" s="10">
        <f t="shared" si="925"/>
        <v>11</v>
      </c>
      <c r="F150" s="13"/>
      <c r="G150" s="69"/>
      <c r="H150" s="70">
        <f t="shared" ref="H150:L150" si="926">H149</f>
        <v>25.6</v>
      </c>
      <c r="I150" s="37">
        <f t="shared" si="926"/>
        <v>0</v>
      </c>
      <c r="J150" s="35">
        <f t="shared" si="926"/>
        <v>16</v>
      </c>
      <c r="K150" s="122">
        <f t="shared" si="926"/>
        <v>8.1690000000000005</v>
      </c>
      <c r="L150" s="122">
        <f t="shared" si="926"/>
        <v>0.879</v>
      </c>
      <c r="M150" s="126"/>
      <c r="N150" s="126"/>
      <c r="O150" s="32">
        <f t="shared" ref="O150:P150" si="927">O149</f>
        <v>100.65</v>
      </c>
      <c r="P150" s="33" t="str">
        <f t="shared" si="927"/>
        <v>2,31,180</v>
      </c>
      <c r="Q150" s="11" t="str">
        <f t="shared" si="893"/>
        <v>2</v>
      </c>
      <c r="R150" s="11" t="str">
        <f t="shared" si="894"/>
        <v>31,180</v>
      </c>
      <c r="S150" s="11">
        <f t="shared" si="895"/>
        <v>4.1994444444444445E-2</v>
      </c>
      <c r="T150" s="14">
        <f t="shared" si="896"/>
        <v>2396.7456012700095</v>
      </c>
      <c r="U150" s="38">
        <f t="shared" si="897"/>
        <v>-100</v>
      </c>
      <c r="V150" s="39">
        <f t="shared" ref="V150:W150" si="928">V149</f>
        <v>19.8</v>
      </c>
      <c r="W150" s="124">
        <f t="shared" si="928"/>
        <v>1.08</v>
      </c>
      <c r="X150" s="124">
        <f t="shared" si="831"/>
        <v>1.075</v>
      </c>
      <c r="Y150" s="126"/>
      <c r="Z150" s="126"/>
      <c r="AA150" s="90">
        <f t="shared" ref="AA150:AB150" si="929">AA149</f>
        <v>5.0149999999999997</v>
      </c>
      <c r="AB150" s="73" t="str">
        <f t="shared" si="929"/>
        <v>9,05,040</v>
      </c>
      <c r="AC150" s="11" t="str">
        <f t="shared" si="900"/>
        <v>9,</v>
      </c>
      <c r="AD150" s="11" t="str">
        <f t="shared" si="901"/>
        <v>05,040</v>
      </c>
      <c r="AE150" s="11">
        <f t="shared" si="902"/>
        <v>0.15139999999999998</v>
      </c>
      <c r="AF150" s="14">
        <f t="shared" si="903"/>
        <v>33.124174372523122</v>
      </c>
      <c r="AG150" s="40">
        <f t="shared" si="904"/>
        <v>-100</v>
      </c>
      <c r="AH150" s="39">
        <f t="shared" si="846"/>
        <v>19.600000000000001</v>
      </c>
      <c r="AI150" s="124">
        <f t="shared" si="846"/>
        <v>1.0860000000000001</v>
      </c>
      <c r="AJ150" s="124">
        <f t="shared" si="846"/>
        <v>1.0780000000000001</v>
      </c>
      <c r="AK150" s="126">
        <f t="shared" si="905"/>
        <v>0</v>
      </c>
      <c r="AL150" s="126"/>
      <c r="AM150" s="34">
        <f t="shared" ref="AM150:AN150" si="930">AM149</f>
        <v>2.0059999999999998</v>
      </c>
      <c r="AN150" s="33" t="str">
        <f t="shared" si="930"/>
        <v>5,40,620</v>
      </c>
      <c r="AO150" s="11" t="str">
        <f t="shared" si="907"/>
        <v>5,</v>
      </c>
      <c r="AP150" s="11" t="str">
        <f t="shared" si="908"/>
        <v>40,620</v>
      </c>
      <c r="AQ150" s="11">
        <f t="shared" si="909"/>
        <v>9.4616666666666668E-2</v>
      </c>
      <c r="AR150" s="14">
        <f t="shared" si="910"/>
        <v>21.201338735247486</v>
      </c>
      <c r="AS150" s="40">
        <f t="shared" si="911"/>
        <v>-100</v>
      </c>
      <c r="AT150" s="41" t="str">
        <f t="shared" si="912"/>
        <v>NO CONFORME</v>
      </c>
      <c r="AU150" s="8" t="b">
        <f t="shared" si="834"/>
        <v>1</v>
      </c>
      <c r="AV150" s="8" t="b">
        <f t="shared" si="835"/>
        <v>0</v>
      </c>
      <c r="AW150" s="8" t="b">
        <f t="shared" si="836"/>
        <v>1</v>
      </c>
      <c r="AX150" s="8" t="str">
        <f t="shared" si="837"/>
        <v>Qcorrecto</v>
      </c>
      <c r="AY150" s="22" t="str">
        <f t="shared" si="817"/>
        <v>aceptable</v>
      </c>
      <c r="AZ150" s="22" t="str">
        <f t="shared" si="818"/>
        <v>aceptable</v>
      </c>
      <c r="BA150" s="22" t="str">
        <f t="shared" si="838"/>
        <v>aceptable</v>
      </c>
      <c r="BB150" s="25" t="str">
        <f t="shared" si="839"/>
        <v>NO CONFORME</v>
      </c>
      <c r="BC150" s="5" t="str">
        <f t="shared" si="840"/>
        <v>NO CONFORME</v>
      </c>
      <c r="BD150" s="15">
        <f t="shared" si="819"/>
        <v>-1</v>
      </c>
      <c r="BE150" s="15">
        <f t="shared" si="820"/>
        <v>-1</v>
      </c>
      <c r="BF150" s="15">
        <f t="shared" si="821"/>
        <v>-1</v>
      </c>
      <c r="BG150" s="15" t="str">
        <f t="shared" si="822"/>
        <v>-1-1-1</v>
      </c>
      <c r="BH150" s="15" t="str">
        <f t="shared" si="823"/>
        <v>SD</v>
      </c>
      <c r="BI150" s="15" t="str">
        <f t="shared" si="824"/>
        <v>SI</v>
      </c>
      <c r="BJ150" s="15" t="b">
        <f t="shared" si="825"/>
        <v>1</v>
      </c>
      <c r="BK150" s="15" t="str">
        <f t="shared" si="826"/>
        <v>SIGIGUALES</v>
      </c>
      <c r="BL150" s="22" t="str">
        <f t="shared" si="827"/>
        <v>NO CONFORME</v>
      </c>
    </row>
    <row r="151" spans="1:64" ht="14.4" x14ac:dyDescent="0.3">
      <c r="A151" s="36">
        <v>143</v>
      </c>
      <c r="B151" s="28">
        <f t="shared" ref="B151:E151" si="931">B150</f>
        <v>45903</v>
      </c>
      <c r="C151" s="28">
        <f t="shared" si="931"/>
        <v>45903</v>
      </c>
      <c r="D151" s="12">
        <f t="shared" si="931"/>
        <v>3</v>
      </c>
      <c r="E151" s="10">
        <f t="shared" si="931"/>
        <v>11</v>
      </c>
      <c r="F151" s="13"/>
      <c r="G151" s="69"/>
      <c r="H151" s="70">
        <f t="shared" ref="H151:L151" si="932">H150</f>
        <v>25.6</v>
      </c>
      <c r="I151" s="37">
        <f t="shared" si="932"/>
        <v>0</v>
      </c>
      <c r="J151" s="35">
        <f t="shared" si="932"/>
        <v>16</v>
      </c>
      <c r="K151" s="122">
        <f t="shared" si="932"/>
        <v>8.1690000000000005</v>
      </c>
      <c r="L151" s="122">
        <f t="shared" si="932"/>
        <v>0.879</v>
      </c>
      <c r="M151" s="126"/>
      <c r="N151" s="126"/>
      <c r="O151" s="32">
        <f t="shared" ref="O151:P151" si="933">O150</f>
        <v>100.65</v>
      </c>
      <c r="P151" s="33" t="str">
        <f t="shared" si="933"/>
        <v>2,31,180</v>
      </c>
      <c r="Q151" s="11" t="str">
        <f t="shared" si="893"/>
        <v>2</v>
      </c>
      <c r="R151" s="11" t="str">
        <f t="shared" si="894"/>
        <v>31,180</v>
      </c>
      <c r="S151" s="11">
        <f t="shared" si="895"/>
        <v>4.1994444444444445E-2</v>
      </c>
      <c r="T151" s="14">
        <f t="shared" si="896"/>
        <v>2396.7456012700095</v>
      </c>
      <c r="U151" s="38">
        <f t="shared" si="897"/>
        <v>-100</v>
      </c>
      <c r="V151" s="39">
        <f t="shared" ref="V151:W151" si="934">V150</f>
        <v>19.8</v>
      </c>
      <c r="W151" s="124">
        <f t="shared" si="934"/>
        <v>1.08</v>
      </c>
      <c r="X151" s="124">
        <f t="shared" si="831"/>
        <v>1.075</v>
      </c>
      <c r="Y151" s="126"/>
      <c r="Z151" s="126"/>
      <c r="AA151" s="90">
        <f t="shared" ref="AA151:AB151" si="935">AA150</f>
        <v>5.0149999999999997</v>
      </c>
      <c r="AB151" s="73" t="str">
        <f t="shared" si="935"/>
        <v>9,05,040</v>
      </c>
      <c r="AC151" s="11" t="str">
        <f t="shared" si="900"/>
        <v>9,</v>
      </c>
      <c r="AD151" s="11" t="str">
        <f t="shared" si="901"/>
        <v>05,040</v>
      </c>
      <c r="AE151" s="11">
        <f t="shared" si="902"/>
        <v>0.15139999999999998</v>
      </c>
      <c r="AF151" s="14">
        <f t="shared" si="903"/>
        <v>33.124174372523122</v>
      </c>
      <c r="AG151" s="40">
        <f t="shared" si="904"/>
        <v>-100</v>
      </c>
      <c r="AH151" s="39">
        <f t="shared" si="846"/>
        <v>19.600000000000001</v>
      </c>
      <c r="AI151" s="124">
        <f t="shared" si="846"/>
        <v>1.0860000000000001</v>
      </c>
      <c r="AJ151" s="124">
        <f t="shared" si="846"/>
        <v>1.0780000000000001</v>
      </c>
      <c r="AK151" s="126">
        <f t="shared" si="905"/>
        <v>0</v>
      </c>
      <c r="AL151" s="126"/>
      <c r="AM151" s="34">
        <f t="shared" ref="AM151:AN151" si="936">AM150</f>
        <v>2.0059999999999998</v>
      </c>
      <c r="AN151" s="33" t="str">
        <f t="shared" si="936"/>
        <v>5,40,620</v>
      </c>
      <c r="AO151" s="11" t="str">
        <f t="shared" si="907"/>
        <v>5,</v>
      </c>
      <c r="AP151" s="11" t="str">
        <f t="shared" si="908"/>
        <v>40,620</v>
      </c>
      <c r="AQ151" s="11">
        <f t="shared" si="909"/>
        <v>9.4616666666666668E-2</v>
      </c>
      <c r="AR151" s="14">
        <f t="shared" si="910"/>
        <v>21.201338735247486</v>
      </c>
      <c r="AS151" s="40">
        <f t="shared" si="911"/>
        <v>-100</v>
      </c>
      <c r="AT151" s="41" t="str">
        <f t="shared" si="912"/>
        <v>NO CONFORME</v>
      </c>
      <c r="AU151" s="8" t="b">
        <f t="shared" si="834"/>
        <v>1</v>
      </c>
      <c r="AV151" s="8" t="b">
        <f t="shared" si="835"/>
        <v>0</v>
      </c>
      <c r="AW151" s="8" t="b">
        <f t="shared" si="836"/>
        <v>1</v>
      </c>
      <c r="AX151" s="8" t="str">
        <f t="shared" si="837"/>
        <v>Qcorrecto</v>
      </c>
      <c r="AY151" s="22" t="str">
        <f t="shared" si="817"/>
        <v>aceptable</v>
      </c>
      <c r="AZ151" s="22" t="str">
        <f t="shared" si="818"/>
        <v>aceptable</v>
      </c>
      <c r="BA151" s="22" t="str">
        <f t="shared" si="838"/>
        <v>aceptable</v>
      </c>
      <c r="BB151" s="25" t="str">
        <f t="shared" si="839"/>
        <v>NO CONFORME</v>
      </c>
      <c r="BC151" s="5" t="str">
        <f t="shared" si="840"/>
        <v>NO CONFORME</v>
      </c>
      <c r="BD151" s="15">
        <f t="shared" si="819"/>
        <v>-1</v>
      </c>
      <c r="BE151" s="15">
        <f t="shared" si="820"/>
        <v>-1</v>
      </c>
      <c r="BF151" s="15">
        <f t="shared" si="821"/>
        <v>-1</v>
      </c>
      <c r="BG151" s="15" t="str">
        <f t="shared" si="822"/>
        <v>-1-1-1</v>
      </c>
      <c r="BH151" s="15" t="str">
        <f t="shared" si="823"/>
        <v>SD</v>
      </c>
      <c r="BI151" s="15" t="str">
        <f t="shared" si="824"/>
        <v>SI</v>
      </c>
      <c r="BJ151" s="15" t="b">
        <f t="shared" si="825"/>
        <v>1</v>
      </c>
      <c r="BK151" s="15" t="str">
        <f t="shared" si="826"/>
        <v>SIGIGUALES</v>
      </c>
      <c r="BL151" s="22" t="str">
        <f t="shared" si="827"/>
        <v>NO CONFORME</v>
      </c>
    </row>
    <row r="152" spans="1:64" ht="14.4" x14ac:dyDescent="0.3">
      <c r="A152" s="36">
        <v>144</v>
      </c>
      <c r="B152" s="28">
        <f t="shared" ref="B152:E152" si="937">B151</f>
        <v>45903</v>
      </c>
      <c r="C152" s="28">
        <f t="shared" si="937"/>
        <v>45903</v>
      </c>
      <c r="D152" s="12">
        <f t="shared" si="937"/>
        <v>3</v>
      </c>
      <c r="E152" s="10">
        <f t="shared" si="937"/>
        <v>11</v>
      </c>
      <c r="F152" s="13"/>
      <c r="G152" s="69"/>
      <c r="H152" s="70">
        <f t="shared" ref="H152:L152" si="938">H151</f>
        <v>25.6</v>
      </c>
      <c r="I152" s="37">
        <f t="shared" si="938"/>
        <v>0</v>
      </c>
      <c r="J152" s="35">
        <f t="shared" si="938"/>
        <v>16</v>
      </c>
      <c r="K152" s="122">
        <f t="shared" si="938"/>
        <v>8.1690000000000005</v>
      </c>
      <c r="L152" s="122">
        <f t="shared" si="938"/>
        <v>0.879</v>
      </c>
      <c r="M152" s="126"/>
      <c r="N152" s="126"/>
      <c r="O152" s="32">
        <f t="shared" ref="O152:P152" si="939">O151</f>
        <v>100.65</v>
      </c>
      <c r="P152" s="33" t="str">
        <f t="shared" si="939"/>
        <v>2,31,180</v>
      </c>
      <c r="Q152" s="11" t="str">
        <f t="shared" si="893"/>
        <v>2</v>
      </c>
      <c r="R152" s="11" t="str">
        <f t="shared" si="894"/>
        <v>31,180</v>
      </c>
      <c r="S152" s="11">
        <f t="shared" si="895"/>
        <v>4.1994444444444445E-2</v>
      </c>
      <c r="T152" s="14">
        <f t="shared" si="896"/>
        <v>2396.7456012700095</v>
      </c>
      <c r="U152" s="38">
        <f t="shared" si="897"/>
        <v>-100</v>
      </c>
      <c r="V152" s="39">
        <f t="shared" ref="V152:W152" si="940">V151</f>
        <v>19.8</v>
      </c>
      <c r="W152" s="124">
        <f t="shared" si="940"/>
        <v>1.08</v>
      </c>
      <c r="X152" s="124">
        <f t="shared" si="831"/>
        <v>1.075</v>
      </c>
      <c r="Y152" s="126"/>
      <c r="Z152" s="126"/>
      <c r="AA152" s="90">
        <f t="shared" ref="AA152:AB152" si="941">AA151</f>
        <v>5.0149999999999997</v>
      </c>
      <c r="AB152" s="73" t="str">
        <f t="shared" si="941"/>
        <v>9,05,040</v>
      </c>
      <c r="AC152" s="11" t="str">
        <f t="shared" si="900"/>
        <v>9,</v>
      </c>
      <c r="AD152" s="11" t="str">
        <f t="shared" si="901"/>
        <v>05,040</v>
      </c>
      <c r="AE152" s="11">
        <f t="shared" si="902"/>
        <v>0.15139999999999998</v>
      </c>
      <c r="AF152" s="14">
        <f t="shared" si="903"/>
        <v>33.124174372523122</v>
      </c>
      <c r="AG152" s="40">
        <f t="shared" si="904"/>
        <v>-100</v>
      </c>
      <c r="AH152" s="39">
        <f t="shared" si="846"/>
        <v>19.600000000000001</v>
      </c>
      <c r="AI152" s="124">
        <f t="shared" si="846"/>
        <v>1.0860000000000001</v>
      </c>
      <c r="AJ152" s="124">
        <f t="shared" si="846"/>
        <v>1.0780000000000001</v>
      </c>
      <c r="AK152" s="126">
        <f t="shared" si="905"/>
        <v>0</v>
      </c>
      <c r="AL152" s="126"/>
      <c r="AM152" s="34">
        <f t="shared" ref="AM152:AN152" si="942">AM151</f>
        <v>2.0059999999999998</v>
      </c>
      <c r="AN152" s="33" t="str">
        <f t="shared" si="942"/>
        <v>5,40,620</v>
      </c>
      <c r="AO152" s="11" t="str">
        <f t="shared" si="907"/>
        <v>5,</v>
      </c>
      <c r="AP152" s="11" t="str">
        <f t="shared" si="908"/>
        <v>40,620</v>
      </c>
      <c r="AQ152" s="11">
        <f t="shared" si="909"/>
        <v>9.4616666666666668E-2</v>
      </c>
      <c r="AR152" s="14">
        <f t="shared" si="910"/>
        <v>21.201338735247486</v>
      </c>
      <c r="AS152" s="40">
        <f t="shared" si="911"/>
        <v>-100</v>
      </c>
      <c r="AT152" s="41" t="str">
        <f t="shared" si="912"/>
        <v>NO CONFORME</v>
      </c>
      <c r="AU152" s="8" t="b">
        <f t="shared" si="834"/>
        <v>1</v>
      </c>
      <c r="AV152" s="8" t="b">
        <f t="shared" si="835"/>
        <v>0</v>
      </c>
      <c r="AW152" s="8" t="b">
        <f t="shared" si="836"/>
        <v>1</v>
      </c>
      <c r="AX152" s="8" t="str">
        <f t="shared" si="837"/>
        <v>Qcorrecto</v>
      </c>
      <c r="AY152" s="22" t="str">
        <f t="shared" si="817"/>
        <v>aceptable</v>
      </c>
      <c r="AZ152" s="22" t="str">
        <f t="shared" si="818"/>
        <v>aceptable</v>
      </c>
      <c r="BA152" s="22" t="str">
        <f t="shared" si="838"/>
        <v>aceptable</v>
      </c>
      <c r="BB152" s="25" t="str">
        <f t="shared" si="839"/>
        <v>NO CONFORME</v>
      </c>
      <c r="BC152" s="5" t="str">
        <f t="shared" si="840"/>
        <v>NO CONFORME</v>
      </c>
      <c r="BD152" s="15">
        <f t="shared" si="819"/>
        <v>-1</v>
      </c>
      <c r="BE152" s="15">
        <f t="shared" si="820"/>
        <v>-1</v>
      </c>
      <c r="BF152" s="15">
        <f t="shared" si="821"/>
        <v>-1</v>
      </c>
      <c r="BG152" s="15" t="str">
        <f t="shared" si="822"/>
        <v>-1-1-1</v>
      </c>
      <c r="BH152" s="15" t="str">
        <f t="shared" si="823"/>
        <v>SD</v>
      </c>
      <c r="BI152" s="15" t="str">
        <f t="shared" si="824"/>
        <v>SI</v>
      </c>
      <c r="BJ152" s="15" t="b">
        <f t="shared" si="825"/>
        <v>1</v>
      </c>
      <c r="BK152" s="15" t="str">
        <f t="shared" si="826"/>
        <v>SIGIGUALES</v>
      </c>
      <c r="BL152" s="22" t="str">
        <f t="shared" si="827"/>
        <v>NO CONFORME</v>
      </c>
    </row>
    <row r="153" spans="1:64" ht="14.4" x14ac:dyDescent="0.3">
      <c r="A153" s="36">
        <v>145</v>
      </c>
      <c r="B153" s="28">
        <f t="shared" ref="B153:E153" si="943">B152</f>
        <v>45903</v>
      </c>
      <c r="C153" s="28">
        <f t="shared" si="943"/>
        <v>45903</v>
      </c>
      <c r="D153" s="12">
        <f t="shared" si="943"/>
        <v>3</v>
      </c>
      <c r="E153" s="10">
        <f t="shared" si="943"/>
        <v>11</v>
      </c>
      <c r="F153" s="13"/>
      <c r="G153" s="69"/>
      <c r="H153" s="70">
        <f t="shared" ref="H153:L153" si="944">H152</f>
        <v>25.6</v>
      </c>
      <c r="I153" s="37">
        <f t="shared" si="944"/>
        <v>0</v>
      </c>
      <c r="J153" s="35">
        <f t="shared" si="944"/>
        <v>16</v>
      </c>
      <c r="K153" s="122">
        <f t="shared" si="944"/>
        <v>8.1690000000000005</v>
      </c>
      <c r="L153" s="122">
        <f t="shared" si="944"/>
        <v>0.879</v>
      </c>
      <c r="M153" s="126"/>
      <c r="N153" s="126"/>
      <c r="O153" s="32">
        <f t="shared" ref="O153:P153" si="945">O152</f>
        <v>100.65</v>
      </c>
      <c r="P153" s="33" t="str">
        <f t="shared" si="945"/>
        <v>2,31,180</v>
      </c>
      <c r="Q153" s="11" t="str">
        <f t="shared" si="893"/>
        <v>2</v>
      </c>
      <c r="R153" s="11" t="str">
        <f t="shared" si="894"/>
        <v>31,180</v>
      </c>
      <c r="S153" s="11">
        <f t="shared" si="895"/>
        <v>4.1994444444444445E-2</v>
      </c>
      <c r="T153" s="14">
        <f t="shared" si="896"/>
        <v>2396.7456012700095</v>
      </c>
      <c r="U153" s="38">
        <f t="shared" si="897"/>
        <v>-100</v>
      </c>
      <c r="V153" s="39">
        <f t="shared" ref="V153:W153" si="946">V152</f>
        <v>19.8</v>
      </c>
      <c r="W153" s="124">
        <f t="shared" si="946"/>
        <v>1.08</v>
      </c>
      <c r="X153" s="124">
        <f t="shared" si="831"/>
        <v>1.075</v>
      </c>
      <c r="Y153" s="126"/>
      <c r="Z153" s="126"/>
      <c r="AA153" s="90">
        <f t="shared" ref="AA153:AB153" si="947">AA152</f>
        <v>5.0149999999999997</v>
      </c>
      <c r="AB153" s="73" t="str">
        <f t="shared" si="947"/>
        <v>9,05,040</v>
      </c>
      <c r="AC153" s="11" t="str">
        <f t="shared" si="900"/>
        <v>9,</v>
      </c>
      <c r="AD153" s="11" t="str">
        <f t="shared" si="901"/>
        <v>05,040</v>
      </c>
      <c r="AE153" s="11">
        <f t="shared" si="902"/>
        <v>0.15139999999999998</v>
      </c>
      <c r="AF153" s="14">
        <f t="shared" si="903"/>
        <v>33.124174372523122</v>
      </c>
      <c r="AG153" s="40">
        <f t="shared" si="904"/>
        <v>-100</v>
      </c>
      <c r="AH153" s="39">
        <f t="shared" si="846"/>
        <v>19.600000000000001</v>
      </c>
      <c r="AI153" s="124">
        <f t="shared" si="846"/>
        <v>1.0860000000000001</v>
      </c>
      <c r="AJ153" s="124">
        <f t="shared" si="846"/>
        <v>1.0780000000000001</v>
      </c>
      <c r="AK153" s="126">
        <f t="shared" si="905"/>
        <v>0</v>
      </c>
      <c r="AL153" s="126"/>
      <c r="AM153" s="34">
        <f t="shared" ref="AM153:AN153" si="948">AM152</f>
        <v>2.0059999999999998</v>
      </c>
      <c r="AN153" s="33" t="str">
        <f t="shared" si="948"/>
        <v>5,40,620</v>
      </c>
      <c r="AO153" s="11" t="str">
        <f t="shared" si="907"/>
        <v>5,</v>
      </c>
      <c r="AP153" s="11" t="str">
        <f t="shared" si="908"/>
        <v>40,620</v>
      </c>
      <c r="AQ153" s="11">
        <f t="shared" si="909"/>
        <v>9.4616666666666668E-2</v>
      </c>
      <c r="AR153" s="14">
        <f t="shared" si="910"/>
        <v>21.201338735247486</v>
      </c>
      <c r="AS153" s="40">
        <f t="shared" si="911"/>
        <v>-100</v>
      </c>
      <c r="AT153" s="41" t="str">
        <f t="shared" si="912"/>
        <v>NO CONFORME</v>
      </c>
      <c r="AU153" s="8" t="b">
        <f t="shared" si="834"/>
        <v>1</v>
      </c>
      <c r="AV153" s="8" t="b">
        <f t="shared" si="835"/>
        <v>0</v>
      </c>
      <c r="AW153" s="8" t="b">
        <f t="shared" si="836"/>
        <v>1</v>
      </c>
      <c r="AX153" s="8" t="str">
        <f t="shared" si="837"/>
        <v>Qcorrecto</v>
      </c>
      <c r="AY153" s="22" t="str">
        <f t="shared" si="817"/>
        <v>aceptable</v>
      </c>
      <c r="AZ153" s="22" t="str">
        <f t="shared" si="818"/>
        <v>aceptable</v>
      </c>
      <c r="BA153" s="22" t="str">
        <f t="shared" si="838"/>
        <v>aceptable</v>
      </c>
      <c r="BB153" s="25" t="str">
        <f t="shared" si="839"/>
        <v>NO CONFORME</v>
      </c>
      <c r="BC153" s="5" t="str">
        <f t="shared" si="840"/>
        <v>NO CONFORME</v>
      </c>
      <c r="BD153" s="15">
        <f t="shared" si="819"/>
        <v>-1</v>
      </c>
      <c r="BE153" s="15">
        <f t="shared" si="820"/>
        <v>-1</v>
      </c>
      <c r="BF153" s="15">
        <f t="shared" si="821"/>
        <v>-1</v>
      </c>
      <c r="BG153" s="15" t="str">
        <f t="shared" si="822"/>
        <v>-1-1-1</v>
      </c>
      <c r="BH153" s="15" t="str">
        <f t="shared" si="823"/>
        <v>SD</v>
      </c>
      <c r="BI153" s="15" t="str">
        <f t="shared" si="824"/>
        <v>SI</v>
      </c>
      <c r="BJ153" s="15" t="b">
        <f t="shared" si="825"/>
        <v>1</v>
      </c>
      <c r="BK153" s="15" t="str">
        <f t="shared" si="826"/>
        <v>SIGIGUALES</v>
      </c>
      <c r="BL153" s="22" t="str">
        <f t="shared" si="827"/>
        <v>NO CONFORME</v>
      </c>
    </row>
    <row r="154" spans="1:64" ht="14.4" x14ac:dyDescent="0.3">
      <c r="A154" s="36">
        <v>146</v>
      </c>
      <c r="B154" s="28">
        <f t="shared" ref="B154:E154" si="949">B153</f>
        <v>45903</v>
      </c>
      <c r="C154" s="28">
        <f t="shared" si="949"/>
        <v>45903</v>
      </c>
      <c r="D154" s="12">
        <f t="shared" si="949"/>
        <v>3</v>
      </c>
      <c r="E154" s="10">
        <f t="shared" si="949"/>
        <v>11</v>
      </c>
      <c r="F154" s="13"/>
      <c r="G154" s="69"/>
      <c r="H154" s="70">
        <f t="shared" ref="H154:L154" si="950">H153</f>
        <v>25.6</v>
      </c>
      <c r="I154" s="37">
        <f t="shared" si="950"/>
        <v>0</v>
      </c>
      <c r="J154" s="35">
        <f t="shared" si="950"/>
        <v>16</v>
      </c>
      <c r="K154" s="122">
        <f t="shared" si="950"/>
        <v>8.1690000000000005</v>
      </c>
      <c r="L154" s="122">
        <f t="shared" si="950"/>
        <v>0.879</v>
      </c>
      <c r="M154" s="126"/>
      <c r="N154" s="126"/>
      <c r="O154" s="32">
        <f t="shared" ref="O154:P154" si="951">O153</f>
        <v>100.65</v>
      </c>
      <c r="P154" s="33" t="str">
        <f t="shared" si="951"/>
        <v>2,31,180</v>
      </c>
      <c r="Q154" s="11" t="str">
        <f t="shared" si="893"/>
        <v>2</v>
      </c>
      <c r="R154" s="11" t="str">
        <f t="shared" si="894"/>
        <v>31,180</v>
      </c>
      <c r="S154" s="11">
        <f t="shared" si="895"/>
        <v>4.1994444444444445E-2</v>
      </c>
      <c r="T154" s="14">
        <f t="shared" si="896"/>
        <v>2396.7456012700095</v>
      </c>
      <c r="U154" s="38">
        <f t="shared" si="897"/>
        <v>-100</v>
      </c>
      <c r="V154" s="39">
        <f t="shared" ref="V154:X169" si="952">V153</f>
        <v>19.8</v>
      </c>
      <c r="W154" s="124">
        <f t="shared" si="952"/>
        <v>1.08</v>
      </c>
      <c r="X154" s="124">
        <f t="shared" si="952"/>
        <v>1.075</v>
      </c>
      <c r="Y154" s="126"/>
      <c r="Z154" s="126"/>
      <c r="AA154" s="90">
        <f t="shared" ref="AA154:AB154" si="953">AA153</f>
        <v>5.0149999999999997</v>
      </c>
      <c r="AB154" s="73" t="str">
        <f t="shared" si="953"/>
        <v>9,05,040</v>
      </c>
      <c r="AC154" s="11" t="str">
        <f t="shared" si="900"/>
        <v>9,</v>
      </c>
      <c r="AD154" s="11" t="str">
        <f t="shared" si="901"/>
        <v>05,040</v>
      </c>
      <c r="AE154" s="11">
        <f t="shared" si="902"/>
        <v>0.15139999999999998</v>
      </c>
      <c r="AF154" s="14">
        <f t="shared" si="903"/>
        <v>33.124174372523122</v>
      </c>
      <c r="AG154" s="40">
        <f t="shared" si="904"/>
        <v>-100</v>
      </c>
      <c r="AH154" s="39">
        <f t="shared" si="846"/>
        <v>19.600000000000001</v>
      </c>
      <c r="AI154" s="124">
        <f t="shared" si="846"/>
        <v>1.0860000000000001</v>
      </c>
      <c r="AJ154" s="124">
        <f t="shared" si="846"/>
        <v>1.0780000000000001</v>
      </c>
      <c r="AK154" s="126">
        <f t="shared" si="905"/>
        <v>0</v>
      </c>
      <c r="AL154" s="126"/>
      <c r="AM154" s="34">
        <f t="shared" ref="AM154:AN154" si="954">AM153</f>
        <v>2.0059999999999998</v>
      </c>
      <c r="AN154" s="33" t="str">
        <f t="shared" si="954"/>
        <v>5,40,620</v>
      </c>
      <c r="AO154" s="11" t="str">
        <f t="shared" si="907"/>
        <v>5,</v>
      </c>
      <c r="AP154" s="11" t="str">
        <f t="shared" si="908"/>
        <v>40,620</v>
      </c>
      <c r="AQ154" s="11">
        <f t="shared" si="909"/>
        <v>9.4616666666666668E-2</v>
      </c>
      <c r="AR154" s="14">
        <f t="shared" si="910"/>
        <v>21.201338735247486</v>
      </c>
      <c r="AS154" s="40">
        <f t="shared" si="911"/>
        <v>-100</v>
      </c>
      <c r="AT154" s="41" t="str">
        <f t="shared" si="912"/>
        <v>NO CONFORME</v>
      </c>
      <c r="AU154" s="8" t="b">
        <f t="shared" si="834"/>
        <v>1</v>
      </c>
      <c r="AV154" s="8" t="b">
        <f t="shared" si="835"/>
        <v>0</v>
      </c>
      <c r="AW154" s="8" t="b">
        <f t="shared" si="836"/>
        <v>1</v>
      </c>
      <c r="AX154" s="8" t="str">
        <f t="shared" si="837"/>
        <v>Qcorrecto</v>
      </c>
      <c r="AY154" s="22" t="str">
        <f t="shared" si="817"/>
        <v>aceptable</v>
      </c>
      <c r="AZ154" s="22" t="str">
        <f t="shared" si="818"/>
        <v>aceptable</v>
      </c>
      <c r="BA154" s="22" t="str">
        <f t="shared" si="838"/>
        <v>aceptable</v>
      </c>
      <c r="BB154" s="25" t="str">
        <f t="shared" si="839"/>
        <v>NO CONFORME</v>
      </c>
      <c r="BC154" s="5" t="str">
        <f t="shared" si="840"/>
        <v>NO CONFORME</v>
      </c>
      <c r="BD154" s="15">
        <f t="shared" si="819"/>
        <v>-1</v>
      </c>
      <c r="BE154" s="15">
        <f t="shared" si="820"/>
        <v>-1</v>
      </c>
      <c r="BF154" s="15">
        <f t="shared" si="821"/>
        <v>-1</v>
      </c>
      <c r="BG154" s="15" t="str">
        <f t="shared" si="822"/>
        <v>-1-1-1</v>
      </c>
      <c r="BH154" s="15" t="str">
        <f t="shared" si="823"/>
        <v>SD</v>
      </c>
      <c r="BI154" s="15" t="str">
        <f t="shared" si="824"/>
        <v>SI</v>
      </c>
      <c r="BJ154" s="15" t="b">
        <f t="shared" si="825"/>
        <v>1</v>
      </c>
      <c r="BK154" s="15" t="str">
        <f t="shared" si="826"/>
        <v>SIGIGUALES</v>
      </c>
      <c r="BL154" s="22" t="str">
        <f t="shared" si="827"/>
        <v>NO CONFORME</v>
      </c>
    </row>
    <row r="155" spans="1:64" ht="14.4" x14ac:dyDescent="0.3">
      <c r="A155" s="36">
        <v>147</v>
      </c>
      <c r="B155" s="28">
        <f t="shared" ref="B155:E155" si="955">B154</f>
        <v>45903</v>
      </c>
      <c r="C155" s="28">
        <f t="shared" si="955"/>
        <v>45903</v>
      </c>
      <c r="D155" s="12">
        <f t="shared" si="955"/>
        <v>3</v>
      </c>
      <c r="E155" s="10">
        <f t="shared" si="955"/>
        <v>11</v>
      </c>
      <c r="F155" s="13"/>
      <c r="G155" s="69"/>
      <c r="H155" s="70">
        <f t="shared" ref="H155:L155" si="956">H154</f>
        <v>25.6</v>
      </c>
      <c r="I155" s="37">
        <f t="shared" si="956"/>
        <v>0</v>
      </c>
      <c r="J155" s="35">
        <f t="shared" si="956"/>
        <v>16</v>
      </c>
      <c r="K155" s="122">
        <f t="shared" si="956"/>
        <v>8.1690000000000005</v>
      </c>
      <c r="L155" s="122">
        <f t="shared" si="956"/>
        <v>0.879</v>
      </c>
      <c r="M155" s="126"/>
      <c r="N155" s="126"/>
      <c r="O155" s="32">
        <f t="shared" ref="O155:P155" si="957">O154</f>
        <v>100.65</v>
      </c>
      <c r="P155" s="33" t="str">
        <f t="shared" si="957"/>
        <v>2,31,180</v>
      </c>
      <c r="Q155" s="11" t="str">
        <f t="shared" si="893"/>
        <v>2</v>
      </c>
      <c r="R155" s="11" t="str">
        <f t="shared" si="894"/>
        <v>31,180</v>
      </c>
      <c r="S155" s="11">
        <f t="shared" si="895"/>
        <v>4.1994444444444445E-2</v>
      </c>
      <c r="T155" s="14">
        <f t="shared" si="896"/>
        <v>2396.7456012700095</v>
      </c>
      <c r="U155" s="38">
        <f t="shared" si="897"/>
        <v>-100</v>
      </c>
      <c r="V155" s="39">
        <f t="shared" ref="V155:W155" si="958">V154</f>
        <v>19.8</v>
      </c>
      <c r="W155" s="124">
        <f t="shared" si="958"/>
        <v>1.08</v>
      </c>
      <c r="X155" s="124">
        <f t="shared" si="952"/>
        <v>1.075</v>
      </c>
      <c r="Y155" s="126"/>
      <c r="Z155" s="126"/>
      <c r="AA155" s="90">
        <f t="shared" ref="AA155:AB155" si="959">AA154</f>
        <v>5.0149999999999997</v>
      </c>
      <c r="AB155" s="73" t="str">
        <f t="shared" si="959"/>
        <v>9,05,040</v>
      </c>
      <c r="AC155" s="11" t="str">
        <f t="shared" si="900"/>
        <v>9,</v>
      </c>
      <c r="AD155" s="11" t="str">
        <f t="shared" si="901"/>
        <v>05,040</v>
      </c>
      <c r="AE155" s="11">
        <f t="shared" si="902"/>
        <v>0.15139999999999998</v>
      </c>
      <c r="AF155" s="14">
        <f t="shared" si="903"/>
        <v>33.124174372523122</v>
      </c>
      <c r="AG155" s="40">
        <f t="shared" si="904"/>
        <v>-100</v>
      </c>
      <c r="AH155" s="39">
        <f t="shared" ref="AH155:AJ170" si="960">AH154</f>
        <v>19.600000000000001</v>
      </c>
      <c r="AI155" s="124">
        <f t="shared" si="960"/>
        <v>1.0860000000000001</v>
      </c>
      <c r="AJ155" s="124">
        <f t="shared" si="960"/>
        <v>1.0780000000000001</v>
      </c>
      <c r="AK155" s="126">
        <f t="shared" si="905"/>
        <v>0</v>
      </c>
      <c r="AL155" s="126"/>
      <c r="AM155" s="34">
        <f t="shared" ref="AM155:AN155" si="961">AM154</f>
        <v>2.0059999999999998</v>
      </c>
      <c r="AN155" s="33" t="str">
        <f t="shared" si="961"/>
        <v>5,40,620</v>
      </c>
      <c r="AO155" s="11" t="str">
        <f t="shared" si="907"/>
        <v>5,</v>
      </c>
      <c r="AP155" s="11" t="str">
        <f t="shared" si="908"/>
        <v>40,620</v>
      </c>
      <c r="AQ155" s="11">
        <f t="shared" si="909"/>
        <v>9.4616666666666668E-2</v>
      </c>
      <c r="AR155" s="14">
        <f t="shared" si="910"/>
        <v>21.201338735247486</v>
      </c>
      <c r="AS155" s="40">
        <f t="shared" si="911"/>
        <v>-100</v>
      </c>
      <c r="AT155" s="41" t="str">
        <f t="shared" si="912"/>
        <v>NO CONFORME</v>
      </c>
      <c r="AU155" s="8" t="b">
        <f t="shared" si="834"/>
        <v>1</v>
      </c>
      <c r="AV155" s="8" t="b">
        <f t="shared" si="835"/>
        <v>0</v>
      </c>
      <c r="AW155" s="8" t="b">
        <f t="shared" si="836"/>
        <v>1</v>
      </c>
      <c r="AX155" s="8" t="str">
        <f t="shared" si="837"/>
        <v>Qcorrecto</v>
      </c>
      <c r="AY155" s="22" t="str">
        <f t="shared" si="817"/>
        <v>aceptable</v>
      </c>
      <c r="AZ155" s="22" t="str">
        <f t="shared" si="818"/>
        <v>aceptable</v>
      </c>
      <c r="BA155" s="22" t="str">
        <f t="shared" si="838"/>
        <v>aceptable</v>
      </c>
      <c r="BB155" s="25" t="str">
        <f t="shared" si="839"/>
        <v>NO CONFORME</v>
      </c>
      <c r="BC155" s="5" t="str">
        <f t="shared" si="840"/>
        <v>NO CONFORME</v>
      </c>
      <c r="BD155" s="15">
        <f t="shared" si="819"/>
        <v>-1</v>
      </c>
      <c r="BE155" s="15">
        <f t="shared" si="820"/>
        <v>-1</v>
      </c>
      <c r="BF155" s="15">
        <f t="shared" si="821"/>
        <v>-1</v>
      </c>
      <c r="BG155" s="15" t="str">
        <f t="shared" si="822"/>
        <v>-1-1-1</v>
      </c>
      <c r="BH155" s="15" t="str">
        <f t="shared" si="823"/>
        <v>SD</v>
      </c>
      <c r="BI155" s="15" t="str">
        <f t="shared" si="824"/>
        <v>SI</v>
      </c>
      <c r="BJ155" s="15" t="b">
        <f t="shared" si="825"/>
        <v>1</v>
      </c>
      <c r="BK155" s="15" t="str">
        <f t="shared" si="826"/>
        <v>SIGIGUALES</v>
      </c>
      <c r="BL155" s="22" t="str">
        <f t="shared" si="827"/>
        <v>NO CONFORME</v>
      </c>
    </row>
    <row r="156" spans="1:64" ht="14.4" x14ac:dyDescent="0.3">
      <c r="A156" s="36">
        <v>148</v>
      </c>
      <c r="B156" s="28">
        <f t="shared" ref="B156:E156" si="962">B155</f>
        <v>45903</v>
      </c>
      <c r="C156" s="28">
        <f t="shared" si="962"/>
        <v>45903</v>
      </c>
      <c r="D156" s="12">
        <f t="shared" si="962"/>
        <v>3</v>
      </c>
      <c r="E156" s="10">
        <f t="shared" si="962"/>
        <v>11</v>
      </c>
      <c r="F156" s="13"/>
      <c r="G156" s="69"/>
      <c r="H156" s="70">
        <f t="shared" ref="H156:L156" si="963">H155</f>
        <v>25.6</v>
      </c>
      <c r="I156" s="37">
        <f t="shared" si="963"/>
        <v>0</v>
      </c>
      <c r="J156" s="35">
        <f t="shared" si="963"/>
        <v>16</v>
      </c>
      <c r="K156" s="122">
        <f t="shared" si="963"/>
        <v>8.1690000000000005</v>
      </c>
      <c r="L156" s="122">
        <f t="shared" si="963"/>
        <v>0.879</v>
      </c>
      <c r="M156" s="126"/>
      <c r="N156" s="126"/>
      <c r="O156" s="32">
        <f t="shared" ref="O156:P156" si="964">O155</f>
        <v>100.65</v>
      </c>
      <c r="P156" s="33" t="str">
        <f t="shared" si="964"/>
        <v>2,31,180</v>
      </c>
      <c r="Q156" s="11" t="str">
        <f t="shared" si="893"/>
        <v>2</v>
      </c>
      <c r="R156" s="11" t="str">
        <f t="shared" si="894"/>
        <v>31,180</v>
      </c>
      <c r="S156" s="11">
        <f t="shared" si="895"/>
        <v>4.1994444444444445E-2</v>
      </c>
      <c r="T156" s="14">
        <f t="shared" si="896"/>
        <v>2396.7456012700095</v>
      </c>
      <c r="U156" s="38">
        <f t="shared" si="897"/>
        <v>-100</v>
      </c>
      <c r="V156" s="39">
        <f t="shared" ref="V156:W156" si="965">V155</f>
        <v>19.8</v>
      </c>
      <c r="W156" s="124">
        <f t="shared" si="965"/>
        <v>1.08</v>
      </c>
      <c r="X156" s="124">
        <f t="shared" si="952"/>
        <v>1.075</v>
      </c>
      <c r="Y156" s="126"/>
      <c r="Z156" s="126"/>
      <c r="AA156" s="90">
        <f t="shared" ref="AA156:AB156" si="966">AA155</f>
        <v>5.0149999999999997</v>
      </c>
      <c r="AB156" s="73" t="str">
        <f t="shared" si="966"/>
        <v>9,05,040</v>
      </c>
      <c r="AC156" s="11" t="str">
        <f t="shared" si="900"/>
        <v>9,</v>
      </c>
      <c r="AD156" s="11" t="str">
        <f t="shared" si="901"/>
        <v>05,040</v>
      </c>
      <c r="AE156" s="11">
        <f t="shared" si="902"/>
        <v>0.15139999999999998</v>
      </c>
      <c r="AF156" s="14">
        <f t="shared" si="903"/>
        <v>33.124174372523122</v>
      </c>
      <c r="AG156" s="40">
        <f t="shared" si="904"/>
        <v>-100</v>
      </c>
      <c r="AH156" s="39">
        <f t="shared" si="960"/>
        <v>19.600000000000001</v>
      </c>
      <c r="AI156" s="124">
        <f t="shared" si="960"/>
        <v>1.0860000000000001</v>
      </c>
      <c r="AJ156" s="124">
        <f t="shared" si="960"/>
        <v>1.0780000000000001</v>
      </c>
      <c r="AK156" s="126">
        <f t="shared" si="905"/>
        <v>0</v>
      </c>
      <c r="AL156" s="126"/>
      <c r="AM156" s="34">
        <f t="shared" ref="AM156:AN156" si="967">AM155</f>
        <v>2.0059999999999998</v>
      </c>
      <c r="AN156" s="33" t="str">
        <f t="shared" si="967"/>
        <v>5,40,620</v>
      </c>
      <c r="AO156" s="11" t="str">
        <f t="shared" si="907"/>
        <v>5,</v>
      </c>
      <c r="AP156" s="11" t="str">
        <f t="shared" si="908"/>
        <v>40,620</v>
      </c>
      <c r="AQ156" s="11">
        <f t="shared" si="909"/>
        <v>9.4616666666666668E-2</v>
      </c>
      <c r="AR156" s="14">
        <f t="shared" si="910"/>
        <v>21.201338735247486</v>
      </c>
      <c r="AS156" s="40">
        <f t="shared" si="911"/>
        <v>-100</v>
      </c>
      <c r="AT156" s="41" t="str">
        <f t="shared" si="912"/>
        <v>NO CONFORME</v>
      </c>
      <c r="AU156" s="8" t="b">
        <f t="shared" si="834"/>
        <v>1</v>
      </c>
      <c r="AV156" s="8" t="b">
        <f t="shared" si="835"/>
        <v>0</v>
      </c>
      <c r="AW156" s="8" t="b">
        <f t="shared" si="836"/>
        <v>1</v>
      </c>
      <c r="AX156" s="8" t="str">
        <f t="shared" si="837"/>
        <v>Qcorrecto</v>
      </c>
      <c r="AY156" s="22" t="str">
        <f t="shared" si="817"/>
        <v>aceptable</v>
      </c>
      <c r="AZ156" s="22" t="str">
        <f t="shared" si="818"/>
        <v>aceptable</v>
      </c>
      <c r="BA156" s="22" t="str">
        <f t="shared" si="838"/>
        <v>aceptable</v>
      </c>
      <c r="BB156" s="25" t="str">
        <f t="shared" si="839"/>
        <v>NO CONFORME</v>
      </c>
      <c r="BC156" s="5" t="str">
        <f t="shared" si="840"/>
        <v>NO CONFORME</v>
      </c>
      <c r="BD156" s="15">
        <f t="shared" si="819"/>
        <v>-1</v>
      </c>
      <c r="BE156" s="15">
        <f t="shared" si="820"/>
        <v>-1</v>
      </c>
      <c r="BF156" s="15">
        <f t="shared" si="821"/>
        <v>-1</v>
      </c>
      <c r="BG156" s="15" t="str">
        <f t="shared" si="822"/>
        <v>-1-1-1</v>
      </c>
      <c r="BH156" s="15" t="str">
        <f t="shared" si="823"/>
        <v>SD</v>
      </c>
      <c r="BI156" s="15" t="str">
        <f t="shared" si="824"/>
        <v>SI</v>
      </c>
      <c r="BJ156" s="15" t="b">
        <f t="shared" si="825"/>
        <v>1</v>
      </c>
      <c r="BK156" s="15" t="str">
        <f t="shared" si="826"/>
        <v>SIGIGUALES</v>
      </c>
      <c r="BL156" s="22" t="str">
        <f t="shared" si="827"/>
        <v>NO CONFORME</v>
      </c>
    </row>
    <row r="157" spans="1:64" ht="14.4" x14ac:dyDescent="0.3">
      <c r="A157" s="36">
        <v>149</v>
      </c>
      <c r="B157" s="28">
        <f t="shared" ref="B157:E157" si="968">B156</f>
        <v>45903</v>
      </c>
      <c r="C157" s="28">
        <f t="shared" si="968"/>
        <v>45903</v>
      </c>
      <c r="D157" s="12">
        <f t="shared" si="968"/>
        <v>3</v>
      </c>
      <c r="E157" s="10">
        <f t="shared" si="968"/>
        <v>11</v>
      </c>
      <c r="F157" s="13"/>
      <c r="G157" s="69"/>
      <c r="H157" s="70">
        <f t="shared" ref="H157:L157" si="969">H156</f>
        <v>25.6</v>
      </c>
      <c r="I157" s="37">
        <f t="shared" si="969"/>
        <v>0</v>
      </c>
      <c r="J157" s="35">
        <f t="shared" si="969"/>
        <v>16</v>
      </c>
      <c r="K157" s="122">
        <f t="shared" si="969"/>
        <v>8.1690000000000005</v>
      </c>
      <c r="L157" s="122">
        <f t="shared" si="969"/>
        <v>0.879</v>
      </c>
      <c r="M157" s="126"/>
      <c r="N157" s="126"/>
      <c r="O157" s="32">
        <f t="shared" ref="O157:P157" si="970">O156</f>
        <v>100.65</v>
      </c>
      <c r="P157" s="33" t="str">
        <f t="shared" si="970"/>
        <v>2,31,180</v>
      </c>
      <c r="Q157" s="11" t="str">
        <f t="shared" si="893"/>
        <v>2</v>
      </c>
      <c r="R157" s="11" t="str">
        <f t="shared" si="894"/>
        <v>31,180</v>
      </c>
      <c r="S157" s="11">
        <f t="shared" si="895"/>
        <v>4.1994444444444445E-2</v>
      </c>
      <c r="T157" s="14">
        <f t="shared" si="896"/>
        <v>2396.7456012700095</v>
      </c>
      <c r="U157" s="38">
        <f t="shared" si="897"/>
        <v>-100</v>
      </c>
      <c r="V157" s="39">
        <f t="shared" ref="V157:W157" si="971">V156</f>
        <v>19.8</v>
      </c>
      <c r="W157" s="124">
        <f t="shared" si="971"/>
        <v>1.08</v>
      </c>
      <c r="X157" s="124">
        <f t="shared" si="952"/>
        <v>1.075</v>
      </c>
      <c r="Y157" s="126"/>
      <c r="Z157" s="126"/>
      <c r="AA157" s="90">
        <f t="shared" ref="AA157:AB157" si="972">AA156</f>
        <v>5.0149999999999997</v>
      </c>
      <c r="AB157" s="73" t="str">
        <f t="shared" si="972"/>
        <v>9,05,040</v>
      </c>
      <c r="AC157" s="11" t="str">
        <f t="shared" si="900"/>
        <v>9,</v>
      </c>
      <c r="AD157" s="11" t="str">
        <f t="shared" si="901"/>
        <v>05,040</v>
      </c>
      <c r="AE157" s="11">
        <f t="shared" si="902"/>
        <v>0.15139999999999998</v>
      </c>
      <c r="AF157" s="14">
        <f t="shared" si="903"/>
        <v>33.124174372523122</v>
      </c>
      <c r="AG157" s="40">
        <f t="shared" si="904"/>
        <v>-100</v>
      </c>
      <c r="AH157" s="39">
        <f t="shared" si="960"/>
        <v>19.600000000000001</v>
      </c>
      <c r="AI157" s="124">
        <f t="shared" si="960"/>
        <v>1.0860000000000001</v>
      </c>
      <c r="AJ157" s="124">
        <f t="shared" si="960"/>
        <v>1.0780000000000001</v>
      </c>
      <c r="AK157" s="126">
        <f t="shared" si="905"/>
        <v>0</v>
      </c>
      <c r="AL157" s="126"/>
      <c r="AM157" s="34">
        <f t="shared" ref="AM157:AN157" si="973">AM156</f>
        <v>2.0059999999999998</v>
      </c>
      <c r="AN157" s="33" t="str">
        <f t="shared" si="973"/>
        <v>5,40,620</v>
      </c>
      <c r="AO157" s="11" t="str">
        <f t="shared" si="907"/>
        <v>5,</v>
      </c>
      <c r="AP157" s="11" t="str">
        <f t="shared" si="908"/>
        <v>40,620</v>
      </c>
      <c r="AQ157" s="11">
        <f t="shared" si="909"/>
        <v>9.4616666666666668E-2</v>
      </c>
      <c r="AR157" s="14">
        <f t="shared" si="910"/>
        <v>21.201338735247486</v>
      </c>
      <c r="AS157" s="40">
        <f t="shared" si="911"/>
        <v>-100</v>
      </c>
      <c r="AT157" s="41" t="str">
        <f t="shared" si="912"/>
        <v>NO CONFORME</v>
      </c>
      <c r="AU157" s="8" t="b">
        <f t="shared" si="834"/>
        <v>1</v>
      </c>
      <c r="AV157" s="8" t="b">
        <f t="shared" si="835"/>
        <v>0</v>
      </c>
      <c r="AW157" s="8" t="b">
        <f t="shared" si="836"/>
        <v>1</v>
      </c>
      <c r="AX157" s="8" t="str">
        <f t="shared" si="837"/>
        <v>Qcorrecto</v>
      </c>
      <c r="AY157" s="22" t="str">
        <f t="shared" si="817"/>
        <v>aceptable</v>
      </c>
      <c r="AZ157" s="22" t="str">
        <f t="shared" si="818"/>
        <v>aceptable</v>
      </c>
      <c r="BA157" s="22" t="str">
        <f t="shared" si="838"/>
        <v>aceptable</v>
      </c>
      <c r="BB157" s="25" t="str">
        <f t="shared" si="839"/>
        <v>NO CONFORME</v>
      </c>
      <c r="BC157" s="5" t="str">
        <f t="shared" si="840"/>
        <v>NO CONFORME</v>
      </c>
      <c r="BD157" s="15">
        <f t="shared" si="819"/>
        <v>-1</v>
      </c>
      <c r="BE157" s="15">
        <f t="shared" si="820"/>
        <v>-1</v>
      </c>
      <c r="BF157" s="15">
        <f t="shared" si="821"/>
        <v>-1</v>
      </c>
      <c r="BG157" s="15" t="str">
        <f t="shared" si="822"/>
        <v>-1-1-1</v>
      </c>
      <c r="BH157" s="15" t="str">
        <f t="shared" si="823"/>
        <v>SD</v>
      </c>
      <c r="BI157" s="15" t="str">
        <f t="shared" si="824"/>
        <v>SI</v>
      </c>
      <c r="BJ157" s="15" t="b">
        <f t="shared" si="825"/>
        <v>1</v>
      </c>
      <c r="BK157" s="15" t="str">
        <f t="shared" si="826"/>
        <v>SIGIGUALES</v>
      </c>
      <c r="BL157" s="22" t="str">
        <f t="shared" si="827"/>
        <v>NO CONFORME</v>
      </c>
    </row>
    <row r="158" spans="1:64" ht="14.4" x14ac:dyDescent="0.3">
      <c r="A158" s="36">
        <v>150</v>
      </c>
      <c r="B158" s="28">
        <f t="shared" ref="B158:E158" si="974">B157</f>
        <v>45903</v>
      </c>
      <c r="C158" s="28">
        <f t="shared" si="974"/>
        <v>45903</v>
      </c>
      <c r="D158" s="12">
        <f t="shared" si="974"/>
        <v>3</v>
      </c>
      <c r="E158" s="10">
        <f t="shared" si="974"/>
        <v>11</v>
      </c>
      <c r="F158" s="13"/>
      <c r="G158" s="69"/>
      <c r="H158" s="70">
        <f t="shared" ref="H158:L158" si="975">H157</f>
        <v>25.6</v>
      </c>
      <c r="I158" s="37">
        <f t="shared" si="975"/>
        <v>0</v>
      </c>
      <c r="J158" s="35">
        <f t="shared" si="975"/>
        <v>16</v>
      </c>
      <c r="K158" s="122">
        <f t="shared" si="975"/>
        <v>8.1690000000000005</v>
      </c>
      <c r="L158" s="122">
        <f t="shared" si="975"/>
        <v>0.879</v>
      </c>
      <c r="M158" s="126"/>
      <c r="N158" s="126"/>
      <c r="O158" s="32">
        <f t="shared" ref="O158:P158" si="976">O157</f>
        <v>100.65</v>
      </c>
      <c r="P158" s="33" t="str">
        <f t="shared" si="976"/>
        <v>2,31,180</v>
      </c>
      <c r="Q158" s="11" t="str">
        <f t="shared" si="893"/>
        <v>2</v>
      </c>
      <c r="R158" s="11" t="str">
        <f t="shared" si="894"/>
        <v>31,180</v>
      </c>
      <c r="S158" s="11">
        <f t="shared" si="895"/>
        <v>4.1994444444444445E-2</v>
      </c>
      <c r="T158" s="14">
        <f t="shared" si="896"/>
        <v>2396.7456012700095</v>
      </c>
      <c r="U158" s="38">
        <f t="shared" si="897"/>
        <v>-100</v>
      </c>
      <c r="V158" s="39">
        <f t="shared" ref="V158:W158" si="977">V157</f>
        <v>19.8</v>
      </c>
      <c r="W158" s="124">
        <f t="shared" si="977"/>
        <v>1.08</v>
      </c>
      <c r="X158" s="124">
        <f t="shared" si="952"/>
        <v>1.075</v>
      </c>
      <c r="Y158" s="126"/>
      <c r="Z158" s="126"/>
      <c r="AA158" s="90">
        <f t="shared" ref="AA158:AB158" si="978">AA157</f>
        <v>5.0149999999999997</v>
      </c>
      <c r="AB158" s="73" t="str">
        <f t="shared" si="978"/>
        <v>9,05,040</v>
      </c>
      <c r="AC158" s="11" t="str">
        <f t="shared" si="900"/>
        <v>9,</v>
      </c>
      <c r="AD158" s="11" t="str">
        <f t="shared" si="901"/>
        <v>05,040</v>
      </c>
      <c r="AE158" s="11">
        <f t="shared" si="902"/>
        <v>0.15139999999999998</v>
      </c>
      <c r="AF158" s="14">
        <f t="shared" si="903"/>
        <v>33.124174372523122</v>
      </c>
      <c r="AG158" s="40">
        <f t="shared" si="904"/>
        <v>-100</v>
      </c>
      <c r="AH158" s="39">
        <f t="shared" si="960"/>
        <v>19.600000000000001</v>
      </c>
      <c r="AI158" s="124">
        <f t="shared" si="960"/>
        <v>1.0860000000000001</v>
      </c>
      <c r="AJ158" s="124">
        <f t="shared" si="960"/>
        <v>1.0780000000000001</v>
      </c>
      <c r="AK158" s="126">
        <f t="shared" si="905"/>
        <v>0</v>
      </c>
      <c r="AL158" s="126"/>
      <c r="AM158" s="34">
        <f t="shared" ref="AM158:AN158" si="979">AM157</f>
        <v>2.0059999999999998</v>
      </c>
      <c r="AN158" s="33" t="str">
        <f t="shared" si="979"/>
        <v>5,40,620</v>
      </c>
      <c r="AO158" s="11" t="str">
        <f t="shared" si="907"/>
        <v>5,</v>
      </c>
      <c r="AP158" s="11" t="str">
        <f t="shared" si="908"/>
        <v>40,620</v>
      </c>
      <c r="AQ158" s="11">
        <f t="shared" si="909"/>
        <v>9.4616666666666668E-2</v>
      </c>
      <c r="AR158" s="14">
        <f t="shared" si="910"/>
        <v>21.201338735247486</v>
      </c>
      <c r="AS158" s="40">
        <f t="shared" si="911"/>
        <v>-100</v>
      </c>
      <c r="AT158" s="41" t="str">
        <f t="shared" si="912"/>
        <v>NO CONFORME</v>
      </c>
      <c r="AU158" s="8" t="b">
        <f t="shared" si="834"/>
        <v>1</v>
      </c>
      <c r="AV158" s="8" t="b">
        <f t="shared" si="835"/>
        <v>0</v>
      </c>
      <c r="AW158" s="8" t="b">
        <f t="shared" si="836"/>
        <v>1</v>
      </c>
      <c r="AX158" s="8" t="str">
        <f t="shared" si="837"/>
        <v>Qcorrecto</v>
      </c>
      <c r="AY158" s="22" t="str">
        <f t="shared" si="817"/>
        <v>aceptable</v>
      </c>
      <c r="AZ158" s="22" t="str">
        <f t="shared" si="818"/>
        <v>aceptable</v>
      </c>
      <c r="BA158" s="22" t="str">
        <f t="shared" si="838"/>
        <v>aceptable</v>
      </c>
      <c r="BB158" s="25" t="str">
        <f t="shared" si="839"/>
        <v>NO CONFORME</v>
      </c>
      <c r="BC158" s="5" t="str">
        <f t="shared" si="840"/>
        <v>NO CONFORME</v>
      </c>
      <c r="BD158" s="15">
        <f t="shared" si="819"/>
        <v>-1</v>
      </c>
      <c r="BE158" s="15">
        <f t="shared" si="820"/>
        <v>-1</v>
      </c>
      <c r="BF158" s="15">
        <f t="shared" si="821"/>
        <v>-1</v>
      </c>
      <c r="BG158" s="15" t="str">
        <f t="shared" si="822"/>
        <v>-1-1-1</v>
      </c>
      <c r="BH158" s="15" t="str">
        <f t="shared" si="823"/>
        <v>SD</v>
      </c>
      <c r="BI158" s="15" t="str">
        <f t="shared" si="824"/>
        <v>SI</v>
      </c>
      <c r="BJ158" s="15" t="b">
        <f t="shared" si="825"/>
        <v>1</v>
      </c>
      <c r="BK158" s="15" t="str">
        <f t="shared" si="826"/>
        <v>SIGIGUALES</v>
      </c>
      <c r="BL158" s="22" t="str">
        <f t="shared" si="827"/>
        <v>NO CONFORME</v>
      </c>
    </row>
    <row r="159" spans="1:64" ht="14.4" x14ac:dyDescent="0.3">
      <c r="A159" s="36">
        <v>151</v>
      </c>
      <c r="B159" s="28">
        <f t="shared" ref="B159:E159" si="980">B158</f>
        <v>45903</v>
      </c>
      <c r="C159" s="28">
        <f t="shared" si="980"/>
        <v>45903</v>
      </c>
      <c r="D159" s="12">
        <f t="shared" si="980"/>
        <v>3</v>
      </c>
      <c r="E159" s="10">
        <f t="shared" si="980"/>
        <v>11</v>
      </c>
      <c r="F159" s="13"/>
      <c r="G159" s="69"/>
      <c r="H159" s="70">
        <f t="shared" ref="H159:L159" si="981">H158</f>
        <v>25.6</v>
      </c>
      <c r="I159" s="37">
        <f t="shared" si="981"/>
        <v>0</v>
      </c>
      <c r="J159" s="35">
        <f t="shared" si="981"/>
        <v>16</v>
      </c>
      <c r="K159" s="122">
        <f t="shared" si="981"/>
        <v>8.1690000000000005</v>
      </c>
      <c r="L159" s="122">
        <f t="shared" si="981"/>
        <v>0.879</v>
      </c>
      <c r="M159" s="126"/>
      <c r="N159" s="126"/>
      <c r="O159" s="32">
        <f t="shared" ref="O159:P159" si="982">O158</f>
        <v>100.65</v>
      </c>
      <c r="P159" s="33" t="str">
        <f t="shared" si="982"/>
        <v>2,31,180</v>
      </c>
      <c r="Q159" s="11" t="str">
        <f t="shared" si="893"/>
        <v>2</v>
      </c>
      <c r="R159" s="11" t="str">
        <f t="shared" si="894"/>
        <v>31,180</v>
      </c>
      <c r="S159" s="11">
        <f t="shared" si="895"/>
        <v>4.1994444444444445E-2</v>
      </c>
      <c r="T159" s="14">
        <f t="shared" si="896"/>
        <v>2396.7456012700095</v>
      </c>
      <c r="U159" s="38">
        <f t="shared" si="897"/>
        <v>-100</v>
      </c>
      <c r="V159" s="39">
        <f t="shared" ref="V159:W159" si="983">V158</f>
        <v>19.8</v>
      </c>
      <c r="W159" s="124">
        <f t="shared" si="983"/>
        <v>1.08</v>
      </c>
      <c r="X159" s="124">
        <f t="shared" si="952"/>
        <v>1.075</v>
      </c>
      <c r="Y159" s="126"/>
      <c r="Z159" s="126"/>
      <c r="AA159" s="90">
        <f t="shared" ref="AA159:AB159" si="984">AA158</f>
        <v>5.0149999999999997</v>
      </c>
      <c r="AB159" s="73" t="str">
        <f t="shared" si="984"/>
        <v>9,05,040</v>
      </c>
      <c r="AC159" s="11" t="str">
        <f t="shared" si="900"/>
        <v>9,</v>
      </c>
      <c r="AD159" s="11" t="str">
        <f t="shared" si="901"/>
        <v>05,040</v>
      </c>
      <c r="AE159" s="11">
        <f t="shared" si="902"/>
        <v>0.15139999999999998</v>
      </c>
      <c r="AF159" s="14">
        <f t="shared" si="903"/>
        <v>33.124174372523122</v>
      </c>
      <c r="AG159" s="40">
        <f t="shared" si="904"/>
        <v>-100</v>
      </c>
      <c r="AH159" s="39">
        <f t="shared" si="960"/>
        <v>19.600000000000001</v>
      </c>
      <c r="AI159" s="124">
        <f t="shared" si="960"/>
        <v>1.0860000000000001</v>
      </c>
      <c r="AJ159" s="124">
        <f t="shared" si="960"/>
        <v>1.0780000000000001</v>
      </c>
      <c r="AK159" s="126">
        <f t="shared" si="905"/>
        <v>0</v>
      </c>
      <c r="AL159" s="126"/>
      <c r="AM159" s="34">
        <f t="shared" ref="AM159:AN159" si="985">AM158</f>
        <v>2.0059999999999998</v>
      </c>
      <c r="AN159" s="33" t="str">
        <f t="shared" si="985"/>
        <v>5,40,620</v>
      </c>
      <c r="AO159" s="11" t="str">
        <f t="shared" si="907"/>
        <v>5,</v>
      </c>
      <c r="AP159" s="11" t="str">
        <f t="shared" si="908"/>
        <v>40,620</v>
      </c>
      <c r="AQ159" s="11">
        <f t="shared" si="909"/>
        <v>9.4616666666666668E-2</v>
      </c>
      <c r="AR159" s="14">
        <f t="shared" si="910"/>
        <v>21.201338735247486</v>
      </c>
      <c r="AS159" s="40">
        <f t="shared" si="911"/>
        <v>-100</v>
      </c>
      <c r="AT159" s="41" t="str">
        <f t="shared" si="912"/>
        <v>NO CONFORME</v>
      </c>
      <c r="AU159" s="8" t="b">
        <f t="shared" si="834"/>
        <v>1</v>
      </c>
      <c r="AV159" s="8" t="b">
        <f t="shared" si="835"/>
        <v>0</v>
      </c>
      <c r="AW159" s="8" t="b">
        <f t="shared" si="836"/>
        <v>1</v>
      </c>
      <c r="AX159" s="8" t="str">
        <f t="shared" si="837"/>
        <v>Qcorrecto</v>
      </c>
      <c r="AY159" s="22" t="str">
        <f t="shared" si="817"/>
        <v>aceptable</v>
      </c>
      <c r="AZ159" s="22" t="str">
        <f t="shared" si="818"/>
        <v>aceptable</v>
      </c>
      <c r="BA159" s="22" t="str">
        <f t="shared" si="838"/>
        <v>aceptable</v>
      </c>
      <c r="BB159" s="25" t="str">
        <f t="shared" si="839"/>
        <v>NO CONFORME</v>
      </c>
      <c r="BC159" s="5" t="str">
        <f t="shared" si="840"/>
        <v>NO CONFORME</v>
      </c>
      <c r="BD159" s="15">
        <f t="shared" si="819"/>
        <v>-1</v>
      </c>
      <c r="BE159" s="15">
        <f t="shared" si="820"/>
        <v>-1</v>
      </c>
      <c r="BF159" s="15">
        <f t="shared" si="821"/>
        <v>-1</v>
      </c>
      <c r="BG159" s="15" t="str">
        <f t="shared" si="822"/>
        <v>-1-1-1</v>
      </c>
      <c r="BH159" s="15" t="str">
        <f t="shared" si="823"/>
        <v>SD</v>
      </c>
      <c r="BI159" s="15" t="str">
        <f t="shared" si="824"/>
        <v>SI</v>
      </c>
      <c r="BJ159" s="15" t="b">
        <f t="shared" si="825"/>
        <v>1</v>
      </c>
      <c r="BK159" s="15" t="str">
        <f t="shared" si="826"/>
        <v>SIGIGUALES</v>
      </c>
      <c r="BL159" s="22" t="str">
        <f t="shared" si="827"/>
        <v>NO CONFORME</v>
      </c>
    </row>
    <row r="160" spans="1:64" ht="14.4" x14ac:dyDescent="0.3">
      <c r="A160" s="36">
        <v>152</v>
      </c>
      <c r="B160" s="28">
        <f t="shared" ref="B160:E160" si="986">B159</f>
        <v>45903</v>
      </c>
      <c r="C160" s="28">
        <f t="shared" si="986"/>
        <v>45903</v>
      </c>
      <c r="D160" s="12">
        <f t="shared" si="986"/>
        <v>3</v>
      </c>
      <c r="E160" s="10">
        <f t="shared" si="986"/>
        <v>11</v>
      </c>
      <c r="F160" s="13"/>
      <c r="G160" s="69"/>
      <c r="H160" s="70">
        <f t="shared" ref="H160:L160" si="987">H159</f>
        <v>25.6</v>
      </c>
      <c r="I160" s="37">
        <f t="shared" si="987"/>
        <v>0</v>
      </c>
      <c r="J160" s="35">
        <f t="shared" si="987"/>
        <v>16</v>
      </c>
      <c r="K160" s="122">
        <f t="shared" si="987"/>
        <v>8.1690000000000005</v>
      </c>
      <c r="L160" s="122">
        <f t="shared" si="987"/>
        <v>0.879</v>
      </c>
      <c r="M160" s="126"/>
      <c r="N160" s="126"/>
      <c r="O160" s="32">
        <f t="shared" ref="O160:P160" si="988">O159</f>
        <v>100.65</v>
      </c>
      <c r="P160" s="33" t="str">
        <f t="shared" si="988"/>
        <v>2,31,180</v>
      </c>
      <c r="Q160" s="11" t="str">
        <f t="shared" si="893"/>
        <v>2</v>
      </c>
      <c r="R160" s="11" t="str">
        <f t="shared" si="894"/>
        <v>31,180</v>
      </c>
      <c r="S160" s="11">
        <f t="shared" si="895"/>
        <v>4.1994444444444445E-2</v>
      </c>
      <c r="T160" s="14">
        <f t="shared" si="896"/>
        <v>2396.7456012700095</v>
      </c>
      <c r="U160" s="38">
        <f t="shared" si="897"/>
        <v>-100</v>
      </c>
      <c r="V160" s="39">
        <f t="shared" ref="V160:W160" si="989">V159</f>
        <v>19.8</v>
      </c>
      <c r="W160" s="124">
        <f t="shared" si="989"/>
        <v>1.08</v>
      </c>
      <c r="X160" s="124">
        <f t="shared" si="952"/>
        <v>1.075</v>
      </c>
      <c r="Y160" s="126"/>
      <c r="Z160" s="126"/>
      <c r="AA160" s="90">
        <f t="shared" ref="AA160:AB160" si="990">AA159</f>
        <v>5.0149999999999997</v>
      </c>
      <c r="AB160" s="73" t="str">
        <f t="shared" si="990"/>
        <v>9,05,040</v>
      </c>
      <c r="AC160" s="11" t="str">
        <f t="shared" si="900"/>
        <v>9,</v>
      </c>
      <c r="AD160" s="11" t="str">
        <f t="shared" si="901"/>
        <v>05,040</v>
      </c>
      <c r="AE160" s="11">
        <f t="shared" si="902"/>
        <v>0.15139999999999998</v>
      </c>
      <c r="AF160" s="14">
        <f t="shared" si="903"/>
        <v>33.124174372523122</v>
      </c>
      <c r="AG160" s="40">
        <f t="shared" si="904"/>
        <v>-100</v>
      </c>
      <c r="AH160" s="39">
        <f t="shared" si="960"/>
        <v>19.600000000000001</v>
      </c>
      <c r="AI160" s="124">
        <f t="shared" si="960"/>
        <v>1.0860000000000001</v>
      </c>
      <c r="AJ160" s="124">
        <f t="shared" si="960"/>
        <v>1.0780000000000001</v>
      </c>
      <c r="AK160" s="126">
        <f t="shared" si="905"/>
        <v>0</v>
      </c>
      <c r="AL160" s="126"/>
      <c r="AM160" s="34">
        <f t="shared" ref="AM160:AN160" si="991">AM159</f>
        <v>2.0059999999999998</v>
      </c>
      <c r="AN160" s="33" t="str">
        <f t="shared" si="991"/>
        <v>5,40,620</v>
      </c>
      <c r="AO160" s="11" t="str">
        <f t="shared" si="907"/>
        <v>5,</v>
      </c>
      <c r="AP160" s="11" t="str">
        <f t="shared" si="908"/>
        <v>40,620</v>
      </c>
      <c r="AQ160" s="11">
        <f t="shared" si="909"/>
        <v>9.4616666666666668E-2</v>
      </c>
      <c r="AR160" s="14">
        <f t="shared" si="910"/>
        <v>21.201338735247486</v>
      </c>
      <c r="AS160" s="40">
        <f t="shared" si="911"/>
        <v>-100</v>
      </c>
      <c r="AT160" s="41" t="str">
        <f t="shared" si="912"/>
        <v>NO CONFORME</v>
      </c>
      <c r="AU160" s="8" t="b">
        <f t="shared" si="834"/>
        <v>1</v>
      </c>
      <c r="AV160" s="8" t="b">
        <f t="shared" si="835"/>
        <v>0</v>
      </c>
      <c r="AW160" s="8" t="b">
        <f t="shared" si="836"/>
        <v>1</v>
      </c>
      <c r="AX160" s="8" t="str">
        <f t="shared" si="837"/>
        <v>Qcorrecto</v>
      </c>
      <c r="AY160" s="22" t="str">
        <f t="shared" si="817"/>
        <v>aceptable</v>
      </c>
      <c r="AZ160" s="22" t="str">
        <f t="shared" si="818"/>
        <v>aceptable</v>
      </c>
      <c r="BA160" s="22" t="str">
        <f t="shared" si="838"/>
        <v>aceptable</v>
      </c>
      <c r="BB160" s="25" t="str">
        <f t="shared" si="839"/>
        <v>NO CONFORME</v>
      </c>
      <c r="BC160" s="5" t="str">
        <f t="shared" si="840"/>
        <v>NO CONFORME</v>
      </c>
      <c r="BD160" s="15">
        <f t="shared" si="819"/>
        <v>-1</v>
      </c>
      <c r="BE160" s="15">
        <f t="shared" si="820"/>
        <v>-1</v>
      </c>
      <c r="BF160" s="15">
        <f t="shared" si="821"/>
        <v>-1</v>
      </c>
      <c r="BG160" s="15" t="str">
        <f t="shared" si="822"/>
        <v>-1-1-1</v>
      </c>
      <c r="BH160" s="15" t="str">
        <f t="shared" si="823"/>
        <v>SD</v>
      </c>
      <c r="BI160" s="15" t="str">
        <f t="shared" si="824"/>
        <v>SI</v>
      </c>
      <c r="BJ160" s="15" t="b">
        <f t="shared" si="825"/>
        <v>1</v>
      </c>
      <c r="BK160" s="15" t="str">
        <f t="shared" si="826"/>
        <v>SIGIGUALES</v>
      </c>
      <c r="BL160" s="22" t="str">
        <f t="shared" si="827"/>
        <v>NO CONFORME</v>
      </c>
    </row>
    <row r="161" spans="1:64" ht="14.4" x14ac:dyDescent="0.3">
      <c r="A161" s="36">
        <v>153</v>
      </c>
      <c r="B161" s="28">
        <f t="shared" ref="B161:E161" si="992">B160</f>
        <v>45903</v>
      </c>
      <c r="C161" s="28">
        <f t="shared" si="992"/>
        <v>45903</v>
      </c>
      <c r="D161" s="12">
        <f t="shared" si="992"/>
        <v>3</v>
      </c>
      <c r="E161" s="10">
        <f t="shared" si="992"/>
        <v>11</v>
      </c>
      <c r="F161" s="13"/>
      <c r="G161" s="69"/>
      <c r="H161" s="70">
        <f t="shared" ref="H161:L161" si="993">H160</f>
        <v>25.6</v>
      </c>
      <c r="I161" s="37">
        <f t="shared" si="993"/>
        <v>0</v>
      </c>
      <c r="J161" s="35">
        <f t="shared" si="993"/>
        <v>16</v>
      </c>
      <c r="K161" s="122">
        <f t="shared" si="993"/>
        <v>8.1690000000000005</v>
      </c>
      <c r="L161" s="122">
        <f t="shared" si="993"/>
        <v>0.879</v>
      </c>
      <c r="M161" s="126"/>
      <c r="N161" s="126"/>
      <c r="O161" s="32">
        <f t="shared" ref="O161:P161" si="994">O160</f>
        <v>100.65</v>
      </c>
      <c r="P161" s="33" t="str">
        <f t="shared" si="994"/>
        <v>2,31,180</v>
      </c>
      <c r="Q161" s="11" t="str">
        <f t="shared" si="893"/>
        <v>2</v>
      </c>
      <c r="R161" s="11" t="str">
        <f t="shared" si="894"/>
        <v>31,180</v>
      </c>
      <c r="S161" s="11">
        <f t="shared" si="895"/>
        <v>4.1994444444444445E-2</v>
      </c>
      <c r="T161" s="14">
        <f t="shared" si="896"/>
        <v>2396.7456012700095</v>
      </c>
      <c r="U161" s="38">
        <f t="shared" si="897"/>
        <v>-100</v>
      </c>
      <c r="V161" s="39">
        <f t="shared" ref="V161:W161" si="995">V160</f>
        <v>19.8</v>
      </c>
      <c r="W161" s="124">
        <f t="shared" si="995"/>
        <v>1.08</v>
      </c>
      <c r="X161" s="124">
        <f t="shared" si="952"/>
        <v>1.075</v>
      </c>
      <c r="Y161" s="126"/>
      <c r="Z161" s="126"/>
      <c r="AA161" s="90">
        <f t="shared" ref="AA161:AB161" si="996">AA160</f>
        <v>5.0149999999999997</v>
      </c>
      <c r="AB161" s="73" t="str">
        <f t="shared" si="996"/>
        <v>9,05,040</v>
      </c>
      <c r="AC161" s="11" t="str">
        <f t="shared" si="900"/>
        <v>9,</v>
      </c>
      <c r="AD161" s="11" t="str">
        <f t="shared" si="901"/>
        <v>05,040</v>
      </c>
      <c r="AE161" s="11">
        <f t="shared" si="902"/>
        <v>0.15139999999999998</v>
      </c>
      <c r="AF161" s="14">
        <f t="shared" si="903"/>
        <v>33.124174372523122</v>
      </c>
      <c r="AG161" s="40">
        <f t="shared" si="904"/>
        <v>-100</v>
      </c>
      <c r="AH161" s="39">
        <f t="shared" si="960"/>
        <v>19.600000000000001</v>
      </c>
      <c r="AI161" s="124">
        <f t="shared" si="960"/>
        <v>1.0860000000000001</v>
      </c>
      <c r="AJ161" s="124">
        <f t="shared" si="960"/>
        <v>1.0780000000000001</v>
      </c>
      <c r="AK161" s="126">
        <f t="shared" si="905"/>
        <v>0</v>
      </c>
      <c r="AL161" s="126"/>
      <c r="AM161" s="34">
        <f t="shared" ref="AM161:AN161" si="997">AM160</f>
        <v>2.0059999999999998</v>
      </c>
      <c r="AN161" s="33" t="str">
        <f t="shared" si="997"/>
        <v>5,40,620</v>
      </c>
      <c r="AO161" s="11" t="str">
        <f t="shared" si="907"/>
        <v>5,</v>
      </c>
      <c r="AP161" s="11" t="str">
        <f t="shared" si="908"/>
        <v>40,620</v>
      </c>
      <c r="AQ161" s="11">
        <f t="shared" si="909"/>
        <v>9.4616666666666668E-2</v>
      </c>
      <c r="AR161" s="14">
        <f t="shared" si="910"/>
        <v>21.201338735247486</v>
      </c>
      <c r="AS161" s="40">
        <f t="shared" si="911"/>
        <v>-100</v>
      </c>
      <c r="AT161" s="41" t="str">
        <f t="shared" si="912"/>
        <v>NO CONFORME</v>
      </c>
      <c r="AU161" s="8" t="b">
        <f t="shared" si="834"/>
        <v>1</v>
      </c>
      <c r="AV161" s="8" t="b">
        <f t="shared" si="835"/>
        <v>0</v>
      </c>
      <c r="AW161" s="8" t="b">
        <f t="shared" si="836"/>
        <v>1</v>
      </c>
      <c r="AX161" s="8" t="str">
        <f t="shared" si="837"/>
        <v>Qcorrecto</v>
      </c>
      <c r="AY161" s="22" t="str">
        <f t="shared" si="817"/>
        <v>aceptable</v>
      </c>
      <c r="AZ161" s="22" t="str">
        <f t="shared" si="818"/>
        <v>aceptable</v>
      </c>
      <c r="BA161" s="22" t="str">
        <f t="shared" si="838"/>
        <v>aceptable</v>
      </c>
      <c r="BB161" s="25" t="str">
        <f t="shared" si="839"/>
        <v>NO CONFORME</v>
      </c>
      <c r="BC161" s="5" t="str">
        <f t="shared" si="840"/>
        <v>NO CONFORME</v>
      </c>
      <c r="BD161" s="15">
        <f t="shared" si="819"/>
        <v>-1</v>
      </c>
      <c r="BE161" s="15">
        <f t="shared" si="820"/>
        <v>-1</v>
      </c>
      <c r="BF161" s="15">
        <f t="shared" si="821"/>
        <v>-1</v>
      </c>
      <c r="BG161" s="15" t="str">
        <f t="shared" si="822"/>
        <v>-1-1-1</v>
      </c>
      <c r="BH161" s="15" t="str">
        <f t="shared" si="823"/>
        <v>SD</v>
      </c>
      <c r="BI161" s="15" t="str">
        <f t="shared" si="824"/>
        <v>SI</v>
      </c>
      <c r="BJ161" s="15" t="b">
        <f t="shared" si="825"/>
        <v>1</v>
      </c>
      <c r="BK161" s="15" t="str">
        <f t="shared" si="826"/>
        <v>SIGIGUALES</v>
      </c>
      <c r="BL161" s="22" t="str">
        <f t="shared" si="827"/>
        <v>NO CONFORME</v>
      </c>
    </row>
    <row r="162" spans="1:64" ht="14.4" x14ac:dyDescent="0.3">
      <c r="A162" s="36">
        <v>154</v>
      </c>
      <c r="B162" s="28">
        <f t="shared" ref="B162:E162" si="998">B161</f>
        <v>45903</v>
      </c>
      <c r="C162" s="28">
        <f t="shared" si="998"/>
        <v>45903</v>
      </c>
      <c r="D162" s="12">
        <f t="shared" si="998"/>
        <v>3</v>
      </c>
      <c r="E162" s="10">
        <f t="shared" si="998"/>
        <v>11</v>
      </c>
      <c r="F162" s="13"/>
      <c r="G162" s="69"/>
      <c r="H162" s="70">
        <f t="shared" ref="H162:L162" si="999">H161</f>
        <v>25.6</v>
      </c>
      <c r="I162" s="37">
        <f t="shared" si="999"/>
        <v>0</v>
      </c>
      <c r="J162" s="35">
        <f t="shared" si="999"/>
        <v>16</v>
      </c>
      <c r="K162" s="122">
        <f t="shared" si="999"/>
        <v>8.1690000000000005</v>
      </c>
      <c r="L162" s="122">
        <f t="shared" si="999"/>
        <v>0.879</v>
      </c>
      <c r="M162" s="126"/>
      <c r="N162" s="126"/>
      <c r="O162" s="32">
        <f t="shared" ref="O162:P162" si="1000">O161</f>
        <v>100.65</v>
      </c>
      <c r="P162" s="33" t="str">
        <f t="shared" si="1000"/>
        <v>2,31,180</v>
      </c>
      <c r="Q162" s="11" t="str">
        <f t="shared" si="893"/>
        <v>2</v>
      </c>
      <c r="R162" s="11" t="str">
        <f t="shared" si="894"/>
        <v>31,180</v>
      </c>
      <c r="S162" s="11">
        <f t="shared" si="895"/>
        <v>4.1994444444444445E-2</v>
      </c>
      <c r="T162" s="14">
        <f t="shared" si="896"/>
        <v>2396.7456012700095</v>
      </c>
      <c r="U162" s="38">
        <f t="shared" si="897"/>
        <v>-100</v>
      </c>
      <c r="V162" s="39">
        <f t="shared" ref="V162:W162" si="1001">V161</f>
        <v>19.8</v>
      </c>
      <c r="W162" s="124">
        <f t="shared" si="1001"/>
        <v>1.08</v>
      </c>
      <c r="X162" s="124">
        <f t="shared" si="952"/>
        <v>1.075</v>
      </c>
      <c r="Y162" s="126"/>
      <c r="Z162" s="126"/>
      <c r="AA162" s="90">
        <f t="shared" ref="AA162:AB162" si="1002">AA161</f>
        <v>5.0149999999999997</v>
      </c>
      <c r="AB162" s="73" t="str">
        <f t="shared" si="1002"/>
        <v>9,05,040</v>
      </c>
      <c r="AC162" s="11" t="str">
        <f t="shared" si="900"/>
        <v>9,</v>
      </c>
      <c r="AD162" s="11" t="str">
        <f t="shared" si="901"/>
        <v>05,040</v>
      </c>
      <c r="AE162" s="11">
        <f t="shared" si="902"/>
        <v>0.15139999999999998</v>
      </c>
      <c r="AF162" s="14">
        <f t="shared" si="903"/>
        <v>33.124174372523122</v>
      </c>
      <c r="AG162" s="40">
        <f t="shared" si="904"/>
        <v>-100</v>
      </c>
      <c r="AH162" s="39">
        <f t="shared" si="960"/>
        <v>19.600000000000001</v>
      </c>
      <c r="AI162" s="124">
        <f t="shared" si="960"/>
        <v>1.0860000000000001</v>
      </c>
      <c r="AJ162" s="124">
        <f t="shared" si="960"/>
        <v>1.0780000000000001</v>
      </c>
      <c r="AK162" s="126">
        <f t="shared" si="905"/>
        <v>0</v>
      </c>
      <c r="AL162" s="126"/>
      <c r="AM162" s="34">
        <f t="shared" ref="AM162:AN162" si="1003">AM161</f>
        <v>2.0059999999999998</v>
      </c>
      <c r="AN162" s="33" t="str">
        <f t="shared" si="1003"/>
        <v>5,40,620</v>
      </c>
      <c r="AO162" s="11" t="str">
        <f t="shared" si="907"/>
        <v>5,</v>
      </c>
      <c r="AP162" s="11" t="str">
        <f t="shared" si="908"/>
        <v>40,620</v>
      </c>
      <c r="AQ162" s="11">
        <f t="shared" si="909"/>
        <v>9.4616666666666668E-2</v>
      </c>
      <c r="AR162" s="14">
        <f t="shared" si="910"/>
        <v>21.201338735247486</v>
      </c>
      <c r="AS162" s="40">
        <f t="shared" si="911"/>
        <v>-100</v>
      </c>
      <c r="AT162" s="41" t="str">
        <f t="shared" si="912"/>
        <v>NO CONFORME</v>
      </c>
      <c r="AU162" s="8" t="b">
        <f t="shared" si="834"/>
        <v>1</v>
      </c>
      <c r="AV162" s="8" t="b">
        <f t="shared" si="835"/>
        <v>0</v>
      </c>
      <c r="AW162" s="8" t="b">
        <f t="shared" si="836"/>
        <v>1</v>
      </c>
      <c r="AX162" s="8" t="str">
        <f t="shared" si="837"/>
        <v>Qcorrecto</v>
      </c>
      <c r="AY162" s="22" t="str">
        <f t="shared" si="817"/>
        <v>aceptable</v>
      </c>
      <c r="AZ162" s="22" t="str">
        <f t="shared" si="818"/>
        <v>aceptable</v>
      </c>
      <c r="BA162" s="22" t="str">
        <f t="shared" si="838"/>
        <v>aceptable</v>
      </c>
      <c r="BB162" s="25" t="str">
        <f t="shared" si="839"/>
        <v>NO CONFORME</v>
      </c>
      <c r="BC162" s="5" t="str">
        <f t="shared" si="840"/>
        <v>NO CONFORME</v>
      </c>
      <c r="BD162" s="15">
        <f t="shared" si="819"/>
        <v>-1</v>
      </c>
      <c r="BE162" s="15">
        <f t="shared" si="820"/>
        <v>-1</v>
      </c>
      <c r="BF162" s="15">
        <f t="shared" si="821"/>
        <v>-1</v>
      </c>
      <c r="BG162" s="15" t="str">
        <f t="shared" si="822"/>
        <v>-1-1-1</v>
      </c>
      <c r="BH162" s="15" t="str">
        <f t="shared" si="823"/>
        <v>SD</v>
      </c>
      <c r="BI162" s="15" t="str">
        <f t="shared" si="824"/>
        <v>SI</v>
      </c>
      <c r="BJ162" s="15" t="b">
        <f t="shared" si="825"/>
        <v>1</v>
      </c>
      <c r="BK162" s="15" t="str">
        <f t="shared" si="826"/>
        <v>SIGIGUALES</v>
      </c>
      <c r="BL162" s="22" t="str">
        <f t="shared" si="827"/>
        <v>NO CONFORME</v>
      </c>
    </row>
    <row r="163" spans="1:64" ht="14.4" x14ac:dyDescent="0.3">
      <c r="A163" s="36">
        <v>155</v>
      </c>
      <c r="B163" s="28">
        <f t="shared" ref="B163:E163" si="1004">B162</f>
        <v>45903</v>
      </c>
      <c r="C163" s="28">
        <f t="shared" si="1004"/>
        <v>45903</v>
      </c>
      <c r="D163" s="12">
        <f t="shared" si="1004"/>
        <v>3</v>
      </c>
      <c r="E163" s="10">
        <f t="shared" si="1004"/>
        <v>11</v>
      </c>
      <c r="F163" s="13"/>
      <c r="G163" s="69"/>
      <c r="H163" s="70">
        <f t="shared" ref="H163:L163" si="1005">H162</f>
        <v>25.6</v>
      </c>
      <c r="I163" s="37">
        <f t="shared" si="1005"/>
        <v>0</v>
      </c>
      <c r="J163" s="35">
        <f t="shared" si="1005"/>
        <v>16</v>
      </c>
      <c r="K163" s="122">
        <f t="shared" si="1005"/>
        <v>8.1690000000000005</v>
      </c>
      <c r="L163" s="122">
        <f t="shared" si="1005"/>
        <v>0.879</v>
      </c>
      <c r="M163" s="126"/>
      <c r="N163" s="126"/>
      <c r="O163" s="32">
        <f t="shared" ref="O163:P163" si="1006">O162</f>
        <v>100.65</v>
      </c>
      <c r="P163" s="33" t="str">
        <f t="shared" si="1006"/>
        <v>2,31,180</v>
      </c>
      <c r="Q163" s="11" t="str">
        <f t="shared" si="893"/>
        <v>2</v>
      </c>
      <c r="R163" s="11" t="str">
        <f t="shared" si="894"/>
        <v>31,180</v>
      </c>
      <c r="S163" s="11">
        <f t="shared" si="895"/>
        <v>4.1994444444444445E-2</v>
      </c>
      <c r="T163" s="14">
        <f t="shared" si="896"/>
        <v>2396.7456012700095</v>
      </c>
      <c r="U163" s="38">
        <f t="shared" si="897"/>
        <v>-100</v>
      </c>
      <c r="V163" s="39">
        <f t="shared" ref="V163:W163" si="1007">V162</f>
        <v>19.8</v>
      </c>
      <c r="W163" s="124">
        <f t="shared" si="1007"/>
        <v>1.08</v>
      </c>
      <c r="X163" s="124">
        <f t="shared" si="952"/>
        <v>1.075</v>
      </c>
      <c r="Y163" s="126"/>
      <c r="Z163" s="126"/>
      <c r="AA163" s="90">
        <f t="shared" ref="AA163:AB163" si="1008">AA162</f>
        <v>5.0149999999999997</v>
      </c>
      <c r="AB163" s="73" t="str">
        <f t="shared" si="1008"/>
        <v>9,05,040</v>
      </c>
      <c r="AC163" s="11" t="str">
        <f t="shared" si="900"/>
        <v>9,</v>
      </c>
      <c r="AD163" s="11" t="str">
        <f t="shared" si="901"/>
        <v>05,040</v>
      </c>
      <c r="AE163" s="11">
        <f t="shared" si="902"/>
        <v>0.15139999999999998</v>
      </c>
      <c r="AF163" s="14">
        <f t="shared" si="903"/>
        <v>33.124174372523122</v>
      </c>
      <c r="AG163" s="40">
        <f t="shared" si="904"/>
        <v>-100</v>
      </c>
      <c r="AH163" s="39">
        <f t="shared" si="960"/>
        <v>19.600000000000001</v>
      </c>
      <c r="AI163" s="124">
        <f t="shared" si="960"/>
        <v>1.0860000000000001</v>
      </c>
      <c r="AJ163" s="124">
        <f t="shared" si="960"/>
        <v>1.0780000000000001</v>
      </c>
      <c r="AK163" s="126">
        <f t="shared" si="905"/>
        <v>0</v>
      </c>
      <c r="AL163" s="126"/>
      <c r="AM163" s="34">
        <f t="shared" ref="AM163:AN163" si="1009">AM162</f>
        <v>2.0059999999999998</v>
      </c>
      <c r="AN163" s="33" t="str">
        <f t="shared" si="1009"/>
        <v>5,40,620</v>
      </c>
      <c r="AO163" s="11" t="str">
        <f t="shared" si="907"/>
        <v>5,</v>
      </c>
      <c r="AP163" s="11" t="str">
        <f t="shared" si="908"/>
        <v>40,620</v>
      </c>
      <c r="AQ163" s="11">
        <f t="shared" si="909"/>
        <v>9.4616666666666668E-2</v>
      </c>
      <c r="AR163" s="14">
        <f t="shared" si="910"/>
        <v>21.201338735247486</v>
      </c>
      <c r="AS163" s="40">
        <f t="shared" si="911"/>
        <v>-100</v>
      </c>
      <c r="AT163" s="41" t="str">
        <f t="shared" si="912"/>
        <v>NO CONFORME</v>
      </c>
      <c r="AU163" s="8" t="b">
        <f t="shared" si="834"/>
        <v>1</v>
      </c>
      <c r="AV163" s="8" t="b">
        <f t="shared" si="835"/>
        <v>0</v>
      </c>
      <c r="AW163" s="8" t="b">
        <f t="shared" si="836"/>
        <v>1</v>
      </c>
      <c r="AX163" s="8" t="str">
        <f t="shared" si="837"/>
        <v>Qcorrecto</v>
      </c>
      <c r="AY163" s="22" t="str">
        <f t="shared" si="817"/>
        <v>aceptable</v>
      </c>
      <c r="AZ163" s="22" t="str">
        <f t="shared" si="818"/>
        <v>aceptable</v>
      </c>
      <c r="BA163" s="22" t="str">
        <f t="shared" si="838"/>
        <v>aceptable</v>
      </c>
      <c r="BB163" s="25" t="str">
        <f t="shared" si="839"/>
        <v>NO CONFORME</v>
      </c>
      <c r="BC163" s="5" t="str">
        <f t="shared" si="840"/>
        <v>NO CONFORME</v>
      </c>
      <c r="BD163" s="15">
        <f t="shared" si="819"/>
        <v>-1</v>
      </c>
      <c r="BE163" s="15">
        <f t="shared" si="820"/>
        <v>-1</v>
      </c>
      <c r="BF163" s="15">
        <f t="shared" si="821"/>
        <v>-1</v>
      </c>
      <c r="BG163" s="15" t="str">
        <f t="shared" si="822"/>
        <v>-1-1-1</v>
      </c>
      <c r="BH163" s="15" t="str">
        <f t="shared" si="823"/>
        <v>SD</v>
      </c>
      <c r="BI163" s="15" t="str">
        <f t="shared" si="824"/>
        <v>SI</v>
      </c>
      <c r="BJ163" s="15" t="b">
        <f t="shared" si="825"/>
        <v>1</v>
      </c>
      <c r="BK163" s="15" t="str">
        <f t="shared" si="826"/>
        <v>SIGIGUALES</v>
      </c>
      <c r="BL163" s="22" t="str">
        <f t="shared" si="827"/>
        <v>NO CONFORME</v>
      </c>
    </row>
    <row r="164" spans="1:64" ht="14.4" x14ac:dyDescent="0.3">
      <c r="A164" s="36">
        <v>156</v>
      </c>
      <c r="B164" s="28">
        <f t="shared" ref="B164:E164" si="1010">B163</f>
        <v>45903</v>
      </c>
      <c r="C164" s="28">
        <f t="shared" si="1010"/>
        <v>45903</v>
      </c>
      <c r="D164" s="12">
        <f t="shared" si="1010"/>
        <v>3</v>
      </c>
      <c r="E164" s="10">
        <f t="shared" si="1010"/>
        <v>11</v>
      </c>
      <c r="F164" s="13"/>
      <c r="G164" s="69"/>
      <c r="H164" s="70">
        <f t="shared" ref="H164:L164" si="1011">H163</f>
        <v>25.6</v>
      </c>
      <c r="I164" s="37">
        <f t="shared" si="1011"/>
        <v>0</v>
      </c>
      <c r="J164" s="35">
        <f t="shared" si="1011"/>
        <v>16</v>
      </c>
      <c r="K164" s="122">
        <f t="shared" si="1011"/>
        <v>8.1690000000000005</v>
      </c>
      <c r="L164" s="122">
        <f t="shared" si="1011"/>
        <v>0.879</v>
      </c>
      <c r="M164" s="126"/>
      <c r="N164" s="126"/>
      <c r="O164" s="32">
        <f t="shared" ref="O164:P164" si="1012">O163</f>
        <v>100.65</v>
      </c>
      <c r="P164" s="33" t="str">
        <f t="shared" si="1012"/>
        <v>2,31,180</v>
      </c>
      <c r="Q164" s="11" t="str">
        <f t="shared" si="893"/>
        <v>2</v>
      </c>
      <c r="R164" s="11" t="str">
        <f t="shared" si="894"/>
        <v>31,180</v>
      </c>
      <c r="S164" s="11">
        <f t="shared" si="895"/>
        <v>4.1994444444444445E-2</v>
      </c>
      <c r="T164" s="14">
        <f t="shared" si="896"/>
        <v>2396.7456012700095</v>
      </c>
      <c r="U164" s="38">
        <f t="shared" si="897"/>
        <v>-100</v>
      </c>
      <c r="V164" s="39">
        <f t="shared" ref="V164:W164" si="1013">V163</f>
        <v>19.8</v>
      </c>
      <c r="W164" s="124">
        <f t="shared" si="1013"/>
        <v>1.08</v>
      </c>
      <c r="X164" s="124">
        <f t="shared" si="952"/>
        <v>1.075</v>
      </c>
      <c r="Y164" s="126"/>
      <c r="Z164" s="126"/>
      <c r="AA164" s="90">
        <f t="shared" ref="AA164:AB164" si="1014">AA163</f>
        <v>5.0149999999999997</v>
      </c>
      <c r="AB164" s="73" t="str">
        <f t="shared" si="1014"/>
        <v>9,05,040</v>
      </c>
      <c r="AC164" s="11" t="str">
        <f t="shared" si="900"/>
        <v>9,</v>
      </c>
      <c r="AD164" s="11" t="str">
        <f t="shared" si="901"/>
        <v>05,040</v>
      </c>
      <c r="AE164" s="11">
        <f t="shared" si="902"/>
        <v>0.15139999999999998</v>
      </c>
      <c r="AF164" s="14">
        <f t="shared" si="903"/>
        <v>33.124174372523122</v>
      </c>
      <c r="AG164" s="40">
        <f t="shared" si="904"/>
        <v>-100</v>
      </c>
      <c r="AH164" s="39">
        <f t="shared" si="960"/>
        <v>19.600000000000001</v>
      </c>
      <c r="AI164" s="124">
        <f t="shared" si="960"/>
        <v>1.0860000000000001</v>
      </c>
      <c r="AJ164" s="124">
        <f t="shared" si="960"/>
        <v>1.0780000000000001</v>
      </c>
      <c r="AK164" s="126">
        <f t="shared" si="905"/>
        <v>0</v>
      </c>
      <c r="AL164" s="126"/>
      <c r="AM164" s="34">
        <f t="shared" ref="AM164:AN164" si="1015">AM163</f>
        <v>2.0059999999999998</v>
      </c>
      <c r="AN164" s="33" t="str">
        <f t="shared" si="1015"/>
        <v>5,40,620</v>
      </c>
      <c r="AO164" s="11" t="str">
        <f t="shared" si="907"/>
        <v>5,</v>
      </c>
      <c r="AP164" s="11" t="str">
        <f t="shared" si="908"/>
        <v>40,620</v>
      </c>
      <c r="AQ164" s="11">
        <f t="shared" si="909"/>
        <v>9.4616666666666668E-2</v>
      </c>
      <c r="AR164" s="14">
        <f t="shared" si="910"/>
        <v>21.201338735247486</v>
      </c>
      <c r="AS164" s="40">
        <f t="shared" si="911"/>
        <v>-100</v>
      </c>
      <c r="AT164" s="41" t="str">
        <f t="shared" si="912"/>
        <v>NO CONFORME</v>
      </c>
      <c r="AU164" s="8" t="b">
        <f t="shared" si="834"/>
        <v>1</v>
      </c>
      <c r="AV164" s="8" t="b">
        <f t="shared" si="835"/>
        <v>0</v>
      </c>
      <c r="AW164" s="8" t="b">
        <f t="shared" si="836"/>
        <v>1</v>
      </c>
      <c r="AX164" s="8" t="str">
        <f t="shared" si="837"/>
        <v>Qcorrecto</v>
      </c>
      <c r="AY164" s="22" t="str">
        <f t="shared" si="817"/>
        <v>aceptable</v>
      </c>
      <c r="AZ164" s="22" t="str">
        <f t="shared" si="818"/>
        <v>aceptable</v>
      </c>
      <c r="BA164" s="22" t="str">
        <f t="shared" si="838"/>
        <v>aceptable</v>
      </c>
      <c r="BB164" s="25" t="str">
        <f t="shared" si="839"/>
        <v>NO CONFORME</v>
      </c>
      <c r="BC164" s="5" t="str">
        <f t="shared" si="840"/>
        <v>NO CONFORME</v>
      </c>
      <c r="BD164" s="15">
        <f t="shared" si="819"/>
        <v>-1</v>
      </c>
      <c r="BE164" s="15">
        <f t="shared" si="820"/>
        <v>-1</v>
      </c>
      <c r="BF164" s="15">
        <f t="shared" si="821"/>
        <v>-1</v>
      </c>
      <c r="BG164" s="15" t="str">
        <f t="shared" si="822"/>
        <v>-1-1-1</v>
      </c>
      <c r="BH164" s="15" t="str">
        <f t="shared" si="823"/>
        <v>SD</v>
      </c>
      <c r="BI164" s="15" t="str">
        <f t="shared" si="824"/>
        <v>SI</v>
      </c>
      <c r="BJ164" s="15" t="b">
        <f t="shared" si="825"/>
        <v>1</v>
      </c>
      <c r="BK164" s="15" t="str">
        <f t="shared" si="826"/>
        <v>SIGIGUALES</v>
      </c>
      <c r="BL164" s="22" t="str">
        <f t="shared" si="827"/>
        <v>NO CONFORME</v>
      </c>
    </row>
    <row r="165" spans="1:64" ht="14.4" x14ac:dyDescent="0.3">
      <c r="A165" s="36">
        <v>157</v>
      </c>
      <c r="B165" s="28">
        <f t="shared" ref="B165:E165" si="1016">B164</f>
        <v>45903</v>
      </c>
      <c r="C165" s="28">
        <f t="shared" si="1016"/>
        <v>45903</v>
      </c>
      <c r="D165" s="12">
        <f t="shared" si="1016"/>
        <v>3</v>
      </c>
      <c r="E165" s="10">
        <f t="shared" si="1016"/>
        <v>11</v>
      </c>
      <c r="F165" s="13"/>
      <c r="G165" s="69"/>
      <c r="H165" s="70">
        <f t="shared" ref="H165:L165" si="1017">H164</f>
        <v>25.6</v>
      </c>
      <c r="I165" s="37">
        <f t="shared" si="1017"/>
        <v>0</v>
      </c>
      <c r="J165" s="35">
        <f t="shared" si="1017"/>
        <v>16</v>
      </c>
      <c r="K165" s="122">
        <f t="shared" si="1017"/>
        <v>8.1690000000000005</v>
      </c>
      <c r="L165" s="122">
        <f t="shared" si="1017"/>
        <v>0.879</v>
      </c>
      <c r="M165" s="126"/>
      <c r="N165" s="126"/>
      <c r="O165" s="32">
        <f t="shared" ref="O165:P165" si="1018">O164</f>
        <v>100.65</v>
      </c>
      <c r="P165" s="33" t="str">
        <f t="shared" si="1018"/>
        <v>2,31,180</v>
      </c>
      <c r="Q165" s="11" t="str">
        <f t="shared" si="893"/>
        <v>2</v>
      </c>
      <c r="R165" s="11" t="str">
        <f t="shared" si="894"/>
        <v>31,180</v>
      </c>
      <c r="S165" s="11">
        <f t="shared" si="895"/>
        <v>4.1994444444444445E-2</v>
      </c>
      <c r="T165" s="14">
        <f t="shared" si="896"/>
        <v>2396.7456012700095</v>
      </c>
      <c r="U165" s="38">
        <f t="shared" si="897"/>
        <v>-100</v>
      </c>
      <c r="V165" s="39">
        <f t="shared" ref="V165:W165" si="1019">V164</f>
        <v>19.8</v>
      </c>
      <c r="W165" s="124">
        <f t="shared" si="1019"/>
        <v>1.08</v>
      </c>
      <c r="X165" s="124">
        <f t="shared" si="952"/>
        <v>1.075</v>
      </c>
      <c r="Y165" s="126"/>
      <c r="Z165" s="126"/>
      <c r="AA165" s="90">
        <f t="shared" ref="AA165:AB165" si="1020">AA164</f>
        <v>5.0149999999999997</v>
      </c>
      <c r="AB165" s="73" t="str">
        <f t="shared" si="1020"/>
        <v>9,05,040</v>
      </c>
      <c r="AC165" s="11" t="str">
        <f t="shared" si="900"/>
        <v>9,</v>
      </c>
      <c r="AD165" s="11" t="str">
        <f t="shared" si="901"/>
        <v>05,040</v>
      </c>
      <c r="AE165" s="11">
        <f t="shared" si="902"/>
        <v>0.15139999999999998</v>
      </c>
      <c r="AF165" s="14">
        <f t="shared" si="903"/>
        <v>33.124174372523122</v>
      </c>
      <c r="AG165" s="40">
        <f t="shared" si="904"/>
        <v>-100</v>
      </c>
      <c r="AH165" s="39">
        <f t="shared" si="960"/>
        <v>19.600000000000001</v>
      </c>
      <c r="AI165" s="124">
        <f t="shared" si="960"/>
        <v>1.0860000000000001</v>
      </c>
      <c r="AJ165" s="124">
        <f t="shared" si="960"/>
        <v>1.0780000000000001</v>
      </c>
      <c r="AK165" s="126">
        <f t="shared" si="905"/>
        <v>0</v>
      </c>
      <c r="AL165" s="126"/>
      <c r="AM165" s="34">
        <f t="shared" ref="AM165:AN165" si="1021">AM164</f>
        <v>2.0059999999999998</v>
      </c>
      <c r="AN165" s="33" t="str">
        <f t="shared" si="1021"/>
        <v>5,40,620</v>
      </c>
      <c r="AO165" s="11" t="str">
        <f t="shared" si="907"/>
        <v>5,</v>
      </c>
      <c r="AP165" s="11" t="str">
        <f t="shared" si="908"/>
        <v>40,620</v>
      </c>
      <c r="AQ165" s="11">
        <f t="shared" si="909"/>
        <v>9.4616666666666668E-2</v>
      </c>
      <c r="AR165" s="14">
        <f t="shared" si="910"/>
        <v>21.201338735247486</v>
      </c>
      <c r="AS165" s="40">
        <f t="shared" si="911"/>
        <v>-100</v>
      </c>
      <c r="AT165" s="41" t="str">
        <f t="shared" si="912"/>
        <v>NO CONFORME</v>
      </c>
      <c r="AU165" s="8" t="b">
        <f t="shared" si="834"/>
        <v>1</v>
      </c>
      <c r="AV165" s="8" t="b">
        <f t="shared" si="835"/>
        <v>0</v>
      </c>
      <c r="AW165" s="8" t="b">
        <f t="shared" si="836"/>
        <v>1</v>
      </c>
      <c r="AX165" s="8" t="str">
        <f t="shared" si="837"/>
        <v>Qcorrecto</v>
      </c>
      <c r="AY165" s="22" t="str">
        <f t="shared" si="817"/>
        <v>aceptable</v>
      </c>
      <c r="AZ165" s="22" t="str">
        <f t="shared" si="818"/>
        <v>aceptable</v>
      </c>
      <c r="BA165" s="22" t="str">
        <f t="shared" si="838"/>
        <v>aceptable</v>
      </c>
      <c r="BB165" s="25" t="str">
        <f t="shared" si="839"/>
        <v>NO CONFORME</v>
      </c>
      <c r="BC165" s="5" t="str">
        <f t="shared" si="840"/>
        <v>NO CONFORME</v>
      </c>
      <c r="BD165" s="15">
        <f t="shared" si="819"/>
        <v>-1</v>
      </c>
      <c r="BE165" s="15">
        <f t="shared" si="820"/>
        <v>-1</v>
      </c>
      <c r="BF165" s="15">
        <f t="shared" si="821"/>
        <v>-1</v>
      </c>
      <c r="BG165" s="15" t="str">
        <f t="shared" si="822"/>
        <v>-1-1-1</v>
      </c>
      <c r="BH165" s="15" t="str">
        <f t="shared" si="823"/>
        <v>SD</v>
      </c>
      <c r="BI165" s="15" t="str">
        <f t="shared" si="824"/>
        <v>SI</v>
      </c>
      <c r="BJ165" s="15" t="b">
        <f t="shared" si="825"/>
        <v>1</v>
      </c>
      <c r="BK165" s="15" t="str">
        <f t="shared" si="826"/>
        <v>SIGIGUALES</v>
      </c>
      <c r="BL165" s="22" t="str">
        <f t="shared" si="827"/>
        <v>NO CONFORME</v>
      </c>
    </row>
    <row r="166" spans="1:64" ht="14.4" x14ac:dyDescent="0.3">
      <c r="A166" s="36">
        <v>158</v>
      </c>
      <c r="B166" s="28">
        <f t="shared" ref="B166:E166" si="1022">B165</f>
        <v>45903</v>
      </c>
      <c r="C166" s="28">
        <f t="shared" si="1022"/>
        <v>45903</v>
      </c>
      <c r="D166" s="12">
        <f t="shared" si="1022"/>
        <v>3</v>
      </c>
      <c r="E166" s="10">
        <f t="shared" si="1022"/>
        <v>11</v>
      </c>
      <c r="F166" s="13"/>
      <c r="G166" s="69"/>
      <c r="H166" s="70">
        <f t="shared" ref="H166:L166" si="1023">H165</f>
        <v>25.6</v>
      </c>
      <c r="I166" s="37">
        <f t="shared" si="1023"/>
        <v>0</v>
      </c>
      <c r="J166" s="35">
        <f t="shared" si="1023"/>
        <v>16</v>
      </c>
      <c r="K166" s="122">
        <f t="shared" si="1023"/>
        <v>8.1690000000000005</v>
      </c>
      <c r="L166" s="122">
        <f t="shared" si="1023"/>
        <v>0.879</v>
      </c>
      <c r="M166" s="126"/>
      <c r="N166" s="126"/>
      <c r="O166" s="32">
        <f t="shared" ref="O166:P166" si="1024">O165</f>
        <v>100.65</v>
      </c>
      <c r="P166" s="33" t="str">
        <f t="shared" si="1024"/>
        <v>2,31,180</v>
      </c>
      <c r="Q166" s="11" t="str">
        <f t="shared" si="893"/>
        <v>2</v>
      </c>
      <c r="R166" s="11" t="str">
        <f t="shared" si="894"/>
        <v>31,180</v>
      </c>
      <c r="S166" s="11">
        <f t="shared" si="895"/>
        <v>4.1994444444444445E-2</v>
      </c>
      <c r="T166" s="14">
        <f t="shared" si="896"/>
        <v>2396.7456012700095</v>
      </c>
      <c r="U166" s="38">
        <f t="shared" si="897"/>
        <v>-100</v>
      </c>
      <c r="V166" s="39">
        <f t="shared" ref="V166:W166" si="1025">V165</f>
        <v>19.8</v>
      </c>
      <c r="W166" s="124">
        <f t="shared" si="1025"/>
        <v>1.08</v>
      </c>
      <c r="X166" s="124">
        <f t="shared" si="952"/>
        <v>1.075</v>
      </c>
      <c r="Y166" s="126"/>
      <c r="Z166" s="126"/>
      <c r="AA166" s="90">
        <f t="shared" ref="AA166:AB166" si="1026">AA165</f>
        <v>5.0149999999999997</v>
      </c>
      <c r="AB166" s="73" t="str">
        <f t="shared" si="1026"/>
        <v>9,05,040</v>
      </c>
      <c r="AC166" s="11" t="str">
        <f t="shared" si="900"/>
        <v>9,</v>
      </c>
      <c r="AD166" s="11" t="str">
        <f t="shared" si="901"/>
        <v>05,040</v>
      </c>
      <c r="AE166" s="11">
        <f t="shared" si="902"/>
        <v>0.15139999999999998</v>
      </c>
      <c r="AF166" s="14">
        <f t="shared" si="903"/>
        <v>33.124174372523122</v>
      </c>
      <c r="AG166" s="40">
        <f t="shared" si="904"/>
        <v>-100</v>
      </c>
      <c r="AH166" s="39">
        <f t="shared" si="960"/>
        <v>19.600000000000001</v>
      </c>
      <c r="AI166" s="124">
        <f t="shared" si="960"/>
        <v>1.0860000000000001</v>
      </c>
      <c r="AJ166" s="124">
        <f t="shared" si="960"/>
        <v>1.0780000000000001</v>
      </c>
      <c r="AK166" s="126">
        <f t="shared" si="905"/>
        <v>0</v>
      </c>
      <c r="AL166" s="126"/>
      <c r="AM166" s="34">
        <f t="shared" ref="AM166:AN166" si="1027">AM165</f>
        <v>2.0059999999999998</v>
      </c>
      <c r="AN166" s="33" t="str">
        <f t="shared" si="1027"/>
        <v>5,40,620</v>
      </c>
      <c r="AO166" s="11" t="str">
        <f t="shared" si="907"/>
        <v>5,</v>
      </c>
      <c r="AP166" s="11" t="str">
        <f t="shared" si="908"/>
        <v>40,620</v>
      </c>
      <c r="AQ166" s="11">
        <f t="shared" si="909"/>
        <v>9.4616666666666668E-2</v>
      </c>
      <c r="AR166" s="14">
        <f t="shared" si="910"/>
        <v>21.201338735247486</v>
      </c>
      <c r="AS166" s="40">
        <f t="shared" si="911"/>
        <v>-100</v>
      </c>
      <c r="AT166" s="41" t="str">
        <f t="shared" si="912"/>
        <v>NO CONFORME</v>
      </c>
      <c r="AU166" s="8" t="b">
        <f t="shared" si="834"/>
        <v>1</v>
      </c>
      <c r="AV166" s="8" t="b">
        <f t="shared" si="835"/>
        <v>0</v>
      </c>
      <c r="AW166" s="8" t="b">
        <f t="shared" si="836"/>
        <v>1</v>
      </c>
      <c r="AX166" s="8" t="str">
        <f t="shared" si="837"/>
        <v>Qcorrecto</v>
      </c>
      <c r="AY166" s="22" t="str">
        <f t="shared" si="817"/>
        <v>aceptable</v>
      </c>
      <c r="AZ166" s="22" t="str">
        <f t="shared" si="818"/>
        <v>aceptable</v>
      </c>
      <c r="BA166" s="22" t="str">
        <f t="shared" si="838"/>
        <v>aceptable</v>
      </c>
      <c r="BB166" s="25" t="str">
        <f t="shared" si="839"/>
        <v>NO CONFORME</v>
      </c>
      <c r="BC166" s="5" t="str">
        <f t="shared" si="840"/>
        <v>NO CONFORME</v>
      </c>
      <c r="BD166" s="15">
        <f t="shared" si="819"/>
        <v>-1</v>
      </c>
      <c r="BE166" s="15">
        <f t="shared" si="820"/>
        <v>-1</v>
      </c>
      <c r="BF166" s="15">
        <f t="shared" si="821"/>
        <v>-1</v>
      </c>
      <c r="BG166" s="15" t="str">
        <f t="shared" si="822"/>
        <v>-1-1-1</v>
      </c>
      <c r="BH166" s="15" t="str">
        <f t="shared" si="823"/>
        <v>SD</v>
      </c>
      <c r="BI166" s="15" t="str">
        <f t="shared" si="824"/>
        <v>SI</v>
      </c>
      <c r="BJ166" s="15" t="b">
        <f t="shared" si="825"/>
        <v>1</v>
      </c>
      <c r="BK166" s="15" t="str">
        <f t="shared" si="826"/>
        <v>SIGIGUALES</v>
      </c>
      <c r="BL166" s="22" t="str">
        <f t="shared" si="827"/>
        <v>NO CONFORME</v>
      </c>
    </row>
    <row r="167" spans="1:64" ht="14.4" x14ac:dyDescent="0.3">
      <c r="A167" s="36">
        <v>159</v>
      </c>
      <c r="B167" s="28">
        <f t="shared" ref="B167:E167" si="1028">B166</f>
        <v>45903</v>
      </c>
      <c r="C167" s="28">
        <f t="shared" si="1028"/>
        <v>45903</v>
      </c>
      <c r="D167" s="12">
        <f t="shared" si="1028"/>
        <v>3</v>
      </c>
      <c r="E167" s="10">
        <f t="shared" si="1028"/>
        <v>11</v>
      </c>
      <c r="F167" s="13"/>
      <c r="G167" s="69"/>
      <c r="H167" s="70">
        <f t="shared" ref="H167:L167" si="1029">H166</f>
        <v>25.6</v>
      </c>
      <c r="I167" s="37">
        <f t="shared" si="1029"/>
        <v>0</v>
      </c>
      <c r="J167" s="35">
        <f t="shared" si="1029"/>
        <v>16</v>
      </c>
      <c r="K167" s="122">
        <f t="shared" si="1029"/>
        <v>8.1690000000000005</v>
      </c>
      <c r="L167" s="122">
        <f t="shared" si="1029"/>
        <v>0.879</v>
      </c>
      <c r="M167" s="126"/>
      <c r="N167" s="126"/>
      <c r="O167" s="32">
        <f t="shared" ref="O167:P167" si="1030">O166</f>
        <v>100.65</v>
      </c>
      <c r="P167" s="33" t="str">
        <f t="shared" si="1030"/>
        <v>2,31,180</v>
      </c>
      <c r="Q167" s="11" t="str">
        <f t="shared" si="893"/>
        <v>2</v>
      </c>
      <c r="R167" s="11" t="str">
        <f t="shared" si="894"/>
        <v>31,180</v>
      </c>
      <c r="S167" s="11">
        <f t="shared" si="895"/>
        <v>4.1994444444444445E-2</v>
      </c>
      <c r="T167" s="14">
        <f t="shared" si="896"/>
        <v>2396.7456012700095</v>
      </c>
      <c r="U167" s="38">
        <f t="shared" si="897"/>
        <v>-100</v>
      </c>
      <c r="V167" s="39">
        <f t="shared" ref="V167:W167" si="1031">V166</f>
        <v>19.8</v>
      </c>
      <c r="W167" s="124">
        <f t="shared" si="1031"/>
        <v>1.08</v>
      </c>
      <c r="X167" s="124">
        <f t="shared" si="952"/>
        <v>1.075</v>
      </c>
      <c r="Y167" s="126"/>
      <c r="Z167" s="126"/>
      <c r="AA167" s="90">
        <f t="shared" ref="AA167:AB167" si="1032">AA166</f>
        <v>5.0149999999999997</v>
      </c>
      <c r="AB167" s="73" t="str">
        <f t="shared" si="1032"/>
        <v>9,05,040</v>
      </c>
      <c r="AC167" s="11" t="str">
        <f t="shared" si="900"/>
        <v>9,</v>
      </c>
      <c r="AD167" s="11" t="str">
        <f t="shared" si="901"/>
        <v>05,040</v>
      </c>
      <c r="AE167" s="11">
        <f t="shared" si="902"/>
        <v>0.15139999999999998</v>
      </c>
      <c r="AF167" s="14">
        <f t="shared" si="903"/>
        <v>33.124174372523122</v>
      </c>
      <c r="AG167" s="40">
        <f t="shared" si="904"/>
        <v>-100</v>
      </c>
      <c r="AH167" s="39">
        <f t="shared" si="960"/>
        <v>19.600000000000001</v>
      </c>
      <c r="AI167" s="124">
        <f t="shared" si="960"/>
        <v>1.0860000000000001</v>
      </c>
      <c r="AJ167" s="124">
        <f t="shared" si="960"/>
        <v>1.0780000000000001</v>
      </c>
      <c r="AK167" s="126">
        <f t="shared" si="905"/>
        <v>0</v>
      </c>
      <c r="AL167" s="126"/>
      <c r="AM167" s="34">
        <f t="shared" ref="AM167:AN167" si="1033">AM166</f>
        <v>2.0059999999999998</v>
      </c>
      <c r="AN167" s="33" t="str">
        <f t="shared" si="1033"/>
        <v>5,40,620</v>
      </c>
      <c r="AO167" s="11" t="str">
        <f t="shared" si="907"/>
        <v>5,</v>
      </c>
      <c r="AP167" s="11" t="str">
        <f t="shared" si="908"/>
        <v>40,620</v>
      </c>
      <c r="AQ167" s="11">
        <f t="shared" si="909"/>
        <v>9.4616666666666668E-2</v>
      </c>
      <c r="AR167" s="14">
        <f t="shared" si="910"/>
        <v>21.201338735247486</v>
      </c>
      <c r="AS167" s="40">
        <f t="shared" si="911"/>
        <v>-100</v>
      </c>
      <c r="AT167" s="41" t="str">
        <f t="shared" si="912"/>
        <v>NO CONFORME</v>
      </c>
      <c r="AU167" s="8" t="b">
        <f t="shared" si="834"/>
        <v>1</v>
      </c>
      <c r="AV167" s="8" t="b">
        <f t="shared" si="835"/>
        <v>0</v>
      </c>
      <c r="AW167" s="8" t="b">
        <f t="shared" si="836"/>
        <v>1</v>
      </c>
      <c r="AX167" s="8" t="str">
        <f t="shared" si="837"/>
        <v>Qcorrecto</v>
      </c>
      <c r="AY167" s="22" t="str">
        <f t="shared" si="817"/>
        <v>aceptable</v>
      </c>
      <c r="AZ167" s="22" t="str">
        <f t="shared" si="818"/>
        <v>aceptable</v>
      </c>
      <c r="BA167" s="22" t="str">
        <f t="shared" si="838"/>
        <v>aceptable</v>
      </c>
      <c r="BB167" s="25" t="str">
        <f t="shared" si="839"/>
        <v>NO CONFORME</v>
      </c>
      <c r="BC167" s="5" t="str">
        <f t="shared" si="840"/>
        <v>NO CONFORME</v>
      </c>
      <c r="BD167" s="15">
        <f t="shared" si="819"/>
        <v>-1</v>
      </c>
      <c r="BE167" s="15">
        <f t="shared" si="820"/>
        <v>-1</v>
      </c>
      <c r="BF167" s="15">
        <f t="shared" si="821"/>
        <v>-1</v>
      </c>
      <c r="BG167" s="15" t="str">
        <f t="shared" si="822"/>
        <v>-1-1-1</v>
      </c>
      <c r="BH167" s="15" t="str">
        <f t="shared" si="823"/>
        <v>SD</v>
      </c>
      <c r="BI167" s="15" t="str">
        <f t="shared" si="824"/>
        <v>SI</v>
      </c>
      <c r="BJ167" s="15" t="b">
        <f t="shared" si="825"/>
        <v>1</v>
      </c>
      <c r="BK167" s="15" t="str">
        <f t="shared" si="826"/>
        <v>SIGIGUALES</v>
      </c>
      <c r="BL167" s="22" t="str">
        <f t="shared" si="827"/>
        <v>NO CONFORME</v>
      </c>
    </row>
    <row r="168" spans="1:64" ht="14.4" x14ac:dyDescent="0.3">
      <c r="A168" s="36">
        <v>160</v>
      </c>
      <c r="B168" s="28">
        <f t="shared" ref="B168:E168" si="1034">B167</f>
        <v>45903</v>
      </c>
      <c r="C168" s="28">
        <f t="shared" si="1034"/>
        <v>45903</v>
      </c>
      <c r="D168" s="12">
        <f t="shared" si="1034"/>
        <v>3</v>
      </c>
      <c r="E168" s="10">
        <f t="shared" si="1034"/>
        <v>11</v>
      </c>
      <c r="F168" s="13"/>
      <c r="G168" s="69"/>
      <c r="H168" s="70">
        <f t="shared" ref="H168:L168" si="1035">H167</f>
        <v>25.6</v>
      </c>
      <c r="I168" s="37">
        <f t="shared" si="1035"/>
        <v>0</v>
      </c>
      <c r="J168" s="35">
        <f t="shared" si="1035"/>
        <v>16</v>
      </c>
      <c r="K168" s="122">
        <f t="shared" si="1035"/>
        <v>8.1690000000000005</v>
      </c>
      <c r="L168" s="122">
        <f t="shared" si="1035"/>
        <v>0.879</v>
      </c>
      <c r="M168" s="126"/>
      <c r="N168" s="126"/>
      <c r="O168" s="32">
        <f t="shared" ref="O168:P168" si="1036">O167</f>
        <v>100.65</v>
      </c>
      <c r="P168" s="33" t="str">
        <f t="shared" si="1036"/>
        <v>2,31,180</v>
      </c>
      <c r="Q168" s="11" t="str">
        <f t="shared" si="893"/>
        <v>2</v>
      </c>
      <c r="R168" s="11" t="str">
        <f t="shared" si="894"/>
        <v>31,180</v>
      </c>
      <c r="S168" s="11">
        <f t="shared" si="895"/>
        <v>4.1994444444444445E-2</v>
      </c>
      <c r="T168" s="14">
        <f t="shared" si="896"/>
        <v>2396.7456012700095</v>
      </c>
      <c r="U168" s="38">
        <f t="shared" si="897"/>
        <v>-100</v>
      </c>
      <c r="V168" s="39">
        <f t="shared" ref="V168:W168" si="1037">V167</f>
        <v>19.8</v>
      </c>
      <c r="W168" s="124">
        <f t="shared" si="1037"/>
        <v>1.08</v>
      </c>
      <c r="X168" s="124">
        <f t="shared" si="952"/>
        <v>1.075</v>
      </c>
      <c r="Y168" s="126"/>
      <c r="Z168" s="126"/>
      <c r="AA168" s="90">
        <f t="shared" ref="AA168:AB168" si="1038">AA167</f>
        <v>5.0149999999999997</v>
      </c>
      <c r="AB168" s="73" t="str">
        <f t="shared" si="1038"/>
        <v>9,05,040</v>
      </c>
      <c r="AC168" s="11" t="str">
        <f t="shared" si="900"/>
        <v>9,</v>
      </c>
      <c r="AD168" s="11" t="str">
        <f t="shared" si="901"/>
        <v>05,040</v>
      </c>
      <c r="AE168" s="11">
        <f t="shared" si="902"/>
        <v>0.15139999999999998</v>
      </c>
      <c r="AF168" s="14">
        <f t="shared" si="903"/>
        <v>33.124174372523122</v>
      </c>
      <c r="AG168" s="40">
        <f t="shared" si="904"/>
        <v>-100</v>
      </c>
      <c r="AH168" s="39">
        <f t="shared" si="960"/>
        <v>19.600000000000001</v>
      </c>
      <c r="AI168" s="124">
        <f t="shared" si="960"/>
        <v>1.0860000000000001</v>
      </c>
      <c r="AJ168" s="124">
        <f t="shared" si="960"/>
        <v>1.0780000000000001</v>
      </c>
      <c r="AK168" s="126">
        <f t="shared" si="905"/>
        <v>0</v>
      </c>
      <c r="AL168" s="126"/>
      <c r="AM168" s="34">
        <f t="shared" ref="AM168:AN168" si="1039">AM167</f>
        <v>2.0059999999999998</v>
      </c>
      <c r="AN168" s="33" t="str">
        <f t="shared" si="1039"/>
        <v>5,40,620</v>
      </c>
      <c r="AO168" s="11" t="str">
        <f t="shared" si="907"/>
        <v>5,</v>
      </c>
      <c r="AP168" s="11" t="str">
        <f t="shared" si="908"/>
        <v>40,620</v>
      </c>
      <c r="AQ168" s="11">
        <f t="shared" si="909"/>
        <v>9.4616666666666668E-2</v>
      </c>
      <c r="AR168" s="14">
        <f t="shared" si="910"/>
        <v>21.201338735247486</v>
      </c>
      <c r="AS168" s="40">
        <f t="shared" si="911"/>
        <v>-100</v>
      </c>
      <c r="AT168" s="41" t="str">
        <f t="shared" si="912"/>
        <v>NO CONFORME</v>
      </c>
      <c r="AU168" s="8" t="b">
        <f t="shared" si="834"/>
        <v>1</v>
      </c>
      <c r="AV168" s="8" t="b">
        <f t="shared" si="835"/>
        <v>0</v>
      </c>
      <c r="AW168" s="8" t="b">
        <f t="shared" si="836"/>
        <v>1</v>
      </c>
      <c r="AX168" s="8" t="str">
        <f t="shared" si="837"/>
        <v>Qcorrecto</v>
      </c>
      <c r="AY168" s="22" t="str">
        <f t="shared" si="817"/>
        <v>aceptable</v>
      </c>
      <c r="AZ168" s="22" t="str">
        <f t="shared" si="818"/>
        <v>aceptable</v>
      </c>
      <c r="BA168" s="22" t="str">
        <f t="shared" si="838"/>
        <v>aceptable</v>
      </c>
      <c r="BB168" s="25" t="str">
        <f t="shared" si="839"/>
        <v>NO CONFORME</v>
      </c>
      <c r="BC168" s="5" t="str">
        <f t="shared" si="840"/>
        <v>NO CONFORME</v>
      </c>
      <c r="BD168" s="15">
        <f t="shared" si="819"/>
        <v>-1</v>
      </c>
      <c r="BE168" s="15">
        <f t="shared" si="820"/>
        <v>-1</v>
      </c>
      <c r="BF168" s="15">
        <f t="shared" si="821"/>
        <v>-1</v>
      </c>
      <c r="BG168" s="15" t="str">
        <f t="shared" si="822"/>
        <v>-1-1-1</v>
      </c>
      <c r="BH168" s="15" t="str">
        <f t="shared" si="823"/>
        <v>SD</v>
      </c>
      <c r="BI168" s="15" t="str">
        <f t="shared" si="824"/>
        <v>SI</v>
      </c>
      <c r="BJ168" s="15" t="b">
        <f t="shared" si="825"/>
        <v>1</v>
      </c>
      <c r="BK168" s="15" t="str">
        <f t="shared" si="826"/>
        <v>SIGIGUALES</v>
      </c>
      <c r="BL168" s="22" t="str">
        <f t="shared" si="827"/>
        <v>NO CONFORME</v>
      </c>
    </row>
    <row r="169" spans="1:64" ht="14.4" x14ac:dyDescent="0.3">
      <c r="A169" s="36">
        <v>161</v>
      </c>
      <c r="B169" s="28">
        <f t="shared" ref="B169:E169" si="1040">B168</f>
        <v>45903</v>
      </c>
      <c r="C169" s="28">
        <f t="shared" si="1040"/>
        <v>45903</v>
      </c>
      <c r="D169" s="12">
        <f t="shared" si="1040"/>
        <v>3</v>
      </c>
      <c r="E169" s="10">
        <f t="shared" si="1040"/>
        <v>11</v>
      </c>
      <c r="F169" s="13"/>
      <c r="G169" s="69"/>
      <c r="H169" s="70">
        <f t="shared" ref="H169:L169" si="1041">H168</f>
        <v>25.6</v>
      </c>
      <c r="I169" s="37">
        <f t="shared" si="1041"/>
        <v>0</v>
      </c>
      <c r="J169" s="35">
        <f t="shared" si="1041"/>
        <v>16</v>
      </c>
      <c r="K169" s="122">
        <f t="shared" si="1041"/>
        <v>8.1690000000000005</v>
      </c>
      <c r="L169" s="122">
        <f t="shared" si="1041"/>
        <v>0.879</v>
      </c>
      <c r="M169" s="126"/>
      <c r="N169" s="126"/>
      <c r="O169" s="32">
        <f t="shared" ref="O169:P169" si="1042">O168</f>
        <v>100.65</v>
      </c>
      <c r="P169" s="33" t="str">
        <f t="shared" si="1042"/>
        <v>2,31,180</v>
      </c>
      <c r="Q169" s="11" t="str">
        <f t="shared" si="893"/>
        <v>2</v>
      </c>
      <c r="R169" s="11" t="str">
        <f t="shared" si="894"/>
        <v>31,180</v>
      </c>
      <c r="S169" s="11">
        <f t="shared" si="895"/>
        <v>4.1994444444444445E-2</v>
      </c>
      <c r="T169" s="14">
        <f t="shared" si="896"/>
        <v>2396.7456012700095</v>
      </c>
      <c r="U169" s="38">
        <f t="shared" si="897"/>
        <v>-100</v>
      </c>
      <c r="V169" s="39">
        <f t="shared" ref="V169:W169" si="1043">V168</f>
        <v>19.8</v>
      </c>
      <c r="W169" s="124">
        <f t="shared" si="1043"/>
        <v>1.08</v>
      </c>
      <c r="X169" s="124">
        <f t="shared" si="952"/>
        <v>1.075</v>
      </c>
      <c r="Y169" s="126"/>
      <c r="Z169" s="126"/>
      <c r="AA169" s="90">
        <f t="shared" ref="AA169:AB169" si="1044">AA168</f>
        <v>5.0149999999999997</v>
      </c>
      <c r="AB169" s="73" t="str">
        <f t="shared" si="1044"/>
        <v>9,05,040</v>
      </c>
      <c r="AC169" s="11" t="str">
        <f t="shared" si="900"/>
        <v>9,</v>
      </c>
      <c r="AD169" s="11" t="str">
        <f t="shared" si="901"/>
        <v>05,040</v>
      </c>
      <c r="AE169" s="11">
        <f t="shared" si="902"/>
        <v>0.15139999999999998</v>
      </c>
      <c r="AF169" s="14">
        <f t="shared" si="903"/>
        <v>33.124174372523122</v>
      </c>
      <c r="AG169" s="40">
        <f t="shared" si="904"/>
        <v>-100</v>
      </c>
      <c r="AH169" s="39">
        <f t="shared" si="960"/>
        <v>19.600000000000001</v>
      </c>
      <c r="AI169" s="124">
        <f t="shared" si="960"/>
        <v>1.0860000000000001</v>
      </c>
      <c r="AJ169" s="124">
        <f t="shared" si="960"/>
        <v>1.0780000000000001</v>
      </c>
      <c r="AK169" s="126">
        <f t="shared" si="905"/>
        <v>0</v>
      </c>
      <c r="AL169" s="126"/>
      <c r="AM169" s="34">
        <f t="shared" ref="AM169:AN169" si="1045">AM168</f>
        <v>2.0059999999999998</v>
      </c>
      <c r="AN169" s="33" t="str">
        <f t="shared" si="1045"/>
        <v>5,40,620</v>
      </c>
      <c r="AO169" s="11" t="str">
        <f t="shared" si="907"/>
        <v>5,</v>
      </c>
      <c r="AP169" s="11" t="str">
        <f t="shared" si="908"/>
        <v>40,620</v>
      </c>
      <c r="AQ169" s="11">
        <f t="shared" si="909"/>
        <v>9.4616666666666668E-2</v>
      </c>
      <c r="AR169" s="14">
        <f t="shared" si="910"/>
        <v>21.201338735247486</v>
      </c>
      <c r="AS169" s="40">
        <f t="shared" si="911"/>
        <v>-100</v>
      </c>
      <c r="AT169" s="41" t="str">
        <f t="shared" si="912"/>
        <v>NO CONFORME</v>
      </c>
      <c r="AU169" s="8" t="b">
        <f t="shared" si="834"/>
        <v>1</v>
      </c>
      <c r="AV169" s="8" t="b">
        <f t="shared" si="835"/>
        <v>0</v>
      </c>
      <c r="AW169" s="8" t="b">
        <f t="shared" si="836"/>
        <v>1</v>
      </c>
      <c r="AX169" s="8" t="str">
        <f t="shared" si="837"/>
        <v>Qcorrecto</v>
      </c>
      <c r="AY169" s="22" t="str">
        <f t="shared" si="817"/>
        <v>aceptable</v>
      </c>
      <c r="AZ169" s="22" t="str">
        <f t="shared" si="818"/>
        <v>aceptable</v>
      </c>
      <c r="BA169" s="22" t="str">
        <f t="shared" si="838"/>
        <v>aceptable</v>
      </c>
      <c r="BB169" s="25" t="str">
        <f t="shared" si="839"/>
        <v>NO CONFORME</v>
      </c>
      <c r="BC169" s="5" t="str">
        <f t="shared" si="840"/>
        <v>NO CONFORME</v>
      </c>
      <c r="BD169" s="15">
        <f t="shared" si="819"/>
        <v>-1</v>
      </c>
      <c r="BE169" s="15">
        <f t="shared" si="820"/>
        <v>-1</v>
      </c>
      <c r="BF169" s="15">
        <f t="shared" si="821"/>
        <v>-1</v>
      </c>
      <c r="BG169" s="15" t="str">
        <f t="shared" si="822"/>
        <v>-1-1-1</v>
      </c>
      <c r="BH169" s="15" t="str">
        <f t="shared" si="823"/>
        <v>SD</v>
      </c>
      <c r="BI169" s="15" t="str">
        <f t="shared" si="824"/>
        <v>SI</v>
      </c>
      <c r="BJ169" s="15" t="b">
        <f t="shared" si="825"/>
        <v>1</v>
      </c>
      <c r="BK169" s="15" t="str">
        <f t="shared" si="826"/>
        <v>SIGIGUALES</v>
      </c>
      <c r="BL169" s="22" t="str">
        <f t="shared" si="827"/>
        <v>NO CONFORME</v>
      </c>
    </row>
    <row r="170" spans="1:64" ht="14.4" x14ac:dyDescent="0.3">
      <c r="A170" s="36">
        <v>162</v>
      </c>
      <c r="B170" s="28">
        <f t="shared" ref="B170:E170" si="1046">B169</f>
        <v>45903</v>
      </c>
      <c r="C170" s="28">
        <f t="shared" si="1046"/>
        <v>45903</v>
      </c>
      <c r="D170" s="12">
        <f t="shared" si="1046"/>
        <v>3</v>
      </c>
      <c r="E170" s="10">
        <f t="shared" si="1046"/>
        <v>11</v>
      </c>
      <c r="F170" s="13"/>
      <c r="G170" s="69"/>
      <c r="H170" s="70">
        <f t="shared" ref="H170:L170" si="1047">H169</f>
        <v>25.6</v>
      </c>
      <c r="I170" s="37">
        <f t="shared" si="1047"/>
        <v>0</v>
      </c>
      <c r="J170" s="35">
        <f t="shared" si="1047"/>
        <v>16</v>
      </c>
      <c r="K170" s="122">
        <f t="shared" si="1047"/>
        <v>8.1690000000000005</v>
      </c>
      <c r="L170" s="122">
        <f t="shared" si="1047"/>
        <v>0.879</v>
      </c>
      <c r="M170" s="126"/>
      <c r="N170" s="126"/>
      <c r="O170" s="32">
        <f t="shared" ref="O170:P170" si="1048">O169</f>
        <v>100.65</v>
      </c>
      <c r="P170" s="33" t="str">
        <f t="shared" si="1048"/>
        <v>2,31,180</v>
      </c>
      <c r="Q170" s="11" t="str">
        <f t="shared" si="893"/>
        <v>2</v>
      </c>
      <c r="R170" s="11" t="str">
        <f t="shared" si="894"/>
        <v>31,180</v>
      </c>
      <c r="S170" s="11">
        <f t="shared" si="895"/>
        <v>4.1994444444444445E-2</v>
      </c>
      <c r="T170" s="14">
        <f t="shared" si="896"/>
        <v>2396.7456012700095</v>
      </c>
      <c r="U170" s="38">
        <f t="shared" si="897"/>
        <v>-100</v>
      </c>
      <c r="V170" s="39">
        <f t="shared" ref="V170:X185" si="1049">V169</f>
        <v>19.8</v>
      </c>
      <c r="W170" s="124">
        <f t="shared" si="1049"/>
        <v>1.08</v>
      </c>
      <c r="X170" s="124">
        <f t="shared" si="1049"/>
        <v>1.075</v>
      </c>
      <c r="Y170" s="126"/>
      <c r="Z170" s="126"/>
      <c r="AA170" s="90">
        <f t="shared" ref="AA170:AB170" si="1050">AA169</f>
        <v>5.0149999999999997</v>
      </c>
      <c r="AB170" s="73" t="str">
        <f t="shared" si="1050"/>
        <v>9,05,040</v>
      </c>
      <c r="AC170" s="11" t="str">
        <f t="shared" si="900"/>
        <v>9,</v>
      </c>
      <c r="AD170" s="11" t="str">
        <f t="shared" si="901"/>
        <v>05,040</v>
      </c>
      <c r="AE170" s="11">
        <f t="shared" si="902"/>
        <v>0.15139999999999998</v>
      </c>
      <c r="AF170" s="14">
        <f t="shared" si="903"/>
        <v>33.124174372523122</v>
      </c>
      <c r="AG170" s="40">
        <f t="shared" si="904"/>
        <v>-100</v>
      </c>
      <c r="AH170" s="39">
        <f t="shared" si="960"/>
        <v>19.600000000000001</v>
      </c>
      <c r="AI170" s="124">
        <f t="shared" si="960"/>
        <v>1.0860000000000001</v>
      </c>
      <c r="AJ170" s="124">
        <f t="shared" si="960"/>
        <v>1.0780000000000001</v>
      </c>
      <c r="AK170" s="126">
        <f t="shared" si="905"/>
        <v>0</v>
      </c>
      <c r="AL170" s="126"/>
      <c r="AM170" s="34">
        <f t="shared" ref="AM170:AN170" si="1051">AM169</f>
        <v>2.0059999999999998</v>
      </c>
      <c r="AN170" s="33" t="str">
        <f t="shared" si="1051"/>
        <v>5,40,620</v>
      </c>
      <c r="AO170" s="11" t="str">
        <f t="shared" si="907"/>
        <v>5,</v>
      </c>
      <c r="AP170" s="11" t="str">
        <f t="shared" si="908"/>
        <v>40,620</v>
      </c>
      <c r="AQ170" s="11">
        <f t="shared" si="909"/>
        <v>9.4616666666666668E-2</v>
      </c>
      <c r="AR170" s="14">
        <f t="shared" si="910"/>
        <v>21.201338735247486</v>
      </c>
      <c r="AS170" s="40">
        <f t="shared" si="911"/>
        <v>-100</v>
      </c>
      <c r="AT170" s="41" t="str">
        <f t="shared" si="912"/>
        <v>NO CONFORME</v>
      </c>
      <c r="AU170" s="8" t="b">
        <f t="shared" si="834"/>
        <v>1</v>
      </c>
      <c r="AV170" s="8" t="b">
        <f t="shared" si="835"/>
        <v>0</v>
      </c>
      <c r="AW170" s="8" t="b">
        <f t="shared" si="836"/>
        <v>1</v>
      </c>
      <c r="AX170" s="8" t="str">
        <f t="shared" si="837"/>
        <v>Qcorrecto</v>
      </c>
      <c r="AY170" s="22" t="str">
        <f t="shared" si="817"/>
        <v>aceptable</v>
      </c>
      <c r="AZ170" s="22" t="str">
        <f t="shared" si="818"/>
        <v>aceptable</v>
      </c>
      <c r="BA170" s="22" t="str">
        <f t="shared" si="838"/>
        <v>aceptable</v>
      </c>
      <c r="BB170" s="25" t="str">
        <f t="shared" si="839"/>
        <v>NO CONFORME</v>
      </c>
      <c r="BC170" s="5" t="str">
        <f t="shared" si="840"/>
        <v>NO CONFORME</v>
      </c>
      <c r="BD170" s="15">
        <f t="shared" si="819"/>
        <v>-1</v>
      </c>
      <c r="BE170" s="15">
        <f t="shared" si="820"/>
        <v>-1</v>
      </c>
      <c r="BF170" s="15">
        <f t="shared" si="821"/>
        <v>-1</v>
      </c>
      <c r="BG170" s="15" t="str">
        <f t="shared" si="822"/>
        <v>-1-1-1</v>
      </c>
      <c r="BH170" s="15" t="str">
        <f t="shared" si="823"/>
        <v>SD</v>
      </c>
      <c r="BI170" s="15" t="str">
        <f t="shared" si="824"/>
        <v>SI</v>
      </c>
      <c r="BJ170" s="15" t="b">
        <f t="shared" si="825"/>
        <v>1</v>
      </c>
      <c r="BK170" s="15" t="str">
        <f t="shared" si="826"/>
        <v>SIGIGUALES</v>
      </c>
      <c r="BL170" s="22" t="str">
        <f t="shared" si="827"/>
        <v>NO CONFORME</v>
      </c>
    </row>
    <row r="171" spans="1:64" ht="14.4" x14ac:dyDescent="0.3">
      <c r="A171" s="36">
        <v>163</v>
      </c>
      <c r="B171" s="28">
        <f t="shared" ref="B171:E171" si="1052">B170</f>
        <v>45903</v>
      </c>
      <c r="C171" s="28">
        <f t="shared" si="1052"/>
        <v>45903</v>
      </c>
      <c r="D171" s="12">
        <f t="shared" si="1052"/>
        <v>3</v>
      </c>
      <c r="E171" s="10">
        <f t="shared" si="1052"/>
        <v>11</v>
      </c>
      <c r="F171" s="13"/>
      <c r="G171" s="69"/>
      <c r="H171" s="70">
        <f t="shared" ref="H171:L171" si="1053">H170</f>
        <v>25.6</v>
      </c>
      <c r="I171" s="37">
        <f t="shared" si="1053"/>
        <v>0</v>
      </c>
      <c r="J171" s="35">
        <f t="shared" si="1053"/>
        <v>16</v>
      </c>
      <c r="K171" s="122">
        <f t="shared" si="1053"/>
        <v>8.1690000000000005</v>
      </c>
      <c r="L171" s="122">
        <f t="shared" si="1053"/>
        <v>0.879</v>
      </c>
      <c r="M171" s="126"/>
      <c r="N171" s="126"/>
      <c r="O171" s="32">
        <f t="shared" ref="O171:P171" si="1054">O170</f>
        <v>100.65</v>
      </c>
      <c r="P171" s="33" t="str">
        <f t="shared" si="1054"/>
        <v>2,31,180</v>
      </c>
      <c r="Q171" s="11" t="str">
        <f t="shared" si="893"/>
        <v>2</v>
      </c>
      <c r="R171" s="11" t="str">
        <f t="shared" si="894"/>
        <v>31,180</v>
      </c>
      <c r="S171" s="11">
        <f t="shared" si="895"/>
        <v>4.1994444444444445E-2</v>
      </c>
      <c r="T171" s="14">
        <f t="shared" si="896"/>
        <v>2396.7456012700095</v>
      </c>
      <c r="U171" s="38">
        <f t="shared" si="897"/>
        <v>-100</v>
      </c>
      <c r="V171" s="39">
        <f t="shared" ref="V171:W171" si="1055">V170</f>
        <v>19.8</v>
      </c>
      <c r="W171" s="124">
        <f t="shared" si="1055"/>
        <v>1.08</v>
      </c>
      <c r="X171" s="124">
        <f t="shared" si="1049"/>
        <v>1.075</v>
      </c>
      <c r="Y171" s="126"/>
      <c r="Z171" s="126"/>
      <c r="AA171" s="90">
        <f t="shared" ref="AA171:AB171" si="1056">AA170</f>
        <v>5.0149999999999997</v>
      </c>
      <c r="AB171" s="73" t="str">
        <f t="shared" si="1056"/>
        <v>9,05,040</v>
      </c>
      <c r="AC171" s="11" t="str">
        <f t="shared" si="900"/>
        <v>9,</v>
      </c>
      <c r="AD171" s="11" t="str">
        <f t="shared" si="901"/>
        <v>05,040</v>
      </c>
      <c r="AE171" s="11">
        <f t="shared" si="902"/>
        <v>0.15139999999999998</v>
      </c>
      <c r="AF171" s="14">
        <f t="shared" si="903"/>
        <v>33.124174372523122</v>
      </c>
      <c r="AG171" s="40">
        <f t="shared" si="904"/>
        <v>-100</v>
      </c>
      <c r="AH171" s="39">
        <f t="shared" ref="AH171:AJ186" si="1057">AH170</f>
        <v>19.600000000000001</v>
      </c>
      <c r="AI171" s="124">
        <f t="shared" si="1057"/>
        <v>1.0860000000000001</v>
      </c>
      <c r="AJ171" s="124">
        <f t="shared" si="1057"/>
        <v>1.0780000000000001</v>
      </c>
      <c r="AK171" s="126">
        <f t="shared" si="905"/>
        <v>0</v>
      </c>
      <c r="AL171" s="126"/>
      <c r="AM171" s="34">
        <f t="shared" ref="AM171:AN171" si="1058">AM170</f>
        <v>2.0059999999999998</v>
      </c>
      <c r="AN171" s="33" t="str">
        <f t="shared" si="1058"/>
        <v>5,40,620</v>
      </c>
      <c r="AO171" s="11" t="str">
        <f t="shared" si="907"/>
        <v>5,</v>
      </c>
      <c r="AP171" s="11" t="str">
        <f t="shared" si="908"/>
        <v>40,620</v>
      </c>
      <c r="AQ171" s="11">
        <f t="shared" si="909"/>
        <v>9.4616666666666668E-2</v>
      </c>
      <c r="AR171" s="14">
        <f t="shared" si="910"/>
        <v>21.201338735247486</v>
      </c>
      <c r="AS171" s="40">
        <f t="shared" si="911"/>
        <v>-100</v>
      </c>
      <c r="AT171" s="41" t="str">
        <f t="shared" si="912"/>
        <v>NO CONFORME</v>
      </c>
      <c r="AU171" s="8" t="b">
        <f t="shared" si="834"/>
        <v>1</v>
      </c>
      <c r="AV171" s="8" t="b">
        <f t="shared" si="835"/>
        <v>0</v>
      </c>
      <c r="AW171" s="8" t="b">
        <f t="shared" si="836"/>
        <v>1</v>
      </c>
      <c r="AX171" s="8" t="str">
        <f t="shared" si="837"/>
        <v>Qcorrecto</v>
      </c>
      <c r="AY171" s="22" t="str">
        <f t="shared" si="817"/>
        <v>aceptable</v>
      </c>
      <c r="AZ171" s="22" t="str">
        <f t="shared" si="818"/>
        <v>aceptable</v>
      </c>
      <c r="BA171" s="22" t="str">
        <f t="shared" si="838"/>
        <v>aceptable</v>
      </c>
      <c r="BB171" s="25" t="str">
        <f t="shared" si="839"/>
        <v>NO CONFORME</v>
      </c>
      <c r="BC171" s="5" t="str">
        <f t="shared" si="840"/>
        <v>NO CONFORME</v>
      </c>
      <c r="BD171" s="15">
        <f t="shared" si="819"/>
        <v>-1</v>
      </c>
      <c r="BE171" s="15">
        <f t="shared" si="820"/>
        <v>-1</v>
      </c>
      <c r="BF171" s="15">
        <f t="shared" si="821"/>
        <v>-1</v>
      </c>
      <c r="BG171" s="15" t="str">
        <f t="shared" si="822"/>
        <v>-1-1-1</v>
      </c>
      <c r="BH171" s="15" t="str">
        <f t="shared" si="823"/>
        <v>SD</v>
      </c>
      <c r="BI171" s="15" t="str">
        <f t="shared" si="824"/>
        <v>SI</v>
      </c>
      <c r="BJ171" s="15" t="b">
        <f t="shared" si="825"/>
        <v>1</v>
      </c>
      <c r="BK171" s="15" t="str">
        <f t="shared" si="826"/>
        <v>SIGIGUALES</v>
      </c>
      <c r="BL171" s="22" t="str">
        <f t="shared" si="827"/>
        <v>NO CONFORME</v>
      </c>
    </row>
    <row r="172" spans="1:64" ht="14.4" x14ac:dyDescent="0.3">
      <c r="A172" s="36">
        <v>164</v>
      </c>
      <c r="B172" s="28">
        <f t="shared" ref="B172:E172" si="1059">B171</f>
        <v>45903</v>
      </c>
      <c r="C172" s="28">
        <f t="shared" si="1059"/>
        <v>45903</v>
      </c>
      <c r="D172" s="12">
        <f t="shared" si="1059"/>
        <v>3</v>
      </c>
      <c r="E172" s="10">
        <f t="shared" si="1059"/>
        <v>11</v>
      </c>
      <c r="F172" s="13"/>
      <c r="G172" s="69"/>
      <c r="H172" s="70">
        <f t="shared" ref="H172:L172" si="1060">H171</f>
        <v>25.6</v>
      </c>
      <c r="I172" s="37">
        <f t="shared" si="1060"/>
        <v>0</v>
      </c>
      <c r="J172" s="35">
        <f t="shared" si="1060"/>
        <v>16</v>
      </c>
      <c r="K172" s="122">
        <f t="shared" si="1060"/>
        <v>8.1690000000000005</v>
      </c>
      <c r="L172" s="122">
        <f t="shared" si="1060"/>
        <v>0.879</v>
      </c>
      <c r="M172" s="126"/>
      <c r="N172" s="126"/>
      <c r="O172" s="32">
        <f t="shared" ref="O172:P172" si="1061">O171</f>
        <v>100.65</v>
      </c>
      <c r="P172" s="33" t="str">
        <f t="shared" si="1061"/>
        <v>2,31,180</v>
      </c>
      <c r="Q172" s="11" t="str">
        <f t="shared" si="893"/>
        <v>2</v>
      </c>
      <c r="R172" s="11" t="str">
        <f t="shared" si="894"/>
        <v>31,180</v>
      </c>
      <c r="S172" s="11">
        <f t="shared" si="895"/>
        <v>4.1994444444444445E-2</v>
      </c>
      <c r="T172" s="14">
        <f t="shared" si="896"/>
        <v>2396.7456012700095</v>
      </c>
      <c r="U172" s="38">
        <f t="shared" si="897"/>
        <v>-100</v>
      </c>
      <c r="V172" s="39">
        <f t="shared" ref="V172:W172" si="1062">V171</f>
        <v>19.8</v>
      </c>
      <c r="W172" s="124">
        <f t="shared" si="1062"/>
        <v>1.08</v>
      </c>
      <c r="X172" s="124">
        <f t="shared" si="1049"/>
        <v>1.075</v>
      </c>
      <c r="Y172" s="126"/>
      <c r="Z172" s="126"/>
      <c r="AA172" s="90">
        <f t="shared" ref="AA172:AB172" si="1063">AA171</f>
        <v>5.0149999999999997</v>
      </c>
      <c r="AB172" s="73" t="str">
        <f t="shared" si="1063"/>
        <v>9,05,040</v>
      </c>
      <c r="AC172" s="11" t="str">
        <f t="shared" si="900"/>
        <v>9,</v>
      </c>
      <c r="AD172" s="11" t="str">
        <f t="shared" si="901"/>
        <v>05,040</v>
      </c>
      <c r="AE172" s="11">
        <f t="shared" si="902"/>
        <v>0.15139999999999998</v>
      </c>
      <c r="AF172" s="14">
        <f t="shared" si="903"/>
        <v>33.124174372523122</v>
      </c>
      <c r="AG172" s="40">
        <f t="shared" si="904"/>
        <v>-100</v>
      </c>
      <c r="AH172" s="39">
        <f t="shared" si="1057"/>
        <v>19.600000000000001</v>
      </c>
      <c r="AI172" s="124">
        <f t="shared" si="1057"/>
        <v>1.0860000000000001</v>
      </c>
      <c r="AJ172" s="124">
        <f t="shared" si="1057"/>
        <v>1.0780000000000001</v>
      </c>
      <c r="AK172" s="126">
        <f t="shared" si="905"/>
        <v>0</v>
      </c>
      <c r="AL172" s="126"/>
      <c r="AM172" s="34">
        <f t="shared" ref="AM172:AN172" si="1064">AM171</f>
        <v>2.0059999999999998</v>
      </c>
      <c r="AN172" s="33" t="str">
        <f t="shared" si="1064"/>
        <v>5,40,620</v>
      </c>
      <c r="AO172" s="11" t="str">
        <f t="shared" si="907"/>
        <v>5,</v>
      </c>
      <c r="AP172" s="11" t="str">
        <f t="shared" si="908"/>
        <v>40,620</v>
      </c>
      <c r="AQ172" s="11">
        <f t="shared" si="909"/>
        <v>9.4616666666666668E-2</v>
      </c>
      <c r="AR172" s="14">
        <f t="shared" si="910"/>
        <v>21.201338735247486</v>
      </c>
      <c r="AS172" s="40">
        <f t="shared" si="911"/>
        <v>-100</v>
      </c>
      <c r="AT172" s="41" t="str">
        <f t="shared" si="912"/>
        <v>NO CONFORME</v>
      </c>
      <c r="AU172" s="8" t="b">
        <f t="shared" si="834"/>
        <v>1</v>
      </c>
      <c r="AV172" s="8" t="b">
        <f t="shared" si="835"/>
        <v>0</v>
      </c>
      <c r="AW172" s="8" t="b">
        <f t="shared" si="836"/>
        <v>1</v>
      </c>
      <c r="AX172" s="8" t="str">
        <f t="shared" si="837"/>
        <v>Qcorrecto</v>
      </c>
      <c r="AY172" s="22" t="str">
        <f t="shared" si="817"/>
        <v>aceptable</v>
      </c>
      <c r="AZ172" s="22" t="str">
        <f t="shared" si="818"/>
        <v>aceptable</v>
      </c>
      <c r="BA172" s="22" t="str">
        <f t="shared" si="838"/>
        <v>aceptable</v>
      </c>
      <c r="BB172" s="25" t="str">
        <f t="shared" si="839"/>
        <v>NO CONFORME</v>
      </c>
      <c r="BC172" s="5" t="str">
        <f t="shared" si="840"/>
        <v>NO CONFORME</v>
      </c>
      <c r="BD172" s="15">
        <f t="shared" si="819"/>
        <v>-1</v>
      </c>
      <c r="BE172" s="15">
        <f t="shared" si="820"/>
        <v>-1</v>
      </c>
      <c r="BF172" s="15">
        <f t="shared" si="821"/>
        <v>-1</v>
      </c>
      <c r="BG172" s="15" t="str">
        <f t="shared" si="822"/>
        <v>-1-1-1</v>
      </c>
      <c r="BH172" s="15" t="str">
        <f t="shared" si="823"/>
        <v>SD</v>
      </c>
      <c r="BI172" s="15" t="str">
        <f t="shared" si="824"/>
        <v>SI</v>
      </c>
      <c r="BJ172" s="15" t="b">
        <f t="shared" si="825"/>
        <v>1</v>
      </c>
      <c r="BK172" s="15" t="str">
        <f t="shared" si="826"/>
        <v>SIGIGUALES</v>
      </c>
      <c r="BL172" s="22" t="str">
        <f t="shared" si="827"/>
        <v>NO CONFORME</v>
      </c>
    </row>
    <row r="173" spans="1:64" ht="14.4" x14ac:dyDescent="0.3">
      <c r="A173" s="36">
        <v>165</v>
      </c>
      <c r="B173" s="28">
        <f t="shared" ref="B173:E173" si="1065">B172</f>
        <v>45903</v>
      </c>
      <c r="C173" s="28">
        <f t="shared" si="1065"/>
        <v>45903</v>
      </c>
      <c r="D173" s="12">
        <f t="shared" si="1065"/>
        <v>3</v>
      </c>
      <c r="E173" s="10">
        <f t="shared" si="1065"/>
        <v>11</v>
      </c>
      <c r="F173" s="13"/>
      <c r="G173" s="69"/>
      <c r="H173" s="70">
        <f t="shared" ref="H173:L173" si="1066">H172</f>
        <v>25.6</v>
      </c>
      <c r="I173" s="37">
        <f t="shared" si="1066"/>
        <v>0</v>
      </c>
      <c r="J173" s="35">
        <f t="shared" si="1066"/>
        <v>16</v>
      </c>
      <c r="K173" s="122">
        <f t="shared" si="1066"/>
        <v>8.1690000000000005</v>
      </c>
      <c r="L173" s="122">
        <f t="shared" si="1066"/>
        <v>0.879</v>
      </c>
      <c r="M173" s="126"/>
      <c r="N173" s="126"/>
      <c r="O173" s="32">
        <f t="shared" ref="O173:P173" si="1067">O172</f>
        <v>100.65</v>
      </c>
      <c r="P173" s="33" t="str">
        <f t="shared" si="1067"/>
        <v>2,31,180</v>
      </c>
      <c r="Q173" s="11" t="str">
        <f t="shared" si="893"/>
        <v>2</v>
      </c>
      <c r="R173" s="11" t="str">
        <f t="shared" si="894"/>
        <v>31,180</v>
      </c>
      <c r="S173" s="11">
        <f t="shared" si="895"/>
        <v>4.1994444444444445E-2</v>
      </c>
      <c r="T173" s="14">
        <f t="shared" si="896"/>
        <v>2396.7456012700095</v>
      </c>
      <c r="U173" s="38">
        <f t="shared" si="897"/>
        <v>-100</v>
      </c>
      <c r="V173" s="39">
        <f t="shared" ref="V173:W173" si="1068">V172</f>
        <v>19.8</v>
      </c>
      <c r="W173" s="124">
        <f t="shared" si="1068"/>
        <v>1.08</v>
      </c>
      <c r="X173" s="124">
        <f t="shared" si="1049"/>
        <v>1.075</v>
      </c>
      <c r="Y173" s="126"/>
      <c r="Z173" s="126"/>
      <c r="AA173" s="90">
        <f t="shared" ref="AA173:AB173" si="1069">AA172</f>
        <v>5.0149999999999997</v>
      </c>
      <c r="AB173" s="73" t="str">
        <f t="shared" si="1069"/>
        <v>9,05,040</v>
      </c>
      <c r="AC173" s="11" t="str">
        <f t="shared" si="900"/>
        <v>9,</v>
      </c>
      <c r="AD173" s="11" t="str">
        <f t="shared" si="901"/>
        <v>05,040</v>
      </c>
      <c r="AE173" s="11">
        <f t="shared" si="902"/>
        <v>0.15139999999999998</v>
      </c>
      <c r="AF173" s="14">
        <f t="shared" si="903"/>
        <v>33.124174372523122</v>
      </c>
      <c r="AG173" s="40">
        <f t="shared" si="904"/>
        <v>-100</v>
      </c>
      <c r="AH173" s="39">
        <f t="shared" si="1057"/>
        <v>19.600000000000001</v>
      </c>
      <c r="AI173" s="124">
        <f t="shared" si="1057"/>
        <v>1.0860000000000001</v>
      </c>
      <c r="AJ173" s="124">
        <f t="shared" si="1057"/>
        <v>1.0780000000000001</v>
      </c>
      <c r="AK173" s="126">
        <f t="shared" si="905"/>
        <v>0</v>
      </c>
      <c r="AL173" s="126"/>
      <c r="AM173" s="34">
        <f t="shared" ref="AM173:AN173" si="1070">AM172</f>
        <v>2.0059999999999998</v>
      </c>
      <c r="AN173" s="33" t="str">
        <f t="shared" si="1070"/>
        <v>5,40,620</v>
      </c>
      <c r="AO173" s="11" t="str">
        <f t="shared" si="907"/>
        <v>5,</v>
      </c>
      <c r="AP173" s="11" t="str">
        <f t="shared" si="908"/>
        <v>40,620</v>
      </c>
      <c r="AQ173" s="11">
        <f t="shared" si="909"/>
        <v>9.4616666666666668E-2</v>
      </c>
      <c r="AR173" s="14">
        <f t="shared" si="910"/>
        <v>21.201338735247486</v>
      </c>
      <c r="AS173" s="40">
        <f t="shared" si="911"/>
        <v>-100</v>
      </c>
      <c r="AT173" s="41" t="str">
        <f t="shared" si="912"/>
        <v>NO CONFORME</v>
      </c>
      <c r="AU173" s="8" t="b">
        <f t="shared" si="834"/>
        <v>1</v>
      </c>
      <c r="AV173" s="8" t="b">
        <f t="shared" si="835"/>
        <v>0</v>
      </c>
      <c r="AW173" s="8" t="b">
        <f t="shared" si="836"/>
        <v>1</v>
      </c>
      <c r="AX173" s="8" t="str">
        <f t="shared" si="837"/>
        <v>Qcorrecto</v>
      </c>
      <c r="AY173" s="22" t="str">
        <f t="shared" si="817"/>
        <v>aceptable</v>
      </c>
      <c r="AZ173" s="22" t="str">
        <f t="shared" si="818"/>
        <v>aceptable</v>
      </c>
      <c r="BA173" s="22" t="str">
        <f t="shared" si="838"/>
        <v>aceptable</v>
      </c>
      <c r="BB173" s="25" t="str">
        <f t="shared" si="839"/>
        <v>NO CONFORME</v>
      </c>
      <c r="BC173" s="5" t="str">
        <f t="shared" si="840"/>
        <v>NO CONFORME</v>
      </c>
      <c r="BD173" s="15">
        <f t="shared" si="819"/>
        <v>-1</v>
      </c>
      <c r="BE173" s="15">
        <f t="shared" si="820"/>
        <v>-1</v>
      </c>
      <c r="BF173" s="15">
        <f t="shared" si="821"/>
        <v>-1</v>
      </c>
      <c r="BG173" s="15" t="str">
        <f t="shared" si="822"/>
        <v>-1-1-1</v>
      </c>
      <c r="BH173" s="15" t="str">
        <f t="shared" si="823"/>
        <v>SD</v>
      </c>
      <c r="BI173" s="15" t="str">
        <f t="shared" si="824"/>
        <v>SI</v>
      </c>
      <c r="BJ173" s="15" t="b">
        <f t="shared" si="825"/>
        <v>1</v>
      </c>
      <c r="BK173" s="15" t="str">
        <f t="shared" si="826"/>
        <v>SIGIGUALES</v>
      </c>
      <c r="BL173" s="22" t="str">
        <f t="shared" si="827"/>
        <v>NO CONFORME</v>
      </c>
    </row>
    <row r="174" spans="1:64" ht="14.4" x14ac:dyDescent="0.3">
      <c r="A174" s="36">
        <v>166</v>
      </c>
      <c r="B174" s="28">
        <f t="shared" ref="B174:E174" si="1071">B173</f>
        <v>45903</v>
      </c>
      <c r="C174" s="28">
        <f t="shared" si="1071"/>
        <v>45903</v>
      </c>
      <c r="D174" s="12">
        <f t="shared" si="1071"/>
        <v>3</v>
      </c>
      <c r="E174" s="10">
        <f t="shared" si="1071"/>
        <v>11</v>
      </c>
      <c r="F174" s="13"/>
      <c r="G174" s="69"/>
      <c r="H174" s="70">
        <f t="shared" ref="H174:L174" si="1072">H173</f>
        <v>25.6</v>
      </c>
      <c r="I174" s="37">
        <f t="shared" si="1072"/>
        <v>0</v>
      </c>
      <c r="J174" s="35">
        <f t="shared" si="1072"/>
        <v>16</v>
      </c>
      <c r="K174" s="122">
        <f t="shared" si="1072"/>
        <v>8.1690000000000005</v>
      </c>
      <c r="L174" s="122">
        <f t="shared" si="1072"/>
        <v>0.879</v>
      </c>
      <c r="M174" s="126"/>
      <c r="N174" s="126"/>
      <c r="O174" s="32">
        <f t="shared" ref="O174:P174" si="1073">O173</f>
        <v>100.65</v>
      </c>
      <c r="P174" s="33" t="str">
        <f t="shared" si="1073"/>
        <v>2,31,180</v>
      </c>
      <c r="Q174" s="11" t="str">
        <f t="shared" si="893"/>
        <v>2</v>
      </c>
      <c r="R174" s="11" t="str">
        <f t="shared" si="894"/>
        <v>31,180</v>
      </c>
      <c r="S174" s="11">
        <f t="shared" si="895"/>
        <v>4.1994444444444445E-2</v>
      </c>
      <c r="T174" s="14">
        <f t="shared" si="896"/>
        <v>2396.7456012700095</v>
      </c>
      <c r="U174" s="38">
        <f t="shared" si="897"/>
        <v>-100</v>
      </c>
      <c r="V174" s="39">
        <f t="shared" ref="V174:W174" si="1074">V173</f>
        <v>19.8</v>
      </c>
      <c r="W174" s="124">
        <f t="shared" si="1074"/>
        <v>1.08</v>
      </c>
      <c r="X174" s="124">
        <f t="shared" si="1049"/>
        <v>1.075</v>
      </c>
      <c r="Y174" s="126"/>
      <c r="Z174" s="126"/>
      <c r="AA174" s="90">
        <f t="shared" ref="AA174:AB174" si="1075">AA173</f>
        <v>5.0149999999999997</v>
      </c>
      <c r="AB174" s="73" t="str">
        <f t="shared" si="1075"/>
        <v>9,05,040</v>
      </c>
      <c r="AC174" s="11" t="str">
        <f t="shared" si="900"/>
        <v>9,</v>
      </c>
      <c r="AD174" s="11" t="str">
        <f t="shared" si="901"/>
        <v>05,040</v>
      </c>
      <c r="AE174" s="11">
        <f t="shared" si="902"/>
        <v>0.15139999999999998</v>
      </c>
      <c r="AF174" s="14">
        <f t="shared" si="903"/>
        <v>33.124174372523122</v>
      </c>
      <c r="AG174" s="40">
        <f t="shared" si="904"/>
        <v>-100</v>
      </c>
      <c r="AH174" s="39">
        <f t="shared" si="1057"/>
        <v>19.600000000000001</v>
      </c>
      <c r="AI174" s="124">
        <f t="shared" si="1057"/>
        <v>1.0860000000000001</v>
      </c>
      <c r="AJ174" s="124">
        <f t="shared" si="1057"/>
        <v>1.0780000000000001</v>
      </c>
      <c r="AK174" s="126">
        <f t="shared" si="905"/>
        <v>0</v>
      </c>
      <c r="AL174" s="126"/>
      <c r="AM174" s="34">
        <f t="shared" ref="AM174:AN174" si="1076">AM173</f>
        <v>2.0059999999999998</v>
      </c>
      <c r="AN174" s="33" t="str">
        <f t="shared" si="1076"/>
        <v>5,40,620</v>
      </c>
      <c r="AO174" s="11" t="str">
        <f t="shared" si="907"/>
        <v>5,</v>
      </c>
      <c r="AP174" s="11" t="str">
        <f t="shared" si="908"/>
        <v>40,620</v>
      </c>
      <c r="AQ174" s="11">
        <f t="shared" si="909"/>
        <v>9.4616666666666668E-2</v>
      </c>
      <c r="AR174" s="14">
        <f t="shared" si="910"/>
        <v>21.201338735247486</v>
      </c>
      <c r="AS174" s="40">
        <f t="shared" si="911"/>
        <v>-100</v>
      </c>
      <c r="AT174" s="41" t="str">
        <f t="shared" si="912"/>
        <v>NO CONFORME</v>
      </c>
      <c r="AU174" s="8" t="b">
        <f t="shared" si="834"/>
        <v>1</v>
      </c>
      <c r="AV174" s="8" t="b">
        <f t="shared" si="835"/>
        <v>0</v>
      </c>
      <c r="AW174" s="8" t="b">
        <f t="shared" si="836"/>
        <v>1</v>
      </c>
      <c r="AX174" s="8" t="str">
        <f t="shared" si="837"/>
        <v>Qcorrecto</v>
      </c>
      <c r="AY174" s="22" t="str">
        <f t="shared" si="817"/>
        <v>aceptable</v>
      </c>
      <c r="AZ174" s="22" t="str">
        <f t="shared" si="818"/>
        <v>aceptable</v>
      </c>
      <c r="BA174" s="22" t="str">
        <f t="shared" si="838"/>
        <v>aceptable</v>
      </c>
      <c r="BB174" s="25" t="str">
        <f t="shared" si="839"/>
        <v>NO CONFORME</v>
      </c>
      <c r="BC174" s="5" t="str">
        <f t="shared" si="840"/>
        <v>NO CONFORME</v>
      </c>
      <c r="BD174" s="15">
        <f t="shared" si="819"/>
        <v>-1</v>
      </c>
      <c r="BE174" s="15">
        <f t="shared" si="820"/>
        <v>-1</v>
      </c>
      <c r="BF174" s="15">
        <f t="shared" si="821"/>
        <v>-1</v>
      </c>
      <c r="BG174" s="15" t="str">
        <f t="shared" si="822"/>
        <v>-1-1-1</v>
      </c>
      <c r="BH174" s="15" t="str">
        <f t="shared" si="823"/>
        <v>SD</v>
      </c>
      <c r="BI174" s="15" t="str">
        <f t="shared" si="824"/>
        <v>SI</v>
      </c>
      <c r="BJ174" s="15" t="b">
        <f t="shared" si="825"/>
        <v>1</v>
      </c>
      <c r="BK174" s="15" t="str">
        <f t="shared" si="826"/>
        <v>SIGIGUALES</v>
      </c>
      <c r="BL174" s="22" t="str">
        <f t="shared" si="827"/>
        <v>NO CONFORME</v>
      </c>
    </row>
    <row r="175" spans="1:64" ht="14.4" x14ac:dyDescent="0.3">
      <c r="A175" s="36">
        <v>167</v>
      </c>
      <c r="B175" s="28">
        <f t="shared" ref="B175:E175" si="1077">B174</f>
        <v>45903</v>
      </c>
      <c r="C175" s="28">
        <f t="shared" si="1077"/>
        <v>45903</v>
      </c>
      <c r="D175" s="12">
        <f t="shared" si="1077"/>
        <v>3</v>
      </c>
      <c r="E175" s="10">
        <f t="shared" si="1077"/>
        <v>11</v>
      </c>
      <c r="F175" s="13"/>
      <c r="G175" s="69"/>
      <c r="H175" s="70">
        <f t="shared" ref="H175:L175" si="1078">H174</f>
        <v>25.6</v>
      </c>
      <c r="I175" s="37">
        <f t="shared" si="1078"/>
        <v>0</v>
      </c>
      <c r="J175" s="35">
        <f t="shared" si="1078"/>
        <v>16</v>
      </c>
      <c r="K175" s="122">
        <f t="shared" si="1078"/>
        <v>8.1690000000000005</v>
      </c>
      <c r="L175" s="122">
        <f t="shared" si="1078"/>
        <v>0.879</v>
      </c>
      <c r="M175" s="126"/>
      <c r="N175" s="126"/>
      <c r="O175" s="32">
        <f t="shared" ref="O175:P175" si="1079">O174</f>
        <v>100.65</v>
      </c>
      <c r="P175" s="33" t="str">
        <f t="shared" si="1079"/>
        <v>2,31,180</v>
      </c>
      <c r="Q175" s="11" t="str">
        <f t="shared" si="893"/>
        <v>2</v>
      </c>
      <c r="R175" s="11" t="str">
        <f t="shared" si="894"/>
        <v>31,180</v>
      </c>
      <c r="S175" s="11">
        <f t="shared" si="895"/>
        <v>4.1994444444444445E-2</v>
      </c>
      <c r="T175" s="14">
        <f t="shared" si="896"/>
        <v>2396.7456012700095</v>
      </c>
      <c r="U175" s="38">
        <f t="shared" si="897"/>
        <v>-100</v>
      </c>
      <c r="V175" s="39">
        <f t="shared" ref="V175:W175" si="1080">V174</f>
        <v>19.8</v>
      </c>
      <c r="W175" s="124">
        <f t="shared" si="1080"/>
        <v>1.08</v>
      </c>
      <c r="X175" s="124">
        <f t="shared" si="1049"/>
        <v>1.075</v>
      </c>
      <c r="Y175" s="126"/>
      <c r="Z175" s="126"/>
      <c r="AA175" s="90">
        <f t="shared" ref="AA175:AB175" si="1081">AA174</f>
        <v>5.0149999999999997</v>
      </c>
      <c r="AB175" s="73" t="str">
        <f t="shared" si="1081"/>
        <v>9,05,040</v>
      </c>
      <c r="AC175" s="11" t="str">
        <f t="shared" si="900"/>
        <v>9,</v>
      </c>
      <c r="AD175" s="11" t="str">
        <f t="shared" si="901"/>
        <v>05,040</v>
      </c>
      <c r="AE175" s="11">
        <f t="shared" si="902"/>
        <v>0.15139999999999998</v>
      </c>
      <c r="AF175" s="14">
        <f t="shared" si="903"/>
        <v>33.124174372523122</v>
      </c>
      <c r="AG175" s="40">
        <f t="shared" si="904"/>
        <v>-100</v>
      </c>
      <c r="AH175" s="39">
        <f t="shared" si="1057"/>
        <v>19.600000000000001</v>
      </c>
      <c r="AI175" s="124">
        <f t="shared" si="1057"/>
        <v>1.0860000000000001</v>
      </c>
      <c r="AJ175" s="124">
        <f t="shared" si="1057"/>
        <v>1.0780000000000001</v>
      </c>
      <c r="AK175" s="126">
        <f t="shared" si="905"/>
        <v>0</v>
      </c>
      <c r="AL175" s="126"/>
      <c r="AM175" s="34">
        <f t="shared" ref="AM175:AN175" si="1082">AM174</f>
        <v>2.0059999999999998</v>
      </c>
      <c r="AN175" s="33" t="str">
        <f t="shared" si="1082"/>
        <v>5,40,620</v>
      </c>
      <c r="AO175" s="11" t="str">
        <f t="shared" si="907"/>
        <v>5,</v>
      </c>
      <c r="AP175" s="11" t="str">
        <f t="shared" si="908"/>
        <v>40,620</v>
      </c>
      <c r="AQ175" s="11">
        <f t="shared" si="909"/>
        <v>9.4616666666666668E-2</v>
      </c>
      <c r="AR175" s="14">
        <f t="shared" si="910"/>
        <v>21.201338735247486</v>
      </c>
      <c r="AS175" s="40">
        <f t="shared" si="911"/>
        <v>-100</v>
      </c>
      <c r="AT175" s="41" t="str">
        <f t="shared" si="912"/>
        <v>NO CONFORME</v>
      </c>
      <c r="AU175" s="8" t="b">
        <f t="shared" si="834"/>
        <v>1</v>
      </c>
      <c r="AV175" s="8" t="b">
        <f t="shared" si="835"/>
        <v>0</v>
      </c>
      <c r="AW175" s="8" t="b">
        <f t="shared" si="836"/>
        <v>1</v>
      </c>
      <c r="AX175" s="8" t="str">
        <f t="shared" si="837"/>
        <v>Qcorrecto</v>
      </c>
      <c r="AY175" s="22" t="str">
        <f t="shared" si="817"/>
        <v>aceptable</v>
      </c>
      <c r="AZ175" s="22" t="str">
        <f t="shared" si="818"/>
        <v>aceptable</v>
      </c>
      <c r="BA175" s="22" t="str">
        <f t="shared" si="838"/>
        <v>aceptable</v>
      </c>
      <c r="BB175" s="25" t="str">
        <f t="shared" si="839"/>
        <v>NO CONFORME</v>
      </c>
      <c r="BC175" s="5" t="str">
        <f t="shared" si="840"/>
        <v>NO CONFORME</v>
      </c>
      <c r="BD175" s="15">
        <f t="shared" si="819"/>
        <v>-1</v>
      </c>
      <c r="BE175" s="15">
        <f t="shared" si="820"/>
        <v>-1</v>
      </c>
      <c r="BF175" s="15">
        <f t="shared" si="821"/>
        <v>-1</v>
      </c>
      <c r="BG175" s="15" t="str">
        <f t="shared" si="822"/>
        <v>-1-1-1</v>
      </c>
      <c r="BH175" s="15" t="str">
        <f t="shared" si="823"/>
        <v>SD</v>
      </c>
      <c r="BI175" s="15" t="str">
        <f t="shared" si="824"/>
        <v>SI</v>
      </c>
      <c r="BJ175" s="15" t="b">
        <f t="shared" si="825"/>
        <v>1</v>
      </c>
      <c r="BK175" s="15" t="str">
        <f t="shared" si="826"/>
        <v>SIGIGUALES</v>
      </c>
      <c r="BL175" s="22" t="str">
        <f t="shared" si="827"/>
        <v>NO CONFORME</v>
      </c>
    </row>
    <row r="176" spans="1:64" ht="14.4" x14ac:dyDescent="0.3">
      <c r="A176" s="36">
        <v>168</v>
      </c>
      <c r="B176" s="28">
        <f t="shared" ref="B176:E176" si="1083">B175</f>
        <v>45903</v>
      </c>
      <c r="C176" s="28">
        <f t="shared" si="1083"/>
        <v>45903</v>
      </c>
      <c r="D176" s="12">
        <f t="shared" si="1083"/>
        <v>3</v>
      </c>
      <c r="E176" s="10">
        <f t="shared" si="1083"/>
        <v>11</v>
      </c>
      <c r="F176" s="13"/>
      <c r="G176" s="69"/>
      <c r="H176" s="70">
        <f t="shared" ref="H176:L176" si="1084">H175</f>
        <v>25.6</v>
      </c>
      <c r="I176" s="37">
        <f t="shared" si="1084"/>
        <v>0</v>
      </c>
      <c r="J176" s="35">
        <f t="shared" si="1084"/>
        <v>16</v>
      </c>
      <c r="K176" s="122">
        <f t="shared" si="1084"/>
        <v>8.1690000000000005</v>
      </c>
      <c r="L176" s="122">
        <f t="shared" si="1084"/>
        <v>0.879</v>
      </c>
      <c r="M176" s="126"/>
      <c r="N176" s="126"/>
      <c r="O176" s="32">
        <f t="shared" ref="O176:P176" si="1085">O175</f>
        <v>100.65</v>
      </c>
      <c r="P176" s="33" t="str">
        <f t="shared" si="1085"/>
        <v>2,31,180</v>
      </c>
      <c r="Q176" s="11" t="str">
        <f t="shared" si="893"/>
        <v>2</v>
      </c>
      <c r="R176" s="11" t="str">
        <f t="shared" si="894"/>
        <v>31,180</v>
      </c>
      <c r="S176" s="11">
        <f t="shared" si="895"/>
        <v>4.1994444444444445E-2</v>
      </c>
      <c r="T176" s="14">
        <f t="shared" si="896"/>
        <v>2396.7456012700095</v>
      </c>
      <c r="U176" s="38">
        <f t="shared" si="897"/>
        <v>-100</v>
      </c>
      <c r="V176" s="39">
        <f t="shared" ref="V176:W176" si="1086">V175</f>
        <v>19.8</v>
      </c>
      <c r="W176" s="124">
        <f t="shared" si="1086"/>
        <v>1.08</v>
      </c>
      <c r="X176" s="124">
        <f t="shared" si="1049"/>
        <v>1.075</v>
      </c>
      <c r="Y176" s="126"/>
      <c r="Z176" s="126"/>
      <c r="AA176" s="90">
        <f t="shared" ref="AA176:AB176" si="1087">AA175</f>
        <v>5.0149999999999997</v>
      </c>
      <c r="AB176" s="73" t="str">
        <f t="shared" si="1087"/>
        <v>9,05,040</v>
      </c>
      <c r="AC176" s="11" t="str">
        <f t="shared" si="900"/>
        <v>9,</v>
      </c>
      <c r="AD176" s="11" t="str">
        <f t="shared" si="901"/>
        <v>05,040</v>
      </c>
      <c r="AE176" s="11">
        <f t="shared" si="902"/>
        <v>0.15139999999999998</v>
      </c>
      <c r="AF176" s="14">
        <f t="shared" si="903"/>
        <v>33.124174372523122</v>
      </c>
      <c r="AG176" s="40">
        <f t="shared" si="904"/>
        <v>-100</v>
      </c>
      <c r="AH176" s="39">
        <f t="shared" si="1057"/>
        <v>19.600000000000001</v>
      </c>
      <c r="AI176" s="124">
        <f t="shared" si="1057"/>
        <v>1.0860000000000001</v>
      </c>
      <c r="AJ176" s="124">
        <f t="shared" si="1057"/>
        <v>1.0780000000000001</v>
      </c>
      <c r="AK176" s="126">
        <f t="shared" si="905"/>
        <v>0</v>
      </c>
      <c r="AL176" s="126"/>
      <c r="AM176" s="34">
        <f t="shared" ref="AM176:AN176" si="1088">AM175</f>
        <v>2.0059999999999998</v>
      </c>
      <c r="AN176" s="33" t="str">
        <f t="shared" si="1088"/>
        <v>5,40,620</v>
      </c>
      <c r="AO176" s="11" t="str">
        <f t="shared" si="907"/>
        <v>5,</v>
      </c>
      <c r="AP176" s="11" t="str">
        <f t="shared" si="908"/>
        <v>40,620</v>
      </c>
      <c r="AQ176" s="11">
        <f t="shared" si="909"/>
        <v>9.4616666666666668E-2</v>
      </c>
      <c r="AR176" s="14">
        <f t="shared" si="910"/>
        <v>21.201338735247486</v>
      </c>
      <c r="AS176" s="40">
        <f t="shared" si="911"/>
        <v>-100</v>
      </c>
      <c r="AT176" s="41" t="str">
        <f t="shared" si="912"/>
        <v>NO CONFORME</v>
      </c>
      <c r="AU176" s="8" t="b">
        <f t="shared" si="834"/>
        <v>1</v>
      </c>
      <c r="AV176" s="8" t="b">
        <f t="shared" si="835"/>
        <v>0</v>
      </c>
      <c r="AW176" s="8" t="b">
        <f t="shared" si="836"/>
        <v>1</v>
      </c>
      <c r="AX176" s="8" t="str">
        <f t="shared" si="837"/>
        <v>Qcorrecto</v>
      </c>
      <c r="AY176" s="22" t="str">
        <f t="shared" si="817"/>
        <v>aceptable</v>
      </c>
      <c r="AZ176" s="22" t="str">
        <f t="shared" si="818"/>
        <v>aceptable</v>
      </c>
      <c r="BA176" s="22" t="str">
        <f t="shared" si="838"/>
        <v>aceptable</v>
      </c>
      <c r="BB176" s="25" t="str">
        <f t="shared" si="839"/>
        <v>NO CONFORME</v>
      </c>
      <c r="BC176" s="5" t="str">
        <f t="shared" si="840"/>
        <v>NO CONFORME</v>
      </c>
      <c r="BD176" s="15">
        <f t="shared" si="819"/>
        <v>-1</v>
      </c>
      <c r="BE176" s="15">
        <f t="shared" si="820"/>
        <v>-1</v>
      </c>
      <c r="BF176" s="15">
        <f t="shared" si="821"/>
        <v>-1</v>
      </c>
      <c r="BG176" s="15" t="str">
        <f t="shared" si="822"/>
        <v>-1-1-1</v>
      </c>
      <c r="BH176" s="15" t="str">
        <f t="shared" si="823"/>
        <v>SD</v>
      </c>
      <c r="BI176" s="15" t="str">
        <f t="shared" si="824"/>
        <v>SI</v>
      </c>
      <c r="BJ176" s="15" t="b">
        <f t="shared" si="825"/>
        <v>1</v>
      </c>
      <c r="BK176" s="15" t="str">
        <f t="shared" si="826"/>
        <v>SIGIGUALES</v>
      </c>
      <c r="BL176" s="22" t="str">
        <f t="shared" si="827"/>
        <v>NO CONFORME</v>
      </c>
    </row>
    <row r="177" spans="1:64" ht="14.4" x14ac:dyDescent="0.3">
      <c r="A177" s="36">
        <v>169</v>
      </c>
      <c r="B177" s="28">
        <f t="shared" ref="B177:E177" si="1089">B176</f>
        <v>45903</v>
      </c>
      <c r="C177" s="28">
        <f t="shared" si="1089"/>
        <v>45903</v>
      </c>
      <c r="D177" s="12">
        <f t="shared" si="1089"/>
        <v>3</v>
      </c>
      <c r="E177" s="10">
        <f t="shared" si="1089"/>
        <v>11</v>
      </c>
      <c r="F177" s="13"/>
      <c r="G177" s="69"/>
      <c r="H177" s="70">
        <f t="shared" ref="H177:L177" si="1090">H176</f>
        <v>25.6</v>
      </c>
      <c r="I177" s="37">
        <f t="shared" si="1090"/>
        <v>0</v>
      </c>
      <c r="J177" s="35">
        <f t="shared" si="1090"/>
        <v>16</v>
      </c>
      <c r="K177" s="122">
        <f t="shared" si="1090"/>
        <v>8.1690000000000005</v>
      </c>
      <c r="L177" s="122">
        <f t="shared" si="1090"/>
        <v>0.879</v>
      </c>
      <c r="M177" s="126"/>
      <c r="N177" s="126"/>
      <c r="O177" s="32">
        <f t="shared" ref="O177:P177" si="1091">O176</f>
        <v>100.65</v>
      </c>
      <c r="P177" s="33" t="str">
        <f t="shared" si="1091"/>
        <v>2,31,180</v>
      </c>
      <c r="Q177" s="11" t="str">
        <f t="shared" si="893"/>
        <v>2</v>
      </c>
      <c r="R177" s="11" t="str">
        <f t="shared" si="894"/>
        <v>31,180</v>
      </c>
      <c r="S177" s="11">
        <f t="shared" si="895"/>
        <v>4.1994444444444445E-2</v>
      </c>
      <c r="T177" s="14">
        <f t="shared" si="896"/>
        <v>2396.7456012700095</v>
      </c>
      <c r="U177" s="38">
        <f t="shared" si="897"/>
        <v>-100</v>
      </c>
      <c r="V177" s="39">
        <f t="shared" ref="V177:W177" si="1092">V176</f>
        <v>19.8</v>
      </c>
      <c r="W177" s="124">
        <f t="shared" si="1092"/>
        <v>1.08</v>
      </c>
      <c r="X177" s="124">
        <f t="shared" si="1049"/>
        <v>1.075</v>
      </c>
      <c r="Y177" s="126"/>
      <c r="Z177" s="126"/>
      <c r="AA177" s="90">
        <f t="shared" ref="AA177:AB177" si="1093">AA176</f>
        <v>5.0149999999999997</v>
      </c>
      <c r="AB177" s="73" t="str">
        <f t="shared" si="1093"/>
        <v>9,05,040</v>
      </c>
      <c r="AC177" s="11" t="str">
        <f t="shared" si="900"/>
        <v>9,</v>
      </c>
      <c r="AD177" s="11" t="str">
        <f t="shared" si="901"/>
        <v>05,040</v>
      </c>
      <c r="AE177" s="11">
        <f t="shared" si="902"/>
        <v>0.15139999999999998</v>
      </c>
      <c r="AF177" s="14">
        <f t="shared" si="903"/>
        <v>33.124174372523122</v>
      </c>
      <c r="AG177" s="40">
        <f t="shared" si="904"/>
        <v>-100</v>
      </c>
      <c r="AH177" s="39">
        <f t="shared" si="1057"/>
        <v>19.600000000000001</v>
      </c>
      <c r="AI177" s="124">
        <f t="shared" si="1057"/>
        <v>1.0860000000000001</v>
      </c>
      <c r="AJ177" s="124">
        <f t="shared" si="1057"/>
        <v>1.0780000000000001</v>
      </c>
      <c r="AK177" s="126">
        <f t="shared" si="905"/>
        <v>0</v>
      </c>
      <c r="AL177" s="126"/>
      <c r="AM177" s="34">
        <f t="shared" ref="AM177:AN177" si="1094">AM176</f>
        <v>2.0059999999999998</v>
      </c>
      <c r="AN177" s="33" t="str">
        <f t="shared" si="1094"/>
        <v>5,40,620</v>
      </c>
      <c r="AO177" s="11" t="str">
        <f t="shared" si="907"/>
        <v>5,</v>
      </c>
      <c r="AP177" s="11" t="str">
        <f t="shared" si="908"/>
        <v>40,620</v>
      </c>
      <c r="AQ177" s="11">
        <f t="shared" si="909"/>
        <v>9.4616666666666668E-2</v>
      </c>
      <c r="AR177" s="14">
        <f t="shared" si="910"/>
        <v>21.201338735247486</v>
      </c>
      <c r="AS177" s="40">
        <f t="shared" si="911"/>
        <v>-100</v>
      </c>
      <c r="AT177" s="41" t="str">
        <f t="shared" si="912"/>
        <v>NO CONFORME</v>
      </c>
      <c r="AU177" s="8" t="b">
        <f t="shared" si="834"/>
        <v>1</v>
      </c>
      <c r="AV177" s="8" t="b">
        <f t="shared" si="835"/>
        <v>0</v>
      </c>
      <c r="AW177" s="8" t="b">
        <f t="shared" si="836"/>
        <v>1</v>
      </c>
      <c r="AX177" s="8" t="str">
        <f t="shared" si="837"/>
        <v>Qcorrecto</v>
      </c>
      <c r="AY177" s="22" t="str">
        <f t="shared" si="817"/>
        <v>aceptable</v>
      </c>
      <c r="AZ177" s="22" t="str">
        <f t="shared" si="818"/>
        <v>aceptable</v>
      </c>
      <c r="BA177" s="22" t="str">
        <f t="shared" si="838"/>
        <v>aceptable</v>
      </c>
      <c r="BB177" s="25" t="str">
        <f t="shared" si="839"/>
        <v>NO CONFORME</v>
      </c>
      <c r="BC177" s="5" t="str">
        <f t="shared" si="840"/>
        <v>NO CONFORME</v>
      </c>
      <c r="BD177" s="15">
        <f t="shared" si="819"/>
        <v>-1</v>
      </c>
      <c r="BE177" s="15">
        <f t="shared" si="820"/>
        <v>-1</v>
      </c>
      <c r="BF177" s="15">
        <f t="shared" si="821"/>
        <v>-1</v>
      </c>
      <c r="BG177" s="15" t="str">
        <f t="shared" si="822"/>
        <v>-1-1-1</v>
      </c>
      <c r="BH177" s="15" t="str">
        <f t="shared" si="823"/>
        <v>SD</v>
      </c>
      <c r="BI177" s="15" t="str">
        <f t="shared" si="824"/>
        <v>SI</v>
      </c>
      <c r="BJ177" s="15" t="b">
        <f t="shared" si="825"/>
        <v>1</v>
      </c>
      <c r="BK177" s="15" t="str">
        <f t="shared" si="826"/>
        <v>SIGIGUALES</v>
      </c>
      <c r="BL177" s="22" t="str">
        <f t="shared" si="827"/>
        <v>NO CONFORME</v>
      </c>
    </row>
    <row r="178" spans="1:64" ht="14.4" x14ac:dyDescent="0.3">
      <c r="A178" s="36">
        <v>170</v>
      </c>
      <c r="B178" s="28">
        <f t="shared" ref="B178:E178" si="1095">B177</f>
        <v>45903</v>
      </c>
      <c r="C178" s="28">
        <f t="shared" si="1095"/>
        <v>45903</v>
      </c>
      <c r="D178" s="12">
        <f t="shared" si="1095"/>
        <v>3</v>
      </c>
      <c r="E178" s="10">
        <f t="shared" si="1095"/>
        <v>11</v>
      </c>
      <c r="F178" s="13"/>
      <c r="G178" s="69"/>
      <c r="H178" s="70">
        <f t="shared" ref="H178:L178" si="1096">H177</f>
        <v>25.6</v>
      </c>
      <c r="I178" s="37">
        <f t="shared" si="1096"/>
        <v>0</v>
      </c>
      <c r="J178" s="35">
        <f t="shared" si="1096"/>
        <v>16</v>
      </c>
      <c r="K178" s="122">
        <f t="shared" si="1096"/>
        <v>8.1690000000000005</v>
      </c>
      <c r="L178" s="122">
        <f t="shared" si="1096"/>
        <v>0.879</v>
      </c>
      <c r="M178" s="126"/>
      <c r="N178" s="126"/>
      <c r="O178" s="32">
        <f t="shared" ref="O178:P178" si="1097">O177</f>
        <v>100.65</v>
      </c>
      <c r="P178" s="33" t="str">
        <f t="shared" si="1097"/>
        <v>2,31,180</v>
      </c>
      <c r="Q178" s="11" t="str">
        <f t="shared" si="893"/>
        <v>2</v>
      </c>
      <c r="R178" s="11" t="str">
        <f t="shared" si="894"/>
        <v>31,180</v>
      </c>
      <c r="S178" s="11">
        <f t="shared" si="895"/>
        <v>4.1994444444444445E-2</v>
      </c>
      <c r="T178" s="14">
        <f t="shared" si="896"/>
        <v>2396.7456012700095</v>
      </c>
      <c r="U178" s="38">
        <f t="shared" si="897"/>
        <v>-100</v>
      </c>
      <c r="V178" s="39">
        <f t="shared" ref="V178:W178" si="1098">V177</f>
        <v>19.8</v>
      </c>
      <c r="W178" s="124">
        <f t="shared" si="1098"/>
        <v>1.08</v>
      </c>
      <c r="X178" s="124">
        <f t="shared" si="1049"/>
        <v>1.075</v>
      </c>
      <c r="Y178" s="126"/>
      <c r="Z178" s="126"/>
      <c r="AA178" s="90">
        <f t="shared" ref="AA178:AB178" si="1099">AA177</f>
        <v>5.0149999999999997</v>
      </c>
      <c r="AB178" s="73" t="str">
        <f t="shared" si="1099"/>
        <v>9,05,040</v>
      </c>
      <c r="AC178" s="11" t="str">
        <f t="shared" si="900"/>
        <v>9,</v>
      </c>
      <c r="AD178" s="11" t="str">
        <f t="shared" si="901"/>
        <v>05,040</v>
      </c>
      <c r="AE178" s="11">
        <f t="shared" si="902"/>
        <v>0.15139999999999998</v>
      </c>
      <c r="AF178" s="14">
        <f t="shared" si="903"/>
        <v>33.124174372523122</v>
      </c>
      <c r="AG178" s="40">
        <f t="shared" si="904"/>
        <v>-100</v>
      </c>
      <c r="AH178" s="39">
        <f t="shared" si="1057"/>
        <v>19.600000000000001</v>
      </c>
      <c r="AI178" s="124">
        <f t="shared" si="1057"/>
        <v>1.0860000000000001</v>
      </c>
      <c r="AJ178" s="124">
        <f t="shared" si="1057"/>
        <v>1.0780000000000001</v>
      </c>
      <c r="AK178" s="126">
        <f t="shared" si="905"/>
        <v>0</v>
      </c>
      <c r="AL178" s="126"/>
      <c r="AM178" s="34">
        <f t="shared" ref="AM178:AN178" si="1100">AM177</f>
        <v>2.0059999999999998</v>
      </c>
      <c r="AN178" s="33" t="str">
        <f t="shared" si="1100"/>
        <v>5,40,620</v>
      </c>
      <c r="AO178" s="11" t="str">
        <f t="shared" si="907"/>
        <v>5,</v>
      </c>
      <c r="AP178" s="11" t="str">
        <f t="shared" si="908"/>
        <v>40,620</v>
      </c>
      <c r="AQ178" s="11">
        <f t="shared" si="909"/>
        <v>9.4616666666666668E-2</v>
      </c>
      <c r="AR178" s="14">
        <f t="shared" si="910"/>
        <v>21.201338735247486</v>
      </c>
      <c r="AS178" s="40">
        <f t="shared" si="911"/>
        <v>-100</v>
      </c>
      <c r="AT178" s="41" t="str">
        <f t="shared" si="912"/>
        <v>NO CONFORME</v>
      </c>
      <c r="AU178" s="8" t="b">
        <f t="shared" si="834"/>
        <v>1</v>
      </c>
      <c r="AV178" s="8" t="b">
        <f t="shared" si="835"/>
        <v>0</v>
      </c>
      <c r="AW178" s="8" t="b">
        <f t="shared" si="836"/>
        <v>1</v>
      </c>
      <c r="AX178" s="8" t="str">
        <f t="shared" si="837"/>
        <v>Qcorrecto</v>
      </c>
      <c r="AY178" s="22" t="str">
        <f t="shared" si="817"/>
        <v>aceptable</v>
      </c>
      <c r="AZ178" s="22" t="str">
        <f t="shared" si="818"/>
        <v>aceptable</v>
      </c>
      <c r="BA178" s="22" t="str">
        <f t="shared" si="838"/>
        <v>aceptable</v>
      </c>
      <c r="BB178" s="25" t="str">
        <f t="shared" si="839"/>
        <v>NO CONFORME</v>
      </c>
      <c r="BC178" s="5" t="str">
        <f t="shared" si="840"/>
        <v>NO CONFORME</v>
      </c>
      <c r="BD178" s="15">
        <f t="shared" si="819"/>
        <v>-1</v>
      </c>
      <c r="BE178" s="15">
        <f t="shared" si="820"/>
        <v>-1</v>
      </c>
      <c r="BF178" s="15">
        <f t="shared" si="821"/>
        <v>-1</v>
      </c>
      <c r="BG178" s="15" t="str">
        <f t="shared" si="822"/>
        <v>-1-1-1</v>
      </c>
      <c r="BH178" s="15" t="str">
        <f t="shared" si="823"/>
        <v>SD</v>
      </c>
      <c r="BI178" s="15" t="str">
        <f t="shared" si="824"/>
        <v>SI</v>
      </c>
      <c r="BJ178" s="15" t="b">
        <f t="shared" si="825"/>
        <v>1</v>
      </c>
      <c r="BK178" s="15" t="str">
        <f t="shared" si="826"/>
        <v>SIGIGUALES</v>
      </c>
      <c r="BL178" s="22" t="str">
        <f t="shared" si="827"/>
        <v>NO CONFORME</v>
      </c>
    </row>
    <row r="179" spans="1:64" ht="14.4" x14ac:dyDescent="0.3">
      <c r="A179" s="36">
        <v>171</v>
      </c>
      <c r="B179" s="28">
        <f t="shared" ref="B179:E179" si="1101">B178</f>
        <v>45903</v>
      </c>
      <c r="C179" s="28">
        <f t="shared" si="1101"/>
        <v>45903</v>
      </c>
      <c r="D179" s="12">
        <f t="shared" si="1101"/>
        <v>3</v>
      </c>
      <c r="E179" s="10">
        <f t="shared" si="1101"/>
        <v>11</v>
      </c>
      <c r="F179" s="13"/>
      <c r="G179" s="69"/>
      <c r="H179" s="70">
        <f t="shared" ref="H179:L179" si="1102">H178</f>
        <v>25.6</v>
      </c>
      <c r="I179" s="37">
        <f t="shared" si="1102"/>
        <v>0</v>
      </c>
      <c r="J179" s="35">
        <f t="shared" si="1102"/>
        <v>16</v>
      </c>
      <c r="K179" s="122">
        <f t="shared" si="1102"/>
        <v>8.1690000000000005</v>
      </c>
      <c r="L179" s="122">
        <f t="shared" si="1102"/>
        <v>0.879</v>
      </c>
      <c r="M179" s="126"/>
      <c r="N179" s="126"/>
      <c r="O179" s="32">
        <f t="shared" ref="O179:P179" si="1103">O178</f>
        <v>100.65</v>
      </c>
      <c r="P179" s="33" t="str">
        <f t="shared" si="1103"/>
        <v>2,31,180</v>
      </c>
      <c r="Q179" s="11" t="str">
        <f t="shared" si="893"/>
        <v>2</v>
      </c>
      <c r="R179" s="11" t="str">
        <f t="shared" si="894"/>
        <v>31,180</v>
      </c>
      <c r="S179" s="11">
        <f t="shared" si="895"/>
        <v>4.1994444444444445E-2</v>
      </c>
      <c r="T179" s="14">
        <f t="shared" si="896"/>
        <v>2396.7456012700095</v>
      </c>
      <c r="U179" s="38">
        <f t="shared" si="897"/>
        <v>-100</v>
      </c>
      <c r="V179" s="39">
        <f t="shared" ref="V179:W179" si="1104">V178</f>
        <v>19.8</v>
      </c>
      <c r="W179" s="124">
        <f t="shared" si="1104"/>
        <v>1.08</v>
      </c>
      <c r="X179" s="124">
        <f t="shared" si="1049"/>
        <v>1.075</v>
      </c>
      <c r="Y179" s="126"/>
      <c r="Z179" s="126"/>
      <c r="AA179" s="90">
        <f t="shared" ref="AA179:AB179" si="1105">AA178</f>
        <v>5.0149999999999997</v>
      </c>
      <c r="AB179" s="73" t="str">
        <f t="shared" si="1105"/>
        <v>9,05,040</v>
      </c>
      <c r="AC179" s="11" t="str">
        <f t="shared" si="900"/>
        <v>9,</v>
      </c>
      <c r="AD179" s="11" t="str">
        <f t="shared" si="901"/>
        <v>05,040</v>
      </c>
      <c r="AE179" s="11">
        <f t="shared" si="902"/>
        <v>0.15139999999999998</v>
      </c>
      <c r="AF179" s="14">
        <f t="shared" si="903"/>
        <v>33.124174372523122</v>
      </c>
      <c r="AG179" s="40">
        <f t="shared" si="904"/>
        <v>-100</v>
      </c>
      <c r="AH179" s="39">
        <f t="shared" si="1057"/>
        <v>19.600000000000001</v>
      </c>
      <c r="AI179" s="124">
        <f t="shared" si="1057"/>
        <v>1.0860000000000001</v>
      </c>
      <c r="AJ179" s="124">
        <f t="shared" si="1057"/>
        <v>1.0780000000000001</v>
      </c>
      <c r="AK179" s="126">
        <f t="shared" si="905"/>
        <v>0</v>
      </c>
      <c r="AL179" s="126"/>
      <c r="AM179" s="34">
        <f t="shared" ref="AM179:AN179" si="1106">AM178</f>
        <v>2.0059999999999998</v>
      </c>
      <c r="AN179" s="33" t="str">
        <f t="shared" si="1106"/>
        <v>5,40,620</v>
      </c>
      <c r="AO179" s="11" t="str">
        <f t="shared" si="907"/>
        <v>5,</v>
      </c>
      <c r="AP179" s="11" t="str">
        <f t="shared" si="908"/>
        <v>40,620</v>
      </c>
      <c r="AQ179" s="11">
        <f t="shared" si="909"/>
        <v>9.4616666666666668E-2</v>
      </c>
      <c r="AR179" s="14">
        <f t="shared" si="910"/>
        <v>21.201338735247486</v>
      </c>
      <c r="AS179" s="40">
        <f t="shared" si="911"/>
        <v>-100</v>
      </c>
      <c r="AT179" s="41" t="str">
        <f t="shared" si="912"/>
        <v>NO CONFORME</v>
      </c>
      <c r="AU179" s="8" t="b">
        <f t="shared" si="834"/>
        <v>1</v>
      </c>
      <c r="AV179" s="8" t="b">
        <f t="shared" si="835"/>
        <v>0</v>
      </c>
      <c r="AW179" s="8" t="b">
        <f t="shared" si="836"/>
        <v>1</v>
      </c>
      <c r="AX179" s="8" t="str">
        <f t="shared" si="837"/>
        <v>Qcorrecto</v>
      </c>
      <c r="AY179" s="22" t="str">
        <f t="shared" si="817"/>
        <v>aceptable</v>
      </c>
      <c r="AZ179" s="22" t="str">
        <f t="shared" si="818"/>
        <v>aceptable</v>
      </c>
      <c r="BA179" s="22" t="str">
        <f t="shared" si="838"/>
        <v>aceptable</v>
      </c>
      <c r="BB179" s="25" t="str">
        <f t="shared" si="839"/>
        <v>NO CONFORME</v>
      </c>
      <c r="BC179" s="5" t="str">
        <f t="shared" si="840"/>
        <v>NO CONFORME</v>
      </c>
      <c r="BD179" s="15">
        <f t="shared" si="819"/>
        <v>-1</v>
      </c>
      <c r="BE179" s="15">
        <f t="shared" si="820"/>
        <v>-1</v>
      </c>
      <c r="BF179" s="15">
        <f t="shared" si="821"/>
        <v>-1</v>
      </c>
      <c r="BG179" s="15" t="str">
        <f t="shared" si="822"/>
        <v>-1-1-1</v>
      </c>
      <c r="BH179" s="15" t="str">
        <f t="shared" si="823"/>
        <v>SD</v>
      </c>
      <c r="BI179" s="15" t="str">
        <f t="shared" si="824"/>
        <v>SI</v>
      </c>
      <c r="BJ179" s="15" t="b">
        <f t="shared" si="825"/>
        <v>1</v>
      </c>
      <c r="BK179" s="15" t="str">
        <f t="shared" si="826"/>
        <v>SIGIGUALES</v>
      </c>
      <c r="BL179" s="22" t="str">
        <f t="shared" si="827"/>
        <v>NO CONFORME</v>
      </c>
    </row>
    <row r="180" spans="1:64" ht="14.4" x14ac:dyDescent="0.3">
      <c r="A180" s="36">
        <v>172</v>
      </c>
      <c r="B180" s="28">
        <f t="shared" ref="B180:E180" si="1107">B179</f>
        <v>45903</v>
      </c>
      <c r="C180" s="28">
        <f t="shared" si="1107"/>
        <v>45903</v>
      </c>
      <c r="D180" s="12">
        <f t="shared" si="1107"/>
        <v>3</v>
      </c>
      <c r="E180" s="10">
        <f t="shared" si="1107"/>
        <v>11</v>
      </c>
      <c r="F180" s="13"/>
      <c r="G180" s="69"/>
      <c r="H180" s="70">
        <f t="shared" ref="H180:L180" si="1108">H179</f>
        <v>25.6</v>
      </c>
      <c r="I180" s="37">
        <f t="shared" si="1108"/>
        <v>0</v>
      </c>
      <c r="J180" s="35">
        <f t="shared" si="1108"/>
        <v>16</v>
      </c>
      <c r="K180" s="122">
        <f t="shared" si="1108"/>
        <v>8.1690000000000005</v>
      </c>
      <c r="L180" s="122">
        <f t="shared" si="1108"/>
        <v>0.879</v>
      </c>
      <c r="M180" s="126"/>
      <c r="N180" s="126"/>
      <c r="O180" s="32">
        <f t="shared" ref="O180:P180" si="1109">O179</f>
        <v>100.65</v>
      </c>
      <c r="P180" s="33" t="str">
        <f t="shared" si="1109"/>
        <v>2,31,180</v>
      </c>
      <c r="Q180" s="11" t="str">
        <f t="shared" si="893"/>
        <v>2</v>
      </c>
      <c r="R180" s="11" t="str">
        <f t="shared" si="894"/>
        <v>31,180</v>
      </c>
      <c r="S180" s="11">
        <f t="shared" si="895"/>
        <v>4.1994444444444445E-2</v>
      </c>
      <c r="T180" s="14">
        <f t="shared" si="896"/>
        <v>2396.7456012700095</v>
      </c>
      <c r="U180" s="38">
        <f t="shared" si="897"/>
        <v>-100</v>
      </c>
      <c r="V180" s="39">
        <f t="shared" ref="V180:W180" si="1110">V179</f>
        <v>19.8</v>
      </c>
      <c r="W180" s="124">
        <f t="shared" si="1110"/>
        <v>1.08</v>
      </c>
      <c r="X180" s="124">
        <f t="shared" si="1049"/>
        <v>1.075</v>
      </c>
      <c r="Y180" s="126"/>
      <c r="Z180" s="126"/>
      <c r="AA180" s="90">
        <f t="shared" ref="AA180:AB180" si="1111">AA179</f>
        <v>5.0149999999999997</v>
      </c>
      <c r="AB180" s="73" t="str">
        <f t="shared" si="1111"/>
        <v>9,05,040</v>
      </c>
      <c r="AC180" s="11" t="str">
        <f t="shared" si="900"/>
        <v>9,</v>
      </c>
      <c r="AD180" s="11" t="str">
        <f t="shared" si="901"/>
        <v>05,040</v>
      </c>
      <c r="AE180" s="11">
        <f t="shared" si="902"/>
        <v>0.15139999999999998</v>
      </c>
      <c r="AF180" s="14">
        <f t="shared" si="903"/>
        <v>33.124174372523122</v>
      </c>
      <c r="AG180" s="40">
        <f t="shared" si="904"/>
        <v>-100</v>
      </c>
      <c r="AH180" s="39">
        <f t="shared" si="1057"/>
        <v>19.600000000000001</v>
      </c>
      <c r="AI180" s="124">
        <f t="shared" si="1057"/>
        <v>1.0860000000000001</v>
      </c>
      <c r="AJ180" s="124">
        <f t="shared" si="1057"/>
        <v>1.0780000000000001</v>
      </c>
      <c r="AK180" s="126">
        <f t="shared" si="905"/>
        <v>0</v>
      </c>
      <c r="AL180" s="126"/>
      <c r="AM180" s="34">
        <f t="shared" ref="AM180:AN180" si="1112">AM179</f>
        <v>2.0059999999999998</v>
      </c>
      <c r="AN180" s="33" t="str">
        <f t="shared" si="1112"/>
        <v>5,40,620</v>
      </c>
      <c r="AO180" s="11" t="str">
        <f t="shared" si="907"/>
        <v>5,</v>
      </c>
      <c r="AP180" s="11" t="str">
        <f t="shared" si="908"/>
        <v>40,620</v>
      </c>
      <c r="AQ180" s="11">
        <f t="shared" si="909"/>
        <v>9.4616666666666668E-2</v>
      </c>
      <c r="AR180" s="14">
        <f t="shared" si="910"/>
        <v>21.201338735247486</v>
      </c>
      <c r="AS180" s="40">
        <f t="shared" si="911"/>
        <v>-100</v>
      </c>
      <c r="AT180" s="41" t="str">
        <f t="shared" si="912"/>
        <v>NO CONFORME</v>
      </c>
      <c r="AU180" s="8" t="b">
        <f t="shared" si="834"/>
        <v>1</v>
      </c>
      <c r="AV180" s="8" t="b">
        <f t="shared" si="835"/>
        <v>0</v>
      </c>
      <c r="AW180" s="8" t="b">
        <f t="shared" si="836"/>
        <v>1</v>
      </c>
      <c r="AX180" s="8" t="str">
        <f t="shared" si="837"/>
        <v>Qcorrecto</v>
      </c>
      <c r="AY180" s="22" t="str">
        <f t="shared" si="817"/>
        <v>aceptable</v>
      </c>
      <c r="AZ180" s="22" t="str">
        <f t="shared" si="818"/>
        <v>aceptable</v>
      </c>
      <c r="BA180" s="22" t="str">
        <f t="shared" si="838"/>
        <v>aceptable</v>
      </c>
      <c r="BB180" s="25" t="str">
        <f t="shared" si="839"/>
        <v>NO CONFORME</v>
      </c>
      <c r="BC180" s="5" t="str">
        <f t="shared" si="840"/>
        <v>NO CONFORME</v>
      </c>
      <c r="BD180" s="15">
        <f t="shared" si="819"/>
        <v>-1</v>
      </c>
      <c r="BE180" s="15">
        <f t="shared" si="820"/>
        <v>-1</v>
      </c>
      <c r="BF180" s="15">
        <f t="shared" si="821"/>
        <v>-1</v>
      </c>
      <c r="BG180" s="15" t="str">
        <f t="shared" si="822"/>
        <v>-1-1-1</v>
      </c>
      <c r="BH180" s="15" t="str">
        <f t="shared" si="823"/>
        <v>SD</v>
      </c>
      <c r="BI180" s="15" t="str">
        <f t="shared" si="824"/>
        <v>SI</v>
      </c>
      <c r="BJ180" s="15" t="b">
        <f t="shared" si="825"/>
        <v>1</v>
      </c>
      <c r="BK180" s="15" t="str">
        <f t="shared" si="826"/>
        <v>SIGIGUALES</v>
      </c>
      <c r="BL180" s="22" t="str">
        <f t="shared" si="827"/>
        <v>NO CONFORME</v>
      </c>
    </row>
    <row r="181" spans="1:64" ht="14.4" x14ac:dyDescent="0.3">
      <c r="A181" s="36">
        <v>173</v>
      </c>
      <c r="B181" s="28">
        <f t="shared" ref="B181:E181" si="1113">B180</f>
        <v>45903</v>
      </c>
      <c r="C181" s="28">
        <f t="shared" si="1113"/>
        <v>45903</v>
      </c>
      <c r="D181" s="12">
        <f t="shared" si="1113"/>
        <v>3</v>
      </c>
      <c r="E181" s="10">
        <f t="shared" si="1113"/>
        <v>11</v>
      </c>
      <c r="F181" s="13"/>
      <c r="G181" s="69"/>
      <c r="H181" s="70">
        <f t="shared" ref="H181:L181" si="1114">H180</f>
        <v>25.6</v>
      </c>
      <c r="I181" s="37">
        <f t="shared" si="1114"/>
        <v>0</v>
      </c>
      <c r="J181" s="35">
        <f t="shared" si="1114"/>
        <v>16</v>
      </c>
      <c r="K181" s="122">
        <f t="shared" si="1114"/>
        <v>8.1690000000000005</v>
      </c>
      <c r="L181" s="122">
        <f t="shared" si="1114"/>
        <v>0.879</v>
      </c>
      <c r="M181" s="126"/>
      <c r="N181" s="126"/>
      <c r="O181" s="32">
        <f t="shared" ref="O181:P181" si="1115">O180</f>
        <v>100.65</v>
      </c>
      <c r="P181" s="33" t="str">
        <f t="shared" si="1115"/>
        <v>2,31,180</v>
      </c>
      <c r="Q181" s="11" t="str">
        <f t="shared" si="893"/>
        <v>2</v>
      </c>
      <c r="R181" s="11" t="str">
        <f t="shared" si="894"/>
        <v>31,180</v>
      </c>
      <c r="S181" s="11">
        <f t="shared" si="895"/>
        <v>4.1994444444444445E-2</v>
      </c>
      <c r="T181" s="14">
        <f t="shared" si="896"/>
        <v>2396.7456012700095</v>
      </c>
      <c r="U181" s="38">
        <f t="shared" si="897"/>
        <v>-100</v>
      </c>
      <c r="V181" s="39">
        <f t="shared" ref="V181:W181" si="1116">V180</f>
        <v>19.8</v>
      </c>
      <c r="W181" s="124">
        <f t="shared" si="1116"/>
        <v>1.08</v>
      </c>
      <c r="X181" s="124">
        <f t="shared" si="1049"/>
        <v>1.075</v>
      </c>
      <c r="Y181" s="126"/>
      <c r="Z181" s="126"/>
      <c r="AA181" s="90">
        <f t="shared" ref="AA181:AB181" si="1117">AA180</f>
        <v>5.0149999999999997</v>
      </c>
      <c r="AB181" s="73" t="str">
        <f t="shared" si="1117"/>
        <v>9,05,040</v>
      </c>
      <c r="AC181" s="11" t="str">
        <f t="shared" si="900"/>
        <v>9,</v>
      </c>
      <c r="AD181" s="11" t="str">
        <f t="shared" si="901"/>
        <v>05,040</v>
      </c>
      <c r="AE181" s="11">
        <f t="shared" si="902"/>
        <v>0.15139999999999998</v>
      </c>
      <c r="AF181" s="14">
        <f t="shared" si="903"/>
        <v>33.124174372523122</v>
      </c>
      <c r="AG181" s="40">
        <f t="shared" si="904"/>
        <v>-100</v>
      </c>
      <c r="AH181" s="39">
        <f t="shared" si="1057"/>
        <v>19.600000000000001</v>
      </c>
      <c r="AI181" s="124">
        <f t="shared" si="1057"/>
        <v>1.0860000000000001</v>
      </c>
      <c r="AJ181" s="124">
        <f t="shared" si="1057"/>
        <v>1.0780000000000001</v>
      </c>
      <c r="AK181" s="126">
        <f t="shared" si="905"/>
        <v>0</v>
      </c>
      <c r="AL181" s="126"/>
      <c r="AM181" s="34">
        <f t="shared" ref="AM181:AN181" si="1118">AM180</f>
        <v>2.0059999999999998</v>
      </c>
      <c r="AN181" s="33" t="str">
        <f t="shared" si="1118"/>
        <v>5,40,620</v>
      </c>
      <c r="AO181" s="11" t="str">
        <f t="shared" si="907"/>
        <v>5,</v>
      </c>
      <c r="AP181" s="11" t="str">
        <f t="shared" si="908"/>
        <v>40,620</v>
      </c>
      <c r="AQ181" s="11">
        <f t="shared" si="909"/>
        <v>9.4616666666666668E-2</v>
      </c>
      <c r="AR181" s="14">
        <f t="shared" si="910"/>
        <v>21.201338735247486</v>
      </c>
      <c r="AS181" s="40">
        <f t="shared" si="911"/>
        <v>-100</v>
      </c>
      <c r="AT181" s="41" t="str">
        <f t="shared" si="912"/>
        <v>NO CONFORME</v>
      </c>
      <c r="AU181" s="8" t="b">
        <f t="shared" si="834"/>
        <v>1</v>
      </c>
      <c r="AV181" s="8" t="b">
        <f t="shared" si="835"/>
        <v>0</v>
      </c>
      <c r="AW181" s="8" t="b">
        <f t="shared" si="836"/>
        <v>1</v>
      </c>
      <c r="AX181" s="8" t="str">
        <f t="shared" si="837"/>
        <v>Qcorrecto</v>
      </c>
      <c r="AY181" s="22" t="str">
        <f t="shared" si="817"/>
        <v>aceptable</v>
      </c>
      <c r="AZ181" s="22" t="str">
        <f t="shared" si="818"/>
        <v>aceptable</v>
      </c>
      <c r="BA181" s="22" t="str">
        <f t="shared" si="838"/>
        <v>aceptable</v>
      </c>
      <c r="BB181" s="25" t="str">
        <f t="shared" si="839"/>
        <v>NO CONFORME</v>
      </c>
      <c r="BC181" s="5" t="str">
        <f t="shared" si="840"/>
        <v>NO CONFORME</v>
      </c>
      <c r="BD181" s="15">
        <f t="shared" si="819"/>
        <v>-1</v>
      </c>
      <c r="BE181" s="15">
        <f t="shared" si="820"/>
        <v>-1</v>
      </c>
      <c r="BF181" s="15">
        <f t="shared" si="821"/>
        <v>-1</v>
      </c>
      <c r="BG181" s="15" t="str">
        <f t="shared" si="822"/>
        <v>-1-1-1</v>
      </c>
      <c r="BH181" s="15" t="str">
        <f t="shared" si="823"/>
        <v>SD</v>
      </c>
      <c r="BI181" s="15" t="str">
        <f t="shared" si="824"/>
        <v>SI</v>
      </c>
      <c r="BJ181" s="15" t="b">
        <f t="shared" si="825"/>
        <v>1</v>
      </c>
      <c r="BK181" s="15" t="str">
        <f t="shared" si="826"/>
        <v>SIGIGUALES</v>
      </c>
      <c r="BL181" s="22" t="str">
        <f t="shared" si="827"/>
        <v>NO CONFORME</v>
      </c>
    </row>
    <row r="182" spans="1:64" ht="14.4" x14ac:dyDescent="0.3">
      <c r="A182" s="36">
        <v>174</v>
      </c>
      <c r="B182" s="28">
        <f t="shared" ref="B182:E182" si="1119">B181</f>
        <v>45903</v>
      </c>
      <c r="C182" s="28">
        <f t="shared" si="1119"/>
        <v>45903</v>
      </c>
      <c r="D182" s="12">
        <f t="shared" si="1119"/>
        <v>3</v>
      </c>
      <c r="E182" s="10">
        <f t="shared" si="1119"/>
        <v>11</v>
      </c>
      <c r="F182" s="13"/>
      <c r="G182" s="69"/>
      <c r="H182" s="70">
        <f t="shared" ref="H182:L182" si="1120">H181</f>
        <v>25.6</v>
      </c>
      <c r="I182" s="37">
        <f t="shared" si="1120"/>
        <v>0</v>
      </c>
      <c r="J182" s="35">
        <f t="shared" si="1120"/>
        <v>16</v>
      </c>
      <c r="K182" s="122">
        <f t="shared" si="1120"/>
        <v>8.1690000000000005</v>
      </c>
      <c r="L182" s="122">
        <f t="shared" si="1120"/>
        <v>0.879</v>
      </c>
      <c r="M182" s="126"/>
      <c r="N182" s="126"/>
      <c r="O182" s="32">
        <f t="shared" ref="O182:P182" si="1121">O181</f>
        <v>100.65</v>
      </c>
      <c r="P182" s="33" t="str">
        <f t="shared" si="1121"/>
        <v>2,31,180</v>
      </c>
      <c r="Q182" s="11" t="str">
        <f t="shared" si="893"/>
        <v>2</v>
      </c>
      <c r="R182" s="11" t="str">
        <f t="shared" si="894"/>
        <v>31,180</v>
      </c>
      <c r="S182" s="11">
        <f t="shared" si="895"/>
        <v>4.1994444444444445E-2</v>
      </c>
      <c r="T182" s="14">
        <f t="shared" si="896"/>
        <v>2396.7456012700095</v>
      </c>
      <c r="U182" s="38">
        <f t="shared" si="897"/>
        <v>-100</v>
      </c>
      <c r="V182" s="39">
        <f t="shared" ref="V182:W182" si="1122">V181</f>
        <v>19.8</v>
      </c>
      <c r="W182" s="124">
        <f t="shared" si="1122"/>
        <v>1.08</v>
      </c>
      <c r="X182" s="124">
        <f t="shared" si="1049"/>
        <v>1.075</v>
      </c>
      <c r="Y182" s="126"/>
      <c r="Z182" s="126"/>
      <c r="AA182" s="90">
        <f t="shared" ref="AA182:AB182" si="1123">AA181</f>
        <v>5.0149999999999997</v>
      </c>
      <c r="AB182" s="73" t="str">
        <f t="shared" si="1123"/>
        <v>9,05,040</v>
      </c>
      <c r="AC182" s="11" t="str">
        <f t="shared" si="900"/>
        <v>9,</v>
      </c>
      <c r="AD182" s="11" t="str">
        <f t="shared" si="901"/>
        <v>05,040</v>
      </c>
      <c r="AE182" s="11">
        <f t="shared" si="902"/>
        <v>0.15139999999999998</v>
      </c>
      <c r="AF182" s="14">
        <f t="shared" si="903"/>
        <v>33.124174372523122</v>
      </c>
      <c r="AG182" s="40">
        <f t="shared" si="904"/>
        <v>-100</v>
      </c>
      <c r="AH182" s="39">
        <f t="shared" si="1057"/>
        <v>19.600000000000001</v>
      </c>
      <c r="AI182" s="124">
        <f t="shared" si="1057"/>
        <v>1.0860000000000001</v>
      </c>
      <c r="AJ182" s="124">
        <f t="shared" si="1057"/>
        <v>1.0780000000000001</v>
      </c>
      <c r="AK182" s="126">
        <f t="shared" si="905"/>
        <v>0</v>
      </c>
      <c r="AL182" s="126"/>
      <c r="AM182" s="34">
        <f t="shared" ref="AM182:AN182" si="1124">AM181</f>
        <v>2.0059999999999998</v>
      </c>
      <c r="AN182" s="33" t="str">
        <f t="shared" si="1124"/>
        <v>5,40,620</v>
      </c>
      <c r="AO182" s="11" t="str">
        <f t="shared" si="907"/>
        <v>5,</v>
      </c>
      <c r="AP182" s="11" t="str">
        <f t="shared" si="908"/>
        <v>40,620</v>
      </c>
      <c r="AQ182" s="11">
        <f t="shared" si="909"/>
        <v>9.4616666666666668E-2</v>
      </c>
      <c r="AR182" s="14">
        <f t="shared" si="910"/>
        <v>21.201338735247486</v>
      </c>
      <c r="AS182" s="40">
        <f t="shared" si="911"/>
        <v>-100</v>
      </c>
      <c r="AT182" s="41" t="str">
        <f t="shared" si="912"/>
        <v>NO CONFORME</v>
      </c>
      <c r="AU182" s="8" t="b">
        <f t="shared" si="834"/>
        <v>1</v>
      </c>
      <c r="AV182" s="8" t="b">
        <f t="shared" si="835"/>
        <v>0</v>
      </c>
      <c r="AW182" s="8" t="b">
        <f t="shared" si="836"/>
        <v>1</v>
      </c>
      <c r="AX182" s="8" t="str">
        <f t="shared" si="837"/>
        <v>Qcorrecto</v>
      </c>
      <c r="AY182" s="22" t="str">
        <f t="shared" si="817"/>
        <v>aceptable</v>
      </c>
      <c r="AZ182" s="22" t="str">
        <f t="shared" si="818"/>
        <v>aceptable</v>
      </c>
      <c r="BA182" s="22" t="str">
        <f t="shared" si="838"/>
        <v>aceptable</v>
      </c>
      <c r="BB182" s="25" t="str">
        <f t="shared" si="839"/>
        <v>NO CONFORME</v>
      </c>
      <c r="BC182" s="5" t="str">
        <f t="shared" si="840"/>
        <v>NO CONFORME</v>
      </c>
      <c r="BD182" s="15">
        <f t="shared" si="819"/>
        <v>-1</v>
      </c>
      <c r="BE182" s="15">
        <f t="shared" si="820"/>
        <v>-1</v>
      </c>
      <c r="BF182" s="15">
        <f t="shared" si="821"/>
        <v>-1</v>
      </c>
      <c r="BG182" s="15" t="str">
        <f t="shared" si="822"/>
        <v>-1-1-1</v>
      </c>
      <c r="BH182" s="15" t="str">
        <f t="shared" si="823"/>
        <v>SD</v>
      </c>
      <c r="BI182" s="15" t="str">
        <f t="shared" si="824"/>
        <v>SI</v>
      </c>
      <c r="BJ182" s="15" t="b">
        <f t="shared" si="825"/>
        <v>1</v>
      </c>
      <c r="BK182" s="15" t="str">
        <f t="shared" si="826"/>
        <v>SIGIGUALES</v>
      </c>
      <c r="BL182" s="22" t="str">
        <f t="shared" si="827"/>
        <v>NO CONFORME</v>
      </c>
    </row>
    <row r="183" spans="1:64" ht="14.4" x14ac:dyDescent="0.3">
      <c r="A183" s="36">
        <v>175</v>
      </c>
      <c r="B183" s="28">
        <f t="shared" ref="B183:E183" si="1125">B182</f>
        <v>45903</v>
      </c>
      <c r="C183" s="28">
        <f t="shared" si="1125"/>
        <v>45903</v>
      </c>
      <c r="D183" s="12">
        <f t="shared" si="1125"/>
        <v>3</v>
      </c>
      <c r="E183" s="10">
        <f t="shared" si="1125"/>
        <v>11</v>
      </c>
      <c r="F183" s="13"/>
      <c r="G183" s="69"/>
      <c r="H183" s="70">
        <f t="shared" ref="H183:L183" si="1126">H182</f>
        <v>25.6</v>
      </c>
      <c r="I183" s="37">
        <f t="shared" si="1126"/>
        <v>0</v>
      </c>
      <c r="J183" s="35">
        <f t="shared" si="1126"/>
        <v>16</v>
      </c>
      <c r="K183" s="122">
        <f t="shared" si="1126"/>
        <v>8.1690000000000005</v>
      </c>
      <c r="L183" s="122">
        <f t="shared" si="1126"/>
        <v>0.879</v>
      </c>
      <c r="M183" s="126"/>
      <c r="N183" s="126"/>
      <c r="O183" s="32">
        <f t="shared" ref="O183:P183" si="1127">O182</f>
        <v>100.65</v>
      </c>
      <c r="P183" s="33" t="str">
        <f t="shared" si="1127"/>
        <v>2,31,180</v>
      </c>
      <c r="Q183" s="11" t="str">
        <f t="shared" si="893"/>
        <v>2</v>
      </c>
      <c r="R183" s="11" t="str">
        <f t="shared" si="894"/>
        <v>31,180</v>
      </c>
      <c r="S183" s="11">
        <f t="shared" si="895"/>
        <v>4.1994444444444445E-2</v>
      </c>
      <c r="T183" s="14">
        <f t="shared" si="896"/>
        <v>2396.7456012700095</v>
      </c>
      <c r="U183" s="38">
        <f t="shared" si="897"/>
        <v>-100</v>
      </c>
      <c r="V183" s="39">
        <f t="shared" ref="V183:W183" si="1128">V182</f>
        <v>19.8</v>
      </c>
      <c r="W183" s="124">
        <f t="shared" si="1128"/>
        <v>1.08</v>
      </c>
      <c r="X183" s="124">
        <f t="shared" si="1049"/>
        <v>1.075</v>
      </c>
      <c r="Y183" s="126"/>
      <c r="Z183" s="126"/>
      <c r="AA183" s="90">
        <f t="shared" ref="AA183:AB183" si="1129">AA182</f>
        <v>5.0149999999999997</v>
      </c>
      <c r="AB183" s="73" t="str">
        <f t="shared" si="1129"/>
        <v>9,05,040</v>
      </c>
      <c r="AC183" s="11" t="str">
        <f t="shared" si="900"/>
        <v>9,</v>
      </c>
      <c r="AD183" s="11" t="str">
        <f t="shared" si="901"/>
        <v>05,040</v>
      </c>
      <c r="AE183" s="11">
        <f t="shared" si="902"/>
        <v>0.15139999999999998</v>
      </c>
      <c r="AF183" s="14">
        <f t="shared" si="903"/>
        <v>33.124174372523122</v>
      </c>
      <c r="AG183" s="40">
        <f t="shared" si="904"/>
        <v>-100</v>
      </c>
      <c r="AH183" s="39">
        <f t="shared" si="1057"/>
        <v>19.600000000000001</v>
      </c>
      <c r="AI183" s="124">
        <f t="shared" si="1057"/>
        <v>1.0860000000000001</v>
      </c>
      <c r="AJ183" s="124">
        <f t="shared" si="1057"/>
        <v>1.0780000000000001</v>
      </c>
      <c r="AK183" s="126">
        <f t="shared" si="905"/>
        <v>0</v>
      </c>
      <c r="AL183" s="126"/>
      <c r="AM183" s="34">
        <f t="shared" ref="AM183:AN183" si="1130">AM182</f>
        <v>2.0059999999999998</v>
      </c>
      <c r="AN183" s="33" t="str">
        <f t="shared" si="1130"/>
        <v>5,40,620</v>
      </c>
      <c r="AO183" s="11" t="str">
        <f t="shared" si="907"/>
        <v>5,</v>
      </c>
      <c r="AP183" s="11" t="str">
        <f t="shared" si="908"/>
        <v>40,620</v>
      </c>
      <c r="AQ183" s="11">
        <f t="shared" si="909"/>
        <v>9.4616666666666668E-2</v>
      </c>
      <c r="AR183" s="14">
        <f t="shared" si="910"/>
        <v>21.201338735247486</v>
      </c>
      <c r="AS183" s="40">
        <f t="shared" si="911"/>
        <v>-100</v>
      </c>
      <c r="AT183" s="41" t="str">
        <f t="shared" si="912"/>
        <v>NO CONFORME</v>
      </c>
      <c r="AU183" s="8" t="b">
        <f t="shared" si="834"/>
        <v>1</v>
      </c>
      <c r="AV183" s="8" t="b">
        <f t="shared" si="835"/>
        <v>0</v>
      </c>
      <c r="AW183" s="8" t="b">
        <f t="shared" si="836"/>
        <v>1</v>
      </c>
      <c r="AX183" s="8" t="str">
        <f t="shared" si="837"/>
        <v>Qcorrecto</v>
      </c>
      <c r="AY183" s="22" t="str">
        <f t="shared" si="817"/>
        <v>aceptable</v>
      </c>
      <c r="AZ183" s="22" t="str">
        <f t="shared" si="818"/>
        <v>aceptable</v>
      </c>
      <c r="BA183" s="22" t="str">
        <f t="shared" si="838"/>
        <v>aceptable</v>
      </c>
      <c r="BB183" s="25" t="str">
        <f t="shared" si="839"/>
        <v>NO CONFORME</v>
      </c>
      <c r="BC183" s="5" t="str">
        <f t="shared" si="840"/>
        <v>NO CONFORME</v>
      </c>
      <c r="BD183" s="15">
        <f t="shared" si="819"/>
        <v>-1</v>
      </c>
      <c r="BE183" s="15">
        <f t="shared" si="820"/>
        <v>-1</v>
      </c>
      <c r="BF183" s="15">
        <f t="shared" si="821"/>
        <v>-1</v>
      </c>
      <c r="BG183" s="15" t="str">
        <f t="shared" si="822"/>
        <v>-1-1-1</v>
      </c>
      <c r="BH183" s="15" t="str">
        <f t="shared" si="823"/>
        <v>SD</v>
      </c>
      <c r="BI183" s="15" t="str">
        <f t="shared" si="824"/>
        <v>SI</v>
      </c>
      <c r="BJ183" s="15" t="b">
        <f t="shared" si="825"/>
        <v>1</v>
      </c>
      <c r="BK183" s="15" t="str">
        <f t="shared" si="826"/>
        <v>SIGIGUALES</v>
      </c>
      <c r="BL183" s="22" t="str">
        <f t="shared" si="827"/>
        <v>NO CONFORME</v>
      </c>
    </row>
    <row r="184" spans="1:64" ht="14.4" x14ac:dyDescent="0.3">
      <c r="A184" s="36">
        <v>176</v>
      </c>
      <c r="B184" s="28">
        <f t="shared" ref="B184:E184" si="1131">B183</f>
        <v>45903</v>
      </c>
      <c r="C184" s="28">
        <f t="shared" si="1131"/>
        <v>45903</v>
      </c>
      <c r="D184" s="12">
        <f t="shared" si="1131"/>
        <v>3</v>
      </c>
      <c r="E184" s="10">
        <f t="shared" si="1131"/>
        <v>11</v>
      </c>
      <c r="F184" s="13"/>
      <c r="G184" s="69"/>
      <c r="H184" s="70">
        <f t="shared" ref="H184:L184" si="1132">H183</f>
        <v>25.6</v>
      </c>
      <c r="I184" s="37">
        <f t="shared" si="1132"/>
        <v>0</v>
      </c>
      <c r="J184" s="35">
        <f t="shared" si="1132"/>
        <v>16</v>
      </c>
      <c r="K184" s="122">
        <f t="shared" si="1132"/>
        <v>8.1690000000000005</v>
      </c>
      <c r="L184" s="122">
        <f t="shared" si="1132"/>
        <v>0.879</v>
      </c>
      <c r="M184" s="126"/>
      <c r="N184" s="126"/>
      <c r="O184" s="32">
        <f t="shared" ref="O184:P184" si="1133">O183</f>
        <v>100.65</v>
      </c>
      <c r="P184" s="33" t="str">
        <f t="shared" si="1133"/>
        <v>2,31,180</v>
      </c>
      <c r="Q184" s="11" t="str">
        <f t="shared" si="893"/>
        <v>2</v>
      </c>
      <c r="R184" s="11" t="str">
        <f t="shared" si="894"/>
        <v>31,180</v>
      </c>
      <c r="S184" s="11">
        <f t="shared" si="895"/>
        <v>4.1994444444444445E-2</v>
      </c>
      <c r="T184" s="14">
        <f t="shared" si="896"/>
        <v>2396.7456012700095</v>
      </c>
      <c r="U184" s="38">
        <f t="shared" si="897"/>
        <v>-100</v>
      </c>
      <c r="V184" s="39">
        <f t="shared" ref="V184:W184" si="1134">V183</f>
        <v>19.8</v>
      </c>
      <c r="W184" s="124">
        <f t="shared" si="1134"/>
        <v>1.08</v>
      </c>
      <c r="X184" s="124">
        <f t="shared" si="1049"/>
        <v>1.075</v>
      </c>
      <c r="Y184" s="126"/>
      <c r="Z184" s="126"/>
      <c r="AA184" s="90">
        <f t="shared" ref="AA184:AB184" si="1135">AA183</f>
        <v>5.0149999999999997</v>
      </c>
      <c r="AB184" s="73" t="str">
        <f t="shared" si="1135"/>
        <v>9,05,040</v>
      </c>
      <c r="AC184" s="11" t="str">
        <f t="shared" si="900"/>
        <v>9,</v>
      </c>
      <c r="AD184" s="11" t="str">
        <f t="shared" si="901"/>
        <v>05,040</v>
      </c>
      <c r="AE184" s="11">
        <f t="shared" si="902"/>
        <v>0.15139999999999998</v>
      </c>
      <c r="AF184" s="14">
        <f t="shared" si="903"/>
        <v>33.124174372523122</v>
      </c>
      <c r="AG184" s="40">
        <f t="shared" si="904"/>
        <v>-100</v>
      </c>
      <c r="AH184" s="39">
        <f t="shared" si="1057"/>
        <v>19.600000000000001</v>
      </c>
      <c r="AI184" s="124">
        <f t="shared" si="1057"/>
        <v>1.0860000000000001</v>
      </c>
      <c r="AJ184" s="124">
        <f t="shared" si="1057"/>
        <v>1.0780000000000001</v>
      </c>
      <c r="AK184" s="126">
        <f t="shared" si="905"/>
        <v>0</v>
      </c>
      <c r="AL184" s="126"/>
      <c r="AM184" s="34">
        <f t="shared" ref="AM184:AN184" si="1136">AM183</f>
        <v>2.0059999999999998</v>
      </c>
      <c r="AN184" s="33" t="str">
        <f t="shared" si="1136"/>
        <v>5,40,620</v>
      </c>
      <c r="AO184" s="11" t="str">
        <f t="shared" si="907"/>
        <v>5,</v>
      </c>
      <c r="AP184" s="11" t="str">
        <f t="shared" si="908"/>
        <v>40,620</v>
      </c>
      <c r="AQ184" s="11">
        <f t="shared" si="909"/>
        <v>9.4616666666666668E-2</v>
      </c>
      <c r="AR184" s="14">
        <f t="shared" si="910"/>
        <v>21.201338735247486</v>
      </c>
      <c r="AS184" s="40">
        <f t="shared" si="911"/>
        <v>-100</v>
      </c>
      <c r="AT184" s="41" t="str">
        <f t="shared" si="912"/>
        <v>NO CONFORME</v>
      </c>
      <c r="AU184" s="8" t="b">
        <f t="shared" si="834"/>
        <v>1</v>
      </c>
      <c r="AV184" s="8" t="b">
        <f t="shared" si="835"/>
        <v>0</v>
      </c>
      <c r="AW184" s="8" t="b">
        <f t="shared" si="836"/>
        <v>1</v>
      </c>
      <c r="AX184" s="8" t="str">
        <f t="shared" si="837"/>
        <v>Qcorrecto</v>
      </c>
      <c r="AY184" s="22" t="str">
        <f t="shared" si="817"/>
        <v>aceptable</v>
      </c>
      <c r="AZ184" s="22" t="str">
        <f t="shared" si="818"/>
        <v>aceptable</v>
      </c>
      <c r="BA184" s="22" t="str">
        <f t="shared" si="838"/>
        <v>aceptable</v>
      </c>
      <c r="BB184" s="25" t="str">
        <f t="shared" si="839"/>
        <v>NO CONFORME</v>
      </c>
      <c r="BC184" s="5" t="str">
        <f t="shared" si="840"/>
        <v>NO CONFORME</v>
      </c>
      <c r="BD184" s="15">
        <f t="shared" si="819"/>
        <v>-1</v>
      </c>
      <c r="BE184" s="15">
        <f t="shared" si="820"/>
        <v>-1</v>
      </c>
      <c r="BF184" s="15">
        <f t="shared" si="821"/>
        <v>-1</v>
      </c>
      <c r="BG184" s="15" t="str">
        <f t="shared" si="822"/>
        <v>-1-1-1</v>
      </c>
      <c r="BH184" s="15" t="str">
        <f t="shared" si="823"/>
        <v>SD</v>
      </c>
      <c r="BI184" s="15" t="str">
        <f t="shared" si="824"/>
        <v>SI</v>
      </c>
      <c r="BJ184" s="15" t="b">
        <f t="shared" si="825"/>
        <v>1</v>
      </c>
      <c r="BK184" s="15" t="str">
        <f t="shared" si="826"/>
        <v>SIGIGUALES</v>
      </c>
      <c r="BL184" s="22" t="str">
        <f t="shared" si="827"/>
        <v>NO CONFORME</v>
      </c>
    </row>
    <row r="185" spans="1:64" ht="14.4" x14ac:dyDescent="0.3">
      <c r="A185" s="36">
        <v>177</v>
      </c>
      <c r="B185" s="28">
        <f t="shared" ref="B185:E185" si="1137">B184</f>
        <v>45903</v>
      </c>
      <c r="C185" s="28">
        <f t="shared" si="1137"/>
        <v>45903</v>
      </c>
      <c r="D185" s="12">
        <f t="shared" si="1137"/>
        <v>3</v>
      </c>
      <c r="E185" s="10">
        <f t="shared" si="1137"/>
        <v>11</v>
      </c>
      <c r="F185" s="13"/>
      <c r="G185" s="69"/>
      <c r="H185" s="70">
        <f t="shared" ref="H185:L185" si="1138">H184</f>
        <v>25.6</v>
      </c>
      <c r="I185" s="37">
        <f t="shared" si="1138"/>
        <v>0</v>
      </c>
      <c r="J185" s="35">
        <f t="shared" si="1138"/>
        <v>16</v>
      </c>
      <c r="K185" s="122">
        <f t="shared" si="1138"/>
        <v>8.1690000000000005</v>
      </c>
      <c r="L185" s="122">
        <f t="shared" si="1138"/>
        <v>0.879</v>
      </c>
      <c r="M185" s="126"/>
      <c r="N185" s="126"/>
      <c r="O185" s="32">
        <f t="shared" ref="O185:P185" si="1139">O184</f>
        <v>100.65</v>
      </c>
      <c r="P185" s="33" t="str">
        <f t="shared" si="1139"/>
        <v>2,31,180</v>
      </c>
      <c r="Q185" s="11" t="str">
        <f t="shared" si="893"/>
        <v>2</v>
      </c>
      <c r="R185" s="11" t="str">
        <f t="shared" si="894"/>
        <v>31,180</v>
      </c>
      <c r="S185" s="11">
        <f t="shared" si="895"/>
        <v>4.1994444444444445E-2</v>
      </c>
      <c r="T185" s="14">
        <f t="shared" si="896"/>
        <v>2396.7456012700095</v>
      </c>
      <c r="U185" s="38">
        <f t="shared" si="897"/>
        <v>-100</v>
      </c>
      <c r="V185" s="39">
        <f t="shared" ref="V185:W185" si="1140">V184</f>
        <v>19.8</v>
      </c>
      <c r="W185" s="124">
        <f t="shared" si="1140"/>
        <v>1.08</v>
      </c>
      <c r="X185" s="124">
        <f t="shared" si="1049"/>
        <v>1.075</v>
      </c>
      <c r="Y185" s="126"/>
      <c r="Z185" s="126"/>
      <c r="AA185" s="90">
        <f t="shared" ref="AA185:AB185" si="1141">AA184</f>
        <v>5.0149999999999997</v>
      </c>
      <c r="AB185" s="73" t="str">
        <f t="shared" si="1141"/>
        <v>9,05,040</v>
      </c>
      <c r="AC185" s="11" t="str">
        <f t="shared" si="900"/>
        <v>9,</v>
      </c>
      <c r="AD185" s="11" t="str">
        <f t="shared" si="901"/>
        <v>05,040</v>
      </c>
      <c r="AE185" s="11">
        <f t="shared" si="902"/>
        <v>0.15139999999999998</v>
      </c>
      <c r="AF185" s="14">
        <f t="shared" si="903"/>
        <v>33.124174372523122</v>
      </c>
      <c r="AG185" s="40">
        <f t="shared" si="904"/>
        <v>-100</v>
      </c>
      <c r="AH185" s="39">
        <f t="shared" si="1057"/>
        <v>19.600000000000001</v>
      </c>
      <c r="AI185" s="124">
        <f t="shared" si="1057"/>
        <v>1.0860000000000001</v>
      </c>
      <c r="AJ185" s="124">
        <f t="shared" si="1057"/>
        <v>1.0780000000000001</v>
      </c>
      <c r="AK185" s="126">
        <f t="shared" si="905"/>
        <v>0</v>
      </c>
      <c r="AL185" s="126"/>
      <c r="AM185" s="34">
        <f t="shared" ref="AM185:AN185" si="1142">AM184</f>
        <v>2.0059999999999998</v>
      </c>
      <c r="AN185" s="33" t="str">
        <f t="shared" si="1142"/>
        <v>5,40,620</v>
      </c>
      <c r="AO185" s="11" t="str">
        <f t="shared" si="907"/>
        <v>5,</v>
      </c>
      <c r="AP185" s="11" t="str">
        <f t="shared" si="908"/>
        <v>40,620</v>
      </c>
      <c r="AQ185" s="11">
        <f t="shared" si="909"/>
        <v>9.4616666666666668E-2</v>
      </c>
      <c r="AR185" s="14">
        <f t="shared" si="910"/>
        <v>21.201338735247486</v>
      </c>
      <c r="AS185" s="40">
        <f t="shared" si="911"/>
        <v>-100</v>
      </c>
      <c r="AT185" s="41" t="str">
        <f t="shared" si="912"/>
        <v>NO CONFORME</v>
      </c>
      <c r="AU185" s="8" t="b">
        <f t="shared" si="834"/>
        <v>1</v>
      </c>
      <c r="AV185" s="8" t="b">
        <f t="shared" si="835"/>
        <v>0</v>
      </c>
      <c r="AW185" s="8" t="b">
        <f t="shared" si="836"/>
        <v>1</v>
      </c>
      <c r="AX185" s="8" t="str">
        <f t="shared" si="837"/>
        <v>Qcorrecto</v>
      </c>
      <c r="AY185" s="22" t="str">
        <f t="shared" si="817"/>
        <v>aceptable</v>
      </c>
      <c r="AZ185" s="22" t="str">
        <f t="shared" si="818"/>
        <v>aceptable</v>
      </c>
      <c r="BA185" s="22" t="str">
        <f t="shared" si="838"/>
        <v>aceptable</v>
      </c>
      <c r="BB185" s="25" t="str">
        <f t="shared" si="839"/>
        <v>NO CONFORME</v>
      </c>
      <c r="BC185" s="5" t="str">
        <f t="shared" si="840"/>
        <v>NO CONFORME</v>
      </c>
      <c r="BD185" s="15">
        <f t="shared" si="819"/>
        <v>-1</v>
      </c>
      <c r="BE185" s="15">
        <f t="shared" si="820"/>
        <v>-1</v>
      </c>
      <c r="BF185" s="15">
        <f t="shared" si="821"/>
        <v>-1</v>
      </c>
      <c r="BG185" s="15" t="str">
        <f t="shared" si="822"/>
        <v>-1-1-1</v>
      </c>
      <c r="BH185" s="15" t="str">
        <f t="shared" si="823"/>
        <v>SD</v>
      </c>
      <c r="BI185" s="15" t="str">
        <f t="shared" si="824"/>
        <v>SI</v>
      </c>
      <c r="BJ185" s="15" t="b">
        <f t="shared" si="825"/>
        <v>1</v>
      </c>
      <c r="BK185" s="15" t="str">
        <f t="shared" si="826"/>
        <v>SIGIGUALES</v>
      </c>
      <c r="BL185" s="22" t="str">
        <f t="shared" si="827"/>
        <v>NO CONFORME</v>
      </c>
    </row>
    <row r="186" spans="1:64" ht="14.4" x14ac:dyDescent="0.3">
      <c r="A186" s="36">
        <v>178</v>
      </c>
      <c r="B186" s="28">
        <f t="shared" ref="B186:E186" si="1143">B185</f>
        <v>45903</v>
      </c>
      <c r="C186" s="28">
        <f t="shared" si="1143"/>
        <v>45903</v>
      </c>
      <c r="D186" s="12">
        <f t="shared" si="1143"/>
        <v>3</v>
      </c>
      <c r="E186" s="10">
        <f t="shared" si="1143"/>
        <v>11</v>
      </c>
      <c r="F186" s="13"/>
      <c r="G186" s="69"/>
      <c r="H186" s="70">
        <f t="shared" ref="H186:L186" si="1144">H185</f>
        <v>25.6</v>
      </c>
      <c r="I186" s="37">
        <f t="shared" si="1144"/>
        <v>0</v>
      </c>
      <c r="J186" s="35">
        <f t="shared" si="1144"/>
        <v>16</v>
      </c>
      <c r="K186" s="122">
        <f t="shared" si="1144"/>
        <v>8.1690000000000005</v>
      </c>
      <c r="L186" s="122">
        <f t="shared" si="1144"/>
        <v>0.879</v>
      </c>
      <c r="M186" s="126"/>
      <c r="N186" s="126"/>
      <c r="O186" s="32">
        <f t="shared" ref="O186:P186" si="1145">O185</f>
        <v>100.65</v>
      </c>
      <c r="P186" s="33" t="str">
        <f t="shared" si="1145"/>
        <v>2,31,180</v>
      </c>
      <c r="Q186" s="11" t="str">
        <f t="shared" si="893"/>
        <v>2</v>
      </c>
      <c r="R186" s="11" t="str">
        <f t="shared" si="894"/>
        <v>31,180</v>
      </c>
      <c r="S186" s="11">
        <f t="shared" si="895"/>
        <v>4.1994444444444445E-2</v>
      </c>
      <c r="T186" s="14">
        <f t="shared" si="896"/>
        <v>2396.7456012700095</v>
      </c>
      <c r="U186" s="38">
        <f t="shared" si="897"/>
        <v>-100</v>
      </c>
      <c r="V186" s="39">
        <f t="shared" ref="V186:X201" si="1146">V185</f>
        <v>19.8</v>
      </c>
      <c r="W186" s="124">
        <f t="shared" si="1146"/>
        <v>1.08</v>
      </c>
      <c r="X186" s="124">
        <f t="shared" si="1146"/>
        <v>1.075</v>
      </c>
      <c r="Y186" s="126"/>
      <c r="Z186" s="126"/>
      <c r="AA186" s="90">
        <f t="shared" ref="AA186:AB186" si="1147">AA185</f>
        <v>5.0149999999999997</v>
      </c>
      <c r="AB186" s="73" t="str">
        <f t="shared" si="1147"/>
        <v>9,05,040</v>
      </c>
      <c r="AC186" s="11" t="str">
        <f t="shared" si="900"/>
        <v>9,</v>
      </c>
      <c r="AD186" s="11" t="str">
        <f t="shared" si="901"/>
        <v>05,040</v>
      </c>
      <c r="AE186" s="11">
        <f t="shared" si="902"/>
        <v>0.15139999999999998</v>
      </c>
      <c r="AF186" s="14">
        <f t="shared" si="903"/>
        <v>33.124174372523122</v>
      </c>
      <c r="AG186" s="40">
        <f t="shared" si="904"/>
        <v>-100</v>
      </c>
      <c r="AH186" s="39">
        <f t="shared" si="1057"/>
        <v>19.600000000000001</v>
      </c>
      <c r="AI186" s="124">
        <f t="shared" si="1057"/>
        <v>1.0860000000000001</v>
      </c>
      <c r="AJ186" s="124">
        <f t="shared" si="1057"/>
        <v>1.0780000000000001</v>
      </c>
      <c r="AK186" s="126">
        <f t="shared" si="905"/>
        <v>0</v>
      </c>
      <c r="AL186" s="126"/>
      <c r="AM186" s="34">
        <f t="shared" ref="AM186:AN186" si="1148">AM185</f>
        <v>2.0059999999999998</v>
      </c>
      <c r="AN186" s="33" t="str">
        <f t="shared" si="1148"/>
        <v>5,40,620</v>
      </c>
      <c r="AO186" s="11" t="str">
        <f t="shared" si="907"/>
        <v>5,</v>
      </c>
      <c r="AP186" s="11" t="str">
        <f t="shared" si="908"/>
        <v>40,620</v>
      </c>
      <c r="AQ186" s="11">
        <f t="shared" si="909"/>
        <v>9.4616666666666668E-2</v>
      </c>
      <c r="AR186" s="14">
        <f t="shared" si="910"/>
        <v>21.201338735247486</v>
      </c>
      <c r="AS186" s="40">
        <f t="shared" si="911"/>
        <v>-100</v>
      </c>
      <c r="AT186" s="41" t="str">
        <f t="shared" si="912"/>
        <v>NO CONFORME</v>
      </c>
      <c r="AU186" s="8" t="b">
        <f t="shared" si="834"/>
        <v>1</v>
      </c>
      <c r="AV186" s="8" t="b">
        <f t="shared" si="835"/>
        <v>0</v>
      </c>
      <c r="AW186" s="8" t="b">
        <f t="shared" si="836"/>
        <v>1</v>
      </c>
      <c r="AX186" s="8" t="str">
        <f t="shared" si="837"/>
        <v>Qcorrecto</v>
      </c>
      <c r="AY186" s="22" t="str">
        <f t="shared" si="817"/>
        <v>aceptable</v>
      </c>
      <c r="AZ186" s="22" t="str">
        <f t="shared" si="818"/>
        <v>aceptable</v>
      </c>
      <c r="BA186" s="22" t="str">
        <f t="shared" si="838"/>
        <v>aceptable</v>
      </c>
      <c r="BB186" s="25" t="str">
        <f t="shared" si="839"/>
        <v>NO CONFORME</v>
      </c>
      <c r="BC186" s="5" t="str">
        <f t="shared" si="840"/>
        <v>NO CONFORME</v>
      </c>
      <c r="BD186" s="15">
        <f t="shared" si="819"/>
        <v>-1</v>
      </c>
      <c r="BE186" s="15">
        <f t="shared" si="820"/>
        <v>-1</v>
      </c>
      <c r="BF186" s="15">
        <f t="shared" si="821"/>
        <v>-1</v>
      </c>
      <c r="BG186" s="15" t="str">
        <f t="shared" si="822"/>
        <v>-1-1-1</v>
      </c>
      <c r="BH186" s="15" t="str">
        <f t="shared" si="823"/>
        <v>SD</v>
      </c>
      <c r="BI186" s="15" t="str">
        <f t="shared" si="824"/>
        <v>SI</v>
      </c>
      <c r="BJ186" s="15" t="b">
        <f t="shared" si="825"/>
        <v>1</v>
      </c>
      <c r="BK186" s="15" t="str">
        <f t="shared" si="826"/>
        <v>SIGIGUALES</v>
      </c>
      <c r="BL186" s="22" t="str">
        <f t="shared" si="827"/>
        <v>NO CONFORME</v>
      </c>
    </row>
    <row r="187" spans="1:64" ht="14.4" x14ac:dyDescent="0.3">
      <c r="A187" s="36">
        <v>179</v>
      </c>
      <c r="B187" s="28">
        <f t="shared" ref="B187:E187" si="1149">B186</f>
        <v>45903</v>
      </c>
      <c r="C187" s="28">
        <f t="shared" si="1149"/>
        <v>45903</v>
      </c>
      <c r="D187" s="12">
        <f t="shared" si="1149"/>
        <v>3</v>
      </c>
      <c r="E187" s="10">
        <f t="shared" si="1149"/>
        <v>11</v>
      </c>
      <c r="F187" s="13"/>
      <c r="G187" s="69"/>
      <c r="H187" s="70">
        <f t="shared" ref="H187:L187" si="1150">H186</f>
        <v>25.6</v>
      </c>
      <c r="I187" s="37">
        <f t="shared" si="1150"/>
        <v>0</v>
      </c>
      <c r="J187" s="35">
        <f t="shared" si="1150"/>
        <v>16</v>
      </c>
      <c r="K187" s="122">
        <f t="shared" si="1150"/>
        <v>8.1690000000000005</v>
      </c>
      <c r="L187" s="122">
        <f t="shared" si="1150"/>
        <v>0.879</v>
      </c>
      <c r="M187" s="126"/>
      <c r="N187" s="126"/>
      <c r="O187" s="32">
        <f t="shared" ref="O187:P187" si="1151">O186</f>
        <v>100.65</v>
      </c>
      <c r="P187" s="33" t="str">
        <f t="shared" si="1151"/>
        <v>2,31,180</v>
      </c>
      <c r="Q187" s="11" t="str">
        <f t="shared" si="893"/>
        <v>2</v>
      </c>
      <c r="R187" s="11" t="str">
        <f t="shared" si="894"/>
        <v>31,180</v>
      </c>
      <c r="S187" s="11">
        <f t="shared" si="895"/>
        <v>4.1994444444444445E-2</v>
      </c>
      <c r="T187" s="14">
        <f t="shared" si="896"/>
        <v>2396.7456012700095</v>
      </c>
      <c r="U187" s="38">
        <f t="shared" si="897"/>
        <v>-100</v>
      </c>
      <c r="V187" s="39">
        <f t="shared" ref="V187:W187" si="1152">V186</f>
        <v>19.8</v>
      </c>
      <c r="W187" s="124">
        <f t="shared" si="1152"/>
        <v>1.08</v>
      </c>
      <c r="X187" s="124">
        <f t="shared" si="1146"/>
        <v>1.075</v>
      </c>
      <c r="Y187" s="126"/>
      <c r="Z187" s="126"/>
      <c r="AA187" s="90">
        <f t="shared" ref="AA187:AB187" si="1153">AA186</f>
        <v>5.0149999999999997</v>
      </c>
      <c r="AB187" s="73" t="str">
        <f t="shared" si="1153"/>
        <v>9,05,040</v>
      </c>
      <c r="AC187" s="11" t="str">
        <f t="shared" si="900"/>
        <v>9,</v>
      </c>
      <c r="AD187" s="11" t="str">
        <f t="shared" si="901"/>
        <v>05,040</v>
      </c>
      <c r="AE187" s="11">
        <f t="shared" si="902"/>
        <v>0.15139999999999998</v>
      </c>
      <c r="AF187" s="14">
        <f t="shared" si="903"/>
        <v>33.124174372523122</v>
      </c>
      <c r="AG187" s="40">
        <f t="shared" si="904"/>
        <v>-100</v>
      </c>
      <c r="AH187" s="39">
        <f t="shared" ref="AH187:AJ202" si="1154">AH186</f>
        <v>19.600000000000001</v>
      </c>
      <c r="AI187" s="124">
        <f t="shared" si="1154"/>
        <v>1.0860000000000001</v>
      </c>
      <c r="AJ187" s="124">
        <f t="shared" si="1154"/>
        <v>1.0780000000000001</v>
      </c>
      <c r="AK187" s="126">
        <f t="shared" si="905"/>
        <v>0</v>
      </c>
      <c r="AL187" s="126"/>
      <c r="AM187" s="34">
        <f t="shared" ref="AM187:AN187" si="1155">AM186</f>
        <v>2.0059999999999998</v>
      </c>
      <c r="AN187" s="33" t="str">
        <f t="shared" si="1155"/>
        <v>5,40,620</v>
      </c>
      <c r="AO187" s="11" t="str">
        <f t="shared" si="907"/>
        <v>5,</v>
      </c>
      <c r="AP187" s="11" t="str">
        <f t="shared" si="908"/>
        <v>40,620</v>
      </c>
      <c r="AQ187" s="11">
        <f t="shared" si="909"/>
        <v>9.4616666666666668E-2</v>
      </c>
      <c r="AR187" s="14">
        <f t="shared" si="910"/>
        <v>21.201338735247486</v>
      </c>
      <c r="AS187" s="40">
        <f t="shared" si="911"/>
        <v>-100</v>
      </c>
      <c r="AT187" s="41" t="str">
        <f t="shared" si="912"/>
        <v>NO CONFORME</v>
      </c>
      <c r="AU187" s="8" t="b">
        <f t="shared" si="834"/>
        <v>1</v>
      </c>
      <c r="AV187" s="8" t="b">
        <f t="shared" si="835"/>
        <v>0</v>
      </c>
      <c r="AW187" s="8" t="b">
        <f t="shared" si="836"/>
        <v>1</v>
      </c>
      <c r="AX187" s="8" t="str">
        <f t="shared" si="837"/>
        <v>Qcorrecto</v>
      </c>
      <c r="AY187" s="22" t="str">
        <f t="shared" si="817"/>
        <v>aceptable</v>
      </c>
      <c r="AZ187" s="22" t="str">
        <f t="shared" si="818"/>
        <v>aceptable</v>
      </c>
      <c r="BA187" s="22" t="str">
        <f t="shared" si="838"/>
        <v>aceptable</v>
      </c>
      <c r="BB187" s="25" t="str">
        <f t="shared" si="839"/>
        <v>NO CONFORME</v>
      </c>
      <c r="BC187" s="5" t="str">
        <f t="shared" si="840"/>
        <v>NO CONFORME</v>
      </c>
      <c r="BD187" s="15">
        <f t="shared" si="819"/>
        <v>-1</v>
      </c>
      <c r="BE187" s="15">
        <f t="shared" si="820"/>
        <v>-1</v>
      </c>
      <c r="BF187" s="15">
        <f t="shared" si="821"/>
        <v>-1</v>
      </c>
      <c r="BG187" s="15" t="str">
        <f t="shared" si="822"/>
        <v>-1-1-1</v>
      </c>
      <c r="BH187" s="15" t="str">
        <f t="shared" si="823"/>
        <v>SD</v>
      </c>
      <c r="BI187" s="15" t="str">
        <f t="shared" si="824"/>
        <v>SI</v>
      </c>
      <c r="BJ187" s="15" t="b">
        <f t="shared" si="825"/>
        <v>1</v>
      </c>
      <c r="BK187" s="15" t="str">
        <f t="shared" si="826"/>
        <v>SIGIGUALES</v>
      </c>
      <c r="BL187" s="22" t="str">
        <f t="shared" si="827"/>
        <v>NO CONFORME</v>
      </c>
    </row>
    <row r="188" spans="1:64" ht="14.4" x14ac:dyDescent="0.3">
      <c r="A188" s="36">
        <v>180</v>
      </c>
      <c r="B188" s="28">
        <f t="shared" ref="B188:E188" si="1156">B187</f>
        <v>45903</v>
      </c>
      <c r="C188" s="28">
        <f t="shared" si="1156"/>
        <v>45903</v>
      </c>
      <c r="D188" s="12">
        <f t="shared" si="1156"/>
        <v>3</v>
      </c>
      <c r="E188" s="10">
        <f t="shared" si="1156"/>
        <v>11</v>
      </c>
      <c r="F188" s="13"/>
      <c r="G188" s="69"/>
      <c r="H188" s="70">
        <f t="shared" ref="H188:L188" si="1157">H187</f>
        <v>25.6</v>
      </c>
      <c r="I188" s="37">
        <f t="shared" si="1157"/>
        <v>0</v>
      </c>
      <c r="J188" s="35">
        <f t="shared" si="1157"/>
        <v>16</v>
      </c>
      <c r="K188" s="122">
        <f t="shared" si="1157"/>
        <v>8.1690000000000005</v>
      </c>
      <c r="L188" s="122">
        <f t="shared" si="1157"/>
        <v>0.879</v>
      </c>
      <c r="M188" s="126"/>
      <c r="N188" s="126"/>
      <c r="O188" s="32">
        <f t="shared" ref="O188:P188" si="1158">O187</f>
        <v>100.65</v>
      </c>
      <c r="P188" s="33" t="str">
        <f t="shared" si="1158"/>
        <v>2,31,180</v>
      </c>
      <c r="Q188" s="11" t="str">
        <f t="shared" si="893"/>
        <v>2</v>
      </c>
      <c r="R188" s="11" t="str">
        <f t="shared" si="894"/>
        <v>31,180</v>
      </c>
      <c r="S188" s="11">
        <f t="shared" si="895"/>
        <v>4.1994444444444445E-2</v>
      </c>
      <c r="T188" s="14">
        <f t="shared" si="896"/>
        <v>2396.7456012700095</v>
      </c>
      <c r="U188" s="38">
        <f t="shared" si="897"/>
        <v>-100</v>
      </c>
      <c r="V188" s="39">
        <f t="shared" ref="V188:W188" si="1159">V187</f>
        <v>19.8</v>
      </c>
      <c r="W188" s="124">
        <f t="shared" si="1159"/>
        <v>1.08</v>
      </c>
      <c r="X188" s="124">
        <f t="shared" si="1146"/>
        <v>1.075</v>
      </c>
      <c r="Y188" s="126"/>
      <c r="Z188" s="126"/>
      <c r="AA188" s="90">
        <f t="shared" ref="AA188:AB188" si="1160">AA187</f>
        <v>5.0149999999999997</v>
      </c>
      <c r="AB188" s="73" t="str">
        <f t="shared" si="1160"/>
        <v>9,05,040</v>
      </c>
      <c r="AC188" s="11" t="str">
        <f t="shared" si="900"/>
        <v>9,</v>
      </c>
      <c r="AD188" s="11" t="str">
        <f t="shared" si="901"/>
        <v>05,040</v>
      </c>
      <c r="AE188" s="11">
        <f t="shared" si="902"/>
        <v>0.15139999999999998</v>
      </c>
      <c r="AF188" s="14">
        <f t="shared" si="903"/>
        <v>33.124174372523122</v>
      </c>
      <c r="AG188" s="40">
        <f t="shared" si="904"/>
        <v>-100</v>
      </c>
      <c r="AH188" s="39">
        <f t="shared" si="1154"/>
        <v>19.600000000000001</v>
      </c>
      <c r="AI188" s="124">
        <f t="shared" si="1154"/>
        <v>1.0860000000000001</v>
      </c>
      <c r="AJ188" s="124">
        <f t="shared" si="1154"/>
        <v>1.0780000000000001</v>
      </c>
      <c r="AK188" s="126">
        <f t="shared" si="905"/>
        <v>0</v>
      </c>
      <c r="AL188" s="126"/>
      <c r="AM188" s="34">
        <f t="shared" ref="AM188:AN188" si="1161">AM187</f>
        <v>2.0059999999999998</v>
      </c>
      <c r="AN188" s="33" t="str">
        <f t="shared" si="1161"/>
        <v>5,40,620</v>
      </c>
      <c r="AO188" s="11" t="str">
        <f t="shared" si="907"/>
        <v>5,</v>
      </c>
      <c r="AP188" s="11" t="str">
        <f t="shared" si="908"/>
        <v>40,620</v>
      </c>
      <c r="AQ188" s="11">
        <f t="shared" si="909"/>
        <v>9.4616666666666668E-2</v>
      </c>
      <c r="AR188" s="14">
        <f t="shared" si="910"/>
        <v>21.201338735247486</v>
      </c>
      <c r="AS188" s="40">
        <f t="shared" si="911"/>
        <v>-100</v>
      </c>
      <c r="AT188" s="41" t="str">
        <f t="shared" si="912"/>
        <v>NO CONFORME</v>
      </c>
      <c r="AU188" s="8" t="b">
        <f t="shared" si="834"/>
        <v>1</v>
      </c>
      <c r="AV188" s="8" t="b">
        <f t="shared" si="835"/>
        <v>0</v>
      </c>
      <c r="AW188" s="8" t="b">
        <f t="shared" si="836"/>
        <v>1</v>
      </c>
      <c r="AX188" s="8" t="str">
        <f t="shared" si="837"/>
        <v>Qcorrecto</v>
      </c>
      <c r="AY188" s="22" t="str">
        <f t="shared" si="817"/>
        <v>aceptable</v>
      </c>
      <c r="AZ188" s="22" t="str">
        <f t="shared" si="818"/>
        <v>aceptable</v>
      </c>
      <c r="BA188" s="22" t="str">
        <f t="shared" si="838"/>
        <v>aceptable</v>
      </c>
      <c r="BB188" s="25" t="str">
        <f t="shared" si="839"/>
        <v>NO CONFORME</v>
      </c>
      <c r="BC188" s="5" t="str">
        <f t="shared" si="840"/>
        <v>NO CONFORME</v>
      </c>
      <c r="BD188" s="15">
        <f t="shared" si="819"/>
        <v>-1</v>
      </c>
      <c r="BE188" s="15">
        <f t="shared" si="820"/>
        <v>-1</v>
      </c>
      <c r="BF188" s="15">
        <f t="shared" si="821"/>
        <v>-1</v>
      </c>
      <c r="BG188" s="15" t="str">
        <f t="shared" si="822"/>
        <v>-1-1-1</v>
      </c>
      <c r="BH188" s="15" t="str">
        <f t="shared" si="823"/>
        <v>SD</v>
      </c>
      <c r="BI188" s="15" t="str">
        <f t="shared" si="824"/>
        <v>SI</v>
      </c>
      <c r="BJ188" s="15" t="b">
        <f t="shared" si="825"/>
        <v>1</v>
      </c>
      <c r="BK188" s="15" t="str">
        <f t="shared" si="826"/>
        <v>SIGIGUALES</v>
      </c>
      <c r="BL188" s="22" t="str">
        <f t="shared" si="827"/>
        <v>NO CONFORME</v>
      </c>
    </row>
    <row r="189" spans="1:64" ht="14.4" x14ac:dyDescent="0.3">
      <c r="A189" s="36">
        <v>181</v>
      </c>
      <c r="B189" s="28">
        <f t="shared" ref="B189:E189" si="1162">B188</f>
        <v>45903</v>
      </c>
      <c r="C189" s="28">
        <f t="shared" si="1162"/>
        <v>45903</v>
      </c>
      <c r="D189" s="12">
        <f t="shared" si="1162"/>
        <v>3</v>
      </c>
      <c r="E189" s="10">
        <f t="shared" si="1162"/>
        <v>11</v>
      </c>
      <c r="F189" s="13"/>
      <c r="G189" s="69"/>
      <c r="H189" s="70">
        <f t="shared" ref="H189:L189" si="1163">H188</f>
        <v>25.6</v>
      </c>
      <c r="I189" s="37">
        <f t="shared" si="1163"/>
        <v>0</v>
      </c>
      <c r="J189" s="35">
        <f t="shared" si="1163"/>
        <v>16</v>
      </c>
      <c r="K189" s="122">
        <f t="shared" si="1163"/>
        <v>8.1690000000000005</v>
      </c>
      <c r="L189" s="122">
        <f t="shared" si="1163"/>
        <v>0.879</v>
      </c>
      <c r="M189" s="126"/>
      <c r="N189" s="126"/>
      <c r="O189" s="32">
        <f t="shared" ref="O189:P189" si="1164">O188</f>
        <v>100.65</v>
      </c>
      <c r="P189" s="33" t="str">
        <f t="shared" si="1164"/>
        <v>2,31,180</v>
      </c>
      <c r="Q189" s="11" t="str">
        <f t="shared" si="893"/>
        <v>2</v>
      </c>
      <c r="R189" s="11" t="str">
        <f t="shared" si="894"/>
        <v>31,180</v>
      </c>
      <c r="S189" s="11">
        <f t="shared" si="895"/>
        <v>4.1994444444444445E-2</v>
      </c>
      <c r="T189" s="14">
        <f t="shared" si="896"/>
        <v>2396.7456012700095</v>
      </c>
      <c r="U189" s="38">
        <f t="shared" si="897"/>
        <v>-100</v>
      </c>
      <c r="V189" s="39">
        <f t="shared" ref="V189:W189" si="1165">V188</f>
        <v>19.8</v>
      </c>
      <c r="W189" s="124">
        <f t="shared" si="1165"/>
        <v>1.08</v>
      </c>
      <c r="X189" s="124">
        <f t="shared" si="1146"/>
        <v>1.075</v>
      </c>
      <c r="Y189" s="126"/>
      <c r="Z189" s="126"/>
      <c r="AA189" s="90">
        <f t="shared" ref="AA189:AB189" si="1166">AA188</f>
        <v>5.0149999999999997</v>
      </c>
      <c r="AB189" s="73" t="str">
        <f t="shared" si="1166"/>
        <v>9,05,040</v>
      </c>
      <c r="AC189" s="11" t="str">
        <f t="shared" si="900"/>
        <v>9,</v>
      </c>
      <c r="AD189" s="11" t="str">
        <f t="shared" si="901"/>
        <v>05,040</v>
      </c>
      <c r="AE189" s="11">
        <f t="shared" si="902"/>
        <v>0.15139999999999998</v>
      </c>
      <c r="AF189" s="14">
        <f t="shared" si="903"/>
        <v>33.124174372523122</v>
      </c>
      <c r="AG189" s="40">
        <f t="shared" si="904"/>
        <v>-100</v>
      </c>
      <c r="AH189" s="39">
        <f t="shared" si="1154"/>
        <v>19.600000000000001</v>
      </c>
      <c r="AI189" s="124">
        <f t="shared" si="1154"/>
        <v>1.0860000000000001</v>
      </c>
      <c r="AJ189" s="124">
        <f t="shared" si="1154"/>
        <v>1.0780000000000001</v>
      </c>
      <c r="AK189" s="126">
        <f t="shared" si="905"/>
        <v>0</v>
      </c>
      <c r="AL189" s="126"/>
      <c r="AM189" s="34">
        <f t="shared" ref="AM189:AN189" si="1167">AM188</f>
        <v>2.0059999999999998</v>
      </c>
      <c r="AN189" s="33" t="str">
        <f t="shared" si="1167"/>
        <v>5,40,620</v>
      </c>
      <c r="AO189" s="11" t="str">
        <f t="shared" si="907"/>
        <v>5,</v>
      </c>
      <c r="AP189" s="11" t="str">
        <f t="shared" si="908"/>
        <v>40,620</v>
      </c>
      <c r="AQ189" s="11">
        <f t="shared" si="909"/>
        <v>9.4616666666666668E-2</v>
      </c>
      <c r="AR189" s="14">
        <f t="shared" si="910"/>
        <v>21.201338735247486</v>
      </c>
      <c r="AS189" s="40">
        <f t="shared" si="911"/>
        <v>-100</v>
      </c>
      <c r="AT189" s="41" t="str">
        <f t="shared" si="912"/>
        <v>NO CONFORME</v>
      </c>
      <c r="AU189" s="8" t="b">
        <f t="shared" si="834"/>
        <v>1</v>
      </c>
      <c r="AV189" s="8" t="b">
        <f t="shared" si="835"/>
        <v>0</v>
      </c>
      <c r="AW189" s="8" t="b">
        <f t="shared" si="836"/>
        <v>1</v>
      </c>
      <c r="AX189" s="8" t="str">
        <f t="shared" si="837"/>
        <v>Qcorrecto</v>
      </c>
      <c r="AY189" s="22" t="str">
        <f t="shared" si="817"/>
        <v>aceptable</v>
      </c>
      <c r="AZ189" s="22" t="str">
        <f t="shared" si="818"/>
        <v>aceptable</v>
      </c>
      <c r="BA189" s="22" t="str">
        <f t="shared" si="838"/>
        <v>aceptable</v>
      </c>
      <c r="BB189" s="25" t="str">
        <f t="shared" si="839"/>
        <v>NO CONFORME</v>
      </c>
      <c r="BC189" s="5" t="str">
        <f t="shared" si="840"/>
        <v>NO CONFORME</v>
      </c>
      <c r="BD189" s="15">
        <f t="shared" si="819"/>
        <v>-1</v>
      </c>
      <c r="BE189" s="15">
        <f t="shared" si="820"/>
        <v>-1</v>
      </c>
      <c r="BF189" s="15">
        <f t="shared" si="821"/>
        <v>-1</v>
      </c>
      <c r="BG189" s="15" t="str">
        <f t="shared" si="822"/>
        <v>-1-1-1</v>
      </c>
      <c r="BH189" s="15" t="str">
        <f t="shared" si="823"/>
        <v>SD</v>
      </c>
      <c r="BI189" s="15" t="str">
        <f t="shared" si="824"/>
        <v>SI</v>
      </c>
      <c r="BJ189" s="15" t="b">
        <f t="shared" si="825"/>
        <v>1</v>
      </c>
      <c r="BK189" s="15" t="str">
        <f t="shared" si="826"/>
        <v>SIGIGUALES</v>
      </c>
      <c r="BL189" s="22" t="str">
        <f t="shared" si="827"/>
        <v>NO CONFORME</v>
      </c>
    </row>
    <row r="190" spans="1:64" ht="14.4" x14ac:dyDescent="0.3">
      <c r="A190" s="36">
        <v>182</v>
      </c>
      <c r="B190" s="28">
        <f t="shared" ref="B190:E190" si="1168">B189</f>
        <v>45903</v>
      </c>
      <c r="C190" s="28">
        <f t="shared" si="1168"/>
        <v>45903</v>
      </c>
      <c r="D190" s="12">
        <f t="shared" si="1168"/>
        <v>3</v>
      </c>
      <c r="E190" s="10">
        <f t="shared" si="1168"/>
        <v>11</v>
      </c>
      <c r="F190" s="13"/>
      <c r="G190" s="69"/>
      <c r="H190" s="70">
        <f t="shared" ref="H190:L190" si="1169">H189</f>
        <v>25.6</v>
      </c>
      <c r="I190" s="37">
        <f t="shared" si="1169"/>
        <v>0</v>
      </c>
      <c r="J190" s="35">
        <f t="shared" si="1169"/>
        <v>16</v>
      </c>
      <c r="K190" s="122">
        <f t="shared" si="1169"/>
        <v>8.1690000000000005</v>
      </c>
      <c r="L190" s="122">
        <f t="shared" si="1169"/>
        <v>0.879</v>
      </c>
      <c r="M190" s="126"/>
      <c r="N190" s="126"/>
      <c r="O190" s="32">
        <f t="shared" ref="O190:P190" si="1170">O189</f>
        <v>100.65</v>
      </c>
      <c r="P190" s="33" t="str">
        <f t="shared" si="1170"/>
        <v>2,31,180</v>
      </c>
      <c r="Q190" s="11" t="str">
        <f t="shared" si="893"/>
        <v>2</v>
      </c>
      <c r="R190" s="11" t="str">
        <f t="shared" si="894"/>
        <v>31,180</v>
      </c>
      <c r="S190" s="11">
        <f t="shared" si="895"/>
        <v>4.1994444444444445E-2</v>
      </c>
      <c r="T190" s="14">
        <f t="shared" si="896"/>
        <v>2396.7456012700095</v>
      </c>
      <c r="U190" s="38">
        <f t="shared" si="897"/>
        <v>-100</v>
      </c>
      <c r="V190" s="39">
        <f t="shared" ref="V190:W190" si="1171">V189</f>
        <v>19.8</v>
      </c>
      <c r="W190" s="124">
        <f t="shared" si="1171"/>
        <v>1.08</v>
      </c>
      <c r="X190" s="124">
        <f t="shared" si="1146"/>
        <v>1.075</v>
      </c>
      <c r="Y190" s="126"/>
      <c r="Z190" s="126"/>
      <c r="AA190" s="90">
        <f t="shared" ref="AA190:AB190" si="1172">AA189</f>
        <v>5.0149999999999997</v>
      </c>
      <c r="AB190" s="73" t="str">
        <f t="shared" si="1172"/>
        <v>9,05,040</v>
      </c>
      <c r="AC190" s="11" t="str">
        <f t="shared" si="900"/>
        <v>9,</v>
      </c>
      <c r="AD190" s="11" t="str">
        <f t="shared" si="901"/>
        <v>05,040</v>
      </c>
      <c r="AE190" s="11">
        <f t="shared" si="902"/>
        <v>0.15139999999999998</v>
      </c>
      <c r="AF190" s="14">
        <f t="shared" si="903"/>
        <v>33.124174372523122</v>
      </c>
      <c r="AG190" s="40">
        <f t="shared" si="904"/>
        <v>-100</v>
      </c>
      <c r="AH190" s="39">
        <f t="shared" si="1154"/>
        <v>19.600000000000001</v>
      </c>
      <c r="AI190" s="124">
        <f t="shared" si="1154"/>
        <v>1.0860000000000001</v>
      </c>
      <c r="AJ190" s="124">
        <f t="shared" si="1154"/>
        <v>1.0780000000000001</v>
      </c>
      <c r="AK190" s="126">
        <f t="shared" si="905"/>
        <v>0</v>
      </c>
      <c r="AL190" s="126"/>
      <c r="AM190" s="34">
        <f t="shared" ref="AM190:AN190" si="1173">AM189</f>
        <v>2.0059999999999998</v>
      </c>
      <c r="AN190" s="33" t="str">
        <f t="shared" si="1173"/>
        <v>5,40,620</v>
      </c>
      <c r="AO190" s="11" t="str">
        <f t="shared" si="907"/>
        <v>5,</v>
      </c>
      <c r="AP190" s="11" t="str">
        <f t="shared" si="908"/>
        <v>40,620</v>
      </c>
      <c r="AQ190" s="11">
        <f t="shared" si="909"/>
        <v>9.4616666666666668E-2</v>
      </c>
      <c r="AR190" s="14">
        <f t="shared" si="910"/>
        <v>21.201338735247486</v>
      </c>
      <c r="AS190" s="40">
        <f t="shared" si="911"/>
        <v>-100</v>
      </c>
      <c r="AT190" s="41" t="str">
        <f t="shared" si="912"/>
        <v>NO CONFORME</v>
      </c>
      <c r="AU190" s="8" t="b">
        <f t="shared" si="834"/>
        <v>1</v>
      </c>
      <c r="AV190" s="8" t="b">
        <f t="shared" si="835"/>
        <v>0</v>
      </c>
      <c r="AW190" s="8" t="b">
        <f t="shared" si="836"/>
        <v>1</v>
      </c>
      <c r="AX190" s="8" t="str">
        <f t="shared" si="837"/>
        <v>Qcorrecto</v>
      </c>
      <c r="AY190" s="22" t="str">
        <f t="shared" si="817"/>
        <v>aceptable</v>
      </c>
      <c r="AZ190" s="22" t="str">
        <f t="shared" si="818"/>
        <v>aceptable</v>
      </c>
      <c r="BA190" s="22" t="str">
        <f t="shared" si="838"/>
        <v>aceptable</v>
      </c>
      <c r="BB190" s="25" t="str">
        <f t="shared" si="839"/>
        <v>NO CONFORME</v>
      </c>
      <c r="BC190" s="5" t="str">
        <f t="shared" si="840"/>
        <v>NO CONFORME</v>
      </c>
      <c r="BD190" s="15">
        <f t="shared" si="819"/>
        <v>-1</v>
      </c>
      <c r="BE190" s="15">
        <f t="shared" si="820"/>
        <v>-1</v>
      </c>
      <c r="BF190" s="15">
        <f t="shared" si="821"/>
        <v>-1</v>
      </c>
      <c r="BG190" s="15" t="str">
        <f t="shared" si="822"/>
        <v>-1-1-1</v>
      </c>
      <c r="BH190" s="15" t="str">
        <f t="shared" si="823"/>
        <v>SD</v>
      </c>
      <c r="BI190" s="15" t="str">
        <f t="shared" si="824"/>
        <v>SI</v>
      </c>
      <c r="BJ190" s="15" t="b">
        <f t="shared" si="825"/>
        <v>1</v>
      </c>
      <c r="BK190" s="15" t="str">
        <f t="shared" si="826"/>
        <v>SIGIGUALES</v>
      </c>
      <c r="BL190" s="22" t="str">
        <f t="shared" si="827"/>
        <v>NO CONFORME</v>
      </c>
    </row>
    <row r="191" spans="1:64" ht="14.4" x14ac:dyDescent="0.3">
      <c r="A191" s="36">
        <v>183</v>
      </c>
      <c r="B191" s="28">
        <f t="shared" ref="B191:E191" si="1174">B190</f>
        <v>45903</v>
      </c>
      <c r="C191" s="28">
        <f t="shared" si="1174"/>
        <v>45903</v>
      </c>
      <c r="D191" s="12">
        <f t="shared" si="1174"/>
        <v>3</v>
      </c>
      <c r="E191" s="10">
        <f t="shared" si="1174"/>
        <v>11</v>
      </c>
      <c r="F191" s="13"/>
      <c r="G191" s="69"/>
      <c r="H191" s="70">
        <f t="shared" ref="H191:L191" si="1175">H190</f>
        <v>25.6</v>
      </c>
      <c r="I191" s="37">
        <f t="shared" si="1175"/>
        <v>0</v>
      </c>
      <c r="J191" s="35">
        <f t="shared" si="1175"/>
        <v>16</v>
      </c>
      <c r="K191" s="122">
        <f t="shared" si="1175"/>
        <v>8.1690000000000005</v>
      </c>
      <c r="L191" s="122">
        <f t="shared" si="1175"/>
        <v>0.879</v>
      </c>
      <c r="M191" s="126"/>
      <c r="N191" s="126"/>
      <c r="O191" s="32">
        <f t="shared" ref="O191:P191" si="1176">O190</f>
        <v>100.65</v>
      </c>
      <c r="P191" s="33" t="str">
        <f t="shared" si="1176"/>
        <v>2,31,180</v>
      </c>
      <c r="Q191" s="11" t="str">
        <f t="shared" si="893"/>
        <v>2</v>
      </c>
      <c r="R191" s="11" t="str">
        <f t="shared" si="894"/>
        <v>31,180</v>
      </c>
      <c r="S191" s="11">
        <f t="shared" si="895"/>
        <v>4.1994444444444445E-2</v>
      </c>
      <c r="T191" s="14">
        <f t="shared" si="896"/>
        <v>2396.7456012700095</v>
      </c>
      <c r="U191" s="38">
        <f t="shared" si="897"/>
        <v>-100</v>
      </c>
      <c r="V191" s="39">
        <f t="shared" ref="V191:W191" si="1177">V190</f>
        <v>19.8</v>
      </c>
      <c r="W191" s="124">
        <f t="shared" si="1177"/>
        <v>1.08</v>
      </c>
      <c r="X191" s="124">
        <f t="shared" si="1146"/>
        <v>1.075</v>
      </c>
      <c r="Y191" s="126"/>
      <c r="Z191" s="126"/>
      <c r="AA191" s="90">
        <f t="shared" ref="AA191:AB191" si="1178">AA190</f>
        <v>5.0149999999999997</v>
      </c>
      <c r="AB191" s="73" t="str">
        <f t="shared" si="1178"/>
        <v>9,05,040</v>
      </c>
      <c r="AC191" s="11" t="str">
        <f t="shared" si="900"/>
        <v>9,</v>
      </c>
      <c r="AD191" s="11" t="str">
        <f t="shared" si="901"/>
        <v>05,040</v>
      </c>
      <c r="AE191" s="11">
        <f t="shared" si="902"/>
        <v>0.15139999999999998</v>
      </c>
      <c r="AF191" s="14">
        <f t="shared" si="903"/>
        <v>33.124174372523122</v>
      </c>
      <c r="AG191" s="40">
        <f t="shared" si="904"/>
        <v>-100</v>
      </c>
      <c r="AH191" s="39">
        <f t="shared" si="1154"/>
        <v>19.600000000000001</v>
      </c>
      <c r="AI191" s="124">
        <f t="shared" si="1154"/>
        <v>1.0860000000000001</v>
      </c>
      <c r="AJ191" s="124">
        <f t="shared" si="1154"/>
        <v>1.0780000000000001</v>
      </c>
      <c r="AK191" s="126">
        <f t="shared" si="905"/>
        <v>0</v>
      </c>
      <c r="AL191" s="126"/>
      <c r="AM191" s="34">
        <f t="shared" ref="AM191:AN191" si="1179">AM190</f>
        <v>2.0059999999999998</v>
      </c>
      <c r="AN191" s="33" t="str">
        <f t="shared" si="1179"/>
        <v>5,40,620</v>
      </c>
      <c r="AO191" s="11" t="str">
        <f t="shared" si="907"/>
        <v>5,</v>
      </c>
      <c r="AP191" s="11" t="str">
        <f t="shared" si="908"/>
        <v>40,620</v>
      </c>
      <c r="AQ191" s="11">
        <f t="shared" si="909"/>
        <v>9.4616666666666668E-2</v>
      </c>
      <c r="AR191" s="14">
        <f t="shared" si="910"/>
        <v>21.201338735247486</v>
      </c>
      <c r="AS191" s="40">
        <f t="shared" si="911"/>
        <v>-100</v>
      </c>
      <c r="AT191" s="41" t="str">
        <f t="shared" si="912"/>
        <v>NO CONFORME</v>
      </c>
      <c r="AU191" s="8" t="b">
        <f t="shared" si="834"/>
        <v>1</v>
      </c>
      <c r="AV191" s="8" t="b">
        <f t="shared" si="835"/>
        <v>0</v>
      </c>
      <c r="AW191" s="8" t="b">
        <f t="shared" si="836"/>
        <v>1</v>
      </c>
      <c r="AX191" s="8" t="str">
        <f t="shared" si="837"/>
        <v>Qcorrecto</v>
      </c>
      <c r="AY191" s="22" t="str">
        <f t="shared" si="817"/>
        <v>aceptable</v>
      </c>
      <c r="AZ191" s="22" t="str">
        <f t="shared" si="818"/>
        <v>aceptable</v>
      </c>
      <c r="BA191" s="22" t="str">
        <f t="shared" si="838"/>
        <v>aceptable</v>
      </c>
      <c r="BB191" s="25" t="str">
        <f t="shared" si="839"/>
        <v>NO CONFORME</v>
      </c>
      <c r="BC191" s="5" t="str">
        <f t="shared" si="840"/>
        <v>NO CONFORME</v>
      </c>
      <c r="BD191" s="15">
        <f t="shared" si="819"/>
        <v>-1</v>
      </c>
      <c r="BE191" s="15">
        <f t="shared" si="820"/>
        <v>-1</v>
      </c>
      <c r="BF191" s="15">
        <f t="shared" si="821"/>
        <v>-1</v>
      </c>
      <c r="BG191" s="15" t="str">
        <f t="shared" si="822"/>
        <v>-1-1-1</v>
      </c>
      <c r="BH191" s="15" t="str">
        <f t="shared" si="823"/>
        <v>SD</v>
      </c>
      <c r="BI191" s="15" t="str">
        <f t="shared" si="824"/>
        <v>SI</v>
      </c>
      <c r="BJ191" s="15" t="b">
        <f t="shared" si="825"/>
        <v>1</v>
      </c>
      <c r="BK191" s="15" t="str">
        <f t="shared" si="826"/>
        <v>SIGIGUALES</v>
      </c>
      <c r="BL191" s="22" t="str">
        <f t="shared" si="827"/>
        <v>NO CONFORME</v>
      </c>
    </row>
    <row r="192" spans="1:64" ht="14.4" x14ac:dyDescent="0.3">
      <c r="A192" s="36">
        <v>184</v>
      </c>
      <c r="B192" s="28">
        <f t="shared" ref="B192:E192" si="1180">B191</f>
        <v>45903</v>
      </c>
      <c r="C192" s="28">
        <f t="shared" si="1180"/>
        <v>45903</v>
      </c>
      <c r="D192" s="12">
        <f t="shared" si="1180"/>
        <v>3</v>
      </c>
      <c r="E192" s="10">
        <f t="shared" si="1180"/>
        <v>11</v>
      </c>
      <c r="F192" s="13"/>
      <c r="G192" s="69"/>
      <c r="H192" s="70">
        <f t="shared" ref="H192:L192" si="1181">H191</f>
        <v>25.6</v>
      </c>
      <c r="I192" s="37">
        <f t="shared" si="1181"/>
        <v>0</v>
      </c>
      <c r="J192" s="35">
        <f t="shared" si="1181"/>
        <v>16</v>
      </c>
      <c r="K192" s="122">
        <f t="shared" si="1181"/>
        <v>8.1690000000000005</v>
      </c>
      <c r="L192" s="122">
        <f t="shared" si="1181"/>
        <v>0.879</v>
      </c>
      <c r="M192" s="126"/>
      <c r="N192" s="126"/>
      <c r="O192" s="32">
        <f t="shared" ref="O192:P192" si="1182">O191</f>
        <v>100.65</v>
      </c>
      <c r="P192" s="33" t="str">
        <f t="shared" si="1182"/>
        <v>2,31,180</v>
      </c>
      <c r="Q192" s="11" t="str">
        <f t="shared" si="893"/>
        <v>2</v>
      </c>
      <c r="R192" s="11" t="str">
        <f t="shared" si="894"/>
        <v>31,180</v>
      </c>
      <c r="S192" s="11">
        <f t="shared" si="895"/>
        <v>4.1994444444444445E-2</v>
      </c>
      <c r="T192" s="14">
        <f t="shared" si="896"/>
        <v>2396.7456012700095</v>
      </c>
      <c r="U192" s="38">
        <f t="shared" si="897"/>
        <v>-100</v>
      </c>
      <c r="V192" s="39">
        <f t="shared" ref="V192:W192" si="1183">V191</f>
        <v>19.8</v>
      </c>
      <c r="W192" s="124">
        <f t="shared" si="1183"/>
        <v>1.08</v>
      </c>
      <c r="X192" s="124">
        <f t="shared" si="1146"/>
        <v>1.075</v>
      </c>
      <c r="Y192" s="126"/>
      <c r="Z192" s="126"/>
      <c r="AA192" s="90">
        <f t="shared" ref="AA192:AB192" si="1184">AA191</f>
        <v>5.0149999999999997</v>
      </c>
      <c r="AB192" s="73" t="str">
        <f t="shared" si="1184"/>
        <v>9,05,040</v>
      </c>
      <c r="AC192" s="11" t="str">
        <f t="shared" si="900"/>
        <v>9,</v>
      </c>
      <c r="AD192" s="11" t="str">
        <f t="shared" si="901"/>
        <v>05,040</v>
      </c>
      <c r="AE192" s="11">
        <f t="shared" si="902"/>
        <v>0.15139999999999998</v>
      </c>
      <c r="AF192" s="14">
        <f t="shared" si="903"/>
        <v>33.124174372523122</v>
      </c>
      <c r="AG192" s="40">
        <f t="shared" si="904"/>
        <v>-100</v>
      </c>
      <c r="AH192" s="39">
        <f t="shared" si="1154"/>
        <v>19.600000000000001</v>
      </c>
      <c r="AI192" s="124">
        <f t="shared" si="1154"/>
        <v>1.0860000000000001</v>
      </c>
      <c r="AJ192" s="124">
        <f t="shared" si="1154"/>
        <v>1.0780000000000001</v>
      </c>
      <c r="AK192" s="126">
        <f t="shared" si="905"/>
        <v>0</v>
      </c>
      <c r="AL192" s="126"/>
      <c r="AM192" s="34">
        <f t="shared" ref="AM192:AN192" si="1185">AM191</f>
        <v>2.0059999999999998</v>
      </c>
      <c r="AN192" s="33" t="str">
        <f t="shared" si="1185"/>
        <v>5,40,620</v>
      </c>
      <c r="AO192" s="11" t="str">
        <f t="shared" si="907"/>
        <v>5,</v>
      </c>
      <c r="AP192" s="11" t="str">
        <f t="shared" si="908"/>
        <v>40,620</v>
      </c>
      <c r="AQ192" s="11">
        <f t="shared" si="909"/>
        <v>9.4616666666666668E-2</v>
      </c>
      <c r="AR192" s="14">
        <f t="shared" si="910"/>
        <v>21.201338735247486</v>
      </c>
      <c r="AS192" s="40">
        <f t="shared" si="911"/>
        <v>-100</v>
      </c>
      <c r="AT192" s="41" t="str">
        <f t="shared" si="912"/>
        <v>NO CONFORME</v>
      </c>
      <c r="AU192" s="8" t="b">
        <f t="shared" si="834"/>
        <v>1</v>
      </c>
      <c r="AV192" s="8" t="b">
        <f t="shared" si="835"/>
        <v>0</v>
      </c>
      <c r="AW192" s="8" t="b">
        <f t="shared" si="836"/>
        <v>1</v>
      </c>
      <c r="AX192" s="8" t="str">
        <f t="shared" si="837"/>
        <v>Qcorrecto</v>
      </c>
      <c r="AY192" s="22" t="str">
        <f t="shared" si="817"/>
        <v>aceptable</v>
      </c>
      <c r="AZ192" s="22" t="str">
        <f t="shared" si="818"/>
        <v>aceptable</v>
      </c>
      <c r="BA192" s="22" t="str">
        <f t="shared" si="838"/>
        <v>aceptable</v>
      </c>
      <c r="BB192" s="25" t="str">
        <f t="shared" si="839"/>
        <v>NO CONFORME</v>
      </c>
      <c r="BC192" s="5" t="str">
        <f t="shared" si="840"/>
        <v>NO CONFORME</v>
      </c>
      <c r="BD192" s="15">
        <f t="shared" si="819"/>
        <v>-1</v>
      </c>
      <c r="BE192" s="15">
        <f t="shared" si="820"/>
        <v>-1</v>
      </c>
      <c r="BF192" s="15">
        <f t="shared" si="821"/>
        <v>-1</v>
      </c>
      <c r="BG192" s="15" t="str">
        <f t="shared" si="822"/>
        <v>-1-1-1</v>
      </c>
      <c r="BH192" s="15" t="str">
        <f t="shared" si="823"/>
        <v>SD</v>
      </c>
      <c r="BI192" s="15" t="str">
        <f t="shared" si="824"/>
        <v>SI</v>
      </c>
      <c r="BJ192" s="15" t="b">
        <f t="shared" si="825"/>
        <v>1</v>
      </c>
      <c r="BK192" s="15" t="str">
        <f t="shared" si="826"/>
        <v>SIGIGUALES</v>
      </c>
      <c r="BL192" s="22" t="str">
        <f t="shared" si="827"/>
        <v>NO CONFORME</v>
      </c>
    </row>
    <row r="193" spans="1:64" ht="14.4" x14ac:dyDescent="0.3">
      <c r="A193" s="36">
        <v>185</v>
      </c>
      <c r="B193" s="28">
        <f t="shared" ref="B193:E193" si="1186">B192</f>
        <v>45903</v>
      </c>
      <c r="C193" s="28">
        <f t="shared" si="1186"/>
        <v>45903</v>
      </c>
      <c r="D193" s="12">
        <f t="shared" si="1186"/>
        <v>3</v>
      </c>
      <c r="E193" s="10">
        <f t="shared" si="1186"/>
        <v>11</v>
      </c>
      <c r="F193" s="13"/>
      <c r="G193" s="69"/>
      <c r="H193" s="70">
        <f t="shared" ref="H193:L193" si="1187">H192</f>
        <v>25.6</v>
      </c>
      <c r="I193" s="37">
        <f t="shared" si="1187"/>
        <v>0</v>
      </c>
      <c r="J193" s="35">
        <f t="shared" si="1187"/>
        <v>16</v>
      </c>
      <c r="K193" s="122">
        <f t="shared" si="1187"/>
        <v>8.1690000000000005</v>
      </c>
      <c r="L193" s="122">
        <f t="shared" si="1187"/>
        <v>0.879</v>
      </c>
      <c r="M193" s="126"/>
      <c r="N193" s="126"/>
      <c r="O193" s="32">
        <f t="shared" ref="O193:P193" si="1188">O192</f>
        <v>100.65</v>
      </c>
      <c r="P193" s="33" t="str">
        <f t="shared" si="1188"/>
        <v>2,31,180</v>
      </c>
      <c r="Q193" s="11" t="str">
        <f t="shared" si="893"/>
        <v>2</v>
      </c>
      <c r="R193" s="11" t="str">
        <f t="shared" si="894"/>
        <v>31,180</v>
      </c>
      <c r="S193" s="11">
        <f t="shared" si="895"/>
        <v>4.1994444444444445E-2</v>
      </c>
      <c r="T193" s="14">
        <f t="shared" si="896"/>
        <v>2396.7456012700095</v>
      </c>
      <c r="U193" s="38">
        <f t="shared" si="897"/>
        <v>-100</v>
      </c>
      <c r="V193" s="39">
        <f t="shared" ref="V193:W193" si="1189">V192</f>
        <v>19.8</v>
      </c>
      <c r="W193" s="124">
        <f t="shared" si="1189"/>
        <v>1.08</v>
      </c>
      <c r="X193" s="124">
        <f t="shared" si="1146"/>
        <v>1.075</v>
      </c>
      <c r="Y193" s="126"/>
      <c r="Z193" s="126"/>
      <c r="AA193" s="90">
        <f t="shared" ref="AA193:AB193" si="1190">AA192</f>
        <v>5.0149999999999997</v>
      </c>
      <c r="AB193" s="73" t="str">
        <f t="shared" si="1190"/>
        <v>9,05,040</v>
      </c>
      <c r="AC193" s="11" t="str">
        <f t="shared" si="900"/>
        <v>9,</v>
      </c>
      <c r="AD193" s="11" t="str">
        <f t="shared" si="901"/>
        <v>05,040</v>
      </c>
      <c r="AE193" s="11">
        <f t="shared" si="902"/>
        <v>0.15139999999999998</v>
      </c>
      <c r="AF193" s="14">
        <f t="shared" si="903"/>
        <v>33.124174372523122</v>
      </c>
      <c r="AG193" s="40">
        <f t="shared" si="904"/>
        <v>-100</v>
      </c>
      <c r="AH193" s="39">
        <f t="shared" si="1154"/>
        <v>19.600000000000001</v>
      </c>
      <c r="AI193" s="124">
        <f t="shared" si="1154"/>
        <v>1.0860000000000001</v>
      </c>
      <c r="AJ193" s="124">
        <f t="shared" si="1154"/>
        <v>1.0780000000000001</v>
      </c>
      <c r="AK193" s="126">
        <f t="shared" si="905"/>
        <v>0</v>
      </c>
      <c r="AL193" s="126"/>
      <c r="AM193" s="34">
        <f t="shared" ref="AM193:AN193" si="1191">AM192</f>
        <v>2.0059999999999998</v>
      </c>
      <c r="AN193" s="33" t="str">
        <f t="shared" si="1191"/>
        <v>5,40,620</v>
      </c>
      <c r="AO193" s="11" t="str">
        <f t="shared" si="907"/>
        <v>5,</v>
      </c>
      <c r="AP193" s="11" t="str">
        <f t="shared" si="908"/>
        <v>40,620</v>
      </c>
      <c r="AQ193" s="11">
        <f t="shared" si="909"/>
        <v>9.4616666666666668E-2</v>
      </c>
      <c r="AR193" s="14">
        <f t="shared" si="910"/>
        <v>21.201338735247486</v>
      </c>
      <c r="AS193" s="40">
        <f t="shared" si="911"/>
        <v>-100</v>
      </c>
      <c r="AT193" s="41" t="str">
        <f t="shared" si="912"/>
        <v>NO CONFORME</v>
      </c>
      <c r="AU193" s="8" t="b">
        <f t="shared" si="834"/>
        <v>1</v>
      </c>
      <c r="AV193" s="8" t="b">
        <f t="shared" si="835"/>
        <v>0</v>
      </c>
      <c r="AW193" s="8" t="b">
        <f t="shared" si="836"/>
        <v>1</v>
      </c>
      <c r="AX193" s="8" t="str">
        <f t="shared" si="837"/>
        <v>Qcorrecto</v>
      </c>
      <c r="AY193" s="22" t="str">
        <f t="shared" si="817"/>
        <v>aceptable</v>
      </c>
      <c r="AZ193" s="22" t="str">
        <f t="shared" si="818"/>
        <v>aceptable</v>
      </c>
      <c r="BA193" s="22" t="str">
        <f t="shared" si="838"/>
        <v>aceptable</v>
      </c>
      <c r="BB193" s="25" t="str">
        <f t="shared" si="839"/>
        <v>NO CONFORME</v>
      </c>
      <c r="BC193" s="5" t="str">
        <f t="shared" si="840"/>
        <v>NO CONFORME</v>
      </c>
      <c r="BD193" s="15">
        <f t="shared" si="819"/>
        <v>-1</v>
      </c>
      <c r="BE193" s="15">
        <f t="shared" si="820"/>
        <v>-1</v>
      </c>
      <c r="BF193" s="15">
        <f t="shared" si="821"/>
        <v>-1</v>
      </c>
      <c r="BG193" s="15" t="str">
        <f t="shared" si="822"/>
        <v>-1-1-1</v>
      </c>
      <c r="BH193" s="15" t="str">
        <f t="shared" si="823"/>
        <v>SD</v>
      </c>
      <c r="BI193" s="15" t="str">
        <f t="shared" si="824"/>
        <v>SI</v>
      </c>
      <c r="BJ193" s="15" t="b">
        <f t="shared" si="825"/>
        <v>1</v>
      </c>
      <c r="BK193" s="15" t="str">
        <f t="shared" si="826"/>
        <v>SIGIGUALES</v>
      </c>
      <c r="BL193" s="22" t="str">
        <f t="shared" si="827"/>
        <v>NO CONFORME</v>
      </c>
    </row>
    <row r="194" spans="1:64" ht="14.4" x14ac:dyDescent="0.3">
      <c r="A194" s="36">
        <v>186</v>
      </c>
      <c r="B194" s="28">
        <f t="shared" ref="B194:E194" si="1192">B193</f>
        <v>45903</v>
      </c>
      <c r="C194" s="28">
        <f t="shared" si="1192"/>
        <v>45903</v>
      </c>
      <c r="D194" s="12">
        <f t="shared" si="1192"/>
        <v>3</v>
      </c>
      <c r="E194" s="10">
        <f t="shared" si="1192"/>
        <v>11</v>
      </c>
      <c r="F194" s="13"/>
      <c r="G194" s="69"/>
      <c r="H194" s="70">
        <f t="shared" ref="H194:L194" si="1193">H193</f>
        <v>25.6</v>
      </c>
      <c r="I194" s="37">
        <f t="shared" si="1193"/>
        <v>0</v>
      </c>
      <c r="J194" s="35">
        <f t="shared" si="1193"/>
        <v>16</v>
      </c>
      <c r="K194" s="122">
        <f t="shared" si="1193"/>
        <v>8.1690000000000005</v>
      </c>
      <c r="L194" s="122">
        <f t="shared" si="1193"/>
        <v>0.879</v>
      </c>
      <c r="M194" s="126"/>
      <c r="N194" s="126"/>
      <c r="O194" s="32">
        <f t="shared" ref="O194:P194" si="1194">O193</f>
        <v>100.65</v>
      </c>
      <c r="P194" s="33" t="str">
        <f t="shared" si="1194"/>
        <v>2,31,180</v>
      </c>
      <c r="Q194" s="11" t="str">
        <f t="shared" si="893"/>
        <v>2</v>
      </c>
      <c r="R194" s="11" t="str">
        <f t="shared" si="894"/>
        <v>31,180</v>
      </c>
      <c r="S194" s="11">
        <f t="shared" si="895"/>
        <v>4.1994444444444445E-2</v>
      </c>
      <c r="T194" s="14">
        <f t="shared" si="896"/>
        <v>2396.7456012700095</v>
      </c>
      <c r="U194" s="38">
        <f t="shared" si="897"/>
        <v>-100</v>
      </c>
      <c r="V194" s="39">
        <f t="shared" ref="V194:W194" si="1195">V193</f>
        <v>19.8</v>
      </c>
      <c r="W194" s="124">
        <f t="shared" si="1195"/>
        <v>1.08</v>
      </c>
      <c r="X194" s="124">
        <f t="shared" si="1146"/>
        <v>1.075</v>
      </c>
      <c r="Y194" s="126"/>
      <c r="Z194" s="126"/>
      <c r="AA194" s="90">
        <f t="shared" ref="AA194:AB194" si="1196">AA193</f>
        <v>5.0149999999999997</v>
      </c>
      <c r="AB194" s="73" t="str">
        <f t="shared" si="1196"/>
        <v>9,05,040</v>
      </c>
      <c r="AC194" s="11" t="str">
        <f t="shared" si="900"/>
        <v>9,</v>
      </c>
      <c r="AD194" s="11" t="str">
        <f t="shared" si="901"/>
        <v>05,040</v>
      </c>
      <c r="AE194" s="11">
        <f t="shared" si="902"/>
        <v>0.15139999999999998</v>
      </c>
      <c r="AF194" s="14">
        <f t="shared" si="903"/>
        <v>33.124174372523122</v>
      </c>
      <c r="AG194" s="40">
        <f t="shared" si="904"/>
        <v>-100</v>
      </c>
      <c r="AH194" s="39">
        <f t="shared" si="1154"/>
        <v>19.600000000000001</v>
      </c>
      <c r="AI194" s="124">
        <f t="shared" si="1154"/>
        <v>1.0860000000000001</v>
      </c>
      <c r="AJ194" s="124">
        <f t="shared" si="1154"/>
        <v>1.0780000000000001</v>
      </c>
      <c r="AK194" s="126">
        <f t="shared" si="905"/>
        <v>0</v>
      </c>
      <c r="AL194" s="126"/>
      <c r="AM194" s="34">
        <f t="shared" ref="AM194:AN194" si="1197">AM193</f>
        <v>2.0059999999999998</v>
      </c>
      <c r="AN194" s="33" t="str">
        <f t="shared" si="1197"/>
        <v>5,40,620</v>
      </c>
      <c r="AO194" s="11" t="str">
        <f t="shared" si="907"/>
        <v>5,</v>
      </c>
      <c r="AP194" s="11" t="str">
        <f t="shared" si="908"/>
        <v>40,620</v>
      </c>
      <c r="AQ194" s="11">
        <f t="shared" si="909"/>
        <v>9.4616666666666668E-2</v>
      </c>
      <c r="AR194" s="14">
        <f t="shared" si="910"/>
        <v>21.201338735247486</v>
      </c>
      <c r="AS194" s="40">
        <f t="shared" si="911"/>
        <v>-100</v>
      </c>
      <c r="AT194" s="41" t="str">
        <f t="shared" si="912"/>
        <v>NO CONFORME</v>
      </c>
      <c r="AU194" s="8" t="b">
        <f t="shared" si="834"/>
        <v>1</v>
      </c>
      <c r="AV194" s="8" t="b">
        <f t="shared" si="835"/>
        <v>0</v>
      </c>
      <c r="AW194" s="8" t="b">
        <f t="shared" si="836"/>
        <v>1</v>
      </c>
      <c r="AX194" s="8" t="str">
        <f t="shared" si="837"/>
        <v>Qcorrecto</v>
      </c>
      <c r="AY194" s="22" t="str">
        <f t="shared" si="817"/>
        <v>aceptable</v>
      </c>
      <c r="AZ194" s="22" t="str">
        <f t="shared" si="818"/>
        <v>aceptable</v>
      </c>
      <c r="BA194" s="22" t="str">
        <f t="shared" si="838"/>
        <v>aceptable</v>
      </c>
      <c r="BB194" s="25" t="str">
        <f t="shared" si="839"/>
        <v>NO CONFORME</v>
      </c>
      <c r="BC194" s="5" t="str">
        <f t="shared" si="840"/>
        <v>NO CONFORME</v>
      </c>
      <c r="BD194" s="15">
        <f t="shared" si="819"/>
        <v>-1</v>
      </c>
      <c r="BE194" s="15">
        <f t="shared" si="820"/>
        <v>-1</v>
      </c>
      <c r="BF194" s="15">
        <f t="shared" si="821"/>
        <v>-1</v>
      </c>
      <c r="BG194" s="15" t="str">
        <f t="shared" si="822"/>
        <v>-1-1-1</v>
      </c>
      <c r="BH194" s="15" t="str">
        <f t="shared" si="823"/>
        <v>SD</v>
      </c>
      <c r="BI194" s="15" t="str">
        <f t="shared" si="824"/>
        <v>SI</v>
      </c>
      <c r="BJ194" s="15" t="b">
        <f t="shared" si="825"/>
        <v>1</v>
      </c>
      <c r="BK194" s="15" t="str">
        <f t="shared" si="826"/>
        <v>SIGIGUALES</v>
      </c>
      <c r="BL194" s="22" t="str">
        <f t="shared" si="827"/>
        <v>NO CONFORME</v>
      </c>
    </row>
    <row r="195" spans="1:64" ht="14.4" x14ac:dyDescent="0.3">
      <c r="A195" s="36">
        <v>187</v>
      </c>
      <c r="B195" s="28">
        <f t="shared" ref="B195:E195" si="1198">B194</f>
        <v>45903</v>
      </c>
      <c r="C195" s="28">
        <f t="shared" si="1198"/>
        <v>45903</v>
      </c>
      <c r="D195" s="12">
        <f t="shared" si="1198"/>
        <v>3</v>
      </c>
      <c r="E195" s="10">
        <f t="shared" si="1198"/>
        <v>11</v>
      </c>
      <c r="F195" s="13"/>
      <c r="G195" s="69"/>
      <c r="H195" s="70">
        <f t="shared" ref="H195:L195" si="1199">H194</f>
        <v>25.6</v>
      </c>
      <c r="I195" s="37">
        <f t="shared" si="1199"/>
        <v>0</v>
      </c>
      <c r="J195" s="35">
        <f t="shared" si="1199"/>
        <v>16</v>
      </c>
      <c r="K195" s="122">
        <f t="shared" si="1199"/>
        <v>8.1690000000000005</v>
      </c>
      <c r="L195" s="122">
        <f t="shared" si="1199"/>
        <v>0.879</v>
      </c>
      <c r="M195" s="126"/>
      <c r="N195" s="126"/>
      <c r="O195" s="32">
        <f t="shared" ref="O195:P195" si="1200">O194</f>
        <v>100.65</v>
      </c>
      <c r="P195" s="33" t="str">
        <f t="shared" si="1200"/>
        <v>2,31,180</v>
      </c>
      <c r="Q195" s="11" t="str">
        <f t="shared" si="893"/>
        <v>2</v>
      </c>
      <c r="R195" s="11" t="str">
        <f t="shared" si="894"/>
        <v>31,180</v>
      </c>
      <c r="S195" s="11">
        <f t="shared" si="895"/>
        <v>4.1994444444444445E-2</v>
      </c>
      <c r="T195" s="14">
        <f t="shared" si="896"/>
        <v>2396.7456012700095</v>
      </c>
      <c r="U195" s="38">
        <f t="shared" si="897"/>
        <v>-100</v>
      </c>
      <c r="V195" s="39">
        <f t="shared" ref="V195:W195" si="1201">V194</f>
        <v>19.8</v>
      </c>
      <c r="W195" s="124">
        <f t="shared" si="1201"/>
        <v>1.08</v>
      </c>
      <c r="X195" s="124">
        <f t="shared" si="1146"/>
        <v>1.075</v>
      </c>
      <c r="Y195" s="126"/>
      <c r="Z195" s="126"/>
      <c r="AA195" s="90">
        <f t="shared" ref="AA195:AB195" si="1202">AA194</f>
        <v>5.0149999999999997</v>
      </c>
      <c r="AB195" s="73" t="str">
        <f t="shared" si="1202"/>
        <v>9,05,040</v>
      </c>
      <c r="AC195" s="11" t="str">
        <f t="shared" si="900"/>
        <v>9,</v>
      </c>
      <c r="AD195" s="11" t="str">
        <f t="shared" si="901"/>
        <v>05,040</v>
      </c>
      <c r="AE195" s="11">
        <f t="shared" si="902"/>
        <v>0.15139999999999998</v>
      </c>
      <c r="AF195" s="14">
        <f t="shared" si="903"/>
        <v>33.124174372523122</v>
      </c>
      <c r="AG195" s="40">
        <f t="shared" si="904"/>
        <v>-100</v>
      </c>
      <c r="AH195" s="39">
        <f t="shared" si="1154"/>
        <v>19.600000000000001</v>
      </c>
      <c r="AI195" s="124">
        <f t="shared" si="1154"/>
        <v>1.0860000000000001</v>
      </c>
      <c r="AJ195" s="124">
        <f t="shared" si="1154"/>
        <v>1.0780000000000001</v>
      </c>
      <c r="AK195" s="126">
        <f t="shared" si="905"/>
        <v>0</v>
      </c>
      <c r="AL195" s="126"/>
      <c r="AM195" s="34">
        <f t="shared" ref="AM195:AN195" si="1203">AM194</f>
        <v>2.0059999999999998</v>
      </c>
      <c r="AN195" s="33" t="str">
        <f t="shared" si="1203"/>
        <v>5,40,620</v>
      </c>
      <c r="AO195" s="11" t="str">
        <f t="shared" si="907"/>
        <v>5,</v>
      </c>
      <c r="AP195" s="11" t="str">
        <f t="shared" si="908"/>
        <v>40,620</v>
      </c>
      <c r="AQ195" s="11">
        <f t="shared" si="909"/>
        <v>9.4616666666666668E-2</v>
      </c>
      <c r="AR195" s="14">
        <f t="shared" si="910"/>
        <v>21.201338735247486</v>
      </c>
      <c r="AS195" s="40">
        <f t="shared" si="911"/>
        <v>-100</v>
      </c>
      <c r="AT195" s="41" t="str">
        <f t="shared" si="912"/>
        <v>NO CONFORME</v>
      </c>
      <c r="AU195" s="8" t="b">
        <f t="shared" si="834"/>
        <v>1</v>
      </c>
      <c r="AV195" s="8" t="b">
        <f t="shared" si="835"/>
        <v>0</v>
      </c>
      <c r="AW195" s="8" t="b">
        <f t="shared" si="836"/>
        <v>1</v>
      </c>
      <c r="AX195" s="8" t="str">
        <f t="shared" si="837"/>
        <v>Qcorrecto</v>
      </c>
      <c r="AY195" s="22" t="str">
        <f t="shared" si="817"/>
        <v>aceptable</v>
      </c>
      <c r="AZ195" s="22" t="str">
        <f t="shared" si="818"/>
        <v>aceptable</v>
      </c>
      <c r="BA195" s="22" t="str">
        <f t="shared" si="838"/>
        <v>aceptable</v>
      </c>
      <c r="BB195" s="25" t="str">
        <f t="shared" si="839"/>
        <v>NO CONFORME</v>
      </c>
      <c r="BC195" s="5" t="str">
        <f t="shared" si="840"/>
        <v>NO CONFORME</v>
      </c>
      <c r="BD195" s="15">
        <f t="shared" si="819"/>
        <v>-1</v>
      </c>
      <c r="BE195" s="15">
        <f t="shared" si="820"/>
        <v>-1</v>
      </c>
      <c r="BF195" s="15">
        <f t="shared" si="821"/>
        <v>-1</v>
      </c>
      <c r="BG195" s="15" t="str">
        <f t="shared" si="822"/>
        <v>-1-1-1</v>
      </c>
      <c r="BH195" s="15" t="str">
        <f t="shared" si="823"/>
        <v>SD</v>
      </c>
      <c r="BI195" s="15" t="str">
        <f t="shared" si="824"/>
        <v>SI</v>
      </c>
      <c r="BJ195" s="15" t="b">
        <f t="shared" si="825"/>
        <v>1</v>
      </c>
      <c r="BK195" s="15" t="str">
        <f t="shared" si="826"/>
        <v>SIGIGUALES</v>
      </c>
      <c r="BL195" s="22" t="str">
        <f t="shared" si="827"/>
        <v>NO CONFORME</v>
      </c>
    </row>
    <row r="196" spans="1:64" ht="14.4" x14ac:dyDescent="0.3">
      <c r="A196" s="36">
        <v>188</v>
      </c>
      <c r="B196" s="28">
        <f t="shared" ref="B196:E196" si="1204">B195</f>
        <v>45903</v>
      </c>
      <c r="C196" s="28">
        <f t="shared" si="1204"/>
        <v>45903</v>
      </c>
      <c r="D196" s="12">
        <f t="shared" si="1204"/>
        <v>3</v>
      </c>
      <c r="E196" s="10">
        <f t="shared" si="1204"/>
        <v>11</v>
      </c>
      <c r="F196" s="13"/>
      <c r="G196" s="69"/>
      <c r="H196" s="70">
        <f t="shared" ref="H196:L196" si="1205">H195</f>
        <v>25.6</v>
      </c>
      <c r="I196" s="37">
        <f t="shared" si="1205"/>
        <v>0</v>
      </c>
      <c r="J196" s="35">
        <f t="shared" si="1205"/>
        <v>16</v>
      </c>
      <c r="K196" s="122">
        <f t="shared" si="1205"/>
        <v>8.1690000000000005</v>
      </c>
      <c r="L196" s="122">
        <f t="shared" si="1205"/>
        <v>0.879</v>
      </c>
      <c r="M196" s="126"/>
      <c r="N196" s="126"/>
      <c r="O196" s="32">
        <f t="shared" ref="O196:P196" si="1206">O195</f>
        <v>100.65</v>
      </c>
      <c r="P196" s="33" t="str">
        <f t="shared" si="1206"/>
        <v>2,31,180</v>
      </c>
      <c r="Q196" s="11" t="str">
        <f t="shared" si="893"/>
        <v>2</v>
      </c>
      <c r="R196" s="11" t="str">
        <f t="shared" si="894"/>
        <v>31,180</v>
      </c>
      <c r="S196" s="11">
        <f t="shared" si="895"/>
        <v>4.1994444444444445E-2</v>
      </c>
      <c r="T196" s="14">
        <f t="shared" si="896"/>
        <v>2396.7456012700095</v>
      </c>
      <c r="U196" s="38">
        <f t="shared" si="897"/>
        <v>-100</v>
      </c>
      <c r="V196" s="39">
        <f t="shared" ref="V196:W196" si="1207">V195</f>
        <v>19.8</v>
      </c>
      <c r="W196" s="124">
        <f t="shared" si="1207"/>
        <v>1.08</v>
      </c>
      <c r="X196" s="124">
        <f t="shared" si="1146"/>
        <v>1.075</v>
      </c>
      <c r="Y196" s="126"/>
      <c r="Z196" s="126"/>
      <c r="AA196" s="90">
        <f t="shared" ref="AA196:AB196" si="1208">AA195</f>
        <v>5.0149999999999997</v>
      </c>
      <c r="AB196" s="73" t="str">
        <f t="shared" si="1208"/>
        <v>9,05,040</v>
      </c>
      <c r="AC196" s="11" t="str">
        <f t="shared" si="900"/>
        <v>9,</v>
      </c>
      <c r="AD196" s="11" t="str">
        <f t="shared" si="901"/>
        <v>05,040</v>
      </c>
      <c r="AE196" s="11">
        <f t="shared" si="902"/>
        <v>0.15139999999999998</v>
      </c>
      <c r="AF196" s="14">
        <f t="shared" si="903"/>
        <v>33.124174372523122</v>
      </c>
      <c r="AG196" s="40">
        <f t="shared" si="904"/>
        <v>-100</v>
      </c>
      <c r="AH196" s="39">
        <f t="shared" si="1154"/>
        <v>19.600000000000001</v>
      </c>
      <c r="AI196" s="124">
        <f t="shared" si="1154"/>
        <v>1.0860000000000001</v>
      </c>
      <c r="AJ196" s="124">
        <f t="shared" si="1154"/>
        <v>1.0780000000000001</v>
      </c>
      <c r="AK196" s="126">
        <f t="shared" si="905"/>
        <v>0</v>
      </c>
      <c r="AL196" s="126"/>
      <c r="AM196" s="34">
        <f t="shared" ref="AM196:AN196" si="1209">AM195</f>
        <v>2.0059999999999998</v>
      </c>
      <c r="AN196" s="33" t="str">
        <f t="shared" si="1209"/>
        <v>5,40,620</v>
      </c>
      <c r="AO196" s="11" t="str">
        <f t="shared" si="907"/>
        <v>5,</v>
      </c>
      <c r="AP196" s="11" t="str">
        <f t="shared" si="908"/>
        <v>40,620</v>
      </c>
      <c r="AQ196" s="11">
        <f t="shared" si="909"/>
        <v>9.4616666666666668E-2</v>
      </c>
      <c r="AR196" s="14">
        <f t="shared" si="910"/>
        <v>21.201338735247486</v>
      </c>
      <c r="AS196" s="40">
        <f t="shared" si="911"/>
        <v>-100</v>
      </c>
      <c r="AT196" s="41" t="str">
        <f t="shared" si="912"/>
        <v>NO CONFORME</v>
      </c>
      <c r="AU196" s="8" t="b">
        <f t="shared" si="834"/>
        <v>1</v>
      </c>
      <c r="AV196" s="8" t="b">
        <f t="shared" si="835"/>
        <v>0</v>
      </c>
      <c r="AW196" s="8" t="b">
        <f t="shared" si="836"/>
        <v>1</v>
      </c>
      <c r="AX196" s="8" t="str">
        <f t="shared" si="837"/>
        <v>Qcorrecto</v>
      </c>
      <c r="AY196" s="22" t="str">
        <f t="shared" si="817"/>
        <v>aceptable</v>
      </c>
      <c r="AZ196" s="22" t="str">
        <f t="shared" si="818"/>
        <v>aceptable</v>
      </c>
      <c r="BA196" s="22" t="str">
        <f t="shared" si="838"/>
        <v>aceptable</v>
      </c>
      <c r="BB196" s="25" t="str">
        <f t="shared" si="839"/>
        <v>NO CONFORME</v>
      </c>
      <c r="BC196" s="5" t="str">
        <f t="shared" si="840"/>
        <v>NO CONFORME</v>
      </c>
      <c r="BD196" s="15">
        <f t="shared" si="819"/>
        <v>-1</v>
      </c>
      <c r="BE196" s="15">
        <f t="shared" si="820"/>
        <v>-1</v>
      </c>
      <c r="BF196" s="15">
        <f t="shared" si="821"/>
        <v>-1</v>
      </c>
      <c r="BG196" s="15" t="str">
        <f t="shared" si="822"/>
        <v>-1-1-1</v>
      </c>
      <c r="BH196" s="15" t="str">
        <f t="shared" si="823"/>
        <v>SD</v>
      </c>
      <c r="BI196" s="15" t="str">
        <f t="shared" si="824"/>
        <v>SI</v>
      </c>
      <c r="BJ196" s="15" t="b">
        <f t="shared" si="825"/>
        <v>1</v>
      </c>
      <c r="BK196" s="15" t="str">
        <f t="shared" si="826"/>
        <v>SIGIGUALES</v>
      </c>
      <c r="BL196" s="22" t="str">
        <f t="shared" si="827"/>
        <v>NO CONFORME</v>
      </c>
    </row>
    <row r="197" spans="1:64" ht="14.4" x14ac:dyDescent="0.3">
      <c r="A197" s="36">
        <v>189</v>
      </c>
      <c r="B197" s="28">
        <f t="shared" ref="B197:E197" si="1210">B196</f>
        <v>45903</v>
      </c>
      <c r="C197" s="28">
        <f t="shared" si="1210"/>
        <v>45903</v>
      </c>
      <c r="D197" s="12">
        <f t="shared" si="1210"/>
        <v>3</v>
      </c>
      <c r="E197" s="10">
        <f t="shared" si="1210"/>
        <v>11</v>
      </c>
      <c r="F197" s="13"/>
      <c r="G197" s="69"/>
      <c r="H197" s="70">
        <f t="shared" ref="H197:L197" si="1211">H196</f>
        <v>25.6</v>
      </c>
      <c r="I197" s="37">
        <f t="shared" si="1211"/>
        <v>0</v>
      </c>
      <c r="J197" s="35">
        <f t="shared" si="1211"/>
        <v>16</v>
      </c>
      <c r="K197" s="122">
        <f t="shared" si="1211"/>
        <v>8.1690000000000005</v>
      </c>
      <c r="L197" s="122">
        <f t="shared" si="1211"/>
        <v>0.879</v>
      </c>
      <c r="M197" s="126"/>
      <c r="N197" s="126"/>
      <c r="O197" s="32">
        <f t="shared" ref="O197:P197" si="1212">O196</f>
        <v>100.65</v>
      </c>
      <c r="P197" s="33" t="str">
        <f t="shared" si="1212"/>
        <v>2,31,180</v>
      </c>
      <c r="Q197" s="11" t="str">
        <f t="shared" si="893"/>
        <v>2</v>
      </c>
      <c r="R197" s="11" t="str">
        <f t="shared" si="894"/>
        <v>31,180</v>
      </c>
      <c r="S197" s="11">
        <f t="shared" si="895"/>
        <v>4.1994444444444445E-2</v>
      </c>
      <c r="T197" s="14">
        <f t="shared" si="896"/>
        <v>2396.7456012700095</v>
      </c>
      <c r="U197" s="38">
        <f t="shared" si="897"/>
        <v>-100</v>
      </c>
      <c r="V197" s="39">
        <f t="shared" ref="V197:W197" si="1213">V196</f>
        <v>19.8</v>
      </c>
      <c r="W197" s="124">
        <f t="shared" si="1213"/>
        <v>1.08</v>
      </c>
      <c r="X197" s="124">
        <f t="shared" si="1146"/>
        <v>1.075</v>
      </c>
      <c r="Y197" s="126"/>
      <c r="Z197" s="126"/>
      <c r="AA197" s="90">
        <f t="shared" ref="AA197:AB197" si="1214">AA196</f>
        <v>5.0149999999999997</v>
      </c>
      <c r="AB197" s="73" t="str">
        <f t="shared" si="1214"/>
        <v>9,05,040</v>
      </c>
      <c r="AC197" s="11" t="str">
        <f t="shared" si="900"/>
        <v>9,</v>
      </c>
      <c r="AD197" s="11" t="str">
        <f t="shared" si="901"/>
        <v>05,040</v>
      </c>
      <c r="AE197" s="11">
        <f t="shared" si="902"/>
        <v>0.15139999999999998</v>
      </c>
      <c r="AF197" s="14">
        <f t="shared" si="903"/>
        <v>33.124174372523122</v>
      </c>
      <c r="AG197" s="40">
        <f t="shared" si="904"/>
        <v>-100</v>
      </c>
      <c r="AH197" s="39">
        <f t="shared" si="1154"/>
        <v>19.600000000000001</v>
      </c>
      <c r="AI197" s="124">
        <f t="shared" si="1154"/>
        <v>1.0860000000000001</v>
      </c>
      <c r="AJ197" s="124">
        <f t="shared" si="1154"/>
        <v>1.0780000000000001</v>
      </c>
      <c r="AK197" s="126">
        <f t="shared" si="905"/>
        <v>0</v>
      </c>
      <c r="AL197" s="126"/>
      <c r="AM197" s="34">
        <f t="shared" ref="AM197:AN197" si="1215">AM196</f>
        <v>2.0059999999999998</v>
      </c>
      <c r="AN197" s="33" t="str">
        <f t="shared" si="1215"/>
        <v>5,40,620</v>
      </c>
      <c r="AO197" s="11" t="str">
        <f t="shared" si="907"/>
        <v>5,</v>
      </c>
      <c r="AP197" s="11" t="str">
        <f t="shared" si="908"/>
        <v>40,620</v>
      </c>
      <c r="AQ197" s="11">
        <f t="shared" si="909"/>
        <v>9.4616666666666668E-2</v>
      </c>
      <c r="AR197" s="14">
        <f t="shared" si="910"/>
        <v>21.201338735247486</v>
      </c>
      <c r="AS197" s="40">
        <f t="shared" si="911"/>
        <v>-100</v>
      </c>
      <c r="AT197" s="41" t="str">
        <f t="shared" si="912"/>
        <v>NO CONFORME</v>
      </c>
      <c r="AU197" s="8" t="b">
        <f t="shared" si="834"/>
        <v>1</v>
      </c>
      <c r="AV197" s="8" t="b">
        <f t="shared" si="835"/>
        <v>0</v>
      </c>
      <c r="AW197" s="8" t="b">
        <f t="shared" si="836"/>
        <v>1</v>
      </c>
      <c r="AX197" s="8" t="str">
        <f t="shared" si="837"/>
        <v>Qcorrecto</v>
      </c>
      <c r="AY197" s="22" t="str">
        <f t="shared" si="817"/>
        <v>aceptable</v>
      </c>
      <c r="AZ197" s="22" t="str">
        <f t="shared" si="818"/>
        <v>aceptable</v>
      </c>
      <c r="BA197" s="22" t="str">
        <f t="shared" si="838"/>
        <v>aceptable</v>
      </c>
      <c r="BB197" s="25" t="str">
        <f t="shared" si="839"/>
        <v>NO CONFORME</v>
      </c>
      <c r="BC197" s="5" t="str">
        <f t="shared" si="840"/>
        <v>NO CONFORME</v>
      </c>
      <c r="BD197" s="15">
        <f t="shared" si="819"/>
        <v>-1</v>
      </c>
      <c r="BE197" s="15">
        <f t="shared" si="820"/>
        <v>-1</v>
      </c>
      <c r="BF197" s="15">
        <f t="shared" si="821"/>
        <v>-1</v>
      </c>
      <c r="BG197" s="15" t="str">
        <f t="shared" si="822"/>
        <v>-1-1-1</v>
      </c>
      <c r="BH197" s="15" t="str">
        <f t="shared" si="823"/>
        <v>SD</v>
      </c>
      <c r="BI197" s="15" t="str">
        <f t="shared" si="824"/>
        <v>SI</v>
      </c>
      <c r="BJ197" s="15" t="b">
        <f t="shared" si="825"/>
        <v>1</v>
      </c>
      <c r="BK197" s="15" t="str">
        <f t="shared" si="826"/>
        <v>SIGIGUALES</v>
      </c>
      <c r="BL197" s="22" t="str">
        <f t="shared" si="827"/>
        <v>NO CONFORME</v>
      </c>
    </row>
    <row r="198" spans="1:64" ht="14.4" x14ac:dyDescent="0.3">
      <c r="A198" s="36">
        <v>190</v>
      </c>
      <c r="B198" s="28">
        <f t="shared" ref="B198:E198" si="1216">B197</f>
        <v>45903</v>
      </c>
      <c r="C198" s="28">
        <f t="shared" si="1216"/>
        <v>45903</v>
      </c>
      <c r="D198" s="12">
        <f t="shared" si="1216"/>
        <v>3</v>
      </c>
      <c r="E198" s="10">
        <f t="shared" si="1216"/>
        <v>11</v>
      </c>
      <c r="F198" s="13"/>
      <c r="G198" s="69"/>
      <c r="H198" s="70">
        <f t="shared" ref="H198:L198" si="1217">H197</f>
        <v>25.6</v>
      </c>
      <c r="I198" s="37">
        <f t="shared" si="1217"/>
        <v>0</v>
      </c>
      <c r="J198" s="35">
        <f t="shared" si="1217"/>
        <v>16</v>
      </c>
      <c r="K198" s="122">
        <f t="shared" si="1217"/>
        <v>8.1690000000000005</v>
      </c>
      <c r="L198" s="122">
        <f t="shared" si="1217"/>
        <v>0.879</v>
      </c>
      <c r="M198" s="126"/>
      <c r="N198" s="126"/>
      <c r="O198" s="32">
        <f t="shared" ref="O198:P198" si="1218">O197</f>
        <v>100.65</v>
      </c>
      <c r="P198" s="33" t="str">
        <f t="shared" si="1218"/>
        <v>2,31,180</v>
      </c>
      <c r="Q198" s="11" t="str">
        <f t="shared" si="893"/>
        <v>2</v>
      </c>
      <c r="R198" s="11" t="str">
        <f t="shared" si="894"/>
        <v>31,180</v>
      </c>
      <c r="S198" s="11">
        <f t="shared" si="895"/>
        <v>4.1994444444444445E-2</v>
      </c>
      <c r="T198" s="14">
        <f t="shared" si="896"/>
        <v>2396.7456012700095</v>
      </c>
      <c r="U198" s="38">
        <f t="shared" si="897"/>
        <v>-100</v>
      </c>
      <c r="V198" s="39">
        <f t="shared" ref="V198:W198" si="1219">V197</f>
        <v>19.8</v>
      </c>
      <c r="W198" s="124">
        <f t="shared" si="1219"/>
        <v>1.08</v>
      </c>
      <c r="X198" s="124">
        <f t="shared" si="1146"/>
        <v>1.075</v>
      </c>
      <c r="Y198" s="126"/>
      <c r="Z198" s="126"/>
      <c r="AA198" s="90">
        <f t="shared" ref="AA198:AB198" si="1220">AA197</f>
        <v>5.0149999999999997</v>
      </c>
      <c r="AB198" s="73" t="str">
        <f t="shared" si="1220"/>
        <v>9,05,040</v>
      </c>
      <c r="AC198" s="11" t="str">
        <f t="shared" si="900"/>
        <v>9,</v>
      </c>
      <c r="AD198" s="11" t="str">
        <f t="shared" si="901"/>
        <v>05,040</v>
      </c>
      <c r="AE198" s="11">
        <f t="shared" si="902"/>
        <v>0.15139999999999998</v>
      </c>
      <c r="AF198" s="14">
        <f t="shared" si="903"/>
        <v>33.124174372523122</v>
      </c>
      <c r="AG198" s="40">
        <f t="shared" si="904"/>
        <v>-100</v>
      </c>
      <c r="AH198" s="39">
        <f t="shared" si="1154"/>
        <v>19.600000000000001</v>
      </c>
      <c r="AI198" s="124">
        <f t="shared" si="1154"/>
        <v>1.0860000000000001</v>
      </c>
      <c r="AJ198" s="124">
        <f t="shared" si="1154"/>
        <v>1.0780000000000001</v>
      </c>
      <c r="AK198" s="126">
        <f t="shared" si="905"/>
        <v>0</v>
      </c>
      <c r="AL198" s="126"/>
      <c r="AM198" s="34">
        <f t="shared" ref="AM198:AN198" si="1221">AM197</f>
        <v>2.0059999999999998</v>
      </c>
      <c r="AN198" s="33" t="str">
        <f t="shared" si="1221"/>
        <v>5,40,620</v>
      </c>
      <c r="AO198" s="11" t="str">
        <f t="shared" si="907"/>
        <v>5,</v>
      </c>
      <c r="AP198" s="11" t="str">
        <f t="shared" si="908"/>
        <v>40,620</v>
      </c>
      <c r="AQ198" s="11">
        <f t="shared" si="909"/>
        <v>9.4616666666666668E-2</v>
      </c>
      <c r="AR198" s="14">
        <f t="shared" si="910"/>
        <v>21.201338735247486</v>
      </c>
      <c r="AS198" s="40">
        <f t="shared" si="911"/>
        <v>-100</v>
      </c>
      <c r="AT198" s="41" t="str">
        <f t="shared" si="912"/>
        <v>NO CONFORME</v>
      </c>
      <c r="AU198" s="8" t="b">
        <f t="shared" si="834"/>
        <v>1</v>
      </c>
      <c r="AV198" s="8" t="b">
        <f t="shared" si="835"/>
        <v>0</v>
      </c>
      <c r="AW198" s="8" t="b">
        <f t="shared" si="836"/>
        <v>1</v>
      </c>
      <c r="AX198" s="8" t="str">
        <f t="shared" si="837"/>
        <v>Qcorrecto</v>
      </c>
      <c r="AY198" s="22" t="str">
        <f t="shared" si="817"/>
        <v>aceptable</v>
      </c>
      <c r="AZ198" s="22" t="str">
        <f t="shared" si="818"/>
        <v>aceptable</v>
      </c>
      <c r="BA198" s="22" t="str">
        <f t="shared" si="838"/>
        <v>aceptable</v>
      </c>
      <c r="BB198" s="25" t="str">
        <f t="shared" si="839"/>
        <v>NO CONFORME</v>
      </c>
      <c r="BC198" s="5" t="str">
        <f t="shared" si="840"/>
        <v>NO CONFORME</v>
      </c>
      <c r="BD198" s="15">
        <f t="shared" si="819"/>
        <v>-1</v>
      </c>
      <c r="BE198" s="15">
        <f t="shared" si="820"/>
        <v>-1</v>
      </c>
      <c r="BF198" s="15">
        <f t="shared" si="821"/>
        <v>-1</v>
      </c>
      <c r="BG198" s="15" t="str">
        <f t="shared" si="822"/>
        <v>-1-1-1</v>
      </c>
      <c r="BH198" s="15" t="str">
        <f t="shared" si="823"/>
        <v>SD</v>
      </c>
      <c r="BI198" s="15" t="str">
        <f t="shared" si="824"/>
        <v>SI</v>
      </c>
      <c r="BJ198" s="15" t="b">
        <f t="shared" si="825"/>
        <v>1</v>
      </c>
      <c r="BK198" s="15" t="str">
        <f t="shared" si="826"/>
        <v>SIGIGUALES</v>
      </c>
      <c r="BL198" s="22" t="str">
        <f t="shared" si="827"/>
        <v>NO CONFORME</v>
      </c>
    </row>
    <row r="199" spans="1:64" ht="14.4" x14ac:dyDescent="0.3">
      <c r="A199" s="36">
        <v>191</v>
      </c>
      <c r="B199" s="28">
        <f t="shared" ref="B199:E199" si="1222">B198</f>
        <v>45903</v>
      </c>
      <c r="C199" s="28">
        <f t="shared" si="1222"/>
        <v>45903</v>
      </c>
      <c r="D199" s="12">
        <f t="shared" si="1222"/>
        <v>3</v>
      </c>
      <c r="E199" s="10">
        <f t="shared" si="1222"/>
        <v>11</v>
      </c>
      <c r="F199" s="13"/>
      <c r="G199" s="69"/>
      <c r="H199" s="70">
        <f t="shared" ref="H199:L199" si="1223">H198</f>
        <v>25.6</v>
      </c>
      <c r="I199" s="37">
        <f t="shared" si="1223"/>
        <v>0</v>
      </c>
      <c r="J199" s="35">
        <f t="shared" si="1223"/>
        <v>16</v>
      </c>
      <c r="K199" s="122">
        <f t="shared" si="1223"/>
        <v>8.1690000000000005</v>
      </c>
      <c r="L199" s="122">
        <f t="shared" si="1223"/>
        <v>0.879</v>
      </c>
      <c r="M199" s="126"/>
      <c r="N199" s="126"/>
      <c r="O199" s="32">
        <f t="shared" ref="O199:P199" si="1224">O198</f>
        <v>100.65</v>
      </c>
      <c r="P199" s="33" t="str">
        <f t="shared" si="1224"/>
        <v>2,31,180</v>
      </c>
      <c r="Q199" s="11" t="str">
        <f t="shared" si="893"/>
        <v>2</v>
      </c>
      <c r="R199" s="11" t="str">
        <f t="shared" si="894"/>
        <v>31,180</v>
      </c>
      <c r="S199" s="11">
        <f t="shared" si="895"/>
        <v>4.1994444444444445E-2</v>
      </c>
      <c r="T199" s="14">
        <f t="shared" si="896"/>
        <v>2396.7456012700095</v>
      </c>
      <c r="U199" s="38">
        <f t="shared" si="897"/>
        <v>-100</v>
      </c>
      <c r="V199" s="39">
        <f t="shared" ref="V199:W199" si="1225">V198</f>
        <v>19.8</v>
      </c>
      <c r="W199" s="124">
        <f t="shared" si="1225"/>
        <v>1.08</v>
      </c>
      <c r="X199" s="124">
        <f t="shared" si="1146"/>
        <v>1.075</v>
      </c>
      <c r="Y199" s="126"/>
      <c r="Z199" s="126"/>
      <c r="AA199" s="90">
        <f t="shared" ref="AA199:AB199" si="1226">AA198</f>
        <v>5.0149999999999997</v>
      </c>
      <c r="AB199" s="73" t="str">
        <f t="shared" si="1226"/>
        <v>9,05,040</v>
      </c>
      <c r="AC199" s="11" t="str">
        <f t="shared" si="900"/>
        <v>9,</v>
      </c>
      <c r="AD199" s="11" t="str">
        <f t="shared" si="901"/>
        <v>05,040</v>
      </c>
      <c r="AE199" s="11">
        <f t="shared" si="902"/>
        <v>0.15139999999999998</v>
      </c>
      <c r="AF199" s="14">
        <f t="shared" si="903"/>
        <v>33.124174372523122</v>
      </c>
      <c r="AG199" s="40">
        <f t="shared" si="904"/>
        <v>-100</v>
      </c>
      <c r="AH199" s="39">
        <f t="shared" si="1154"/>
        <v>19.600000000000001</v>
      </c>
      <c r="AI199" s="124">
        <f t="shared" si="1154"/>
        <v>1.0860000000000001</v>
      </c>
      <c r="AJ199" s="124">
        <f t="shared" si="1154"/>
        <v>1.0780000000000001</v>
      </c>
      <c r="AK199" s="126">
        <f t="shared" si="905"/>
        <v>0</v>
      </c>
      <c r="AL199" s="126"/>
      <c r="AM199" s="34">
        <f t="shared" ref="AM199:AN199" si="1227">AM198</f>
        <v>2.0059999999999998</v>
      </c>
      <c r="AN199" s="33" t="str">
        <f t="shared" si="1227"/>
        <v>5,40,620</v>
      </c>
      <c r="AO199" s="11" t="str">
        <f t="shared" si="907"/>
        <v>5,</v>
      </c>
      <c r="AP199" s="11" t="str">
        <f t="shared" si="908"/>
        <v>40,620</v>
      </c>
      <c r="AQ199" s="11">
        <f t="shared" si="909"/>
        <v>9.4616666666666668E-2</v>
      </c>
      <c r="AR199" s="14">
        <f t="shared" si="910"/>
        <v>21.201338735247486</v>
      </c>
      <c r="AS199" s="40">
        <f t="shared" si="911"/>
        <v>-100</v>
      </c>
      <c r="AT199" s="41" t="str">
        <f t="shared" si="912"/>
        <v>NO CONFORME</v>
      </c>
      <c r="AU199" s="8" t="b">
        <f t="shared" si="834"/>
        <v>1</v>
      </c>
      <c r="AV199" s="8" t="b">
        <f t="shared" si="835"/>
        <v>0</v>
      </c>
      <c r="AW199" s="8" t="b">
        <f t="shared" si="836"/>
        <v>1</v>
      </c>
      <c r="AX199" s="8" t="str">
        <f t="shared" si="837"/>
        <v>Qcorrecto</v>
      </c>
      <c r="AY199" s="22" t="str">
        <f t="shared" si="817"/>
        <v>aceptable</v>
      </c>
      <c r="AZ199" s="22" t="str">
        <f t="shared" si="818"/>
        <v>aceptable</v>
      </c>
      <c r="BA199" s="22" t="str">
        <f t="shared" si="838"/>
        <v>aceptable</v>
      </c>
      <c r="BB199" s="25" t="str">
        <f t="shared" si="839"/>
        <v>NO CONFORME</v>
      </c>
      <c r="BC199" s="5" t="str">
        <f t="shared" si="840"/>
        <v>NO CONFORME</v>
      </c>
      <c r="BD199" s="15">
        <f t="shared" si="819"/>
        <v>-1</v>
      </c>
      <c r="BE199" s="15">
        <f t="shared" si="820"/>
        <v>-1</v>
      </c>
      <c r="BF199" s="15">
        <f t="shared" si="821"/>
        <v>-1</v>
      </c>
      <c r="BG199" s="15" t="str">
        <f t="shared" si="822"/>
        <v>-1-1-1</v>
      </c>
      <c r="BH199" s="15" t="str">
        <f t="shared" si="823"/>
        <v>SD</v>
      </c>
      <c r="BI199" s="15" t="str">
        <f t="shared" si="824"/>
        <v>SI</v>
      </c>
      <c r="BJ199" s="15" t="b">
        <f t="shared" si="825"/>
        <v>1</v>
      </c>
      <c r="BK199" s="15" t="str">
        <f t="shared" si="826"/>
        <v>SIGIGUALES</v>
      </c>
      <c r="BL199" s="22" t="str">
        <f t="shared" si="827"/>
        <v>NO CONFORME</v>
      </c>
    </row>
    <row r="200" spans="1:64" ht="14.4" x14ac:dyDescent="0.3">
      <c r="A200" s="36">
        <v>192</v>
      </c>
      <c r="B200" s="28">
        <f t="shared" ref="B200:E200" si="1228">B199</f>
        <v>45903</v>
      </c>
      <c r="C200" s="28">
        <f t="shared" si="1228"/>
        <v>45903</v>
      </c>
      <c r="D200" s="12">
        <f t="shared" si="1228"/>
        <v>3</v>
      </c>
      <c r="E200" s="10">
        <f t="shared" si="1228"/>
        <v>11</v>
      </c>
      <c r="F200" s="13"/>
      <c r="G200" s="69"/>
      <c r="H200" s="70">
        <f t="shared" ref="H200:L200" si="1229">H199</f>
        <v>25.6</v>
      </c>
      <c r="I200" s="37">
        <f t="shared" si="1229"/>
        <v>0</v>
      </c>
      <c r="J200" s="35">
        <f t="shared" si="1229"/>
        <v>16</v>
      </c>
      <c r="K200" s="122">
        <f t="shared" si="1229"/>
        <v>8.1690000000000005</v>
      </c>
      <c r="L200" s="122">
        <f t="shared" si="1229"/>
        <v>0.879</v>
      </c>
      <c r="M200" s="126"/>
      <c r="N200" s="126"/>
      <c r="O200" s="32">
        <f t="shared" ref="O200:P200" si="1230">O199</f>
        <v>100.65</v>
      </c>
      <c r="P200" s="33" t="str">
        <f t="shared" si="1230"/>
        <v>2,31,180</v>
      </c>
      <c r="Q200" s="11" t="str">
        <f t="shared" si="893"/>
        <v>2</v>
      </c>
      <c r="R200" s="11" t="str">
        <f t="shared" si="894"/>
        <v>31,180</v>
      </c>
      <c r="S200" s="11">
        <f t="shared" si="895"/>
        <v>4.1994444444444445E-2</v>
      </c>
      <c r="T200" s="14">
        <f t="shared" si="896"/>
        <v>2396.7456012700095</v>
      </c>
      <c r="U200" s="38">
        <f t="shared" si="897"/>
        <v>-100</v>
      </c>
      <c r="V200" s="39">
        <f t="shared" ref="V200:W200" si="1231">V199</f>
        <v>19.8</v>
      </c>
      <c r="W200" s="124">
        <f t="shared" si="1231"/>
        <v>1.08</v>
      </c>
      <c r="X200" s="124">
        <f t="shared" si="1146"/>
        <v>1.075</v>
      </c>
      <c r="Y200" s="126"/>
      <c r="Z200" s="126"/>
      <c r="AA200" s="90">
        <f t="shared" ref="AA200:AB200" si="1232">AA199</f>
        <v>5.0149999999999997</v>
      </c>
      <c r="AB200" s="73" t="str">
        <f t="shared" si="1232"/>
        <v>9,05,040</v>
      </c>
      <c r="AC200" s="11" t="str">
        <f t="shared" si="900"/>
        <v>9,</v>
      </c>
      <c r="AD200" s="11" t="str">
        <f t="shared" si="901"/>
        <v>05,040</v>
      </c>
      <c r="AE200" s="11">
        <f t="shared" si="902"/>
        <v>0.15139999999999998</v>
      </c>
      <c r="AF200" s="14">
        <f t="shared" si="903"/>
        <v>33.124174372523122</v>
      </c>
      <c r="AG200" s="40">
        <f t="shared" si="904"/>
        <v>-100</v>
      </c>
      <c r="AH200" s="39">
        <f t="shared" si="1154"/>
        <v>19.600000000000001</v>
      </c>
      <c r="AI200" s="124">
        <f t="shared" si="1154"/>
        <v>1.0860000000000001</v>
      </c>
      <c r="AJ200" s="124">
        <f t="shared" si="1154"/>
        <v>1.0780000000000001</v>
      </c>
      <c r="AK200" s="126">
        <f t="shared" si="905"/>
        <v>0</v>
      </c>
      <c r="AL200" s="126"/>
      <c r="AM200" s="34">
        <f t="shared" ref="AM200:AN200" si="1233">AM199</f>
        <v>2.0059999999999998</v>
      </c>
      <c r="AN200" s="33" t="str">
        <f t="shared" si="1233"/>
        <v>5,40,620</v>
      </c>
      <c r="AO200" s="11" t="str">
        <f t="shared" si="907"/>
        <v>5,</v>
      </c>
      <c r="AP200" s="11" t="str">
        <f t="shared" si="908"/>
        <v>40,620</v>
      </c>
      <c r="AQ200" s="11">
        <f t="shared" si="909"/>
        <v>9.4616666666666668E-2</v>
      </c>
      <c r="AR200" s="14">
        <f t="shared" si="910"/>
        <v>21.201338735247486</v>
      </c>
      <c r="AS200" s="40">
        <f t="shared" si="911"/>
        <v>-100</v>
      </c>
      <c r="AT200" s="41" t="str">
        <f t="shared" si="912"/>
        <v>NO CONFORME</v>
      </c>
      <c r="AU200" s="8" t="b">
        <f t="shared" si="834"/>
        <v>1</v>
      </c>
      <c r="AV200" s="8" t="b">
        <f t="shared" si="835"/>
        <v>0</v>
      </c>
      <c r="AW200" s="8" t="b">
        <f t="shared" si="836"/>
        <v>1</v>
      </c>
      <c r="AX200" s="8" t="str">
        <f t="shared" si="837"/>
        <v>Qcorrecto</v>
      </c>
      <c r="AY200" s="22" t="str">
        <f t="shared" si="817"/>
        <v>aceptable</v>
      </c>
      <c r="AZ200" s="22" t="str">
        <f t="shared" si="818"/>
        <v>aceptable</v>
      </c>
      <c r="BA200" s="22" t="str">
        <f t="shared" si="838"/>
        <v>aceptable</v>
      </c>
      <c r="BB200" s="25" t="str">
        <f t="shared" si="839"/>
        <v>NO CONFORME</v>
      </c>
      <c r="BC200" s="5" t="str">
        <f t="shared" si="840"/>
        <v>NO CONFORME</v>
      </c>
      <c r="BD200" s="15">
        <f t="shared" si="819"/>
        <v>-1</v>
      </c>
      <c r="BE200" s="15">
        <f t="shared" si="820"/>
        <v>-1</v>
      </c>
      <c r="BF200" s="15">
        <f t="shared" si="821"/>
        <v>-1</v>
      </c>
      <c r="BG200" s="15" t="str">
        <f t="shared" si="822"/>
        <v>-1-1-1</v>
      </c>
      <c r="BH200" s="15" t="str">
        <f t="shared" si="823"/>
        <v>SD</v>
      </c>
      <c r="BI200" s="15" t="str">
        <f t="shared" si="824"/>
        <v>SI</v>
      </c>
      <c r="BJ200" s="15" t="b">
        <f t="shared" si="825"/>
        <v>1</v>
      </c>
      <c r="BK200" s="15" t="str">
        <f t="shared" si="826"/>
        <v>SIGIGUALES</v>
      </c>
      <c r="BL200" s="22" t="str">
        <f t="shared" si="827"/>
        <v>NO CONFORME</v>
      </c>
    </row>
    <row r="201" spans="1:64" ht="14.4" x14ac:dyDescent="0.3">
      <c r="A201" s="36">
        <v>193</v>
      </c>
      <c r="B201" s="28">
        <f t="shared" ref="B201:E201" si="1234">B200</f>
        <v>45903</v>
      </c>
      <c r="C201" s="28">
        <f t="shared" si="1234"/>
        <v>45903</v>
      </c>
      <c r="D201" s="12">
        <f t="shared" si="1234"/>
        <v>3</v>
      </c>
      <c r="E201" s="10">
        <f t="shared" si="1234"/>
        <v>11</v>
      </c>
      <c r="F201" s="13"/>
      <c r="G201" s="69"/>
      <c r="H201" s="70">
        <f t="shared" ref="H201:L201" si="1235">H200</f>
        <v>25.6</v>
      </c>
      <c r="I201" s="37">
        <f t="shared" si="1235"/>
        <v>0</v>
      </c>
      <c r="J201" s="35">
        <f t="shared" si="1235"/>
        <v>16</v>
      </c>
      <c r="K201" s="122">
        <f t="shared" si="1235"/>
        <v>8.1690000000000005</v>
      </c>
      <c r="L201" s="122">
        <f t="shared" si="1235"/>
        <v>0.879</v>
      </c>
      <c r="M201" s="126"/>
      <c r="N201" s="126"/>
      <c r="O201" s="32">
        <f t="shared" ref="O201:P201" si="1236">O200</f>
        <v>100.65</v>
      </c>
      <c r="P201" s="33" t="str">
        <f t="shared" si="1236"/>
        <v>2,31,180</v>
      </c>
      <c r="Q201" s="11" t="str">
        <f t="shared" si="893"/>
        <v>2</v>
      </c>
      <c r="R201" s="11" t="str">
        <f t="shared" si="894"/>
        <v>31,180</v>
      </c>
      <c r="S201" s="11">
        <f t="shared" si="895"/>
        <v>4.1994444444444445E-2</v>
      </c>
      <c r="T201" s="14">
        <f t="shared" si="896"/>
        <v>2396.7456012700095</v>
      </c>
      <c r="U201" s="38">
        <f t="shared" si="897"/>
        <v>-100</v>
      </c>
      <c r="V201" s="39">
        <f t="shared" ref="V201:W201" si="1237">V200</f>
        <v>19.8</v>
      </c>
      <c r="W201" s="124">
        <f t="shared" si="1237"/>
        <v>1.08</v>
      </c>
      <c r="X201" s="124">
        <f t="shared" si="1146"/>
        <v>1.075</v>
      </c>
      <c r="Y201" s="126"/>
      <c r="Z201" s="126"/>
      <c r="AA201" s="90">
        <f t="shared" ref="AA201:AB201" si="1238">AA200</f>
        <v>5.0149999999999997</v>
      </c>
      <c r="AB201" s="73" t="str">
        <f t="shared" si="1238"/>
        <v>9,05,040</v>
      </c>
      <c r="AC201" s="11" t="str">
        <f t="shared" si="900"/>
        <v>9,</v>
      </c>
      <c r="AD201" s="11" t="str">
        <f t="shared" si="901"/>
        <v>05,040</v>
      </c>
      <c r="AE201" s="11">
        <f t="shared" si="902"/>
        <v>0.15139999999999998</v>
      </c>
      <c r="AF201" s="14">
        <f t="shared" si="903"/>
        <v>33.124174372523122</v>
      </c>
      <c r="AG201" s="40">
        <f t="shared" si="904"/>
        <v>-100</v>
      </c>
      <c r="AH201" s="39">
        <f t="shared" si="1154"/>
        <v>19.600000000000001</v>
      </c>
      <c r="AI201" s="124">
        <f t="shared" si="1154"/>
        <v>1.0860000000000001</v>
      </c>
      <c r="AJ201" s="124">
        <f t="shared" si="1154"/>
        <v>1.0780000000000001</v>
      </c>
      <c r="AK201" s="126">
        <f t="shared" si="905"/>
        <v>0</v>
      </c>
      <c r="AL201" s="126"/>
      <c r="AM201" s="34">
        <f t="shared" ref="AM201:AN201" si="1239">AM200</f>
        <v>2.0059999999999998</v>
      </c>
      <c r="AN201" s="33" t="str">
        <f t="shared" si="1239"/>
        <v>5,40,620</v>
      </c>
      <c r="AO201" s="11" t="str">
        <f t="shared" si="907"/>
        <v>5,</v>
      </c>
      <c r="AP201" s="11" t="str">
        <f t="shared" si="908"/>
        <v>40,620</v>
      </c>
      <c r="AQ201" s="11">
        <f t="shared" si="909"/>
        <v>9.4616666666666668E-2</v>
      </c>
      <c r="AR201" s="14">
        <f t="shared" si="910"/>
        <v>21.201338735247486</v>
      </c>
      <c r="AS201" s="40">
        <f t="shared" si="911"/>
        <v>-100</v>
      </c>
      <c r="AT201" s="41" t="str">
        <f t="shared" si="912"/>
        <v>NO CONFORME</v>
      </c>
      <c r="AU201" s="8" t="b">
        <f t="shared" si="834"/>
        <v>1</v>
      </c>
      <c r="AV201" s="8" t="b">
        <f t="shared" si="835"/>
        <v>0</v>
      </c>
      <c r="AW201" s="8" t="b">
        <f t="shared" si="836"/>
        <v>1</v>
      </c>
      <c r="AX201" s="8" t="str">
        <f t="shared" si="837"/>
        <v>Qcorrecto</v>
      </c>
      <c r="AY201" s="22" t="str">
        <f t="shared" ref="AY201:AY264" si="1240">IF(AR201&lt;$AH$6,"error",IF(AR201&gt;$AH$6*1.1,"error","aceptable"))</f>
        <v>aceptable</v>
      </c>
      <c r="AZ201" s="22" t="str">
        <f t="shared" ref="AZ201:AZ264" si="1241">IF(AF201&lt;$V$6,"error",IF(AF201&gt;$V$6*1.1,"error","aceptable"))</f>
        <v>aceptable</v>
      </c>
      <c r="BA201" s="22" t="str">
        <f t="shared" si="838"/>
        <v>aceptable</v>
      </c>
      <c r="BB201" s="25" t="str">
        <f t="shared" si="839"/>
        <v>NO CONFORME</v>
      </c>
      <c r="BC201" s="5" t="str">
        <f t="shared" si="840"/>
        <v>NO CONFORME</v>
      </c>
      <c r="BD201" s="15">
        <f t="shared" ref="BD201:BD264" si="1242">SIGN(U201)</f>
        <v>-1</v>
      </c>
      <c r="BE201" s="15">
        <f t="shared" ref="BE201:BE264" si="1243">SIGN(AG201)</f>
        <v>-1</v>
      </c>
      <c r="BF201" s="15">
        <f t="shared" ref="BF201:BF264" si="1244">SIGN(AS201)</f>
        <v>-1</v>
      </c>
      <c r="BG201" s="15" t="str">
        <f t="shared" ref="BG201:BG264" si="1245">CONCATENATE(BD201,BE201,BF201)</f>
        <v>-1-1-1</v>
      </c>
      <c r="BH201" s="15" t="str">
        <f t="shared" ref="BH201:BH264" si="1246">IF(BG201="111","SI","SD")</f>
        <v>SD</v>
      </c>
      <c r="BI201" s="15" t="str">
        <f t="shared" ref="BI201:BI264" si="1247">IF(BG201="-1-1-1","SI","SD")</f>
        <v>SI</v>
      </c>
      <c r="BJ201" s="15" t="b">
        <f t="shared" ref="BJ201:BJ264" si="1248">OR(BH201="SI",BI201="SI")</f>
        <v>1</v>
      </c>
      <c r="BK201" s="15" t="str">
        <f t="shared" ref="BK201:BK264" si="1249">IF(BJ201=FALSE,"SIGDIFERENTES","SIGIGUALES")</f>
        <v>SIGIGUALES</v>
      </c>
      <c r="BL201" s="22" t="str">
        <f t="shared" ref="BL201:BL264" si="1250">IF(BC201="NO CONFORME","NO CONFORME",IF(BB201="CONFORME","CONFORME","NO CONFORME"))</f>
        <v>NO CONFORME</v>
      </c>
    </row>
    <row r="202" spans="1:64" ht="14.4" x14ac:dyDescent="0.3">
      <c r="A202" s="36">
        <v>194</v>
      </c>
      <c r="B202" s="28">
        <f t="shared" ref="B202:E202" si="1251">B201</f>
        <v>45903</v>
      </c>
      <c r="C202" s="28">
        <f t="shared" si="1251"/>
        <v>45903</v>
      </c>
      <c r="D202" s="12">
        <f t="shared" si="1251"/>
        <v>3</v>
      </c>
      <c r="E202" s="10">
        <f t="shared" si="1251"/>
        <v>11</v>
      </c>
      <c r="F202" s="13"/>
      <c r="G202" s="69"/>
      <c r="H202" s="70">
        <f t="shared" ref="H202:L202" si="1252">H201</f>
        <v>25.6</v>
      </c>
      <c r="I202" s="37">
        <f t="shared" si="1252"/>
        <v>0</v>
      </c>
      <c r="J202" s="35">
        <f t="shared" si="1252"/>
        <v>16</v>
      </c>
      <c r="K202" s="122">
        <f t="shared" si="1252"/>
        <v>8.1690000000000005</v>
      </c>
      <c r="L202" s="122">
        <f t="shared" si="1252"/>
        <v>0.879</v>
      </c>
      <c r="M202" s="126"/>
      <c r="N202" s="126"/>
      <c r="O202" s="32">
        <f t="shared" ref="O202:P202" si="1253">O201</f>
        <v>100.65</v>
      </c>
      <c r="P202" s="33" t="str">
        <f t="shared" si="1253"/>
        <v>2,31,180</v>
      </c>
      <c r="Q202" s="11" t="str">
        <f t="shared" si="893"/>
        <v>2</v>
      </c>
      <c r="R202" s="11" t="str">
        <f t="shared" si="894"/>
        <v>31,180</v>
      </c>
      <c r="S202" s="11">
        <f t="shared" si="895"/>
        <v>4.1994444444444445E-2</v>
      </c>
      <c r="T202" s="14">
        <f t="shared" si="896"/>
        <v>2396.7456012700095</v>
      </c>
      <c r="U202" s="38">
        <f t="shared" si="897"/>
        <v>-100</v>
      </c>
      <c r="V202" s="39">
        <f t="shared" ref="V202:X217" si="1254">V201</f>
        <v>19.8</v>
      </c>
      <c r="W202" s="124">
        <f t="shared" si="1254"/>
        <v>1.08</v>
      </c>
      <c r="X202" s="124">
        <f t="shared" si="1254"/>
        <v>1.075</v>
      </c>
      <c r="Y202" s="126"/>
      <c r="Z202" s="126"/>
      <c r="AA202" s="90">
        <f t="shared" ref="AA202:AB202" si="1255">AA201</f>
        <v>5.0149999999999997</v>
      </c>
      <c r="AB202" s="73" t="str">
        <f t="shared" si="1255"/>
        <v>9,05,040</v>
      </c>
      <c r="AC202" s="11" t="str">
        <f t="shared" si="900"/>
        <v>9,</v>
      </c>
      <c r="AD202" s="11" t="str">
        <f t="shared" si="901"/>
        <v>05,040</v>
      </c>
      <c r="AE202" s="11">
        <f t="shared" si="902"/>
        <v>0.15139999999999998</v>
      </c>
      <c r="AF202" s="14">
        <f t="shared" si="903"/>
        <v>33.124174372523122</v>
      </c>
      <c r="AG202" s="40">
        <f t="shared" si="904"/>
        <v>-100</v>
      </c>
      <c r="AH202" s="39">
        <f t="shared" si="1154"/>
        <v>19.600000000000001</v>
      </c>
      <c r="AI202" s="124">
        <f t="shared" si="1154"/>
        <v>1.0860000000000001</v>
      </c>
      <c r="AJ202" s="124">
        <f t="shared" si="1154"/>
        <v>1.0780000000000001</v>
      </c>
      <c r="AK202" s="126">
        <f t="shared" si="905"/>
        <v>0</v>
      </c>
      <c r="AL202" s="126"/>
      <c r="AM202" s="34">
        <f t="shared" ref="AM202:AN202" si="1256">AM201</f>
        <v>2.0059999999999998</v>
      </c>
      <c r="AN202" s="33" t="str">
        <f t="shared" si="1256"/>
        <v>5,40,620</v>
      </c>
      <c r="AO202" s="11" t="str">
        <f t="shared" si="907"/>
        <v>5,</v>
      </c>
      <c r="AP202" s="11" t="str">
        <f t="shared" si="908"/>
        <v>40,620</v>
      </c>
      <c r="AQ202" s="11">
        <f t="shared" si="909"/>
        <v>9.4616666666666668E-2</v>
      </c>
      <c r="AR202" s="14">
        <f t="shared" si="910"/>
        <v>21.201338735247486</v>
      </c>
      <c r="AS202" s="40">
        <f t="shared" si="911"/>
        <v>-100</v>
      </c>
      <c r="AT202" s="41" t="str">
        <f t="shared" si="912"/>
        <v>NO CONFORME</v>
      </c>
      <c r="AU202" s="8" t="b">
        <f t="shared" ref="AU202:AU265" si="1257">B202&lt;=C202</f>
        <v>1</v>
      </c>
      <c r="AV202" s="8" t="b">
        <f t="shared" ref="AV202:AV265" si="1258">N202&lt;Y202</f>
        <v>0</v>
      </c>
      <c r="AW202" s="8" t="b">
        <f t="shared" ref="AW202:AW265" si="1259">Z202&lt;=AK202</f>
        <v>1</v>
      </c>
      <c r="AX202" s="8" t="str">
        <f t="shared" ref="AX202:AX265" si="1260">IF(I202&gt;=1,"Qcorrecto",IF(AND(AY202="aceptable",AZ202="aceptable",BA202="aceptable"),"Qcorrecto","Qincorrecto"))</f>
        <v>Qcorrecto</v>
      </c>
      <c r="AY202" s="22" t="str">
        <f t="shared" si="1240"/>
        <v>aceptable</v>
      </c>
      <c r="AZ202" s="22" t="str">
        <f t="shared" si="1241"/>
        <v>aceptable</v>
      </c>
      <c r="BA202" s="22" t="str">
        <f t="shared" ref="BA202:BA265" si="1261">IF(T202&lt;$J$6*0.9,"error",IF(T202&gt;$J$6,"error","aceptable"))</f>
        <v>aceptable</v>
      </c>
      <c r="BB202" s="25" t="str">
        <f t="shared" ref="BB202:BB265" si="1262">(IF(ABS(U202)&lt;1.05,"CONFORME",IF(ABS(AG202)&lt;1.05,"CONFORME",IF(ABS(AS202)&lt;2.55,"CONFORME","NO CONFORME"))))</f>
        <v>NO CONFORME</v>
      </c>
      <c r="BC202" s="5" t="str">
        <f t="shared" ref="BC202:BC265" si="1263">(IF(ABS(U202)&gt;2.05,"NO CONFORME",IF(ABS(AG202)&gt;2.05,"NO CONFORME",IF(ABS(AS202)&gt;5.05,"NO CONFORME","CONFORME"))))</f>
        <v>NO CONFORME</v>
      </c>
      <c r="BD202" s="15">
        <f t="shared" si="1242"/>
        <v>-1</v>
      </c>
      <c r="BE202" s="15">
        <f t="shared" si="1243"/>
        <v>-1</v>
      </c>
      <c r="BF202" s="15">
        <f t="shared" si="1244"/>
        <v>-1</v>
      </c>
      <c r="BG202" s="15" t="str">
        <f t="shared" si="1245"/>
        <v>-1-1-1</v>
      </c>
      <c r="BH202" s="15" t="str">
        <f t="shared" si="1246"/>
        <v>SD</v>
      </c>
      <c r="BI202" s="15" t="str">
        <f t="shared" si="1247"/>
        <v>SI</v>
      </c>
      <c r="BJ202" s="15" t="b">
        <f t="shared" si="1248"/>
        <v>1</v>
      </c>
      <c r="BK202" s="15" t="str">
        <f t="shared" si="1249"/>
        <v>SIGIGUALES</v>
      </c>
      <c r="BL202" s="22" t="str">
        <f t="shared" si="1250"/>
        <v>NO CONFORME</v>
      </c>
    </row>
    <row r="203" spans="1:64" ht="14.4" x14ac:dyDescent="0.3">
      <c r="A203" s="36">
        <v>195</v>
      </c>
      <c r="B203" s="28">
        <f t="shared" ref="B203:E203" si="1264">B202</f>
        <v>45903</v>
      </c>
      <c r="C203" s="28">
        <f t="shared" si="1264"/>
        <v>45903</v>
      </c>
      <c r="D203" s="12">
        <f t="shared" si="1264"/>
        <v>3</v>
      </c>
      <c r="E203" s="10">
        <f t="shared" si="1264"/>
        <v>11</v>
      </c>
      <c r="F203" s="13"/>
      <c r="G203" s="69"/>
      <c r="H203" s="70">
        <f t="shared" ref="H203:L203" si="1265">H202</f>
        <v>25.6</v>
      </c>
      <c r="I203" s="37">
        <f t="shared" si="1265"/>
        <v>0</v>
      </c>
      <c r="J203" s="35">
        <f t="shared" si="1265"/>
        <v>16</v>
      </c>
      <c r="K203" s="122">
        <f t="shared" si="1265"/>
        <v>8.1690000000000005</v>
      </c>
      <c r="L203" s="122">
        <f t="shared" si="1265"/>
        <v>0.879</v>
      </c>
      <c r="M203" s="126"/>
      <c r="N203" s="126"/>
      <c r="O203" s="32">
        <f t="shared" ref="O203:P203" si="1266">O202</f>
        <v>100.65</v>
      </c>
      <c r="P203" s="33" t="str">
        <f t="shared" si="1266"/>
        <v>2,31,180</v>
      </c>
      <c r="Q203" s="11" t="str">
        <f t="shared" si="893"/>
        <v>2</v>
      </c>
      <c r="R203" s="11" t="str">
        <f t="shared" si="894"/>
        <v>31,180</v>
      </c>
      <c r="S203" s="11">
        <f t="shared" si="895"/>
        <v>4.1994444444444445E-2</v>
      </c>
      <c r="T203" s="14">
        <f t="shared" si="896"/>
        <v>2396.7456012700095</v>
      </c>
      <c r="U203" s="38">
        <f t="shared" si="897"/>
        <v>-100</v>
      </c>
      <c r="V203" s="39">
        <f t="shared" ref="V203:W203" si="1267">V202</f>
        <v>19.8</v>
      </c>
      <c r="W203" s="124">
        <f t="shared" si="1267"/>
        <v>1.08</v>
      </c>
      <c r="X203" s="124">
        <f t="shared" si="1254"/>
        <v>1.075</v>
      </c>
      <c r="Y203" s="126"/>
      <c r="Z203" s="126"/>
      <c r="AA203" s="90">
        <f t="shared" ref="AA203:AB203" si="1268">AA202</f>
        <v>5.0149999999999997</v>
      </c>
      <c r="AB203" s="73" t="str">
        <f t="shared" si="1268"/>
        <v>9,05,040</v>
      </c>
      <c r="AC203" s="11" t="str">
        <f t="shared" si="900"/>
        <v>9,</v>
      </c>
      <c r="AD203" s="11" t="str">
        <f t="shared" si="901"/>
        <v>05,040</v>
      </c>
      <c r="AE203" s="11">
        <f t="shared" si="902"/>
        <v>0.15139999999999998</v>
      </c>
      <c r="AF203" s="14">
        <f t="shared" si="903"/>
        <v>33.124174372523122</v>
      </c>
      <c r="AG203" s="40">
        <f t="shared" si="904"/>
        <v>-100</v>
      </c>
      <c r="AH203" s="39">
        <f t="shared" ref="AH203:AJ218" si="1269">AH202</f>
        <v>19.600000000000001</v>
      </c>
      <c r="AI203" s="124">
        <f t="shared" si="1269"/>
        <v>1.0860000000000001</v>
      </c>
      <c r="AJ203" s="124">
        <f t="shared" si="1269"/>
        <v>1.0780000000000001</v>
      </c>
      <c r="AK203" s="126">
        <f t="shared" si="905"/>
        <v>0</v>
      </c>
      <c r="AL203" s="126"/>
      <c r="AM203" s="34">
        <f t="shared" ref="AM203:AN203" si="1270">AM202</f>
        <v>2.0059999999999998</v>
      </c>
      <c r="AN203" s="33" t="str">
        <f t="shared" si="1270"/>
        <v>5,40,620</v>
      </c>
      <c r="AO203" s="11" t="str">
        <f t="shared" si="907"/>
        <v>5,</v>
      </c>
      <c r="AP203" s="11" t="str">
        <f t="shared" si="908"/>
        <v>40,620</v>
      </c>
      <c r="AQ203" s="11">
        <f t="shared" si="909"/>
        <v>9.4616666666666668E-2</v>
      </c>
      <c r="AR203" s="14">
        <f t="shared" si="910"/>
        <v>21.201338735247486</v>
      </c>
      <c r="AS203" s="40">
        <f t="shared" si="911"/>
        <v>-100</v>
      </c>
      <c r="AT203" s="41" t="str">
        <f t="shared" si="912"/>
        <v>NO CONFORME</v>
      </c>
      <c r="AU203" s="8" t="b">
        <f t="shared" si="1257"/>
        <v>1</v>
      </c>
      <c r="AV203" s="8" t="b">
        <f t="shared" si="1258"/>
        <v>0</v>
      </c>
      <c r="AW203" s="8" t="b">
        <f t="shared" si="1259"/>
        <v>1</v>
      </c>
      <c r="AX203" s="8" t="str">
        <f t="shared" si="1260"/>
        <v>Qcorrecto</v>
      </c>
      <c r="AY203" s="22" t="str">
        <f t="shared" si="1240"/>
        <v>aceptable</v>
      </c>
      <c r="AZ203" s="22" t="str">
        <f t="shared" si="1241"/>
        <v>aceptable</v>
      </c>
      <c r="BA203" s="22" t="str">
        <f t="shared" si="1261"/>
        <v>aceptable</v>
      </c>
      <c r="BB203" s="25" t="str">
        <f t="shared" si="1262"/>
        <v>NO CONFORME</v>
      </c>
      <c r="BC203" s="5" t="str">
        <f t="shared" si="1263"/>
        <v>NO CONFORME</v>
      </c>
      <c r="BD203" s="15">
        <f t="shared" si="1242"/>
        <v>-1</v>
      </c>
      <c r="BE203" s="15">
        <f t="shared" si="1243"/>
        <v>-1</v>
      </c>
      <c r="BF203" s="15">
        <f t="shared" si="1244"/>
        <v>-1</v>
      </c>
      <c r="BG203" s="15" t="str">
        <f t="shared" si="1245"/>
        <v>-1-1-1</v>
      </c>
      <c r="BH203" s="15" t="str">
        <f t="shared" si="1246"/>
        <v>SD</v>
      </c>
      <c r="BI203" s="15" t="str">
        <f t="shared" si="1247"/>
        <v>SI</v>
      </c>
      <c r="BJ203" s="15" t="b">
        <f t="shared" si="1248"/>
        <v>1</v>
      </c>
      <c r="BK203" s="15" t="str">
        <f t="shared" si="1249"/>
        <v>SIGIGUALES</v>
      </c>
      <c r="BL203" s="22" t="str">
        <f t="shared" si="1250"/>
        <v>NO CONFORME</v>
      </c>
    </row>
    <row r="204" spans="1:64" ht="14.4" x14ac:dyDescent="0.3">
      <c r="A204" s="36">
        <v>196</v>
      </c>
      <c r="B204" s="28">
        <f t="shared" ref="B204:E204" si="1271">B203</f>
        <v>45903</v>
      </c>
      <c r="C204" s="28">
        <f t="shared" si="1271"/>
        <v>45903</v>
      </c>
      <c r="D204" s="12">
        <f t="shared" si="1271"/>
        <v>3</v>
      </c>
      <c r="E204" s="10">
        <f t="shared" si="1271"/>
        <v>11</v>
      </c>
      <c r="F204" s="13"/>
      <c r="G204" s="69"/>
      <c r="H204" s="70">
        <f t="shared" ref="H204:L204" si="1272">H203</f>
        <v>25.6</v>
      </c>
      <c r="I204" s="37">
        <f t="shared" si="1272"/>
        <v>0</v>
      </c>
      <c r="J204" s="35">
        <f t="shared" si="1272"/>
        <v>16</v>
      </c>
      <c r="K204" s="122">
        <f t="shared" si="1272"/>
        <v>8.1690000000000005</v>
      </c>
      <c r="L204" s="122">
        <f t="shared" si="1272"/>
        <v>0.879</v>
      </c>
      <c r="M204" s="126"/>
      <c r="N204" s="126"/>
      <c r="O204" s="32">
        <f t="shared" ref="O204:P204" si="1273">O203</f>
        <v>100.65</v>
      </c>
      <c r="P204" s="33" t="str">
        <f t="shared" si="1273"/>
        <v>2,31,180</v>
      </c>
      <c r="Q204" s="11" t="str">
        <f t="shared" si="893"/>
        <v>2</v>
      </c>
      <c r="R204" s="11" t="str">
        <f t="shared" si="894"/>
        <v>31,180</v>
      </c>
      <c r="S204" s="11">
        <f t="shared" si="895"/>
        <v>4.1994444444444445E-2</v>
      </c>
      <c r="T204" s="14">
        <f t="shared" si="896"/>
        <v>2396.7456012700095</v>
      </c>
      <c r="U204" s="38">
        <f t="shared" si="897"/>
        <v>-100</v>
      </c>
      <c r="V204" s="39">
        <f t="shared" ref="V204:W204" si="1274">V203</f>
        <v>19.8</v>
      </c>
      <c r="W204" s="124">
        <f t="shared" si="1274"/>
        <v>1.08</v>
      </c>
      <c r="X204" s="124">
        <f t="shared" si="1254"/>
        <v>1.075</v>
      </c>
      <c r="Y204" s="126"/>
      <c r="Z204" s="126"/>
      <c r="AA204" s="90">
        <f t="shared" ref="AA204:AB204" si="1275">AA203</f>
        <v>5.0149999999999997</v>
      </c>
      <c r="AB204" s="73" t="str">
        <f t="shared" si="1275"/>
        <v>9,05,040</v>
      </c>
      <c r="AC204" s="11" t="str">
        <f t="shared" si="900"/>
        <v>9,</v>
      </c>
      <c r="AD204" s="11" t="str">
        <f t="shared" si="901"/>
        <v>05,040</v>
      </c>
      <c r="AE204" s="11">
        <f t="shared" si="902"/>
        <v>0.15139999999999998</v>
      </c>
      <c r="AF204" s="14">
        <f t="shared" si="903"/>
        <v>33.124174372523122</v>
      </c>
      <c r="AG204" s="40">
        <f t="shared" si="904"/>
        <v>-100</v>
      </c>
      <c r="AH204" s="39">
        <f t="shared" si="1269"/>
        <v>19.600000000000001</v>
      </c>
      <c r="AI204" s="124">
        <f t="shared" si="1269"/>
        <v>1.0860000000000001</v>
      </c>
      <c r="AJ204" s="124">
        <f t="shared" si="1269"/>
        <v>1.0780000000000001</v>
      </c>
      <c r="AK204" s="126">
        <f t="shared" si="905"/>
        <v>0</v>
      </c>
      <c r="AL204" s="126"/>
      <c r="AM204" s="34">
        <f t="shared" ref="AM204:AN204" si="1276">AM203</f>
        <v>2.0059999999999998</v>
      </c>
      <c r="AN204" s="33" t="str">
        <f t="shared" si="1276"/>
        <v>5,40,620</v>
      </c>
      <c r="AO204" s="11" t="str">
        <f t="shared" si="907"/>
        <v>5,</v>
      </c>
      <c r="AP204" s="11" t="str">
        <f t="shared" si="908"/>
        <v>40,620</v>
      </c>
      <c r="AQ204" s="11">
        <f t="shared" si="909"/>
        <v>9.4616666666666668E-2</v>
      </c>
      <c r="AR204" s="14">
        <f t="shared" si="910"/>
        <v>21.201338735247486</v>
      </c>
      <c r="AS204" s="40">
        <f t="shared" si="911"/>
        <v>-100</v>
      </c>
      <c r="AT204" s="41" t="str">
        <f t="shared" si="912"/>
        <v>NO CONFORME</v>
      </c>
      <c r="AU204" s="8" t="b">
        <f t="shared" si="1257"/>
        <v>1</v>
      </c>
      <c r="AV204" s="8" t="b">
        <f t="shared" si="1258"/>
        <v>0</v>
      </c>
      <c r="AW204" s="8" t="b">
        <f t="shared" si="1259"/>
        <v>1</v>
      </c>
      <c r="AX204" s="8" t="str">
        <f t="shared" si="1260"/>
        <v>Qcorrecto</v>
      </c>
      <c r="AY204" s="22" t="str">
        <f t="shared" si="1240"/>
        <v>aceptable</v>
      </c>
      <c r="AZ204" s="22" t="str">
        <f t="shared" si="1241"/>
        <v>aceptable</v>
      </c>
      <c r="BA204" s="22" t="str">
        <f t="shared" si="1261"/>
        <v>aceptable</v>
      </c>
      <c r="BB204" s="25" t="str">
        <f t="shared" si="1262"/>
        <v>NO CONFORME</v>
      </c>
      <c r="BC204" s="5" t="str">
        <f t="shared" si="1263"/>
        <v>NO CONFORME</v>
      </c>
      <c r="BD204" s="15">
        <f t="shared" si="1242"/>
        <v>-1</v>
      </c>
      <c r="BE204" s="15">
        <f t="shared" si="1243"/>
        <v>-1</v>
      </c>
      <c r="BF204" s="15">
        <f t="shared" si="1244"/>
        <v>-1</v>
      </c>
      <c r="BG204" s="15" t="str">
        <f t="shared" si="1245"/>
        <v>-1-1-1</v>
      </c>
      <c r="BH204" s="15" t="str">
        <f t="shared" si="1246"/>
        <v>SD</v>
      </c>
      <c r="BI204" s="15" t="str">
        <f t="shared" si="1247"/>
        <v>SI</v>
      </c>
      <c r="BJ204" s="15" t="b">
        <f t="shared" si="1248"/>
        <v>1</v>
      </c>
      <c r="BK204" s="15" t="str">
        <f t="shared" si="1249"/>
        <v>SIGIGUALES</v>
      </c>
      <c r="BL204" s="22" t="str">
        <f t="shared" si="1250"/>
        <v>NO CONFORME</v>
      </c>
    </row>
    <row r="205" spans="1:64" ht="14.4" x14ac:dyDescent="0.3">
      <c r="A205" s="36">
        <v>197</v>
      </c>
      <c r="B205" s="28">
        <f t="shared" ref="B205:E205" si="1277">B204</f>
        <v>45903</v>
      </c>
      <c r="C205" s="28">
        <f t="shared" si="1277"/>
        <v>45903</v>
      </c>
      <c r="D205" s="12">
        <f t="shared" si="1277"/>
        <v>3</v>
      </c>
      <c r="E205" s="10">
        <f t="shared" si="1277"/>
        <v>11</v>
      </c>
      <c r="F205" s="13"/>
      <c r="G205" s="69"/>
      <c r="H205" s="70">
        <f t="shared" ref="H205:L205" si="1278">H204</f>
        <v>25.6</v>
      </c>
      <c r="I205" s="37">
        <f t="shared" si="1278"/>
        <v>0</v>
      </c>
      <c r="J205" s="35">
        <f t="shared" si="1278"/>
        <v>16</v>
      </c>
      <c r="K205" s="122">
        <f t="shared" si="1278"/>
        <v>8.1690000000000005</v>
      </c>
      <c r="L205" s="122">
        <f t="shared" si="1278"/>
        <v>0.879</v>
      </c>
      <c r="M205" s="126"/>
      <c r="N205" s="126"/>
      <c r="O205" s="32">
        <f t="shared" ref="O205:P205" si="1279">O204</f>
        <v>100.65</v>
      </c>
      <c r="P205" s="33" t="str">
        <f t="shared" si="1279"/>
        <v>2,31,180</v>
      </c>
      <c r="Q205" s="11" t="str">
        <f t="shared" si="893"/>
        <v>2</v>
      </c>
      <c r="R205" s="11" t="str">
        <f t="shared" si="894"/>
        <v>31,180</v>
      </c>
      <c r="S205" s="11">
        <f t="shared" si="895"/>
        <v>4.1994444444444445E-2</v>
      </c>
      <c r="T205" s="14">
        <f t="shared" si="896"/>
        <v>2396.7456012700095</v>
      </c>
      <c r="U205" s="38">
        <f t="shared" si="897"/>
        <v>-100</v>
      </c>
      <c r="V205" s="39">
        <f t="shared" ref="V205:W205" si="1280">V204</f>
        <v>19.8</v>
      </c>
      <c r="W205" s="124">
        <f t="shared" si="1280"/>
        <v>1.08</v>
      </c>
      <c r="X205" s="124">
        <f t="shared" si="1254"/>
        <v>1.075</v>
      </c>
      <c r="Y205" s="126"/>
      <c r="Z205" s="126"/>
      <c r="AA205" s="90">
        <f t="shared" ref="AA205:AB205" si="1281">AA204</f>
        <v>5.0149999999999997</v>
      </c>
      <c r="AB205" s="73" t="str">
        <f t="shared" si="1281"/>
        <v>9,05,040</v>
      </c>
      <c r="AC205" s="11" t="str">
        <f t="shared" si="900"/>
        <v>9,</v>
      </c>
      <c r="AD205" s="11" t="str">
        <f t="shared" si="901"/>
        <v>05,040</v>
      </c>
      <c r="AE205" s="11">
        <f t="shared" si="902"/>
        <v>0.15139999999999998</v>
      </c>
      <c r="AF205" s="14">
        <f t="shared" si="903"/>
        <v>33.124174372523122</v>
      </c>
      <c r="AG205" s="40">
        <f t="shared" si="904"/>
        <v>-100</v>
      </c>
      <c r="AH205" s="39">
        <f t="shared" si="1269"/>
        <v>19.600000000000001</v>
      </c>
      <c r="AI205" s="124">
        <f t="shared" si="1269"/>
        <v>1.0860000000000001</v>
      </c>
      <c r="AJ205" s="124">
        <f t="shared" si="1269"/>
        <v>1.0780000000000001</v>
      </c>
      <c r="AK205" s="126">
        <f t="shared" si="905"/>
        <v>0</v>
      </c>
      <c r="AL205" s="126"/>
      <c r="AM205" s="34">
        <f t="shared" ref="AM205:AN205" si="1282">AM204</f>
        <v>2.0059999999999998</v>
      </c>
      <c r="AN205" s="33" t="str">
        <f t="shared" si="1282"/>
        <v>5,40,620</v>
      </c>
      <c r="AO205" s="11" t="str">
        <f t="shared" si="907"/>
        <v>5,</v>
      </c>
      <c r="AP205" s="11" t="str">
        <f t="shared" si="908"/>
        <v>40,620</v>
      </c>
      <c r="AQ205" s="11">
        <f t="shared" si="909"/>
        <v>9.4616666666666668E-2</v>
      </c>
      <c r="AR205" s="14">
        <f t="shared" si="910"/>
        <v>21.201338735247486</v>
      </c>
      <c r="AS205" s="40">
        <f t="shared" si="911"/>
        <v>-100</v>
      </c>
      <c r="AT205" s="41" t="str">
        <f t="shared" si="912"/>
        <v>NO CONFORME</v>
      </c>
      <c r="AU205" s="8" t="b">
        <f t="shared" si="1257"/>
        <v>1</v>
      </c>
      <c r="AV205" s="8" t="b">
        <f t="shared" si="1258"/>
        <v>0</v>
      </c>
      <c r="AW205" s="8" t="b">
        <f t="shared" si="1259"/>
        <v>1</v>
      </c>
      <c r="AX205" s="8" t="str">
        <f t="shared" si="1260"/>
        <v>Qcorrecto</v>
      </c>
      <c r="AY205" s="22" t="str">
        <f t="shared" si="1240"/>
        <v>aceptable</v>
      </c>
      <c r="AZ205" s="22" t="str">
        <f t="shared" si="1241"/>
        <v>aceptable</v>
      </c>
      <c r="BA205" s="22" t="str">
        <f t="shared" si="1261"/>
        <v>aceptable</v>
      </c>
      <c r="BB205" s="25" t="str">
        <f t="shared" si="1262"/>
        <v>NO CONFORME</v>
      </c>
      <c r="BC205" s="5" t="str">
        <f t="shared" si="1263"/>
        <v>NO CONFORME</v>
      </c>
      <c r="BD205" s="15">
        <f t="shared" si="1242"/>
        <v>-1</v>
      </c>
      <c r="BE205" s="15">
        <f t="shared" si="1243"/>
        <v>-1</v>
      </c>
      <c r="BF205" s="15">
        <f t="shared" si="1244"/>
        <v>-1</v>
      </c>
      <c r="BG205" s="15" t="str">
        <f t="shared" si="1245"/>
        <v>-1-1-1</v>
      </c>
      <c r="BH205" s="15" t="str">
        <f t="shared" si="1246"/>
        <v>SD</v>
      </c>
      <c r="BI205" s="15" t="str">
        <f t="shared" si="1247"/>
        <v>SI</v>
      </c>
      <c r="BJ205" s="15" t="b">
        <f t="shared" si="1248"/>
        <v>1</v>
      </c>
      <c r="BK205" s="15" t="str">
        <f t="shared" si="1249"/>
        <v>SIGIGUALES</v>
      </c>
      <c r="BL205" s="22" t="str">
        <f t="shared" si="1250"/>
        <v>NO CONFORME</v>
      </c>
    </row>
    <row r="206" spans="1:64" ht="14.4" x14ac:dyDescent="0.3">
      <c r="A206" s="36">
        <v>198</v>
      </c>
      <c r="B206" s="28">
        <f t="shared" ref="B206:E206" si="1283">B205</f>
        <v>45903</v>
      </c>
      <c r="C206" s="28">
        <f t="shared" si="1283"/>
        <v>45903</v>
      </c>
      <c r="D206" s="12">
        <f t="shared" si="1283"/>
        <v>3</v>
      </c>
      <c r="E206" s="10">
        <f t="shared" si="1283"/>
        <v>11</v>
      </c>
      <c r="F206" s="13"/>
      <c r="G206" s="69"/>
      <c r="H206" s="70">
        <f t="shared" ref="H206:L206" si="1284">H205</f>
        <v>25.6</v>
      </c>
      <c r="I206" s="37">
        <f t="shared" si="1284"/>
        <v>0</v>
      </c>
      <c r="J206" s="35">
        <f t="shared" si="1284"/>
        <v>16</v>
      </c>
      <c r="K206" s="122">
        <f t="shared" si="1284"/>
        <v>8.1690000000000005</v>
      </c>
      <c r="L206" s="122">
        <f t="shared" si="1284"/>
        <v>0.879</v>
      </c>
      <c r="M206" s="126"/>
      <c r="N206" s="126"/>
      <c r="O206" s="32">
        <f t="shared" ref="O206:P206" si="1285">O205</f>
        <v>100.65</v>
      </c>
      <c r="P206" s="33" t="str">
        <f t="shared" si="1285"/>
        <v>2,31,180</v>
      </c>
      <c r="Q206" s="11" t="str">
        <f t="shared" si="893"/>
        <v>2</v>
      </c>
      <c r="R206" s="11" t="str">
        <f t="shared" si="894"/>
        <v>31,180</v>
      </c>
      <c r="S206" s="11">
        <f t="shared" si="895"/>
        <v>4.1994444444444445E-2</v>
      </c>
      <c r="T206" s="14">
        <f t="shared" si="896"/>
        <v>2396.7456012700095</v>
      </c>
      <c r="U206" s="38">
        <f t="shared" si="897"/>
        <v>-100</v>
      </c>
      <c r="V206" s="39">
        <f t="shared" ref="V206:W206" si="1286">V205</f>
        <v>19.8</v>
      </c>
      <c r="W206" s="124">
        <f t="shared" si="1286"/>
        <v>1.08</v>
      </c>
      <c r="X206" s="124">
        <f t="shared" si="1254"/>
        <v>1.075</v>
      </c>
      <c r="Y206" s="126"/>
      <c r="Z206" s="126"/>
      <c r="AA206" s="90">
        <f t="shared" ref="AA206:AB206" si="1287">AA205</f>
        <v>5.0149999999999997</v>
      </c>
      <c r="AB206" s="73" t="str">
        <f t="shared" si="1287"/>
        <v>9,05,040</v>
      </c>
      <c r="AC206" s="11" t="str">
        <f t="shared" si="900"/>
        <v>9,</v>
      </c>
      <c r="AD206" s="11" t="str">
        <f t="shared" si="901"/>
        <v>05,040</v>
      </c>
      <c r="AE206" s="11">
        <f t="shared" si="902"/>
        <v>0.15139999999999998</v>
      </c>
      <c r="AF206" s="14">
        <f t="shared" si="903"/>
        <v>33.124174372523122</v>
      </c>
      <c r="AG206" s="40">
        <f t="shared" si="904"/>
        <v>-100</v>
      </c>
      <c r="AH206" s="39">
        <f t="shared" si="1269"/>
        <v>19.600000000000001</v>
      </c>
      <c r="AI206" s="124">
        <f t="shared" si="1269"/>
        <v>1.0860000000000001</v>
      </c>
      <c r="AJ206" s="124">
        <f t="shared" si="1269"/>
        <v>1.0780000000000001</v>
      </c>
      <c r="AK206" s="126">
        <f t="shared" si="905"/>
        <v>0</v>
      </c>
      <c r="AL206" s="126"/>
      <c r="AM206" s="34">
        <f t="shared" ref="AM206:AN206" si="1288">AM205</f>
        <v>2.0059999999999998</v>
      </c>
      <c r="AN206" s="33" t="str">
        <f t="shared" si="1288"/>
        <v>5,40,620</v>
      </c>
      <c r="AO206" s="11" t="str">
        <f t="shared" si="907"/>
        <v>5,</v>
      </c>
      <c r="AP206" s="11" t="str">
        <f t="shared" si="908"/>
        <v>40,620</v>
      </c>
      <c r="AQ206" s="11">
        <f t="shared" si="909"/>
        <v>9.4616666666666668E-2</v>
      </c>
      <c r="AR206" s="14">
        <f t="shared" si="910"/>
        <v>21.201338735247486</v>
      </c>
      <c r="AS206" s="40">
        <f t="shared" si="911"/>
        <v>-100</v>
      </c>
      <c r="AT206" s="41" t="str">
        <f t="shared" si="912"/>
        <v>NO CONFORME</v>
      </c>
      <c r="AU206" s="8" t="b">
        <f t="shared" si="1257"/>
        <v>1</v>
      </c>
      <c r="AV206" s="8" t="b">
        <f t="shared" si="1258"/>
        <v>0</v>
      </c>
      <c r="AW206" s="8" t="b">
        <f t="shared" si="1259"/>
        <v>1</v>
      </c>
      <c r="AX206" s="8" t="str">
        <f t="shared" si="1260"/>
        <v>Qcorrecto</v>
      </c>
      <c r="AY206" s="22" t="str">
        <f t="shared" si="1240"/>
        <v>aceptable</v>
      </c>
      <c r="AZ206" s="22" t="str">
        <f t="shared" si="1241"/>
        <v>aceptable</v>
      </c>
      <c r="BA206" s="22" t="str">
        <f t="shared" si="1261"/>
        <v>aceptable</v>
      </c>
      <c r="BB206" s="25" t="str">
        <f t="shared" si="1262"/>
        <v>NO CONFORME</v>
      </c>
      <c r="BC206" s="5" t="str">
        <f t="shared" si="1263"/>
        <v>NO CONFORME</v>
      </c>
      <c r="BD206" s="15">
        <f t="shared" si="1242"/>
        <v>-1</v>
      </c>
      <c r="BE206" s="15">
        <f t="shared" si="1243"/>
        <v>-1</v>
      </c>
      <c r="BF206" s="15">
        <f t="shared" si="1244"/>
        <v>-1</v>
      </c>
      <c r="BG206" s="15" t="str">
        <f t="shared" si="1245"/>
        <v>-1-1-1</v>
      </c>
      <c r="BH206" s="15" t="str">
        <f t="shared" si="1246"/>
        <v>SD</v>
      </c>
      <c r="BI206" s="15" t="str">
        <f t="shared" si="1247"/>
        <v>SI</v>
      </c>
      <c r="BJ206" s="15" t="b">
        <f t="shared" si="1248"/>
        <v>1</v>
      </c>
      <c r="BK206" s="15" t="str">
        <f t="shared" si="1249"/>
        <v>SIGIGUALES</v>
      </c>
      <c r="BL206" s="22" t="str">
        <f t="shared" si="1250"/>
        <v>NO CONFORME</v>
      </c>
    </row>
    <row r="207" spans="1:64" ht="14.4" x14ac:dyDescent="0.3">
      <c r="A207" s="36">
        <v>199</v>
      </c>
      <c r="B207" s="28">
        <f t="shared" ref="B207:E207" si="1289">B206</f>
        <v>45903</v>
      </c>
      <c r="C207" s="28">
        <f t="shared" si="1289"/>
        <v>45903</v>
      </c>
      <c r="D207" s="12">
        <f t="shared" si="1289"/>
        <v>3</v>
      </c>
      <c r="E207" s="10">
        <f t="shared" si="1289"/>
        <v>11</v>
      </c>
      <c r="F207" s="13"/>
      <c r="G207" s="69"/>
      <c r="H207" s="70">
        <f t="shared" ref="H207:L207" si="1290">H206</f>
        <v>25.6</v>
      </c>
      <c r="I207" s="37">
        <f t="shared" si="1290"/>
        <v>0</v>
      </c>
      <c r="J207" s="35">
        <f t="shared" si="1290"/>
        <v>16</v>
      </c>
      <c r="K207" s="122">
        <f t="shared" si="1290"/>
        <v>8.1690000000000005</v>
      </c>
      <c r="L207" s="122">
        <f t="shared" si="1290"/>
        <v>0.879</v>
      </c>
      <c r="M207" s="126"/>
      <c r="N207" s="126"/>
      <c r="O207" s="32">
        <f t="shared" ref="O207:P207" si="1291">O206</f>
        <v>100.65</v>
      </c>
      <c r="P207" s="33" t="str">
        <f t="shared" si="1291"/>
        <v>2,31,180</v>
      </c>
      <c r="Q207" s="11" t="str">
        <f t="shared" si="893"/>
        <v>2</v>
      </c>
      <c r="R207" s="11" t="str">
        <f t="shared" si="894"/>
        <v>31,180</v>
      </c>
      <c r="S207" s="11">
        <f t="shared" si="895"/>
        <v>4.1994444444444445E-2</v>
      </c>
      <c r="T207" s="14">
        <f t="shared" si="896"/>
        <v>2396.7456012700095</v>
      </c>
      <c r="U207" s="38">
        <f t="shared" si="897"/>
        <v>-100</v>
      </c>
      <c r="V207" s="39">
        <f t="shared" ref="V207:W207" si="1292">V206</f>
        <v>19.8</v>
      </c>
      <c r="W207" s="124">
        <f t="shared" si="1292"/>
        <v>1.08</v>
      </c>
      <c r="X207" s="124">
        <f t="shared" si="1254"/>
        <v>1.075</v>
      </c>
      <c r="Y207" s="126"/>
      <c r="Z207" s="126"/>
      <c r="AA207" s="90">
        <f t="shared" ref="AA207:AB207" si="1293">AA206</f>
        <v>5.0149999999999997</v>
      </c>
      <c r="AB207" s="73" t="str">
        <f t="shared" si="1293"/>
        <v>9,05,040</v>
      </c>
      <c r="AC207" s="11" t="str">
        <f t="shared" si="900"/>
        <v>9,</v>
      </c>
      <c r="AD207" s="11" t="str">
        <f t="shared" si="901"/>
        <v>05,040</v>
      </c>
      <c r="AE207" s="11">
        <f t="shared" si="902"/>
        <v>0.15139999999999998</v>
      </c>
      <c r="AF207" s="14">
        <f t="shared" si="903"/>
        <v>33.124174372523122</v>
      </c>
      <c r="AG207" s="40">
        <f t="shared" si="904"/>
        <v>-100</v>
      </c>
      <c r="AH207" s="39">
        <f t="shared" si="1269"/>
        <v>19.600000000000001</v>
      </c>
      <c r="AI207" s="124">
        <f t="shared" si="1269"/>
        <v>1.0860000000000001</v>
      </c>
      <c r="AJ207" s="124">
        <f t="shared" si="1269"/>
        <v>1.0780000000000001</v>
      </c>
      <c r="AK207" s="126">
        <f t="shared" si="905"/>
        <v>0</v>
      </c>
      <c r="AL207" s="126"/>
      <c r="AM207" s="34">
        <f t="shared" ref="AM207:AN207" si="1294">AM206</f>
        <v>2.0059999999999998</v>
      </c>
      <c r="AN207" s="33" t="str">
        <f t="shared" si="1294"/>
        <v>5,40,620</v>
      </c>
      <c r="AO207" s="11" t="str">
        <f t="shared" si="907"/>
        <v>5,</v>
      </c>
      <c r="AP207" s="11" t="str">
        <f t="shared" si="908"/>
        <v>40,620</v>
      </c>
      <c r="AQ207" s="11">
        <f t="shared" si="909"/>
        <v>9.4616666666666668E-2</v>
      </c>
      <c r="AR207" s="14">
        <f t="shared" si="910"/>
        <v>21.201338735247486</v>
      </c>
      <c r="AS207" s="40">
        <f t="shared" si="911"/>
        <v>-100</v>
      </c>
      <c r="AT207" s="41" t="str">
        <f t="shared" si="912"/>
        <v>NO CONFORME</v>
      </c>
      <c r="AU207" s="8" t="b">
        <f t="shared" si="1257"/>
        <v>1</v>
      </c>
      <c r="AV207" s="8" t="b">
        <f t="shared" si="1258"/>
        <v>0</v>
      </c>
      <c r="AW207" s="8" t="b">
        <f t="shared" si="1259"/>
        <v>1</v>
      </c>
      <c r="AX207" s="8" t="str">
        <f t="shared" si="1260"/>
        <v>Qcorrecto</v>
      </c>
      <c r="AY207" s="22" t="str">
        <f t="shared" si="1240"/>
        <v>aceptable</v>
      </c>
      <c r="AZ207" s="22" t="str">
        <f t="shared" si="1241"/>
        <v>aceptable</v>
      </c>
      <c r="BA207" s="22" t="str">
        <f t="shared" si="1261"/>
        <v>aceptable</v>
      </c>
      <c r="BB207" s="25" t="str">
        <f t="shared" si="1262"/>
        <v>NO CONFORME</v>
      </c>
      <c r="BC207" s="5" t="str">
        <f t="shared" si="1263"/>
        <v>NO CONFORME</v>
      </c>
      <c r="BD207" s="15">
        <f t="shared" si="1242"/>
        <v>-1</v>
      </c>
      <c r="BE207" s="15">
        <f t="shared" si="1243"/>
        <v>-1</v>
      </c>
      <c r="BF207" s="15">
        <f t="shared" si="1244"/>
        <v>-1</v>
      </c>
      <c r="BG207" s="15" t="str">
        <f t="shared" si="1245"/>
        <v>-1-1-1</v>
      </c>
      <c r="BH207" s="15" t="str">
        <f t="shared" si="1246"/>
        <v>SD</v>
      </c>
      <c r="BI207" s="15" t="str">
        <f t="shared" si="1247"/>
        <v>SI</v>
      </c>
      <c r="BJ207" s="15" t="b">
        <f t="shared" si="1248"/>
        <v>1</v>
      </c>
      <c r="BK207" s="15" t="str">
        <f t="shared" si="1249"/>
        <v>SIGIGUALES</v>
      </c>
      <c r="BL207" s="22" t="str">
        <f t="shared" si="1250"/>
        <v>NO CONFORME</v>
      </c>
    </row>
    <row r="208" spans="1:64" ht="14.4" x14ac:dyDescent="0.3">
      <c r="A208" s="36">
        <v>200</v>
      </c>
      <c r="B208" s="28">
        <f t="shared" ref="B208:E208" si="1295">B207</f>
        <v>45903</v>
      </c>
      <c r="C208" s="28">
        <f t="shared" si="1295"/>
        <v>45903</v>
      </c>
      <c r="D208" s="12">
        <f t="shared" si="1295"/>
        <v>3</v>
      </c>
      <c r="E208" s="10">
        <f t="shared" si="1295"/>
        <v>11</v>
      </c>
      <c r="F208" s="13"/>
      <c r="G208" s="69"/>
      <c r="H208" s="70">
        <f t="shared" ref="H208:L208" si="1296">H207</f>
        <v>25.6</v>
      </c>
      <c r="I208" s="37">
        <f t="shared" si="1296"/>
        <v>0</v>
      </c>
      <c r="J208" s="35">
        <f t="shared" si="1296"/>
        <v>16</v>
      </c>
      <c r="K208" s="122">
        <f t="shared" si="1296"/>
        <v>8.1690000000000005</v>
      </c>
      <c r="L208" s="122">
        <f t="shared" si="1296"/>
        <v>0.879</v>
      </c>
      <c r="M208" s="126"/>
      <c r="N208" s="126"/>
      <c r="O208" s="32">
        <f t="shared" ref="O208:P208" si="1297">O207</f>
        <v>100.65</v>
      </c>
      <c r="P208" s="33" t="str">
        <f t="shared" si="1297"/>
        <v>2,31,180</v>
      </c>
      <c r="Q208" s="11" t="str">
        <f t="shared" si="893"/>
        <v>2</v>
      </c>
      <c r="R208" s="11" t="str">
        <f t="shared" si="894"/>
        <v>31,180</v>
      </c>
      <c r="S208" s="11">
        <f t="shared" si="895"/>
        <v>4.1994444444444445E-2</v>
      </c>
      <c r="T208" s="14">
        <f t="shared" si="896"/>
        <v>2396.7456012700095</v>
      </c>
      <c r="U208" s="38">
        <f t="shared" si="897"/>
        <v>-100</v>
      </c>
      <c r="V208" s="39">
        <f t="shared" ref="V208:W208" si="1298">V207</f>
        <v>19.8</v>
      </c>
      <c r="W208" s="124">
        <f t="shared" si="1298"/>
        <v>1.08</v>
      </c>
      <c r="X208" s="124">
        <f t="shared" si="1254"/>
        <v>1.075</v>
      </c>
      <c r="Y208" s="126"/>
      <c r="Z208" s="126"/>
      <c r="AA208" s="90">
        <f t="shared" ref="AA208:AB208" si="1299">AA207</f>
        <v>5.0149999999999997</v>
      </c>
      <c r="AB208" s="73" t="str">
        <f t="shared" si="1299"/>
        <v>9,05,040</v>
      </c>
      <c r="AC208" s="11" t="str">
        <f t="shared" si="900"/>
        <v>9,</v>
      </c>
      <c r="AD208" s="11" t="str">
        <f t="shared" si="901"/>
        <v>05,040</v>
      </c>
      <c r="AE208" s="11">
        <f t="shared" si="902"/>
        <v>0.15139999999999998</v>
      </c>
      <c r="AF208" s="14">
        <f t="shared" si="903"/>
        <v>33.124174372523122</v>
      </c>
      <c r="AG208" s="40">
        <f t="shared" si="904"/>
        <v>-100</v>
      </c>
      <c r="AH208" s="39">
        <f t="shared" si="1269"/>
        <v>19.600000000000001</v>
      </c>
      <c r="AI208" s="124">
        <f t="shared" si="1269"/>
        <v>1.0860000000000001</v>
      </c>
      <c r="AJ208" s="124">
        <f t="shared" si="1269"/>
        <v>1.0780000000000001</v>
      </c>
      <c r="AK208" s="126">
        <f t="shared" si="905"/>
        <v>0</v>
      </c>
      <c r="AL208" s="126"/>
      <c r="AM208" s="34">
        <f t="shared" ref="AM208:AN208" si="1300">AM207</f>
        <v>2.0059999999999998</v>
      </c>
      <c r="AN208" s="33" t="str">
        <f t="shared" si="1300"/>
        <v>5,40,620</v>
      </c>
      <c r="AO208" s="11" t="str">
        <f t="shared" si="907"/>
        <v>5,</v>
      </c>
      <c r="AP208" s="11" t="str">
        <f t="shared" si="908"/>
        <v>40,620</v>
      </c>
      <c r="AQ208" s="11">
        <f t="shared" si="909"/>
        <v>9.4616666666666668E-2</v>
      </c>
      <c r="AR208" s="14">
        <f t="shared" si="910"/>
        <v>21.201338735247486</v>
      </c>
      <c r="AS208" s="40">
        <f t="shared" si="911"/>
        <v>-100</v>
      </c>
      <c r="AT208" s="41" t="str">
        <f t="shared" si="912"/>
        <v>NO CONFORME</v>
      </c>
      <c r="AU208" s="8" t="b">
        <f t="shared" si="1257"/>
        <v>1</v>
      </c>
      <c r="AV208" s="8" t="b">
        <f t="shared" si="1258"/>
        <v>0</v>
      </c>
      <c r="AW208" s="8" t="b">
        <f t="shared" si="1259"/>
        <v>1</v>
      </c>
      <c r="AX208" s="8" t="str">
        <f t="shared" si="1260"/>
        <v>Qcorrecto</v>
      </c>
      <c r="AY208" s="22" t="str">
        <f t="shared" si="1240"/>
        <v>aceptable</v>
      </c>
      <c r="AZ208" s="22" t="str">
        <f t="shared" si="1241"/>
        <v>aceptable</v>
      </c>
      <c r="BA208" s="22" t="str">
        <f t="shared" si="1261"/>
        <v>aceptable</v>
      </c>
      <c r="BB208" s="25" t="str">
        <f t="shared" si="1262"/>
        <v>NO CONFORME</v>
      </c>
      <c r="BC208" s="5" t="str">
        <f t="shared" si="1263"/>
        <v>NO CONFORME</v>
      </c>
      <c r="BD208" s="15">
        <f t="shared" si="1242"/>
        <v>-1</v>
      </c>
      <c r="BE208" s="15">
        <f t="shared" si="1243"/>
        <v>-1</v>
      </c>
      <c r="BF208" s="15">
        <f t="shared" si="1244"/>
        <v>-1</v>
      </c>
      <c r="BG208" s="15" t="str">
        <f t="shared" si="1245"/>
        <v>-1-1-1</v>
      </c>
      <c r="BH208" s="15" t="str">
        <f t="shared" si="1246"/>
        <v>SD</v>
      </c>
      <c r="BI208" s="15" t="str">
        <f t="shared" si="1247"/>
        <v>SI</v>
      </c>
      <c r="BJ208" s="15" t="b">
        <f t="shared" si="1248"/>
        <v>1</v>
      </c>
      <c r="BK208" s="15" t="str">
        <f t="shared" si="1249"/>
        <v>SIGIGUALES</v>
      </c>
      <c r="BL208" s="22" t="str">
        <f t="shared" si="1250"/>
        <v>NO CONFORME</v>
      </c>
    </row>
    <row r="209" spans="1:64" ht="14.4" x14ac:dyDescent="0.3">
      <c r="A209" s="36">
        <v>201</v>
      </c>
      <c r="B209" s="28">
        <f t="shared" ref="B209:E209" si="1301">B208</f>
        <v>45903</v>
      </c>
      <c r="C209" s="28">
        <f t="shared" si="1301"/>
        <v>45903</v>
      </c>
      <c r="D209" s="12">
        <f t="shared" si="1301"/>
        <v>3</v>
      </c>
      <c r="E209" s="10">
        <f t="shared" si="1301"/>
        <v>11</v>
      </c>
      <c r="F209" s="13"/>
      <c r="G209" s="69"/>
      <c r="H209" s="70">
        <f t="shared" ref="H209:L209" si="1302">H208</f>
        <v>25.6</v>
      </c>
      <c r="I209" s="37">
        <f t="shared" si="1302"/>
        <v>0</v>
      </c>
      <c r="J209" s="35">
        <f t="shared" si="1302"/>
        <v>16</v>
      </c>
      <c r="K209" s="122">
        <f t="shared" si="1302"/>
        <v>8.1690000000000005</v>
      </c>
      <c r="L209" s="122">
        <f t="shared" si="1302"/>
        <v>0.879</v>
      </c>
      <c r="M209" s="126"/>
      <c r="N209" s="126"/>
      <c r="O209" s="32">
        <f t="shared" ref="O209:P209" si="1303">O208</f>
        <v>100.65</v>
      </c>
      <c r="P209" s="33" t="str">
        <f t="shared" si="1303"/>
        <v>2,31,180</v>
      </c>
      <c r="Q209" s="11" t="str">
        <f t="shared" si="893"/>
        <v>2</v>
      </c>
      <c r="R209" s="11" t="str">
        <f t="shared" si="894"/>
        <v>31,180</v>
      </c>
      <c r="S209" s="11">
        <f t="shared" si="895"/>
        <v>4.1994444444444445E-2</v>
      </c>
      <c r="T209" s="14">
        <f t="shared" si="896"/>
        <v>2396.7456012700095</v>
      </c>
      <c r="U209" s="38">
        <f t="shared" si="897"/>
        <v>-100</v>
      </c>
      <c r="V209" s="39">
        <f t="shared" ref="V209:W209" si="1304">V208</f>
        <v>19.8</v>
      </c>
      <c r="W209" s="124">
        <f t="shared" si="1304"/>
        <v>1.08</v>
      </c>
      <c r="X209" s="124">
        <f t="shared" si="1254"/>
        <v>1.075</v>
      </c>
      <c r="Y209" s="126"/>
      <c r="Z209" s="126"/>
      <c r="AA209" s="90">
        <f t="shared" ref="AA209:AB209" si="1305">AA208</f>
        <v>5.0149999999999997</v>
      </c>
      <c r="AB209" s="73" t="str">
        <f t="shared" si="1305"/>
        <v>9,05,040</v>
      </c>
      <c r="AC209" s="11" t="str">
        <f t="shared" si="900"/>
        <v>9,</v>
      </c>
      <c r="AD209" s="11" t="str">
        <f t="shared" si="901"/>
        <v>05,040</v>
      </c>
      <c r="AE209" s="11">
        <f t="shared" si="902"/>
        <v>0.15139999999999998</v>
      </c>
      <c r="AF209" s="14">
        <f t="shared" si="903"/>
        <v>33.124174372523122</v>
      </c>
      <c r="AG209" s="40">
        <f t="shared" si="904"/>
        <v>-100</v>
      </c>
      <c r="AH209" s="39">
        <f t="shared" si="1269"/>
        <v>19.600000000000001</v>
      </c>
      <c r="AI209" s="124">
        <f t="shared" si="1269"/>
        <v>1.0860000000000001</v>
      </c>
      <c r="AJ209" s="124">
        <f t="shared" si="1269"/>
        <v>1.0780000000000001</v>
      </c>
      <c r="AK209" s="126">
        <f t="shared" si="905"/>
        <v>0</v>
      </c>
      <c r="AL209" s="126"/>
      <c r="AM209" s="34">
        <f t="shared" ref="AM209:AN209" si="1306">AM208</f>
        <v>2.0059999999999998</v>
      </c>
      <c r="AN209" s="33" t="str">
        <f t="shared" si="1306"/>
        <v>5,40,620</v>
      </c>
      <c r="AO209" s="11" t="str">
        <f t="shared" si="907"/>
        <v>5,</v>
      </c>
      <c r="AP209" s="11" t="str">
        <f t="shared" si="908"/>
        <v>40,620</v>
      </c>
      <c r="AQ209" s="11">
        <f t="shared" si="909"/>
        <v>9.4616666666666668E-2</v>
      </c>
      <c r="AR209" s="14">
        <f t="shared" si="910"/>
        <v>21.201338735247486</v>
      </c>
      <c r="AS209" s="40">
        <f t="shared" si="911"/>
        <v>-100</v>
      </c>
      <c r="AT209" s="41" t="str">
        <f t="shared" si="912"/>
        <v>NO CONFORME</v>
      </c>
      <c r="AU209" s="8" t="b">
        <f t="shared" si="1257"/>
        <v>1</v>
      </c>
      <c r="AV209" s="8" t="b">
        <f t="shared" si="1258"/>
        <v>0</v>
      </c>
      <c r="AW209" s="8" t="b">
        <f t="shared" si="1259"/>
        <v>1</v>
      </c>
      <c r="AX209" s="8" t="str">
        <f t="shared" si="1260"/>
        <v>Qcorrecto</v>
      </c>
      <c r="AY209" s="22" t="str">
        <f t="shared" si="1240"/>
        <v>aceptable</v>
      </c>
      <c r="AZ209" s="22" t="str">
        <f t="shared" si="1241"/>
        <v>aceptable</v>
      </c>
      <c r="BA209" s="22" t="str">
        <f t="shared" si="1261"/>
        <v>aceptable</v>
      </c>
      <c r="BB209" s="25" t="str">
        <f t="shared" si="1262"/>
        <v>NO CONFORME</v>
      </c>
      <c r="BC209" s="5" t="str">
        <f t="shared" si="1263"/>
        <v>NO CONFORME</v>
      </c>
      <c r="BD209" s="15">
        <f t="shared" si="1242"/>
        <v>-1</v>
      </c>
      <c r="BE209" s="15">
        <f t="shared" si="1243"/>
        <v>-1</v>
      </c>
      <c r="BF209" s="15">
        <f t="shared" si="1244"/>
        <v>-1</v>
      </c>
      <c r="BG209" s="15" t="str">
        <f t="shared" si="1245"/>
        <v>-1-1-1</v>
      </c>
      <c r="BH209" s="15" t="str">
        <f t="shared" si="1246"/>
        <v>SD</v>
      </c>
      <c r="BI209" s="15" t="str">
        <f t="shared" si="1247"/>
        <v>SI</v>
      </c>
      <c r="BJ209" s="15" t="b">
        <f t="shared" si="1248"/>
        <v>1</v>
      </c>
      <c r="BK209" s="15" t="str">
        <f t="shared" si="1249"/>
        <v>SIGIGUALES</v>
      </c>
      <c r="BL209" s="22" t="str">
        <f t="shared" si="1250"/>
        <v>NO CONFORME</v>
      </c>
    </row>
    <row r="210" spans="1:64" ht="14.4" x14ac:dyDescent="0.3">
      <c r="A210" s="36">
        <v>202</v>
      </c>
      <c r="B210" s="28">
        <f t="shared" ref="B210:E210" si="1307">B209</f>
        <v>45903</v>
      </c>
      <c r="C210" s="28">
        <f t="shared" si="1307"/>
        <v>45903</v>
      </c>
      <c r="D210" s="12">
        <f t="shared" si="1307"/>
        <v>3</v>
      </c>
      <c r="E210" s="10">
        <f t="shared" si="1307"/>
        <v>11</v>
      </c>
      <c r="F210" s="13"/>
      <c r="G210" s="69"/>
      <c r="H210" s="70">
        <f t="shared" ref="H210:L210" si="1308">H209</f>
        <v>25.6</v>
      </c>
      <c r="I210" s="37">
        <f t="shared" si="1308"/>
        <v>0</v>
      </c>
      <c r="J210" s="35">
        <f t="shared" si="1308"/>
        <v>16</v>
      </c>
      <c r="K210" s="122">
        <f t="shared" si="1308"/>
        <v>8.1690000000000005</v>
      </c>
      <c r="L210" s="122">
        <f t="shared" si="1308"/>
        <v>0.879</v>
      </c>
      <c r="M210" s="126"/>
      <c r="N210" s="126"/>
      <c r="O210" s="32">
        <f t="shared" ref="O210:P210" si="1309">O209</f>
        <v>100.65</v>
      </c>
      <c r="P210" s="33" t="str">
        <f t="shared" si="1309"/>
        <v>2,31,180</v>
      </c>
      <c r="Q210" s="11" t="str">
        <f t="shared" si="893"/>
        <v>2</v>
      </c>
      <c r="R210" s="11" t="str">
        <f t="shared" si="894"/>
        <v>31,180</v>
      </c>
      <c r="S210" s="11">
        <f t="shared" si="895"/>
        <v>4.1994444444444445E-2</v>
      </c>
      <c r="T210" s="14">
        <f t="shared" si="896"/>
        <v>2396.7456012700095</v>
      </c>
      <c r="U210" s="38">
        <f t="shared" si="897"/>
        <v>-100</v>
      </c>
      <c r="V210" s="39">
        <f t="shared" ref="V210:W210" si="1310">V209</f>
        <v>19.8</v>
      </c>
      <c r="W210" s="124">
        <f t="shared" si="1310"/>
        <v>1.08</v>
      </c>
      <c r="X210" s="124">
        <f t="shared" si="1254"/>
        <v>1.075</v>
      </c>
      <c r="Y210" s="126"/>
      <c r="Z210" s="126"/>
      <c r="AA210" s="90">
        <f t="shared" ref="AA210:AB210" si="1311">AA209</f>
        <v>5.0149999999999997</v>
      </c>
      <c r="AB210" s="73" t="str">
        <f t="shared" si="1311"/>
        <v>9,05,040</v>
      </c>
      <c r="AC210" s="11" t="str">
        <f t="shared" si="900"/>
        <v>9,</v>
      </c>
      <c r="AD210" s="11" t="str">
        <f t="shared" si="901"/>
        <v>05,040</v>
      </c>
      <c r="AE210" s="11">
        <f t="shared" si="902"/>
        <v>0.15139999999999998</v>
      </c>
      <c r="AF210" s="14">
        <f t="shared" si="903"/>
        <v>33.124174372523122</v>
      </c>
      <c r="AG210" s="40">
        <f t="shared" si="904"/>
        <v>-100</v>
      </c>
      <c r="AH210" s="39">
        <f t="shared" si="1269"/>
        <v>19.600000000000001</v>
      </c>
      <c r="AI210" s="124">
        <f t="shared" si="1269"/>
        <v>1.0860000000000001</v>
      </c>
      <c r="AJ210" s="124">
        <f t="shared" si="1269"/>
        <v>1.0780000000000001</v>
      </c>
      <c r="AK210" s="126">
        <f t="shared" si="905"/>
        <v>0</v>
      </c>
      <c r="AL210" s="126"/>
      <c r="AM210" s="34">
        <f t="shared" ref="AM210:AN210" si="1312">AM209</f>
        <v>2.0059999999999998</v>
      </c>
      <c r="AN210" s="33" t="str">
        <f t="shared" si="1312"/>
        <v>5,40,620</v>
      </c>
      <c r="AO210" s="11" t="str">
        <f t="shared" si="907"/>
        <v>5,</v>
      </c>
      <c r="AP210" s="11" t="str">
        <f t="shared" si="908"/>
        <v>40,620</v>
      </c>
      <c r="AQ210" s="11">
        <f t="shared" si="909"/>
        <v>9.4616666666666668E-2</v>
      </c>
      <c r="AR210" s="14">
        <f t="shared" si="910"/>
        <v>21.201338735247486</v>
      </c>
      <c r="AS210" s="40">
        <f t="shared" si="911"/>
        <v>-100</v>
      </c>
      <c r="AT210" s="41" t="str">
        <f t="shared" si="912"/>
        <v>NO CONFORME</v>
      </c>
      <c r="AU210" s="8" t="b">
        <f t="shared" si="1257"/>
        <v>1</v>
      </c>
      <c r="AV210" s="8" t="b">
        <f t="shared" si="1258"/>
        <v>0</v>
      </c>
      <c r="AW210" s="8" t="b">
        <f t="shared" si="1259"/>
        <v>1</v>
      </c>
      <c r="AX210" s="8" t="str">
        <f t="shared" si="1260"/>
        <v>Qcorrecto</v>
      </c>
      <c r="AY210" s="22" t="str">
        <f t="shared" si="1240"/>
        <v>aceptable</v>
      </c>
      <c r="AZ210" s="22" t="str">
        <f t="shared" si="1241"/>
        <v>aceptable</v>
      </c>
      <c r="BA210" s="22" t="str">
        <f t="shared" si="1261"/>
        <v>aceptable</v>
      </c>
      <c r="BB210" s="25" t="str">
        <f t="shared" si="1262"/>
        <v>NO CONFORME</v>
      </c>
      <c r="BC210" s="5" t="str">
        <f t="shared" si="1263"/>
        <v>NO CONFORME</v>
      </c>
      <c r="BD210" s="15">
        <f t="shared" si="1242"/>
        <v>-1</v>
      </c>
      <c r="BE210" s="15">
        <f t="shared" si="1243"/>
        <v>-1</v>
      </c>
      <c r="BF210" s="15">
        <f t="shared" si="1244"/>
        <v>-1</v>
      </c>
      <c r="BG210" s="15" t="str">
        <f t="shared" si="1245"/>
        <v>-1-1-1</v>
      </c>
      <c r="BH210" s="15" t="str">
        <f t="shared" si="1246"/>
        <v>SD</v>
      </c>
      <c r="BI210" s="15" t="str">
        <f t="shared" si="1247"/>
        <v>SI</v>
      </c>
      <c r="BJ210" s="15" t="b">
        <f t="shared" si="1248"/>
        <v>1</v>
      </c>
      <c r="BK210" s="15" t="str">
        <f t="shared" si="1249"/>
        <v>SIGIGUALES</v>
      </c>
      <c r="BL210" s="22" t="str">
        <f t="shared" si="1250"/>
        <v>NO CONFORME</v>
      </c>
    </row>
    <row r="211" spans="1:64" ht="14.4" x14ac:dyDescent="0.3">
      <c r="A211" s="36">
        <v>203</v>
      </c>
      <c r="B211" s="28">
        <f t="shared" ref="B211:E211" si="1313">B210</f>
        <v>45903</v>
      </c>
      <c r="C211" s="28">
        <f t="shared" si="1313"/>
        <v>45903</v>
      </c>
      <c r="D211" s="12">
        <f t="shared" si="1313"/>
        <v>3</v>
      </c>
      <c r="E211" s="10">
        <f t="shared" si="1313"/>
        <v>11</v>
      </c>
      <c r="F211" s="13"/>
      <c r="G211" s="69"/>
      <c r="H211" s="70">
        <f t="shared" ref="H211:L211" si="1314">H210</f>
        <v>25.6</v>
      </c>
      <c r="I211" s="37">
        <f t="shared" si="1314"/>
        <v>0</v>
      </c>
      <c r="J211" s="35">
        <f t="shared" si="1314"/>
        <v>16</v>
      </c>
      <c r="K211" s="122">
        <f t="shared" si="1314"/>
        <v>8.1690000000000005</v>
      </c>
      <c r="L211" s="122">
        <f t="shared" si="1314"/>
        <v>0.879</v>
      </c>
      <c r="M211" s="126"/>
      <c r="N211" s="126"/>
      <c r="O211" s="32">
        <f t="shared" ref="O211:P211" si="1315">O210</f>
        <v>100.65</v>
      </c>
      <c r="P211" s="33" t="str">
        <f t="shared" si="1315"/>
        <v>2,31,180</v>
      </c>
      <c r="Q211" s="11" t="str">
        <f t="shared" ref="Q211:Q274" si="1316">LEFT(P211,1)</f>
        <v>2</v>
      </c>
      <c r="R211" s="11" t="str">
        <f t="shared" ref="R211:R274" si="1317">RIGHT(P211,6)</f>
        <v>31,180</v>
      </c>
      <c r="S211" s="11">
        <f t="shared" ref="S211:S274" si="1318">+(Q211*60+R211)/(60*60)</f>
        <v>4.1994444444444445E-2</v>
      </c>
      <c r="T211" s="14">
        <f t="shared" ref="T211:T274" si="1319">+O211/S211</f>
        <v>2396.7456012700095</v>
      </c>
      <c r="U211" s="38">
        <f t="shared" ref="U211:U274" si="1320">+(((N211-M211-O211)/O211)*100)</f>
        <v>-100</v>
      </c>
      <c r="V211" s="39">
        <f t="shared" ref="V211:W211" si="1321">V210</f>
        <v>19.8</v>
      </c>
      <c r="W211" s="124">
        <f t="shared" si="1321"/>
        <v>1.08</v>
      </c>
      <c r="X211" s="124">
        <f t="shared" si="1254"/>
        <v>1.075</v>
      </c>
      <c r="Y211" s="126"/>
      <c r="Z211" s="126"/>
      <c r="AA211" s="90">
        <f t="shared" ref="AA211:AB211" si="1322">AA210</f>
        <v>5.0149999999999997</v>
      </c>
      <c r="AB211" s="73" t="str">
        <f t="shared" si="1322"/>
        <v>9,05,040</v>
      </c>
      <c r="AC211" s="11" t="str">
        <f t="shared" ref="AC211:AC274" si="1323">LEFT(AB211,2)</f>
        <v>9,</v>
      </c>
      <c r="AD211" s="11" t="str">
        <f t="shared" ref="AD211:AD274" si="1324">RIGHT(AB211,6)</f>
        <v>05,040</v>
      </c>
      <c r="AE211" s="11">
        <f t="shared" ref="AE211:AE274" si="1325">+(AC211*60+AD211)/(60*60)</f>
        <v>0.15139999999999998</v>
      </c>
      <c r="AF211" s="14">
        <f t="shared" ref="AF211:AF274" si="1326">+AA211/AE211</f>
        <v>33.124174372523122</v>
      </c>
      <c r="AG211" s="40">
        <f t="shared" ref="AG211:AG274" si="1327">+(((Z211-Y211-AA211)/AA211)*100)</f>
        <v>-100</v>
      </c>
      <c r="AH211" s="39">
        <f t="shared" si="1269"/>
        <v>19.600000000000001</v>
      </c>
      <c r="AI211" s="124">
        <f t="shared" si="1269"/>
        <v>1.0860000000000001</v>
      </c>
      <c r="AJ211" s="124">
        <f t="shared" si="1269"/>
        <v>1.0780000000000001</v>
      </c>
      <c r="AK211" s="126">
        <f t="shared" ref="AK211:AK274" si="1328">Z211</f>
        <v>0</v>
      </c>
      <c r="AL211" s="126"/>
      <c r="AM211" s="34">
        <f t="shared" ref="AM211:AN211" si="1329">AM210</f>
        <v>2.0059999999999998</v>
      </c>
      <c r="AN211" s="33" t="str">
        <f t="shared" si="1329"/>
        <v>5,40,620</v>
      </c>
      <c r="AO211" s="11" t="str">
        <f t="shared" ref="AO211:AO274" si="1330">LEFT(AN211,2)</f>
        <v>5,</v>
      </c>
      <c r="AP211" s="11" t="str">
        <f t="shared" ref="AP211:AP274" si="1331">RIGHT(AN211,6)</f>
        <v>40,620</v>
      </c>
      <c r="AQ211" s="11">
        <f t="shared" ref="AQ211:AQ274" si="1332">+(AO211*60+AP211)/(60*60)</f>
        <v>9.4616666666666668E-2</v>
      </c>
      <c r="AR211" s="14">
        <f t="shared" ref="AR211:AR274" si="1333">+AM211/AQ211</f>
        <v>21.201338735247486</v>
      </c>
      <c r="AS211" s="40">
        <f t="shared" ref="AS211:AS274" si="1334">+(((AL211-AK211-AM211)/AM211)*100)</f>
        <v>-100</v>
      </c>
      <c r="AT211" s="41" t="str">
        <f t="shared" ref="AT211:AT274" si="1335">IF(I211&gt;=1,"NO CONFORME",IF(BK211="SIGDIFERENTES",BC211,BL211))</f>
        <v>NO CONFORME</v>
      </c>
      <c r="AU211" s="8" t="b">
        <f t="shared" si="1257"/>
        <v>1</v>
      </c>
      <c r="AV211" s="8" t="b">
        <f t="shared" si="1258"/>
        <v>0</v>
      </c>
      <c r="AW211" s="8" t="b">
        <f t="shared" si="1259"/>
        <v>1</v>
      </c>
      <c r="AX211" s="8" t="str">
        <f t="shared" si="1260"/>
        <v>Qcorrecto</v>
      </c>
      <c r="AY211" s="22" t="str">
        <f t="shared" si="1240"/>
        <v>aceptable</v>
      </c>
      <c r="AZ211" s="22" t="str">
        <f t="shared" si="1241"/>
        <v>aceptable</v>
      </c>
      <c r="BA211" s="22" t="str">
        <f t="shared" si="1261"/>
        <v>aceptable</v>
      </c>
      <c r="BB211" s="25" t="str">
        <f t="shared" si="1262"/>
        <v>NO CONFORME</v>
      </c>
      <c r="BC211" s="5" t="str">
        <f t="shared" si="1263"/>
        <v>NO CONFORME</v>
      </c>
      <c r="BD211" s="15">
        <f t="shared" si="1242"/>
        <v>-1</v>
      </c>
      <c r="BE211" s="15">
        <f t="shared" si="1243"/>
        <v>-1</v>
      </c>
      <c r="BF211" s="15">
        <f t="shared" si="1244"/>
        <v>-1</v>
      </c>
      <c r="BG211" s="15" t="str">
        <f t="shared" si="1245"/>
        <v>-1-1-1</v>
      </c>
      <c r="BH211" s="15" t="str">
        <f t="shared" si="1246"/>
        <v>SD</v>
      </c>
      <c r="BI211" s="15" t="str">
        <f t="shared" si="1247"/>
        <v>SI</v>
      </c>
      <c r="BJ211" s="15" t="b">
        <f t="shared" si="1248"/>
        <v>1</v>
      </c>
      <c r="BK211" s="15" t="str">
        <f t="shared" si="1249"/>
        <v>SIGIGUALES</v>
      </c>
      <c r="BL211" s="22" t="str">
        <f t="shared" si="1250"/>
        <v>NO CONFORME</v>
      </c>
    </row>
    <row r="212" spans="1:64" ht="14.4" x14ac:dyDescent="0.3">
      <c r="A212" s="36">
        <v>204</v>
      </c>
      <c r="B212" s="28">
        <f t="shared" ref="B212:E212" si="1336">B211</f>
        <v>45903</v>
      </c>
      <c r="C212" s="28">
        <f t="shared" si="1336"/>
        <v>45903</v>
      </c>
      <c r="D212" s="12">
        <f t="shared" si="1336"/>
        <v>3</v>
      </c>
      <c r="E212" s="10">
        <f t="shared" si="1336"/>
        <v>11</v>
      </c>
      <c r="F212" s="13"/>
      <c r="G212" s="69"/>
      <c r="H212" s="70">
        <f t="shared" ref="H212:L212" si="1337">H211</f>
        <v>25.6</v>
      </c>
      <c r="I212" s="37">
        <f t="shared" si="1337"/>
        <v>0</v>
      </c>
      <c r="J212" s="35">
        <f t="shared" si="1337"/>
        <v>16</v>
      </c>
      <c r="K212" s="122">
        <f t="shared" si="1337"/>
        <v>8.1690000000000005</v>
      </c>
      <c r="L212" s="122">
        <f t="shared" si="1337"/>
        <v>0.879</v>
      </c>
      <c r="M212" s="126"/>
      <c r="N212" s="126"/>
      <c r="O212" s="32">
        <f t="shared" ref="O212:P212" si="1338">O211</f>
        <v>100.65</v>
      </c>
      <c r="P212" s="33" t="str">
        <f t="shared" si="1338"/>
        <v>2,31,180</v>
      </c>
      <c r="Q212" s="11" t="str">
        <f t="shared" si="1316"/>
        <v>2</v>
      </c>
      <c r="R212" s="11" t="str">
        <f t="shared" si="1317"/>
        <v>31,180</v>
      </c>
      <c r="S212" s="11">
        <f t="shared" si="1318"/>
        <v>4.1994444444444445E-2</v>
      </c>
      <c r="T212" s="14">
        <f t="shared" si="1319"/>
        <v>2396.7456012700095</v>
      </c>
      <c r="U212" s="38">
        <f t="shared" si="1320"/>
        <v>-100</v>
      </c>
      <c r="V212" s="39">
        <f t="shared" ref="V212:W212" si="1339">V211</f>
        <v>19.8</v>
      </c>
      <c r="W212" s="124">
        <f t="shared" si="1339"/>
        <v>1.08</v>
      </c>
      <c r="X212" s="124">
        <f t="shared" si="1254"/>
        <v>1.075</v>
      </c>
      <c r="Y212" s="126"/>
      <c r="Z212" s="126"/>
      <c r="AA212" s="90">
        <f t="shared" ref="AA212:AB212" si="1340">AA211</f>
        <v>5.0149999999999997</v>
      </c>
      <c r="AB212" s="73" t="str">
        <f t="shared" si="1340"/>
        <v>9,05,040</v>
      </c>
      <c r="AC212" s="11" t="str">
        <f t="shared" si="1323"/>
        <v>9,</v>
      </c>
      <c r="AD212" s="11" t="str">
        <f t="shared" si="1324"/>
        <v>05,040</v>
      </c>
      <c r="AE212" s="11">
        <f t="shared" si="1325"/>
        <v>0.15139999999999998</v>
      </c>
      <c r="AF212" s="14">
        <f t="shared" si="1326"/>
        <v>33.124174372523122</v>
      </c>
      <c r="AG212" s="40">
        <f t="shared" si="1327"/>
        <v>-100</v>
      </c>
      <c r="AH212" s="39">
        <f t="shared" si="1269"/>
        <v>19.600000000000001</v>
      </c>
      <c r="AI212" s="124">
        <f t="shared" si="1269"/>
        <v>1.0860000000000001</v>
      </c>
      <c r="AJ212" s="124">
        <f t="shared" si="1269"/>
        <v>1.0780000000000001</v>
      </c>
      <c r="AK212" s="126">
        <f t="shared" si="1328"/>
        <v>0</v>
      </c>
      <c r="AL212" s="126"/>
      <c r="AM212" s="34">
        <f t="shared" ref="AM212:AN212" si="1341">AM211</f>
        <v>2.0059999999999998</v>
      </c>
      <c r="AN212" s="33" t="str">
        <f t="shared" si="1341"/>
        <v>5,40,620</v>
      </c>
      <c r="AO212" s="11" t="str">
        <f t="shared" si="1330"/>
        <v>5,</v>
      </c>
      <c r="AP212" s="11" t="str">
        <f t="shared" si="1331"/>
        <v>40,620</v>
      </c>
      <c r="AQ212" s="11">
        <f t="shared" si="1332"/>
        <v>9.4616666666666668E-2</v>
      </c>
      <c r="AR212" s="14">
        <f t="shared" si="1333"/>
        <v>21.201338735247486</v>
      </c>
      <c r="AS212" s="40">
        <f t="shared" si="1334"/>
        <v>-100</v>
      </c>
      <c r="AT212" s="41" t="str">
        <f t="shared" si="1335"/>
        <v>NO CONFORME</v>
      </c>
      <c r="AU212" s="8" t="b">
        <f t="shared" si="1257"/>
        <v>1</v>
      </c>
      <c r="AV212" s="8" t="b">
        <f t="shared" si="1258"/>
        <v>0</v>
      </c>
      <c r="AW212" s="8" t="b">
        <f t="shared" si="1259"/>
        <v>1</v>
      </c>
      <c r="AX212" s="8" t="str">
        <f t="shared" si="1260"/>
        <v>Qcorrecto</v>
      </c>
      <c r="AY212" s="22" t="str">
        <f t="shared" si="1240"/>
        <v>aceptable</v>
      </c>
      <c r="AZ212" s="22" t="str">
        <f t="shared" si="1241"/>
        <v>aceptable</v>
      </c>
      <c r="BA212" s="22" t="str">
        <f t="shared" si="1261"/>
        <v>aceptable</v>
      </c>
      <c r="BB212" s="25" t="str">
        <f t="shared" si="1262"/>
        <v>NO CONFORME</v>
      </c>
      <c r="BC212" s="5" t="str">
        <f t="shared" si="1263"/>
        <v>NO CONFORME</v>
      </c>
      <c r="BD212" s="15">
        <f t="shared" si="1242"/>
        <v>-1</v>
      </c>
      <c r="BE212" s="15">
        <f t="shared" si="1243"/>
        <v>-1</v>
      </c>
      <c r="BF212" s="15">
        <f t="shared" si="1244"/>
        <v>-1</v>
      </c>
      <c r="BG212" s="15" t="str">
        <f t="shared" si="1245"/>
        <v>-1-1-1</v>
      </c>
      <c r="BH212" s="15" t="str">
        <f t="shared" si="1246"/>
        <v>SD</v>
      </c>
      <c r="BI212" s="15" t="str">
        <f t="shared" si="1247"/>
        <v>SI</v>
      </c>
      <c r="BJ212" s="15" t="b">
        <f t="shared" si="1248"/>
        <v>1</v>
      </c>
      <c r="BK212" s="15" t="str">
        <f t="shared" si="1249"/>
        <v>SIGIGUALES</v>
      </c>
      <c r="BL212" s="22" t="str">
        <f t="shared" si="1250"/>
        <v>NO CONFORME</v>
      </c>
    </row>
    <row r="213" spans="1:64" ht="14.4" x14ac:dyDescent="0.3">
      <c r="A213" s="36">
        <v>205</v>
      </c>
      <c r="B213" s="28">
        <f t="shared" ref="B213:E213" si="1342">B212</f>
        <v>45903</v>
      </c>
      <c r="C213" s="28">
        <f t="shared" si="1342"/>
        <v>45903</v>
      </c>
      <c r="D213" s="12">
        <f t="shared" si="1342"/>
        <v>3</v>
      </c>
      <c r="E213" s="10">
        <f t="shared" si="1342"/>
        <v>11</v>
      </c>
      <c r="F213" s="13"/>
      <c r="G213" s="69"/>
      <c r="H213" s="70">
        <f t="shared" ref="H213:L213" si="1343">H212</f>
        <v>25.6</v>
      </c>
      <c r="I213" s="37">
        <f t="shared" si="1343"/>
        <v>0</v>
      </c>
      <c r="J213" s="35">
        <f t="shared" si="1343"/>
        <v>16</v>
      </c>
      <c r="K213" s="122">
        <f t="shared" si="1343"/>
        <v>8.1690000000000005</v>
      </c>
      <c r="L213" s="122">
        <f t="shared" si="1343"/>
        <v>0.879</v>
      </c>
      <c r="M213" s="126"/>
      <c r="N213" s="126"/>
      <c r="O213" s="32">
        <f t="shared" ref="O213:P213" si="1344">O212</f>
        <v>100.65</v>
      </c>
      <c r="P213" s="33" t="str">
        <f t="shared" si="1344"/>
        <v>2,31,180</v>
      </c>
      <c r="Q213" s="11" t="str">
        <f t="shared" si="1316"/>
        <v>2</v>
      </c>
      <c r="R213" s="11" t="str">
        <f t="shared" si="1317"/>
        <v>31,180</v>
      </c>
      <c r="S213" s="11">
        <f t="shared" si="1318"/>
        <v>4.1994444444444445E-2</v>
      </c>
      <c r="T213" s="14">
        <f t="shared" si="1319"/>
        <v>2396.7456012700095</v>
      </c>
      <c r="U213" s="38">
        <f t="shared" si="1320"/>
        <v>-100</v>
      </c>
      <c r="V213" s="39">
        <f t="shared" ref="V213:W213" si="1345">V212</f>
        <v>19.8</v>
      </c>
      <c r="W213" s="124">
        <f t="shared" si="1345"/>
        <v>1.08</v>
      </c>
      <c r="X213" s="124">
        <f t="shared" si="1254"/>
        <v>1.075</v>
      </c>
      <c r="Y213" s="126"/>
      <c r="Z213" s="126"/>
      <c r="AA213" s="90">
        <f t="shared" ref="AA213:AB213" si="1346">AA212</f>
        <v>5.0149999999999997</v>
      </c>
      <c r="AB213" s="73" t="str">
        <f t="shared" si="1346"/>
        <v>9,05,040</v>
      </c>
      <c r="AC213" s="11" t="str">
        <f t="shared" si="1323"/>
        <v>9,</v>
      </c>
      <c r="AD213" s="11" t="str">
        <f t="shared" si="1324"/>
        <v>05,040</v>
      </c>
      <c r="AE213" s="11">
        <f t="shared" si="1325"/>
        <v>0.15139999999999998</v>
      </c>
      <c r="AF213" s="14">
        <f t="shared" si="1326"/>
        <v>33.124174372523122</v>
      </c>
      <c r="AG213" s="40">
        <f t="shared" si="1327"/>
        <v>-100</v>
      </c>
      <c r="AH213" s="39">
        <f t="shared" si="1269"/>
        <v>19.600000000000001</v>
      </c>
      <c r="AI213" s="124">
        <f t="shared" si="1269"/>
        <v>1.0860000000000001</v>
      </c>
      <c r="AJ213" s="124">
        <f t="shared" si="1269"/>
        <v>1.0780000000000001</v>
      </c>
      <c r="AK213" s="126">
        <f t="shared" si="1328"/>
        <v>0</v>
      </c>
      <c r="AL213" s="126"/>
      <c r="AM213" s="34">
        <f t="shared" ref="AM213:AN213" si="1347">AM212</f>
        <v>2.0059999999999998</v>
      </c>
      <c r="AN213" s="33" t="str">
        <f t="shared" si="1347"/>
        <v>5,40,620</v>
      </c>
      <c r="AO213" s="11" t="str">
        <f t="shared" si="1330"/>
        <v>5,</v>
      </c>
      <c r="AP213" s="11" t="str">
        <f t="shared" si="1331"/>
        <v>40,620</v>
      </c>
      <c r="AQ213" s="11">
        <f t="shared" si="1332"/>
        <v>9.4616666666666668E-2</v>
      </c>
      <c r="AR213" s="14">
        <f t="shared" si="1333"/>
        <v>21.201338735247486</v>
      </c>
      <c r="AS213" s="40">
        <f t="shared" si="1334"/>
        <v>-100</v>
      </c>
      <c r="AT213" s="41" t="str">
        <f t="shared" si="1335"/>
        <v>NO CONFORME</v>
      </c>
      <c r="AU213" s="8" t="b">
        <f t="shared" si="1257"/>
        <v>1</v>
      </c>
      <c r="AV213" s="8" t="b">
        <f t="shared" si="1258"/>
        <v>0</v>
      </c>
      <c r="AW213" s="8" t="b">
        <f t="shared" si="1259"/>
        <v>1</v>
      </c>
      <c r="AX213" s="8" t="str">
        <f t="shared" si="1260"/>
        <v>Qcorrecto</v>
      </c>
      <c r="AY213" s="22" t="str">
        <f t="shared" si="1240"/>
        <v>aceptable</v>
      </c>
      <c r="AZ213" s="22" t="str">
        <f t="shared" si="1241"/>
        <v>aceptable</v>
      </c>
      <c r="BA213" s="22" t="str">
        <f t="shared" si="1261"/>
        <v>aceptable</v>
      </c>
      <c r="BB213" s="25" t="str">
        <f t="shared" si="1262"/>
        <v>NO CONFORME</v>
      </c>
      <c r="BC213" s="5" t="str">
        <f t="shared" si="1263"/>
        <v>NO CONFORME</v>
      </c>
      <c r="BD213" s="15">
        <f t="shared" si="1242"/>
        <v>-1</v>
      </c>
      <c r="BE213" s="15">
        <f t="shared" si="1243"/>
        <v>-1</v>
      </c>
      <c r="BF213" s="15">
        <f t="shared" si="1244"/>
        <v>-1</v>
      </c>
      <c r="BG213" s="15" t="str">
        <f t="shared" si="1245"/>
        <v>-1-1-1</v>
      </c>
      <c r="BH213" s="15" t="str">
        <f t="shared" si="1246"/>
        <v>SD</v>
      </c>
      <c r="BI213" s="15" t="str">
        <f t="shared" si="1247"/>
        <v>SI</v>
      </c>
      <c r="BJ213" s="15" t="b">
        <f t="shared" si="1248"/>
        <v>1</v>
      </c>
      <c r="BK213" s="15" t="str">
        <f t="shared" si="1249"/>
        <v>SIGIGUALES</v>
      </c>
      <c r="BL213" s="22" t="str">
        <f t="shared" si="1250"/>
        <v>NO CONFORME</v>
      </c>
    </row>
    <row r="214" spans="1:64" ht="14.4" x14ac:dyDescent="0.3">
      <c r="A214" s="36">
        <v>206</v>
      </c>
      <c r="B214" s="28">
        <f t="shared" ref="B214:E214" si="1348">B213</f>
        <v>45903</v>
      </c>
      <c r="C214" s="28">
        <f t="shared" si="1348"/>
        <v>45903</v>
      </c>
      <c r="D214" s="12">
        <f t="shared" si="1348"/>
        <v>3</v>
      </c>
      <c r="E214" s="10">
        <f t="shared" si="1348"/>
        <v>11</v>
      </c>
      <c r="F214" s="13"/>
      <c r="G214" s="69"/>
      <c r="H214" s="70">
        <f t="shared" ref="H214:L214" si="1349">H213</f>
        <v>25.6</v>
      </c>
      <c r="I214" s="37">
        <f t="shared" si="1349"/>
        <v>0</v>
      </c>
      <c r="J214" s="35">
        <f t="shared" si="1349"/>
        <v>16</v>
      </c>
      <c r="K214" s="122">
        <f t="shared" si="1349"/>
        <v>8.1690000000000005</v>
      </c>
      <c r="L214" s="122">
        <f t="shared" si="1349"/>
        <v>0.879</v>
      </c>
      <c r="M214" s="126"/>
      <c r="N214" s="126"/>
      <c r="O214" s="32">
        <f t="shared" ref="O214:P214" si="1350">O213</f>
        <v>100.65</v>
      </c>
      <c r="P214" s="33" t="str">
        <f t="shared" si="1350"/>
        <v>2,31,180</v>
      </c>
      <c r="Q214" s="11" t="str">
        <f t="shared" si="1316"/>
        <v>2</v>
      </c>
      <c r="R214" s="11" t="str">
        <f t="shared" si="1317"/>
        <v>31,180</v>
      </c>
      <c r="S214" s="11">
        <f t="shared" si="1318"/>
        <v>4.1994444444444445E-2</v>
      </c>
      <c r="T214" s="14">
        <f t="shared" si="1319"/>
        <v>2396.7456012700095</v>
      </c>
      <c r="U214" s="38">
        <f t="shared" si="1320"/>
        <v>-100</v>
      </c>
      <c r="V214" s="39">
        <f t="shared" ref="V214:W214" si="1351">V213</f>
        <v>19.8</v>
      </c>
      <c r="W214" s="124">
        <f t="shared" si="1351"/>
        <v>1.08</v>
      </c>
      <c r="X214" s="124">
        <f t="shared" si="1254"/>
        <v>1.075</v>
      </c>
      <c r="Y214" s="126"/>
      <c r="Z214" s="126"/>
      <c r="AA214" s="90">
        <f t="shared" ref="AA214:AB214" si="1352">AA213</f>
        <v>5.0149999999999997</v>
      </c>
      <c r="AB214" s="73" t="str">
        <f t="shared" si="1352"/>
        <v>9,05,040</v>
      </c>
      <c r="AC214" s="11" t="str">
        <f t="shared" si="1323"/>
        <v>9,</v>
      </c>
      <c r="AD214" s="11" t="str">
        <f t="shared" si="1324"/>
        <v>05,040</v>
      </c>
      <c r="AE214" s="11">
        <f t="shared" si="1325"/>
        <v>0.15139999999999998</v>
      </c>
      <c r="AF214" s="14">
        <f t="shared" si="1326"/>
        <v>33.124174372523122</v>
      </c>
      <c r="AG214" s="40">
        <f t="shared" si="1327"/>
        <v>-100</v>
      </c>
      <c r="AH214" s="39">
        <f t="shared" si="1269"/>
        <v>19.600000000000001</v>
      </c>
      <c r="AI214" s="124">
        <f t="shared" si="1269"/>
        <v>1.0860000000000001</v>
      </c>
      <c r="AJ214" s="124">
        <f t="shared" si="1269"/>
        <v>1.0780000000000001</v>
      </c>
      <c r="AK214" s="126">
        <f t="shared" si="1328"/>
        <v>0</v>
      </c>
      <c r="AL214" s="126"/>
      <c r="AM214" s="34">
        <f t="shared" ref="AM214:AN214" si="1353">AM213</f>
        <v>2.0059999999999998</v>
      </c>
      <c r="AN214" s="33" t="str">
        <f t="shared" si="1353"/>
        <v>5,40,620</v>
      </c>
      <c r="AO214" s="11" t="str">
        <f t="shared" si="1330"/>
        <v>5,</v>
      </c>
      <c r="AP214" s="11" t="str">
        <f t="shared" si="1331"/>
        <v>40,620</v>
      </c>
      <c r="AQ214" s="11">
        <f t="shared" si="1332"/>
        <v>9.4616666666666668E-2</v>
      </c>
      <c r="AR214" s="14">
        <f t="shared" si="1333"/>
        <v>21.201338735247486</v>
      </c>
      <c r="AS214" s="40">
        <f t="shared" si="1334"/>
        <v>-100</v>
      </c>
      <c r="AT214" s="41" t="str">
        <f t="shared" si="1335"/>
        <v>NO CONFORME</v>
      </c>
      <c r="AU214" s="8" t="b">
        <f t="shared" si="1257"/>
        <v>1</v>
      </c>
      <c r="AV214" s="8" t="b">
        <f t="shared" si="1258"/>
        <v>0</v>
      </c>
      <c r="AW214" s="8" t="b">
        <f t="shared" si="1259"/>
        <v>1</v>
      </c>
      <c r="AX214" s="8" t="str">
        <f t="shared" si="1260"/>
        <v>Qcorrecto</v>
      </c>
      <c r="AY214" s="22" t="str">
        <f t="shared" si="1240"/>
        <v>aceptable</v>
      </c>
      <c r="AZ214" s="22" t="str">
        <f t="shared" si="1241"/>
        <v>aceptable</v>
      </c>
      <c r="BA214" s="22" t="str">
        <f t="shared" si="1261"/>
        <v>aceptable</v>
      </c>
      <c r="BB214" s="25" t="str">
        <f t="shared" si="1262"/>
        <v>NO CONFORME</v>
      </c>
      <c r="BC214" s="5" t="str">
        <f t="shared" si="1263"/>
        <v>NO CONFORME</v>
      </c>
      <c r="BD214" s="15">
        <f t="shared" si="1242"/>
        <v>-1</v>
      </c>
      <c r="BE214" s="15">
        <f t="shared" si="1243"/>
        <v>-1</v>
      </c>
      <c r="BF214" s="15">
        <f t="shared" si="1244"/>
        <v>-1</v>
      </c>
      <c r="BG214" s="15" t="str">
        <f t="shared" si="1245"/>
        <v>-1-1-1</v>
      </c>
      <c r="BH214" s="15" t="str">
        <f t="shared" si="1246"/>
        <v>SD</v>
      </c>
      <c r="BI214" s="15" t="str">
        <f t="shared" si="1247"/>
        <v>SI</v>
      </c>
      <c r="BJ214" s="15" t="b">
        <f t="shared" si="1248"/>
        <v>1</v>
      </c>
      <c r="BK214" s="15" t="str">
        <f t="shared" si="1249"/>
        <v>SIGIGUALES</v>
      </c>
      <c r="BL214" s="22" t="str">
        <f t="shared" si="1250"/>
        <v>NO CONFORME</v>
      </c>
    </row>
    <row r="215" spans="1:64" ht="14.4" x14ac:dyDescent="0.3">
      <c r="A215" s="36">
        <v>207</v>
      </c>
      <c r="B215" s="28">
        <f t="shared" ref="B215:E215" si="1354">B214</f>
        <v>45903</v>
      </c>
      <c r="C215" s="28">
        <f t="shared" si="1354"/>
        <v>45903</v>
      </c>
      <c r="D215" s="12">
        <f t="shared" si="1354"/>
        <v>3</v>
      </c>
      <c r="E215" s="10">
        <f t="shared" si="1354"/>
        <v>11</v>
      </c>
      <c r="F215" s="13"/>
      <c r="G215" s="69"/>
      <c r="H215" s="70">
        <f t="shared" ref="H215:L215" si="1355">H214</f>
        <v>25.6</v>
      </c>
      <c r="I215" s="37">
        <f t="shared" si="1355"/>
        <v>0</v>
      </c>
      <c r="J215" s="35">
        <f t="shared" si="1355"/>
        <v>16</v>
      </c>
      <c r="K215" s="122">
        <f t="shared" si="1355"/>
        <v>8.1690000000000005</v>
      </c>
      <c r="L215" s="122">
        <f t="shared" si="1355"/>
        <v>0.879</v>
      </c>
      <c r="M215" s="126"/>
      <c r="N215" s="126"/>
      <c r="O215" s="32">
        <f t="shared" ref="O215:P215" si="1356">O214</f>
        <v>100.65</v>
      </c>
      <c r="P215" s="33" t="str">
        <f t="shared" si="1356"/>
        <v>2,31,180</v>
      </c>
      <c r="Q215" s="11" t="str">
        <f t="shared" si="1316"/>
        <v>2</v>
      </c>
      <c r="R215" s="11" t="str">
        <f t="shared" si="1317"/>
        <v>31,180</v>
      </c>
      <c r="S215" s="11">
        <f t="shared" si="1318"/>
        <v>4.1994444444444445E-2</v>
      </c>
      <c r="T215" s="14">
        <f t="shared" si="1319"/>
        <v>2396.7456012700095</v>
      </c>
      <c r="U215" s="38">
        <f t="shared" si="1320"/>
        <v>-100</v>
      </c>
      <c r="V215" s="39">
        <f t="shared" ref="V215:W215" si="1357">V214</f>
        <v>19.8</v>
      </c>
      <c r="W215" s="124">
        <f t="shared" si="1357"/>
        <v>1.08</v>
      </c>
      <c r="X215" s="124">
        <f t="shared" si="1254"/>
        <v>1.075</v>
      </c>
      <c r="Y215" s="126"/>
      <c r="Z215" s="126"/>
      <c r="AA215" s="90">
        <f t="shared" ref="AA215:AB215" si="1358">AA214</f>
        <v>5.0149999999999997</v>
      </c>
      <c r="AB215" s="73" t="str">
        <f t="shared" si="1358"/>
        <v>9,05,040</v>
      </c>
      <c r="AC215" s="11" t="str">
        <f t="shared" si="1323"/>
        <v>9,</v>
      </c>
      <c r="AD215" s="11" t="str">
        <f t="shared" si="1324"/>
        <v>05,040</v>
      </c>
      <c r="AE215" s="11">
        <f t="shared" si="1325"/>
        <v>0.15139999999999998</v>
      </c>
      <c r="AF215" s="14">
        <f t="shared" si="1326"/>
        <v>33.124174372523122</v>
      </c>
      <c r="AG215" s="40">
        <f t="shared" si="1327"/>
        <v>-100</v>
      </c>
      <c r="AH215" s="39">
        <f t="shared" si="1269"/>
        <v>19.600000000000001</v>
      </c>
      <c r="AI215" s="124">
        <f t="shared" si="1269"/>
        <v>1.0860000000000001</v>
      </c>
      <c r="AJ215" s="124">
        <f t="shared" si="1269"/>
        <v>1.0780000000000001</v>
      </c>
      <c r="AK215" s="126">
        <f t="shared" si="1328"/>
        <v>0</v>
      </c>
      <c r="AL215" s="126"/>
      <c r="AM215" s="34">
        <f t="shared" ref="AM215:AN215" si="1359">AM214</f>
        <v>2.0059999999999998</v>
      </c>
      <c r="AN215" s="33" t="str">
        <f t="shared" si="1359"/>
        <v>5,40,620</v>
      </c>
      <c r="AO215" s="11" t="str">
        <f t="shared" si="1330"/>
        <v>5,</v>
      </c>
      <c r="AP215" s="11" t="str">
        <f t="shared" si="1331"/>
        <v>40,620</v>
      </c>
      <c r="AQ215" s="11">
        <f t="shared" si="1332"/>
        <v>9.4616666666666668E-2</v>
      </c>
      <c r="AR215" s="14">
        <f t="shared" si="1333"/>
        <v>21.201338735247486</v>
      </c>
      <c r="AS215" s="40">
        <f t="shared" si="1334"/>
        <v>-100</v>
      </c>
      <c r="AT215" s="41" t="str">
        <f t="shared" si="1335"/>
        <v>NO CONFORME</v>
      </c>
      <c r="AU215" s="8" t="b">
        <f t="shared" si="1257"/>
        <v>1</v>
      </c>
      <c r="AV215" s="8" t="b">
        <f t="shared" si="1258"/>
        <v>0</v>
      </c>
      <c r="AW215" s="8" t="b">
        <f t="shared" si="1259"/>
        <v>1</v>
      </c>
      <c r="AX215" s="8" t="str">
        <f t="shared" si="1260"/>
        <v>Qcorrecto</v>
      </c>
      <c r="AY215" s="22" t="str">
        <f t="shared" si="1240"/>
        <v>aceptable</v>
      </c>
      <c r="AZ215" s="22" t="str">
        <f t="shared" si="1241"/>
        <v>aceptable</v>
      </c>
      <c r="BA215" s="22" t="str">
        <f t="shared" si="1261"/>
        <v>aceptable</v>
      </c>
      <c r="BB215" s="25" t="str">
        <f t="shared" si="1262"/>
        <v>NO CONFORME</v>
      </c>
      <c r="BC215" s="5" t="str">
        <f t="shared" si="1263"/>
        <v>NO CONFORME</v>
      </c>
      <c r="BD215" s="15">
        <f t="shared" si="1242"/>
        <v>-1</v>
      </c>
      <c r="BE215" s="15">
        <f t="shared" si="1243"/>
        <v>-1</v>
      </c>
      <c r="BF215" s="15">
        <f t="shared" si="1244"/>
        <v>-1</v>
      </c>
      <c r="BG215" s="15" t="str">
        <f t="shared" si="1245"/>
        <v>-1-1-1</v>
      </c>
      <c r="BH215" s="15" t="str">
        <f t="shared" si="1246"/>
        <v>SD</v>
      </c>
      <c r="BI215" s="15" t="str">
        <f t="shared" si="1247"/>
        <v>SI</v>
      </c>
      <c r="BJ215" s="15" t="b">
        <f t="shared" si="1248"/>
        <v>1</v>
      </c>
      <c r="BK215" s="15" t="str">
        <f t="shared" si="1249"/>
        <v>SIGIGUALES</v>
      </c>
      <c r="BL215" s="22" t="str">
        <f t="shared" si="1250"/>
        <v>NO CONFORME</v>
      </c>
    </row>
    <row r="216" spans="1:64" ht="14.4" x14ac:dyDescent="0.3">
      <c r="A216" s="36">
        <v>208</v>
      </c>
      <c r="B216" s="28">
        <f t="shared" ref="B216:E216" si="1360">B215</f>
        <v>45903</v>
      </c>
      <c r="C216" s="28">
        <f t="shared" si="1360"/>
        <v>45903</v>
      </c>
      <c r="D216" s="12">
        <f t="shared" si="1360"/>
        <v>3</v>
      </c>
      <c r="E216" s="10">
        <f t="shared" si="1360"/>
        <v>11</v>
      </c>
      <c r="F216" s="13"/>
      <c r="G216" s="69"/>
      <c r="H216" s="70">
        <f t="shared" ref="H216:L216" si="1361">H215</f>
        <v>25.6</v>
      </c>
      <c r="I216" s="37">
        <f t="shared" si="1361"/>
        <v>0</v>
      </c>
      <c r="J216" s="35">
        <f t="shared" si="1361"/>
        <v>16</v>
      </c>
      <c r="K216" s="122">
        <f t="shared" si="1361"/>
        <v>8.1690000000000005</v>
      </c>
      <c r="L216" s="122">
        <f t="shared" si="1361"/>
        <v>0.879</v>
      </c>
      <c r="M216" s="126"/>
      <c r="N216" s="126"/>
      <c r="O216" s="32">
        <f t="shared" ref="O216:P216" si="1362">O215</f>
        <v>100.65</v>
      </c>
      <c r="P216" s="33" t="str">
        <f t="shared" si="1362"/>
        <v>2,31,180</v>
      </c>
      <c r="Q216" s="11" t="str">
        <f t="shared" si="1316"/>
        <v>2</v>
      </c>
      <c r="R216" s="11" t="str">
        <f t="shared" si="1317"/>
        <v>31,180</v>
      </c>
      <c r="S216" s="11">
        <f t="shared" si="1318"/>
        <v>4.1994444444444445E-2</v>
      </c>
      <c r="T216" s="14">
        <f t="shared" si="1319"/>
        <v>2396.7456012700095</v>
      </c>
      <c r="U216" s="38">
        <f t="shared" si="1320"/>
        <v>-100</v>
      </c>
      <c r="V216" s="39">
        <f t="shared" ref="V216:W216" si="1363">V215</f>
        <v>19.8</v>
      </c>
      <c r="W216" s="124">
        <f t="shared" si="1363"/>
        <v>1.08</v>
      </c>
      <c r="X216" s="124">
        <f t="shared" si="1254"/>
        <v>1.075</v>
      </c>
      <c r="Y216" s="126"/>
      <c r="Z216" s="126"/>
      <c r="AA216" s="90">
        <f t="shared" ref="AA216:AB216" si="1364">AA215</f>
        <v>5.0149999999999997</v>
      </c>
      <c r="AB216" s="73" t="str">
        <f t="shared" si="1364"/>
        <v>9,05,040</v>
      </c>
      <c r="AC216" s="11" t="str">
        <f t="shared" si="1323"/>
        <v>9,</v>
      </c>
      <c r="AD216" s="11" t="str">
        <f t="shared" si="1324"/>
        <v>05,040</v>
      </c>
      <c r="AE216" s="11">
        <f t="shared" si="1325"/>
        <v>0.15139999999999998</v>
      </c>
      <c r="AF216" s="14">
        <f t="shared" si="1326"/>
        <v>33.124174372523122</v>
      </c>
      <c r="AG216" s="40">
        <f t="shared" si="1327"/>
        <v>-100</v>
      </c>
      <c r="AH216" s="39">
        <f t="shared" si="1269"/>
        <v>19.600000000000001</v>
      </c>
      <c r="AI216" s="124">
        <f t="shared" si="1269"/>
        <v>1.0860000000000001</v>
      </c>
      <c r="AJ216" s="124">
        <f t="shared" si="1269"/>
        <v>1.0780000000000001</v>
      </c>
      <c r="AK216" s="126">
        <f t="shared" si="1328"/>
        <v>0</v>
      </c>
      <c r="AL216" s="126"/>
      <c r="AM216" s="34">
        <f t="shared" ref="AM216:AN216" si="1365">AM215</f>
        <v>2.0059999999999998</v>
      </c>
      <c r="AN216" s="33" t="str">
        <f t="shared" si="1365"/>
        <v>5,40,620</v>
      </c>
      <c r="AO216" s="11" t="str">
        <f t="shared" si="1330"/>
        <v>5,</v>
      </c>
      <c r="AP216" s="11" t="str">
        <f t="shared" si="1331"/>
        <v>40,620</v>
      </c>
      <c r="AQ216" s="11">
        <f t="shared" si="1332"/>
        <v>9.4616666666666668E-2</v>
      </c>
      <c r="AR216" s="14">
        <f t="shared" si="1333"/>
        <v>21.201338735247486</v>
      </c>
      <c r="AS216" s="40">
        <f t="shared" si="1334"/>
        <v>-100</v>
      </c>
      <c r="AT216" s="41" t="str">
        <f t="shared" si="1335"/>
        <v>NO CONFORME</v>
      </c>
      <c r="AU216" s="8" t="b">
        <f t="shared" si="1257"/>
        <v>1</v>
      </c>
      <c r="AV216" s="8" t="b">
        <f t="shared" si="1258"/>
        <v>0</v>
      </c>
      <c r="AW216" s="8" t="b">
        <f t="shared" si="1259"/>
        <v>1</v>
      </c>
      <c r="AX216" s="8" t="str">
        <f t="shared" si="1260"/>
        <v>Qcorrecto</v>
      </c>
      <c r="AY216" s="22" t="str">
        <f t="shared" si="1240"/>
        <v>aceptable</v>
      </c>
      <c r="AZ216" s="22" t="str">
        <f t="shared" si="1241"/>
        <v>aceptable</v>
      </c>
      <c r="BA216" s="22" t="str">
        <f t="shared" si="1261"/>
        <v>aceptable</v>
      </c>
      <c r="BB216" s="25" t="str">
        <f t="shared" si="1262"/>
        <v>NO CONFORME</v>
      </c>
      <c r="BC216" s="5" t="str">
        <f t="shared" si="1263"/>
        <v>NO CONFORME</v>
      </c>
      <c r="BD216" s="15">
        <f t="shared" si="1242"/>
        <v>-1</v>
      </c>
      <c r="BE216" s="15">
        <f t="shared" si="1243"/>
        <v>-1</v>
      </c>
      <c r="BF216" s="15">
        <f t="shared" si="1244"/>
        <v>-1</v>
      </c>
      <c r="BG216" s="15" t="str">
        <f t="shared" si="1245"/>
        <v>-1-1-1</v>
      </c>
      <c r="BH216" s="15" t="str">
        <f t="shared" si="1246"/>
        <v>SD</v>
      </c>
      <c r="BI216" s="15" t="str">
        <f t="shared" si="1247"/>
        <v>SI</v>
      </c>
      <c r="BJ216" s="15" t="b">
        <f t="shared" si="1248"/>
        <v>1</v>
      </c>
      <c r="BK216" s="15" t="str">
        <f t="shared" si="1249"/>
        <v>SIGIGUALES</v>
      </c>
      <c r="BL216" s="22" t="str">
        <f t="shared" si="1250"/>
        <v>NO CONFORME</v>
      </c>
    </row>
    <row r="217" spans="1:64" ht="14.4" x14ac:dyDescent="0.3">
      <c r="A217" s="36">
        <v>209</v>
      </c>
      <c r="B217" s="28">
        <f t="shared" ref="B217:E217" si="1366">B216</f>
        <v>45903</v>
      </c>
      <c r="C217" s="28">
        <f t="shared" si="1366"/>
        <v>45903</v>
      </c>
      <c r="D217" s="12">
        <f t="shared" si="1366"/>
        <v>3</v>
      </c>
      <c r="E217" s="10">
        <f t="shared" si="1366"/>
        <v>11</v>
      </c>
      <c r="F217" s="13"/>
      <c r="G217" s="69"/>
      <c r="H217" s="70">
        <f t="shared" ref="H217:L217" si="1367">H216</f>
        <v>25.6</v>
      </c>
      <c r="I217" s="37">
        <f t="shared" si="1367"/>
        <v>0</v>
      </c>
      <c r="J217" s="35">
        <f t="shared" si="1367"/>
        <v>16</v>
      </c>
      <c r="K217" s="122">
        <f t="shared" si="1367"/>
        <v>8.1690000000000005</v>
      </c>
      <c r="L217" s="122">
        <f t="shared" si="1367"/>
        <v>0.879</v>
      </c>
      <c r="M217" s="126"/>
      <c r="N217" s="126"/>
      <c r="O217" s="32">
        <f t="shared" ref="O217:P217" si="1368">O216</f>
        <v>100.65</v>
      </c>
      <c r="P217" s="33" t="str">
        <f t="shared" si="1368"/>
        <v>2,31,180</v>
      </c>
      <c r="Q217" s="11" t="str">
        <f t="shared" si="1316"/>
        <v>2</v>
      </c>
      <c r="R217" s="11" t="str">
        <f t="shared" si="1317"/>
        <v>31,180</v>
      </c>
      <c r="S217" s="11">
        <f t="shared" si="1318"/>
        <v>4.1994444444444445E-2</v>
      </c>
      <c r="T217" s="14">
        <f t="shared" si="1319"/>
        <v>2396.7456012700095</v>
      </c>
      <c r="U217" s="38">
        <f t="shared" si="1320"/>
        <v>-100</v>
      </c>
      <c r="V217" s="39">
        <f t="shared" ref="V217:W217" si="1369">V216</f>
        <v>19.8</v>
      </c>
      <c r="W217" s="124">
        <f t="shared" si="1369"/>
        <v>1.08</v>
      </c>
      <c r="X217" s="124">
        <f t="shared" si="1254"/>
        <v>1.075</v>
      </c>
      <c r="Y217" s="126"/>
      <c r="Z217" s="126"/>
      <c r="AA217" s="90">
        <f t="shared" ref="AA217:AB217" si="1370">AA216</f>
        <v>5.0149999999999997</v>
      </c>
      <c r="AB217" s="73" t="str">
        <f t="shared" si="1370"/>
        <v>9,05,040</v>
      </c>
      <c r="AC217" s="11" t="str">
        <f t="shared" si="1323"/>
        <v>9,</v>
      </c>
      <c r="AD217" s="11" t="str">
        <f t="shared" si="1324"/>
        <v>05,040</v>
      </c>
      <c r="AE217" s="11">
        <f t="shared" si="1325"/>
        <v>0.15139999999999998</v>
      </c>
      <c r="AF217" s="14">
        <f t="shared" si="1326"/>
        <v>33.124174372523122</v>
      </c>
      <c r="AG217" s="40">
        <f t="shared" si="1327"/>
        <v>-100</v>
      </c>
      <c r="AH217" s="39">
        <f t="shared" si="1269"/>
        <v>19.600000000000001</v>
      </c>
      <c r="AI217" s="124">
        <f t="shared" si="1269"/>
        <v>1.0860000000000001</v>
      </c>
      <c r="AJ217" s="124">
        <f t="shared" si="1269"/>
        <v>1.0780000000000001</v>
      </c>
      <c r="AK217" s="126">
        <f t="shared" si="1328"/>
        <v>0</v>
      </c>
      <c r="AL217" s="126"/>
      <c r="AM217" s="34">
        <f t="shared" ref="AM217:AN217" si="1371">AM216</f>
        <v>2.0059999999999998</v>
      </c>
      <c r="AN217" s="33" t="str">
        <f t="shared" si="1371"/>
        <v>5,40,620</v>
      </c>
      <c r="AO217" s="11" t="str">
        <f t="shared" si="1330"/>
        <v>5,</v>
      </c>
      <c r="AP217" s="11" t="str">
        <f t="shared" si="1331"/>
        <v>40,620</v>
      </c>
      <c r="AQ217" s="11">
        <f t="shared" si="1332"/>
        <v>9.4616666666666668E-2</v>
      </c>
      <c r="AR217" s="14">
        <f t="shared" si="1333"/>
        <v>21.201338735247486</v>
      </c>
      <c r="AS217" s="40">
        <f t="shared" si="1334"/>
        <v>-100</v>
      </c>
      <c r="AT217" s="41" t="str">
        <f t="shared" si="1335"/>
        <v>NO CONFORME</v>
      </c>
      <c r="AU217" s="8" t="b">
        <f t="shared" si="1257"/>
        <v>1</v>
      </c>
      <c r="AV217" s="8" t="b">
        <f>N217&lt;Y217</f>
        <v>0</v>
      </c>
      <c r="AW217" s="8" t="b">
        <f t="shared" si="1259"/>
        <v>1</v>
      </c>
      <c r="AX217" s="8" t="str">
        <f t="shared" si="1260"/>
        <v>Qcorrecto</v>
      </c>
      <c r="AY217" s="22" t="str">
        <f t="shared" si="1240"/>
        <v>aceptable</v>
      </c>
      <c r="AZ217" s="22" t="str">
        <f t="shared" si="1241"/>
        <v>aceptable</v>
      </c>
      <c r="BA217" s="22" t="str">
        <f t="shared" si="1261"/>
        <v>aceptable</v>
      </c>
      <c r="BB217" s="25" t="str">
        <f t="shared" si="1262"/>
        <v>NO CONFORME</v>
      </c>
      <c r="BC217" s="5" t="str">
        <f t="shared" si="1263"/>
        <v>NO CONFORME</v>
      </c>
      <c r="BD217" s="15">
        <f t="shared" si="1242"/>
        <v>-1</v>
      </c>
      <c r="BE217" s="15">
        <f t="shared" si="1243"/>
        <v>-1</v>
      </c>
      <c r="BF217" s="15">
        <f t="shared" si="1244"/>
        <v>-1</v>
      </c>
      <c r="BG217" s="15" t="str">
        <f t="shared" si="1245"/>
        <v>-1-1-1</v>
      </c>
      <c r="BH217" s="15" t="str">
        <f t="shared" si="1246"/>
        <v>SD</v>
      </c>
      <c r="BI217" s="15" t="str">
        <f t="shared" si="1247"/>
        <v>SI</v>
      </c>
      <c r="BJ217" s="15" t="b">
        <f t="shared" si="1248"/>
        <v>1</v>
      </c>
      <c r="BK217" s="15" t="str">
        <f t="shared" si="1249"/>
        <v>SIGIGUALES</v>
      </c>
      <c r="BL217" s="22" t="str">
        <f t="shared" si="1250"/>
        <v>NO CONFORME</v>
      </c>
    </row>
    <row r="218" spans="1:64" ht="14.4" x14ac:dyDescent="0.3">
      <c r="A218" s="36">
        <v>210</v>
      </c>
      <c r="B218" s="28">
        <f t="shared" ref="B218:E218" si="1372">B217</f>
        <v>45903</v>
      </c>
      <c r="C218" s="28">
        <f t="shared" si="1372"/>
        <v>45903</v>
      </c>
      <c r="D218" s="12">
        <f t="shared" si="1372"/>
        <v>3</v>
      </c>
      <c r="E218" s="10">
        <f t="shared" si="1372"/>
        <v>11</v>
      </c>
      <c r="F218" s="13"/>
      <c r="G218" s="69"/>
      <c r="H218" s="70">
        <f t="shared" ref="H218:L218" si="1373">H217</f>
        <v>25.6</v>
      </c>
      <c r="I218" s="37">
        <f t="shared" si="1373"/>
        <v>0</v>
      </c>
      <c r="J218" s="35">
        <f t="shared" si="1373"/>
        <v>16</v>
      </c>
      <c r="K218" s="122">
        <f t="shared" si="1373"/>
        <v>8.1690000000000005</v>
      </c>
      <c r="L218" s="122">
        <f t="shared" si="1373"/>
        <v>0.879</v>
      </c>
      <c r="M218" s="126"/>
      <c r="N218" s="126"/>
      <c r="O218" s="32">
        <f t="shared" ref="O218:P218" si="1374">O217</f>
        <v>100.65</v>
      </c>
      <c r="P218" s="33" t="str">
        <f t="shared" si="1374"/>
        <v>2,31,180</v>
      </c>
      <c r="Q218" s="11" t="str">
        <f t="shared" si="1316"/>
        <v>2</v>
      </c>
      <c r="R218" s="11" t="str">
        <f t="shared" si="1317"/>
        <v>31,180</v>
      </c>
      <c r="S218" s="11">
        <f t="shared" si="1318"/>
        <v>4.1994444444444445E-2</v>
      </c>
      <c r="T218" s="14">
        <f t="shared" si="1319"/>
        <v>2396.7456012700095</v>
      </c>
      <c r="U218" s="38">
        <f t="shared" si="1320"/>
        <v>-100</v>
      </c>
      <c r="V218" s="39">
        <f t="shared" ref="V218:X233" si="1375">V217</f>
        <v>19.8</v>
      </c>
      <c r="W218" s="124">
        <f t="shared" si="1375"/>
        <v>1.08</v>
      </c>
      <c r="X218" s="124">
        <f t="shared" si="1375"/>
        <v>1.075</v>
      </c>
      <c r="Y218" s="126"/>
      <c r="Z218" s="126"/>
      <c r="AA218" s="90">
        <f t="shared" ref="AA218:AB218" si="1376">AA217</f>
        <v>5.0149999999999997</v>
      </c>
      <c r="AB218" s="73" t="str">
        <f t="shared" si="1376"/>
        <v>9,05,040</v>
      </c>
      <c r="AC218" s="11" t="str">
        <f t="shared" si="1323"/>
        <v>9,</v>
      </c>
      <c r="AD218" s="11" t="str">
        <f t="shared" si="1324"/>
        <v>05,040</v>
      </c>
      <c r="AE218" s="11">
        <f t="shared" si="1325"/>
        <v>0.15139999999999998</v>
      </c>
      <c r="AF218" s="14">
        <f t="shared" si="1326"/>
        <v>33.124174372523122</v>
      </c>
      <c r="AG218" s="40">
        <f t="shared" si="1327"/>
        <v>-100</v>
      </c>
      <c r="AH218" s="39">
        <f t="shared" si="1269"/>
        <v>19.600000000000001</v>
      </c>
      <c r="AI218" s="124">
        <f t="shared" si="1269"/>
        <v>1.0860000000000001</v>
      </c>
      <c r="AJ218" s="124">
        <f t="shared" si="1269"/>
        <v>1.0780000000000001</v>
      </c>
      <c r="AK218" s="126">
        <f t="shared" si="1328"/>
        <v>0</v>
      </c>
      <c r="AL218" s="126"/>
      <c r="AM218" s="34">
        <f t="shared" ref="AM218:AN218" si="1377">AM217</f>
        <v>2.0059999999999998</v>
      </c>
      <c r="AN218" s="33" t="str">
        <f t="shared" si="1377"/>
        <v>5,40,620</v>
      </c>
      <c r="AO218" s="11" t="str">
        <f t="shared" si="1330"/>
        <v>5,</v>
      </c>
      <c r="AP218" s="11" t="str">
        <f t="shared" si="1331"/>
        <v>40,620</v>
      </c>
      <c r="AQ218" s="11">
        <f t="shared" si="1332"/>
        <v>9.4616666666666668E-2</v>
      </c>
      <c r="AR218" s="14">
        <f t="shared" si="1333"/>
        <v>21.201338735247486</v>
      </c>
      <c r="AS218" s="40">
        <f t="shared" si="1334"/>
        <v>-100</v>
      </c>
      <c r="AT218" s="41" t="str">
        <f t="shared" si="1335"/>
        <v>NO CONFORME</v>
      </c>
      <c r="AU218" s="8" t="b">
        <f t="shared" si="1257"/>
        <v>1</v>
      </c>
      <c r="AV218" s="8" t="b">
        <f t="shared" si="1258"/>
        <v>0</v>
      </c>
      <c r="AW218" s="8" t="b">
        <f t="shared" si="1259"/>
        <v>1</v>
      </c>
      <c r="AX218" s="8" t="str">
        <f t="shared" si="1260"/>
        <v>Qcorrecto</v>
      </c>
      <c r="AY218" s="22" t="str">
        <f t="shared" si="1240"/>
        <v>aceptable</v>
      </c>
      <c r="AZ218" s="22" t="str">
        <f t="shared" si="1241"/>
        <v>aceptable</v>
      </c>
      <c r="BA218" s="22" t="str">
        <f t="shared" si="1261"/>
        <v>aceptable</v>
      </c>
      <c r="BB218" s="25" t="str">
        <f t="shared" si="1262"/>
        <v>NO CONFORME</v>
      </c>
      <c r="BC218" s="5" t="str">
        <f t="shared" si="1263"/>
        <v>NO CONFORME</v>
      </c>
      <c r="BD218" s="15">
        <f t="shared" si="1242"/>
        <v>-1</v>
      </c>
      <c r="BE218" s="15">
        <f t="shared" si="1243"/>
        <v>-1</v>
      </c>
      <c r="BF218" s="15">
        <f t="shared" si="1244"/>
        <v>-1</v>
      </c>
      <c r="BG218" s="15" t="str">
        <f t="shared" si="1245"/>
        <v>-1-1-1</v>
      </c>
      <c r="BH218" s="15" t="str">
        <f t="shared" si="1246"/>
        <v>SD</v>
      </c>
      <c r="BI218" s="15" t="str">
        <f t="shared" si="1247"/>
        <v>SI</v>
      </c>
      <c r="BJ218" s="15" t="b">
        <f t="shared" si="1248"/>
        <v>1</v>
      </c>
      <c r="BK218" s="15" t="str">
        <f t="shared" si="1249"/>
        <v>SIGIGUALES</v>
      </c>
      <c r="BL218" s="22" t="str">
        <f t="shared" si="1250"/>
        <v>NO CONFORME</v>
      </c>
    </row>
    <row r="219" spans="1:64" ht="14.4" x14ac:dyDescent="0.3">
      <c r="A219" s="36">
        <v>211</v>
      </c>
      <c r="B219" s="28">
        <f t="shared" ref="B219:E219" si="1378">B218</f>
        <v>45903</v>
      </c>
      <c r="C219" s="28">
        <f t="shared" si="1378"/>
        <v>45903</v>
      </c>
      <c r="D219" s="12">
        <f t="shared" si="1378"/>
        <v>3</v>
      </c>
      <c r="E219" s="10">
        <f t="shared" si="1378"/>
        <v>11</v>
      </c>
      <c r="F219" s="13"/>
      <c r="G219" s="69"/>
      <c r="H219" s="70">
        <f t="shared" ref="H219:L219" si="1379">H218</f>
        <v>25.6</v>
      </c>
      <c r="I219" s="37">
        <f t="shared" si="1379"/>
        <v>0</v>
      </c>
      <c r="J219" s="35">
        <f t="shared" si="1379"/>
        <v>16</v>
      </c>
      <c r="K219" s="122">
        <f t="shared" si="1379"/>
        <v>8.1690000000000005</v>
      </c>
      <c r="L219" s="122">
        <f t="shared" si="1379"/>
        <v>0.879</v>
      </c>
      <c r="M219" s="126"/>
      <c r="N219" s="126"/>
      <c r="O219" s="32">
        <f t="shared" ref="O219:P219" si="1380">O218</f>
        <v>100.65</v>
      </c>
      <c r="P219" s="33" t="str">
        <f t="shared" si="1380"/>
        <v>2,31,180</v>
      </c>
      <c r="Q219" s="11" t="str">
        <f t="shared" si="1316"/>
        <v>2</v>
      </c>
      <c r="R219" s="11" t="str">
        <f t="shared" si="1317"/>
        <v>31,180</v>
      </c>
      <c r="S219" s="11">
        <f t="shared" si="1318"/>
        <v>4.1994444444444445E-2</v>
      </c>
      <c r="T219" s="14">
        <f t="shared" si="1319"/>
        <v>2396.7456012700095</v>
      </c>
      <c r="U219" s="38">
        <f t="shared" si="1320"/>
        <v>-100</v>
      </c>
      <c r="V219" s="39">
        <f t="shared" ref="V219:W219" si="1381">V218</f>
        <v>19.8</v>
      </c>
      <c r="W219" s="124">
        <f t="shared" si="1381"/>
        <v>1.08</v>
      </c>
      <c r="X219" s="124">
        <f t="shared" si="1375"/>
        <v>1.075</v>
      </c>
      <c r="Y219" s="126"/>
      <c r="Z219" s="126"/>
      <c r="AA219" s="90">
        <f t="shared" ref="AA219:AB219" si="1382">AA218</f>
        <v>5.0149999999999997</v>
      </c>
      <c r="AB219" s="73" t="str">
        <f t="shared" si="1382"/>
        <v>9,05,040</v>
      </c>
      <c r="AC219" s="11" t="str">
        <f t="shared" si="1323"/>
        <v>9,</v>
      </c>
      <c r="AD219" s="11" t="str">
        <f t="shared" si="1324"/>
        <v>05,040</v>
      </c>
      <c r="AE219" s="11">
        <f t="shared" si="1325"/>
        <v>0.15139999999999998</v>
      </c>
      <c r="AF219" s="14">
        <f t="shared" si="1326"/>
        <v>33.124174372523122</v>
      </c>
      <c r="AG219" s="40">
        <f t="shared" si="1327"/>
        <v>-100</v>
      </c>
      <c r="AH219" s="39">
        <f t="shared" ref="AH219:AJ234" si="1383">AH218</f>
        <v>19.600000000000001</v>
      </c>
      <c r="AI219" s="124">
        <f t="shared" si="1383"/>
        <v>1.0860000000000001</v>
      </c>
      <c r="AJ219" s="124">
        <f t="shared" si="1383"/>
        <v>1.0780000000000001</v>
      </c>
      <c r="AK219" s="126">
        <f t="shared" si="1328"/>
        <v>0</v>
      </c>
      <c r="AL219" s="126"/>
      <c r="AM219" s="34">
        <f t="shared" ref="AM219:AN219" si="1384">AM218</f>
        <v>2.0059999999999998</v>
      </c>
      <c r="AN219" s="33" t="str">
        <f t="shared" si="1384"/>
        <v>5,40,620</v>
      </c>
      <c r="AO219" s="11" t="str">
        <f t="shared" si="1330"/>
        <v>5,</v>
      </c>
      <c r="AP219" s="11" t="str">
        <f t="shared" si="1331"/>
        <v>40,620</v>
      </c>
      <c r="AQ219" s="11">
        <f t="shared" si="1332"/>
        <v>9.4616666666666668E-2</v>
      </c>
      <c r="AR219" s="14">
        <f t="shared" si="1333"/>
        <v>21.201338735247486</v>
      </c>
      <c r="AS219" s="40">
        <f t="shared" si="1334"/>
        <v>-100</v>
      </c>
      <c r="AT219" s="41" t="str">
        <f t="shared" si="1335"/>
        <v>NO CONFORME</v>
      </c>
      <c r="AU219" s="8" t="b">
        <f t="shared" si="1257"/>
        <v>1</v>
      </c>
      <c r="AV219" s="8" t="b">
        <f t="shared" si="1258"/>
        <v>0</v>
      </c>
      <c r="AW219" s="8" t="b">
        <f t="shared" si="1259"/>
        <v>1</v>
      </c>
      <c r="AX219" s="8" t="str">
        <f t="shared" si="1260"/>
        <v>Qcorrecto</v>
      </c>
      <c r="AY219" s="22" t="str">
        <f t="shared" si="1240"/>
        <v>aceptable</v>
      </c>
      <c r="AZ219" s="22" t="str">
        <f t="shared" si="1241"/>
        <v>aceptable</v>
      </c>
      <c r="BA219" s="22" t="str">
        <f t="shared" si="1261"/>
        <v>aceptable</v>
      </c>
      <c r="BB219" s="25" t="str">
        <f t="shared" si="1262"/>
        <v>NO CONFORME</v>
      </c>
      <c r="BC219" s="5" t="str">
        <f t="shared" si="1263"/>
        <v>NO CONFORME</v>
      </c>
      <c r="BD219" s="15">
        <f t="shared" si="1242"/>
        <v>-1</v>
      </c>
      <c r="BE219" s="15">
        <f t="shared" si="1243"/>
        <v>-1</v>
      </c>
      <c r="BF219" s="15">
        <f t="shared" si="1244"/>
        <v>-1</v>
      </c>
      <c r="BG219" s="15" t="str">
        <f t="shared" si="1245"/>
        <v>-1-1-1</v>
      </c>
      <c r="BH219" s="15" t="str">
        <f t="shared" si="1246"/>
        <v>SD</v>
      </c>
      <c r="BI219" s="15" t="str">
        <f t="shared" si="1247"/>
        <v>SI</v>
      </c>
      <c r="BJ219" s="15" t="b">
        <f t="shared" si="1248"/>
        <v>1</v>
      </c>
      <c r="BK219" s="15" t="str">
        <f t="shared" si="1249"/>
        <v>SIGIGUALES</v>
      </c>
      <c r="BL219" s="22" t="str">
        <f t="shared" si="1250"/>
        <v>NO CONFORME</v>
      </c>
    </row>
    <row r="220" spans="1:64" ht="14.4" x14ac:dyDescent="0.3">
      <c r="A220" s="36">
        <v>212</v>
      </c>
      <c r="B220" s="28">
        <f t="shared" ref="B220:E220" si="1385">B219</f>
        <v>45903</v>
      </c>
      <c r="C220" s="28">
        <f t="shared" si="1385"/>
        <v>45903</v>
      </c>
      <c r="D220" s="12">
        <f t="shared" si="1385"/>
        <v>3</v>
      </c>
      <c r="E220" s="10">
        <f t="shared" si="1385"/>
        <v>11</v>
      </c>
      <c r="F220" s="13"/>
      <c r="G220" s="69"/>
      <c r="H220" s="70">
        <f t="shared" ref="H220:L220" si="1386">H219</f>
        <v>25.6</v>
      </c>
      <c r="I220" s="37">
        <f t="shared" si="1386"/>
        <v>0</v>
      </c>
      <c r="J220" s="35">
        <f t="shared" si="1386"/>
        <v>16</v>
      </c>
      <c r="K220" s="122">
        <f t="shared" si="1386"/>
        <v>8.1690000000000005</v>
      </c>
      <c r="L220" s="122">
        <f t="shared" si="1386"/>
        <v>0.879</v>
      </c>
      <c r="M220" s="126"/>
      <c r="N220" s="126"/>
      <c r="O220" s="32">
        <f t="shared" ref="O220:P220" si="1387">O219</f>
        <v>100.65</v>
      </c>
      <c r="P220" s="33" t="str">
        <f t="shared" si="1387"/>
        <v>2,31,180</v>
      </c>
      <c r="Q220" s="11" t="str">
        <f t="shared" si="1316"/>
        <v>2</v>
      </c>
      <c r="R220" s="11" t="str">
        <f t="shared" si="1317"/>
        <v>31,180</v>
      </c>
      <c r="S220" s="11">
        <f t="shared" si="1318"/>
        <v>4.1994444444444445E-2</v>
      </c>
      <c r="T220" s="14">
        <f t="shared" si="1319"/>
        <v>2396.7456012700095</v>
      </c>
      <c r="U220" s="38">
        <f t="shared" si="1320"/>
        <v>-100</v>
      </c>
      <c r="V220" s="39">
        <f t="shared" ref="V220:W220" si="1388">V219</f>
        <v>19.8</v>
      </c>
      <c r="W220" s="124">
        <f t="shared" si="1388"/>
        <v>1.08</v>
      </c>
      <c r="X220" s="124">
        <f t="shared" si="1375"/>
        <v>1.075</v>
      </c>
      <c r="Y220" s="126"/>
      <c r="Z220" s="126"/>
      <c r="AA220" s="90">
        <f t="shared" ref="AA220:AB220" si="1389">AA219</f>
        <v>5.0149999999999997</v>
      </c>
      <c r="AB220" s="73" t="str">
        <f t="shared" si="1389"/>
        <v>9,05,040</v>
      </c>
      <c r="AC220" s="11" t="str">
        <f t="shared" si="1323"/>
        <v>9,</v>
      </c>
      <c r="AD220" s="11" t="str">
        <f t="shared" si="1324"/>
        <v>05,040</v>
      </c>
      <c r="AE220" s="11">
        <f t="shared" si="1325"/>
        <v>0.15139999999999998</v>
      </c>
      <c r="AF220" s="14">
        <f t="shared" si="1326"/>
        <v>33.124174372523122</v>
      </c>
      <c r="AG220" s="40">
        <f t="shared" si="1327"/>
        <v>-100</v>
      </c>
      <c r="AH220" s="39">
        <f t="shared" si="1383"/>
        <v>19.600000000000001</v>
      </c>
      <c r="AI220" s="124">
        <f t="shared" si="1383"/>
        <v>1.0860000000000001</v>
      </c>
      <c r="AJ220" s="124">
        <f t="shared" si="1383"/>
        <v>1.0780000000000001</v>
      </c>
      <c r="AK220" s="126">
        <f t="shared" si="1328"/>
        <v>0</v>
      </c>
      <c r="AL220" s="126"/>
      <c r="AM220" s="34">
        <f t="shared" ref="AM220:AN220" si="1390">AM219</f>
        <v>2.0059999999999998</v>
      </c>
      <c r="AN220" s="33" t="str">
        <f t="shared" si="1390"/>
        <v>5,40,620</v>
      </c>
      <c r="AO220" s="11" t="str">
        <f t="shared" si="1330"/>
        <v>5,</v>
      </c>
      <c r="AP220" s="11" t="str">
        <f t="shared" si="1331"/>
        <v>40,620</v>
      </c>
      <c r="AQ220" s="11">
        <f t="shared" si="1332"/>
        <v>9.4616666666666668E-2</v>
      </c>
      <c r="AR220" s="14">
        <f t="shared" si="1333"/>
        <v>21.201338735247486</v>
      </c>
      <c r="AS220" s="40">
        <f t="shared" si="1334"/>
        <v>-100</v>
      </c>
      <c r="AT220" s="41" t="str">
        <f t="shared" si="1335"/>
        <v>NO CONFORME</v>
      </c>
      <c r="AU220" s="8" t="b">
        <f t="shared" si="1257"/>
        <v>1</v>
      </c>
      <c r="AV220" s="8" t="b">
        <f t="shared" si="1258"/>
        <v>0</v>
      </c>
      <c r="AW220" s="8" t="b">
        <f t="shared" si="1259"/>
        <v>1</v>
      </c>
      <c r="AX220" s="8" t="str">
        <f t="shared" si="1260"/>
        <v>Qcorrecto</v>
      </c>
      <c r="AY220" s="22" t="str">
        <f t="shared" si="1240"/>
        <v>aceptable</v>
      </c>
      <c r="AZ220" s="22" t="str">
        <f t="shared" si="1241"/>
        <v>aceptable</v>
      </c>
      <c r="BA220" s="22" t="str">
        <f t="shared" si="1261"/>
        <v>aceptable</v>
      </c>
      <c r="BB220" s="25" t="str">
        <f t="shared" si="1262"/>
        <v>NO CONFORME</v>
      </c>
      <c r="BC220" s="5" t="str">
        <f t="shared" si="1263"/>
        <v>NO CONFORME</v>
      </c>
      <c r="BD220" s="15">
        <f t="shared" si="1242"/>
        <v>-1</v>
      </c>
      <c r="BE220" s="15">
        <f t="shared" si="1243"/>
        <v>-1</v>
      </c>
      <c r="BF220" s="15">
        <f t="shared" si="1244"/>
        <v>-1</v>
      </c>
      <c r="BG220" s="15" t="str">
        <f t="shared" si="1245"/>
        <v>-1-1-1</v>
      </c>
      <c r="BH220" s="15" t="str">
        <f t="shared" si="1246"/>
        <v>SD</v>
      </c>
      <c r="BI220" s="15" t="str">
        <f t="shared" si="1247"/>
        <v>SI</v>
      </c>
      <c r="BJ220" s="15" t="b">
        <f t="shared" si="1248"/>
        <v>1</v>
      </c>
      <c r="BK220" s="15" t="str">
        <f t="shared" si="1249"/>
        <v>SIGIGUALES</v>
      </c>
      <c r="BL220" s="22" t="str">
        <f t="shared" si="1250"/>
        <v>NO CONFORME</v>
      </c>
    </row>
    <row r="221" spans="1:64" ht="14.4" x14ac:dyDescent="0.3">
      <c r="A221" s="36">
        <v>213</v>
      </c>
      <c r="B221" s="28">
        <f t="shared" ref="B221:E221" si="1391">B220</f>
        <v>45903</v>
      </c>
      <c r="C221" s="28">
        <f t="shared" si="1391"/>
        <v>45903</v>
      </c>
      <c r="D221" s="12">
        <f t="shared" si="1391"/>
        <v>3</v>
      </c>
      <c r="E221" s="10">
        <f t="shared" si="1391"/>
        <v>11</v>
      </c>
      <c r="F221" s="13"/>
      <c r="G221" s="69"/>
      <c r="H221" s="70">
        <f t="shared" ref="H221:L221" si="1392">H220</f>
        <v>25.6</v>
      </c>
      <c r="I221" s="37">
        <f t="shared" si="1392"/>
        <v>0</v>
      </c>
      <c r="J221" s="35">
        <f t="shared" si="1392"/>
        <v>16</v>
      </c>
      <c r="K221" s="122">
        <f t="shared" si="1392"/>
        <v>8.1690000000000005</v>
      </c>
      <c r="L221" s="122">
        <f t="shared" si="1392"/>
        <v>0.879</v>
      </c>
      <c r="M221" s="126"/>
      <c r="N221" s="126"/>
      <c r="O221" s="32">
        <f t="shared" ref="O221:P221" si="1393">O220</f>
        <v>100.65</v>
      </c>
      <c r="P221" s="33" t="str">
        <f t="shared" si="1393"/>
        <v>2,31,180</v>
      </c>
      <c r="Q221" s="11" t="str">
        <f t="shared" si="1316"/>
        <v>2</v>
      </c>
      <c r="R221" s="11" t="str">
        <f t="shared" si="1317"/>
        <v>31,180</v>
      </c>
      <c r="S221" s="11">
        <f t="shared" si="1318"/>
        <v>4.1994444444444445E-2</v>
      </c>
      <c r="T221" s="14">
        <f t="shared" si="1319"/>
        <v>2396.7456012700095</v>
      </c>
      <c r="U221" s="38">
        <f t="shared" si="1320"/>
        <v>-100</v>
      </c>
      <c r="V221" s="39">
        <f t="shared" ref="V221:W221" si="1394">V220</f>
        <v>19.8</v>
      </c>
      <c r="W221" s="124">
        <f t="shared" si="1394"/>
        <v>1.08</v>
      </c>
      <c r="X221" s="124">
        <f t="shared" si="1375"/>
        <v>1.075</v>
      </c>
      <c r="Y221" s="126"/>
      <c r="Z221" s="126"/>
      <c r="AA221" s="90">
        <f t="shared" ref="AA221:AB221" si="1395">AA220</f>
        <v>5.0149999999999997</v>
      </c>
      <c r="AB221" s="73" t="str">
        <f t="shared" si="1395"/>
        <v>9,05,040</v>
      </c>
      <c r="AC221" s="11" t="str">
        <f t="shared" si="1323"/>
        <v>9,</v>
      </c>
      <c r="AD221" s="11" t="str">
        <f t="shared" si="1324"/>
        <v>05,040</v>
      </c>
      <c r="AE221" s="11">
        <f t="shared" si="1325"/>
        <v>0.15139999999999998</v>
      </c>
      <c r="AF221" s="14">
        <f t="shared" si="1326"/>
        <v>33.124174372523122</v>
      </c>
      <c r="AG221" s="40">
        <f t="shared" si="1327"/>
        <v>-100</v>
      </c>
      <c r="AH221" s="39">
        <f t="shared" si="1383"/>
        <v>19.600000000000001</v>
      </c>
      <c r="AI221" s="124">
        <f t="shared" si="1383"/>
        <v>1.0860000000000001</v>
      </c>
      <c r="AJ221" s="124">
        <f t="shared" si="1383"/>
        <v>1.0780000000000001</v>
      </c>
      <c r="AK221" s="126">
        <f t="shared" si="1328"/>
        <v>0</v>
      </c>
      <c r="AL221" s="126"/>
      <c r="AM221" s="34">
        <f t="shared" ref="AM221:AN221" si="1396">AM220</f>
        <v>2.0059999999999998</v>
      </c>
      <c r="AN221" s="33" t="str">
        <f t="shared" si="1396"/>
        <v>5,40,620</v>
      </c>
      <c r="AO221" s="11" t="str">
        <f t="shared" si="1330"/>
        <v>5,</v>
      </c>
      <c r="AP221" s="11" t="str">
        <f t="shared" si="1331"/>
        <v>40,620</v>
      </c>
      <c r="AQ221" s="11">
        <f t="shared" si="1332"/>
        <v>9.4616666666666668E-2</v>
      </c>
      <c r="AR221" s="14">
        <f t="shared" si="1333"/>
        <v>21.201338735247486</v>
      </c>
      <c r="AS221" s="40">
        <f t="shared" si="1334"/>
        <v>-100</v>
      </c>
      <c r="AT221" s="41" t="str">
        <f t="shared" si="1335"/>
        <v>NO CONFORME</v>
      </c>
      <c r="AU221" s="8" t="b">
        <f t="shared" si="1257"/>
        <v>1</v>
      </c>
      <c r="AV221" s="8" t="b">
        <f t="shared" si="1258"/>
        <v>0</v>
      </c>
      <c r="AW221" s="8" t="b">
        <f t="shared" si="1259"/>
        <v>1</v>
      </c>
      <c r="AX221" s="8" t="str">
        <f t="shared" si="1260"/>
        <v>Qcorrecto</v>
      </c>
      <c r="AY221" s="22" t="str">
        <f t="shared" si="1240"/>
        <v>aceptable</v>
      </c>
      <c r="AZ221" s="22" t="str">
        <f t="shared" si="1241"/>
        <v>aceptable</v>
      </c>
      <c r="BA221" s="22" t="str">
        <f t="shared" si="1261"/>
        <v>aceptable</v>
      </c>
      <c r="BB221" s="25" t="str">
        <f t="shared" si="1262"/>
        <v>NO CONFORME</v>
      </c>
      <c r="BC221" s="5" t="str">
        <f t="shared" si="1263"/>
        <v>NO CONFORME</v>
      </c>
      <c r="BD221" s="15">
        <f t="shared" si="1242"/>
        <v>-1</v>
      </c>
      <c r="BE221" s="15">
        <f t="shared" si="1243"/>
        <v>-1</v>
      </c>
      <c r="BF221" s="15">
        <f t="shared" si="1244"/>
        <v>-1</v>
      </c>
      <c r="BG221" s="15" t="str">
        <f t="shared" si="1245"/>
        <v>-1-1-1</v>
      </c>
      <c r="BH221" s="15" t="str">
        <f t="shared" si="1246"/>
        <v>SD</v>
      </c>
      <c r="BI221" s="15" t="str">
        <f t="shared" si="1247"/>
        <v>SI</v>
      </c>
      <c r="BJ221" s="15" t="b">
        <f t="shared" si="1248"/>
        <v>1</v>
      </c>
      <c r="BK221" s="15" t="str">
        <f t="shared" si="1249"/>
        <v>SIGIGUALES</v>
      </c>
      <c r="BL221" s="22" t="str">
        <f t="shared" si="1250"/>
        <v>NO CONFORME</v>
      </c>
    </row>
    <row r="222" spans="1:64" ht="14.4" x14ac:dyDescent="0.3">
      <c r="A222" s="36">
        <v>214</v>
      </c>
      <c r="B222" s="28">
        <f t="shared" ref="B222:E222" si="1397">B221</f>
        <v>45903</v>
      </c>
      <c r="C222" s="28">
        <f t="shared" si="1397"/>
        <v>45903</v>
      </c>
      <c r="D222" s="12">
        <f t="shared" si="1397"/>
        <v>3</v>
      </c>
      <c r="E222" s="10">
        <f t="shared" si="1397"/>
        <v>11</v>
      </c>
      <c r="F222" s="13"/>
      <c r="G222" s="69"/>
      <c r="H222" s="70">
        <f t="shared" ref="H222:L222" si="1398">H221</f>
        <v>25.6</v>
      </c>
      <c r="I222" s="37">
        <f t="shared" si="1398"/>
        <v>0</v>
      </c>
      <c r="J222" s="35">
        <f t="shared" si="1398"/>
        <v>16</v>
      </c>
      <c r="K222" s="122">
        <f t="shared" si="1398"/>
        <v>8.1690000000000005</v>
      </c>
      <c r="L222" s="122">
        <f t="shared" si="1398"/>
        <v>0.879</v>
      </c>
      <c r="M222" s="126"/>
      <c r="N222" s="126"/>
      <c r="O222" s="32">
        <f t="shared" ref="O222:P222" si="1399">O221</f>
        <v>100.65</v>
      </c>
      <c r="P222" s="33" t="str">
        <f t="shared" si="1399"/>
        <v>2,31,180</v>
      </c>
      <c r="Q222" s="11" t="str">
        <f t="shared" si="1316"/>
        <v>2</v>
      </c>
      <c r="R222" s="11" t="str">
        <f t="shared" si="1317"/>
        <v>31,180</v>
      </c>
      <c r="S222" s="11">
        <f t="shared" si="1318"/>
        <v>4.1994444444444445E-2</v>
      </c>
      <c r="T222" s="14">
        <f t="shared" si="1319"/>
        <v>2396.7456012700095</v>
      </c>
      <c r="U222" s="38">
        <f t="shared" si="1320"/>
        <v>-100</v>
      </c>
      <c r="V222" s="39">
        <f t="shared" ref="V222:W222" si="1400">V221</f>
        <v>19.8</v>
      </c>
      <c r="W222" s="124">
        <f t="shared" si="1400"/>
        <v>1.08</v>
      </c>
      <c r="X222" s="124">
        <f t="shared" si="1375"/>
        <v>1.075</v>
      </c>
      <c r="Y222" s="126"/>
      <c r="Z222" s="126"/>
      <c r="AA222" s="90">
        <f t="shared" ref="AA222:AB222" si="1401">AA221</f>
        <v>5.0149999999999997</v>
      </c>
      <c r="AB222" s="73" t="str">
        <f t="shared" si="1401"/>
        <v>9,05,040</v>
      </c>
      <c r="AC222" s="11" t="str">
        <f t="shared" si="1323"/>
        <v>9,</v>
      </c>
      <c r="AD222" s="11" t="str">
        <f t="shared" si="1324"/>
        <v>05,040</v>
      </c>
      <c r="AE222" s="11">
        <f t="shared" si="1325"/>
        <v>0.15139999999999998</v>
      </c>
      <c r="AF222" s="14">
        <f t="shared" si="1326"/>
        <v>33.124174372523122</v>
      </c>
      <c r="AG222" s="40">
        <f t="shared" si="1327"/>
        <v>-100</v>
      </c>
      <c r="AH222" s="39">
        <f t="shared" si="1383"/>
        <v>19.600000000000001</v>
      </c>
      <c r="AI222" s="124">
        <f t="shared" si="1383"/>
        <v>1.0860000000000001</v>
      </c>
      <c r="AJ222" s="124">
        <f t="shared" si="1383"/>
        <v>1.0780000000000001</v>
      </c>
      <c r="AK222" s="126">
        <f t="shared" si="1328"/>
        <v>0</v>
      </c>
      <c r="AL222" s="126"/>
      <c r="AM222" s="34">
        <f t="shared" ref="AM222:AN222" si="1402">AM221</f>
        <v>2.0059999999999998</v>
      </c>
      <c r="AN222" s="33" t="str">
        <f t="shared" si="1402"/>
        <v>5,40,620</v>
      </c>
      <c r="AO222" s="11" t="str">
        <f t="shared" si="1330"/>
        <v>5,</v>
      </c>
      <c r="AP222" s="11" t="str">
        <f t="shared" si="1331"/>
        <v>40,620</v>
      </c>
      <c r="AQ222" s="11">
        <f t="shared" si="1332"/>
        <v>9.4616666666666668E-2</v>
      </c>
      <c r="AR222" s="14">
        <f t="shared" si="1333"/>
        <v>21.201338735247486</v>
      </c>
      <c r="AS222" s="40">
        <f t="shared" si="1334"/>
        <v>-100</v>
      </c>
      <c r="AT222" s="41" t="str">
        <f t="shared" si="1335"/>
        <v>NO CONFORME</v>
      </c>
      <c r="AU222" s="8" t="b">
        <f t="shared" si="1257"/>
        <v>1</v>
      </c>
      <c r="AV222" s="8" t="b">
        <f t="shared" si="1258"/>
        <v>0</v>
      </c>
      <c r="AW222" s="8" t="b">
        <f t="shared" si="1259"/>
        <v>1</v>
      </c>
      <c r="AX222" s="8" t="str">
        <f t="shared" si="1260"/>
        <v>Qcorrecto</v>
      </c>
      <c r="AY222" s="22" t="str">
        <f t="shared" si="1240"/>
        <v>aceptable</v>
      </c>
      <c r="AZ222" s="22" t="str">
        <f t="shared" si="1241"/>
        <v>aceptable</v>
      </c>
      <c r="BA222" s="22" t="str">
        <f t="shared" si="1261"/>
        <v>aceptable</v>
      </c>
      <c r="BB222" s="25" t="str">
        <f t="shared" si="1262"/>
        <v>NO CONFORME</v>
      </c>
      <c r="BC222" s="5" t="str">
        <f t="shared" si="1263"/>
        <v>NO CONFORME</v>
      </c>
      <c r="BD222" s="15">
        <f t="shared" si="1242"/>
        <v>-1</v>
      </c>
      <c r="BE222" s="15">
        <f t="shared" si="1243"/>
        <v>-1</v>
      </c>
      <c r="BF222" s="15">
        <f t="shared" si="1244"/>
        <v>-1</v>
      </c>
      <c r="BG222" s="15" t="str">
        <f t="shared" si="1245"/>
        <v>-1-1-1</v>
      </c>
      <c r="BH222" s="15" t="str">
        <f t="shared" si="1246"/>
        <v>SD</v>
      </c>
      <c r="BI222" s="15" t="str">
        <f t="shared" si="1247"/>
        <v>SI</v>
      </c>
      <c r="BJ222" s="15" t="b">
        <f t="shared" si="1248"/>
        <v>1</v>
      </c>
      <c r="BK222" s="15" t="str">
        <f t="shared" si="1249"/>
        <v>SIGIGUALES</v>
      </c>
      <c r="BL222" s="22" t="str">
        <f t="shared" si="1250"/>
        <v>NO CONFORME</v>
      </c>
    </row>
    <row r="223" spans="1:64" ht="14.4" x14ac:dyDescent="0.3">
      <c r="A223" s="36">
        <v>215</v>
      </c>
      <c r="B223" s="28">
        <f t="shared" ref="B223:E223" si="1403">B222</f>
        <v>45903</v>
      </c>
      <c r="C223" s="28">
        <f t="shared" si="1403"/>
        <v>45903</v>
      </c>
      <c r="D223" s="12">
        <f t="shared" si="1403"/>
        <v>3</v>
      </c>
      <c r="E223" s="10">
        <f t="shared" si="1403"/>
        <v>11</v>
      </c>
      <c r="F223" s="13"/>
      <c r="G223" s="69"/>
      <c r="H223" s="70">
        <f t="shared" ref="H223:L223" si="1404">H222</f>
        <v>25.6</v>
      </c>
      <c r="I223" s="37">
        <f t="shared" si="1404"/>
        <v>0</v>
      </c>
      <c r="J223" s="35">
        <f t="shared" si="1404"/>
        <v>16</v>
      </c>
      <c r="K223" s="122">
        <f t="shared" si="1404"/>
        <v>8.1690000000000005</v>
      </c>
      <c r="L223" s="122">
        <f t="shared" si="1404"/>
        <v>0.879</v>
      </c>
      <c r="M223" s="126"/>
      <c r="N223" s="126"/>
      <c r="O223" s="32">
        <f t="shared" ref="O223:P223" si="1405">O222</f>
        <v>100.65</v>
      </c>
      <c r="P223" s="33" t="str">
        <f t="shared" si="1405"/>
        <v>2,31,180</v>
      </c>
      <c r="Q223" s="11" t="str">
        <f t="shared" si="1316"/>
        <v>2</v>
      </c>
      <c r="R223" s="11" t="str">
        <f t="shared" si="1317"/>
        <v>31,180</v>
      </c>
      <c r="S223" s="11">
        <f t="shared" si="1318"/>
        <v>4.1994444444444445E-2</v>
      </c>
      <c r="T223" s="14">
        <f t="shared" si="1319"/>
        <v>2396.7456012700095</v>
      </c>
      <c r="U223" s="38">
        <f t="shared" si="1320"/>
        <v>-100</v>
      </c>
      <c r="V223" s="39">
        <f t="shared" ref="V223:W223" si="1406">V222</f>
        <v>19.8</v>
      </c>
      <c r="W223" s="124">
        <f t="shared" si="1406"/>
        <v>1.08</v>
      </c>
      <c r="X223" s="124">
        <f t="shared" si="1375"/>
        <v>1.075</v>
      </c>
      <c r="Y223" s="126"/>
      <c r="Z223" s="126"/>
      <c r="AA223" s="90">
        <f t="shared" ref="AA223:AB223" si="1407">AA222</f>
        <v>5.0149999999999997</v>
      </c>
      <c r="AB223" s="73" t="str">
        <f t="shared" si="1407"/>
        <v>9,05,040</v>
      </c>
      <c r="AC223" s="11" t="str">
        <f t="shared" si="1323"/>
        <v>9,</v>
      </c>
      <c r="AD223" s="11" t="str">
        <f t="shared" si="1324"/>
        <v>05,040</v>
      </c>
      <c r="AE223" s="11">
        <f t="shared" si="1325"/>
        <v>0.15139999999999998</v>
      </c>
      <c r="AF223" s="14">
        <f t="shared" si="1326"/>
        <v>33.124174372523122</v>
      </c>
      <c r="AG223" s="40">
        <f t="shared" si="1327"/>
        <v>-100</v>
      </c>
      <c r="AH223" s="39">
        <f t="shared" si="1383"/>
        <v>19.600000000000001</v>
      </c>
      <c r="AI223" s="124">
        <f t="shared" si="1383"/>
        <v>1.0860000000000001</v>
      </c>
      <c r="AJ223" s="124">
        <f t="shared" si="1383"/>
        <v>1.0780000000000001</v>
      </c>
      <c r="AK223" s="126">
        <f t="shared" si="1328"/>
        <v>0</v>
      </c>
      <c r="AL223" s="126"/>
      <c r="AM223" s="34">
        <f t="shared" ref="AM223:AN223" si="1408">AM222</f>
        <v>2.0059999999999998</v>
      </c>
      <c r="AN223" s="33" t="str">
        <f t="shared" si="1408"/>
        <v>5,40,620</v>
      </c>
      <c r="AO223" s="11" t="str">
        <f t="shared" si="1330"/>
        <v>5,</v>
      </c>
      <c r="AP223" s="11" t="str">
        <f t="shared" si="1331"/>
        <v>40,620</v>
      </c>
      <c r="AQ223" s="11">
        <f t="shared" si="1332"/>
        <v>9.4616666666666668E-2</v>
      </c>
      <c r="AR223" s="14">
        <f t="shared" si="1333"/>
        <v>21.201338735247486</v>
      </c>
      <c r="AS223" s="40">
        <f t="shared" si="1334"/>
        <v>-100</v>
      </c>
      <c r="AT223" s="41" t="str">
        <f t="shared" si="1335"/>
        <v>NO CONFORME</v>
      </c>
      <c r="AU223" s="8" t="b">
        <f t="shared" si="1257"/>
        <v>1</v>
      </c>
      <c r="AV223" s="8" t="b">
        <f t="shared" si="1258"/>
        <v>0</v>
      </c>
      <c r="AW223" s="8" t="b">
        <f t="shared" si="1259"/>
        <v>1</v>
      </c>
      <c r="AX223" s="8" t="str">
        <f t="shared" si="1260"/>
        <v>Qcorrecto</v>
      </c>
      <c r="AY223" s="22" t="str">
        <f t="shared" si="1240"/>
        <v>aceptable</v>
      </c>
      <c r="AZ223" s="22" t="str">
        <f t="shared" si="1241"/>
        <v>aceptable</v>
      </c>
      <c r="BA223" s="22" t="str">
        <f t="shared" si="1261"/>
        <v>aceptable</v>
      </c>
      <c r="BB223" s="25" t="str">
        <f t="shared" si="1262"/>
        <v>NO CONFORME</v>
      </c>
      <c r="BC223" s="5" t="str">
        <f t="shared" si="1263"/>
        <v>NO CONFORME</v>
      </c>
      <c r="BD223" s="15">
        <f t="shared" si="1242"/>
        <v>-1</v>
      </c>
      <c r="BE223" s="15">
        <f t="shared" si="1243"/>
        <v>-1</v>
      </c>
      <c r="BF223" s="15">
        <f t="shared" si="1244"/>
        <v>-1</v>
      </c>
      <c r="BG223" s="15" t="str">
        <f t="shared" si="1245"/>
        <v>-1-1-1</v>
      </c>
      <c r="BH223" s="15" t="str">
        <f t="shared" si="1246"/>
        <v>SD</v>
      </c>
      <c r="BI223" s="15" t="str">
        <f t="shared" si="1247"/>
        <v>SI</v>
      </c>
      <c r="BJ223" s="15" t="b">
        <f t="shared" si="1248"/>
        <v>1</v>
      </c>
      <c r="BK223" s="15" t="str">
        <f t="shared" si="1249"/>
        <v>SIGIGUALES</v>
      </c>
      <c r="BL223" s="22" t="str">
        <f t="shared" si="1250"/>
        <v>NO CONFORME</v>
      </c>
    </row>
    <row r="224" spans="1:64" ht="14.4" x14ac:dyDescent="0.3">
      <c r="A224" s="36">
        <v>216</v>
      </c>
      <c r="B224" s="28">
        <f t="shared" ref="B224:E224" si="1409">B223</f>
        <v>45903</v>
      </c>
      <c r="C224" s="28">
        <f t="shared" si="1409"/>
        <v>45903</v>
      </c>
      <c r="D224" s="12">
        <f t="shared" si="1409"/>
        <v>3</v>
      </c>
      <c r="E224" s="10">
        <f t="shared" si="1409"/>
        <v>11</v>
      </c>
      <c r="F224" s="13"/>
      <c r="G224" s="69"/>
      <c r="H224" s="70">
        <f t="shared" ref="H224:L224" si="1410">H223</f>
        <v>25.6</v>
      </c>
      <c r="I224" s="37">
        <f t="shared" si="1410"/>
        <v>0</v>
      </c>
      <c r="J224" s="35">
        <f t="shared" si="1410"/>
        <v>16</v>
      </c>
      <c r="K224" s="122">
        <f t="shared" si="1410"/>
        <v>8.1690000000000005</v>
      </c>
      <c r="L224" s="122">
        <f t="shared" si="1410"/>
        <v>0.879</v>
      </c>
      <c r="M224" s="126"/>
      <c r="N224" s="126"/>
      <c r="O224" s="32">
        <f t="shared" ref="O224:P224" si="1411">O223</f>
        <v>100.65</v>
      </c>
      <c r="P224" s="33" t="str">
        <f t="shared" si="1411"/>
        <v>2,31,180</v>
      </c>
      <c r="Q224" s="11" t="str">
        <f t="shared" si="1316"/>
        <v>2</v>
      </c>
      <c r="R224" s="11" t="str">
        <f t="shared" si="1317"/>
        <v>31,180</v>
      </c>
      <c r="S224" s="11">
        <f t="shared" si="1318"/>
        <v>4.1994444444444445E-2</v>
      </c>
      <c r="T224" s="14">
        <f t="shared" si="1319"/>
        <v>2396.7456012700095</v>
      </c>
      <c r="U224" s="38">
        <f t="shared" si="1320"/>
        <v>-100</v>
      </c>
      <c r="V224" s="39">
        <f t="shared" ref="V224:W224" si="1412">V223</f>
        <v>19.8</v>
      </c>
      <c r="W224" s="124">
        <f t="shared" si="1412"/>
        <v>1.08</v>
      </c>
      <c r="X224" s="124">
        <f t="shared" si="1375"/>
        <v>1.075</v>
      </c>
      <c r="Y224" s="126"/>
      <c r="Z224" s="126"/>
      <c r="AA224" s="90">
        <f t="shared" ref="AA224:AB224" si="1413">AA223</f>
        <v>5.0149999999999997</v>
      </c>
      <c r="AB224" s="73" t="str">
        <f t="shared" si="1413"/>
        <v>9,05,040</v>
      </c>
      <c r="AC224" s="11" t="str">
        <f t="shared" si="1323"/>
        <v>9,</v>
      </c>
      <c r="AD224" s="11" t="str">
        <f t="shared" si="1324"/>
        <v>05,040</v>
      </c>
      <c r="AE224" s="11">
        <f t="shared" si="1325"/>
        <v>0.15139999999999998</v>
      </c>
      <c r="AF224" s="14">
        <f t="shared" si="1326"/>
        <v>33.124174372523122</v>
      </c>
      <c r="AG224" s="40">
        <f t="shared" si="1327"/>
        <v>-100</v>
      </c>
      <c r="AH224" s="39">
        <f t="shared" si="1383"/>
        <v>19.600000000000001</v>
      </c>
      <c r="AI224" s="124">
        <f t="shared" si="1383"/>
        <v>1.0860000000000001</v>
      </c>
      <c r="AJ224" s="124">
        <f t="shared" si="1383"/>
        <v>1.0780000000000001</v>
      </c>
      <c r="AK224" s="126">
        <f t="shared" si="1328"/>
        <v>0</v>
      </c>
      <c r="AL224" s="126"/>
      <c r="AM224" s="34">
        <f t="shared" ref="AM224:AN224" si="1414">AM223</f>
        <v>2.0059999999999998</v>
      </c>
      <c r="AN224" s="33" t="str">
        <f t="shared" si="1414"/>
        <v>5,40,620</v>
      </c>
      <c r="AO224" s="11" t="str">
        <f t="shared" si="1330"/>
        <v>5,</v>
      </c>
      <c r="AP224" s="11" t="str">
        <f t="shared" si="1331"/>
        <v>40,620</v>
      </c>
      <c r="AQ224" s="11">
        <f t="shared" si="1332"/>
        <v>9.4616666666666668E-2</v>
      </c>
      <c r="AR224" s="14">
        <f t="shared" si="1333"/>
        <v>21.201338735247486</v>
      </c>
      <c r="AS224" s="40">
        <f t="shared" si="1334"/>
        <v>-100</v>
      </c>
      <c r="AT224" s="41" t="str">
        <f t="shared" si="1335"/>
        <v>NO CONFORME</v>
      </c>
      <c r="AU224" s="8" t="b">
        <f t="shared" si="1257"/>
        <v>1</v>
      </c>
      <c r="AV224" s="8" t="b">
        <f t="shared" si="1258"/>
        <v>0</v>
      </c>
      <c r="AW224" s="8" t="b">
        <f t="shared" si="1259"/>
        <v>1</v>
      </c>
      <c r="AX224" s="8" t="str">
        <f t="shared" si="1260"/>
        <v>Qcorrecto</v>
      </c>
      <c r="AY224" s="22" t="str">
        <f t="shared" si="1240"/>
        <v>aceptable</v>
      </c>
      <c r="AZ224" s="22" t="str">
        <f t="shared" si="1241"/>
        <v>aceptable</v>
      </c>
      <c r="BA224" s="22" t="str">
        <f t="shared" si="1261"/>
        <v>aceptable</v>
      </c>
      <c r="BB224" s="25" t="str">
        <f t="shared" si="1262"/>
        <v>NO CONFORME</v>
      </c>
      <c r="BC224" s="5" t="str">
        <f t="shared" si="1263"/>
        <v>NO CONFORME</v>
      </c>
      <c r="BD224" s="15">
        <f t="shared" si="1242"/>
        <v>-1</v>
      </c>
      <c r="BE224" s="15">
        <f t="shared" si="1243"/>
        <v>-1</v>
      </c>
      <c r="BF224" s="15">
        <f t="shared" si="1244"/>
        <v>-1</v>
      </c>
      <c r="BG224" s="15" t="str">
        <f t="shared" si="1245"/>
        <v>-1-1-1</v>
      </c>
      <c r="BH224" s="15" t="str">
        <f t="shared" si="1246"/>
        <v>SD</v>
      </c>
      <c r="BI224" s="15" t="str">
        <f t="shared" si="1247"/>
        <v>SI</v>
      </c>
      <c r="BJ224" s="15" t="b">
        <f t="shared" si="1248"/>
        <v>1</v>
      </c>
      <c r="BK224" s="15" t="str">
        <f t="shared" si="1249"/>
        <v>SIGIGUALES</v>
      </c>
      <c r="BL224" s="22" t="str">
        <f t="shared" si="1250"/>
        <v>NO CONFORME</v>
      </c>
    </row>
    <row r="225" spans="1:64" ht="14.4" x14ac:dyDescent="0.3">
      <c r="A225" s="36">
        <v>217</v>
      </c>
      <c r="B225" s="28">
        <f t="shared" ref="B225:E225" si="1415">B224</f>
        <v>45903</v>
      </c>
      <c r="C225" s="28">
        <f t="shared" si="1415"/>
        <v>45903</v>
      </c>
      <c r="D225" s="12">
        <f t="shared" si="1415"/>
        <v>3</v>
      </c>
      <c r="E225" s="10">
        <f t="shared" si="1415"/>
        <v>11</v>
      </c>
      <c r="F225" s="13"/>
      <c r="G225" s="69"/>
      <c r="H225" s="70">
        <f t="shared" ref="H225:L225" si="1416">H224</f>
        <v>25.6</v>
      </c>
      <c r="I225" s="37">
        <f t="shared" si="1416"/>
        <v>0</v>
      </c>
      <c r="J225" s="35">
        <f t="shared" si="1416"/>
        <v>16</v>
      </c>
      <c r="K225" s="122">
        <f t="shared" si="1416"/>
        <v>8.1690000000000005</v>
      </c>
      <c r="L225" s="122">
        <f t="shared" si="1416"/>
        <v>0.879</v>
      </c>
      <c r="M225" s="126"/>
      <c r="N225" s="126"/>
      <c r="O225" s="32">
        <f t="shared" ref="O225:P225" si="1417">O224</f>
        <v>100.65</v>
      </c>
      <c r="P225" s="33" t="str">
        <f t="shared" si="1417"/>
        <v>2,31,180</v>
      </c>
      <c r="Q225" s="11" t="str">
        <f t="shared" si="1316"/>
        <v>2</v>
      </c>
      <c r="R225" s="11" t="str">
        <f t="shared" si="1317"/>
        <v>31,180</v>
      </c>
      <c r="S225" s="11">
        <f t="shared" si="1318"/>
        <v>4.1994444444444445E-2</v>
      </c>
      <c r="T225" s="14">
        <f t="shared" si="1319"/>
        <v>2396.7456012700095</v>
      </c>
      <c r="U225" s="38">
        <f t="shared" si="1320"/>
        <v>-100</v>
      </c>
      <c r="V225" s="39">
        <f t="shared" ref="V225:W225" si="1418">V224</f>
        <v>19.8</v>
      </c>
      <c r="W225" s="124">
        <f t="shared" si="1418"/>
        <v>1.08</v>
      </c>
      <c r="X225" s="124">
        <f t="shared" si="1375"/>
        <v>1.075</v>
      </c>
      <c r="Y225" s="126"/>
      <c r="Z225" s="126"/>
      <c r="AA225" s="90">
        <f t="shared" ref="AA225:AB225" si="1419">AA224</f>
        <v>5.0149999999999997</v>
      </c>
      <c r="AB225" s="73" t="str">
        <f t="shared" si="1419"/>
        <v>9,05,040</v>
      </c>
      <c r="AC225" s="11" t="str">
        <f t="shared" si="1323"/>
        <v>9,</v>
      </c>
      <c r="AD225" s="11" t="str">
        <f t="shared" si="1324"/>
        <v>05,040</v>
      </c>
      <c r="AE225" s="11">
        <f t="shared" si="1325"/>
        <v>0.15139999999999998</v>
      </c>
      <c r="AF225" s="14">
        <f t="shared" si="1326"/>
        <v>33.124174372523122</v>
      </c>
      <c r="AG225" s="40">
        <f t="shared" si="1327"/>
        <v>-100</v>
      </c>
      <c r="AH225" s="39">
        <f t="shared" si="1383"/>
        <v>19.600000000000001</v>
      </c>
      <c r="AI225" s="124">
        <f t="shared" si="1383"/>
        <v>1.0860000000000001</v>
      </c>
      <c r="AJ225" s="124">
        <f t="shared" si="1383"/>
        <v>1.0780000000000001</v>
      </c>
      <c r="AK225" s="126">
        <f t="shared" si="1328"/>
        <v>0</v>
      </c>
      <c r="AL225" s="126"/>
      <c r="AM225" s="34">
        <f t="shared" ref="AM225:AN225" si="1420">AM224</f>
        <v>2.0059999999999998</v>
      </c>
      <c r="AN225" s="33" t="str">
        <f t="shared" si="1420"/>
        <v>5,40,620</v>
      </c>
      <c r="AO225" s="11" t="str">
        <f t="shared" si="1330"/>
        <v>5,</v>
      </c>
      <c r="AP225" s="11" t="str">
        <f t="shared" si="1331"/>
        <v>40,620</v>
      </c>
      <c r="AQ225" s="11">
        <f t="shared" si="1332"/>
        <v>9.4616666666666668E-2</v>
      </c>
      <c r="AR225" s="14">
        <f t="shared" si="1333"/>
        <v>21.201338735247486</v>
      </c>
      <c r="AS225" s="40">
        <f t="shared" si="1334"/>
        <v>-100</v>
      </c>
      <c r="AT225" s="41" t="str">
        <f t="shared" si="1335"/>
        <v>NO CONFORME</v>
      </c>
      <c r="AU225" s="8" t="b">
        <f t="shared" si="1257"/>
        <v>1</v>
      </c>
      <c r="AV225" s="8" t="b">
        <f t="shared" si="1258"/>
        <v>0</v>
      </c>
      <c r="AW225" s="8" t="b">
        <f t="shared" si="1259"/>
        <v>1</v>
      </c>
      <c r="AX225" s="8" t="str">
        <f t="shared" si="1260"/>
        <v>Qcorrecto</v>
      </c>
      <c r="AY225" s="22" t="str">
        <f t="shared" si="1240"/>
        <v>aceptable</v>
      </c>
      <c r="AZ225" s="22" t="str">
        <f t="shared" si="1241"/>
        <v>aceptable</v>
      </c>
      <c r="BA225" s="22" t="str">
        <f t="shared" si="1261"/>
        <v>aceptable</v>
      </c>
      <c r="BB225" s="25" t="str">
        <f t="shared" si="1262"/>
        <v>NO CONFORME</v>
      </c>
      <c r="BC225" s="5" t="str">
        <f t="shared" si="1263"/>
        <v>NO CONFORME</v>
      </c>
      <c r="BD225" s="15">
        <f t="shared" si="1242"/>
        <v>-1</v>
      </c>
      <c r="BE225" s="15">
        <f t="shared" si="1243"/>
        <v>-1</v>
      </c>
      <c r="BF225" s="15">
        <f t="shared" si="1244"/>
        <v>-1</v>
      </c>
      <c r="BG225" s="15" t="str">
        <f t="shared" si="1245"/>
        <v>-1-1-1</v>
      </c>
      <c r="BH225" s="15" t="str">
        <f t="shared" si="1246"/>
        <v>SD</v>
      </c>
      <c r="BI225" s="15" t="str">
        <f t="shared" si="1247"/>
        <v>SI</v>
      </c>
      <c r="BJ225" s="15" t="b">
        <f t="shared" si="1248"/>
        <v>1</v>
      </c>
      <c r="BK225" s="15" t="str">
        <f t="shared" si="1249"/>
        <v>SIGIGUALES</v>
      </c>
      <c r="BL225" s="22" t="str">
        <f t="shared" si="1250"/>
        <v>NO CONFORME</v>
      </c>
    </row>
    <row r="226" spans="1:64" ht="14.4" x14ac:dyDescent="0.3">
      <c r="A226" s="36">
        <v>218</v>
      </c>
      <c r="B226" s="28">
        <f t="shared" ref="B226:E226" si="1421">B225</f>
        <v>45903</v>
      </c>
      <c r="C226" s="28">
        <f t="shared" si="1421"/>
        <v>45903</v>
      </c>
      <c r="D226" s="12">
        <f t="shared" si="1421"/>
        <v>3</v>
      </c>
      <c r="E226" s="10">
        <f t="shared" si="1421"/>
        <v>11</v>
      </c>
      <c r="F226" s="13"/>
      <c r="G226" s="69"/>
      <c r="H226" s="70">
        <f t="shared" ref="H226:L226" si="1422">H225</f>
        <v>25.6</v>
      </c>
      <c r="I226" s="37">
        <f t="shared" si="1422"/>
        <v>0</v>
      </c>
      <c r="J226" s="35">
        <f t="shared" si="1422"/>
        <v>16</v>
      </c>
      <c r="K226" s="122">
        <f t="shared" si="1422"/>
        <v>8.1690000000000005</v>
      </c>
      <c r="L226" s="122">
        <f t="shared" si="1422"/>
        <v>0.879</v>
      </c>
      <c r="M226" s="126"/>
      <c r="N226" s="126"/>
      <c r="O226" s="32">
        <f t="shared" ref="O226:P226" si="1423">O225</f>
        <v>100.65</v>
      </c>
      <c r="P226" s="33" t="str">
        <f t="shared" si="1423"/>
        <v>2,31,180</v>
      </c>
      <c r="Q226" s="11" t="str">
        <f t="shared" si="1316"/>
        <v>2</v>
      </c>
      <c r="R226" s="11" t="str">
        <f t="shared" si="1317"/>
        <v>31,180</v>
      </c>
      <c r="S226" s="11">
        <f t="shared" si="1318"/>
        <v>4.1994444444444445E-2</v>
      </c>
      <c r="T226" s="14">
        <f t="shared" si="1319"/>
        <v>2396.7456012700095</v>
      </c>
      <c r="U226" s="38">
        <f t="shared" si="1320"/>
        <v>-100</v>
      </c>
      <c r="V226" s="39">
        <f t="shared" ref="V226:W226" si="1424">V225</f>
        <v>19.8</v>
      </c>
      <c r="W226" s="124">
        <f t="shared" si="1424"/>
        <v>1.08</v>
      </c>
      <c r="X226" s="124">
        <f t="shared" si="1375"/>
        <v>1.075</v>
      </c>
      <c r="Y226" s="126"/>
      <c r="Z226" s="126"/>
      <c r="AA226" s="90">
        <f t="shared" ref="AA226:AB226" si="1425">AA225</f>
        <v>5.0149999999999997</v>
      </c>
      <c r="AB226" s="73" t="str">
        <f t="shared" si="1425"/>
        <v>9,05,040</v>
      </c>
      <c r="AC226" s="11" t="str">
        <f t="shared" si="1323"/>
        <v>9,</v>
      </c>
      <c r="AD226" s="11" t="str">
        <f t="shared" si="1324"/>
        <v>05,040</v>
      </c>
      <c r="AE226" s="11">
        <f t="shared" si="1325"/>
        <v>0.15139999999999998</v>
      </c>
      <c r="AF226" s="14">
        <f t="shared" si="1326"/>
        <v>33.124174372523122</v>
      </c>
      <c r="AG226" s="40">
        <f t="shared" si="1327"/>
        <v>-100</v>
      </c>
      <c r="AH226" s="39">
        <f t="shared" si="1383"/>
        <v>19.600000000000001</v>
      </c>
      <c r="AI226" s="124">
        <f t="shared" si="1383"/>
        <v>1.0860000000000001</v>
      </c>
      <c r="AJ226" s="124">
        <f t="shared" si="1383"/>
        <v>1.0780000000000001</v>
      </c>
      <c r="AK226" s="126">
        <f t="shared" si="1328"/>
        <v>0</v>
      </c>
      <c r="AL226" s="126"/>
      <c r="AM226" s="34">
        <f t="shared" ref="AM226:AN226" si="1426">AM225</f>
        <v>2.0059999999999998</v>
      </c>
      <c r="AN226" s="33" t="str">
        <f t="shared" si="1426"/>
        <v>5,40,620</v>
      </c>
      <c r="AO226" s="11" t="str">
        <f t="shared" si="1330"/>
        <v>5,</v>
      </c>
      <c r="AP226" s="11" t="str">
        <f t="shared" si="1331"/>
        <v>40,620</v>
      </c>
      <c r="AQ226" s="11">
        <f t="shared" si="1332"/>
        <v>9.4616666666666668E-2</v>
      </c>
      <c r="AR226" s="14">
        <f t="shared" si="1333"/>
        <v>21.201338735247486</v>
      </c>
      <c r="AS226" s="40">
        <f t="shared" si="1334"/>
        <v>-100</v>
      </c>
      <c r="AT226" s="41" t="str">
        <f t="shared" si="1335"/>
        <v>NO CONFORME</v>
      </c>
      <c r="AU226" s="8" t="b">
        <f t="shared" si="1257"/>
        <v>1</v>
      </c>
      <c r="AV226" s="8" t="b">
        <f t="shared" si="1258"/>
        <v>0</v>
      </c>
      <c r="AW226" s="8" t="b">
        <f t="shared" si="1259"/>
        <v>1</v>
      </c>
      <c r="AX226" s="8" t="str">
        <f t="shared" si="1260"/>
        <v>Qcorrecto</v>
      </c>
      <c r="AY226" s="22" t="str">
        <f t="shared" si="1240"/>
        <v>aceptable</v>
      </c>
      <c r="AZ226" s="22" t="str">
        <f t="shared" si="1241"/>
        <v>aceptable</v>
      </c>
      <c r="BA226" s="22" t="str">
        <f t="shared" si="1261"/>
        <v>aceptable</v>
      </c>
      <c r="BB226" s="25" t="str">
        <f t="shared" si="1262"/>
        <v>NO CONFORME</v>
      </c>
      <c r="BC226" s="5" t="str">
        <f t="shared" si="1263"/>
        <v>NO CONFORME</v>
      </c>
      <c r="BD226" s="15">
        <f t="shared" si="1242"/>
        <v>-1</v>
      </c>
      <c r="BE226" s="15">
        <f t="shared" si="1243"/>
        <v>-1</v>
      </c>
      <c r="BF226" s="15">
        <f t="shared" si="1244"/>
        <v>-1</v>
      </c>
      <c r="BG226" s="15" t="str">
        <f t="shared" si="1245"/>
        <v>-1-1-1</v>
      </c>
      <c r="BH226" s="15" t="str">
        <f t="shared" si="1246"/>
        <v>SD</v>
      </c>
      <c r="BI226" s="15" t="str">
        <f t="shared" si="1247"/>
        <v>SI</v>
      </c>
      <c r="BJ226" s="15" t="b">
        <f t="shared" si="1248"/>
        <v>1</v>
      </c>
      <c r="BK226" s="15" t="str">
        <f t="shared" si="1249"/>
        <v>SIGIGUALES</v>
      </c>
      <c r="BL226" s="22" t="str">
        <f t="shared" si="1250"/>
        <v>NO CONFORME</v>
      </c>
    </row>
    <row r="227" spans="1:64" ht="14.4" x14ac:dyDescent="0.3">
      <c r="A227" s="36">
        <v>219</v>
      </c>
      <c r="B227" s="28">
        <f t="shared" ref="B227:E227" si="1427">B226</f>
        <v>45903</v>
      </c>
      <c r="C227" s="28">
        <f t="shared" si="1427"/>
        <v>45903</v>
      </c>
      <c r="D227" s="12">
        <f t="shared" si="1427"/>
        <v>3</v>
      </c>
      <c r="E227" s="10">
        <f t="shared" si="1427"/>
        <v>11</v>
      </c>
      <c r="F227" s="13"/>
      <c r="G227" s="69"/>
      <c r="H227" s="70">
        <f t="shared" ref="H227:L227" si="1428">H226</f>
        <v>25.6</v>
      </c>
      <c r="I227" s="37">
        <f t="shared" si="1428"/>
        <v>0</v>
      </c>
      <c r="J227" s="35">
        <f t="shared" si="1428"/>
        <v>16</v>
      </c>
      <c r="K227" s="122">
        <f t="shared" si="1428"/>
        <v>8.1690000000000005</v>
      </c>
      <c r="L227" s="122">
        <f t="shared" si="1428"/>
        <v>0.879</v>
      </c>
      <c r="M227" s="126"/>
      <c r="N227" s="126"/>
      <c r="O227" s="32">
        <f t="shared" ref="O227:P227" si="1429">O226</f>
        <v>100.65</v>
      </c>
      <c r="P227" s="33" t="str">
        <f t="shared" si="1429"/>
        <v>2,31,180</v>
      </c>
      <c r="Q227" s="11" t="str">
        <f t="shared" si="1316"/>
        <v>2</v>
      </c>
      <c r="R227" s="11" t="str">
        <f t="shared" si="1317"/>
        <v>31,180</v>
      </c>
      <c r="S227" s="11">
        <f t="shared" si="1318"/>
        <v>4.1994444444444445E-2</v>
      </c>
      <c r="T227" s="14">
        <f t="shared" si="1319"/>
        <v>2396.7456012700095</v>
      </c>
      <c r="U227" s="38">
        <f t="shared" si="1320"/>
        <v>-100</v>
      </c>
      <c r="V227" s="39">
        <f t="shared" ref="V227:W227" si="1430">V226</f>
        <v>19.8</v>
      </c>
      <c r="W227" s="124">
        <f t="shared" si="1430"/>
        <v>1.08</v>
      </c>
      <c r="X227" s="124">
        <f t="shared" si="1375"/>
        <v>1.075</v>
      </c>
      <c r="Y227" s="126"/>
      <c r="Z227" s="126"/>
      <c r="AA227" s="90">
        <f t="shared" ref="AA227:AB227" si="1431">AA226</f>
        <v>5.0149999999999997</v>
      </c>
      <c r="AB227" s="73" t="str">
        <f t="shared" si="1431"/>
        <v>9,05,040</v>
      </c>
      <c r="AC227" s="11" t="str">
        <f t="shared" si="1323"/>
        <v>9,</v>
      </c>
      <c r="AD227" s="11" t="str">
        <f t="shared" si="1324"/>
        <v>05,040</v>
      </c>
      <c r="AE227" s="11">
        <f t="shared" si="1325"/>
        <v>0.15139999999999998</v>
      </c>
      <c r="AF227" s="14">
        <f t="shared" si="1326"/>
        <v>33.124174372523122</v>
      </c>
      <c r="AG227" s="40">
        <f t="shared" si="1327"/>
        <v>-100</v>
      </c>
      <c r="AH227" s="39">
        <f t="shared" si="1383"/>
        <v>19.600000000000001</v>
      </c>
      <c r="AI227" s="124">
        <f t="shared" si="1383"/>
        <v>1.0860000000000001</v>
      </c>
      <c r="AJ227" s="124">
        <f t="shared" si="1383"/>
        <v>1.0780000000000001</v>
      </c>
      <c r="AK227" s="126">
        <f t="shared" si="1328"/>
        <v>0</v>
      </c>
      <c r="AL227" s="126"/>
      <c r="AM227" s="34">
        <f t="shared" ref="AM227:AN227" si="1432">AM226</f>
        <v>2.0059999999999998</v>
      </c>
      <c r="AN227" s="33" t="str">
        <f t="shared" si="1432"/>
        <v>5,40,620</v>
      </c>
      <c r="AO227" s="11" t="str">
        <f t="shared" si="1330"/>
        <v>5,</v>
      </c>
      <c r="AP227" s="11" t="str">
        <f t="shared" si="1331"/>
        <v>40,620</v>
      </c>
      <c r="AQ227" s="11">
        <f t="shared" si="1332"/>
        <v>9.4616666666666668E-2</v>
      </c>
      <c r="AR227" s="14">
        <f t="shared" si="1333"/>
        <v>21.201338735247486</v>
      </c>
      <c r="AS227" s="40">
        <f t="shared" si="1334"/>
        <v>-100</v>
      </c>
      <c r="AT227" s="41" t="str">
        <f t="shared" si="1335"/>
        <v>NO CONFORME</v>
      </c>
      <c r="AU227" s="8" t="b">
        <f t="shared" si="1257"/>
        <v>1</v>
      </c>
      <c r="AV227" s="8" t="b">
        <f t="shared" si="1258"/>
        <v>0</v>
      </c>
      <c r="AW227" s="8" t="b">
        <f t="shared" si="1259"/>
        <v>1</v>
      </c>
      <c r="AX227" s="8" t="str">
        <f t="shared" si="1260"/>
        <v>Qcorrecto</v>
      </c>
      <c r="AY227" s="22" t="str">
        <f t="shared" si="1240"/>
        <v>aceptable</v>
      </c>
      <c r="AZ227" s="22" t="str">
        <f t="shared" si="1241"/>
        <v>aceptable</v>
      </c>
      <c r="BA227" s="22" t="str">
        <f t="shared" si="1261"/>
        <v>aceptable</v>
      </c>
      <c r="BB227" s="25" t="str">
        <f t="shared" si="1262"/>
        <v>NO CONFORME</v>
      </c>
      <c r="BC227" s="5" t="str">
        <f t="shared" si="1263"/>
        <v>NO CONFORME</v>
      </c>
      <c r="BD227" s="15">
        <f t="shared" si="1242"/>
        <v>-1</v>
      </c>
      <c r="BE227" s="15">
        <f t="shared" si="1243"/>
        <v>-1</v>
      </c>
      <c r="BF227" s="15">
        <f t="shared" si="1244"/>
        <v>-1</v>
      </c>
      <c r="BG227" s="15" t="str">
        <f t="shared" si="1245"/>
        <v>-1-1-1</v>
      </c>
      <c r="BH227" s="15" t="str">
        <f t="shared" si="1246"/>
        <v>SD</v>
      </c>
      <c r="BI227" s="15" t="str">
        <f t="shared" si="1247"/>
        <v>SI</v>
      </c>
      <c r="BJ227" s="15" t="b">
        <f t="shared" si="1248"/>
        <v>1</v>
      </c>
      <c r="BK227" s="15" t="str">
        <f t="shared" si="1249"/>
        <v>SIGIGUALES</v>
      </c>
      <c r="BL227" s="22" t="str">
        <f t="shared" si="1250"/>
        <v>NO CONFORME</v>
      </c>
    </row>
    <row r="228" spans="1:64" ht="14.4" x14ac:dyDescent="0.3">
      <c r="A228" s="36">
        <v>220</v>
      </c>
      <c r="B228" s="28">
        <f t="shared" ref="B228:E228" si="1433">B227</f>
        <v>45903</v>
      </c>
      <c r="C228" s="28">
        <f t="shared" si="1433"/>
        <v>45903</v>
      </c>
      <c r="D228" s="12">
        <f t="shared" si="1433"/>
        <v>3</v>
      </c>
      <c r="E228" s="10">
        <f t="shared" si="1433"/>
        <v>11</v>
      </c>
      <c r="F228" s="13"/>
      <c r="G228" s="69"/>
      <c r="H228" s="70">
        <f t="shared" ref="H228:L228" si="1434">H227</f>
        <v>25.6</v>
      </c>
      <c r="I228" s="37">
        <f t="shared" si="1434"/>
        <v>0</v>
      </c>
      <c r="J228" s="35">
        <f t="shared" si="1434"/>
        <v>16</v>
      </c>
      <c r="K228" s="122">
        <f t="shared" si="1434"/>
        <v>8.1690000000000005</v>
      </c>
      <c r="L228" s="122">
        <f t="shared" si="1434"/>
        <v>0.879</v>
      </c>
      <c r="M228" s="126"/>
      <c r="N228" s="126"/>
      <c r="O228" s="32">
        <f t="shared" ref="O228:P228" si="1435">O227</f>
        <v>100.65</v>
      </c>
      <c r="P228" s="33" t="str">
        <f t="shared" si="1435"/>
        <v>2,31,180</v>
      </c>
      <c r="Q228" s="11" t="str">
        <f t="shared" si="1316"/>
        <v>2</v>
      </c>
      <c r="R228" s="11" t="str">
        <f t="shared" si="1317"/>
        <v>31,180</v>
      </c>
      <c r="S228" s="11">
        <f t="shared" si="1318"/>
        <v>4.1994444444444445E-2</v>
      </c>
      <c r="T228" s="14">
        <f t="shared" si="1319"/>
        <v>2396.7456012700095</v>
      </c>
      <c r="U228" s="38">
        <f t="shared" si="1320"/>
        <v>-100</v>
      </c>
      <c r="V228" s="39">
        <f t="shared" ref="V228:W228" si="1436">V227</f>
        <v>19.8</v>
      </c>
      <c r="W228" s="124">
        <f t="shared" si="1436"/>
        <v>1.08</v>
      </c>
      <c r="X228" s="124">
        <f t="shared" si="1375"/>
        <v>1.075</v>
      </c>
      <c r="Y228" s="126"/>
      <c r="Z228" s="126"/>
      <c r="AA228" s="90">
        <f t="shared" ref="AA228:AB228" si="1437">AA227</f>
        <v>5.0149999999999997</v>
      </c>
      <c r="AB228" s="73" t="str">
        <f t="shared" si="1437"/>
        <v>9,05,040</v>
      </c>
      <c r="AC228" s="11" t="str">
        <f t="shared" si="1323"/>
        <v>9,</v>
      </c>
      <c r="AD228" s="11" t="str">
        <f t="shared" si="1324"/>
        <v>05,040</v>
      </c>
      <c r="AE228" s="11">
        <f t="shared" si="1325"/>
        <v>0.15139999999999998</v>
      </c>
      <c r="AF228" s="14">
        <f t="shared" si="1326"/>
        <v>33.124174372523122</v>
      </c>
      <c r="AG228" s="40">
        <f t="shared" si="1327"/>
        <v>-100</v>
      </c>
      <c r="AH228" s="39">
        <f t="shared" si="1383"/>
        <v>19.600000000000001</v>
      </c>
      <c r="AI228" s="124">
        <f t="shared" si="1383"/>
        <v>1.0860000000000001</v>
      </c>
      <c r="AJ228" s="124">
        <f t="shared" si="1383"/>
        <v>1.0780000000000001</v>
      </c>
      <c r="AK228" s="126">
        <f t="shared" si="1328"/>
        <v>0</v>
      </c>
      <c r="AL228" s="126"/>
      <c r="AM228" s="34">
        <f t="shared" ref="AM228:AN228" si="1438">AM227</f>
        <v>2.0059999999999998</v>
      </c>
      <c r="AN228" s="33" t="str">
        <f t="shared" si="1438"/>
        <v>5,40,620</v>
      </c>
      <c r="AO228" s="11" t="str">
        <f t="shared" si="1330"/>
        <v>5,</v>
      </c>
      <c r="AP228" s="11" t="str">
        <f t="shared" si="1331"/>
        <v>40,620</v>
      </c>
      <c r="AQ228" s="11">
        <f t="shared" si="1332"/>
        <v>9.4616666666666668E-2</v>
      </c>
      <c r="AR228" s="14">
        <f t="shared" si="1333"/>
        <v>21.201338735247486</v>
      </c>
      <c r="AS228" s="40">
        <f t="shared" si="1334"/>
        <v>-100</v>
      </c>
      <c r="AT228" s="41" t="str">
        <f t="shared" si="1335"/>
        <v>NO CONFORME</v>
      </c>
      <c r="AU228" s="8" t="b">
        <f t="shared" si="1257"/>
        <v>1</v>
      </c>
      <c r="AV228" s="8" t="b">
        <f t="shared" si="1258"/>
        <v>0</v>
      </c>
      <c r="AW228" s="8" t="b">
        <f t="shared" si="1259"/>
        <v>1</v>
      </c>
      <c r="AX228" s="8" t="str">
        <f t="shared" si="1260"/>
        <v>Qcorrecto</v>
      </c>
      <c r="AY228" s="22" t="str">
        <f t="shared" si="1240"/>
        <v>aceptable</v>
      </c>
      <c r="AZ228" s="22" t="str">
        <f t="shared" si="1241"/>
        <v>aceptable</v>
      </c>
      <c r="BA228" s="22" t="str">
        <f t="shared" si="1261"/>
        <v>aceptable</v>
      </c>
      <c r="BB228" s="25" t="str">
        <f t="shared" si="1262"/>
        <v>NO CONFORME</v>
      </c>
      <c r="BC228" s="5" t="str">
        <f t="shared" si="1263"/>
        <v>NO CONFORME</v>
      </c>
      <c r="BD228" s="15">
        <f t="shared" si="1242"/>
        <v>-1</v>
      </c>
      <c r="BE228" s="15">
        <f t="shared" si="1243"/>
        <v>-1</v>
      </c>
      <c r="BF228" s="15">
        <f t="shared" si="1244"/>
        <v>-1</v>
      </c>
      <c r="BG228" s="15" t="str">
        <f t="shared" si="1245"/>
        <v>-1-1-1</v>
      </c>
      <c r="BH228" s="15" t="str">
        <f t="shared" si="1246"/>
        <v>SD</v>
      </c>
      <c r="BI228" s="15" t="str">
        <f t="shared" si="1247"/>
        <v>SI</v>
      </c>
      <c r="BJ228" s="15" t="b">
        <f t="shared" si="1248"/>
        <v>1</v>
      </c>
      <c r="BK228" s="15" t="str">
        <f t="shared" si="1249"/>
        <v>SIGIGUALES</v>
      </c>
      <c r="BL228" s="22" t="str">
        <f t="shared" si="1250"/>
        <v>NO CONFORME</v>
      </c>
    </row>
    <row r="229" spans="1:64" ht="14.4" x14ac:dyDescent="0.3">
      <c r="A229" s="36">
        <v>221</v>
      </c>
      <c r="B229" s="28">
        <f t="shared" ref="B229:E229" si="1439">B228</f>
        <v>45903</v>
      </c>
      <c r="C229" s="28">
        <f t="shared" si="1439"/>
        <v>45903</v>
      </c>
      <c r="D229" s="12">
        <f t="shared" si="1439"/>
        <v>3</v>
      </c>
      <c r="E229" s="10">
        <f t="shared" si="1439"/>
        <v>11</v>
      </c>
      <c r="F229" s="13"/>
      <c r="G229" s="69"/>
      <c r="H229" s="70">
        <f t="shared" ref="H229:L229" si="1440">H228</f>
        <v>25.6</v>
      </c>
      <c r="I229" s="37">
        <f t="shared" si="1440"/>
        <v>0</v>
      </c>
      <c r="J229" s="35">
        <f t="shared" si="1440"/>
        <v>16</v>
      </c>
      <c r="K229" s="122">
        <f t="shared" si="1440"/>
        <v>8.1690000000000005</v>
      </c>
      <c r="L229" s="122">
        <f t="shared" si="1440"/>
        <v>0.879</v>
      </c>
      <c r="M229" s="126"/>
      <c r="N229" s="126"/>
      <c r="O229" s="32">
        <f t="shared" ref="O229:P229" si="1441">O228</f>
        <v>100.65</v>
      </c>
      <c r="P229" s="33" t="str">
        <f t="shared" si="1441"/>
        <v>2,31,180</v>
      </c>
      <c r="Q229" s="11" t="str">
        <f t="shared" si="1316"/>
        <v>2</v>
      </c>
      <c r="R229" s="11" t="str">
        <f t="shared" si="1317"/>
        <v>31,180</v>
      </c>
      <c r="S229" s="11">
        <f t="shared" si="1318"/>
        <v>4.1994444444444445E-2</v>
      </c>
      <c r="T229" s="14">
        <f t="shared" si="1319"/>
        <v>2396.7456012700095</v>
      </c>
      <c r="U229" s="38">
        <f t="shared" si="1320"/>
        <v>-100</v>
      </c>
      <c r="V229" s="39">
        <f t="shared" ref="V229:W229" si="1442">V228</f>
        <v>19.8</v>
      </c>
      <c r="W229" s="124">
        <f t="shared" si="1442"/>
        <v>1.08</v>
      </c>
      <c r="X229" s="124">
        <f t="shared" si="1375"/>
        <v>1.075</v>
      </c>
      <c r="Y229" s="126"/>
      <c r="Z229" s="126"/>
      <c r="AA229" s="90">
        <f t="shared" ref="AA229:AB229" si="1443">AA228</f>
        <v>5.0149999999999997</v>
      </c>
      <c r="AB229" s="73" t="str">
        <f t="shared" si="1443"/>
        <v>9,05,040</v>
      </c>
      <c r="AC229" s="11" t="str">
        <f t="shared" si="1323"/>
        <v>9,</v>
      </c>
      <c r="AD229" s="11" t="str">
        <f t="shared" si="1324"/>
        <v>05,040</v>
      </c>
      <c r="AE229" s="11">
        <f t="shared" si="1325"/>
        <v>0.15139999999999998</v>
      </c>
      <c r="AF229" s="14">
        <f t="shared" si="1326"/>
        <v>33.124174372523122</v>
      </c>
      <c r="AG229" s="40">
        <f t="shared" si="1327"/>
        <v>-100</v>
      </c>
      <c r="AH229" s="39">
        <f t="shared" si="1383"/>
        <v>19.600000000000001</v>
      </c>
      <c r="AI229" s="124">
        <f t="shared" si="1383"/>
        <v>1.0860000000000001</v>
      </c>
      <c r="AJ229" s="124">
        <f t="shared" si="1383"/>
        <v>1.0780000000000001</v>
      </c>
      <c r="AK229" s="126">
        <f t="shared" si="1328"/>
        <v>0</v>
      </c>
      <c r="AL229" s="126"/>
      <c r="AM229" s="34">
        <f t="shared" ref="AM229:AN229" si="1444">AM228</f>
        <v>2.0059999999999998</v>
      </c>
      <c r="AN229" s="33" t="str">
        <f t="shared" si="1444"/>
        <v>5,40,620</v>
      </c>
      <c r="AO229" s="11" t="str">
        <f t="shared" si="1330"/>
        <v>5,</v>
      </c>
      <c r="AP229" s="11" t="str">
        <f t="shared" si="1331"/>
        <v>40,620</v>
      </c>
      <c r="AQ229" s="11">
        <f t="shared" si="1332"/>
        <v>9.4616666666666668E-2</v>
      </c>
      <c r="AR229" s="14">
        <f t="shared" si="1333"/>
        <v>21.201338735247486</v>
      </c>
      <c r="AS229" s="40">
        <f t="shared" si="1334"/>
        <v>-100</v>
      </c>
      <c r="AT229" s="41" t="str">
        <f t="shared" si="1335"/>
        <v>NO CONFORME</v>
      </c>
      <c r="AU229" s="8" t="b">
        <f t="shared" si="1257"/>
        <v>1</v>
      </c>
      <c r="AV229" s="8" t="b">
        <f t="shared" si="1258"/>
        <v>0</v>
      </c>
      <c r="AW229" s="8" t="b">
        <f t="shared" si="1259"/>
        <v>1</v>
      </c>
      <c r="AX229" s="8" t="str">
        <f t="shared" si="1260"/>
        <v>Qcorrecto</v>
      </c>
      <c r="AY229" s="22" t="str">
        <f t="shared" si="1240"/>
        <v>aceptable</v>
      </c>
      <c r="AZ229" s="22" t="str">
        <f t="shared" si="1241"/>
        <v>aceptable</v>
      </c>
      <c r="BA229" s="22" t="str">
        <f t="shared" si="1261"/>
        <v>aceptable</v>
      </c>
      <c r="BB229" s="25" t="str">
        <f t="shared" si="1262"/>
        <v>NO CONFORME</v>
      </c>
      <c r="BC229" s="5" t="str">
        <f t="shared" si="1263"/>
        <v>NO CONFORME</v>
      </c>
      <c r="BD229" s="15">
        <f t="shared" si="1242"/>
        <v>-1</v>
      </c>
      <c r="BE229" s="15">
        <f t="shared" si="1243"/>
        <v>-1</v>
      </c>
      <c r="BF229" s="15">
        <f t="shared" si="1244"/>
        <v>-1</v>
      </c>
      <c r="BG229" s="15" t="str">
        <f t="shared" si="1245"/>
        <v>-1-1-1</v>
      </c>
      <c r="BH229" s="15" t="str">
        <f t="shared" si="1246"/>
        <v>SD</v>
      </c>
      <c r="BI229" s="15" t="str">
        <f t="shared" si="1247"/>
        <v>SI</v>
      </c>
      <c r="BJ229" s="15" t="b">
        <f t="shared" si="1248"/>
        <v>1</v>
      </c>
      <c r="BK229" s="15" t="str">
        <f t="shared" si="1249"/>
        <v>SIGIGUALES</v>
      </c>
      <c r="BL229" s="22" t="str">
        <f t="shared" si="1250"/>
        <v>NO CONFORME</v>
      </c>
    </row>
    <row r="230" spans="1:64" ht="14.4" x14ac:dyDescent="0.3">
      <c r="A230" s="36">
        <v>222</v>
      </c>
      <c r="B230" s="28">
        <f t="shared" ref="B230:E230" si="1445">B229</f>
        <v>45903</v>
      </c>
      <c r="C230" s="28">
        <f t="shared" si="1445"/>
        <v>45903</v>
      </c>
      <c r="D230" s="12">
        <f t="shared" si="1445"/>
        <v>3</v>
      </c>
      <c r="E230" s="10">
        <f t="shared" si="1445"/>
        <v>11</v>
      </c>
      <c r="F230" s="13"/>
      <c r="G230" s="69"/>
      <c r="H230" s="70">
        <f t="shared" ref="H230:L230" si="1446">H229</f>
        <v>25.6</v>
      </c>
      <c r="I230" s="37">
        <f t="shared" si="1446"/>
        <v>0</v>
      </c>
      <c r="J230" s="35">
        <f t="shared" si="1446"/>
        <v>16</v>
      </c>
      <c r="K230" s="122">
        <f t="shared" si="1446"/>
        <v>8.1690000000000005</v>
      </c>
      <c r="L230" s="122">
        <f t="shared" si="1446"/>
        <v>0.879</v>
      </c>
      <c r="M230" s="126"/>
      <c r="N230" s="126"/>
      <c r="O230" s="32">
        <f t="shared" ref="O230:P230" si="1447">O229</f>
        <v>100.65</v>
      </c>
      <c r="P230" s="33" t="str">
        <f t="shared" si="1447"/>
        <v>2,31,180</v>
      </c>
      <c r="Q230" s="11" t="str">
        <f t="shared" si="1316"/>
        <v>2</v>
      </c>
      <c r="R230" s="11" t="str">
        <f t="shared" si="1317"/>
        <v>31,180</v>
      </c>
      <c r="S230" s="11">
        <f t="shared" si="1318"/>
        <v>4.1994444444444445E-2</v>
      </c>
      <c r="T230" s="14">
        <f t="shared" si="1319"/>
        <v>2396.7456012700095</v>
      </c>
      <c r="U230" s="38">
        <f t="shared" si="1320"/>
        <v>-100</v>
      </c>
      <c r="V230" s="39">
        <f t="shared" ref="V230:W230" si="1448">V229</f>
        <v>19.8</v>
      </c>
      <c r="W230" s="124">
        <f t="shared" si="1448"/>
        <v>1.08</v>
      </c>
      <c r="X230" s="124">
        <f t="shared" si="1375"/>
        <v>1.075</v>
      </c>
      <c r="Y230" s="126"/>
      <c r="Z230" s="126"/>
      <c r="AA230" s="90">
        <f t="shared" ref="AA230:AB230" si="1449">AA229</f>
        <v>5.0149999999999997</v>
      </c>
      <c r="AB230" s="73" t="str">
        <f t="shared" si="1449"/>
        <v>9,05,040</v>
      </c>
      <c r="AC230" s="11" t="str">
        <f t="shared" si="1323"/>
        <v>9,</v>
      </c>
      <c r="AD230" s="11" t="str">
        <f t="shared" si="1324"/>
        <v>05,040</v>
      </c>
      <c r="AE230" s="11">
        <f t="shared" si="1325"/>
        <v>0.15139999999999998</v>
      </c>
      <c r="AF230" s="14">
        <f t="shared" si="1326"/>
        <v>33.124174372523122</v>
      </c>
      <c r="AG230" s="40">
        <f t="shared" si="1327"/>
        <v>-100</v>
      </c>
      <c r="AH230" s="39">
        <f t="shared" si="1383"/>
        <v>19.600000000000001</v>
      </c>
      <c r="AI230" s="124">
        <f t="shared" si="1383"/>
        <v>1.0860000000000001</v>
      </c>
      <c r="AJ230" s="124">
        <f t="shared" si="1383"/>
        <v>1.0780000000000001</v>
      </c>
      <c r="AK230" s="126">
        <f t="shared" si="1328"/>
        <v>0</v>
      </c>
      <c r="AL230" s="126"/>
      <c r="AM230" s="34">
        <f t="shared" ref="AM230:AN230" si="1450">AM229</f>
        <v>2.0059999999999998</v>
      </c>
      <c r="AN230" s="33" t="str">
        <f t="shared" si="1450"/>
        <v>5,40,620</v>
      </c>
      <c r="AO230" s="11" t="str">
        <f t="shared" si="1330"/>
        <v>5,</v>
      </c>
      <c r="AP230" s="11" t="str">
        <f t="shared" si="1331"/>
        <v>40,620</v>
      </c>
      <c r="AQ230" s="11">
        <f t="shared" si="1332"/>
        <v>9.4616666666666668E-2</v>
      </c>
      <c r="AR230" s="14">
        <f t="shared" si="1333"/>
        <v>21.201338735247486</v>
      </c>
      <c r="AS230" s="40">
        <f t="shared" si="1334"/>
        <v>-100</v>
      </c>
      <c r="AT230" s="41" t="str">
        <f t="shared" si="1335"/>
        <v>NO CONFORME</v>
      </c>
      <c r="AU230" s="8" t="b">
        <f t="shared" si="1257"/>
        <v>1</v>
      </c>
      <c r="AV230" s="8" t="b">
        <f t="shared" si="1258"/>
        <v>0</v>
      </c>
      <c r="AW230" s="8" t="b">
        <f t="shared" si="1259"/>
        <v>1</v>
      </c>
      <c r="AX230" s="8" t="str">
        <f t="shared" si="1260"/>
        <v>Qcorrecto</v>
      </c>
      <c r="AY230" s="22" t="str">
        <f t="shared" si="1240"/>
        <v>aceptable</v>
      </c>
      <c r="AZ230" s="22" t="str">
        <f t="shared" si="1241"/>
        <v>aceptable</v>
      </c>
      <c r="BA230" s="22" t="str">
        <f t="shared" si="1261"/>
        <v>aceptable</v>
      </c>
      <c r="BB230" s="25" t="str">
        <f t="shared" si="1262"/>
        <v>NO CONFORME</v>
      </c>
      <c r="BC230" s="5" t="str">
        <f t="shared" si="1263"/>
        <v>NO CONFORME</v>
      </c>
      <c r="BD230" s="15">
        <f t="shared" si="1242"/>
        <v>-1</v>
      </c>
      <c r="BE230" s="15">
        <f t="shared" si="1243"/>
        <v>-1</v>
      </c>
      <c r="BF230" s="15">
        <f t="shared" si="1244"/>
        <v>-1</v>
      </c>
      <c r="BG230" s="15" t="str">
        <f t="shared" si="1245"/>
        <v>-1-1-1</v>
      </c>
      <c r="BH230" s="15" t="str">
        <f t="shared" si="1246"/>
        <v>SD</v>
      </c>
      <c r="BI230" s="15" t="str">
        <f t="shared" si="1247"/>
        <v>SI</v>
      </c>
      <c r="BJ230" s="15" t="b">
        <f t="shared" si="1248"/>
        <v>1</v>
      </c>
      <c r="BK230" s="15" t="str">
        <f t="shared" si="1249"/>
        <v>SIGIGUALES</v>
      </c>
      <c r="BL230" s="22" t="str">
        <f t="shared" si="1250"/>
        <v>NO CONFORME</v>
      </c>
    </row>
    <row r="231" spans="1:64" ht="14.4" x14ac:dyDescent="0.3">
      <c r="A231" s="36">
        <v>223</v>
      </c>
      <c r="B231" s="28">
        <f t="shared" ref="B231:E231" si="1451">B230</f>
        <v>45903</v>
      </c>
      <c r="C231" s="28">
        <f t="shared" si="1451"/>
        <v>45903</v>
      </c>
      <c r="D231" s="12">
        <f t="shared" si="1451"/>
        <v>3</v>
      </c>
      <c r="E231" s="10">
        <f t="shared" si="1451"/>
        <v>11</v>
      </c>
      <c r="F231" s="13"/>
      <c r="G231" s="69"/>
      <c r="H231" s="70">
        <f t="shared" ref="H231:L231" si="1452">H230</f>
        <v>25.6</v>
      </c>
      <c r="I231" s="37">
        <f t="shared" si="1452"/>
        <v>0</v>
      </c>
      <c r="J231" s="35">
        <f t="shared" si="1452"/>
        <v>16</v>
      </c>
      <c r="K231" s="122">
        <f t="shared" si="1452"/>
        <v>8.1690000000000005</v>
      </c>
      <c r="L231" s="122">
        <f t="shared" si="1452"/>
        <v>0.879</v>
      </c>
      <c r="M231" s="126"/>
      <c r="N231" s="126"/>
      <c r="O231" s="32">
        <f t="shared" ref="O231:P231" si="1453">O230</f>
        <v>100.65</v>
      </c>
      <c r="P231" s="33" t="str">
        <f t="shared" si="1453"/>
        <v>2,31,180</v>
      </c>
      <c r="Q231" s="11" t="str">
        <f t="shared" si="1316"/>
        <v>2</v>
      </c>
      <c r="R231" s="11" t="str">
        <f t="shared" si="1317"/>
        <v>31,180</v>
      </c>
      <c r="S231" s="11">
        <f t="shared" si="1318"/>
        <v>4.1994444444444445E-2</v>
      </c>
      <c r="T231" s="14">
        <f t="shared" si="1319"/>
        <v>2396.7456012700095</v>
      </c>
      <c r="U231" s="38">
        <f t="shared" si="1320"/>
        <v>-100</v>
      </c>
      <c r="V231" s="39">
        <f t="shared" ref="V231:W231" si="1454">V230</f>
        <v>19.8</v>
      </c>
      <c r="W231" s="124">
        <f t="shared" si="1454"/>
        <v>1.08</v>
      </c>
      <c r="X231" s="124">
        <f t="shared" si="1375"/>
        <v>1.075</v>
      </c>
      <c r="Y231" s="126"/>
      <c r="Z231" s="126"/>
      <c r="AA231" s="90">
        <f t="shared" ref="AA231:AB231" si="1455">AA230</f>
        <v>5.0149999999999997</v>
      </c>
      <c r="AB231" s="73" t="str">
        <f t="shared" si="1455"/>
        <v>9,05,040</v>
      </c>
      <c r="AC231" s="11" t="str">
        <f t="shared" si="1323"/>
        <v>9,</v>
      </c>
      <c r="AD231" s="11" t="str">
        <f t="shared" si="1324"/>
        <v>05,040</v>
      </c>
      <c r="AE231" s="11">
        <f t="shared" si="1325"/>
        <v>0.15139999999999998</v>
      </c>
      <c r="AF231" s="14">
        <f t="shared" si="1326"/>
        <v>33.124174372523122</v>
      </c>
      <c r="AG231" s="40">
        <f t="shared" si="1327"/>
        <v>-100</v>
      </c>
      <c r="AH231" s="39">
        <f t="shared" si="1383"/>
        <v>19.600000000000001</v>
      </c>
      <c r="AI231" s="124">
        <f t="shared" si="1383"/>
        <v>1.0860000000000001</v>
      </c>
      <c r="AJ231" s="124">
        <f t="shared" si="1383"/>
        <v>1.0780000000000001</v>
      </c>
      <c r="AK231" s="126">
        <f t="shared" si="1328"/>
        <v>0</v>
      </c>
      <c r="AL231" s="126"/>
      <c r="AM231" s="34">
        <f t="shared" ref="AM231:AN231" si="1456">AM230</f>
        <v>2.0059999999999998</v>
      </c>
      <c r="AN231" s="33" t="str">
        <f t="shared" si="1456"/>
        <v>5,40,620</v>
      </c>
      <c r="AO231" s="11" t="str">
        <f t="shared" si="1330"/>
        <v>5,</v>
      </c>
      <c r="AP231" s="11" t="str">
        <f t="shared" si="1331"/>
        <v>40,620</v>
      </c>
      <c r="AQ231" s="11">
        <f t="shared" si="1332"/>
        <v>9.4616666666666668E-2</v>
      </c>
      <c r="AR231" s="14">
        <f t="shared" si="1333"/>
        <v>21.201338735247486</v>
      </c>
      <c r="AS231" s="40">
        <f t="shared" si="1334"/>
        <v>-100</v>
      </c>
      <c r="AT231" s="41" t="str">
        <f t="shared" si="1335"/>
        <v>NO CONFORME</v>
      </c>
      <c r="AU231" s="8" t="b">
        <f t="shared" si="1257"/>
        <v>1</v>
      </c>
      <c r="AV231" s="8" t="b">
        <f t="shared" si="1258"/>
        <v>0</v>
      </c>
      <c r="AW231" s="8" t="b">
        <f t="shared" si="1259"/>
        <v>1</v>
      </c>
      <c r="AX231" s="8" t="str">
        <f t="shared" si="1260"/>
        <v>Qcorrecto</v>
      </c>
      <c r="AY231" s="22" t="str">
        <f t="shared" si="1240"/>
        <v>aceptable</v>
      </c>
      <c r="AZ231" s="22" t="str">
        <f t="shared" si="1241"/>
        <v>aceptable</v>
      </c>
      <c r="BA231" s="22" t="str">
        <f t="shared" si="1261"/>
        <v>aceptable</v>
      </c>
      <c r="BB231" s="25" t="str">
        <f t="shared" si="1262"/>
        <v>NO CONFORME</v>
      </c>
      <c r="BC231" s="5" t="str">
        <f t="shared" si="1263"/>
        <v>NO CONFORME</v>
      </c>
      <c r="BD231" s="15">
        <f t="shared" si="1242"/>
        <v>-1</v>
      </c>
      <c r="BE231" s="15">
        <f t="shared" si="1243"/>
        <v>-1</v>
      </c>
      <c r="BF231" s="15">
        <f t="shared" si="1244"/>
        <v>-1</v>
      </c>
      <c r="BG231" s="15" t="str">
        <f t="shared" si="1245"/>
        <v>-1-1-1</v>
      </c>
      <c r="BH231" s="15" t="str">
        <f t="shared" si="1246"/>
        <v>SD</v>
      </c>
      <c r="BI231" s="15" t="str">
        <f t="shared" si="1247"/>
        <v>SI</v>
      </c>
      <c r="BJ231" s="15" t="b">
        <f t="shared" si="1248"/>
        <v>1</v>
      </c>
      <c r="BK231" s="15" t="str">
        <f t="shared" si="1249"/>
        <v>SIGIGUALES</v>
      </c>
      <c r="BL231" s="22" t="str">
        <f t="shared" si="1250"/>
        <v>NO CONFORME</v>
      </c>
    </row>
    <row r="232" spans="1:64" ht="14.4" x14ac:dyDescent="0.3">
      <c r="A232" s="36">
        <v>224</v>
      </c>
      <c r="B232" s="28">
        <f t="shared" ref="B232:E232" si="1457">B231</f>
        <v>45903</v>
      </c>
      <c r="C232" s="28">
        <f t="shared" si="1457"/>
        <v>45903</v>
      </c>
      <c r="D232" s="12">
        <f t="shared" si="1457"/>
        <v>3</v>
      </c>
      <c r="E232" s="10">
        <f t="shared" si="1457"/>
        <v>11</v>
      </c>
      <c r="F232" s="13"/>
      <c r="G232" s="69"/>
      <c r="H232" s="70">
        <f t="shared" ref="H232:L232" si="1458">H231</f>
        <v>25.6</v>
      </c>
      <c r="I232" s="37">
        <f t="shared" si="1458"/>
        <v>0</v>
      </c>
      <c r="J232" s="35">
        <f t="shared" si="1458"/>
        <v>16</v>
      </c>
      <c r="K232" s="122">
        <f t="shared" si="1458"/>
        <v>8.1690000000000005</v>
      </c>
      <c r="L232" s="122">
        <f t="shared" si="1458"/>
        <v>0.879</v>
      </c>
      <c r="M232" s="126"/>
      <c r="N232" s="126"/>
      <c r="O232" s="32">
        <f t="shared" ref="O232:P232" si="1459">O231</f>
        <v>100.65</v>
      </c>
      <c r="P232" s="33" t="str">
        <f t="shared" si="1459"/>
        <v>2,31,180</v>
      </c>
      <c r="Q232" s="11" t="str">
        <f t="shared" si="1316"/>
        <v>2</v>
      </c>
      <c r="R232" s="11" t="str">
        <f t="shared" si="1317"/>
        <v>31,180</v>
      </c>
      <c r="S232" s="11">
        <f t="shared" si="1318"/>
        <v>4.1994444444444445E-2</v>
      </c>
      <c r="T232" s="14">
        <f t="shared" si="1319"/>
        <v>2396.7456012700095</v>
      </c>
      <c r="U232" s="38">
        <f t="shared" si="1320"/>
        <v>-100</v>
      </c>
      <c r="V232" s="39">
        <f t="shared" ref="V232:W232" si="1460">V231</f>
        <v>19.8</v>
      </c>
      <c r="W232" s="124">
        <f t="shared" si="1460"/>
        <v>1.08</v>
      </c>
      <c r="X232" s="124">
        <f t="shared" si="1375"/>
        <v>1.075</v>
      </c>
      <c r="Y232" s="126"/>
      <c r="Z232" s="126"/>
      <c r="AA232" s="90">
        <f t="shared" ref="AA232:AB232" si="1461">AA231</f>
        <v>5.0149999999999997</v>
      </c>
      <c r="AB232" s="73" t="str">
        <f t="shared" si="1461"/>
        <v>9,05,040</v>
      </c>
      <c r="AC232" s="11" t="str">
        <f t="shared" si="1323"/>
        <v>9,</v>
      </c>
      <c r="AD232" s="11" t="str">
        <f t="shared" si="1324"/>
        <v>05,040</v>
      </c>
      <c r="AE232" s="11">
        <f t="shared" si="1325"/>
        <v>0.15139999999999998</v>
      </c>
      <c r="AF232" s="14">
        <f t="shared" si="1326"/>
        <v>33.124174372523122</v>
      </c>
      <c r="AG232" s="40">
        <f t="shared" si="1327"/>
        <v>-100</v>
      </c>
      <c r="AH232" s="39">
        <f t="shared" si="1383"/>
        <v>19.600000000000001</v>
      </c>
      <c r="AI232" s="124">
        <f t="shared" si="1383"/>
        <v>1.0860000000000001</v>
      </c>
      <c r="AJ232" s="124">
        <f t="shared" si="1383"/>
        <v>1.0780000000000001</v>
      </c>
      <c r="AK232" s="126">
        <f t="shared" si="1328"/>
        <v>0</v>
      </c>
      <c r="AL232" s="126"/>
      <c r="AM232" s="34">
        <f t="shared" ref="AM232:AN232" si="1462">AM231</f>
        <v>2.0059999999999998</v>
      </c>
      <c r="AN232" s="33" t="str">
        <f t="shared" si="1462"/>
        <v>5,40,620</v>
      </c>
      <c r="AO232" s="11" t="str">
        <f t="shared" si="1330"/>
        <v>5,</v>
      </c>
      <c r="AP232" s="11" t="str">
        <f t="shared" si="1331"/>
        <v>40,620</v>
      </c>
      <c r="AQ232" s="11">
        <f t="shared" si="1332"/>
        <v>9.4616666666666668E-2</v>
      </c>
      <c r="AR232" s="14">
        <f t="shared" si="1333"/>
        <v>21.201338735247486</v>
      </c>
      <c r="AS232" s="40">
        <f t="shared" si="1334"/>
        <v>-100</v>
      </c>
      <c r="AT232" s="41" t="str">
        <f t="shared" si="1335"/>
        <v>NO CONFORME</v>
      </c>
      <c r="AU232" s="8" t="b">
        <f t="shared" si="1257"/>
        <v>1</v>
      </c>
      <c r="AV232" s="8" t="b">
        <f t="shared" si="1258"/>
        <v>0</v>
      </c>
      <c r="AW232" s="8" t="b">
        <f t="shared" si="1259"/>
        <v>1</v>
      </c>
      <c r="AX232" s="8" t="str">
        <f t="shared" si="1260"/>
        <v>Qcorrecto</v>
      </c>
      <c r="AY232" s="22" t="str">
        <f t="shared" si="1240"/>
        <v>aceptable</v>
      </c>
      <c r="AZ232" s="22" t="str">
        <f t="shared" si="1241"/>
        <v>aceptable</v>
      </c>
      <c r="BA232" s="22" t="str">
        <f t="shared" si="1261"/>
        <v>aceptable</v>
      </c>
      <c r="BB232" s="25" t="str">
        <f t="shared" si="1262"/>
        <v>NO CONFORME</v>
      </c>
      <c r="BC232" s="5" t="str">
        <f t="shared" si="1263"/>
        <v>NO CONFORME</v>
      </c>
      <c r="BD232" s="15">
        <f t="shared" si="1242"/>
        <v>-1</v>
      </c>
      <c r="BE232" s="15">
        <f t="shared" si="1243"/>
        <v>-1</v>
      </c>
      <c r="BF232" s="15">
        <f t="shared" si="1244"/>
        <v>-1</v>
      </c>
      <c r="BG232" s="15" t="str">
        <f t="shared" si="1245"/>
        <v>-1-1-1</v>
      </c>
      <c r="BH232" s="15" t="str">
        <f t="shared" si="1246"/>
        <v>SD</v>
      </c>
      <c r="BI232" s="15" t="str">
        <f t="shared" si="1247"/>
        <v>SI</v>
      </c>
      <c r="BJ232" s="15" t="b">
        <f t="shared" si="1248"/>
        <v>1</v>
      </c>
      <c r="BK232" s="15" t="str">
        <f t="shared" si="1249"/>
        <v>SIGIGUALES</v>
      </c>
      <c r="BL232" s="22" t="str">
        <f t="shared" si="1250"/>
        <v>NO CONFORME</v>
      </c>
    </row>
    <row r="233" spans="1:64" ht="14.4" x14ac:dyDescent="0.3">
      <c r="A233" s="36">
        <v>225</v>
      </c>
      <c r="B233" s="28">
        <f t="shared" ref="B233:E233" si="1463">B232</f>
        <v>45903</v>
      </c>
      <c r="C233" s="28">
        <f t="shared" si="1463"/>
        <v>45903</v>
      </c>
      <c r="D233" s="12">
        <f t="shared" si="1463"/>
        <v>3</v>
      </c>
      <c r="E233" s="10">
        <f t="shared" si="1463"/>
        <v>11</v>
      </c>
      <c r="F233" s="13"/>
      <c r="G233" s="69"/>
      <c r="H233" s="70">
        <f t="shared" ref="H233:L233" si="1464">H232</f>
        <v>25.6</v>
      </c>
      <c r="I233" s="37">
        <f t="shared" si="1464"/>
        <v>0</v>
      </c>
      <c r="J233" s="35">
        <f t="shared" si="1464"/>
        <v>16</v>
      </c>
      <c r="K233" s="122">
        <f t="shared" si="1464"/>
        <v>8.1690000000000005</v>
      </c>
      <c r="L233" s="122">
        <f t="shared" si="1464"/>
        <v>0.879</v>
      </c>
      <c r="M233" s="126"/>
      <c r="N233" s="126"/>
      <c r="O233" s="32">
        <f t="shared" ref="O233:P233" si="1465">O232</f>
        <v>100.65</v>
      </c>
      <c r="P233" s="33" t="str">
        <f t="shared" si="1465"/>
        <v>2,31,180</v>
      </c>
      <c r="Q233" s="11" t="str">
        <f t="shared" si="1316"/>
        <v>2</v>
      </c>
      <c r="R233" s="11" t="str">
        <f t="shared" si="1317"/>
        <v>31,180</v>
      </c>
      <c r="S233" s="11">
        <f t="shared" si="1318"/>
        <v>4.1994444444444445E-2</v>
      </c>
      <c r="T233" s="14">
        <f t="shared" si="1319"/>
        <v>2396.7456012700095</v>
      </c>
      <c r="U233" s="38">
        <f t="shared" si="1320"/>
        <v>-100</v>
      </c>
      <c r="V233" s="39">
        <f t="shared" ref="V233:W233" si="1466">V232</f>
        <v>19.8</v>
      </c>
      <c r="W233" s="124">
        <f t="shared" si="1466"/>
        <v>1.08</v>
      </c>
      <c r="X233" s="124">
        <f t="shared" si="1375"/>
        <v>1.075</v>
      </c>
      <c r="Y233" s="126"/>
      <c r="Z233" s="126"/>
      <c r="AA233" s="90">
        <f t="shared" ref="AA233:AB233" si="1467">AA232</f>
        <v>5.0149999999999997</v>
      </c>
      <c r="AB233" s="73" t="str">
        <f t="shared" si="1467"/>
        <v>9,05,040</v>
      </c>
      <c r="AC233" s="11" t="str">
        <f t="shared" si="1323"/>
        <v>9,</v>
      </c>
      <c r="AD233" s="11" t="str">
        <f t="shared" si="1324"/>
        <v>05,040</v>
      </c>
      <c r="AE233" s="11">
        <f t="shared" si="1325"/>
        <v>0.15139999999999998</v>
      </c>
      <c r="AF233" s="14">
        <f t="shared" si="1326"/>
        <v>33.124174372523122</v>
      </c>
      <c r="AG233" s="40">
        <f t="shared" si="1327"/>
        <v>-100</v>
      </c>
      <c r="AH233" s="39">
        <f t="shared" si="1383"/>
        <v>19.600000000000001</v>
      </c>
      <c r="AI233" s="124">
        <f t="shared" si="1383"/>
        <v>1.0860000000000001</v>
      </c>
      <c r="AJ233" s="124">
        <f t="shared" si="1383"/>
        <v>1.0780000000000001</v>
      </c>
      <c r="AK233" s="126">
        <f t="shared" si="1328"/>
        <v>0</v>
      </c>
      <c r="AL233" s="126"/>
      <c r="AM233" s="34">
        <f t="shared" ref="AM233:AN233" si="1468">AM232</f>
        <v>2.0059999999999998</v>
      </c>
      <c r="AN233" s="33" t="str">
        <f t="shared" si="1468"/>
        <v>5,40,620</v>
      </c>
      <c r="AO233" s="11" t="str">
        <f t="shared" si="1330"/>
        <v>5,</v>
      </c>
      <c r="AP233" s="11" t="str">
        <f t="shared" si="1331"/>
        <v>40,620</v>
      </c>
      <c r="AQ233" s="11">
        <f t="shared" si="1332"/>
        <v>9.4616666666666668E-2</v>
      </c>
      <c r="AR233" s="14">
        <f t="shared" si="1333"/>
        <v>21.201338735247486</v>
      </c>
      <c r="AS233" s="40">
        <f t="shared" si="1334"/>
        <v>-100</v>
      </c>
      <c r="AT233" s="41" t="str">
        <f t="shared" si="1335"/>
        <v>NO CONFORME</v>
      </c>
      <c r="AU233" s="8" t="b">
        <f t="shared" si="1257"/>
        <v>1</v>
      </c>
      <c r="AV233" s="8" t="b">
        <f t="shared" si="1258"/>
        <v>0</v>
      </c>
      <c r="AW233" s="8" t="b">
        <f t="shared" si="1259"/>
        <v>1</v>
      </c>
      <c r="AX233" s="8" t="str">
        <f t="shared" si="1260"/>
        <v>Qcorrecto</v>
      </c>
      <c r="AY233" s="22" t="str">
        <f t="shared" si="1240"/>
        <v>aceptable</v>
      </c>
      <c r="AZ233" s="22" t="str">
        <f t="shared" si="1241"/>
        <v>aceptable</v>
      </c>
      <c r="BA233" s="22" t="str">
        <f t="shared" si="1261"/>
        <v>aceptable</v>
      </c>
      <c r="BB233" s="25" t="str">
        <f t="shared" si="1262"/>
        <v>NO CONFORME</v>
      </c>
      <c r="BC233" s="5" t="str">
        <f t="shared" si="1263"/>
        <v>NO CONFORME</v>
      </c>
      <c r="BD233" s="15">
        <f t="shared" si="1242"/>
        <v>-1</v>
      </c>
      <c r="BE233" s="15">
        <f t="shared" si="1243"/>
        <v>-1</v>
      </c>
      <c r="BF233" s="15">
        <f t="shared" si="1244"/>
        <v>-1</v>
      </c>
      <c r="BG233" s="15" t="str">
        <f t="shared" si="1245"/>
        <v>-1-1-1</v>
      </c>
      <c r="BH233" s="15" t="str">
        <f t="shared" si="1246"/>
        <v>SD</v>
      </c>
      <c r="BI233" s="15" t="str">
        <f t="shared" si="1247"/>
        <v>SI</v>
      </c>
      <c r="BJ233" s="15" t="b">
        <f t="shared" si="1248"/>
        <v>1</v>
      </c>
      <c r="BK233" s="15" t="str">
        <f t="shared" si="1249"/>
        <v>SIGIGUALES</v>
      </c>
      <c r="BL233" s="22" t="str">
        <f t="shared" si="1250"/>
        <v>NO CONFORME</v>
      </c>
    </row>
    <row r="234" spans="1:64" ht="14.4" x14ac:dyDescent="0.3">
      <c r="A234" s="36">
        <v>226</v>
      </c>
      <c r="B234" s="28">
        <f t="shared" ref="B234:E234" si="1469">B233</f>
        <v>45903</v>
      </c>
      <c r="C234" s="28">
        <f t="shared" si="1469"/>
        <v>45903</v>
      </c>
      <c r="D234" s="12">
        <f t="shared" si="1469"/>
        <v>3</v>
      </c>
      <c r="E234" s="10">
        <f t="shared" si="1469"/>
        <v>11</v>
      </c>
      <c r="F234" s="13"/>
      <c r="G234" s="69"/>
      <c r="H234" s="70">
        <f t="shared" ref="H234:L234" si="1470">H233</f>
        <v>25.6</v>
      </c>
      <c r="I234" s="37">
        <f t="shared" si="1470"/>
        <v>0</v>
      </c>
      <c r="J234" s="35">
        <f t="shared" si="1470"/>
        <v>16</v>
      </c>
      <c r="K234" s="122">
        <f t="shared" si="1470"/>
        <v>8.1690000000000005</v>
      </c>
      <c r="L234" s="122">
        <f t="shared" si="1470"/>
        <v>0.879</v>
      </c>
      <c r="M234" s="126"/>
      <c r="N234" s="126"/>
      <c r="O234" s="32">
        <f t="shared" ref="O234:P234" si="1471">O233</f>
        <v>100.65</v>
      </c>
      <c r="P234" s="33" t="str">
        <f t="shared" si="1471"/>
        <v>2,31,180</v>
      </c>
      <c r="Q234" s="11" t="str">
        <f t="shared" si="1316"/>
        <v>2</v>
      </c>
      <c r="R234" s="11" t="str">
        <f t="shared" si="1317"/>
        <v>31,180</v>
      </c>
      <c r="S234" s="11">
        <f t="shared" si="1318"/>
        <v>4.1994444444444445E-2</v>
      </c>
      <c r="T234" s="14">
        <f t="shared" si="1319"/>
        <v>2396.7456012700095</v>
      </c>
      <c r="U234" s="38">
        <f t="shared" si="1320"/>
        <v>-100</v>
      </c>
      <c r="V234" s="39">
        <f t="shared" ref="V234:X249" si="1472">V233</f>
        <v>19.8</v>
      </c>
      <c r="W234" s="124">
        <f t="shared" si="1472"/>
        <v>1.08</v>
      </c>
      <c r="X234" s="124">
        <f t="shared" si="1472"/>
        <v>1.075</v>
      </c>
      <c r="Y234" s="126"/>
      <c r="Z234" s="126"/>
      <c r="AA234" s="90">
        <f t="shared" ref="AA234:AB234" si="1473">AA233</f>
        <v>5.0149999999999997</v>
      </c>
      <c r="AB234" s="73" t="str">
        <f t="shared" si="1473"/>
        <v>9,05,040</v>
      </c>
      <c r="AC234" s="11" t="str">
        <f t="shared" si="1323"/>
        <v>9,</v>
      </c>
      <c r="AD234" s="11" t="str">
        <f t="shared" si="1324"/>
        <v>05,040</v>
      </c>
      <c r="AE234" s="11">
        <f t="shared" si="1325"/>
        <v>0.15139999999999998</v>
      </c>
      <c r="AF234" s="14">
        <f t="shared" si="1326"/>
        <v>33.124174372523122</v>
      </c>
      <c r="AG234" s="40">
        <f t="shared" si="1327"/>
        <v>-100</v>
      </c>
      <c r="AH234" s="39">
        <f t="shared" si="1383"/>
        <v>19.600000000000001</v>
      </c>
      <c r="AI234" s="124">
        <f t="shared" si="1383"/>
        <v>1.0860000000000001</v>
      </c>
      <c r="AJ234" s="124">
        <f t="shared" si="1383"/>
        <v>1.0780000000000001</v>
      </c>
      <c r="AK234" s="126">
        <f t="shared" si="1328"/>
        <v>0</v>
      </c>
      <c r="AL234" s="126"/>
      <c r="AM234" s="34">
        <f t="shared" ref="AM234:AN234" si="1474">AM233</f>
        <v>2.0059999999999998</v>
      </c>
      <c r="AN234" s="33" t="str">
        <f t="shared" si="1474"/>
        <v>5,40,620</v>
      </c>
      <c r="AO234" s="11" t="str">
        <f t="shared" si="1330"/>
        <v>5,</v>
      </c>
      <c r="AP234" s="11" t="str">
        <f t="shared" si="1331"/>
        <v>40,620</v>
      </c>
      <c r="AQ234" s="11">
        <f t="shared" si="1332"/>
        <v>9.4616666666666668E-2</v>
      </c>
      <c r="AR234" s="14">
        <f t="shared" si="1333"/>
        <v>21.201338735247486</v>
      </c>
      <c r="AS234" s="40">
        <f t="shared" si="1334"/>
        <v>-100</v>
      </c>
      <c r="AT234" s="41" t="str">
        <f t="shared" si="1335"/>
        <v>NO CONFORME</v>
      </c>
      <c r="AU234" s="8" t="b">
        <f t="shared" si="1257"/>
        <v>1</v>
      </c>
      <c r="AV234" s="8" t="b">
        <f t="shared" si="1258"/>
        <v>0</v>
      </c>
      <c r="AW234" s="8" t="b">
        <f t="shared" si="1259"/>
        <v>1</v>
      </c>
      <c r="AX234" s="8" t="str">
        <f t="shared" si="1260"/>
        <v>Qcorrecto</v>
      </c>
      <c r="AY234" s="22" t="str">
        <f t="shared" si="1240"/>
        <v>aceptable</v>
      </c>
      <c r="AZ234" s="22" t="str">
        <f t="shared" si="1241"/>
        <v>aceptable</v>
      </c>
      <c r="BA234" s="22" t="str">
        <f t="shared" si="1261"/>
        <v>aceptable</v>
      </c>
      <c r="BB234" s="25" t="str">
        <f t="shared" si="1262"/>
        <v>NO CONFORME</v>
      </c>
      <c r="BC234" s="5" t="str">
        <f t="shared" si="1263"/>
        <v>NO CONFORME</v>
      </c>
      <c r="BD234" s="15">
        <f t="shared" si="1242"/>
        <v>-1</v>
      </c>
      <c r="BE234" s="15">
        <f t="shared" si="1243"/>
        <v>-1</v>
      </c>
      <c r="BF234" s="15">
        <f t="shared" si="1244"/>
        <v>-1</v>
      </c>
      <c r="BG234" s="15" t="str">
        <f t="shared" si="1245"/>
        <v>-1-1-1</v>
      </c>
      <c r="BH234" s="15" t="str">
        <f t="shared" si="1246"/>
        <v>SD</v>
      </c>
      <c r="BI234" s="15" t="str">
        <f t="shared" si="1247"/>
        <v>SI</v>
      </c>
      <c r="BJ234" s="15" t="b">
        <f t="shared" si="1248"/>
        <v>1</v>
      </c>
      <c r="BK234" s="15" t="str">
        <f t="shared" si="1249"/>
        <v>SIGIGUALES</v>
      </c>
      <c r="BL234" s="22" t="str">
        <f t="shared" si="1250"/>
        <v>NO CONFORME</v>
      </c>
    </row>
    <row r="235" spans="1:64" ht="14.4" x14ac:dyDescent="0.3">
      <c r="A235" s="36">
        <v>227</v>
      </c>
      <c r="B235" s="28">
        <f t="shared" ref="B235:E235" si="1475">B234</f>
        <v>45903</v>
      </c>
      <c r="C235" s="28">
        <f t="shared" si="1475"/>
        <v>45903</v>
      </c>
      <c r="D235" s="12">
        <f t="shared" si="1475"/>
        <v>3</v>
      </c>
      <c r="E235" s="10">
        <f t="shared" si="1475"/>
        <v>11</v>
      </c>
      <c r="F235" s="13"/>
      <c r="G235" s="69"/>
      <c r="H235" s="70">
        <f t="shared" ref="H235:L235" si="1476">H234</f>
        <v>25.6</v>
      </c>
      <c r="I235" s="37">
        <f t="shared" si="1476"/>
        <v>0</v>
      </c>
      <c r="J235" s="35">
        <f t="shared" si="1476"/>
        <v>16</v>
      </c>
      <c r="K235" s="122">
        <f t="shared" si="1476"/>
        <v>8.1690000000000005</v>
      </c>
      <c r="L235" s="122">
        <f t="shared" si="1476"/>
        <v>0.879</v>
      </c>
      <c r="M235" s="126"/>
      <c r="N235" s="126"/>
      <c r="O235" s="32">
        <f t="shared" ref="O235:P235" si="1477">O234</f>
        <v>100.65</v>
      </c>
      <c r="P235" s="33" t="str">
        <f t="shared" si="1477"/>
        <v>2,31,180</v>
      </c>
      <c r="Q235" s="11" t="str">
        <f t="shared" si="1316"/>
        <v>2</v>
      </c>
      <c r="R235" s="11" t="str">
        <f t="shared" si="1317"/>
        <v>31,180</v>
      </c>
      <c r="S235" s="11">
        <f t="shared" si="1318"/>
        <v>4.1994444444444445E-2</v>
      </c>
      <c r="T235" s="14">
        <f t="shared" si="1319"/>
        <v>2396.7456012700095</v>
      </c>
      <c r="U235" s="38">
        <f t="shared" si="1320"/>
        <v>-100</v>
      </c>
      <c r="V235" s="39">
        <f t="shared" ref="V235:W235" si="1478">V234</f>
        <v>19.8</v>
      </c>
      <c r="W235" s="124">
        <f t="shared" si="1478"/>
        <v>1.08</v>
      </c>
      <c r="X235" s="124">
        <f t="shared" si="1472"/>
        <v>1.075</v>
      </c>
      <c r="Y235" s="126"/>
      <c r="Z235" s="126"/>
      <c r="AA235" s="90">
        <f t="shared" ref="AA235:AB235" si="1479">AA234</f>
        <v>5.0149999999999997</v>
      </c>
      <c r="AB235" s="73" t="str">
        <f t="shared" si="1479"/>
        <v>9,05,040</v>
      </c>
      <c r="AC235" s="11" t="str">
        <f t="shared" si="1323"/>
        <v>9,</v>
      </c>
      <c r="AD235" s="11" t="str">
        <f t="shared" si="1324"/>
        <v>05,040</v>
      </c>
      <c r="AE235" s="11">
        <f t="shared" si="1325"/>
        <v>0.15139999999999998</v>
      </c>
      <c r="AF235" s="14">
        <f t="shared" si="1326"/>
        <v>33.124174372523122</v>
      </c>
      <c r="AG235" s="40">
        <f t="shared" si="1327"/>
        <v>-100</v>
      </c>
      <c r="AH235" s="39">
        <f t="shared" ref="AH235:AJ250" si="1480">AH234</f>
        <v>19.600000000000001</v>
      </c>
      <c r="AI235" s="124">
        <f t="shared" si="1480"/>
        <v>1.0860000000000001</v>
      </c>
      <c r="AJ235" s="124">
        <f t="shared" si="1480"/>
        <v>1.0780000000000001</v>
      </c>
      <c r="AK235" s="126">
        <f t="shared" si="1328"/>
        <v>0</v>
      </c>
      <c r="AL235" s="126"/>
      <c r="AM235" s="34">
        <f t="shared" ref="AM235:AN235" si="1481">AM234</f>
        <v>2.0059999999999998</v>
      </c>
      <c r="AN235" s="33" t="str">
        <f t="shared" si="1481"/>
        <v>5,40,620</v>
      </c>
      <c r="AO235" s="11" t="str">
        <f t="shared" si="1330"/>
        <v>5,</v>
      </c>
      <c r="AP235" s="11" t="str">
        <f t="shared" si="1331"/>
        <v>40,620</v>
      </c>
      <c r="AQ235" s="11">
        <f t="shared" si="1332"/>
        <v>9.4616666666666668E-2</v>
      </c>
      <c r="AR235" s="14">
        <f t="shared" si="1333"/>
        <v>21.201338735247486</v>
      </c>
      <c r="AS235" s="40">
        <f t="shared" si="1334"/>
        <v>-100</v>
      </c>
      <c r="AT235" s="41" t="str">
        <f t="shared" si="1335"/>
        <v>NO CONFORME</v>
      </c>
      <c r="AU235" s="8" t="b">
        <f t="shared" si="1257"/>
        <v>1</v>
      </c>
      <c r="AV235" s="8" t="b">
        <f t="shared" si="1258"/>
        <v>0</v>
      </c>
      <c r="AW235" s="8" t="b">
        <f t="shared" si="1259"/>
        <v>1</v>
      </c>
      <c r="AX235" s="8" t="str">
        <f t="shared" si="1260"/>
        <v>Qcorrecto</v>
      </c>
      <c r="AY235" s="22" t="str">
        <f t="shared" si="1240"/>
        <v>aceptable</v>
      </c>
      <c r="AZ235" s="22" t="str">
        <f t="shared" si="1241"/>
        <v>aceptable</v>
      </c>
      <c r="BA235" s="22" t="str">
        <f t="shared" si="1261"/>
        <v>aceptable</v>
      </c>
      <c r="BB235" s="25" t="str">
        <f t="shared" si="1262"/>
        <v>NO CONFORME</v>
      </c>
      <c r="BC235" s="5" t="str">
        <f t="shared" si="1263"/>
        <v>NO CONFORME</v>
      </c>
      <c r="BD235" s="15">
        <f t="shared" si="1242"/>
        <v>-1</v>
      </c>
      <c r="BE235" s="15">
        <f t="shared" si="1243"/>
        <v>-1</v>
      </c>
      <c r="BF235" s="15">
        <f t="shared" si="1244"/>
        <v>-1</v>
      </c>
      <c r="BG235" s="15" t="str">
        <f t="shared" si="1245"/>
        <v>-1-1-1</v>
      </c>
      <c r="BH235" s="15" t="str">
        <f t="shared" si="1246"/>
        <v>SD</v>
      </c>
      <c r="BI235" s="15" t="str">
        <f t="shared" si="1247"/>
        <v>SI</v>
      </c>
      <c r="BJ235" s="15" t="b">
        <f t="shared" si="1248"/>
        <v>1</v>
      </c>
      <c r="BK235" s="15" t="str">
        <f t="shared" si="1249"/>
        <v>SIGIGUALES</v>
      </c>
      <c r="BL235" s="22" t="str">
        <f t="shared" si="1250"/>
        <v>NO CONFORME</v>
      </c>
    </row>
    <row r="236" spans="1:64" ht="14.4" x14ac:dyDescent="0.3">
      <c r="A236" s="36">
        <v>228</v>
      </c>
      <c r="B236" s="28">
        <f t="shared" ref="B236:E236" si="1482">B235</f>
        <v>45903</v>
      </c>
      <c r="C236" s="28">
        <f t="shared" si="1482"/>
        <v>45903</v>
      </c>
      <c r="D236" s="12">
        <f t="shared" si="1482"/>
        <v>3</v>
      </c>
      <c r="E236" s="10">
        <f t="shared" si="1482"/>
        <v>11</v>
      </c>
      <c r="F236" s="13"/>
      <c r="G236" s="69"/>
      <c r="H236" s="70">
        <f t="shared" ref="H236:L236" si="1483">H235</f>
        <v>25.6</v>
      </c>
      <c r="I236" s="37">
        <f t="shared" si="1483"/>
        <v>0</v>
      </c>
      <c r="J236" s="35">
        <f t="shared" si="1483"/>
        <v>16</v>
      </c>
      <c r="K236" s="122">
        <f t="shared" si="1483"/>
        <v>8.1690000000000005</v>
      </c>
      <c r="L236" s="122">
        <f t="shared" si="1483"/>
        <v>0.879</v>
      </c>
      <c r="M236" s="126"/>
      <c r="N236" s="126"/>
      <c r="O236" s="32">
        <f t="shared" ref="O236:P236" si="1484">O235</f>
        <v>100.65</v>
      </c>
      <c r="P236" s="33" t="str">
        <f t="shared" si="1484"/>
        <v>2,31,180</v>
      </c>
      <c r="Q236" s="11" t="str">
        <f t="shared" si="1316"/>
        <v>2</v>
      </c>
      <c r="R236" s="11" t="str">
        <f t="shared" si="1317"/>
        <v>31,180</v>
      </c>
      <c r="S236" s="11">
        <f t="shared" si="1318"/>
        <v>4.1994444444444445E-2</v>
      </c>
      <c r="T236" s="14">
        <f t="shared" si="1319"/>
        <v>2396.7456012700095</v>
      </c>
      <c r="U236" s="38">
        <f t="shared" si="1320"/>
        <v>-100</v>
      </c>
      <c r="V236" s="39">
        <f t="shared" ref="V236:W236" si="1485">V235</f>
        <v>19.8</v>
      </c>
      <c r="W236" s="124">
        <f t="shared" si="1485"/>
        <v>1.08</v>
      </c>
      <c r="X236" s="124">
        <f t="shared" si="1472"/>
        <v>1.075</v>
      </c>
      <c r="Y236" s="126"/>
      <c r="Z236" s="126"/>
      <c r="AA236" s="90">
        <f t="shared" ref="AA236:AB236" si="1486">AA235</f>
        <v>5.0149999999999997</v>
      </c>
      <c r="AB236" s="73" t="str">
        <f t="shared" si="1486"/>
        <v>9,05,040</v>
      </c>
      <c r="AC236" s="11" t="str">
        <f t="shared" si="1323"/>
        <v>9,</v>
      </c>
      <c r="AD236" s="11" t="str">
        <f t="shared" si="1324"/>
        <v>05,040</v>
      </c>
      <c r="AE236" s="11">
        <f t="shared" si="1325"/>
        <v>0.15139999999999998</v>
      </c>
      <c r="AF236" s="14">
        <f t="shared" si="1326"/>
        <v>33.124174372523122</v>
      </c>
      <c r="AG236" s="40">
        <f t="shared" si="1327"/>
        <v>-100</v>
      </c>
      <c r="AH236" s="39">
        <f t="shared" si="1480"/>
        <v>19.600000000000001</v>
      </c>
      <c r="AI236" s="124">
        <f t="shared" si="1480"/>
        <v>1.0860000000000001</v>
      </c>
      <c r="AJ236" s="124">
        <f t="shared" si="1480"/>
        <v>1.0780000000000001</v>
      </c>
      <c r="AK236" s="126">
        <f t="shared" si="1328"/>
        <v>0</v>
      </c>
      <c r="AL236" s="126"/>
      <c r="AM236" s="34">
        <f t="shared" ref="AM236:AN236" si="1487">AM235</f>
        <v>2.0059999999999998</v>
      </c>
      <c r="AN236" s="33" t="str">
        <f t="shared" si="1487"/>
        <v>5,40,620</v>
      </c>
      <c r="AO236" s="11" t="str">
        <f t="shared" si="1330"/>
        <v>5,</v>
      </c>
      <c r="AP236" s="11" t="str">
        <f t="shared" si="1331"/>
        <v>40,620</v>
      </c>
      <c r="AQ236" s="11">
        <f t="shared" si="1332"/>
        <v>9.4616666666666668E-2</v>
      </c>
      <c r="AR236" s="14">
        <f t="shared" si="1333"/>
        <v>21.201338735247486</v>
      </c>
      <c r="AS236" s="40">
        <f t="shared" si="1334"/>
        <v>-100</v>
      </c>
      <c r="AT236" s="41" t="str">
        <f t="shared" si="1335"/>
        <v>NO CONFORME</v>
      </c>
      <c r="AU236" s="8" t="b">
        <f t="shared" si="1257"/>
        <v>1</v>
      </c>
      <c r="AV236" s="8" t="b">
        <f t="shared" si="1258"/>
        <v>0</v>
      </c>
      <c r="AW236" s="8" t="b">
        <f t="shared" si="1259"/>
        <v>1</v>
      </c>
      <c r="AX236" s="8" t="str">
        <f t="shared" si="1260"/>
        <v>Qcorrecto</v>
      </c>
      <c r="AY236" s="22" t="str">
        <f t="shared" si="1240"/>
        <v>aceptable</v>
      </c>
      <c r="AZ236" s="22" t="str">
        <f t="shared" si="1241"/>
        <v>aceptable</v>
      </c>
      <c r="BA236" s="22" t="str">
        <f t="shared" si="1261"/>
        <v>aceptable</v>
      </c>
      <c r="BB236" s="25" t="str">
        <f t="shared" si="1262"/>
        <v>NO CONFORME</v>
      </c>
      <c r="BC236" s="5" t="str">
        <f t="shared" si="1263"/>
        <v>NO CONFORME</v>
      </c>
      <c r="BD236" s="15">
        <f t="shared" si="1242"/>
        <v>-1</v>
      </c>
      <c r="BE236" s="15">
        <f t="shared" si="1243"/>
        <v>-1</v>
      </c>
      <c r="BF236" s="15">
        <f t="shared" si="1244"/>
        <v>-1</v>
      </c>
      <c r="BG236" s="15" t="str">
        <f t="shared" si="1245"/>
        <v>-1-1-1</v>
      </c>
      <c r="BH236" s="15" t="str">
        <f t="shared" si="1246"/>
        <v>SD</v>
      </c>
      <c r="BI236" s="15" t="str">
        <f t="shared" si="1247"/>
        <v>SI</v>
      </c>
      <c r="BJ236" s="15" t="b">
        <f t="shared" si="1248"/>
        <v>1</v>
      </c>
      <c r="BK236" s="15" t="str">
        <f t="shared" si="1249"/>
        <v>SIGIGUALES</v>
      </c>
      <c r="BL236" s="22" t="str">
        <f t="shared" si="1250"/>
        <v>NO CONFORME</v>
      </c>
    </row>
    <row r="237" spans="1:64" ht="14.4" x14ac:dyDescent="0.3">
      <c r="A237" s="36">
        <v>229</v>
      </c>
      <c r="B237" s="28">
        <f t="shared" ref="B237:E237" si="1488">B236</f>
        <v>45903</v>
      </c>
      <c r="C237" s="28">
        <f t="shared" si="1488"/>
        <v>45903</v>
      </c>
      <c r="D237" s="12">
        <f t="shared" si="1488"/>
        <v>3</v>
      </c>
      <c r="E237" s="10">
        <f t="shared" si="1488"/>
        <v>11</v>
      </c>
      <c r="F237" s="13"/>
      <c r="G237" s="69"/>
      <c r="H237" s="70">
        <f t="shared" ref="H237:L237" si="1489">H236</f>
        <v>25.6</v>
      </c>
      <c r="I237" s="37">
        <f t="shared" si="1489"/>
        <v>0</v>
      </c>
      <c r="J237" s="35">
        <f t="shared" si="1489"/>
        <v>16</v>
      </c>
      <c r="K237" s="122">
        <f t="shared" si="1489"/>
        <v>8.1690000000000005</v>
      </c>
      <c r="L237" s="122">
        <f t="shared" si="1489"/>
        <v>0.879</v>
      </c>
      <c r="M237" s="126"/>
      <c r="N237" s="126"/>
      <c r="O237" s="32">
        <f t="shared" ref="O237:P237" si="1490">O236</f>
        <v>100.65</v>
      </c>
      <c r="P237" s="33" t="str">
        <f t="shared" si="1490"/>
        <v>2,31,180</v>
      </c>
      <c r="Q237" s="11" t="str">
        <f t="shared" si="1316"/>
        <v>2</v>
      </c>
      <c r="R237" s="11" t="str">
        <f t="shared" si="1317"/>
        <v>31,180</v>
      </c>
      <c r="S237" s="11">
        <f t="shared" si="1318"/>
        <v>4.1994444444444445E-2</v>
      </c>
      <c r="T237" s="14">
        <f t="shared" si="1319"/>
        <v>2396.7456012700095</v>
      </c>
      <c r="U237" s="38">
        <f t="shared" si="1320"/>
        <v>-100</v>
      </c>
      <c r="V237" s="39">
        <f t="shared" ref="V237:W237" si="1491">V236</f>
        <v>19.8</v>
      </c>
      <c r="W237" s="124">
        <f t="shared" si="1491"/>
        <v>1.08</v>
      </c>
      <c r="X237" s="124">
        <f t="shared" si="1472"/>
        <v>1.075</v>
      </c>
      <c r="Y237" s="126"/>
      <c r="Z237" s="126"/>
      <c r="AA237" s="90">
        <f t="shared" ref="AA237:AB237" si="1492">AA236</f>
        <v>5.0149999999999997</v>
      </c>
      <c r="AB237" s="73" t="str">
        <f t="shared" si="1492"/>
        <v>9,05,040</v>
      </c>
      <c r="AC237" s="11" t="str">
        <f t="shared" si="1323"/>
        <v>9,</v>
      </c>
      <c r="AD237" s="11" t="str">
        <f t="shared" si="1324"/>
        <v>05,040</v>
      </c>
      <c r="AE237" s="11">
        <f t="shared" si="1325"/>
        <v>0.15139999999999998</v>
      </c>
      <c r="AF237" s="14">
        <f t="shared" si="1326"/>
        <v>33.124174372523122</v>
      </c>
      <c r="AG237" s="40">
        <f t="shared" si="1327"/>
        <v>-100</v>
      </c>
      <c r="AH237" s="39">
        <f t="shared" si="1480"/>
        <v>19.600000000000001</v>
      </c>
      <c r="AI237" s="124">
        <f t="shared" si="1480"/>
        <v>1.0860000000000001</v>
      </c>
      <c r="AJ237" s="124">
        <f t="shared" si="1480"/>
        <v>1.0780000000000001</v>
      </c>
      <c r="AK237" s="126">
        <f t="shared" si="1328"/>
        <v>0</v>
      </c>
      <c r="AL237" s="126"/>
      <c r="AM237" s="34">
        <f t="shared" ref="AM237:AN237" si="1493">AM236</f>
        <v>2.0059999999999998</v>
      </c>
      <c r="AN237" s="33" t="str">
        <f t="shared" si="1493"/>
        <v>5,40,620</v>
      </c>
      <c r="AO237" s="11" t="str">
        <f t="shared" si="1330"/>
        <v>5,</v>
      </c>
      <c r="AP237" s="11" t="str">
        <f t="shared" si="1331"/>
        <v>40,620</v>
      </c>
      <c r="AQ237" s="11">
        <f t="shared" si="1332"/>
        <v>9.4616666666666668E-2</v>
      </c>
      <c r="AR237" s="14">
        <f t="shared" si="1333"/>
        <v>21.201338735247486</v>
      </c>
      <c r="AS237" s="40">
        <f t="shared" si="1334"/>
        <v>-100</v>
      </c>
      <c r="AT237" s="41" t="str">
        <f t="shared" si="1335"/>
        <v>NO CONFORME</v>
      </c>
      <c r="AU237" s="8" t="b">
        <f t="shared" si="1257"/>
        <v>1</v>
      </c>
      <c r="AV237" s="8" t="b">
        <f t="shared" si="1258"/>
        <v>0</v>
      </c>
      <c r="AW237" s="8" t="b">
        <f t="shared" si="1259"/>
        <v>1</v>
      </c>
      <c r="AX237" s="8" t="str">
        <f t="shared" si="1260"/>
        <v>Qcorrecto</v>
      </c>
      <c r="AY237" s="22" t="str">
        <f t="shared" si="1240"/>
        <v>aceptable</v>
      </c>
      <c r="AZ237" s="22" t="str">
        <f t="shared" si="1241"/>
        <v>aceptable</v>
      </c>
      <c r="BA237" s="22" t="str">
        <f t="shared" si="1261"/>
        <v>aceptable</v>
      </c>
      <c r="BB237" s="25" t="str">
        <f t="shared" si="1262"/>
        <v>NO CONFORME</v>
      </c>
      <c r="BC237" s="5" t="str">
        <f t="shared" si="1263"/>
        <v>NO CONFORME</v>
      </c>
      <c r="BD237" s="15">
        <f t="shared" si="1242"/>
        <v>-1</v>
      </c>
      <c r="BE237" s="15">
        <f t="shared" si="1243"/>
        <v>-1</v>
      </c>
      <c r="BF237" s="15">
        <f t="shared" si="1244"/>
        <v>-1</v>
      </c>
      <c r="BG237" s="15" t="str">
        <f t="shared" si="1245"/>
        <v>-1-1-1</v>
      </c>
      <c r="BH237" s="15" t="str">
        <f t="shared" si="1246"/>
        <v>SD</v>
      </c>
      <c r="BI237" s="15" t="str">
        <f t="shared" si="1247"/>
        <v>SI</v>
      </c>
      <c r="BJ237" s="15" t="b">
        <f t="shared" si="1248"/>
        <v>1</v>
      </c>
      <c r="BK237" s="15" t="str">
        <f t="shared" si="1249"/>
        <v>SIGIGUALES</v>
      </c>
      <c r="BL237" s="22" t="str">
        <f t="shared" si="1250"/>
        <v>NO CONFORME</v>
      </c>
    </row>
    <row r="238" spans="1:64" ht="14.4" x14ac:dyDescent="0.3">
      <c r="A238" s="36">
        <v>230</v>
      </c>
      <c r="B238" s="28">
        <f t="shared" ref="B238:E238" si="1494">B237</f>
        <v>45903</v>
      </c>
      <c r="C238" s="28">
        <f t="shared" si="1494"/>
        <v>45903</v>
      </c>
      <c r="D238" s="12">
        <f t="shared" si="1494"/>
        <v>3</v>
      </c>
      <c r="E238" s="10">
        <f t="shared" si="1494"/>
        <v>11</v>
      </c>
      <c r="F238" s="13"/>
      <c r="G238" s="69"/>
      <c r="H238" s="70">
        <f t="shared" ref="H238:L238" si="1495">H237</f>
        <v>25.6</v>
      </c>
      <c r="I238" s="37">
        <f t="shared" si="1495"/>
        <v>0</v>
      </c>
      <c r="J238" s="35">
        <f t="shared" si="1495"/>
        <v>16</v>
      </c>
      <c r="K238" s="122">
        <f t="shared" si="1495"/>
        <v>8.1690000000000005</v>
      </c>
      <c r="L238" s="122">
        <f t="shared" si="1495"/>
        <v>0.879</v>
      </c>
      <c r="M238" s="126"/>
      <c r="N238" s="126"/>
      <c r="O238" s="32">
        <f t="shared" ref="O238:P238" si="1496">O237</f>
        <v>100.65</v>
      </c>
      <c r="P238" s="33" t="str">
        <f t="shared" si="1496"/>
        <v>2,31,180</v>
      </c>
      <c r="Q238" s="11" t="str">
        <f t="shared" si="1316"/>
        <v>2</v>
      </c>
      <c r="R238" s="11" t="str">
        <f t="shared" si="1317"/>
        <v>31,180</v>
      </c>
      <c r="S238" s="11">
        <f t="shared" si="1318"/>
        <v>4.1994444444444445E-2</v>
      </c>
      <c r="T238" s="14">
        <f t="shared" si="1319"/>
        <v>2396.7456012700095</v>
      </c>
      <c r="U238" s="38">
        <f t="shared" si="1320"/>
        <v>-100</v>
      </c>
      <c r="V238" s="39">
        <f t="shared" ref="V238:W238" si="1497">V237</f>
        <v>19.8</v>
      </c>
      <c r="W238" s="124">
        <f t="shared" si="1497"/>
        <v>1.08</v>
      </c>
      <c r="X238" s="124">
        <f t="shared" si="1472"/>
        <v>1.075</v>
      </c>
      <c r="Y238" s="126"/>
      <c r="Z238" s="126"/>
      <c r="AA238" s="90">
        <f t="shared" ref="AA238:AB238" si="1498">AA237</f>
        <v>5.0149999999999997</v>
      </c>
      <c r="AB238" s="73" t="str">
        <f t="shared" si="1498"/>
        <v>9,05,040</v>
      </c>
      <c r="AC238" s="11" t="str">
        <f t="shared" si="1323"/>
        <v>9,</v>
      </c>
      <c r="AD238" s="11" t="str">
        <f t="shared" si="1324"/>
        <v>05,040</v>
      </c>
      <c r="AE238" s="11">
        <f t="shared" si="1325"/>
        <v>0.15139999999999998</v>
      </c>
      <c r="AF238" s="14">
        <f t="shared" si="1326"/>
        <v>33.124174372523122</v>
      </c>
      <c r="AG238" s="40">
        <f t="shared" si="1327"/>
        <v>-100</v>
      </c>
      <c r="AH238" s="39">
        <f t="shared" si="1480"/>
        <v>19.600000000000001</v>
      </c>
      <c r="AI238" s="124">
        <f t="shared" si="1480"/>
        <v>1.0860000000000001</v>
      </c>
      <c r="AJ238" s="124">
        <f t="shared" si="1480"/>
        <v>1.0780000000000001</v>
      </c>
      <c r="AK238" s="126">
        <f t="shared" si="1328"/>
        <v>0</v>
      </c>
      <c r="AL238" s="126"/>
      <c r="AM238" s="34">
        <f t="shared" ref="AM238:AN238" si="1499">AM237</f>
        <v>2.0059999999999998</v>
      </c>
      <c r="AN238" s="33" t="str">
        <f t="shared" si="1499"/>
        <v>5,40,620</v>
      </c>
      <c r="AO238" s="11" t="str">
        <f t="shared" si="1330"/>
        <v>5,</v>
      </c>
      <c r="AP238" s="11" t="str">
        <f t="shared" si="1331"/>
        <v>40,620</v>
      </c>
      <c r="AQ238" s="11">
        <f t="shared" si="1332"/>
        <v>9.4616666666666668E-2</v>
      </c>
      <c r="AR238" s="14">
        <f t="shared" si="1333"/>
        <v>21.201338735247486</v>
      </c>
      <c r="AS238" s="40">
        <f t="shared" si="1334"/>
        <v>-100</v>
      </c>
      <c r="AT238" s="41" t="str">
        <f t="shared" si="1335"/>
        <v>NO CONFORME</v>
      </c>
      <c r="AU238" s="8" t="b">
        <f t="shared" si="1257"/>
        <v>1</v>
      </c>
      <c r="AV238" s="8" t="b">
        <f t="shared" si="1258"/>
        <v>0</v>
      </c>
      <c r="AW238" s="8" t="b">
        <f t="shared" si="1259"/>
        <v>1</v>
      </c>
      <c r="AX238" s="8" t="str">
        <f t="shared" si="1260"/>
        <v>Qcorrecto</v>
      </c>
      <c r="AY238" s="22" t="str">
        <f t="shared" si="1240"/>
        <v>aceptable</v>
      </c>
      <c r="AZ238" s="22" t="str">
        <f t="shared" si="1241"/>
        <v>aceptable</v>
      </c>
      <c r="BA238" s="22" t="str">
        <f t="shared" si="1261"/>
        <v>aceptable</v>
      </c>
      <c r="BB238" s="25" t="str">
        <f t="shared" si="1262"/>
        <v>NO CONFORME</v>
      </c>
      <c r="BC238" s="5" t="str">
        <f t="shared" si="1263"/>
        <v>NO CONFORME</v>
      </c>
      <c r="BD238" s="15">
        <f t="shared" si="1242"/>
        <v>-1</v>
      </c>
      <c r="BE238" s="15">
        <f t="shared" si="1243"/>
        <v>-1</v>
      </c>
      <c r="BF238" s="15">
        <f t="shared" si="1244"/>
        <v>-1</v>
      </c>
      <c r="BG238" s="15" t="str">
        <f t="shared" si="1245"/>
        <v>-1-1-1</v>
      </c>
      <c r="BH238" s="15" t="str">
        <f t="shared" si="1246"/>
        <v>SD</v>
      </c>
      <c r="BI238" s="15" t="str">
        <f t="shared" si="1247"/>
        <v>SI</v>
      </c>
      <c r="BJ238" s="15" t="b">
        <f t="shared" si="1248"/>
        <v>1</v>
      </c>
      <c r="BK238" s="15" t="str">
        <f t="shared" si="1249"/>
        <v>SIGIGUALES</v>
      </c>
      <c r="BL238" s="22" t="str">
        <f t="shared" si="1250"/>
        <v>NO CONFORME</v>
      </c>
    </row>
    <row r="239" spans="1:64" ht="14.4" x14ac:dyDescent="0.3">
      <c r="A239" s="36">
        <v>231</v>
      </c>
      <c r="B239" s="28">
        <f t="shared" ref="B239:E239" si="1500">B238</f>
        <v>45903</v>
      </c>
      <c r="C239" s="28">
        <f t="shared" si="1500"/>
        <v>45903</v>
      </c>
      <c r="D239" s="12">
        <f t="shared" si="1500"/>
        <v>3</v>
      </c>
      <c r="E239" s="10">
        <f t="shared" si="1500"/>
        <v>11</v>
      </c>
      <c r="F239" s="13"/>
      <c r="G239" s="69"/>
      <c r="H239" s="70">
        <f t="shared" ref="H239:L239" si="1501">H238</f>
        <v>25.6</v>
      </c>
      <c r="I239" s="37">
        <f t="shared" si="1501"/>
        <v>0</v>
      </c>
      <c r="J239" s="35">
        <f t="shared" si="1501"/>
        <v>16</v>
      </c>
      <c r="K239" s="122">
        <f t="shared" si="1501"/>
        <v>8.1690000000000005</v>
      </c>
      <c r="L239" s="122">
        <f t="shared" si="1501"/>
        <v>0.879</v>
      </c>
      <c r="M239" s="126"/>
      <c r="N239" s="126"/>
      <c r="O239" s="32">
        <f t="shared" ref="O239:P239" si="1502">O238</f>
        <v>100.65</v>
      </c>
      <c r="P239" s="33" t="str">
        <f t="shared" si="1502"/>
        <v>2,31,180</v>
      </c>
      <c r="Q239" s="11" t="str">
        <f t="shared" si="1316"/>
        <v>2</v>
      </c>
      <c r="R239" s="11" t="str">
        <f t="shared" si="1317"/>
        <v>31,180</v>
      </c>
      <c r="S239" s="11">
        <f t="shared" si="1318"/>
        <v>4.1994444444444445E-2</v>
      </c>
      <c r="T239" s="14">
        <f t="shared" si="1319"/>
        <v>2396.7456012700095</v>
      </c>
      <c r="U239" s="38">
        <f t="shared" si="1320"/>
        <v>-100</v>
      </c>
      <c r="V239" s="39">
        <f t="shared" ref="V239:W239" si="1503">V238</f>
        <v>19.8</v>
      </c>
      <c r="W239" s="124">
        <f t="shared" si="1503"/>
        <v>1.08</v>
      </c>
      <c r="X239" s="124">
        <f t="shared" si="1472"/>
        <v>1.075</v>
      </c>
      <c r="Y239" s="126"/>
      <c r="Z239" s="126"/>
      <c r="AA239" s="90">
        <f t="shared" ref="AA239:AB239" si="1504">AA238</f>
        <v>5.0149999999999997</v>
      </c>
      <c r="AB239" s="73" t="str">
        <f t="shared" si="1504"/>
        <v>9,05,040</v>
      </c>
      <c r="AC239" s="11" t="str">
        <f t="shared" si="1323"/>
        <v>9,</v>
      </c>
      <c r="AD239" s="11" t="str">
        <f t="shared" si="1324"/>
        <v>05,040</v>
      </c>
      <c r="AE239" s="11">
        <f t="shared" si="1325"/>
        <v>0.15139999999999998</v>
      </c>
      <c r="AF239" s="14">
        <f t="shared" si="1326"/>
        <v>33.124174372523122</v>
      </c>
      <c r="AG239" s="40">
        <f t="shared" si="1327"/>
        <v>-100</v>
      </c>
      <c r="AH239" s="39">
        <f t="shared" si="1480"/>
        <v>19.600000000000001</v>
      </c>
      <c r="AI239" s="124">
        <f t="shared" si="1480"/>
        <v>1.0860000000000001</v>
      </c>
      <c r="AJ239" s="124">
        <f t="shared" si="1480"/>
        <v>1.0780000000000001</v>
      </c>
      <c r="AK239" s="126">
        <f t="shared" si="1328"/>
        <v>0</v>
      </c>
      <c r="AL239" s="126"/>
      <c r="AM239" s="34">
        <f t="shared" ref="AM239:AN239" si="1505">AM238</f>
        <v>2.0059999999999998</v>
      </c>
      <c r="AN239" s="33" t="str">
        <f t="shared" si="1505"/>
        <v>5,40,620</v>
      </c>
      <c r="AO239" s="11" t="str">
        <f t="shared" si="1330"/>
        <v>5,</v>
      </c>
      <c r="AP239" s="11" t="str">
        <f t="shared" si="1331"/>
        <v>40,620</v>
      </c>
      <c r="AQ239" s="11">
        <f t="shared" si="1332"/>
        <v>9.4616666666666668E-2</v>
      </c>
      <c r="AR239" s="14">
        <f t="shared" si="1333"/>
        <v>21.201338735247486</v>
      </c>
      <c r="AS239" s="40">
        <f t="shared" si="1334"/>
        <v>-100</v>
      </c>
      <c r="AT239" s="41" t="str">
        <f t="shared" si="1335"/>
        <v>NO CONFORME</v>
      </c>
      <c r="AU239" s="8" t="b">
        <f t="shared" si="1257"/>
        <v>1</v>
      </c>
      <c r="AV239" s="8" t="b">
        <f t="shared" si="1258"/>
        <v>0</v>
      </c>
      <c r="AW239" s="8" t="b">
        <f t="shared" si="1259"/>
        <v>1</v>
      </c>
      <c r="AX239" s="8" t="str">
        <f t="shared" si="1260"/>
        <v>Qcorrecto</v>
      </c>
      <c r="AY239" s="22" t="str">
        <f t="shared" si="1240"/>
        <v>aceptable</v>
      </c>
      <c r="AZ239" s="22" t="str">
        <f t="shared" si="1241"/>
        <v>aceptable</v>
      </c>
      <c r="BA239" s="22" t="str">
        <f t="shared" si="1261"/>
        <v>aceptable</v>
      </c>
      <c r="BB239" s="25" t="str">
        <f t="shared" si="1262"/>
        <v>NO CONFORME</v>
      </c>
      <c r="BC239" s="5" t="str">
        <f t="shared" si="1263"/>
        <v>NO CONFORME</v>
      </c>
      <c r="BD239" s="15">
        <f t="shared" si="1242"/>
        <v>-1</v>
      </c>
      <c r="BE239" s="15">
        <f t="shared" si="1243"/>
        <v>-1</v>
      </c>
      <c r="BF239" s="15">
        <f t="shared" si="1244"/>
        <v>-1</v>
      </c>
      <c r="BG239" s="15" t="str">
        <f t="shared" si="1245"/>
        <v>-1-1-1</v>
      </c>
      <c r="BH239" s="15" t="str">
        <f t="shared" si="1246"/>
        <v>SD</v>
      </c>
      <c r="BI239" s="15" t="str">
        <f t="shared" si="1247"/>
        <v>SI</v>
      </c>
      <c r="BJ239" s="15" t="b">
        <f t="shared" si="1248"/>
        <v>1</v>
      </c>
      <c r="BK239" s="15" t="str">
        <f t="shared" si="1249"/>
        <v>SIGIGUALES</v>
      </c>
      <c r="BL239" s="22" t="str">
        <f t="shared" si="1250"/>
        <v>NO CONFORME</v>
      </c>
    </row>
    <row r="240" spans="1:64" ht="14.4" x14ac:dyDescent="0.3">
      <c r="A240" s="36">
        <v>232</v>
      </c>
      <c r="B240" s="28">
        <f t="shared" ref="B240:E240" si="1506">B239</f>
        <v>45903</v>
      </c>
      <c r="C240" s="28">
        <f t="shared" si="1506"/>
        <v>45903</v>
      </c>
      <c r="D240" s="12">
        <f t="shared" si="1506"/>
        <v>3</v>
      </c>
      <c r="E240" s="10">
        <f t="shared" si="1506"/>
        <v>11</v>
      </c>
      <c r="F240" s="13"/>
      <c r="G240" s="69"/>
      <c r="H240" s="70">
        <f t="shared" ref="H240:L240" si="1507">H239</f>
        <v>25.6</v>
      </c>
      <c r="I240" s="37">
        <f t="shared" si="1507"/>
        <v>0</v>
      </c>
      <c r="J240" s="35">
        <f t="shared" si="1507"/>
        <v>16</v>
      </c>
      <c r="K240" s="122">
        <f t="shared" si="1507"/>
        <v>8.1690000000000005</v>
      </c>
      <c r="L240" s="122">
        <f t="shared" si="1507"/>
        <v>0.879</v>
      </c>
      <c r="M240" s="126"/>
      <c r="N240" s="126"/>
      <c r="O240" s="32">
        <f t="shared" ref="O240:P240" si="1508">O239</f>
        <v>100.65</v>
      </c>
      <c r="P240" s="33" t="str">
        <f t="shared" si="1508"/>
        <v>2,31,180</v>
      </c>
      <c r="Q240" s="11" t="str">
        <f t="shared" si="1316"/>
        <v>2</v>
      </c>
      <c r="R240" s="11" t="str">
        <f t="shared" si="1317"/>
        <v>31,180</v>
      </c>
      <c r="S240" s="11">
        <f t="shared" si="1318"/>
        <v>4.1994444444444445E-2</v>
      </c>
      <c r="T240" s="14">
        <f t="shared" si="1319"/>
        <v>2396.7456012700095</v>
      </c>
      <c r="U240" s="38">
        <f t="shared" si="1320"/>
        <v>-100</v>
      </c>
      <c r="V240" s="39">
        <f t="shared" ref="V240:W240" si="1509">V239</f>
        <v>19.8</v>
      </c>
      <c r="W240" s="124">
        <f t="shared" si="1509"/>
        <v>1.08</v>
      </c>
      <c r="X240" s="124">
        <f t="shared" si="1472"/>
        <v>1.075</v>
      </c>
      <c r="Y240" s="126"/>
      <c r="Z240" s="126"/>
      <c r="AA240" s="90">
        <f t="shared" ref="AA240:AB240" si="1510">AA239</f>
        <v>5.0149999999999997</v>
      </c>
      <c r="AB240" s="73" t="str">
        <f t="shared" si="1510"/>
        <v>9,05,040</v>
      </c>
      <c r="AC240" s="11" t="str">
        <f t="shared" si="1323"/>
        <v>9,</v>
      </c>
      <c r="AD240" s="11" t="str">
        <f t="shared" si="1324"/>
        <v>05,040</v>
      </c>
      <c r="AE240" s="11">
        <f t="shared" si="1325"/>
        <v>0.15139999999999998</v>
      </c>
      <c r="AF240" s="14">
        <f t="shared" si="1326"/>
        <v>33.124174372523122</v>
      </c>
      <c r="AG240" s="40">
        <f t="shared" si="1327"/>
        <v>-100</v>
      </c>
      <c r="AH240" s="39">
        <f t="shared" si="1480"/>
        <v>19.600000000000001</v>
      </c>
      <c r="AI240" s="124">
        <f t="shared" si="1480"/>
        <v>1.0860000000000001</v>
      </c>
      <c r="AJ240" s="124">
        <f t="shared" si="1480"/>
        <v>1.0780000000000001</v>
      </c>
      <c r="AK240" s="126">
        <f t="shared" si="1328"/>
        <v>0</v>
      </c>
      <c r="AL240" s="126"/>
      <c r="AM240" s="34">
        <f t="shared" ref="AM240:AN240" si="1511">AM239</f>
        <v>2.0059999999999998</v>
      </c>
      <c r="AN240" s="33" t="str">
        <f t="shared" si="1511"/>
        <v>5,40,620</v>
      </c>
      <c r="AO240" s="11" t="str">
        <f t="shared" si="1330"/>
        <v>5,</v>
      </c>
      <c r="AP240" s="11" t="str">
        <f t="shared" si="1331"/>
        <v>40,620</v>
      </c>
      <c r="AQ240" s="11">
        <f t="shared" si="1332"/>
        <v>9.4616666666666668E-2</v>
      </c>
      <c r="AR240" s="14">
        <f t="shared" si="1333"/>
        <v>21.201338735247486</v>
      </c>
      <c r="AS240" s="40">
        <f t="shared" si="1334"/>
        <v>-100</v>
      </c>
      <c r="AT240" s="41" t="str">
        <f t="shared" si="1335"/>
        <v>NO CONFORME</v>
      </c>
      <c r="AU240" s="8" t="b">
        <f t="shared" si="1257"/>
        <v>1</v>
      </c>
      <c r="AV240" s="8" t="b">
        <f t="shared" si="1258"/>
        <v>0</v>
      </c>
      <c r="AW240" s="8" t="b">
        <f t="shared" si="1259"/>
        <v>1</v>
      </c>
      <c r="AX240" s="8" t="str">
        <f t="shared" si="1260"/>
        <v>Qcorrecto</v>
      </c>
      <c r="AY240" s="22" t="str">
        <f t="shared" si="1240"/>
        <v>aceptable</v>
      </c>
      <c r="AZ240" s="22" t="str">
        <f t="shared" si="1241"/>
        <v>aceptable</v>
      </c>
      <c r="BA240" s="22" t="str">
        <f t="shared" si="1261"/>
        <v>aceptable</v>
      </c>
      <c r="BB240" s="25" t="str">
        <f t="shared" si="1262"/>
        <v>NO CONFORME</v>
      </c>
      <c r="BC240" s="5" t="str">
        <f t="shared" si="1263"/>
        <v>NO CONFORME</v>
      </c>
      <c r="BD240" s="15">
        <f t="shared" si="1242"/>
        <v>-1</v>
      </c>
      <c r="BE240" s="15">
        <f t="shared" si="1243"/>
        <v>-1</v>
      </c>
      <c r="BF240" s="15">
        <f t="shared" si="1244"/>
        <v>-1</v>
      </c>
      <c r="BG240" s="15" t="str">
        <f t="shared" si="1245"/>
        <v>-1-1-1</v>
      </c>
      <c r="BH240" s="15" t="str">
        <f t="shared" si="1246"/>
        <v>SD</v>
      </c>
      <c r="BI240" s="15" t="str">
        <f t="shared" si="1247"/>
        <v>SI</v>
      </c>
      <c r="BJ240" s="15" t="b">
        <f t="shared" si="1248"/>
        <v>1</v>
      </c>
      <c r="BK240" s="15" t="str">
        <f t="shared" si="1249"/>
        <v>SIGIGUALES</v>
      </c>
      <c r="BL240" s="22" t="str">
        <f t="shared" si="1250"/>
        <v>NO CONFORME</v>
      </c>
    </row>
    <row r="241" spans="1:64" ht="14.4" x14ac:dyDescent="0.3">
      <c r="A241" s="36">
        <v>233</v>
      </c>
      <c r="B241" s="28">
        <f t="shared" ref="B241:E241" si="1512">B240</f>
        <v>45903</v>
      </c>
      <c r="C241" s="28">
        <f t="shared" si="1512"/>
        <v>45903</v>
      </c>
      <c r="D241" s="12">
        <f t="shared" si="1512"/>
        <v>3</v>
      </c>
      <c r="E241" s="10">
        <f t="shared" si="1512"/>
        <v>11</v>
      </c>
      <c r="F241" s="13"/>
      <c r="G241" s="69"/>
      <c r="H241" s="70">
        <f t="shared" ref="H241:L241" si="1513">H240</f>
        <v>25.6</v>
      </c>
      <c r="I241" s="37">
        <f t="shared" si="1513"/>
        <v>0</v>
      </c>
      <c r="J241" s="35">
        <f t="shared" si="1513"/>
        <v>16</v>
      </c>
      <c r="K241" s="122">
        <f t="shared" si="1513"/>
        <v>8.1690000000000005</v>
      </c>
      <c r="L241" s="122">
        <f t="shared" si="1513"/>
        <v>0.879</v>
      </c>
      <c r="M241" s="126"/>
      <c r="N241" s="126"/>
      <c r="O241" s="32">
        <f t="shared" ref="O241:P241" si="1514">O240</f>
        <v>100.65</v>
      </c>
      <c r="P241" s="33" t="str">
        <f t="shared" si="1514"/>
        <v>2,31,180</v>
      </c>
      <c r="Q241" s="11" t="str">
        <f t="shared" si="1316"/>
        <v>2</v>
      </c>
      <c r="R241" s="11" t="str">
        <f t="shared" si="1317"/>
        <v>31,180</v>
      </c>
      <c r="S241" s="11">
        <f t="shared" si="1318"/>
        <v>4.1994444444444445E-2</v>
      </c>
      <c r="T241" s="14">
        <f t="shared" si="1319"/>
        <v>2396.7456012700095</v>
      </c>
      <c r="U241" s="38">
        <f t="shared" si="1320"/>
        <v>-100</v>
      </c>
      <c r="V241" s="39">
        <f t="shared" ref="V241:W241" si="1515">V240</f>
        <v>19.8</v>
      </c>
      <c r="W241" s="124">
        <f t="shared" si="1515"/>
        <v>1.08</v>
      </c>
      <c r="X241" s="124">
        <f t="shared" si="1472"/>
        <v>1.075</v>
      </c>
      <c r="Y241" s="126"/>
      <c r="Z241" s="126"/>
      <c r="AA241" s="90">
        <f t="shared" ref="AA241:AB241" si="1516">AA240</f>
        <v>5.0149999999999997</v>
      </c>
      <c r="AB241" s="73" t="str">
        <f t="shared" si="1516"/>
        <v>9,05,040</v>
      </c>
      <c r="AC241" s="11" t="str">
        <f t="shared" si="1323"/>
        <v>9,</v>
      </c>
      <c r="AD241" s="11" t="str">
        <f t="shared" si="1324"/>
        <v>05,040</v>
      </c>
      <c r="AE241" s="11">
        <f t="shared" si="1325"/>
        <v>0.15139999999999998</v>
      </c>
      <c r="AF241" s="14">
        <f t="shared" si="1326"/>
        <v>33.124174372523122</v>
      </c>
      <c r="AG241" s="40">
        <f t="shared" si="1327"/>
        <v>-100</v>
      </c>
      <c r="AH241" s="39">
        <f t="shared" si="1480"/>
        <v>19.600000000000001</v>
      </c>
      <c r="AI241" s="124">
        <f t="shared" si="1480"/>
        <v>1.0860000000000001</v>
      </c>
      <c r="AJ241" s="124">
        <f t="shared" si="1480"/>
        <v>1.0780000000000001</v>
      </c>
      <c r="AK241" s="126">
        <f t="shared" si="1328"/>
        <v>0</v>
      </c>
      <c r="AL241" s="126"/>
      <c r="AM241" s="34">
        <f t="shared" ref="AM241:AN241" si="1517">AM240</f>
        <v>2.0059999999999998</v>
      </c>
      <c r="AN241" s="33" t="str">
        <f t="shared" si="1517"/>
        <v>5,40,620</v>
      </c>
      <c r="AO241" s="11" t="str">
        <f t="shared" si="1330"/>
        <v>5,</v>
      </c>
      <c r="AP241" s="11" t="str">
        <f t="shared" si="1331"/>
        <v>40,620</v>
      </c>
      <c r="AQ241" s="11">
        <f t="shared" si="1332"/>
        <v>9.4616666666666668E-2</v>
      </c>
      <c r="AR241" s="14">
        <f t="shared" si="1333"/>
        <v>21.201338735247486</v>
      </c>
      <c r="AS241" s="40">
        <f t="shared" si="1334"/>
        <v>-100</v>
      </c>
      <c r="AT241" s="41" t="str">
        <f t="shared" si="1335"/>
        <v>NO CONFORME</v>
      </c>
      <c r="AU241" s="8" t="b">
        <f t="shared" si="1257"/>
        <v>1</v>
      </c>
      <c r="AV241" s="8" t="b">
        <f t="shared" si="1258"/>
        <v>0</v>
      </c>
      <c r="AW241" s="8" t="b">
        <f t="shared" si="1259"/>
        <v>1</v>
      </c>
      <c r="AX241" s="8" t="str">
        <f t="shared" si="1260"/>
        <v>Qcorrecto</v>
      </c>
      <c r="AY241" s="22" t="str">
        <f t="shared" si="1240"/>
        <v>aceptable</v>
      </c>
      <c r="AZ241" s="22" t="str">
        <f t="shared" si="1241"/>
        <v>aceptable</v>
      </c>
      <c r="BA241" s="22" t="str">
        <f t="shared" si="1261"/>
        <v>aceptable</v>
      </c>
      <c r="BB241" s="25" t="str">
        <f t="shared" si="1262"/>
        <v>NO CONFORME</v>
      </c>
      <c r="BC241" s="5" t="str">
        <f t="shared" si="1263"/>
        <v>NO CONFORME</v>
      </c>
      <c r="BD241" s="15">
        <f t="shared" si="1242"/>
        <v>-1</v>
      </c>
      <c r="BE241" s="15">
        <f t="shared" si="1243"/>
        <v>-1</v>
      </c>
      <c r="BF241" s="15">
        <f t="shared" si="1244"/>
        <v>-1</v>
      </c>
      <c r="BG241" s="15" t="str">
        <f t="shared" si="1245"/>
        <v>-1-1-1</v>
      </c>
      <c r="BH241" s="15" t="str">
        <f t="shared" si="1246"/>
        <v>SD</v>
      </c>
      <c r="BI241" s="15" t="str">
        <f t="shared" si="1247"/>
        <v>SI</v>
      </c>
      <c r="BJ241" s="15" t="b">
        <f t="shared" si="1248"/>
        <v>1</v>
      </c>
      <c r="BK241" s="15" t="str">
        <f t="shared" si="1249"/>
        <v>SIGIGUALES</v>
      </c>
      <c r="BL241" s="22" t="str">
        <f t="shared" si="1250"/>
        <v>NO CONFORME</v>
      </c>
    </row>
    <row r="242" spans="1:64" ht="14.4" x14ac:dyDescent="0.3">
      <c r="A242" s="36">
        <v>234</v>
      </c>
      <c r="B242" s="28">
        <f t="shared" ref="B242:E242" si="1518">B241</f>
        <v>45903</v>
      </c>
      <c r="C242" s="28">
        <f t="shared" si="1518"/>
        <v>45903</v>
      </c>
      <c r="D242" s="12">
        <f t="shared" si="1518"/>
        <v>3</v>
      </c>
      <c r="E242" s="10">
        <f t="shared" si="1518"/>
        <v>11</v>
      </c>
      <c r="F242" s="13"/>
      <c r="G242" s="69"/>
      <c r="H242" s="70">
        <f t="shared" ref="H242:L242" si="1519">H241</f>
        <v>25.6</v>
      </c>
      <c r="I242" s="37">
        <f t="shared" si="1519"/>
        <v>0</v>
      </c>
      <c r="J242" s="35">
        <f t="shared" si="1519"/>
        <v>16</v>
      </c>
      <c r="K242" s="122">
        <f t="shared" si="1519"/>
        <v>8.1690000000000005</v>
      </c>
      <c r="L242" s="122">
        <f t="shared" si="1519"/>
        <v>0.879</v>
      </c>
      <c r="M242" s="126"/>
      <c r="N242" s="126"/>
      <c r="O242" s="32">
        <f t="shared" ref="O242:P242" si="1520">O241</f>
        <v>100.65</v>
      </c>
      <c r="P242" s="33" t="str">
        <f t="shared" si="1520"/>
        <v>2,31,180</v>
      </c>
      <c r="Q242" s="11" t="str">
        <f t="shared" si="1316"/>
        <v>2</v>
      </c>
      <c r="R242" s="11" t="str">
        <f t="shared" si="1317"/>
        <v>31,180</v>
      </c>
      <c r="S242" s="11">
        <f t="shared" si="1318"/>
        <v>4.1994444444444445E-2</v>
      </c>
      <c r="T242" s="14">
        <f t="shared" si="1319"/>
        <v>2396.7456012700095</v>
      </c>
      <c r="U242" s="38">
        <f t="shared" si="1320"/>
        <v>-100</v>
      </c>
      <c r="V242" s="39">
        <f t="shared" ref="V242:W242" si="1521">V241</f>
        <v>19.8</v>
      </c>
      <c r="W242" s="124">
        <f t="shared" si="1521"/>
        <v>1.08</v>
      </c>
      <c r="X242" s="124">
        <f t="shared" si="1472"/>
        <v>1.075</v>
      </c>
      <c r="Y242" s="126"/>
      <c r="Z242" s="126"/>
      <c r="AA242" s="90">
        <f t="shared" ref="AA242:AB242" si="1522">AA241</f>
        <v>5.0149999999999997</v>
      </c>
      <c r="AB242" s="73" t="str">
        <f t="shared" si="1522"/>
        <v>9,05,040</v>
      </c>
      <c r="AC242" s="11" t="str">
        <f t="shared" si="1323"/>
        <v>9,</v>
      </c>
      <c r="AD242" s="11" t="str">
        <f t="shared" si="1324"/>
        <v>05,040</v>
      </c>
      <c r="AE242" s="11">
        <f t="shared" si="1325"/>
        <v>0.15139999999999998</v>
      </c>
      <c r="AF242" s="14">
        <f t="shared" si="1326"/>
        <v>33.124174372523122</v>
      </c>
      <c r="AG242" s="40">
        <f t="shared" si="1327"/>
        <v>-100</v>
      </c>
      <c r="AH242" s="39">
        <f t="shared" si="1480"/>
        <v>19.600000000000001</v>
      </c>
      <c r="AI242" s="124">
        <f t="shared" si="1480"/>
        <v>1.0860000000000001</v>
      </c>
      <c r="AJ242" s="124">
        <f t="shared" si="1480"/>
        <v>1.0780000000000001</v>
      </c>
      <c r="AK242" s="126">
        <f t="shared" si="1328"/>
        <v>0</v>
      </c>
      <c r="AL242" s="126"/>
      <c r="AM242" s="34">
        <f t="shared" ref="AM242:AN242" si="1523">AM241</f>
        <v>2.0059999999999998</v>
      </c>
      <c r="AN242" s="33" t="str">
        <f t="shared" si="1523"/>
        <v>5,40,620</v>
      </c>
      <c r="AO242" s="11" t="str">
        <f t="shared" si="1330"/>
        <v>5,</v>
      </c>
      <c r="AP242" s="11" t="str">
        <f t="shared" si="1331"/>
        <v>40,620</v>
      </c>
      <c r="AQ242" s="11">
        <f t="shared" si="1332"/>
        <v>9.4616666666666668E-2</v>
      </c>
      <c r="AR242" s="14">
        <f t="shared" si="1333"/>
        <v>21.201338735247486</v>
      </c>
      <c r="AS242" s="40">
        <f t="shared" si="1334"/>
        <v>-100</v>
      </c>
      <c r="AT242" s="41" t="str">
        <f t="shared" si="1335"/>
        <v>NO CONFORME</v>
      </c>
      <c r="AU242" s="8" t="b">
        <f t="shared" si="1257"/>
        <v>1</v>
      </c>
      <c r="AV242" s="8" t="b">
        <f t="shared" si="1258"/>
        <v>0</v>
      </c>
      <c r="AW242" s="8" t="b">
        <f t="shared" si="1259"/>
        <v>1</v>
      </c>
      <c r="AX242" s="8" t="str">
        <f t="shared" si="1260"/>
        <v>Qcorrecto</v>
      </c>
      <c r="AY242" s="22" t="str">
        <f t="shared" si="1240"/>
        <v>aceptable</v>
      </c>
      <c r="AZ242" s="22" t="str">
        <f t="shared" si="1241"/>
        <v>aceptable</v>
      </c>
      <c r="BA242" s="22" t="str">
        <f t="shared" si="1261"/>
        <v>aceptable</v>
      </c>
      <c r="BB242" s="25" t="str">
        <f t="shared" si="1262"/>
        <v>NO CONFORME</v>
      </c>
      <c r="BC242" s="5" t="str">
        <f t="shared" si="1263"/>
        <v>NO CONFORME</v>
      </c>
      <c r="BD242" s="15">
        <f t="shared" si="1242"/>
        <v>-1</v>
      </c>
      <c r="BE242" s="15">
        <f t="shared" si="1243"/>
        <v>-1</v>
      </c>
      <c r="BF242" s="15">
        <f t="shared" si="1244"/>
        <v>-1</v>
      </c>
      <c r="BG242" s="15" t="str">
        <f t="shared" si="1245"/>
        <v>-1-1-1</v>
      </c>
      <c r="BH242" s="15" t="str">
        <f t="shared" si="1246"/>
        <v>SD</v>
      </c>
      <c r="BI242" s="15" t="str">
        <f t="shared" si="1247"/>
        <v>SI</v>
      </c>
      <c r="BJ242" s="15" t="b">
        <f t="shared" si="1248"/>
        <v>1</v>
      </c>
      <c r="BK242" s="15" t="str">
        <f t="shared" si="1249"/>
        <v>SIGIGUALES</v>
      </c>
      <c r="BL242" s="22" t="str">
        <f t="shared" si="1250"/>
        <v>NO CONFORME</v>
      </c>
    </row>
    <row r="243" spans="1:64" ht="14.4" x14ac:dyDescent="0.3">
      <c r="A243" s="36">
        <v>235</v>
      </c>
      <c r="B243" s="28">
        <f t="shared" ref="B243:E243" si="1524">B242</f>
        <v>45903</v>
      </c>
      <c r="C243" s="28">
        <f t="shared" si="1524"/>
        <v>45903</v>
      </c>
      <c r="D243" s="12">
        <f t="shared" si="1524"/>
        <v>3</v>
      </c>
      <c r="E243" s="10">
        <f t="shared" si="1524"/>
        <v>11</v>
      </c>
      <c r="F243" s="13"/>
      <c r="G243" s="69"/>
      <c r="H243" s="70">
        <f t="shared" ref="H243:L243" si="1525">H242</f>
        <v>25.6</v>
      </c>
      <c r="I243" s="37">
        <f t="shared" si="1525"/>
        <v>0</v>
      </c>
      <c r="J243" s="35">
        <f t="shared" si="1525"/>
        <v>16</v>
      </c>
      <c r="K243" s="122">
        <f t="shared" si="1525"/>
        <v>8.1690000000000005</v>
      </c>
      <c r="L243" s="122">
        <f t="shared" si="1525"/>
        <v>0.879</v>
      </c>
      <c r="M243" s="126"/>
      <c r="N243" s="126"/>
      <c r="O243" s="32">
        <f t="shared" ref="O243:P243" si="1526">O242</f>
        <v>100.65</v>
      </c>
      <c r="P243" s="33" t="str">
        <f t="shared" si="1526"/>
        <v>2,31,180</v>
      </c>
      <c r="Q243" s="11" t="str">
        <f t="shared" si="1316"/>
        <v>2</v>
      </c>
      <c r="R243" s="11" t="str">
        <f t="shared" si="1317"/>
        <v>31,180</v>
      </c>
      <c r="S243" s="11">
        <f t="shared" si="1318"/>
        <v>4.1994444444444445E-2</v>
      </c>
      <c r="T243" s="14">
        <f t="shared" si="1319"/>
        <v>2396.7456012700095</v>
      </c>
      <c r="U243" s="38">
        <f t="shared" si="1320"/>
        <v>-100</v>
      </c>
      <c r="V243" s="39">
        <f t="shared" ref="V243:W243" si="1527">V242</f>
        <v>19.8</v>
      </c>
      <c r="W243" s="124">
        <f t="shared" si="1527"/>
        <v>1.08</v>
      </c>
      <c r="X243" s="124">
        <f t="shared" si="1472"/>
        <v>1.075</v>
      </c>
      <c r="Y243" s="126"/>
      <c r="Z243" s="126"/>
      <c r="AA243" s="90">
        <f t="shared" ref="AA243:AB243" si="1528">AA242</f>
        <v>5.0149999999999997</v>
      </c>
      <c r="AB243" s="73" t="str">
        <f t="shared" si="1528"/>
        <v>9,05,040</v>
      </c>
      <c r="AC243" s="11" t="str">
        <f t="shared" si="1323"/>
        <v>9,</v>
      </c>
      <c r="AD243" s="11" t="str">
        <f t="shared" si="1324"/>
        <v>05,040</v>
      </c>
      <c r="AE243" s="11">
        <f t="shared" si="1325"/>
        <v>0.15139999999999998</v>
      </c>
      <c r="AF243" s="14">
        <f t="shared" si="1326"/>
        <v>33.124174372523122</v>
      </c>
      <c r="AG243" s="40">
        <f t="shared" si="1327"/>
        <v>-100</v>
      </c>
      <c r="AH243" s="39">
        <f t="shared" si="1480"/>
        <v>19.600000000000001</v>
      </c>
      <c r="AI243" s="124">
        <f t="shared" si="1480"/>
        <v>1.0860000000000001</v>
      </c>
      <c r="AJ243" s="124">
        <f t="shared" si="1480"/>
        <v>1.0780000000000001</v>
      </c>
      <c r="AK243" s="126">
        <f t="shared" si="1328"/>
        <v>0</v>
      </c>
      <c r="AL243" s="126"/>
      <c r="AM243" s="34">
        <f t="shared" ref="AM243:AN243" si="1529">AM242</f>
        <v>2.0059999999999998</v>
      </c>
      <c r="AN243" s="33" t="str">
        <f t="shared" si="1529"/>
        <v>5,40,620</v>
      </c>
      <c r="AO243" s="11" t="str">
        <f t="shared" si="1330"/>
        <v>5,</v>
      </c>
      <c r="AP243" s="11" t="str">
        <f t="shared" si="1331"/>
        <v>40,620</v>
      </c>
      <c r="AQ243" s="11">
        <f t="shared" si="1332"/>
        <v>9.4616666666666668E-2</v>
      </c>
      <c r="AR243" s="14">
        <f t="shared" si="1333"/>
        <v>21.201338735247486</v>
      </c>
      <c r="AS243" s="40">
        <f t="shared" si="1334"/>
        <v>-100</v>
      </c>
      <c r="AT243" s="41" t="str">
        <f t="shared" si="1335"/>
        <v>NO CONFORME</v>
      </c>
      <c r="AU243" s="8" t="b">
        <f t="shared" si="1257"/>
        <v>1</v>
      </c>
      <c r="AV243" s="8" t="b">
        <f t="shared" si="1258"/>
        <v>0</v>
      </c>
      <c r="AW243" s="8" t="b">
        <f t="shared" si="1259"/>
        <v>1</v>
      </c>
      <c r="AX243" s="8" t="str">
        <f t="shared" si="1260"/>
        <v>Qcorrecto</v>
      </c>
      <c r="AY243" s="22" t="str">
        <f t="shared" si="1240"/>
        <v>aceptable</v>
      </c>
      <c r="AZ243" s="22" t="str">
        <f t="shared" si="1241"/>
        <v>aceptable</v>
      </c>
      <c r="BA243" s="22" t="str">
        <f t="shared" si="1261"/>
        <v>aceptable</v>
      </c>
      <c r="BB243" s="25" t="str">
        <f t="shared" si="1262"/>
        <v>NO CONFORME</v>
      </c>
      <c r="BC243" s="5" t="str">
        <f t="shared" si="1263"/>
        <v>NO CONFORME</v>
      </c>
      <c r="BD243" s="15">
        <f t="shared" si="1242"/>
        <v>-1</v>
      </c>
      <c r="BE243" s="15">
        <f t="shared" si="1243"/>
        <v>-1</v>
      </c>
      <c r="BF243" s="15">
        <f t="shared" si="1244"/>
        <v>-1</v>
      </c>
      <c r="BG243" s="15" t="str">
        <f t="shared" si="1245"/>
        <v>-1-1-1</v>
      </c>
      <c r="BH243" s="15" t="str">
        <f t="shared" si="1246"/>
        <v>SD</v>
      </c>
      <c r="BI243" s="15" t="str">
        <f t="shared" si="1247"/>
        <v>SI</v>
      </c>
      <c r="BJ243" s="15" t="b">
        <f t="shared" si="1248"/>
        <v>1</v>
      </c>
      <c r="BK243" s="15" t="str">
        <f t="shared" si="1249"/>
        <v>SIGIGUALES</v>
      </c>
      <c r="BL243" s="22" t="str">
        <f t="shared" si="1250"/>
        <v>NO CONFORME</v>
      </c>
    </row>
    <row r="244" spans="1:64" ht="14.4" x14ac:dyDescent="0.3">
      <c r="A244" s="36">
        <v>236</v>
      </c>
      <c r="B244" s="28">
        <f t="shared" ref="B244:E244" si="1530">B243</f>
        <v>45903</v>
      </c>
      <c r="C244" s="28">
        <f t="shared" si="1530"/>
        <v>45903</v>
      </c>
      <c r="D244" s="12">
        <f t="shared" si="1530"/>
        <v>3</v>
      </c>
      <c r="E244" s="10">
        <f t="shared" si="1530"/>
        <v>11</v>
      </c>
      <c r="F244" s="13"/>
      <c r="G244" s="69"/>
      <c r="H244" s="70">
        <f t="shared" ref="H244:L244" si="1531">H243</f>
        <v>25.6</v>
      </c>
      <c r="I244" s="37">
        <f t="shared" si="1531"/>
        <v>0</v>
      </c>
      <c r="J244" s="35">
        <f t="shared" si="1531"/>
        <v>16</v>
      </c>
      <c r="K244" s="122">
        <f t="shared" si="1531"/>
        <v>8.1690000000000005</v>
      </c>
      <c r="L244" s="122">
        <f t="shared" si="1531"/>
        <v>0.879</v>
      </c>
      <c r="M244" s="126"/>
      <c r="N244" s="126"/>
      <c r="O244" s="32">
        <f t="shared" ref="O244:P244" si="1532">O243</f>
        <v>100.65</v>
      </c>
      <c r="P244" s="33" t="str">
        <f t="shared" si="1532"/>
        <v>2,31,180</v>
      </c>
      <c r="Q244" s="11" t="str">
        <f t="shared" si="1316"/>
        <v>2</v>
      </c>
      <c r="R244" s="11" t="str">
        <f t="shared" si="1317"/>
        <v>31,180</v>
      </c>
      <c r="S244" s="11">
        <f t="shared" si="1318"/>
        <v>4.1994444444444445E-2</v>
      </c>
      <c r="T244" s="14">
        <f t="shared" si="1319"/>
        <v>2396.7456012700095</v>
      </c>
      <c r="U244" s="38">
        <f t="shared" si="1320"/>
        <v>-100</v>
      </c>
      <c r="V244" s="39">
        <f t="shared" ref="V244:W244" si="1533">V243</f>
        <v>19.8</v>
      </c>
      <c r="W244" s="124">
        <f t="shared" si="1533"/>
        <v>1.08</v>
      </c>
      <c r="X244" s="124">
        <f t="shared" si="1472"/>
        <v>1.075</v>
      </c>
      <c r="Y244" s="126"/>
      <c r="Z244" s="126"/>
      <c r="AA244" s="90">
        <f t="shared" ref="AA244:AB244" si="1534">AA243</f>
        <v>5.0149999999999997</v>
      </c>
      <c r="AB244" s="73" t="str">
        <f t="shared" si="1534"/>
        <v>9,05,040</v>
      </c>
      <c r="AC244" s="11" t="str">
        <f t="shared" si="1323"/>
        <v>9,</v>
      </c>
      <c r="AD244" s="11" t="str">
        <f t="shared" si="1324"/>
        <v>05,040</v>
      </c>
      <c r="AE244" s="11">
        <f t="shared" si="1325"/>
        <v>0.15139999999999998</v>
      </c>
      <c r="AF244" s="14">
        <f t="shared" si="1326"/>
        <v>33.124174372523122</v>
      </c>
      <c r="AG244" s="40">
        <f t="shared" si="1327"/>
        <v>-100</v>
      </c>
      <c r="AH244" s="39">
        <f t="shared" si="1480"/>
        <v>19.600000000000001</v>
      </c>
      <c r="AI244" s="124">
        <f t="shared" si="1480"/>
        <v>1.0860000000000001</v>
      </c>
      <c r="AJ244" s="124">
        <f t="shared" si="1480"/>
        <v>1.0780000000000001</v>
      </c>
      <c r="AK244" s="126">
        <f t="shared" si="1328"/>
        <v>0</v>
      </c>
      <c r="AL244" s="126"/>
      <c r="AM244" s="34">
        <f t="shared" ref="AM244:AN244" si="1535">AM243</f>
        <v>2.0059999999999998</v>
      </c>
      <c r="AN244" s="33" t="str">
        <f t="shared" si="1535"/>
        <v>5,40,620</v>
      </c>
      <c r="AO244" s="11" t="str">
        <f t="shared" si="1330"/>
        <v>5,</v>
      </c>
      <c r="AP244" s="11" t="str">
        <f t="shared" si="1331"/>
        <v>40,620</v>
      </c>
      <c r="AQ244" s="11">
        <f t="shared" si="1332"/>
        <v>9.4616666666666668E-2</v>
      </c>
      <c r="AR244" s="14">
        <f t="shared" si="1333"/>
        <v>21.201338735247486</v>
      </c>
      <c r="AS244" s="40">
        <f t="shared" si="1334"/>
        <v>-100</v>
      </c>
      <c r="AT244" s="41" t="str">
        <f t="shared" si="1335"/>
        <v>NO CONFORME</v>
      </c>
      <c r="AU244" s="8" t="b">
        <f t="shared" si="1257"/>
        <v>1</v>
      </c>
      <c r="AV244" s="8" t="b">
        <f t="shared" si="1258"/>
        <v>0</v>
      </c>
      <c r="AW244" s="8" t="b">
        <f t="shared" si="1259"/>
        <v>1</v>
      </c>
      <c r="AX244" s="8" t="str">
        <f t="shared" si="1260"/>
        <v>Qcorrecto</v>
      </c>
      <c r="AY244" s="22" t="str">
        <f t="shared" si="1240"/>
        <v>aceptable</v>
      </c>
      <c r="AZ244" s="22" t="str">
        <f t="shared" si="1241"/>
        <v>aceptable</v>
      </c>
      <c r="BA244" s="22" t="str">
        <f t="shared" si="1261"/>
        <v>aceptable</v>
      </c>
      <c r="BB244" s="25" t="str">
        <f t="shared" si="1262"/>
        <v>NO CONFORME</v>
      </c>
      <c r="BC244" s="5" t="str">
        <f t="shared" si="1263"/>
        <v>NO CONFORME</v>
      </c>
      <c r="BD244" s="15">
        <f t="shared" si="1242"/>
        <v>-1</v>
      </c>
      <c r="BE244" s="15">
        <f t="shared" si="1243"/>
        <v>-1</v>
      </c>
      <c r="BF244" s="15">
        <f t="shared" si="1244"/>
        <v>-1</v>
      </c>
      <c r="BG244" s="15" t="str">
        <f t="shared" si="1245"/>
        <v>-1-1-1</v>
      </c>
      <c r="BH244" s="15" t="str">
        <f t="shared" si="1246"/>
        <v>SD</v>
      </c>
      <c r="BI244" s="15" t="str">
        <f t="shared" si="1247"/>
        <v>SI</v>
      </c>
      <c r="BJ244" s="15" t="b">
        <f t="shared" si="1248"/>
        <v>1</v>
      </c>
      <c r="BK244" s="15" t="str">
        <f t="shared" si="1249"/>
        <v>SIGIGUALES</v>
      </c>
      <c r="BL244" s="22" t="str">
        <f t="shared" si="1250"/>
        <v>NO CONFORME</v>
      </c>
    </row>
    <row r="245" spans="1:64" ht="14.4" x14ac:dyDescent="0.3">
      <c r="A245" s="36">
        <v>237</v>
      </c>
      <c r="B245" s="28">
        <f t="shared" ref="B245:E245" si="1536">B244</f>
        <v>45903</v>
      </c>
      <c r="C245" s="28">
        <f t="shared" si="1536"/>
        <v>45903</v>
      </c>
      <c r="D245" s="12">
        <f t="shared" si="1536"/>
        <v>3</v>
      </c>
      <c r="E245" s="10">
        <f t="shared" si="1536"/>
        <v>11</v>
      </c>
      <c r="F245" s="13"/>
      <c r="G245" s="69"/>
      <c r="H245" s="70">
        <f t="shared" ref="H245:L245" si="1537">H244</f>
        <v>25.6</v>
      </c>
      <c r="I245" s="37">
        <f t="shared" si="1537"/>
        <v>0</v>
      </c>
      <c r="J245" s="35">
        <f t="shared" si="1537"/>
        <v>16</v>
      </c>
      <c r="K245" s="122">
        <f t="shared" si="1537"/>
        <v>8.1690000000000005</v>
      </c>
      <c r="L245" s="122">
        <f t="shared" si="1537"/>
        <v>0.879</v>
      </c>
      <c r="M245" s="126"/>
      <c r="N245" s="126"/>
      <c r="O245" s="32">
        <f t="shared" ref="O245:P245" si="1538">O244</f>
        <v>100.65</v>
      </c>
      <c r="P245" s="33" t="str">
        <f t="shared" si="1538"/>
        <v>2,31,180</v>
      </c>
      <c r="Q245" s="11" t="str">
        <f t="shared" si="1316"/>
        <v>2</v>
      </c>
      <c r="R245" s="11" t="str">
        <f t="shared" si="1317"/>
        <v>31,180</v>
      </c>
      <c r="S245" s="11">
        <f t="shared" si="1318"/>
        <v>4.1994444444444445E-2</v>
      </c>
      <c r="T245" s="14">
        <f t="shared" si="1319"/>
        <v>2396.7456012700095</v>
      </c>
      <c r="U245" s="38">
        <f t="shared" si="1320"/>
        <v>-100</v>
      </c>
      <c r="V245" s="39">
        <f t="shared" ref="V245:W245" si="1539">V244</f>
        <v>19.8</v>
      </c>
      <c r="W245" s="124">
        <f t="shared" si="1539"/>
        <v>1.08</v>
      </c>
      <c r="X245" s="124">
        <f t="shared" si="1472"/>
        <v>1.075</v>
      </c>
      <c r="Y245" s="126"/>
      <c r="Z245" s="126"/>
      <c r="AA245" s="90">
        <f t="shared" ref="AA245:AB245" si="1540">AA244</f>
        <v>5.0149999999999997</v>
      </c>
      <c r="AB245" s="73" t="str">
        <f t="shared" si="1540"/>
        <v>9,05,040</v>
      </c>
      <c r="AC245" s="11" t="str">
        <f t="shared" si="1323"/>
        <v>9,</v>
      </c>
      <c r="AD245" s="11" t="str">
        <f t="shared" si="1324"/>
        <v>05,040</v>
      </c>
      <c r="AE245" s="11">
        <f t="shared" si="1325"/>
        <v>0.15139999999999998</v>
      </c>
      <c r="AF245" s="14">
        <f t="shared" si="1326"/>
        <v>33.124174372523122</v>
      </c>
      <c r="AG245" s="40">
        <f t="shared" si="1327"/>
        <v>-100</v>
      </c>
      <c r="AH245" s="39">
        <f t="shared" si="1480"/>
        <v>19.600000000000001</v>
      </c>
      <c r="AI245" s="124">
        <f t="shared" si="1480"/>
        <v>1.0860000000000001</v>
      </c>
      <c r="AJ245" s="124">
        <f t="shared" si="1480"/>
        <v>1.0780000000000001</v>
      </c>
      <c r="AK245" s="126">
        <f t="shared" si="1328"/>
        <v>0</v>
      </c>
      <c r="AL245" s="126"/>
      <c r="AM245" s="34">
        <f t="shared" ref="AM245:AN245" si="1541">AM244</f>
        <v>2.0059999999999998</v>
      </c>
      <c r="AN245" s="33" t="str">
        <f t="shared" si="1541"/>
        <v>5,40,620</v>
      </c>
      <c r="AO245" s="11" t="str">
        <f t="shared" si="1330"/>
        <v>5,</v>
      </c>
      <c r="AP245" s="11" t="str">
        <f t="shared" si="1331"/>
        <v>40,620</v>
      </c>
      <c r="AQ245" s="11">
        <f t="shared" si="1332"/>
        <v>9.4616666666666668E-2</v>
      </c>
      <c r="AR245" s="14">
        <f t="shared" si="1333"/>
        <v>21.201338735247486</v>
      </c>
      <c r="AS245" s="40">
        <f t="shared" si="1334"/>
        <v>-100</v>
      </c>
      <c r="AT245" s="41" t="str">
        <f t="shared" si="1335"/>
        <v>NO CONFORME</v>
      </c>
      <c r="AU245" s="8" t="b">
        <f t="shared" si="1257"/>
        <v>1</v>
      </c>
      <c r="AV245" s="8" t="b">
        <f t="shared" si="1258"/>
        <v>0</v>
      </c>
      <c r="AW245" s="8" t="b">
        <f t="shared" si="1259"/>
        <v>1</v>
      </c>
      <c r="AX245" s="8" t="str">
        <f t="shared" si="1260"/>
        <v>Qcorrecto</v>
      </c>
      <c r="AY245" s="22" t="str">
        <f t="shared" si="1240"/>
        <v>aceptable</v>
      </c>
      <c r="AZ245" s="22" t="str">
        <f t="shared" si="1241"/>
        <v>aceptable</v>
      </c>
      <c r="BA245" s="22" t="str">
        <f t="shared" si="1261"/>
        <v>aceptable</v>
      </c>
      <c r="BB245" s="25" t="str">
        <f t="shared" si="1262"/>
        <v>NO CONFORME</v>
      </c>
      <c r="BC245" s="5" t="str">
        <f t="shared" si="1263"/>
        <v>NO CONFORME</v>
      </c>
      <c r="BD245" s="15">
        <f t="shared" si="1242"/>
        <v>-1</v>
      </c>
      <c r="BE245" s="15">
        <f t="shared" si="1243"/>
        <v>-1</v>
      </c>
      <c r="BF245" s="15">
        <f t="shared" si="1244"/>
        <v>-1</v>
      </c>
      <c r="BG245" s="15" t="str">
        <f t="shared" si="1245"/>
        <v>-1-1-1</v>
      </c>
      <c r="BH245" s="15" t="str">
        <f t="shared" si="1246"/>
        <v>SD</v>
      </c>
      <c r="BI245" s="15" t="str">
        <f t="shared" si="1247"/>
        <v>SI</v>
      </c>
      <c r="BJ245" s="15" t="b">
        <f t="shared" si="1248"/>
        <v>1</v>
      </c>
      <c r="BK245" s="15" t="str">
        <f t="shared" si="1249"/>
        <v>SIGIGUALES</v>
      </c>
      <c r="BL245" s="22" t="str">
        <f t="shared" si="1250"/>
        <v>NO CONFORME</v>
      </c>
    </row>
    <row r="246" spans="1:64" ht="14.4" x14ac:dyDescent="0.3">
      <c r="A246" s="36">
        <v>238</v>
      </c>
      <c r="B246" s="28">
        <f t="shared" ref="B246:E246" si="1542">B245</f>
        <v>45903</v>
      </c>
      <c r="C246" s="28">
        <f t="shared" si="1542"/>
        <v>45903</v>
      </c>
      <c r="D246" s="12">
        <f t="shared" si="1542"/>
        <v>3</v>
      </c>
      <c r="E246" s="10">
        <f t="shared" si="1542"/>
        <v>11</v>
      </c>
      <c r="F246" s="13"/>
      <c r="G246" s="69"/>
      <c r="H246" s="70">
        <f t="shared" ref="H246:L246" si="1543">H245</f>
        <v>25.6</v>
      </c>
      <c r="I246" s="37">
        <f t="shared" si="1543"/>
        <v>0</v>
      </c>
      <c r="J246" s="35">
        <f t="shared" si="1543"/>
        <v>16</v>
      </c>
      <c r="K246" s="122">
        <f t="shared" si="1543"/>
        <v>8.1690000000000005</v>
      </c>
      <c r="L246" s="122">
        <f t="shared" si="1543"/>
        <v>0.879</v>
      </c>
      <c r="M246" s="126"/>
      <c r="N246" s="126"/>
      <c r="O246" s="32">
        <f t="shared" ref="O246:P246" si="1544">O245</f>
        <v>100.65</v>
      </c>
      <c r="P246" s="33" t="str">
        <f t="shared" si="1544"/>
        <v>2,31,180</v>
      </c>
      <c r="Q246" s="11" t="str">
        <f t="shared" si="1316"/>
        <v>2</v>
      </c>
      <c r="R246" s="11" t="str">
        <f t="shared" si="1317"/>
        <v>31,180</v>
      </c>
      <c r="S246" s="11">
        <f t="shared" si="1318"/>
        <v>4.1994444444444445E-2</v>
      </c>
      <c r="T246" s="14">
        <f t="shared" si="1319"/>
        <v>2396.7456012700095</v>
      </c>
      <c r="U246" s="38">
        <f t="shared" si="1320"/>
        <v>-100</v>
      </c>
      <c r="V246" s="39">
        <f t="shared" ref="V246:W246" si="1545">V245</f>
        <v>19.8</v>
      </c>
      <c r="W246" s="124">
        <f t="shared" si="1545"/>
        <v>1.08</v>
      </c>
      <c r="X246" s="124">
        <f t="shared" si="1472"/>
        <v>1.075</v>
      </c>
      <c r="Y246" s="126"/>
      <c r="Z246" s="126"/>
      <c r="AA246" s="90">
        <f t="shared" ref="AA246:AB246" si="1546">AA245</f>
        <v>5.0149999999999997</v>
      </c>
      <c r="AB246" s="73" t="str">
        <f t="shared" si="1546"/>
        <v>9,05,040</v>
      </c>
      <c r="AC246" s="11" t="str">
        <f t="shared" si="1323"/>
        <v>9,</v>
      </c>
      <c r="AD246" s="11" t="str">
        <f t="shared" si="1324"/>
        <v>05,040</v>
      </c>
      <c r="AE246" s="11">
        <f t="shared" si="1325"/>
        <v>0.15139999999999998</v>
      </c>
      <c r="AF246" s="14">
        <f t="shared" si="1326"/>
        <v>33.124174372523122</v>
      </c>
      <c r="AG246" s="40">
        <f t="shared" si="1327"/>
        <v>-100</v>
      </c>
      <c r="AH246" s="39">
        <f t="shared" si="1480"/>
        <v>19.600000000000001</v>
      </c>
      <c r="AI246" s="124">
        <f t="shared" si="1480"/>
        <v>1.0860000000000001</v>
      </c>
      <c r="AJ246" s="124">
        <f t="shared" si="1480"/>
        <v>1.0780000000000001</v>
      </c>
      <c r="AK246" s="126">
        <f t="shared" si="1328"/>
        <v>0</v>
      </c>
      <c r="AL246" s="126"/>
      <c r="AM246" s="34">
        <f t="shared" ref="AM246:AN246" si="1547">AM245</f>
        <v>2.0059999999999998</v>
      </c>
      <c r="AN246" s="33" t="str">
        <f t="shared" si="1547"/>
        <v>5,40,620</v>
      </c>
      <c r="AO246" s="11" t="str">
        <f t="shared" si="1330"/>
        <v>5,</v>
      </c>
      <c r="AP246" s="11" t="str">
        <f t="shared" si="1331"/>
        <v>40,620</v>
      </c>
      <c r="AQ246" s="11">
        <f t="shared" si="1332"/>
        <v>9.4616666666666668E-2</v>
      </c>
      <c r="AR246" s="14">
        <f t="shared" si="1333"/>
        <v>21.201338735247486</v>
      </c>
      <c r="AS246" s="40">
        <f t="shared" si="1334"/>
        <v>-100</v>
      </c>
      <c r="AT246" s="41" t="str">
        <f t="shared" si="1335"/>
        <v>NO CONFORME</v>
      </c>
      <c r="AU246" s="8" t="b">
        <f t="shared" si="1257"/>
        <v>1</v>
      </c>
      <c r="AV246" s="8" t="b">
        <f t="shared" si="1258"/>
        <v>0</v>
      </c>
      <c r="AW246" s="8" t="b">
        <f t="shared" si="1259"/>
        <v>1</v>
      </c>
      <c r="AX246" s="8" t="str">
        <f t="shared" si="1260"/>
        <v>Qcorrecto</v>
      </c>
      <c r="AY246" s="22" t="str">
        <f t="shared" si="1240"/>
        <v>aceptable</v>
      </c>
      <c r="AZ246" s="22" t="str">
        <f t="shared" si="1241"/>
        <v>aceptable</v>
      </c>
      <c r="BA246" s="22" t="str">
        <f t="shared" si="1261"/>
        <v>aceptable</v>
      </c>
      <c r="BB246" s="25" t="str">
        <f t="shared" si="1262"/>
        <v>NO CONFORME</v>
      </c>
      <c r="BC246" s="5" t="str">
        <f t="shared" si="1263"/>
        <v>NO CONFORME</v>
      </c>
      <c r="BD246" s="15">
        <f t="shared" si="1242"/>
        <v>-1</v>
      </c>
      <c r="BE246" s="15">
        <f t="shared" si="1243"/>
        <v>-1</v>
      </c>
      <c r="BF246" s="15">
        <f t="shared" si="1244"/>
        <v>-1</v>
      </c>
      <c r="BG246" s="15" t="str">
        <f t="shared" si="1245"/>
        <v>-1-1-1</v>
      </c>
      <c r="BH246" s="15" t="str">
        <f t="shared" si="1246"/>
        <v>SD</v>
      </c>
      <c r="BI246" s="15" t="str">
        <f t="shared" si="1247"/>
        <v>SI</v>
      </c>
      <c r="BJ246" s="15" t="b">
        <f t="shared" si="1248"/>
        <v>1</v>
      </c>
      <c r="BK246" s="15" t="str">
        <f t="shared" si="1249"/>
        <v>SIGIGUALES</v>
      </c>
      <c r="BL246" s="22" t="str">
        <f t="shared" si="1250"/>
        <v>NO CONFORME</v>
      </c>
    </row>
    <row r="247" spans="1:64" ht="14.4" x14ac:dyDescent="0.3">
      <c r="A247" s="36">
        <v>239</v>
      </c>
      <c r="B247" s="28">
        <f t="shared" ref="B247:E247" si="1548">B246</f>
        <v>45903</v>
      </c>
      <c r="C247" s="28">
        <f t="shared" si="1548"/>
        <v>45903</v>
      </c>
      <c r="D247" s="12">
        <f t="shared" si="1548"/>
        <v>3</v>
      </c>
      <c r="E247" s="10">
        <f t="shared" si="1548"/>
        <v>11</v>
      </c>
      <c r="F247" s="13"/>
      <c r="G247" s="69"/>
      <c r="H247" s="70">
        <f t="shared" ref="H247:L247" si="1549">H246</f>
        <v>25.6</v>
      </c>
      <c r="I247" s="37">
        <f t="shared" si="1549"/>
        <v>0</v>
      </c>
      <c r="J247" s="35">
        <f t="shared" si="1549"/>
        <v>16</v>
      </c>
      <c r="K247" s="122">
        <f t="shared" si="1549"/>
        <v>8.1690000000000005</v>
      </c>
      <c r="L247" s="122">
        <f t="shared" si="1549"/>
        <v>0.879</v>
      </c>
      <c r="M247" s="126"/>
      <c r="N247" s="126"/>
      <c r="O247" s="32">
        <f t="shared" ref="O247:P247" si="1550">O246</f>
        <v>100.65</v>
      </c>
      <c r="P247" s="33" t="str">
        <f t="shared" si="1550"/>
        <v>2,31,180</v>
      </c>
      <c r="Q247" s="11" t="str">
        <f t="shared" si="1316"/>
        <v>2</v>
      </c>
      <c r="R247" s="11" t="str">
        <f t="shared" si="1317"/>
        <v>31,180</v>
      </c>
      <c r="S247" s="11">
        <f t="shared" si="1318"/>
        <v>4.1994444444444445E-2</v>
      </c>
      <c r="T247" s="14">
        <f t="shared" si="1319"/>
        <v>2396.7456012700095</v>
      </c>
      <c r="U247" s="38">
        <f t="shared" si="1320"/>
        <v>-100</v>
      </c>
      <c r="V247" s="39">
        <f t="shared" ref="V247:W247" si="1551">V246</f>
        <v>19.8</v>
      </c>
      <c r="W247" s="124">
        <f t="shared" si="1551"/>
        <v>1.08</v>
      </c>
      <c r="X247" s="124">
        <f t="shared" si="1472"/>
        <v>1.075</v>
      </c>
      <c r="Y247" s="126"/>
      <c r="Z247" s="126"/>
      <c r="AA247" s="90">
        <f t="shared" ref="AA247:AB247" si="1552">AA246</f>
        <v>5.0149999999999997</v>
      </c>
      <c r="AB247" s="73" t="str">
        <f t="shared" si="1552"/>
        <v>9,05,040</v>
      </c>
      <c r="AC247" s="11" t="str">
        <f t="shared" si="1323"/>
        <v>9,</v>
      </c>
      <c r="AD247" s="11" t="str">
        <f t="shared" si="1324"/>
        <v>05,040</v>
      </c>
      <c r="AE247" s="11">
        <f t="shared" si="1325"/>
        <v>0.15139999999999998</v>
      </c>
      <c r="AF247" s="14">
        <f t="shared" si="1326"/>
        <v>33.124174372523122</v>
      </c>
      <c r="AG247" s="40">
        <f t="shared" si="1327"/>
        <v>-100</v>
      </c>
      <c r="AH247" s="39">
        <f t="shared" si="1480"/>
        <v>19.600000000000001</v>
      </c>
      <c r="AI247" s="124">
        <f t="shared" si="1480"/>
        <v>1.0860000000000001</v>
      </c>
      <c r="AJ247" s="124">
        <f t="shared" si="1480"/>
        <v>1.0780000000000001</v>
      </c>
      <c r="AK247" s="126">
        <f t="shared" si="1328"/>
        <v>0</v>
      </c>
      <c r="AL247" s="126"/>
      <c r="AM247" s="34">
        <f t="shared" ref="AM247:AN247" si="1553">AM246</f>
        <v>2.0059999999999998</v>
      </c>
      <c r="AN247" s="33" t="str">
        <f t="shared" si="1553"/>
        <v>5,40,620</v>
      </c>
      <c r="AO247" s="11" t="str">
        <f t="shared" si="1330"/>
        <v>5,</v>
      </c>
      <c r="AP247" s="11" t="str">
        <f t="shared" si="1331"/>
        <v>40,620</v>
      </c>
      <c r="AQ247" s="11">
        <f t="shared" si="1332"/>
        <v>9.4616666666666668E-2</v>
      </c>
      <c r="AR247" s="14">
        <f t="shared" si="1333"/>
        <v>21.201338735247486</v>
      </c>
      <c r="AS247" s="40">
        <f t="shared" si="1334"/>
        <v>-100</v>
      </c>
      <c r="AT247" s="41" t="str">
        <f t="shared" si="1335"/>
        <v>NO CONFORME</v>
      </c>
      <c r="AU247" s="8" t="b">
        <f t="shared" si="1257"/>
        <v>1</v>
      </c>
      <c r="AV247" s="8" t="b">
        <f t="shared" si="1258"/>
        <v>0</v>
      </c>
      <c r="AW247" s="8" t="b">
        <f t="shared" si="1259"/>
        <v>1</v>
      </c>
      <c r="AX247" s="8" t="str">
        <f t="shared" si="1260"/>
        <v>Qcorrecto</v>
      </c>
      <c r="AY247" s="22" t="str">
        <f t="shared" si="1240"/>
        <v>aceptable</v>
      </c>
      <c r="AZ247" s="22" t="str">
        <f t="shared" si="1241"/>
        <v>aceptable</v>
      </c>
      <c r="BA247" s="22" t="str">
        <f t="shared" si="1261"/>
        <v>aceptable</v>
      </c>
      <c r="BB247" s="25" t="str">
        <f t="shared" si="1262"/>
        <v>NO CONFORME</v>
      </c>
      <c r="BC247" s="5" t="str">
        <f t="shared" si="1263"/>
        <v>NO CONFORME</v>
      </c>
      <c r="BD247" s="15">
        <f t="shared" si="1242"/>
        <v>-1</v>
      </c>
      <c r="BE247" s="15">
        <f t="shared" si="1243"/>
        <v>-1</v>
      </c>
      <c r="BF247" s="15">
        <f t="shared" si="1244"/>
        <v>-1</v>
      </c>
      <c r="BG247" s="15" t="str">
        <f t="shared" si="1245"/>
        <v>-1-1-1</v>
      </c>
      <c r="BH247" s="15" t="str">
        <f t="shared" si="1246"/>
        <v>SD</v>
      </c>
      <c r="BI247" s="15" t="str">
        <f t="shared" si="1247"/>
        <v>SI</v>
      </c>
      <c r="BJ247" s="15" t="b">
        <f t="shared" si="1248"/>
        <v>1</v>
      </c>
      <c r="BK247" s="15" t="str">
        <f t="shared" si="1249"/>
        <v>SIGIGUALES</v>
      </c>
      <c r="BL247" s="22" t="str">
        <f t="shared" si="1250"/>
        <v>NO CONFORME</v>
      </c>
    </row>
    <row r="248" spans="1:64" ht="14.4" x14ac:dyDescent="0.3">
      <c r="A248" s="36">
        <v>240</v>
      </c>
      <c r="B248" s="28">
        <f t="shared" ref="B248:E248" si="1554">B247</f>
        <v>45903</v>
      </c>
      <c r="C248" s="28">
        <f t="shared" si="1554"/>
        <v>45903</v>
      </c>
      <c r="D248" s="12">
        <f t="shared" si="1554"/>
        <v>3</v>
      </c>
      <c r="E248" s="10">
        <f t="shared" si="1554"/>
        <v>11</v>
      </c>
      <c r="F248" s="13"/>
      <c r="G248" s="69"/>
      <c r="H248" s="70">
        <f t="shared" ref="H248:L248" si="1555">H247</f>
        <v>25.6</v>
      </c>
      <c r="I248" s="37">
        <f t="shared" si="1555"/>
        <v>0</v>
      </c>
      <c r="J248" s="35">
        <f t="shared" si="1555"/>
        <v>16</v>
      </c>
      <c r="K248" s="122">
        <f t="shared" si="1555"/>
        <v>8.1690000000000005</v>
      </c>
      <c r="L248" s="122">
        <f t="shared" si="1555"/>
        <v>0.879</v>
      </c>
      <c r="M248" s="126"/>
      <c r="N248" s="126"/>
      <c r="O248" s="32">
        <f t="shared" ref="O248:P248" si="1556">O247</f>
        <v>100.65</v>
      </c>
      <c r="P248" s="33" t="str">
        <f t="shared" si="1556"/>
        <v>2,31,180</v>
      </c>
      <c r="Q248" s="11" t="str">
        <f t="shared" si="1316"/>
        <v>2</v>
      </c>
      <c r="R248" s="11" t="str">
        <f t="shared" si="1317"/>
        <v>31,180</v>
      </c>
      <c r="S248" s="11">
        <f t="shared" si="1318"/>
        <v>4.1994444444444445E-2</v>
      </c>
      <c r="T248" s="14">
        <f t="shared" si="1319"/>
        <v>2396.7456012700095</v>
      </c>
      <c r="U248" s="38">
        <f t="shared" si="1320"/>
        <v>-100</v>
      </c>
      <c r="V248" s="39">
        <f t="shared" ref="V248:W248" si="1557">V247</f>
        <v>19.8</v>
      </c>
      <c r="W248" s="124">
        <f t="shared" si="1557"/>
        <v>1.08</v>
      </c>
      <c r="X248" s="124">
        <f t="shared" si="1472"/>
        <v>1.075</v>
      </c>
      <c r="Y248" s="126"/>
      <c r="Z248" s="126"/>
      <c r="AA248" s="90">
        <f t="shared" ref="AA248:AB248" si="1558">AA247</f>
        <v>5.0149999999999997</v>
      </c>
      <c r="AB248" s="73" t="str">
        <f t="shared" si="1558"/>
        <v>9,05,040</v>
      </c>
      <c r="AC248" s="11" t="str">
        <f t="shared" si="1323"/>
        <v>9,</v>
      </c>
      <c r="AD248" s="11" t="str">
        <f t="shared" si="1324"/>
        <v>05,040</v>
      </c>
      <c r="AE248" s="11">
        <f t="shared" si="1325"/>
        <v>0.15139999999999998</v>
      </c>
      <c r="AF248" s="14">
        <f t="shared" si="1326"/>
        <v>33.124174372523122</v>
      </c>
      <c r="AG248" s="40">
        <f t="shared" si="1327"/>
        <v>-100</v>
      </c>
      <c r="AH248" s="39">
        <f t="shared" si="1480"/>
        <v>19.600000000000001</v>
      </c>
      <c r="AI248" s="124">
        <f t="shared" si="1480"/>
        <v>1.0860000000000001</v>
      </c>
      <c r="AJ248" s="124">
        <f t="shared" si="1480"/>
        <v>1.0780000000000001</v>
      </c>
      <c r="AK248" s="126">
        <f t="shared" si="1328"/>
        <v>0</v>
      </c>
      <c r="AL248" s="126"/>
      <c r="AM248" s="34">
        <f t="shared" ref="AM248:AN248" si="1559">AM247</f>
        <v>2.0059999999999998</v>
      </c>
      <c r="AN248" s="33" t="str">
        <f t="shared" si="1559"/>
        <v>5,40,620</v>
      </c>
      <c r="AO248" s="11" t="str">
        <f t="shared" si="1330"/>
        <v>5,</v>
      </c>
      <c r="AP248" s="11" t="str">
        <f t="shared" si="1331"/>
        <v>40,620</v>
      </c>
      <c r="AQ248" s="11">
        <f t="shared" si="1332"/>
        <v>9.4616666666666668E-2</v>
      </c>
      <c r="AR248" s="14">
        <f t="shared" si="1333"/>
        <v>21.201338735247486</v>
      </c>
      <c r="AS248" s="40">
        <f t="shared" si="1334"/>
        <v>-100</v>
      </c>
      <c r="AT248" s="41" t="str">
        <f t="shared" si="1335"/>
        <v>NO CONFORME</v>
      </c>
      <c r="AU248" s="8" t="b">
        <f t="shared" si="1257"/>
        <v>1</v>
      </c>
      <c r="AV248" s="8" t="b">
        <f t="shared" si="1258"/>
        <v>0</v>
      </c>
      <c r="AW248" s="8" t="b">
        <f t="shared" si="1259"/>
        <v>1</v>
      </c>
      <c r="AX248" s="8" t="str">
        <f t="shared" si="1260"/>
        <v>Qcorrecto</v>
      </c>
      <c r="AY248" s="22" t="str">
        <f t="shared" si="1240"/>
        <v>aceptable</v>
      </c>
      <c r="AZ248" s="22" t="str">
        <f t="shared" si="1241"/>
        <v>aceptable</v>
      </c>
      <c r="BA248" s="22" t="str">
        <f t="shared" si="1261"/>
        <v>aceptable</v>
      </c>
      <c r="BB248" s="25" t="str">
        <f t="shared" si="1262"/>
        <v>NO CONFORME</v>
      </c>
      <c r="BC248" s="5" t="str">
        <f t="shared" si="1263"/>
        <v>NO CONFORME</v>
      </c>
      <c r="BD248" s="15">
        <f t="shared" si="1242"/>
        <v>-1</v>
      </c>
      <c r="BE248" s="15">
        <f t="shared" si="1243"/>
        <v>-1</v>
      </c>
      <c r="BF248" s="15">
        <f t="shared" si="1244"/>
        <v>-1</v>
      </c>
      <c r="BG248" s="15" t="str">
        <f t="shared" si="1245"/>
        <v>-1-1-1</v>
      </c>
      <c r="BH248" s="15" t="str">
        <f t="shared" si="1246"/>
        <v>SD</v>
      </c>
      <c r="BI248" s="15" t="str">
        <f t="shared" si="1247"/>
        <v>SI</v>
      </c>
      <c r="BJ248" s="15" t="b">
        <f t="shared" si="1248"/>
        <v>1</v>
      </c>
      <c r="BK248" s="15" t="str">
        <f t="shared" si="1249"/>
        <v>SIGIGUALES</v>
      </c>
      <c r="BL248" s="22" t="str">
        <f t="shared" si="1250"/>
        <v>NO CONFORME</v>
      </c>
    </row>
    <row r="249" spans="1:64" ht="14.4" x14ac:dyDescent="0.3">
      <c r="A249" s="36">
        <v>241</v>
      </c>
      <c r="B249" s="28">
        <f t="shared" ref="B249:E249" si="1560">B248</f>
        <v>45903</v>
      </c>
      <c r="C249" s="28">
        <f t="shared" si="1560"/>
        <v>45903</v>
      </c>
      <c r="D249" s="12">
        <f t="shared" si="1560"/>
        <v>3</v>
      </c>
      <c r="E249" s="10">
        <f t="shared" si="1560"/>
        <v>11</v>
      </c>
      <c r="F249" s="13"/>
      <c r="G249" s="69"/>
      <c r="H249" s="70">
        <f t="shared" ref="H249:L249" si="1561">H248</f>
        <v>25.6</v>
      </c>
      <c r="I249" s="37">
        <f t="shared" si="1561"/>
        <v>0</v>
      </c>
      <c r="J249" s="35">
        <f t="shared" si="1561"/>
        <v>16</v>
      </c>
      <c r="K249" s="122">
        <f t="shared" si="1561"/>
        <v>8.1690000000000005</v>
      </c>
      <c r="L249" s="122">
        <f t="shared" si="1561"/>
        <v>0.879</v>
      </c>
      <c r="M249" s="126"/>
      <c r="N249" s="126"/>
      <c r="O249" s="32">
        <f t="shared" ref="O249:P249" si="1562">O248</f>
        <v>100.65</v>
      </c>
      <c r="P249" s="33" t="str">
        <f t="shared" si="1562"/>
        <v>2,31,180</v>
      </c>
      <c r="Q249" s="11" t="str">
        <f t="shared" si="1316"/>
        <v>2</v>
      </c>
      <c r="R249" s="11" t="str">
        <f t="shared" si="1317"/>
        <v>31,180</v>
      </c>
      <c r="S249" s="11">
        <f t="shared" si="1318"/>
        <v>4.1994444444444445E-2</v>
      </c>
      <c r="T249" s="14">
        <f t="shared" si="1319"/>
        <v>2396.7456012700095</v>
      </c>
      <c r="U249" s="38">
        <f t="shared" si="1320"/>
        <v>-100</v>
      </c>
      <c r="V249" s="39">
        <f t="shared" ref="V249:W249" si="1563">V248</f>
        <v>19.8</v>
      </c>
      <c r="W249" s="124">
        <f t="shared" si="1563"/>
        <v>1.08</v>
      </c>
      <c r="X249" s="124">
        <f t="shared" si="1472"/>
        <v>1.075</v>
      </c>
      <c r="Y249" s="126"/>
      <c r="Z249" s="126"/>
      <c r="AA249" s="90">
        <f t="shared" ref="AA249:AB249" si="1564">AA248</f>
        <v>5.0149999999999997</v>
      </c>
      <c r="AB249" s="73" t="str">
        <f t="shared" si="1564"/>
        <v>9,05,040</v>
      </c>
      <c r="AC249" s="11" t="str">
        <f t="shared" si="1323"/>
        <v>9,</v>
      </c>
      <c r="AD249" s="11" t="str">
        <f t="shared" si="1324"/>
        <v>05,040</v>
      </c>
      <c r="AE249" s="11">
        <f t="shared" si="1325"/>
        <v>0.15139999999999998</v>
      </c>
      <c r="AF249" s="14">
        <f t="shared" si="1326"/>
        <v>33.124174372523122</v>
      </c>
      <c r="AG249" s="40">
        <f t="shared" si="1327"/>
        <v>-100</v>
      </c>
      <c r="AH249" s="39">
        <f t="shared" si="1480"/>
        <v>19.600000000000001</v>
      </c>
      <c r="AI249" s="124">
        <f t="shared" si="1480"/>
        <v>1.0860000000000001</v>
      </c>
      <c r="AJ249" s="124">
        <f t="shared" si="1480"/>
        <v>1.0780000000000001</v>
      </c>
      <c r="AK249" s="126">
        <f t="shared" si="1328"/>
        <v>0</v>
      </c>
      <c r="AL249" s="126"/>
      <c r="AM249" s="34">
        <f t="shared" ref="AM249:AN249" si="1565">AM248</f>
        <v>2.0059999999999998</v>
      </c>
      <c r="AN249" s="33" t="str">
        <f t="shared" si="1565"/>
        <v>5,40,620</v>
      </c>
      <c r="AO249" s="11" t="str">
        <f t="shared" si="1330"/>
        <v>5,</v>
      </c>
      <c r="AP249" s="11" t="str">
        <f t="shared" si="1331"/>
        <v>40,620</v>
      </c>
      <c r="AQ249" s="11">
        <f t="shared" si="1332"/>
        <v>9.4616666666666668E-2</v>
      </c>
      <c r="AR249" s="14">
        <f t="shared" si="1333"/>
        <v>21.201338735247486</v>
      </c>
      <c r="AS249" s="40">
        <f t="shared" si="1334"/>
        <v>-100</v>
      </c>
      <c r="AT249" s="41" t="str">
        <f t="shared" si="1335"/>
        <v>NO CONFORME</v>
      </c>
      <c r="AU249" s="8" t="b">
        <f t="shared" si="1257"/>
        <v>1</v>
      </c>
      <c r="AV249" s="8" t="b">
        <f t="shared" si="1258"/>
        <v>0</v>
      </c>
      <c r="AW249" s="8" t="b">
        <f t="shared" si="1259"/>
        <v>1</v>
      </c>
      <c r="AX249" s="8" t="str">
        <f t="shared" si="1260"/>
        <v>Qcorrecto</v>
      </c>
      <c r="AY249" s="22" t="str">
        <f t="shared" si="1240"/>
        <v>aceptable</v>
      </c>
      <c r="AZ249" s="22" t="str">
        <f t="shared" si="1241"/>
        <v>aceptable</v>
      </c>
      <c r="BA249" s="22" t="str">
        <f t="shared" si="1261"/>
        <v>aceptable</v>
      </c>
      <c r="BB249" s="25" t="str">
        <f t="shared" si="1262"/>
        <v>NO CONFORME</v>
      </c>
      <c r="BC249" s="5" t="str">
        <f t="shared" si="1263"/>
        <v>NO CONFORME</v>
      </c>
      <c r="BD249" s="15">
        <f t="shared" si="1242"/>
        <v>-1</v>
      </c>
      <c r="BE249" s="15">
        <f t="shared" si="1243"/>
        <v>-1</v>
      </c>
      <c r="BF249" s="15">
        <f t="shared" si="1244"/>
        <v>-1</v>
      </c>
      <c r="BG249" s="15" t="str">
        <f t="shared" si="1245"/>
        <v>-1-1-1</v>
      </c>
      <c r="BH249" s="15" t="str">
        <f t="shared" si="1246"/>
        <v>SD</v>
      </c>
      <c r="BI249" s="15" t="str">
        <f t="shared" si="1247"/>
        <v>SI</v>
      </c>
      <c r="BJ249" s="15" t="b">
        <f t="shared" si="1248"/>
        <v>1</v>
      </c>
      <c r="BK249" s="15" t="str">
        <f t="shared" si="1249"/>
        <v>SIGIGUALES</v>
      </c>
      <c r="BL249" s="22" t="str">
        <f t="shared" si="1250"/>
        <v>NO CONFORME</v>
      </c>
    </row>
    <row r="250" spans="1:64" ht="14.4" x14ac:dyDescent="0.3">
      <c r="A250" s="36">
        <v>242</v>
      </c>
      <c r="B250" s="28">
        <f t="shared" ref="B250:E250" si="1566">B249</f>
        <v>45903</v>
      </c>
      <c r="C250" s="28">
        <f t="shared" si="1566"/>
        <v>45903</v>
      </c>
      <c r="D250" s="12">
        <f t="shared" si="1566"/>
        <v>3</v>
      </c>
      <c r="E250" s="10">
        <f t="shared" si="1566"/>
        <v>11</v>
      </c>
      <c r="F250" s="13"/>
      <c r="G250" s="69"/>
      <c r="H250" s="70">
        <f t="shared" ref="H250:L250" si="1567">H249</f>
        <v>25.6</v>
      </c>
      <c r="I250" s="37">
        <f t="shared" si="1567"/>
        <v>0</v>
      </c>
      <c r="J250" s="35">
        <f t="shared" si="1567"/>
        <v>16</v>
      </c>
      <c r="K250" s="122">
        <f t="shared" si="1567"/>
        <v>8.1690000000000005</v>
      </c>
      <c r="L250" s="122">
        <f t="shared" si="1567"/>
        <v>0.879</v>
      </c>
      <c r="M250" s="126"/>
      <c r="N250" s="126"/>
      <c r="O250" s="32">
        <f t="shared" ref="O250:P250" si="1568">O249</f>
        <v>100.65</v>
      </c>
      <c r="P250" s="33" t="str">
        <f t="shared" si="1568"/>
        <v>2,31,180</v>
      </c>
      <c r="Q250" s="11" t="str">
        <f t="shared" si="1316"/>
        <v>2</v>
      </c>
      <c r="R250" s="11" t="str">
        <f t="shared" si="1317"/>
        <v>31,180</v>
      </c>
      <c r="S250" s="11">
        <f t="shared" si="1318"/>
        <v>4.1994444444444445E-2</v>
      </c>
      <c r="T250" s="14">
        <f t="shared" si="1319"/>
        <v>2396.7456012700095</v>
      </c>
      <c r="U250" s="38">
        <f t="shared" si="1320"/>
        <v>-100</v>
      </c>
      <c r="V250" s="39">
        <f t="shared" ref="V250:X265" si="1569">V249</f>
        <v>19.8</v>
      </c>
      <c r="W250" s="124">
        <f t="shared" si="1569"/>
        <v>1.08</v>
      </c>
      <c r="X250" s="124">
        <f t="shared" si="1569"/>
        <v>1.075</v>
      </c>
      <c r="Y250" s="126"/>
      <c r="Z250" s="126"/>
      <c r="AA250" s="90">
        <f t="shared" ref="AA250:AB250" si="1570">AA249</f>
        <v>5.0149999999999997</v>
      </c>
      <c r="AB250" s="73" t="str">
        <f t="shared" si="1570"/>
        <v>9,05,040</v>
      </c>
      <c r="AC250" s="11" t="str">
        <f t="shared" si="1323"/>
        <v>9,</v>
      </c>
      <c r="AD250" s="11" t="str">
        <f t="shared" si="1324"/>
        <v>05,040</v>
      </c>
      <c r="AE250" s="11">
        <f t="shared" si="1325"/>
        <v>0.15139999999999998</v>
      </c>
      <c r="AF250" s="14">
        <f t="shared" si="1326"/>
        <v>33.124174372523122</v>
      </c>
      <c r="AG250" s="40">
        <f t="shared" si="1327"/>
        <v>-100</v>
      </c>
      <c r="AH250" s="39">
        <f t="shared" si="1480"/>
        <v>19.600000000000001</v>
      </c>
      <c r="AI250" s="124">
        <f t="shared" si="1480"/>
        <v>1.0860000000000001</v>
      </c>
      <c r="AJ250" s="124">
        <f t="shared" si="1480"/>
        <v>1.0780000000000001</v>
      </c>
      <c r="AK250" s="126">
        <f t="shared" si="1328"/>
        <v>0</v>
      </c>
      <c r="AL250" s="126"/>
      <c r="AM250" s="34">
        <f t="shared" ref="AM250:AN250" si="1571">AM249</f>
        <v>2.0059999999999998</v>
      </c>
      <c r="AN250" s="33" t="str">
        <f t="shared" si="1571"/>
        <v>5,40,620</v>
      </c>
      <c r="AO250" s="11" t="str">
        <f t="shared" si="1330"/>
        <v>5,</v>
      </c>
      <c r="AP250" s="11" t="str">
        <f t="shared" si="1331"/>
        <v>40,620</v>
      </c>
      <c r="AQ250" s="11">
        <f t="shared" si="1332"/>
        <v>9.4616666666666668E-2</v>
      </c>
      <c r="AR250" s="14">
        <f t="shared" si="1333"/>
        <v>21.201338735247486</v>
      </c>
      <c r="AS250" s="40">
        <f t="shared" si="1334"/>
        <v>-100</v>
      </c>
      <c r="AT250" s="41" t="str">
        <f t="shared" si="1335"/>
        <v>NO CONFORME</v>
      </c>
      <c r="AU250" s="8" t="b">
        <f t="shared" si="1257"/>
        <v>1</v>
      </c>
      <c r="AV250" s="8" t="b">
        <f t="shared" si="1258"/>
        <v>0</v>
      </c>
      <c r="AW250" s="8" t="b">
        <f t="shared" si="1259"/>
        <v>1</v>
      </c>
      <c r="AX250" s="8" t="str">
        <f t="shared" si="1260"/>
        <v>Qcorrecto</v>
      </c>
      <c r="AY250" s="22" t="str">
        <f t="shared" si="1240"/>
        <v>aceptable</v>
      </c>
      <c r="AZ250" s="22" t="str">
        <f t="shared" si="1241"/>
        <v>aceptable</v>
      </c>
      <c r="BA250" s="22" t="str">
        <f t="shared" si="1261"/>
        <v>aceptable</v>
      </c>
      <c r="BB250" s="25" t="str">
        <f t="shared" si="1262"/>
        <v>NO CONFORME</v>
      </c>
      <c r="BC250" s="5" t="str">
        <f t="shared" si="1263"/>
        <v>NO CONFORME</v>
      </c>
      <c r="BD250" s="15">
        <f t="shared" si="1242"/>
        <v>-1</v>
      </c>
      <c r="BE250" s="15">
        <f t="shared" si="1243"/>
        <v>-1</v>
      </c>
      <c r="BF250" s="15">
        <f t="shared" si="1244"/>
        <v>-1</v>
      </c>
      <c r="BG250" s="15" t="str">
        <f t="shared" si="1245"/>
        <v>-1-1-1</v>
      </c>
      <c r="BH250" s="15" t="str">
        <f t="shared" si="1246"/>
        <v>SD</v>
      </c>
      <c r="BI250" s="15" t="str">
        <f t="shared" si="1247"/>
        <v>SI</v>
      </c>
      <c r="BJ250" s="15" t="b">
        <f t="shared" si="1248"/>
        <v>1</v>
      </c>
      <c r="BK250" s="15" t="str">
        <f t="shared" si="1249"/>
        <v>SIGIGUALES</v>
      </c>
      <c r="BL250" s="22" t="str">
        <f t="shared" si="1250"/>
        <v>NO CONFORME</v>
      </c>
    </row>
    <row r="251" spans="1:64" ht="14.4" x14ac:dyDescent="0.3">
      <c r="A251" s="36">
        <v>243</v>
      </c>
      <c r="B251" s="28">
        <f t="shared" ref="B251:E251" si="1572">B250</f>
        <v>45903</v>
      </c>
      <c r="C251" s="28">
        <f t="shared" si="1572"/>
        <v>45903</v>
      </c>
      <c r="D251" s="12">
        <f t="shared" si="1572"/>
        <v>3</v>
      </c>
      <c r="E251" s="10">
        <f t="shared" si="1572"/>
        <v>11</v>
      </c>
      <c r="F251" s="13"/>
      <c r="G251" s="69"/>
      <c r="H251" s="70">
        <f t="shared" ref="H251:L251" si="1573">H250</f>
        <v>25.6</v>
      </c>
      <c r="I251" s="37">
        <f t="shared" si="1573"/>
        <v>0</v>
      </c>
      <c r="J251" s="35">
        <f t="shared" si="1573"/>
        <v>16</v>
      </c>
      <c r="K251" s="122">
        <f t="shared" si="1573"/>
        <v>8.1690000000000005</v>
      </c>
      <c r="L251" s="122">
        <f t="shared" si="1573"/>
        <v>0.879</v>
      </c>
      <c r="M251" s="126"/>
      <c r="N251" s="126"/>
      <c r="O251" s="32">
        <f t="shared" ref="O251:P251" si="1574">O250</f>
        <v>100.65</v>
      </c>
      <c r="P251" s="33" t="str">
        <f t="shared" si="1574"/>
        <v>2,31,180</v>
      </c>
      <c r="Q251" s="11" t="str">
        <f t="shared" si="1316"/>
        <v>2</v>
      </c>
      <c r="R251" s="11" t="str">
        <f t="shared" si="1317"/>
        <v>31,180</v>
      </c>
      <c r="S251" s="11">
        <f t="shared" si="1318"/>
        <v>4.1994444444444445E-2</v>
      </c>
      <c r="T251" s="14">
        <f t="shared" si="1319"/>
        <v>2396.7456012700095</v>
      </c>
      <c r="U251" s="38">
        <f t="shared" si="1320"/>
        <v>-100</v>
      </c>
      <c r="V251" s="39">
        <f t="shared" ref="V251:W251" si="1575">V250</f>
        <v>19.8</v>
      </c>
      <c r="W251" s="124">
        <f t="shared" si="1575"/>
        <v>1.08</v>
      </c>
      <c r="X251" s="124">
        <f t="shared" si="1569"/>
        <v>1.075</v>
      </c>
      <c r="Y251" s="126"/>
      <c r="Z251" s="126"/>
      <c r="AA251" s="90">
        <f t="shared" ref="AA251:AB251" si="1576">AA250</f>
        <v>5.0149999999999997</v>
      </c>
      <c r="AB251" s="73" t="str">
        <f t="shared" si="1576"/>
        <v>9,05,040</v>
      </c>
      <c r="AC251" s="11" t="str">
        <f t="shared" si="1323"/>
        <v>9,</v>
      </c>
      <c r="AD251" s="11" t="str">
        <f t="shared" si="1324"/>
        <v>05,040</v>
      </c>
      <c r="AE251" s="11">
        <f t="shared" si="1325"/>
        <v>0.15139999999999998</v>
      </c>
      <c r="AF251" s="14">
        <f t="shared" si="1326"/>
        <v>33.124174372523122</v>
      </c>
      <c r="AG251" s="40">
        <f t="shared" si="1327"/>
        <v>-100</v>
      </c>
      <c r="AH251" s="39">
        <f t="shared" ref="AH251:AJ266" si="1577">AH250</f>
        <v>19.600000000000001</v>
      </c>
      <c r="AI251" s="124">
        <f t="shared" si="1577"/>
        <v>1.0860000000000001</v>
      </c>
      <c r="AJ251" s="124">
        <f t="shared" si="1577"/>
        <v>1.0780000000000001</v>
      </c>
      <c r="AK251" s="126">
        <f t="shared" si="1328"/>
        <v>0</v>
      </c>
      <c r="AL251" s="126"/>
      <c r="AM251" s="34">
        <f t="shared" ref="AM251:AN251" si="1578">AM250</f>
        <v>2.0059999999999998</v>
      </c>
      <c r="AN251" s="33" t="str">
        <f t="shared" si="1578"/>
        <v>5,40,620</v>
      </c>
      <c r="AO251" s="11" t="str">
        <f t="shared" si="1330"/>
        <v>5,</v>
      </c>
      <c r="AP251" s="11" t="str">
        <f t="shared" si="1331"/>
        <v>40,620</v>
      </c>
      <c r="AQ251" s="11">
        <f t="shared" si="1332"/>
        <v>9.4616666666666668E-2</v>
      </c>
      <c r="AR251" s="14">
        <f t="shared" si="1333"/>
        <v>21.201338735247486</v>
      </c>
      <c r="AS251" s="40">
        <f t="shared" si="1334"/>
        <v>-100</v>
      </c>
      <c r="AT251" s="41" t="str">
        <f t="shared" si="1335"/>
        <v>NO CONFORME</v>
      </c>
      <c r="AU251" s="8" t="b">
        <f t="shared" si="1257"/>
        <v>1</v>
      </c>
      <c r="AV251" s="8" t="b">
        <f t="shared" si="1258"/>
        <v>0</v>
      </c>
      <c r="AW251" s="8" t="b">
        <f t="shared" si="1259"/>
        <v>1</v>
      </c>
      <c r="AX251" s="8" t="str">
        <f t="shared" si="1260"/>
        <v>Qcorrecto</v>
      </c>
      <c r="AY251" s="22" t="str">
        <f t="shared" si="1240"/>
        <v>aceptable</v>
      </c>
      <c r="AZ251" s="22" t="str">
        <f t="shared" si="1241"/>
        <v>aceptable</v>
      </c>
      <c r="BA251" s="22" t="str">
        <f t="shared" si="1261"/>
        <v>aceptable</v>
      </c>
      <c r="BB251" s="25" t="str">
        <f t="shared" si="1262"/>
        <v>NO CONFORME</v>
      </c>
      <c r="BC251" s="5" t="str">
        <f t="shared" si="1263"/>
        <v>NO CONFORME</v>
      </c>
      <c r="BD251" s="15">
        <f t="shared" si="1242"/>
        <v>-1</v>
      </c>
      <c r="BE251" s="15">
        <f t="shared" si="1243"/>
        <v>-1</v>
      </c>
      <c r="BF251" s="15">
        <f t="shared" si="1244"/>
        <v>-1</v>
      </c>
      <c r="BG251" s="15" t="str">
        <f t="shared" si="1245"/>
        <v>-1-1-1</v>
      </c>
      <c r="BH251" s="15" t="str">
        <f t="shared" si="1246"/>
        <v>SD</v>
      </c>
      <c r="BI251" s="15" t="str">
        <f t="shared" si="1247"/>
        <v>SI</v>
      </c>
      <c r="BJ251" s="15" t="b">
        <f t="shared" si="1248"/>
        <v>1</v>
      </c>
      <c r="BK251" s="15" t="str">
        <f t="shared" si="1249"/>
        <v>SIGIGUALES</v>
      </c>
      <c r="BL251" s="22" t="str">
        <f t="shared" si="1250"/>
        <v>NO CONFORME</v>
      </c>
    </row>
    <row r="252" spans="1:64" ht="14.4" x14ac:dyDescent="0.3">
      <c r="A252" s="36">
        <v>244</v>
      </c>
      <c r="B252" s="28">
        <f t="shared" ref="B252:E252" si="1579">B251</f>
        <v>45903</v>
      </c>
      <c r="C252" s="28">
        <f t="shared" si="1579"/>
        <v>45903</v>
      </c>
      <c r="D252" s="12">
        <f t="shared" si="1579"/>
        <v>3</v>
      </c>
      <c r="E252" s="10">
        <f t="shared" si="1579"/>
        <v>11</v>
      </c>
      <c r="F252" s="13"/>
      <c r="G252" s="69"/>
      <c r="H252" s="70">
        <f t="shared" ref="H252:L252" si="1580">H251</f>
        <v>25.6</v>
      </c>
      <c r="I252" s="37">
        <f t="shared" si="1580"/>
        <v>0</v>
      </c>
      <c r="J252" s="35">
        <f t="shared" si="1580"/>
        <v>16</v>
      </c>
      <c r="K252" s="122">
        <f t="shared" si="1580"/>
        <v>8.1690000000000005</v>
      </c>
      <c r="L252" s="122">
        <f t="shared" si="1580"/>
        <v>0.879</v>
      </c>
      <c r="M252" s="126"/>
      <c r="N252" s="126"/>
      <c r="O252" s="32">
        <f t="shared" ref="O252:P252" si="1581">O251</f>
        <v>100.65</v>
      </c>
      <c r="P252" s="33" t="str">
        <f t="shared" si="1581"/>
        <v>2,31,180</v>
      </c>
      <c r="Q252" s="11" t="str">
        <f t="shared" si="1316"/>
        <v>2</v>
      </c>
      <c r="R252" s="11" t="str">
        <f t="shared" si="1317"/>
        <v>31,180</v>
      </c>
      <c r="S252" s="11">
        <f t="shared" si="1318"/>
        <v>4.1994444444444445E-2</v>
      </c>
      <c r="T252" s="14">
        <f t="shared" si="1319"/>
        <v>2396.7456012700095</v>
      </c>
      <c r="U252" s="38">
        <f t="shared" si="1320"/>
        <v>-100</v>
      </c>
      <c r="V252" s="39">
        <f t="shared" ref="V252:W252" si="1582">V251</f>
        <v>19.8</v>
      </c>
      <c r="W252" s="124">
        <f t="shared" si="1582"/>
        <v>1.08</v>
      </c>
      <c r="X252" s="124">
        <f t="shared" si="1569"/>
        <v>1.075</v>
      </c>
      <c r="Y252" s="126"/>
      <c r="Z252" s="126"/>
      <c r="AA252" s="90">
        <f t="shared" ref="AA252:AB252" si="1583">AA251</f>
        <v>5.0149999999999997</v>
      </c>
      <c r="AB252" s="73" t="str">
        <f t="shared" si="1583"/>
        <v>9,05,040</v>
      </c>
      <c r="AC252" s="11" t="str">
        <f t="shared" si="1323"/>
        <v>9,</v>
      </c>
      <c r="AD252" s="11" t="str">
        <f t="shared" si="1324"/>
        <v>05,040</v>
      </c>
      <c r="AE252" s="11">
        <f t="shared" si="1325"/>
        <v>0.15139999999999998</v>
      </c>
      <c r="AF252" s="14">
        <f t="shared" si="1326"/>
        <v>33.124174372523122</v>
      </c>
      <c r="AG252" s="40">
        <f t="shared" si="1327"/>
        <v>-100</v>
      </c>
      <c r="AH252" s="39">
        <f t="shared" si="1577"/>
        <v>19.600000000000001</v>
      </c>
      <c r="AI252" s="124">
        <f t="shared" si="1577"/>
        <v>1.0860000000000001</v>
      </c>
      <c r="AJ252" s="124">
        <f t="shared" si="1577"/>
        <v>1.0780000000000001</v>
      </c>
      <c r="AK252" s="126">
        <f t="shared" si="1328"/>
        <v>0</v>
      </c>
      <c r="AL252" s="126"/>
      <c r="AM252" s="34">
        <f t="shared" ref="AM252:AN252" si="1584">AM251</f>
        <v>2.0059999999999998</v>
      </c>
      <c r="AN252" s="33" t="str">
        <f t="shared" si="1584"/>
        <v>5,40,620</v>
      </c>
      <c r="AO252" s="11" t="str">
        <f t="shared" si="1330"/>
        <v>5,</v>
      </c>
      <c r="AP252" s="11" t="str">
        <f t="shared" si="1331"/>
        <v>40,620</v>
      </c>
      <c r="AQ252" s="11">
        <f t="shared" si="1332"/>
        <v>9.4616666666666668E-2</v>
      </c>
      <c r="AR252" s="14">
        <f t="shared" si="1333"/>
        <v>21.201338735247486</v>
      </c>
      <c r="AS252" s="40">
        <f t="shared" si="1334"/>
        <v>-100</v>
      </c>
      <c r="AT252" s="41" t="str">
        <f t="shared" si="1335"/>
        <v>NO CONFORME</v>
      </c>
      <c r="AU252" s="8" t="b">
        <f t="shared" si="1257"/>
        <v>1</v>
      </c>
      <c r="AV252" s="8" t="b">
        <f t="shared" si="1258"/>
        <v>0</v>
      </c>
      <c r="AW252" s="8" t="b">
        <f t="shared" si="1259"/>
        <v>1</v>
      </c>
      <c r="AX252" s="8" t="str">
        <f t="shared" si="1260"/>
        <v>Qcorrecto</v>
      </c>
      <c r="AY252" s="22" t="str">
        <f t="shared" si="1240"/>
        <v>aceptable</v>
      </c>
      <c r="AZ252" s="22" t="str">
        <f t="shared" si="1241"/>
        <v>aceptable</v>
      </c>
      <c r="BA252" s="22" t="str">
        <f t="shared" si="1261"/>
        <v>aceptable</v>
      </c>
      <c r="BB252" s="25" t="str">
        <f t="shared" si="1262"/>
        <v>NO CONFORME</v>
      </c>
      <c r="BC252" s="5" t="str">
        <f t="shared" si="1263"/>
        <v>NO CONFORME</v>
      </c>
      <c r="BD252" s="15">
        <f t="shared" si="1242"/>
        <v>-1</v>
      </c>
      <c r="BE252" s="15">
        <f t="shared" si="1243"/>
        <v>-1</v>
      </c>
      <c r="BF252" s="15">
        <f t="shared" si="1244"/>
        <v>-1</v>
      </c>
      <c r="BG252" s="15" t="str">
        <f t="shared" si="1245"/>
        <v>-1-1-1</v>
      </c>
      <c r="BH252" s="15" t="str">
        <f t="shared" si="1246"/>
        <v>SD</v>
      </c>
      <c r="BI252" s="15" t="str">
        <f t="shared" si="1247"/>
        <v>SI</v>
      </c>
      <c r="BJ252" s="15" t="b">
        <f t="shared" si="1248"/>
        <v>1</v>
      </c>
      <c r="BK252" s="15" t="str">
        <f t="shared" si="1249"/>
        <v>SIGIGUALES</v>
      </c>
      <c r="BL252" s="22" t="str">
        <f t="shared" si="1250"/>
        <v>NO CONFORME</v>
      </c>
    </row>
    <row r="253" spans="1:64" ht="14.4" x14ac:dyDescent="0.3">
      <c r="A253" s="36">
        <v>245</v>
      </c>
      <c r="B253" s="28">
        <f t="shared" ref="B253:E253" si="1585">B252</f>
        <v>45903</v>
      </c>
      <c r="C253" s="28">
        <f t="shared" si="1585"/>
        <v>45903</v>
      </c>
      <c r="D253" s="12">
        <f t="shared" si="1585"/>
        <v>3</v>
      </c>
      <c r="E253" s="10">
        <f t="shared" si="1585"/>
        <v>11</v>
      </c>
      <c r="F253" s="13"/>
      <c r="G253" s="69"/>
      <c r="H253" s="70">
        <f t="shared" ref="H253:L253" si="1586">H252</f>
        <v>25.6</v>
      </c>
      <c r="I253" s="37">
        <f t="shared" si="1586"/>
        <v>0</v>
      </c>
      <c r="J253" s="35">
        <f t="shared" si="1586"/>
        <v>16</v>
      </c>
      <c r="K253" s="122">
        <f t="shared" si="1586"/>
        <v>8.1690000000000005</v>
      </c>
      <c r="L253" s="122">
        <f t="shared" si="1586"/>
        <v>0.879</v>
      </c>
      <c r="M253" s="126"/>
      <c r="N253" s="126"/>
      <c r="O253" s="32">
        <f t="shared" ref="O253:P253" si="1587">O252</f>
        <v>100.65</v>
      </c>
      <c r="P253" s="33" t="str">
        <f t="shared" si="1587"/>
        <v>2,31,180</v>
      </c>
      <c r="Q253" s="11" t="str">
        <f t="shared" si="1316"/>
        <v>2</v>
      </c>
      <c r="R253" s="11" t="str">
        <f t="shared" si="1317"/>
        <v>31,180</v>
      </c>
      <c r="S253" s="11">
        <f t="shared" si="1318"/>
        <v>4.1994444444444445E-2</v>
      </c>
      <c r="T253" s="14">
        <f t="shared" si="1319"/>
        <v>2396.7456012700095</v>
      </c>
      <c r="U253" s="38">
        <f t="shared" si="1320"/>
        <v>-100</v>
      </c>
      <c r="V253" s="39">
        <f t="shared" ref="V253:W253" si="1588">V252</f>
        <v>19.8</v>
      </c>
      <c r="W253" s="124">
        <f t="shared" si="1588"/>
        <v>1.08</v>
      </c>
      <c r="X253" s="124">
        <f t="shared" si="1569"/>
        <v>1.075</v>
      </c>
      <c r="Y253" s="126"/>
      <c r="Z253" s="126"/>
      <c r="AA253" s="90">
        <f t="shared" ref="AA253:AB253" si="1589">AA252</f>
        <v>5.0149999999999997</v>
      </c>
      <c r="AB253" s="73" t="str">
        <f t="shared" si="1589"/>
        <v>9,05,040</v>
      </c>
      <c r="AC253" s="11" t="str">
        <f t="shared" si="1323"/>
        <v>9,</v>
      </c>
      <c r="AD253" s="11" t="str">
        <f t="shared" si="1324"/>
        <v>05,040</v>
      </c>
      <c r="AE253" s="11">
        <f t="shared" si="1325"/>
        <v>0.15139999999999998</v>
      </c>
      <c r="AF253" s="14">
        <f t="shared" si="1326"/>
        <v>33.124174372523122</v>
      </c>
      <c r="AG253" s="40">
        <f t="shared" si="1327"/>
        <v>-100</v>
      </c>
      <c r="AH253" s="39">
        <f t="shared" si="1577"/>
        <v>19.600000000000001</v>
      </c>
      <c r="AI253" s="124">
        <f t="shared" si="1577"/>
        <v>1.0860000000000001</v>
      </c>
      <c r="AJ253" s="124">
        <f t="shared" si="1577"/>
        <v>1.0780000000000001</v>
      </c>
      <c r="AK253" s="126">
        <f t="shared" si="1328"/>
        <v>0</v>
      </c>
      <c r="AL253" s="126"/>
      <c r="AM253" s="34">
        <f t="shared" ref="AM253:AN253" si="1590">AM252</f>
        <v>2.0059999999999998</v>
      </c>
      <c r="AN253" s="33" t="str">
        <f t="shared" si="1590"/>
        <v>5,40,620</v>
      </c>
      <c r="AO253" s="11" t="str">
        <f t="shared" si="1330"/>
        <v>5,</v>
      </c>
      <c r="AP253" s="11" t="str">
        <f t="shared" si="1331"/>
        <v>40,620</v>
      </c>
      <c r="AQ253" s="11">
        <f t="shared" si="1332"/>
        <v>9.4616666666666668E-2</v>
      </c>
      <c r="AR253" s="14">
        <f t="shared" si="1333"/>
        <v>21.201338735247486</v>
      </c>
      <c r="AS253" s="40">
        <f t="shared" si="1334"/>
        <v>-100</v>
      </c>
      <c r="AT253" s="41" t="str">
        <f t="shared" si="1335"/>
        <v>NO CONFORME</v>
      </c>
      <c r="AU253" s="8" t="b">
        <f t="shared" si="1257"/>
        <v>1</v>
      </c>
      <c r="AV253" s="8" t="b">
        <f t="shared" si="1258"/>
        <v>0</v>
      </c>
      <c r="AW253" s="8" t="b">
        <f t="shared" si="1259"/>
        <v>1</v>
      </c>
      <c r="AX253" s="8" t="str">
        <f t="shared" si="1260"/>
        <v>Qcorrecto</v>
      </c>
      <c r="AY253" s="22" t="str">
        <f t="shared" si="1240"/>
        <v>aceptable</v>
      </c>
      <c r="AZ253" s="22" t="str">
        <f t="shared" si="1241"/>
        <v>aceptable</v>
      </c>
      <c r="BA253" s="22" t="str">
        <f t="shared" si="1261"/>
        <v>aceptable</v>
      </c>
      <c r="BB253" s="25" t="str">
        <f t="shared" si="1262"/>
        <v>NO CONFORME</v>
      </c>
      <c r="BC253" s="5" t="str">
        <f t="shared" si="1263"/>
        <v>NO CONFORME</v>
      </c>
      <c r="BD253" s="15">
        <f t="shared" si="1242"/>
        <v>-1</v>
      </c>
      <c r="BE253" s="15">
        <f t="shared" si="1243"/>
        <v>-1</v>
      </c>
      <c r="BF253" s="15">
        <f t="shared" si="1244"/>
        <v>-1</v>
      </c>
      <c r="BG253" s="15" t="str">
        <f t="shared" si="1245"/>
        <v>-1-1-1</v>
      </c>
      <c r="BH253" s="15" t="str">
        <f t="shared" si="1246"/>
        <v>SD</v>
      </c>
      <c r="BI253" s="15" t="str">
        <f t="shared" si="1247"/>
        <v>SI</v>
      </c>
      <c r="BJ253" s="15" t="b">
        <f t="shared" si="1248"/>
        <v>1</v>
      </c>
      <c r="BK253" s="15" t="str">
        <f t="shared" si="1249"/>
        <v>SIGIGUALES</v>
      </c>
      <c r="BL253" s="22" t="str">
        <f t="shared" si="1250"/>
        <v>NO CONFORME</v>
      </c>
    </row>
    <row r="254" spans="1:64" ht="14.4" x14ac:dyDescent="0.3">
      <c r="A254" s="36">
        <v>246</v>
      </c>
      <c r="B254" s="28">
        <f t="shared" ref="B254:E254" si="1591">B253</f>
        <v>45903</v>
      </c>
      <c r="C254" s="28">
        <f t="shared" si="1591"/>
        <v>45903</v>
      </c>
      <c r="D254" s="12">
        <f t="shared" si="1591"/>
        <v>3</v>
      </c>
      <c r="E254" s="10">
        <f t="shared" si="1591"/>
        <v>11</v>
      </c>
      <c r="F254" s="13"/>
      <c r="G254" s="69"/>
      <c r="H254" s="70">
        <f t="shared" ref="H254:L254" si="1592">H253</f>
        <v>25.6</v>
      </c>
      <c r="I254" s="37">
        <f t="shared" si="1592"/>
        <v>0</v>
      </c>
      <c r="J254" s="35">
        <f t="shared" si="1592"/>
        <v>16</v>
      </c>
      <c r="K254" s="122">
        <f t="shared" si="1592"/>
        <v>8.1690000000000005</v>
      </c>
      <c r="L254" s="122">
        <f t="shared" si="1592"/>
        <v>0.879</v>
      </c>
      <c r="M254" s="126"/>
      <c r="N254" s="126"/>
      <c r="O254" s="32">
        <f t="shared" ref="O254:P254" si="1593">O253</f>
        <v>100.65</v>
      </c>
      <c r="P254" s="33" t="str">
        <f t="shared" si="1593"/>
        <v>2,31,180</v>
      </c>
      <c r="Q254" s="11" t="str">
        <f t="shared" si="1316"/>
        <v>2</v>
      </c>
      <c r="R254" s="11" t="str">
        <f t="shared" si="1317"/>
        <v>31,180</v>
      </c>
      <c r="S254" s="11">
        <f t="shared" si="1318"/>
        <v>4.1994444444444445E-2</v>
      </c>
      <c r="T254" s="14">
        <f t="shared" si="1319"/>
        <v>2396.7456012700095</v>
      </c>
      <c r="U254" s="38">
        <f t="shared" si="1320"/>
        <v>-100</v>
      </c>
      <c r="V254" s="39">
        <f t="shared" ref="V254:W254" si="1594">V253</f>
        <v>19.8</v>
      </c>
      <c r="W254" s="124">
        <f t="shared" si="1594"/>
        <v>1.08</v>
      </c>
      <c r="X254" s="124">
        <f t="shared" si="1569"/>
        <v>1.075</v>
      </c>
      <c r="Y254" s="126"/>
      <c r="Z254" s="126"/>
      <c r="AA254" s="90">
        <f t="shared" ref="AA254:AB254" si="1595">AA253</f>
        <v>5.0149999999999997</v>
      </c>
      <c r="AB254" s="73" t="str">
        <f t="shared" si="1595"/>
        <v>9,05,040</v>
      </c>
      <c r="AC254" s="11" t="str">
        <f t="shared" si="1323"/>
        <v>9,</v>
      </c>
      <c r="AD254" s="11" t="str">
        <f t="shared" si="1324"/>
        <v>05,040</v>
      </c>
      <c r="AE254" s="11">
        <f t="shared" si="1325"/>
        <v>0.15139999999999998</v>
      </c>
      <c r="AF254" s="14">
        <f t="shared" si="1326"/>
        <v>33.124174372523122</v>
      </c>
      <c r="AG254" s="40">
        <f t="shared" si="1327"/>
        <v>-100</v>
      </c>
      <c r="AH254" s="39">
        <f t="shared" si="1577"/>
        <v>19.600000000000001</v>
      </c>
      <c r="AI254" s="124">
        <f t="shared" si="1577"/>
        <v>1.0860000000000001</v>
      </c>
      <c r="AJ254" s="124">
        <f t="shared" si="1577"/>
        <v>1.0780000000000001</v>
      </c>
      <c r="AK254" s="126">
        <f t="shared" si="1328"/>
        <v>0</v>
      </c>
      <c r="AL254" s="126"/>
      <c r="AM254" s="34">
        <f t="shared" ref="AM254:AN254" si="1596">AM253</f>
        <v>2.0059999999999998</v>
      </c>
      <c r="AN254" s="33" t="str">
        <f t="shared" si="1596"/>
        <v>5,40,620</v>
      </c>
      <c r="AO254" s="11" t="str">
        <f t="shared" si="1330"/>
        <v>5,</v>
      </c>
      <c r="AP254" s="11" t="str">
        <f t="shared" si="1331"/>
        <v>40,620</v>
      </c>
      <c r="AQ254" s="11">
        <f t="shared" si="1332"/>
        <v>9.4616666666666668E-2</v>
      </c>
      <c r="AR254" s="14">
        <f t="shared" si="1333"/>
        <v>21.201338735247486</v>
      </c>
      <c r="AS254" s="40">
        <f t="shared" si="1334"/>
        <v>-100</v>
      </c>
      <c r="AT254" s="41" t="str">
        <f t="shared" si="1335"/>
        <v>NO CONFORME</v>
      </c>
      <c r="AU254" s="8" t="b">
        <f t="shared" si="1257"/>
        <v>1</v>
      </c>
      <c r="AV254" s="8" t="b">
        <f t="shared" si="1258"/>
        <v>0</v>
      </c>
      <c r="AW254" s="8" t="b">
        <f t="shared" si="1259"/>
        <v>1</v>
      </c>
      <c r="AX254" s="8" t="str">
        <f t="shared" si="1260"/>
        <v>Qcorrecto</v>
      </c>
      <c r="AY254" s="22" t="str">
        <f t="shared" si="1240"/>
        <v>aceptable</v>
      </c>
      <c r="AZ254" s="22" t="str">
        <f t="shared" si="1241"/>
        <v>aceptable</v>
      </c>
      <c r="BA254" s="22" t="str">
        <f t="shared" si="1261"/>
        <v>aceptable</v>
      </c>
      <c r="BB254" s="25" t="str">
        <f t="shared" si="1262"/>
        <v>NO CONFORME</v>
      </c>
      <c r="BC254" s="5" t="str">
        <f t="shared" si="1263"/>
        <v>NO CONFORME</v>
      </c>
      <c r="BD254" s="15">
        <f t="shared" si="1242"/>
        <v>-1</v>
      </c>
      <c r="BE254" s="15">
        <f t="shared" si="1243"/>
        <v>-1</v>
      </c>
      <c r="BF254" s="15">
        <f t="shared" si="1244"/>
        <v>-1</v>
      </c>
      <c r="BG254" s="15" t="str">
        <f t="shared" si="1245"/>
        <v>-1-1-1</v>
      </c>
      <c r="BH254" s="15" t="str">
        <f t="shared" si="1246"/>
        <v>SD</v>
      </c>
      <c r="BI254" s="15" t="str">
        <f t="shared" si="1247"/>
        <v>SI</v>
      </c>
      <c r="BJ254" s="15" t="b">
        <f t="shared" si="1248"/>
        <v>1</v>
      </c>
      <c r="BK254" s="15" t="str">
        <f t="shared" si="1249"/>
        <v>SIGIGUALES</v>
      </c>
      <c r="BL254" s="22" t="str">
        <f t="shared" si="1250"/>
        <v>NO CONFORME</v>
      </c>
    </row>
    <row r="255" spans="1:64" ht="14.4" x14ac:dyDescent="0.3">
      <c r="A255" s="36">
        <v>247</v>
      </c>
      <c r="B255" s="28">
        <f t="shared" ref="B255:E255" si="1597">B254</f>
        <v>45903</v>
      </c>
      <c r="C255" s="28">
        <f t="shared" si="1597"/>
        <v>45903</v>
      </c>
      <c r="D255" s="12">
        <f t="shared" si="1597"/>
        <v>3</v>
      </c>
      <c r="E255" s="10">
        <f t="shared" si="1597"/>
        <v>11</v>
      </c>
      <c r="F255" s="13"/>
      <c r="G255" s="69"/>
      <c r="H255" s="70">
        <f t="shared" ref="H255:L255" si="1598">H254</f>
        <v>25.6</v>
      </c>
      <c r="I255" s="37">
        <f t="shared" si="1598"/>
        <v>0</v>
      </c>
      <c r="J255" s="35">
        <f t="shared" si="1598"/>
        <v>16</v>
      </c>
      <c r="K255" s="122">
        <f t="shared" si="1598"/>
        <v>8.1690000000000005</v>
      </c>
      <c r="L255" s="122">
        <f t="shared" si="1598"/>
        <v>0.879</v>
      </c>
      <c r="M255" s="126"/>
      <c r="N255" s="126"/>
      <c r="O255" s="32">
        <f t="shared" ref="O255:P255" si="1599">O254</f>
        <v>100.65</v>
      </c>
      <c r="P255" s="33" t="str">
        <f t="shared" si="1599"/>
        <v>2,31,180</v>
      </c>
      <c r="Q255" s="11" t="str">
        <f t="shared" si="1316"/>
        <v>2</v>
      </c>
      <c r="R255" s="11" t="str">
        <f t="shared" si="1317"/>
        <v>31,180</v>
      </c>
      <c r="S255" s="11">
        <f t="shared" si="1318"/>
        <v>4.1994444444444445E-2</v>
      </c>
      <c r="T255" s="14">
        <f t="shared" si="1319"/>
        <v>2396.7456012700095</v>
      </c>
      <c r="U255" s="38">
        <f t="shared" si="1320"/>
        <v>-100</v>
      </c>
      <c r="V255" s="39">
        <f t="shared" ref="V255:W255" si="1600">V254</f>
        <v>19.8</v>
      </c>
      <c r="W255" s="124">
        <f t="shared" si="1600"/>
        <v>1.08</v>
      </c>
      <c r="X255" s="124">
        <f t="shared" si="1569"/>
        <v>1.075</v>
      </c>
      <c r="Y255" s="126"/>
      <c r="Z255" s="126"/>
      <c r="AA255" s="90">
        <f t="shared" ref="AA255:AB255" si="1601">AA254</f>
        <v>5.0149999999999997</v>
      </c>
      <c r="AB255" s="73" t="str">
        <f t="shared" si="1601"/>
        <v>9,05,040</v>
      </c>
      <c r="AC255" s="11" t="str">
        <f t="shared" si="1323"/>
        <v>9,</v>
      </c>
      <c r="AD255" s="11" t="str">
        <f t="shared" si="1324"/>
        <v>05,040</v>
      </c>
      <c r="AE255" s="11">
        <f t="shared" si="1325"/>
        <v>0.15139999999999998</v>
      </c>
      <c r="AF255" s="14">
        <f t="shared" si="1326"/>
        <v>33.124174372523122</v>
      </c>
      <c r="AG255" s="40">
        <f t="shared" si="1327"/>
        <v>-100</v>
      </c>
      <c r="AH255" s="39">
        <f t="shared" si="1577"/>
        <v>19.600000000000001</v>
      </c>
      <c r="AI255" s="124">
        <f t="shared" si="1577"/>
        <v>1.0860000000000001</v>
      </c>
      <c r="AJ255" s="124">
        <f t="shared" si="1577"/>
        <v>1.0780000000000001</v>
      </c>
      <c r="AK255" s="126">
        <f t="shared" si="1328"/>
        <v>0</v>
      </c>
      <c r="AL255" s="126"/>
      <c r="AM255" s="34">
        <f t="shared" ref="AM255:AN255" si="1602">AM254</f>
        <v>2.0059999999999998</v>
      </c>
      <c r="AN255" s="33" t="str">
        <f t="shared" si="1602"/>
        <v>5,40,620</v>
      </c>
      <c r="AO255" s="11" t="str">
        <f t="shared" si="1330"/>
        <v>5,</v>
      </c>
      <c r="AP255" s="11" t="str">
        <f t="shared" si="1331"/>
        <v>40,620</v>
      </c>
      <c r="AQ255" s="11">
        <f t="shared" si="1332"/>
        <v>9.4616666666666668E-2</v>
      </c>
      <c r="AR255" s="14">
        <f t="shared" si="1333"/>
        <v>21.201338735247486</v>
      </c>
      <c r="AS255" s="40">
        <f t="shared" si="1334"/>
        <v>-100</v>
      </c>
      <c r="AT255" s="41" t="str">
        <f t="shared" si="1335"/>
        <v>NO CONFORME</v>
      </c>
      <c r="AU255" s="8" t="b">
        <f t="shared" si="1257"/>
        <v>1</v>
      </c>
      <c r="AV255" s="8" t="b">
        <f t="shared" si="1258"/>
        <v>0</v>
      </c>
      <c r="AW255" s="8" t="b">
        <f t="shared" si="1259"/>
        <v>1</v>
      </c>
      <c r="AX255" s="8" t="str">
        <f t="shared" si="1260"/>
        <v>Qcorrecto</v>
      </c>
      <c r="AY255" s="22" t="str">
        <f t="shared" si="1240"/>
        <v>aceptable</v>
      </c>
      <c r="AZ255" s="22" t="str">
        <f t="shared" si="1241"/>
        <v>aceptable</v>
      </c>
      <c r="BA255" s="22" t="str">
        <f t="shared" si="1261"/>
        <v>aceptable</v>
      </c>
      <c r="BB255" s="25" t="str">
        <f t="shared" si="1262"/>
        <v>NO CONFORME</v>
      </c>
      <c r="BC255" s="5" t="str">
        <f t="shared" si="1263"/>
        <v>NO CONFORME</v>
      </c>
      <c r="BD255" s="15">
        <f t="shared" si="1242"/>
        <v>-1</v>
      </c>
      <c r="BE255" s="15">
        <f t="shared" si="1243"/>
        <v>-1</v>
      </c>
      <c r="BF255" s="15">
        <f t="shared" si="1244"/>
        <v>-1</v>
      </c>
      <c r="BG255" s="15" t="str">
        <f t="shared" si="1245"/>
        <v>-1-1-1</v>
      </c>
      <c r="BH255" s="15" t="str">
        <f t="shared" si="1246"/>
        <v>SD</v>
      </c>
      <c r="BI255" s="15" t="str">
        <f t="shared" si="1247"/>
        <v>SI</v>
      </c>
      <c r="BJ255" s="15" t="b">
        <f t="shared" si="1248"/>
        <v>1</v>
      </c>
      <c r="BK255" s="15" t="str">
        <f t="shared" si="1249"/>
        <v>SIGIGUALES</v>
      </c>
      <c r="BL255" s="22" t="str">
        <f t="shared" si="1250"/>
        <v>NO CONFORME</v>
      </c>
    </row>
    <row r="256" spans="1:64" ht="14.4" x14ac:dyDescent="0.3">
      <c r="A256" s="36">
        <v>248</v>
      </c>
      <c r="B256" s="28">
        <f t="shared" ref="B256:E256" si="1603">B255</f>
        <v>45903</v>
      </c>
      <c r="C256" s="28">
        <f t="shared" si="1603"/>
        <v>45903</v>
      </c>
      <c r="D256" s="12">
        <f t="shared" si="1603"/>
        <v>3</v>
      </c>
      <c r="E256" s="10">
        <f t="shared" si="1603"/>
        <v>11</v>
      </c>
      <c r="F256" s="13"/>
      <c r="G256" s="69"/>
      <c r="H256" s="70">
        <f t="shared" ref="H256:L256" si="1604">H255</f>
        <v>25.6</v>
      </c>
      <c r="I256" s="37">
        <f t="shared" si="1604"/>
        <v>0</v>
      </c>
      <c r="J256" s="35">
        <f t="shared" si="1604"/>
        <v>16</v>
      </c>
      <c r="K256" s="122">
        <f t="shared" si="1604"/>
        <v>8.1690000000000005</v>
      </c>
      <c r="L256" s="122">
        <f t="shared" si="1604"/>
        <v>0.879</v>
      </c>
      <c r="M256" s="126"/>
      <c r="N256" s="126"/>
      <c r="O256" s="32">
        <f t="shared" ref="O256:P256" si="1605">O255</f>
        <v>100.65</v>
      </c>
      <c r="P256" s="33" t="str">
        <f t="shared" si="1605"/>
        <v>2,31,180</v>
      </c>
      <c r="Q256" s="11" t="str">
        <f t="shared" si="1316"/>
        <v>2</v>
      </c>
      <c r="R256" s="11" t="str">
        <f t="shared" si="1317"/>
        <v>31,180</v>
      </c>
      <c r="S256" s="11">
        <f t="shared" si="1318"/>
        <v>4.1994444444444445E-2</v>
      </c>
      <c r="T256" s="14">
        <f t="shared" si="1319"/>
        <v>2396.7456012700095</v>
      </c>
      <c r="U256" s="38">
        <f t="shared" si="1320"/>
        <v>-100</v>
      </c>
      <c r="V256" s="39">
        <f t="shared" ref="V256:W256" si="1606">V255</f>
        <v>19.8</v>
      </c>
      <c r="W256" s="124">
        <f t="shared" si="1606"/>
        <v>1.08</v>
      </c>
      <c r="X256" s="124">
        <f t="shared" si="1569"/>
        <v>1.075</v>
      </c>
      <c r="Y256" s="126"/>
      <c r="Z256" s="126"/>
      <c r="AA256" s="90">
        <f t="shared" ref="AA256:AB256" si="1607">AA255</f>
        <v>5.0149999999999997</v>
      </c>
      <c r="AB256" s="73" t="str">
        <f t="shared" si="1607"/>
        <v>9,05,040</v>
      </c>
      <c r="AC256" s="11" t="str">
        <f t="shared" si="1323"/>
        <v>9,</v>
      </c>
      <c r="AD256" s="11" t="str">
        <f t="shared" si="1324"/>
        <v>05,040</v>
      </c>
      <c r="AE256" s="11">
        <f t="shared" si="1325"/>
        <v>0.15139999999999998</v>
      </c>
      <c r="AF256" s="14">
        <f t="shared" si="1326"/>
        <v>33.124174372523122</v>
      </c>
      <c r="AG256" s="40">
        <f t="shared" si="1327"/>
        <v>-100</v>
      </c>
      <c r="AH256" s="39">
        <f t="shared" si="1577"/>
        <v>19.600000000000001</v>
      </c>
      <c r="AI256" s="124">
        <f t="shared" si="1577"/>
        <v>1.0860000000000001</v>
      </c>
      <c r="AJ256" s="124">
        <f t="shared" si="1577"/>
        <v>1.0780000000000001</v>
      </c>
      <c r="AK256" s="126">
        <f t="shared" si="1328"/>
        <v>0</v>
      </c>
      <c r="AL256" s="126"/>
      <c r="AM256" s="34">
        <f t="shared" ref="AM256:AN256" si="1608">AM255</f>
        <v>2.0059999999999998</v>
      </c>
      <c r="AN256" s="33" t="str">
        <f t="shared" si="1608"/>
        <v>5,40,620</v>
      </c>
      <c r="AO256" s="11" t="str">
        <f t="shared" si="1330"/>
        <v>5,</v>
      </c>
      <c r="AP256" s="11" t="str">
        <f t="shared" si="1331"/>
        <v>40,620</v>
      </c>
      <c r="AQ256" s="11">
        <f t="shared" si="1332"/>
        <v>9.4616666666666668E-2</v>
      </c>
      <c r="AR256" s="14">
        <f t="shared" si="1333"/>
        <v>21.201338735247486</v>
      </c>
      <c r="AS256" s="40">
        <f t="shared" si="1334"/>
        <v>-100</v>
      </c>
      <c r="AT256" s="41" t="str">
        <f t="shared" si="1335"/>
        <v>NO CONFORME</v>
      </c>
      <c r="AU256" s="8" t="b">
        <f t="shared" si="1257"/>
        <v>1</v>
      </c>
      <c r="AV256" s="8" t="b">
        <f t="shared" si="1258"/>
        <v>0</v>
      </c>
      <c r="AW256" s="8" t="b">
        <f t="shared" si="1259"/>
        <v>1</v>
      </c>
      <c r="AX256" s="8" t="str">
        <f t="shared" si="1260"/>
        <v>Qcorrecto</v>
      </c>
      <c r="AY256" s="22" t="str">
        <f t="shared" si="1240"/>
        <v>aceptable</v>
      </c>
      <c r="AZ256" s="22" t="str">
        <f t="shared" si="1241"/>
        <v>aceptable</v>
      </c>
      <c r="BA256" s="22" t="str">
        <f t="shared" si="1261"/>
        <v>aceptable</v>
      </c>
      <c r="BB256" s="25" t="str">
        <f t="shared" si="1262"/>
        <v>NO CONFORME</v>
      </c>
      <c r="BC256" s="5" t="str">
        <f t="shared" si="1263"/>
        <v>NO CONFORME</v>
      </c>
      <c r="BD256" s="15">
        <f t="shared" si="1242"/>
        <v>-1</v>
      </c>
      <c r="BE256" s="15">
        <f t="shared" si="1243"/>
        <v>-1</v>
      </c>
      <c r="BF256" s="15">
        <f t="shared" si="1244"/>
        <v>-1</v>
      </c>
      <c r="BG256" s="15" t="str">
        <f t="shared" si="1245"/>
        <v>-1-1-1</v>
      </c>
      <c r="BH256" s="15" t="str">
        <f t="shared" si="1246"/>
        <v>SD</v>
      </c>
      <c r="BI256" s="15" t="str">
        <f t="shared" si="1247"/>
        <v>SI</v>
      </c>
      <c r="BJ256" s="15" t="b">
        <f t="shared" si="1248"/>
        <v>1</v>
      </c>
      <c r="BK256" s="15" t="str">
        <f t="shared" si="1249"/>
        <v>SIGIGUALES</v>
      </c>
      <c r="BL256" s="22" t="str">
        <f t="shared" si="1250"/>
        <v>NO CONFORME</v>
      </c>
    </row>
    <row r="257" spans="1:64" ht="14.4" x14ac:dyDescent="0.3">
      <c r="A257" s="36">
        <v>249</v>
      </c>
      <c r="B257" s="28">
        <f t="shared" ref="B257:E257" si="1609">B256</f>
        <v>45903</v>
      </c>
      <c r="C257" s="28">
        <f t="shared" si="1609"/>
        <v>45903</v>
      </c>
      <c r="D257" s="12">
        <f t="shared" si="1609"/>
        <v>3</v>
      </c>
      <c r="E257" s="10">
        <f t="shared" si="1609"/>
        <v>11</v>
      </c>
      <c r="F257" s="13"/>
      <c r="G257" s="69"/>
      <c r="H257" s="70">
        <f t="shared" ref="H257:L257" si="1610">H256</f>
        <v>25.6</v>
      </c>
      <c r="I257" s="37">
        <f t="shared" si="1610"/>
        <v>0</v>
      </c>
      <c r="J257" s="35">
        <f t="shared" si="1610"/>
        <v>16</v>
      </c>
      <c r="K257" s="122">
        <f t="shared" si="1610"/>
        <v>8.1690000000000005</v>
      </c>
      <c r="L257" s="122">
        <f t="shared" si="1610"/>
        <v>0.879</v>
      </c>
      <c r="M257" s="126"/>
      <c r="N257" s="126"/>
      <c r="O257" s="32">
        <f t="shared" ref="O257:P257" si="1611">O256</f>
        <v>100.65</v>
      </c>
      <c r="P257" s="33" t="str">
        <f t="shared" si="1611"/>
        <v>2,31,180</v>
      </c>
      <c r="Q257" s="11" t="str">
        <f t="shared" si="1316"/>
        <v>2</v>
      </c>
      <c r="R257" s="11" t="str">
        <f t="shared" si="1317"/>
        <v>31,180</v>
      </c>
      <c r="S257" s="11">
        <f t="shared" si="1318"/>
        <v>4.1994444444444445E-2</v>
      </c>
      <c r="T257" s="14">
        <f t="shared" si="1319"/>
        <v>2396.7456012700095</v>
      </c>
      <c r="U257" s="38">
        <f t="shared" si="1320"/>
        <v>-100</v>
      </c>
      <c r="V257" s="39">
        <f t="shared" ref="V257:W257" si="1612">V256</f>
        <v>19.8</v>
      </c>
      <c r="W257" s="124">
        <f t="shared" si="1612"/>
        <v>1.08</v>
      </c>
      <c r="X257" s="124">
        <f t="shared" si="1569"/>
        <v>1.075</v>
      </c>
      <c r="Y257" s="126"/>
      <c r="Z257" s="126"/>
      <c r="AA257" s="90">
        <f t="shared" ref="AA257:AB257" si="1613">AA256</f>
        <v>5.0149999999999997</v>
      </c>
      <c r="AB257" s="73" t="str">
        <f t="shared" si="1613"/>
        <v>9,05,040</v>
      </c>
      <c r="AC257" s="11" t="str">
        <f t="shared" si="1323"/>
        <v>9,</v>
      </c>
      <c r="AD257" s="11" t="str">
        <f t="shared" si="1324"/>
        <v>05,040</v>
      </c>
      <c r="AE257" s="11">
        <f t="shared" si="1325"/>
        <v>0.15139999999999998</v>
      </c>
      <c r="AF257" s="14">
        <f t="shared" si="1326"/>
        <v>33.124174372523122</v>
      </c>
      <c r="AG257" s="40">
        <f t="shared" si="1327"/>
        <v>-100</v>
      </c>
      <c r="AH257" s="39">
        <f t="shared" si="1577"/>
        <v>19.600000000000001</v>
      </c>
      <c r="AI257" s="124">
        <f t="shared" si="1577"/>
        <v>1.0860000000000001</v>
      </c>
      <c r="AJ257" s="124">
        <f t="shared" si="1577"/>
        <v>1.0780000000000001</v>
      </c>
      <c r="AK257" s="126">
        <f t="shared" si="1328"/>
        <v>0</v>
      </c>
      <c r="AL257" s="126"/>
      <c r="AM257" s="34">
        <f t="shared" ref="AM257:AN257" si="1614">AM256</f>
        <v>2.0059999999999998</v>
      </c>
      <c r="AN257" s="33" t="str">
        <f t="shared" si="1614"/>
        <v>5,40,620</v>
      </c>
      <c r="AO257" s="11" t="str">
        <f t="shared" si="1330"/>
        <v>5,</v>
      </c>
      <c r="AP257" s="11" t="str">
        <f t="shared" si="1331"/>
        <v>40,620</v>
      </c>
      <c r="AQ257" s="11">
        <f t="shared" si="1332"/>
        <v>9.4616666666666668E-2</v>
      </c>
      <c r="AR257" s="14">
        <f t="shared" si="1333"/>
        <v>21.201338735247486</v>
      </c>
      <c r="AS257" s="40">
        <f t="shared" si="1334"/>
        <v>-100</v>
      </c>
      <c r="AT257" s="41" t="str">
        <f t="shared" si="1335"/>
        <v>NO CONFORME</v>
      </c>
      <c r="AU257" s="8" t="b">
        <f t="shared" si="1257"/>
        <v>1</v>
      </c>
      <c r="AV257" s="8" t="b">
        <f t="shared" si="1258"/>
        <v>0</v>
      </c>
      <c r="AW257" s="8" t="b">
        <f t="shared" si="1259"/>
        <v>1</v>
      </c>
      <c r="AX257" s="8" t="str">
        <f t="shared" si="1260"/>
        <v>Qcorrecto</v>
      </c>
      <c r="AY257" s="22" t="str">
        <f t="shared" si="1240"/>
        <v>aceptable</v>
      </c>
      <c r="AZ257" s="22" t="str">
        <f t="shared" si="1241"/>
        <v>aceptable</v>
      </c>
      <c r="BA257" s="22" t="str">
        <f t="shared" si="1261"/>
        <v>aceptable</v>
      </c>
      <c r="BB257" s="25" t="str">
        <f t="shared" si="1262"/>
        <v>NO CONFORME</v>
      </c>
      <c r="BC257" s="5" t="str">
        <f t="shared" si="1263"/>
        <v>NO CONFORME</v>
      </c>
      <c r="BD257" s="15">
        <f t="shared" si="1242"/>
        <v>-1</v>
      </c>
      <c r="BE257" s="15">
        <f t="shared" si="1243"/>
        <v>-1</v>
      </c>
      <c r="BF257" s="15">
        <f t="shared" si="1244"/>
        <v>-1</v>
      </c>
      <c r="BG257" s="15" t="str">
        <f t="shared" si="1245"/>
        <v>-1-1-1</v>
      </c>
      <c r="BH257" s="15" t="str">
        <f t="shared" si="1246"/>
        <v>SD</v>
      </c>
      <c r="BI257" s="15" t="str">
        <f t="shared" si="1247"/>
        <v>SI</v>
      </c>
      <c r="BJ257" s="15" t="b">
        <f t="shared" si="1248"/>
        <v>1</v>
      </c>
      <c r="BK257" s="15" t="str">
        <f t="shared" si="1249"/>
        <v>SIGIGUALES</v>
      </c>
      <c r="BL257" s="22" t="str">
        <f t="shared" si="1250"/>
        <v>NO CONFORME</v>
      </c>
    </row>
    <row r="258" spans="1:64" ht="14.4" x14ac:dyDescent="0.3">
      <c r="A258" s="36">
        <v>250</v>
      </c>
      <c r="B258" s="28">
        <f t="shared" ref="B258:E258" si="1615">B257</f>
        <v>45903</v>
      </c>
      <c r="C258" s="28">
        <f t="shared" si="1615"/>
        <v>45903</v>
      </c>
      <c r="D258" s="12">
        <f t="shared" si="1615"/>
        <v>3</v>
      </c>
      <c r="E258" s="10">
        <f t="shared" si="1615"/>
        <v>11</v>
      </c>
      <c r="F258" s="13"/>
      <c r="G258" s="69"/>
      <c r="H258" s="70">
        <f t="shared" ref="H258:L258" si="1616">H257</f>
        <v>25.6</v>
      </c>
      <c r="I258" s="37">
        <f t="shared" si="1616"/>
        <v>0</v>
      </c>
      <c r="J258" s="35">
        <f t="shared" si="1616"/>
        <v>16</v>
      </c>
      <c r="K258" s="122">
        <f t="shared" si="1616"/>
        <v>8.1690000000000005</v>
      </c>
      <c r="L258" s="122">
        <f t="shared" si="1616"/>
        <v>0.879</v>
      </c>
      <c r="M258" s="126"/>
      <c r="N258" s="126"/>
      <c r="O258" s="32">
        <f t="shared" ref="O258:P258" si="1617">O257</f>
        <v>100.65</v>
      </c>
      <c r="P258" s="33" t="str">
        <f t="shared" si="1617"/>
        <v>2,31,180</v>
      </c>
      <c r="Q258" s="11" t="str">
        <f t="shared" si="1316"/>
        <v>2</v>
      </c>
      <c r="R258" s="11" t="str">
        <f t="shared" si="1317"/>
        <v>31,180</v>
      </c>
      <c r="S258" s="11">
        <f t="shared" si="1318"/>
        <v>4.1994444444444445E-2</v>
      </c>
      <c r="T258" s="14">
        <f t="shared" si="1319"/>
        <v>2396.7456012700095</v>
      </c>
      <c r="U258" s="38">
        <f t="shared" si="1320"/>
        <v>-100</v>
      </c>
      <c r="V258" s="39">
        <f t="shared" ref="V258:W258" si="1618">V257</f>
        <v>19.8</v>
      </c>
      <c r="W258" s="124">
        <f t="shared" si="1618"/>
        <v>1.08</v>
      </c>
      <c r="X258" s="124">
        <f t="shared" si="1569"/>
        <v>1.075</v>
      </c>
      <c r="Y258" s="126"/>
      <c r="Z258" s="126"/>
      <c r="AA258" s="90">
        <f t="shared" ref="AA258:AB258" si="1619">AA257</f>
        <v>5.0149999999999997</v>
      </c>
      <c r="AB258" s="73" t="str">
        <f t="shared" si="1619"/>
        <v>9,05,040</v>
      </c>
      <c r="AC258" s="11" t="str">
        <f t="shared" si="1323"/>
        <v>9,</v>
      </c>
      <c r="AD258" s="11" t="str">
        <f t="shared" si="1324"/>
        <v>05,040</v>
      </c>
      <c r="AE258" s="11">
        <f t="shared" si="1325"/>
        <v>0.15139999999999998</v>
      </c>
      <c r="AF258" s="14">
        <f t="shared" si="1326"/>
        <v>33.124174372523122</v>
      </c>
      <c r="AG258" s="40">
        <f t="shared" si="1327"/>
        <v>-100</v>
      </c>
      <c r="AH258" s="39">
        <f t="shared" si="1577"/>
        <v>19.600000000000001</v>
      </c>
      <c r="AI258" s="124">
        <f t="shared" si="1577"/>
        <v>1.0860000000000001</v>
      </c>
      <c r="AJ258" s="124">
        <f t="shared" si="1577"/>
        <v>1.0780000000000001</v>
      </c>
      <c r="AK258" s="126">
        <f t="shared" si="1328"/>
        <v>0</v>
      </c>
      <c r="AL258" s="126"/>
      <c r="AM258" s="34">
        <f t="shared" ref="AM258:AN258" si="1620">AM257</f>
        <v>2.0059999999999998</v>
      </c>
      <c r="AN258" s="33" t="str">
        <f t="shared" si="1620"/>
        <v>5,40,620</v>
      </c>
      <c r="AO258" s="11" t="str">
        <f t="shared" si="1330"/>
        <v>5,</v>
      </c>
      <c r="AP258" s="11" t="str">
        <f t="shared" si="1331"/>
        <v>40,620</v>
      </c>
      <c r="AQ258" s="11">
        <f t="shared" si="1332"/>
        <v>9.4616666666666668E-2</v>
      </c>
      <c r="AR258" s="14">
        <f t="shared" si="1333"/>
        <v>21.201338735247486</v>
      </c>
      <c r="AS258" s="40">
        <f t="shared" si="1334"/>
        <v>-100</v>
      </c>
      <c r="AT258" s="41" t="str">
        <f t="shared" si="1335"/>
        <v>NO CONFORME</v>
      </c>
      <c r="AU258" s="8" t="b">
        <f t="shared" si="1257"/>
        <v>1</v>
      </c>
      <c r="AV258" s="8" t="b">
        <f t="shared" si="1258"/>
        <v>0</v>
      </c>
      <c r="AW258" s="8" t="b">
        <f t="shared" si="1259"/>
        <v>1</v>
      </c>
      <c r="AX258" s="8" t="str">
        <f t="shared" si="1260"/>
        <v>Qcorrecto</v>
      </c>
      <c r="AY258" s="22" t="str">
        <f t="shared" si="1240"/>
        <v>aceptable</v>
      </c>
      <c r="AZ258" s="22" t="str">
        <f t="shared" si="1241"/>
        <v>aceptable</v>
      </c>
      <c r="BA258" s="22" t="str">
        <f t="shared" si="1261"/>
        <v>aceptable</v>
      </c>
      <c r="BB258" s="25" t="str">
        <f t="shared" si="1262"/>
        <v>NO CONFORME</v>
      </c>
      <c r="BC258" s="5" t="str">
        <f t="shared" si="1263"/>
        <v>NO CONFORME</v>
      </c>
      <c r="BD258" s="15">
        <f t="shared" si="1242"/>
        <v>-1</v>
      </c>
      <c r="BE258" s="15">
        <f t="shared" si="1243"/>
        <v>-1</v>
      </c>
      <c r="BF258" s="15">
        <f t="shared" si="1244"/>
        <v>-1</v>
      </c>
      <c r="BG258" s="15" t="str">
        <f t="shared" si="1245"/>
        <v>-1-1-1</v>
      </c>
      <c r="BH258" s="15" t="str">
        <f t="shared" si="1246"/>
        <v>SD</v>
      </c>
      <c r="BI258" s="15" t="str">
        <f t="shared" si="1247"/>
        <v>SI</v>
      </c>
      <c r="BJ258" s="15" t="b">
        <f t="shared" si="1248"/>
        <v>1</v>
      </c>
      <c r="BK258" s="15" t="str">
        <f t="shared" si="1249"/>
        <v>SIGIGUALES</v>
      </c>
      <c r="BL258" s="22" t="str">
        <f t="shared" si="1250"/>
        <v>NO CONFORME</v>
      </c>
    </row>
    <row r="259" spans="1:64" ht="14.4" x14ac:dyDescent="0.3">
      <c r="A259" s="36">
        <v>251</v>
      </c>
      <c r="B259" s="28">
        <f t="shared" ref="B259:E259" si="1621">B258</f>
        <v>45903</v>
      </c>
      <c r="C259" s="28">
        <f t="shared" si="1621"/>
        <v>45903</v>
      </c>
      <c r="D259" s="12">
        <f t="shared" si="1621"/>
        <v>3</v>
      </c>
      <c r="E259" s="10">
        <f t="shared" si="1621"/>
        <v>11</v>
      </c>
      <c r="F259" s="13"/>
      <c r="G259" s="69"/>
      <c r="H259" s="70">
        <f t="shared" ref="H259:L259" si="1622">H258</f>
        <v>25.6</v>
      </c>
      <c r="I259" s="37">
        <f t="shared" si="1622"/>
        <v>0</v>
      </c>
      <c r="J259" s="35">
        <f t="shared" si="1622"/>
        <v>16</v>
      </c>
      <c r="K259" s="122">
        <f t="shared" si="1622"/>
        <v>8.1690000000000005</v>
      </c>
      <c r="L259" s="122">
        <f t="shared" si="1622"/>
        <v>0.879</v>
      </c>
      <c r="M259" s="126"/>
      <c r="N259" s="126"/>
      <c r="O259" s="32">
        <f t="shared" ref="O259:P259" si="1623">O258</f>
        <v>100.65</v>
      </c>
      <c r="P259" s="33" t="str">
        <f t="shared" si="1623"/>
        <v>2,31,180</v>
      </c>
      <c r="Q259" s="11" t="str">
        <f t="shared" si="1316"/>
        <v>2</v>
      </c>
      <c r="R259" s="11" t="str">
        <f t="shared" si="1317"/>
        <v>31,180</v>
      </c>
      <c r="S259" s="11">
        <f t="shared" si="1318"/>
        <v>4.1994444444444445E-2</v>
      </c>
      <c r="T259" s="14">
        <f t="shared" si="1319"/>
        <v>2396.7456012700095</v>
      </c>
      <c r="U259" s="38">
        <f t="shared" si="1320"/>
        <v>-100</v>
      </c>
      <c r="V259" s="39">
        <f t="shared" ref="V259:W259" si="1624">V258</f>
        <v>19.8</v>
      </c>
      <c r="W259" s="124">
        <f t="shared" si="1624"/>
        <v>1.08</v>
      </c>
      <c r="X259" s="124">
        <f t="shared" si="1569"/>
        <v>1.075</v>
      </c>
      <c r="Y259" s="126"/>
      <c r="Z259" s="126"/>
      <c r="AA259" s="90">
        <f t="shared" ref="AA259:AB259" si="1625">AA258</f>
        <v>5.0149999999999997</v>
      </c>
      <c r="AB259" s="73" t="str">
        <f t="shared" si="1625"/>
        <v>9,05,040</v>
      </c>
      <c r="AC259" s="11" t="str">
        <f t="shared" si="1323"/>
        <v>9,</v>
      </c>
      <c r="AD259" s="11" t="str">
        <f t="shared" si="1324"/>
        <v>05,040</v>
      </c>
      <c r="AE259" s="11">
        <f t="shared" si="1325"/>
        <v>0.15139999999999998</v>
      </c>
      <c r="AF259" s="14">
        <f t="shared" si="1326"/>
        <v>33.124174372523122</v>
      </c>
      <c r="AG259" s="40">
        <f t="shared" si="1327"/>
        <v>-100</v>
      </c>
      <c r="AH259" s="39">
        <f t="shared" si="1577"/>
        <v>19.600000000000001</v>
      </c>
      <c r="AI259" s="124">
        <f t="shared" si="1577"/>
        <v>1.0860000000000001</v>
      </c>
      <c r="AJ259" s="124">
        <f t="shared" si="1577"/>
        <v>1.0780000000000001</v>
      </c>
      <c r="AK259" s="126">
        <f t="shared" si="1328"/>
        <v>0</v>
      </c>
      <c r="AL259" s="126"/>
      <c r="AM259" s="34">
        <f t="shared" ref="AM259:AN259" si="1626">AM258</f>
        <v>2.0059999999999998</v>
      </c>
      <c r="AN259" s="33" t="str">
        <f t="shared" si="1626"/>
        <v>5,40,620</v>
      </c>
      <c r="AO259" s="11" t="str">
        <f t="shared" si="1330"/>
        <v>5,</v>
      </c>
      <c r="AP259" s="11" t="str">
        <f t="shared" si="1331"/>
        <v>40,620</v>
      </c>
      <c r="AQ259" s="11">
        <f t="shared" si="1332"/>
        <v>9.4616666666666668E-2</v>
      </c>
      <c r="AR259" s="14">
        <f t="shared" si="1333"/>
        <v>21.201338735247486</v>
      </c>
      <c r="AS259" s="40">
        <f t="shared" si="1334"/>
        <v>-100</v>
      </c>
      <c r="AT259" s="41" t="str">
        <f t="shared" si="1335"/>
        <v>NO CONFORME</v>
      </c>
      <c r="AU259" s="8" t="b">
        <f t="shared" si="1257"/>
        <v>1</v>
      </c>
      <c r="AV259" s="8" t="b">
        <f t="shared" si="1258"/>
        <v>0</v>
      </c>
      <c r="AW259" s="8" t="b">
        <f t="shared" si="1259"/>
        <v>1</v>
      </c>
      <c r="AX259" s="8" t="str">
        <f t="shared" si="1260"/>
        <v>Qcorrecto</v>
      </c>
      <c r="AY259" s="22" t="str">
        <f t="shared" si="1240"/>
        <v>aceptable</v>
      </c>
      <c r="AZ259" s="22" t="str">
        <f t="shared" si="1241"/>
        <v>aceptable</v>
      </c>
      <c r="BA259" s="22" t="str">
        <f t="shared" si="1261"/>
        <v>aceptable</v>
      </c>
      <c r="BB259" s="25" t="str">
        <f t="shared" si="1262"/>
        <v>NO CONFORME</v>
      </c>
      <c r="BC259" s="5" t="str">
        <f t="shared" si="1263"/>
        <v>NO CONFORME</v>
      </c>
      <c r="BD259" s="15">
        <f t="shared" si="1242"/>
        <v>-1</v>
      </c>
      <c r="BE259" s="15">
        <f t="shared" si="1243"/>
        <v>-1</v>
      </c>
      <c r="BF259" s="15">
        <f t="shared" si="1244"/>
        <v>-1</v>
      </c>
      <c r="BG259" s="15" t="str">
        <f t="shared" si="1245"/>
        <v>-1-1-1</v>
      </c>
      <c r="BH259" s="15" t="str">
        <f t="shared" si="1246"/>
        <v>SD</v>
      </c>
      <c r="BI259" s="15" t="str">
        <f t="shared" si="1247"/>
        <v>SI</v>
      </c>
      <c r="BJ259" s="15" t="b">
        <f t="shared" si="1248"/>
        <v>1</v>
      </c>
      <c r="BK259" s="15" t="str">
        <f t="shared" si="1249"/>
        <v>SIGIGUALES</v>
      </c>
      <c r="BL259" s="22" t="str">
        <f t="shared" si="1250"/>
        <v>NO CONFORME</v>
      </c>
    </row>
    <row r="260" spans="1:64" ht="14.4" x14ac:dyDescent="0.3">
      <c r="A260" s="36">
        <v>252</v>
      </c>
      <c r="B260" s="28">
        <f t="shared" ref="B260:E260" si="1627">B259</f>
        <v>45903</v>
      </c>
      <c r="C260" s="28">
        <f t="shared" si="1627"/>
        <v>45903</v>
      </c>
      <c r="D260" s="12">
        <f t="shared" si="1627"/>
        <v>3</v>
      </c>
      <c r="E260" s="10">
        <f t="shared" si="1627"/>
        <v>11</v>
      </c>
      <c r="F260" s="13"/>
      <c r="G260" s="69"/>
      <c r="H260" s="70">
        <f t="shared" ref="H260:L260" si="1628">H259</f>
        <v>25.6</v>
      </c>
      <c r="I260" s="37">
        <f t="shared" si="1628"/>
        <v>0</v>
      </c>
      <c r="J260" s="35">
        <f t="shared" si="1628"/>
        <v>16</v>
      </c>
      <c r="K260" s="122">
        <f t="shared" si="1628"/>
        <v>8.1690000000000005</v>
      </c>
      <c r="L260" s="122">
        <f t="shared" si="1628"/>
        <v>0.879</v>
      </c>
      <c r="M260" s="126"/>
      <c r="N260" s="126"/>
      <c r="O260" s="32">
        <f t="shared" ref="O260:P260" si="1629">O259</f>
        <v>100.65</v>
      </c>
      <c r="P260" s="33" t="str">
        <f t="shared" si="1629"/>
        <v>2,31,180</v>
      </c>
      <c r="Q260" s="11" t="str">
        <f t="shared" si="1316"/>
        <v>2</v>
      </c>
      <c r="R260" s="11" t="str">
        <f t="shared" si="1317"/>
        <v>31,180</v>
      </c>
      <c r="S260" s="11">
        <f t="shared" si="1318"/>
        <v>4.1994444444444445E-2</v>
      </c>
      <c r="T260" s="14">
        <f t="shared" si="1319"/>
        <v>2396.7456012700095</v>
      </c>
      <c r="U260" s="38">
        <f t="shared" si="1320"/>
        <v>-100</v>
      </c>
      <c r="V260" s="39">
        <f t="shared" ref="V260:W260" si="1630">V259</f>
        <v>19.8</v>
      </c>
      <c r="W260" s="124">
        <f t="shared" si="1630"/>
        <v>1.08</v>
      </c>
      <c r="X260" s="124">
        <f t="shared" si="1569"/>
        <v>1.075</v>
      </c>
      <c r="Y260" s="126"/>
      <c r="Z260" s="126"/>
      <c r="AA260" s="90">
        <f t="shared" ref="AA260:AB260" si="1631">AA259</f>
        <v>5.0149999999999997</v>
      </c>
      <c r="AB260" s="73" t="str">
        <f t="shared" si="1631"/>
        <v>9,05,040</v>
      </c>
      <c r="AC260" s="11" t="str">
        <f t="shared" si="1323"/>
        <v>9,</v>
      </c>
      <c r="AD260" s="11" t="str">
        <f t="shared" si="1324"/>
        <v>05,040</v>
      </c>
      <c r="AE260" s="11">
        <f t="shared" si="1325"/>
        <v>0.15139999999999998</v>
      </c>
      <c r="AF260" s="14">
        <f t="shared" si="1326"/>
        <v>33.124174372523122</v>
      </c>
      <c r="AG260" s="40">
        <f t="shared" si="1327"/>
        <v>-100</v>
      </c>
      <c r="AH260" s="39">
        <f t="shared" si="1577"/>
        <v>19.600000000000001</v>
      </c>
      <c r="AI260" s="124">
        <f t="shared" si="1577"/>
        <v>1.0860000000000001</v>
      </c>
      <c r="AJ260" s="124">
        <f t="shared" si="1577"/>
        <v>1.0780000000000001</v>
      </c>
      <c r="AK260" s="126">
        <f t="shared" si="1328"/>
        <v>0</v>
      </c>
      <c r="AL260" s="126"/>
      <c r="AM260" s="34">
        <f t="shared" ref="AM260:AN260" si="1632">AM259</f>
        <v>2.0059999999999998</v>
      </c>
      <c r="AN260" s="33" t="str">
        <f t="shared" si="1632"/>
        <v>5,40,620</v>
      </c>
      <c r="AO260" s="11" t="str">
        <f t="shared" si="1330"/>
        <v>5,</v>
      </c>
      <c r="AP260" s="11" t="str">
        <f t="shared" si="1331"/>
        <v>40,620</v>
      </c>
      <c r="AQ260" s="11">
        <f t="shared" si="1332"/>
        <v>9.4616666666666668E-2</v>
      </c>
      <c r="AR260" s="14">
        <f t="shared" si="1333"/>
        <v>21.201338735247486</v>
      </c>
      <c r="AS260" s="40">
        <f t="shared" si="1334"/>
        <v>-100</v>
      </c>
      <c r="AT260" s="41" t="str">
        <f t="shared" si="1335"/>
        <v>NO CONFORME</v>
      </c>
      <c r="AU260" s="8" t="b">
        <f t="shared" si="1257"/>
        <v>1</v>
      </c>
      <c r="AV260" s="8" t="b">
        <f t="shared" si="1258"/>
        <v>0</v>
      </c>
      <c r="AW260" s="8" t="b">
        <f t="shared" si="1259"/>
        <v>1</v>
      </c>
      <c r="AX260" s="8" t="str">
        <f t="shared" si="1260"/>
        <v>Qcorrecto</v>
      </c>
      <c r="AY260" s="22" t="str">
        <f t="shared" si="1240"/>
        <v>aceptable</v>
      </c>
      <c r="AZ260" s="22" t="str">
        <f t="shared" si="1241"/>
        <v>aceptable</v>
      </c>
      <c r="BA260" s="22" t="str">
        <f t="shared" si="1261"/>
        <v>aceptable</v>
      </c>
      <c r="BB260" s="25" t="str">
        <f t="shared" si="1262"/>
        <v>NO CONFORME</v>
      </c>
      <c r="BC260" s="5" t="str">
        <f t="shared" si="1263"/>
        <v>NO CONFORME</v>
      </c>
      <c r="BD260" s="15">
        <f t="shared" si="1242"/>
        <v>-1</v>
      </c>
      <c r="BE260" s="15">
        <f t="shared" si="1243"/>
        <v>-1</v>
      </c>
      <c r="BF260" s="15">
        <f t="shared" si="1244"/>
        <v>-1</v>
      </c>
      <c r="BG260" s="15" t="str">
        <f t="shared" si="1245"/>
        <v>-1-1-1</v>
      </c>
      <c r="BH260" s="15" t="str">
        <f t="shared" si="1246"/>
        <v>SD</v>
      </c>
      <c r="BI260" s="15" t="str">
        <f t="shared" si="1247"/>
        <v>SI</v>
      </c>
      <c r="BJ260" s="15" t="b">
        <f t="shared" si="1248"/>
        <v>1</v>
      </c>
      <c r="BK260" s="15" t="str">
        <f t="shared" si="1249"/>
        <v>SIGIGUALES</v>
      </c>
      <c r="BL260" s="22" t="str">
        <f t="shared" si="1250"/>
        <v>NO CONFORME</v>
      </c>
    </row>
    <row r="261" spans="1:64" ht="14.4" x14ac:dyDescent="0.3">
      <c r="A261" s="36">
        <v>253</v>
      </c>
      <c r="B261" s="28">
        <f t="shared" ref="B261:E261" si="1633">B260</f>
        <v>45903</v>
      </c>
      <c r="C261" s="28">
        <f t="shared" si="1633"/>
        <v>45903</v>
      </c>
      <c r="D261" s="12">
        <f t="shared" si="1633"/>
        <v>3</v>
      </c>
      <c r="E261" s="10">
        <f t="shared" si="1633"/>
        <v>11</v>
      </c>
      <c r="F261" s="13"/>
      <c r="G261" s="69"/>
      <c r="H261" s="70">
        <f t="shared" ref="H261:L261" si="1634">H260</f>
        <v>25.6</v>
      </c>
      <c r="I261" s="37">
        <f t="shared" si="1634"/>
        <v>0</v>
      </c>
      <c r="J261" s="35">
        <f t="shared" si="1634"/>
        <v>16</v>
      </c>
      <c r="K261" s="122">
        <f t="shared" si="1634"/>
        <v>8.1690000000000005</v>
      </c>
      <c r="L261" s="122">
        <f t="shared" si="1634"/>
        <v>0.879</v>
      </c>
      <c r="M261" s="126"/>
      <c r="N261" s="126"/>
      <c r="O261" s="32">
        <f t="shared" ref="O261:P261" si="1635">O260</f>
        <v>100.65</v>
      </c>
      <c r="P261" s="33" t="str">
        <f t="shared" si="1635"/>
        <v>2,31,180</v>
      </c>
      <c r="Q261" s="11" t="str">
        <f t="shared" si="1316"/>
        <v>2</v>
      </c>
      <c r="R261" s="11" t="str">
        <f t="shared" si="1317"/>
        <v>31,180</v>
      </c>
      <c r="S261" s="11">
        <f t="shared" si="1318"/>
        <v>4.1994444444444445E-2</v>
      </c>
      <c r="T261" s="14">
        <f t="shared" si="1319"/>
        <v>2396.7456012700095</v>
      </c>
      <c r="U261" s="38">
        <f t="shared" si="1320"/>
        <v>-100</v>
      </c>
      <c r="V261" s="39">
        <f t="shared" ref="V261:W261" si="1636">V260</f>
        <v>19.8</v>
      </c>
      <c r="W261" s="124">
        <f t="shared" si="1636"/>
        <v>1.08</v>
      </c>
      <c r="X261" s="124">
        <f t="shared" si="1569"/>
        <v>1.075</v>
      </c>
      <c r="Y261" s="126"/>
      <c r="Z261" s="126"/>
      <c r="AA261" s="90">
        <f t="shared" ref="AA261:AB261" si="1637">AA260</f>
        <v>5.0149999999999997</v>
      </c>
      <c r="AB261" s="73" t="str">
        <f t="shared" si="1637"/>
        <v>9,05,040</v>
      </c>
      <c r="AC261" s="11" t="str">
        <f t="shared" si="1323"/>
        <v>9,</v>
      </c>
      <c r="AD261" s="11" t="str">
        <f t="shared" si="1324"/>
        <v>05,040</v>
      </c>
      <c r="AE261" s="11">
        <f t="shared" si="1325"/>
        <v>0.15139999999999998</v>
      </c>
      <c r="AF261" s="14">
        <f t="shared" si="1326"/>
        <v>33.124174372523122</v>
      </c>
      <c r="AG261" s="40">
        <f t="shared" si="1327"/>
        <v>-100</v>
      </c>
      <c r="AH261" s="39">
        <f t="shared" si="1577"/>
        <v>19.600000000000001</v>
      </c>
      <c r="AI261" s="124">
        <f t="shared" si="1577"/>
        <v>1.0860000000000001</v>
      </c>
      <c r="AJ261" s="124">
        <f t="shared" si="1577"/>
        <v>1.0780000000000001</v>
      </c>
      <c r="AK261" s="126">
        <f t="shared" si="1328"/>
        <v>0</v>
      </c>
      <c r="AL261" s="126"/>
      <c r="AM261" s="34">
        <f t="shared" ref="AM261:AN261" si="1638">AM260</f>
        <v>2.0059999999999998</v>
      </c>
      <c r="AN261" s="33" t="str">
        <f t="shared" si="1638"/>
        <v>5,40,620</v>
      </c>
      <c r="AO261" s="11" t="str">
        <f t="shared" si="1330"/>
        <v>5,</v>
      </c>
      <c r="AP261" s="11" t="str">
        <f t="shared" si="1331"/>
        <v>40,620</v>
      </c>
      <c r="AQ261" s="11">
        <f t="shared" si="1332"/>
        <v>9.4616666666666668E-2</v>
      </c>
      <c r="AR261" s="14">
        <f t="shared" si="1333"/>
        <v>21.201338735247486</v>
      </c>
      <c r="AS261" s="40">
        <f t="shared" si="1334"/>
        <v>-100</v>
      </c>
      <c r="AT261" s="41" t="str">
        <f t="shared" si="1335"/>
        <v>NO CONFORME</v>
      </c>
      <c r="AU261" s="8" t="b">
        <f t="shared" si="1257"/>
        <v>1</v>
      </c>
      <c r="AV261" s="8" t="b">
        <f t="shared" si="1258"/>
        <v>0</v>
      </c>
      <c r="AW261" s="8" t="b">
        <f t="shared" si="1259"/>
        <v>1</v>
      </c>
      <c r="AX261" s="8" t="str">
        <f t="shared" si="1260"/>
        <v>Qcorrecto</v>
      </c>
      <c r="AY261" s="22" t="str">
        <f t="shared" si="1240"/>
        <v>aceptable</v>
      </c>
      <c r="AZ261" s="22" t="str">
        <f t="shared" si="1241"/>
        <v>aceptable</v>
      </c>
      <c r="BA261" s="22" t="str">
        <f t="shared" si="1261"/>
        <v>aceptable</v>
      </c>
      <c r="BB261" s="25" t="str">
        <f t="shared" si="1262"/>
        <v>NO CONFORME</v>
      </c>
      <c r="BC261" s="5" t="str">
        <f t="shared" si="1263"/>
        <v>NO CONFORME</v>
      </c>
      <c r="BD261" s="15">
        <f t="shared" si="1242"/>
        <v>-1</v>
      </c>
      <c r="BE261" s="15">
        <f t="shared" si="1243"/>
        <v>-1</v>
      </c>
      <c r="BF261" s="15">
        <f t="shared" si="1244"/>
        <v>-1</v>
      </c>
      <c r="BG261" s="15" t="str">
        <f t="shared" si="1245"/>
        <v>-1-1-1</v>
      </c>
      <c r="BH261" s="15" t="str">
        <f t="shared" si="1246"/>
        <v>SD</v>
      </c>
      <c r="BI261" s="15" t="str">
        <f t="shared" si="1247"/>
        <v>SI</v>
      </c>
      <c r="BJ261" s="15" t="b">
        <f t="shared" si="1248"/>
        <v>1</v>
      </c>
      <c r="BK261" s="15" t="str">
        <f t="shared" si="1249"/>
        <v>SIGIGUALES</v>
      </c>
      <c r="BL261" s="22" t="str">
        <f t="shared" si="1250"/>
        <v>NO CONFORME</v>
      </c>
    </row>
    <row r="262" spans="1:64" ht="14.4" x14ac:dyDescent="0.3">
      <c r="A262" s="36">
        <v>254</v>
      </c>
      <c r="B262" s="28">
        <f t="shared" ref="B262:E262" si="1639">B261</f>
        <v>45903</v>
      </c>
      <c r="C262" s="28">
        <f t="shared" si="1639"/>
        <v>45903</v>
      </c>
      <c r="D262" s="12">
        <f t="shared" si="1639"/>
        <v>3</v>
      </c>
      <c r="E262" s="10">
        <f t="shared" si="1639"/>
        <v>11</v>
      </c>
      <c r="F262" s="13"/>
      <c r="G262" s="69"/>
      <c r="H262" s="70">
        <f t="shared" ref="H262:L262" si="1640">H261</f>
        <v>25.6</v>
      </c>
      <c r="I262" s="37">
        <f t="shared" si="1640"/>
        <v>0</v>
      </c>
      <c r="J262" s="35">
        <f t="shared" si="1640"/>
        <v>16</v>
      </c>
      <c r="K262" s="122">
        <f t="shared" si="1640"/>
        <v>8.1690000000000005</v>
      </c>
      <c r="L262" s="122">
        <f t="shared" si="1640"/>
        <v>0.879</v>
      </c>
      <c r="M262" s="126"/>
      <c r="N262" s="126"/>
      <c r="O262" s="32">
        <f t="shared" ref="O262:P262" si="1641">O261</f>
        <v>100.65</v>
      </c>
      <c r="P262" s="33" t="str">
        <f t="shared" si="1641"/>
        <v>2,31,180</v>
      </c>
      <c r="Q262" s="11" t="str">
        <f t="shared" si="1316"/>
        <v>2</v>
      </c>
      <c r="R262" s="11" t="str">
        <f t="shared" si="1317"/>
        <v>31,180</v>
      </c>
      <c r="S262" s="11">
        <f t="shared" si="1318"/>
        <v>4.1994444444444445E-2</v>
      </c>
      <c r="T262" s="14">
        <f t="shared" si="1319"/>
        <v>2396.7456012700095</v>
      </c>
      <c r="U262" s="38">
        <f t="shared" si="1320"/>
        <v>-100</v>
      </c>
      <c r="V262" s="39">
        <f t="shared" ref="V262:W262" si="1642">V261</f>
        <v>19.8</v>
      </c>
      <c r="W262" s="124">
        <f t="shared" si="1642"/>
        <v>1.08</v>
      </c>
      <c r="X262" s="124">
        <f t="shared" si="1569"/>
        <v>1.075</v>
      </c>
      <c r="Y262" s="126"/>
      <c r="Z262" s="126"/>
      <c r="AA262" s="90">
        <f t="shared" ref="AA262:AB262" si="1643">AA261</f>
        <v>5.0149999999999997</v>
      </c>
      <c r="AB262" s="73" t="str">
        <f t="shared" si="1643"/>
        <v>9,05,040</v>
      </c>
      <c r="AC262" s="11" t="str">
        <f t="shared" si="1323"/>
        <v>9,</v>
      </c>
      <c r="AD262" s="11" t="str">
        <f t="shared" si="1324"/>
        <v>05,040</v>
      </c>
      <c r="AE262" s="11">
        <f t="shared" si="1325"/>
        <v>0.15139999999999998</v>
      </c>
      <c r="AF262" s="14">
        <f t="shared" si="1326"/>
        <v>33.124174372523122</v>
      </c>
      <c r="AG262" s="40">
        <f t="shared" si="1327"/>
        <v>-100</v>
      </c>
      <c r="AH262" s="39">
        <f t="shared" si="1577"/>
        <v>19.600000000000001</v>
      </c>
      <c r="AI262" s="124">
        <f t="shared" si="1577"/>
        <v>1.0860000000000001</v>
      </c>
      <c r="AJ262" s="124">
        <f t="shared" si="1577"/>
        <v>1.0780000000000001</v>
      </c>
      <c r="AK262" s="126">
        <f t="shared" si="1328"/>
        <v>0</v>
      </c>
      <c r="AL262" s="126"/>
      <c r="AM262" s="34">
        <f t="shared" ref="AM262:AN262" si="1644">AM261</f>
        <v>2.0059999999999998</v>
      </c>
      <c r="AN262" s="33" t="str">
        <f t="shared" si="1644"/>
        <v>5,40,620</v>
      </c>
      <c r="AO262" s="11" t="str">
        <f t="shared" si="1330"/>
        <v>5,</v>
      </c>
      <c r="AP262" s="11" t="str">
        <f t="shared" si="1331"/>
        <v>40,620</v>
      </c>
      <c r="AQ262" s="11">
        <f t="shared" si="1332"/>
        <v>9.4616666666666668E-2</v>
      </c>
      <c r="AR262" s="14">
        <f t="shared" si="1333"/>
        <v>21.201338735247486</v>
      </c>
      <c r="AS262" s="40">
        <f t="shared" si="1334"/>
        <v>-100</v>
      </c>
      <c r="AT262" s="41" t="str">
        <f t="shared" si="1335"/>
        <v>NO CONFORME</v>
      </c>
      <c r="AU262" s="8" t="b">
        <f t="shared" si="1257"/>
        <v>1</v>
      </c>
      <c r="AV262" s="8" t="b">
        <f t="shared" si="1258"/>
        <v>0</v>
      </c>
      <c r="AW262" s="8" t="b">
        <f t="shared" si="1259"/>
        <v>1</v>
      </c>
      <c r="AX262" s="8" t="str">
        <f t="shared" si="1260"/>
        <v>Qcorrecto</v>
      </c>
      <c r="AY262" s="22" t="str">
        <f t="shared" si="1240"/>
        <v>aceptable</v>
      </c>
      <c r="AZ262" s="22" t="str">
        <f t="shared" si="1241"/>
        <v>aceptable</v>
      </c>
      <c r="BA262" s="22" t="str">
        <f t="shared" si="1261"/>
        <v>aceptable</v>
      </c>
      <c r="BB262" s="25" t="str">
        <f t="shared" si="1262"/>
        <v>NO CONFORME</v>
      </c>
      <c r="BC262" s="5" t="str">
        <f t="shared" si="1263"/>
        <v>NO CONFORME</v>
      </c>
      <c r="BD262" s="15">
        <f t="shared" si="1242"/>
        <v>-1</v>
      </c>
      <c r="BE262" s="15">
        <f t="shared" si="1243"/>
        <v>-1</v>
      </c>
      <c r="BF262" s="15">
        <f t="shared" si="1244"/>
        <v>-1</v>
      </c>
      <c r="BG262" s="15" t="str">
        <f t="shared" si="1245"/>
        <v>-1-1-1</v>
      </c>
      <c r="BH262" s="15" t="str">
        <f t="shared" si="1246"/>
        <v>SD</v>
      </c>
      <c r="BI262" s="15" t="str">
        <f t="shared" si="1247"/>
        <v>SI</v>
      </c>
      <c r="BJ262" s="15" t="b">
        <f t="shared" si="1248"/>
        <v>1</v>
      </c>
      <c r="BK262" s="15" t="str">
        <f t="shared" si="1249"/>
        <v>SIGIGUALES</v>
      </c>
      <c r="BL262" s="22" t="str">
        <f t="shared" si="1250"/>
        <v>NO CONFORME</v>
      </c>
    </row>
    <row r="263" spans="1:64" ht="14.4" x14ac:dyDescent="0.3">
      <c r="A263" s="36">
        <v>255</v>
      </c>
      <c r="B263" s="28">
        <f t="shared" ref="B263:E263" si="1645">B262</f>
        <v>45903</v>
      </c>
      <c r="C263" s="28">
        <f t="shared" si="1645"/>
        <v>45903</v>
      </c>
      <c r="D263" s="12">
        <f t="shared" si="1645"/>
        <v>3</v>
      </c>
      <c r="E263" s="10">
        <f t="shared" si="1645"/>
        <v>11</v>
      </c>
      <c r="F263" s="13"/>
      <c r="G263" s="69"/>
      <c r="H263" s="70">
        <f t="shared" ref="H263:L263" si="1646">H262</f>
        <v>25.6</v>
      </c>
      <c r="I263" s="37">
        <f t="shared" si="1646"/>
        <v>0</v>
      </c>
      <c r="J263" s="35">
        <f t="shared" si="1646"/>
        <v>16</v>
      </c>
      <c r="K263" s="122">
        <f t="shared" si="1646"/>
        <v>8.1690000000000005</v>
      </c>
      <c r="L263" s="122">
        <f t="shared" si="1646"/>
        <v>0.879</v>
      </c>
      <c r="M263" s="126"/>
      <c r="N263" s="126"/>
      <c r="O263" s="32">
        <f t="shared" ref="O263:P263" si="1647">O262</f>
        <v>100.65</v>
      </c>
      <c r="P263" s="33" t="str">
        <f t="shared" si="1647"/>
        <v>2,31,180</v>
      </c>
      <c r="Q263" s="11" t="str">
        <f t="shared" si="1316"/>
        <v>2</v>
      </c>
      <c r="R263" s="11" t="str">
        <f t="shared" si="1317"/>
        <v>31,180</v>
      </c>
      <c r="S263" s="11">
        <f t="shared" si="1318"/>
        <v>4.1994444444444445E-2</v>
      </c>
      <c r="T263" s="14">
        <f t="shared" si="1319"/>
        <v>2396.7456012700095</v>
      </c>
      <c r="U263" s="38">
        <f t="shared" si="1320"/>
        <v>-100</v>
      </c>
      <c r="V263" s="39">
        <f t="shared" ref="V263:W263" si="1648">V262</f>
        <v>19.8</v>
      </c>
      <c r="W263" s="124">
        <f t="shared" si="1648"/>
        <v>1.08</v>
      </c>
      <c r="X263" s="124">
        <f t="shared" si="1569"/>
        <v>1.075</v>
      </c>
      <c r="Y263" s="126"/>
      <c r="Z263" s="126"/>
      <c r="AA263" s="90">
        <f t="shared" ref="AA263:AB263" si="1649">AA262</f>
        <v>5.0149999999999997</v>
      </c>
      <c r="AB263" s="73" t="str">
        <f t="shared" si="1649"/>
        <v>9,05,040</v>
      </c>
      <c r="AC263" s="11" t="str">
        <f t="shared" si="1323"/>
        <v>9,</v>
      </c>
      <c r="AD263" s="11" t="str">
        <f t="shared" si="1324"/>
        <v>05,040</v>
      </c>
      <c r="AE263" s="11">
        <f t="shared" si="1325"/>
        <v>0.15139999999999998</v>
      </c>
      <c r="AF263" s="14">
        <f t="shared" si="1326"/>
        <v>33.124174372523122</v>
      </c>
      <c r="AG263" s="40">
        <f t="shared" si="1327"/>
        <v>-100</v>
      </c>
      <c r="AH263" s="39">
        <f t="shared" si="1577"/>
        <v>19.600000000000001</v>
      </c>
      <c r="AI263" s="124">
        <f t="shared" si="1577"/>
        <v>1.0860000000000001</v>
      </c>
      <c r="AJ263" s="124">
        <f t="shared" si="1577"/>
        <v>1.0780000000000001</v>
      </c>
      <c r="AK263" s="126">
        <f t="shared" si="1328"/>
        <v>0</v>
      </c>
      <c r="AL263" s="126"/>
      <c r="AM263" s="34">
        <f t="shared" ref="AM263:AN263" si="1650">AM262</f>
        <v>2.0059999999999998</v>
      </c>
      <c r="AN263" s="33" t="str">
        <f t="shared" si="1650"/>
        <v>5,40,620</v>
      </c>
      <c r="AO263" s="11" t="str">
        <f t="shared" si="1330"/>
        <v>5,</v>
      </c>
      <c r="AP263" s="11" t="str">
        <f t="shared" si="1331"/>
        <v>40,620</v>
      </c>
      <c r="AQ263" s="11">
        <f t="shared" si="1332"/>
        <v>9.4616666666666668E-2</v>
      </c>
      <c r="AR263" s="14">
        <f t="shared" si="1333"/>
        <v>21.201338735247486</v>
      </c>
      <c r="AS263" s="40">
        <f t="shared" si="1334"/>
        <v>-100</v>
      </c>
      <c r="AT263" s="41" t="str">
        <f t="shared" si="1335"/>
        <v>NO CONFORME</v>
      </c>
      <c r="AU263" s="8" t="b">
        <f t="shared" si="1257"/>
        <v>1</v>
      </c>
      <c r="AV263" s="8" t="b">
        <f t="shared" si="1258"/>
        <v>0</v>
      </c>
      <c r="AW263" s="8" t="b">
        <f t="shared" si="1259"/>
        <v>1</v>
      </c>
      <c r="AX263" s="8" t="str">
        <f t="shared" si="1260"/>
        <v>Qcorrecto</v>
      </c>
      <c r="AY263" s="22" t="str">
        <f t="shared" si="1240"/>
        <v>aceptable</v>
      </c>
      <c r="AZ263" s="22" t="str">
        <f t="shared" si="1241"/>
        <v>aceptable</v>
      </c>
      <c r="BA263" s="22" t="str">
        <f t="shared" si="1261"/>
        <v>aceptable</v>
      </c>
      <c r="BB263" s="25" t="str">
        <f t="shared" si="1262"/>
        <v>NO CONFORME</v>
      </c>
      <c r="BC263" s="5" t="str">
        <f t="shared" si="1263"/>
        <v>NO CONFORME</v>
      </c>
      <c r="BD263" s="15">
        <f t="shared" si="1242"/>
        <v>-1</v>
      </c>
      <c r="BE263" s="15">
        <f t="shared" si="1243"/>
        <v>-1</v>
      </c>
      <c r="BF263" s="15">
        <f t="shared" si="1244"/>
        <v>-1</v>
      </c>
      <c r="BG263" s="15" t="str">
        <f t="shared" si="1245"/>
        <v>-1-1-1</v>
      </c>
      <c r="BH263" s="15" t="str">
        <f t="shared" si="1246"/>
        <v>SD</v>
      </c>
      <c r="BI263" s="15" t="str">
        <f t="shared" si="1247"/>
        <v>SI</v>
      </c>
      <c r="BJ263" s="15" t="b">
        <f t="shared" si="1248"/>
        <v>1</v>
      </c>
      <c r="BK263" s="15" t="str">
        <f t="shared" si="1249"/>
        <v>SIGIGUALES</v>
      </c>
      <c r="BL263" s="22" t="str">
        <f t="shared" si="1250"/>
        <v>NO CONFORME</v>
      </c>
    </row>
    <row r="264" spans="1:64" ht="14.4" x14ac:dyDescent="0.3">
      <c r="A264" s="36">
        <v>256</v>
      </c>
      <c r="B264" s="28">
        <f t="shared" ref="B264:E264" si="1651">B263</f>
        <v>45903</v>
      </c>
      <c r="C264" s="28">
        <f t="shared" si="1651"/>
        <v>45903</v>
      </c>
      <c r="D264" s="12">
        <f t="shared" si="1651"/>
        <v>3</v>
      </c>
      <c r="E264" s="10">
        <f t="shared" si="1651"/>
        <v>11</v>
      </c>
      <c r="F264" s="13"/>
      <c r="G264" s="69"/>
      <c r="H264" s="70">
        <f t="shared" ref="H264:L264" si="1652">H263</f>
        <v>25.6</v>
      </c>
      <c r="I264" s="37">
        <f t="shared" si="1652"/>
        <v>0</v>
      </c>
      <c r="J264" s="35">
        <f t="shared" si="1652"/>
        <v>16</v>
      </c>
      <c r="K264" s="122">
        <f t="shared" si="1652"/>
        <v>8.1690000000000005</v>
      </c>
      <c r="L264" s="122">
        <f t="shared" si="1652"/>
        <v>0.879</v>
      </c>
      <c r="M264" s="126"/>
      <c r="N264" s="126"/>
      <c r="O264" s="32">
        <f t="shared" ref="O264:P264" si="1653">O263</f>
        <v>100.65</v>
      </c>
      <c r="P264" s="33" t="str">
        <f t="shared" si="1653"/>
        <v>2,31,180</v>
      </c>
      <c r="Q264" s="11" t="str">
        <f t="shared" si="1316"/>
        <v>2</v>
      </c>
      <c r="R264" s="11" t="str">
        <f t="shared" si="1317"/>
        <v>31,180</v>
      </c>
      <c r="S264" s="11">
        <f t="shared" si="1318"/>
        <v>4.1994444444444445E-2</v>
      </c>
      <c r="T264" s="14">
        <f t="shared" si="1319"/>
        <v>2396.7456012700095</v>
      </c>
      <c r="U264" s="38">
        <f t="shared" si="1320"/>
        <v>-100</v>
      </c>
      <c r="V264" s="39">
        <f t="shared" ref="V264:W264" si="1654">V263</f>
        <v>19.8</v>
      </c>
      <c r="W264" s="124">
        <f t="shared" si="1654"/>
        <v>1.08</v>
      </c>
      <c r="X264" s="124">
        <f t="shared" si="1569"/>
        <v>1.075</v>
      </c>
      <c r="Y264" s="126"/>
      <c r="Z264" s="126"/>
      <c r="AA264" s="90">
        <f t="shared" ref="AA264:AB264" si="1655">AA263</f>
        <v>5.0149999999999997</v>
      </c>
      <c r="AB264" s="73" t="str">
        <f t="shared" si="1655"/>
        <v>9,05,040</v>
      </c>
      <c r="AC264" s="11" t="str">
        <f t="shared" si="1323"/>
        <v>9,</v>
      </c>
      <c r="AD264" s="11" t="str">
        <f t="shared" si="1324"/>
        <v>05,040</v>
      </c>
      <c r="AE264" s="11">
        <f t="shared" si="1325"/>
        <v>0.15139999999999998</v>
      </c>
      <c r="AF264" s="14">
        <f t="shared" si="1326"/>
        <v>33.124174372523122</v>
      </c>
      <c r="AG264" s="40">
        <f t="shared" si="1327"/>
        <v>-100</v>
      </c>
      <c r="AH264" s="39">
        <f t="shared" si="1577"/>
        <v>19.600000000000001</v>
      </c>
      <c r="AI264" s="124">
        <f t="shared" si="1577"/>
        <v>1.0860000000000001</v>
      </c>
      <c r="AJ264" s="124">
        <f t="shared" si="1577"/>
        <v>1.0780000000000001</v>
      </c>
      <c r="AK264" s="126">
        <f t="shared" si="1328"/>
        <v>0</v>
      </c>
      <c r="AL264" s="126"/>
      <c r="AM264" s="34">
        <f t="shared" ref="AM264:AN264" si="1656">AM263</f>
        <v>2.0059999999999998</v>
      </c>
      <c r="AN264" s="33" t="str">
        <f t="shared" si="1656"/>
        <v>5,40,620</v>
      </c>
      <c r="AO264" s="11" t="str">
        <f t="shared" si="1330"/>
        <v>5,</v>
      </c>
      <c r="AP264" s="11" t="str">
        <f t="shared" si="1331"/>
        <v>40,620</v>
      </c>
      <c r="AQ264" s="11">
        <f t="shared" si="1332"/>
        <v>9.4616666666666668E-2</v>
      </c>
      <c r="AR264" s="14">
        <f t="shared" si="1333"/>
        <v>21.201338735247486</v>
      </c>
      <c r="AS264" s="40">
        <f t="shared" si="1334"/>
        <v>-100</v>
      </c>
      <c r="AT264" s="41" t="str">
        <f t="shared" si="1335"/>
        <v>NO CONFORME</v>
      </c>
      <c r="AU264" s="8" t="b">
        <f t="shared" si="1257"/>
        <v>1</v>
      </c>
      <c r="AV264" s="8" t="b">
        <f t="shared" si="1258"/>
        <v>0</v>
      </c>
      <c r="AW264" s="8" t="b">
        <f t="shared" si="1259"/>
        <v>1</v>
      </c>
      <c r="AX264" s="8" t="str">
        <f t="shared" si="1260"/>
        <v>Qcorrecto</v>
      </c>
      <c r="AY264" s="22" t="str">
        <f t="shared" si="1240"/>
        <v>aceptable</v>
      </c>
      <c r="AZ264" s="22" t="str">
        <f t="shared" si="1241"/>
        <v>aceptable</v>
      </c>
      <c r="BA264" s="22" t="str">
        <f t="shared" si="1261"/>
        <v>aceptable</v>
      </c>
      <c r="BB264" s="25" t="str">
        <f t="shared" si="1262"/>
        <v>NO CONFORME</v>
      </c>
      <c r="BC264" s="5" t="str">
        <f t="shared" si="1263"/>
        <v>NO CONFORME</v>
      </c>
      <c r="BD264" s="15">
        <f t="shared" si="1242"/>
        <v>-1</v>
      </c>
      <c r="BE264" s="15">
        <f t="shared" si="1243"/>
        <v>-1</v>
      </c>
      <c r="BF264" s="15">
        <f t="shared" si="1244"/>
        <v>-1</v>
      </c>
      <c r="BG264" s="15" t="str">
        <f t="shared" si="1245"/>
        <v>-1-1-1</v>
      </c>
      <c r="BH264" s="15" t="str">
        <f t="shared" si="1246"/>
        <v>SD</v>
      </c>
      <c r="BI264" s="15" t="str">
        <f t="shared" si="1247"/>
        <v>SI</v>
      </c>
      <c r="BJ264" s="15" t="b">
        <f t="shared" si="1248"/>
        <v>1</v>
      </c>
      <c r="BK264" s="15" t="str">
        <f t="shared" si="1249"/>
        <v>SIGIGUALES</v>
      </c>
      <c r="BL264" s="22" t="str">
        <f t="shared" si="1250"/>
        <v>NO CONFORME</v>
      </c>
    </row>
    <row r="265" spans="1:64" ht="14.4" x14ac:dyDescent="0.3">
      <c r="A265" s="36">
        <v>257</v>
      </c>
      <c r="B265" s="28">
        <f t="shared" ref="B265:E265" si="1657">B264</f>
        <v>45903</v>
      </c>
      <c r="C265" s="28">
        <f t="shared" si="1657"/>
        <v>45903</v>
      </c>
      <c r="D265" s="12">
        <f t="shared" si="1657"/>
        <v>3</v>
      </c>
      <c r="E265" s="10">
        <f t="shared" si="1657"/>
        <v>11</v>
      </c>
      <c r="F265" s="13"/>
      <c r="G265" s="69"/>
      <c r="H265" s="70">
        <f t="shared" ref="H265:L265" si="1658">H264</f>
        <v>25.6</v>
      </c>
      <c r="I265" s="37">
        <f t="shared" si="1658"/>
        <v>0</v>
      </c>
      <c r="J265" s="35">
        <f t="shared" si="1658"/>
        <v>16</v>
      </c>
      <c r="K265" s="122">
        <f t="shared" si="1658"/>
        <v>8.1690000000000005</v>
      </c>
      <c r="L265" s="122">
        <f t="shared" si="1658"/>
        <v>0.879</v>
      </c>
      <c r="M265" s="126"/>
      <c r="N265" s="126"/>
      <c r="O265" s="32">
        <f t="shared" ref="O265:P265" si="1659">O264</f>
        <v>100.65</v>
      </c>
      <c r="P265" s="33" t="str">
        <f t="shared" si="1659"/>
        <v>2,31,180</v>
      </c>
      <c r="Q265" s="11" t="str">
        <f t="shared" si="1316"/>
        <v>2</v>
      </c>
      <c r="R265" s="11" t="str">
        <f t="shared" si="1317"/>
        <v>31,180</v>
      </c>
      <c r="S265" s="11">
        <f t="shared" si="1318"/>
        <v>4.1994444444444445E-2</v>
      </c>
      <c r="T265" s="14">
        <f t="shared" si="1319"/>
        <v>2396.7456012700095</v>
      </c>
      <c r="U265" s="38">
        <f t="shared" si="1320"/>
        <v>-100</v>
      </c>
      <c r="V265" s="39">
        <f t="shared" ref="V265:W265" si="1660">V264</f>
        <v>19.8</v>
      </c>
      <c r="W265" s="124">
        <f t="shared" si="1660"/>
        <v>1.08</v>
      </c>
      <c r="X265" s="124">
        <f t="shared" si="1569"/>
        <v>1.075</v>
      </c>
      <c r="Y265" s="126"/>
      <c r="Z265" s="126"/>
      <c r="AA265" s="90">
        <f t="shared" ref="AA265:AB265" si="1661">AA264</f>
        <v>5.0149999999999997</v>
      </c>
      <c r="AB265" s="73" t="str">
        <f t="shared" si="1661"/>
        <v>9,05,040</v>
      </c>
      <c r="AC265" s="11" t="str">
        <f t="shared" si="1323"/>
        <v>9,</v>
      </c>
      <c r="AD265" s="11" t="str">
        <f t="shared" si="1324"/>
        <v>05,040</v>
      </c>
      <c r="AE265" s="11">
        <f t="shared" si="1325"/>
        <v>0.15139999999999998</v>
      </c>
      <c r="AF265" s="14">
        <f t="shared" si="1326"/>
        <v>33.124174372523122</v>
      </c>
      <c r="AG265" s="40">
        <f t="shared" si="1327"/>
        <v>-100</v>
      </c>
      <c r="AH265" s="39">
        <f t="shared" si="1577"/>
        <v>19.600000000000001</v>
      </c>
      <c r="AI265" s="124">
        <f t="shared" si="1577"/>
        <v>1.0860000000000001</v>
      </c>
      <c r="AJ265" s="124">
        <f t="shared" si="1577"/>
        <v>1.0780000000000001</v>
      </c>
      <c r="AK265" s="126">
        <f t="shared" si="1328"/>
        <v>0</v>
      </c>
      <c r="AL265" s="126"/>
      <c r="AM265" s="34">
        <f t="shared" ref="AM265:AN265" si="1662">AM264</f>
        <v>2.0059999999999998</v>
      </c>
      <c r="AN265" s="33" t="str">
        <f t="shared" si="1662"/>
        <v>5,40,620</v>
      </c>
      <c r="AO265" s="11" t="str">
        <f t="shared" si="1330"/>
        <v>5,</v>
      </c>
      <c r="AP265" s="11" t="str">
        <f t="shared" si="1331"/>
        <v>40,620</v>
      </c>
      <c r="AQ265" s="11">
        <f t="shared" si="1332"/>
        <v>9.4616666666666668E-2</v>
      </c>
      <c r="AR265" s="14">
        <f t="shared" si="1333"/>
        <v>21.201338735247486</v>
      </c>
      <c r="AS265" s="40">
        <f t="shared" si="1334"/>
        <v>-100</v>
      </c>
      <c r="AT265" s="41" t="str">
        <f t="shared" si="1335"/>
        <v>NO CONFORME</v>
      </c>
      <c r="AU265" s="8" t="b">
        <f t="shared" si="1257"/>
        <v>1</v>
      </c>
      <c r="AV265" s="8" t="b">
        <f t="shared" si="1258"/>
        <v>0</v>
      </c>
      <c r="AW265" s="8" t="b">
        <f t="shared" si="1259"/>
        <v>1</v>
      </c>
      <c r="AX265" s="8" t="str">
        <f t="shared" si="1260"/>
        <v>Qcorrecto</v>
      </c>
      <c r="AY265" s="22" t="str">
        <f t="shared" ref="AY265:AY308" si="1663">IF(AR265&lt;$AH$6,"error",IF(AR265&gt;$AH$6*1.1,"error","aceptable"))</f>
        <v>aceptable</v>
      </c>
      <c r="AZ265" s="22" t="str">
        <f t="shared" ref="AZ265:AZ308" si="1664">IF(AF265&lt;$V$6,"error",IF(AF265&gt;$V$6*1.1,"error","aceptable"))</f>
        <v>aceptable</v>
      </c>
      <c r="BA265" s="22" t="str">
        <f t="shared" si="1261"/>
        <v>aceptable</v>
      </c>
      <c r="BB265" s="25" t="str">
        <f t="shared" si="1262"/>
        <v>NO CONFORME</v>
      </c>
      <c r="BC265" s="5" t="str">
        <f t="shared" si="1263"/>
        <v>NO CONFORME</v>
      </c>
      <c r="BD265" s="15">
        <f t="shared" ref="BD265:BD308" si="1665">SIGN(U265)</f>
        <v>-1</v>
      </c>
      <c r="BE265" s="15">
        <f t="shared" ref="BE265:BE308" si="1666">SIGN(AG265)</f>
        <v>-1</v>
      </c>
      <c r="BF265" s="15">
        <f t="shared" ref="BF265:BF308" si="1667">SIGN(AS265)</f>
        <v>-1</v>
      </c>
      <c r="BG265" s="15" t="str">
        <f t="shared" ref="BG265:BG308" si="1668">CONCATENATE(BD265,BE265,BF265)</f>
        <v>-1-1-1</v>
      </c>
      <c r="BH265" s="15" t="str">
        <f t="shared" ref="BH265:BH308" si="1669">IF(BG265="111","SI","SD")</f>
        <v>SD</v>
      </c>
      <c r="BI265" s="15" t="str">
        <f t="shared" ref="BI265:BI308" si="1670">IF(BG265="-1-1-1","SI","SD")</f>
        <v>SI</v>
      </c>
      <c r="BJ265" s="15" t="b">
        <f t="shared" ref="BJ265:BJ308" si="1671">OR(BH265="SI",BI265="SI")</f>
        <v>1</v>
      </c>
      <c r="BK265" s="15" t="str">
        <f t="shared" ref="BK265:BK308" si="1672">IF(BJ265=FALSE,"SIGDIFERENTES","SIGIGUALES")</f>
        <v>SIGIGUALES</v>
      </c>
      <c r="BL265" s="22" t="str">
        <f t="shared" ref="BL265:BL308" si="1673">IF(BC265="NO CONFORME","NO CONFORME",IF(BB265="CONFORME","CONFORME","NO CONFORME"))</f>
        <v>NO CONFORME</v>
      </c>
    </row>
    <row r="266" spans="1:64" ht="14.4" x14ac:dyDescent="0.3">
      <c r="A266" s="36">
        <v>258</v>
      </c>
      <c r="B266" s="28">
        <f t="shared" ref="B266:E266" si="1674">B265</f>
        <v>45903</v>
      </c>
      <c r="C266" s="28">
        <f t="shared" si="1674"/>
        <v>45903</v>
      </c>
      <c r="D266" s="12">
        <f t="shared" si="1674"/>
        <v>3</v>
      </c>
      <c r="E266" s="10">
        <f t="shared" si="1674"/>
        <v>11</v>
      </c>
      <c r="F266" s="13"/>
      <c r="G266" s="69"/>
      <c r="H266" s="70">
        <f t="shared" ref="H266:L266" si="1675">H265</f>
        <v>25.6</v>
      </c>
      <c r="I266" s="37">
        <f t="shared" si="1675"/>
        <v>0</v>
      </c>
      <c r="J266" s="35">
        <f t="shared" si="1675"/>
        <v>16</v>
      </c>
      <c r="K266" s="122">
        <f t="shared" si="1675"/>
        <v>8.1690000000000005</v>
      </c>
      <c r="L266" s="122">
        <f t="shared" si="1675"/>
        <v>0.879</v>
      </c>
      <c r="M266" s="126"/>
      <c r="N266" s="126"/>
      <c r="O266" s="32">
        <f t="shared" ref="O266:P266" si="1676">O265</f>
        <v>100.65</v>
      </c>
      <c r="P266" s="33" t="str">
        <f t="shared" si="1676"/>
        <v>2,31,180</v>
      </c>
      <c r="Q266" s="11" t="str">
        <f t="shared" si="1316"/>
        <v>2</v>
      </c>
      <c r="R266" s="11" t="str">
        <f t="shared" si="1317"/>
        <v>31,180</v>
      </c>
      <c r="S266" s="11">
        <f t="shared" si="1318"/>
        <v>4.1994444444444445E-2</v>
      </c>
      <c r="T266" s="14">
        <f t="shared" si="1319"/>
        <v>2396.7456012700095</v>
      </c>
      <c r="U266" s="38">
        <f t="shared" si="1320"/>
        <v>-100</v>
      </c>
      <c r="V266" s="39">
        <f t="shared" ref="V266:X281" si="1677">V265</f>
        <v>19.8</v>
      </c>
      <c r="W266" s="124">
        <f t="shared" si="1677"/>
        <v>1.08</v>
      </c>
      <c r="X266" s="124">
        <f t="shared" si="1677"/>
        <v>1.075</v>
      </c>
      <c r="Y266" s="126"/>
      <c r="Z266" s="126"/>
      <c r="AA266" s="90">
        <f t="shared" ref="AA266:AB266" si="1678">AA265</f>
        <v>5.0149999999999997</v>
      </c>
      <c r="AB266" s="73" t="str">
        <f t="shared" si="1678"/>
        <v>9,05,040</v>
      </c>
      <c r="AC266" s="11" t="str">
        <f t="shared" si="1323"/>
        <v>9,</v>
      </c>
      <c r="AD266" s="11" t="str">
        <f t="shared" si="1324"/>
        <v>05,040</v>
      </c>
      <c r="AE266" s="11">
        <f t="shared" si="1325"/>
        <v>0.15139999999999998</v>
      </c>
      <c r="AF266" s="14">
        <f t="shared" si="1326"/>
        <v>33.124174372523122</v>
      </c>
      <c r="AG266" s="40">
        <f t="shared" si="1327"/>
        <v>-100</v>
      </c>
      <c r="AH266" s="39">
        <f t="shared" si="1577"/>
        <v>19.600000000000001</v>
      </c>
      <c r="AI266" s="124">
        <f t="shared" si="1577"/>
        <v>1.0860000000000001</v>
      </c>
      <c r="AJ266" s="124">
        <f t="shared" si="1577"/>
        <v>1.0780000000000001</v>
      </c>
      <c r="AK266" s="126">
        <f t="shared" si="1328"/>
        <v>0</v>
      </c>
      <c r="AL266" s="126"/>
      <c r="AM266" s="34">
        <f t="shared" ref="AM266:AN266" si="1679">AM265</f>
        <v>2.0059999999999998</v>
      </c>
      <c r="AN266" s="33" t="str">
        <f t="shared" si="1679"/>
        <v>5,40,620</v>
      </c>
      <c r="AO266" s="11" t="str">
        <f t="shared" si="1330"/>
        <v>5,</v>
      </c>
      <c r="AP266" s="11" t="str">
        <f t="shared" si="1331"/>
        <v>40,620</v>
      </c>
      <c r="AQ266" s="11">
        <f t="shared" si="1332"/>
        <v>9.4616666666666668E-2</v>
      </c>
      <c r="AR266" s="14">
        <f t="shared" si="1333"/>
        <v>21.201338735247486</v>
      </c>
      <c r="AS266" s="40">
        <f t="shared" si="1334"/>
        <v>-100</v>
      </c>
      <c r="AT266" s="41" t="str">
        <f t="shared" si="1335"/>
        <v>NO CONFORME</v>
      </c>
      <c r="AU266" s="8" t="b">
        <f t="shared" ref="AU266:AU308" si="1680">B266&lt;=C266</f>
        <v>1</v>
      </c>
      <c r="AV266" s="8" t="b">
        <f t="shared" ref="AV266:AV308" si="1681">N266&lt;Y266</f>
        <v>0</v>
      </c>
      <c r="AW266" s="8" t="b">
        <f t="shared" ref="AW266:AW308" si="1682">Z266&lt;=AK266</f>
        <v>1</v>
      </c>
      <c r="AX266" s="8" t="str">
        <f t="shared" ref="AX266:AX308" si="1683">IF(I266&gt;=1,"Qcorrecto",IF(AND(AY266="aceptable",AZ266="aceptable",BA266="aceptable"),"Qcorrecto","Qincorrecto"))</f>
        <v>Qcorrecto</v>
      </c>
      <c r="AY266" s="22" t="str">
        <f t="shared" si="1663"/>
        <v>aceptable</v>
      </c>
      <c r="AZ266" s="22" t="str">
        <f t="shared" si="1664"/>
        <v>aceptable</v>
      </c>
      <c r="BA266" s="22" t="str">
        <f t="shared" ref="BA266:BA308" si="1684">IF(T266&lt;$J$6*0.9,"error",IF(T266&gt;$J$6,"error","aceptable"))</f>
        <v>aceptable</v>
      </c>
      <c r="BB266" s="25" t="str">
        <f t="shared" ref="BB266:BB308" si="1685">(IF(ABS(U266)&lt;1.05,"CONFORME",IF(ABS(AG266)&lt;1.05,"CONFORME",IF(ABS(AS266)&lt;2.55,"CONFORME","NO CONFORME"))))</f>
        <v>NO CONFORME</v>
      </c>
      <c r="BC266" s="5" t="str">
        <f t="shared" ref="BC266:BC308" si="1686">(IF(ABS(U266)&gt;2.05,"NO CONFORME",IF(ABS(AG266)&gt;2.05,"NO CONFORME",IF(ABS(AS266)&gt;5.05,"NO CONFORME","CONFORME"))))</f>
        <v>NO CONFORME</v>
      </c>
      <c r="BD266" s="15">
        <f t="shared" si="1665"/>
        <v>-1</v>
      </c>
      <c r="BE266" s="15">
        <f t="shared" si="1666"/>
        <v>-1</v>
      </c>
      <c r="BF266" s="15">
        <f t="shared" si="1667"/>
        <v>-1</v>
      </c>
      <c r="BG266" s="15" t="str">
        <f t="shared" si="1668"/>
        <v>-1-1-1</v>
      </c>
      <c r="BH266" s="15" t="str">
        <f t="shared" si="1669"/>
        <v>SD</v>
      </c>
      <c r="BI266" s="15" t="str">
        <f t="shared" si="1670"/>
        <v>SI</v>
      </c>
      <c r="BJ266" s="15" t="b">
        <f t="shared" si="1671"/>
        <v>1</v>
      </c>
      <c r="BK266" s="15" t="str">
        <f t="shared" si="1672"/>
        <v>SIGIGUALES</v>
      </c>
      <c r="BL266" s="22" t="str">
        <f t="shared" si="1673"/>
        <v>NO CONFORME</v>
      </c>
    </row>
    <row r="267" spans="1:64" ht="14.4" x14ac:dyDescent="0.3">
      <c r="A267" s="36">
        <v>259</v>
      </c>
      <c r="B267" s="28">
        <f t="shared" ref="B267:E267" si="1687">B266</f>
        <v>45903</v>
      </c>
      <c r="C267" s="28">
        <f t="shared" si="1687"/>
        <v>45903</v>
      </c>
      <c r="D267" s="12">
        <f t="shared" si="1687"/>
        <v>3</v>
      </c>
      <c r="E267" s="10">
        <f t="shared" si="1687"/>
        <v>11</v>
      </c>
      <c r="F267" s="13"/>
      <c r="G267" s="69"/>
      <c r="H267" s="70">
        <f t="shared" ref="H267:L267" si="1688">H266</f>
        <v>25.6</v>
      </c>
      <c r="I267" s="37">
        <f t="shared" si="1688"/>
        <v>0</v>
      </c>
      <c r="J267" s="35">
        <f t="shared" si="1688"/>
        <v>16</v>
      </c>
      <c r="K267" s="122">
        <f t="shared" si="1688"/>
        <v>8.1690000000000005</v>
      </c>
      <c r="L267" s="122">
        <f t="shared" si="1688"/>
        <v>0.879</v>
      </c>
      <c r="M267" s="126"/>
      <c r="N267" s="126"/>
      <c r="O267" s="32">
        <f t="shared" ref="O267:P267" si="1689">O266</f>
        <v>100.65</v>
      </c>
      <c r="P267" s="33" t="str">
        <f t="shared" si="1689"/>
        <v>2,31,180</v>
      </c>
      <c r="Q267" s="11" t="str">
        <f t="shared" si="1316"/>
        <v>2</v>
      </c>
      <c r="R267" s="11" t="str">
        <f t="shared" si="1317"/>
        <v>31,180</v>
      </c>
      <c r="S267" s="11">
        <f t="shared" si="1318"/>
        <v>4.1994444444444445E-2</v>
      </c>
      <c r="T267" s="14">
        <f t="shared" si="1319"/>
        <v>2396.7456012700095</v>
      </c>
      <c r="U267" s="38">
        <f t="shared" si="1320"/>
        <v>-100</v>
      </c>
      <c r="V267" s="39">
        <f t="shared" ref="V267:W267" si="1690">V266</f>
        <v>19.8</v>
      </c>
      <c r="W267" s="124">
        <f t="shared" si="1690"/>
        <v>1.08</v>
      </c>
      <c r="X267" s="124">
        <f t="shared" si="1677"/>
        <v>1.075</v>
      </c>
      <c r="Y267" s="126"/>
      <c r="Z267" s="126"/>
      <c r="AA267" s="90">
        <f t="shared" ref="AA267:AB267" si="1691">AA266</f>
        <v>5.0149999999999997</v>
      </c>
      <c r="AB267" s="73" t="str">
        <f t="shared" si="1691"/>
        <v>9,05,040</v>
      </c>
      <c r="AC267" s="11" t="str">
        <f t="shared" si="1323"/>
        <v>9,</v>
      </c>
      <c r="AD267" s="11" t="str">
        <f t="shared" si="1324"/>
        <v>05,040</v>
      </c>
      <c r="AE267" s="11">
        <f t="shared" si="1325"/>
        <v>0.15139999999999998</v>
      </c>
      <c r="AF267" s="14">
        <f t="shared" si="1326"/>
        <v>33.124174372523122</v>
      </c>
      <c r="AG267" s="40">
        <f t="shared" si="1327"/>
        <v>-100</v>
      </c>
      <c r="AH267" s="39">
        <f t="shared" ref="AH267:AJ282" si="1692">AH266</f>
        <v>19.600000000000001</v>
      </c>
      <c r="AI267" s="124">
        <f t="shared" si="1692"/>
        <v>1.0860000000000001</v>
      </c>
      <c r="AJ267" s="124">
        <f t="shared" si="1692"/>
        <v>1.0780000000000001</v>
      </c>
      <c r="AK267" s="126">
        <f t="shared" si="1328"/>
        <v>0</v>
      </c>
      <c r="AL267" s="126"/>
      <c r="AM267" s="34">
        <f t="shared" ref="AM267:AN267" si="1693">AM266</f>
        <v>2.0059999999999998</v>
      </c>
      <c r="AN267" s="33" t="str">
        <f t="shared" si="1693"/>
        <v>5,40,620</v>
      </c>
      <c r="AO267" s="11" t="str">
        <f t="shared" si="1330"/>
        <v>5,</v>
      </c>
      <c r="AP267" s="11" t="str">
        <f t="shared" si="1331"/>
        <v>40,620</v>
      </c>
      <c r="AQ267" s="11">
        <f t="shared" si="1332"/>
        <v>9.4616666666666668E-2</v>
      </c>
      <c r="AR267" s="14">
        <f t="shared" si="1333"/>
        <v>21.201338735247486</v>
      </c>
      <c r="AS267" s="40">
        <f t="shared" si="1334"/>
        <v>-100</v>
      </c>
      <c r="AT267" s="41" t="str">
        <f t="shared" si="1335"/>
        <v>NO CONFORME</v>
      </c>
      <c r="AU267" s="8" t="b">
        <f t="shared" si="1680"/>
        <v>1</v>
      </c>
      <c r="AV267" s="8" t="b">
        <f t="shared" si="1681"/>
        <v>0</v>
      </c>
      <c r="AW267" s="8" t="b">
        <f t="shared" si="1682"/>
        <v>1</v>
      </c>
      <c r="AX267" s="8" t="str">
        <f t="shared" si="1683"/>
        <v>Qcorrecto</v>
      </c>
      <c r="AY267" s="22" t="str">
        <f t="shared" si="1663"/>
        <v>aceptable</v>
      </c>
      <c r="AZ267" s="22" t="str">
        <f t="shared" si="1664"/>
        <v>aceptable</v>
      </c>
      <c r="BA267" s="22" t="str">
        <f t="shared" si="1684"/>
        <v>aceptable</v>
      </c>
      <c r="BB267" s="25" t="str">
        <f t="shared" si="1685"/>
        <v>NO CONFORME</v>
      </c>
      <c r="BC267" s="5" t="str">
        <f t="shared" si="1686"/>
        <v>NO CONFORME</v>
      </c>
      <c r="BD267" s="15">
        <f t="shared" si="1665"/>
        <v>-1</v>
      </c>
      <c r="BE267" s="15">
        <f t="shared" si="1666"/>
        <v>-1</v>
      </c>
      <c r="BF267" s="15">
        <f t="shared" si="1667"/>
        <v>-1</v>
      </c>
      <c r="BG267" s="15" t="str">
        <f t="shared" si="1668"/>
        <v>-1-1-1</v>
      </c>
      <c r="BH267" s="15" t="str">
        <f t="shared" si="1669"/>
        <v>SD</v>
      </c>
      <c r="BI267" s="15" t="str">
        <f t="shared" si="1670"/>
        <v>SI</v>
      </c>
      <c r="BJ267" s="15" t="b">
        <f t="shared" si="1671"/>
        <v>1</v>
      </c>
      <c r="BK267" s="15" t="str">
        <f t="shared" si="1672"/>
        <v>SIGIGUALES</v>
      </c>
      <c r="BL267" s="22" t="str">
        <f t="shared" si="1673"/>
        <v>NO CONFORME</v>
      </c>
    </row>
    <row r="268" spans="1:64" ht="14.4" x14ac:dyDescent="0.3">
      <c r="A268" s="36">
        <v>260</v>
      </c>
      <c r="B268" s="28">
        <f t="shared" ref="B268:E268" si="1694">B267</f>
        <v>45903</v>
      </c>
      <c r="C268" s="28">
        <f t="shared" si="1694"/>
        <v>45903</v>
      </c>
      <c r="D268" s="12">
        <f t="shared" si="1694"/>
        <v>3</v>
      </c>
      <c r="E268" s="10">
        <f t="shared" si="1694"/>
        <v>11</v>
      </c>
      <c r="F268" s="13"/>
      <c r="G268" s="69"/>
      <c r="H268" s="70">
        <f t="shared" ref="H268:L268" si="1695">H267</f>
        <v>25.6</v>
      </c>
      <c r="I268" s="37">
        <f t="shared" si="1695"/>
        <v>0</v>
      </c>
      <c r="J268" s="35">
        <f t="shared" si="1695"/>
        <v>16</v>
      </c>
      <c r="K268" s="122">
        <f t="shared" si="1695"/>
        <v>8.1690000000000005</v>
      </c>
      <c r="L268" s="122">
        <f t="shared" si="1695"/>
        <v>0.879</v>
      </c>
      <c r="M268" s="126"/>
      <c r="N268" s="126"/>
      <c r="O268" s="32">
        <f t="shared" ref="O268:P268" si="1696">O267</f>
        <v>100.65</v>
      </c>
      <c r="P268" s="33" t="str">
        <f t="shared" si="1696"/>
        <v>2,31,180</v>
      </c>
      <c r="Q268" s="11" t="str">
        <f t="shared" si="1316"/>
        <v>2</v>
      </c>
      <c r="R268" s="11" t="str">
        <f t="shared" si="1317"/>
        <v>31,180</v>
      </c>
      <c r="S268" s="11">
        <f t="shared" si="1318"/>
        <v>4.1994444444444445E-2</v>
      </c>
      <c r="T268" s="14">
        <f t="shared" si="1319"/>
        <v>2396.7456012700095</v>
      </c>
      <c r="U268" s="38">
        <f t="shared" si="1320"/>
        <v>-100</v>
      </c>
      <c r="V268" s="39">
        <f t="shared" ref="V268:W268" si="1697">V267</f>
        <v>19.8</v>
      </c>
      <c r="W268" s="124">
        <f t="shared" si="1697"/>
        <v>1.08</v>
      </c>
      <c r="X268" s="124">
        <f t="shared" si="1677"/>
        <v>1.075</v>
      </c>
      <c r="Y268" s="126"/>
      <c r="Z268" s="126"/>
      <c r="AA268" s="90">
        <f t="shared" ref="AA268:AB268" si="1698">AA267</f>
        <v>5.0149999999999997</v>
      </c>
      <c r="AB268" s="73" t="str">
        <f t="shared" si="1698"/>
        <v>9,05,040</v>
      </c>
      <c r="AC268" s="11" t="str">
        <f t="shared" si="1323"/>
        <v>9,</v>
      </c>
      <c r="AD268" s="11" t="str">
        <f t="shared" si="1324"/>
        <v>05,040</v>
      </c>
      <c r="AE268" s="11">
        <f t="shared" si="1325"/>
        <v>0.15139999999999998</v>
      </c>
      <c r="AF268" s="14">
        <f t="shared" si="1326"/>
        <v>33.124174372523122</v>
      </c>
      <c r="AG268" s="40">
        <f t="shared" si="1327"/>
        <v>-100</v>
      </c>
      <c r="AH268" s="39">
        <f t="shared" si="1692"/>
        <v>19.600000000000001</v>
      </c>
      <c r="AI268" s="124">
        <f t="shared" si="1692"/>
        <v>1.0860000000000001</v>
      </c>
      <c r="AJ268" s="124">
        <f t="shared" si="1692"/>
        <v>1.0780000000000001</v>
      </c>
      <c r="AK268" s="126">
        <f t="shared" si="1328"/>
        <v>0</v>
      </c>
      <c r="AL268" s="126"/>
      <c r="AM268" s="34">
        <f t="shared" ref="AM268:AN268" si="1699">AM267</f>
        <v>2.0059999999999998</v>
      </c>
      <c r="AN268" s="33" t="str">
        <f t="shared" si="1699"/>
        <v>5,40,620</v>
      </c>
      <c r="AO268" s="11" t="str">
        <f t="shared" si="1330"/>
        <v>5,</v>
      </c>
      <c r="AP268" s="11" t="str">
        <f t="shared" si="1331"/>
        <v>40,620</v>
      </c>
      <c r="AQ268" s="11">
        <f t="shared" si="1332"/>
        <v>9.4616666666666668E-2</v>
      </c>
      <c r="AR268" s="14">
        <f t="shared" si="1333"/>
        <v>21.201338735247486</v>
      </c>
      <c r="AS268" s="40">
        <f t="shared" si="1334"/>
        <v>-100</v>
      </c>
      <c r="AT268" s="41" t="str">
        <f t="shared" si="1335"/>
        <v>NO CONFORME</v>
      </c>
      <c r="AU268" s="8" t="b">
        <f t="shared" si="1680"/>
        <v>1</v>
      </c>
      <c r="AV268" s="8" t="b">
        <f t="shared" si="1681"/>
        <v>0</v>
      </c>
      <c r="AW268" s="8" t="b">
        <f t="shared" si="1682"/>
        <v>1</v>
      </c>
      <c r="AX268" s="8" t="str">
        <f t="shared" si="1683"/>
        <v>Qcorrecto</v>
      </c>
      <c r="AY268" s="22" t="str">
        <f t="shared" si="1663"/>
        <v>aceptable</v>
      </c>
      <c r="AZ268" s="22" t="str">
        <f t="shared" si="1664"/>
        <v>aceptable</v>
      </c>
      <c r="BA268" s="22" t="str">
        <f t="shared" si="1684"/>
        <v>aceptable</v>
      </c>
      <c r="BB268" s="25" t="str">
        <f t="shared" si="1685"/>
        <v>NO CONFORME</v>
      </c>
      <c r="BC268" s="5" t="str">
        <f t="shared" si="1686"/>
        <v>NO CONFORME</v>
      </c>
      <c r="BD268" s="15">
        <f t="shared" si="1665"/>
        <v>-1</v>
      </c>
      <c r="BE268" s="15">
        <f t="shared" si="1666"/>
        <v>-1</v>
      </c>
      <c r="BF268" s="15">
        <f t="shared" si="1667"/>
        <v>-1</v>
      </c>
      <c r="BG268" s="15" t="str">
        <f t="shared" si="1668"/>
        <v>-1-1-1</v>
      </c>
      <c r="BH268" s="15" t="str">
        <f t="shared" si="1669"/>
        <v>SD</v>
      </c>
      <c r="BI268" s="15" t="str">
        <f t="shared" si="1670"/>
        <v>SI</v>
      </c>
      <c r="BJ268" s="15" t="b">
        <f t="shared" si="1671"/>
        <v>1</v>
      </c>
      <c r="BK268" s="15" t="str">
        <f t="shared" si="1672"/>
        <v>SIGIGUALES</v>
      </c>
      <c r="BL268" s="22" t="str">
        <f t="shared" si="1673"/>
        <v>NO CONFORME</v>
      </c>
    </row>
    <row r="269" spans="1:64" ht="14.4" x14ac:dyDescent="0.3">
      <c r="A269" s="36">
        <v>261</v>
      </c>
      <c r="B269" s="28">
        <f t="shared" ref="B269:E269" si="1700">B268</f>
        <v>45903</v>
      </c>
      <c r="C269" s="28">
        <f t="shared" si="1700"/>
        <v>45903</v>
      </c>
      <c r="D269" s="12">
        <f t="shared" si="1700"/>
        <v>3</v>
      </c>
      <c r="E269" s="10">
        <f t="shared" si="1700"/>
        <v>11</v>
      </c>
      <c r="F269" s="13"/>
      <c r="G269" s="69"/>
      <c r="H269" s="70">
        <f t="shared" ref="H269:L269" si="1701">H268</f>
        <v>25.6</v>
      </c>
      <c r="I269" s="37">
        <f t="shared" si="1701"/>
        <v>0</v>
      </c>
      <c r="J269" s="35">
        <f t="shared" si="1701"/>
        <v>16</v>
      </c>
      <c r="K269" s="122">
        <f t="shared" si="1701"/>
        <v>8.1690000000000005</v>
      </c>
      <c r="L269" s="122">
        <f t="shared" si="1701"/>
        <v>0.879</v>
      </c>
      <c r="M269" s="126"/>
      <c r="N269" s="126"/>
      <c r="O269" s="32">
        <f t="shared" ref="O269:P269" si="1702">O268</f>
        <v>100.65</v>
      </c>
      <c r="P269" s="33" t="str">
        <f t="shared" si="1702"/>
        <v>2,31,180</v>
      </c>
      <c r="Q269" s="11" t="str">
        <f t="shared" si="1316"/>
        <v>2</v>
      </c>
      <c r="R269" s="11" t="str">
        <f t="shared" si="1317"/>
        <v>31,180</v>
      </c>
      <c r="S269" s="11">
        <f t="shared" si="1318"/>
        <v>4.1994444444444445E-2</v>
      </c>
      <c r="T269" s="14">
        <f t="shared" si="1319"/>
        <v>2396.7456012700095</v>
      </c>
      <c r="U269" s="38">
        <f t="shared" si="1320"/>
        <v>-100</v>
      </c>
      <c r="V269" s="39">
        <f t="shared" ref="V269:W269" si="1703">V268</f>
        <v>19.8</v>
      </c>
      <c r="W269" s="124">
        <f t="shared" si="1703"/>
        <v>1.08</v>
      </c>
      <c r="X269" s="124">
        <f t="shared" si="1677"/>
        <v>1.075</v>
      </c>
      <c r="Y269" s="126"/>
      <c r="Z269" s="126"/>
      <c r="AA269" s="90">
        <f t="shared" ref="AA269:AB269" si="1704">AA268</f>
        <v>5.0149999999999997</v>
      </c>
      <c r="AB269" s="73" t="str">
        <f t="shared" si="1704"/>
        <v>9,05,040</v>
      </c>
      <c r="AC269" s="11" t="str">
        <f t="shared" si="1323"/>
        <v>9,</v>
      </c>
      <c r="AD269" s="11" t="str">
        <f t="shared" si="1324"/>
        <v>05,040</v>
      </c>
      <c r="AE269" s="11">
        <f t="shared" si="1325"/>
        <v>0.15139999999999998</v>
      </c>
      <c r="AF269" s="14">
        <f t="shared" si="1326"/>
        <v>33.124174372523122</v>
      </c>
      <c r="AG269" s="40">
        <f t="shared" si="1327"/>
        <v>-100</v>
      </c>
      <c r="AH269" s="39">
        <f t="shared" si="1692"/>
        <v>19.600000000000001</v>
      </c>
      <c r="AI269" s="124">
        <f t="shared" si="1692"/>
        <v>1.0860000000000001</v>
      </c>
      <c r="AJ269" s="124">
        <f t="shared" si="1692"/>
        <v>1.0780000000000001</v>
      </c>
      <c r="AK269" s="126">
        <f t="shared" si="1328"/>
        <v>0</v>
      </c>
      <c r="AL269" s="126"/>
      <c r="AM269" s="34">
        <f t="shared" ref="AM269:AN269" si="1705">AM268</f>
        <v>2.0059999999999998</v>
      </c>
      <c r="AN269" s="33" t="str">
        <f t="shared" si="1705"/>
        <v>5,40,620</v>
      </c>
      <c r="AO269" s="11" t="str">
        <f t="shared" si="1330"/>
        <v>5,</v>
      </c>
      <c r="AP269" s="11" t="str">
        <f t="shared" si="1331"/>
        <v>40,620</v>
      </c>
      <c r="AQ269" s="11">
        <f t="shared" si="1332"/>
        <v>9.4616666666666668E-2</v>
      </c>
      <c r="AR269" s="14">
        <f t="shared" si="1333"/>
        <v>21.201338735247486</v>
      </c>
      <c r="AS269" s="40">
        <f t="shared" si="1334"/>
        <v>-100</v>
      </c>
      <c r="AT269" s="41" t="str">
        <f t="shared" si="1335"/>
        <v>NO CONFORME</v>
      </c>
      <c r="AU269" s="8" t="b">
        <f t="shared" si="1680"/>
        <v>1</v>
      </c>
      <c r="AV269" s="8" t="b">
        <f t="shared" si="1681"/>
        <v>0</v>
      </c>
      <c r="AW269" s="8" t="b">
        <f t="shared" si="1682"/>
        <v>1</v>
      </c>
      <c r="AX269" s="8" t="str">
        <f t="shared" si="1683"/>
        <v>Qcorrecto</v>
      </c>
      <c r="AY269" s="22" t="str">
        <f t="shared" si="1663"/>
        <v>aceptable</v>
      </c>
      <c r="AZ269" s="22" t="str">
        <f t="shared" si="1664"/>
        <v>aceptable</v>
      </c>
      <c r="BA269" s="22" t="str">
        <f t="shared" si="1684"/>
        <v>aceptable</v>
      </c>
      <c r="BB269" s="25" t="str">
        <f t="shared" si="1685"/>
        <v>NO CONFORME</v>
      </c>
      <c r="BC269" s="5" t="str">
        <f t="shared" si="1686"/>
        <v>NO CONFORME</v>
      </c>
      <c r="BD269" s="15">
        <f t="shared" si="1665"/>
        <v>-1</v>
      </c>
      <c r="BE269" s="15">
        <f t="shared" si="1666"/>
        <v>-1</v>
      </c>
      <c r="BF269" s="15">
        <f t="shared" si="1667"/>
        <v>-1</v>
      </c>
      <c r="BG269" s="15" t="str">
        <f t="shared" si="1668"/>
        <v>-1-1-1</v>
      </c>
      <c r="BH269" s="15" t="str">
        <f t="shared" si="1669"/>
        <v>SD</v>
      </c>
      <c r="BI269" s="15" t="str">
        <f t="shared" si="1670"/>
        <v>SI</v>
      </c>
      <c r="BJ269" s="15" t="b">
        <f t="shared" si="1671"/>
        <v>1</v>
      </c>
      <c r="BK269" s="15" t="str">
        <f t="shared" si="1672"/>
        <v>SIGIGUALES</v>
      </c>
      <c r="BL269" s="22" t="str">
        <f t="shared" si="1673"/>
        <v>NO CONFORME</v>
      </c>
    </row>
    <row r="270" spans="1:64" ht="14.4" x14ac:dyDescent="0.3">
      <c r="A270" s="36">
        <v>262</v>
      </c>
      <c r="B270" s="28">
        <f t="shared" ref="B270:E270" si="1706">B269</f>
        <v>45903</v>
      </c>
      <c r="C270" s="28">
        <f t="shared" si="1706"/>
        <v>45903</v>
      </c>
      <c r="D270" s="12">
        <f t="shared" si="1706"/>
        <v>3</v>
      </c>
      <c r="E270" s="10">
        <f t="shared" si="1706"/>
        <v>11</v>
      </c>
      <c r="F270" s="13"/>
      <c r="G270" s="69"/>
      <c r="H270" s="70">
        <f t="shared" ref="H270:L270" si="1707">H269</f>
        <v>25.6</v>
      </c>
      <c r="I270" s="37">
        <f t="shared" si="1707"/>
        <v>0</v>
      </c>
      <c r="J270" s="35">
        <f t="shared" si="1707"/>
        <v>16</v>
      </c>
      <c r="K270" s="122">
        <f t="shared" si="1707"/>
        <v>8.1690000000000005</v>
      </c>
      <c r="L270" s="122">
        <f t="shared" si="1707"/>
        <v>0.879</v>
      </c>
      <c r="M270" s="126"/>
      <c r="N270" s="126"/>
      <c r="O270" s="32">
        <f t="shared" ref="O270:P270" si="1708">O269</f>
        <v>100.65</v>
      </c>
      <c r="P270" s="33" t="str">
        <f t="shared" si="1708"/>
        <v>2,31,180</v>
      </c>
      <c r="Q270" s="11" t="str">
        <f t="shared" si="1316"/>
        <v>2</v>
      </c>
      <c r="R270" s="11" t="str">
        <f t="shared" si="1317"/>
        <v>31,180</v>
      </c>
      <c r="S270" s="11">
        <f t="shared" si="1318"/>
        <v>4.1994444444444445E-2</v>
      </c>
      <c r="T270" s="14">
        <f t="shared" si="1319"/>
        <v>2396.7456012700095</v>
      </c>
      <c r="U270" s="38">
        <f t="shared" si="1320"/>
        <v>-100</v>
      </c>
      <c r="V270" s="39">
        <f t="shared" ref="V270:W270" si="1709">V269</f>
        <v>19.8</v>
      </c>
      <c r="W270" s="124">
        <f t="shared" si="1709"/>
        <v>1.08</v>
      </c>
      <c r="X270" s="124">
        <f t="shared" si="1677"/>
        <v>1.075</v>
      </c>
      <c r="Y270" s="126"/>
      <c r="Z270" s="126"/>
      <c r="AA270" s="90">
        <f t="shared" ref="AA270:AB270" si="1710">AA269</f>
        <v>5.0149999999999997</v>
      </c>
      <c r="AB270" s="73" t="str">
        <f t="shared" si="1710"/>
        <v>9,05,040</v>
      </c>
      <c r="AC270" s="11" t="str">
        <f t="shared" si="1323"/>
        <v>9,</v>
      </c>
      <c r="AD270" s="11" t="str">
        <f t="shared" si="1324"/>
        <v>05,040</v>
      </c>
      <c r="AE270" s="11">
        <f t="shared" si="1325"/>
        <v>0.15139999999999998</v>
      </c>
      <c r="AF270" s="14">
        <f t="shared" si="1326"/>
        <v>33.124174372523122</v>
      </c>
      <c r="AG270" s="40">
        <f t="shared" si="1327"/>
        <v>-100</v>
      </c>
      <c r="AH270" s="39">
        <f t="shared" si="1692"/>
        <v>19.600000000000001</v>
      </c>
      <c r="AI270" s="124">
        <f t="shared" si="1692"/>
        <v>1.0860000000000001</v>
      </c>
      <c r="AJ270" s="124">
        <f t="shared" si="1692"/>
        <v>1.0780000000000001</v>
      </c>
      <c r="AK270" s="126">
        <f t="shared" si="1328"/>
        <v>0</v>
      </c>
      <c r="AL270" s="126"/>
      <c r="AM270" s="34">
        <f t="shared" ref="AM270:AN270" si="1711">AM269</f>
        <v>2.0059999999999998</v>
      </c>
      <c r="AN270" s="33" t="str">
        <f t="shared" si="1711"/>
        <v>5,40,620</v>
      </c>
      <c r="AO270" s="11" t="str">
        <f t="shared" si="1330"/>
        <v>5,</v>
      </c>
      <c r="AP270" s="11" t="str">
        <f t="shared" si="1331"/>
        <v>40,620</v>
      </c>
      <c r="AQ270" s="11">
        <f t="shared" si="1332"/>
        <v>9.4616666666666668E-2</v>
      </c>
      <c r="AR270" s="14">
        <f t="shared" si="1333"/>
        <v>21.201338735247486</v>
      </c>
      <c r="AS270" s="40">
        <f t="shared" si="1334"/>
        <v>-100</v>
      </c>
      <c r="AT270" s="41" t="str">
        <f t="shared" si="1335"/>
        <v>NO CONFORME</v>
      </c>
      <c r="AU270" s="8" t="b">
        <f t="shared" si="1680"/>
        <v>1</v>
      </c>
      <c r="AV270" s="8" t="b">
        <f t="shared" si="1681"/>
        <v>0</v>
      </c>
      <c r="AW270" s="8" t="b">
        <f t="shared" si="1682"/>
        <v>1</v>
      </c>
      <c r="AX270" s="8" t="str">
        <f t="shared" si="1683"/>
        <v>Qcorrecto</v>
      </c>
      <c r="AY270" s="22" t="str">
        <f t="shared" si="1663"/>
        <v>aceptable</v>
      </c>
      <c r="AZ270" s="22" t="str">
        <f t="shared" si="1664"/>
        <v>aceptable</v>
      </c>
      <c r="BA270" s="22" t="str">
        <f t="shared" si="1684"/>
        <v>aceptable</v>
      </c>
      <c r="BB270" s="25" t="str">
        <f t="shared" si="1685"/>
        <v>NO CONFORME</v>
      </c>
      <c r="BC270" s="5" t="str">
        <f t="shared" si="1686"/>
        <v>NO CONFORME</v>
      </c>
      <c r="BD270" s="15">
        <f t="shared" si="1665"/>
        <v>-1</v>
      </c>
      <c r="BE270" s="15">
        <f t="shared" si="1666"/>
        <v>-1</v>
      </c>
      <c r="BF270" s="15">
        <f t="shared" si="1667"/>
        <v>-1</v>
      </c>
      <c r="BG270" s="15" t="str">
        <f t="shared" si="1668"/>
        <v>-1-1-1</v>
      </c>
      <c r="BH270" s="15" t="str">
        <f t="shared" si="1669"/>
        <v>SD</v>
      </c>
      <c r="BI270" s="15" t="str">
        <f t="shared" si="1670"/>
        <v>SI</v>
      </c>
      <c r="BJ270" s="15" t="b">
        <f t="shared" si="1671"/>
        <v>1</v>
      </c>
      <c r="BK270" s="15" t="str">
        <f t="shared" si="1672"/>
        <v>SIGIGUALES</v>
      </c>
      <c r="BL270" s="22" t="str">
        <f t="shared" si="1673"/>
        <v>NO CONFORME</v>
      </c>
    </row>
    <row r="271" spans="1:64" ht="14.4" x14ac:dyDescent="0.3">
      <c r="A271" s="36">
        <v>263</v>
      </c>
      <c r="B271" s="28">
        <f t="shared" ref="B271:E271" si="1712">B270</f>
        <v>45903</v>
      </c>
      <c r="C271" s="28">
        <f t="shared" si="1712"/>
        <v>45903</v>
      </c>
      <c r="D271" s="12">
        <f t="shared" si="1712"/>
        <v>3</v>
      </c>
      <c r="E271" s="10">
        <f t="shared" si="1712"/>
        <v>11</v>
      </c>
      <c r="F271" s="13"/>
      <c r="G271" s="69"/>
      <c r="H271" s="70">
        <f t="shared" ref="H271:L271" si="1713">H270</f>
        <v>25.6</v>
      </c>
      <c r="I271" s="37">
        <f t="shared" si="1713"/>
        <v>0</v>
      </c>
      <c r="J271" s="35">
        <f t="shared" si="1713"/>
        <v>16</v>
      </c>
      <c r="K271" s="122">
        <f t="shared" si="1713"/>
        <v>8.1690000000000005</v>
      </c>
      <c r="L271" s="122">
        <f t="shared" si="1713"/>
        <v>0.879</v>
      </c>
      <c r="M271" s="126"/>
      <c r="N271" s="126"/>
      <c r="O271" s="32">
        <f t="shared" ref="O271:P271" si="1714">O270</f>
        <v>100.65</v>
      </c>
      <c r="P271" s="33" t="str">
        <f t="shared" si="1714"/>
        <v>2,31,180</v>
      </c>
      <c r="Q271" s="11" t="str">
        <f t="shared" si="1316"/>
        <v>2</v>
      </c>
      <c r="R271" s="11" t="str">
        <f t="shared" si="1317"/>
        <v>31,180</v>
      </c>
      <c r="S271" s="11">
        <f t="shared" si="1318"/>
        <v>4.1994444444444445E-2</v>
      </c>
      <c r="T271" s="14">
        <f t="shared" si="1319"/>
        <v>2396.7456012700095</v>
      </c>
      <c r="U271" s="38">
        <f t="shared" si="1320"/>
        <v>-100</v>
      </c>
      <c r="V271" s="39">
        <f t="shared" ref="V271:W271" si="1715">V270</f>
        <v>19.8</v>
      </c>
      <c r="W271" s="124">
        <f t="shared" si="1715"/>
        <v>1.08</v>
      </c>
      <c r="X271" s="124">
        <f t="shared" si="1677"/>
        <v>1.075</v>
      </c>
      <c r="Y271" s="126"/>
      <c r="Z271" s="126"/>
      <c r="AA271" s="90">
        <f t="shared" ref="AA271:AB271" si="1716">AA270</f>
        <v>5.0149999999999997</v>
      </c>
      <c r="AB271" s="73" t="str">
        <f t="shared" si="1716"/>
        <v>9,05,040</v>
      </c>
      <c r="AC271" s="11" t="str">
        <f t="shared" si="1323"/>
        <v>9,</v>
      </c>
      <c r="AD271" s="11" t="str">
        <f t="shared" si="1324"/>
        <v>05,040</v>
      </c>
      <c r="AE271" s="11">
        <f t="shared" si="1325"/>
        <v>0.15139999999999998</v>
      </c>
      <c r="AF271" s="14">
        <f t="shared" si="1326"/>
        <v>33.124174372523122</v>
      </c>
      <c r="AG271" s="40">
        <f t="shared" si="1327"/>
        <v>-100</v>
      </c>
      <c r="AH271" s="39">
        <f t="shared" si="1692"/>
        <v>19.600000000000001</v>
      </c>
      <c r="AI271" s="124">
        <f t="shared" si="1692"/>
        <v>1.0860000000000001</v>
      </c>
      <c r="AJ271" s="124">
        <f t="shared" si="1692"/>
        <v>1.0780000000000001</v>
      </c>
      <c r="AK271" s="126">
        <f t="shared" si="1328"/>
        <v>0</v>
      </c>
      <c r="AL271" s="126"/>
      <c r="AM271" s="34">
        <f t="shared" ref="AM271:AN271" si="1717">AM270</f>
        <v>2.0059999999999998</v>
      </c>
      <c r="AN271" s="33" t="str">
        <f t="shared" si="1717"/>
        <v>5,40,620</v>
      </c>
      <c r="AO271" s="11" t="str">
        <f t="shared" si="1330"/>
        <v>5,</v>
      </c>
      <c r="AP271" s="11" t="str">
        <f t="shared" si="1331"/>
        <v>40,620</v>
      </c>
      <c r="AQ271" s="11">
        <f t="shared" si="1332"/>
        <v>9.4616666666666668E-2</v>
      </c>
      <c r="AR271" s="14">
        <f t="shared" si="1333"/>
        <v>21.201338735247486</v>
      </c>
      <c r="AS271" s="40">
        <f t="shared" si="1334"/>
        <v>-100</v>
      </c>
      <c r="AT271" s="41" t="str">
        <f t="shared" si="1335"/>
        <v>NO CONFORME</v>
      </c>
      <c r="AU271" s="8" t="b">
        <f t="shared" si="1680"/>
        <v>1</v>
      </c>
      <c r="AV271" s="8" t="b">
        <f t="shared" si="1681"/>
        <v>0</v>
      </c>
      <c r="AW271" s="8" t="b">
        <f t="shared" si="1682"/>
        <v>1</v>
      </c>
      <c r="AX271" s="8" t="str">
        <f t="shared" si="1683"/>
        <v>Qcorrecto</v>
      </c>
      <c r="AY271" s="22" t="str">
        <f t="shared" si="1663"/>
        <v>aceptable</v>
      </c>
      <c r="AZ271" s="22" t="str">
        <f t="shared" si="1664"/>
        <v>aceptable</v>
      </c>
      <c r="BA271" s="22" t="str">
        <f t="shared" si="1684"/>
        <v>aceptable</v>
      </c>
      <c r="BB271" s="25" t="str">
        <f t="shared" si="1685"/>
        <v>NO CONFORME</v>
      </c>
      <c r="BC271" s="5" t="str">
        <f t="shared" si="1686"/>
        <v>NO CONFORME</v>
      </c>
      <c r="BD271" s="15">
        <f t="shared" si="1665"/>
        <v>-1</v>
      </c>
      <c r="BE271" s="15">
        <f t="shared" si="1666"/>
        <v>-1</v>
      </c>
      <c r="BF271" s="15">
        <f t="shared" si="1667"/>
        <v>-1</v>
      </c>
      <c r="BG271" s="15" t="str">
        <f t="shared" si="1668"/>
        <v>-1-1-1</v>
      </c>
      <c r="BH271" s="15" t="str">
        <f t="shared" si="1669"/>
        <v>SD</v>
      </c>
      <c r="BI271" s="15" t="str">
        <f t="shared" si="1670"/>
        <v>SI</v>
      </c>
      <c r="BJ271" s="15" t="b">
        <f t="shared" si="1671"/>
        <v>1</v>
      </c>
      <c r="BK271" s="15" t="str">
        <f t="shared" si="1672"/>
        <v>SIGIGUALES</v>
      </c>
      <c r="BL271" s="22" t="str">
        <f t="shared" si="1673"/>
        <v>NO CONFORME</v>
      </c>
    </row>
    <row r="272" spans="1:64" ht="14.4" x14ac:dyDescent="0.3">
      <c r="A272" s="36">
        <v>264</v>
      </c>
      <c r="B272" s="28">
        <f t="shared" ref="B272:E272" si="1718">B271</f>
        <v>45903</v>
      </c>
      <c r="C272" s="28">
        <f t="shared" si="1718"/>
        <v>45903</v>
      </c>
      <c r="D272" s="12">
        <f t="shared" si="1718"/>
        <v>3</v>
      </c>
      <c r="E272" s="10">
        <f t="shared" si="1718"/>
        <v>11</v>
      </c>
      <c r="F272" s="13"/>
      <c r="G272" s="69"/>
      <c r="H272" s="70">
        <f t="shared" ref="H272:L272" si="1719">H271</f>
        <v>25.6</v>
      </c>
      <c r="I272" s="37">
        <f t="shared" si="1719"/>
        <v>0</v>
      </c>
      <c r="J272" s="35">
        <f t="shared" si="1719"/>
        <v>16</v>
      </c>
      <c r="K272" s="122">
        <f t="shared" si="1719"/>
        <v>8.1690000000000005</v>
      </c>
      <c r="L272" s="122">
        <f t="shared" si="1719"/>
        <v>0.879</v>
      </c>
      <c r="M272" s="126"/>
      <c r="N272" s="126"/>
      <c r="O272" s="32">
        <f t="shared" ref="O272:P272" si="1720">O271</f>
        <v>100.65</v>
      </c>
      <c r="P272" s="33" t="str">
        <f t="shared" si="1720"/>
        <v>2,31,180</v>
      </c>
      <c r="Q272" s="11" t="str">
        <f t="shared" si="1316"/>
        <v>2</v>
      </c>
      <c r="R272" s="11" t="str">
        <f t="shared" si="1317"/>
        <v>31,180</v>
      </c>
      <c r="S272" s="11">
        <f t="shared" si="1318"/>
        <v>4.1994444444444445E-2</v>
      </c>
      <c r="T272" s="14">
        <f t="shared" si="1319"/>
        <v>2396.7456012700095</v>
      </c>
      <c r="U272" s="38">
        <f t="shared" si="1320"/>
        <v>-100</v>
      </c>
      <c r="V272" s="39">
        <f t="shared" ref="V272:W272" si="1721">V271</f>
        <v>19.8</v>
      </c>
      <c r="W272" s="124">
        <f t="shared" si="1721"/>
        <v>1.08</v>
      </c>
      <c r="X272" s="124">
        <f t="shared" si="1677"/>
        <v>1.075</v>
      </c>
      <c r="Y272" s="126"/>
      <c r="Z272" s="126"/>
      <c r="AA272" s="90">
        <f t="shared" ref="AA272:AB272" si="1722">AA271</f>
        <v>5.0149999999999997</v>
      </c>
      <c r="AB272" s="73" t="str">
        <f t="shared" si="1722"/>
        <v>9,05,040</v>
      </c>
      <c r="AC272" s="11" t="str">
        <f t="shared" si="1323"/>
        <v>9,</v>
      </c>
      <c r="AD272" s="11" t="str">
        <f t="shared" si="1324"/>
        <v>05,040</v>
      </c>
      <c r="AE272" s="11">
        <f t="shared" si="1325"/>
        <v>0.15139999999999998</v>
      </c>
      <c r="AF272" s="14">
        <f t="shared" si="1326"/>
        <v>33.124174372523122</v>
      </c>
      <c r="AG272" s="40">
        <f t="shared" si="1327"/>
        <v>-100</v>
      </c>
      <c r="AH272" s="39">
        <f t="shared" si="1692"/>
        <v>19.600000000000001</v>
      </c>
      <c r="AI272" s="124">
        <f t="shared" si="1692"/>
        <v>1.0860000000000001</v>
      </c>
      <c r="AJ272" s="124">
        <f t="shared" si="1692"/>
        <v>1.0780000000000001</v>
      </c>
      <c r="AK272" s="126">
        <f t="shared" si="1328"/>
        <v>0</v>
      </c>
      <c r="AL272" s="126"/>
      <c r="AM272" s="34">
        <f t="shared" ref="AM272:AN272" si="1723">AM271</f>
        <v>2.0059999999999998</v>
      </c>
      <c r="AN272" s="33" t="str">
        <f t="shared" si="1723"/>
        <v>5,40,620</v>
      </c>
      <c r="AO272" s="11" t="str">
        <f t="shared" si="1330"/>
        <v>5,</v>
      </c>
      <c r="AP272" s="11" t="str">
        <f t="shared" si="1331"/>
        <v>40,620</v>
      </c>
      <c r="AQ272" s="11">
        <f t="shared" si="1332"/>
        <v>9.4616666666666668E-2</v>
      </c>
      <c r="AR272" s="14">
        <f t="shared" si="1333"/>
        <v>21.201338735247486</v>
      </c>
      <c r="AS272" s="40">
        <f t="shared" si="1334"/>
        <v>-100</v>
      </c>
      <c r="AT272" s="41" t="str">
        <f t="shared" si="1335"/>
        <v>NO CONFORME</v>
      </c>
      <c r="AU272" s="8" t="b">
        <f t="shared" si="1680"/>
        <v>1</v>
      </c>
      <c r="AV272" s="8" t="b">
        <f t="shared" si="1681"/>
        <v>0</v>
      </c>
      <c r="AW272" s="8" t="b">
        <f t="shared" si="1682"/>
        <v>1</v>
      </c>
      <c r="AX272" s="8" t="str">
        <f t="shared" si="1683"/>
        <v>Qcorrecto</v>
      </c>
      <c r="AY272" s="22" t="str">
        <f t="shared" si="1663"/>
        <v>aceptable</v>
      </c>
      <c r="AZ272" s="22" t="str">
        <f t="shared" si="1664"/>
        <v>aceptable</v>
      </c>
      <c r="BA272" s="22" t="str">
        <f t="shared" si="1684"/>
        <v>aceptable</v>
      </c>
      <c r="BB272" s="25" t="str">
        <f t="shared" si="1685"/>
        <v>NO CONFORME</v>
      </c>
      <c r="BC272" s="5" t="str">
        <f t="shared" si="1686"/>
        <v>NO CONFORME</v>
      </c>
      <c r="BD272" s="15">
        <f t="shared" si="1665"/>
        <v>-1</v>
      </c>
      <c r="BE272" s="15">
        <f t="shared" si="1666"/>
        <v>-1</v>
      </c>
      <c r="BF272" s="15">
        <f t="shared" si="1667"/>
        <v>-1</v>
      </c>
      <c r="BG272" s="15" t="str">
        <f t="shared" si="1668"/>
        <v>-1-1-1</v>
      </c>
      <c r="BH272" s="15" t="str">
        <f t="shared" si="1669"/>
        <v>SD</v>
      </c>
      <c r="BI272" s="15" t="str">
        <f t="shared" si="1670"/>
        <v>SI</v>
      </c>
      <c r="BJ272" s="15" t="b">
        <f t="shared" si="1671"/>
        <v>1</v>
      </c>
      <c r="BK272" s="15" t="str">
        <f t="shared" si="1672"/>
        <v>SIGIGUALES</v>
      </c>
      <c r="BL272" s="22" t="str">
        <f t="shared" si="1673"/>
        <v>NO CONFORME</v>
      </c>
    </row>
    <row r="273" spans="1:64" ht="14.4" x14ac:dyDescent="0.3">
      <c r="A273" s="36">
        <v>265</v>
      </c>
      <c r="B273" s="28">
        <f t="shared" ref="B273:E273" si="1724">B272</f>
        <v>45903</v>
      </c>
      <c r="C273" s="28">
        <f t="shared" si="1724"/>
        <v>45903</v>
      </c>
      <c r="D273" s="12">
        <f t="shared" si="1724"/>
        <v>3</v>
      </c>
      <c r="E273" s="10">
        <f t="shared" si="1724"/>
        <v>11</v>
      </c>
      <c r="F273" s="13"/>
      <c r="G273" s="69"/>
      <c r="H273" s="70">
        <f t="shared" ref="H273:L273" si="1725">H272</f>
        <v>25.6</v>
      </c>
      <c r="I273" s="37">
        <f t="shared" si="1725"/>
        <v>0</v>
      </c>
      <c r="J273" s="35">
        <f t="shared" si="1725"/>
        <v>16</v>
      </c>
      <c r="K273" s="122">
        <f t="shared" si="1725"/>
        <v>8.1690000000000005</v>
      </c>
      <c r="L273" s="122">
        <f t="shared" si="1725"/>
        <v>0.879</v>
      </c>
      <c r="M273" s="126"/>
      <c r="N273" s="126"/>
      <c r="O273" s="32">
        <f t="shared" ref="O273:P273" si="1726">O272</f>
        <v>100.65</v>
      </c>
      <c r="P273" s="33" t="str">
        <f t="shared" si="1726"/>
        <v>2,31,180</v>
      </c>
      <c r="Q273" s="11" t="str">
        <f t="shared" si="1316"/>
        <v>2</v>
      </c>
      <c r="R273" s="11" t="str">
        <f t="shared" si="1317"/>
        <v>31,180</v>
      </c>
      <c r="S273" s="11">
        <f t="shared" si="1318"/>
        <v>4.1994444444444445E-2</v>
      </c>
      <c r="T273" s="14">
        <f t="shared" si="1319"/>
        <v>2396.7456012700095</v>
      </c>
      <c r="U273" s="38">
        <f t="shared" si="1320"/>
        <v>-100</v>
      </c>
      <c r="V273" s="39">
        <f t="shared" ref="V273:W273" si="1727">V272</f>
        <v>19.8</v>
      </c>
      <c r="W273" s="124">
        <f t="shared" si="1727"/>
        <v>1.08</v>
      </c>
      <c r="X273" s="124">
        <f t="shared" si="1677"/>
        <v>1.075</v>
      </c>
      <c r="Y273" s="126"/>
      <c r="Z273" s="126"/>
      <c r="AA273" s="90">
        <f t="shared" ref="AA273:AB273" si="1728">AA272</f>
        <v>5.0149999999999997</v>
      </c>
      <c r="AB273" s="73" t="str">
        <f t="shared" si="1728"/>
        <v>9,05,040</v>
      </c>
      <c r="AC273" s="11" t="str">
        <f t="shared" si="1323"/>
        <v>9,</v>
      </c>
      <c r="AD273" s="11" t="str">
        <f t="shared" si="1324"/>
        <v>05,040</v>
      </c>
      <c r="AE273" s="11">
        <f t="shared" si="1325"/>
        <v>0.15139999999999998</v>
      </c>
      <c r="AF273" s="14">
        <f t="shared" si="1326"/>
        <v>33.124174372523122</v>
      </c>
      <c r="AG273" s="40">
        <f t="shared" si="1327"/>
        <v>-100</v>
      </c>
      <c r="AH273" s="39">
        <f t="shared" si="1692"/>
        <v>19.600000000000001</v>
      </c>
      <c r="AI273" s="124">
        <f t="shared" si="1692"/>
        <v>1.0860000000000001</v>
      </c>
      <c r="AJ273" s="124">
        <f t="shared" si="1692"/>
        <v>1.0780000000000001</v>
      </c>
      <c r="AK273" s="126">
        <f t="shared" si="1328"/>
        <v>0</v>
      </c>
      <c r="AL273" s="126"/>
      <c r="AM273" s="34">
        <f t="shared" ref="AM273:AN273" si="1729">AM272</f>
        <v>2.0059999999999998</v>
      </c>
      <c r="AN273" s="33" t="str">
        <f t="shared" si="1729"/>
        <v>5,40,620</v>
      </c>
      <c r="AO273" s="11" t="str">
        <f t="shared" si="1330"/>
        <v>5,</v>
      </c>
      <c r="AP273" s="11" t="str">
        <f t="shared" si="1331"/>
        <v>40,620</v>
      </c>
      <c r="AQ273" s="11">
        <f t="shared" si="1332"/>
        <v>9.4616666666666668E-2</v>
      </c>
      <c r="AR273" s="14">
        <f t="shared" si="1333"/>
        <v>21.201338735247486</v>
      </c>
      <c r="AS273" s="40">
        <f t="shared" si="1334"/>
        <v>-100</v>
      </c>
      <c r="AT273" s="41" t="str">
        <f t="shared" si="1335"/>
        <v>NO CONFORME</v>
      </c>
      <c r="AU273" s="8" t="b">
        <f t="shared" si="1680"/>
        <v>1</v>
      </c>
      <c r="AV273" s="8" t="b">
        <f t="shared" si="1681"/>
        <v>0</v>
      </c>
      <c r="AW273" s="8" t="b">
        <f t="shared" si="1682"/>
        <v>1</v>
      </c>
      <c r="AX273" s="8" t="str">
        <f t="shared" si="1683"/>
        <v>Qcorrecto</v>
      </c>
      <c r="AY273" s="22" t="str">
        <f t="shared" si="1663"/>
        <v>aceptable</v>
      </c>
      <c r="AZ273" s="22" t="str">
        <f t="shared" si="1664"/>
        <v>aceptable</v>
      </c>
      <c r="BA273" s="22" t="str">
        <f t="shared" si="1684"/>
        <v>aceptable</v>
      </c>
      <c r="BB273" s="25" t="str">
        <f t="shared" si="1685"/>
        <v>NO CONFORME</v>
      </c>
      <c r="BC273" s="5" t="str">
        <f t="shared" si="1686"/>
        <v>NO CONFORME</v>
      </c>
      <c r="BD273" s="15">
        <f t="shared" si="1665"/>
        <v>-1</v>
      </c>
      <c r="BE273" s="15">
        <f t="shared" si="1666"/>
        <v>-1</v>
      </c>
      <c r="BF273" s="15">
        <f t="shared" si="1667"/>
        <v>-1</v>
      </c>
      <c r="BG273" s="15" t="str">
        <f t="shared" si="1668"/>
        <v>-1-1-1</v>
      </c>
      <c r="BH273" s="15" t="str">
        <f t="shared" si="1669"/>
        <v>SD</v>
      </c>
      <c r="BI273" s="15" t="str">
        <f t="shared" si="1670"/>
        <v>SI</v>
      </c>
      <c r="BJ273" s="15" t="b">
        <f t="shared" si="1671"/>
        <v>1</v>
      </c>
      <c r="BK273" s="15" t="str">
        <f t="shared" si="1672"/>
        <v>SIGIGUALES</v>
      </c>
      <c r="BL273" s="22" t="str">
        <f t="shared" si="1673"/>
        <v>NO CONFORME</v>
      </c>
    </row>
    <row r="274" spans="1:64" ht="14.4" x14ac:dyDescent="0.3">
      <c r="A274" s="36">
        <v>266</v>
      </c>
      <c r="B274" s="28">
        <f t="shared" ref="B274:E274" si="1730">B273</f>
        <v>45903</v>
      </c>
      <c r="C274" s="28">
        <f t="shared" si="1730"/>
        <v>45903</v>
      </c>
      <c r="D274" s="12">
        <f t="shared" si="1730"/>
        <v>3</v>
      </c>
      <c r="E274" s="10">
        <f t="shared" si="1730"/>
        <v>11</v>
      </c>
      <c r="F274" s="13"/>
      <c r="G274" s="69"/>
      <c r="H274" s="70">
        <f t="shared" ref="H274:L274" si="1731">H273</f>
        <v>25.6</v>
      </c>
      <c r="I274" s="37">
        <f t="shared" si="1731"/>
        <v>0</v>
      </c>
      <c r="J274" s="35">
        <f t="shared" si="1731"/>
        <v>16</v>
      </c>
      <c r="K274" s="122">
        <f t="shared" si="1731"/>
        <v>8.1690000000000005</v>
      </c>
      <c r="L274" s="122">
        <f t="shared" si="1731"/>
        <v>0.879</v>
      </c>
      <c r="M274" s="126"/>
      <c r="N274" s="126"/>
      <c r="O274" s="32">
        <f t="shared" ref="O274:P274" si="1732">O273</f>
        <v>100.65</v>
      </c>
      <c r="P274" s="33" t="str">
        <f t="shared" si="1732"/>
        <v>2,31,180</v>
      </c>
      <c r="Q274" s="11" t="str">
        <f t="shared" si="1316"/>
        <v>2</v>
      </c>
      <c r="R274" s="11" t="str">
        <f t="shared" si="1317"/>
        <v>31,180</v>
      </c>
      <c r="S274" s="11">
        <f t="shared" si="1318"/>
        <v>4.1994444444444445E-2</v>
      </c>
      <c r="T274" s="14">
        <f t="shared" si="1319"/>
        <v>2396.7456012700095</v>
      </c>
      <c r="U274" s="38">
        <f t="shared" si="1320"/>
        <v>-100</v>
      </c>
      <c r="V274" s="39">
        <f t="shared" ref="V274:W274" si="1733">V273</f>
        <v>19.8</v>
      </c>
      <c r="W274" s="124">
        <f t="shared" si="1733"/>
        <v>1.08</v>
      </c>
      <c r="X274" s="124">
        <f t="shared" si="1677"/>
        <v>1.075</v>
      </c>
      <c r="Y274" s="126"/>
      <c r="Z274" s="126"/>
      <c r="AA274" s="90">
        <f t="shared" ref="AA274:AB274" si="1734">AA273</f>
        <v>5.0149999999999997</v>
      </c>
      <c r="AB274" s="73" t="str">
        <f t="shared" si="1734"/>
        <v>9,05,040</v>
      </c>
      <c r="AC274" s="11" t="str">
        <f t="shared" si="1323"/>
        <v>9,</v>
      </c>
      <c r="AD274" s="11" t="str">
        <f t="shared" si="1324"/>
        <v>05,040</v>
      </c>
      <c r="AE274" s="11">
        <f t="shared" si="1325"/>
        <v>0.15139999999999998</v>
      </c>
      <c r="AF274" s="14">
        <f t="shared" si="1326"/>
        <v>33.124174372523122</v>
      </c>
      <c r="AG274" s="40">
        <f t="shared" si="1327"/>
        <v>-100</v>
      </c>
      <c r="AH274" s="39">
        <f t="shared" si="1692"/>
        <v>19.600000000000001</v>
      </c>
      <c r="AI274" s="124">
        <f t="shared" si="1692"/>
        <v>1.0860000000000001</v>
      </c>
      <c r="AJ274" s="124">
        <f t="shared" si="1692"/>
        <v>1.0780000000000001</v>
      </c>
      <c r="AK274" s="126">
        <f t="shared" si="1328"/>
        <v>0</v>
      </c>
      <c r="AL274" s="126"/>
      <c r="AM274" s="34">
        <f t="shared" ref="AM274:AN274" si="1735">AM273</f>
        <v>2.0059999999999998</v>
      </c>
      <c r="AN274" s="33" t="str">
        <f t="shared" si="1735"/>
        <v>5,40,620</v>
      </c>
      <c r="AO274" s="11" t="str">
        <f t="shared" si="1330"/>
        <v>5,</v>
      </c>
      <c r="AP274" s="11" t="str">
        <f t="shared" si="1331"/>
        <v>40,620</v>
      </c>
      <c r="AQ274" s="11">
        <f t="shared" si="1332"/>
        <v>9.4616666666666668E-2</v>
      </c>
      <c r="AR274" s="14">
        <f t="shared" si="1333"/>
        <v>21.201338735247486</v>
      </c>
      <c r="AS274" s="40">
        <f t="shared" si="1334"/>
        <v>-100</v>
      </c>
      <c r="AT274" s="41" t="str">
        <f t="shared" si="1335"/>
        <v>NO CONFORME</v>
      </c>
      <c r="AU274" s="8" t="b">
        <f t="shared" si="1680"/>
        <v>1</v>
      </c>
      <c r="AV274" s="8" t="b">
        <f t="shared" si="1681"/>
        <v>0</v>
      </c>
      <c r="AW274" s="8" t="b">
        <f t="shared" si="1682"/>
        <v>1</v>
      </c>
      <c r="AX274" s="8" t="str">
        <f t="shared" si="1683"/>
        <v>Qcorrecto</v>
      </c>
      <c r="AY274" s="22" t="str">
        <f t="shared" si="1663"/>
        <v>aceptable</v>
      </c>
      <c r="AZ274" s="22" t="str">
        <f t="shared" si="1664"/>
        <v>aceptable</v>
      </c>
      <c r="BA274" s="22" t="str">
        <f t="shared" si="1684"/>
        <v>aceptable</v>
      </c>
      <c r="BB274" s="25" t="str">
        <f t="shared" si="1685"/>
        <v>NO CONFORME</v>
      </c>
      <c r="BC274" s="5" t="str">
        <f t="shared" si="1686"/>
        <v>NO CONFORME</v>
      </c>
      <c r="BD274" s="15">
        <f t="shared" si="1665"/>
        <v>-1</v>
      </c>
      <c r="BE274" s="15">
        <f t="shared" si="1666"/>
        <v>-1</v>
      </c>
      <c r="BF274" s="15">
        <f t="shared" si="1667"/>
        <v>-1</v>
      </c>
      <c r="BG274" s="15" t="str">
        <f t="shared" si="1668"/>
        <v>-1-1-1</v>
      </c>
      <c r="BH274" s="15" t="str">
        <f t="shared" si="1669"/>
        <v>SD</v>
      </c>
      <c r="BI274" s="15" t="str">
        <f t="shared" si="1670"/>
        <v>SI</v>
      </c>
      <c r="BJ274" s="15" t="b">
        <f t="shared" si="1671"/>
        <v>1</v>
      </c>
      <c r="BK274" s="15" t="str">
        <f t="shared" si="1672"/>
        <v>SIGIGUALES</v>
      </c>
      <c r="BL274" s="22" t="str">
        <f t="shared" si="1673"/>
        <v>NO CONFORME</v>
      </c>
    </row>
    <row r="275" spans="1:64" ht="14.4" x14ac:dyDescent="0.3">
      <c r="A275" s="36">
        <v>267</v>
      </c>
      <c r="B275" s="28">
        <f t="shared" ref="B275:E275" si="1736">B274</f>
        <v>45903</v>
      </c>
      <c r="C275" s="28">
        <f t="shared" si="1736"/>
        <v>45903</v>
      </c>
      <c r="D275" s="12">
        <f t="shared" si="1736"/>
        <v>3</v>
      </c>
      <c r="E275" s="10">
        <f t="shared" si="1736"/>
        <v>11</v>
      </c>
      <c r="F275" s="13"/>
      <c r="G275" s="69"/>
      <c r="H275" s="70">
        <f t="shared" ref="H275:L275" si="1737">H274</f>
        <v>25.6</v>
      </c>
      <c r="I275" s="37">
        <f t="shared" si="1737"/>
        <v>0</v>
      </c>
      <c r="J275" s="35">
        <f t="shared" si="1737"/>
        <v>16</v>
      </c>
      <c r="K275" s="122">
        <f t="shared" si="1737"/>
        <v>8.1690000000000005</v>
      </c>
      <c r="L275" s="122">
        <f t="shared" si="1737"/>
        <v>0.879</v>
      </c>
      <c r="M275" s="126"/>
      <c r="N275" s="126"/>
      <c r="O275" s="32">
        <f t="shared" ref="O275:P275" si="1738">O274</f>
        <v>100.65</v>
      </c>
      <c r="P275" s="33" t="str">
        <f t="shared" si="1738"/>
        <v>2,31,180</v>
      </c>
      <c r="Q275" s="11" t="str">
        <f t="shared" ref="Q275:Q308" si="1739">LEFT(P275,1)</f>
        <v>2</v>
      </c>
      <c r="R275" s="11" t="str">
        <f t="shared" ref="R275:R308" si="1740">RIGHT(P275,6)</f>
        <v>31,180</v>
      </c>
      <c r="S275" s="11">
        <f t="shared" ref="S275:S308" si="1741">+(Q275*60+R275)/(60*60)</f>
        <v>4.1994444444444445E-2</v>
      </c>
      <c r="T275" s="14">
        <f t="shared" ref="T275:T308" si="1742">+O275/S275</f>
        <v>2396.7456012700095</v>
      </c>
      <c r="U275" s="38">
        <f t="shared" ref="U275:U308" si="1743">+(((N275-M275-O275)/O275)*100)</f>
        <v>-100</v>
      </c>
      <c r="V275" s="39">
        <f t="shared" ref="V275:W275" si="1744">V274</f>
        <v>19.8</v>
      </c>
      <c r="W275" s="124">
        <f t="shared" si="1744"/>
        <v>1.08</v>
      </c>
      <c r="X275" s="124">
        <f t="shared" si="1677"/>
        <v>1.075</v>
      </c>
      <c r="Y275" s="126"/>
      <c r="Z275" s="126"/>
      <c r="AA275" s="90">
        <f t="shared" ref="AA275:AB275" si="1745">AA274</f>
        <v>5.0149999999999997</v>
      </c>
      <c r="AB275" s="73" t="str">
        <f t="shared" si="1745"/>
        <v>9,05,040</v>
      </c>
      <c r="AC275" s="11" t="str">
        <f t="shared" ref="AC275:AC308" si="1746">LEFT(AB275,2)</f>
        <v>9,</v>
      </c>
      <c r="AD275" s="11" t="str">
        <f t="shared" ref="AD275:AD308" si="1747">RIGHT(AB275,6)</f>
        <v>05,040</v>
      </c>
      <c r="AE275" s="11">
        <f t="shared" ref="AE275:AE308" si="1748">+(AC275*60+AD275)/(60*60)</f>
        <v>0.15139999999999998</v>
      </c>
      <c r="AF275" s="14">
        <f t="shared" ref="AF275:AF308" si="1749">+AA275/AE275</f>
        <v>33.124174372523122</v>
      </c>
      <c r="AG275" s="40">
        <f t="shared" ref="AG275:AG308" si="1750">+(((Z275-Y275-AA275)/AA275)*100)</f>
        <v>-100</v>
      </c>
      <c r="AH275" s="39">
        <f t="shared" si="1692"/>
        <v>19.600000000000001</v>
      </c>
      <c r="AI275" s="124">
        <f t="shared" si="1692"/>
        <v>1.0860000000000001</v>
      </c>
      <c r="AJ275" s="124">
        <f t="shared" si="1692"/>
        <v>1.0780000000000001</v>
      </c>
      <c r="AK275" s="126">
        <f t="shared" ref="AK275:AK308" si="1751">Z275</f>
        <v>0</v>
      </c>
      <c r="AL275" s="126"/>
      <c r="AM275" s="34">
        <f t="shared" ref="AM275:AN275" si="1752">AM274</f>
        <v>2.0059999999999998</v>
      </c>
      <c r="AN275" s="33" t="str">
        <f t="shared" si="1752"/>
        <v>5,40,620</v>
      </c>
      <c r="AO275" s="11" t="str">
        <f t="shared" ref="AO275:AO308" si="1753">LEFT(AN275,2)</f>
        <v>5,</v>
      </c>
      <c r="AP275" s="11" t="str">
        <f t="shared" ref="AP275:AP308" si="1754">RIGHT(AN275,6)</f>
        <v>40,620</v>
      </c>
      <c r="AQ275" s="11">
        <f t="shared" ref="AQ275:AQ308" si="1755">+(AO275*60+AP275)/(60*60)</f>
        <v>9.4616666666666668E-2</v>
      </c>
      <c r="AR275" s="14">
        <f t="shared" ref="AR275:AR308" si="1756">+AM275/AQ275</f>
        <v>21.201338735247486</v>
      </c>
      <c r="AS275" s="40">
        <f t="shared" ref="AS275:AS308" si="1757">+(((AL275-AK275-AM275)/AM275)*100)</f>
        <v>-100</v>
      </c>
      <c r="AT275" s="41" t="str">
        <f t="shared" ref="AT275:AT308" si="1758">IF(I275&gt;=1,"NO CONFORME",IF(BK275="SIGDIFERENTES",BC275,BL275))</f>
        <v>NO CONFORME</v>
      </c>
      <c r="AU275" s="8" t="b">
        <f t="shared" si="1680"/>
        <v>1</v>
      </c>
      <c r="AV275" s="8" t="b">
        <f t="shared" si="1681"/>
        <v>0</v>
      </c>
      <c r="AW275" s="8" t="b">
        <f t="shared" si="1682"/>
        <v>1</v>
      </c>
      <c r="AX275" s="8" t="str">
        <f t="shared" si="1683"/>
        <v>Qcorrecto</v>
      </c>
      <c r="AY275" s="22" t="str">
        <f t="shared" si="1663"/>
        <v>aceptable</v>
      </c>
      <c r="AZ275" s="22" t="str">
        <f t="shared" si="1664"/>
        <v>aceptable</v>
      </c>
      <c r="BA275" s="22" t="str">
        <f t="shared" si="1684"/>
        <v>aceptable</v>
      </c>
      <c r="BB275" s="25" t="str">
        <f t="shared" si="1685"/>
        <v>NO CONFORME</v>
      </c>
      <c r="BC275" s="5" t="str">
        <f t="shared" si="1686"/>
        <v>NO CONFORME</v>
      </c>
      <c r="BD275" s="15">
        <f t="shared" si="1665"/>
        <v>-1</v>
      </c>
      <c r="BE275" s="15">
        <f t="shared" si="1666"/>
        <v>-1</v>
      </c>
      <c r="BF275" s="15">
        <f t="shared" si="1667"/>
        <v>-1</v>
      </c>
      <c r="BG275" s="15" t="str">
        <f t="shared" si="1668"/>
        <v>-1-1-1</v>
      </c>
      <c r="BH275" s="15" t="str">
        <f t="shared" si="1669"/>
        <v>SD</v>
      </c>
      <c r="BI275" s="15" t="str">
        <f t="shared" si="1670"/>
        <v>SI</v>
      </c>
      <c r="BJ275" s="15" t="b">
        <f t="shared" si="1671"/>
        <v>1</v>
      </c>
      <c r="BK275" s="15" t="str">
        <f t="shared" si="1672"/>
        <v>SIGIGUALES</v>
      </c>
      <c r="BL275" s="22" t="str">
        <f t="shared" si="1673"/>
        <v>NO CONFORME</v>
      </c>
    </row>
    <row r="276" spans="1:64" ht="14.4" x14ac:dyDescent="0.3">
      <c r="A276" s="36">
        <v>268</v>
      </c>
      <c r="B276" s="28">
        <f t="shared" ref="B276:E276" si="1759">B275</f>
        <v>45903</v>
      </c>
      <c r="C276" s="28">
        <f t="shared" si="1759"/>
        <v>45903</v>
      </c>
      <c r="D276" s="12">
        <f t="shared" si="1759"/>
        <v>3</v>
      </c>
      <c r="E276" s="10">
        <f t="shared" si="1759"/>
        <v>11</v>
      </c>
      <c r="F276" s="13"/>
      <c r="G276" s="69"/>
      <c r="H276" s="70">
        <f t="shared" ref="H276:L276" si="1760">H275</f>
        <v>25.6</v>
      </c>
      <c r="I276" s="37">
        <f t="shared" si="1760"/>
        <v>0</v>
      </c>
      <c r="J276" s="35">
        <f t="shared" si="1760"/>
        <v>16</v>
      </c>
      <c r="K276" s="122">
        <f t="shared" si="1760"/>
        <v>8.1690000000000005</v>
      </c>
      <c r="L276" s="122">
        <f t="shared" si="1760"/>
        <v>0.879</v>
      </c>
      <c r="M276" s="126"/>
      <c r="N276" s="126"/>
      <c r="O276" s="32">
        <f t="shared" ref="O276:P276" si="1761">O275</f>
        <v>100.65</v>
      </c>
      <c r="P276" s="33" t="str">
        <f t="shared" si="1761"/>
        <v>2,31,180</v>
      </c>
      <c r="Q276" s="11" t="str">
        <f t="shared" si="1739"/>
        <v>2</v>
      </c>
      <c r="R276" s="11" t="str">
        <f t="shared" si="1740"/>
        <v>31,180</v>
      </c>
      <c r="S276" s="11">
        <f t="shared" si="1741"/>
        <v>4.1994444444444445E-2</v>
      </c>
      <c r="T276" s="14">
        <f t="shared" si="1742"/>
        <v>2396.7456012700095</v>
      </c>
      <c r="U276" s="38">
        <f t="shared" si="1743"/>
        <v>-100</v>
      </c>
      <c r="V276" s="39">
        <f t="shared" ref="V276:W276" si="1762">V275</f>
        <v>19.8</v>
      </c>
      <c r="W276" s="124">
        <f t="shared" si="1762"/>
        <v>1.08</v>
      </c>
      <c r="X276" s="124">
        <f t="shared" si="1677"/>
        <v>1.075</v>
      </c>
      <c r="Y276" s="126"/>
      <c r="Z276" s="126"/>
      <c r="AA276" s="90">
        <f t="shared" ref="AA276:AB276" si="1763">AA275</f>
        <v>5.0149999999999997</v>
      </c>
      <c r="AB276" s="73" t="str">
        <f t="shared" si="1763"/>
        <v>9,05,040</v>
      </c>
      <c r="AC276" s="11" t="str">
        <f t="shared" si="1746"/>
        <v>9,</v>
      </c>
      <c r="AD276" s="11" t="str">
        <f t="shared" si="1747"/>
        <v>05,040</v>
      </c>
      <c r="AE276" s="11">
        <f t="shared" si="1748"/>
        <v>0.15139999999999998</v>
      </c>
      <c r="AF276" s="14">
        <f t="shared" si="1749"/>
        <v>33.124174372523122</v>
      </c>
      <c r="AG276" s="40">
        <f t="shared" si="1750"/>
        <v>-100</v>
      </c>
      <c r="AH276" s="39">
        <f t="shared" si="1692"/>
        <v>19.600000000000001</v>
      </c>
      <c r="AI276" s="124">
        <f t="shared" si="1692"/>
        <v>1.0860000000000001</v>
      </c>
      <c r="AJ276" s="124">
        <f t="shared" si="1692"/>
        <v>1.0780000000000001</v>
      </c>
      <c r="AK276" s="126">
        <f t="shared" si="1751"/>
        <v>0</v>
      </c>
      <c r="AL276" s="126"/>
      <c r="AM276" s="34">
        <f t="shared" ref="AM276:AN276" si="1764">AM275</f>
        <v>2.0059999999999998</v>
      </c>
      <c r="AN276" s="33" t="str">
        <f t="shared" si="1764"/>
        <v>5,40,620</v>
      </c>
      <c r="AO276" s="11" t="str">
        <f t="shared" si="1753"/>
        <v>5,</v>
      </c>
      <c r="AP276" s="11" t="str">
        <f t="shared" si="1754"/>
        <v>40,620</v>
      </c>
      <c r="AQ276" s="11">
        <f t="shared" si="1755"/>
        <v>9.4616666666666668E-2</v>
      </c>
      <c r="AR276" s="14">
        <f t="shared" si="1756"/>
        <v>21.201338735247486</v>
      </c>
      <c r="AS276" s="40">
        <f t="shared" si="1757"/>
        <v>-100</v>
      </c>
      <c r="AT276" s="41" t="str">
        <f t="shared" si="1758"/>
        <v>NO CONFORME</v>
      </c>
      <c r="AU276" s="8" t="b">
        <f t="shared" si="1680"/>
        <v>1</v>
      </c>
      <c r="AV276" s="8" t="b">
        <f t="shared" si="1681"/>
        <v>0</v>
      </c>
      <c r="AW276" s="8" t="b">
        <f t="shared" si="1682"/>
        <v>1</v>
      </c>
      <c r="AX276" s="8" t="str">
        <f t="shared" si="1683"/>
        <v>Qcorrecto</v>
      </c>
      <c r="AY276" s="22" t="str">
        <f t="shared" si="1663"/>
        <v>aceptable</v>
      </c>
      <c r="AZ276" s="22" t="str">
        <f t="shared" si="1664"/>
        <v>aceptable</v>
      </c>
      <c r="BA276" s="22" t="str">
        <f t="shared" si="1684"/>
        <v>aceptable</v>
      </c>
      <c r="BB276" s="25" t="str">
        <f t="shared" si="1685"/>
        <v>NO CONFORME</v>
      </c>
      <c r="BC276" s="5" t="str">
        <f t="shared" si="1686"/>
        <v>NO CONFORME</v>
      </c>
      <c r="BD276" s="15">
        <f t="shared" si="1665"/>
        <v>-1</v>
      </c>
      <c r="BE276" s="15">
        <f t="shared" si="1666"/>
        <v>-1</v>
      </c>
      <c r="BF276" s="15">
        <f t="shared" si="1667"/>
        <v>-1</v>
      </c>
      <c r="BG276" s="15" t="str">
        <f t="shared" si="1668"/>
        <v>-1-1-1</v>
      </c>
      <c r="BH276" s="15" t="str">
        <f t="shared" si="1669"/>
        <v>SD</v>
      </c>
      <c r="BI276" s="15" t="str">
        <f t="shared" si="1670"/>
        <v>SI</v>
      </c>
      <c r="BJ276" s="15" t="b">
        <f t="shared" si="1671"/>
        <v>1</v>
      </c>
      <c r="BK276" s="15" t="str">
        <f t="shared" si="1672"/>
        <v>SIGIGUALES</v>
      </c>
      <c r="BL276" s="22" t="str">
        <f t="shared" si="1673"/>
        <v>NO CONFORME</v>
      </c>
    </row>
    <row r="277" spans="1:64" ht="14.4" x14ac:dyDescent="0.3">
      <c r="A277" s="36">
        <v>269</v>
      </c>
      <c r="B277" s="28">
        <f t="shared" ref="B277:E277" si="1765">B276</f>
        <v>45903</v>
      </c>
      <c r="C277" s="28">
        <f t="shared" si="1765"/>
        <v>45903</v>
      </c>
      <c r="D277" s="12">
        <f t="shared" si="1765"/>
        <v>3</v>
      </c>
      <c r="E277" s="10">
        <f t="shared" si="1765"/>
        <v>11</v>
      </c>
      <c r="F277" s="13"/>
      <c r="G277" s="69"/>
      <c r="H277" s="70">
        <f t="shared" ref="H277:L277" si="1766">H276</f>
        <v>25.6</v>
      </c>
      <c r="I277" s="37">
        <f t="shared" si="1766"/>
        <v>0</v>
      </c>
      <c r="J277" s="35">
        <f t="shared" si="1766"/>
        <v>16</v>
      </c>
      <c r="K277" s="122">
        <f t="shared" si="1766"/>
        <v>8.1690000000000005</v>
      </c>
      <c r="L277" s="122">
        <f t="shared" si="1766"/>
        <v>0.879</v>
      </c>
      <c r="M277" s="126"/>
      <c r="N277" s="126"/>
      <c r="O277" s="32">
        <f t="shared" ref="O277:P277" si="1767">O276</f>
        <v>100.65</v>
      </c>
      <c r="P277" s="33" t="str">
        <f t="shared" si="1767"/>
        <v>2,31,180</v>
      </c>
      <c r="Q277" s="11" t="str">
        <f t="shared" si="1739"/>
        <v>2</v>
      </c>
      <c r="R277" s="11" t="str">
        <f t="shared" si="1740"/>
        <v>31,180</v>
      </c>
      <c r="S277" s="11">
        <f t="shared" si="1741"/>
        <v>4.1994444444444445E-2</v>
      </c>
      <c r="T277" s="14">
        <f t="shared" si="1742"/>
        <v>2396.7456012700095</v>
      </c>
      <c r="U277" s="38">
        <f t="shared" si="1743"/>
        <v>-100</v>
      </c>
      <c r="V277" s="39">
        <f t="shared" ref="V277:W277" si="1768">V276</f>
        <v>19.8</v>
      </c>
      <c r="W277" s="124">
        <f t="shared" si="1768"/>
        <v>1.08</v>
      </c>
      <c r="X277" s="124">
        <f t="shared" si="1677"/>
        <v>1.075</v>
      </c>
      <c r="Y277" s="126"/>
      <c r="Z277" s="126"/>
      <c r="AA277" s="90">
        <f t="shared" ref="AA277:AB277" si="1769">AA276</f>
        <v>5.0149999999999997</v>
      </c>
      <c r="AB277" s="73" t="str">
        <f t="shared" si="1769"/>
        <v>9,05,040</v>
      </c>
      <c r="AC277" s="11" t="str">
        <f t="shared" si="1746"/>
        <v>9,</v>
      </c>
      <c r="AD277" s="11" t="str">
        <f t="shared" si="1747"/>
        <v>05,040</v>
      </c>
      <c r="AE277" s="11">
        <f t="shared" si="1748"/>
        <v>0.15139999999999998</v>
      </c>
      <c r="AF277" s="14">
        <f t="shared" si="1749"/>
        <v>33.124174372523122</v>
      </c>
      <c r="AG277" s="40">
        <f t="shared" si="1750"/>
        <v>-100</v>
      </c>
      <c r="AH277" s="39">
        <f t="shared" si="1692"/>
        <v>19.600000000000001</v>
      </c>
      <c r="AI277" s="124">
        <f t="shared" si="1692"/>
        <v>1.0860000000000001</v>
      </c>
      <c r="AJ277" s="124">
        <f t="shared" si="1692"/>
        <v>1.0780000000000001</v>
      </c>
      <c r="AK277" s="126">
        <f t="shared" si="1751"/>
        <v>0</v>
      </c>
      <c r="AL277" s="126"/>
      <c r="AM277" s="34">
        <f t="shared" ref="AM277:AN277" si="1770">AM276</f>
        <v>2.0059999999999998</v>
      </c>
      <c r="AN277" s="33" t="str">
        <f t="shared" si="1770"/>
        <v>5,40,620</v>
      </c>
      <c r="AO277" s="11" t="str">
        <f t="shared" si="1753"/>
        <v>5,</v>
      </c>
      <c r="AP277" s="11" t="str">
        <f t="shared" si="1754"/>
        <v>40,620</v>
      </c>
      <c r="AQ277" s="11">
        <f t="shared" si="1755"/>
        <v>9.4616666666666668E-2</v>
      </c>
      <c r="AR277" s="14">
        <f t="shared" si="1756"/>
        <v>21.201338735247486</v>
      </c>
      <c r="AS277" s="40">
        <f t="shared" si="1757"/>
        <v>-100</v>
      </c>
      <c r="AT277" s="41" t="str">
        <f t="shared" si="1758"/>
        <v>NO CONFORME</v>
      </c>
      <c r="AU277" s="8" t="b">
        <f t="shared" si="1680"/>
        <v>1</v>
      </c>
      <c r="AV277" s="8" t="b">
        <f t="shared" si="1681"/>
        <v>0</v>
      </c>
      <c r="AW277" s="8" t="b">
        <f t="shared" si="1682"/>
        <v>1</v>
      </c>
      <c r="AX277" s="8" t="str">
        <f t="shared" si="1683"/>
        <v>Qcorrecto</v>
      </c>
      <c r="AY277" s="22" t="str">
        <f t="shared" si="1663"/>
        <v>aceptable</v>
      </c>
      <c r="AZ277" s="22" t="str">
        <f t="shared" si="1664"/>
        <v>aceptable</v>
      </c>
      <c r="BA277" s="22" t="str">
        <f t="shared" si="1684"/>
        <v>aceptable</v>
      </c>
      <c r="BB277" s="25" t="str">
        <f t="shared" si="1685"/>
        <v>NO CONFORME</v>
      </c>
      <c r="BC277" s="5" t="str">
        <f t="shared" si="1686"/>
        <v>NO CONFORME</v>
      </c>
      <c r="BD277" s="15">
        <f t="shared" si="1665"/>
        <v>-1</v>
      </c>
      <c r="BE277" s="15">
        <f t="shared" si="1666"/>
        <v>-1</v>
      </c>
      <c r="BF277" s="15">
        <f t="shared" si="1667"/>
        <v>-1</v>
      </c>
      <c r="BG277" s="15" t="str">
        <f t="shared" si="1668"/>
        <v>-1-1-1</v>
      </c>
      <c r="BH277" s="15" t="str">
        <f t="shared" si="1669"/>
        <v>SD</v>
      </c>
      <c r="BI277" s="15" t="str">
        <f t="shared" si="1670"/>
        <v>SI</v>
      </c>
      <c r="BJ277" s="15" t="b">
        <f t="shared" si="1671"/>
        <v>1</v>
      </c>
      <c r="BK277" s="15" t="str">
        <f t="shared" si="1672"/>
        <v>SIGIGUALES</v>
      </c>
      <c r="BL277" s="22" t="str">
        <f t="shared" si="1673"/>
        <v>NO CONFORME</v>
      </c>
    </row>
    <row r="278" spans="1:64" ht="14.4" x14ac:dyDescent="0.3">
      <c r="A278" s="36">
        <v>270</v>
      </c>
      <c r="B278" s="28">
        <f t="shared" ref="B278:E278" si="1771">B277</f>
        <v>45903</v>
      </c>
      <c r="C278" s="28">
        <f t="shared" si="1771"/>
        <v>45903</v>
      </c>
      <c r="D278" s="12">
        <f t="shared" si="1771"/>
        <v>3</v>
      </c>
      <c r="E278" s="10">
        <f t="shared" si="1771"/>
        <v>11</v>
      </c>
      <c r="F278" s="13"/>
      <c r="G278" s="69"/>
      <c r="H278" s="70">
        <f t="shared" ref="H278:L278" si="1772">H277</f>
        <v>25.6</v>
      </c>
      <c r="I278" s="37">
        <f t="shared" si="1772"/>
        <v>0</v>
      </c>
      <c r="J278" s="35">
        <f t="shared" si="1772"/>
        <v>16</v>
      </c>
      <c r="K278" s="122">
        <f t="shared" si="1772"/>
        <v>8.1690000000000005</v>
      </c>
      <c r="L278" s="122">
        <f t="shared" si="1772"/>
        <v>0.879</v>
      </c>
      <c r="M278" s="126"/>
      <c r="N278" s="126"/>
      <c r="O278" s="32">
        <f t="shared" ref="O278:P278" si="1773">O277</f>
        <v>100.65</v>
      </c>
      <c r="P278" s="33" t="str">
        <f t="shared" si="1773"/>
        <v>2,31,180</v>
      </c>
      <c r="Q278" s="11" t="str">
        <f t="shared" si="1739"/>
        <v>2</v>
      </c>
      <c r="R278" s="11" t="str">
        <f t="shared" si="1740"/>
        <v>31,180</v>
      </c>
      <c r="S278" s="11">
        <f t="shared" si="1741"/>
        <v>4.1994444444444445E-2</v>
      </c>
      <c r="T278" s="14">
        <f t="shared" si="1742"/>
        <v>2396.7456012700095</v>
      </c>
      <c r="U278" s="38">
        <f t="shared" si="1743"/>
        <v>-100</v>
      </c>
      <c r="V278" s="39">
        <f t="shared" ref="V278:W278" si="1774">V277</f>
        <v>19.8</v>
      </c>
      <c r="W278" s="124">
        <f t="shared" si="1774"/>
        <v>1.08</v>
      </c>
      <c r="X278" s="124">
        <f t="shared" si="1677"/>
        <v>1.075</v>
      </c>
      <c r="Y278" s="126"/>
      <c r="Z278" s="126"/>
      <c r="AA278" s="90">
        <f t="shared" ref="AA278:AB278" si="1775">AA277</f>
        <v>5.0149999999999997</v>
      </c>
      <c r="AB278" s="73" t="str">
        <f t="shared" si="1775"/>
        <v>9,05,040</v>
      </c>
      <c r="AC278" s="11" t="str">
        <f t="shared" si="1746"/>
        <v>9,</v>
      </c>
      <c r="AD278" s="11" t="str">
        <f t="shared" si="1747"/>
        <v>05,040</v>
      </c>
      <c r="AE278" s="11">
        <f t="shared" si="1748"/>
        <v>0.15139999999999998</v>
      </c>
      <c r="AF278" s="14">
        <f t="shared" si="1749"/>
        <v>33.124174372523122</v>
      </c>
      <c r="AG278" s="40">
        <f t="shared" si="1750"/>
        <v>-100</v>
      </c>
      <c r="AH278" s="39">
        <f t="shared" si="1692"/>
        <v>19.600000000000001</v>
      </c>
      <c r="AI278" s="124">
        <f t="shared" si="1692"/>
        <v>1.0860000000000001</v>
      </c>
      <c r="AJ278" s="124">
        <f t="shared" si="1692"/>
        <v>1.0780000000000001</v>
      </c>
      <c r="AK278" s="126">
        <f t="shared" si="1751"/>
        <v>0</v>
      </c>
      <c r="AL278" s="126"/>
      <c r="AM278" s="34">
        <f t="shared" ref="AM278:AN278" si="1776">AM277</f>
        <v>2.0059999999999998</v>
      </c>
      <c r="AN278" s="33" t="str">
        <f t="shared" si="1776"/>
        <v>5,40,620</v>
      </c>
      <c r="AO278" s="11" t="str">
        <f t="shared" si="1753"/>
        <v>5,</v>
      </c>
      <c r="AP278" s="11" t="str">
        <f t="shared" si="1754"/>
        <v>40,620</v>
      </c>
      <c r="AQ278" s="11">
        <f t="shared" si="1755"/>
        <v>9.4616666666666668E-2</v>
      </c>
      <c r="AR278" s="14">
        <f t="shared" si="1756"/>
        <v>21.201338735247486</v>
      </c>
      <c r="AS278" s="40">
        <f t="shared" si="1757"/>
        <v>-100</v>
      </c>
      <c r="AT278" s="41" t="str">
        <f t="shared" si="1758"/>
        <v>NO CONFORME</v>
      </c>
      <c r="AU278" s="8" t="b">
        <f t="shared" si="1680"/>
        <v>1</v>
      </c>
      <c r="AV278" s="8" t="b">
        <f t="shared" si="1681"/>
        <v>0</v>
      </c>
      <c r="AW278" s="8" t="b">
        <f t="shared" si="1682"/>
        <v>1</v>
      </c>
      <c r="AX278" s="8" t="str">
        <f t="shared" si="1683"/>
        <v>Qcorrecto</v>
      </c>
      <c r="AY278" s="22" t="str">
        <f t="shared" si="1663"/>
        <v>aceptable</v>
      </c>
      <c r="AZ278" s="22" t="str">
        <f t="shared" si="1664"/>
        <v>aceptable</v>
      </c>
      <c r="BA278" s="22" t="str">
        <f t="shared" si="1684"/>
        <v>aceptable</v>
      </c>
      <c r="BB278" s="25" t="str">
        <f t="shared" si="1685"/>
        <v>NO CONFORME</v>
      </c>
      <c r="BC278" s="5" t="str">
        <f t="shared" si="1686"/>
        <v>NO CONFORME</v>
      </c>
      <c r="BD278" s="15">
        <f t="shared" si="1665"/>
        <v>-1</v>
      </c>
      <c r="BE278" s="15">
        <f t="shared" si="1666"/>
        <v>-1</v>
      </c>
      <c r="BF278" s="15">
        <f t="shared" si="1667"/>
        <v>-1</v>
      </c>
      <c r="BG278" s="15" t="str">
        <f t="shared" si="1668"/>
        <v>-1-1-1</v>
      </c>
      <c r="BH278" s="15" t="str">
        <f t="shared" si="1669"/>
        <v>SD</v>
      </c>
      <c r="BI278" s="15" t="str">
        <f t="shared" si="1670"/>
        <v>SI</v>
      </c>
      <c r="BJ278" s="15" t="b">
        <f t="shared" si="1671"/>
        <v>1</v>
      </c>
      <c r="BK278" s="15" t="str">
        <f t="shared" si="1672"/>
        <v>SIGIGUALES</v>
      </c>
      <c r="BL278" s="22" t="str">
        <f t="shared" si="1673"/>
        <v>NO CONFORME</v>
      </c>
    </row>
    <row r="279" spans="1:64" ht="14.4" x14ac:dyDescent="0.3">
      <c r="A279" s="36">
        <v>271</v>
      </c>
      <c r="B279" s="28">
        <f t="shared" ref="B279:E279" si="1777">B278</f>
        <v>45903</v>
      </c>
      <c r="C279" s="28">
        <f t="shared" si="1777"/>
        <v>45903</v>
      </c>
      <c r="D279" s="12">
        <f t="shared" si="1777"/>
        <v>3</v>
      </c>
      <c r="E279" s="10">
        <f t="shared" si="1777"/>
        <v>11</v>
      </c>
      <c r="F279" s="13"/>
      <c r="G279" s="69"/>
      <c r="H279" s="70">
        <f t="shared" ref="H279:L279" si="1778">H278</f>
        <v>25.6</v>
      </c>
      <c r="I279" s="37">
        <f t="shared" si="1778"/>
        <v>0</v>
      </c>
      <c r="J279" s="35">
        <f t="shared" si="1778"/>
        <v>16</v>
      </c>
      <c r="K279" s="122">
        <f t="shared" si="1778"/>
        <v>8.1690000000000005</v>
      </c>
      <c r="L279" s="122">
        <f t="shared" si="1778"/>
        <v>0.879</v>
      </c>
      <c r="M279" s="126"/>
      <c r="N279" s="126"/>
      <c r="O279" s="32">
        <f t="shared" ref="O279:P279" si="1779">O278</f>
        <v>100.65</v>
      </c>
      <c r="P279" s="33" t="str">
        <f t="shared" si="1779"/>
        <v>2,31,180</v>
      </c>
      <c r="Q279" s="11" t="str">
        <f t="shared" si="1739"/>
        <v>2</v>
      </c>
      <c r="R279" s="11" t="str">
        <f t="shared" si="1740"/>
        <v>31,180</v>
      </c>
      <c r="S279" s="11">
        <f t="shared" si="1741"/>
        <v>4.1994444444444445E-2</v>
      </c>
      <c r="T279" s="14">
        <f t="shared" si="1742"/>
        <v>2396.7456012700095</v>
      </c>
      <c r="U279" s="38">
        <f t="shared" si="1743"/>
        <v>-100</v>
      </c>
      <c r="V279" s="39">
        <f t="shared" ref="V279:W279" si="1780">V278</f>
        <v>19.8</v>
      </c>
      <c r="W279" s="124">
        <f t="shared" si="1780"/>
        <v>1.08</v>
      </c>
      <c r="X279" s="124">
        <f t="shared" si="1677"/>
        <v>1.075</v>
      </c>
      <c r="Y279" s="126"/>
      <c r="Z279" s="126"/>
      <c r="AA279" s="90">
        <f t="shared" ref="AA279:AB279" si="1781">AA278</f>
        <v>5.0149999999999997</v>
      </c>
      <c r="AB279" s="73" t="str">
        <f t="shared" si="1781"/>
        <v>9,05,040</v>
      </c>
      <c r="AC279" s="11" t="str">
        <f t="shared" si="1746"/>
        <v>9,</v>
      </c>
      <c r="AD279" s="11" t="str">
        <f t="shared" si="1747"/>
        <v>05,040</v>
      </c>
      <c r="AE279" s="11">
        <f t="shared" si="1748"/>
        <v>0.15139999999999998</v>
      </c>
      <c r="AF279" s="14">
        <f t="shared" si="1749"/>
        <v>33.124174372523122</v>
      </c>
      <c r="AG279" s="40">
        <f t="shared" si="1750"/>
        <v>-100</v>
      </c>
      <c r="AH279" s="39">
        <f t="shared" si="1692"/>
        <v>19.600000000000001</v>
      </c>
      <c r="AI279" s="124">
        <f t="shared" si="1692"/>
        <v>1.0860000000000001</v>
      </c>
      <c r="AJ279" s="124">
        <f t="shared" si="1692"/>
        <v>1.0780000000000001</v>
      </c>
      <c r="AK279" s="126">
        <f t="shared" si="1751"/>
        <v>0</v>
      </c>
      <c r="AL279" s="126"/>
      <c r="AM279" s="34">
        <f t="shared" ref="AM279:AN279" si="1782">AM278</f>
        <v>2.0059999999999998</v>
      </c>
      <c r="AN279" s="33" t="str">
        <f t="shared" si="1782"/>
        <v>5,40,620</v>
      </c>
      <c r="AO279" s="11" t="str">
        <f t="shared" si="1753"/>
        <v>5,</v>
      </c>
      <c r="AP279" s="11" t="str">
        <f t="shared" si="1754"/>
        <v>40,620</v>
      </c>
      <c r="AQ279" s="11">
        <f t="shared" si="1755"/>
        <v>9.4616666666666668E-2</v>
      </c>
      <c r="AR279" s="14">
        <f t="shared" si="1756"/>
        <v>21.201338735247486</v>
      </c>
      <c r="AS279" s="40">
        <f t="shared" si="1757"/>
        <v>-100</v>
      </c>
      <c r="AT279" s="41" t="str">
        <f t="shared" si="1758"/>
        <v>NO CONFORME</v>
      </c>
      <c r="AU279" s="8" t="b">
        <f t="shared" si="1680"/>
        <v>1</v>
      </c>
      <c r="AV279" s="8" t="b">
        <f t="shared" si="1681"/>
        <v>0</v>
      </c>
      <c r="AW279" s="8" t="b">
        <f t="shared" si="1682"/>
        <v>1</v>
      </c>
      <c r="AX279" s="8" t="str">
        <f t="shared" si="1683"/>
        <v>Qcorrecto</v>
      </c>
      <c r="AY279" s="22" t="str">
        <f t="shared" si="1663"/>
        <v>aceptable</v>
      </c>
      <c r="AZ279" s="22" t="str">
        <f t="shared" si="1664"/>
        <v>aceptable</v>
      </c>
      <c r="BA279" s="22" t="str">
        <f t="shared" si="1684"/>
        <v>aceptable</v>
      </c>
      <c r="BB279" s="25" t="str">
        <f t="shared" si="1685"/>
        <v>NO CONFORME</v>
      </c>
      <c r="BC279" s="5" t="str">
        <f t="shared" si="1686"/>
        <v>NO CONFORME</v>
      </c>
      <c r="BD279" s="15">
        <f t="shared" si="1665"/>
        <v>-1</v>
      </c>
      <c r="BE279" s="15">
        <f t="shared" si="1666"/>
        <v>-1</v>
      </c>
      <c r="BF279" s="15">
        <f t="shared" si="1667"/>
        <v>-1</v>
      </c>
      <c r="BG279" s="15" t="str">
        <f t="shared" si="1668"/>
        <v>-1-1-1</v>
      </c>
      <c r="BH279" s="15" t="str">
        <f t="shared" si="1669"/>
        <v>SD</v>
      </c>
      <c r="BI279" s="15" t="str">
        <f t="shared" si="1670"/>
        <v>SI</v>
      </c>
      <c r="BJ279" s="15" t="b">
        <f t="shared" si="1671"/>
        <v>1</v>
      </c>
      <c r="BK279" s="15" t="str">
        <f t="shared" si="1672"/>
        <v>SIGIGUALES</v>
      </c>
      <c r="BL279" s="22" t="str">
        <f t="shared" si="1673"/>
        <v>NO CONFORME</v>
      </c>
    </row>
    <row r="280" spans="1:64" ht="14.4" x14ac:dyDescent="0.3">
      <c r="A280" s="36">
        <v>272</v>
      </c>
      <c r="B280" s="28">
        <f t="shared" ref="B280:E280" si="1783">B279</f>
        <v>45903</v>
      </c>
      <c r="C280" s="28">
        <f t="shared" si="1783"/>
        <v>45903</v>
      </c>
      <c r="D280" s="12">
        <f t="shared" si="1783"/>
        <v>3</v>
      </c>
      <c r="E280" s="10">
        <f t="shared" si="1783"/>
        <v>11</v>
      </c>
      <c r="F280" s="13"/>
      <c r="G280" s="69"/>
      <c r="H280" s="70">
        <f t="shared" ref="H280:L280" si="1784">H279</f>
        <v>25.6</v>
      </c>
      <c r="I280" s="37">
        <f t="shared" si="1784"/>
        <v>0</v>
      </c>
      <c r="J280" s="35">
        <f t="shared" si="1784"/>
        <v>16</v>
      </c>
      <c r="K280" s="122">
        <f t="shared" si="1784"/>
        <v>8.1690000000000005</v>
      </c>
      <c r="L280" s="122">
        <f t="shared" si="1784"/>
        <v>0.879</v>
      </c>
      <c r="M280" s="126"/>
      <c r="N280" s="126"/>
      <c r="O280" s="32">
        <f t="shared" ref="O280:P280" si="1785">O279</f>
        <v>100.65</v>
      </c>
      <c r="P280" s="33" t="str">
        <f t="shared" si="1785"/>
        <v>2,31,180</v>
      </c>
      <c r="Q280" s="11" t="str">
        <f t="shared" si="1739"/>
        <v>2</v>
      </c>
      <c r="R280" s="11" t="str">
        <f t="shared" si="1740"/>
        <v>31,180</v>
      </c>
      <c r="S280" s="11">
        <f t="shared" si="1741"/>
        <v>4.1994444444444445E-2</v>
      </c>
      <c r="T280" s="14">
        <f t="shared" si="1742"/>
        <v>2396.7456012700095</v>
      </c>
      <c r="U280" s="38">
        <f t="shared" si="1743"/>
        <v>-100</v>
      </c>
      <c r="V280" s="39">
        <f t="shared" ref="V280:W280" si="1786">V279</f>
        <v>19.8</v>
      </c>
      <c r="W280" s="124">
        <f t="shared" si="1786"/>
        <v>1.08</v>
      </c>
      <c r="X280" s="124">
        <f t="shared" si="1677"/>
        <v>1.075</v>
      </c>
      <c r="Y280" s="126"/>
      <c r="Z280" s="126"/>
      <c r="AA280" s="90">
        <f t="shared" ref="AA280:AB280" si="1787">AA279</f>
        <v>5.0149999999999997</v>
      </c>
      <c r="AB280" s="73" t="str">
        <f t="shared" si="1787"/>
        <v>9,05,040</v>
      </c>
      <c r="AC280" s="11" t="str">
        <f t="shared" si="1746"/>
        <v>9,</v>
      </c>
      <c r="AD280" s="11" t="str">
        <f t="shared" si="1747"/>
        <v>05,040</v>
      </c>
      <c r="AE280" s="11">
        <f t="shared" si="1748"/>
        <v>0.15139999999999998</v>
      </c>
      <c r="AF280" s="14">
        <f t="shared" si="1749"/>
        <v>33.124174372523122</v>
      </c>
      <c r="AG280" s="40">
        <f t="shared" si="1750"/>
        <v>-100</v>
      </c>
      <c r="AH280" s="39">
        <f t="shared" si="1692"/>
        <v>19.600000000000001</v>
      </c>
      <c r="AI280" s="124">
        <f t="shared" si="1692"/>
        <v>1.0860000000000001</v>
      </c>
      <c r="AJ280" s="124">
        <f t="shared" si="1692"/>
        <v>1.0780000000000001</v>
      </c>
      <c r="AK280" s="126">
        <f t="shared" si="1751"/>
        <v>0</v>
      </c>
      <c r="AL280" s="126"/>
      <c r="AM280" s="34">
        <f t="shared" ref="AM280:AN280" si="1788">AM279</f>
        <v>2.0059999999999998</v>
      </c>
      <c r="AN280" s="33" t="str">
        <f t="shared" si="1788"/>
        <v>5,40,620</v>
      </c>
      <c r="AO280" s="11" t="str">
        <f t="shared" si="1753"/>
        <v>5,</v>
      </c>
      <c r="AP280" s="11" t="str">
        <f t="shared" si="1754"/>
        <v>40,620</v>
      </c>
      <c r="AQ280" s="11">
        <f t="shared" si="1755"/>
        <v>9.4616666666666668E-2</v>
      </c>
      <c r="AR280" s="14">
        <f t="shared" si="1756"/>
        <v>21.201338735247486</v>
      </c>
      <c r="AS280" s="40">
        <f t="shared" si="1757"/>
        <v>-100</v>
      </c>
      <c r="AT280" s="41" t="str">
        <f t="shared" si="1758"/>
        <v>NO CONFORME</v>
      </c>
      <c r="AU280" s="8" t="b">
        <f t="shared" si="1680"/>
        <v>1</v>
      </c>
      <c r="AV280" s="8" t="b">
        <f t="shared" si="1681"/>
        <v>0</v>
      </c>
      <c r="AW280" s="8" t="b">
        <f t="shared" si="1682"/>
        <v>1</v>
      </c>
      <c r="AX280" s="8" t="str">
        <f t="shared" si="1683"/>
        <v>Qcorrecto</v>
      </c>
      <c r="AY280" s="22" t="str">
        <f t="shared" si="1663"/>
        <v>aceptable</v>
      </c>
      <c r="AZ280" s="22" t="str">
        <f t="shared" si="1664"/>
        <v>aceptable</v>
      </c>
      <c r="BA280" s="22" t="str">
        <f t="shared" si="1684"/>
        <v>aceptable</v>
      </c>
      <c r="BB280" s="25" t="str">
        <f t="shared" si="1685"/>
        <v>NO CONFORME</v>
      </c>
      <c r="BC280" s="5" t="str">
        <f t="shared" si="1686"/>
        <v>NO CONFORME</v>
      </c>
      <c r="BD280" s="15">
        <f t="shared" si="1665"/>
        <v>-1</v>
      </c>
      <c r="BE280" s="15">
        <f t="shared" si="1666"/>
        <v>-1</v>
      </c>
      <c r="BF280" s="15">
        <f t="shared" si="1667"/>
        <v>-1</v>
      </c>
      <c r="BG280" s="15" t="str">
        <f t="shared" si="1668"/>
        <v>-1-1-1</v>
      </c>
      <c r="BH280" s="15" t="str">
        <f t="shared" si="1669"/>
        <v>SD</v>
      </c>
      <c r="BI280" s="15" t="str">
        <f t="shared" si="1670"/>
        <v>SI</v>
      </c>
      <c r="BJ280" s="15" t="b">
        <f t="shared" si="1671"/>
        <v>1</v>
      </c>
      <c r="BK280" s="15" t="str">
        <f t="shared" si="1672"/>
        <v>SIGIGUALES</v>
      </c>
      <c r="BL280" s="22" t="str">
        <f t="shared" si="1673"/>
        <v>NO CONFORME</v>
      </c>
    </row>
    <row r="281" spans="1:64" ht="14.4" x14ac:dyDescent="0.3">
      <c r="A281" s="36">
        <v>273</v>
      </c>
      <c r="B281" s="28">
        <f t="shared" ref="B281:E281" si="1789">B280</f>
        <v>45903</v>
      </c>
      <c r="C281" s="28">
        <f t="shared" si="1789"/>
        <v>45903</v>
      </c>
      <c r="D281" s="12">
        <f t="shared" si="1789"/>
        <v>3</v>
      </c>
      <c r="E281" s="10">
        <f t="shared" si="1789"/>
        <v>11</v>
      </c>
      <c r="F281" s="13"/>
      <c r="G281" s="69"/>
      <c r="H281" s="70">
        <f t="shared" ref="H281:L281" si="1790">H280</f>
        <v>25.6</v>
      </c>
      <c r="I281" s="37">
        <f t="shared" si="1790"/>
        <v>0</v>
      </c>
      <c r="J281" s="35">
        <f t="shared" si="1790"/>
        <v>16</v>
      </c>
      <c r="K281" s="122">
        <f t="shared" si="1790"/>
        <v>8.1690000000000005</v>
      </c>
      <c r="L281" s="122">
        <f t="shared" si="1790"/>
        <v>0.879</v>
      </c>
      <c r="M281" s="126"/>
      <c r="N281" s="126"/>
      <c r="O281" s="32">
        <f t="shared" ref="O281:P281" si="1791">O280</f>
        <v>100.65</v>
      </c>
      <c r="P281" s="33" t="str">
        <f t="shared" si="1791"/>
        <v>2,31,180</v>
      </c>
      <c r="Q281" s="11" t="str">
        <f t="shared" si="1739"/>
        <v>2</v>
      </c>
      <c r="R281" s="11" t="str">
        <f t="shared" si="1740"/>
        <v>31,180</v>
      </c>
      <c r="S281" s="11">
        <f t="shared" si="1741"/>
        <v>4.1994444444444445E-2</v>
      </c>
      <c r="T281" s="14">
        <f t="shared" si="1742"/>
        <v>2396.7456012700095</v>
      </c>
      <c r="U281" s="38">
        <f t="shared" si="1743"/>
        <v>-100</v>
      </c>
      <c r="V281" s="39">
        <f t="shared" ref="V281:W281" si="1792">V280</f>
        <v>19.8</v>
      </c>
      <c r="W281" s="124">
        <f t="shared" si="1792"/>
        <v>1.08</v>
      </c>
      <c r="X281" s="124">
        <f t="shared" si="1677"/>
        <v>1.075</v>
      </c>
      <c r="Y281" s="126"/>
      <c r="Z281" s="126"/>
      <c r="AA281" s="90">
        <f t="shared" ref="AA281:AB281" si="1793">AA280</f>
        <v>5.0149999999999997</v>
      </c>
      <c r="AB281" s="73" t="str">
        <f t="shared" si="1793"/>
        <v>9,05,040</v>
      </c>
      <c r="AC281" s="11" t="str">
        <f t="shared" si="1746"/>
        <v>9,</v>
      </c>
      <c r="AD281" s="11" t="str">
        <f t="shared" si="1747"/>
        <v>05,040</v>
      </c>
      <c r="AE281" s="11">
        <f t="shared" si="1748"/>
        <v>0.15139999999999998</v>
      </c>
      <c r="AF281" s="14">
        <f t="shared" si="1749"/>
        <v>33.124174372523122</v>
      </c>
      <c r="AG281" s="40">
        <f t="shared" si="1750"/>
        <v>-100</v>
      </c>
      <c r="AH281" s="39">
        <f t="shared" si="1692"/>
        <v>19.600000000000001</v>
      </c>
      <c r="AI281" s="124">
        <f t="shared" si="1692"/>
        <v>1.0860000000000001</v>
      </c>
      <c r="AJ281" s="124">
        <f t="shared" si="1692"/>
        <v>1.0780000000000001</v>
      </c>
      <c r="AK281" s="126">
        <f t="shared" si="1751"/>
        <v>0</v>
      </c>
      <c r="AL281" s="126"/>
      <c r="AM281" s="34">
        <f t="shared" ref="AM281:AN281" si="1794">AM280</f>
        <v>2.0059999999999998</v>
      </c>
      <c r="AN281" s="33" t="str">
        <f t="shared" si="1794"/>
        <v>5,40,620</v>
      </c>
      <c r="AO281" s="11" t="str">
        <f t="shared" si="1753"/>
        <v>5,</v>
      </c>
      <c r="AP281" s="11" t="str">
        <f t="shared" si="1754"/>
        <v>40,620</v>
      </c>
      <c r="AQ281" s="11">
        <f t="shared" si="1755"/>
        <v>9.4616666666666668E-2</v>
      </c>
      <c r="AR281" s="14">
        <f t="shared" si="1756"/>
        <v>21.201338735247486</v>
      </c>
      <c r="AS281" s="40">
        <f t="shared" si="1757"/>
        <v>-100</v>
      </c>
      <c r="AT281" s="41" t="str">
        <f t="shared" si="1758"/>
        <v>NO CONFORME</v>
      </c>
      <c r="AU281" s="8" t="b">
        <f t="shared" si="1680"/>
        <v>1</v>
      </c>
      <c r="AV281" s="8" t="b">
        <f t="shared" si="1681"/>
        <v>0</v>
      </c>
      <c r="AW281" s="8" t="b">
        <f t="shared" si="1682"/>
        <v>1</v>
      </c>
      <c r="AX281" s="8" t="str">
        <f t="shared" si="1683"/>
        <v>Qcorrecto</v>
      </c>
      <c r="AY281" s="22" t="str">
        <f t="shared" si="1663"/>
        <v>aceptable</v>
      </c>
      <c r="AZ281" s="22" t="str">
        <f t="shared" si="1664"/>
        <v>aceptable</v>
      </c>
      <c r="BA281" s="22" t="str">
        <f t="shared" si="1684"/>
        <v>aceptable</v>
      </c>
      <c r="BB281" s="25" t="str">
        <f t="shared" si="1685"/>
        <v>NO CONFORME</v>
      </c>
      <c r="BC281" s="5" t="str">
        <f t="shared" si="1686"/>
        <v>NO CONFORME</v>
      </c>
      <c r="BD281" s="15">
        <f t="shared" si="1665"/>
        <v>-1</v>
      </c>
      <c r="BE281" s="15">
        <f t="shared" si="1666"/>
        <v>-1</v>
      </c>
      <c r="BF281" s="15">
        <f t="shared" si="1667"/>
        <v>-1</v>
      </c>
      <c r="BG281" s="15" t="str">
        <f t="shared" si="1668"/>
        <v>-1-1-1</v>
      </c>
      <c r="BH281" s="15" t="str">
        <f t="shared" si="1669"/>
        <v>SD</v>
      </c>
      <c r="BI281" s="15" t="str">
        <f t="shared" si="1670"/>
        <v>SI</v>
      </c>
      <c r="BJ281" s="15" t="b">
        <f t="shared" si="1671"/>
        <v>1</v>
      </c>
      <c r="BK281" s="15" t="str">
        <f t="shared" si="1672"/>
        <v>SIGIGUALES</v>
      </c>
      <c r="BL281" s="22" t="str">
        <f t="shared" si="1673"/>
        <v>NO CONFORME</v>
      </c>
    </row>
    <row r="282" spans="1:64" ht="14.4" x14ac:dyDescent="0.3">
      <c r="A282" s="36">
        <v>274</v>
      </c>
      <c r="B282" s="28">
        <f t="shared" ref="B282:E282" si="1795">B281</f>
        <v>45903</v>
      </c>
      <c r="C282" s="28">
        <f t="shared" si="1795"/>
        <v>45903</v>
      </c>
      <c r="D282" s="12">
        <f t="shared" si="1795"/>
        <v>3</v>
      </c>
      <c r="E282" s="10">
        <f t="shared" si="1795"/>
        <v>11</v>
      </c>
      <c r="F282" s="13"/>
      <c r="G282" s="69"/>
      <c r="H282" s="70">
        <f t="shared" ref="H282:L282" si="1796">H281</f>
        <v>25.6</v>
      </c>
      <c r="I282" s="37">
        <f t="shared" si="1796"/>
        <v>0</v>
      </c>
      <c r="J282" s="35">
        <f t="shared" si="1796"/>
        <v>16</v>
      </c>
      <c r="K282" s="122">
        <f t="shared" si="1796"/>
        <v>8.1690000000000005</v>
      </c>
      <c r="L282" s="122">
        <f t="shared" si="1796"/>
        <v>0.879</v>
      </c>
      <c r="M282" s="126"/>
      <c r="N282" s="126"/>
      <c r="O282" s="32">
        <f t="shared" ref="O282:P282" si="1797">O281</f>
        <v>100.65</v>
      </c>
      <c r="P282" s="33" t="str">
        <f t="shared" si="1797"/>
        <v>2,31,180</v>
      </c>
      <c r="Q282" s="11" t="str">
        <f t="shared" si="1739"/>
        <v>2</v>
      </c>
      <c r="R282" s="11" t="str">
        <f t="shared" si="1740"/>
        <v>31,180</v>
      </c>
      <c r="S282" s="11">
        <f t="shared" si="1741"/>
        <v>4.1994444444444445E-2</v>
      </c>
      <c r="T282" s="14">
        <f t="shared" si="1742"/>
        <v>2396.7456012700095</v>
      </c>
      <c r="U282" s="38">
        <f t="shared" si="1743"/>
        <v>-100</v>
      </c>
      <c r="V282" s="39">
        <f t="shared" ref="V282:X297" si="1798">V281</f>
        <v>19.8</v>
      </c>
      <c r="W282" s="124">
        <f t="shared" si="1798"/>
        <v>1.08</v>
      </c>
      <c r="X282" s="124">
        <f t="shared" si="1798"/>
        <v>1.075</v>
      </c>
      <c r="Y282" s="126"/>
      <c r="Z282" s="126"/>
      <c r="AA282" s="90">
        <f t="shared" ref="AA282:AB282" si="1799">AA281</f>
        <v>5.0149999999999997</v>
      </c>
      <c r="AB282" s="73" t="str">
        <f t="shared" si="1799"/>
        <v>9,05,040</v>
      </c>
      <c r="AC282" s="11" t="str">
        <f t="shared" si="1746"/>
        <v>9,</v>
      </c>
      <c r="AD282" s="11" t="str">
        <f t="shared" si="1747"/>
        <v>05,040</v>
      </c>
      <c r="AE282" s="11">
        <f t="shared" si="1748"/>
        <v>0.15139999999999998</v>
      </c>
      <c r="AF282" s="14">
        <f t="shared" si="1749"/>
        <v>33.124174372523122</v>
      </c>
      <c r="AG282" s="40">
        <f t="shared" si="1750"/>
        <v>-100</v>
      </c>
      <c r="AH282" s="39">
        <f t="shared" si="1692"/>
        <v>19.600000000000001</v>
      </c>
      <c r="AI282" s="124">
        <f t="shared" si="1692"/>
        <v>1.0860000000000001</v>
      </c>
      <c r="AJ282" s="124">
        <f t="shared" si="1692"/>
        <v>1.0780000000000001</v>
      </c>
      <c r="AK282" s="126">
        <f t="shared" si="1751"/>
        <v>0</v>
      </c>
      <c r="AL282" s="126"/>
      <c r="AM282" s="34">
        <f t="shared" ref="AM282:AN282" si="1800">AM281</f>
        <v>2.0059999999999998</v>
      </c>
      <c r="AN282" s="33" t="str">
        <f t="shared" si="1800"/>
        <v>5,40,620</v>
      </c>
      <c r="AO282" s="11" t="str">
        <f t="shared" si="1753"/>
        <v>5,</v>
      </c>
      <c r="AP282" s="11" t="str">
        <f t="shared" si="1754"/>
        <v>40,620</v>
      </c>
      <c r="AQ282" s="11">
        <f t="shared" si="1755"/>
        <v>9.4616666666666668E-2</v>
      </c>
      <c r="AR282" s="14">
        <f t="shared" si="1756"/>
        <v>21.201338735247486</v>
      </c>
      <c r="AS282" s="40">
        <f t="shared" si="1757"/>
        <v>-100</v>
      </c>
      <c r="AT282" s="41" t="str">
        <f t="shared" si="1758"/>
        <v>NO CONFORME</v>
      </c>
      <c r="AU282" s="8" t="b">
        <f t="shared" si="1680"/>
        <v>1</v>
      </c>
      <c r="AV282" s="8" t="b">
        <f t="shared" si="1681"/>
        <v>0</v>
      </c>
      <c r="AW282" s="8" t="b">
        <f t="shared" si="1682"/>
        <v>1</v>
      </c>
      <c r="AX282" s="8" t="str">
        <f t="shared" si="1683"/>
        <v>Qcorrecto</v>
      </c>
      <c r="AY282" s="22" t="str">
        <f t="shared" si="1663"/>
        <v>aceptable</v>
      </c>
      <c r="AZ282" s="22" t="str">
        <f t="shared" si="1664"/>
        <v>aceptable</v>
      </c>
      <c r="BA282" s="22" t="str">
        <f t="shared" si="1684"/>
        <v>aceptable</v>
      </c>
      <c r="BB282" s="25" t="str">
        <f t="shared" si="1685"/>
        <v>NO CONFORME</v>
      </c>
      <c r="BC282" s="5" t="str">
        <f t="shared" si="1686"/>
        <v>NO CONFORME</v>
      </c>
      <c r="BD282" s="15">
        <f t="shared" si="1665"/>
        <v>-1</v>
      </c>
      <c r="BE282" s="15">
        <f t="shared" si="1666"/>
        <v>-1</v>
      </c>
      <c r="BF282" s="15">
        <f t="shared" si="1667"/>
        <v>-1</v>
      </c>
      <c r="BG282" s="15" t="str">
        <f t="shared" si="1668"/>
        <v>-1-1-1</v>
      </c>
      <c r="BH282" s="15" t="str">
        <f t="shared" si="1669"/>
        <v>SD</v>
      </c>
      <c r="BI282" s="15" t="str">
        <f t="shared" si="1670"/>
        <v>SI</v>
      </c>
      <c r="BJ282" s="15" t="b">
        <f t="shared" si="1671"/>
        <v>1</v>
      </c>
      <c r="BK282" s="15" t="str">
        <f t="shared" si="1672"/>
        <v>SIGIGUALES</v>
      </c>
      <c r="BL282" s="22" t="str">
        <f t="shared" si="1673"/>
        <v>NO CONFORME</v>
      </c>
    </row>
    <row r="283" spans="1:64" ht="14.4" x14ac:dyDescent="0.3">
      <c r="A283" s="36">
        <v>275</v>
      </c>
      <c r="B283" s="28">
        <f t="shared" ref="B283:E283" si="1801">B282</f>
        <v>45903</v>
      </c>
      <c r="C283" s="28">
        <f t="shared" si="1801"/>
        <v>45903</v>
      </c>
      <c r="D283" s="12">
        <f t="shared" si="1801"/>
        <v>3</v>
      </c>
      <c r="E283" s="10">
        <f t="shared" si="1801"/>
        <v>11</v>
      </c>
      <c r="F283" s="13"/>
      <c r="G283" s="69"/>
      <c r="H283" s="70">
        <f t="shared" ref="H283:L283" si="1802">H282</f>
        <v>25.6</v>
      </c>
      <c r="I283" s="37">
        <f t="shared" si="1802"/>
        <v>0</v>
      </c>
      <c r="J283" s="35">
        <f t="shared" si="1802"/>
        <v>16</v>
      </c>
      <c r="K283" s="122">
        <f t="shared" si="1802"/>
        <v>8.1690000000000005</v>
      </c>
      <c r="L283" s="122">
        <f t="shared" si="1802"/>
        <v>0.879</v>
      </c>
      <c r="M283" s="126"/>
      <c r="N283" s="126"/>
      <c r="O283" s="32">
        <f t="shared" ref="O283:P283" si="1803">O282</f>
        <v>100.65</v>
      </c>
      <c r="P283" s="33" t="str">
        <f t="shared" si="1803"/>
        <v>2,31,180</v>
      </c>
      <c r="Q283" s="11" t="str">
        <f t="shared" si="1739"/>
        <v>2</v>
      </c>
      <c r="R283" s="11" t="str">
        <f t="shared" si="1740"/>
        <v>31,180</v>
      </c>
      <c r="S283" s="11">
        <f t="shared" si="1741"/>
        <v>4.1994444444444445E-2</v>
      </c>
      <c r="T283" s="14">
        <f t="shared" si="1742"/>
        <v>2396.7456012700095</v>
      </c>
      <c r="U283" s="38">
        <f t="shared" si="1743"/>
        <v>-100</v>
      </c>
      <c r="V283" s="39">
        <f t="shared" ref="V283:W283" si="1804">V282</f>
        <v>19.8</v>
      </c>
      <c r="W283" s="124">
        <f t="shared" si="1804"/>
        <v>1.08</v>
      </c>
      <c r="X283" s="124">
        <f t="shared" si="1798"/>
        <v>1.075</v>
      </c>
      <c r="Y283" s="126"/>
      <c r="Z283" s="126"/>
      <c r="AA283" s="90">
        <f t="shared" ref="AA283:AB283" si="1805">AA282</f>
        <v>5.0149999999999997</v>
      </c>
      <c r="AB283" s="73" t="str">
        <f t="shared" si="1805"/>
        <v>9,05,040</v>
      </c>
      <c r="AC283" s="11" t="str">
        <f t="shared" si="1746"/>
        <v>9,</v>
      </c>
      <c r="AD283" s="11" t="str">
        <f t="shared" si="1747"/>
        <v>05,040</v>
      </c>
      <c r="AE283" s="11">
        <f t="shared" si="1748"/>
        <v>0.15139999999999998</v>
      </c>
      <c r="AF283" s="14">
        <f t="shared" si="1749"/>
        <v>33.124174372523122</v>
      </c>
      <c r="AG283" s="40">
        <f t="shared" si="1750"/>
        <v>-100</v>
      </c>
      <c r="AH283" s="39">
        <f t="shared" ref="AH283:AJ298" si="1806">AH282</f>
        <v>19.600000000000001</v>
      </c>
      <c r="AI283" s="124">
        <f t="shared" si="1806"/>
        <v>1.0860000000000001</v>
      </c>
      <c r="AJ283" s="124">
        <f t="shared" si="1806"/>
        <v>1.0780000000000001</v>
      </c>
      <c r="AK283" s="126">
        <f t="shared" si="1751"/>
        <v>0</v>
      </c>
      <c r="AL283" s="126"/>
      <c r="AM283" s="34">
        <f t="shared" ref="AM283:AN283" si="1807">AM282</f>
        <v>2.0059999999999998</v>
      </c>
      <c r="AN283" s="33" t="str">
        <f t="shared" si="1807"/>
        <v>5,40,620</v>
      </c>
      <c r="AO283" s="11" t="str">
        <f t="shared" si="1753"/>
        <v>5,</v>
      </c>
      <c r="AP283" s="11" t="str">
        <f t="shared" si="1754"/>
        <v>40,620</v>
      </c>
      <c r="AQ283" s="11">
        <f t="shared" si="1755"/>
        <v>9.4616666666666668E-2</v>
      </c>
      <c r="AR283" s="14">
        <f t="shared" si="1756"/>
        <v>21.201338735247486</v>
      </c>
      <c r="AS283" s="40">
        <f t="shared" si="1757"/>
        <v>-100</v>
      </c>
      <c r="AT283" s="41" t="str">
        <f t="shared" si="1758"/>
        <v>NO CONFORME</v>
      </c>
      <c r="AU283" s="8" t="b">
        <f t="shared" si="1680"/>
        <v>1</v>
      </c>
      <c r="AV283" s="8" t="b">
        <f t="shared" si="1681"/>
        <v>0</v>
      </c>
      <c r="AW283" s="8" t="b">
        <f t="shared" si="1682"/>
        <v>1</v>
      </c>
      <c r="AX283" s="8" t="str">
        <f t="shared" si="1683"/>
        <v>Qcorrecto</v>
      </c>
      <c r="AY283" s="22" t="str">
        <f t="shared" si="1663"/>
        <v>aceptable</v>
      </c>
      <c r="AZ283" s="22" t="str">
        <f t="shared" si="1664"/>
        <v>aceptable</v>
      </c>
      <c r="BA283" s="22" t="str">
        <f t="shared" si="1684"/>
        <v>aceptable</v>
      </c>
      <c r="BB283" s="25" t="str">
        <f t="shared" si="1685"/>
        <v>NO CONFORME</v>
      </c>
      <c r="BC283" s="5" t="str">
        <f t="shared" si="1686"/>
        <v>NO CONFORME</v>
      </c>
      <c r="BD283" s="15">
        <f t="shared" si="1665"/>
        <v>-1</v>
      </c>
      <c r="BE283" s="15">
        <f t="shared" si="1666"/>
        <v>-1</v>
      </c>
      <c r="BF283" s="15">
        <f t="shared" si="1667"/>
        <v>-1</v>
      </c>
      <c r="BG283" s="15" t="str">
        <f t="shared" si="1668"/>
        <v>-1-1-1</v>
      </c>
      <c r="BH283" s="15" t="str">
        <f t="shared" si="1669"/>
        <v>SD</v>
      </c>
      <c r="BI283" s="15" t="str">
        <f t="shared" si="1670"/>
        <v>SI</v>
      </c>
      <c r="BJ283" s="15" t="b">
        <f t="shared" si="1671"/>
        <v>1</v>
      </c>
      <c r="BK283" s="15" t="str">
        <f t="shared" si="1672"/>
        <v>SIGIGUALES</v>
      </c>
      <c r="BL283" s="22" t="str">
        <f t="shared" si="1673"/>
        <v>NO CONFORME</v>
      </c>
    </row>
    <row r="284" spans="1:64" ht="14.4" x14ac:dyDescent="0.3">
      <c r="A284" s="36">
        <v>276</v>
      </c>
      <c r="B284" s="28">
        <f t="shared" ref="B284:E284" si="1808">B283</f>
        <v>45903</v>
      </c>
      <c r="C284" s="28">
        <f t="shared" si="1808"/>
        <v>45903</v>
      </c>
      <c r="D284" s="12">
        <f t="shared" si="1808"/>
        <v>3</v>
      </c>
      <c r="E284" s="10">
        <f t="shared" si="1808"/>
        <v>11</v>
      </c>
      <c r="F284" s="13"/>
      <c r="G284" s="69"/>
      <c r="H284" s="70">
        <f t="shared" ref="H284:L284" si="1809">H283</f>
        <v>25.6</v>
      </c>
      <c r="I284" s="37">
        <f t="shared" si="1809"/>
        <v>0</v>
      </c>
      <c r="J284" s="35">
        <f t="shared" si="1809"/>
        <v>16</v>
      </c>
      <c r="K284" s="122">
        <f t="shared" si="1809"/>
        <v>8.1690000000000005</v>
      </c>
      <c r="L284" s="122">
        <f t="shared" si="1809"/>
        <v>0.879</v>
      </c>
      <c r="M284" s="126"/>
      <c r="N284" s="126"/>
      <c r="O284" s="32">
        <f t="shared" ref="O284:P284" si="1810">O283</f>
        <v>100.65</v>
      </c>
      <c r="P284" s="33" t="str">
        <f t="shared" si="1810"/>
        <v>2,31,180</v>
      </c>
      <c r="Q284" s="11" t="str">
        <f t="shared" si="1739"/>
        <v>2</v>
      </c>
      <c r="R284" s="11" t="str">
        <f t="shared" si="1740"/>
        <v>31,180</v>
      </c>
      <c r="S284" s="11">
        <f t="shared" si="1741"/>
        <v>4.1994444444444445E-2</v>
      </c>
      <c r="T284" s="14">
        <f t="shared" si="1742"/>
        <v>2396.7456012700095</v>
      </c>
      <c r="U284" s="38">
        <f t="shared" si="1743"/>
        <v>-100</v>
      </c>
      <c r="V284" s="39">
        <f t="shared" ref="V284:W284" si="1811">V283</f>
        <v>19.8</v>
      </c>
      <c r="W284" s="124">
        <f t="shared" si="1811"/>
        <v>1.08</v>
      </c>
      <c r="X284" s="124">
        <f t="shared" si="1798"/>
        <v>1.075</v>
      </c>
      <c r="Y284" s="126"/>
      <c r="Z284" s="126"/>
      <c r="AA284" s="90">
        <f t="shared" ref="AA284:AB284" si="1812">AA283</f>
        <v>5.0149999999999997</v>
      </c>
      <c r="AB284" s="73" t="str">
        <f t="shared" si="1812"/>
        <v>9,05,040</v>
      </c>
      <c r="AC284" s="11" t="str">
        <f t="shared" si="1746"/>
        <v>9,</v>
      </c>
      <c r="AD284" s="11" t="str">
        <f t="shared" si="1747"/>
        <v>05,040</v>
      </c>
      <c r="AE284" s="11">
        <f t="shared" si="1748"/>
        <v>0.15139999999999998</v>
      </c>
      <c r="AF284" s="14">
        <f t="shared" si="1749"/>
        <v>33.124174372523122</v>
      </c>
      <c r="AG284" s="40">
        <f t="shared" si="1750"/>
        <v>-100</v>
      </c>
      <c r="AH284" s="39">
        <f t="shared" si="1806"/>
        <v>19.600000000000001</v>
      </c>
      <c r="AI284" s="124">
        <f t="shared" si="1806"/>
        <v>1.0860000000000001</v>
      </c>
      <c r="AJ284" s="124">
        <f t="shared" si="1806"/>
        <v>1.0780000000000001</v>
      </c>
      <c r="AK284" s="126">
        <f t="shared" si="1751"/>
        <v>0</v>
      </c>
      <c r="AL284" s="126"/>
      <c r="AM284" s="34">
        <f t="shared" ref="AM284:AN284" si="1813">AM283</f>
        <v>2.0059999999999998</v>
      </c>
      <c r="AN284" s="33" t="str">
        <f t="shared" si="1813"/>
        <v>5,40,620</v>
      </c>
      <c r="AO284" s="11" t="str">
        <f t="shared" si="1753"/>
        <v>5,</v>
      </c>
      <c r="AP284" s="11" t="str">
        <f t="shared" si="1754"/>
        <v>40,620</v>
      </c>
      <c r="AQ284" s="11">
        <f t="shared" si="1755"/>
        <v>9.4616666666666668E-2</v>
      </c>
      <c r="AR284" s="14">
        <f t="shared" si="1756"/>
        <v>21.201338735247486</v>
      </c>
      <c r="AS284" s="40">
        <f t="shared" si="1757"/>
        <v>-100</v>
      </c>
      <c r="AT284" s="41" t="str">
        <f t="shared" si="1758"/>
        <v>NO CONFORME</v>
      </c>
      <c r="AU284" s="8" t="b">
        <f t="shared" si="1680"/>
        <v>1</v>
      </c>
      <c r="AV284" s="8" t="b">
        <f t="shared" si="1681"/>
        <v>0</v>
      </c>
      <c r="AW284" s="8" t="b">
        <f t="shared" si="1682"/>
        <v>1</v>
      </c>
      <c r="AX284" s="8" t="str">
        <f t="shared" si="1683"/>
        <v>Qcorrecto</v>
      </c>
      <c r="AY284" s="22" t="str">
        <f t="shared" si="1663"/>
        <v>aceptable</v>
      </c>
      <c r="AZ284" s="22" t="str">
        <f t="shared" si="1664"/>
        <v>aceptable</v>
      </c>
      <c r="BA284" s="22" t="str">
        <f t="shared" si="1684"/>
        <v>aceptable</v>
      </c>
      <c r="BB284" s="25" t="str">
        <f t="shared" si="1685"/>
        <v>NO CONFORME</v>
      </c>
      <c r="BC284" s="5" t="str">
        <f t="shared" si="1686"/>
        <v>NO CONFORME</v>
      </c>
      <c r="BD284" s="15">
        <f t="shared" si="1665"/>
        <v>-1</v>
      </c>
      <c r="BE284" s="15">
        <f t="shared" si="1666"/>
        <v>-1</v>
      </c>
      <c r="BF284" s="15">
        <f t="shared" si="1667"/>
        <v>-1</v>
      </c>
      <c r="BG284" s="15" t="str">
        <f t="shared" si="1668"/>
        <v>-1-1-1</v>
      </c>
      <c r="BH284" s="15" t="str">
        <f t="shared" si="1669"/>
        <v>SD</v>
      </c>
      <c r="BI284" s="15" t="str">
        <f t="shared" si="1670"/>
        <v>SI</v>
      </c>
      <c r="BJ284" s="15" t="b">
        <f t="shared" si="1671"/>
        <v>1</v>
      </c>
      <c r="BK284" s="15" t="str">
        <f t="shared" si="1672"/>
        <v>SIGIGUALES</v>
      </c>
      <c r="BL284" s="22" t="str">
        <f t="shared" si="1673"/>
        <v>NO CONFORME</v>
      </c>
    </row>
    <row r="285" spans="1:64" ht="14.4" x14ac:dyDescent="0.3">
      <c r="A285" s="36">
        <v>277</v>
      </c>
      <c r="B285" s="28">
        <f t="shared" ref="B285:E285" si="1814">B284</f>
        <v>45903</v>
      </c>
      <c r="C285" s="28">
        <f t="shared" si="1814"/>
        <v>45903</v>
      </c>
      <c r="D285" s="12">
        <f t="shared" si="1814"/>
        <v>3</v>
      </c>
      <c r="E285" s="10">
        <f t="shared" si="1814"/>
        <v>11</v>
      </c>
      <c r="F285" s="13"/>
      <c r="G285" s="69"/>
      <c r="H285" s="70">
        <f t="shared" ref="H285:L285" si="1815">H284</f>
        <v>25.6</v>
      </c>
      <c r="I285" s="37">
        <f t="shared" si="1815"/>
        <v>0</v>
      </c>
      <c r="J285" s="35">
        <f t="shared" si="1815"/>
        <v>16</v>
      </c>
      <c r="K285" s="122">
        <f t="shared" si="1815"/>
        <v>8.1690000000000005</v>
      </c>
      <c r="L285" s="122">
        <f t="shared" si="1815"/>
        <v>0.879</v>
      </c>
      <c r="M285" s="126"/>
      <c r="N285" s="126"/>
      <c r="O285" s="32">
        <f t="shared" ref="O285:P285" si="1816">O284</f>
        <v>100.65</v>
      </c>
      <c r="P285" s="33" t="str">
        <f t="shared" si="1816"/>
        <v>2,31,180</v>
      </c>
      <c r="Q285" s="11" t="str">
        <f t="shared" si="1739"/>
        <v>2</v>
      </c>
      <c r="R285" s="11" t="str">
        <f t="shared" si="1740"/>
        <v>31,180</v>
      </c>
      <c r="S285" s="11">
        <f t="shared" si="1741"/>
        <v>4.1994444444444445E-2</v>
      </c>
      <c r="T285" s="14">
        <f t="shared" si="1742"/>
        <v>2396.7456012700095</v>
      </c>
      <c r="U285" s="38">
        <f t="shared" si="1743"/>
        <v>-100</v>
      </c>
      <c r="V285" s="39">
        <f t="shared" ref="V285:W285" si="1817">V284</f>
        <v>19.8</v>
      </c>
      <c r="W285" s="124">
        <f t="shared" si="1817"/>
        <v>1.08</v>
      </c>
      <c r="X285" s="124">
        <f t="shared" si="1798"/>
        <v>1.075</v>
      </c>
      <c r="Y285" s="126"/>
      <c r="Z285" s="126"/>
      <c r="AA285" s="90">
        <f t="shared" ref="AA285:AB285" si="1818">AA284</f>
        <v>5.0149999999999997</v>
      </c>
      <c r="AB285" s="73" t="str">
        <f t="shared" si="1818"/>
        <v>9,05,040</v>
      </c>
      <c r="AC285" s="11" t="str">
        <f t="shared" si="1746"/>
        <v>9,</v>
      </c>
      <c r="AD285" s="11" t="str">
        <f t="shared" si="1747"/>
        <v>05,040</v>
      </c>
      <c r="AE285" s="11">
        <f t="shared" si="1748"/>
        <v>0.15139999999999998</v>
      </c>
      <c r="AF285" s="14">
        <f t="shared" si="1749"/>
        <v>33.124174372523122</v>
      </c>
      <c r="AG285" s="40">
        <f t="shared" si="1750"/>
        <v>-100</v>
      </c>
      <c r="AH285" s="39">
        <f t="shared" si="1806"/>
        <v>19.600000000000001</v>
      </c>
      <c r="AI285" s="124">
        <f t="shared" si="1806"/>
        <v>1.0860000000000001</v>
      </c>
      <c r="AJ285" s="124">
        <f t="shared" si="1806"/>
        <v>1.0780000000000001</v>
      </c>
      <c r="AK285" s="126">
        <f t="shared" si="1751"/>
        <v>0</v>
      </c>
      <c r="AL285" s="126"/>
      <c r="AM285" s="34">
        <f t="shared" ref="AM285:AN285" si="1819">AM284</f>
        <v>2.0059999999999998</v>
      </c>
      <c r="AN285" s="33" t="str">
        <f t="shared" si="1819"/>
        <v>5,40,620</v>
      </c>
      <c r="AO285" s="11" t="str">
        <f t="shared" si="1753"/>
        <v>5,</v>
      </c>
      <c r="AP285" s="11" t="str">
        <f t="shared" si="1754"/>
        <v>40,620</v>
      </c>
      <c r="AQ285" s="11">
        <f t="shared" si="1755"/>
        <v>9.4616666666666668E-2</v>
      </c>
      <c r="AR285" s="14">
        <f t="shared" si="1756"/>
        <v>21.201338735247486</v>
      </c>
      <c r="AS285" s="40">
        <f t="shared" si="1757"/>
        <v>-100</v>
      </c>
      <c r="AT285" s="41" t="str">
        <f t="shared" si="1758"/>
        <v>NO CONFORME</v>
      </c>
      <c r="AU285" s="8" t="b">
        <f t="shared" si="1680"/>
        <v>1</v>
      </c>
      <c r="AV285" s="8" t="b">
        <f t="shared" si="1681"/>
        <v>0</v>
      </c>
      <c r="AW285" s="8" t="b">
        <f t="shared" si="1682"/>
        <v>1</v>
      </c>
      <c r="AX285" s="8" t="str">
        <f t="shared" si="1683"/>
        <v>Qcorrecto</v>
      </c>
      <c r="AY285" s="22" t="str">
        <f t="shared" si="1663"/>
        <v>aceptable</v>
      </c>
      <c r="AZ285" s="22" t="str">
        <f t="shared" si="1664"/>
        <v>aceptable</v>
      </c>
      <c r="BA285" s="22" t="str">
        <f t="shared" si="1684"/>
        <v>aceptable</v>
      </c>
      <c r="BB285" s="25" t="str">
        <f t="shared" si="1685"/>
        <v>NO CONFORME</v>
      </c>
      <c r="BC285" s="5" t="str">
        <f t="shared" si="1686"/>
        <v>NO CONFORME</v>
      </c>
      <c r="BD285" s="15">
        <f t="shared" si="1665"/>
        <v>-1</v>
      </c>
      <c r="BE285" s="15">
        <f t="shared" si="1666"/>
        <v>-1</v>
      </c>
      <c r="BF285" s="15">
        <f t="shared" si="1667"/>
        <v>-1</v>
      </c>
      <c r="BG285" s="15" t="str">
        <f t="shared" si="1668"/>
        <v>-1-1-1</v>
      </c>
      <c r="BH285" s="15" t="str">
        <f t="shared" si="1669"/>
        <v>SD</v>
      </c>
      <c r="BI285" s="15" t="str">
        <f t="shared" si="1670"/>
        <v>SI</v>
      </c>
      <c r="BJ285" s="15" t="b">
        <f t="shared" si="1671"/>
        <v>1</v>
      </c>
      <c r="BK285" s="15" t="str">
        <f t="shared" si="1672"/>
        <v>SIGIGUALES</v>
      </c>
      <c r="BL285" s="22" t="str">
        <f t="shared" si="1673"/>
        <v>NO CONFORME</v>
      </c>
    </row>
    <row r="286" spans="1:64" ht="14.4" x14ac:dyDescent="0.3">
      <c r="A286" s="36">
        <v>278</v>
      </c>
      <c r="B286" s="28">
        <f t="shared" ref="B286:E286" si="1820">B285</f>
        <v>45903</v>
      </c>
      <c r="C286" s="28">
        <f t="shared" si="1820"/>
        <v>45903</v>
      </c>
      <c r="D286" s="12">
        <f t="shared" si="1820"/>
        <v>3</v>
      </c>
      <c r="E286" s="10">
        <f t="shared" si="1820"/>
        <v>11</v>
      </c>
      <c r="F286" s="13"/>
      <c r="G286" s="69"/>
      <c r="H286" s="70">
        <f t="shared" ref="H286:L286" si="1821">H285</f>
        <v>25.6</v>
      </c>
      <c r="I286" s="37">
        <f t="shared" si="1821"/>
        <v>0</v>
      </c>
      <c r="J286" s="35">
        <f t="shared" si="1821"/>
        <v>16</v>
      </c>
      <c r="K286" s="122">
        <f t="shared" si="1821"/>
        <v>8.1690000000000005</v>
      </c>
      <c r="L286" s="122">
        <f t="shared" si="1821"/>
        <v>0.879</v>
      </c>
      <c r="M286" s="126"/>
      <c r="N286" s="126"/>
      <c r="O286" s="32">
        <f t="shared" ref="O286:P286" si="1822">O285</f>
        <v>100.65</v>
      </c>
      <c r="P286" s="33" t="str">
        <f t="shared" si="1822"/>
        <v>2,31,180</v>
      </c>
      <c r="Q286" s="11" t="str">
        <f t="shared" si="1739"/>
        <v>2</v>
      </c>
      <c r="R286" s="11" t="str">
        <f t="shared" si="1740"/>
        <v>31,180</v>
      </c>
      <c r="S286" s="11">
        <f t="shared" si="1741"/>
        <v>4.1994444444444445E-2</v>
      </c>
      <c r="T286" s="14">
        <f t="shared" si="1742"/>
        <v>2396.7456012700095</v>
      </c>
      <c r="U286" s="38">
        <f t="shared" si="1743"/>
        <v>-100</v>
      </c>
      <c r="V286" s="39">
        <f t="shared" ref="V286:W286" si="1823">V285</f>
        <v>19.8</v>
      </c>
      <c r="W286" s="124">
        <f t="shared" si="1823"/>
        <v>1.08</v>
      </c>
      <c r="X286" s="124">
        <f t="shared" si="1798"/>
        <v>1.075</v>
      </c>
      <c r="Y286" s="126"/>
      <c r="Z286" s="126"/>
      <c r="AA286" s="90">
        <f t="shared" ref="AA286:AB286" si="1824">AA285</f>
        <v>5.0149999999999997</v>
      </c>
      <c r="AB286" s="73" t="str">
        <f t="shared" si="1824"/>
        <v>9,05,040</v>
      </c>
      <c r="AC286" s="11" t="str">
        <f t="shared" si="1746"/>
        <v>9,</v>
      </c>
      <c r="AD286" s="11" t="str">
        <f t="shared" si="1747"/>
        <v>05,040</v>
      </c>
      <c r="AE286" s="11">
        <f t="shared" si="1748"/>
        <v>0.15139999999999998</v>
      </c>
      <c r="AF286" s="14">
        <f t="shared" si="1749"/>
        <v>33.124174372523122</v>
      </c>
      <c r="AG286" s="40">
        <f t="shared" si="1750"/>
        <v>-100</v>
      </c>
      <c r="AH286" s="39">
        <f t="shared" si="1806"/>
        <v>19.600000000000001</v>
      </c>
      <c r="AI286" s="124">
        <f t="shared" si="1806"/>
        <v>1.0860000000000001</v>
      </c>
      <c r="AJ286" s="124">
        <f t="shared" si="1806"/>
        <v>1.0780000000000001</v>
      </c>
      <c r="AK286" s="126">
        <f t="shared" si="1751"/>
        <v>0</v>
      </c>
      <c r="AL286" s="126"/>
      <c r="AM286" s="34">
        <f t="shared" ref="AM286:AN286" si="1825">AM285</f>
        <v>2.0059999999999998</v>
      </c>
      <c r="AN286" s="33" t="str">
        <f t="shared" si="1825"/>
        <v>5,40,620</v>
      </c>
      <c r="AO286" s="11" t="str">
        <f t="shared" si="1753"/>
        <v>5,</v>
      </c>
      <c r="AP286" s="11" t="str">
        <f t="shared" si="1754"/>
        <v>40,620</v>
      </c>
      <c r="AQ286" s="11">
        <f t="shared" si="1755"/>
        <v>9.4616666666666668E-2</v>
      </c>
      <c r="AR286" s="14">
        <f t="shared" si="1756"/>
        <v>21.201338735247486</v>
      </c>
      <c r="AS286" s="40">
        <f t="shared" si="1757"/>
        <v>-100</v>
      </c>
      <c r="AT286" s="41" t="str">
        <f t="shared" si="1758"/>
        <v>NO CONFORME</v>
      </c>
      <c r="AU286" s="8" t="b">
        <f t="shared" si="1680"/>
        <v>1</v>
      </c>
      <c r="AV286" s="8" t="b">
        <f t="shared" si="1681"/>
        <v>0</v>
      </c>
      <c r="AW286" s="8" t="b">
        <f t="shared" si="1682"/>
        <v>1</v>
      </c>
      <c r="AX286" s="8" t="str">
        <f t="shared" si="1683"/>
        <v>Qcorrecto</v>
      </c>
      <c r="AY286" s="22" t="str">
        <f t="shared" si="1663"/>
        <v>aceptable</v>
      </c>
      <c r="AZ286" s="22" t="str">
        <f t="shared" si="1664"/>
        <v>aceptable</v>
      </c>
      <c r="BA286" s="22" t="str">
        <f t="shared" si="1684"/>
        <v>aceptable</v>
      </c>
      <c r="BB286" s="25" t="str">
        <f t="shared" si="1685"/>
        <v>NO CONFORME</v>
      </c>
      <c r="BC286" s="5" t="str">
        <f t="shared" si="1686"/>
        <v>NO CONFORME</v>
      </c>
      <c r="BD286" s="15">
        <f t="shared" si="1665"/>
        <v>-1</v>
      </c>
      <c r="BE286" s="15">
        <f t="shared" si="1666"/>
        <v>-1</v>
      </c>
      <c r="BF286" s="15">
        <f t="shared" si="1667"/>
        <v>-1</v>
      </c>
      <c r="BG286" s="15" t="str">
        <f t="shared" si="1668"/>
        <v>-1-1-1</v>
      </c>
      <c r="BH286" s="15" t="str">
        <f t="shared" si="1669"/>
        <v>SD</v>
      </c>
      <c r="BI286" s="15" t="str">
        <f t="shared" si="1670"/>
        <v>SI</v>
      </c>
      <c r="BJ286" s="15" t="b">
        <f t="shared" si="1671"/>
        <v>1</v>
      </c>
      <c r="BK286" s="15" t="str">
        <f t="shared" si="1672"/>
        <v>SIGIGUALES</v>
      </c>
      <c r="BL286" s="22" t="str">
        <f t="shared" si="1673"/>
        <v>NO CONFORME</v>
      </c>
    </row>
    <row r="287" spans="1:64" ht="14.4" x14ac:dyDescent="0.3">
      <c r="A287" s="36">
        <v>279</v>
      </c>
      <c r="B287" s="28">
        <f t="shared" ref="B287:E287" si="1826">B286</f>
        <v>45903</v>
      </c>
      <c r="C287" s="28">
        <f t="shared" si="1826"/>
        <v>45903</v>
      </c>
      <c r="D287" s="12">
        <f t="shared" si="1826"/>
        <v>3</v>
      </c>
      <c r="E287" s="10">
        <f t="shared" si="1826"/>
        <v>11</v>
      </c>
      <c r="F287" s="13"/>
      <c r="G287" s="69"/>
      <c r="H287" s="70">
        <f t="shared" ref="H287:L287" si="1827">H286</f>
        <v>25.6</v>
      </c>
      <c r="I287" s="37">
        <f t="shared" si="1827"/>
        <v>0</v>
      </c>
      <c r="J287" s="35">
        <f t="shared" si="1827"/>
        <v>16</v>
      </c>
      <c r="K287" s="122">
        <f t="shared" si="1827"/>
        <v>8.1690000000000005</v>
      </c>
      <c r="L287" s="122">
        <f t="shared" si="1827"/>
        <v>0.879</v>
      </c>
      <c r="M287" s="126"/>
      <c r="N287" s="126"/>
      <c r="O287" s="32">
        <f t="shared" ref="O287:P287" si="1828">O286</f>
        <v>100.65</v>
      </c>
      <c r="P287" s="33" t="str">
        <f t="shared" si="1828"/>
        <v>2,31,180</v>
      </c>
      <c r="Q287" s="11" t="str">
        <f t="shared" si="1739"/>
        <v>2</v>
      </c>
      <c r="R287" s="11" t="str">
        <f t="shared" si="1740"/>
        <v>31,180</v>
      </c>
      <c r="S287" s="11">
        <f t="shared" si="1741"/>
        <v>4.1994444444444445E-2</v>
      </c>
      <c r="T287" s="14">
        <f t="shared" si="1742"/>
        <v>2396.7456012700095</v>
      </c>
      <c r="U287" s="38">
        <f t="shared" si="1743"/>
        <v>-100</v>
      </c>
      <c r="V287" s="39">
        <f t="shared" ref="V287:W287" si="1829">V286</f>
        <v>19.8</v>
      </c>
      <c r="W287" s="124">
        <f t="shared" si="1829"/>
        <v>1.08</v>
      </c>
      <c r="X287" s="124">
        <f t="shared" si="1798"/>
        <v>1.075</v>
      </c>
      <c r="Y287" s="126"/>
      <c r="Z287" s="126"/>
      <c r="AA287" s="90">
        <f t="shared" ref="AA287:AB287" si="1830">AA286</f>
        <v>5.0149999999999997</v>
      </c>
      <c r="AB287" s="73" t="str">
        <f t="shared" si="1830"/>
        <v>9,05,040</v>
      </c>
      <c r="AC287" s="11" t="str">
        <f t="shared" si="1746"/>
        <v>9,</v>
      </c>
      <c r="AD287" s="11" t="str">
        <f t="shared" si="1747"/>
        <v>05,040</v>
      </c>
      <c r="AE287" s="11">
        <f t="shared" si="1748"/>
        <v>0.15139999999999998</v>
      </c>
      <c r="AF287" s="14">
        <f t="shared" si="1749"/>
        <v>33.124174372523122</v>
      </c>
      <c r="AG287" s="40">
        <f t="shared" si="1750"/>
        <v>-100</v>
      </c>
      <c r="AH287" s="39">
        <f t="shared" si="1806"/>
        <v>19.600000000000001</v>
      </c>
      <c r="AI287" s="124">
        <f t="shared" si="1806"/>
        <v>1.0860000000000001</v>
      </c>
      <c r="AJ287" s="124">
        <f t="shared" si="1806"/>
        <v>1.0780000000000001</v>
      </c>
      <c r="AK287" s="126">
        <f t="shared" si="1751"/>
        <v>0</v>
      </c>
      <c r="AL287" s="126"/>
      <c r="AM287" s="34">
        <f t="shared" ref="AM287:AN287" si="1831">AM286</f>
        <v>2.0059999999999998</v>
      </c>
      <c r="AN287" s="33" t="str">
        <f t="shared" si="1831"/>
        <v>5,40,620</v>
      </c>
      <c r="AO287" s="11" t="str">
        <f t="shared" si="1753"/>
        <v>5,</v>
      </c>
      <c r="AP287" s="11" t="str">
        <f t="shared" si="1754"/>
        <v>40,620</v>
      </c>
      <c r="AQ287" s="11">
        <f t="shared" si="1755"/>
        <v>9.4616666666666668E-2</v>
      </c>
      <c r="AR287" s="14">
        <f t="shared" si="1756"/>
        <v>21.201338735247486</v>
      </c>
      <c r="AS287" s="40">
        <f t="shared" si="1757"/>
        <v>-100</v>
      </c>
      <c r="AT287" s="41" t="str">
        <f t="shared" si="1758"/>
        <v>NO CONFORME</v>
      </c>
      <c r="AU287" s="8" t="b">
        <f t="shared" si="1680"/>
        <v>1</v>
      </c>
      <c r="AV287" s="8" t="b">
        <f t="shared" si="1681"/>
        <v>0</v>
      </c>
      <c r="AW287" s="8" t="b">
        <f t="shared" si="1682"/>
        <v>1</v>
      </c>
      <c r="AX287" s="8" t="str">
        <f t="shared" si="1683"/>
        <v>Qcorrecto</v>
      </c>
      <c r="AY287" s="22" t="str">
        <f t="shared" si="1663"/>
        <v>aceptable</v>
      </c>
      <c r="AZ287" s="22" t="str">
        <f t="shared" si="1664"/>
        <v>aceptable</v>
      </c>
      <c r="BA287" s="22" t="str">
        <f t="shared" si="1684"/>
        <v>aceptable</v>
      </c>
      <c r="BB287" s="25" t="str">
        <f t="shared" si="1685"/>
        <v>NO CONFORME</v>
      </c>
      <c r="BC287" s="5" t="str">
        <f t="shared" si="1686"/>
        <v>NO CONFORME</v>
      </c>
      <c r="BD287" s="15">
        <f t="shared" si="1665"/>
        <v>-1</v>
      </c>
      <c r="BE287" s="15">
        <f t="shared" si="1666"/>
        <v>-1</v>
      </c>
      <c r="BF287" s="15">
        <f t="shared" si="1667"/>
        <v>-1</v>
      </c>
      <c r="BG287" s="15" t="str">
        <f t="shared" si="1668"/>
        <v>-1-1-1</v>
      </c>
      <c r="BH287" s="15" t="str">
        <f t="shared" si="1669"/>
        <v>SD</v>
      </c>
      <c r="BI287" s="15" t="str">
        <f t="shared" si="1670"/>
        <v>SI</v>
      </c>
      <c r="BJ287" s="15" t="b">
        <f t="shared" si="1671"/>
        <v>1</v>
      </c>
      <c r="BK287" s="15" t="str">
        <f t="shared" si="1672"/>
        <v>SIGIGUALES</v>
      </c>
      <c r="BL287" s="22" t="str">
        <f t="shared" si="1673"/>
        <v>NO CONFORME</v>
      </c>
    </row>
    <row r="288" spans="1:64" ht="14.4" x14ac:dyDescent="0.3">
      <c r="A288" s="36">
        <v>280</v>
      </c>
      <c r="B288" s="28">
        <f t="shared" ref="B288:E288" si="1832">B287</f>
        <v>45903</v>
      </c>
      <c r="C288" s="28">
        <f t="shared" si="1832"/>
        <v>45903</v>
      </c>
      <c r="D288" s="12">
        <f t="shared" si="1832"/>
        <v>3</v>
      </c>
      <c r="E288" s="10">
        <f t="shared" si="1832"/>
        <v>11</v>
      </c>
      <c r="F288" s="13"/>
      <c r="G288" s="69"/>
      <c r="H288" s="70">
        <f t="shared" ref="H288:L288" si="1833">H287</f>
        <v>25.6</v>
      </c>
      <c r="I288" s="37">
        <f t="shared" si="1833"/>
        <v>0</v>
      </c>
      <c r="J288" s="35">
        <f t="shared" si="1833"/>
        <v>16</v>
      </c>
      <c r="K288" s="122">
        <f t="shared" si="1833"/>
        <v>8.1690000000000005</v>
      </c>
      <c r="L288" s="122">
        <f t="shared" si="1833"/>
        <v>0.879</v>
      </c>
      <c r="M288" s="126"/>
      <c r="N288" s="126"/>
      <c r="O288" s="32">
        <f t="shared" ref="O288:P288" si="1834">O287</f>
        <v>100.65</v>
      </c>
      <c r="P288" s="33" t="str">
        <f t="shared" si="1834"/>
        <v>2,31,180</v>
      </c>
      <c r="Q288" s="11" t="str">
        <f t="shared" si="1739"/>
        <v>2</v>
      </c>
      <c r="R288" s="11" t="str">
        <f t="shared" si="1740"/>
        <v>31,180</v>
      </c>
      <c r="S288" s="11">
        <f t="shared" si="1741"/>
        <v>4.1994444444444445E-2</v>
      </c>
      <c r="T288" s="14">
        <f t="shared" si="1742"/>
        <v>2396.7456012700095</v>
      </c>
      <c r="U288" s="38">
        <f t="shared" si="1743"/>
        <v>-100</v>
      </c>
      <c r="V288" s="39">
        <f t="shared" ref="V288:W288" si="1835">V287</f>
        <v>19.8</v>
      </c>
      <c r="W288" s="124">
        <f t="shared" si="1835"/>
        <v>1.08</v>
      </c>
      <c r="X288" s="124">
        <f t="shared" si="1798"/>
        <v>1.075</v>
      </c>
      <c r="Y288" s="126"/>
      <c r="Z288" s="126"/>
      <c r="AA288" s="90">
        <f t="shared" ref="AA288:AB288" si="1836">AA287</f>
        <v>5.0149999999999997</v>
      </c>
      <c r="AB288" s="73" t="str">
        <f t="shared" si="1836"/>
        <v>9,05,040</v>
      </c>
      <c r="AC288" s="11" t="str">
        <f t="shared" si="1746"/>
        <v>9,</v>
      </c>
      <c r="AD288" s="11" t="str">
        <f t="shared" si="1747"/>
        <v>05,040</v>
      </c>
      <c r="AE288" s="11">
        <f t="shared" si="1748"/>
        <v>0.15139999999999998</v>
      </c>
      <c r="AF288" s="14">
        <f t="shared" si="1749"/>
        <v>33.124174372523122</v>
      </c>
      <c r="AG288" s="40">
        <f t="shared" si="1750"/>
        <v>-100</v>
      </c>
      <c r="AH288" s="39">
        <f t="shared" si="1806"/>
        <v>19.600000000000001</v>
      </c>
      <c r="AI288" s="124">
        <f t="shared" si="1806"/>
        <v>1.0860000000000001</v>
      </c>
      <c r="AJ288" s="124">
        <f t="shared" si="1806"/>
        <v>1.0780000000000001</v>
      </c>
      <c r="AK288" s="126">
        <f t="shared" si="1751"/>
        <v>0</v>
      </c>
      <c r="AL288" s="126"/>
      <c r="AM288" s="34">
        <f t="shared" ref="AM288:AN288" si="1837">AM287</f>
        <v>2.0059999999999998</v>
      </c>
      <c r="AN288" s="33" t="str">
        <f t="shared" si="1837"/>
        <v>5,40,620</v>
      </c>
      <c r="AO288" s="11" t="str">
        <f t="shared" si="1753"/>
        <v>5,</v>
      </c>
      <c r="AP288" s="11" t="str">
        <f t="shared" si="1754"/>
        <v>40,620</v>
      </c>
      <c r="AQ288" s="11">
        <f t="shared" si="1755"/>
        <v>9.4616666666666668E-2</v>
      </c>
      <c r="AR288" s="14">
        <f t="shared" si="1756"/>
        <v>21.201338735247486</v>
      </c>
      <c r="AS288" s="40">
        <f t="shared" si="1757"/>
        <v>-100</v>
      </c>
      <c r="AT288" s="41" t="str">
        <f t="shared" si="1758"/>
        <v>NO CONFORME</v>
      </c>
      <c r="AU288" s="8" t="b">
        <f t="shared" si="1680"/>
        <v>1</v>
      </c>
      <c r="AV288" s="8" t="b">
        <f t="shared" si="1681"/>
        <v>0</v>
      </c>
      <c r="AW288" s="8" t="b">
        <f t="shared" si="1682"/>
        <v>1</v>
      </c>
      <c r="AX288" s="8" t="str">
        <f t="shared" si="1683"/>
        <v>Qcorrecto</v>
      </c>
      <c r="AY288" s="22" t="str">
        <f t="shared" si="1663"/>
        <v>aceptable</v>
      </c>
      <c r="AZ288" s="22" t="str">
        <f t="shared" si="1664"/>
        <v>aceptable</v>
      </c>
      <c r="BA288" s="22" t="str">
        <f t="shared" si="1684"/>
        <v>aceptable</v>
      </c>
      <c r="BB288" s="25" t="str">
        <f t="shared" si="1685"/>
        <v>NO CONFORME</v>
      </c>
      <c r="BC288" s="5" t="str">
        <f t="shared" si="1686"/>
        <v>NO CONFORME</v>
      </c>
      <c r="BD288" s="15">
        <f t="shared" si="1665"/>
        <v>-1</v>
      </c>
      <c r="BE288" s="15">
        <f t="shared" si="1666"/>
        <v>-1</v>
      </c>
      <c r="BF288" s="15">
        <f t="shared" si="1667"/>
        <v>-1</v>
      </c>
      <c r="BG288" s="15" t="str">
        <f t="shared" si="1668"/>
        <v>-1-1-1</v>
      </c>
      <c r="BH288" s="15" t="str">
        <f t="shared" si="1669"/>
        <v>SD</v>
      </c>
      <c r="BI288" s="15" t="str">
        <f t="shared" si="1670"/>
        <v>SI</v>
      </c>
      <c r="BJ288" s="15" t="b">
        <f t="shared" si="1671"/>
        <v>1</v>
      </c>
      <c r="BK288" s="15" t="str">
        <f t="shared" si="1672"/>
        <v>SIGIGUALES</v>
      </c>
      <c r="BL288" s="22" t="str">
        <f t="shared" si="1673"/>
        <v>NO CONFORME</v>
      </c>
    </row>
    <row r="289" spans="1:64" ht="14.4" x14ac:dyDescent="0.3">
      <c r="A289" s="36">
        <v>281</v>
      </c>
      <c r="B289" s="28">
        <f t="shared" ref="B289:E289" si="1838">B288</f>
        <v>45903</v>
      </c>
      <c r="C289" s="28">
        <f t="shared" si="1838"/>
        <v>45903</v>
      </c>
      <c r="D289" s="12">
        <f t="shared" si="1838"/>
        <v>3</v>
      </c>
      <c r="E289" s="10">
        <f t="shared" si="1838"/>
        <v>11</v>
      </c>
      <c r="F289" s="13"/>
      <c r="G289" s="69"/>
      <c r="H289" s="70">
        <f t="shared" ref="H289:L289" si="1839">H288</f>
        <v>25.6</v>
      </c>
      <c r="I289" s="37">
        <f t="shared" si="1839"/>
        <v>0</v>
      </c>
      <c r="J289" s="35">
        <f t="shared" si="1839"/>
        <v>16</v>
      </c>
      <c r="K289" s="122">
        <f t="shared" si="1839"/>
        <v>8.1690000000000005</v>
      </c>
      <c r="L289" s="122">
        <f t="shared" si="1839"/>
        <v>0.879</v>
      </c>
      <c r="M289" s="126"/>
      <c r="N289" s="126"/>
      <c r="O289" s="32">
        <f t="shared" ref="O289:P289" si="1840">O288</f>
        <v>100.65</v>
      </c>
      <c r="P289" s="33" t="str">
        <f t="shared" si="1840"/>
        <v>2,31,180</v>
      </c>
      <c r="Q289" s="11" t="str">
        <f t="shared" si="1739"/>
        <v>2</v>
      </c>
      <c r="R289" s="11" t="str">
        <f t="shared" si="1740"/>
        <v>31,180</v>
      </c>
      <c r="S289" s="11">
        <f t="shared" si="1741"/>
        <v>4.1994444444444445E-2</v>
      </c>
      <c r="T289" s="14">
        <f t="shared" si="1742"/>
        <v>2396.7456012700095</v>
      </c>
      <c r="U289" s="38">
        <f t="shared" si="1743"/>
        <v>-100</v>
      </c>
      <c r="V289" s="39">
        <f t="shared" ref="V289:W289" si="1841">V288</f>
        <v>19.8</v>
      </c>
      <c r="W289" s="124">
        <f t="shared" si="1841"/>
        <v>1.08</v>
      </c>
      <c r="X289" s="124">
        <f t="shared" si="1798"/>
        <v>1.075</v>
      </c>
      <c r="Y289" s="126"/>
      <c r="Z289" s="126"/>
      <c r="AA289" s="90">
        <f t="shared" ref="AA289:AB289" si="1842">AA288</f>
        <v>5.0149999999999997</v>
      </c>
      <c r="AB289" s="73" t="str">
        <f t="shared" si="1842"/>
        <v>9,05,040</v>
      </c>
      <c r="AC289" s="11" t="str">
        <f t="shared" si="1746"/>
        <v>9,</v>
      </c>
      <c r="AD289" s="11" t="str">
        <f t="shared" si="1747"/>
        <v>05,040</v>
      </c>
      <c r="AE289" s="11">
        <f t="shared" si="1748"/>
        <v>0.15139999999999998</v>
      </c>
      <c r="AF289" s="14">
        <f t="shared" si="1749"/>
        <v>33.124174372523122</v>
      </c>
      <c r="AG289" s="40">
        <f t="shared" si="1750"/>
        <v>-100</v>
      </c>
      <c r="AH289" s="39">
        <f t="shared" si="1806"/>
        <v>19.600000000000001</v>
      </c>
      <c r="AI289" s="124">
        <f t="shared" si="1806"/>
        <v>1.0860000000000001</v>
      </c>
      <c r="AJ289" s="124">
        <f t="shared" si="1806"/>
        <v>1.0780000000000001</v>
      </c>
      <c r="AK289" s="126">
        <f t="shared" si="1751"/>
        <v>0</v>
      </c>
      <c r="AL289" s="126"/>
      <c r="AM289" s="34">
        <f t="shared" ref="AM289:AN289" si="1843">AM288</f>
        <v>2.0059999999999998</v>
      </c>
      <c r="AN289" s="33" t="str">
        <f t="shared" si="1843"/>
        <v>5,40,620</v>
      </c>
      <c r="AO289" s="11" t="str">
        <f t="shared" si="1753"/>
        <v>5,</v>
      </c>
      <c r="AP289" s="11" t="str">
        <f t="shared" si="1754"/>
        <v>40,620</v>
      </c>
      <c r="AQ289" s="11">
        <f t="shared" si="1755"/>
        <v>9.4616666666666668E-2</v>
      </c>
      <c r="AR289" s="14">
        <f t="shared" si="1756"/>
        <v>21.201338735247486</v>
      </c>
      <c r="AS289" s="40">
        <f t="shared" si="1757"/>
        <v>-100</v>
      </c>
      <c r="AT289" s="41" t="str">
        <f t="shared" si="1758"/>
        <v>NO CONFORME</v>
      </c>
      <c r="AU289" s="8" t="b">
        <f t="shared" si="1680"/>
        <v>1</v>
      </c>
      <c r="AV289" s="8" t="b">
        <f t="shared" si="1681"/>
        <v>0</v>
      </c>
      <c r="AW289" s="8" t="b">
        <f t="shared" si="1682"/>
        <v>1</v>
      </c>
      <c r="AX289" s="8" t="str">
        <f t="shared" si="1683"/>
        <v>Qcorrecto</v>
      </c>
      <c r="AY289" s="22" t="str">
        <f t="shared" si="1663"/>
        <v>aceptable</v>
      </c>
      <c r="AZ289" s="22" t="str">
        <f t="shared" si="1664"/>
        <v>aceptable</v>
      </c>
      <c r="BA289" s="22" t="str">
        <f t="shared" si="1684"/>
        <v>aceptable</v>
      </c>
      <c r="BB289" s="25" t="str">
        <f t="shared" si="1685"/>
        <v>NO CONFORME</v>
      </c>
      <c r="BC289" s="5" t="str">
        <f t="shared" si="1686"/>
        <v>NO CONFORME</v>
      </c>
      <c r="BD289" s="15">
        <f t="shared" si="1665"/>
        <v>-1</v>
      </c>
      <c r="BE289" s="15">
        <f t="shared" si="1666"/>
        <v>-1</v>
      </c>
      <c r="BF289" s="15">
        <f t="shared" si="1667"/>
        <v>-1</v>
      </c>
      <c r="BG289" s="15" t="str">
        <f t="shared" si="1668"/>
        <v>-1-1-1</v>
      </c>
      <c r="BH289" s="15" t="str">
        <f t="shared" si="1669"/>
        <v>SD</v>
      </c>
      <c r="BI289" s="15" t="str">
        <f t="shared" si="1670"/>
        <v>SI</v>
      </c>
      <c r="BJ289" s="15" t="b">
        <f t="shared" si="1671"/>
        <v>1</v>
      </c>
      <c r="BK289" s="15" t="str">
        <f t="shared" si="1672"/>
        <v>SIGIGUALES</v>
      </c>
      <c r="BL289" s="22" t="str">
        <f t="shared" si="1673"/>
        <v>NO CONFORME</v>
      </c>
    </row>
    <row r="290" spans="1:64" ht="14.4" x14ac:dyDescent="0.3">
      <c r="A290" s="36">
        <v>282</v>
      </c>
      <c r="B290" s="28">
        <f t="shared" ref="B290:E290" si="1844">B289</f>
        <v>45903</v>
      </c>
      <c r="C290" s="28">
        <f t="shared" si="1844"/>
        <v>45903</v>
      </c>
      <c r="D290" s="12">
        <f t="shared" si="1844"/>
        <v>3</v>
      </c>
      <c r="E290" s="10">
        <f t="shared" si="1844"/>
        <v>11</v>
      </c>
      <c r="F290" s="13"/>
      <c r="G290" s="69"/>
      <c r="H290" s="70">
        <f t="shared" ref="H290:L290" si="1845">H289</f>
        <v>25.6</v>
      </c>
      <c r="I290" s="37">
        <f t="shared" si="1845"/>
        <v>0</v>
      </c>
      <c r="J290" s="35">
        <f t="shared" si="1845"/>
        <v>16</v>
      </c>
      <c r="K290" s="122">
        <f t="shared" si="1845"/>
        <v>8.1690000000000005</v>
      </c>
      <c r="L290" s="122">
        <f t="shared" si="1845"/>
        <v>0.879</v>
      </c>
      <c r="M290" s="126"/>
      <c r="N290" s="126"/>
      <c r="O290" s="32">
        <f t="shared" ref="O290:P290" si="1846">O289</f>
        <v>100.65</v>
      </c>
      <c r="P290" s="33" t="str">
        <f t="shared" si="1846"/>
        <v>2,31,180</v>
      </c>
      <c r="Q290" s="11" t="str">
        <f t="shared" si="1739"/>
        <v>2</v>
      </c>
      <c r="R290" s="11" t="str">
        <f t="shared" si="1740"/>
        <v>31,180</v>
      </c>
      <c r="S290" s="11">
        <f t="shared" si="1741"/>
        <v>4.1994444444444445E-2</v>
      </c>
      <c r="T290" s="14">
        <f t="shared" si="1742"/>
        <v>2396.7456012700095</v>
      </c>
      <c r="U290" s="38">
        <f t="shared" si="1743"/>
        <v>-100</v>
      </c>
      <c r="V290" s="39">
        <f t="shared" ref="V290:W290" si="1847">V289</f>
        <v>19.8</v>
      </c>
      <c r="W290" s="124">
        <f t="shared" si="1847"/>
        <v>1.08</v>
      </c>
      <c r="X290" s="124">
        <f t="shared" si="1798"/>
        <v>1.075</v>
      </c>
      <c r="Y290" s="126"/>
      <c r="Z290" s="126"/>
      <c r="AA290" s="90">
        <f t="shared" ref="AA290:AB290" si="1848">AA289</f>
        <v>5.0149999999999997</v>
      </c>
      <c r="AB290" s="73" t="str">
        <f t="shared" si="1848"/>
        <v>9,05,040</v>
      </c>
      <c r="AC290" s="11" t="str">
        <f t="shared" si="1746"/>
        <v>9,</v>
      </c>
      <c r="AD290" s="11" t="str">
        <f t="shared" si="1747"/>
        <v>05,040</v>
      </c>
      <c r="AE290" s="11">
        <f t="shared" si="1748"/>
        <v>0.15139999999999998</v>
      </c>
      <c r="AF290" s="14">
        <f t="shared" si="1749"/>
        <v>33.124174372523122</v>
      </c>
      <c r="AG290" s="40">
        <f t="shared" si="1750"/>
        <v>-100</v>
      </c>
      <c r="AH290" s="39">
        <f t="shared" si="1806"/>
        <v>19.600000000000001</v>
      </c>
      <c r="AI290" s="124">
        <f t="shared" si="1806"/>
        <v>1.0860000000000001</v>
      </c>
      <c r="AJ290" s="124">
        <f t="shared" si="1806"/>
        <v>1.0780000000000001</v>
      </c>
      <c r="AK290" s="126">
        <f t="shared" si="1751"/>
        <v>0</v>
      </c>
      <c r="AL290" s="126"/>
      <c r="AM290" s="34">
        <f t="shared" ref="AM290:AN290" si="1849">AM289</f>
        <v>2.0059999999999998</v>
      </c>
      <c r="AN290" s="33" t="str">
        <f t="shared" si="1849"/>
        <v>5,40,620</v>
      </c>
      <c r="AO290" s="11" t="str">
        <f t="shared" si="1753"/>
        <v>5,</v>
      </c>
      <c r="AP290" s="11" t="str">
        <f t="shared" si="1754"/>
        <v>40,620</v>
      </c>
      <c r="AQ290" s="11">
        <f t="shared" si="1755"/>
        <v>9.4616666666666668E-2</v>
      </c>
      <c r="AR290" s="14">
        <f t="shared" si="1756"/>
        <v>21.201338735247486</v>
      </c>
      <c r="AS290" s="40">
        <f t="shared" si="1757"/>
        <v>-100</v>
      </c>
      <c r="AT290" s="41" t="str">
        <f t="shared" si="1758"/>
        <v>NO CONFORME</v>
      </c>
      <c r="AU290" s="8" t="b">
        <f t="shared" si="1680"/>
        <v>1</v>
      </c>
      <c r="AV290" s="8" t="b">
        <f t="shared" si="1681"/>
        <v>0</v>
      </c>
      <c r="AW290" s="8" t="b">
        <f t="shared" si="1682"/>
        <v>1</v>
      </c>
      <c r="AX290" s="8" t="str">
        <f t="shared" si="1683"/>
        <v>Qcorrecto</v>
      </c>
      <c r="AY290" s="22" t="str">
        <f t="shared" si="1663"/>
        <v>aceptable</v>
      </c>
      <c r="AZ290" s="22" t="str">
        <f t="shared" si="1664"/>
        <v>aceptable</v>
      </c>
      <c r="BA290" s="22" t="str">
        <f t="shared" si="1684"/>
        <v>aceptable</v>
      </c>
      <c r="BB290" s="25" t="str">
        <f t="shared" si="1685"/>
        <v>NO CONFORME</v>
      </c>
      <c r="BC290" s="5" t="str">
        <f t="shared" si="1686"/>
        <v>NO CONFORME</v>
      </c>
      <c r="BD290" s="15">
        <f t="shared" si="1665"/>
        <v>-1</v>
      </c>
      <c r="BE290" s="15">
        <f t="shared" si="1666"/>
        <v>-1</v>
      </c>
      <c r="BF290" s="15">
        <f t="shared" si="1667"/>
        <v>-1</v>
      </c>
      <c r="BG290" s="15" t="str">
        <f t="shared" si="1668"/>
        <v>-1-1-1</v>
      </c>
      <c r="BH290" s="15" t="str">
        <f t="shared" si="1669"/>
        <v>SD</v>
      </c>
      <c r="BI290" s="15" t="str">
        <f t="shared" si="1670"/>
        <v>SI</v>
      </c>
      <c r="BJ290" s="15" t="b">
        <f t="shared" si="1671"/>
        <v>1</v>
      </c>
      <c r="BK290" s="15" t="str">
        <f t="shared" si="1672"/>
        <v>SIGIGUALES</v>
      </c>
      <c r="BL290" s="22" t="str">
        <f t="shared" si="1673"/>
        <v>NO CONFORME</v>
      </c>
    </row>
    <row r="291" spans="1:64" ht="14.4" x14ac:dyDescent="0.3">
      <c r="A291" s="36">
        <v>283</v>
      </c>
      <c r="B291" s="28">
        <f t="shared" ref="B291:E291" si="1850">B290</f>
        <v>45903</v>
      </c>
      <c r="C291" s="28">
        <f t="shared" si="1850"/>
        <v>45903</v>
      </c>
      <c r="D291" s="12">
        <f t="shared" si="1850"/>
        <v>3</v>
      </c>
      <c r="E291" s="10">
        <f t="shared" si="1850"/>
        <v>11</v>
      </c>
      <c r="F291" s="13"/>
      <c r="G291" s="69"/>
      <c r="H291" s="70">
        <f t="shared" ref="H291:L291" si="1851">H290</f>
        <v>25.6</v>
      </c>
      <c r="I291" s="37">
        <f t="shared" si="1851"/>
        <v>0</v>
      </c>
      <c r="J291" s="35">
        <f t="shared" si="1851"/>
        <v>16</v>
      </c>
      <c r="K291" s="122">
        <f t="shared" si="1851"/>
        <v>8.1690000000000005</v>
      </c>
      <c r="L291" s="122">
        <f t="shared" si="1851"/>
        <v>0.879</v>
      </c>
      <c r="M291" s="126"/>
      <c r="N291" s="126"/>
      <c r="O291" s="32">
        <f t="shared" ref="O291:P291" si="1852">O290</f>
        <v>100.65</v>
      </c>
      <c r="P291" s="33" t="str">
        <f t="shared" si="1852"/>
        <v>2,31,180</v>
      </c>
      <c r="Q291" s="11" t="str">
        <f t="shared" si="1739"/>
        <v>2</v>
      </c>
      <c r="R291" s="11" t="str">
        <f t="shared" si="1740"/>
        <v>31,180</v>
      </c>
      <c r="S291" s="11">
        <f t="shared" si="1741"/>
        <v>4.1994444444444445E-2</v>
      </c>
      <c r="T291" s="14">
        <f t="shared" si="1742"/>
        <v>2396.7456012700095</v>
      </c>
      <c r="U291" s="38">
        <f t="shared" si="1743"/>
        <v>-100</v>
      </c>
      <c r="V291" s="39">
        <f t="shared" ref="V291:W291" si="1853">V290</f>
        <v>19.8</v>
      </c>
      <c r="W291" s="124">
        <f t="shared" si="1853"/>
        <v>1.08</v>
      </c>
      <c r="X291" s="124">
        <f t="shared" si="1798"/>
        <v>1.075</v>
      </c>
      <c r="Y291" s="126"/>
      <c r="Z291" s="126"/>
      <c r="AA291" s="90">
        <f t="shared" ref="AA291:AB291" si="1854">AA290</f>
        <v>5.0149999999999997</v>
      </c>
      <c r="AB291" s="73" t="str">
        <f t="shared" si="1854"/>
        <v>9,05,040</v>
      </c>
      <c r="AC291" s="11" t="str">
        <f t="shared" si="1746"/>
        <v>9,</v>
      </c>
      <c r="AD291" s="11" t="str">
        <f t="shared" si="1747"/>
        <v>05,040</v>
      </c>
      <c r="AE291" s="11">
        <f t="shared" si="1748"/>
        <v>0.15139999999999998</v>
      </c>
      <c r="AF291" s="14">
        <f t="shared" si="1749"/>
        <v>33.124174372523122</v>
      </c>
      <c r="AG291" s="40">
        <f t="shared" si="1750"/>
        <v>-100</v>
      </c>
      <c r="AH291" s="39">
        <f t="shared" si="1806"/>
        <v>19.600000000000001</v>
      </c>
      <c r="AI291" s="124">
        <f t="shared" si="1806"/>
        <v>1.0860000000000001</v>
      </c>
      <c r="AJ291" s="124">
        <f t="shared" si="1806"/>
        <v>1.0780000000000001</v>
      </c>
      <c r="AK291" s="126">
        <f t="shared" si="1751"/>
        <v>0</v>
      </c>
      <c r="AL291" s="126"/>
      <c r="AM291" s="34">
        <f t="shared" ref="AM291:AN291" si="1855">AM290</f>
        <v>2.0059999999999998</v>
      </c>
      <c r="AN291" s="33" t="str">
        <f t="shared" si="1855"/>
        <v>5,40,620</v>
      </c>
      <c r="AO291" s="11" t="str">
        <f t="shared" si="1753"/>
        <v>5,</v>
      </c>
      <c r="AP291" s="11" t="str">
        <f t="shared" si="1754"/>
        <v>40,620</v>
      </c>
      <c r="AQ291" s="11">
        <f t="shared" si="1755"/>
        <v>9.4616666666666668E-2</v>
      </c>
      <c r="AR291" s="14">
        <f t="shared" si="1756"/>
        <v>21.201338735247486</v>
      </c>
      <c r="AS291" s="40">
        <f t="shared" si="1757"/>
        <v>-100</v>
      </c>
      <c r="AT291" s="41" t="str">
        <f t="shared" si="1758"/>
        <v>NO CONFORME</v>
      </c>
      <c r="AU291" s="8" t="b">
        <f t="shared" si="1680"/>
        <v>1</v>
      </c>
      <c r="AV291" s="8" t="b">
        <f t="shared" si="1681"/>
        <v>0</v>
      </c>
      <c r="AW291" s="8" t="b">
        <f t="shared" si="1682"/>
        <v>1</v>
      </c>
      <c r="AX291" s="8" t="str">
        <f t="shared" si="1683"/>
        <v>Qcorrecto</v>
      </c>
      <c r="AY291" s="22" t="str">
        <f t="shared" si="1663"/>
        <v>aceptable</v>
      </c>
      <c r="AZ291" s="22" t="str">
        <f t="shared" si="1664"/>
        <v>aceptable</v>
      </c>
      <c r="BA291" s="22" t="str">
        <f t="shared" si="1684"/>
        <v>aceptable</v>
      </c>
      <c r="BB291" s="25" t="str">
        <f t="shared" si="1685"/>
        <v>NO CONFORME</v>
      </c>
      <c r="BC291" s="5" t="str">
        <f t="shared" si="1686"/>
        <v>NO CONFORME</v>
      </c>
      <c r="BD291" s="15">
        <f t="shared" si="1665"/>
        <v>-1</v>
      </c>
      <c r="BE291" s="15">
        <f t="shared" si="1666"/>
        <v>-1</v>
      </c>
      <c r="BF291" s="15">
        <f t="shared" si="1667"/>
        <v>-1</v>
      </c>
      <c r="BG291" s="15" t="str">
        <f t="shared" si="1668"/>
        <v>-1-1-1</v>
      </c>
      <c r="BH291" s="15" t="str">
        <f t="shared" si="1669"/>
        <v>SD</v>
      </c>
      <c r="BI291" s="15" t="str">
        <f t="shared" si="1670"/>
        <v>SI</v>
      </c>
      <c r="BJ291" s="15" t="b">
        <f t="shared" si="1671"/>
        <v>1</v>
      </c>
      <c r="BK291" s="15" t="str">
        <f t="shared" si="1672"/>
        <v>SIGIGUALES</v>
      </c>
      <c r="BL291" s="22" t="str">
        <f t="shared" si="1673"/>
        <v>NO CONFORME</v>
      </c>
    </row>
    <row r="292" spans="1:64" ht="14.4" x14ac:dyDescent="0.3">
      <c r="A292" s="36">
        <v>284</v>
      </c>
      <c r="B292" s="28">
        <f t="shared" ref="B292:E292" si="1856">B291</f>
        <v>45903</v>
      </c>
      <c r="C292" s="28">
        <f t="shared" si="1856"/>
        <v>45903</v>
      </c>
      <c r="D292" s="12">
        <f t="shared" si="1856"/>
        <v>3</v>
      </c>
      <c r="E292" s="10">
        <f t="shared" si="1856"/>
        <v>11</v>
      </c>
      <c r="F292" s="13"/>
      <c r="G292" s="69"/>
      <c r="H292" s="70">
        <f t="shared" ref="H292:L292" si="1857">H291</f>
        <v>25.6</v>
      </c>
      <c r="I292" s="37">
        <f t="shared" si="1857"/>
        <v>0</v>
      </c>
      <c r="J292" s="35">
        <f t="shared" si="1857"/>
        <v>16</v>
      </c>
      <c r="K292" s="122">
        <f t="shared" si="1857"/>
        <v>8.1690000000000005</v>
      </c>
      <c r="L292" s="122">
        <f t="shared" si="1857"/>
        <v>0.879</v>
      </c>
      <c r="M292" s="126"/>
      <c r="N292" s="126"/>
      <c r="O292" s="32">
        <f t="shared" ref="O292:P292" si="1858">O291</f>
        <v>100.65</v>
      </c>
      <c r="P292" s="33" t="str">
        <f t="shared" si="1858"/>
        <v>2,31,180</v>
      </c>
      <c r="Q292" s="11" t="str">
        <f t="shared" si="1739"/>
        <v>2</v>
      </c>
      <c r="R292" s="11" t="str">
        <f t="shared" si="1740"/>
        <v>31,180</v>
      </c>
      <c r="S292" s="11">
        <f t="shared" si="1741"/>
        <v>4.1994444444444445E-2</v>
      </c>
      <c r="T292" s="14">
        <f t="shared" si="1742"/>
        <v>2396.7456012700095</v>
      </c>
      <c r="U292" s="38">
        <f t="shared" si="1743"/>
        <v>-100</v>
      </c>
      <c r="V292" s="39">
        <f t="shared" ref="V292:W292" si="1859">V291</f>
        <v>19.8</v>
      </c>
      <c r="W292" s="124">
        <f t="shared" si="1859"/>
        <v>1.08</v>
      </c>
      <c r="X292" s="124">
        <f t="shared" si="1798"/>
        <v>1.075</v>
      </c>
      <c r="Y292" s="126"/>
      <c r="Z292" s="126"/>
      <c r="AA292" s="90">
        <f t="shared" ref="AA292:AB292" si="1860">AA291</f>
        <v>5.0149999999999997</v>
      </c>
      <c r="AB292" s="73" t="str">
        <f t="shared" si="1860"/>
        <v>9,05,040</v>
      </c>
      <c r="AC292" s="11" t="str">
        <f t="shared" si="1746"/>
        <v>9,</v>
      </c>
      <c r="AD292" s="11" t="str">
        <f t="shared" si="1747"/>
        <v>05,040</v>
      </c>
      <c r="AE292" s="11">
        <f t="shared" si="1748"/>
        <v>0.15139999999999998</v>
      </c>
      <c r="AF292" s="14">
        <f t="shared" si="1749"/>
        <v>33.124174372523122</v>
      </c>
      <c r="AG292" s="40">
        <f t="shared" si="1750"/>
        <v>-100</v>
      </c>
      <c r="AH292" s="39">
        <f t="shared" si="1806"/>
        <v>19.600000000000001</v>
      </c>
      <c r="AI292" s="124">
        <f t="shared" si="1806"/>
        <v>1.0860000000000001</v>
      </c>
      <c r="AJ292" s="124">
        <f t="shared" si="1806"/>
        <v>1.0780000000000001</v>
      </c>
      <c r="AK292" s="126">
        <f t="shared" si="1751"/>
        <v>0</v>
      </c>
      <c r="AL292" s="126"/>
      <c r="AM292" s="34">
        <f t="shared" ref="AM292:AN292" si="1861">AM291</f>
        <v>2.0059999999999998</v>
      </c>
      <c r="AN292" s="33" t="str">
        <f t="shared" si="1861"/>
        <v>5,40,620</v>
      </c>
      <c r="AO292" s="11" t="str">
        <f t="shared" si="1753"/>
        <v>5,</v>
      </c>
      <c r="AP292" s="11" t="str">
        <f t="shared" si="1754"/>
        <v>40,620</v>
      </c>
      <c r="AQ292" s="11">
        <f t="shared" si="1755"/>
        <v>9.4616666666666668E-2</v>
      </c>
      <c r="AR292" s="14">
        <f t="shared" si="1756"/>
        <v>21.201338735247486</v>
      </c>
      <c r="AS292" s="40">
        <f t="shared" si="1757"/>
        <v>-100</v>
      </c>
      <c r="AT292" s="41" t="str">
        <f t="shared" si="1758"/>
        <v>NO CONFORME</v>
      </c>
      <c r="AU292" s="8" t="b">
        <f t="shared" si="1680"/>
        <v>1</v>
      </c>
      <c r="AV292" s="8" t="b">
        <f t="shared" si="1681"/>
        <v>0</v>
      </c>
      <c r="AW292" s="8" t="b">
        <f t="shared" si="1682"/>
        <v>1</v>
      </c>
      <c r="AX292" s="8" t="str">
        <f t="shared" si="1683"/>
        <v>Qcorrecto</v>
      </c>
      <c r="AY292" s="22" t="str">
        <f t="shared" si="1663"/>
        <v>aceptable</v>
      </c>
      <c r="AZ292" s="22" t="str">
        <f t="shared" si="1664"/>
        <v>aceptable</v>
      </c>
      <c r="BA292" s="22" t="str">
        <f t="shared" si="1684"/>
        <v>aceptable</v>
      </c>
      <c r="BB292" s="25" t="str">
        <f t="shared" si="1685"/>
        <v>NO CONFORME</v>
      </c>
      <c r="BC292" s="5" t="str">
        <f t="shared" si="1686"/>
        <v>NO CONFORME</v>
      </c>
      <c r="BD292" s="15">
        <f t="shared" si="1665"/>
        <v>-1</v>
      </c>
      <c r="BE292" s="15">
        <f t="shared" si="1666"/>
        <v>-1</v>
      </c>
      <c r="BF292" s="15">
        <f t="shared" si="1667"/>
        <v>-1</v>
      </c>
      <c r="BG292" s="15" t="str">
        <f t="shared" si="1668"/>
        <v>-1-1-1</v>
      </c>
      <c r="BH292" s="15" t="str">
        <f t="shared" si="1669"/>
        <v>SD</v>
      </c>
      <c r="BI292" s="15" t="str">
        <f t="shared" si="1670"/>
        <v>SI</v>
      </c>
      <c r="BJ292" s="15" t="b">
        <f t="shared" si="1671"/>
        <v>1</v>
      </c>
      <c r="BK292" s="15" t="str">
        <f t="shared" si="1672"/>
        <v>SIGIGUALES</v>
      </c>
      <c r="BL292" s="22" t="str">
        <f t="shared" si="1673"/>
        <v>NO CONFORME</v>
      </c>
    </row>
    <row r="293" spans="1:64" ht="14.4" x14ac:dyDescent="0.3">
      <c r="A293" s="36">
        <v>285</v>
      </c>
      <c r="B293" s="28">
        <f t="shared" ref="B293:E293" si="1862">B292</f>
        <v>45903</v>
      </c>
      <c r="C293" s="28">
        <f t="shared" si="1862"/>
        <v>45903</v>
      </c>
      <c r="D293" s="12">
        <f t="shared" si="1862"/>
        <v>3</v>
      </c>
      <c r="E293" s="10">
        <f t="shared" si="1862"/>
        <v>11</v>
      </c>
      <c r="F293" s="13"/>
      <c r="G293" s="69"/>
      <c r="H293" s="70">
        <f t="shared" ref="H293:L293" si="1863">H292</f>
        <v>25.6</v>
      </c>
      <c r="I293" s="37">
        <f t="shared" si="1863"/>
        <v>0</v>
      </c>
      <c r="J293" s="35">
        <f t="shared" si="1863"/>
        <v>16</v>
      </c>
      <c r="K293" s="122">
        <f t="shared" si="1863"/>
        <v>8.1690000000000005</v>
      </c>
      <c r="L293" s="122">
        <f t="shared" si="1863"/>
        <v>0.879</v>
      </c>
      <c r="M293" s="126"/>
      <c r="N293" s="126"/>
      <c r="O293" s="32">
        <f t="shared" ref="O293:P293" si="1864">O292</f>
        <v>100.65</v>
      </c>
      <c r="P293" s="33" t="str">
        <f t="shared" si="1864"/>
        <v>2,31,180</v>
      </c>
      <c r="Q293" s="11" t="str">
        <f t="shared" si="1739"/>
        <v>2</v>
      </c>
      <c r="R293" s="11" t="str">
        <f t="shared" si="1740"/>
        <v>31,180</v>
      </c>
      <c r="S293" s="11">
        <f t="shared" si="1741"/>
        <v>4.1994444444444445E-2</v>
      </c>
      <c r="T293" s="14">
        <f t="shared" si="1742"/>
        <v>2396.7456012700095</v>
      </c>
      <c r="U293" s="38">
        <f t="shared" si="1743"/>
        <v>-100</v>
      </c>
      <c r="V293" s="39">
        <f t="shared" ref="V293:W293" si="1865">V292</f>
        <v>19.8</v>
      </c>
      <c r="W293" s="124">
        <f t="shared" si="1865"/>
        <v>1.08</v>
      </c>
      <c r="X293" s="124">
        <f t="shared" si="1798"/>
        <v>1.075</v>
      </c>
      <c r="Y293" s="126"/>
      <c r="Z293" s="126"/>
      <c r="AA293" s="90">
        <f t="shared" ref="AA293:AB293" si="1866">AA292</f>
        <v>5.0149999999999997</v>
      </c>
      <c r="AB293" s="73" t="str">
        <f t="shared" si="1866"/>
        <v>9,05,040</v>
      </c>
      <c r="AC293" s="11" t="str">
        <f t="shared" si="1746"/>
        <v>9,</v>
      </c>
      <c r="AD293" s="11" t="str">
        <f t="shared" si="1747"/>
        <v>05,040</v>
      </c>
      <c r="AE293" s="11">
        <f t="shared" si="1748"/>
        <v>0.15139999999999998</v>
      </c>
      <c r="AF293" s="14">
        <f t="shared" si="1749"/>
        <v>33.124174372523122</v>
      </c>
      <c r="AG293" s="40">
        <f t="shared" si="1750"/>
        <v>-100</v>
      </c>
      <c r="AH293" s="39">
        <f t="shared" si="1806"/>
        <v>19.600000000000001</v>
      </c>
      <c r="AI293" s="124">
        <f t="shared" si="1806"/>
        <v>1.0860000000000001</v>
      </c>
      <c r="AJ293" s="124">
        <f t="shared" si="1806"/>
        <v>1.0780000000000001</v>
      </c>
      <c r="AK293" s="126">
        <f t="shared" si="1751"/>
        <v>0</v>
      </c>
      <c r="AL293" s="126"/>
      <c r="AM293" s="34">
        <f t="shared" ref="AM293:AN293" si="1867">AM292</f>
        <v>2.0059999999999998</v>
      </c>
      <c r="AN293" s="33" t="str">
        <f t="shared" si="1867"/>
        <v>5,40,620</v>
      </c>
      <c r="AO293" s="11" t="str">
        <f t="shared" si="1753"/>
        <v>5,</v>
      </c>
      <c r="AP293" s="11" t="str">
        <f t="shared" si="1754"/>
        <v>40,620</v>
      </c>
      <c r="AQ293" s="11">
        <f t="shared" si="1755"/>
        <v>9.4616666666666668E-2</v>
      </c>
      <c r="AR293" s="14">
        <f t="shared" si="1756"/>
        <v>21.201338735247486</v>
      </c>
      <c r="AS293" s="40">
        <f t="shared" si="1757"/>
        <v>-100</v>
      </c>
      <c r="AT293" s="41" t="str">
        <f t="shared" si="1758"/>
        <v>NO CONFORME</v>
      </c>
      <c r="AU293" s="8" t="b">
        <f t="shared" si="1680"/>
        <v>1</v>
      </c>
      <c r="AV293" s="8" t="b">
        <f t="shared" si="1681"/>
        <v>0</v>
      </c>
      <c r="AW293" s="8" t="b">
        <f t="shared" si="1682"/>
        <v>1</v>
      </c>
      <c r="AX293" s="8" t="str">
        <f t="shared" si="1683"/>
        <v>Qcorrecto</v>
      </c>
      <c r="AY293" s="22" t="str">
        <f t="shared" si="1663"/>
        <v>aceptable</v>
      </c>
      <c r="AZ293" s="22" t="str">
        <f t="shared" si="1664"/>
        <v>aceptable</v>
      </c>
      <c r="BA293" s="22" t="str">
        <f t="shared" si="1684"/>
        <v>aceptable</v>
      </c>
      <c r="BB293" s="25" t="str">
        <f t="shared" si="1685"/>
        <v>NO CONFORME</v>
      </c>
      <c r="BC293" s="5" t="str">
        <f t="shared" si="1686"/>
        <v>NO CONFORME</v>
      </c>
      <c r="BD293" s="15">
        <f t="shared" si="1665"/>
        <v>-1</v>
      </c>
      <c r="BE293" s="15">
        <f t="shared" si="1666"/>
        <v>-1</v>
      </c>
      <c r="BF293" s="15">
        <f t="shared" si="1667"/>
        <v>-1</v>
      </c>
      <c r="BG293" s="15" t="str">
        <f t="shared" si="1668"/>
        <v>-1-1-1</v>
      </c>
      <c r="BH293" s="15" t="str">
        <f t="shared" si="1669"/>
        <v>SD</v>
      </c>
      <c r="BI293" s="15" t="str">
        <f t="shared" si="1670"/>
        <v>SI</v>
      </c>
      <c r="BJ293" s="15" t="b">
        <f t="shared" si="1671"/>
        <v>1</v>
      </c>
      <c r="BK293" s="15" t="str">
        <f t="shared" si="1672"/>
        <v>SIGIGUALES</v>
      </c>
      <c r="BL293" s="22" t="str">
        <f t="shared" si="1673"/>
        <v>NO CONFORME</v>
      </c>
    </row>
    <row r="294" spans="1:64" ht="14.4" x14ac:dyDescent="0.3">
      <c r="A294" s="36">
        <v>286</v>
      </c>
      <c r="B294" s="28">
        <f t="shared" ref="B294:E294" si="1868">B293</f>
        <v>45903</v>
      </c>
      <c r="C294" s="28">
        <f t="shared" si="1868"/>
        <v>45903</v>
      </c>
      <c r="D294" s="12">
        <f t="shared" si="1868"/>
        <v>3</v>
      </c>
      <c r="E294" s="10">
        <f t="shared" si="1868"/>
        <v>11</v>
      </c>
      <c r="F294" s="13"/>
      <c r="G294" s="69"/>
      <c r="H294" s="70">
        <f t="shared" ref="H294:L294" si="1869">H293</f>
        <v>25.6</v>
      </c>
      <c r="I294" s="37">
        <f t="shared" si="1869"/>
        <v>0</v>
      </c>
      <c r="J294" s="35">
        <f t="shared" si="1869"/>
        <v>16</v>
      </c>
      <c r="K294" s="122">
        <f t="shared" si="1869"/>
        <v>8.1690000000000005</v>
      </c>
      <c r="L294" s="122">
        <f t="shared" si="1869"/>
        <v>0.879</v>
      </c>
      <c r="M294" s="126"/>
      <c r="N294" s="126"/>
      <c r="O294" s="32">
        <f t="shared" ref="O294:P294" si="1870">O293</f>
        <v>100.65</v>
      </c>
      <c r="P294" s="33" t="str">
        <f t="shared" si="1870"/>
        <v>2,31,180</v>
      </c>
      <c r="Q294" s="11" t="str">
        <f t="shared" si="1739"/>
        <v>2</v>
      </c>
      <c r="R294" s="11" t="str">
        <f t="shared" si="1740"/>
        <v>31,180</v>
      </c>
      <c r="S294" s="11">
        <f t="shared" si="1741"/>
        <v>4.1994444444444445E-2</v>
      </c>
      <c r="T294" s="14">
        <f t="shared" si="1742"/>
        <v>2396.7456012700095</v>
      </c>
      <c r="U294" s="38">
        <f t="shared" si="1743"/>
        <v>-100</v>
      </c>
      <c r="V294" s="39">
        <f t="shared" ref="V294:W294" si="1871">V293</f>
        <v>19.8</v>
      </c>
      <c r="W294" s="124">
        <f t="shared" si="1871"/>
        <v>1.08</v>
      </c>
      <c r="X294" s="124">
        <f t="shared" si="1798"/>
        <v>1.075</v>
      </c>
      <c r="Y294" s="126"/>
      <c r="Z294" s="126"/>
      <c r="AA294" s="90">
        <f t="shared" ref="AA294:AB294" si="1872">AA293</f>
        <v>5.0149999999999997</v>
      </c>
      <c r="AB294" s="73" t="str">
        <f t="shared" si="1872"/>
        <v>9,05,040</v>
      </c>
      <c r="AC294" s="11" t="str">
        <f t="shared" si="1746"/>
        <v>9,</v>
      </c>
      <c r="AD294" s="11" t="str">
        <f t="shared" si="1747"/>
        <v>05,040</v>
      </c>
      <c r="AE294" s="11">
        <f t="shared" si="1748"/>
        <v>0.15139999999999998</v>
      </c>
      <c r="AF294" s="14">
        <f t="shared" si="1749"/>
        <v>33.124174372523122</v>
      </c>
      <c r="AG294" s="40">
        <f t="shared" si="1750"/>
        <v>-100</v>
      </c>
      <c r="AH294" s="39">
        <f t="shared" si="1806"/>
        <v>19.600000000000001</v>
      </c>
      <c r="AI294" s="124">
        <f t="shared" si="1806"/>
        <v>1.0860000000000001</v>
      </c>
      <c r="AJ294" s="124">
        <f t="shared" si="1806"/>
        <v>1.0780000000000001</v>
      </c>
      <c r="AK294" s="126">
        <f t="shared" si="1751"/>
        <v>0</v>
      </c>
      <c r="AL294" s="126"/>
      <c r="AM294" s="34">
        <f t="shared" ref="AM294:AN294" si="1873">AM293</f>
        <v>2.0059999999999998</v>
      </c>
      <c r="AN294" s="33" t="str">
        <f t="shared" si="1873"/>
        <v>5,40,620</v>
      </c>
      <c r="AO294" s="11" t="str">
        <f t="shared" si="1753"/>
        <v>5,</v>
      </c>
      <c r="AP294" s="11" t="str">
        <f t="shared" si="1754"/>
        <v>40,620</v>
      </c>
      <c r="AQ294" s="11">
        <f t="shared" si="1755"/>
        <v>9.4616666666666668E-2</v>
      </c>
      <c r="AR294" s="14">
        <f t="shared" si="1756"/>
        <v>21.201338735247486</v>
      </c>
      <c r="AS294" s="40">
        <f t="shared" si="1757"/>
        <v>-100</v>
      </c>
      <c r="AT294" s="41" t="str">
        <f t="shared" si="1758"/>
        <v>NO CONFORME</v>
      </c>
      <c r="AU294" s="8" t="b">
        <f t="shared" si="1680"/>
        <v>1</v>
      </c>
      <c r="AV294" s="8" t="b">
        <f t="shared" si="1681"/>
        <v>0</v>
      </c>
      <c r="AW294" s="8" t="b">
        <f t="shared" si="1682"/>
        <v>1</v>
      </c>
      <c r="AX294" s="8" t="str">
        <f t="shared" si="1683"/>
        <v>Qcorrecto</v>
      </c>
      <c r="AY294" s="22" t="str">
        <f t="shared" si="1663"/>
        <v>aceptable</v>
      </c>
      <c r="AZ294" s="22" t="str">
        <f t="shared" si="1664"/>
        <v>aceptable</v>
      </c>
      <c r="BA294" s="22" t="str">
        <f t="shared" si="1684"/>
        <v>aceptable</v>
      </c>
      <c r="BB294" s="25" t="str">
        <f t="shared" si="1685"/>
        <v>NO CONFORME</v>
      </c>
      <c r="BC294" s="5" t="str">
        <f t="shared" si="1686"/>
        <v>NO CONFORME</v>
      </c>
      <c r="BD294" s="15">
        <f t="shared" si="1665"/>
        <v>-1</v>
      </c>
      <c r="BE294" s="15">
        <f t="shared" si="1666"/>
        <v>-1</v>
      </c>
      <c r="BF294" s="15">
        <f t="shared" si="1667"/>
        <v>-1</v>
      </c>
      <c r="BG294" s="15" t="str">
        <f t="shared" si="1668"/>
        <v>-1-1-1</v>
      </c>
      <c r="BH294" s="15" t="str">
        <f t="shared" si="1669"/>
        <v>SD</v>
      </c>
      <c r="BI294" s="15" t="str">
        <f t="shared" si="1670"/>
        <v>SI</v>
      </c>
      <c r="BJ294" s="15" t="b">
        <f t="shared" si="1671"/>
        <v>1</v>
      </c>
      <c r="BK294" s="15" t="str">
        <f t="shared" si="1672"/>
        <v>SIGIGUALES</v>
      </c>
      <c r="BL294" s="22" t="str">
        <f t="shared" si="1673"/>
        <v>NO CONFORME</v>
      </c>
    </row>
    <row r="295" spans="1:64" ht="14.4" x14ac:dyDescent="0.3">
      <c r="A295" s="36">
        <v>287</v>
      </c>
      <c r="B295" s="28">
        <f t="shared" ref="B295:E295" si="1874">B294</f>
        <v>45903</v>
      </c>
      <c r="C295" s="28">
        <f t="shared" si="1874"/>
        <v>45903</v>
      </c>
      <c r="D295" s="12">
        <f t="shared" si="1874"/>
        <v>3</v>
      </c>
      <c r="E295" s="10">
        <f t="shared" si="1874"/>
        <v>11</v>
      </c>
      <c r="F295" s="13"/>
      <c r="G295" s="69"/>
      <c r="H295" s="70">
        <f t="shared" ref="H295:L295" si="1875">H294</f>
        <v>25.6</v>
      </c>
      <c r="I295" s="37">
        <f t="shared" si="1875"/>
        <v>0</v>
      </c>
      <c r="J295" s="35">
        <f t="shared" si="1875"/>
        <v>16</v>
      </c>
      <c r="K295" s="122">
        <f t="shared" si="1875"/>
        <v>8.1690000000000005</v>
      </c>
      <c r="L295" s="122">
        <f t="shared" si="1875"/>
        <v>0.879</v>
      </c>
      <c r="M295" s="126"/>
      <c r="N295" s="126"/>
      <c r="O295" s="32">
        <f t="shared" ref="O295:P295" si="1876">O294</f>
        <v>100.65</v>
      </c>
      <c r="P295" s="33" t="str">
        <f t="shared" si="1876"/>
        <v>2,31,180</v>
      </c>
      <c r="Q295" s="11" t="str">
        <f t="shared" si="1739"/>
        <v>2</v>
      </c>
      <c r="R295" s="11" t="str">
        <f t="shared" si="1740"/>
        <v>31,180</v>
      </c>
      <c r="S295" s="11">
        <f t="shared" si="1741"/>
        <v>4.1994444444444445E-2</v>
      </c>
      <c r="T295" s="14">
        <f t="shared" si="1742"/>
        <v>2396.7456012700095</v>
      </c>
      <c r="U295" s="38">
        <f t="shared" si="1743"/>
        <v>-100</v>
      </c>
      <c r="V295" s="39">
        <f t="shared" ref="V295:W295" si="1877">V294</f>
        <v>19.8</v>
      </c>
      <c r="W295" s="124">
        <f t="shared" si="1877"/>
        <v>1.08</v>
      </c>
      <c r="X295" s="124">
        <f t="shared" si="1798"/>
        <v>1.075</v>
      </c>
      <c r="Y295" s="126"/>
      <c r="Z295" s="126"/>
      <c r="AA295" s="90">
        <f t="shared" ref="AA295:AB295" si="1878">AA294</f>
        <v>5.0149999999999997</v>
      </c>
      <c r="AB295" s="73" t="str">
        <f t="shared" si="1878"/>
        <v>9,05,040</v>
      </c>
      <c r="AC295" s="11" t="str">
        <f t="shared" si="1746"/>
        <v>9,</v>
      </c>
      <c r="AD295" s="11" t="str">
        <f t="shared" si="1747"/>
        <v>05,040</v>
      </c>
      <c r="AE295" s="11">
        <f t="shared" si="1748"/>
        <v>0.15139999999999998</v>
      </c>
      <c r="AF295" s="14">
        <f t="shared" si="1749"/>
        <v>33.124174372523122</v>
      </c>
      <c r="AG295" s="40">
        <f t="shared" si="1750"/>
        <v>-100</v>
      </c>
      <c r="AH295" s="39">
        <f t="shared" si="1806"/>
        <v>19.600000000000001</v>
      </c>
      <c r="AI295" s="124">
        <f t="shared" si="1806"/>
        <v>1.0860000000000001</v>
      </c>
      <c r="AJ295" s="124">
        <f t="shared" si="1806"/>
        <v>1.0780000000000001</v>
      </c>
      <c r="AK295" s="126">
        <f t="shared" si="1751"/>
        <v>0</v>
      </c>
      <c r="AL295" s="126"/>
      <c r="AM295" s="34">
        <f t="shared" ref="AM295:AN295" si="1879">AM294</f>
        <v>2.0059999999999998</v>
      </c>
      <c r="AN295" s="33" t="str">
        <f t="shared" si="1879"/>
        <v>5,40,620</v>
      </c>
      <c r="AO295" s="11" t="str">
        <f t="shared" si="1753"/>
        <v>5,</v>
      </c>
      <c r="AP295" s="11" t="str">
        <f t="shared" si="1754"/>
        <v>40,620</v>
      </c>
      <c r="AQ295" s="11">
        <f t="shared" si="1755"/>
        <v>9.4616666666666668E-2</v>
      </c>
      <c r="AR295" s="14">
        <f t="shared" si="1756"/>
        <v>21.201338735247486</v>
      </c>
      <c r="AS295" s="40">
        <f t="shared" si="1757"/>
        <v>-100</v>
      </c>
      <c r="AT295" s="41" t="str">
        <f t="shared" si="1758"/>
        <v>NO CONFORME</v>
      </c>
      <c r="AU295" s="8" t="b">
        <f t="shared" si="1680"/>
        <v>1</v>
      </c>
      <c r="AV295" s="8" t="b">
        <f t="shared" si="1681"/>
        <v>0</v>
      </c>
      <c r="AW295" s="8" t="b">
        <f t="shared" si="1682"/>
        <v>1</v>
      </c>
      <c r="AX295" s="8" t="str">
        <f t="shared" si="1683"/>
        <v>Qcorrecto</v>
      </c>
      <c r="AY295" s="22" t="str">
        <f t="shared" si="1663"/>
        <v>aceptable</v>
      </c>
      <c r="AZ295" s="22" t="str">
        <f t="shared" si="1664"/>
        <v>aceptable</v>
      </c>
      <c r="BA295" s="22" t="str">
        <f t="shared" si="1684"/>
        <v>aceptable</v>
      </c>
      <c r="BB295" s="25" t="str">
        <f t="shared" si="1685"/>
        <v>NO CONFORME</v>
      </c>
      <c r="BC295" s="5" t="str">
        <f t="shared" si="1686"/>
        <v>NO CONFORME</v>
      </c>
      <c r="BD295" s="15">
        <f t="shared" si="1665"/>
        <v>-1</v>
      </c>
      <c r="BE295" s="15">
        <f t="shared" si="1666"/>
        <v>-1</v>
      </c>
      <c r="BF295" s="15">
        <f t="shared" si="1667"/>
        <v>-1</v>
      </c>
      <c r="BG295" s="15" t="str">
        <f t="shared" si="1668"/>
        <v>-1-1-1</v>
      </c>
      <c r="BH295" s="15" t="str">
        <f t="shared" si="1669"/>
        <v>SD</v>
      </c>
      <c r="BI295" s="15" t="str">
        <f t="shared" si="1670"/>
        <v>SI</v>
      </c>
      <c r="BJ295" s="15" t="b">
        <f t="shared" si="1671"/>
        <v>1</v>
      </c>
      <c r="BK295" s="15" t="str">
        <f t="shared" si="1672"/>
        <v>SIGIGUALES</v>
      </c>
      <c r="BL295" s="22" t="str">
        <f t="shared" si="1673"/>
        <v>NO CONFORME</v>
      </c>
    </row>
    <row r="296" spans="1:64" ht="14.4" x14ac:dyDescent="0.3">
      <c r="A296" s="36">
        <v>288</v>
      </c>
      <c r="B296" s="28">
        <f t="shared" ref="B296:E296" si="1880">B295</f>
        <v>45903</v>
      </c>
      <c r="C296" s="28">
        <f t="shared" si="1880"/>
        <v>45903</v>
      </c>
      <c r="D296" s="12">
        <f t="shared" si="1880"/>
        <v>3</v>
      </c>
      <c r="E296" s="10">
        <f t="shared" si="1880"/>
        <v>11</v>
      </c>
      <c r="F296" s="13"/>
      <c r="G296" s="69"/>
      <c r="H296" s="70">
        <f t="shared" ref="H296:L296" si="1881">H295</f>
        <v>25.6</v>
      </c>
      <c r="I296" s="37">
        <f t="shared" si="1881"/>
        <v>0</v>
      </c>
      <c r="J296" s="35">
        <f t="shared" si="1881"/>
        <v>16</v>
      </c>
      <c r="K296" s="122">
        <f t="shared" si="1881"/>
        <v>8.1690000000000005</v>
      </c>
      <c r="L296" s="122">
        <f t="shared" si="1881"/>
        <v>0.879</v>
      </c>
      <c r="M296" s="126"/>
      <c r="N296" s="126"/>
      <c r="O296" s="32">
        <f t="shared" ref="O296:P296" si="1882">O295</f>
        <v>100.65</v>
      </c>
      <c r="P296" s="33" t="str">
        <f t="shared" si="1882"/>
        <v>2,31,180</v>
      </c>
      <c r="Q296" s="11" t="str">
        <f t="shared" si="1739"/>
        <v>2</v>
      </c>
      <c r="R296" s="11" t="str">
        <f t="shared" si="1740"/>
        <v>31,180</v>
      </c>
      <c r="S296" s="11">
        <f t="shared" si="1741"/>
        <v>4.1994444444444445E-2</v>
      </c>
      <c r="T296" s="14">
        <f t="shared" si="1742"/>
        <v>2396.7456012700095</v>
      </c>
      <c r="U296" s="38">
        <f t="shared" si="1743"/>
        <v>-100</v>
      </c>
      <c r="V296" s="39">
        <f t="shared" ref="V296:W296" si="1883">V295</f>
        <v>19.8</v>
      </c>
      <c r="W296" s="124">
        <f t="shared" si="1883"/>
        <v>1.08</v>
      </c>
      <c r="X296" s="124">
        <f t="shared" si="1798"/>
        <v>1.075</v>
      </c>
      <c r="Y296" s="126"/>
      <c r="Z296" s="126"/>
      <c r="AA296" s="90">
        <f t="shared" ref="AA296:AB296" si="1884">AA295</f>
        <v>5.0149999999999997</v>
      </c>
      <c r="AB296" s="73" t="str">
        <f t="shared" si="1884"/>
        <v>9,05,040</v>
      </c>
      <c r="AC296" s="11" t="str">
        <f t="shared" si="1746"/>
        <v>9,</v>
      </c>
      <c r="AD296" s="11" t="str">
        <f t="shared" si="1747"/>
        <v>05,040</v>
      </c>
      <c r="AE296" s="11">
        <f t="shared" si="1748"/>
        <v>0.15139999999999998</v>
      </c>
      <c r="AF296" s="14">
        <f t="shared" si="1749"/>
        <v>33.124174372523122</v>
      </c>
      <c r="AG296" s="40">
        <f t="shared" si="1750"/>
        <v>-100</v>
      </c>
      <c r="AH296" s="39">
        <f t="shared" si="1806"/>
        <v>19.600000000000001</v>
      </c>
      <c r="AI296" s="124">
        <f t="shared" si="1806"/>
        <v>1.0860000000000001</v>
      </c>
      <c r="AJ296" s="124">
        <f t="shared" si="1806"/>
        <v>1.0780000000000001</v>
      </c>
      <c r="AK296" s="126">
        <f t="shared" si="1751"/>
        <v>0</v>
      </c>
      <c r="AL296" s="126"/>
      <c r="AM296" s="34">
        <f t="shared" ref="AM296:AN296" si="1885">AM295</f>
        <v>2.0059999999999998</v>
      </c>
      <c r="AN296" s="33" t="str">
        <f t="shared" si="1885"/>
        <v>5,40,620</v>
      </c>
      <c r="AO296" s="11" t="str">
        <f t="shared" si="1753"/>
        <v>5,</v>
      </c>
      <c r="AP296" s="11" t="str">
        <f t="shared" si="1754"/>
        <v>40,620</v>
      </c>
      <c r="AQ296" s="11">
        <f t="shared" si="1755"/>
        <v>9.4616666666666668E-2</v>
      </c>
      <c r="AR296" s="14">
        <f t="shared" si="1756"/>
        <v>21.201338735247486</v>
      </c>
      <c r="AS296" s="40">
        <f t="shared" si="1757"/>
        <v>-100</v>
      </c>
      <c r="AT296" s="41" t="str">
        <f t="shared" si="1758"/>
        <v>NO CONFORME</v>
      </c>
      <c r="AU296" s="8" t="b">
        <f t="shared" si="1680"/>
        <v>1</v>
      </c>
      <c r="AV296" s="8" t="b">
        <f t="shared" si="1681"/>
        <v>0</v>
      </c>
      <c r="AW296" s="8" t="b">
        <f t="shared" si="1682"/>
        <v>1</v>
      </c>
      <c r="AX296" s="8" t="str">
        <f t="shared" si="1683"/>
        <v>Qcorrecto</v>
      </c>
      <c r="AY296" s="22" t="str">
        <f t="shared" si="1663"/>
        <v>aceptable</v>
      </c>
      <c r="AZ296" s="22" t="str">
        <f t="shared" si="1664"/>
        <v>aceptable</v>
      </c>
      <c r="BA296" s="22" t="str">
        <f t="shared" si="1684"/>
        <v>aceptable</v>
      </c>
      <c r="BB296" s="25" t="str">
        <f t="shared" si="1685"/>
        <v>NO CONFORME</v>
      </c>
      <c r="BC296" s="5" t="str">
        <f t="shared" si="1686"/>
        <v>NO CONFORME</v>
      </c>
      <c r="BD296" s="15">
        <f t="shared" si="1665"/>
        <v>-1</v>
      </c>
      <c r="BE296" s="15">
        <f t="shared" si="1666"/>
        <v>-1</v>
      </c>
      <c r="BF296" s="15">
        <f t="shared" si="1667"/>
        <v>-1</v>
      </c>
      <c r="BG296" s="15" t="str">
        <f t="shared" si="1668"/>
        <v>-1-1-1</v>
      </c>
      <c r="BH296" s="15" t="str">
        <f t="shared" si="1669"/>
        <v>SD</v>
      </c>
      <c r="BI296" s="15" t="str">
        <f t="shared" si="1670"/>
        <v>SI</v>
      </c>
      <c r="BJ296" s="15" t="b">
        <f t="shared" si="1671"/>
        <v>1</v>
      </c>
      <c r="BK296" s="15" t="str">
        <f t="shared" si="1672"/>
        <v>SIGIGUALES</v>
      </c>
      <c r="BL296" s="22" t="str">
        <f t="shared" si="1673"/>
        <v>NO CONFORME</v>
      </c>
    </row>
    <row r="297" spans="1:64" ht="14.4" x14ac:dyDescent="0.3">
      <c r="A297" s="36">
        <v>289</v>
      </c>
      <c r="B297" s="28">
        <f t="shared" ref="B297:E297" si="1886">B296</f>
        <v>45903</v>
      </c>
      <c r="C297" s="28">
        <f t="shared" si="1886"/>
        <v>45903</v>
      </c>
      <c r="D297" s="12">
        <f t="shared" si="1886"/>
        <v>3</v>
      </c>
      <c r="E297" s="10">
        <f t="shared" si="1886"/>
        <v>11</v>
      </c>
      <c r="F297" s="13"/>
      <c r="G297" s="69"/>
      <c r="H297" s="70">
        <f t="shared" ref="H297:L297" si="1887">H296</f>
        <v>25.6</v>
      </c>
      <c r="I297" s="37">
        <f t="shared" si="1887"/>
        <v>0</v>
      </c>
      <c r="J297" s="35">
        <f t="shared" si="1887"/>
        <v>16</v>
      </c>
      <c r="K297" s="122">
        <f t="shared" si="1887"/>
        <v>8.1690000000000005</v>
      </c>
      <c r="L297" s="122">
        <f t="shared" si="1887"/>
        <v>0.879</v>
      </c>
      <c r="M297" s="126"/>
      <c r="N297" s="126"/>
      <c r="O297" s="32">
        <f t="shared" ref="O297:P297" si="1888">O296</f>
        <v>100.65</v>
      </c>
      <c r="P297" s="33" t="str">
        <f t="shared" si="1888"/>
        <v>2,31,180</v>
      </c>
      <c r="Q297" s="11" t="str">
        <f t="shared" si="1739"/>
        <v>2</v>
      </c>
      <c r="R297" s="11" t="str">
        <f t="shared" si="1740"/>
        <v>31,180</v>
      </c>
      <c r="S297" s="11">
        <f t="shared" si="1741"/>
        <v>4.1994444444444445E-2</v>
      </c>
      <c r="T297" s="14">
        <f t="shared" si="1742"/>
        <v>2396.7456012700095</v>
      </c>
      <c r="U297" s="38">
        <f t="shared" si="1743"/>
        <v>-100</v>
      </c>
      <c r="V297" s="39">
        <f t="shared" ref="V297:W297" si="1889">V296</f>
        <v>19.8</v>
      </c>
      <c r="W297" s="124">
        <f t="shared" si="1889"/>
        <v>1.08</v>
      </c>
      <c r="X297" s="124">
        <f t="shared" si="1798"/>
        <v>1.075</v>
      </c>
      <c r="Y297" s="126"/>
      <c r="Z297" s="126"/>
      <c r="AA297" s="90">
        <f t="shared" ref="AA297:AB297" si="1890">AA296</f>
        <v>5.0149999999999997</v>
      </c>
      <c r="AB297" s="73" t="str">
        <f t="shared" si="1890"/>
        <v>9,05,040</v>
      </c>
      <c r="AC297" s="11" t="str">
        <f t="shared" si="1746"/>
        <v>9,</v>
      </c>
      <c r="AD297" s="11" t="str">
        <f t="shared" si="1747"/>
        <v>05,040</v>
      </c>
      <c r="AE297" s="11">
        <f t="shared" si="1748"/>
        <v>0.15139999999999998</v>
      </c>
      <c r="AF297" s="14">
        <f t="shared" si="1749"/>
        <v>33.124174372523122</v>
      </c>
      <c r="AG297" s="40">
        <f t="shared" si="1750"/>
        <v>-100</v>
      </c>
      <c r="AH297" s="39">
        <f t="shared" si="1806"/>
        <v>19.600000000000001</v>
      </c>
      <c r="AI297" s="124">
        <f t="shared" si="1806"/>
        <v>1.0860000000000001</v>
      </c>
      <c r="AJ297" s="124">
        <f t="shared" si="1806"/>
        <v>1.0780000000000001</v>
      </c>
      <c r="AK297" s="126">
        <f t="shared" si="1751"/>
        <v>0</v>
      </c>
      <c r="AL297" s="126"/>
      <c r="AM297" s="34">
        <f t="shared" ref="AM297:AN297" si="1891">AM296</f>
        <v>2.0059999999999998</v>
      </c>
      <c r="AN297" s="33" t="str">
        <f t="shared" si="1891"/>
        <v>5,40,620</v>
      </c>
      <c r="AO297" s="11" t="str">
        <f t="shared" si="1753"/>
        <v>5,</v>
      </c>
      <c r="AP297" s="11" t="str">
        <f t="shared" si="1754"/>
        <v>40,620</v>
      </c>
      <c r="AQ297" s="11">
        <f t="shared" si="1755"/>
        <v>9.4616666666666668E-2</v>
      </c>
      <c r="AR297" s="14">
        <f t="shared" si="1756"/>
        <v>21.201338735247486</v>
      </c>
      <c r="AS297" s="40">
        <f t="shared" si="1757"/>
        <v>-100</v>
      </c>
      <c r="AT297" s="41" t="str">
        <f t="shared" si="1758"/>
        <v>NO CONFORME</v>
      </c>
      <c r="AU297" s="8" t="b">
        <f t="shared" si="1680"/>
        <v>1</v>
      </c>
      <c r="AV297" s="8" t="b">
        <f t="shared" si="1681"/>
        <v>0</v>
      </c>
      <c r="AW297" s="8" t="b">
        <f t="shared" si="1682"/>
        <v>1</v>
      </c>
      <c r="AX297" s="8" t="str">
        <f t="shared" si="1683"/>
        <v>Qcorrecto</v>
      </c>
      <c r="AY297" s="22" t="str">
        <f t="shared" si="1663"/>
        <v>aceptable</v>
      </c>
      <c r="AZ297" s="22" t="str">
        <f t="shared" si="1664"/>
        <v>aceptable</v>
      </c>
      <c r="BA297" s="22" t="str">
        <f t="shared" si="1684"/>
        <v>aceptable</v>
      </c>
      <c r="BB297" s="25" t="str">
        <f t="shared" si="1685"/>
        <v>NO CONFORME</v>
      </c>
      <c r="BC297" s="5" t="str">
        <f t="shared" si="1686"/>
        <v>NO CONFORME</v>
      </c>
      <c r="BD297" s="15">
        <f t="shared" si="1665"/>
        <v>-1</v>
      </c>
      <c r="BE297" s="15">
        <f t="shared" si="1666"/>
        <v>-1</v>
      </c>
      <c r="BF297" s="15">
        <f t="shared" si="1667"/>
        <v>-1</v>
      </c>
      <c r="BG297" s="15" t="str">
        <f t="shared" si="1668"/>
        <v>-1-1-1</v>
      </c>
      <c r="BH297" s="15" t="str">
        <f t="shared" si="1669"/>
        <v>SD</v>
      </c>
      <c r="BI297" s="15" t="str">
        <f t="shared" si="1670"/>
        <v>SI</v>
      </c>
      <c r="BJ297" s="15" t="b">
        <f t="shared" si="1671"/>
        <v>1</v>
      </c>
      <c r="BK297" s="15" t="str">
        <f t="shared" si="1672"/>
        <v>SIGIGUALES</v>
      </c>
      <c r="BL297" s="22" t="str">
        <f t="shared" si="1673"/>
        <v>NO CONFORME</v>
      </c>
    </row>
    <row r="298" spans="1:64" ht="14.4" x14ac:dyDescent="0.3">
      <c r="A298" s="36">
        <v>290</v>
      </c>
      <c r="B298" s="28">
        <f t="shared" ref="B298:E298" si="1892">B297</f>
        <v>45903</v>
      </c>
      <c r="C298" s="28">
        <f t="shared" si="1892"/>
        <v>45903</v>
      </c>
      <c r="D298" s="12">
        <f t="shared" si="1892"/>
        <v>3</v>
      </c>
      <c r="E298" s="10">
        <f t="shared" si="1892"/>
        <v>11</v>
      </c>
      <c r="F298" s="13"/>
      <c r="G298" s="69"/>
      <c r="H298" s="70">
        <f t="shared" ref="H298:L298" si="1893">H297</f>
        <v>25.6</v>
      </c>
      <c r="I298" s="37">
        <f t="shared" si="1893"/>
        <v>0</v>
      </c>
      <c r="J298" s="35">
        <f t="shared" si="1893"/>
        <v>16</v>
      </c>
      <c r="K298" s="122">
        <f t="shared" si="1893"/>
        <v>8.1690000000000005</v>
      </c>
      <c r="L298" s="122">
        <f t="shared" si="1893"/>
        <v>0.879</v>
      </c>
      <c r="M298" s="126"/>
      <c r="N298" s="126"/>
      <c r="O298" s="32">
        <f t="shared" ref="O298:P298" si="1894">O297</f>
        <v>100.65</v>
      </c>
      <c r="P298" s="33" t="str">
        <f t="shared" si="1894"/>
        <v>2,31,180</v>
      </c>
      <c r="Q298" s="11" t="str">
        <f t="shared" si="1739"/>
        <v>2</v>
      </c>
      <c r="R298" s="11" t="str">
        <f t="shared" si="1740"/>
        <v>31,180</v>
      </c>
      <c r="S298" s="11">
        <f t="shared" si="1741"/>
        <v>4.1994444444444445E-2</v>
      </c>
      <c r="T298" s="14">
        <f t="shared" si="1742"/>
        <v>2396.7456012700095</v>
      </c>
      <c r="U298" s="38">
        <f t="shared" si="1743"/>
        <v>-100</v>
      </c>
      <c r="V298" s="39">
        <f t="shared" ref="V298:X308" si="1895">V297</f>
        <v>19.8</v>
      </c>
      <c r="W298" s="124">
        <f t="shared" si="1895"/>
        <v>1.08</v>
      </c>
      <c r="X298" s="124">
        <f t="shared" si="1895"/>
        <v>1.075</v>
      </c>
      <c r="Y298" s="126"/>
      <c r="Z298" s="126"/>
      <c r="AA298" s="90">
        <f t="shared" ref="AA298:AB298" si="1896">AA297</f>
        <v>5.0149999999999997</v>
      </c>
      <c r="AB298" s="73" t="str">
        <f t="shared" si="1896"/>
        <v>9,05,040</v>
      </c>
      <c r="AC298" s="11" t="str">
        <f t="shared" si="1746"/>
        <v>9,</v>
      </c>
      <c r="AD298" s="11" t="str">
        <f t="shared" si="1747"/>
        <v>05,040</v>
      </c>
      <c r="AE298" s="11">
        <f t="shared" si="1748"/>
        <v>0.15139999999999998</v>
      </c>
      <c r="AF298" s="14">
        <f t="shared" si="1749"/>
        <v>33.124174372523122</v>
      </c>
      <c r="AG298" s="40">
        <f t="shared" si="1750"/>
        <v>-100</v>
      </c>
      <c r="AH298" s="39">
        <f t="shared" si="1806"/>
        <v>19.600000000000001</v>
      </c>
      <c r="AI298" s="124">
        <f t="shared" si="1806"/>
        <v>1.0860000000000001</v>
      </c>
      <c r="AJ298" s="124">
        <f t="shared" si="1806"/>
        <v>1.0780000000000001</v>
      </c>
      <c r="AK298" s="126">
        <f t="shared" si="1751"/>
        <v>0</v>
      </c>
      <c r="AL298" s="126"/>
      <c r="AM298" s="34">
        <f t="shared" ref="AM298:AN298" si="1897">AM297</f>
        <v>2.0059999999999998</v>
      </c>
      <c r="AN298" s="33" t="str">
        <f t="shared" si="1897"/>
        <v>5,40,620</v>
      </c>
      <c r="AO298" s="11" t="str">
        <f t="shared" si="1753"/>
        <v>5,</v>
      </c>
      <c r="AP298" s="11" t="str">
        <f t="shared" si="1754"/>
        <v>40,620</v>
      </c>
      <c r="AQ298" s="11">
        <f t="shared" si="1755"/>
        <v>9.4616666666666668E-2</v>
      </c>
      <c r="AR298" s="14">
        <f t="shared" si="1756"/>
        <v>21.201338735247486</v>
      </c>
      <c r="AS298" s="40">
        <f t="shared" si="1757"/>
        <v>-100</v>
      </c>
      <c r="AT298" s="41" t="str">
        <f t="shared" si="1758"/>
        <v>NO CONFORME</v>
      </c>
      <c r="AU298" s="8" t="b">
        <f t="shared" si="1680"/>
        <v>1</v>
      </c>
      <c r="AV298" s="8" t="b">
        <f t="shared" si="1681"/>
        <v>0</v>
      </c>
      <c r="AW298" s="8" t="b">
        <f t="shared" si="1682"/>
        <v>1</v>
      </c>
      <c r="AX298" s="8" t="str">
        <f t="shared" si="1683"/>
        <v>Qcorrecto</v>
      </c>
      <c r="AY298" s="22" t="str">
        <f t="shared" si="1663"/>
        <v>aceptable</v>
      </c>
      <c r="AZ298" s="22" t="str">
        <f t="shared" si="1664"/>
        <v>aceptable</v>
      </c>
      <c r="BA298" s="22" t="str">
        <f t="shared" si="1684"/>
        <v>aceptable</v>
      </c>
      <c r="BB298" s="25" t="str">
        <f t="shared" si="1685"/>
        <v>NO CONFORME</v>
      </c>
      <c r="BC298" s="5" t="str">
        <f t="shared" si="1686"/>
        <v>NO CONFORME</v>
      </c>
      <c r="BD298" s="15">
        <f t="shared" si="1665"/>
        <v>-1</v>
      </c>
      <c r="BE298" s="15">
        <f t="shared" si="1666"/>
        <v>-1</v>
      </c>
      <c r="BF298" s="15">
        <f t="shared" si="1667"/>
        <v>-1</v>
      </c>
      <c r="BG298" s="15" t="str">
        <f t="shared" si="1668"/>
        <v>-1-1-1</v>
      </c>
      <c r="BH298" s="15" t="str">
        <f t="shared" si="1669"/>
        <v>SD</v>
      </c>
      <c r="BI298" s="15" t="str">
        <f t="shared" si="1670"/>
        <v>SI</v>
      </c>
      <c r="BJ298" s="15" t="b">
        <f t="shared" si="1671"/>
        <v>1</v>
      </c>
      <c r="BK298" s="15" t="str">
        <f t="shared" si="1672"/>
        <v>SIGIGUALES</v>
      </c>
      <c r="BL298" s="22" t="str">
        <f t="shared" si="1673"/>
        <v>NO CONFORME</v>
      </c>
    </row>
    <row r="299" spans="1:64" ht="14.4" x14ac:dyDescent="0.3">
      <c r="A299" s="36">
        <v>291</v>
      </c>
      <c r="B299" s="28">
        <f t="shared" ref="B299:E299" si="1898">B298</f>
        <v>45903</v>
      </c>
      <c r="C299" s="28">
        <f t="shared" si="1898"/>
        <v>45903</v>
      </c>
      <c r="D299" s="12">
        <f t="shared" si="1898"/>
        <v>3</v>
      </c>
      <c r="E299" s="10">
        <f t="shared" si="1898"/>
        <v>11</v>
      </c>
      <c r="F299" s="13"/>
      <c r="G299" s="69"/>
      <c r="H299" s="70">
        <f t="shared" ref="H299:L299" si="1899">H298</f>
        <v>25.6</v>
      </c>
      <c r="I299" s="37">
        <f t="shared" si="1899"/>
        <v>0</v>
      </c>
      <c r="J299" s="35">
        <f t="shared" si="1899"/>
        <v>16</v>
      </c>
      <c r="K299" s="122">
        <f t="shared" si="1899"/>
        <v>8.1690000000000005</v>
      </c>
      <c r="L299" s="122">
        <f t="shared" si="1899"/>
        <v>0.879</v>
      </c>
      <c r="M299" s="126"/>
      <c r="N299" s="126"/>
      <c r="O299" s="32">
        <f t="shared" ref="O299:P299" si="1900">O298</f>
        <v>100.65</v>
      </c>
      <c r="P299" s="33" t="str">
        <f t="shared" si="1900"/>
        <v>2,31,180</v>
      </c>
      <c r="Q299" s="11" t="str">
        <f t="shared" si="1739"/>
        <v>2</v>
      </c>
      <c r="R299" s="11" t="str">
        <f t="shared" si="1740"/>
        <v>31,180</v>
      </c>
      <c r="S299" s="11">
        <f t="shared" si="1741"/>
        <v>4.1994444444444445E-2</v>
      </c>
      <c r="T299" s="14">
        <f t="shared" si="1742"/>
        <v>2396.7456012700095</v>
      </c>
      <c r="U299" s="38">
        <f t="shared" si="1743"/>
        <v>-100</v>
      </c>
      <c r="V299" s="39">
        <f t="shared" ref="V299:W299" si="1901">V298</f>
        <v>19.8</v>
      </c>
      <c r="W299" s="124">
        <f t="shared" si="1901"/>
        <v>1.08</v>
      </c>
      <c r="X299" s="124">
        <f t="shared" si="1895"/>
        <v>1.075</v>
      </c>
      <c r="Y299" s="126"/>
      <c r="Z299" s="126"/>
      <c r="AA299" s="90">
        <f t="shared" ref="AA299:AB299" si="1902">AA298</f>
        <v>5.0149999999999997</v>
      </c>
      <c r="AB299" s="73" t="str">
        <f t="shared" si="1902"/>
        <v>9,05,040</v>
      </c>
      <c r="AC299" s="11" t="str">
        <f t="shared" si="1746"/>
        <v>9,</v>
      </c>
      <c r="AD299" s="11" t="str">
        <f t="shared" si="1747"/>
        <v>05,040</v>
      </c>
      <c r="AE299" s="11">
        <f t="shared" si="1748"/>
        <v>0.15139999999999998</v>
      </c>
      <c r="AF299" s="14">
        <f t="shared" si="1749"/>
        <v>33.124174372523122</v>
      </c>
      <c r="AG299" s="40">
        <f t="shared" si="1750"/>
        <v>-100</v>
      </c>
      <c r="AH299" s="39">
        <f t="shared" ref="AH299:AJ308" si="1903">AH298</f>
        <v>19.600000000000001</v>
      </c>
      <c r="AI299" s="124">
        <f t="shared" si="1903"/>
        <v>1.0860000000000001</v>
      </c>
      <c r="AJ299" s="124">
        <f t="shared" si="1903"/>
        <v>1.0780000000000001</v>
      </c>
      <c r="AK299" s="126">
        <f t="shared" si="1751"/>
        <v>0</v>
      </c>
      <c r="AL299" s="126"/>
      <c r="AM299" s="34">
        <f t="shared" ref="AM299:AN299" si="1904">AM298</f>
        <v>2.0059999999999998</v>
      </c>
      <c r="AN299" s="33" t="str">
        <f t="shared" si="1904"/>
        <v>5,40,620</v>
      </c>
      <c r="AO299" s="11" t="str">
        <f t="shared" si="1753"/>
        <v>5,</v>
      </c>
      <c r="AP299" s="11" t="str">
        <f t="shared" si="1754"/>
        <v>40,620</v>
      </c>
      <c r="AQ299" s="11">
        <f t="shared" si="1755"/>
        <v>9.4616666666666668E-2</v>
      </c>
      <c r="AR299" s="14">
        <f t="shared" si="1756"/>
        <v>21.201338735247486</v>
      </c>
      <c r="AS299" s="40">
        <f t="shared" si="1757"/>
        <v>-100</v>
      </c>
      <c r="AT299" s="41" t="str">
        <f t="shared" si="1758"/>
        <v>NO CONFORME</v>
      </c>
      <c r="AU299" s="8" t="b">
        <f t="shared" si="1680"/>
        <v>1</v>
      </c>
      <c r="AV299" s="8" t="b">
        <f t="shared" si="1681"/>
        <v>0</v>
      </c>
      <c r="AW299" s="8" t="b">
        <f t="shared" si="1682"/>
        <v>1</v>
      </c>
      <c r="AX299" s="8" t="str">
        <f t="shared" si="1683"/>
        <v>Qcorrecto</v>
      </c>
      <c r="AY299" s="22" t="str">
        <f t="shared" si="1663"/>
        <v>aceptable</v>
      </c>
      <c r="AZ299" s="22" t="str">
        <f t="shared" si="1664"/>
        <v>aceptable</v>
      </c>
      <c r="BA299" s="22" t="str">
        <f t="shared" si="1684"/>
        <v>aceptable</v>
      </c>
      <c r="BB299" s="25" t="str">
        <f t="shared" si="1685"/>
        <v>NO CONFORME</v>
      </c>
      <c r="BC299" s="5" t="str">
        <f t="shared" si="1686"/>
        <v>NO CONFORME</v>
      </c>
      <c r="BD299" s="15">
        <f t="shared" si="1665"/>
        <v>-1</v>
      </c>
      <c r="BE299" s="15">
        <f t="shared" si="1666"/>
        <v>-1</v>
      </c>
      <c r="BF299" s="15">
        <f t="shared" si="1667"/>
        <v>-1</v>
      </c>
      <c r="BG299" s="15" t="str">
        <f t="shared" si="1668"/>
        <v>-1-1-1</v>
      </c>
      <c r="BH299" s="15" t="str">
        <f t="shared" si="1669"/>
        <v>SD</v>
      </c>
      <c r="BI299" s="15" t="str">
        <f t="shared" si="1670"/>
        <v>SI</v>
      </c>
      <c r="BJ299" s="15" t="b">
        <f t="shared" si="1671"/>
        <v>1</v>
      </c>
      <c r="BK299" s="15" t="str">
        <f t="shared" si="1672"/>
        <v>SIGIGUALES</v>
      </c>
      <c r="BL299" s="22" t="str">
        <f t="shared" si="1673"/>
        <v>NO CONFORME</v>
      </c>
    </row>
    <row r="300" spans="1:64" ht="14.4" x14ac:dyDescent="0.3">
      <c r="A300" s="36">
        <v>292</v>
      </c>
      <c r="B300" s="28">
        <f t="shared" ref="B300:E300" si="1905">B299</f>
        <v>45903</v>
      </c>
      <c r="C300" s="28">
        <f t="shared" si="1905"/>
        <v>45903</v>
      </c>
      <c r="D300" s="12">
        <f t="shared" si="1905"/>
        <v>3</v>
      </c>
      <c r="E300" s="10">
        <f t="shared" si="1905"/>
        <v>11</v>
      </c>
      <c r="F300" s="13"/>
      <c r="G300" s="69"/>
      <c r="H300" s="70">
        <f t="shared" ref="H300:L300" si="1906">H299</f>
        <v>25.6</v>
      </c>
      <c r="I300" s="37">
        <f t="shared" si="1906"/>
        <v>0</v>
      </c>
      <c r="J300" s="35">
        <f t="shared" si="1906"/>
        <v>16</v>
      </c>
      <c r="K300" s="122">
        <f t="shared" si="1906"/>
        <v>8.1690000000000005</v>
      </c>
      <c r="L300" s="122">
        <f t="shared" si="1906"/>
        <v>0.879</v>
      </c>
      <c r="M300" s="126"/>
      <c r="N300" s="126"/>
      <c r="O300" s="32">
        <f t="shared" ref="O300:P300" si="1907">O299</f>
        <v>100.65</v>
      </c>
      <c r="P300" s="33" t="str">
        <f t="shared" si="1907"/>
        <v>2,31,180</v>
      </c>
      <c r="Q300" s="11" t="str">
        <f t="shared" si="1739"/>
        <v>2</v>
      </c>
      <c r="R300" s="11" t="str">
        <f t="shared" si="1740"/>
        <v>31,180</v>
      </c>
      <c r="S300" s="11">
        <f t="shared" si="1741"/>
        <v>4.1994444444444445E-2</v>
      </c>
      <c r="T300" s="14">
        <f t="shared" si="1742"/>
        <v>2396.7456012700095</v>
      </c>
      <c r="U300" s="38">
        <f t="shared" si="1743"/>
        <v>-100</v>
      </c>
      <c r="V300" s="39">
        <f t="shared" ref="V300:W300" si="1908">V299</f>
        <v>19.8</v>
      </c>
      <c r="W300" s="124">
        <f t="shared" si="1908"/>
        <v>1.08</v>
      </c>
      <c r="X300" s="124">
        <f t="shared" si="1895"/>
        <v>1.075</v>
      </c>
      <c r="Y300" s="126"/>
      <c r="Z300" s="126"/>
      <c r="AA300" s="90">
        <f t="shared" ref="AA300:AB300" si="1909">AA299</f>
        <v>5.0149999999999997</v>
      </c>
      <c r="AB300" s="73" t="str">
        <f t="shared" si="1909"/>
        <v>9,05,040</v>
      </c>
      <c r="AC300" s="11" t="str">
        <f t="shared" si="1746"/>
        <v>9,</v>
      </c>
      <c r="AD300" s="11" t="str">
        <f t="shared" si="1747"/>
        <v>05,040</v>
      </c>
      <c r="AE300" s="11">
        <f t="shared" si="1748"/>
        <v>0.15139999999999998</v>
      </c>
      <c r="AF300" s="14">
        <f t="shared" si="1749"/>
        <v>33.124174372523122</v>
      </c>
      <c r="AG300" s="40">
        <f t="shared" si="1750"/>
        <v>-100</v>
      </c>
      <c r="AH300" s="39">
        <f t="shared" si="1903"/>
        <v>19.600000000000001</v>
      </c>
      <c r="AI300" s="124">
        <f t="shared" si="1903"/>
        <v>1.0860000000000001</v>
      </c>
      <c r="AJ300" s="124">
        <f t="shared" si="1903"/>
        <v>1.0780000000000001</v>
      </c>
      <c r="AK300" s="126">
        <f t="shared" si="1751"/>
        <v>0</v>
      </c>
      <c r="AL300" s="126"/>
      <c r="AM300" s="34">
        <f t="shared" ref="AM300:AN300" si="1910">AM299</f>
        <v>2.0059999999999998</v>
      </c>
      <c r="AN300" s="33" t="str">
        <f t="shared" si="1910"/>
        <v>5,40,620</v>
      </c>
      <c r="AO300" s="11" t="str">
        <f t="shared" si="1753"/>
        <v>5,</v>
      </c>
      <c r="AP300" s="11" t="str">
        <f t="shared" si="1754"/>
        <v>40,620</v>
      </c>
      <c r="AQ300" s="11">
        <f t="shared" si="1755"/>
        <v>9.4616666666666668E-2</v>
      </c>
      <c r="AR300" s="14">
        <f t="shared" si="1756"/>
        <v>21.201338735247486</v>
      </c>
      <c r="AS300" s="40">
        <f t="shared" si="1757"/>
        <v>-100</v>
      </c>
      <c r="AT300" s="41" t="str">
        <f t="shared" si="1758"/>
        <v>NO CONFORME</v>
      </c>
      <c r="AU300" s="8" t="b">
        <f t="shared" si="1680"/>
        <v>1</v>
      </c>
      <c r="AV300" s="8" t="b">
        <f t="shared" si="1681"/>
        <v>0</v>
      </c>
      <c r="AW300" s="8" t="b">
        <f t="shared" si="1682"/>
        <v>1</v>
      </c>
      <c r="AX300" s="8" t="str">
        <f t="shared" si="1683"/>
        <v>Qcorrecto</v>
      </c>
      <c r="AY300" s="22" t="str">
        <f t="shared" si="1663"/>
        <v>aceptable</v>
      </c>
      <c r="AZ300" s="22" t="str">
        <f t="shared" si="1664"/>
        <v>aceptable</v>
      </c>
      <c r="BA300" s="22" t="str">
        <f t="shared" si="1684"/>
        <v>aceptable</v>
      </c>
      <c r="BB300" s="25" t="str">
        <f t="shared" si="1685"/>
        <v>NO CONFORME</v>
      </c>
      <c r="BC300" s="5" t="str">
        <f t="shared" si="1686"/>
        <v>NO CONFORME</v>
      </c>
      <c r="BD300" s="15">
        <f t="shared" si="1665"/>
        <v>-1</v>
      </c>
      <c r="BE300" s="15">
        <f t="shared" si="1666"/>
        <v>-1</v>
      </c>
      <c r="BF300" s="15">
        <f t="shared" si="1667"/>
        <v>-1</v>
      </c>
      <c r="BG300" s="15" t="str">
        <f t="shared" si="1668"/>
        <v>-1-1-1</v>
      </c>
      <c r="BH300" s="15" t="str">
        <f t="shared" si="1669"/>
        <v>SD</v>
      </c>
      <c r="BI300" s="15" t="str">
        <f t="shared" si="1670"/>
        <v>SI</v>
      </c>
      <c r="BJ300" s="15" t="b">
        <f t="shared" si="1671"/>
        <v>1</v>
      </c>
      <c r="BK300" s="15" t="str">
        <f t="shared" si="1672"/>
        <v>SIGIGUALES</v>
      </c>
      <c r="BL300" s="22" t="str">
        <f t="shared" si="1673"/>
        <v>NO CONFORME</v>
      </c>
    </row>
    <row r="301" spans="1:64" ht="14.4" x14ac:dyDescent="0.3">
      <c r="A301" s="36">
        <v>293</v>
      </c>
      <c r="B301" s="28">
        <f t="shared" ref="B301:E301" si="1911">B300</f>
        <v>45903</v>
      </c>
      <c r="C301" s="28">
        <f t="shared" si="1911"/>
        <v>45903</v>
      </c>
      <c r="D301" s="12">
        <f t="shared" si="1911"/>
        <v>3</v>
      </c>
      <c r="E301" s="10">
        <f t="shared" si="1911"/>
        <v>11</v>
      </c>
      <c r="F301" s="13"/>
      <c r="G301" s="69"/>
      <c r="H301" s="70">
        <f t="shared" ref="H301:L301" si="1912">H300</f>
        <v>25.6</v>
      </c>
      <c r="I301" s="37">
        <f t="shared" si="1912"/>
        <v>0</v>
      </c>
      <c r="J301" s="35">
        <f t="shared" si="1912"/>
        <v>16</v>
      </c>
      <c r="K301" s="122">
        <f t="shared" si="1912"/>
        <v>8.1690000000000005</v>
      </c>
      <c r="L301" s="122">
        <f t="shared" si="1912"/>
        <v>0.879</v>
      </c>
      <c r="M301" s="126"/>
      <c r="N301" s="126"/>
      <c r="O301" s="32">
        <f t="shared" ref="O301:P301" si="1913">O300</f>
        <v>100.65</v>
      </c>
      <c r="P301" s="33" t="str">
        <f t="shared" si="1913"/>
        <v>2,31,180</v>
      </c>
      <c r="Q301" s="11" t="str">
        <f t="shared" si="1739"/>
        <v>2</v>
      </c>
      <c r="R301" s="11" t="str">
        <f t="shared" si="1740"/>
        <v>31,180</v>
      </c>
      <c r="S301" s="11">
        <f t="shared" si="1741"/>
        <v>4.1994444444444445E-2</v>
      </c>
      <c r="T301" s="14">
        <f t="shared" si="1742"/>
        <v>2396.7456012700095</v>
      </c>
      <c r="U301" s="38">
        <f t="shared" si="1743"/>
        <v>-100</v>
      </c>
      <c r="V301" s="39">
        <f t="shared" ref="V301:W301" si="1914">V300</f>
        <v>19.8</v>
      </c>
      <c r="W301" s="124">
        <f t="shared" si="1914"/>
        <v>1.08</v>
      </c>
      <c r="X301" s="124">
        <f t="shared" si="1895"/>
        <v>1.075</v>
      </c>
      <c r="Y301" s="126"/>
      <c r="Z301" s="126"/>
      <c r="AA301" s="90">
        <f t="shared" ref="AA301:AB301" si="1915">AA300</f>
        <v>5.0149999999999997</v>
      </c>
      <c r="AB301" s="73" t="str">
        <f t="shared" si="1915"/>
        <v>9,05,040</v>
      </c>
      <c r="AC301" s="11" t="str">
        <f t="shared" si="1746"/>
        <v>9,</v>
      </c>
      <c r="AD301" s="11" t="str">
        <f t="shared" si="1747"/>
        <v>05,040</v>
      </c>
      <c r="AE301" s="11">
        <f t="shared" si="1748"/>
        <v>0.15139999999999998</v>
      </c>
      <c r="AF301" s="14">
        <f t="shared" si="1749"/>
        <v>33.124174372523122</v>
      </c>
      <c r="AG301" s="40">
        <f t="shared" si="1750"/>
        <v>-100</v>
      </c>
      <c r="AH301" s="39">
        <f t="shared" si="1903"/>
        <v>19.600000000000001</v>
      </c>
      <c r="AI301" s="124">
        <f t="shared" si="1903"/>
        <v>1.0860000000000001</v>
      </c>
      <c r="AJ301" s="124">
        <f t="shared" si="1903"/>
        <v>1.0780000000000001</v>
      </c>
      <c r="AK301" s="126">
        <f t="shared" si="1751"/>
        <v>0</v>
      </c>
      <c r="AL301" s="126"/>
      <c r="AM301" s="34">
        <f t="shared" ref="AM301:AN301" si="1916">AM300</f>
        <v>2.0059999999999998</v>
      </c>
      <c r="AN301" s="33" t="str">
        <f t="shared" si="1916"/>
        <v>5,40,620</v>
      </c>
      <c r="AO301" s="11" t="str">
        <f t="shared" si="1753"/>
        <v>5,</v>
      </c>
      <c r="AP301" s="11" t="str">
        <f t="shared" si="1754"/>
        <v>40,620</v>
      </c>
      <c r="AQ301" s="11">
        <f t="shared" si="1755"/>
        <v>9.4616666666666668E-2</v>
      </c>
      <c r="AR301" s="14">
        <f t="shared" si="1756"/>
        <v>21.201338735247486</v>
      </c>
      <c r="AS301" s="40">
        <f t="shared" si="1757"/>
        <v>-100</v>
      </c>
      <c r="AT301" s="41" t="str">
        <f t="shared" si="1758"/>
        <v>NO CONFORME</v>
      </c>
      <c r="AU301" s="8" t="b">
        <f t="shared" si="1680"/>
        <v>1</v>
      </c>
      <c r="AV301" s="8" t="b">
        <f t="shared" si="1681"/>
        <v>0</v>
      </c>
      <c r="AW301" s="8" t="b">
        <f t="shared" si="1682"/>
        <v>1</v>
      </c>
      <c r="AX301" s="8" t="str">
        <f t="shared" si="1683"/>
        <v>Qcorrecto</v>
      </c>
      <c r="AY301" s="22" t="str">
        <f t="shared" si="1663"/>
        <v>aceptable</v>
      </c>
      <c r="AZ301" s="22" t="str">
        <f t="shared" si="1664"/>
        <v>aceptable</v>
      </c>
      <c r="BA301" s="22" t="str">
        <f t="shared" si="1684"/>
        <v>aceptable</v>
      </c>
      <c r="BB301" s="25" t="str">
        <f t="shared" si="1685"/>
        <v>NO CONFORME</v>
      </c>
      <c r="BC301" s="5" t="str">
        <f t="shared" si="1686"/>
        <v>NO CONFORME</v>
      </c>
      <c r="BD301" s="15">
        <f t="shared" si="1665"/>
        <v>-1</v>
      </c>
      <c r="BE301" s="15">
        <f t="shared" si="1666"/>
        <v>-1</v>
      </c>
      <c r="BF301" s="15">
        <f t="shared" si="1667"/>
        <v>-1</v>
      </c>
      <c r="BG301" s="15" t="str">
        <f t="shared" si="1668"/>
        <v>-1-1-1</v>
      </c>
      <c r="BH301" s="15" t="str">
        <f t="shared" si="1669"/>
        <v>SD</v>
      </c>
      <c r="BI301" s="15" t="str">
        <f t="shared" si="1670"/>
        <v>SI</v>
      </c>
      <c r="BJ301" s="15" t="b">
        <f t="shared" si="1671"/>
        <v>1</v>
      </c>
      <c r="BK301" s="15" t="str">
        <f t="shared" si="1672"/>
        <v>SIGIGUALES</v>
      </c>
      <c r="BL301" s="22" t="str">
        <f t="shared" si="1673"/>
        <v>NO CONFORME</v>
      </c>
    </row>
    <row r="302" spans="1:64" ht="14.4" x14ac:dyDescent="0.3">
      <c r="A302" s="36">
        <v>294</v>
      </c>
      <c r="B302" s="28">
        <f t="shared" ref="B302:E302" si="1917">B301</f>
        <v>45903</v>
      </c>
      <c r="C302" s="28">
        <f t="shared" si="1917"/>
        <v>45903</v>
      </c>
      <c r="D302" s="12">
        <f t="shared" si="1917"/>
        <v>3</v>
      </c>
      <c r="E302" s="10">
        <f t="shared" si="1917"/>
        <v>11</v>
      </c>
      <c r="F302" s="13"/>
      <c r="G302" s="69"/>
      <c r="H302" s="70">
        <f t="shared" ref="H302:L302" si="1918">H301</f>
        <v>25.6</v>
      </c>
      <c r="I302" s="37">
        <f t="shared" si="1918"/>
        <v>0</v>
      </c>
      <c r="J302" s="35">
        <f t="shared" si="1918"/>
        <v>16</v>
      </c>
      <c r="K302" s="122">
        <f t="shared" si="1918"/>
        <v>8.1690000000000005</v>
      </c>
      <c r="L302" s="122">
        <f t="shared" si="1918"/>
        <v>0.879</v>
      </c>
      <c r="M302" s="126"/>
      <c r="N302" s="126"/>
      <c r="O302" s="32">
        <f t="shared" ref="O302:P302" si="1919">O301</f>
        <v>100.65</v>
      </c>
      <c r="P302" s="33" t="str">
        <f t="shared" si="1919"/>
        <v>2,31,180</v>
      </c>
      <c r="Q302" s="11" t="str">
        <f t="shared" si="1739"/>
        <v>2</v>
      </c>
      <c r="R302" s="11" t="str">
        <f t="shared" si="1740"/>
        <v>31,180</v>
      </c>
      <c r="S302" s="11">
        <f t="shared" si="1741"/>
        <v>4.1994444444444445E-2</v>
      </c>
      <c r="T302" s="14">
        <f t="shared" si="1742"/>
        <v>2396.7456012700095</v>
      </c>
      <c r="U302" s="38">
        <f t="shared" si="1743"/>
        <v>-100</v>
      </c>
      <c r="V302" s="39">
        <f t="shared" ref="V302:W302" si="1920">V301</f>
        <v>19.8</v>
      </c>
      <c r="W302" s="124">
        <f t="shared" si="1920"/>
        <v>1.08</v>
      </c>
      <c r="X302" s="124">
        <f t="shared" si="1895"/>
        <v>1.075</v>
      </c>
      <c r="Y302" s="126"/>
      <c r="Z302" s="126"/>
      <c r="AA302" s="90">
        <f t="shared" ref="AA302:AB302" si="1921">AA301</f>
        <v>5.0149999999999997</v>
      </c>
      <c r="AB302" s="73" t="str">
        <f t="shared" si="1921"/>
        <v>9,05,040</v>
      </c>
      <c r="AC302" s="11" t="str">
        <f t="shared" si="1746"/>
        <v>9,</v>
      </c>
      <c r="AD302" s="11" t="str">
        <f t="shared" si="1747"/>
        <v>05,040</v>
      </c>
      <c r="AE302" s="11">
        <f t="shared" si="1748"/>
        <v>0.15139999999999998</v>
      </c>
      <c r="AF302" s="14">
        <f t="shared" si="1749"/>
        <v>33.124174372523122</v>
      </c>
      <c r="AG302" s="40">
        <f t="shared" si="1750"/>
        <v>-100</v>
      </c>
      <c r="AH302" s="39">
        <f t="shared" si="1903"/>
        <v>19.600000000000001</v>
      </c>
      <c r="AI302" s="124">
        <f t="shared" si="1903"/>
        <v>1.0860000000000001</v>
      </c>
      <c r="AJ302" s="124">
        <f t="shared" si="1903"/>
        <v>1.0780000000000001</v>
      </c>
      <c r="AK302" s="126">
        <f t="shared" si="1751"/>
        <v>0</v>
      </c>
      <c r="AL302" s="126"/>
      <c r="AM302" s="34">
        <f t="shared" ref="AM302:AN302" si="1922">AM301</f>
        <v>2.0059999999999998</v>
      </c>
      <c r="AN302" s="33" t="str">
        <f t="shared" si="1922"/>
        <v>5,40,620</v>
      </c>
      <c r="AO302" s="11" t="str">
        <f t="shared" si="1753"/>
        <v>5,</v>
      </c>
      <c r="AP302" s="11" t="str">
        <f t="shared" si="1754"/>
        <v>40,620</v>
      </c>
      <c r="AQ302" s="11">
        <f t="shared" si="1755"/>
        <v>9.4616666666666668E-2</v>
      </c>
      <c r="AR302" s="14">
        <f t="shared" si="1756"/>
        <v>21.201338735247486</v>
      </c>
      <c r="AS302" s="40">
        <f t="shared" si="1757"/>
        <v>-100</v>
      </c>
      <c r="AT302" s="41" t="str">
        <f t="shared" si="1758"/>
        <v>NO CONFORME</v>
      </c>
      <c r="AU302" s="8" t="b">
        <f t="shared" si="1680"/>
        <v>1</v>
      </c>
      <c r="AV302" s="8" t="b">
        <f t="shared" si="1681"/>
        <v>0</v>
      </c>
      <c r="AW302" s="8" t="b">
        <f t="shared" si="1682"/>
        <v>1</v>
      </c>
      <c r="AX302" s="8" t="str">
        <f t="shared" si="1683"/>
        <v>Qcorrecto</v>
      </c>
      <c r="AY302" s="22" t="str">
        <f t="shared" si="1663"/>
        <v>aceptable</v>
      </c>
      <c r="AZ302" s="22" t="str">
        <f t="shared" si="1664"/>
        <v>aceptable</v>
      </c>
      <c r="BA302" s="22" t="str">
        <f t="shared" si="1684"/>
        <v>aceptable</v>
      </c>
      <c r="BB302" s="25" t="str">
        <f t="shared" si="1685"/>
        <v>NO CONFORME</v>
      </c>
      <c r="BC302" s="5" t="str">
        <f t="shared" si="1686"/>
        <v>NO CONFORME</v>
      </c>
      <c r="BD302" s="15">
        <f t="shared" si="1665"/>
        <v>-1</v>
      </c>
      <c r="BE302" s="15">
        <f t="shared" si="1666"/>
        <v>-1</v>
      </c>
      <c r="BF302" s="15">
        <f t="shared" si="1667"/>
        <v>-1</v>
      </c>
      <c r="BG302" s="15" t="str">
        <f t="shared" si="1668"/>
        <v>-1-1-1</v>
      </c>
      <c r="BH302" s="15" t="str">
        <f t="shared" si="1669"/>
        <v>SD</v>
      </c>
      <c r="BI302" s="15" t="str">
        <f t="shared" si="1670"/>
        <v>SI</v>
      </c>
      <c r="BJ302" s="15" t="b">
        <f t="shared" si="1671"/>
        <v>1</v>
      </c>
      <c r="BK302" s="15" t="str">
        <f t="shared" si="1672"/>
        <v>SIGIGUALES</v>
      </c>
      <c r="BL302" s="22" t="str">
        <f t="shared" si="1673"/>
        <v>NO CONFORME</v>
      </c>
    </row>
    <row r="303" spans="1:64" ht="14.4" x14ac:dyDescent="0.3">
      <c r="A303" s="36">
        <v>295</v>
      </c>
      <c r="B303" s="28">
        <f t="shared" ref="B303:E303" si="1923">B302</f>
        <v>45903</v>
      </c>
      <c r="C303" s="28">
        <f t="shared" si="1923"/>
        <v>45903</v>
      </c>
      <c r="D303" s="12">
        <f t="shared" si="1923"/>
        <v>3</v>
      </c>
      <c r="E303" s="10">
        <f t="shared" si="1923"/>
        <v>11</v>
      </c>
      <c r="F303" s="13"/>
      <c r="G303" s="69"/>
      <c r="H303" s="70">
        <f t="shared" ref="H303:L303" si="1924">H302</f>
        <v>25.6</v>
      </c>
      <c r="I303" s="37">
        <f t="shared" si="1924"/>
        <v>0</v>
      </c>
      <c r="J303" s="35">
        <f t="shared" si="1924"/>
        <v>16</v>
      </c>
      <c r="K303" s="122">
        <f t="shared" si="1924"/>
        <v>8.1690000000000005</v>
      </c>
      <c r="L303" s="122">
        <f t="shared" si="1924"/>
        <v>0.879</v>
      </c>
      <c r="M303" s="126"/>
      <c r="N303" s="126"/>
      <c r="O303" s="32">
        <f t="shared" ref="O303:P303" si="1925">O302</f>
        <v>100.65</v>
      </c>
      <c r="P303" s="33" t="str">
        <f t="shared" si="1925"/>
        <v>2,31,180</v>
      </c>
      <c r="Q303" s="11" t="str">
        <f t="shared" si="1739"/>
        <v>2</v>
      </c>
      <c r="R303" s="11" t="str">
        <f t="shared" si="1740"/>
        <v>31,180</v>
      </c>
      <c r="S303" s="11">
        <f t="shared" si="1741"/>
        <v>4.1994444444444445E-2</v>
      </c>
      <c r="T303" s="14">
        <f t="shared" si="1742"/>
        <v>2396.7456012700095</v>
      </c>
      <c r="U303" s="38">
        <f t="shared" si="1743"/>
        <v>-100</v>
      </c>
      <c r="V303" s="39">
        <f t="shared" ref="V303:W303" si="1926">V302</f>
        <v>19.8</v>
      </c>
      <c r="W303" s="124">
        <f t="shared" si="1926"/>
        <v>1.08</v>
      </c>
      <c r="X303" s="124">
        <f t="shared" si="1895"/>
        <v>1.075</v>
      </c>
      <c r="Y303" s="126"/>
      <c r="Z303" s="126"/>
      <c r="AA303" s="90">
        <f t="shared" ref="AA303:AB303" si="1927">AA302</f>
        <v>5.0149999999999997</v>
      </c>
      <c r="AB303" s="73" t="str">
        <f t="shared" si="1927"/>
        <v>9,05,040</v>
      </c>
      <c r="AC303" s="11" t="str">
        <f t="shared" si="1746"/>
        <v>9,</v>
      </c>
      <c r="AD303" s="11" t="str">
        <f t="shared" si="1747"/>
        <v>05,040</v>
      </c>
      <c r="AE303" s="11">
        <f t="shared" si="1748"/>
        <v>0.15139999999999998</v>
      </c>
      <c r="AF303" s="14">
        <f t="shared" si="1749"/>
        <v>33.124174372523122</v>
      </c>
      <c r="AG303" s="40">
        <f t="shared" si="1750"/>
        <v>-100</v>
      </c>
      <c r="AH303" s="39">
        <f t="shared" si="1903"/>
        <v>19.600000000000001</v>
      </c>
      <c r="AI303" s="124">
        <f t="shared" si="1903"/>
        <v>1.0860000000000001</v>
      </c>
      <c r="AJ303" s="124">
        <f t="shared" si="1903"/>
        <v>1.0780000000000001</v>
      </c>
      <c r="AK303" s="126">
        <f t="shared" si="1751"/>
        <v>0</v>
      </c>
      <c r="AL303" s="126"/>
      <c r="AM303" s="34">
        <f t="shared" ref="AM303:AN303" si="1928">AM302</f>
        <v>2.0059999999999998</v>
      </c>
      <c r="AN303" s="33" t="str">
        <f t="shared" si="1928"/>
        <v>5,40,620</v>
      </c>
      <c r="AO303" s="11" t="str">
        <f t="shared" si="1753"/>
        <v>5,</v>
      </c>
      <c r="AP303" s="11" t="str">
        <f t="shared" si="1754"/>
        <v>40,620</v>
      </c>
      <c r="AQ303" s="11">
        <f t="shared" si="1755"/>
        <v>9.4616666666666668E-2</v>
      </c>
      <c r="AR303" s="14">
        <f t="shared" si="1756"/>
        <v>21.201338735247486</v>
      </c>
      <c r="AS303" s="40">
        <f t="shared" si="1757"/>
        <v>-100</v>
      </c>
      <c r="AT303" s="41" t="str">
        <f t="shared" si="1758"/>
        <v>NO CONFORME</v>
      </c>
      <c r="AU303" s="8" t="b">
        <f t="shared" si="1680"/>
        <v>1</v>
      </c>
      <c r="AV303" s="8" t="b">
        <f t="shared" si="1681"/>
        <v>0</v>
      </c>
      <c r="AW303" s="8" t="b">
        <f t="shared" si="1682"/>
        <v>1</v>
      </c>
      <c r="AX303" s="8" t="str">
        <f t="shared" si="1683"/>
        <v>Qcorrecto</v>
      </c>
      <c r="AY303" s="22" t="str">
        <f t="shared" si="1663"/>
        <v>aceptable</v>
      </c>
      <c r="AZ303" s="22" t="str">
        <f t="shared" si="1664"/>
        <v>aceptable</v>
      </c>
      <c r="BA303" s="22" t="str">
        <f t="shared" si="1684"/>
        <v>aceptable</v>
      </c>
      <c r="BB303" s="25" t="str">
        <f t="shared" si="1685"/>
        <v>NO CONFORME</v>
      </c>
      <c r="BC303" s="5" t="str">
        <f t="shared" si="1686"/>
        <v>NO CONFORME</v>
      </c>
      <c r="BD303" s="15">
        <f t="shared" si="1665"/>
        <v>-1</v>
      </c>
      <c r="BE303" s="15">
        <f t="shared" si="1666"/>
        <v>-1</v>
      </c>
      <c r="BF303" s="15">
        <f t="shared" si="1667"/>
        <v>-1</v>
      </c>
      <c r="BG303" s="15" t="str">
        <f t="shared" si="1668"/>
        <v>-1-1-1</v>
      </c>
      <c r="BH303" s="15" t="str">
        <f t="shared" si="1669"/>
        <v>SD</v>
      </c>
      <c r="BI303" s="15" t="str">
        <f t="shared" si="1670"/>
        <v>SI</v>
      </c>
      <c r="BJ303" s="15" t="b">
        <f t="shared" si="1671"/>
        <v>1</v>
      </c>
      <c r="BK303" s="15" t="str">
        <f t="shared" si="1672"/>
        <v>SIGIGUALES</v>
      </c>
      <c r="BL303" s="22" t="str">
        <f t="shared" si="1673"/>
        <v>NO CONFORME</v>
      </c>
    </row>
    <row r="304" spans="1:64" ht="14.4" x14ac:dyDescent="0.3">
      <c r="A304" s="36">
        <v>296</v>
      </c>
      <c r="B304" s="28">
        <f t="shared" ref="B304:E304" si="1929">B303</f>
        <v>45903</v>
      </c>
      <c r="C304" s="28">
        <f t="shared" si="1929"/>
        <v>45903</v>
      </c>
      <c r="D304" s="12">
        <f t="shared" si="1929"/>
        <v>3</v>
      </c>
      <c r="E304" s="10">
        <f t="shared" si="1929"/>
        <v>11</v>
      </c>
      <c r="F304" s="13"/>
      <c r="G304" s="69"/>
      <c r="H304" s="70">
        <f t="shared" ref="H304:L304" si="1930">H303</f>
        <v>25.6</v>
      </c>
      <c r="I304" s="37">
        <f t="shared" si="1930"/>
        <v>0</v>
      </c>
      <c r="J304" s="35">
        <f t="shared" si="1930"/>
        <v>16</v>
      </c>
      <c r="K304" s="122">
        <f t="shared" si="1930"/>
        <v>8.1690000000000005</v>
      </c>
      <c r="L304" s="122">
        <f t="shared" si="1930"/>
        <v>0.879</v>
      </c>
      <c r="M304" s="126"/>
      <c r="N304" s="126"/>
      <c r="O304" s="32">
        <f t="shared" ref="O304:P304" si="1931">O303</f>
        <v>100.65</v>
      </c>
      <c r="P304" s="33" t="str">
        <f t="shared" si="1931"/>
        <v>2,31,180</v>
      </c>
      <c r="Q304" s="11" t="str">
        <f t="shared" si="1739"/>
        <v>2</v>
      </c>
      <c r="R304" s="11" t="str">
        <f t="shared" si="1740"/>
        <v>31,180</v>
      </c>
      <c r="S304" s="11">
        <f t="shared" si="1741"/>
        <v>4.1994444444444445E-2</v>
      </c>
      <c r="T304" s="14">
        <f t="shared" si="1742"/>
        <v>2396.7456012700095</v>
      </c>
      <c r="U304" s="38">
        <f t="shared" si="1743"/>
        <v>-100</v>
      </c>
      <c r="V304" s="39">
        <f t="shared" ref="V304:W304" si="1932">V303</f>
        <v>19.8</v>
      </c>
      <c r="W304" s="124">
        <f t="shared" si="1932"/>
        <v>1.08</v>
      </c>
      <c r="X304" s="124">
        <f t="shared" si="1895"/>
        <v>1.075</v>
      </c>
      <c r="Y304" s="126"/>
      <c r="Z304" s="126"/>
      <c r="AA304" s="90">
        <f t="shared" ref="AA304:AB304" si="1933">AA303</f>
        <v>5.0149999999999997</v>
      </c>
      <c r="AB304" s="73" t="str">
        <f t="shared" si="1933"/>
        <v>9,05,040</v>
      </c>
      <c r="AC304" s="11" t="str">
        <f t="shared" si="1746"/>
        <v>9,</v>
      </c>
      <c r="AD304" s="11" t="str">
        <f t="shared" si="1747"/>
        <v>05,040</v>
      </c>
      <c r="AE304" s="11">
        <f t="shared" si="1748"/>
        <v>0.15139999999999998</v>
      </c>
      <c r="AF304" s="14">
        <f t="shared" si="1749"/>
        <v>33.124174372523122</v>
      </c>
      <c r="AG304" s="40">
        <f t="shared" si="1750"/>
        <v>-100</v>
      </c>
      <c r="AH304" s="39">
        <f t="shared" si="1903"/>
        <v>19.600000000000001</v>
      </c>
      <c r="AI304" s="124">
        <f t="shared" si="1903"/>
        <v>1.0860000000000001</v>
      </c>
      <c r="AJ304" s="124">
        <f t="shared" si="1903"/>
        <v>1.0780000000000001</v>
      </c>
      <c r="AK304" s="126">
        <f t="shared" si="1751"/>
        <v>0</v>
      </c>
      <c r="AL304" s="126"/>
      <c r="AM304" s="34">
        <f t="shared" ref="AM304:AN304" si="1934">AM303</f>
        <v>2.0059999999999998</v>
      </c>
      <c r="AN304" s="33" t="str">
        <f t="shared" si="1934"/>
        <v>5,40,620</v>
      </c>
      <c r="AO304" s="11" t="str">
        <f t="shared" si="1753"/>
        <v>5,</v>
      </c>
      <c r="AP304" s="11" t="str">
        <f t="shared" si="1754"/>
        <v>40,620</v>
      </c>
      <c r="AQ304" s="11">
        <f t="shared" si="1755"/>
        <v>9.4616666666666668E-2</v>
      </c>
      <c r="AR304" s="14">
        <f t="shared" si="1756"/>
        <v>21.201338735247486</v>
      </c>
      <c r="AS304" s="40">
        <f t="shared" si="1757"/>
        <v>-100</v>
      </c>
      <c r="AT304" s="41" t="str">
        <f t="shared" si="1758"/>
        <v>NO CONFORME</v>
      </c>
      <c r="AU304" s="8" t="b">
        <f t="shared" si="1680"/>
        <v>1</v>
      </c>
      <c r="AV304" s="8" t="b">
        <f t="shared" si="1681"/>
        <v>0</v>
      </c>
      <c r="AW304" s="8" t="b">
        <f t="shared" si="1682"/>
        <v>1</v>
      </c>
      <c r="AX304" s="8" t="str">
        <f t="shared" si="1683"/>
        <v>Qcorrecto</v>
      </c>
      <c r="AY304" s="22" t="str">
        <f t="shared" si="1663"/>
        <v>aceptable</v>
      </c>
      <c r="AZ304" s="22" t="str">
        <f t="shared" si="1664"/>
        <v>aceptable</v>
      </c>
      <c r="BA304" s="22" t="str">
        <f t="shared" si="1684"/>
        <v>aceptable</v>
      </c>
      <c r="BB304" s="25" t="str">
        <f t="shared" si="1685"/>
        <v>NO CONFORME</v>
      </c>
      <c r="BC304" s="5" t="str">
        <f t="shared" si="1686"/>
        <v>NO CONFORME</v>
      </c>
      <c r="BD304" s="15">
        <f t="shared" si="1665"/>
        <v>-1</v>
      </c>
      <c r="BE304" s="15">
        <f t="shared" si="1666"/>
        <v>-1</v>
      </c>
      <c r="BF304" s="15">
        <f t="shared" si="1667"/>
        <v>-1</v>
      </c>
      <c r="BG304" s="15" t="str">
        <f t="shared" si="1668"/>
        <v>-1-1-1</v>
      </c>
      <c r="BH304" s="15" t="str">
        <f t="shared" si="1669"/>
        <v>SD</v>
      </c>
      <c r="BI304" s="15" t="str">
        <f t="shared" si="1670"/>
        <v>SI</v>
      </c>
      <c r="BJ304" s="15" t="b">
        <f t="shared" si="1671"/>
        <v>1</v>
      </c>
      <c r="BK304" s="15" t="str">
        <f t="shared" si="1672"/>
        <v>SIGIGUALES</v>
      </c>
      <c r="BL304" s="22" t="str">
        <f t="shared" si="1673"/>
        <v>NO CONFORME</v>
      </c>
    </row>
    <row r="305" spans="1:64" ht="14.4" x14ac:dyDescent="0.3">
      <c r="A305" s="36">
        <v>297</v>
      </c>
      <c r="B305" s="28">
        <f t="shared" ref="B305:E305" si="1935">B304</f>
        <v>45903</v>
      </c>
      <c r="C305" s="28">
        <f t="shared" si="1935"/>
        <v>45903</v>
      </c>
      <c r="D305" s="12">
        <f t="shared" si="1935"/>
        <v>3</v>
      </c>
      <c r="E305" s="10">
        <f t="shared" si="1935"/>
        <v>11</v>
      </c>
      <c r="F305" s="13"/>
      <c r="G305" s="69"/>
      <c r="H305" s="70">
        <f t="shared" ref="H305:L305" si="1936">H304</f>
        <v>25.6</v>
      </c>
      <c r="I305" s="37">
        <f t="shared" si="1936"/>
        <v>0</v>
      </c>
      <c r="J305" s="35">
        <f t="shared" si="1936"/>
        <v>16</v>
      </c>
      <c r="K305" s="122">
        <f t="shared" si="1936"/>
        <v>8.1690000000000005</v>
      </c>
      <c r="L305" s="122">
        <f t="shared" si="1936"/>
        <v>0.879</v>
      </c>
      <c r="M305" s="126"/>
      <c r="N305" s="126"/>
      <c r="O305" s="32">
        <f t="shared" ref="O305:P305" si="1937">O304</f>
        <v>100.65</v>
      </c>
      <c r="P305" s="33" t="str">
        <f t="shared" si="1937"/>
        <v>2,31,180</v>
      </c>
      <c r="Q305" s="11" t="str">
        <f t="shared" si="1739"/>
        <v>2</v>
      </c>
      <c r="R305" s="11" t="str">
        <f t="shared" si="1740"/>
        <v>31,180</v>
      </c>
      <c r="S305" s="11">
        <f t="shared" si="1741"/>
        <v>4.1994444444444445E-2</v>
      </c>
      <c r="T305" s="14">
        <f t="shared" si="1742"/>
        <v>2396.7456012700095</v>
      </c>
      <c r="U305" s="38">
        <f t="shared" si="1743"/>
        <v>-100</v>
      </c>
      <c r="V305" s="39">
        <f t="shared" ref="V305:W305" si="1938">V304</f>
        <v>19.8</v>
      </c>
      <c r="W305" s="124">
        <f t="shared" si="1938"/>
        <v>1.08</v>
      </c>
      <c r="X305" s="124">
        <f t="shared" si="1895"/>
        <v>1.075</v>
      </c>
      <c r="Y305" s="126"/>
      <c r="Z305" s="126"/>
      <c r="AA305" s="90">
        <f t="shared" ref="AA305:AB305" si="1939">AA304</f>
        <v>5.0149999999999997</v>
      </c>
      <c r="AB305" s="73" t="str">
        <f t="shared" si="1939"/>
        <v>9,05,040</v>
      </c>
      <c r="AC305" s="11" t="str">
        <f t="shared" si="1746"/>
        <v>9,</v>
      </c>
      <c r="AD305" s="11" t="str">
        <f t="shared" si="1747"/>
        <v>05,040</v>
      </c>
      <c r="AE305" s="11">
        <f t="shared" si="1748"/>
        <v>0.15139999999999998</v>
      </c>
      <c r="AF305" s="14">
        <f t="shared" si="1749"/>
        <v>33.124174372523122</v>
      </c>
      <c r="AG305" s="40">
        <f t="shared" si="1750"/>
        <v>-100</v>
      </c>
      <c r="AH305" s="39">
        <f t="shared" si="1903"/>
        <v>19.600000000000001</v>
      </c>
      <c r="AI305" s="124">
        <f t="shared" si="1903"/>
        <v>1.0860000000000001</v>
      </c>
      <c r="AJ305" s="124">
        <f t="shared" si="1903"/>
        <v>1.0780000000000001</v>
      </c>
      <c r="AK305" s="126">
        <f t="shared" si="1751"/>
        <v>0</v>
      </c>
      <c r="AL305" s="126"/>
      <c r="AM305" s="34">
        <f t="shared" ref="AM305:AN305" si="1940">AM304</f>
        <v>2.0059999999999998</v>
      </c>
      <c r="AN305" s="33" t="str">
        <f t="shared" si="1940"/>
        <v>5,40,620</v>
      </c>
      <c r="AO305" s="11" t="str">
        <f t="shared" si="1753"/>
        <v>5,</v>
      </c>
      <c r="AP305" s="11" t="str">
        <f t="shared" si="1754"/>
        <v>40,620</v>
      </c>
      <c r="AQ305" s="11">
        <f t="shared" si="1755"/>
        <v>9.4616666666666668E-2</v>
      </c>
      <c r="AR305" s="14">
        <f t="shared" si="1756"/>
        <v>21.201338735247486</v>
      </c>
      <c r="AS305" s="40">
        <f t="shared" si="1757"/>
        <v>-100</v>
      </c>
      <c r="AT305" s="41" t="str">
        <f t="shared" si="1758"/>
        <v>NO CONFORME</v>
      </c>
      <c r="AU305" s="8" t="b">
        <f t="shared" si="1680"/>
        <v>1</v>
      </c>
      <c r="AV305" s="8" t="b">
        <f t="shared" si="1681"/>
        <v>0</v>
      </c>
      <c r="AW305" s="8" t="b">
        <f t="shared" si="1682"/>
        <v>1</v>
      </c>
      <c r="AX305" s="8" t="str">
        <f t="shared" si="1683"/>
        <v>Qcorrecto</v>
      </c>
      <c r="AY305" s="22" t="str">
        <f t="shared" si="1663"/>
        <v>aceptable</v>
      </c>
      <c r="AZ305" s="22" t="str">
        <f t="shared" si="1664"/>
        <v>aceptable</v>
      </c>
      <c r="BA305" s="22" t="str">
        <f t="shared" si="1684"/>
        <v>aceptable</v>
      </c>
      <c r="BB305" s="25" t="str">
        <f t="shared" si="1685"/>
        <v>NO CONFORME</v>
      </c>
      <c r="BC305" s="5" t="str">
        <f t="shared" si="1686"/>
        <v>NO CONFORME</v>
      </c>
      <c r="BD305" s="15">
        <f t="shared" si="1665"/>
        <v>-1</v>
      </c>
      <c r="BE305" s="15">
        <f t="shared" si="1666"/>
        <v>-1</v>
      </c>
      <c r="BF305" s="15">
        <f t="shared" si="1667"/>
        <v>-1</v>
      </c>
      <c r="BG305" s="15" t="str">
        <f t="shared" si="1668"/>
        <v>-1-1-1</v>
      </c>
      <c r="BH305" s="15" t="str">
        <f t="shared" si="1669"/>
        <v>SD</v>
      </c>
      <c r="BI305" s="15" t="str">
        <f t="shared" si="1670"/>
        <v>SI</v>
      </c>
      <c r="BJ305" s="15" t="b">
        <f t="shared" si="1671"/>
        <v>1</v>
      </c>
      <c r="BK305" s="15" t="str">
        <f t="shared" si="1672"/>
        <v>SIGIGUALES</v>
      </c>
      <c r="BL305" s="22" t="str">
        <f t="shared" si="1673"/>
        <v>NO CONFORME</v>
      </c>
    </row>
    <row r="306" spans="1:64" ht="14.4" x14ac:dyDescent="0.3">
      <c r="A306" s="36">
        <v>298</v>
      </c>
      <c r="B306" s="28">
        <f t="shared" ref="B306:E306" si="1941">B305</f>
        <v>45903</v>
      </c>
      <c r="C306" s="28">
        <f t="shared" si="1941"/>
        <v>45903</v>
      </c>
      <c r="D306" s="12">
        <f t="shared" si="1941"/>
        <v>3</v>
      </c>
      <c r="E306" s="10">
        <f t="shared" si="1941"/>
        <v>11</v>
      </c>
      <c r="F306" s="13"/>
      <c r="G306" s="69"/>
      <c r="H306" s="70">
        <f t="shared" ref="H306:L306" si="1942">H305</f>
        <v>25.6</v>
      </c>
      <c r="I306" s="37">
        <f t="shared" si="1942"/>
        <v>0</v>
      </c>
      <c r="J306" s="35">
        <f t="shared" si="1942"/>
        <v>16</v>
      </c>
      <c r="K306" s="122">
        <f t="shared" si="1942"/>
        <v>8.1690000000000005</v>
      </c>
      <c r="L306" s="122">
        <f t="shared" si="1942"/>
        <v>0.879</v>
      </c>
      <c r="M306" s="126"/>
      <c r="N306" s="126"/>
      <c r="O306" s="32">
        <f t="shared" ref="O306:P306" si="1943">O305</f>
        <v>100.65</v>
      </c>
      <c r="P306" s="33" t="str">
        <f t="shared" si="1943"/>
        <v>2,31,180</v>
      </c>
      <c r="Q306" s="11" t="str">
        <f t="shared" si="1739"/>
        <v>2</v>
      </c>
      <c r="R306" s="11" t="str">
        <f t="shared" si="1740"/>
        <v>31,180</v>
      </c>
      <c r="S306" s="11">
        <f t="shared" si="1741"/>
        <v>4.1994444444444445E-2</v>
      </c>
      <c r="T306" s="14">
        <f t="shared" si="1742"/>
        <v>2396.7456012700095</v>
      </c>
      <c r="U306" s="38">
        <f t="shared" si="1743"/>
        <v>-100</v>
      </c>
      <c r="V306" s="39">
        <f t="shared" ref="V306:W306" si="1944">V305</f>
        <v>19.8</v>
      </c>
      <c r="W306" s="124">
        <f t="shared" si="1944"/>
        <v>1.08</v>
      </c>
      <c r="X306" s="124">
        <f t="shared" si="1895"/>
        <v>1.075</v>
      </c>
      <c r="Y306" s="126"/>
      <c r="Z306" s="126"/>
      <c r="AA306" s="90">
        <f t="shared" ref="AA306:AB306" si="1945">AA305</f>
        <v>5.0149999999999997</v>
      </c>
      <c r="AB306" s="73" t="str">
        <f t="shared" si="1945"/>
        <v>9,05,040</v>
      </c>
      <c r="AC306" s="11" t="str">
        <f t="shared" si="1746"/>
        <v>9,</v>
      </c>
      <c r="AD306" s="11" t="str">
        <f t="shared" si="1747"/>
        <v>05,040</v>
      </c>
      <c r="AE306" s="11">
        <f t="shared" si="1748"/>
        <v>0.15139999999999998</v>
      </c>
      <c r="AF306" s="14">
        <f t="shared" si="1749"/>
        <v>33.124174372523122</v>
      </c>
      <c r="AG306" s="40">
        <f t="shared" si="1750"/>
        <v>-100</v>
      </c>
      <c r="AH306" s="39">
        <f t="shared" si="1903"/>
        <v>19.600000000000001</v>
      </c>
      <c r="AI306" s="124">
        <f t="shared" si="1903"/>
        <v>1.0860000000000001</v>
      </c>
      <c r="AJ306" s="124">
        <f t="shared" si="1903"/>
        <v>1.0780000000000001</v>
      </c>
      <c r="AK306" s="126">
        <f t="shared" si="1751"/>
        <v>0</v>
      </c>
      <c r="AL306" s="126"/>
      <c r="AM306" s="34">
        <f t="shared" ref="AM306:AN306" si="1946">AM305</f>
        <v>2.0059999999999998</v>
      </c>
      <c r="AN306" s="33" t="str">
        <f t="shared" si="1946"/>
        <v>5,40,620</v>
      </c>
      <c r="AO306" s="11" t="str">
        <f t="shared" si="1753"/>
        <v>5,</v>
      </c>
      <c r="AP306" s="11" t="str">
        <f t="shared" si="1754"/>
        <v>40,620</v>
      </c>
      <c r="AQ306" s="11">
        <f t="shared" si="1755"/>
        <v>9.4616666666666668E-2</v>
      </c>
      <c r="AR306" s="14">
        <f t="shared" si="1756"/>
        <v>21.201338735247486</v>
      </c>
      <c r="AS306" s="40">
        <f t="shared" si="1757"/>
        <v>-100</v>
      </c>
      <c r="AT306" s="41" t="str">
        <f t="shared" si="1758"/>
        <v>NO CONFORME</v>
      </c>
      <c r="AU306" s="8" t="b">
        <f t="shared" si="1680"/>
        <v>1</v>
      </c>
      <c r="AV306" s="8" t="b">
        <f t="shared" si="1681"/>
        <v>0</v>
      </c>
      <c r="AW306" s="8" t="b">
        <f t="shared" si="1682"/>
        <v>1</v>
      </c>
      <c r="AX306" s="8" t="str">
        <f t="shared" si="1683"/>
        <v>Qcorrecto</v>
      </c>
      <c r="AY306" s="22" t="str">
        <f t="shared" si="1663"/>
        <v>aceptable</v>
      </c>
      <c r="AZ306" s="22" t="str">
        <f t="shared" si="1664"/>
        <v>aceptable</v>
      </c>
      <c r="BA306" s="22" t="str">
        <f t="shared" si="1684"/>
        <v>aceptable</v>
      </c>
      <c r="BB306" s="25" t="str">
        <f t="shared" si="1685"/>
        <v>NO CONFORME</v>
      </c>
      <c r="BC306" s="5" t="str">
        <f t="shared" si="1686"/>
        <v>NO CONFORME</v>
      </c>
      <c r="BD306" s="15">
        <f t="shared" si="1665"/>
        <v>-1</v>
      </c>
      <c r="BE306" s="15">
        <f t="shared" si="1666"/>
        <v>-1</v>
      </c>
      <c r="BF306" s="15">
        <f t="shared" si="1667"/>
        <v>-1</v>
      </c>
      <c r="BG306" s="15" t="str">
        <f t="shared" si="1668"/>
        <v>-1-1-1</v>
      </c>
      <c r="BH306" s="15" t="str">
        <f t="shared" si="1669"/>
        <v>SD</v>
      </c>
      <c r="BI306" s="15" t="str">
        <f t="shared" si="1670"/>
        <v>SI</v>
      </c>
      <c r="BJ306" s="15" t="b">
        <f t="shared" si="1671"/>
        <v>1</v>
      </c>
      <c r="BK306" s="15" t="str">
        <f t="shared" si="1672"/>
        <v>SIGIGUALES</v>
      </c>
      <c r="BL306" s="22" t="str">
        <f t="shared" si="1673"/>
        <v>NO CONFORME</v>
      </c>
    </row>
    <row r="307" spans="1:64" ht="14.4" x14ac:dyDescent="0.3">
      <c r="A307" s="36">
        <v>299</v>
      </c>
      <c r="B307" s="28">
        <f t="shared" ref="B307:E307" si="1947">B306</f>
        <v>45903</v>
      </c>
      <c r="C307" s="28">
        <f t="shared" si="1947"/>
        <v>45903</v>
      </c>
      <c r="D307" s="12">
        <f t="shared" si="1947"/>
        <v>3</v>
      </c>
      <c r="E307" s="10">
        <f t="shared" si="1947"/>
        <v>11</v>
      </c>
      <c r="F307" s="13"/>
      <c r="G307" s="69"/>
      <c r="H307" s="70">
        <f t="shared" ref="H307:L307" si="1948">H306</f>
        <v>25.6</v>
      </c>
      <c r="I307" s="37">
        <f t="shared" si="1948"/>
        <v>0</v>
      </c>
      <c r="J307" s="35">
        <f t="shared" si="1948"/>
        <v>16</v>
      </c>
      <c r="K307" s="122">
        <f t="shared" si="1948"/>
        <v>8.1690000000000005</v>
      </c>
      <c r="L307" s="122">
        <f t="shared" si="1948"/>
        <v>0.879</v>
      </c>
      <c r="M307" s="126"/>
      <c r="N307" s="126"/>
      <c r="O307" s="32">
        <f t="shared" ref="O307:P307" si="1949">O306</f>
        <v>100.65</v>
      </c>
      <c r="P307" s="33" t="str">
        <f t="shared" si="1949"/>
        <v>2,31,180</v>
      </c>
      <c r="Q307" s="11" t="str">
        <f t="shared" si="1739"/>
        <v>2</v>
      </c>
      <c r="R307" s="11" t="str">
        <f t="shared" si="1740"/>
        <v>31,180</v>
      </c>
      <c r="S307" s="11">
        <f t="shared" si="1741"/>
        <v>4.1994444444444445E-2</v>
      </c>
      <c r="T307" s="14">
        <f t="shared" si="1742"/>
        <v>2396.7456012700095</v>
      </c>
      <c r="U307" s="38">
        <f t="shared" si="1743"/>
        <v>-100</v>
      </c>
      <c r="V307" s="39">
        <f t="shared" ref="V307:W307" si="1950">V306</f>
        <v>19.8</v>
      </c>
      <c r="W307" s="124">
        <f t="shared" si="1950"/>
        <v>1.08</v>
      </c>
      <c r="X307" s="124">
        <f t="shared" si="1895"/>
        <v>1.075</v>
      </c>
      <c r="Y307" s="126"/>
      <c r="Z307" s="126"/>
      <c r="AA307" s="90">
        <f t="shared" ref="AA307:AB307" si="1951">AA306</f>
        <v>5.0149999999999997</v>
      </c>
      <c r="AB307" s="73" t="str">
        <f t="shared" si="1951"/>
        <v>9,05,040</v>
      </c>
      <c r="AC307" s="11" t="str">
        <f t="shared" si="1746"/>
        <v>9,</v>
      </c>
      <c r="AD307" s="11" t="str">
        <f t="shared" si="1747"/>
        <v>05,040</v>
      </c>
      <c r="AE307" s="11">
        <f t="shared" si="1748"/>
        <v>0.15139999999999998</v>
      </c>
      <c r="AF307" s="14">
        <f t="shared" si="1749"/>
        <v>33.124174372523122</v>
      </c>
      <c r="AG307" s="40">
        <f t="shared" si="1750"/>
        <v>-100</v>
      </c>
      <c r="AH307" s="39">
        <f t="shared" si="1903"/>
        <v>19.600000000000001</v>
      </c>
      <c r="AI307" s="124">
        <f t="shared" si="1903"/>
        <v>1.0860000000000001</v>
      </c>
      <c r="AJ307" s="124">
        <f t="shared" si="1903"/>
        <v>1.0780000000000001</v>
      </c>
      <c r="AK307" s="126">
        <f t="shared" si="1751"/>
        <v>0</v>
      </c>
      <c r="AL307" s="126"/>
      <c r="AM307" s="34">
        <f t="shared" ref="AM307:AN307" si="1952">AM306</f>
        <v>2.0059999999999998</v>
      </c>
      <c r="AN307" s="33" t="str">
        <f t="shared" si="1952"/>
        <v>5,40,620</v>
      </c>
      <c r="AO307" s="11" t="str">
        <f t="shared" si="1753"/>
        <v>5,</v>
      </c>
      <c r="AP307" s="11" t="str">
        <f t="shared" si="1754"/>
        <v>40,620</v>
      </c>
      <c r="AQ307" s="11">
        <f t="shared" si="1755"/>
        <v>9.4616666666666668E-2</v>
      </c>
      <c r="AR307" s="14">
        <f t="shared" si="1756"/>
        <v>21.201338735247486</v>
      </c>
      <c r="AS307" s="40">
        <f t="shared" si="1757"/>
        <v>-100</v>
      </c>
      <c r="AT307" s="41" t="str">
        <f t="shared" si="1758"/>
        <v>NO CONFORME</v>
      </c>
      <c r="AU307" s="8" t="b">
        <f t="shared" si="1680"/>
        <v>1</v>
      </c>
      <c r="AV307" s="8" t="b">
        <f t="shared" si="1681"/>
        <v>0</v>
      </c>
      <c r="AW307" s="8" t="b">
        <f t="shared" si="1682"/>
        <v>1</v>
      </c>
      <c r="AX307" s="8" t="str">
        <f t="shared" si="1683"/>
        <v>Qcorrecto</v>
      </c>
      <c r="AY307" s="22" t="str">
        <f t="shared" si="1663"/>
        <v>aceptable</v>
      </c>
      <c r="AZ307" s="22" t="str">
        <f t="shared" si="1664"/>
        <v>aceptable</v>
      </c>
      <c r="BA307" s="22" t="str">
        <f t="shared" si="1684"/>
        <v>aceptable</v>
      </c>
      <c r="BB307" s="25" t="str">
        <f t="shared" si="1685"/>
        <v>NO CONFORME</v>
      </c>
      <c r="BC307" s="5" t="str">
        <f t="shared" si="1686"/>
        <v>NO CONFORME</v>
      </c>
      <c r="BD307" s="15">
        <f t="shared" si="1665"/>
        <v>-1</v>
      </c>
      <c r="BE307" s="15">
        <f t="shared" si="1666"/>
        <v>-1</v>
      </c>
      <c r="BF307" s="15">
        <f t="shared" si="1667"/>
        <v>-1</v>
      </c>
      <c r="BG307" s="15" t="str">
        <f t="shared" si="1668"/>
        <v>-1-1-1</v>
      </c>
      <c r="BH307" s="15" t="str">
        <f t="shared" si="1669"/>
        <v>SD</v>
      </c>
      <c r="BI307" s="15" t="str">
        <f t="shared" si="1670"/>
        <v>SI</v>
      </c>
      <c r="BJ307" s="15" t="b">
        <f t="shared" si="1671"/>
        <v>1</v>
      </c>
      <c r="BK307" s="15" t="str">
        <f t="shared" si="1672"/>
        <v>SIGIGUALES</v>
      </c>
      <c r="BL307" s="22" t="str">
        <f t="shared" si="1673"/>
        <v>NO CONFORME</v>
      </c>
    </row>
    <row r="308" spans="1:64" ht="14.4" x14ac:dyDescent="0.3">
      <c r="A308" s="36">
        <v>300</v>
      </c>
      <c r="B308" s="28">
        <f t="shared" ref="B308:E308" si="1953">B307</f>
        <v>45903</v>
      </c>
      <c r="C308" s="28">
        <f t="shared" si="1953"/>
        <v>45903</v>
      </c>
      <c r="D308" s="12">
        <f t="shared" si="1953"/>
        <v>3</v>
      </c>
      <c r="E308" s="10">
        <f t="shared" si="1953"/>
        <v>11</v>
      </c>
      <c r="F308" s="13"/>
      <c r="G308" s="69"/>
      <c r="H308" s="70">
        <f t="shared" ref="H308:L308" si="1954">H307</f>
        <v>25.6</v>
      </c>
      <c r="I308" s="37">
        <f t="shared" si="1954"/>
        <v>0</v>
      </c>
      <c r="J308" s="35">
        <f t="shared" si="1954"/>
        <v>16</v>
      </c>
      <c r="K308" s="122">
        <f t="shared" si="1954"/>
        <v>8.1690000000000005</v>
      </c>
      <c r="L308" s="122">
        <f t="shared" si="1954"/>
        <v>0.879</v>
      </c>
      <c r="M308" s="126"/>
      <c r="N308" s="126"/>
      <c r="O308" s="32">
        <f t="shared" ref="O308:P308" si="1955">O307</f>
        <v>100.65</v>
      </c>
      <c r="P308" s="33" t="str">
        <f t="shared" si="1955"/>
        <v>2,31,180</v>
      </c>
      <c r="Q308" s="11" t="str">
        <f t="shared" si="1739"/>
        <v>2</v>
      </c>
      <c r="R308" s="11" t="str">
        <f t="shared" si="1740"/>
        <v>31,180</v>
      </c>
      <c r="S308" s="11">
        <f t="shared" si="1741"/>
        <v>4.1994444444444445E-2</v>
      </c>
      <c r="T308" s="14">
        <f t="shared" si="1742"/>
        <v>2396.7456012700095</v>
      </c>
      <c r="U308" s="38">
        <f t="shared" si="1743"/>
        <v>-100</v>
      </c>
      <c r="V308" s="39">
        <f t="shared" ref="V308:W308" si="1956">V307</f>
        <v>19.8</v>
      </c>
      <c r="W308" s="124">
        <f t="shared" si="1956"/>
        <v>1.08</v>
      </c>
      <c r="X308" s="124">
        <f t="shared" si="1895"/>
        <v>1.075</v>
      </c>
      <c r="Y308" s="126"/>
      <c r="Z308" s="126"/>
      <c r="AA308" s="90">
        <f t="shared" ref="AA308:AB308" si="1957">AA307</f>
        <v>5.0149999999999997</v>
      </c>
      <c r="AB308" s="73" t="str">
        <f t="shared" si="1957"/>
        <v>9,05,040</v>
      </c>
      <c r="AC308" s="11" t="str">
        <f t="shared" si="1746"/>
        <v>9,</v>
      </c>
      <c r="AD308" s="11" t="str">
        <f t="shared" si="1747"/>
        <v>05,040</v>
      </c>
      <c r="AE308" s="11">
        <f t="shared" si="1748"/>
        <v>0.15139999999999998</v>
      </c>
      <c r="AF308" s="14">
        <f t="shared" si="1749"/>
        <v>33.124174372523122</v>
      </c>
      <c r="AG308" s="40">
        <f t="shared" si="1750"/>
        <v>-100</v>
      </c>
      <c r="AH308" s="39">
        <f t="shared" si="1903"/>
        <v>19.600000000000001</v>
      </c>
      <c r="AI308" s="124">
        <f t="shared" si="1903"/>
        <v>1.0860000000000001</v>
      </c>
      <c r="AJ308" s="124">
        <f t="shared" si="1903"/>
        <v>1.0780000000000001</v>
      </c>
      <c r="AK308" s="126">
        <f t="shared" si="1751"/>
        <v>0</v>
      </c>
      <c r="AL308" s="126"/>
      <c r="AM308" s="34">
        <f t="shared" ref="AM308:AN308" si="1958">AM307</f>
        <v>2.0059999999999998</v>
      </c>
      <c r="AN308" s="33" t="str">
        <f t="shared" si="1958"/>
        <v>5,40,620</v>
      </c>
      <c r="AO308" s="11" t="str">
        <f t="shared" si="1753"/>
        <v>5,</v>
      </c>
      <c r="AP308" s="11" t="str">
        <f t="shared" si="1754"/>
        <v>40,620</v>
      </c>
      <c r="AQ308" s="11">
        <f t="shared" si="1755"/>
        <v>9.4616666666666668E-2</v>
      </c>
      <c r="AR308" s="14">
        <f t="shared" si="1756"/>
        <v>21.201338735247486</v>
      </c>
      <c r="AS308" s="40">
        <f t="shared" si="1757"/>
        <v>-100</v>
      </c>
      <c r="AT308" s="41" t="str">
        <f t="shared" si="1758"/>
        <v>NO CONFORME</v>
      </c>
      <c r="AU308" s="8" t="b">
        <f t="shared" si="1680"/>
        <v>1</v>
      </c>
      <c r="AV308" s="8" t="b">
        <f t="shared" si="1681"/>
        <v>0</v>
      </c>
      <c r="AW308" s="8" t="b">
        <f t="shared" si="1682"/>
        <v>1</v>
      </c>
      <c r="AX308" s="8" t="str">
        <f t="shared" si="1683"/>
        <v>Qcorrecto</v>
      </c>
      <c r="AY308" s="22" t="str">
        <f t="shared" si="1663"/>
        <v>aceptable</v>
      </c>
      <c r="AZ308" s="22" t="str">
        <f t="shared" si="1664"/>
        <v>aceptable</v>
      </c>
      <c r="BA308" s="22" t="str">
        <f t="shared" si="1684"/>
        <v>aceptable</v>
      </c>
      <c r="BB308" s="25" t="str">
        <f t="shared" si="1685"/>
        <v>NO CONFORME</v>
      </c>
      <c r="BC308" s="5" t="str">
        <f t="shared" si="1686"/>
        <v>NO CONFORME</v>
      </c>
      <c r="BD308" s="15">
        <f t="shared" si="1665"/>
        <v>-1</v>
      </c>
      <c r="BE308" s="15">
        <f t="shared" si="1666"/>
        <v>-1</v>
      </c>
      <c r="BF308" s="15">
        <f t="shared" si="1667"/>
        <v>-1</v>
      </c>
      <c r="BG308" s="15" t="str">
        <f t="shared" si="1668"/>
        <v>-1-1-1</v>
      </c>
      <c r="BH308" s="15" t="str">
        <f t="shared" si="1669"/>
        <v>SD</v>
      </c>
      <c r="BI308" s="15" t="str">
        <f t="shared" si="1670"/>
        <v>SI</v>
      </c>
      <c r="BJ308" s="15" t="b">
        <f t="shared" si="1671"/>
        <v>1</v>
      </c>
      <c r="BK308" s="15" t="str">
        <f t="shared" si="1672"/>
        <v>SIGIGUALES</v>
      </c>
      <c r="BL308" s="22" t="str">
        <f t="shared" si="1673"/>
        <v>NO CONFORME</v>
      </c>
    </row>
    <row r="310" spans="1:64" ht="27.6" x14ac:dyDescent="0.45">
      <c r="AT310" s="58">
        <f>COUNTIF(AT9:AT308,"NO CONFORME")</f>
        <v>285</v>
      </c>
    </row>
    <row r="311" spans="1:64" ht="27.6" x14ac:dyDescent="0.45">
      <c r="AT311" s="59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QA24366721</v>
      </c>
      <c r="D6" s="64">
        <f>'ERROR FINAL'!I9</f>
        <v>0</v>
      </c>
      <c r="E6" s="65">
        <f>'ERROR FINAL'!U9</f>
        <v>-0.4570293094882773</v>
      </c>
      <c r="F6" s="66">
        <f>'ERROR FINAL'!AG9</f>
        <v>0.69790628115563003</v>
      </c>
      <c r="G6" s="66">
        <f>'ERROR FINAL'!AS9</f>
        <v>1.6949152542354855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QA24366496</v>
      </c>
      <c r="D7" s="64">
        <f>'ERROR FINAL'!I10</f>
        <v>0</v>
      </c>
      <c r="E7" s="65">
        <f>'ERROR FINAL'!U10</f>
        <v>-0.21857923497261997</v>
      </c>
      <c r="F7" s="66">
        <f>'ERROR FINAL'!AG10</f>
        <v>1.2961116650035407</v>
      </c>
      <c r="G7" s="66">
        <f>'ERROR FINAL'!AS10</f>
        <v>1.6949152542411527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QA24366389</v>
      </c>
      <c r="D8" s="64">
        <f>'ERROR FINAL'!I11</f>
        <v>0</v>
      </c>
      <c r="E8" s="65">
        <f>'ERROR FINAL'!U11</f>
        <v>-0.20864381520114367</v>
      </c>
      <c r="F8" s="66">
        <f>'ERROR FINAL'!AG11</f>
        <v>9.9700897307719458E-2</v>
      </c>
      <c r="G8" s="66">
        <f>'ERROR FINAL'!AS11</f>
        <v>1.19641076769556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QA24366557</v>
      </c>
      <c r="D9" s="64">
        <f>'ERROR FINAL'!I12</f>
        <v>0</v>
      </c>
      <c r="E9" s="65">
        <f>'ERROR FINAL'!U12</f>
        <v>-4.9677098857409778E-2</v>
      </c>
      <c r="F9" s="66">
        <f>'ERROR FINAL'!AG12</f>
        <v>0.89730807577160021</v>
      </c>
      <c r="G9" s="66">
        <f>'ERROR FINAL'!AS12</f>
        <v>0.69790628115563447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QA24366359</v>
      </c>
      <c r="D10" s="64">
        <f>'ERROR FINAL'!I13</f>
        <v>0</v>
      </c>
      <c r="E10" s="65">
        <f>'ERROR FINAL'!U13</f>
        <v>-1.9870839542980856E-2</v>
      </c>
      <c r="F10" s="66">
        <f>'ERROR FINAL'!AG13</f>
        <v>0.29910269192822353</v>
      </c>
      <c r="G10" s="66">
        <f>'ERROR FINAL'!AS13</f>
        <v>0.199401794615709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QA24366821</v>
      </c>
      <c r="D11" s="64">
        <f>'ERROR FINAL'!I14</f>
        <v>0</v>
      </c>
      <c r="E11" s="65">
        <f>'ERROR FINAL'!U14</f>
        <v>0.27819175360153431</v>
      </c>
      <c r="F11" s="66">
        <f>'ERROR FINAL'!AG14</f>
        <v>0.49850448653965984</v>
      </c>
      <c r="G11" s="66">
        <f>'ERROR FINAL'!AS14</f>
        <v>0.69790628115563447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QA24366779</v>
      </c>
      <c r="D12" s="64">
        <f>'ERROR FINAL'!I15</f>
        <v>0</v>
      </c>
      <c r="E12" s="65">
        <f>'ERROR FINAL'!U15</f>
        <v>-0.24838549428716186</v>
      </c>
      <c r="F12" s="66">
        <f>'ERROR FINAL'!AG15</f>
        <v>1.4955134596217778</v>
      </c>
      <c r="G12" s="66">
        <f>'ERROR FINAL'!AS15</f>
        <v>1.19641076769556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QA24366811</v>
      </c>
      <c r="D13" s="64">
        <f>'ERROR FINAL'!I16</f>
        <v>0</v>
      </c>
      <c r="E13" s="65">
        <f>'ERROR FINAL'!U16</f>
        <v>0.10928961748632411</v>
      </c>
      <c r="F13" s="66">
        <f>'ERROR FINAL'!AG16</f>
        <v>1.0967098703875704</v>
      </c>
      <c r="G13" s="66">
        <f>'ERROR FINAL'!AS16</f>
        <v>0.19940179462137633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QA24366812</v>
      </c>
      <c r="D14" s="64">
        <f>'ERROR FINAL'!I17</f>
        <v>0</v>
      </c>
      <c r="E14" s="65">
        <f>'ERROR FINAL'!U17</f>
        <v>9.9354197714480695E-3</v>
      </c>
      <c r="F14" s="66">
        <f>'ERROR FINAL'!AG17</f>
        <v>0.49850448654192675</v>
      </c>
      <c r="G14" s="66">
        <f>'ERROR FINAL'!AS17</f>
        <v>1.19641076769556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QA24366829</v>
      </c>
      <c r="D15" s="64">
        <f>'ERROR FINAL'!I18</f>
        <v>0</v>
      </c>
      <c r="E15" s="65">
        <f>'ERROR FINAL'!U18</f>
        <v>-0.34773969200192495</v>
      </c>
      <c r="F15" s="66">
        <f>'ERROR FINAL'!AG18</f>
        <v>0.49850448653965984</v>
      </c>
      <c r="G15" s="66">
        <f>'ERROR FINAL'!AS18</f>
        <v>-0.29910269192421651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QA24366408</v>
      </c>
      <c r="D16" s="64">
        <f>'ERROR FINAL'!I19</f>
        <v>0</v>
      </c>
      <c r="E16" s="65">
        <f>'ERROR FINAL'!U19</f>
        <v>-0.68554396423245834</v>
      </c>
      <c r="F16" s="66">
        <f>'ERROR FINAL'!AG19</f>
        <v>9.9700897307719458E-2</v>
      </c>
      <c r="G16" s="66">
        <f>'ERROR FINAL'!AS19</f>
        <v>0.199401794615709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QA24366772</v>
      </c>
      <c r="D17" s="64">
        <f>'ERROR FINAL'!I20</f>
        <v>0</v>
      </c>
      <c r="E17" s="65">
        <f>'ERROR FINAL'!U20</f>
        <v>-0.30799801291601975</v>
      </c>
      <c r="F17" s="66">
        <f>'ERROR FINAL'!AG20</f>
        <v>0.69790628115563003</v>
      </c>
      <c r="G17" s="66">
        <f>'ERROR FINAL'!AS20</f>
        <v>0.69790628115563447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3</v>
      </c>
      <c r="C18" s="63" t="str">
        <f>'ERROR FINAL'!G21</f>
        <v>QA24366421</v>
      </c>
      <c r="D18" s="64">
        <f>'ERROR FINAL'!I21</f>
        <v>0</v>
      </c>
      <c r="E18" s="65">
        <f>'ERROR FINAL'!U21</f>
        <v>-0.63586686537507675</v>
      </c>
      <c r="F18" s="66">
        <f>'ERROR FINAL'!AG21</f>
        <v>9.9700897307719458E-2</v>
      </c>
      <c r="G18" s="66">
        <f>'ERROR FINAL'!AS21</f>
        <v>0.199401794615709</v>
      </c>
      <c r="H18" s="67" t="str">
        <f>IF('ERROR FINAL'!AT21="CONFORME","CONFORME","NO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3</v>
      </c>
      <c r="C19" s="63" t="str">
        <f>'ERROR FINAL'!G22</f>
        <v>QA24366454</v>
      </c>
      <c r="D19" s="64">
        <f>'ERROR FINAL'!I22</f>
        <v>0</v>
      </c>
      <c r="E19" s="65">
        <f>'ERROR FINAL'!U22</f>
        <v>0.61599602583206758</v>
      </c>
      <c r="F19" s="66">
        <f>'ERROR FINAL'!AG22</f>
        <v>1.2961116650035407</v>
      </c>
      <c r="G19" s="66">
        <f>'ERROR FINAL'!AS22</f>
        <v>0.69790628116130182</v>
      </c>
      <c r="H19" s="67" t="str">
        <f>IF('ERROR FINAL'!AT22="CONFORME","CONFORME","NO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3</v>
      </c>
      <c r="C20" s="63" t="str">
        <f>'ERROR FINAL'!G23</f>
        <v>QA24366419</v>
      </c>
      <c r="D20" s="64">
        <f>'ERROR FINAL'!I23</f>
        <v>0</v>
      </c>
      <c r="E20" s="65">
        <f>'ERROR FINAL'!U23</f>
        <v>3.9741679085989946E-2</v>
      </c>
      <c r="F20" s="66">
        <f>'ERROR FINAL'!AG23</f>
        <v>-1.0967098703881017</v>
      </c>
      <c r="G20" s="66">
        <f>'ERROR FINAL'!AS23</f>
        <v>0.69790628115563447</v>
      </c>
      <c r="H20" s="67" t="str">
        <f>IF('ERROR FINAL'!AT23="CONFORME","CONFORME","NO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3</v>
      </c>
      <c r="C21" s="63">
        <f>'ERROR FINAL'!G24</f>
        <v>0</v>
      </c>
      <c r="D21" s="64">
        <f>'ERROR FINAL'!I24</f>
        <v>0</v>
      </c>
      <c r="E21" s="65">
        <f>'ERROR FINAL'!U24</f>
        <v>-100</v>
      </c>
      <c r="F21" s="66">
        <f>'ERROR FINAL'!AG24</f>
        <v>-100</v>
      </c>
      <c r="G21" s="66">
        <f>'ERROR FINAL'!AS24</f>
        <v>-100</v>
      </c>
      <c r="H21" s="67" t="str">
        <f>IF('ERROR FINAL'!AT24="CONFORME","CONFORME","NO CONFORME")</f>
        <v>NO CONFORME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3</v>
      </c>
      <c r="C22" s="63">
        <f>'ERROR FINAL'!G25</f>
        <v>0</v>
      </c>
      <c r="D22" s="64">
        <f>'ERROR FINAL'!I25</f>
        <v>0</v>
      </c>
      <c r="E22" s="65">
        <f>'ERROR FINAL'!U25</f>
        <v>-100</v>
      </c>
      <c r="F22" s="66">
        <f>'ERROR FINAL'!AG25</f>
        <v>-100</v>
      </c>
      <c r="G22" s="66">
        <f>'ERROR FINAL'!AS25</f>
        <v>-100</v>
      </c>
      <c r="H22" s="67" t="str">
        <f>IF('ERROR FINAL'!AT25="CONFORME","CONFORME","NO CONFORME")</f>
        <v>NO CONFORME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3</v>
      </c>
      <c r="C23" s="63">
        <f>'ERROR FINAL'!G26</f>
        <v>0</v>
      </c>
      <c r="D23" s="64">
        <f>'ERROR FINAL'!I26</f>
        <v>0</v>
      </c>
      <c r="E23" s="65">
        <f>'ERROR FINAL'!U26</f>
        <v>-100</v>
      </c>
      <c r="F23" s="66">
        <f>'ERROR FINAL'!AG26</f>
        <v>-100</v>
      </c>
      <c r="G23" s="66">
        <f>'ERROR FINAL'!AS26</f>
        <v>-100</v>
      </c>
      <c r="H23" s="67" t="str">
        <f>IF('ERROR FINAL'!AT26="CONFORME","CONFORME","NO CONFORME")</f>
        <v>NO CONFORME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3</v>
      </c>
      <c r="C24" s="63">
        <f>'ERROR FINAL'!G27</f>
        <v>0</v>
      </c>
      <c r="D24" s="64">
        <f>'ERROR FINAL'!I27</f>
        <v>0</v>
      </c>
      <c r="E24" s="65">
        <f>'ERROR FINAL'!U27</f>
        <v>-100</v>
      </c>
      <c r="F24" s="66">
        <f>'ERROR FINAL'!AG27</f>
        <v>-100</v>
      </c>
      <c r="G24" s="66">
        <f>'ERROR FINAL'!AS27</f>
        <v>-100</v>
      </c>
      <c r="H24" s="67" t="str">
        <f>IF('ERROR FINAL'!AT27="CONFORME","CONFORME","NO CONFORME")</f>
        <v>NO CONFORME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3</v>
      </c>
      <c r="C25" s="63">
        <f>'ERROR FINAL'!G28</f>
        <v>0</v>
      </c>
      <c r="D25" s="64">
        <f>'ERROR FINAL'!I28</f>
        <v>0</v>
      </c>
      <c r="E25" s="65">
        <f>'ERROR FINAL'!U28</f>
        <v>-100</v>
      </c>
      <c r="F25" s="66">
        <f>'ERROR FINAL'!AG28</f>
        <v>-100</v>
      </c>
      <c r="G25" s="66">
        <f>'ERROR FINAL'!AS28</f>
        <v>-100</v>
      </c>
      <c r="H25" s="67" t="str">
        <f>IF('ERROR FINAL'!AT28="CONFORME","CONFORME","NO CONFORME")</f>
        <v>NO CONFORME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3</v>
      </c>
      <c r="C26" s="63">
        <f>'ERROR FINAL'!G29</f>
        <v>0</v>
      </c>
      <c r="D26" s="64">
        <f>'ERROR FINAL'!I29</f>
        <v>0</v>
      </c>
      <c r="E26" s="65">
        <f>'ERROR FINAL'!U29</f>
        <v>-100</v>
      </c>
      <c r="F26" s="66">
        <f>'ERROR FINAL'!AG29</f>
        <v>-100</v>
      </c>
      <c r="G26" s="66">
        <f>'ERROR FINAL'!AS29</f>
        <v>-100</v>
      </c>
      <c r="H26" s="67" t="str">
        <f>IF('ERROR FINAL'!AT29="CONFORME","CONFORME","NO CONFORME")</f>
        <v>NO CONFORME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3</v>
      </c>
      <c r="C27" s="63">
        <f>'ERROR FINAL'!G30</f>
        <v>0</v>
      </c>
      <c r="D27" s="64">
        <f>'ERROR FINAL'!I30</f>
        <v>0</v>
      </c>
      <c r="E27" s="65">
        <f>'ERROR FINAL'!U30</f>
        <v>-100</v>
      </c>
      <c r="F27" s="66">
        <f>'ERROR FINAL'!AG30</f>
        <v>-100</v>
      </c>
      <c r="G27" s="66">
        <f>'ERROR FINAL'!AS30</f>
        <v>-100</v>
      </c>
      <c r="H27" s="67" t="str">
        <f>IF('ERROR FINAL'!AT30="CONFORME","CONFORME","NO CONFORME")</f>
        <v>NO CONFORME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3</v>
      </c>
      <c r="C28" s="63">
        <f>'ERROR FINAL'!G31</f>
        <v>0</v>
      </c>
      <c r="D28" s="64">
        <f>'ERROR FINAL'!I31</f>
        <v>0</v>
      </c>
      <c r="E28" s="65">
        <f>'ERROR FINAL'!U31</f>
        <v>-100</v>
      </c>
      <c r="F28" s="66">
        <f>'ERROR FINAL'!AG31</f>
        <v>-100</v>
      </c>
      <c r="G28" s="66">
        <f>'ERROR FINAL'!AS31</f>
        <v>-100</v>
      </c>
      <c r="H28" s="67" t="str">
        <f>IF('ERROR FINAL'!AT31="CONFORME","CONFORME","NO CONFORME")</f>
        <v>NO CONFORME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3</v>
      </c>
      <c r="C29" s="63">
        <f>'ERROR FINAL'!G32</f>
        <v>0</v>
      </c>
      <c r="D29" s="64">
        <f>'ERROR FINAL'!I32</f>
        <v>0</v>
      </c>
      <c r="E29" s="65">
        <f>'ERROR FINAL'!U32</f>
        <v>-100</v>
      </c>
      <c r="F29" s="66">
        <f>'ERROR FINAL'!AG32</f>
        <v>-100</v>
      </c>
      <c r="G29" s="66">
        <f>'ERROR FINAL'!AS32</f>
        <v>-100</v>
      </c>
      <c r="H29" s="67" t="str">
        <f>IF('ERROR FINAL'!AT32="CONFORME","CONFORME","NO CONFORME")</f>
        <v>NO CONFORME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3</v>
      </c>
      <c r="C30" s="63">
        <f>'ERROR FINAL'!G33</f>
        <v>0</v>
      </c>
      <c r="D30" s="64">
        <f>'ERROR FINAL'!I33</f>
        <v>0</v>
      </c>
      <c r="E30" s="65">
        <f>'ERROR FINAL'!U33</f>
        <v>-100</v>
      </c>
      <c r="F30" s="66">
        <f>'ERROR FINAL'!AG33</f>
        <v>-100</v>
      </c>
      <c r="G30" s="66">
        <f>'ERROR FINAL'!AS33</f>
        <v>-100</v>
      </c>
      <c r="H30" s="67" t="str">
        <f>IF('ERROR FINAL'!AT33="CONFORME","CONFORME","NO CONFORME")</f>
        <v>NO CONFORME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3</v>
      </c>
      <c r="C31" s="63">
        <f>'ERROR FINAL'!G34</f>
        <v>0</v>
      </c>
      <c r="D31" s="64">
        <f>'ERROR FINAL'!I34</f>
        <v>0</v>
      </c>
      <c r="E31" s="65">
        <f>'ERROR FINAL'!U34</f>
        <v>-100</v>
      </c>
      <c r="F31" s="66">
        <f>'ERROR FINAL'!AG34</f>
        <v>-100</v>
      </c>
      <c r="G31" s="66">
        <f>'ERROR FINAL'!AS34</f>
        <v>-100</v>
      </c>
      <c r="H31" s="67" t="str">
        <f>IF('ERROR FINAL'!AT34="CONFORME","CONFORME","NO CONFORME")</f>
        <v>NO CONFORME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3</v>
      </c>
      <c r="C32" s="63">
        <f>'ERROR FINAL'!G35</f>
        <v>0</v>
      </c>
      <c r="D32" s="64">
        <f>'ERROR FINAL'!I35</f>
        <v>0</v>
      </c>
      <c r="E32" s="65">
        <f>'ERROR FINAL'!U35</f>
        <v>-100</v>
      </c>
      <c r="F32" s="66">
        <f>'ERROR FINAL'!AG35</f>
        <v>-100</v>
      </c>
      <c r="G32" s="66">
        <f>'ERROR FINAL'!AS35</f>
        <v>-100</v>
      </c>
      <c r="H32" s="67" t="str">
        <f>IF('ERROR FINAL'!AT35="CONFORME","CONFORME","NO CONFORME")</f>
        <v>NO CONFORME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3</v>
      </c>
      <c r="C33" s="63">
        <f>'ERROR FINAL'!G36</f>
        <v>0</v>
      </c>
      <c r="D33" s="64">
        <f>'ERROR FINAL'!I36</f>
        <v>0</v>
      </c>
      <c r="E33" s="65">
        <f>'ERROR FINAL'!U36</f>
        <v>-100</v>
      </c>
      <c r="F33" s="66">
        <f>'ERROR FINAL'!AG36</f>
        <v>-100</v>
      </c>
      <c r="G33" s="66">
        <f>'ERROR FINAL'!AS36</f>
        <v>-100</v>
      </c>
      <c r="H33" s="67" t="str">
        <f>IF('ERROR FINAL'!AT36="CONFORME","CONFORME","NO CONFORME")</f>
        <v>NO CONFORME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3</v>
      </c>
      <c r="C34" s="63">
        <f>'ERROR FINAL'!G37</f>
        <v>0</v>
      </c>
      <c r="D34" s="64">
        <f>'ERROR FINAL'!I37</f>
        <v>0</v>
      </c>
      <c r="E34" s="65">
        <f>'ERROR FINAL'!U37</f>
        <v>-100</v>
      </c>
      <c r="F34" s="66">
        <f>'ERROR FINAL'!AG37</f>
        <v>-100</v>
      </c>
      <c r="G34" s="66">
        <f>'ERROR FINAL'!AS37</f>
        <v>-100</v>
      </c>
      <c r="H34" s="67" t="str">
        <f>IF('ERROR FINAL'!AT37="CONFORME","CONFORME","NO CONFORME")</f>
        <v>NO CONFORME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3</v>
      </c>
      <c r="C35" s="63">
        <f>'ERROR FINAL'!G38</f>
        <v>0</v>
      </c>
      <c r="D35" s="64">
        <f>'ERROR FINAL'!I38</f>
        <v>0</v>
      </c>
      <c r="E35" s="65">
        <f>'ERROR FINAL'!U38</f>
        <v>-100</v>
      </c>
      <c r="F35" s="66">
        <f>'ERROR FINAL'!AG38</f>
        <v>-100</v>
      </c>
      <c r="G35" s="66">
        <f>'ERROR FINAL'!AS38</f>
        <v>-100</v>
      </c>
      <c r="H35" s="67" t="str">
        <f>IF('ERROR FINAL'!AT38="CONFORME","CONFORME","NO CONFORME")</f>
        <v>NO CONFORME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3</v>
      </c>
      <c r="C36" s="63">
        <f>'ERROR FINAL'!G39</f>
        <v>0</v>
      </c>
      <c r="D36" s="64">
        <f>'ERROR FINAL'!I39</f>
        <v>0</v>
      </c>
      <c r="E36" s="65">
        <f>'ERROR FINAL'!U39</f>
        <v>-100</v>
      </c>
      <c r="F36" s="66">
        <f>'ERROR FINAL'!AG39</f>
        <v>-100</v>
      </c>
      <c r="G36" s="66">
        <f>'ERROR FINAL'!AS39</f>
        <v>-100</v>
      </c>
      <c r="H36" s="67" t="str">
        <f>IF('ERROR FINAL'!AT39="CONFORME","CONFORME","NO CONFORME")</f>
        <v>NO CONFORME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3</v>
      </c>
      <c r="C37" s="63">
        <f>'ERROR FINAL'!G40</f>
        <v>0</v>
      </c>
      <c r="D37" s="64">
        <f>'ERROR FINAL'!I40</f>
        <v>0</v>
      </c>
      <c r="E37" s="65">
        <f>'ERROR FINAL'!U40</f>
        <v>-100</v>
      </c>
      <c r="F37" s="66">
        <f>'ERROR FINAL'!AG40</f>
        <v>-100</v>
      </c>
      <c r="G37" s="66">
        <f>'ERROR FINAL'!AS40</f>
        <v>-100</v>
      </c>
      <c r="H37" s="67" t="str">
        <f>IF('ERROR FINAL'!AT40="CONFORME","CONFORME","NO CONFORME")</f>
        <v>NO CONFORME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3</v>
      </c>
      <c r="C38" s="63">
        <f>'ERROR FINAL'!G41</f>
        <v>0</v>
      </c>
      <c r="D38" s="64">
        <f>'ERROR FINAL'!I41</f>
        <v>0</v>
      </c>
      <c r="E38" s="65">
        <f>'ERROR FINAL'!U41</f>
        <v>-100</v>
      </c>
      <c r="F38" s="66">
        <f>'ERROR FINAL'!AG41</f>
        <v>-100</v>
      </c>
      <c r="G38" s="66">
        <f>'ERROR FINAL'!AS41</f>
        <v>-100</v>
      </c>
      <c r="H38" s="67" t="str">
        <f>IF('ERROR FINAL'!AT41="CONFORME","CONFORME","NO CONFORME")</f>
        <v>NO CONFORME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3</v>
      </c>
      <c r="C39" s="63">
        <f>'ERROR FINAL'!G42</f>
        <v>0</v>
      </c>
      <c r="D39" s="64">
        <f>'ERROR FINAL'!I42</f>
        <v>0</v>
      </c>
      <c r="E39" s="65">
        <f>'ERROR FINAL'!U42</f>
        <v>-100</v>
      </c>
      <c r="F39" s="66">
        <f>'ERROR FINAL'!AG42</f>
        <v>-100</v>
      </c>
      <c r="G39" s="66">
        <f>'ERROR FINAL'!AS42</f>
        <v>-100</v>
      </c>
      <c r="H39" s="67" t="str">
        <f>IF('ERROR FINAL'!AT42="CONFORME","CONFORME","NO CONFORME")</f>
        <v>NO CONFORME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3</v>
      </c>
      <c r="C40" s="63">
        <f>'ERROR FINAL'!G43</f>
        <v>0</v>
      </c>
      <c r="D40" s="64">
        <f>'ERROR FINAL'!I43</f>
        <v>0</v>
      </c>
      <c r="E40" s="65">
        <f>'ERROR FINAL'!U43</f>
        <v>-100</v>
      </c>
      <c r="F40" s="66">
        <f>'ERROR FINAL'!AG43</f>
        <v>-100</v>
      </c>
      <c r="G40" s="66">
        <f>'ERROR FINAL'!AS43</f>
        <v>-100</v>
      </c>
      <c r="H40" s="67" t="str">
        <f>IF('ERROR FINAL'!AT43="CONFORME","CONFORME","NO CONFORME")</f>
        <v>NO CONFORME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3</v>
      </c>
      <c r="C41" s="63">
        <f>'ERROR FINAL'!G44</f>
        <v>0</v>
      </c>
      <c r="D41" s="64">
        <f>'ERROR FINAL'!I44</f>
        <v>0</v>
      </c>
      <c r="E41" s="65">
        <f>'ERROR FINAL'!U44</f>
        <v>-100</v>
      </c>
      <c r="F41" s="66">
        <f>'ERROR FINAL'!AG44</f>
        <v>-100</v>
      </c>
      <c r="G41" s="66">
        <f>'ERROR FINAL'!AS44</f>
        <v>-100</v>
      </c>
      <c r="H41" s="67" t="str">
        <f>IF('ERROR FINAL'!AT44="CONFORME","CONFORME","NO CONFORME")</f>
        <v>NO CONFORME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3</v>
      </c>
      <c r="C42" s="63">
        <f>'ERROR FINAL'!G45</f>
        <v>0</v>
      </c>
      <c r="D42" s="64">
        <f>'ERROR FINAL'!I45</f>
        <v>0</v>
      </c>
      <c r="E42" s="65">
        <f>'ERROR FINAL'!U45</f>
        <v>-100</v>
      </c>
      <c r="F42" s="66">
        <f>'ERROR FINAL'!AG45</f>
        <v>-100</v>
      </c>
      <c r="G42" s="66">
        <f>'ERROR FINAL'!AS45</f>
        <v>-100</v>
      </c>
      <c r="H42" s="67" t="str">
        <f>IF('ERROR FINAL'!AT45="CONFORME","CONFORME","NO CONFORME")</f>
        <v>NO CONFORME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3</v>
      </c>
      <c r="C43" s="63">
        <f>'ERROR FINAL'!G46</f>
        <v>0</v>
      </c>
      <c r="D43" s="64">
        <f>'ERROR FINAL'!I46</f>
        <v>0</v>
      </c>
      <c r="E43" s="65">
        <f>'ERROR FINAL'!U46</f>
        <v>-100</v>
      </c>
      <c r="F43" s="66">
        <f>'ERROR FINAL'!AG46</f>
        <v>-100</v>
      </c>
      <c r="G43" s="66">
        <f>'ERROR FINAL'!AS46</f>
        <v>-100</v>
      </c>
      <c r="H43" s="67" t="str">
        <f>IF('ERROR FINAL'!AT46="CONFORME","CONFORME","NO CONFORME")</f>
        <v>NO CONFORME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3</v>
      </c>
      <c r="C44" s="63">
        <f>'ERROR FINAL'!G47</f>
        <v>0</v>
      </c>
      <c r="D44" s="64">
        <f>'ERROR FINAL'!I47</f>
        <v>0</v>
      </c>
      <c r="E44" s="65">
        <f>'ERROR FINAL'!U47</f>
        <v>-100</v>
      </c>
      <c r="F44" s="66">
        <f>'ERROR FINAL'!AG47</f>
        <v>-100</v>
      </c>
      <c r="G44" s="66">
        <f>'ERROR FINAL'!AS47</f>
        <v>-100</v>
      </c>
      <c r="H44" s="67" t="str">
        <f>IF('ERROR FINAL'!AT47="CONFORME","CONFORME","NO CONFORME")</f>
        <v>NO CONFORME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3</v>
      </c>
      <c r="C45" s="63">
        <f>'ERROR FINAL'!G48</f>
        <v>0</v>
      </c>
      <c r="D45" s="64">
        <f>'ERROR FINAL'!I48</f>
        <v>0</v>
      </c>
      <c r="E45" s="65">
        <f>'ERROR FINAL'!U48</f>
        <v>-100</v>
      </c>
      <c r="F45" s="66">
        <f>'ERROR FINAL'!AG48</f>
        <v>-100</v>
      </c>
      <c r="G45" s="66">
        <f>'ERROR FINAL'!AS48</f>
        <v>-100</v>
      </c>
      <c r="H45" s="67" t="str">
        <f>IF('ERROR FINAL'!AT48="CONFORME","CONFORME","NO CONFORME")</f>
        <v>NO CONFORME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3</v>
      </c>
      <c r="C46" s="63">
        <f>'ERROR FINAL'!G49</f>
        <v>0</v>
      </c>
      <c r="D46" s="64">
        <f>'ERROR FINAL'!I49</f>
        <v>0</v>
      </c>
      <c r="E46" s="65">
        <f>'ERROR FINAL'!U49</f>
        <v>-100</v>
      </c>
      <c r="F46" s="66">
        <f>'ERROR FINAL'!AG49</f>
        <v>-100</v>
      </c>
      <c r="G46" s="66">
        <f>'ERROR FINAL'!AS49</f>
        <v>-100</v>
      </c>
      <c r="H46" s="67" t="str">
        <f>IF('ERROR FINAL'!AT49="CONFORME","CONFORME","NO CONFORME")</f>
        <v>NO CONFORME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3</v>
      </c>
      <c r="C47" s="63">
        <f>'ERROR FINAL'!G50</f>
        <v>0</v>
      </c>
      <c r="D47" s="64">
        <f>'ERROR FINAL'!I50</f>
        <v>0</v>
      </c>
      <c r="E47" s="65">
        <f>'ERROR FINAL'!U50</f>
        <v>-100</v>
      </c>
      <c r="F47" s="66">
        <f>'ERROR FINAL'!AG50</f>
        <v>-100</v>
      </c>
      <c r="G47" s="66">
        <f>'ERROR FINAL'!AS50</f>
        <v>-100</v>
      </c>
      <c r="H47" s="67" t="str">
        <f>IF('ERROR FINAL'!AT50="CONFORME","CONFORME","NO CONFORME")</f>
        <v>NO CONFORME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3</v>
      </c>
      <c r="C48" s="63">
        <f>'ERROR FINAL'!G51</f>
        <v>0</v>
      </c>
      <c r="D48" s="64">
        <f>'ERROR FINAL'!I51</f>
        <v>0</v>
      </c>
      <c r="E48" s="65">
        <f>'ERROR FINAL'!U51</f>
        <v>-100</v>
      </c>
      <c r="F48" s="66">
        <f>'ERROR FINAL'!AG51</f>
        <v>-100</v>
      </c>
      <c r="G48" s="66">
        <f>'ERROR FINAL'!AS51</f>
        <v>-100</v>
      </c>
      <c r="H48" s="67" t="str">
        <f>IF('ERROR FINAL'!AT51="CONFORME","CONFORME","NO CONFORME")</f>
        <v>NO CONFORME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3</v>
      </c>
      <c r="C49" s="63">
        <f>'ERROR FINAL'!G52</f>
        <v>0</v>
      </c>
      <c r="D49" s="64">
        <f>'ERROR FINAL'!I52</f>
        <v>0</v>
      </c>
      <c r="E49" s="65">
        <f>'ERROR FINAL'!U52</f>
        <v>-100</v>
      </c>
      <c r="F49" s="66">
        <f>'ERROR FINAL'!AG52</f>
        <v>-100</v>
      </c>
      <c r="G49" s="66">
        <f>'ERROR FINAL'!AS52</f>
        <v>-100</v>
      </c>
      <c r="H49" s="67" t="str">
        <f>IF('ERROR FINAL'!AT52="CONFORME","CONFORME","NO CONFORME")</f>
        <v>NO CONFORME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3</v>
      </c>
      <c r="C50" s="63">
        <f>'ERROR FINAL'!G53</f>
        <v>0</v>
      </c>
      <c r="D50" s="64">
        <f>'ERROR FINAL'!I53</f>
        <v>0</v>
      </c>
      <c r="E50" s="65">
        <f>'ERROR FINAL'!U53</f>
        <v>-100</v>
      </c>
      <c r="F50" s="66">
        <f>'ERROR FINAL'!AG53</f>
        <v>-100</v>
      </c>
      <c r="G50" s="66">
        <f>'ERROR FINAL'!AS53</f>
        <v>-100</v>
      </c>
      <c r="H50" s="67" t="str">
        <f>IF('ERROR FINAL'!AT53="CONFORME","CONFORME","NO CONFORME")</f>
        <v>NO CONFORME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3</v>
      </c>
      <c r="C51" s="63">
        <f>'ERROR FINAL'!G54</f>
        <v>0</v>
      </c>
      <c r="D51" s="64">
        <f>'ERROR FINAL'!I54</f>
        <v>0</v>
      </c>
      <c r="E51" s="65">
        <f>'ERROR FINAL'!U54</f>
        <v>-100</v>
      </c>
      <c r="F51" s="66">
        <f>'ERROR FINAL'!AG54</f>
        <v>-100</v>
      </c>
      <c r="G51" s="66">
        <f>'ERROR FINAL'!AS54</f>
        <v>-100</v>
      </c>
      <c r="H51" s="67" t="str">
        <f>IF('ERROR FINAL'!AT54="CONFORME","CONFORME","NO CONFORME")</f>
        <v>NO CONFORME</v>
      </c>
      <c r="I51" s="68" t="str">
        <f t="shared" si="0"/>
        <v>Medición</v>
      </c>
    </row>
    <row r="52" spans="1:9" x14ac:dyDescent="0.25">
      <c r="A52" s="61">
        <f>'ERROR FINAL'!A55</f>
        <v>47</v>
      </c>
      <c r="B52" s="62">
        <f>'ERROR FINAL'!D55</f>
        <v>3</v>
      </c>
      <c r="C52" s="63">
        <f>'ERROR FINAL'!G55</f>
        <v>0</v>
      </c>
      <c r="D52" s="64">
        <f>'ERROR FINAL'!I55</f>
        <v>0</v>
      </c>
      <c r="E52" s="65">
        <f>'ERROR FINAL'!U55</f>
        <v>-100</v>
      </c>
      <c r="F52" s="66">
        <f>'ERROR FINAL'!AG55</f>
        <v>-100</v>
      </c>
      <c r="G52" s="66">
        <f>'ERROR FINAL'!AS55</f>
        <v>-100</v>
      </c>
      <c r="H52" s="67" t="str">
        <f>IF('ERROR FINAL'!AT55="CONFORME","CONFORME","NO CONFORME")</f>
        <v>NO CONFORME</v>
      </c>
      <c r="I52" s="68" t="str">
        <f t="shared" si="0"/>
        <v>Medición</v>
      </c>
    </row>
    <row r="53" spans="1:9" x14ac:dyDescent="0.25">
      <c r="A53" s="61">
        <f>'ERROR FINAL'!A56</f>
        <v>48</v>
      </c>
      <c r="B53" s="62">
        <f>'ERROR FINAL'!D56</f>
        <v>3</v>
      </c>
      <c r="C53" s="63">
        <f>'ERROR FINAL'!G56</f>
        <v>0</v>
      </c>
      <c r="D53" s="64">
        <f>'ERROR FINAL'!I56</f>
        <v>0</v>
      </c>
      <c r="E53" s="65">
        <f>'ERROR FINAL'!U56</f>
        <v>-100</v>
      </c>
      <c r="F53" s="66">
        <f>'ERROR FINAL'!AG56</f>
        <v>-100</v>
      </c>
      <c r="G53" s="66">
        <f>'ERROR FINAL'!AS56</f>
        <v>-100</v>
      </c>
      <c r="H53" s="67" t="str">
        <f>IF('ERROR FINAL'!AT56="CONFORME","CONFORME","NO CONFORME")</f>
        <v>NO CONFORME</v>
      </c>
      <c r="I53" s="68" t="str">
        <f t="shared" si="0"/>
        <v>Medición</v>
      </c>
    </row>
    <row r="54" spans="1:9" x14ac:dyDescent="0.25">
      <c r="A54" s="61">
        <f>'ERROR FINAL'!A57</f>
        <v>49</v>
      </c>
      <c r="B54" s="62">
        <f>'ERROR FINAL'!D57</f>
        <v>3</v>
      </c>
      <c r="C54" s="63">
        <f>'ERROR FINAL'!G57</f>
        <v>0</v>
      </c>
      <c r="D54" s="64">
        <f>'ERROR FINAL'!I57</f>
        <v>0</v>
      </c>
      <c r="E54" s="65">
        <f>'ERROR FINAL'!U57</f>
        <v>-100</v>
      </c>
      <c r="F54" s="66">
        <f>'ERROR FINAL'!AG57</f>
        <v>-100</v>
      </c>
      <c r="G54" s="66">
        <f>'ERROR FINAL'!AS57</f>
        <v>-100</v>
      </c>
      <c r="H54" s="67" t="str">
        <f>IF('ERROR FINAL'!AT57="CONFORME","CONFORME","NO CONFORME")</f>
        <v>NO CONFORME</v>
      </c>
      <c r="I54" s="68" t="str">
        <f t="shared" si="0"/>
        <v>Medición</v>
      </c>
    </row>
    <row r="55" spans="1:9" x14ac:dyDescent="0.25">
      <c r="A55" s="61">
        <f>'ERROR FINAL'!A58</f>
        <v>50</v>
      </c>
      <c r="B55" s="62">
        <f>'ERROR FINAL'!D58</f>
        <v>3</v>
      </c>
      <c r="C55" s="63">
        <f>'ERROR FINAL'!G58</f>
        <v>0</v>
      </c>
      <c r="D55" s="64">
        <f>'ERROR FINAL'!I58</f>
        <v>0</v>
      </c>
      <c r="E55" s="65">
        <f>'ERROR FINAL'!U58</f>
        <v>-100</v>
      </c>
      <c r="F55" s="66">
        <f>'ERROR FINAL'!AG58</f>
        <v>-100</v>
      </c>
      <c r="G55" s="66">
        <f>'ERROR FINAL'!AS58</f>
        <v>-100</v>
      </c>
      <c r="H55" s="67" t="str">
        <f>IF('ERROR FINAL'!AT58="CONFORME","CONFORME","NO CONFORME")</f>
        <v>NO CONFORME</v>
      </c>
      <c r="I55" s="68" t="str">
        <f t="shared" si="0"/>
        <v>Medición</v>
      </c>
    </row>
    <row r="56" spans="1:9" x14ac:dyDescent="0.25">
      <c r="A56" s="61">
        <f>'ERROR FINAL'!A59</f>
        <v>51</v>
      </c>
      <c r="B56" s="62">
        <f>'ERROR FINAL'!D59</f>
        <v>3</v>
      </c>
      <c r="C56" s="63">
        <f>'ERROR FINAL'!G59</f>
        <v>0</v>
      </c>
      <c r="D56" s="64">
        <f>'ERROR FINAL'!I59</f>
        <v>0</v>
      </c>
      <c r="E56" s="65">
        <f>'ERROR FINAL'!U59</f>
        <v>-100</v>
      </c>
      <c r="F56" s="66">
        <f>'ERROR FINAL'!AG59</f>
        <v>-100</v>
      </c>
      <c r="G56" s="66">
        <f>'ERROR FINAL'!AS59</f>
        <v>-100</v>
      </c>
      <c r="H56" s="67" t="str">
        <f>IF('ERROR FINAL'!AT59="CONFORME","CONFORME","NO CONFORME")</f>
        <v>NO CONFORME</v>
      </c>
      <c r="I56" s="68" t="str">
        <f t="shared" si="0"/>
        <v>Medición</v>
      </c>
    </row>
    <row r="57" spans="1:9" x14ac:dyDescent="0.25">
      <c r="A57" s="61">
        <f>'ERROR FINAL'!A60</f>
        <v>52</v>
      </c>
      <c r="B57" s="62">
        <f>'ERROR FINAL'!D60</f>
        <v>3</v>
      </c>
      <c r="C57" s="63">
        <f>'ERROR FINAL'!G60</f>
        <v>0</v>
      </c>
      <c r="D57" s="64">
        <f>'ERROR FINAL'!I60</f>
        <v>0</v>
      </c>
      <c r="E57" s="65">
        <f>'ERROR FINAL'!U60</f>
        <v>-100</v>
      </c>
      <c r="F57" s="66">
        <f>'ERROR FINAL'!AG60</f>
        <v>-100</v>
      </c>
      <c r="G57" s="66">
        <f>'ERROR FINAL'!AS60</f>
        <v>-100</v>
      </c>
      <c r="H57" s="67" t="str">
        <f>IF('ERROR FINAL'!AT60="CONFORME","CONFORME","NO CONFORME")</f>
        <v>NO CONFORME</v>
      </c>
      <c r="I57" s="68" t="str">
        <f t="shared" si="0"/>
        <v>Medición</v>
      </c>
    </row>
    <row r="58" spans="1:9" x14ac:dyDescent="0.25">
      <c r="A58" s="61">
        <f>'ERROR FINAL'!A61</f>
        <v>53</v>
      </c>
      <c r="B58" s="62">
        <f>'ERROR FINAL'!D61</f>
        <v>3</v>
      </c>
      <c r="C58" s="63">
        <f>'ERROR FINAL'!G61</f>
        <v>0</v>
      </c>
      <c r="D58" s="64">
        <f>'ERROR FINAL'!I61</f>
        <v>0</v>
      </c>
      <c r="E58" s="65">
        <f>'ERROR FINAL'!U61</f>
        <v>-100</v>
      </c>
      <c r="F58" s="66">
        <f>'ERROR FINAL'!AG61</f>
        <v>-100</v>
      </c>
      <c r="G58" s="66">
        <f>'ERROR FINAL'!AS61</f>
        <v>-100</v>
      </c>
      <c r="H58" s="67" t="str">
        <f>IF('ERROR FINAL'!AT61="CONFORME","CONFORME","NO CONFORME")</f>
        <v>NO CONFORME</v>
      </c>
      <c r="I58" s="68" t="str">
        <f t="shared" si="0"/>
        <v>Medición</v>
      </c>
    </row>
    <row r="59" spans="1:9" x14ac:dyDescent="0.25">
      <c r="A59" s="61">
        <f>'ERROR FINAL'!A62</f>
        <v>54</v>
      </c>
      <c r="B59" s="62">
        <f>'ERROR FINAL'!D62</f>
        <v>3</v>
      </c>
      <c r="C59" s="63">
        <f>'ERROR FINAL'!G62</f>
        <v>0</v>
      </c>
      <c r="D59" s="64">
        <f>'ERROR FINAL'!I62</f>
        <v>0</v>
      </c>
      <c r="E59" s="65">
        <f>'ERROR FINAL'!U62</f>
        <v>-100</v>
      </c>
      <c r="F59" s="66">
        <f>'ERROR FINAL'!AG62</f>
        <v>-100</v>
      </c>
      <c r="G59" s="66">
        <f>'ERROR FINAL'!AS62</f>
        <v>-100</v>
      </c>
      <c r="H59" s="67" t="str">
        <f>IF('ERROR FINAL'!AT62="CONFORME","CONFORME","NO CONFORME")</f>
        <v>NO CONFORME</v>
      </c>
      <c r="I59" s="68" t="str">
        <f t="shared" si="0"/>
        <v>Medición</v>
      </c>
    </row>
    <row r="60" spans="1:9" x14ac:dyDescent="0.25">
      <c r="A60" s="61">
        <f>'ERROR FINAL'!A63</f>
        <v>55</v>
      </c>
      <c r="B60" s="62">
        <f>'ERROR FINAL'!D63</f>
        <v>3</v>
      </c>
      <c r="C60" s="63">
        <f>'ERROR FINAL'!G63</f>
        <v>0</v>
      </c>
      <c r="D60" s="64">
        <f>'ERROR FINAL'!I63</f>
        <v>0</v>
      </c>
      <c r="E60" s="65">
        <f>'ERROR FINAL'!U63</f>
        <v>-100</v>
      </c>
      <c r="F60" s="66">
        <f>'ERROR FINAL'!AG63</f>
        <v>-100</v>
      </c>
      <c r="G60" s="66">
        <f>'ERROR FINAL'!AS63</f>
        <v>-100</v>
      </c>
      <c r="H60" s="67" t="str">
        <f>IF('ERROR FINAL'!AT63="CONFORME","CONFORME","NO CONFORME")</f>
        <v>NO CONFORME</v>
      </c>
      <c r="I60" s="68" t="str">
        <f t="shared" si="0"/>
        <v>Medición</v>
      </c>
    </row>
    <row r="61" spans="1:9" x14ac:dyDescent="0.25">
      <c r="A61" s="61">
        <f>'ERROR FINAL'!A64</f>
        <v>56</v>
      </c>
      <c r="B61" s="62">
        <f>'ERROR FINAL'!D64</f>
        <v>3</v>
      </c>
      <c r="C61" s="63">
        <f>'ERROR FINAL'!G64</f>
        <v>0</v>
      </c>
      <c r="D61" s="64">
        <f>'ERROR FINAL'!I64</f>
        <v>0</v>
      </c>
      <c r="E61" s="65">
        <f>'ERROR FINAL'!U64</f>
        <v>-100</v>
      </c>
      <c r="F61" s="66">
        <f>'ERROR FINAL'!AG64</f>
        <v>-100</v>
      </c>
      <c r="G61" s="66">
        <f>'ERROR FINAL'!AS64</f>
        <v>-100</v>
      </c>
      <c r="H61" s="67" t="str">
        <f>IF('ERROR FINAL'!AT64="CONFORME","CONFORME","NO CONFORME")</f>
        <v>NO CONFORME</v>
      </c>
      <c r="I61" s="68" t="str">
        <f t="shared" si="0"/>
        <v>Medición</v>
      </c>
    </row>
    <row r="62" spans="1:9" x14ac:dyDescent="0.25">
      <c r="A62" s="61">
        <f>'ERROR FINAL'!A65</f>
        <v>57</v>
      </c>
      <c r="B62" s="62">
        <f>'ERROR FINAL'!D65</f>
        <v>3</v>
      </c>
      <c r="C62" s="63">
        <f>'ERROR FINAL'!G65</f>
        <v>0</v>
      </c>
      <c r="D62" s="64">
        <f>'ERROR FINAL'!I65</f>
        <v>0</v>
      </c>
      <c r="E62" s="65">
        <f>'ERROR FINAL'!U65</f>
        <v>-100</v>
      </c>
      <c r="F62" s="66">
        <f>'ERROR FINAL'!AG65</f>
        <v>-100</v>
      </c>
      <c r="G62" s="66">
        <f>'ERROR FINAL'!AS65</f>
        <v>-100</v>
      </c>
      <c r="H62" s="67" t="str">
        <f>IF('ERROR FINAL'!AT65="CONFORME","CONFORME","NO CONFORME")</f>
        <v>NO CONFORME</v>
      </c>
      <c r="I62" s="68" t="str">
        <f t="shared" si="0"/>
        <v>Medición</v>
      </c>
    </row>
    <row r="63" spans="1:9" x14ac:dyDescent="0.25">
      <c r="A63" s="61">
        <f>'ERROR FINAL'!A66</f>
        <v>58</v>
      </c>
      <c r="B63" s="62">
        <f>'ERROR FINAL'!D66</f>
        <v>3</v>
      </c>
      <c r="C63" s="63">
        <f>'ERROR FINAL'!G66</f>
        <v>0</v>
      </c>
      <c r="D63" s="64">
        <f>'ERROR FINAL'!I66</f>
        <v>0</v>
      </c>
      <c r="E63" s="65">
        <f>'ERROR FINAL'!U66</f>
        <v>-100</v>
      </c>
      <c r="F63" s="66">
        <f>'ERROR FINAL'!AG66</f>
        <v>-100</v>
      </c>
      <c r="G63" s="66">
        <f>'ERROR FINAL'!AS66</f>
        <v>-100</v>
      </c>
      <c r="H63" s="67" t="str">
        <f>IF('ERROR FINAL'!AT66="CONFORME","CONFORME","NO CONFORME")</f>
        <v>NO CONFORME</v>
      </c>
      <c r="I63" s="68" t="str">
        <f t="shared" si="0"/>
        <v>Medición</v>
      </c>
    </row>
    <row r="64" spans="1:9" x14ac:dyDescent="0.25">
      <c r="A64" s="61">
        <f>'ERROR FINAL'!A67</f>
        <v>59</v>
      </c>
      <c r="B64" s="62">
        <f>'ERROR FINAL'!D67</f>
        <v>3</v>
      </c>
      <c r="C64" s="63">
        <f>'ERROR FINAL'!G67</f>
        <v>0</v>
      </c>
      <c r="D64" s="64">
        <f>'ERROR FINAL'!I67</f>
        <v>0</v>
      </c>
      <c r="E64" s="65">
        <f>'ERROR FINAL'!U67</f>
        <v>-100</v>
      </c>
      <c r="F64" s="66">
        <f>'ERROR FINAL'!AG67</f>
        <v>-100</v>
      </c>
      <c r="G64" s="66">
        <f>'ERROR FINAL'!AS67</f>
        <v>-100</v>
      </c>
      <c r="H64" s="67" t="str">
        <f>IF('ERROR FINAL'!AT67="CONFORME","CONFORME","NO CONFORME")</f>
        <v>NO CONFORME</v>
      </c>
      <c r="I64" s="68" t="str">
        <f t="shared" si="0"/>
        <v>Medición</v>
      </c>
    </row>
    <row r="65" spans="1:9" x14ac:dyDescent="0.25">
      <c r="A65" s="61">
        <f>'ERROR FINAL'!A68</f>
        <v>60</v>
      </c>
      <c r="B65" s="62">
        <f>'ERROR FINAL'!D68</f>
        <v>3</v>
      </c>
      <c r="C65" s="63">
        <f>'ERROR FINAL'!G68</f>
        <v>0</v>
      </c>
      <c r="D65" s="64">
        <f>'ERROR FINAL'!I68</f>
        <v>0</v>
      </c>
      <c r="E65" s="65">
        <f>'ERROR FINAL'!U68</f>
        <v>-100</v>
      </c>
      <c r="F65" s="66">
        <f>'ERROR FINAL'!AG68</f>
        <v>-100</v>
      </c>
      <c r="G65" s="66">
        <f>'ERROR FINAL'!AS68</f>
        <v>-100</v>
      </c>
      <c r="H65" s="67" t="str">
        <f>IF('ERROR FINAL'!AT68="CONFORME","CONFORME","NO CONFORME")</f>
        <v>NO CONFORME</v>
      </c>
      <c r="I65" s="68" t="str">
        <f t="shared" si="0"/>
        <v>Medición</v>
      </c>
    </row>
    <row r="66" spans="1:9" x14ac:dyDescent="0.25">
      <c r="A66" s="61">
        <f>'ERROR FINAL'!A69</f>
        <v>61</v>
      </c>
      <c r="B66" s="62">
        <f>'ERROR FINAL'!D69</f>
        <v>3</v>
      </c>
      <c r="C66" s="63">
        <f>'ERROR FINAL'!G69</f>
        <v>0</v>
      </c>
      <c r="D66" s="64">
        <f>'ERROR FINAL'!I69</f>
        <v>0</v>
      </c>
      <c r="E66" s="65">
        <f>'ERROR FINAL'!U69</f>
        <v>-100</v>
      </c>
      <c r="F66" s="66">
        <f>'ERROR FINAL'!AG69</f>
        <v>-100</v>
      </c>
      <c r="G66" s="66">
        <f>'ERROR FINAL'!AS69</f>
        <v>-100</v>
      </c>
      <c r="H66" s="67" t="str">
        <f>IF('ERROR FINAL'!AT69="CONFORME","CONFORME","NO CONFORME")</f>
        <v>NO CONFORME</v>
      </c>
      <c r="I66" s="68" t="str">
        <f t="shared" si="0"/>
        <v>Medición</v>
      </c>
    </row>
    <row r="67" spans="1:9" x14ac:dyDescent="0.25">
      <c r="A67" s="61">
        <f>'ERROR FINAL'!A70</f>
        <v>62</v>
      </c>
      <c r="B67" s="62">
        <f>'ERROR FINAL'!D70</f>
        <v>3</v>
      </c>
      <c r="C67" s="63">
        <f>'ERROR FINAL'!G70</f>
        <v>0</v>
      </c>
      <c r="D67" s="64">
        <f>'ERROR FINAL'!I70</f>
        <v>0</v>
      </c>
      <c r="E67" s="65">
        <f>'ERROR FINAL'!U70</f>
        <v>-100</v>
      </c>
      <c r="F67" s="66">
        <f>'ERROR FINAL'!AG70</f>
        <v>-100</v>
      </c>
      <c r="G67" s="66">
        <f>'ERROR FINAL'!AS70</f>
        <v>-100</v>
      </c>
      <c r="H67" s="67" t="str">
        <f>IF('ERROR FINAL'!AT70="CONFORME","CONFORME","NO CONFORME")</f>
        <v>NO CONFORME</v>
      </c>
      <c r="I67" s="68" t="str">
        <f t="shared" si="0"/>
        <v>Medición</v>
      </c>
    </row>
    <row r="68" spans="1:9" x14ac:dyDescent="0.25">
      <c r="A68" s="61">
        <f>'ERROR FINAL'!A71</f>
        <v>63</v>
      </c>
      <c r="B68" s="62">
        <f>'ERROR FINAL'!D71</f>
        <v>3</v>
      </c>
      <c r="C68" s="63">
        <f>'ERROR FINAL'!G71</f>
        <v>0</v>
      </c>
      <c r="D68" s="64">
        <f>'ERROR FINAL'!I71</f>
        <v>0</v>
      </c>
      <c r="E68" s="65">
        <f>'ERROR FINAL'!U71</f>
        <v>-100</v>
      </c>
      <c r="F68" s="66">
        <f>'ERROR FINAL'!AG71</f>
        <v>-100</v>
      </c>
      <c r="G68" s="66">
        <f>'ERROR FINAL'!AS71</f>
        <v>-100</v>
      </c>
      <c r="H68" s="67" t="str">
        <f>IF('ERROR FINAL'!AT71="CONFORME","CONFORME","NO CONFORME")</f>
        <v>NO CONFORME</v>
      </c>
      <c r="I68" s="68" t="str">
        <f t="shared" si="0"/>
        <v>Medición</v>
      </c>
    </row>
    <row r="69" spans="1:9" x14ac:dyDescent="0.25">
      <c r="A69" s="61">
        <f>'ERROR FINAL'!A72</f>
        <v>64</v>
      </c>
      <c r="B69" s="62">
        <f>'ERROR FINAL'!D72</f>
        <v>3</v>
      </c>
      <c r="C69" s="63">
        <f>'ERROR FINAL'!G72</f>
        <v>0</v>
      </c>
      <c r="D69" s="64">
        <f>'ERROR FINAL'!I72</f>
        <v>0</v>
      </c>
      <c r="E69" s="65">
        <f>'ERROR FINAL'!U72</f>
        <v>-100</v>
      </c>
      <c r="F69" s="66">
        <f>'ERROR FINAL'!AG72</f>
        <v>-100</v>
      </c>
      <c r="G69" s="66">
        <f>'ERROR FINAL'!AS72</f>
        <v>-100</v>
      </c>
      <c r="H69" s="67" t="str">
        <f>IF('ERROR FINAL'!AT72="CONFORME","CONFORME","NO CONFORME")</f>
        <v>NO CONFORME</v>
      </c>
      <c r="I69" s="68" t="str">
        <f t="shared" si="0"/>
        <v>Medición</v>
      </c>
    </row>
    <row r="70" spans="1:9" x14ac:dyDescent="0.25">
      <c r="A70" s="61">
        <f>'ERROR FINAL'!A73</f>
        <v>65</v>
      </c>
      <c r="B70" s="62">
        <f>'ERROR FINAL'!D73</f>
        <v>3</v>
      </c>
      <c r="C70" s="63">
        <f>'ERROR FINAL'!G73</f>
        <v>0</v>
      </c>
      <c r="D70" s="64">
        <f>'ERROR FINAL'!I73</f>
        <v>0</v>
      </c>
      <c r="E70" s="65">
        <f>'ERROR FINAL'!U73</f>
        <v>-100</v>
      </c>
      <c r="F70" s="66">
        <f>'ERROR FINAL'!AG73</f>
        <v>-100</v>
      </c>
      <c r="G70" s="66">
        <f>'ERROR FINAL'!AS73</f>
        <v>-100</v>
      </c>
      <c r="H70" s="67" t="str">
        <f>IF('ERROR FINAL'!AT73="CONFORME","CONFORME","NO CONFORME")</f>
        <v>NO CONFORME</v>
      </c>
      <c r="I70" s="68" t="str">
        <f t="shared" si="0"/>
        <v>Medición</v>
      </c>
    </row>
    <row r="71" spans="1:9" x14ac:dyDescent="0.25">
      <c r="A71" s="61">
        <f>'ERROR FINAL'!A74</f>
        <v>66</v>
      </c>
      <c r="B71" s="62">
        <f>'ERROR FINAL'!D74</f>
        <v>3</v>
      </c>
      <c r="C71" s="63">
        <f>'ERROR FINAL'!G74</f>
        <v>0</v>
      </c>
      <c r="D71" s="64">
        <f>'ERROR FINAL'!I74</f>
        <v>0</v>
      </c>
      <c r="E71" s="65">
        <f>'ERROR FINAL'!U74</f>
        <v>-100</v>
      </c>
      <c r="F71" s="66">
        <f>'ERROR FINAL'!AG74</f>
        <v>-100</v>
      </c>
      <c r="G71" s="66">
        <f>'ERROR FINAL'!AS74</f>
        <v>-100</v>
      </c>
      <c r="H71" s="67" t="str">
        <f>IF('ERROR FINAL'!AT74="CONFORME","CONFORME","NO CONFORME")</f>
        <v>NO 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FINAL'!A75</f>
        <v>67</v>
      </c>
      <c r="B72" s="62">
        <f>'ERROR FINAL'!D75</f>
        <v>3</v>
      </c>
      <c r="C72" s="63">
        <f>'ERROR FINAL'!G75</f>
        <v>0</v>
      </c>
      <c r="D72" s="64">
        <f>'ERROR FINAL'!I75</f>
        <v>0</v>
      </c>
      <c r="E72" s="65">
        <f>'ERROR FINAL'!U75</f>
        <v>-100</v>
      </c>
      <c r="F72" s="66">
        <f>'ERROR FINAL'!AG75</f>
        <v>-100</v>
      </c>
      <c r="G72" s="66">
        <f>'ERROR FINAL'!AS75</f>
        <v>-100</v>
      </c>
      <c r="H72" s="67" t="str">
        <f>IF('ERROR FINAL'!AT75="CONFORME","CONFORME","NO CONFORME")</f>
        <v>NO CONFORME</v>
      </c>
      <c r="I72" s="68" t="str">
        <f t="shared" si="1"/>
        <v>Medición</v>
      </c>
    </row>
    <row r="73" spans="1:9" x14ac:dyDescent="0.25">
      <c r="A73" s="61">
        <f>'ERROR FINAL'!A76</f>
        <v>68</v>
      </c>
      <c r="B73" s="62">
        <f>'ERROR FINAL'!D76</f>
        <v>3</v>
      </c>
      <c r="C73" s="63">
        <f>'ERROR FINAL'!G76</f>
        <v>0</v>
      </c>
      <c r="D73" s="64">
        <f>'ERROR FINAL'!I76</f>
        <v>0</v>
      </c>
      <c r="E73" s="65">
        <f>'ERROR FINAL'!U76</f>
        <v>-100</v>
      </c>
      <c r="F73" s="66">
        <f>'ERROR FINAL'!AG76</f>
        <v>-100</v>
      </c>
      <c r="G73" s="66">
        <f>'ERROR FINAL'!AS76</f>
        <v>-100</v>
      </c>
      <c r="H73" s="67" t="str">
        <f>IF('ERROR FINAL'!AT76="CONFORME","CONFORME","NO CONFORME")</f>
        <v>NO CONFORME</v>
      </c>
      <c r="I73" s="68" t="str">
        <f t="shared" si="1"/>
        <v>Medición</v>
      </c>
    </row>
    <row r="74" spans="1:9" x14ac:dyDescent="0.25">
      <c r="A74" s="61">
        <f>'ERROR FINAL'!A77</f>
        <v>69</v>
      </c>
      <c r="B74" s="62">
        <f>'ERROR FINAL'!D77</f>
        <v>3</v>
      </c>
      <c r="C74" s="63">
        <f>'ERROR FINAL'!G77</f>
        <v>0</v>
      </c>
      <c r="D74" s="64">
        <f>'ERROR FINAL'!I77</f>
        <v>0</v>
      </c>
      <c r="E74" s="65">
        <f>'ERROR FINAL'!U77</f>
        <v>-100</v>
      </c>
      <c r="F74" s="66">
        <f>'ERROR FINAL'!AG77</f>
        <v>-100</v>
      </c>
      <c r="G74" s="66">
        <f>'ERROR FINAL'!AS77</f>
        <v>-100</v>
      </c>
      <c r="H74" s="67" t="str">
        <f>IF('ERROR FINAL'!AT77="CONFORME","CONFORME","NO CONFORME")</f>
        <v>NO CONFORME</v>
      </c>
      <c r="I74" s="68" t="str">
        <f t="shared" si="1"/>
        <v>Medición</v>
      </c>
    </row>
    <row r="75" spans="1:9" x14ac:dyDescent="0.25">
      <c r="A75" s="61">
        <f>'ERROR FINAL'!A78</f>
        <v>70</v>
      </c>
      <c r="B75" s="62">
        <f>'ERROR FINAL'!D78</f>
        <v>3</v>
      </c>
      <c r="C75" s="63">
        <f>'ERROR FINAL'!G78</f>
        <v>0</v>
      </c>
      <c r="D75" s="64">
        <f>'ERROR FINAL'!I78</f>
        <v>0</v>
      </c>
      <c r="E75" s="65">
        <f>'ERROR FINAL'!U78</f>
        <v>-100</v>
      </c>
      <c r="F75" s="66">
        <f>'ERROR FINAL'!AG78</f>
        <v>-100</v>
      </c>
      <c r="G75" s="66">
        <f>'ERROR FINAL'!AS78</f>
        <v>-100</v>
      </c>
      <c r="H75" s="67" t="str">
        <f>IF('ERROR FINAL'!AT78="CONFORME","CONFORME","NO CONFORME")</f>
        <v>NO CONFORME</v>
      </c>
      <c r="I75" s="68" t="str">
        <f t="shared" si="1"/>
        <v>Medición</v>
      </c>
    </row>
    <row r="76" spans="1:9" x14ac:dyDescent="0.25">
      <c r="A76" s="61">
        <f>'ERROR FINAL'!A79</f>
        <v>71</v>
      </c>
      <c r="B76" s="62">
        <f>'ERROR FINAL'!D79</f>
        <v>3</v>
      </c>
      <c r="C76" s="63">
        <f>'ERROR FINAL'!G79</f>
        <v>0</v>
      </c>
      <c r="D76" s="64">
        <f>'ERROR FINAL'!I79</f>
        <v>0</v>
      </c>
      <c r="E76" s="65">
        <f>'ERROR FINAL'!U79</f>
        <v>-100</v>
      </c>
      <c r="F76" s="66">
        <f>'ERROR FINAL'!AG79</f>
        <v>-100</v>
      </c>
      <c r="G76" s="66">
        <f>'ERROR FINAL'!AS79</f>
        <v>-100</v>
      </c>
      <c r="H76" s="67" t="str">
        <f>IF('ERROR FINAL'!AT79="CONFORME","CONFORME","NO CONFORME")</f>
        <v>NO CONFORME</v>
      </c>
      <c r="I76" s="68" t="str">
        <f t="shared" si="1"/>
        <v>Medición</v>
      </c>
    </row>
    <row r="77" spans="1:9" x14ac:dyDescent="0.25">
      <c r="A77" s="61">
        <f>'ERROR FINAL'!A80</f>
        <v>72</v>
      </c>
      <c r="B77" s="62">
        <f>'ERROR FINAL'!D80</f>
        <v>3</v>
      </c>
      <c r="C77" s="63">
        <f>'ERROR FINAL'!G80</f>
        <v>0</v>
      </c>
      <c r="D77" s="64">
        <f>'ERROR FINAL'!I80</f>
        <v>0</v>
      </c>
      <c r="E77" s="65">
        <f>'ERROR FINAL'!U80</f>
        <v>-100</v>
      </c>
      <c r="F77" s="66">
        <f>'ERROR FINAL'!AG80</f>
        <v>-100</v>
      </c>
      <c r="G77" s="66">
        <f>'ERROR FINAL'!AS80</f>
        <v>-100</v>
      </c>
      <c r="H77" s="67" t="str">
        <f>IF('ERROR FINAL'!AT80="CONFORME","CONFORME","NO CONFORME")</f>
        <v>NO CONFORME</v>
      </c>
      <c r="I77" s="68" t="str">
        <f t="shared" si="1"/>
        <v>Medición</v>
      </c>
    </row>
    <row r="78" spans="1:9" x14ac:dyDescent="0.25">
      <c r="A78" s="61">
        <f>'ERROR FINAL'!A81</f>
        <v>73</v>
      </c>
      <c r="B78" s="62">
        <f>'ERROR FINAL'!D81</f>
        <v>3</v>
      </c>
      <c r="C78" s="63">
        <f>'ERROR FINAL'!G81</f>
        <v>0</v>
      </c>
      <c r="D78" s="64">
        <f>'ERROR FINAL'!I81</f>
        <v>0</v>
      </c>
      <c r="E78" s="65">
        <f>'ERROR FINAL'!U81</f>
        <v>-100</v>
      </c>
      <c r="F78" s="66">
        <f>'ERROR FINAL'!AG81</f>
        <v>-100</v>
      </c>
      <c r="G78" s="66">
        <f>'ERROR FINAL'!AS81</f>
        <v>-100</v>
      </c>
      <c r="H78" s="67" t="str">
        <f>IF('ERROR FINAL'!AT81="CONFORME","CONFORME","NO CONFORME")</f>
        <v>NO CONFORME</v>
      </c>
      <c r="I78" s="68" t="str">
        <f t="shared" si="1"/>
        <v>Medición</v>
      </c>
    </row>
    <row r="79" spans="1:9" x14ac:dyDescent="0.25">
      <c r="A79" s="61">
        <f>'ERROR FINAL'!A82</f>
        <v>74</v>
      </c>
      <c r="B79" s="62">
        <f>'ERROR FINAL'!D82</f>
        <v>3</v>
      </c>
      <c r="C79" s="63">
        <f>'ERROR FINAL'!G82</f>
        <v>0</v>
      </c>
      <c r="D79" s="64">
        <f>'ERROR FINAL'!I82</f>
        <v>0</v>
      </c>
      <c r="E79" s="65">
        <f>'ERROR FINAL'!U82</f>
        <v>-100</v>
      </c>
      <c r="F79" s="66">
        <f>'ERROR FINAL'!AG82</f>
        <v>-100</v>
      </c>
      <c r="G79" s="66">
        <f>'ERROR FINAL'!AS82</f>
        <v>-100</v>
      </c>
      <c r="H79" s="67" t="str">
        <f>IF('ERROR FINAL'!AT82="CONFORME","CONFORME","NO CONFORME")</f>
        <v>NO CONFORME</v>
      </c>
      <c r="I79" s="68" t="str">
        <f t="shared" si="1"/>
        <v>Medición</v>
      </c>
    </row>
    <row r="80" spans="1:9" x14ac:dyDescent="0.25">
      <c r="A80" s="61">
        <f>'ERROR FINAL'!A83</f>
        <v>75</v>
      </c>
      <c r="B80" s="62">
        <f>'ERROR FINAL'!D83</f>
        <v>3</v>
      </c>
      <c r="C80" s="63">
        <f>'ERROR FINAL'!G83</f>
        <v>0</v>
      </c>
      <c r="D80" s="64">
        <f>'ERROR FINAL'!I83</f>
        <v>0</v>
      </c>
      <c r="E80" s="65">
        <f>'ERROR FINAL'!U83</f>
        <v>-100</v>
      </c>
      <c r="F80" s="66">
        <f>'ERROR FINAL'!AG83</f>
        <v>-100</v>
      </c>
      <c r="G80" s="66">
        <f>'ERROR FINAL'!AS83</f>
        <v>-100</v>
      </c>
      <c r="H80" s="67" t="str">
        <f>IF('ERROR FINAL'!AT83="CONFORME","CONFORME","NO CONFORME")</f>
        <v>NO CONFORME</v>
      </c>
      <c r="I80" s="68" t="str">
        <f t="shared" si="1"/>
        <v>Medición</v>
      </c>
    </row>
    <row r="81" spans="1:9" x14ac:dyDescent="0.25">
      <c r="A81" s="61">
        <f>'ERROR FINAL'!A84</f>
        <v>76</v>
      </c>
      <c r="B81" s="62">
        <f>'ERROR FINAL'!D84</f>
        <v>3</v>
      </c>
      <c r="C81" s="63">
        <f>'ERROR FINAL'!G84</f>
        <v>0</v>
      </c>
      <c r="D81" s="64">
        <f>'ERROR FINAL'!I84</f>
        <v>0</v>
      </c>
      <c r="E81" s="65">
        <f>'ERROR FINAL'!U84</f>
        <v>-100</v>
      </c>
      <c r="F81" s="66">
        <f>'ERROR FINAL'!AG84</f>
        <v>-100</v>
      </c>
      <c r="G81" s="66">
        <f>'ERROR FINAL'!AS84</f>
        <v>-100</v>
      </c>
      <c r="H81" s="67" t="str">
        <f>IF('ERROR FINAL'!AT84="CONFORME","CONFORME","NO CONFORME")</f>
        <v>NO CONFORME</v>
      </c>
      <c r="I81" s="68" t="str">
        <f t="shared" si="1"/>
        <v>Medición</v>
      </c>
    </row>
    <row r="82" spans="1:9" x14ac:dyDescent="0.25">
      <c r="A82" s="61">
        <f>'ERROR FINAL'!A85</f>
        <v>77</v>
      </c>
      <c r="B82" s="62">
        <f>'ERROR FINAL'!D85</f>
        <v>3</v>
      </c>
      <c r="C82" s="63">
        <f>'ERROR FINAL'!G85</f>
        <v>0</v>
      </c>
      <c r="D82" s="64">
        <f>'ERROR FINAL'!I85</f>
        <v>0</v>
      </c>
      <c r="E82" s="65">
        <f>'ERROR FINAL'!U85</f>
        <v>-100</v>
      </c>
      <c r="F82" s="66">
        <f>'ERROR FINAL'!AG85</f>
        <v>-100</v>
      </c>
      <c r="G82" s="66">
        <f>'ERROR FINAL'!AS85</f>
        <v>-100</v>
      </c>
      <c r="H82" s="67" t="str">
        <f>IF('ERROR FINAL'!AT85="CONFORME","CONFORME","NO CONFORME")</f>
        <v>NO CONFORME</v>
      </c>
      <c r="I82" s="68" t="str">
        <f t="shared" si="1"/>
        <v>Medición</v>
      </c>
    </row>
    <row r="83" spans="1:9" x14ac:dyDescent="0.25">
      <c r="A83" s="61">
        <f>'ERROR FINAL'!A86</f>
        <v>78</v>
      </c>
      <c r="B83" s="62">
        <f>'ERROR FINAL'!D86</f>
        <v>3</v>
      </c>
      <c r="C83" s="63">
        <f>'ERROR FINAL'!G86</f>
        <v>0</v>
      </c>
      <c r="D83" s="64">
        <f>'ERROR FINAL'!I86</f>
        <v>0</v>
      </c>
      <c r="E83" s="65">
        <f>'ERROR FINAL'!U86</f>
        <v>-100</v>
      </c>
      <c r="F83" s="66">
        <f>'ERROR FINAL'!AG86</f>
        <v>-100</v>
      </c>
      <c r="G83" s="66">
        <f>'ERROR FINAL'!AS86</f>
        <v>-100</v>
      </c>
      <c r="H83" s="67" t="str">
        <f>IF('ERROR FINAL'!AT86="CONFORME","CONFORME","NO CONFORME")</f>
        <v>NO CONFORME</v>
      </c>
      <c r="I83" s="68" t="str">
        <f t="shared" si="1"/>
        <v>Medición</v>
      </c>
    </row>
    <row r="84" spans="1:9" x14ac:dyDescent="0.25">
      <c r="A84" s="61">
        <f>'ERROR FINAL'!A87</f>
        <v>79</v>
      </c>
      <c r="B84" s="62">
        <f>'ERROR FINAL'!D87</f>
        <v>3</v>
      </c>
      <c r="C84" s="63">
        <f>'ERROR FINAL'!G87</f>
        <v>0</v>
      </c>
      <c r="D84" s="64">
        <f>'ERROR FINAL'!I87</f>
        <v>0</v>
      </c>
      <c r="E84" s="65">
        <f>'ERROR FINAL'!U87</f>
        <v>-100</v>
      </c>
      <c r="F84" s="66">
        <f>'ERROR FINAL'!AG87</f>
        <v>-100</v>
      </c>
      <c r="G84" s="66">
        <f>'ERROR FINAL'!AS87</f>
        <v>-100</v>
      </c>
      <c r="H84" s="67" t="str">
        <f>IF('ERROR FINAL'!AT87="CONFORME","CONFORME","NO CONFORME")</f>
        <v>NO CONFORME</v>
      </c>
      <c r="I84" s="68" t="str">
        <f t="shared" si="1"/>
        <v>Medición</v>
      </c>
    </row>
    <row r="85" spans="1:9" x14ac:dyDescent="0.25">
      <c r="A85" s="61">
        <f>'ERROR FINAL'!A88</f>
        <v>80</v>
      </c>
      <c r="B85" s="62">
        <f>'ERROR FINAL'!D88</f>
        <v>3</v>
      </c>
      <c r="C85" s="63">
        <f>'ERROR FINAL'!G88</f>
        <v>0</v>
      </c>
      <c r="D85" s="64">
        <f>'ERROR FINAL'!I88</f>
        <v>0</v>
      </c>
      <c r="E85" s="65">
        <f>'ERROR FINAL'!U88</f>
        <v>-100</v>
      </c>
      <c r="F85" s="66">
        <f>'ERROR FINAL'!AG88</f>
        <v>-100</v>
      </c>
      <c r="G85" s="66">
        <f>'ERROR FINAL'!AS88</f>
        <v>-100</v>
      </c>
      <c r="H85" s="67" t="str">
        <f>IF('ERROR FINAL'!AT88="CONFORME","CONFORME","NO CONFORME")</f>
        <v>NO CONFORME</v>
      </c>
      <c r="I85" s="68" t="str">
        <f t="shared" si="1"/>
        <v>Medición</v>
      </c>
    </row>
    <row r="86" spans="1:9" x14ac:dyDescent="0.25">
      <c r="A86" s="61">
        <f>'ERROR FINAL'!A89</f>
        <v>81</v>
      </c>
      <c r="B86" s="62">
        <f>'ERROR FINAL'!D89</f>
        <v>3</v>
      </c>
      <c r="C86" s="63">
        <f>'ERROR FINAL'!G89</f>
        <v>0</v>
      </c>
      <c r="D86" s="64">
        <f>'ERROR FINAL'!I89</f>
        <v>0</v>
      </c>
      <c r="E86" s="65">
        <f>'ERROR FINAL'!U89</f>
        <v>-100</v>
      </c>
      <c r="F86" s="66">
        <f>'ERROR FINAL'!AG89</f>
        <v>-100</v>
      </c>
      <c r="G86" s="66">
        <f>'ERROR FINAL'!AS89</f>
        <v>-100</v>
      </c>
      <c r="H86" s="67" t="str">
        <f>IF('ERROR FINAL'!AT89="CONFORME","CONFORME","NO CONFORME")</f>
        <v>NO CONFORME</v>
      </c>
      <c r="I86" s="68" t="str">
        <f t="shared" si="1"/>
        <v>Medición</v>
      </c>
    </row>
    <row r="87" spans="1:9" x14ac:dyDescent="0.25">
      <c r="A87" s="61">
        <f>'ERROR FINAL'!A90</f>
        <v>82</v>
      </c>
      <c r="B87" s="62">
        <f>'ERROR FINAL'!D90</f>
        <v>3</v>
      </c>
      <c r="C87" s="63">
        <f>'ERROR FINAL'!G90</f>
        <v>0</v>
      </c>
      <c r="D87" s="64">
        <f>'ERROR FINAL'!I90</f>
        <v>0</v>
      </c>
      <c r="E87" s="65">
        <f>'ERROR FINAL'!U90</f>
        <v>-100</v>
      </c>
      <c r="F87" s="66">
        <f>'ERROR FINAL'!AG90</f>
        <v>-100</v>
      </c>
      <c r="G87" s="66">
        <f>'ERROR FINAL'!AS90</f>
        <v>-100</v>
      </c>
      <c r="H87" s="67" t="str">
        <f>IF('ERROR FINAL'!AT90="CONFORME","CONFORME","NO CONFORME")</f>
        <v>NO CONFORME</v>
      </c>
      <c r="I87" s="68" t="str">
        <f t="shared" si="1"/>
        <v>Medición</v>
      </c>
    </row>
    <row r="88" spans="1:9" x14ac:dyDescent="0.25">
      <c r="A88" s="61">
        <f>'ERROR FINAL'!A91</f>
        <v>83</v>
      </c>
      <c r="B88" s="62">
        <f>'ERROR FINAL'!D91</f>
        <v>3</v>
      </c>
      <c r="C88" s="63">
        <f>'ERROR FINAL'!G91</f>
        <v>0</v>
      </c>
      <c r="D88" s="64">
        <f>'ERROR FINAL'!I91</f>
        <v>0</v>
      </c>
      <c r="E88" s="65">
        <f>'ERROR FINAL'!U91</f>
        <v>-100</v>
      </c>
      <c r="F88" s="66">
        <f>'ERROR FINAL'!AG91</f>
        <v>-100</v>
      </c>
      <c r="G88" s="66">
        <f>'ERROR FINAL'!AS91</f>
        <v>-100</v>
      </c>
      <c r="H88" s="67" t="str">
        <f>IF('ERROR FINAL'!AT91="CONFORME","CONFORME","NO CONFORME")</f>
        <v>NO CONFORME</v>
      </c>
      <c r="I88" s="68" t="str">
        <f t="shared" si="1"/>
        <v>Medición</v>
      </c>
    </row>
    <row r="89" spans="1:9" x14ac:dyDescent="0.25">
      <c r="A89" s="61">
        <f>'ERROR FINAL'!A92</f>
        <v>84</v>
      </c>
      <c r="B89" s="62">
        <f>'ERROR FINAL'!D92</f>
        <v>3</v>
      </c>
      <c r="C89" s="63">
        <f>'ERROR FINAL'!G92</f>
        <v>0</v>
      </c>
      <c r="D89" s="64">
        <f>'ERROR FINAL'!I92</f>
        <v>0</v>
      </c>
      <c r="E89" s="65">
        <f>'ERROR FINAL'!U92</f>
        <v>-100</v>
      </c>
      <c r="F89" s="66">
        <f>'ERROR FINAL'!AG92</f>
        <v>-100</v>
      </c>
      <c r="G89" s="66">
        <f>'ERROR FINAL'!AS92</f>
        <v>-100</v>
      </c>
      <c r="H89" s="67" t="str">
        <f>IF('ERROR FINAL'!AT92="CONFORME","CONFORME","NO CONFORME")</f>
        <v>NO CONFORME</v>
      </c>
      <c r="I89" s="68" t="str">
        <f t="shared" si="1"/>
        <v>Medición</v>
      </c>
    </row>
    <row r="90" spans="1:9" x14ac:dyDescent="0.25">
      <c r="A90" s="61">
        <f>'ERROR FINAL'!A93</f>
        <v>85</v>
      </c>
      <c r="B90" s="62">
        <f>'ERROR FINAL'!D93</f>
        <v>3</v>
      </c>
      <c r="C90" s="63">
        <f>'ERROR FINAL'!G93</f>
        <v>0</v>
      </c>
      <c r="D90" s="64">
        <f>'ERROR FINAL'!I93</f>
        <v>0</v>
      </c>
      <c r="E90" s="65">
        <f>'ERROR FINAL'!U93</f>
        <v>-100</v>
      </c>
      <c r="F90" s="66">
        <f>'ERROR FINAL'!AG93</f>
        <v>-100</v>
      </c>
      <c r="G90" s="66">
        <f>'ERROR FINAL'!AS93</f>
        <v>-100</v>
      </c>
      <c r="H90" s="67" t="str">
        <f>IF('ERROR FINAL'!AT93="CONFORME","CONFORME","NO CONFORME")</f>
        <v>NO CONFORME</v>
      </c>
      <c r="I90" s="68" t="str">
        <f t="shared" si="1"/>
        <v>Medición</v>
      </c>
    </row>
    <row r="91" spans="1:9" x14ac:dyDescent="0.25">
      <c r="A91" s="61">
        <f>'ERROR FINAL'!A94</f>
        <v>86</v>
      </c>
      <c r="B91" s="62">
        <f>'ERROR FINAL'!D94</f>
        <v>3</v>
      </c>
      <c r="C91" s="63">
        <f>'ERROR FINAL'!G94</f>
        <v>0</v>
      </c>
      <c r="D91" s="64">
        <f>'ERROR FINAL'!I94</f>
        <v>0</v>
      </c>
      <c r="E91" s="65">
        <f>'ERROR FINAL'!U94</f>
        <v>-100</v>
      </c>
      <c r="F91" s="66">
        <f>'ERROR FINAL'!AG94</f>
        <v>-100</v>
      </c>
      <c r="G91" s="66">
        <f>'ERROR FINAL'!AS94</f>
        <v>-100</v>
      </c>
      <c r="H91" s="67" t="str">
        <f>IF('ERROR FINAL'!AT94="CONFORME","CONFORME","NO CONFORME")</f>
        <v>NO CONFORME</v>
      </c>
      <c r="I91" s="68" t="str">
        <f t="shared" si="1"/>
        <v>Medición</v>
      </c>
    </row>
    <row r="92" spans="1:9" x14ac:dyDescent="0.25">
      <c r="A92" s="61">
        <f>'ERROR FINAL'!A95</f>
        <v>87</v>
      </c>
      <c r="B92" s="62">
        <f>'ERROR FINAL'!D95</f>
        <v>3</v>
      </c>
      <c r="C92" s="63">
        <f>'ERROR FINAL'!G95</f>
        <v>0</v>
      </c>
      <c r="D92" s="64">
        <f>'ERROR FINAL'!I95</f>
        <v>0</v>
      </c>
      <c r="E92" s="65">
        <f>'ERROR FINAL'!U95</f>
        <v>-100</v>
      </c>
      <c r="F92" s="66">
        <f>'ERROR FINAL'!AG95</f>
        <v>-100</v>
      </c>
      <c r="G92" s="66">
        <f>'ERROR FINAL'!AS95</f>
        <v>-100</v>
      </c>
      <c r="H92" s="67" t="str">
        <f>IF('ERROR FINAL'!AT95="CONFORME","CONFORME","NO CONFORME")</f>
        <v>NO CONFORME</v>
      </c>
      <c r="I92" s="68" t="str">
        <f t="shared" si="1"/>
        <v>Medición</v>
      </c>
    </row>
    <row r="93" spans="1:9" x14ac:dyDescent="0.25">
      <c r="A93" s="61">
        <f>'ERROR FINAL'!A96</f>
        <v>88</v>
      </c>
      <c r="B93" s="62">
        <f>'ERROR FINAL'!D96</f>
        <v>3</v>
      </c>
      <c r="C93" s="63">
        <f>'ERROR FINAL'!G96</f>
        <v>0</v>
      </c>
      <c r="D93" s="64">
        <f>'ERROR FINAL'!I96</f>
        <v>0</v>
      </c>
      <c r="E93" s="65">
        <f>'ERROR FINAL'!U96</f>
        <v>-100</v>
      </c>
      <c r="F93" s="66">
        <f>'ERROR FINAL'!AG96</f>
        <v>-100</v>
      </c>
      <c r="G93" s="66">
        <f>'ERROR FINAL'!AS96</f>
        <v>-100</v>
      </c>
      <c r="H93" s="67" t="str">
        <f>IF('ERROR FINAL'!AT96="CONFORME","CONFORME","NO CONFORME")</f>
        <v>NO CONFORME</v>
      </c>
      <c r="I93" s="68" t="str">
        <f t="shared" si="1"/>
        <v>Medición</v>
      </c>
    </row>
    <row r="94" spans="1:9" x14ac:dyDescent="0.25">
      <c r="A94" s="61">
        <f>'ERROR FINAL'!A97</f>
        <v>89</v>
      </c>
      <c r="B94" s="62">
        <f>'ERROR FINAL'!D97</f>
        <v>3</v>
      </c>
      <c r="C94" s="63">
        <f>'ERROR FINAL'!G97</f>
        <v>0</v>
      </c>
      <c r="D94" s="64">
        <f>'ERROR FINAL'!I97</f>
        <v>0</v>
      </c>
      <c r="E94" s="65">
        <f>'ERROR FINAL'!U97</f>
        <v>-100</v>
      </c>
      <c r="F94" s="66">
        <f>'ERROR FINAL'!AG97</f>
        <v>-100</v>
      </c>
      <c r="G94" s="66">
        <f>'ERROR FINAL'!AS97</f>
        <v>-100</v>
      </c>
      <c r="H94" s="67" t="str">
        <f>IF('ERROR FINAL'!AT97="CONFORME","CONFORME","NO CONFORME")</f>
        <v>NO CONFORME</v>
      </c>
      <c r="I94" s="68" t="str">
        <f t="shared" si="1"/>
        <v>Medición</v>
      </c>
    </row>
    <row r="95" spans="1:9" x14ac:dyDescent="0.25">
      <c r="A95" s="61">
        <f>'ERROR FINAL'!A98</f>
        <v>90</v>
      </c>
      <c r="B95" s="62">
        <f>'ERROR FINAL'!D98</f>
        <v>3</v>
      </c>
      <c r="C95" s="63">
        <f>'ERROR FINAL'!G98</f>
        <v>0</v>
      </c>
      <c r="D95" s="64">
        <f>'ERROR FINAL'!I98</f>
        <v>0</v>
      </c>
      <c r="E95" s="65">
        <f>'ERROR FINAL'!U98</f>
        <v>-100</v>
      </c>
      <c r="F95" s="66">
        <f>'ERROR FINAL'!AG98</f>
        <v>-100</v>
      </c>
      <c r="G95" s="66">
        <f>'ERROR FINAL'!AS98</f>
        <v>-100</v>
      </c>
      <c r="H95" s="67" t="str">
        <f>IF('ERROR FINAL'!AT98="CONFORME","CONFORME","NO CONFORME")</f>
        <v>NO CONFORME</v>
      </c>
      <c r="I95" s="68" t="str">
        <f t="shared" si="1"/>
        <v>Medición</v>
      </c>
    </row>
    <row r="96" spans="1:9" x14ac:dyDescent="0.25">
      <c r="A96" s="61">
        <f>'ERROR FINAL'!A99</f>
        <v>91</v>
      </c>
      <c r="B96" s="62">
        <f>'ERROR FINAL'!D99</f>
        <v>3</v>
      </c>
      <c r="C96" s="63">
        <f>'ERROR FINAL'!G99</f>
        <v>0</v>
      </c>
      <c r="D96" s="64">
        <f>'ERROR FINAL'!I99</f>
        <v>0</v>
      </c>
      <c r="E96" s="65">
        <f>'ERROR FINAL'!U99</f>
        <v>-100</v>
      </c>
      <c r="F96" s="66">
        <f>'ERROR FINAL'!AG99</f>
        <v>-100</v>
      </c>
      <c r="G96" s="66">
        <f>'ERROR FINAL'!AS99</f>
        <v>-100</v>
      </c>
      <c r="H96" s="67" t="str">
        <f>IF('ERROR FINAL'!AT99="CONFORME","CONFORME","NO CONFORME")</f>
        <v>NO CONFORME</v>
      </c>
      <c r="I96" s="68" t="str">
        <f t="shared" si="1"/>
        <v>Medición</v>
      </c>
    </row>
    <row r="97" spans="1:9" x14ac:dyDescent="0.25">
      <c r="A97" s="61">
        <f>'ERROR FINAL'!A100</f>
        <v>92</v>
      </c>
      <c r="B97" s="62">
        <f>'ERROR FINAL'!D100</f>
        <v>3</v>
      </c>
      <c r="C97" s="63">
        <f>'ERROR FINAL'!G100</f>
        <v>0</v>
      </c>
      <c r="D97" s="64">
        <f>'ERROR FINAL'!I100</f>
        <v>0</v>
      </c>
      <c r="E97" s="65">
        <f>'ERROR FINAL'!U100</f>
        <v>-100</v>
      </c>
      <c r="F97" s="66">
        <f>'ERROR FINAL'!AG100</f>
        <v>-100</v>
      </c>
      <c r="G97" s="66">
        <f>'ERROR FINAL'!AS100</f>
        <v>-100</v>
      </c>
      <c r="H97" s="67" t="str">
        <f>IF('ERROR FINAL'!AT100="CONFORME","CONFORME","NO CONFORME")</f>
        <v>NO CONFORME</v>
      </c>
      <c r="I97" s="68" t="str">
        <f t="shared" si="1"/>
        <v>Medición</v>
      </c>
    </row>
    <row r="98" spans="1:9" x14ac:dyDescent="0.25">
      <c r="A98" s="61">
        <f>'ERROR FINAL'!A101</f>
        <v>93</v>
      </c>
      <c r="B98" s="62">
        <f>'ERROR FINAL'!D101</f>
        <v>3</v>
      </c>
      <c r="C98" s="63">
        <f>'ERROR FINAL'!G101</f>
        <v>0</v>
      </c>
      <c r="D98" s="64">
        <f>'ERROR FINAL'!I101</f>
        <v>0</v>
      </c>
      <c r="E98" s="65">
        <f>'ERROR FINAL'!U101</f>
        <v>-100</v>
      </c>
      <c r="F98" s="66">
        <f>'ERROR FINAL'!AG101</f>
        <v>-100</v>
      </c>
      <c r="G98" s="66">
        <f>'ERROR FINAL'!AS101</f>
        <v>-100</v>
      </c>
      <c r="H98" s="67" t="str">
        <f>IF('ERROR FINAL'!AT101="CONFORME","CONFORME","NO CONFORME")</f>
        <v>NO CONFORME</v>
      </c>
      <c r="I98" s="68" t="str">
        <f t="shared" si="1"/>
        <v>Medición</v>
      </c>
    </row>
    <row r="99" spans="1:9" x14ac:dyDescent="0.25">
      <c r="A99" s="61">
        <f>'ERROR FINAL'!A102</f>
        <v>94</v>
      </c>
      <c r="B99" s="62">
        <f>'ERROR FINAL'!D102</f>
        <v>3</v>
      </c>
      <c r="C99" s="63">
        <f>'ERROR FINAL'!G102</f>
        <v>0</v>
      </c>
      <c r="D99" s="64">
        <f>'ERROR FINAL'!I102</f>
        <v>0</v>
      </c>
      <c r="E99" s="65">
        <f>'ERROR FINAL'!U102</f>
        <v>-100</v>
      </c>
      <c r="F99" s="66">
        <f>'ERROR FINAL'!AG102</f>
        <v>-100</v>
      </c>
      <c r="G99" s="66">
        <f>'ERROR FINAL'!AS102</f>
        <v>-100</v>
      </c>
      <c r="H99" s="67" t="str">
        <f>IF('ERROR FINAL'!AT102="CONFORME","CONFORME","NO CONFORME")</f>
        <v>NO CONFORME</v>
      </c>
      <c r="I99" s="68" t="str">
        <f t="shared" si="1"/>
        <v>Medición</v>
      </c>
    </row>
    <row r="100" spans="1:9" x14ac:dyDescent="0.25">
      <c r="A100" s="61">
        <f>'ERROR FINAL'!A103</f>
        <v>95</v>
      </c>
      <c r="B100" s="62">
        <f>'ERROR FINAL'!D103</f>
        <v>3</v>
      </c>
      <c r="C100" s="63">
        <f>'ERROR FINAL'!G103</f>
        <v>0</v>
      </c>
      <c r="D100" s="64">
        <f>'ERROR FINAL'!I103</f>
        <v>0</v>
      </c>
      <c r="E100" s="65">
        <f>'ERROR FINAL'!U103</f>
        <v>-100</v>
      </c>
      <c r="F100" s="66">
        <f>'ERROR FINAL'!AG103</f>
        <v>-100</v>
      </c>
      <c r="G100" s="66">
        <f>'ERROR FINAL'!AS103</f>
        <v>-100</v>
      </c>
      <c r="H100" s="67" t="str">
        <f>IF('ERROR FINAL'!AT103="CONFORME","CONFORME","NO CONFORME")</f>
        <v>NO CONFORME</v>
      </c>
      <c r="I100" s="68" t="str">
        <f t="shared" si="1"/>
        <v>Medición</v>
      </c>
    </row>
    <row r="101" spans="1:9" x14ac:dyDescent="0.25">
      <c r="A101" s="61">
        <f>'ERROR FINAL'!A104</f>
        <v>96</v>
      </c>
      <c r="B101" s="62">
        <f>'ERROR FINAL'!D104</f>
        <v>3</v>
      </c>
      <c r="C101" s="63">
        <f>'ERROR FINAL'!G104</f>
        <v>0</v>
      </c>
      <c r="D101" s="64">
        <f>'ERROR FINAL'!I104</f>
        <v>0</v>
      </c>
      <c r="E101" s="65">
        <f>'ERROR FINAL'!U104</f>
        <v>-100</v>
      </c>
      <c r="F101" s="66">
        <f>'ERROR FINAL'!AG104</f>
        <v>-100</v>
      </c>
      <c r="G101" s="66">
        <f>'ERROR FINAL'!AS104</f>
        <v>-100</v>
      </c>
      <c r="H101" s="67" t="str">
        <f>IF('ERROR FINAL'!AT104="CONFORME","CONFORME","NO CONFORME")</f>
        <v>NO CONFORME</v>
      </c>
      <c r="I101" s="68" t="str">
        <f t="shared" si="1"/>
        <v>Medición</v>
      </c>
    </row>
    <row r="102" spans="1:9" x14ac:dyDescent="0.25">
      <c r="A102" s="61">
        <f>'ERROR FINAL'!A105</f>
        <v>97</v>
      </c>
      <c r="B102" s="62">
        <f>'ERROR FINAL'!D105</f>
        <v>3</v>
      </c>
      <c r="C102" s="63">
        <f>'ERROR FINAL'!G105</f>
        <v>0</v>
      </c>
      <c r="D102" s="64">
        <f>'ERROR FINAL'!I105</f>
        <v>0</v>
      </c>
      <c r="E102" s="65">
        <f>'ERROR FINAL'!U105</f>
        <v>-100</v>
      </c>
      <c r="F102" s="66">
        <f>'ERROR FINAL'!AG105</f>
        <v>-100</v>
      </c>
      <c r="G102" s="66">
        <f>'ERROR FINAL'!AS105</f>
        <v>-100</v>
      </c>
      <c r="H102" s="67" t="str">
        <f>IF('ERROR FINAL'!AT105="CONFORME","CONFORME","NO CONFORME")</f>
        <v>NO CONFORME</v>
      </c>
      <c r="I102" s="68" t="str">
        <f t="shared" si="1"/>
        <v>Medición</v>
      </c>
    </row>
    <row r="103" spans="1:9" x14ac:dyDescent="0.25">
      <c r="A103" s="61">
        <f>'ERROR FINAL'!A106</f>
        <v>98</v>
      </c>
      <c r="B103" s="62">
        <f>'ERROR FINAL'!D106</f>
        <v>3</v>
      </c>
      <c r="C103" s="63">
        <f>'ERROR FINAL'!G106</f>
        <v>0</v>
      </c>
      <c r="D103" s="64">
        <f>'ERROR FINAL'!I106</f>
        <v>0</v>
      </c>
      <c r="E103" s="65">
        <f>'ERROR FINAL'!U106</f>
        <v>-100</v>
      </c>
      <c r="F103" s="66">
        <f>'ERROR FINAL'!AG106</f>
        <v>-100</v>
      </c>
      <c r="G103" s="66">
        <f>'ERROR FINAL'!AS106</f>
        <v>-100</v>
      </c>
      <c r="H103" s="67" t="str">
        <f>IF('ERROR FINAL'!AT106="CONFORME","CONFORME","NO CONFORME")</f>
        <v>NO CONFORME</v>
      </c>
      <c r="I103" s="68" t="str">
        <f t="shared" si="1"/>
        <v>Medición</v>
      </c>
    </row>
    <row r="104" spans="1:9" x14ac:dyDescent="0.25">
      <c r="A104" s="61">
        <f>'ERROR FINAL'!A107</f>
        <v>99</v>
      </c>
      <c r="B104" s="62">
        <f>'ERROR FINAL'!D107</f>
        <v>3</v>
      </c>
      <c r="C104" s="63">
        <f>'ERROR FINAL'!G107</f>
        <v>0</v>
      </c>
      <c r="D104" s="64">
        <f>'ERROR FINAL'!I107</f>
        <v>0</v>
      </c>
      <c r="E104" s="65">
        <f>'ERROR FINAL'!U107</f>
        <v>-100</v>
      </c>
      <c r="F104" s="66">
        <f>'ERROR FINAL'!AG107</f>
        <v>-100</v>
      </c>
      <c r="G104" s="66">
        <f>'ERROR FINAL'!AS107</f>
        <v>-100</v>
      </c>
      <c r="H104" s="67" t="str">
        <f>IF('ERROR FINAL'!AT107="CONFORME","CONFORME","NO CONFORME")</f>
        <v>NO CONFORME</v>
      </c>
      <c r="I104" s="68" t="str">
        <f t="shared" si="1"/>
        <v>Medición</v>
      </c>
    </row>
    <row r="105" spans="1:9" x14ac:dyDescent="0.25">
      <c r="A105" s="61">
        <f>'ERROR FINAL'!A108</f>
        <v>100</v>
      </c>
      <c r="B105" s="62">
        <f>'ERROR FINAL'!D108</f>
        <v>3</v>
      </c>
      <c r="C105" s="63">
        <f>'ERROR FINAL'!G108</f>
        <v>0</v>
      </c>
      <c r="D105" s="64">
        <f>'ERROR FINAL'!I108</f>
        <v>0</v>
      </c>
      <c r="E105" s="65">
        <f>'ERROR FINAL'!U108</f>
        <v>-100</v>
      </c>
      <c r="F105" s="66">
        <f>'ERROR FINAL'!AG108</f>
        <v>-100</v>
      </c>
      <c r="G105" s="66">
        <f>'ERROR FINAL'!AS108</f>
        <v>-100</v>
      </c>
      <c r="H105" s="67" t="str">
        <f>IF('ERROR FINAL'!AT108="CONFORME","CONFORME","NO CONFORME")</f>
        <v>NO CONFORME</v>
      </c>
      <c r="I105" s="68" t="str">
        <f t="shared" si="1"/>
        <v>Medición</v>
      </c>
    </row>
    <row r="106" spans="1:9" x14ac:dyDescent="0.25">
      <c r="A106" s="61">
        <f>'ERROR FINAL'!A109</f>
        <v>101</v>
      </c>
      <c r="B106" s="62">
        <f>'ERROR FINAL'!D109</f>
        <v>3</v>
      </c>
      <c r="C106" s="63">
        <f>'ERROR FINAL'!G109</f>
        <v>0</v>
      </c>
      <c r="D106" s="64">
        <f>'ERROR FINAL'!I109</f>
        <v>0</v>
      </c>
      <c r="E106" s="65">
        <f>'ERROR FINAL'!U109</f>
        <v>-100</v>
      </c>
      <c r="F106" s="66">
        <f>'ERROR FINAL'!AG109</f>
        <v>-100</v>
      </c>
      <c r="G106" s="66">
        <f>'ERROR FINAL'!AS109</f>
        <v>-100</v>
      </c>
      <c r="H106" s="67" t="str">
        <f>IF('ERROR FINAL'!AT109="CONFORME","CONFORME","NO CONFORME")</f>
        <v>NO CONFORME</v>
      </c>
      <c r="I106" s="68" t="str">
        <f t="shared" si="1"/>
        <v>Medición</v>
      </c>
    </row>
    <row r="107" spans="1:9" x14ac:dyDescent="0.25">
      <c r="A107" s="61">
        <f>'ERROR FINAL'!A110</f>
        <v>102</v>
      </c>
      <c r="B107" s="62">
        <f>'ERROR FINAL'!D110</f>
        <v>3</v>
      </c>
      <c r="C107" s="63">
        <f>'ERROR FINAL'!G110</f>
        <v>0</v>
      </c>
      <c r="D107" s="64">
        <f>'ERROR FINAL'!I110</f>
        <v>0</v>
      </c>
      <c r="E107" s="65">
        <f>'ERROR FINAL'!U110</f>
        <v>-100</v>
      </c>
      <c r="F107" s="66">
        <f>'ERROR FINAL'!AG110</f>
        <v>-100</v>
      </c>
      <c r="G107" s="66">
        <f>'ERROR FINAL'!AS110</f>
        <v>-100</v>
      </c>
      <c r="H107" s="67" t="str">
        <f>IF('ERROR FINAL'!AT110="CONFORME","CONFORME","NO CONFORME")</f>
        <v>NO CONFORME</v>
      </c>
      <c r="I107" s="68" t="str">
        <f t="shared" si="1"/>
        <v>Medición</v>
      </c>
    </row>
    <row r="108" spans="1:9" x14ac:dyDescent="0.25">
      <c r="A108" s="61">
        <f>'ERROR FINAL'!A111</f>
        <v>103</v>
      </c>
      <c r="B108" s="62">
        <f>'ERROR FINAL'!D111</f>
        <v>3</v>
      </c>
      <c r="C108" s="63">
        <f>'ERROR FINAL'!G111</f>
        <v>0</v>
      </c>
      <c r="D108" s="64">
        <f>'ERROR FINAL'!I111</f>
        <v>0</v>
      </c>
      <c r="E108" s="65">
        <f>'ERROR FINAL'!U111</f>
        <v>-100</v>
      </c>
      <c r="F108" s="66">
        <f>'ERROR FINAL'!AG111</f>
        <v>-100</v>
      </c>
      <c r="G108" s="66">
        <f>'ERROR FINAL'!AS111</f>
        <v>-100</v>
      </c>
      <c r="H108" s="67" t="str">
        <f>IF('ERROR FINAL'!AT111="CONFORME","CONFORME","NO CONFORME")</f>
        <v>NO CONFORME</v>
      </c>
      <c r="I108" s="68" t="str">
        <f t="shared" si="1"/>
        <v>Medición</v>
      </c>
    </row>
    <row r="109" spans="1:9" x14ac:dyDescent="0.25">
      <c r="A109" s="61">
        <f>'ERROR FINAL'!A112</f>
        <v>104</v>
      </c>
      <c r="B109" s="62">
        <f>'ERROR FINAL'!D112</f>
        <v>3</v>
      </c>
      <c r="C109" s="63">
        <f>'ERROR FINAL'!G112</f>
        <v>0</v>
      </c>
      <c r="D109" s="64">
        <f>'ERROR FINAL'!I112</f>
        <v>0</v>
      </c>
      <c r="E109" s="65">
        <f>'ERROR FINAL'!U112</f>
        <v>-100</v>
      </c>
      <c r="F109" s="66">
        <f>'ERROR FINAL'!AG112</f>
        <v>-100</v>
      </c>
      <c r="G109" s="66">
        <f>'ERROR FINAL'!AS112</f>
        <v>-100</v>
      </c>
      <c r="H109" s="67" t="str">
        <f>IF('ERROR FINAL'!AT112="CONFORME","CONFORME","NO CONFORME")</f>
        <v>NO CONFORME</v>
      </c>
      <c r="I109" s="68" t="str">
        <f t="shared" si="1"/>
        <v>Medición</v>
      </c>
    </row>
    <row r="110" spans="1:9" x14ac:dyDescent="0.25">
      <c r="A110" s="61">
        <f>'ERROR FINAL'!A113</f>
        <v>105</v>
      </c>
      <c r="B110" s="62">
        <f>'ERROR FINAL'!D113</f>
        <v>3</v>
      </c>
      <c r="C110" s="63">
        <f>'ERROR FINAL'!G113</f>
        <v>0</v>
      </c>
      <c r="D110" s="64">
        <f>'ERROR FINAL'!I113</f>
        <v>0</v>
      </c>
      <c r="E110" s="65">
        <f>'ERROR FINAL'!U113</f>
        <v>-100</v>
      </c>
      <c r="F110" s="66">
        <f>'ERROR FINAL'!AG113</f>
        <v>-100</v>
      </c>
      <c r="G110" s="66">
        <f>'ERROR FINAL'!AS113</f>
        <v>-100</v>
      </c>
      <c r="H110" s="67" t="str">
        <f>IF('ERROR FINAL'!AT113="CONFORME","CONFORME","NO CONFORME")</f>
        <v>NO CONFORME</v>
      </c>
      <c r="I110" s="68" t="str">
        <f t="shared" si="1"/>
        <v>Medición</v>
      </c>
    </row>
    <row r="111" spans="1:9" x14ac:dyDescent="0.25">
      <c r="A111" s="61">
        <f>'ERROR FINAL'!A114</f>
        <v>106</v>
      </c>
      <c r="B111" s="62">
        <f>'ERROR FINAL'!D114</f>
        <v>3</v>
      </c>
      <c r="C111" s="63">
        <f>'ERROR FINAL'!G114</f>
        <v>0</v>
      </c>
      <c r="D111" s="64">
        <f>'ERROR FINAL'!I114</f>
        <v>0</v>
      </c>
      <c r="E111" s="65">
        <f>'ERROR FINAL'!U114</f>
        <v>-100</v>
      </c>
      <c r="F111" s="66">
        <f>'ERROR FINAL'!AG114</f>
        <v>-100</v>
      </c>
      <c r="G111" s="66">
        <f>'ERROR FINAL'!AS114</f>
        <v>-100</v>
      </c>
      <c r="H111" s="67" t="str">
        <f>IF('ERROR FINAL'!AT114="CONFORME","CONFORME","NO CONFORME")</f>
        <v>NO CONFORME</v>
      </c>
      <c r="I111" s="68" t="str">
        <f t="shared" si="1"/>
        <v>Medición</v>
      </c>
    </row>
    <row r="112" spans="1:9" x14ac:dyDescent="0.25">
      <c r="A112" s="61">
        <f>'ERROR FINAL'!A115</f>
        <v>107</v>
      </c>
      <c r="B112" s="62">
        <f>'ERROR FINAL'!D115</f>
        <v>3</v>
      </c>
      <c r="C112" s="63">
        <f>'ERROR FINAL'!G115</f>
        <v>0</v>
      </c>
      <c r="D112" s="64">
        <f>'ERROR FINAL'!I115</f>
        <v>0</v>
      </c>
      <c r="E112" s="65">
        <f>'ERROR FINAL'!U115</f>
        <v>-100</v>
      </c>
      <c r="F112" s="66">
        <f>'ERROR FINAL'!AG115</f>
        <v>-100</v>
      </c>
      <c r="G112" s="66">
        <f>'ERROR FINAL'!AS115</f>
        <v>-100</v>
      </c>
      <c r="H112" s="67" t="str">
        <f>IF('ERROR FINAL'!AT115="CONFORME","CONFORME","NO CONFORME")</f>
        <v>NO CONFORME</v>
      </c>
      <c r="I112" s="68" t="str">
        <f t="shared" si="1"/>
        <v>Medición</v>
      </c>
    </row>
    <row r="113" spans="1:9" x14ac:dyDescent="0.25">
      <c r="A113" s="61">
        <f>'ERROR FINAL'!A116</f>
        <v>108</v>
      </c>
      <c r="B113" s="62">
        <f>'ERROR FINAL'!D116</f>
        <v>3</v>
      </c>
      <c r="C113" s="63">
        <f>'ERROR FINAL'!G116</f>
        <v>0</v>
      </c>
      <c r="D113" s="64">
        <f>'ERROR FINAL'!I116</f>
        <v>0</v>
      </c>
      <c r="E113" s="65">
        <f>'ERROR FINAL'!U116</f>
        <v>-100</v>
      </c>
      <c r="F113" s="66">
        <f>'ERROR FINAL'!AG116</f>
        <v>-100</v>
      </c>
      <c r="G113" s="66">
        <f>'ERROR FINAL'!AS116</f>
        <v>-100</v>
      </c>
      <c r="H113" s="67" t="str">
        <f>IF('ERROR FINAL'!AT116="CONFORME","CONFORME","NO CONFORME")</f>
        <v>NO CONFORME</v>
      </c>
      <c r="I113" s="68" t="str">
        <f t="shared" si="1"/>
        <v>Medición</v>
      </c>
    </row>
    <row r="114" spans="1:9" x14ac:dyDescent="0.25">
      <c r="A114" s="61">
        <f>'ERROR FINAL'!A117</f>
        <v>109</v>
      </c>
      <c r="B114" s="62">
        <f>'ERROR FINAL'!D117</f>
        <v>3</v>
      </c>
      <c r="C114" s="63">
        <f>'ERROR FINAL'!G117</f>
        <v>0</v>
      </c>
      <c r="D114" s="64">
        <f>'ERROR FINAL'!I117</f>
        <v>0</v>
      </c>
      <c r="E114" s="65">
        <f>'ERROR FINAL'!U117</f>
        <v>-100</v>
      </c>
      <c r="F114" s="66">
        <f>'ERROR FINAL'!AG117</f>
        <v>-100</v>
      </c>
      <c r="G114" s="66">
        <f>'ERROR FINAL'!AS117</f>
        <v>-100</v>
      </c>
      <c r="H114" s="67" t="str">
        <f>IF('ERROR FINAL'!AT117="CONFORME","CONFORME","NO CONFORME")</f>
        <v>NO CONFORME</v>
      </c>
      <c r="I114" s="68" t="str">
        <f t="shared" si="1"/>
        <v>Medición</v>
      </c>
    </row>
    <row r="115" spans="1:9" x14ac:dyDescent="0.25">
      <c r="A115" s="61">
        <f>'ERROR FINAL'!A118</f>
        <v>110</v>
      </c>
      <c r="B115" s="62">
        <f>'ERROR FINAL'!D118</f>
        <v>3</v>
      </c>
      <c r="C115" s="63">
        <f>'ERROR FINAL'!G118</f>
        <v>0</v>
      </c>
      <c r="D115" s="64">
        <f>'ERROR FINAL'!I118</f>
        <v>0</v>
      </c>
      <c r="E115" s="65">
        <f>'ERROR FINAL'!U118</f>
        <v>-100</v>
      </c>
      <c r="F115" s="66">
        <f>'ERROR FINAL'!AG118</f>
        <v>-100</v>
      </c>
      <c r="G115" s="66">
        <f>'ERROR FINAL'!AS118</f>
        <v>-100</v>
      </c>
      <c r="H115" s="67" t="str">
        <f>IF('ERROR FINAL'!AT118="CONFORME","CONFORME","NO CONFORME")</f>
        <v>NO CONFORME</v>
      </c>
      <c r="I115" s="68" t="str">
        <f t="shared" si="1"/>
        <v>Medición</v>
      </c>
    </row>
    <row r="116" spans="1:9" x14ac:dyDescent="0.25">
      <c r="A116" s="61">
        <f>'ERROR FINAL'!A119</f>
        <v>111</v>
      </c>
      <c r="B116" s="62">
        <f>'ERROR FINAL'!D119</f>
        <v>3</v>
      </c>
      <c r="C116" s="63">
        <f>'ERROR FINAL'!G119</f>
        <v>0</v>
      </c>
      <c r="D116" s="64">
        <f>'ERROR FINAL'!I119</f>
        <v>0</v>
      </c>
      <c r="E116" s="65">
        <f>'ERROR FINAL'!U119</f>
        <v>-100</v>
      </c>
      <c r="F116" s="66">
        <f>'ERROR FINAL'!AG119</f>
        <v>-100</v>
      </c>
      <c r="G116" s="66">
        <f>'ERROR FINAL'!AS119</f>
        <v>-100</v>
      </c>
      <c r="H116" s="67" t="str">
        <f>IF('ERROR FINAL'!AT119="CONFORME","CONFORME","NO CONFORME")</f>
        <v>NO CONFORME</v>
      </c>
      <c r="I116" s="68" t="str">
        <f t="shared" si="1"/>
        <v>Medición</v>
      </c>
    </row>
    <row r="117" spans="1:9" x14ac:dyDescent="0.25">
      <c r="A117" s="61">
        <f>'ERROR FINAL'!A120</f>
        <v>112</v>
      </c>
      <c r="B117" s="62">
        <f>'ERROR FINAL'!D120</f>
        <v>3</v>
      </c>
      <c r="C117" s="63">
        <f>'ERROR FINAL'!G120</f>
        <v>0</v>
      </c>
      <c r="D117" s="64">
        <f>'ERROR FINAL'!I120</f>
        <v>0</v>
      </c>
      <c r="E117" s="65">
        <f>'ERROR FINAL'!U120</f>
        <v>-100</v>
      </c>
      <c r="F117" s="66">
        <f>'ERROR FINAL'!AG120</f>
        <v>-100</v>
      </c>
      <c r="G117" s="66">
        <f>'ERROR FINAL'!AS120</f>
        <v>-100</v>
      </c>
      <c r="H117" s="67" t="str">
        <f>IF('ERROR FINAL'!AT120="CONFORME","CONFORME","NO CONFORME")</f>
        <v>NO CONFORME</v>
      </c>
      <c r="I117" s="68" t="str">
        <f t="shared" si="1"/>
        <v>Medición</v>
      </c>
    </row>
    <row r="118" spans="1:9" x14ac:dyDescent="0.25">
      <c r="A118" s="61">
        <f>'ERROR FINAL'!A121</f>
        <v>113</v>
      </c>
      <c r="B118" s="62">
        <f>'ERROR FINAL'!D121</f>
        <v>3</v>
      </c>
      <c r="C118" s="63">
        <f>'ERROR FINAL'!G121</f>
        <v>0</v>
      </c>
      <c r="D118" s="64">
        <f>'ERROR FINAL'!I121</f>
        <v>0</v>
      </c>
      <c r="E118" s="65">
        <f>'ERROR FINAL'!U121</f>
        <v>-100</v>
      </c>
      <c r="F118" s="66">
        <f>'ERROR FINAL'!AG121</f>
        <v>-100</v>
      </c>
      <c r="G118" s="66">
        <f>'ERROR FINAL'!AS121</f>
        <v>-100</v>
      </c>
      <c r="H118" s="67" t="str">
        <f>IF('ERROR FINAL'!AT121="CONFORME","CONFORME","NO CONFORME")</f>
        <v>NO CONFORME</v>
      </c>
      <c r="I118" s="68" t="str">
        <f t="shared" si="1"/>
        <v>Medición</v>
      </c>
    </row>
    <row r="119" spans="1:9" x14ac:dyDescent="0.25">
      <c r="A119" s="61">
        <f>'ERROR FINAL'!A122</f>
        <v>114</v>
      </c>
      <c r="B119" s="62">
        <f>'ERROR FINAL'!D122</f>
        <v>3</v>
      </c>
      <c r="C119" s="63">
        <f>'ERROR FINAL'!G122</f>
        <v>0</v>
      </c>
      <c r="D119" s="64">
        <f>'ERROR FINAL'!I122</f>
        <v>0</v>
      </c>
      <c r="E119" s="65">
        <f>'ERROR FINAL'!U122</f>
        <v>-100</v>
      </c>
      <c r="F119" s="66">
        <f>'ERROR FINAL'!AG122</f>
        <v>-100</v>
      </c>
      <c r="G119" s="66">
        <f>'ERROR FINAL'!AS122</f>
        <v>-100</v>
      </c>
      <c r="H119" s="67" t="str">
        <f>IF('ERROR FINAL'!AT122="CONFORME","CONFORME","NO CONFORME")</f>
        <v>NO CONFORME</v>
      </c>
      <c r="I119" s="68" t="str">
        <f t="shared" si="1"/>
        <v>Medición</v>
      </c>
    </row>
    <row r="120" spans="1:9" x14ac:dyDescent="0.25">
      <c r="A120" s="61">
        <f>'ERROR FINAL'!A123</f>
        <v>115</v>
      </c>
      <c r="B120" s="62">
        <f>'ERROR FINAL'!D123</f>
        <v>3</v>
      </c>
      <c r="C120" s="63">
        <f>'ERROR FINAL'!G123</f>
        <v>0</v>
      </c>
      <c r="D120" s="64">
        <f>'ERROR FINAL'!I123</f>
        <v>0</v>
      </c>
      <c r="E120" s="65">
        <f>'ERROR FINAL'!U123</f>
        <v>-100</v>
      </c>
      <c r="F120" s="66">
        <f>'ERROR FINAL'!AG123</f>
        <v>-100</v>
      </c>
      <c r="G120" s="66">
        <f>'ERROR FINAL'!AS123</f>
        <v>-100</v>
      </c>
      <c r="H120" s="67" t="str">
        <f>IF('ERROR FINAL'!AT123="CONFORME","CONFORME","NO CONFORME")</f>
        <v>NO CONFORME</v>
      </c>
      <c r="I120" s="68" t="str">
        <f t="shared" si="1"/>
        <v>Medición</v>
      </c>
    </row>
    <row r="121" spans="1:9" x14ac:dyDescent="0.25">
      <c r="A121" s="61">
        <f>'ERROR FINAL'!A124</f>
        <v>116</v>
      </c>
      <c r="B121" s="62">
        <f>'ERROR FINAL'!D124</f>
        <v>3</v>
      </c>
      <c r="C121" s="63">
        <f>'ERROR FINAL'!G124</f>
        <v>0</v>
      </c>
      <c r="D121" s="64">
        <f>'ERROR FINAL'!I124</f>
        <v>0</v>
      </c>
      <c r="E121" s="65">
        <f>'ERROR FINAL'!U124</f>
        <v>-100</v>
      </c>
      <c r="F121" s="66">
        <f>'ERROR FINAL'!AG124</f>
        <v>-100</v>
      </c>
      <c r="G121" s="66">
        <f>'ERROR FINAL'!AS124</f>
        <v>-100</v>
      </c>
      <c r="H121" s="67" t="str">
        <f>IF('ERROR FINAL'!AT124="CONFORME","CONFORME","NO CONFORME")</f>
        <v>NO CONFORME</v>
      </c>
      <c r="I121" s="68" t="str">
        <f t="shared" si="1"/>
        <v>Medición</v>
      </c>
    </row>
    <row r="122" spans="1:9" x14ac:dyDescent="0.25">
      <c r="A122" s="61">
        <f>'ERROR FINAL'!A125</f>
        <v>117</v>
      </c>
      <c r="B122" s="62">
        <f>'ERROR FINAL'!D125</f>
        <v>3</v>
      </c>
      <c r="C122" s="63">
        <f>'ERROR FINAL'!G125</f>
        <v>0</v>
      </c>
      <c r="D122" s="64">
        <f>'ERROR FINAL'!I125</f>
        <v>0</v>
      </c>
      <c r="E122" s="65">
        <f>'ERROR FINAL'!U125</f>
        <v>-100</v>
      </c>
      <c r="F122" s="66">
        <f>'ERROR FINAL'!AG125</f>
        <v>-100</v>
      </c>
      <c r="G122" s="66">
        <f>'ERROR FINAL'!AS125</f>
        <v>-100</v>
      </c>
      <c r="H122" s="67" t="str">
        <f>IF('ERROR FINAL'!AT125="CONFORME","CONFORME","NO CONFORME")</f>
        <v>NO CONFORME</v>
      </c>
      <c r="I122" s="68" t="str">
        <f t="shared" si="1"/>
        <v>Medición</v>
      </c>
    </row>
    <row r="123" spans="1:9" x14ac:dyDescent="0.25">
      <c r="A123" s="61">
        <f>'ERROR FINAL'!A126</f>
        <v>118</v>
      </c>
      <c r="B123" s="62">
        <f>'ERROR FINAL'!D126</f>
        <v>3</v>
      </c>
      <c r="C123" s="63">
        <f>'ERROR FINAL'!G126</f>
        <v>0</v>
      </c>
      <c r="D123" s="64">
        <f>'ERROR FINAL'!I126</f>
        <v>0</v>
      </c>
      <c r="E123" s="65">
        <f>'ERROR FINAL'!U126</f>
        <v>-100</v>
      </c>
      <c r="F123" s="66">
        <f>'ERROR FINAL'!AG126</f>
        <v>-100</v>
      </c>
      <c r="G123" s="66">
        <f>'ERROR FINAL'!AS126</f>
        <v>-100</v>
      </c>
      <c r="H123" s="67" t="str">
        <f>IF('ERROR FINAL'!AT126="CONFORME","CONFORME","NO CONFORME")</f>
        <v>NO CONFORME</v>
      </c>
      <c r="I123" s="68" t="str">
        <f t="shared" si="1"/>
        <v>Medición</v>
      </c>
    </row>
    <row r="124" spans="1:9" x14ac:dyDescent="0.25">
      <c r="A124" s="61">
        <f>'ERROR FINAL'!A127</f>
        <v>119</v>
      </c>
      <c r="B124" s="62">
        <f>'ERROR FINAL'!D127</f>
        <v>3</v>
      </c>
      <c r="C124" s="63">
        <f>'ERROR FINAL'!G127</f>
        <v>0</v>
      </c>
      <c r="D124" s="64">
        <f>'ERROR FINAL'!I127</f>
        <v>0</v>
      </c>
      <c r="E124" s="65">
        <f>'ERROR FINAL'!U127</f>
        <v>-100</v>
      </c>
      <c r="F124" s="66">
        <f>'ERROR FINAL'!AG127</f>
        <v>-100</v>
      </c>
      <c r="G124" s="66">
        <f>'ERROR FINAL'!AS127</f>
        <v>-100</v>
      </c>
      <c r="H124" s="67" t="str">
        <f>IF('ERROR FINAL'!AT127="CONFORME","CONFORME","NO CONFORME")</f>
        <v>NO CONFORME</v>
      </c>
      <c r="I124" s="68" t="str">
        <f t="shared" si="1"/>
        <v>Medición</v>
      </c>
    </row>
    <row r="125" spans="1:9" x14ac:dyDescent="0.25">
      <c r="A125" s="61">
        <f>'ERROR FINAL'!A128</f>
        <v>120</v>
      </c>
      <c r="B125" s="62">
        <f>'ERROR FINAL'!D128</f>
        <v>3</v>
      </c>
      <c r="C125" s="63">
        <f>'ERROR FINAL'!G128</f>
        <v>0</v>
      </c>
      <c r="D125" s="64">
        <f>'ERROR FINAL'!I128</f>
        <v>0</v>
      </c>
      <c r="E125" s="65">
        <f>'ERROR FINAL'!U128</f>
        <v>-100</v>
      </c>
      <c r="F125" s="66">
        <f>'ERROR FINAL'!AG128</f>
        <v>-100</v>
      </c>
      <c r="G125" s="66">
        <f>'ERROR FINAL'!AS128</f>
        <v>-100</v>
      </c>
      <c r="H125" s="67" t="str">
        <f>IF('ERROR FINAL'!AT128="CONFORME","CONFORME","NO CONFORME")</f>
        <v>NO CONFORME</v>
      </c>
      <c r="I125" s="68" t="str">
        <f t="shared" si="1"/>
        <v>Medición</v>
      </c>
    </row>
    <row r="126" spans="1:9" x14ac:dyDescent="0.25">
      <c r="A126" s="61">
        <f>'ERROR FINAL'!A129</f>
        <v>121</v>
      </c>
      <c r="B126" s="62">
        <f>'ERROR FINAL'!D129</f>
        <v>3</v>
      </c>
      <c r="C126" s="63">
        <f>'ERROR FINAL'!G129</f>
        <v>0</v>
      </c>
      <c r="D126" s="64">
        <f>'ERROR FINAL'!I129</f>
        <v>0</v>
      </c>
      <c r="E126" s="65">
        <f>'ERROR FINAL'!U129</f>
        <v>-100</v>
      </c>
      <c r="F126" s="66">
        <f>'ERROR FINAL'!AG129</f>
        <v>-100</v>
      </c>
      <c r="G126" s="66">
        <f>'ERROR FINAL'!AS129</f>
        <v>-100</v>
      </c>
      <c r="H126" s="67" t="str">
        <f>IF('ERROR FINAL'!AT129="CONFORME","CONFORME","NO CONFORME")</f>
        <v>NO CONFORME</v>
      </c>
      <c r="I126" s="68" t="str">
        <f t="shared" si="1"/>
        <v>Medición</v>
      </c>
    </row>
    <row r="127" spans="1:9" x14ac:dyDescent="0.25">
      <c r="A127" s="61">
        <f>'ERROR FINAL'!A130</f>
        <v>122</v>
      </c>
      <c r="B127" s="62">
        <f>'ERROR FINAL'!D130</f>
        <v>3</v>
      </c>
      <c r="C127" s="63">
        <f>'ERROR FINAL'!G130</f>
        <v>0</v>
      </c>
      <c r="D127" s="64">
        <f>'ERROR FINAL'!I130</f>
        <v>0</v>
      </c>
      <c r="E127" s="65">
        <f>'ERROR FINAL'!U130</f>
        <v>-100</v>
      </c>
      <c r="F127" s="66">
        <f>'ERROR FINAL'!AG130</f>
        <v>-100</v>
      </c>
      <c r="G127" s="66">
        <f>'ERROR FINAL'!AS130</f>
        <v>-100</v>
      </c>
      <c r="H127" s="67" t="str">
        <f>IF('ERROR FINAL'!AT130="CONFORME","CONFORME","NO CONFORME")</f>
        <v>NO CONFORME</v>
      </c>
      <c r="I127" s="68" t="str">
        <f t="shared" si="1"/>
        <v>Medición</v>
      </c>
    </row>
    <row r="128" spans="1:9" x14ac:dyDescent="0.25">
      <c r="A128" s="61">
        <f>'ERROR FINAL'!A131</f>
        <v>123</v>
      </c>
      <c r="B128" s="62">
        <f>'ERROR FINAL'!D131</f>
        <v>3</v>
      </c>
      <c r="C128" s="63">
        <f>'ERROR FINAL'!G131</f>
        <v>0</v>
      </c>
      <c r="D128" s="64">
        <f>'ERROR FINAL'!I131</f>
        <v>0</v>
      </c>
      <c r="E128" s="65">
        <f>'ERROR FINAL'!U131</f>
        <v>-100</v>
      </c>
      <c r="F128" s="66">
        <f>'ERROR FINAL'!AG131</f>
        <v>-100</v>
      </c>
      <c r="G128" s="66">
        <f>'ERROR FINAL'!AS131</f>
        <v>-100</v>
      </c>
      <c r="H128" s="67" t="str">
        <f>IF('ERROR FINAL'!AT131="CONFORME","CONFORME","NO CONFORME")</f>
        <v>NO CONFORME</v>
      </c>
      <c r="I128" s="68" t="str">
        <f t="shared" si="1"/>
        <v>Medición</v>
      </c>
    </row>
    <row r="129" spans="1:9" x14ac:dyDescent="0.25">
      <c r="A129" s="61">
        <f>'ERROR FINAL'!A132</f>
        <v>124</v>
      </c>
      <c r="B129" s="62">
        <f>'ERROR FINAL'!D132</f>
        <v>3</v>
      </c>
      <c r="C129" s="63">
        <f>'ERROR FINAL'!G132</f>
        <v>0</v>
      </c>
      <c r="D129" s="64">
        <f>'ERROR FINAL'!I132</f>
        <v>0</v>
      </c>
      <c r="E129" s="65">
        <f>'ERROR FINAL'!U132</f>
        <v>-100</v>
      </c>
      <c r="F129" s="66">
        <f>'ERROR FINAL'!AG132</f>
        <v>-100</v>
      </c>
      <c r="G129" s="66">
        <f>'ERROR FINAL'!AS132</f>
        <v>-100</v>
      </c>
      <c r="H129" s="67" t="str">
        <f>IF('ERROR FINAL'!AT132="CONFORME","CONFORME","NO CONFORME")</f>
        <v>NO CONFORME</v>
      </c>
      <c r="I129" s="68" t="str">
        <f t="shared" si="1"/>
        <v>Medición</v>
      </c>
    </row>
    <row r="130" spans="1:9" x14ac:dyDescent="0.25">
      <c r="A130" s="61">
        <f>'ERROR FINAL'!A133</f>
        <v>125</v>
      </c>
      <c r="B130" s="62">
        <f>'ERROR FINAL'!D133</f>
        <v>3</v>
      </c>
      <c r="C130" s="63">
        <f>'ERROR FINAL'!G133</f>
        <v>0</v>
      </c>
      <c r="D130" s="64">
        <f>'ERROR FINAL'!I133</f>
        <v>0</v>
      </c>
      <c r="E130" s="65">
        <f>'ERROR FINAL'!U133</f>
        <v>-100</v>
      </c>
      <c r="F130" s="66">
        <f>'ERROR FINAL'!AG133</f>
        <v>-100</v>
      </c>
      <c r="G130" s="66">
        <f>'ERROR FINAL'!AS133</f>
        <v>-100</v>
      </c>
      <c r="H130" s="67" t="str">
        <f>IF('ERROR FINAL'!AT133="CONFORME","CONFORME","NO CONFORME")</f>
        <v>NO CONFORME</v>
      </c>
      <c r="I130" s="68" t="str">
        <f t="shared" si="1"/>
        <v>Medición</v>
      </c>
    </row>
    <row r="131" spans="1:9" x14ac:dyDescent="0.25">
      <c r="A131" s="61">
        <f>'ERROR FINAL'!A134</f>
        <v>126</v>
      </c>
      <c r="B131" s="62">
        <f>'ERROR FINAL'!D134</f>
        <v>3</v>
      </c>
      <c r="C131" s="63">
        <f>'ERROR FINAL'!G134</f>
        <v>0</v>
      </c>
      <c r="D131" s="64">
        <f>'ERROR FINAL'!I134</f>
        <v>0</v>
      </c>
      <c r="E131" s="65">
        <f>'ERROR FINAL'!U134</f>
        <v>-100</v>
      </c>
      <c r="F131" s="66">
        <f>'ERROR FINAL'!AG134</f>
        <v>-100</v>
      </c>
      <c r="G131" s="66">
        <f>'ERROR FINAL'!AS134</f>
        <v>-100</v>
      </c>
      <c r="H131" s="67" t="str">
        <f>IF('ERROR FINAL'!AT134="CONFORME","CONFORME","NO CONFORME")</f>
        <v>NO CONFORME</v>
      </c>
      <c r="I131" s="68" t="str">
        <f t="shared" si="1"/>
        <v>Medición</v>
      </c>
    </row>
    <row r="132" spans="1:9" x14ac:dyDescent="0.25">
      <c r="A132" s="61">
        <f>'ERROR FINAL'!A135</f>
        <v>127</v>
      </c>
      <c r="B132" s="62">
        <f>'ERROR FINAL'!D135</f>
        <v>3</v>
      </c>
      <c r="C132" s="63">
        <f>'ERROR FINAL'!G135</f>
        <v>0</v>
      </c>
      <c r="D132" s="64">
        <f>'ERROR FINAL'!I135</f>
        <v>0</v>
      </c>
      <c r="E132" s="65">
        <f>'ERROR FINAL'!U135</f>
        <v>-100</v>
      </c>
      <c r="F132" s="66">
        <f>'ERROR FINAL'!AG135</f>
        <v>-100</v>
      </c>
      <c r="G132" s="66">
        <f>'ERROR FINAL'!AS135</f>
        <v>-100</v>
      </c>
      <c r="H132" s="67" t="str">
        <f>IF('ERROR FINAL'!AT135="CONFORME","CONFORME","NO CONFORME")</f>
        <v>NO CONFORME</v>
      </c>
      <c r="I132" s="68" t="str">
        <f t="shared" si="1"/>
        <v>Medición</v>
      </c>
    </row>
    <row r="133" spans="1:9" x14ac:dyDescent="0.25">
      <c r="A133" s="61">
        <f>'ERROR FINAL'!A136</f>
        <v>128</v>
      </c>
      <c r="B133" s="62">
        <f>'ERROR FINAL'!D136</f>
        <v>3</v>
      </c>
      <c r="C133" s="63">
        <f>'ERROR FINAL'!G136</f>
        <v>0</v>
      </c>
      <c r="D133" s="64">
        <f>'ERROR FINAL'!I136</f>
        <v>0</v>
      </c>
      <c r="E133" s="65">
        <f>'ERROR FINAL'!U136</f>
        <v>-100</v>
      </c>
      <c r="F133" s="66">
        <f>'ERROR FINAL'!AG136</f>
        <v>-100</v>
      </c>
      <c r="G133" s="66">
        <f>'ERROR FINAL'!AS136</f>
        <v>-100</v>
      </c>
      <c r="H133" s="67" t="str">
        <f>IF('ERROR FINAL'!AT136="CONFORME","CONFORME","NO CONFORME")</f>
        <v>NO CONFORME</v>
      </c>
      <c r="I133" s="68" t="str">
        <f t="shared" si="1"/>
        <v>Medición</v>
      </c>
    </row>
    <row r="134" spans="1:9" x14ac:dyDescent="0.25">
      <c r="A134" s="61">
        <f>'ERROR FINAL'!A137</f>
        <v>129</v>
      </c>
      <c r="B134" s="62">
        <f>'ERROR FINAL'!D137</f>
        <v>3</v>
      </c>
      <c r="C134" s="63">
        <f>'ERROR FINAL'!G137</f>
        <v>0</v>
      </c>
      <c r="D134" s="64">
        <f>'ERROR FINAL'!I137</f>
        <v>0</v>
      </c>
      <c r="E134" s="65">
        <f>'ERROR FINAL'!U137</f>
        <v>-100</v>
      </c>
      <c r="F134" s="66">
        <f>'ERROR FINAL'!AG137</f>
        <v>-100</v>
      </c>
      <c r="G134" s="66">
        <f>'ERROR FINAL'!AS137</f>
        <v>-100</v>
      </c>
      <c r="H134" s="67" t="str">
        <f>IF('ERROR FINAL'!AT137="CONFORME","CONFORME","NO CONFORME")</f>
        <v>NO CONFORME</v>
      </c>
      <c r="I134" s="68" t="str">
        <f t="shared" si="1"/>
        <v>Medición</v>
      </c>
    </row>
    <row r="135" spans="1:9" x14ac:dyDescent="0.25">
      <c r="A135" s="61">
        <f>'ERROR FINAL'!A138</f>
        <v>130</v>
      </c>
      <c r="B135" s="62">
        <f>'ERROR FINAL'!D138</f>
        <v>3</v>
      </c>
      <c r="C135" s="63">
        <f>'ERROR FINAL'!G138</f>
        <v>0</v>
      </c>
      <c r="D135" s="64">
        <f>'ERROR FINAL'!I138</f>
        <v>0</v>
      </c>
      <c r="E135" s="65">
        <f>'ERROR FINAL'!U138</f>
        <v>-100</v>
      </c>
      <c r="F135" s="66">
        <f>'ERROR FINAL'!AG138</f>
        <v>-100</v>
      </c>
      <c r="G135" s="66">
        <f>'ERROR FINAL'!AS138</f>
        <v>-100</v>
      </c>
      <c r="H135" s="67" t="str">
        <f>IF('ERROR FINAL'!AT138="CONFORME","CONFORME","NO CONFORME")</f>
        <v>NO CONFORME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FINAL'!A139</f>
        <v>131</v>
      </c>
      <c r="B136" s="62">
        <f>'ERROR FINAL'!D139</f>
        <v>3</v>
      </c>
      <c r="C136" s="63">
        <f>'ERROR FINAL'!G139</f>
        <v>0</v>
      </c>
      <c r="D136" s="64">
        <f>'ERROR FINAL'!I139</f>
        <v>0</v>
      </c>
      <c r="E136" s="65">
        <f>'ERROR FINAL'!U139</f>
        <v>-100</v>
      </c>
      <c r="F136" s="66">
        <f>'ERROR FINAL'!AG139</f>
        <v>-100</v>
      </c>
      <c r="G136" s="66">
        <f>'ERROR FINAL'!AS139</f>
        <v>-100</v>
      </c>
      <c r="H136" s="67" t="str">
        <f>IF('ERROR FINAL'!AT139="CONFORME","CONFORME","NO CONFORME")</f>
        <v>NO CONFORME</v>
      </c>
      <c r="I136" s="68" t="str">
        <f t="shared" si="2"/>
        <v>Medición</v>
      </c>
    </row>
    <row r="137" spans="1:9" x14ac:dyDescent="0.25">
      <c r="A137" s="61">
        <f>'ERROR FINAL'!A140</f>
        <v>132</v>
      </c>
      <c r="B137" s="62">
        <f>'ERROR FINAL'!D140</f>
        <v>3</v>
      </c>
      <c r="C137" s="63">
        <f>'ERROR FINAL'!G140</f>
        <v>0</v>
      </c>
      <c r="D137" s="64">
        <f>'ERROR FINAL'!I140</f>
        <v>0</v>
      </c>
      <c r="E137" s="65">
        <f>'ERROR FINAL'!U140</f>
        <v>-100</v>
      </c>
      <c r="F137" s="66">
        <f>'ERROR FINAL'!AG140</f>
        <v>-100</v>
      </c>
      <c r="G137" s="66">
        <f>'ERROR FINAL'!AS140</f>
        <v>-100</v>
      </c>
      <c r="H137" s="67" t="str">
        <f>IF('ERROR FINAL'!AT140="CONFORME","CONFORME","NO CONFORME")</f>
        <v>NO CONFORME</v>
      </c>
      <c r="I137" s="68" t="str">
        <f t="shared" si="2"/>
        <v>Medición</v>
      </c>
    </row>
    <row r="138" spans="1:9" x14ac:dyDescent="0.25">
      <c r="A138" s="61">
        <f>'ERROR FINAL'!A141</f>
        <v>133</v>
      </c>
      <c r="B138" s="62">
        <f>'ERROR FINAL'!D141</f>
        <v>3</v>
      </c>
      <c r="C138" s="63">
        <f>'ERROR FINAL'!G141</f>
        <v>0</v>
      </c>
      <c r="D138" s="64">
        <f>'ERROR FINAL'!I141</f>
        <v>0</v>
      </c>
      <c r="E138" s="65">
        <f>'ERROR FINAL'!U141</f>
        <v>-100</v>
      </c>
      <c r="F138" s="66">
        <f>'ERROR FINAL'!AG141</f>
        <v>-100</v>
      </c>
      <c r="G138" s="66">
        <f>'ERROR FINAL'!AS141</f>
        <v>-100</v>
      </c>
      <c r="H138" s="67" t="str">
        <f>IF('ERROR FINAL'!AT141="CONFORME","CONFORME","NO CONFORME")</f>
        <v>NO CONFORME</v>
      </c>
      <c r="I138" s="68" t="str">
        <f t="shared" si="2"/>
        <v>Medición</v>
      </c>
    </row>
    <row r="139" spans="1:9" x14ac:dyDescent="0.25">
      <c r="A139" s="61">
        <f>'ERROR FINAL'!A142</f>
        <v>134</v>
      </c>
      <c r="B139" s="62">
        <f>'ERROR FINAL'!D142</f>
        <v>3</v>
      </c>
      <c r="C139" s="63">
        <f>'ERROR FINAL'!G142</f>
        <v>0</v>
      </c>
      <c r="D139" s="64">
        <f>'ERROR FINAL'!I142</f>
        <v>0</v>
      </c>
      <c r="E139" s="65">
        <f>'ERROR FINAL'!U142</f>
        <v>-100</v>
      </c>
      <c r="F139" s="66">
        <f>'ERROR FINAL'!AG142</f>
        <v>-100</v>
      </c>
      <c r="G139" s="66">
        <f>'ERROR FINAL'!AS142</f>
        <v>-100</v>
      </c>
      <c r="H139" s="67" t="str">
        <f>IF('ERROR FINAL'!AT142="CONFORME","CONFORME","NO CONFORME")</f>
        <v>NO CONFORME</v>
      </c>
      <c r="I139" s="68" t="str">
        <f t="shared" si="2"/>
        <v>Medición</v>
      </c>
    </row>
    <row r="140" spans="1:9" x14ac:dyDescent="0.25">
      <c r="A140" s="61">
        <f>'ERROR FINAL'!A143</f>
        <v>135</v>
      </c>
      <c r="B140" s="62">
        <f>'ERROR FINAL'!D143</f>
        <v>3</v>
      </c>
      <c r="C140" s="63">
        <f>'ERROR FINAL'!G143</f>
        <v>0</v>
      </c>
      <c r="D140" s="64">
        <f>'ERROR FINAL'!I143</f>
        <v>0</v>
      </c>
      <c r="E140" s="65">
        <f>'ERROR FINAL'!U143</f>
        <v>-100</v>
      </c>
      <c r="F140" s="66">
        <f>'ERROR FINAL'!AG143</f>
        <v>-100</v>
      </c>
      <c r="G140" s="66">
        <f>'ERROR FINAL'!AS143</f>
        <v>-100</v>
      </c>
      <c r="H140" s="67" t="str">
        <f>IF('ERROR FINAL'!AT143="CONFORME","CONFORME","NO CONFORME")</f>
        <v>NO CONFORME</v>
      </c>
      <c r="I140" s="68" t="str">
        <f t="shared" si="2"/>
        <v>Medición</v>
      </c>
    </row>
    <row r="141" spans="1:9" x14ac:dyDescent="0.25">
      <c r="A141" s="61">
        <f>'ERROR FINAL'!A144</f>
        <v>136</v>
      </c>
      <c r="B141" s="62">
        <f>'ERROR FINAL'!D144</f>
        <v>3</v>
      </c>
      <c r="C141" s="63">
        <f>'ERROR FINAL'!G144</f>
        <v>0</v>
      </c>
      <c r="D141" s="64">
        <f>'ERROR FINAL'!I144</f>
        <v>0</v>
      </c>
      <c r="E141" s="65">
        <f>'ERROR FINAL'!U144</f>
        <v>-100</v>
      </c>
      <c r="F141" s="66">
        <f>'ERROR FINAL'!AG144</f>
        <v>-100</v>
      </c>
      <c r="G141" s="66">
        <f>'ERROR FINAL'!AS144</f>
        <v>-100</v>
      </c>
      <c r="H141" s="67" t="str">
        <f>IF('ERROR FINAL'!AT144="CONFORME","CONFORME","NO CONFORME")</f>
        <v>NO CONFORME</v>
      </c>
      <c r="I141" s="68" t="str">
        <f t="shared" si="2"/>
        <v>Medición</v>
      </c>
    </row>
    <row r="142" spans="1:9" x14ac:dyDescent="0.25">
      <c r="A142" s="61">
        <f>'ERROR FINAL'!A145</f>
        <v>137</v>
      </c>
      <c r="B142" s="62">
        <f>'ERROR FINAL'!D145</f>
        <v>3</v>
      </c>
      <c r="C142" s="63">
        <f>'ERROR FINAL'!G145</f>
        <v>0</v>
      </c>
      <c r="D142" s="64">
        <f>'ERROR FINAL'!I145</f>
        <v>0</v>
      </c>
      <c r="E142" s="65">
        <f>'ERROR FINAL'!U145</f>
        <v>-100</v>
      </c>
      <c r="F142" s="66">
        <f>'ERROR FINAL'!AG145</f>
        <v>-100</v>
      </c>
      <c r="G142" s="66">
        <f>'ERROR FINAL'!AS145</f>
        <v>-100</v>
      </c>
      <c r="H142" s="67" t="str">
        <f>IF('ERROR FINAL'!AT145="CONFORME","CONFORME","NO CONFORME")</f>
        <v>NO CONFORME</v>
      </c>
      <c r="I142" s="68" t="str">
        <f t="shared" si="2"/>
        <v>Medición</v>
      </c>
    </row>
    <row r="143" spans="1:9" x14ac:dyDescent="0.25">
      <c r="A143" s="61">
        <f>'ERROR FINAL'!A146</f>
        <v>138</v>
      </c>
      <c r="B143" s="62">
        <f>'ERROR FINAL'!D146</f>
        <v>3</v>
      </c>
      <c r="C143" s="63">
        <f>'ERROR FINAL'!G146</f>
        <v>0</v>
      </c>
      <c r="D143" s="64">
        <f>'ERROR FINAL'!I146</f>
        <v>0</v>
      </c>
      <c r="E143" s="65">
        <f>'ERROR FINAL'!U146</f>
        <v>-100</v>
      </c>
      <c r="F143" s="66">
        <f>'ERROR FINAL'!AG146</f>
        <v>-100</v>
      </c>
      <c r="G143" s="66">
        <f>'ERROR FINAL'!AS146</f>
        <v>-100</v>
      </c>
      <c r="H143" s="67" t="str">
        <f>IF('ERROR FINAL'!AT146="CONFORME","CONFORME","NO CONFORME")</f>
        <v>NO CONFORME</v>
      </c>
      <c r="I143" s="68" t="str">
        <f t="shared" si="2"/>
        <v>Medición</v>
      </c>
    </row>
    <row r="144" spans="1:9" x14ac:dyDescent="0.25">
      <c r="A144" s="61">
        <f>'ERROR FINAL'!A147</f>
        <v>139</v>
      </c>
      <c r="B144" s="62">
        <f>'ERROR FINAL'!D147</f>
        <v>3</v>
      </c>
      <c r="C144" s="63">
        <f>'ERROR FINAL'!G147</f>
        <v>0</v>
      </c>
      <c r="D144" s="64">
        <f>'ERROR FINAL'!I147</f>
        <v>0</v>
      </c>
      <c r="E144" s="65">
        <f>'ERROR FINAL'!U147</f>
        <v>-100</v>
      </c>
      <c r="F144" s="66">
        <f>'ERROR FINAL'!AG147</f>
        <v>-100</v>
      </c>
      <c r="G144" s="66">
        <f>'ERROR FINAL'!AS147</f>
        <v>-100</v>
      </c>
      <c r="H144" s="67" t="str">
        <f>IF('ERROR FINAL'!AT147="CONFORME","CONFORME","NO CONFORME")</f>
        <v>NO CONFORME</v>
      </c>
      <c r="I144" s="68" t="str">
        <f t="shared" si="2"/>
        <v>Medición</v>
      </c>
    </row>
    <row r="145" spans="1:9" x14ac:dyDescent="0.25">
      <c r="A145" s="61">
        <f>'ERROR FINAL'!A148</f>
        <v>140</v>
      </c>
      <c r="B145" s="62">
        <f>'ERROR FINAL'!D148</f>
        <v>3</v>
      </c>
      <c r="C145" s="63">
        <f>'ERROR FINAL'!G148</f>
        <v>0</v>
      </c>
      <c r="D145" s="64">
        <f>'ERROR FINAL'!I148</f>
        <v>0</v>
      </c>
      <c r="E145" s="65">
        <f>'ERROR FINAL'!U148</f>
        <v>-100</v>
      </c>
      <c r="F145" s="66">
        <f>'ERROR FINAL'!AG148</f>
        <v>-100</v>
      </c>
      <c r="G145" s="66">
        <f>'ERROR FINAL'!AS148</f>
        <v>-100</v>
      </c>
      <c r="H145" s="67" t="str">
        <f>IF('ERROR FINAL'!AT148="CONFORME","CONFORME","NO CONFORME")</f>
        <v>NO CONFORME</v>
      </c>
      <c r="I145" s="68" t="str">
        <f t="shared" si="2"/>
        <v>Medición</v>
      </c>
    </row>
    <row r="146" spans="1:9" x14ac:dyDescent="0.25">
      <c r="A146" s="61">
        <f>'ERROR FINAL'!A149</f>
        <v>141</v>
      </c>
      <c r="B146" s="62">
        <f>'ERROR FINAL'!D149</f>
        <v>3</v>
      </c>
      <c r="C146" s="63">
        <f>'ERROR FINAL'!G149</f>
        <v>0</v>
      </c>
      <c r="D146" s="64">
        <f>'ERROR FINAL'!I149</f>
        <v>0</v>
      </c>
      <c r="E146" s="65">
        <f>'ERROR FINAL'!U149</f>
        <v>-100</v>
      </c>
      <c r="F146" s="66">
        <f>'ERROR FINAL'!AG149</f>
        <v>-100</v>
      </c>
      <c r="G146" s="66">
        <f>'ERROR FINAL'!AS149</f>
        <v>-100</v>
      </c>
      <c r="H146" s="67" t="str">
        <f>IF('ERROR FINAL'!AT149="CONFORME","CONFORME","NO CONFORME")</f>
        <v>NO CONFORME</v>
      </c>
      <c r="I146" s="68" t="str">
        <f t="shared" si="2"/>
        <v>Medición</v>
      </c>
    </row>
    <row r="147" spans="1:9" x14ac:dyDescent="0.25">
      <c r="A147" s="61">
        <f>'ERROR FINAL'!A150</f>
        <v>142</v>
      </c>
      <c r="B147" s="62">
        <f>'ERROR FINAL'!D150</f>
        <v>3</v>
      </c>
      <c r="C147" s="63">
        <f>'ERROR FINAL'!G150</f>
        <v>0</v>
      </c>
      <c r="D147" s="64">
        <f>'ERROR FINAL'!I150</f>
        <v>0</v>
      </c>
      <c r="E147" s="65">
        <f>'ERROR FINAL'!U150</f>
        <v>-100</v>
      </c>
      <c r="F147" s="66">
        <f>'ERROR FINAL'!AG150</f>
        <v>-100</v>
      </c>
      <c r="G147" s="66">
        <f>'ERROR FINAL'!AS150</f>
        <v>-100</v>
      </c>
      <c r="H147" s="67" t="str">
        <f>IF('ERROR FINAL'!AT150="CONFORME","CONFORME","NO CONFORME")</f>
        <v>NO CONFORME</v>
      </c>
      <c r="I147" s="68" t="str">
        <f t="shared" si="2"/>
        <v>Medición</v>
      </c>
    </row>
    <row r="148" spans="1:9" x14ac:dyDescent="0.25">
      <c r="A148" s="61">
        <f>'ERROR FINAL'!A151</f>
        <v>143</v>
      </c>
      <c r="B148" s="62">
        <f>'ERROR FINAL'!D151</f>
        <v>3</v>
      </c>
      <c r="C148" s="63">
        <f>'ERROR FINAL'!G151</f>
        <v>0</v>
      </c>
      <c r="D148" s="64">
        <f>'ERROR FINAL'!I151</f>
        <v>0</v>
      </c>
      <c r="E148" s="65">
        <f>'ERROR FINAL'!U151</f>
        <v>-100</v>
      </c>
      <c r="F148" s="66">
        <f>'ERROR FINAL'!AG151</f>
        <v>-100</v>
      </c>
      <c r="G148" s="66">
        <f>'ERROR FINAL'!AS151</f>
        <v>-100</v>
      </c>
      <c r="H148" s="67" t="str">
        <f>IF('ERROR FINAL'!AT151="CONFORME","CONFORME","NO CONFORME")</f>
        <v>NO CONFORME</v>
      </c>
      <c r="I148" s="68" t="str">
        <f t="shared" si="2"/>
        <v>Medición</v>
      </c>
    </row>
    <row r="149" spans="1:9" x14ac:dyDescent="0.25">
      <c r="A149" s="61">
        <f>'ERROR FINAL'!A152</f>
        <v>144</v>
      </c>
      <c r="B149" s="62">
        <f>'ERROR FINAL'!D152</f>
        <v>3</v>
      </c>
      <c r="C149" s="63">
        <f>'ERROR FINAL'!G152</f>
        <v>0</v>
      </c>
      <c r="D149" s="64">
        <f>'ERROR FINAL'!I152</f>
        <v>0</v>
      </c>
      <c r="E149" s="65">
        <f>'ERROR FINAL'!U152</f>
        <v>-100</v>
      </c>
      <c r="F149" s="66">
        <f>'ERROR FINAL'!AG152</f>
        <v>-100</v>
      </c>
      <c r="G149" s="66">
        <f>'ERROR FINAL'!AS152</f>
        <v>-100</v>
      </c>
      <c r="H149" s="67" t="str">
        <f>IF('ERROR FINAL'!AT152="CONFORME","CONFORME","NO CONFORME")</f>
        <v>NO CONFORME</v>
      </c>
      <c r="I149" s="68" t="str">
        <f t="shared" si="2"/>
        <v>Medición</v>
      </c>
    </row>
    <row r="150" spans="1:9" x14ac:dyDescent="0.25">
      <c r="A150" s="61">
        <f>'ERROR FINAL'!A153</f>
        <v>145</v>
      </c>
      <c r="B150" s="62">
        <f>'ERROR FINAL'!D153</f>
        <v>3</v>
      </c>
      <c r="C150" s="63">
        <f>'ERROR FINAL'!G153</f>
        <v>0</v>
      </c>
      <c r="D150" s="64">
        <f>'ERROR FINAL'!I153</f>
        <v>0</v>
      </c>
      <c r="E150" s="65">
        <f>'ERROR FINAL'!U153</f>
        <v>-100</v>
      </c>
      <c r="F150" s="66">
        <f>'ERROR FINAL'!AG153</f>
        <v>-100</v>
      </c>
      <c r="G150" s="66">
        <f>'ERROR FINAL'!AS153</f>
        <v>-100</v>
      </c>
      <c r="H150" s="67" t="str">
        <f>IF('ERROR FINAL'!AT153="CONFORME","CONFORME","NO CONFORME")</f>
        <v>NO CONFORME</v>
      </c>
      <c r="I150" s="68" t="str">
        <f t="shared" si="2"/>
        <v>Medición</v>
      </c>
    </row>
    <row r="151" spans="1:9" x14ac:dyDescent="0.25">
      <c r="A151" s="61">
        <f>'ERROR FINAL'!A154</f>
        <v>146</v>
      </c>
      <c r="B151" s="62">
        <f>'ERROR FINAL'!D154</f>
        <v>3</v>
      </c>
      <c r="C151" s="63">
        <f>'ERROR FINAL'!G154</f>
        <v>0</v>
      </c>
      <c r="D151" s="64">
        <f>'ERROR FINAL'!I154</f>
        <v>0</v>
      </c>
      <c r="E151" s="65">
        <f>'ERROR FINAL'!U154</f>
        <v>-100</v>
      </c>
      <c r="F151" s="66">
        <f>'ERROR FINAL'!AG154</f>
        <v>-100</v>
      </c>
      <c r="G151" s="66">
        <f>'ERROR FINAL'!AS154</f>
        <v>-100</v>
      </c>
      <c r="H151" s="67" t="str">
        <f>IF('ERROR FINAL'!AT154="CONFORME","CONFORME","NO CONFORME")</f>
        <v>NO CONFORME</v>
      </c>
      <c r="I151" s="68" t="str">
        <f t="shared" si="2"/>
        <v>Medición</v>
      </c>
    </row>
    <row r="152" spans="1:9" x14ac:dyDescent="0.25">
      <c r="A152" s="61">
        <f>'ERROR FINAL'!A155</f>
        <v>147</v>
      </c>
      <c r="B152" s="62">
        <f>'ERROR FINAL'!D155</f>
        <v>3</v>
      </c>
      <c r="C152" s="63">
        <f>'ERROR FINAL'!G155</f>
        <v>0</v>
      </c>
      <c r="D152" s="64">
        <f>'ERROR FINAL'!I155</f>
        <v>0</v>
      </c>
      <c r="E152" s="65">
        <f>'ERROR FINAL'!U155</f>
        <v>-100</v>
      </c>
      <c r="F152" s="66">
        <f>'ERROR FINAL'!AG155</f>
        <v>-100</v>
      </c>
      <c r="G152" s="66">
        <f>'ERROR FINAL'!AS155</f>
        <v>-100</v>
      </c>
      <c r="H152" s="67" t="str">
        <f>IF('ERROR FINAL'!AT155="CONFORME","CONFORME","NO CONFORME")</f>
        <v>NO CONFORME</v>
      </c>
      <c r="I152" s="68" t="str">
        <f t="shared" si="2"/>
        <v>Medición</v>
      </c>
    </row>
    <row r="153" spans="1:9" x14ac:dyDescent="0.25">
      <c r="A153" s="61">
        <f>'ERROR FINAL'!A156</f>
        <v>148</v>
      </c>
      <c r="B153" s="62">
        <f>'ERROR FINAL'!D156</f>
        <v>3</v>
      </c>
      <c r="C153" s="63">
        <f>'ERROR FINAL'!G156</f>
        <v>0</v>
      </c>
      <c r="D153" s="64">
        <f>'ERROR FINAL'!I156</f>
        <v>0</v>
      </c>
      <c r="E153" s="65">
        <f>'ERROR FINAL'!U156</f>
        <v>-100</v>
      </c>
      <c r="F153" s="66">
        <f>'ERROR FINAL'!AG156</f>
        <v>-100</v>
      </c>
      <c r="G153" s="66">
        <f>'ERROR FINAL'!AS156</f>
        <v>-100</v>
      </c>
      <c r="H153" s="67" t="str">
        <f>IF('ERROR FINAL'!AT156="CONFORME","CONFORME","NO CONFORME")</f>
        <v>NO CONFORME</v>
      </c>
      <c r="I153" s="68" t="str">
        <f t="shared" si="2"/>
        <v>Medición</v>
      </c>
    </row>
    <row r="154" spans="1:9" x14ac:dyDescent="0.25">
      <c r="A154" s="61">
        <f>'ERROR FINAL'!A157</f>
        <v>149</v>
      </c>
      <c r="B154" s="62">
        <f>'ERROR FINAL'!D157</f>
        <v>3</v>
      </c>
      <c r="C154" s="63">
        <f>'ERROR FINAL'!G157</f>
        <v>0</v>
      </c>
      <c r="D154" s="64">
        <f>'ERROR FINAL'!I157</f>
        <v>0</v>
      </c>
      <c r="E154" s="65">
        <f>'ERROR FINAL'!U157</f>
        <v>-100</v>
      </c>
      <c r="F154" s="66">
        <f>'ERROR FINAL'!AG157</f>
        <v>-100</v>
      </c>
      <c r="G154" s="66">
        <f>'ERROR FINAL'!AS157</f>
        <v>-100</v>
      </c>
      <c r="H154" s="67" t="str">
        <f>IF('ERROR FINAL'!AT157="CONFORME","CONFORME","NO CONFORME")</f>
        <v>NO CONFORME</v>
      </c>
      <c r="I154" s="68" t="str">
        <f t="shared" si="2"/>
        <v>Medición</v>
      </c>
    </row>
    <row r="155" spans="1:9" x14ac:dyDescent="0.25">
      <c r="A155" s="61">
        <f>'ERROR FINAL'!A158</f>
        <v>150</v>
      </c>
      <c r="B155" s="62">
        <f>'ERROR FINAL'!D158</f>
        <v>3</v>
      </c>
      <c r="C155" s="63">
        <f>'ERROR FINAL'!G158</f>
        <v>0</v>
      </c>
      <c r="D155" s="64">
        <f>'ERROR FINAL'!I158</f>
        <v>0</v>
      </c>
      <c r="E155" s="65">
        <f>'ERROR FINAL'!U158</f>
        <v>-100</v>
      </c>
      <c r="F155" s="66">
        <f>'ERROR FINAL'!AG158</f>
        <v>-100</v>
      </c>
      <c r="G155" s="66">
        <f>'ERROR FINAL'!AS158</f>
        <v>-100</v>
      </c>
      <c r="H155" s="67" t="str">
        <f>IF('ERROR FINAL'!AT158="CONFORME","CONFORME","NO CONFORME")</f>
        <v>NO CONFORME</v>
      </c>
      <c r="I155" s="68" t="str">
        <f t="shared" si="2"/>
        <v>Medición</v>
      </c>
    </row>
    <row r="156" spans="1:9" x14ac:dyDescent="0.25">
      <c r="A156" s="61">
        <f>'ERROR FINAL'!A159</f>
        <v>151</v>
      </c>
      <c r="B156" s="62">
        <f>'ERROR FINAL'!D159</f>
        <v>3</v>
      </c>
      <c r="C156" s="63">
        <f>'ERROR FINAL'!G159</f>
        <v>0</v>
      </c>
      <c r="D156" s="64">
        <f>'ERROR FINAL'!I159</f>
        <v>0</v>
      </c>
      <c r="E156" s="65">
        <f>'ERROR FINAL'!U159</f>
        <v>-100</v>
      </c>
      <c r="F156" s="66">
        <f>'ERROR FINAL'!AG159</f>
        <v>-100</v>
      </c>
      <c r="G156" s="66">
        <f>'ERROR FINAL'!AS159</f>
        <v>-100</v>
      </c>
      <c r="H156" s="67" t="str">
        <f>IF('ERROR FINAL'!AT159="CONFORME","CONFORME","NO CONFORME")</f>
        <v>NO CONFORME</v>
      </c>
      <c r="I156" s="68" t="str">
        <f t="shared" si="2"/>
        <v>Medición</v>
      </c>
    </row>
    <row r="157" spans="1:9" x14ac:dyDescent="0.25">
      <c r="A157" s="61">
        <f>'ERROR FINAL'!A160</f>
        <v>152</v>
      </c>
      <c r="B157" s="62">
        <f>'ERROR FINAL'!D160</f>
        <v>3</v>
      </c>
      <c r="C157" s="63">
        <f>'ERROR FINAL'!G160</f>
        <v>0</v>
      </c>
      <c r="D157" s="64">
        <f>'ERROR FINAL'!I160</f>
        <v>0</v>
      </c>
      <c r="E157" s="65">
        <f>'ERROR FINAL'!U160</f>
        <v>-100</v>
      </c>
      <c r="F157" s="66">
        <f>'ERROR FINAL'!AG160</f>
        <v>-100</v>
      </c>
      <c r="G157" s="66">
        <f>'ERROR FINAL'!AS160</f>
        <v>-100</v>
      </c>
      <c r="H157" s="67" t="str">
        <f>IF('ERROR FINAL'!AT160="CONFORME","CONFORME","NO CONFORME")</f>
        <v>NO CONFORME</v>
      </c>
      <c r="I157" s="68" t="str">
        <f t="shared" si="2"/>
        <v>Medición</v>
      </c>
    </row>
    <row r="158" spans="1:9" x14ac:dyDescent="0.25">
      <c r="A158" s="61">
        <f>'ERROR FINAL'!A161</f>
        <v>153</v>
      </c>
      <c r="B158" s="62">
        <f>'ERROR FINAL'!D161</f>
        <v>3</v>
      </c>
      <c r="C158" s="63">
        <f>'ERROR FINAL'!G161</f>
        <v>0</v>
      </c>
      <c r="D158" s="64">
        <f>'ERROR FINAL'!I161</f>
        <v>0</v>
      </c>
      <c r="E158" s="65">
        <f>'ERROR FINAL'!U161</f>
        <v>-100</v>
      </c>
      <c r="F158" s="66">
        <f>'ERROR FINAL'!AG161</f>
        <v>-100</v>
      </c>
      <c r="G158" s="66">
        <f>'ERROR FINAL'!AS161</f>
        <v>-100</v>
      </c>
      <c r="H158" s="67" t="str">
        <f>IF('ERROR FINAL'!AT161="CONFORME","CONFORME","NO CONFORME")</f>
        <v>NO CONFORME</v>
      </c>
      <c r="I158" s="68" t="str">
        <f t="shared" si="2"/>
        <v>Medición</v>
      </c>
    </row>
    <row r="159" spans="1:9" x14ac:dyDescent="0.25">
      <c r="A159" s="61">
        <f>'ERROR FINAL'!A162</f>
        <v>154</v>
      </c>
      <c r="B159" s="62">
        <f>'ERROR FINAL'!D162</f>
        <v>3</v>
      </c>
      <c r="C159" s="63">
        <f>'ERROR FINAL'!G162</f>
        <v>0</v>
      </c>
      <c r="D159" s="64">
        <f>'ERROR FINAL'!I162</f>
        <v>0</v>
      </c>
      <c r="E159" s="65">
        <f>'ERROR FINAL'!U162</f>
        <v>-100</v>
      </c>
      <c r="F159" s="66">
        <f>'ERROR FINAL'!AG162</f>
        <v>-100</v>
      </c>
      <c r="G159" s="66">
        <f>'ERROR FINAL'!AS162</f>
        <v>-100</v>
      </c>
      <c r="H159" s="67" t="str">
        <f>IF('ERROR FINAL'!AT162="CONFORME","CONFORME","NO CONFORME")</f>
        <v>NO CONFORME</v>
      </c>
      <c r="I159" s="68" t="str">
        <f t="shared" si="2"/>
        <v>Medición</v>
      </c>
    </row>
    <row r="160" spans="1:9" x14ac:dyDescent="0.25">
      <c r="A160" s="61">
        <f>'ERROR FINAL'!A163</f>
        <v>155</v>
      </c>
      <c r="B160" s="62">
        <f>'ERROR FINAL'!D163</f>
        <v>3</v>
      </c>
      <c r="C160" s="63">
        <f>'ERROR FINAL'!G163</f>
        <v>0</v>
      </c>
      <c r="D160" s="64">
        <f>'ERROR FINAL'!I163</f>
        <v>0</v>
      </c>
      <c r="E160" s="65">
        <f>'ERROR FINAL'!U163</f>
        <v>-100</v>
      </c>
      <c r="F160" s="66">
        <f>'ERROR FINAL'!AG163</f>
        <v>-100</v>
      </c>
      <c r="G160" s="66">
        <f>'ERROR FINAL'!AS163</f>
        <v>-100</v>
      </c>
      <c r="H160" s="67" t="str">
        <f>IF('ERROR FINAL'!AT163="CONFORME","CONFORME","NO CONFORME")</f>
        <v>NO CONFORME</v>
      </c>
      <c r="I160" s="68" t="str">
        <f t="shared" si="2"/>
        <v>Medición</v>
      </c>
    </row>
    <row r="161" spans="1:9" x14ac:dyDescent="0.25">
      <c r="A161" s="61">
        <f>'ERROR FINAL'!A164</f>
        <v>156</v>
      </c>
      <c r="B161" s="62">
        <f>'ERROR FINAL'!D164</f>
        <v>3</v>
      </c>
      <c r="C161" s="63">
        <f>'ERROR FINAL'!G164</f>
        <v>0</v>
      </c>
      <c r="D161" s="64">
        <f>'ERROR FINAL'!I164</f>
        <v>0</v>
      </c>
      <c r="E161" s="65">
        <f>'ERROR FINAL'!U164</f>
        <v>-100</v>
      </c>
      <c r="F161" s="66">
        <f>'ERROR FINAL'!AG164</f>
        <v>-100</v>
      </c>
      <c r="G161" s="66">
        <f>'ERROR FINAL'!AS164</f>
        <v>-100</v>
      </c>
      <c r="H161" s="67" t="str">
        <f>IF('ERROR FINAL'!AT164="CONFORME","CONFORME","NO CONFORME")</f>
        <v>NO CONFORME</v>
      </c>
      <c r="I161" s="68" t="str">
        <f t="shared" si="2"/>
        <v>Medición</v>
      </c>
    </row>
    <row r="162" spans="1:9" x14ac:dyDescent="0.25">
      <c r="A162" s="61">
        <f>'ERROR FINAL'!A165</f>
        <v>157</v>
      </c>
      <c r="B162" s="62">
        <f>'ERROR FINAL'!D165</f>
        <v>3</v>
      </c>
      <c r="C162" s="63">
        <f>'ERROR FINAL'!G165</f>
        <v>0</v>
      </c>
      <c r="D162" s="64">
        <f>'ERROR FINAL'!I165</f>
        <v>0</v>
      </c>
      <c r="E162" s="65">
        <f>'ERROR FINAL'!U165</f>
        <v>-100</v>
      </c>
      <c r="F162" s="66">
        <f>'ERROR FINAL'!AG165</f>
        <v>-100</v>
      </c>
      <c r="G162" s="66">
        <f>'ERROR FINAL'!AS165</f>
        <v>-100</v>
      </c>
      <c r="H162" s="67" t="str">
        <f>IF('ERROR FINAL'!AT165="CONFORME","CONFORME","NO CONFORME")</f>
        <v>NO CONFORME</v>
      </c>
      <c r="I162" s="68" t="str">
        <f t="shared" si="2"/>
        <v>Medición</v>
      </c>
    </row>
    <row r="163" spans="1:9" x14ac:dyDescent="0.25">
      <c r="A163" s="61">
        <f>'ERROR FINAL'!A166</f>
        <v>158</v>
      </c>
      <c r="B163" s="62">
        <f>'ERROR FINAL'!D166</f>
        <v>3</v>
      </c>
      <c r="C163" s="63">
        <f>'ERROR FINAL'!G166</f>
        <v>0</v>
      </c>
      <c r="D163" s="64">
        <f>'ERROR FINAL'!I166</f>
        <v>0</v>
      </c>
      <c r="E163" s="65">
        <f>'ERROR FINAL'!U166</f>
        <v>-100</v>
      </c>
      <c r="F163" s="66">
        <f>'ERROR FINAL'!AG166</f>
        <v>-100</v>
      </c>
      <c r="G163" s="66">
        <f>'ERROR FINAL'!AS166</f>
        <v>-100</v>
      </c>
      <c r="H163" s="67" t="str">
        <f>IF('ERROR FINAL'!AT166="CONFORME","CONFORME","NO CONFORME")</f>
        <v>NO CONFORME</v>
      </c>
      <c r="I163" s="68" t="str">
        <f t="shared" si="2"/>
        <v>Medición</v>
      </c>
    </row>
    <row r="164" spans="1:9" x14ac:dyDescent="0.25">
      <c r="A164" s="61">
        <f>'ERROR FINAL'!A167</f>
        <v>159</v>
      </c>
      <c r="B164" s="62">
        <f>'ERROR FINAL'!D167</f>
        <v>3</v>
      </c>
      <c r="C164" s="63">
        <f>'ERROR FINAL'!G167</f>
        <v>0</v>
      </c>
      <c r="D164" s="64">
        <f>'ERROR FINAL'!I167</f>
        <v>0</v>
      </c>
      <c r="E164" s="65">
        <f>'ERROR FINAL'!U167</f>
        <v>-100</v>
      </c>
      <c r="F164" s="66">
        <f>'ERROR FINAL'!AG167</f>
        <v>-100</v>
      </c>
      <c r="G164" s="66">
        <f>'ERROR FINAL'!AS167</f>
        <v>-100</v>
      </c>
      <c r="H164" s="67" t="str">
        <f>IF('ERROR FINAL'!AT167="CONFORME","CONFORME","NO CONFORME")</f>
        <v>NO CONFORME</v>
      </c>
      <c r="I164" s="68" t="str">
        <f t="shared" si="2"/>
        <v>Medición</v>
      </c>
    </row>
    <row r="165" spans="1:9" x14ac:dyDescent="0.25">
      <c r="A165" s="61">
        <f>'ERROR FINAL'!A168</f>
        <v>160</v>
      </c>
      <c r="B165" s="62">
        <f>'ERROR FINAL'!D168</f>
        <v>3</v>
      </c>
      <c r="C165" s="63">
        <f>'ERROR FINAL'!G168</f>
        <v>0</v>
      </c>
      <c r="D165" s="64">
        <f>'ERROR FINAL'!I168</f>
        <v>0</v>
      </c>
      <c r="E165" s="65">
        <f>'ERROR FINAL'!U168</f>
        <v>-100</v>
      </c>
      <c r="F165" s="66">
        <f>'ERROR FINAL'!AG168</f>
        <v>-100</v>
      </c>
      <c r="G165" s="66">
        <f>'ERROR FINAL'!AS168</f>
        <v>-100</v>
      </c>
      <c r="H165" s="67" t="str">
        <f>IF('ERROR FINAL'!AT168="CONFORME","CONFORME","NO CONFORME")</f>
        <v>NO CONFORME</v>
      </c>
      <c r="I165" s="68" t="str">
        <f t="shared" si="2"/>
        <v>Medición</v>
      </c>
    </row>
    <row r="166" spans="1:9" x14ac:dyDescent="0.25">
      <c r="A166" s="61">
        <f>'ERROR FINAL'!A169</f>
        <v>161</v>
      </c>
      <c r="B166" s="62">
        <f>'ERROR FINAL'!D169</f>
        <v>3</v>
      </c>
      <c r="C166" s="63">
        <f>'ERROR FINAL'!G169</f>
        <v>0</v>
      </c>
      <c r="D166" s="64">
        <f>'ERROR FINAL'!I169</f>
        <v>0</v>
      </c>
      <c r="E166" s="65">
        <f>'ERROR FINAL'!U169</f>
        <v>-100</v>
      </c>
      <c r="F166" s="66">
        <f>'ERROR FINAL'!AG169</f>
        <v>-100</v>
      </c>
      <c r="G166" s="66">
        <f>'ERROR FINAL'!AS169</f>
        <v>-100</v>
      </c>
      <c r="H166" s="67" t="str">
        <f>IF('ERROR FINAL'!AT169="CONFORME","CONFORME","NO CONFORME")</f>
        <v>NO CONFORME</v>
      </c>
      <c r="I166" s="68" t="str">
        <f t="shared" si="2"/>
        <v>Medición</v>
      </c>
    </row>
    <row r="167" spans="1:9" x14ac:dyDescent="0.25">
      <c r="A167" s="61">
        <f>'ERROR FINAL'!A170</f>
        <v>162</v>
      </c>
      <c r="B167" s="62">
        <f>'ERROR FINAL'!D170</f>
        <v>3</v>
      </c>
      <c r="C167" s="63">
        <f>'ERROR FINAL'!G170</f>
        <v>0</v>
      </c>
      <c r="D167" s="64">
        <f>'ERROR FINAL'!I170</f>
        <v>0</v>
      </c>
      <c r="E167" s="65">
        <f>'ERROR FINAL'!U170</f>
        <v>-100</v>
      </c>
      <c r="F167" s="66">
        <f>'ERROR FINAL'!AG170</f>
        <v>-100</v>
      </c>
      <c r="G167" s="66">
        <f>'ERROR FINAL'!AS170</f>
        <v>-100</v>
      </c>
      <c r="H167" s="67" t="str">
        <f>IF('ERROR FINAL'!AT170="CONFORME","CONFORME","NO CONFORME")</f>
        <v>NO CONFORME</v>
      </c>
      <c r="I167" s="68" t="str">
        <f t="shared" si="2"/>
        <v>Medición</v>
      </c>
    </row>
    <row r="168" spans="1:9" x14ac:dyDescent="0.25">
      <c r="A168" s="61">
        <f>'ERROR FINAL'!A171</f>
        <v>163</v>
      </c>
      <c r="B168" s="62">
        <f>'ERROR FINAL'!D171</f>
        <v>3</v>
      </c>
      <c r="C168" s="63">
        <f>'ERROR FINAL'!G171</f>
        <v>0</v>
      </c>
      <c r="D168" s="64">
        <f>'ERROR FINAL'!I171</f>
        <v>0</v>
      </c>
      <c r="E168" s="65">
        <f>'ERROR FINAL'!U171</f>
        <v>-100</v>
      </c>
      <c r="F168" s="66">
        <f>'ERROR FINAL'!AG171</f>
        <v>-100</v>
      </c>
      <c r="G168" s="66">
        <f>'ERROR FINAL'!AS171</f>
        <v>-100</v>
      </c>
      <c r="H168" s="67" t="str">
        <f>IF('ERROR FINAL'!AT171="CONFORME","CONFORME","NO CONFORME")</f>
        <v>NO CONFORME</v>
      </c>
      <c r="I168" s="68" t="str">
        <f t="shared" si="2"/>
        <v>Medición</v>
      </c>
    </row>
    <row r="169" spans="1:9" x14ac:dyDescent="0.25">
      <c r="A169" s="61">
        <f>'ERROR FINAL'!A172</f>
        <v>164</v>
      </c>
      <c r="B169" s="62">
        <f>'ERROR FINAL'!D172</f>
        <v>3</v>
      </c>
      <c r="C169" s="63">
        <f>'ERROR FINAL'!G172</f>
        <v>0</v>
      </c>
      <c r="D169" s="64">
        <f>'ERROR FINAL'!I172</f>
        <v>0</v>
      </c>
      <c r="E169" s="65">
        <f>'ERROR FINAL'!U172</f>
        <v>-100</v>
      </c>
      <c r="F169" s="66">
        <f>'ERROR FINAL'!AG172</f>
        <v>-100</v>
      </c>
      <c r="G169" s="66">
        <f>'ERROR FINAL'!AS172</f>
        <v>-100</v>
      </c>
      <c r="H169" s="67" t="str">
        <f>IF('ERROR FINAL'!AT172="CONFORME","CONFORME","NO CONFORME")</f>
        <v>NO CONFORME</v>
      </c>
      <c r="I169" s="68" t="str">
        <f t="shared" si="2"/>
        <v>Medición</v>
      </c>
    </row>
    <row r="170" spans="1:9" x14ac:dyDescent="0.25">
      <c r="A170" s="61">
        <f>'ERROR FINAL'!A173</f>
        <v>165</v>
      </c>
      <c r="B170" s="62">
        <f>'ERROR FINAL'!D173</f>
        <v>3</v>
      </c>
      <c r="C170" s="63">
        <f>'ERROR FINAL'!G173</f>
        <v>0</v>
      </c>
      <c r="D170" s="64">
        <f>'ERROR FINAL'!I173</f>
        <v>0</v>
      </c>
      <c r="E170" s="65">
        <f>'ERROR FINAL'!U173</f>
        <v>-100</v>
      </c>
      <c r="F170" s="66">
        <f>'ERROR FINAL'!AG173</f>
        <v>-100</v>
      </c>
      <c r="G170" s="66">
        <f>'ERROR FINAL'!AS173</f>
        <v>-100</v>
      </c>
      <c r="H170" s="67" t="str">
        <f>IF('ERROR FINAL'!AT173="CONFORME","CONFORME","NO CONFORME")</f>
        <v>NO CONFORME</v>
      </c>
      <c r="I170" s="68" t="str">
        <f t="shared" si="2"/>
        <v>Medición</v>
      </c>
    </row>
    <row r="171" spans="1:9" x14ac:dyDescent="0.25">
      <c r="A171" s="61">
        <f>'ERROR FINAL'!A174</f>
        <v>166</v>
      </c>
      <c r="B171" s="62">
        <f>'ERROR FINAL'!D174</f>
        <v>3</v>
      </c>
      <c r="C171" s="63">
        <f>'ERROR FINAL'!G174</f>
        <v>0</v>
      </c>
      <c r="D171" s="64">
        <f>'ERROR FINAL'!I174</f>
        <v>0</v>
      </c>
      <c r="E171" s="65">
        <f>'ERROR FINAL'!U174</f>
        <v>-100</v>
      </c>
      <c r="F171" s="66">
        <f>'ERROR FINAL'!AG174</f>
        <v>-100</v>
      </c>
      <c r="G171" s="66">
        <f>'ERROR FINAL'!AS174</f>
        <v>-100</v>
      </c>
      <c r="H171" s="67" t="str">
        <f>IF('ERROR FINAL'!AT174="CONFORME","CONFORME","NO CONFORME")</f>
        <v>NO CONFORME</v>
      </c>
      <c r="I171" s="68" t="str">
        <f t="shared" si="2"/>
        <v>Medición</v>
      </c>
    </row>
    <row r="172" spans="1:9" x14ac:dyDescent="0.25">
      <c r="A172" s="61">
        <f>'ERROR FINAL'!A175</f>
        <v>167</v>
      </c>
      <c r="B172" s="62">
        <f>'ERROR FINAL'!D175</f>
        <v>3</v>
      </c>
      <c r="C172" s="63">
        <f>'ERROR FINAL'!G175</f>
        <v>0</v>
      </c>
      <c r="D172" s="64">
        <f>'ERROR FINAL'!I175</f>
        <v>0</v>
      </c>
      <c r="E172" s="65">
        <f>'ERROR FINAL'!U175</f>
        <v>-100</v>
      </c>
      <c r="F172" s="66">
        <f>'ERROR FINAL'!AG175</f>
        <v>-100</v>
      </c>
      <c r="G172" s="66">
        <f>'ERROR FINAL'!AS175</f>
        <v>-100</v>
      </c>
      <c r="H172" s="67" t="str">
        <f>IF('ERROR FINAL'!AT175="CONFORME","CONFORME","NO CONFORME")</f>
        <v>NO CONFORME</v>
      </c>
      <c r="I172" s="68" t="str">
        <f t="shared" si="2"/>
        <v>Medición</v>
      </c>
    </row>
    <row r="173" spans="1:9" x14ac:dyDescent="0.25">
      <c r="A173" s="61">
        <f>'ERROR FINAL'!A176</f>
        <v>168</v>
      </c>
      <c r="B173" s="62">
        <f>'ERROR FINAL'!D176</f>
        <v>3</v>
      </c>
      <c r="C173" s="63">
        <f>'ERROR FINAL'!G176</f>
        <v>0</v>
      </c>
      <c r="D173" s="64">
        <f>'ERROR FINAL'!I176</f>
        <v>0</v>
      </c>
      <c r="E173" s="65">
        <f>'ERROR FINAL'!U176</f>
        <v>-100</v>
      </c>
      <c r="F173" s="66">
        <f>'ERROR FINAL'!AG176</f>
        <v>-100</v>
      </c>
      <c r="G173" s="66">
        <f>'ERROR FINAL'!AS176</f>
        <v>-100</v>
      </c>
      <c r="H173" s="67" t="str">
        <f>IF('ERROR FINAL'!AT176="CONFORME","CONFORME","NO CONFORME")</f>
        <v>NO CONFORME</v>
      </c>
      <c r="I173" s="68" t="str">
        <f t="shared" si="2"/>
        <v>Medición</v>
      </c>
    </row>
    <row r="174" spans="1:9" x14ac:dyDescent="0.25">
      <c r="A174" s="61">
        <f>'ERROR FINAL'!A177</f>
        <v>169</v>
      </c>
      <c r="B174" s="62">
        <f>'ERROR FINAL'!D177</f>
        <v>3</v>
      </c>
      <c r="C174" s="63">
        <f>'ERROR FINAL'!G177</f>
        <v>0</v>
      </c>
      <c r="D174" s="64">
        <f>'ERROR FINAL'!I177</f>
        <v>0</v>
      </c>
      <c r="E174" s="65">
        <f>'ERROR FINAL'!U177</f>
        <v>-100</v>
      </c>
      <c r="F174" s="66">
        <f>'ERROR FINAL'!AG177</f>
        <v>-100</v>
      </c>
      <c r="G174" s="66">
        <f>'ERROR FINAL'!AS177</f>
        <v>-100</v>
      </c>
      <c r="H174" s="67" t="str">
        <f>IF('ERROR FINAL'!AT177="CONFORME","CONFORME","NO CONFORME")</f>
        <v>NO CONFORME</v>
      </c>
      <c r="I174" s="68" t="str">
        <f t="shared" si="2"/>
        <v>Medición</v>
      </c>
    </row>
    <row r="175" spans="1:9" x14ac:dyDescent="0.25">
      <c r="A175" s="61">
        <f>'ERROR FINAL'!A178</f>
        <v>170</v>
      </c>
      <c r="B175" s="62">
        <f>'ERROR FINAL'!D178</f>
        <v>3</v>
      </c>
      <c r="C175" s="63">
        <f>'ERROR FINAL'!G178</f>
        <v>0</v>
      </c>
      <c r="D175" s="64">
        <f>'ERROR FINAL'!I178</f>
        <v>0</v>
      </c>
      <c r="E175" s="65">
        <f>'ERROR FINAL'!U178</f>
        <v>-100</v>
      </c>
      <c r="F175" s="66">
        <f>'ERROR FINAL'!AG178</f>
        <v>-100</v>
      </c>
      <c r="G175" s="66">
        <f>'ERROR FINAL'!AS178</f>
        <v>-100</v>
      </c>
      <c r="H175" s="67" t="str">
        <f>IF('ERROR FINAL'!AT178="CONFORME","CONFORME","NO CONFORME")</f>
        <v>NO CONFORME</v>
      </c>
      <c r="I175" s="68" t="str">
        <f t="shared" si="2"/>
        <v>Medición</v>
      </c>
    </row>
    <row r="176" spans="1:9" x14ac:dyDescent="0.25">
      <c r="A176" s="61">
        <f>'ERROR FINAL'!A179</f>
        <v>171</v>
      </c>
      <c r="B176" s="62">
        <f>'ERROR FINAL'!D179</f>
        <v>3</v>
      </c>
      <c r="C176" s="63">
        <f>'ERROR FINAL'!G179</f>
        <v>0</v>
      </c>
      <c r="D176" s="64">
        <f>'ERROR FINAL'!I179</f>
        <v>0</v>
      </c>
      <c r="E176" s="65">
        <f>'ERROR FINAL'!U179</f>
        <v>-100</v>
      </c>
      <c r="F176" s="66">
        <f>'ERROR FINAL'!AG179</f>
        <v>-100</v>
      </c>
      <c r="G176" s="66">
        <f>'ERROR FINAL'!AS179</f>
        <v>-100</v>
      </c>
      <c r="H176" s="67" t="str">
        <f>IF('ERROR FINAL'!AT179="CONFORME","CONFORME","NO CONFORME")</f>
        <v>NO CONFORME</v>
      </c>
      <c r="I176" s="68" t="str">
        <f t="shared" si="2"/>
        <v>Medición</v>
      </c>
    </row>
    <row r="177" spans="1:9" x14ac:dyDescent="0.25">
      <c r="A177" s="61">
        <f>'ERROR FINAL'!A180</f>
        <v>172</v>
      </c>
      <c r="B177" s="62">
        <f>'ERROR FINAL'!D180</f>
        <v>3</v>
      </c>
      <c r="C177" s="63">
        <f>'ERROR FINAL'!G180</f>
        <v>0</v>
      </c>
      <c r="D177" s="64">
        <f>'ERROR FINAL'!I180</f>
        <v>0</v>
      </c>
      <c r="E177" s="65">
        <f>'ERROR FINAL'!U180</f>
        <v>-100</v>
      </c>
      <c r="F177" s="66">
        <f>'ERROR FINAL'!AG180</f>
        <v>-100</v>
      </c>
      <c r="G177" s="66">
        <f>'ERROR FINAL'!AS180</f>
        <v>-100</v>
      </c>
      <c r="H177" s="67" t="str">
        <f>IF('ERROR FINAL'!AT180="CONFORME","CONFORME","NO CONFORME")</f>
        <v>NO CONFORME</v>
      </c>
      <c r="I177" s="68" t="str">
        <f t="shared" si="2"/>
        <v>Medición</v>
      </c>
    </row>
    <row r="178" spans="1:9" x14ac:dyDescent="0.25">
      <c r="A178" s="61">
        <f>'ERROR FINAL'!A181</f>
        <v>173</v>
      </c>
      <c r="B178" s="62">
        <f>'ERROR FINAL'!D181</f>
        <v>3</v>
      </c>
      <c r="C178" s="63">
        <f>'ERROR FINAL'!G181</f>
        <v>0</v>
      </c>
      <c r="D178" s="64">
        <f>'ERROR FINAL'!I181</f>
        <v>0</v>
      </c>
      <c r="E178" s="65">
        <f>'ERROR FINAL'!U181</f>
        <v>-100</v>
      </c>
      <c r="F178" s="66">
        <f>'ERROR FINAL'!AG181</f>
        <v>-100</v>
      </c>
      <c r="G178" s="66">
        <f>'ERROR FINAL'!AS181</f>
        <v>-100</v>
      </c>
      <c r="H178" s="67" t="str">
        <f>IF('ERROR FINAL'!AT181="CONFORME","CONFORME","NO CONFORME")</f>
        <v>NO CONFORME</v>
      </c>
      <c r="I178" s="68" t="str">
        <f t="shared" si="2"/>
        <v>Medición</v>
      </c>
    </row>
    <row r="179" spans="1:9" x14ac:dyDescent="0.25">
      <c r="A179" s="61">
        <f>'ERROR FINAL'!A182</f>
        <v>174</v>
      </c>
      <c r="B179" s="62">
        <f>'ERROR FINAL'!D182</f>
        <v>3</v>
      </c>
      <c r="C179" s="63">
        <f>'ERROR FINAL'!G182</f>
        <v>0</v>
      </c>
      <c r="D179" s="64">
        <f>'ERROR FINAL'!I182</f>
        <v>0</v>
      </c>
      <c r="E179" s="65">
        <f>'ERROR FINAL'!U182</f>
        <v>-100</v>
      </c>
      <c r="F179" s="66">
        <f>'ERROR FINAL'!AG182</f>
        <v>-100</v>
      </c>
      <c r="G179" s="66">
        <f>'ERROR FINAL'!AS182</f>
        <v>-100</v>
      </c>
      <c r="H179" s="67" t="str">
        <f>IF('ERROR FINAL'!AT182="CONFORME","CONFORME","NO CONFORME")</f>
        <v>NO CONFORME</v>
      </c>
      <c r="I179" s="68" t="str">
        <f t="shared" si="2"/>
        <v>Medición</v>
      </c>
    </row>
    <row r="180" spans="1:9" x14ac:dyDescent="0.25">
      <c r="A180" s="61">
        <f>'ERROR FINAL'!A183</f>
        <v>175</v>
      </c>
      <c r="B180" s="62">
        <f>'ERROR FINAL'!D183</f>
        <v>3</v>
      </c>
      <c r="C180" s="63">
        <f>'ERROR FINAL'!G183</f>
        <v>0</v>
      </c>
      <c r="D180" s="64">
        <f>'ERROR FINAL'!I183</f>
        <v>0</v>
      </c>
      <c r="E180" s="65">
        <f>'ERROR FINAL'!U183</f>
        <v>-100</v>
      </c>
      <c r="F180" s="66">
        <f>'ERROR FINAL'!AG183</f>
        <v>-100</v>
      </c>
      <c r="G180" s="66">
        <f>'ERROR FINAL'!AS183</f>
        <v>-100</v>
      </c>
      <c r="H180" s="67" t="str">
        <f>IF('ERROR FINAL'!AT183="CONFORME","CONFORME","NO CONFORME")</f>
        <v>NO CONFORME</v>
      </c>
      <c r="I180" s="68" t="str">
        <f t="shared" si="2"/>
        <v>Medición</v>
      </c>
    </row>
    <row r="181" spans="1:9" x14ac:dyDescent="0.25">
      <c r="A181" s="61">
        <f>'ERROR FINAL'!A184</f>
        <v>176</v>
      </c>
      <c r="B181" s="62">
        <f>'ERROR FINAL'!D184</f>
        <v>3</v>
      </c>
      <c r="C181" s="63">
        <f>'ERROR FINAL'!G184</f>
        <v>0</v>
      </c>
      <c r="D181" s="64">
        <f>'ERROR FINAL'!I184</f>
        <v>0</v>
      </c>
      <c r="E181" s="65">
        <f>'ERROR FINAL'!U184</f>
        <v>-100</v>
      </c>
      <c r="F181" s="66">
        <f>'ERROR FINAL'!AG184</f>
        <v>-100</v>
      </c>
      <c r="G181" s="66">
        <f>'ERROR FINAL'!AS184</f>
        <v>-100</v>
      </c>
      <c r="H181" s="67" t="str">
        <f>IF('ERROR FINAL'!AT184="CONFORME","CONFORME","NO CONFORME")</f>
        <v>NO CONFORME</v>
      </c>
      <c r="I181" s="68" t="str">
        <f t="shared" si="2"/>
        <v>Medición</v>
      </c>
    </row>
    <row r="182" spans="1:9" x14ac:dyDescent="0.25">
      <c r="A182" s="61">
        <f>'ERROR FINAL'!A185</f>
        <v>177</v>
      </c>
      <c r="B182" s="62">
        <f>'ERROR FINAL'!D185</f>
        <v>3</v>
      </c>
      <c r="C182" s="63">
        <f>'ERROR FINAL'!G185</f>
        <v>0</v>
      </c>
      <c r="D182" s="64">
        <f>'ERROR FINAL'!I185</f>
        <v>0</v>
      </c>
      <c r="E182" s="65">
        <f>'ERROR FINAL'!U185</f>
        <v>-100</v>
      </c>
      <c r="F182" s="66">
        <f>'ERROR FINAL'!AG185</f>
        <v>-100</v>
      </c>
      <c r="G182" s="66">
        <f>'ERROR FINAL'!AS185</f>
        <v>-100</v>
      </c>
      <c r="H182" s="67" t="str">
        <f>IF('ERROR FINAL'!AT185="CONFORME","CONFORME","NO CONFORME")</f>
        <v>NO CONFORME</v>
      </c>
      <c r="I182" s="68" t="str">
        <f t="shared" si="2"/>
        <v>Medición</v>
      </c>
    </row>
    <row r="183" spans="1:9" x14ac:dyDescent="0.25">
      <c r="A183" s="61">
        <f>'ERROR FINAL'!A186</f>
        <v>178</v>
      </c>
      <c r="B183" s="62">
        <f>'ERROR FINAL'!D186</f>
        <v>3</v>
      </c>
      <c r="C183" s="63">
        <f>'ERROR FINAL'!G186</f>
        <v>0</v>
      </c>
      <c r="D183" s="64">
        <f>'ERROR FINAL'!I186</f>
        <v>0</v>
      </c>
      <c r="E183" s="65">
        <f>'ERROR FINAL'!U186</f>
        <v>-100</v>
      </c>
      <c r="F183" s="66">
        <f>'ERROR FINAL'!AG186</f>
        <v>-100</v>
      </c>
      <c r="G183" s="66">
        <f>'ERROR FINAL'!AS186</f>
        <v>-100</v>
      </c>
      <c r="H183" s="67" t="str">
        <f>IF('ERROR FINAL'!AT186="CONFORME","CONFORME","NO CONFORME")</f>
        <v>NO CONFORME</v>
      </c>
      <c r="I183" s="68" t="str">
        <f t="shared" si="2"/>
        <v>Medición</v>
      </c>
    </row>
    <row r="184" spans="1:9" x14ac:dyDescent="0.25">
      <c r="A184" s="61">
        <f>'ERROR FINAL'!A187</f>
        <v>179</v>
      </c>
      <c r="B184" s="62">
        <f>'ERROR FINAL'!D187</f>
        <v>3</v>
      </c>
      <c r="C184" s="63">
        <f>'ERROR FINAL'!G187</f>
        <v>0</v>
      </c>
      <c r="D184" s="64">
        <f>'ERROR FINAL'!I187</f>
        <v>0</v>
      </c>
      <c r="E184" s="65">
        <f>'ERROR FINAL'!U187</f>
        <v>-100</v>
      </c>
      <c r="F184" s="66">
        <f>'ERROR FINAL'!AG187</f>
        <v>-100</v>
      </c>
      <c r="G184" s="66">
        <f>'ERROR FINAL'!AS187</f>
        <v>-100</v>
      </c>
      <c r="H184" s="67" t="str">
        <f>IF('ERROR FINAL'!AT187="CONFORME","CONFORME","NO CONFORME")</f>
        <v>NO CONFORME</v>
      </c>
      <c r="I184" s="68" t="str">
        <f t="shared" si="2"/>
        <v>Medición</v>
      </c>
    </row>
    <row r="185" spans="1:9" x14ac:dyDescent="0.25">
      <c r="A185" s="61">
        <f>'ERROR FINAL'!A188</f>
        <v>180</v>
      </c>
      <c r="B185" s="62">
        <f>'ERROR FINAL'!D188</f>
        <v>3</v>
      </c>
      <c r="C185" s="63">
        <f>'ERROR FINAL'!G188</f>
        <v>0</v>
      </c>
      <c r="D185" s="64">
        <f>'ERROR FINAL'!I188</f>
        <v>0</v>
      </c>
      <c r="E185" s="65">
        <f>'ERROR FINAL'!U188</f>
        <v>-100</v>
      </c>
      <c r="F185" s="66">
        <f>'ERROR FINAL'!AG188</f>
        <v>-100</v>
      </c>
      <c r="G185" s="66">
        <f>'ERROR FINAL'!AS188</f>
        <v>-100</v>
      </c>
      <c r="H185" s="67" t="str">
        <f>IF('ERROR FINAL'!AT188="CONFORME","CONFORME","NO CONFORME")</f>
        <v>NO CONFORME</v>
      </c>
      <c r="I185" s="68" t="str">
        <f t="shared" si="2"/>
        <v>Medición</v>
      </c>
    </row>
    <row r="186" spans="1:9" x14ac:dyDescent="0.25">
      <c r="A186" s="61">
        <f>'ERROR FINAL'!A189</f>
        <v>181</v>
      </c>
      <c r="B186" s="62">
        <f>'ERROR FINAL'!D189</f>
        <v>3</v>
      </c>
      <c r="C186" s="63">
        <f>'ERROR FINAL'!G189</f>
        <v>0</v>
      </c>
      <c r="D186" s="64">
        <f>'ERROR FINAL'!I189</f>
        <v>0</v>
      </c>
      <c r="E186" s="65">
        <f>'ERROR FINAL'!U189</f>
        <v>-100</v>
      </c>
      <c r="F186" s="66">
        <f>'ERROR FINAL'!AG189</f>
        <v>-100</v>
      </c>
      <c r="G186" s="66">
        <f>'ERROR FINAL'!AS189</f>
        <v>-100</v>
      </c>
      <c r="H186" s="67" t="str">
        <f>IF('ERROR FINAL'!AT189="CONFORME","CONFORME","NO CONFORME")</f>
        <v>NO CONFORME</v>
      </c>
      <c r="I186" s="68" t="str">
        <f t="shared" si="2"/>
        <v>Medición</v>
      </c>
    </row>
    <row r="187" spans="1:9" x14ac:dyDescent="0.25">
      <c r="A187" s="61">
        <f>'ERROR FINAL'!A190</f>
        <v>182</v>
      </c>
      <c r="B187" s="62">
        <f>'ERROR FINAL'!D190</f>
        <v>3</v>
      </c>
      <c r="C187" s="63">
        <f>'ERROR FINAL'!G190</f>
        <v>0</v>
      </c>
      <c r="D187" s="64">
        <f>'ERROR FINAL'!I190</f>
        <v>0</v>
      </c>
      <c r="E187" s="65">
        <f>'ERROR FINAL'!U190</f>
        <v>-100</v>
      </c>
      <c r="F187" s="66">
        <f>'ERROR FINAL'!AG190</f>
        <v>-100</v>
      </c>
      <c r="G187" s="66">
        <f>'ERROR FINAL'!AS190</f>
        <v>-100</v>
      </c>
      <c r="H187" s="67" t="str">
        <f>IF('ERROR FINAL'!AT190="CONFORME","CONFORME","NO CONFORME")</f>
        <v>NO CONFORME</v>
      </c>
      <c r="I187" s="68" t="str">
        <f t="shared" si="2"/>
        <v>Medición</v>
      </c>
    </row>
    <row r="188" spans="1:9" x14ac:dyDescent="0.25">
      <c r="A188" s="61">
        <f>'ERROR FINAL'!A191</f>
        <v>183</v>
      </c>
      <c r="B188" s="62">
        <f>'ERROR FINAL'!D191</f>
        <v>3</v>
      </c>
      <c r="C188" s="63">
        <f>'ERROR FINAL'!G191</f>
        <v>0</v>
      </c>
      <c r="D188" s="64">
        <f>'ERROR FINAL'!I191</f>
        <v>0</v>
      </c>
      <c r="E188" s="65">
        <f>'ERROR FINAL'!U191</f>
        <v>-100</v>
      </c>
      <c r="F188" s="66">
        <f>'ERROR FINAL'!AG191</f>
        <v>-100</v>
      </c>
      <c r="G188" s="66">
        <f>'ERROR FINAL'!AS191</f>
        <v>-100</v>
      </c>
      <c r="H188" s="67" t="str">
        <f>IF('ERROR FINAL'!AT191="CONFORME","CONFORME","NO CONFORME")</f>
        <v>NO CONFORME</v>
      </c>
      <c r="I188" s="68" t="str">
        <f t="shared" si="2"/>
        <v>Medición</v>
      </c>
    </row>
    <row r="189" spans="1:9" x14ac:dyDescent="0.25">
      <c r="A189" s="61">
        <f>'ERROR FINAL'!A192</f>
        <v>184</v>
      </c>
      <c r="B189" s="62">
        <f>'ERROR FINAL'!D192</f>
        <v>3</v>
      </c>
      <c r="C189" s="63">
        <f>'ERROR FINAL'!G192</f>
        <v>0</v>
      </c>
      <c r="D189" s="64">
        <f>'ERROR FINAL'!I192</f>
        <v>0</v>
      </c>
      <c r="E189" s="65">
        <f>'ERROR FINAL'!U192</f>
        <v>-100</v>
      </c>
      <c r="F189" s="66">
        <f>'ERROR FINAL'!AG192</f>
        <v>-100</v>
      </c>
      <c r="G189" s="66">
        <f>'ERROR FINAL'!AS192</f>
        <v>-100</v>
      </c>
      <c r="H189" s="67" t="str">
        <f>IF('ERROR FINAL'!AT192="CONFORME","CONFORME","NO CONFORME")</f>
        <v>NO CONFORME</v>
      </c>
      <c r="I189" s="68" t="str">
        <f t="shared" si="2"/>
        <v>Medición</v>
      </c>
    </row>
    <row r="190" spans="1:9" x14ac:dyDescent="0.25">
      <c r="A190" s="61">
        <f>'ERROR FINAL'!A193</f>
        <v>185</v>
      </c>
      <c r="B190" s="62">
        <f>'ERROR FINAL'!D193</f>
        <v>3</v>
      </c>
      <c r="C190" s="63">
        <f>'ERROR FINAL'!G193</f>
        <v>0</v>
      </c>
      <c r="D190" s="64">
        <f>'ERROR FINAL'!I193</f>
        <v>0</v>
      </c>
      <c r="E190" s="65">
        <f>'ERROR FINAL'!U193</f>
        <v>-100</v>
      </c>
      <c r="F190" s="66">
        <f>'ERROR FINAL'!AG193</f>
        <v>-100</v>
      </c>
      <c r="G190" s="66">
        <f>'ERROR FINAL'!AS193</f>
        <v>-100</v>
      </c>
      <c r="H190" s="67" t="str">
        <f>IF('ERROR FINAL'!AT193="CONFORME","CONFORME","NO CONFORME")</f>
        <v>NO CONFORME</v>
      </c>
      <c r="I190" s="68" t="str">
        <f t="shared" si="2"/>
        <v>Medición</v>
      </c>
    </row>
    <row r="191" spans="1:9" x14ac:dyDescent="0.25">
      <c r="A191" s="61">
        <f>'ERROR FINAL'!A194</f>
        <v>186</v>
      </c>
      <c r="B191" s="62">
        <f>'ERROR FINAL'!D194</f>
        <v>3</v>
      </c>
      <c r="C191" s="63">
        <f>'ERROR FINAL'!G194</f>
        <v>0</v>
      </c>
      <c r="D191" s="64">
        <f>'ERROR FINAL'!I194</f>
        <v>0</v>
      </c>
      <c r="E191" s="65">
        <f>'ERROR FINAL'!U194</f>
        <v>-100</v>
      </c>
      <c r="F191" s="66">
        <f>'ERROR FINAL'!AG194</f>
        <v>-100</v>
      </c>
      <c r="G191" s="66">
        <f>'ERROR FINAL'!AS194</f>
        <v>-100</v>
      </c>
      <c r="H191" s="67" t="str">
        <f>IF('ERROR FINAL'!AT194="CONFORME","CONFORME","NO CONFORME")</f>
        <v>NO CONFORME</v>
      </c>
      <c r="I191" s="68" t="str">
        <f t="shared" si="2"/>
        <v>Medición</v>
      </c>
    </row>
    <row r="192" spans="1:9" x14ac:dyDescent="0.25">
      <c r="A192" s="61">
        <f>'ERROR FINAL'!A195</f>
        <v>187</v>
      </c>
      <c r="B192" s="62">
        <f>'ERROR FINAL'!D195</f>
        <v>3</v>
      </c>
      <c r="C192" s="63">
        <f>'ERROR FINAL'!G195</f>
        <v>0</v>
      </c>
      <c r="D192" s="64">
        <f>'ERROR FINAL'!I195</f>
        <v>0</v>
      </c>
      <c r="E192" s="65">
        <f>'ERROR FINAL'!U195</f>
        <v>-100</v>
      </c>
      <c r="F192" s="66">
        <f>'ERROR FINAL'!AG195</f>
        <v>-100</v>
      </c>
      <c r="G192" s="66">
        <f>'ERROR FINAL'!AS195</f>
        <v>-100</v>
      </c>
      <c r="H192" s="67" t="str">
        <f>IF('ERROR FINAL'!AT195="CONFORME","CONFORME","NO CONFORME")</f>
        <v>NO CONFORME</v>
      </c>
      <c r="I192" s="68" t="str">
        <f t="shared" si="2"/>
        <v>Medición</v>
      </c>
    </row>
    <row r="193" spans="1:9" x14ac:dyDescent="0.25">
      <c r="A193" s="61">
        <f>'ERROR FINAL'!A196</f>
        <v>188</v>
      </c>
      <c r="B193" s="62">
        <f>'ERROR FINAL'!D196</f>
        <v>3</v>
      </c>
      <c r="C193" s="63">
        <f>'ERROR FINAL'!G196</f>
        <v>0</v>
      </c>
      <c r="D193" s="64">
        <f>'ERROR FINAL'!I196</f>
        <v>0</v>
      </c>
      <c r="E193" s="65">
        <f>'ERROR FINAL'!U196</f>
        <v>-100</v>
      </c>
      <c r="F193" s="66">
        <f>'ERROR FINAL'!AG196</f>
        <v>-100</v>
      </c>
      <c r="G193" s="66">
        <f>'ERROR FINAL'!AS196</f>
        <v>-100</v>
      </c>
      <c r="H193" s="67" t="str">
        <f>IF('ERROR FINAL'!AT196="CONFORME","CONFORME","NO CONFORME")</f>
        <v>NO CONFORME</v>
      </c>
      <c r="I193" s="68" t="str">
        <f t="shared" si="2"/>
        <v>Medición</v>
      </c>
    </row>
    <row r="194" spans="1:9" x14ac:dyDescent="0.25">
      <c r="A194" s="61">
        <f>'ERROR FINAL'!A197</f>
        <v>189</v>
      </c>
      <c r="B194" s="62">
        <f>'ERROR FINAL'!D197</f>
        <v>3</v>
      </c>
      <c r="C194" s="63">
        <f>'ERROR FINAL'!G197</f>
        <v>0</v>
      </c>
      <c r="D194" s="64">
        <f>'ERROR FINAL'!I197</f>
        <v>0</v>
      </c>
      <c r="E194" s="65">
        <f>'ERROR FINAL'!U197</f>
        <v>-100</v>
      </c>
      <c r="F194" s="66">
        <f>'ERROR FINAL'!AG197</f>
        <v>-100</v>
      </c>
      <c r="G194" s="66">
        <f>'ERROR FINAL'!AS197</f>
        <v>-100</v>
      </c>
      <c r="H194" s="67" t="str">
        <f>IF('ERROR FINAL'!AT197="CONFORME","CONFORME","NO CONFORME")</f>
        <v>NO CONFORME</v>
      </c>
      <c r="I194" s="68" t="str">
        <f t="shared" si="2"/>
        <v>Medición</v>
      </c>
    </row>
    <row r="195" spans="1:9" x14ac:dyDescent="0.25">
      <c r="A195" s="61">
        <f>'ERROR FINAL'!A198</f>
        <v>190</v>
      </c>
      <c r="B195" s="62">
        <f>'ERROR FINAL'!D198</f>
        <v>3</v>
      </c>
      <c r="C195" s="63">
        <f>'ERROR FINAL'!G198</f>
        <v>0</v>
      </c>
      <c r="D195" s="64">
        <f>'ERROR FINAL'!I198</f>
        <v>0</v>
      </c>
      <c r="E195" s="65">
        <f>'ERROR FINAL'!U198</f>
        <v>-100</v>
      </c>
      <c r="F195" s="66">
        <f>'ERROR FINAL'!AG198</f>
        <v>-100</v>
      </c>
      <c r="G195" s="66">
        <f>'ERROR FINAL'!AS198</f>
        <v>-100</v>
      </c>
      <c r="H195" s="67" t="str">
        <f>IF('ERROR FINAL'!AT198="CONFORME","CONFORME","NO CONFORME")</f>
        <v>NO CONFORME</v>
      </c>
      <c r="I195" s="68" t="str">
        <f t="shared" si="2"/>
        <v>Medición</v>
      </c>
    </row>
    <row r="196" spans="1:9" x14ac:dyDescent="0.25">
      <c r="A196" s="61">
        <f>'ERROR FINAL'!A199</f>
        <v>191</v>
      </c>
      <c r="B196" s="62">
        <f>'ERROR FINAL'!D199</f>
        <v>3</v>
      </c>
      <c r="C196" s="63">
        <f>'ERROR FINAL'!G199</f>
        <v>0</v>
      </c>
      <c r="D196" s="64">
        <f>'ERROR FINAL'!I199</f>
        <v>0</v>
      </c>
      <c r="E196" s="65">
        <f>'ERROR FINAL'!U199</f>
        <v>-100</v>
      </c>
      <c r="F196" s="66">
        <f>'ERROR FINAL'!AG199</f>
        <v>-100</v>
      </c>
      <c r="G196" s="66">
        <f>'ERROR FINAL'!AS199</f>
        <v>-100</v>
      </c>
      <c r="H196" s="67" t="str">
        <f>IF('ERROR FINAL'!AT199="CONFORME","CONFORME","NO CONFORME")</f>
        <v>NO CONFORME</v>
      </c>
      <c r="I196" s="68" t="str">
        <f t="shared" si="2"/>
        <v>Medición</v>
      </c>
    </row>
    <row r="197" spans="1:9" x14ac:dyDescent="0.25">
      <c r="A197" s="61">
        <f>'ERROR FINAL'!A200</f>
        <v>192</v>
      </c>
      <c r="B197" s="62">
        <f>'ERROR FINAL'!D200</f>
        <v>3</v>
      </c>
      <c r="C197" s="63">
        <f>'ERROR FINAL'!G200</f>
        <v>0</v>
      </c>
      <c r="D197" s="64">
        <f>'ERROR FINAL'!I200</f>
        <v>0</v>
      </c>
      <c r="E197" s="65">
        <f>'ERROR FINAL'!U200</f>
        <v>-100</v>
      </c>
      <c r="F197" s="66">
        <f>'ERROR FINAL'!AG200</f>
        <v>-100</v>
      </c>
      <c r="G197" s="66">
        <f>'ERROR FINAL'!AS200</f>
        <v>-100</v>
      </c>
      <c r="H197" s="67" t="str">
        <f>IF('ERROR FINAL'!AT200="CONFORME","CONFORME","NO CONFORME")</f>
        <v>NO CONFORME</v>
      </c>
      <c r="I197" s="68" t="str">
        <f t="shared" si="2"/>
        <v>Medición</v>
      </c>
    </row>
    <row r="198" spans="1:9" x14ac:dyDescent="0.25">
      <c r="A198" s="61">
        <f>'ERROR FINAL'!A201</f>
        <v>193</v>
      </c>
      <c r="B198" s="62">
        <f>'ERROR FINAL'!D201</f>
        <v>3</v>
      </c>
      <c r="C198" s="63">
        <f>'ERROR FINAL'!G201</f>
        <v>0</v>
      </c>
      <c r="D198" s="64">
        <f>'ERROR FINAL'!I201</f>
        <v>0</v>
      </c>
      <c r="E198" s="65">
        <f>'ERROR FINAL'!U201</f>
        <v>-100</v>
      </c>
      <c r="F198" s="66">
        <f>'ERROR FINAL'!AG201</f>
        <v>-100</v>
      </c>
      <c r="G198" s="66">
        <f>'ERROR FINAL'!AS201</f>
        <v>-100</v>
      </c>
      <c r="H198" s="67" t="str">
        <f>IF('ERROR FINAL'!AT201="CONFORME","CONFORME","NO CONFORME")</f>
        <v>NO CONFORME</v>
      </c>
      <c r="I198" s="68" t="str">
        <f t="shared" si="2"/>
        <v>Medición</v>
      </c>
    </row>
    <row r="199" spans="1:9" x14ac:dyDescent="0.25">
      <c r="A199" s="61">
        <f>'ERROR FINAL'!A202</f>
        <v>194</v>
      </c>
      <c r="B199" s="62">
        <f>'ERROR FINAL'!D202</f>
        <v>3</v>
      </c>
      <c r="C199" s="63">
        <f>'ERROR FINAL'!G202</f>
        <v>0</v>
      </c>
      <c r="D199" s="64">
        <f>'ERROR FINAL'!I202</f>
        <v>0</v>
      </c>
      <c r="E199" s="65">
        <f>'ERROR FINAL'!U202</f>
        <v>-100</v>
      </c>
      <c r="F199" s="66">
        <f>'ERROR FINAL'!AG202</f>
        <v>-100</v>
      </c>
      <c r="G199" s="66">
        <f>'ERROR FINAL'!AS202</f>
        <v>-100</v>
      </c>
      <c r="H199" s="67" t="str">
        <f>IF('ERROR FINAL'!AT202="CONFORME","CONFORME","NO CONFORME")</f>
        <v>NO CONFORME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FINAL'!A203</f>
        <v>195</v>
      </c>
      <c r="B200" s="62">
        <f>'ERROR FINAL'!D203</f>
        <v>3</v>
      </c>
      <c r="C200" s="63">
        <f>'ERROR FINAL'!G203</f>
        <v>0</v>
      </c>
      <c r="D200" s="64">
        <f>'ERROR FINAL'!I203</f>
        <v>0</v>
      </c>
      <c r="E200" s="65">
        <f>'ERROR FINAL'!U203</f>
        <v>-100</v>
      </c>
      <c r="F200" s="66">
        <f>'ERROR FINAL'!AG203</f>
        <v>-100</v>
      </c>
      <c r="G200" s="66">
        <f>'ERROR FINAL'!AS203</f>
        <v>-100</v>
      </c>
      <c r="H200" s="67" t="str">
        <f>IF('ERROR FINAL'!AT203="CONFORME","CONFORME","NO CONFORME")</f>
        <v>NO CONFORME</v>
      </c>
      <c r="I200" s="68" t="str">
        <f t="shared" si="3"/>
        <v>Medición</v>
      </c>
    </row>
    <row r="201" spans="1:9" x14ac:dyDescent="0.25">
      <c r="A201" s="61">
        <f>'ERROR FINAL'!A204</f>
        <v>196</v>
      </c>
      <c r="B201" s="62">
        <f>'ERROR FINAL'!D204</f>
        <v>3</v>
      </c>
      <c r="C201" s="63">
        <f>'ERROR FINAL'!G204</f>
        <v>0</v>
      </c>
      <c r="D201" s="64">
        <f>'ERROR FINAL'!I204</f>
        <v>0</v>
      </c>
      <c r="E201" s="65">
        <f>'ERROR FINAL'!U204</f>
        <v>-100</v>
      </c>
      <c r="F201" s="66">
        <f>'ERROR FINAL'!AG204</f>
        <v>-100</v>
      </c>
      <c r="G201" s="66">
        <f>'ERROR FINAL'!AS204</f>
        <v>-100</v>
      </c>
      <c r="H201" s="67" t="str">
        <f>IF('ERROR FINAL'!AT204="CONFORME","CONFORME","NO CONFORME")</f>
        <v>NO CONFORME</v>
      </c>
      <c r="I201" s="68" t="str">
        <f t="shared" si="3"/>
        <v>Medición</v>
      </c>
    </row>
    <row r="202" spans="1:9" x14ac:dyDescent="0.25">
      <c r="A202" s="61">
        <f>'ERROR FINAL'!A205</f>
        <v>197</v>
      </c>
      <c r="B202" s="62">
        <f>'ERROR FINAL'!D205</f>
        <v>3</v>
      </c>
      <c r="C202" s="63">
        <f>'ERROR FINAL'!G205</f>
        <v>0</v>
      </c>
      <c r="D202" s="64">
        <f>'ERROR FINAL'!I205</f>
        <v>0</v>
      </c>
      <c r="E202" s="65">
        <f>'ERROR FINAL'!U205</f>
        <v>-100</v>
      </c>
      <c r="F202" s="66">
        <f>'ERROR FINAL'!AG205</f>
        <v>-100</v>
      </c>
      <c r="G202" s="66">
        <f>'ERROR FINAL'!AS205</f>
        <v>-100</v>
      </c>
      <c r="H202" s="67" t="str">
        <f>IF('ERROR FINAL'!AT205="CONFORME","CONFORME","NO CONFORME")</f>
        <v>NO CONFORME</v>
      </c>
      <c r="I202" s="68" t="str">
        <f t="shared" si="3"/>
        <v>Medición</v>
      </c>
    </row>
    <row r="203" spans="1:9" x14ac:dyDescent="0.25">
      <c r="A203" s="61">
        <f>'ERROR FINAL'!A206</f>
        <v>198</v>
      </c>
      <c r="B203" s="62">
        <f>'ERROR FINAL'!D206</f>
        <v>3</v>
      </c>
      <c r="C203" s="63">
        <f>'ERROR FINAL'!G206</f>
        <v>0</v>
      </c>
      <c r="D203" s="64">
        <f>'ERROR FINAL'!I206</f>
        <v>0</v>
      </c>
      <c r="E203" s="65">
        <f>'ERROR FINAL'!U206</f>
        <v>-100</v>
      </c>
      <c r="F203" s="66">
        <f>'ERROR FINAL'!AG206</f>
        <v>-100</v>
      </c>
      <c r="G203" s="66">
        <f>'ERROR FINAL'!AS206</f>
        <v>-100</v>
      </c>
      <c r="H203" s="67" t="str">
        <f>IF('ERROR FINAL'!AT206="CONFORME","CONFORME","NO CONFORME")</f>
        <v>NO CONFORME</v>
      </c>
      <c r="I203" s="68" t="str">
        <f t="shared" si="3"/>
        <v>Medición</v>
      </c>
    </row>
    <row r="204" spans="1:9" x14ac:dyDescent="0.25">
      <c r="A204" s="61">
        <f>'ERROR FINAL'!A207</f>
        <v>199</v>
      </c>
      <c r="B204" s="62">
        <f>'ERROR FINAL'!D207</f>
        <v>3</v>
      </c>
      <c r="C204" s="63">
        <f>'ERROR FINAL'!G207</f>
        <v>0</v>
      </c>
      <c r="D204" s="64">
        <f>'ERROR FINAL'!I207</f>
        <v>0</v>
      </c>
      <c r="E204" s="65">
        <f>'ERROR FINAL'!U207</f>
        <v>-100</v>
      </c>
      <c r="F204" s="66">
        <f>'ERROR FINAL'!AG207</f>
        <v>-100</v>
      </c>
      <c r="G204" s="66">
        <f>'ERROR FINAL'!AS207</f>
        <v>-100</v>
      </c>
      <c r="H204" s="67" t="str">
        <f>IF('ERROR FINAL'!AT207="CONFORME","CONFORME","NO CONFORME")</f>
        <v>NO CONFORME</v>
      </c>
      <c r="I204" s="68" t="str">
        <f t="shared" si="3"/>
        <v>Medición</v>
      </c>
    </row>
    <row r="205" spans="1:9" x14ac:dyDescent="0.25">
      <c r="A205" s="61">
        <f>'ERROR FINAL'!A208</f>
        <v>200</v>
      </c>
      <c r="B205" s="62">
        <f>'ERROR FINAL'!D208</f>
        <v>3</v>
      </c>
      <c r="C205" s="63">
        <f>'ERROR FINAL'!G208</f>
        <v>0</v>
      </c>
      <c r="D205" s="64">
        <f>'ERROR FINAL'!I208</f>
        <v>0</v>
      </c>
      <c r="E205" s="65">
        <f>'ERROR FINAL'!U208</f>
        <v>-100</v>
      </c>
      <c r="F205" s="66">
        <f>'ERROR FINAL'!AG208</f>
        <v>-100</v>
      </c>
      <c r="G205" s="66">
        <f>'ERROR FINAL'!AS208</f>
        <v>-100</v>
      </c>
      <c r="H205" s="67" t="str">
        <f>IF('ERROR FINAL'!AT208="CONFORME","CONFORME","NO CONFORME")</f>
        <v>NO CONFORME</v>
      </c>
      <c r="I205" s="68" t="str">
        <f t="shared" si="3"/>
        <v>Medición</v>
      </c>
    </row>
    <row r="206" spans="1:9" x14ac:dyDescent="0.25">
      <c r="A206" s="61">
        <f>'ERROR FINAL'!A209</f>
        <v>201</v>
      </c>
      <c r="B206" s="62">
        <f>'ERROR FINAL'!D209</f>
        <v>3</v>
      </c>
      <c r="C206" s="63">
        <f>'ERROR FINAL'!G209</f>
        <v>0</v>
      </c>
      <c r="D206" s="64">
        <f>'ERROR FINAL'!I209</f>
        <v>0</v>
      </c>
      <c r="E206" s="65">
        <f>'ERROR FINAL'!U209</f>
        <v>-100</v>
      </c>
      <c r="F206" s="66">
        <f>'ERROR FINAL'!AG209</f>
        <v>-100</v>
      </c>
      <c r="G206" s="66">
        <f>'ERROR FINAL'!AS209</f>
        <v>-100</v>
      </c>
      <c r="H206" s="67" t="str">
        <f>IF('ERROR FINAL'!AT209="CONFORME","CONFORME","NO CONFORME")</f>
        <v>NO CONFORME</v>
      </c>
      <c r="I206" s="68" t="str">
        <f t="shared" si="3"/>
        <v>Medición</v>
      </c>
    </row>
    <row r="207" spans="1:9" x14ac:dyDescent="0.25">
      <c r="A207" s="61">
        <f>'ERROR FINAL'!A210</f>
        <v>202</v>
      </c>
      <c r="B207" s="62">
        <f>'ERROR FINAL'!D210</f>
        <v>3</v>
      </c>
      <c r="C207" s="63">
        <f>'ERROR FINAL'!G210</f>
        <v>0</v>
      </c>
      <c r="D207" s="64">
        <f>'ERROR FINAL'!I210</f>
        <v>0</v>
      </c>
      <c r="E207" s="65">
        <f>'ERROR FINAL'!U210</f>
        <v>-100</v>
      </c>
      <c r="F207" s="66">
        <f>'ERROR FINAL'!AG210</f>
        <v>-100</v>
      </c>
      <c r="G207" s="66">
        <f>'ERROR FINAL'!AS210</f>
        <v>-100</v>
      </c>
      <c r="H207" s="67" t="str">
        <f>IF('ERROR FINAL'!AT210="CONFORME","CONFORME","NO CONFORME")</f>
        <v>NO CONFORME</v>
      </c>
      <c r="I207" s="68" t="str">
        <f t="shared" si="3"/>
        <v>Medición</v>
      </c>
    </row>
    <row r="208" spans="1:9" x14ac:dyDescent="0.25">
      <c r="A208" s="61">
        <f>'ERROR FINAL'!A211</f>
        <v>203</v>
      </c>
      <c r="B208" s="62">
        <f>'ERROR FINAL'!D211</f>
        <v>3</v>
      </c>
      <c r="C208" s="63">
        <f>'ERROR FINAL'!G211</f>
        <v>0</v>
      </c>
      <c r="D208" s="64">
        <f>'ERROR FINAL'!I211</f>
        <v>0</v>
      </c>
      <c r="E208" s="65">
        <f>'ERROR FINAL'!U211</f>
        <v>-100</v>
      </c>
      <c r="F208" s="66">
        <f>'ERROR FINAL'!AG211</f>
        <v>-100</v>
      </c>
      <c r="G208" s="66">
        <f>'ERROR FINAL'!AS211</f>
        <v>-100</v>
      </c>
      <c r="H208" s="67" t="str">
        <f>IF('ERROR FINAL'!AT211="CONFORME","CONFORME","NO CONFORME")</f>
        <v>NO CONFORME</v>
      </c>
      <c r="I208" s="68" t="str">
        <f t="shared" si="3"/>
        <v>Medición</v>
      </c>
    </row>
    <row r="209" spans="1:9" x14ac:dyDescent="0.25">
      <c r="A209" s="61">
        <f>'ERROR FINAL'!A212</f>
        <v>204</v>
      </c>
      <c r="B209" s="62">
        <f>'ERROR FINAL'!D212</f>
        <v>3</v>
      </c>
      <c r="C209" s="63">
        <f>'ERROR FINAL'!G212</f>
        <v>0</v>
      </c>
      <c r="D209" s="64">
        <f>'ERROR FINAL'!I212</f>
        <v>0</v>
      </c>
      <c r="E209" s="65">
        <f>'ERROR FINAL'!U212</f>
        <v>-100</v>
      </c>
      <c r="F209" s="66">
        <f>'ERROR FINAL'!AG212</f>
        <v>-100</v>
      </c>
      <c r="G209" s="66">
        <f>'ERROR FINAL'!AS212</f>
        <v>-100</v>
      </c>
      <c r="H209" s="67" t="str">
        <f>IF('ERROR FINAL'!AT212="CONFORME","CONFORME","NO CONFORME")</f>
        <v>NO CONFORME</v>
      </c>
      <c r="I209" s="68" t="str">
        <f t="shared" si="3"/>
        <v>Medición</v>
      </c>
    </row>
    <row r="210" spans="1:9" x14ac:dyDescent="0.25">
      <c r="A210" s="61">
        <f>'ERROR FINAL'!A213</f>
        <v>205</v>
      </c>
      <c r="B210" s="62">
        <f>'ERROR FINAL'!D213</f>
        <v>3</v>
      </c>
      <c r="C210" s="63">
        <f>'ERROR FINAL'!G213</f>
        <v>0</v>
      </c>
      <c r="D210" s="64">
        <f>'ERROR FINAL'!I213</f>
        <v>0</v>
      </c>
      <c r="E210" s="65">
        <f>'ERROR FINAL'!U213</f>
        <v>-100</v>
      </c>
      <c r="F210" s="66">
        <f>'ERROR FINAL'!AG213</f>
        <v>-100</v>
      </c>
      <c r="G210" s="66">
        <f>'ERROR FINAL'!AS213</f>
        <v>-100</v>
      </c>
      <c r="H210" s="67" t="str">
        <f>IF('ERROR FINAL'!AT213="CONFORME","CONFORME","NO CONFORME")</f>
        <v>NO CONFORME</v>
      </c>
      <c r="I210" s="68" t="str">
        <f t="shared" si="3"/>
        <v>Medición</v>
      </c>
    </row>
    <row r="211" spans="1:9" x14ac:dyDescent="0.25">
      <c r="A211" s="61">
        <f>'ERROR FINAL'!A214</f>
        <v>206</v>
      </c>
      <c r="B211" s="62">
        <f>'ERROR FINAL'!D214</f>
        <v>3</v>
      </c>
      <c r="C211" s="63">
        <f>'ERROR FINAL'!G214</f>
        <v>0</v>
      </c>
      <c r="D211" s="64">
        <f>'ERROR FINAL'!I214</f>
        <v>0</v>
      </c>
      <c r="E211" s="65">
        <f>'ERROR FINAL'!U214</f>
        <v>-100</v>
      </c>
      <c r="F211" s="66">
        <f>'ERROR FINAL'!AG214</f>
        <v>-100</v>
      </c>
      <c r="G211" s="66">
        <f>'ERROR FINAL'!AS214</f>
        <v>-100</v>
      </c>
      <c r="H211" s="67" t="str">
        <f>IF('ERROR FINAL'!AT214="CONFORME","CONFORME","NO CONFORME")</f>
        <v>NO CONFORME</v>
      </c>
      <c r="I211" s="68" t="str">
        <f t="shared" si="3"/>
        <v>Medición</v>
      </c>
    </row>
    <row r="212" spans="1:9" x14ac:dyDescent="0.25">
      <c r="A212" s="61">
        <f>'ERROR FINAL'!A215</f>
        <v>207</v>
      </c>
      <c r="B212" s="62">
        <f>'ERROR FINAL'!D215</f>
        <v>3</v>
      </c>
      <c r="C212" s="63">
        <f>'ERROR FINAL'!G215</f>
        <v>0</v>
      </c>
      <c r="D212" s="64">
        <f>'ERROR FINAL'!I215</f>
        <v>0</v>
      </c>
      <c r="E212" s="65">
        <f>'ERROR FINAL'!U215</f>
        <v>-100</v>
      </c>
      <c r="F212" s="66">
        <f>'ERROR FINAL'!AG215</f>
        <v>-100</v>
      </c>
      <c r="G212" s="66">
        <f>'ERROR FINAL'!AS215</f>
        <v>-100</v>
      </c>
      <c r="H212" s="67" t="str">
        <f>IF('ERROR FINAL'!AT215="CONFORME","CONFORME","NO CONFORME")</f>
        <v>NO CONFORME</v>
      </c>
      <c r="I212" s="68" t="str">
        <f t="shared" si="3"/>
        <v>Medición</v>
      </c>
    </row>
    <row r="213" spans="1:9" x14ac:dyDescent="0.25">
      <c r="A213" s="61">
        <f>'ERROR FINAL'!A216</f>
        <v>208</v>
      </c>
      <c r="B213" s="62">
        <f>'ERROR FINAL'!D216</f>
        <v>3</v>
      </c>
      <c r="C213" s="63">
        <f>'ERROR FINAL'!G216</f>
        <v>0</v>
      </c>
      <c r="D213" s="64">
        <f>'ERROR FINAL'!I216</f>
        <v>0</v>
      </c>
      <c r="E213" s="65">
        <f>'ERROR FINAL'!U216</f>
        <v>-100</v>
      </c>
      <c r="F213" s="66">
        <f>'ERROR FINAL'!AG216</f>
        <v>-100</v>
      </c>
      <c r="G213" s="66">
        <f>'ERROR FINAL'!AS216</f>
        <v>-100</v>
      </c>
      <c r="H213" s="67" t="str">
        <f>IF('ERROR FINAL'!AT216="CONFORME","CONFORME","NO CONFORME")</f>
        <v>NO CONFORME</v>
      </c>
      <c r="I213" s="68" t="str">
        <f t="shared" si="3"/>
        <v>Medición</v>
      </c>
    </row>
    <row r="214" spans="1:9" x14ac:dyDescent="0.25">
      <c r="A214" s="61">
        <f>'ERROR FINAL'!A217</f>
        <v>209</v>
      </c>
      <c r="B214" s="62">
        <f>'ERROR FINAL'!D217</f>
        <v>3</v>
      </c>
      <c r="C214" s="63">
        <f>'ERROR FINAL'!G217</f>
        <v>0</v>
      </c>
      <c r="D214" s="64">
        <f>'ERROR FINAL'!I217</f>
        <v>0</v>
      </c>
      <c r="E214" s="65">
        <f>'ERROR FINAL'!U217</f>
        <v>-100</v>
      </c>
      <c r="F214" s="66">
        <f>'ERROR FINAL'!AG217</f>
        <v>-100</v>
      </c>
      <c r="G214" s="66">
        <f>'ERROR FINAL'!AS217</f>
        <v>-100</v>
      </c>
      <c r="H214" s="67" t="str">
        <f>IF('ERROR FINAL'!AT217="CONFORME","CONFORME","NO CONFORME")</f>
        <v>NO CONFORME</v>
      </c>
      <c r="I214" s="68" t="str">
        <f t="shared" si="3"/>
        <v>Medición</v>
      </c>
    </row>
    <row r="215" spans="1:9" x14ac:dyDescent="0.25">
      <c r="A215" s="61">
        <f>'ERROR FINAL'!A218</f>
        <v>210</v>
      </c>
      <c r="B215" s="62">
        <f>'ERROR FINAL'!D218</f>
        <v>3</v>
      </c>
      <c r="C215" s="63">
        <f>'ERROR FINAL'!G218</f>
        <v>0</v>
      </c>
      <c r="D215" s="64">
        <f>'ERROR FINAL'!I218</f>
        <v>0</v>
      </c>
      <c r="E215" s="65">
        <f>'ERROR FINAL'!U218</f>
        <v>-100</v>
      </c>
      <c r="F215" s="66">
        <f>'ERROR FINAL'!AG218</f>
        <v>-100</v>
      </c>
      <c r="G215" s="66">
        <f>'ERROR FINAL'!AS218</f>
        <v>-100</v>
      </c>
      <c r="H215" s="67" t="str">
        <f>IF('ERROR FINAL'!AT218="CONFORME","CONFORME","NO CONFORME")</f>
        <v>NO CONFORME</v>
      </c>
      <c r="I215" s="68" t="str">
        <f t="shared" si="3"/>
        <v>Medición</v>
      </c>
    </row>
    <row r="216" spans="1:9" x14ac:dyDescent="0.25">
      <c r="A216" s="61">
        <f>'ERROR FINAL'!A219</f>
        <v>211</v>
      </c>
      <c r="B216" s="62">
        <f>'ERROR FINAL'!D219</f>
        <v>3</v>
      </c>
      <c r="C216" s="63">
        <f>'ERROR FINAL'!G219</f>
        <v>0</v>
      </c>
      <c r="D216" s="64">
        <f>'ERROR FINAL'!I219</f>
        <v>0</v>
      </c>
      <c r="E216" s="65">
        <f>'ERROR FINAL'!U219</f>
        <v>-100</v>
      </c>
      <c r="F216" s="66">
        <f>'ERROR FINAL'!AG219</f>
        <v>-100</v>
      </c>
      <c r="G216" s="66">
        <f>'ERROR FINAL'!AS219</f>
        <v>-100</v>
      </c>
      <c r="H216" s="67" t="str">
        <f>IF('ERROR FINAL'!AT219="CONFORME","CONFORME","NO CONFORME")</f>
        <v>NO CONFORME</v>
      </c>
      <c r="I216" s="68" t="str">
        <f t="shared" si="3"/>
        <v>Medición</v>
      </c>
    </row>
    <row r="217" spans="1:9" x14ac:dyDescent="0.25">
      <c r="A217" s="61">
        <f>'ERROR FINAL'!A220</f>
        <v>212</v>
      </c>
      <c r="B217" s="62">
        <f>'ERROR FINAL'!D220</f>
        <v>3</v>
      </c>
      <c r="C217" s="63">
        <f>'ERROR FINAL'!G220</f>
        <v>0</v>
      </c>
      <c r="D217" s="64">
        <f>'ERROR FINAL'!I220</f>
        <v>0</v>
      </c>
      <c r="E217" s="65">
        <f>'ERROR FINAL'!U220</f>
        <v>-100</v>
      </c>
      <c r="F217" s="66">
        <f>'ERROR FINAL'!AG220</f>
        <v>-100</v>
      </c>
      <c r="G217" s="66">
        <f>'ERROR FINAL'!AS220</f>
        <v>-100</v>
      </c>
      <c r="H217" s="67" t="str">
        <f>IF('ERROR FINAL'!AT220="CONFORME","CONFORME","NO CONFORME")</f>
        <v>NO CONFORME</v>
      </c>
      <c r="I217" s="68" t="str">
        <f t="shared" si="3"/>
        <v>Medición</v>
      </c>
    </row>
    <row r="218" spans="1:9" x14ac:dyDescent="0.25">
      <c r="A218" s="61">
        <f>'ERROR FINAL'!A221</f>
        <v>213</v>
      </c>
      <c r="B218" s="62">
        <f>'ERROR FINAL'!D221</f>
        <v>3</v>
      </c>
      <c r="C218" s="63">
        <f>'ERROR FINAL'!G221</f>
        <v>0</v>
      </c>
      <c r="D218" s="64">
        <f>'ERROR FINAL'!I221</f>
        <v>0</v>
      </c>
      <c r="E218" s="65">
        <f>'ERROR FINAL'!U221</f>
        <v>-100</v>
      </c>
      <c r="F218" s="66">
        <f>'ERROR FINAL'!AG221</f>
        <v>-100</v>
      </c>
      <c r="G218" s="66">
        <f>'ERROR FINAL'!AS221</f>
        <v>-100</v>
      </c>
      <c r="H218" s="67" t="str">
        <f>IF('ERROR FINAL'!AT221="CONFORME","CONFORME","NO CONFORME")</f>
        <v>NO CONFORME</v>
      </c>
      <c r="I218" s="68" t="str">
        <f t="shared" si="3"/>
        <v>Medición</v>
      </c>
    </row>
    <row r="219" spans="1:9" x14ac:dyDescent="0.25">
      <c r="A219" s="61">
        <f>'ERROR FINAL'!A222</f>
        <v>214</v>
      </c>
      <c r="B219" s="62">
        <f>'ERROR FINAL'!D222</f>
        <v>3</v>
      </c>
      <c r="C219" s="63">
        <f>'ERROR FINAL'!G222</f>
        <v>0</v>
      </c>
      <c r="D219" s="64">
        <f>'ERROR FINAL'!I222</f>
        <v>0</v>
      </c>
      <c r="E219" s="65">
        <f>'ERROR FINAL'!U222</f>
        <v>-100</v>
      </c>
      <c r="F219" s="66">
        <f>'ERROR FINAL'!AG222</f>
        <v>-100</v>
      </c>
      <c r="G219" s="66">
        <f>'ERROR FINAL'!AS222</f>
        <v>-100</v>
      </c>
      <c r="H219" s="67" t="str">
        <f>IF('ERROR FINAL'!AT222="CONFORME","CONFORME","NO CONFORME")</f>
        <v>NO CONFORME</v>
      </c>
      <c r="I219" s="68" t="str">
        <f t="shared" si="3"/>
        <v>Medición</v>
      </c>
    </row>
    <row r="220" spans="1:9" x14ac:dyDescent="0.25">
      <c r="A220" s="61">
        <f>'ERROR FINAL'!A223</f>
        <v>215</v>
      </c>
      <c r="B220" s="62">
        <f>'ERROR FINAL'!D223</f>
        <v>3</v>
      </c>
      <c r="C220" s="63">
        <f>'ERROR FINAL'!G223</f>
        <v>0</v>
      </c>
      <c r="D220" s="64">
        <f>'ERROR FINAL'!I223</f>
        <v>0</v>
      </c>
      <c r="E220" s="65">
        <f>'ERROR FINAL'!U223</f>
        <v>-100</v>
      </c>
      <c r="F220" s="66">
        <f>'ERROR FINAL'!AG223</f>
        <v>-100</v>
      </c>
      <c r="G220" s="66">
        <f>'ERROR FINAL'!AS223</f>
        <v>-100</v>
      </c>
      <c r="H220" s="67" t="str">
        <f>IF('ERROR FINAL'!AT223="CONFORME","CONFORME","NO CONFORME")</f>
        <v>NO CONFORME</v>
      </c>
      <c r="I220" s="68" t="str">
        <f t="shared" si="3"/>
        <v>Medición</v>
      </c>
    </row>
    <row r="221" spans="1:9" x14ac:dyDescent="0.25">
      <c r="A221" s="61">
        <f>'ERROR FINAL'!A224</f>
        <v>216</v>
      </c>
      <c r="B221" s="62">
        <f>'ERROR FINAL'!D224</f>
        <v>3</v>
      </c>
      <c r="C221" s="63">
        <f>'ERROR FINAL'!G224</f>
        <v>0</v>
      </c>
      <c r="D221" s="64">
        <f>'ERROR FINAL'!I224</f>
        <v>0</v>
      </c>
      <c r="E221" s="65">
        <f>'ERROR FINAL'!U224</f>
        <v>-100</v>
      </c>
      <c r="F221" s="66">
        <f>'ERROR FINAL'!AG224</f>
        <v>-100</v>
      </c>
      <c r="G221" s="66">
        <f>'ERROR FINAL'!AS224</f>
        <v>-100</v>
      </c>
      <c r="H221" s="67" t="str">
        <f>IF('ERROR FINAL'!AT224="CONFORME","CONFORME","NO CONFORME")</f>
        <v>NO CONFORME</v>
      </c>
      <c r="I221" s="68" t="str">
        <f t="shared" si="3"/>
        <v>Medición</v>
      </c>
    </row>
    <row r="222" spans="1:9" x14ac:dyDescent="0.25">
      <c r="A222" s="61">
        <f>'ERROR FINAL'!A225</f>
        <v>217</v>
      </c>
      <c r="B222" s="62">
        <f>'ERROR FINAL'!D225</f>
        <v>3</v>
      </c>
      <c r="C222" s="63">
        <f>'ERROR FINAL'!G225</f>
        <v>0</v>
      </c>
      <c r="D222" s="64">
        <f>'ERROR FINAL'!I225</f>
        <v>0</v>
      </c>
      <c r="E222" s="65">
        <f>'ERROR FINAL'!U225</f>
        <v>-100</v>
      </c>
      <c r="F222" s="66">
        <f>'ERROR FINAL'!AG225</f>
        <v>-100</v>
      </c>
      <c r="G222" s="66">
        <f>'ERROR FINAL'!AS225</f>
        <v>-100</v>
      </c>
      <c r="H222" s="67" t="str">
        <f>IF('ERROR FINAL'!AT225="CONFORME","CONFORME","NO CONFORME")</f>
        <v>NO CONFORME</v>
      </c>
      <c r="I222" s="68" t="str">
        <f t="shared" si="3"/>
        <v>Medición</v>
      </c>
    </row>
    <row r="223" spans="1:9" x14ac:dyDescent="0.25">
      <c r="A223" s="61">
        <f>'ERROR FINAL'!A226</f>
        <v>218</v>
      </c>
      <c r="B223" s="62">
        <f>'ERROR FINAL'!D226</f>
        <v>3</v>
      </c>
      <c r="C223" s="63">
        <f>'ERROR FINAL'!G226</f>
        <v>0</v>
      </c>
      <c r="D223" s="64">
        <f>'ERROR FINAL'!I226</f>
        <v>0</v>
      </c>
      <c r="E223" s="65">
        <f>'ERROR FINAL'!U226</f>
        <v>-100</v>
      </c>
      <c r="F223" s="66">
        <f>'ERROR FINAL'!AG226</f>
        <v>-100</v>
      </c>
      <c r="G223" s="66">
        <f>'ERROR FINAL'!AS226</f>
        <v>-100</v>
      </c>
      <c r="H223" s="67" t="str">
        <f>IF('ERROR FINAL'!AT226="CONFORME","CONFORME","NO CONFORME")</f>
        <v>NO CONFORME</v>
      </c>
      <c r="I223" s="68" t="str">
        <f t="shared" si="3"/>
        <v>Medición</v>
      </c>
    </row>
    <row r="224" spans="1:9" x14ac:dyDescent="0.25">
      <c r="A224" s="61">
        <f>'ERROR FINAL'!A227</f>
        <v>219</v>
      </c>
      <c r="B224" s="62">
        <f>'ERROR FINAL'!D227</f>
        <v>3</v>
      </c>
      <c r="C224" s="63">
        <f>'ERROR FINAL'!G227</f>
        <v>0</v>
      </c>
      <c r="D224" s="64">
        <f>'ERROR FINAL'!I227</f>
        <v>0</v>
      </c>
      <c r="E224" s="65">
        <f>'ERROR FINAL'!U227</f>
        <v>-100</v>
      </c>
      <c r="F224" s="66">
        <f>'ERROR FINAL'!AG227</f>
        <v>-100</v>
      </c>
      <c r="G224" s="66">
        <f>'ERROR FINAL'!AS227</f>
        <v>-100</v>
      </c>
      <c r="H224" s="67" t="str">
        <f>IF('ERROR FINAL'!AT227="CONFORME","CONFORME","NO CONFORME")</f>
        <v>NO CONFORME</v>
      </c>
      <c r="I224" s="68" t="str">
        <f t="shared" si="3"/>
        <v>Medición</v>
      </c>
    </row>
    <row r="225" spans="1:9" x14ac:dyDescent="0.25">
      <c r="A225" s="61">
        <f>'ERROR FINAL'!A228</f>
        <v>220</v>
      </c>
      <c r="B225" s="62">
        <f>'ERROR FINAL'!D228</f>
        <v>3</v>
      </c>
      <c r="C225" s="63">
        <f>'ERROR FINAL'!G228</f>
        <v>0</v>
      </c>
      <c r="D225" s="64">
        <f>'ERROR FINAL'!I228</f>
        <v>0</v>
      </c>
      <c r="E225" s="65">
        <f>'ERROR FINAL'!U228</f>
        <v>-100</v>
      </c>
      <c r="F225" s="66">
        <f>'ERROR FINAL'!AG228</f>
        <v>-100</v>
      </c>
      <c r="G225" s="66">
        <f>'ERROR FINAL'!AS228</f>
        <v>-100</v>
      </c>
      <c r="H225" s="67" t="str">
        <f>IF('ERROR FINAL'!AT228="CONFORME","CONFORME","NO CONFORME")</f>
        <v>NO CONFORME</v>
      </c>
      <c r="I225" s="68" t="str">
        <f t="shared" si="3"/>
        <v>Medición</v>
      </c>
    </row>
    <row r="226" spans="1:9" x14ac:dyDescent="0.25">
      <c r="A226" s="61">
        <f>'ERROR FINAL'!A229</f>
        <v>221</v>
      </c>
      <c r="B226" s="62">
        <f>'ERROR FINAL'!D229</f>
        <v>3</v>
      </c>
      <c r="C226" s="63">
        <f>'ERROR FINAL'!G229</f>
        <v>0</v>
      </c>
      <c r="D226" s="64">
        <f>'ERROR FINAL'!I229</f>
        <v>0</v>
      </c>
      <c r="E226" s="65">
        <f>'ERROR FINAL'!U229</f>
        <v>-100</v>
      </c>
      <c r="F226" s="66">
        <f>'ERROR FINAL'!AG229</f>
        <v>-100</v>
      </c>
      <c r="G226" s="66">
        <f>'ERROR FINAL'!AS229</f>
        <v>-100</v>
      </c>
      <c r="H226" s="67" t="str">
        <f>IF('ERROR FINAL'!AT229="CONFORME","CONFORME","NO CONFORME")</f>
        <v>NO CONFORME</v>
      </c>
      <c r="I226" s="68" t="str">
        <f t="shared" si="3"/>
        <v>Medición</v>
      </c>
    </row>
    <row r="227" spans="1:9" x14ac:dyDescent="0.25">
      <c r="A227" s="61">
        <f>'ERROR FINAL'!A230</f>
        <v>222</v>
      </c>
      <c r="B227" s="62">
        <f>'ERROR FINAL'!D230</f>
        <v>3</v>
      </c>
      <c r="C227" s="63">
        <f>'ERROR FINAL'!G230</f>
        <v>0</v>
      </c>
      <c r="D227" s="64">
        <f>'ERROR FINAL'!I230</f>
        <v>0</v>
      </c>
      <c r="E227" s="65">
        <f>'ERROR FINAL'!U230</f>
        <v>-100</v>
      </c>
      <c r="F227" s="66">
        <f>'ERROR FINAL'!AG230</f>
        <v>-100</v>
      </c>
      <c r="G227" s="66">
        <f>'ERROR FINAL'!AS230</f>
        <v>-100</v>
      </c>
      <c r="H227" s="67" t="str">
        <f>IF('ERROR FINAL'!AT230="CONFORME","CONFORME","NO CONFORME")</f>
        <v>NO CONFORME</v>
      </c>
      <c r="I227" s="68" t="str">
        <f t="shared" si="3"/>
        <v>Medición</v>
      </c>
    </row>
    <row r="228" spans="1:9" x14ac:dyDescent="0.25">
      <c r="A228" s="61">
        <f>'ERROR FINAL'!A231</f>
        <v>223</v>
      </c>
      <c r="B228" s="62">
        <f>'ERROR FINAL'!D231</f>
        <v>3</v>
      </c>
      <c r="C228" s="63">
        <f>'ERROR FINAL'!G231</f>
        <v>0</v>
      </c>
      <c r="D228" s="64">
        <f>'ERROR FINAL'!I231</f>
        <v>0</v>
      </c>
      <c r="E228" s="65">
        <f>'ERROR FINAL'!U231</f>
        <v>-100</v>
      </c>
      <c r="F228" s="66">
        <f>'ERROR FINAL'!AG231</f>
        <v>-100</v>
      </c>
      <c r="G228" s="66">
        <f>'ERROR FINAL'!AS231</f>
        <v>-100</v>
      </c>
      <c r="H228" s="67" t="str">
        <f>IF('ERROR FINAL'!AT231="CONFORME","CONFORME","NO CONFORME")</f>
        <v>NO CONFORME</v>
      </c>
      <c r="I228" s="68" t="str">
        <f t="shared" si="3"/>
        <v>Medición</v>
      </c>
    </row>
    <row r="229" spans="1:9" x14ac:dyDescent="0.25">
      <c r="A229" s="61">
        <f>'ERROR FINAL'!A232</f>
        <v>224</v>
      </c>
      <c r="B229" s="62">
        <f>'ERROR FINAL'!D232</f>
        <v>3</v>
      </c>
      <c r="C229" s="63">
        <f>'ERROR FINAL'!G232</f>
        <v>0</v>
      </c>
      <c r="D229" s="64">
        <f>'ERROR FINAL'!I232</f>
        <v>0</v>
      </c>
      <c r="E229" s="65">
        <f>'ERROR FINAL'!U232</f>
        <v>-100</v>
      </c>
      <c r="F229" s="66">
        <f>'ERROR FINAL'!AG232</f>
        <v>-100</v>
      </c>
      <c r="G229" s="66">
        <f>'ERROR FINAL'!AS232</f>
        <v>-100</v>
      </c>
      <c r="H229" s="67" t="str">
        <f>IF('ERROR FINAL'!AT232="CONFORME","CONFORME","NO CONFORME")</f>
        <v>NO CONFORME</v>
      </c>
      <c r="I229" s="68" t="str">
        <f t="shared" si="3"/>
        <v>Medición</v>
      </c>
    </row>
    <row r="230" spans="1:9" x14ac:dyDescent="0.25">
      <c r="A230" s="61">
        <f>'ERROR FINAL'!A233</f>
        <v>225</v>
      </c>
      <c r="B230" s="62">
        <f>'ERROR FINAL'!D233</f>
        <v>3</v>
      </c>
      <c r="C230" s="63">
        <f>'ERROR FINAL'!G233</f>
        <v>0</v>
      </c>
      <c r="D230" s="64">
        <f>'ERROR FINAL'!I233</f>
        <v>0</v>
      </c>
      <c r="E230" s="65">
        <f>'ERROR FINAL'!U233</f>
        <v>-100</v>
      </c>
      <c r="F230" s="66">
        <f>'ERROR FINAL'!AG233</f>
        <v>-100</v>
      </c>
      <c r="G230" s="66">
        <f>'ERROR FINAL'!AS233</f>
        <v>-100</v>
      </c>
      <c r="H230" s="67" t="str">
        <f>IF('ERROR FINAL'!AT233="CONFORME","CONFORME","NO CONFORME")</f>
        <v>NO CONFORME</v>
      </c>
      <c r="I230" s="68" t="str">
        <f t="shared" si="3"/>
        <v>Medición</v>
      </c>
    </row>
    <row r="231" spans="1:9" x14ac:dyDescent="0.25">
      <c r="A231" s="61">
        <f>'ERROR FINAL'!A234</f>
        <v>226</v>
      </c>
      <c r="B231" s="62">
        <f>'ERROR FINAL'!D234</f>
        <v>3</v>
      </c>
      <c r="C231" s="63">
        <f>'ERROR FINAL'!G234</f>
        <v>0</v>
      </c>
      <c r="D231" s="64">
        <f>'ERROR FINAL'!I234</f>
        <v>0</v>
      </c>
      <c r="E231" s="65">
        <f>'ERROR FINAL'!U234</f>
        <v>-100</v>
      </c>
      <c r="F231" s="66">
        <f>'ERROR FINAL'!AG234</f>
        <v>-100</v>
      </c>
      <c r="G231" s="66">
        <f>'ERROR FINAL'!AS234</f>
        <v>-100</v>
      </c>
      <c r="H231" s="67" t="str">
        <f>IF('ERROR FINAL'!AT234="CONFORME","CONFORME","NO CONFORME")</f>
        <v>NO CONFORME</v>
      </c>
      <c r="I231" s="68" t="str">
        <f t="shared" si="3"/>
        <v>Medición</v>
      </c>
    </row>
    <row r="232" spans="1:9" x14ac:dyDescent="0.25">
      <c r="A232" s="61">
        <f>'ERROR FINAL'!A235</f>
        <v>227</v>
      </c>
      <c r="B232" s="62">
        <f>'ERROR FINAL'!D235</f>
        <v>3</v>
      </c>
      <c r="C232" s="63">
        <f>'ERROR FINAL'!G235</f>
        <v>0</v>
      </c>
      <c r="D232" s="64">
        <f>'ERROR FINAL'!I235</f>
        <v>0</v>
      </c>
      <c r="E232" s="65">
        <f>'ERROR FINAL'!U235</f>
        <v>-100</v>
      </c>
      <c r="F232" s="66">
        <f>'ERROR FINAL'!AG235</f>
        <v>-100</v>
      </c>
      <c r="G232" s="66">
        <f>'ERROR FINAL'!AS235</f>
        <v>-100</v>
      </c>
      <c r="H232" s="67" t="str">
        <f>IF('ERROR FINAL'!AT235="CONFORME","CONFORME","NO CONFORME")</f>
        <v>NO CONFORME</v>
      </c>
      <c r="I232" s="68" t="str">
        <f t="shared" si="3"/>
        <v>Medición</v>
      </c>
    </row>
    <row r="233" spans="1:9" x14ac:dyDescent="0.25">
      <c r="A233" s="61">
        <f>'ERROR FINAL'!A236</f>
        <v>228</v>
      </c>
      <c r="B233" s="62">
        <f>'ERROR FINAL'!D236</f>
        <v>3</v>
      </c>
      <c r="C233" s="63">
        <f>'ERROR FINAL'!G236</f>
        <v>0</v>
      </c>
      <c r="D233" s="64">
        <f>'ERROR FINAL'!I236</f>
        <v>0</v>
      </c>
      <c r="E233" s="65">
        <f>'ERROR FINAL'!U236</f>
        <v>-100</v>
      </c>
      <c r="F233" s="66">
        <f>'ERROR FINAL'!AG236</f>
        <v>-100</v>
      </c>
      <c r="G233" s="66">
        <f>'ERROR FINAL'!AS236</f>
        <v>-100</v>
      </c>
      <c r="H233" s="67" t="str">
        <f>IF('ERROR FINAL'!AT236="CONFORME","CONFORME","NO CONFORME")</f>
        <v>NO CONFORME</v>
      </c>
      <c r="I233" s="68" t="str">
        <f t="shared" si="3"/>
        <v>Medición</v>
      </c>
    </row>
    <row r="234" spans="1:9" x14ac:dyDescent="0.25">
      <c r="A234" s="61">
        <f>'ERROR FINAL'!A237</f>
        <v>229</v>
      </c>
      <c r="B234" s="62">
        <f>'ERROR FINAL'!D237</f>
        <v>3</v>
      </c>
      <c r="C234" s="63">
        <f>'ERROR FINAL'!G237</f>
        <v>0</v>
      </c>
      <c r="D234" s="64">
        <f>'ERROR FINAL'!I237</f>
        <v>0</v>
      </c>
      <c r="E234" s="65">
        <f>'ERROR FINAL'!U237</f>
        <v>-100</v>
      </c>
      <c r="F234" s="66">
        <f>'ERROR FINAL'!AG237</f>
        <v>-100</v>
      </c>
      <c r="G234" s="66">
        <f>'ERROR FINAL'!AS237</f>
        <v>-100</v>
      </c>
      <c r="H234" s="67" t="str">
        <f>IF('ERROR FINAL'!AT237="CONFORME","CONFORME","NO CONFORME")</f>
        <v>NO CONFORME</v>
      </c>
      <c r="I234" s="68" t="str">
        <f t="shared" si="3"/>
        <v>Medición</v>
      </c>
    </row>
    <row r="235" spans="1:9" x14ac:dyDescent="0.25">
      <c r="A235" s="61">
        <f>'ERROR FINAL'!A238</f>
        <v>230</v>
      </c>
      <c r="B235" s="62">
        <f>'ERROR FINAL'!D238</f>
        <v>3</v>
      </c>
      <c r="C235" s="63">
        <f>'ERROR FINAL'!G238</f>
        <v>0</v>
      </c>
      <c r="D235" s="64">
        <f>'ERROR FINAL'!I238</f>
        <v>0</v>
      </c>
      <c r="E235" s="65">
        <f>'ERROR FINAL'!U238</f>
        <v>-100</v>
      </c>
      <c r="F235" s="66">
        <f>'ERROR FINAL'!AG238</f>
        <v>-100</v>
      </c>
      <c r="G235" s="66">
        <f>'ERROR FINAL'!AS238</f>
        <v>-100</v>
      </c>
      <c r="H235" s="67" t="str">
        <f>IF('ERROR FINAL'!AT238="CONFORME","CONFORME","NO CONFORME")</f>
        <v>NO CONFORME</v>
      </c>
      <c r="I235" s="68" t="str">
        <f t="shared" si="3"/>
        <v>Medición</v>
      </c>
    </row>
    <row r="236" spans="1:9" x14ac:dyDescent="0.25">
      <c r="A236" s="61">
        <f>'ERROR FINAL'!A239</f>
        <v>231</v>
      </c>
      <c r="B236" s="62">
        <f>'ERROR FINAL'!D239</f>
        <v>3</v>
      </c>
      <c r="C236" s="63">
        <f>'ERROR FINAL'!G239</f>
        <v>0</v>
      </c>
      <c r="D236" s="64">
        <f>'ERROR FINAL'!I239</f>
        <v>0</v>
      </c>
      <c r="E236" s="65">
        <f>'ERROR FINAL'!U239</f>
        <v>-100</v>
      </c>
      <c r="F236" s="66">
        <f>'ERROR FINAL'!AG239</f>
        <v>-100</v>
      </c>
      <c r="G236" s="66">
        <f>'ERROR FINAL'!AS239</f>
        <v>-100</v>
      </c>
      <c r="H236" s="67" t="str">
        <f>IF('ERROR FINAL'!AT239="CONFORME","CONFORME","NO CONFORME")</f>
        <v>NO CONFORME</v>
      </c>
      <c r="I236" s="68" t="str">
        <f t="shared" si="3"/>
        <v>Medición</v>
      </c>
    </row>
    <row r="237" spans="1:9" x14ac:dyDescent="0.25">
      <c r="A237" s="61">
        <f>'ERROR FINAL'!A240</f>
        <v>232</v>
      </c>
      <c r="B237" s="62">
        <f>'ERROR FINAL'!D240</f>
        <v>3</v>
      </c>
      <c r="C237" s="63">
        <f>'ERROR FINAL'!G240</f>
        <v>0</v>
      </c>
      <c r="D237" s="64">
        <f>'ERROR FINAL'!I240</f>
        <v>0</v>
      </c>
      <c r="E237" s="65">
        <f>'ERROR FINAL'!U240</f>
        <v>-100</v>
      </c>
      <c r="F237" s="66">
        <f>'ERROR FINAL'!AG240</f>
        <v>-100</v>
      </c>
      <c r="G237" s="66">
        <f>'ERROR FINAL'!AS240</f>
        <v>-100</v>
      </c>
      <c r="H237" s="67" t="str">
        <f>IF('ERROR FINAL'!AT240="CONFORME","CONFORME","NO CONFORME")</f>
        <v>NO CONFORME</v>
      </c>
      <c r="I237" s="68" t="str">
        <f t="shared" si="3"/>
        <v>Medición</v>
      </c>
    </row>
    <row r="238" spans="1:9" x14ac:dyDescent="0.25">
      <c r="A238" s="61">
        <f>'ERROR FINAL'!A241</f>
        <v>233</v>
      </c>
      <c r="B238" s="62">
        <f>'ERROR FINAL'!D241</f>
        <v>3</v>
      </c>
      <c r="C238" s="63">
        <f>'ERROR FINAL'!G241</f>
        <v>0</v>
      </c>
      <c r="D238" s="64">
        <f>'ERROR FINAL'!I241</f>
        <v>0</v>
      </c>
      <c r="E238" s="65">
        <f>'ERROR FINAL'!U241</f>
        <v>-100</v>
      </c>
      <c r="F238" s="66">
        <f>'ERROR FINAL'!AG241</f>
        <v>-100</v>
      </c>
      <c r="G238" s="66">
        <f>'ERROR FINAL'!AS241</f>
        <v>-100</v>
      </c>
      <c r="H238" s="67" t="str">
        <f>IF('ERROR FINAL'!AT241="CONFORME","CONFORME","NO CONFORME")</f>
        <v>NO CONFORME</v>
      </c>
      <c r="I238" s="68" t="str">
        <f t="shared" si="3"/>
        <v>Medición</v>
      </c>
    </row>
    <row r="239" spans="1:9" x14ac:dyDescent="0.25">
      <c r="A239" s="61">
        <f>'ERROR FINAL'!A242</f>
        <v>234</v>
      </c>
      <c r="B239" s="62">
        <f>'ERROR FINAL'!D242</f>
        <v>3</v>
      </c>
      <c r="C239" s="63">
        <f>'ERROR FINAL'!G242</f>
        <v>0</v>
      </c>
      <c r="D239" s="64">
        <f>'ERROR FINAL'!I242</f>
        <v>0</v>
      </c>
      <c r="E239" s="65">
        <f>'ERROR FINAL'!U242</f>
        <v>-100</v>
      </c>
      <c r="F239" s="66">
        <f>'ERROR FINAL'!AG242</f>
        <v>-100</v>
      </c>
      <c r="G239" s="66">
        <f>'ERROR FINAL'!AS242</f>
        <v>-100</v>
      </c>
      <c r="H239" s="67" t="str">
        <f>IF('ERROR FINAL'!AT242="CONFORME","CONFORME","NO CONFORME")</f>
        <v>NO CONFORME</v>
      </c>
      <c r="I239" s="68" t="str">
        <f t="shared" si="3"/>
        <v>Medición</v>
      </c>
    </row>
    <row r="240" spans="1:9" x14ac:dyDescent="0.25">
      <c r="A240" s="61">
        <f>'ERROR FINAL'!A243</f>
        <v>235</v>
      </c>
      <c r="B240" s="62">
        <f>'ERROR FINAL'!D243</f>
        <v>3</v>
      </c>
      <c r="C240" s="63">
        <f>'ERROR FINAL'!G243</f>
        <v>0</v>
      </c>
      <c r="D240" s="64">
        <f>'ERROR FINAL'!I243</f>
        <v>0</v>
      </c>
      <c r="E240" s="65">
        <f>'ERROR FINAL'!U243</f>
        <v>-100</v>
      </c>
      <c r="F240" s="66">
        <f>'ERROR FINAL'!AG243</f>
        <v>-100</v>
      </c>
      <c r="G240" s="66">
        <f>'ERROR FINAL'!AS243</f>
        <v>-100</v>
      </c>
      <c r="H240" s="67" t="str">
        <f>IF('ERROR FINAL'!AT243="CONFORME","CONFORME","NO CONFORME")</f>
        <v>NO CONFORME</v>
      </c>
      <c r="I240" s="68" t="str">
        <f t="shared" si="3"/>
        <v>Medición</v>
      </c>
    </row>
    <row r="241" spans="1:9" x14ac:dyDescent="0.25">
      <c r="A241" s="61">
        <f>'ERROR FINAL'!A244</f>
        <v>236</v>
      </c>
      <c r="B241" s="62">
        <f>'ERROR FINAL'!D244</f>
        <v>3</v>
      </c>
      <c r="C241" s="63">
        <f>'ERROR FINAL'!G244</f>
        <v>0</v>
      </c>
      <c r="D241" s="64">
        <f>'ERROR FINAL'!I244</f>
        <v>0</v>
      </c>
      <c r="E241" s="65">
        <f>'ERROR FINAL'!U244</f>
        <v>-100</v>
      </c>
      <c r="F241" s="66">
        <f>'ERROR FINAL'!AG244</f>
        <v>-100</v>
      </c>
      <c r="G241" s="66">
        <f>'ERROR FINAL'!AS244</f>
        <v>-100</v>
      </c>
      <c r="H241" s="67" t="str">
        <f>IF('ERROR FINAL'!AT244="CONFORME","CONFORME","NO CONFORME")</f>
        <v>NO CONFORME</v>
      </c>
      <c r="I241" s="68" t="str">
        <f t="shared" si="3"/>
        <v>Medición</v>
      </c>
    </row>
    <row r="242" spans="1:9" x14ac:dyDescent="0.25">
      <c r="A242" s="61">
        <f>'ERROR FINAL'!A245</f>
        <v>237</v>
      </c>
      <c r="B242" s="62">
        <f>'ERROR FINAL'!D245</f>
        <v>3</v>
      </c>
      <c r="C242" s="63">
        <f>'ERROR FINAL'!G245</f>
        <v>0</v>
      </c>
      <c r="D242" s="64">
        <f>'ERROR FINAL'!I245</f>
        <v>0</v>
      </c>
      <c r="E242" s="65">
        <f>'ERROR FINAL'!U245</f>
        <v>-100</v>
      </c>
      <c r="F242" s="66">
        <f>'ERROR FINAL'!AG245</f>
        <v>-100</v>
      </c>
      <c r="G242" s="66">
        <f>'ERROR FINAL'!AS245</f>
        <v>-100</v>
      </c>
      <c r="H242" s="67" t="str">
        <f>IF('ERROR FINAL'!AT245="CONFORME","CONFORME","NO CONFORME")</f>
        <v>NO CONFORME</v>
      </c>
      <c r="I242" s="68" t="str">
        <f t="shared" si="3"/>
        <v>Medición</v>
      </c>
    </row>
    <row r="243" spans="1:9" x14ac:dyDescent="0.25">
      <c r="A243" s="61">
        <f>'ERROR FINAL'!A246</f>
        <v>238</v>
      </c>
      <c r="B243" s="62">
        <f>'ERROR FINAL'!D246</f>
        <v>3</v>
      </c>
      <c r="C243" s="63">
        <f>'ERROR FINAL'!G246</f>
        <v>0</v>
      </c>
      <c r="D243" s="64">
        <f>'ERROR FINAL'!I246</f>
        <v>0</v>
      </c>
      <c r="E243" s="65">
        <f>'ERROR FINAL'!U246</f>
        <v>-100</v>
      </c>
      <c r="F243" s="66">
        <f>'ERROR FINAL'!AG246</f>
        <v>-100</v>
      </c>
      <c r="G243" s="66">
        <f>'ERROR FINAL'!AS246</f>
        <v>-100</v>
      </c>
      <c r="H243" s="67" t="str">
        <f>IF('ERROR FINAL'!AT246="CONFORME","CONFORME","NO CONFORME")</f>
        <v>NO CONFORME</v>
      </c>
      <c r="I243" s="68" t="str">
        <f t="shared" si="3"/>
        <v>Medición</v>
      </c>
    </row>
    <row r="244" spans="1:9" x14ac:dyDescent="0.25">
      <c r="A244" s="61">
        <f>'ERROR FINAL'!A247</f>
        <v>239</v>
      </c>
      <c r="B244" s="62">
        <f>'ERROR FINAL'!D247</f>
        <v>3</v>
      </c>
      <c r="C244" s="63">
        <f>'ERROR FINAL'!G247</f>
        <v>0</v>
      </c>
      <c r="D244" s="64">
        <f>'ERROR FINAL'!I247</f>
        <v>0</v>
      </c>
      <c r="E244" s="65">
        <f>'ERROR FINAL'!U247</f>
        <v>-100</v>
      </c>
      <c r="F244" s="66">
        <f>'ERROR FINAL'!AG247</f>
        <v>-100</v>
      </c>
      <c r="G244" s="66">
        <f>'ERROR FINAL'!AS247</f>
        <v>-100</v>
      </c>
      <c r="H244" s="67" t="str">
        <f>IF('ERROR FINAL'!AT247="CONFORME","CONFORME","NO CONFORME")</f>
        <v>NO CONFORME</v>
      </c>
      <c r="I244" s="68" t="str">
        <f t="shared" si="3"/>
        <v>Medición</v>
      </c>
    </row>
    <row r="245" spans="1:9" x14ac:dyDescent="0.25">
      <c r="A245" s="61">
        <f>'ERROR FINAL'!A248</f>
        <v>240</v>
      </c>
      <c r="B245" s="62">
        <f>'ERROR FINAL'!D248</f>
        <v>3</v>
      </c>
      <c r="C245" s="63">
        <f>'ERROR FINAL'!G248</f>
        <v>0</v>
      </c>
      <c r="D245" s="64">
        <f>'ERROR FINAL'!I248</f>
        <v>0</v>
      </c>
      <c r="E245" s="65">
        <f>'ERROR FINAL'!U248</f>
        <v>-100</v>
      </c>
      <c r="F245" s="66">
        <f>'ERROR FINAL'!AG248</f>
        <v>-100</v>
      </c>
      <c r="G245" s="66">
        <f>'ERROR FINAL'!AS248</f>
        <v>-100</v>
      </c>
      <c r="H245" s="67" t="str">
        <f>IF('ERROR FINAL'!AT248="CONFORME","CONFORME","NO CONFORME")</f>
        <v>NO CONFORME</v>
      </c>
      <c r="I245" s="68" t="str">
        <f t="shared" si="3"/>
        <v>Medición</v>
      </c>
    </row>
    <row r="246" spans="1:9" x14ac:dyDescent="0.25">
      <c r="A246" s="61">
        <f>'ERROR FINAL'!A249</f>
        <v>241</v>
      </c>
      <c r="B246" s="62">
        <f>'ERROR FINAL'!D249</f>
        <v>3</v>
      </c>
      <c r="C246" s="63">
        <f>'ERROR FINAL'!G249</f>
        <v>0</v>
      </c>
      <c r="D246" s="64">
        <f>'ERROR FINAL'!I249</f>
        <v>0</v>
      </c>
      <c r="E246" s="65">
        <f>'ERROR FINAL'!U249</f>
        <v>-100</v>
      </c>
      <c r="F246" s="66">
        <f>'ERROR FINAL'!AG249</f>
        <v>-100</v>
      </c>
      <c r="G246" s="66">
        <f>'ERROR FINAL'!AS249</f>
        <v>-100</v>
      </c>
      <c r="H246" s="67" t="str">
        <f>IF('ERROR FINAL'!AT249="CONFORME","CONFORME","NO CONFORME")</f>
        <v>NO CONFORME</v>
      </c>
      <c r="I246" s="68" t="str">
        <f t="shared" si="3"/>
        <v>Medición</v>
      </c>
    </row>
    <row r="247" spans="1:9" x14ac:dyDescent="0.25">
      <c r="A247" s="61">
        <f>'ERROR FINAL'!A250</f>
        <v>242</v>
      </c>
      <c r="B247" s="62">
        <f>'ERROR FINAL'!D250</f>
        <v>3</v>
      </c>
      <c r="C247" s="63">
        <f>'ERROR FINAL'!G250</f>
        <v>0</v>
      </c>
      <c r="D247" s="64">
        <f>'ERROR FINAL'!I250</f>
        <v>0</v>
      </c>
      <c r="E247" s="65">
        <f>'ERROR FINAL'!U250</f>
        <v>-100</v>
      </c>
      <c r="F247" s="66">
        <f>'ERROR FINAL'!AG250</f>
        <v>-100</v>
      </c>
      <c r="G247" s="66">
        <f>'ERROR FINAL'!AS250</f>
        <v>-100</v>
      </c>
      <c r="H247" s="67" t="str">
        <f>IF('ERROR FINAL'!AT250="CONFORME","CONFORME","NO CONFORME")</f>
        <v>NO CONFORME</v>
      </c>
      <c r="I247" s="68" t="str">
        <f t="shared" si="3"/>
        <v>Medición</v>
      </c>
    </row>
    <row r="248" spans="1:9" x14ac:dyDescent="0.25">
      <c r="A248" s="61">
        <f>'ERROR FINAL'!A251</f>
        <v>243</v>
      </c>
      <c r="B248" s="62">
        <f>'ERROR FINAL'!D251</f>
        <v>3</v>
      </c>
      <c r="C248" s="63">
        <f>'ERROR FINAL'!G251</f>
        <v>0</v>
      </c>
      <c r="D248" s="64">
        <f>'ERROR FINAL'!I251</f>
        <v>0</v>
      </c>
      <c r="E248" s="65">
        <f>'ERROR FINAL'!U251</f>
        <v>-100</v>
      </c>
      <c r="F248" s="66">
        <f>'ERROR FINAL'!AG251</f>
        <v>-100</v>
      </c>
      <c r="G248" s="66">
        <f>'ERROR FINAL'!AS251</f>
        <v>-100</v>
      </c>
      <c r="H248" s="67" t="str">
        <f>IF('ERROR FINAL'!AT251="CONFORME","CONFORME","NO CONFORME")</f>
        <v>NO CONFORME</v>
      </c>
      <c r="I248" s="68" t="str">
        <f t="shared" si="3"/>
        <v>Medición</v>
      </c>
    </row>
    <row r="249" spans="1:9" x14ac:dyDescent="0.25">
      <c r="A249" s="61">
        <f>'ERROR FINAL'!A252</f>
        <v>244</v>
      </c>
      <c r="B249" s="62">
        <f>'ERROR FINAL'!D252</f>
        <v>3</v>
      </c>
      <c r="C249" s="63">
        <f>'ERROR FINAL'!G252</f>
        <v>0</v>
      </c>
      <c r="D249" s="64">
        <f>'ERROR FINAL'!I252</f>
        <v>0</v>
      </c>
      <c r="E249" s="65">
        <f>'ERROR FINAL'!U252</f>
        <v>-100</v>
      </c>
      <c r="F249" s="66">
        <f>'ERROR FINAL'!AG252</f>
        <v>-100</v>
      </c>
      <c r="G249" s="66">
        <f>'ERROR FINAL'!AS252</f>
        <v>-100</v>
      </c>
      <c r="H249" s="67" t="str">
        <f>IF('ERROR FINAL'!AT252="CONFORME","CONFORME","NO CONFORME")</f>
        <v>NO CONFORME</v>
      </c>
      <c r="I249" s="68" t="str">
        <f t="shared" si="3"/>
        <v>Medición</v>
      </c>
    </row>
    <row r="250" spans="1:9" x14ac:dyDescent="0.25">
      <c r="A250" s="61">
        <f>'ERROR FINAL'!A253</f>
        <v>245</v>
      </c>
      <c r="B250" s="62">
        <f>'ERROR FINAL'!D253</f>
        <v>3</v>
      </c>
      <c r="C250" s="63">
        <f>'ERROR FINAL'!G253</f>
        <v>0</v>
      </c>
      <c r="D250" s="64">
        <f>'ERROR FINAL'!I253</f>
        <v>0</v>
      </c>
      <c r="E250" s="65">
        <f>'ERROR FINAL'!U253</f>
        <v>-100</v>
      </c>
      <c r="F250" s="66">
        <f>'ERROR FINAL'!AG253</f>
        <v>-100</v>
      </c>
      <c r="G250" s="66">
        <f>'ERROR FINAL'!AS253</f>
        <v>-100</v>
      </c>
      <c r="H250" s="67" t="str">
        <f>IF('ERROR FINAL'!AT253="CONFORME","CONFORME","NO CONFORME")</f>
        <v>NO CONFORME</v>
      </c>
      <c r="I250" s="68" t="str">
        <f t="shared" si="3"/>
        <v>Medición</v>
      </c>
    </row>
    <row r="251" spans="1:9" x14ac:dyDescent="0.25">
      <c r="A251" s="61">
        <f>'ERROR FINAL'!A254</f>
        <v>246</v>
      </c>
      <c r="B251" s="62">
        <f>'ERROR FINAL'!D254</f>
        <v>3</v>
      </c>
      <c r="C251" s="63">
        <f>'ERROR FINAL'!G254</f>
        <v>0</v>
      </c>
      <c r="D251" s="64">
        <f>'ERROR FINAL'!I254</f>
        <v>0</v>
      </c>
      <c r="E251" s="65">
        <f>'ERROR FINAL'!U254</f>
        <v>-100</v>
      </c>
      <c r="F251" s="66">
        <f>'ERROR FINAL'!AG254</f>
        <v>-100</v>
      </c>
      <c r="G251" s="66">
        <f>'ERROR FINAL'!AS254</f>
        <v>-100</v>
      </c>
      <c r="H251" s="67" t="str">
        <f>IF('ERROR FINAL'!AT254="CONFORME","CONFORME","NO CONFORME")</f>
        <v>NO CONFORME</v>
      </c>
      <c r="I251" s="68" t="str">
        <f t="shared" si="3"/>
        <v>Medición</v>
      </c>
    </row>
    <row r="252" spans="1:9" x14ac:dyDescent="0.25">
      <c r="A252" s="61">
        <f>'ERROR FINAL'!A255</f>
        <v>247</v>
      </c>
      <c r="B252" s="62">
        <f>'ERROR FINAL'!D255</f>
        <v>3</v>
      </c>
      <c r="C252" s="63">
        <f>'ERROR FINAL'!G255</f>
        <v>0</v>
      </c>
      <c r="D252" s="64">
        <f>'ERROR FINAL'!I255</f>
        <v>0</v>
      </c>
      <c r="E252" s="65">
        <f>'ERROR FINAL'!U255</f>
        <v>-100</v>
      </c>
      <c r="F252" s="66">
        <f>'ERROR FINAL'!AG255</f>
        <v>-100</v>
      </c>
      <c r="G252" s="66">
        <f>'ERROR FINAL'!AS255</f>
        <v>-100</v>
      </c>
      <c r="H252" s="67" t="str">
        <f>IF('ERROR FINAL'!AT255="CONFORME","CONFORME","NO CONFORME")</f>
        <v>NO CONFORME</v>
      </c>
      <c r="I252" s="68" t="str">
        <f t="shared" si="3"/>
        <v>Medición</v>
      </c>
    </row>
    <row r="253" spans="1:9" x14ac:dyDescent="0.25">
      <c r="A253" s="61">
        <f>'ERROR FINAL'!A256</f>
        <v>248</v>
      </c>
      <c r="B253" s="62">
        <f>'ERROR FINAL'!D256</f>
        <v>3</v>
      </c>
      <c r="C253" s="63">
        <f>'ERROR FINAL'!G256</f>
        <v>0</v>
      </c>
      <c r="D253" s="64">
        <f>'ERROR FINAL'!I256</f>
        <v>0</v>
      </c>
      <c r="E253" s="65">
        <f>'ERROR FINAL'!U256</f>
        <v>-100</v>
      </c>
      <c r="F253" s="66">
        <f>'ERROR FINAL'!AG256</f>
        <v>-100</v>
      </c>
      <c r="G253" s="66">
        <f>'ERROR FINAL'!AS256</f>
        <v>-100</v>
      </c>
      <c r="H253" s="67" t="str">
        <f>IF('ERROR FINAL'!AT256="CONFORME","CONFORME","NO CONFORME")</f>
        <v>NO CONFORME</v>
      </c>
      <c r="I253" s="68" t="str">
        <f t="shared" si="3"/>
        <v>Medición</v>
      </c>
    </row>
    <row r="254" spans="1:9" x14ac:dyDescent="0.25">
      <c r="A254" s="61">
        <f>'ERROR FINAL'!A257</f>
        <v>249</v>
      </c>
      <c r="B254" s="62">
        <f>'ERROR FINAL'!D257</f>
        <v>3</v>
      </c>
      <c r="C254" s="63">
        <f>'ERROR FINAL'!G257</f>
        <v>0</v>
      </c>
      <c r="D254" s="64">
        <f>'ERROR FINAL'!I257</f>
        <v>0</v>
      </c>
      <c r="E254" s="65">
        <f>'ERROR FINAL'!U257</f>
        <v>-100</v>
      </c>
      <c r="F254" s="66">
        <f>'ERROR FINAL'!AG257</f>
        <v>-100</v>
      </c>
      <c r="G254" s="66">
        <f>'ERROR FINAL'!AS257</f>
        <v>-100</v>
      </c>
      <c r="H254" s="67" t="str">
        <f>IF('ERROR FINAL'!AT257="CONFORME","CONFORME","NO CONFORME")</f>
        <v>NO CONFORME</v>
      </c>
      <c r="I254" s="68" t="str">
        <f t="shared" si="3"/>
        <v>Medición</v>
      </c>
    </row>
    <row r="255" spans="1:9" x14ac:dyDescent="0.25">
      <c r="A255" s="61">
        <f>'ERROR FINAL'!A258</f>
        <v>250</v>
      </c>
      <c r="B255" s="62">
        <f>'ERROR FINAL'!D258</f>
        <v>3</v>
      </c>
      <c r="C255" s="63">
        <f>'ERROR FINAL'!G258</f>
        <v>0</v>
      </c>
      <c r="D255" s="64">
        <f>'ERROR FINAL'!I258</f>
        <v>0</v>
      </c>
      <c r="E255" s="65">
        <f>'ERROR FINAL'!U258</f>
        <v>-100</v>
      </c>
      <c r="F255" s="66">
        <f>'ERROR FINAL'!AG258</f>
        <v>-100</v>
      </c>
      <c r="G255" s="66">
        <f>'ERROR FINAL'!AS258</f>
        <v>-100</v>
      </c>
      <c r="H255" s="67" t="str">
        <f>IF('ERROR FINAL'!AT258="CONFORME","CONFORME","NO CONFORME")</f>
        <v>NO CONFORME</v>
      </c>
      <c r="I255" s="68" t="str">
        <f t="shared" si="3"/>
        <v>Medición</v>
      </c>
    </row>
    <row r="256" spans="1:9" x14ac:dyDescent="0.25">
      <c r="A256" s="61">
        <f>'ERROR FINAL'!A259</f>
        <v>251</v>
      </c>
      <c r="B256" s="62">
        <f>'ERROR FINAL'!D259</f>
        <v>3</v>
      </c>
      <c r="C256" s="63">
        <f>'ERROR FINAL'!G259</f>
        <v>0</v>
      </c>
      <c r="D256" s="64">
        <f>'ERROR FINAL'!I259</f>
        <v>0</v>
      </c>
      <c r="E256" s="65">
        <f>'ERROR FINAL'!U259</f>
        <v>-100</v>
      </c>
      <c r="F256" s="66">
        <f>'ERROR FINAL'!AG259</f>
        <v>-100</v>
      </c>
      <c r="G256" s="66">
        <f>'ERROR FINAL'!AS259</f>
        <v>-100</v>
      </c>
      <c r="H256" s="67" t="str">
        <f>IF('ERROR FINAL'!AT259="CONFORME","CONFORME","NO CONFORME")</f>
        <v>NO CONFORME</v>
      </c>
      <c r="I256" s="68" t="str">
        <f t="shared" si="3"/>
        <v>Medición</v>
      </c>
    </row>
    <row r="257" spans="1:9" x14ac:dyDescent="0.25">
      <c r="A257" s="61">
        <f>'ERROR FINAL'!A260</f>
        <v>252</v>
      </c>
      <c r="B257" s="62">
        <f>'ERROR FINAL'!D260</f>
        <v>3</v>
      </c>
      <c r="C257" s="63">
        <f>'ERROR FINAL'!G260</f>
        <v>0</v>
      </c>
      <c r="D257" s="64">
        <f>'ERROR FINAL'!I260</f>
        <v>0</v>
      </c>
      <c r="E257" s="65">
        <f>'ERROR FINAL'!U260</f>
        <v>-100</v>
      </c>
      <c r="F257" s="66">
        <f>'ERROR FINAL'!AG260</f>
        <v>-100</v>
      </c>
      <c r="G257" s="66">
        <f>'ERROR FINAL'!AS260</f>
        <v>-100</v>
      </c>
      <c r="H257" s="67" t="str">
        <f>IF('ERROR FINAL'!AT260="CONFORME","CONFORME","NO CONFORME")</f>
        <v>NO CONFORME</v>
      </c>
      <c r="I257" s="68" t="str">
        <f t="shared" si="3"/>
        <v>Medición</v>
      </c>
    </row>
    <row r="258" spans="1:9" x14ac:dyDescent="0.25">
      <c r="A258" s="61">
        <f>'ERROR FINAL'!A261</f>
        <v>253</v>
      </c>
      <c r="B258" s="62">
        <f>'ERROR FINAL'!D261</f>
        <v>3</v>
      </c>
      <c r="C258" s="63">
        <f>'ERROR FINAL'!G261</f>
        <v>0</v>
      </c>
      <c r="D258" s="64">
        <f>'ERROR FINAL'!I261</f>
        <v>0</v>
      </c>
      <c r="E258" s="65">
        <f>'ERROR FINAL'!U261</f>
        <v>-100</v>
      </c>
      <c r="F258" s="66">
        <f>'ERROR FINAL'!AG261</f>
        <v>-100</v>
      </c>
      <c r="G258" s="66">
        <f>'ERROR FINAL'!AS261</f>
        <v>-100</v>
      </c>
      <c r="H258" s="67" t="str">
        <f>IF('ERROR FINAL'!AT261="CONFORME","CONFORME","NO CONFORME")</f>
        <v>NO CONFORME</v>
      </c>
      <c r="I258" s="68" t="str">
        <f t="shared" si="3"/>
        <v>Medición</v>
      </c>
    </row>
    <row r="259" spans="1:9" x14ac:dyDescent="0.25">
      <c r="A259" s="61">
        <f>'ERROR FINAL'!A262</f>
        <v>254</v>
      </c>
      <c r="B259" s="62">
        <f>'ERROR FINAL'!D262</f>
        <v>3</v>
      </c>
      <c r="C259" s="63">
        <f>'ERROR FINAL'!G262</f>
        <v>0</v>
      </c>
      <c r="D259" s="64">
        <f>'ERROR FINAL'!I262</f>
        <v>0</v>
      </c>
      <c r="E259" s="65">
        <f>'ERROR FINAL'!U262</f>
        <v>-100</v>
      </c>
      <c r="F259" s="66">
        <f>'ERROR FINAL'!AG262</f>
        <v>-100</v>
      </c>
      <c r="G259" s="66">
        <f>'ERROR FINAL'!AS262</f>
        <v>-100</v>
      </c>
      <c r="H259" s="67" t="str">
        <f>IF('ERROR FINAL'!AT262="CONFORME","CONFORME","NO CONFORME")</f>
        <v>NO CONFORME</v>
      </c>
      <c r="I259" s="68" t="str">
        <f t="shared" si="3"/>
        <v>Medición</v>
      </c>
    </row>
    <row r="260" spans="1:9" x14ac:dyDescent="0.25">
      <c r="A260" s="61">
        <f>'ERROR FINAL'!A263</f>
        <v>255</v>
      </c>
      <c r="B260" s="62">
        <f>'ERROR FINAL'!D263</f>
        <v>3</v>
      </c>
      <c r="C260" s="63">
        <f>'ERROR FINAL'!G263</f>
        <v>0</v>
      </c>
      <c r="D260" s="64">
        <f>'ERROR FINAL'!I263</f>
        <v>0</v>
      </c>
      <c r="E260" s="65">
        <f>'ERROR FINAL'!U263</f>
        <v>-100</v>
      </c>
      <c r="F260" s="66">
        <f>'ERROR FINAL'!AG263</f>
        <v>-100</v>
      </c>
      <c r="G260" s="66">
        <f>'ERROR FINAL'!AS263</f>
        <v>-100</v>
      </c>
      <c r="H260" s="67" t="str">
        <f>IF('ERROR FINAL'!AT263="CONFORME","CONFORME","NO CONFORME")</f>
        <v>NO CONFORME</v>
      </c>
      <c r="I260" s="68" t="str">
        <f t="shared" si="3"/>
        <v>Medición</v>
      </c>
    </row>
    <row r="261" spans="1:9" x14ac:dyDescent="0.25">
      <c r="A261" s="61">
        <f>'ERROR FINAL'!A264</f>
        <v>256</v>
      </c>
      <c r="B261" s="62">
        <f>'ERROR FINAL'!D264</f>
        <v>3</v>
      </c>
      <c r="C261" s="63">
        <f>'ERROR FINAL'!G264</f>
        <v>0</v>
      </c>
      <c r="D261" s="64">
        <f>'ERROR FINAL'!I264</f>
        <v>0</v>
      </c>
      <c r="E261" s="65">
        <f>'ERROR FINAL'!U264</f>
        <v>-100</v>
      </c>
      <c r="F261" s="66">
        <f>'ERROR FINAL'!AG264</f>
        <v>-100</v>
      </c>
      <c r="G261" s="66">
        <f>'ERROR FINAL'!AS264</f>
        <v>-100</v>
      </c>
      <c r="H261" s="67" t="str">
        <f>IF('ERROR FINAL'!AT264="CONFORME","CONFORME","NO CONFORME")</f>
        <v>NO CONFORME</v>
      </c>
      <c r="I261" s="68" t="str">
        <f t="shared" si="3"/>
        <v>Medición</v>
      </c>
    </row>
    <row r="262" spans="1:9" x14ac:dyDescent="0.25">
      <c r="A262" s="61">
        <f>'ERROR FINAL'!A265</f>
        <v>257</v>
      </c>
      <c r="B262" s="62">
        <f>'ERROR FINAL'!D265</f>
        <v>3</v>
      </c>
      <c r="C262" s="63">
        <f>'ERROR FINAL'!G265</f>
        <v>0</v>
      </c>
      <c r="D262" s="64">
        <f>'ERROR FINAL'!I265</f>
        <v>0</v>
      </c>
      <c r="E262" s="65">
        <f>'ERROR FINAL'!U265</f>
        <v>-100</v>
      </c>
      <c r="F262" s="66">
        <f>'ERROR FINAL'!AG265</f>
        <v>-100</v>
      </c>
      <c r="G262" s="66">
        <f>'ERROR FINAL'!AS265</f>
        <v>-100</v>
      </c>
      <c r="H262" s="67" t="str">
        <f>IF('ERROR FINAL'!AT265="CONFORME","CONFORME","NO CONFORME")</f>
        <v>NO CONFORME</v>
      </c>
      <c r="I262" s="68" t="str">
        <f t="shared" si="3"/>
        <v>Medición</v>
      </c>
    </row>
    <row r="263" spans="1:9" x14ac:dyDescent="0.25">
      <c r="A263" s="61">
        <f>'ERROR FINAL'!A266</f>
        <v>258</v>
      </c>
      <c r="B263" s="62">
        <f>'ERROR FINAL'!D266</f>
        <v>3</v>
      </c>
      <c r="C263" s="63">
        <f>'ERROR FINAL'!G266</f>
        <v>0</v>
      </c>
      <c r="D263" s="64">
        <f>'ERROR FINAL'!I266</f>
        <v>0</v>
      </c>
      <c r="E263" s="65">
        <f>'ERROR FINAL'!U266</f>
        <v>-100</v>
      </c>
      <c r="F263" s="66">
        <f>'ERROR FINAL'!AG266</f>
        <v>-100</v>
      </c>
      <c r="G263" s="66">
        <f>'ERROR FINAL'!AS266</f>
        <v>-100</v>
      </c>
      <c r="H263" s="67" t="str">
        <f>IF('ERROR FINAL'!AT266="CONFORME","CONFORME","NO CONFORME")</f>
        <v>NO CONFORME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FINAL'!A267</f>
        <v>259</v>
      </c>
      <c r="B264" s="62">
        <f>'ERROR FINAL'!D267</f>
        <v>3</v>
      </c>
      <c r="C264" s="63">
        <f>'ERROR FINAL'!G267</f>
        <v>0</v>
      </c>
      <c r="D264" s="64">
        <f>'ERROR FINAL'!I267</f>
        <v>0</v>
      </c>
      <c r="E264" s="65">
        <f>'ERROR FINAL'!U267</f>
        <v>-100</v>
      </c>
      <c r="F264" s="66">
        <f>'ERROR FINAL'!AG267</f>
        <v>-100</v>
      </c>
      <c r="G264" s="66">
        <f>'ERROR FINAL'!AS267</f>
        <v>-100</v>
      </c>
      <c r="H264" s="67" t="str">
        <f>IF('ERROR FINAL'!AT267="CONFORME","CONFORME","NO CONFORME")</f>
        <v>NO CONFORME</v>
      </c>
      <c r="I264" s="68" t="str">
        <f t="shared" si="4"/>
        <v>Medición</v>
      </c>
    </row>
    <row r="265" spans="1:9" x14ac:dyDescent="0.25">
      <c r="A265" s="61">
        <f>'ERROR FINAL'!A268</f>
        <v>260</v>
      </c>
      <c r="B265" s="62">
        <f>'ERROR FINAL'!D268</f>
        <v>3</v>
      </c>
      <c r="C265" s="63">
        <f>'ERROR FINAL'!G268</f>
        <v>0</v>
      </c>
      <c r="D265" s="64">
        <f>'ERROR FINAL'!I268</f>
        <v>0</v>
      </c>
      <c r="E265" s="65">
        <f>'ERROR FINAL'!U268</f>
        <v>-100</v>
      </c>
      <c r="F265" s="66">
        <f>'ERROR FINAL'!AG268</f>
        <v>-100</v>
      </c>
      <c r="G265" s="66">
        <f>'ERROR FINAL'!AS268</f>
        <v>-100</v>
      </c>
      <c r="H265" s="67" t="str">
        <f>IF('ERROR FINAL'!AT268="CONFORME","CONFORME","NO CONFORME")</f>
        <v>NO CONFORME</v>
      </c>
      <c r="I265" s="68" t="str">
        <f t="shared" si="4"/>
        <v>Medición</v>
      </c>
    </row>
    <row r="266" spans="1:9" x14ac:dyDescent="0.25">
      <c r="A266" s="61">
        <f>'ERROR FINAL'!A269</f>
        <v>261</v>
      </c>
      <c r="B266" s="62">
        <f>'ERROR FINAL'!D269</f>
        <v>3</v>
      </c>
      <c r="C266" s="63">
        <f>'ERROR FINAL'!G269</f>
        <v>0</v>
      </c>
      <c r="D266" s="64">
        <f>'ERROR FINAL'!I269</f>
        <v>0</v>
      </c>
      <c r="E266" s="65">
        <f>'ERROR FINAL'!U269</f>
        <v>-100</v>
      </c>
      <c r="F266" s="66">
        <f>'ERROR FINAL'!AG269</f>
        <v>-100</v>
      </c>
      <c r="G266" s="66">
        <f>'ERROR FINAL'!AS269</f>
        <v>-100</v>
      </c>
      <c r="H266" s="67" t="str">
        <f>IF('ERROR FINAL'!AT269="CONFORME","CONFORME","NO CONFORME")</f>
        <v>NO CONFORME</v>
      </c>
      <c r="I266" s="68" t="str">
        <f t="shared" si="4"/>
        <v>Medición</v>
      </c>
    </row>
    <row r="267" spans="1:9" x14ac:dyDescent="0.25">
      <c r="A267" s="61">
        <f>'ERROR FINAL'!A270</f>
        <v>262</v>
      </c>
      <c r="B267" s="62">
        <f>'ERROR FINAL'!D270</f>
        <v>3</v>
      </c>
      <c r="C267" s="63">
        <f>'ERROR FINAL'!G270</f>
        <v>0</v>
      </c>
      <c r="D267" s="64">
        <f>'ERROR FINAL'!I270</f>
        <v>0</v>
      </c>
      <c r="E267" s="65">
        <f>'ERROR FINAL'!U270</f>
        <v>-100</v>
      </c>
      <c r="F267" s="66">
        <f>'ERROR FINAL'!AG270</f>
        <v>-100</v>
      </c>
      <c r="G267" s="66">
        <f>'ERROR FINAL'!AS270</f>
        <v>-100</v>
      </c>
      <c r="H267" s="67" t="str">
        <f>IF('ERROR FINAL'!AT270="CONFORME","CONFORME","NO CONFORME")</f>
        <v>NO CONFORME</v>
      </c>
      <c r="I267" s="68" t="str">
        <f t="shared" si="4"/>
        <v>Medición</v>
      </c>
    </row>
    <row r="268" spans="1:9" x14ac:dyDescent="0.25">
      <c r="A268" s="61">
        <f>'ERROR FINAL'!A271</f>
        <v>263</v>
      </c>
      <c r="B268" s="62">
        <f>'ERROR FINAL'!D271</f>
        <v>3</v>
      </c>
      <c r="C268" s="63">
        <f>'ERROR FINAL'!G271</f>
        <v>0</v>
      </c>
      <c r="D268" s="64">
        <f>'ERROR FINAL'!I271</f>
        <v>0</v>
      </c>
      <c r="E268" s="65">
        <f>'ERROR FINAL'!U271</f>
        <v>-100</v>
      </c>
      <c r="F268" s="66">
        <f>'ERROR FINAL'!AG271</f>
        <v>-100</v>
      </c>
      <c r="G268" s="66">
        <f>'ERROR FINAL'!AS271</f>
        <v>-100</v>
      </c>
      <c r="H268" s="67" t="str">
        <f>IF('ERROR FINAL'!AT271="CONFORME","CONFORME","NO CONFORME")</f>
        <v>NO CONFORME</v>
      </c>
      <c r="I268" s="68" t="str">
        <f t="shared" si="4"/>
        <v>Medición</v>
      </c>
    </row>
    <row r="269" spans="1:9" x14ac:dyDescent="0.25">
      <c r="A269" s="61">
        <f>'ERROR FINAL'!A272</f>
        <v>264</v>
      </c>
      <c r="B269" s="62">
        <f>'ERROR FINAL'!D272</f>
        <v>3</v>
      </c>
      <c r="C269" s="63">
        <f>'ERROR FINAL'!G272</f>
        <v>0</v>
      </c>
      <c r="D269" s="64">
        <f>'ERROR FINAL'!I272</f>
        <v>0</v>
      </c>
      <c r="E269" s="65">
        <f>'ERROR FINAL'!U272</f>
        <v>-100</v>
      </c>
      <c r="F269" s="66">
        <f>'ERROR FINAL'!AG272</f>
        <v>-100</v>
      </c>
      <c r="G269" s="66">
        <f>'ERROR FINAL'!AS272</f>
        <v>-100</v>
      </c>
      <c r="H269" s="67" t="str">
        <f>IF('ERROR FINAL'!AT272="CONFORME","CONFORME","NO CONFORME")</f>
        <v>NO CONFORME</v>
      </c>
      <c r="I269" s="68" t="str">
        <f t="shared" si="4"/>
        <v>Medición</v>
      </c>
    </row>
    <row r="270" spans="1:9" x14ac:dyDescent="0.25">
      <c r="A270" s="61">
        <f>'ERROR FINAL'!A273</f>
        <v>265</v>
      </c>
      <c r="B270" s="62">
        <f>'ERROR FINAL'!D273</f>
        <v>3</v>
      </c>
      <c r="C270" s="63">
        <f>'ERROR FINAL'!G273</f>
        <v>0</v>
      </c>
      <c r="D270" s="64">
        <f>'ERROR FINAL'!I273</f>
        <v>0</v>
      </c>
      <c r="E270" s="65">
        <f>'ERROR FINAL'!U273</f>
        <v>-100</v>
      </c>
      <c r="F270" s="66">
        <f>'ERROR FINAL'!AG273</f>
        <v>-100</v>
      </c>
      <c r="G270" s="66">
        <f>'ERROR FINAL'!AS273</f>
        <v>-100</v>
      </c>
      <c r="H270" s="67" t="str">
        <f>IF('ERROR FINAL'!AT273="CONFORME","CONFORME","NO CONFORME")</f>
        <v>NO CONFORME</v>
      </c>
      <c r="I270" s="68" t="str">
        <f t="shared" si="4"/>
        <v>Medición</v>
      </c>
    </row>
    <row r="271" spans="1:9" x14ac:dyDescent="0.25">
      <c r="A271" s="61">
        <f>'ERROR FINAL'!A274</f>
        <v>266</v>
      </c>
      <c r="B271" s="62">
        <f>'ERROR FINAL'!D274</f>
        <v>3</v>
      </c>
      <c r="C271" s="63">
        <f>'ERROR FINAL'!G274</f>
        <v>0</v>
      </c>
      <c r="D271" s="64">
        <f>'ERROR FINAL'!I274</f>
        <v>0</v>
      </c>
      <c r="E271" s="65">
        <f>'ERROR FINAL'!U274</f>
        <v>-100</v>
      </c>
      <c r="F271" s="66">
        <f>'ERROR FINAL'!AG274</f>
        <v>-100</v>
      </c>
      <c r="G271" s="66">
        <f>'ERROR FINAL'!AS274</f>
        <v>-100</v>
      </c>
      <c r="H271" s="67" t="str">
        <f>IF('ERROR FINAL'!AT274="CONFORME","CONFORME","NO CONFORME")</f>
        <v>NO CONFORME</v>
      </c>
      <c r="I271" s="68" t="str">
        <f t="shared" si="4"/>
        <v>Medición</v>
      </c>
    </row>
    <row r="272" spans="1:9" x14ac:dyDescent="0.25">
      <c r="A272" s="61">
        <f>'ERROR FINAL'!A275</f>
        <v>267</v>
      </c>
      <c r="B272" s="62">
        <f>'ERROR FINAL'!D275</f>
        <v>3</v>
      </c>
      <c r="C272" s="63">
        <f>'ERROR FINAL'!G275</f>
        <v>0</v>
      </c>
      <c r="D272" s="64">
        <f>'ERROR FINAL'!I275</f>
        <v>0</v>
      </c>
      <c r="E272" s="65">
        <f>'ERROR FINAL'!U275</f>
        <v>-100</v>
      </c>
      <c r="F272" s="66">
        <f>'ERROR FINAL'!AG275</f>
        <v>-100</v>
      </c>
      <c r="G272" s="66">
        <f>'ERROR FINAL'!AS275</f>
        <v>-100</v>
      </c>
      <c r="H272" s="67" t="str">
        <f>IF('ERROR FINAL'!AT275="CONFORME","CONFORME","NO CONFORME")</f>
        <v>NO CONFORME</v>
      </c>
      <c r="I272" s="68" t="str">
        <f t="shared" si="4"/>
        <v>Medición</v>
      </c>
    </row>
    <row r="273" spans="1:9" x14ac:dyDescent="0.25">
      <c r="A273" s="61">
        <f>'ERROR FINAL'!A276</f>
        <v>268</v>
      </c>
      <c r="B273" s="62">
        <f>'ERROR FINAL'!D276</f>
        <v>3</v>
      </c>
      <c r="C273" s="63">
        <f>'ERROR FINAL'!G276</f>
        <v>0</v>
      </c>
      <c r="D273" s="64">
        <f>'ERROR FINAL'!I276</f>
        <v>0</v>
      </c>
      <c r="E273" s="65">
        <f>'ERROR FINAL'!U276</f>
        <v>-100</v>
      </c>
      <c r="F273" s="66">
        <f>'ERROR FINAL'!AG276</f>
        <v>-100</v>
      </c>
      <c r="G273" s="66">
        <f>'ERROR FINAL'!AS276</f>
        <v>-100</v>
      </c>
      <c r="H273" s="67" t="str">
        <f>IF('ERROR FINAL'!AT276="CONFORME","CONFORME","NO CONFORME")</f>
        <v>NO CONFORME</v>
      </c>
      <c r="I273" s="68" t="str">
        <f t="shared" si="4"/>
        <v>Medición</v>
      </c>
    </row>
    <row r="274" spans="1:9" x14ac:dyDescent="0.25">
      <c r="A274" s="61">
        <f>'ERROR FINAL'!A277</f>
        <v>269</v>
      </c>
      <c r="B274" s="62">
        <f>'ERROR FINAL'!D277</f>
        <v>3</v>
      </c>
      <c r="C274" s="63">
        <f>'ERROR FINAL'!G277</f>
        <v>0</v>
      </c>
      <c r="D274" s="64">
        <f>'ERROR FINAL'!I277</f>
        <v>0</v>
      </c>
      <c r="E274" s="65">
        <f>'ERROR FINAL'!U277</f>
        <v>-100</v>
      </c>
      <c r="F274" s="66">
        <f>'ERROR FINAL'!AG277</f>
        <v>-100</v>
      </c>
      <c r="G274" s="66">
        <f>'ERROR FINAL'!AS277</f>
        <v>-100</v>
      </c>
      <c r="H274" s="67" t="str">
        <f>IF('ERROR FINAL'!AT277="CONFORME","CONFORME","NO CONFORME")</f>
        <v>NO CONFORME</v>
      </c>
      <c r="I274" s="68" t="str">
        <f t="shared" si="4"/>
        <v>Medición</v>
      </c>
    </row>
    <row r="275" spans="1:9" x14ac:dyDescent="0.25">
      <c r="A275" s="61">
        <f>'ERROR FINAL'!A278</f>
        <v>270</v>
      </c>
      <c r="B275" s="62">
        <f>'ERROR FINAL'!D278</f>
        <v>3</v>
      </c>
      <c r="C275" s="63">
        <f>'ERROR FINAL'!G278</f>
        <v>0</v>
      </c>
      <c r="D275" s="64">
        <f>'ERROR FINAL'!I278</f>
        <v>0</v>
      </c>
      <c r="E275" s="65">
        <f>'ERROR FINAL'!U278</f>
        <v>-100</v>
      </c>
      <c r="F275" s="66">
        <f>'ERROR FINAL'!AG278</f>
        <v>-100</v>
      </c>
      <c r="G275" s="66">
        <f>'ERROR FINAL'!AS278</f>
        <v>-100</v>
      </c>
      <c r="H275" s="67" t="str">
        <f>IF('ERROR FINAL'!AT278="CONFORME","CONFORME","NO CONFORME")</f>
        <v>NO CONFORME</v>
      </c>
      <c r="I275" s="68" t="str">
        <f t="shared" si="4"/>
        <v>Medición</v>
      </c>
    </row>
    <row r="276" spans="1:9" x14ac:dyDescent="0.25">
      <c r="A276" s="61">
        <f>'ERROR FINAL'!A279</f>
        <v>271</v>
      </c>
      <c r="B276" s="62">
        <f>'ERROR FINAL'!D279</f>
        <v>3</v>
      </c>
      <c r="C276" s="63">
        <f>'ERROR FINAL'!G279</f>
        <v>0</v>
      </c>
      <c r="D276" s="64">
        <f>'ERROR FINAL'!I279</f>
        <v>0</v>
      </c>
      <c r="E276" s="65">
        <f>'ERROR FINAL'!U279</f>
        <v>-100</v>
      </c>
      <c r="F276" s="66">
        <f>'ERROR FINAL'!AG279</f>
        <v>-100</v>
      </c>
      <c r="G276" s="66">
        <f>'ERROR FINAL'!AS279</f>
        <v>-100</v>
      </c>
      <c r="H276" s="67" t="str">
        <f>IF('ERROR FINAL'!AT279="CONFORME","CONFORME","NO CONFORME")</f>
        <v>NO CONFORME</v>
      </c>
      <c r="I276" s="68" t="str">
        <f t="shared" si="4"/>
        <v>Medición</v>
      </c>
    </row>
    <row r="277" spans="1:9" x14ac:dyDescent="0.25">
      <c r="A277" s="61">
        <f>'ERROR FINAL'!A280</f>
        <v>272</v>
      </c>
      <c r="B277" s="62">
        <f>'ERROR FINAL'!D280</f>
        <v>3</v>
      </c>
      <c r="C277" s="63">
        <f>'ERROR FINAL'!G280</f>
        <v>0</v>
      </c>
      <c r="D277" s="64">
        <f>'ERROR FINAL'!I280</f>
        <v>0</v>
      </c>
      <c r="E277" s="65">
        <f>'ERROR FINAL'!U280</f>
        <v>-100</v>
      </c>
      <c r="F277" s="66">
        <f>'ERROR FINAL'!AG280</f>
        <v>-100</v>
      </c>
      <c r="G277" s="66">
        <f>'ERROR FINAL'!AS280</f>
        <v>-100</v>
      </c>
      <c r="H277" s="67" t="str">
        <f>IF('ERROR FINAL'!AT280="CONFORME","CONFORME","NO CONFORME")</f>
        <v>NO CONFORME</v>
      </c>
      <c r="I277" s="68" t="str">
        <f t="shared" si="4"/>
        <v>Medición</v>
      </c>
    </row>
    <row r="278" spans="1:9" x14ac:dyDescent="0.25">
      <c r="A278" s="61">
        <f>'ERROR FINAL'!A281</f>
        <v>273</v>
      </c>
      <c r="B278" s="62">
        <f>'ERROR FINAL'!D281</f>
        <v>3</v>
      </c>
      <c r="C278" s="63">
        <f>'ERROR FINAL'!G281</f>
        <v>0</v>
      </c>
      <c r="D278" s="64">
        <f>'ERROR FINAL'!I281</f>
        <v>0</v>
      </c>
      <c r="E278" s="65">
        <f>'ERROR FINAL'!U281</f>
        <v>-100</v>
      </c>
      <c r="F278" s="66">
        <f>'ERROR FINAL'!AG281</f>
        <v>-100</v>
      </c>
      <c r="G278" s="66">
        <f>'ERROR FINAL'!AS281</f>
        <v>-100</v>
      </c>
      <c r="H278" s="67" t="str">
        <f>IF('ERROR FINAL'!AT281="CONFORME","CONFORME","NO CONFORME")</f>
        <v>NO CONFORME</v>
      </c>
      <c r="I278" s="68" t="str">
        <f t="shared" si="4"/>
        <v>Medición</v>
      </c>
    </row>
    <row r="279" spans="1:9" x14ac:dyDescent="0.25">
      <c r="A279" s="61">
        <f>'ERROR FINAL'!A282</f>
        <v>274</v>
      </c>
      <c r="B279" s="62">
        <f>'ERROR FINAL'!D282</f>
        <v>3</v>
      </c>
      <c r="C279" s="63">
        <f>'ERROR FINAL'!G282</f>
        <v>0</v>
      </c>
      <c r="D279" s="64">
        <f>'ERROR FINAL'!I282</f>
        <v>0</v>
      </c>
      <c r="E279" s="65">
        <f>'ERROR FINAL'!U282</f>
        <v>-100</v>
      </c>
      <c r="F279" s="66">
        <f>'ERROR FINAL'!AG282</f>
        <v>-100</v>
      </c>
      <c r="G279" s="66">
        <f>'ERROR FINAL'!AS282</f>
        <v>-100</v>
      </c>
      <c r="H279" s="67" t="str">
        <f>IF('ERROR FINAL'!AT282="CONFORME","CONFORME","NO CONFORME")</f>
        <v>NO CONFORME</v>
      </c>
      <c r="I279" s="68" t="str">
        <f t="shared" si="4"/>
        <v>Medición</v>
      </c>
    </row>
    <row r="280" spans="1:9" x14ac:dyDescent="0.25">
      <c r="A280" s="61">
        <f>'ERROR FINAL'!A283</f>
        <v>275</v>
      </c>
      <c r="B280" s="62">
        <f>'ERROR FINAL'!D283</f>
        <v>3</v>
      </c>
      <c r="C280" s="63">
        <f>'ERROR FINAL'!G283</f>
        <v>0</v>
      </c>
      <c r="D280" s="64">
        <f>'ERROR FINAL'!I283</f>
        <v>0</v>
      </c>
      <c r="E280" s="65">
        <f>'ERROR FINAL'!U283</f>
        <v>-100</v>
      </c>
      <c r="F280" s="66">
        <f>'ERROR FINAL'!AG283</f>
        <v>-100</v>
      </c>
      <c r="G280" s="66">
        <f>'ERROR FINAL'!AS283</f>
        <v>-100</v>
      </c>
      <c r="H280" s="67" t="str">
        <f>IF('ERROR FINAL'!AT283="CONFORME","CONFORME","NO CONFORME")</f>
        <v>NO CONFORME</v>
      </c>
      <c r="I280" s="68" t="str">
        <f t="shared" si="4"/>
        <v>Medición</v>
      </c>
    </row>
    <row r="281" spans="1:9" x14ac:dyDescent="0.25">
      <c r="A281" s="61">
        <f>'ERROR FINAL'!A284</f>
        <v>276</v>
      </c>
      <c r="B281" s="62">
        <f>'ERROR FINAL'!D284</f>
        <v>3</v>
      </c>
      <c r="C281" s="63">
        <f>'ERROR FINAL'!G284</f>
        <v>0</v>
      </c>
      <c r="D281" s="64">
        <f>'ERROR FINAL'!I284</f>
        <v>0</v>
      </c>
      <c r="E281" s="65">
        <f>'ERROR FINAL'!U284</f>
        <v>-100</v>
      </c>
      <c r="F281" s="66">
        <f>'ERROR FINAL'!AG284</f>
        <v>-100</v>
      </c>
      <c r="G281" s="66">
        <f>'ERROR FINAL'!AS284</f>
        <v>-100</v>
      </c>
      <c r="H281" s="67" t="str">
        <f>IF('ERROR FINAL'!AT284="CONFORME","CONFORME","NO CONFORME")</f>
        <v>NO CONFORME</v>
      </c>
      <c r="I281" s="68" t="str">
        <f t="shared" si="4"/>
        <v>Medición</v>
      </c>
    </row>
    <row r="282" spans="1:9" x14ac:dyDescent="0.25">
      <c r="A282" s="61">
        <f>'ERROR FINAL'!A285</f>
        <v>277</v>
      </c>
      <c r="B282" s="62">
        <f>'ERROR FINAL'!D285</f>
        <v>3</v>
      </c>
      <c r="C282" s="63">
        <f>'ERROR FINAL'!G285</f>
        <v>0</v>
      </c>
      <c r="D282" s="64">
        <f>'ERROR FINAL'!I285</f>
        <v>0</v>
      </c>
      <c r="E282" s="65">
        <f>'ERROR FINAL'!U285</f>
        <v>-100</v>
      </c>
      <c r="F282" s="66">
        <f>'ERROR FINAL'!AG285</f>
        <v>-100</v>
      </c>
      <c r="G282" s="66">
        <f>'ERROR FINAL'!AS285</f>
        <v>-100</v>
      </c>
      <c r="H282" s="67" t="str">
        <f>IF('ERROR FINAL'!AT285="CONFORME","CONFORME","NO CONFORME")</f>
        <v>NO CONFORME</v>
      </c>
      <c r="I282" s="68" t="str">
        <f t="shared" si="4"/>
        <v>Medición</v>
      </c>
    </row>
    <row r="283" spans="1:9" x14ac:dyDescent="0.25">
      <c r="A283" s="61">
        <f>'ERROR FINAL'!A286</f>
        <v>278</v>
      </c>
      <c r="B283" s="62">
        <f>'ERROR FINAL'!D286</f>
        <v>3</v>
      </c>
      <c r="C283" s="63">
        <f>'ERROR FINAL'!G286</f>
        <v>0</v>
      </c>
      <c r="D283" s="64">
        <f>'ERROR FINAL'!I286</f>
        <v>0</v>
      </c>
      <c r="E283" s="65">
        <f>'ERROR FINAL'!U286</f>
        <v>-100</v>
      </c>
      <c r="F283" s="66">
        <f>'ERROR FINAL'!AG286</f>
        <v>-100</v>
      </c>
      <c r="G283" s="66">
        <f>'ERROR FINAL'!AS286</f>
        <v>-100</v>
      </c>
      <c r="H283" s="67" t="str">
        <f>IF('ERROR FINAL'!AT286="CONFORME","CONFORME","NO CONFORME")</f>
        <v>NO CONFORME</v>
      </c>
      <c r="I283" s="68" t="str">
        <f t="shared" si="4"/>
        <v>Medición</v>
      </c>
    </row>
    <row r="284" spans="1:9" x14ac:dyDescent="0.25">
      <c r="A284" s="61">
        <f>'ERROR FINAL'!A287</f>
        <v>279</v>
      </c>
      <c r="B284" s="62">
        <f>'ERROR FINAL'!D287</f>
        <v>3</v>
      </c>
      <c r="C284" s="63">
        <f>'ERROR FINAL'!G287</f>
        <v>0</v>
      </c>
      <c r="D284" s="64">
        <f>'ERROR FINAL'!I287</f>
        <v>0</v>
      </c>
      <c r="E284" s="65">
        <f>'ERROR FINAL'!U287</f>
        <v>-100</v>
      </c>
      <c r="F284" s="66">
        <f>'ERROR FINAL'!AG287</f>
        <v>-100</v>
      </c>
      <c r="G284" s="66">
        <f>'ERROR FINAL'!AS287</f>
        <v>-100</v>
      </c>
      <c r="H284" s="67" t="str">
        <f>IF('ERROR FINAL'!AT287="CONFORME","CONFORME","NO CONFORME")</f>
        <v>NO CONFORME</v>
      </c>
      <c r="I284" s="68" t="str">
        <f t="shared" si="4"/>
        <v>Medición</v>
      </c>
    </row>
    <row r="285" spans="1:9" x14ac:dyDescent="0.25">
      <c r="A285" s="61">
        <f>'ERROR FINAL'!A288</f>
        <v>280</v>
      </c>
      <c r="B285" s="62">
        <f>'ERROR FINAL'!D288</f>
        <v>3</v>
      </c>
      <c r="C285" s="63">
        <f>'ERROR FINAL'!G288</f>
        <v>0</v>
      </c>
      <c r="D285" s="64">
        <f>'ERROR FINAL'!I288</f>
        <v>0</v>
      </c>
      <c r="E285" s="65">
        <f>'ERROR FINAL'!U288</f>
        <v>-100</v>
      </c>
      <c r="F285" s="66">
        <f>'ERROR FINAL'!AG288</f>
        <v>-100</v>
      </c>
      <c r="G285" s="66">
        <f>'ERROR FINAL'!AS288</f>
        <v>-100</v>
      </c>
      <c r="H285" s="67" t="str">
        <f>IF('ERROR FINAL'!AT288="CONFORME","CONFORME","NO CONFORME")</f>
        <v>NO CONFORME</v>
      </c>
      <c r="I285" s="68" t="str">
        <f t="shared" si="4"/>
        <v>Medición</v>
      </c>
    </row>
    <row r="286" spans="1:9" x14ac:dyDescent="0.25">
      <c r="A286" s="61">
        <f>'ERROR FINAL'!A289</f>
        <v>281</v>
      </c>
      <c r="B286" s="62">
        <f>'ERROR FINAL'!D289</f>
        <v>3</v>
      </c>
      <c r="C286" s="63">
        <f>'ERROR FINAL'!G289</f>
        <v>0</v>
      </c>
      <c r="D286" s="64">
        <f>'ERROR FINAL'!I289</f>
        <v>0</v>
      </c>
      <c r="E286" s="65">
        <f>'ERROR FINAL'!U289</f>
        <v>-100</v>
      </c>
      <c r="F286" s="66">
        <f>'ERROR FINAL'!AG289</f>
        <v>-100</v>
      </c>
      <c r="G286" s="66">
        <f>'ERROR FINAL'!AS289</f>
        <v>-100</v>
      </c>
      <c r="H286" s="67" t="str">
        <f>IF('ERROR FINAL'!AT289="CONFORME","CONFORME","NO CONFORME")</f>
        <v>NO CONFORME</v>
      </c>
      <c r="I286" s="68" t="str">
        <f t="shared" si="4"/>
        <v>Medición</v>
      </c>
    </row>
    <row r="287" spans="1:9" x14ac:dyDescent="0.25">
      <c r="A287" s="61">
        <f>'ERROR FINAL'!A290</f>
        <v>282</v>
      </c>
      <c r="B287" s="62">
        <f>'ERROR FINAL'!D290</f>
        <v>3</v>
      </c>
      <c r="C287" s="63">
        <f>'ERROR FINAL'!G290</f>
        <v>0</v>
      </c>
      <c r="D287" s="64">
        <f>'ERROR FINAL'!I290</f>
        <v>0</v>
      </c>
      <c r="E287" s="65">
        <f>'ERROR FINAL'!U290</f>
        <v>-100</v>
      </c>
      <c r="F287" s="66">
        <f>'ERROR FINAL'!AG290</f>
        <v>-100</v>
      </c>
      <c r="G287" s="66">
        <f>'ERROR FINAL'!AS290</f>
        <v>-100</v>
      </c>
      <c r="H287" s="67" t="str">
        <f>IF('ERROR FINAL'!AT290="CONFORME","CONFORME","NO CONFORME")</f>
        <v>NO CONFORME</v>
      </c>
      <c r="I287" s="68" t="str">
        <f t="shared" si="4"/>
        <v>Medición</v>
      </c>
    </row>
    <row r="288" spans="1:9" x14ac:dyDescent="0.25">
      <c r="A288" s="61">
        <f>'ERROR FINAL'!A291</f>
        <v>283</v>
      </c>
      <c r="B288" s="62">
        <f>'ERROR FINAL'!D291</f>
        <v>3</v>
      </c>
      <c r="C288" s="63">
        <f>'ERROR FINAL'!G291</f>
        <v>0</v>
      </c>
      <c r="D288" s="64">
        <f>'ERROR FINAL'!I291</f>
        <v>0</v>
      </c>
      <c r="E288" s="65">
        <f>'ERROR FINAL'!U291</f>
        <v>-100</v>
      </c>
      <c r="F288" s="66">
        <f>'ERROR FINAL'!AG291</f>
        <v>-100</v>
      </c>
      <c r="G288" s="66">
        <f>'ERROR FINAL'!AS291</f>
        <v>-100</v>
      </c>
      <c r="H288" s="67" t="str">
        <f>IF('ERROR FINAL'!AT291="CONFORME","CONFORME","NO CONFORME")</f>
        <v>NO CONFORME</v>
      </c>
      <c r="I288" s="68" t="str">
        <f t="shared" si="4"/>
        <v>Medición</v>
      </c>
    </row>
    <row r="289" spans="1:9" x14ac:dyDescent="0.25">
      <c r="A289" s="61">
        <f>'ERROR FINAL'!A292</f>
        <v>284</v>
      </c>
      <c r="B289" s="62">
        <f>'ERROR FINAL'!D292</f>
        <v>3</v>
      </c>
      <c r="C289" s="63">
        <f>'ERROR FINAL'!G292</f>
        <v>0</v>
      </c>
      <c r="D289" s="64">
        <f>'ERROR FINAL'!I292</f>
        <v>0</v>
      </c>
      <c r="E289" s="65">
        <f>'ERROR FINAL'!U292</f>
        <v>-100</v>
      </c>
      <c r="F289" s="66">
        <f>'ERROR FINAL'!AG292</f>
        <v>-100</v>
      </c>
      <c r="G289" s="66">
        <f>'ERROR FINAL'!AS292</f>
        <v>-100</v>
      </c>
      <c r="H289" s="67" t="str">
        <f>IF('ERROR FINAL'!AT292="CONFORME","CONFORME","NO CONFORME")</f>
        <v>NO CONFORME</v>
      </c>
      <c r="I289" s="68" t="str">
        <f t="shared" si="4"/>
        <v>Medición</v>
      </c>
    </row>
    <row r="290" spans="1:9" x14ac:dyDescent="0.25">
      <c r="A290" s="61">
        <f>'ERROR FINAL'!A293</f>
        <v>285</v>
      </c>
      <c r="B290" s="62">
        <f>'ERROR FINAL'!D293</f>
        <v>3</v>
      </c>
      <c r="C290" s="63">
        <f>'ERROR FINAL'!G293</f>
        <v>0</v>
      </c>
      <c r="D290" s="64">
        <f>'ERROR FINAL'!I293</f>
        <v>0</v>
      </c>
      <c r="E290" s="65">
        <f>'ERROR FINAL'!U293</f>
        <v>-100</v>
      </c>
      <c r="F290" s="66">
        <f>'ERROR FINAL'!AG293</f>
        <v>-100</v>
      </c>
      <c r="G290" s="66">
        <f>'ERROR FINAL'!AS293</f>
        <v>-100</v>
      </c>
      <c r="H290" s="67" t="str">
        <f>IF('ERROR FINAL'!AT293="CONFORME","CONFORME","NO CONFORME")</f>
        <v>NO CONFORME</v>
      </c>
      <c r="I290" s="68" t="str">
        <f t="shared" si="4"/>
        <v>Medición</v>
      </c>
    </row>
    <row r="291" spans="1:9" x14ac:dyDescent="0.25">
      <c r="A291" s="61">
        <f>'ERROR FINAL'!A294</f>
        <v>286</v>
      </c>
      <c r="B291" s="62">
        <f>'ERROR FINAL'!D294</f>
        <v>3</v>
      </c>
      <c r="C291" s="63">
        <f>'ERROR FINAL'!G294</f>
        <v>0</v>
      </c>
      <c r="D291" s="64">
        <f>'ERROR FINAL'!I294</f>
        <v>0</v>
      </c>
      <c r="E291" s="65">
        <f>'ERROR FINAL'!U294</f>
        <v>-100</v>
      </c>
      <c r="F291" s="66">
        <f>'ERROR FINAL'!AG294</f>
        <v>-100</v>
      </c>
      <c r="G291" s="66">
        <f>'ERROR FINAL'!AS294</f>
        <v>-100</v>
      </c>
      <c r="H291" s="67" t="str">
        <f>IF('ERROR FINAL'!AT294="CONFORME","CONFORME","NO CONFORME")</f>
        <v>NO CONFORME</v>
      </c>
      <c r="I291" s="68" t="str">
        <f t="shared" si="4"/>
        <v>Medición</v>
      </c>
    </row>
    <row r="292" spans="1:9" x14ac:dyDescent="0.25">
      <c r="A292" s="61">
        <f>'ERROR FINAL'!A295</f>
        <v>287</v>
      </c>
      <c r="B292" s="62">
        <f>'ERROR FINAL'!D295</f>
        <v>3</v>
      </c>
      <c r="C292" s="63">
        <f>'ERROR FINAL'!G295</f>
        <v>0</v>
      </c>
      <c r="D292" s="64">
        <f>'ERROR FINAL'!I295</f>
        <v>0</v>
      </c>
      <c r="E292" s="65">
        <f>'ERROR FINAL'!U295</f>
        <v>-100</v>
      </c>
      <c r="F292" s="66">
        <f>'ERROR FINAL'!AG295</f>
        <v>-100</v>
      </c>
      <c r="G292" s="66">
        <f>'ERROR FINAL'!AS295</f>
        <v>-100</v>
      </c>
      <c r="H292" s="67" t="str">
        <f>IF('ERROR FINAL'!AT295="CONFORME","CONFORME","NO CONFORME")</f>
        <v>NO CONFORME</v>
      </c>
      <c r="I292" s="68" t="str">
        <f t="shared" si="4"/>
        <v>Medición</v>
      </c>
    </row>
    <row r="293" spans="1:9" x14ac:dyDescent="0.25">
      <c r="A293" s="61">
        <f>'ERROR FINAL'!A296</f>
        <v>288</v>
      </c>
      <c r="B293" s="62">
        <f>'ERROR FINAL'!D296</f>
        <v>3</v>
      </c>
      <c r="C293" s="63">
        <f>'ERROR FINAL'!G296</f>
        <v>0</v>
      </c>
      <c r="D293" s="64">
        <f>'ERROR FINAL'!I296</f>
        <v>0</v>
      </c>
      <c r="E293" s="65">
        <f>'ERROR FINAL'!U296</f>
        <v>-100</v>
      </c>
      <c r="F293" s="66">
        <f>'ERROR FINAL'!AG296</f>
        <v>-100</v>
      </c>
      <c r="G293" s="66">
        <f>'ERROR FINAL'!AS296</f>
        <v>-100</v>
      </c>
      <c r="H293" s="67" t="str">
        <f>IF('ERROR FINAL'!AT296="CONFORME","CONFORME","NO CONFORME")</f>
        <v>NO CONFORME</v>
      </c>
      <c r="I293" s="68" t="str">
        <f t="shared" si="4"/>
        <v>Medición</v>
      </c>
    </row>
    <row r="294" spans="1:9" x14ac:dyDescent="0.25">
      <c r="A294" s="61">
        <f>'ERROR FINAL'!A297</f>
        <v>289</v>
      </c>
      <c r="B294" s="62">
        <f>'ERROR FINAL'!D297</f>
        <v>3</v>
      </c>
      <c r="C294" s="63">
        <f>'ERROR FINAL'!G297</f>
        <v>0</v>
      </c>
      <c r="D294" s="64">
        <f>'ERROR FINAL'!I297</f>
        <v>0</v>
      </c>
      <c r="E294" s="65">
        <f>'ERROR FINAL'!U297</f>
        <v>-100</v>
      </c>
      <c r="F294" s="66">
        <f>'ERROR FINAL'!AG297</f>
        <v>-100</v>
      </c>
      <c r="G294" s="66">
        <f>'ERROR FINAL'!AS297</f>
        <v>-100</v>
      </c>
      <c r="H294" s="67" t="str">
        <f>IF('ERROR FINAL'!AT297="CONFORME","CONFORME","NO CONFORME")</f>
        <v>NO CONFORME</v>
      </c>
      <c r="I294" s="68" t="str">
        <f t="shared" si="4"/>
        <v>Medición</v>
      </c>
    </row>
    <row r="295" spans="1:9" x14ac:dyDescent="0.25">
      <c r="A295" s="61">
        <f>'ERROR FINAL'!A298</f>
        <v>290</v>
      </c>
      <c r="B295" s="62">
        <f>'ERROR FINAL'!D298</f>
        <v>3</v>
      </c>
      <c r="C295" s="63">
        <f>'ERROR FINAL'!G298</f>
        <v>0</v>
      </c>
      <c r="D295" s="64">
        <f>'ERROR FINAL'!I298</f>
        <v>0</v>
      </c>
      <c r="E295" s="65">
        <f>'ERROR FINAL'!U298</f>
        <v>-100</v>
      </c>
      <c r="F295" s="66">
        <f>'ERROR FINAL'!AG298</f>
        <v>-100</v>
      </c>
      <c r="G295" s="66">
        <f>'ERROR FINAL'!AS298</f>
        <v>-100</v>
      </c>
      <c r="H295" s="67" t="str">
        <f>IF('ERROR FINAL'!AT298="CONFORME","CONFORME","NO CONFORME")</f>
        <v>NO CONFORME</v>
      </c>
      <c r="I295" s="68" t="str">
        <f t="shared" si="4"/>
        <v>Medición</v>
      </c>
    </row>
    <row r="296" spans="1:9" x14ac:dyDescent="0.25">
      <c r="A296" s="61">
        <f>'ERROR FINAL'!A299</f>
        <v>291</v>
      </c>
      <c r="B296" s="62">
        <f>'ERROR FINAL'!D299</f>
        <v>3</v>
      </c>
      <c r="C296" s="63">
        <f>'ERROR FINAL'!G299</f>
        <v>0</v>
      </c>
      <c r="D296" s="64">
        <f>'ERROR FINAL'!I299</f>
        <v>0</v>
      </c>
      <c r="E296" s="65">
        <f>'ERROR FINAL'!U299</f>
        <v>-100</v>
      </c>
      <c r="F296" s="66">
        <f>'ERROR FINAL'!AG299</f>
        <v>-100</v>
      </c>
      <c r="G296" s="66">
        <f>'ERROR FINAL'!AS299</f>
        <v>-100</v>
      </c>
      <c r="H296" s="67" t="str">
        <f>IF('ERROR FINAL'!AT299="CONFORME","CONFORME","NO CONFORME")</f>
        <v>NO CONFORME</v>
      </c>
      <c r="I296" s="68" t="str">
        <f t="shared" si="4"/>
        <v>Medición</v>
      </c>
    </row>
    <row r="297" spans="1:9" x14ac:dyDescent="0.25">
      <c r="A297" s="61">
        <f>'ERROR FINAL'!A300</f>
        <v>292</v>
      </c>
      <c r="B297" s="62">
        <f>'ERROR FINAL'!D300</f>
        <v>3</v>
      </c>
      <c r="C297" s="63">
        <f>'ERROR FINAL'!G300</f>
        <v>0</v>
      </c>
      <c r="D297" s="64">
        <f>'ERROR FINAL'!I300</f>
        <v>0</v>
      </c>
      <c r="E297" s="65">
        <f>'ERROR FINAL'!U300</f>
        <v>-100</v>
      </c>
      <c r="F297" s="66">
        <f>'ERROR FINAL'!AG300</f>
        <v>-100</v>
      </c>
      <c r="G297" s="66">
        <f>'ERROR FINAL'!AS300</f>
        <v>-100</v>
      </c>
      <c r="H297" s="67" t="str">
        <f>IF('ERROR FINAL'!AT300="CONFORME","CONFORME","NO CONFORME")</f>
        <v>NO CONFORME</v>
      </c>
      <c r="I297" s="68" t="str">
        <f t="shared" si="4"/>
        <v>Medición</v>
      </c>
    </row>
    <row r="298" spans="1:9" x14ac:dyDescent="0.25">
      <c r="A298" s="61">
        <f>'ERROR FINAL'!A301</f>
        <v>293</v>
      </c>
      <c r="B298" s="62">
        <f>'ERROR FINAL'!D301</f>
        <v>3</v>
      </c>
      <c r="C298" s="63">
        <f>'ERROR FINAL'!G301</f>
        <v>0</v>
      </c>
      <c r="D298" s="64">
        <f>'ERROR FINAL'!I301</f>
        <v>0</v>
      </c>
      <c r="E298" s="65">
        <f>'ERROR FINAL'!U301</f>
        <v>-100</v>
      </c>
      <c r="F298" s="66">
        <f>'ERROR FINAL'!AG301</f>
        <v>-100</v>
      </c>
      <c r="G298" s="66">
        <f>'ERROR FINAL'!AS301</f>
        <v>-100</v>
      </c>
      <c r="H298" s="67" t="str">
        <f>IF('ERROR FINAL'!AT301="CONFORME","CONFORME","NO CONFORME")</f>
        <v>NO CONFORME</v>
      </c>
      <c r="I298" s="68" t="str">
        <f t="shared" si="4"/>
        <v>Medición</v>
      </c>
    </row>
    <row r="299" spans="1:9" x14ac:dyDescent="0.25">
      <c r="A299" s="61">
        <f>'ERROR FINAL'!A302</f>
        <v>294</v>
      </c>
      <c r="B299" s="62">
        <f>'ERROR FINAL'!D302</f>
        <v>3</v>
      </c>
      <c r="C299" s="63">
        <f>'ERROR FINAL'!G302</f>
        <v>0</v>
      </c>
      <c r="D299" s="64">
        <f>'ERROR FINAL'!I302</f>
        <v>0</v>
      </c>
      <c r="E299" s="65">
        <f>'ERROR FINAL'!U302</f>
        <v>-100</v>
      </c>
      <c r="F299" s="66">
        <f>'ERROR FINAL'!AG302</f>
        <v>-100</v>
      </c>
      <c r="G299" s="66">
        <f>'ERROR FINAL'!AS302</f>
        <v>-100</v>
      </c>
      <c r="H299" s="67" t="str">
        <f>IF('ERROR FINAL'!AT302="CONFORME","CONFORME","NO CONFORME")</f>
        <v>NO CONFORME</v>
      </c>
      <c r="I299" s="68" t="str">
        <f t="shared" si="4"/>
        <v>Medición</v>
      </c>
    </row>
    <row r="300" spans="1:9" x14ac:dyDescent="0.25">
      <c r="A300" s="61">
        <f>'ERROR FINAL'!A303</f>
        <v>295</v>
      </c>
      <c r="B300" s="62">
        <f>'ERROR FINAL'!D303</f>
        <v>3</v>
      </c>
      <c r="C300" s="63">
        <f>'ERROR FINAL'!G303</f>
        <v>0</v>
      </c>
      <c r="D300" s="64">
        <f>'ERROR FINAL'!I303</f>
        <v>0</v>
      </c>
      <c r="E300" s="65">
        <f>'ERROR FINAL'!U303</f>
        <v>-100</v>
      </c>
      <c r="F300" s="66">
        <f>'ERROR FINAL'!AG303</f>
        <v>-100</v>
      </c>
      <c r="G300" s="66">
        <f>'ERROR FINAL'!AS303</f>
        <v>-100</v>
      </c>
      <c r="H300" s="67" t="str">
        <f>IF('ERROR FINAL'!AT303="CONFORME","CONFORME","NO CONFORME")</f>
        <v>NO CONFORME</v>
      </c>
      <c r="I300" s="68" t="str">
        <f t="shared" si="4"/>
        <v>Medición</v>
      </c>
    </row>
    <row r="301" spans="1:9" x14ac:dyDescent="0.25">
      <c r="A301" s="61">
        <f>'ERROR FINAL'!A304</f>
        <v>296</v>
      </c>
      <c r="B301" s="62">
        <f>'ERROR FINAL'!D304</f>
        <v>3</v>
      </c>
      <c r="C301" s="63">
        <f>'ERROR FINAL'!G304</f>
        <v>0</v>
      </c>
      <c r="D301" s="64">
        <f>'ERROR FINAL'!I304</f>
        <v>0</v>
      </c>
      <c r="E301" s="65">
        <f>'ERROR FINAL'!U304</f>
        <v>-100</v>
      </c>
      <c r="F301" s="66">
        <f>'ERROR FINAL'!AG304</f>
        <v>-100</v>
      </c>
      <c r="G301" s="66">
        <f>'ERROR FINAL'!AS304</f>
        <v>-100</v>
      </c>
      <c r="H301" s="67" t="str">
        <f>IF('ERROR FINAL'!AT304="CONFORME","CONFORME","NO CONFORME")</f>
        <v>NO CONFORME</v>
      </c>
      <c r="I301" s="68" t="str">
        <f t="shared" si="4"/>
        <v>Medición</v>
      </c>
    </row>
    <row r="302" spans="1:9" x14ac:dyDescent="0.25">
      <c r="A302" s="61">
        <f>'ERROR FINAL'!A305</f>
        <v>297</v>
      </c>
      <c r="B302" s="62">
        <f>'ERROR FINAL'!D305</f>
        <v>3</v>
      </c>
      <c r="C302" s="63">
        <f>'ERROR FINAL'!G305</f>
        <v>0</v>
      </c>
      <c r="D302" s="64">
        <f>'ERROR FINAL'!I305</f>
        <v>0</v>
      </c>
      <c r="E302" s="65">
        <f>'ERROR FINAL'!U305</f>
        <v>-100</v>
      </c>
      <c r="F302" s="66">
        <f>'ERROR FINAL'!AG305</f>
        <v>-100</v>
      </c>
      <c r="G302" s="66">
        <f>'ERROR FINAL'!AS305</f>
        <v>-100</v>
      </c>
      <c r="H302" s="67" t="str">
        <f>IF('ERROR FINAL'!AT305="CONFORME","CONFORME","NO CONFORME")</f>
        <v>NO CONFORME</v>
      </c>
      <c r="I302" s="68" t="str">
        <f t="shared" si="4"/>
        <v>Medición</v>
      </c>
    </row>
    <row r="303" spans="1:9" x14ac:dyDescent="0.25">
      <c r="A303" s="61">
        <f>'ERROR FINAL'!A306</f>
        <v>298</v>
      </c>
      <c r="B303" s="62">
        <f>'ERROR FINAL'!D306</f>
        <v>3</v>
      </c>
      <c r="C303" s="63">
        <f>'ERROR FINAL'!G306</f>
        <v>0</v>
      </c>
      <c r="D303" s="64">
        <f>'ERROR FINAL'!I306</f>
        <v>0</v>
      </c>
      <c r="E303" s="65">
        <f>'ERROR FINAL'!U306</f>
        <v>-100</v>
      </c>
      <c r="F303" s="66">
        <f>'ERROR FINAL'!AG306</f>
        <v>-100</v>
      </c>
      <c r="G303" s="66">
        <f>'ERROR FINAL'!AS306</f>
        <v>-100</v>
      </c>
      <c r="H303" s="67" t="str">
        <f>IF('ERROR FINAL'!AT306="CONFORME","CONFORME","NO CONFORME")</f>
        <v>NO CONFORME</v>
      </c>
      <c r="I303" s="68" t="str">
        <f t="shared" si="4"/>
        <v>Medición</v>
      </c>
    </row>
    <row r="304" spans="1:9" x14ac:dyDescent="0.25">
      <c r="A304" s="61">
        <f>'ERROR FINAL'!A307</f>
        <v>299</v>
      </c>
      <c r="B304" s="62">
        <f>'ERROR FINAL'!D307</f>
        <v>3</v>
      </c>
      <c r="C304" s="63">
        <f>'ERROR FINAL'!G307</f>
        <v>0</v>
      </c>
      <c r="D304" s="64">
        <f>'ERROR FINAL'!I307</f>
        <v>0</v>
      </c>
      <c r="E304" s="65">
        <f>'ERROR FINAL'!U307</f>
        <v>-100</v>
      </c>
      <c r="F304" s="66">
        <f>'ERROR FINAL'!AG307</f>
        <v>-100</v>
      </c>
      <c r="G304" s="66">
        <f>'ERROR FINAL'!AS307</f>
        <v>-100</v>
      </c>
      <c r="H304" s="67" t="str">
        <f>IF('ERROR FINAL'!AT307="CONFORME","CONFORME","NO CONFORME")</f>
        <v>NO CONFORME</v>
      </c>
      <c r="I304" s="68" t="str">
        <f t="shared" si="4"/>
        <v>Medición</v>
      </c>
    </row>
    <row r="305" spans="1:9" x14ac:dyDescent="0.25">
      <c r="A305" s="61">
        <f>'ERROR FINAL'!A308</f>
        <v>300</v>
      </c>
      <c r="B305" s="62">
        <f>'ERROR FINAL'!D308</f>
        <v>3</v>
      </c>
      <c r="C305" s="63">
        <f>'ERROR FINAL'!G308</f>
        <v>0</v>
      </c>
      <c r="D305" s="64">
        <f>'ERROR FINAL'!I308</f>
        <v>0</v>
      </c>
      <c r="E305" s="65">
        <f>'ERROR FINAL'!U308</f>
        <v>-100</v>
      </c>
      <c r="F305" s="66">
        <f>'ERROR FINAL'!AG308</f>
        <v>-100</v>
      </c>
      <c r="G305" s="66">
        <f>'ERROR FINAL'!AS308</f>
        <v>-100</v>
      </c>
      <c r="H305" s="67" t="str">
        <f>IF('ERROR FINAL'!AT308="CONFORME","CONFORME","NO CONFORME")</f>
        <v>NO CONFORME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Banco03</cp:lastModifiedBy>
  <cp:lastPrinted>2024-05-14T19:47:51Z</cp:lastPrinted>
  <dcterms:created xsi:type="dcterms:W3CDTF">2004-07-20T12:46:03Z</dcterms:created>
  <dcterms:modified xsi:type="dcterms:W3CDTF">2025-09-04T10:29:45Z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