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top style="thick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59" applyAlignment="1" pivotButton="0" quotePrefix="0" xfId="3">
      <alignment horizontal="center" vertical="center" shrinkToFit="1"/>
    </xf>
    <xf numFmtId="0" fontId="19" fillId="7" borderId="59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0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1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  <xf numFmtId="1" fontId="29" fillId="3" borderId="63" applyAlignment="1" pivotButton="0" quotePrefix="0" xfId="2">
      <alignment horizontal="center" shrinkToFit="1"/>
    </xf>
    <xf numFmtId="1" fontId="29" fillId="3" borderId="42" applyAlignment="1" pivotButton="0" quotePrefix="0" xfId="2">
      <alignment horizontal="center" shrinkToFit="1"/>
    </xf>
    <xf numFmtId="1" fontId="29" fillId="3" borderId="23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4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4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45920</v></c><c r="C9" s="352"><f>B9</f><v /></c><c r="D9" s="353" t="n"><v>3</v></c><c r="E9" s="354" t="n"><v>8</v></c><c r="F9" s="58" t="n" /><c r="G9" s="355" t="inlineStr"><is><t>PA25516865</t></is></c><c r="H9" s="301" t="n"><v>25.6</v></c><c r="I9" s="232" t="n"><v>0</v></c><c r="J9" s="302" t="n"><v>21</v></c><c r="K9" s="303" t="n"><v>8.49</v></c><c r="L9" s="303" t="n"><v>0.549</v></c><c r="M9" s="356" t="n"><v>244.48</v></c><c r="N9" s="356" t="n"><v>344.05</v></c><c r="O9" s="357" t="n"><v>100.69</v></c><c r="P9" s="358" t="inlineStr"><is><t>2,30,160</t></is></c><c r="Q9" s="359"><f>LEFT(P9,1)</f><v /></c><c r="R9" s="359"><f>RIGHT(P9,6)</f><v /></c><c r="S9" s="359"><f>+(Q9*60+R9)/(60*60)</f><v /></c><c r="T9" s="360"><f>+O9/S9</f><v /></c><c r="U9" s="361"><f>+(((N9-M9-O9)/O9)*100)</f><v /></c><c r="V9" s="306" t="n"><v>20.5</v></c><c r="W9" s="307" t="n"><v>1.102</v></c><c r="X9" s="307" t="n"><v>1.094</v></c><c r="Y9" s="356" t="n"><v>371.08</v></c><c r="Z9" s="356" t="n"><v>381.03</v></c><c r="AA9" s="308" t="n"><v>10.01</v></c><c r="AB9" s="358" t="inlineStr"><is><t>22,55,230</t></is></c><c r="AC9" s="359"><f>LEFT(AB9,2)</f><v /></c><c r="AD9" s="359"><f>RIGHT(AB9,6)</f><v /></c><c r="AE9" s="359"><f>+(AC9*60+AD9)/(60*60)</f><v /></c><c r="AF9" s="360"><f>+AA9/AE9</f><v /></c><c r="AG9" s="362"><f>+(((Z9-Y9-AA9)/AA9)*100)</f><v /></c><c r="AH9" s="306" t="n"><v>21</v></c><c r="AI9" s="307" t="n"><v>1.098</v></c><c r="AJ9" s="307" t="n"><v>1.088</v></c><c r="AK9" s="356"><f>Z9</f><v /></c><c r="AL9" s="356" t="n"><v>386.02</v></c><c r="AM9" s="363" t="n"><v>5.009</v></c><c r="AN9" s="358" t="inlineStr"><is><t>18,15,540</t></is></c><c r="AO9" s="359"><f>LEFT(AN9,2)</f><v /></c><c r="AP9" s="359"><f>RIGHT(AN9,6)</f><v /></c><c r="AQ9" s="359"><f>+(AO9*60+AP9)/(60*60)</f><v /></c><c r="AR9" s="360"><f>+AM9/AQ9</f><v /></c><c r="AS9" s="362"><f>+(((AL9-AK9-AM9)/AM9)*100)</f><v /></c><c r="AT9" s="364"><f>IF(I9&gt;=1,"NO CONFORME",IF(BK9="SIGDIFERENTES",BC9,BL9))</f><v /></c><c r="AU9" s="365"><f>B9=C9</f><v /></c><c r="AV9" s="365"><f>N9&lt;Y9</f><v /></c><c r="AW9" s="365"><f>Z9&lt;=AK9</f><v /></c><c r="AX9" s="365"><f>IF(I9&gt;=1,"Qcorrecto",IF(AND(AY9="aceptable",AZ9="aceptable",BA9="aceptable"),"Qcorrecto","Qincorrecto"))</f><v /></c><c r="AY9" s="366"><f>IF(AR9&lt;$AH$6,"error",IF(AR9&gt;$AH$6*1.1,"error","aceptable"))</f><v /></c><c r="AZ9" s="366"><f>IF(AF9&lt;$V$6,"error",IF(AF9&gt;$V$6*1.1,"error","aceptable"))</f><v /></c><c r="BA9" s="366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7"><f>SIGN(U9)</f><v /></c><c r="BE9" s="367"><f>SIGN(AG9)</f><v /></c><c r="BF9" s="367"><f>SIGN(AS9)</f><v /></c><c r="BG9" s="367"><f>CONCATENATE(BD9,BE9,BF9)</f><v /></c><c r="BH9" s="367"><f>IF(BG9="111","SI","SD")</f><v /></c><c r="BI9" s="367"><f>IF(BG9="-1-1-1","SI","SD")</f><v /></c><c r="BJ9" s="367"><f>OR(BH9="SI",BI9="SI")</f><v /></c><c r="BK9" s="367"><f>IF(BJ9=FALSE,"SIGDIFERENTES","SIGIGUALES")</f><v /></c><c r="BL9" s="368"><f>IF(BC9="NO CONFORME","NO CONFORME",IF(BB9="CONFORME","CONFORME","NO CONFORME"))</f><v /></c></row><row r="10" ht="15" customHeight="1"><c r="A10" s="351" t="n"><v>2</v></c><c r="B10" s="369"><f>B9</f><v /></c><c r="C10" s="369"><f>C9</f><v /></c><c r="D10" s="370"><f>D9</f><v /></c><c r="E10" s="371"><f>E9</f><v /></c><c r="F10" s="13" t="n" /><c r="G10" s="355" t="inlineStr"><is><t>PA25516866</t></is></c><c r="H10" s="313"><f>H9</f><v /></c><c r="I10" s="38"><f>I9</f><v /></c><c r="J10" s="314"><f>J9</f><v /></c><c r="K10" s="372"><f>K9</f><v /></c><c r="L10" s="372"><f>L9</f><v /></c><c r="M10" s="373" t="n"><v>205.75</v></c><c r="N10" s="373" t="n"><v>305.34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9"><f>W9</f><v /></c><c r="X10" s="379"><f>X9</f><v /></c><c r="Y10" s="373" t="n"><v>332.45</v></c><c r="Z10" s="373" t="n"><v>342.46</v></c><c r="AA10" s="380"><f>AA9</f><v /></c><c r="AB10" s="381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9"><f>AI9</f><v /></c><c r="AJ10" s="379"><f>AJ9</f><v /></c><c r="AK10" s="373"><f>Z10</f><v /></c><c r="AL10" s="373" t="n"><v>347.51</v></c><c r="AM10" s="382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3"><f>IF(I10&gt;=1,"NO CONFORME",IF(BK10="SIGDIFERENTES",BC10,BL10))</f><v /></c><c r="AU10" s="365"><f>B10=C10</f><v /></c><c r="AV10" s="365"><f>N10&lt;Y10</f><v /></c><c r="AW10" s="365"><f>Z10&lt;=AK10</f><v /></c><c r="AX10" s="365"><f>IF(I10&gt;=1,"Qcorrecto",IF(AND(AY10="aceptable",AZ10="aceptable",BA10="aceptable"),"Qcorrecto","Qincorrecto"))</f><v /></c><c r="AY10" s="366"><f>IF(AR10&lt;$AH$6,"error",IF(AR10&gt;$AH$6*1.1,"error","aceptable"))</f><v /></c><c r="AZ10" s="366"><f>IF(AF10&lt;$V$6,"error",IF(AF10&gt;$V$6*1.1,"error","aceptable"))</f><v /></c><c r="BA10" s="366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7"><f>SIGN(U10)</f><v /></c><c r="BE10" s="367"><f>SIGN(AG10)</f><v /></c><c r="BF10" s="367"><f>SIGN(AS10)</f><v /></c><c r="BG10" s="367"><f>CONCATENATE(BD10,BE10,BF10)</f><v /></c><c r="BH10" s="367"><f>IF(BG10="111","SI","SD")</f><v /></c><c r="BI10" s="367"><f>IF(BG10="-1-1-1","SI","SD")</f><v /></c><c r="BJ10" s="367"><f>OR(BH10="SI",BI10="SI")</f><v /></c><c r="BK10" s="367"><f>IF(BJ10=FALSE,"SIGDIFERENTES","SIGIGUALES")</f><v /></c><c r="BL10" s="366"><f>IF(BC10="NO CONFORME","NO CONFORME",IF(BB10="CONFORME","CONFORME","NO CONFORME"))</f><v /></c></row><row r="11" ht="15" customHeight="1"><c r="A11" s="351" t="n"><v>3</v></c><c r="B11" s="369"><f>B10</f><v /></c><c r="C11" s="369"><f>C10</f><v /></c><c r="D11" s="370"><f>D10</f><v /></c><c r="E11" s="371"><f>E10</f><v /></c><c r="F11" s="13" t="n" /><c r="G11" s="355" t="inlineStr"><is><t>PA25516867</t></is></c><c r="H11" s="313"><f>H10</f><v /></c><c r="I11" s="38"><f>I10</f><v /></c><c r="J11" s="314"><f>J10</f><v /></c><c r="K11" s="372"><f>K10</f><v /></c><c r="L11" s="372"><f>L10</f><v /></c><c r="M11" s="373" t="n"><v>206.81</v></c><c r="N11" s="373" t="n"><v>307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9"><f>W10</f><v /></c><c r="X11" s="379"><f>X10</f><v /></c><c r="Y11" s="373" t="n"><v>334.16</v></c><c r="Z11" s="373" t="n"><v>344.16</v></c><c r="AA11" s="380"><f>AA10</f><v /></c><c r="AB11" s="381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9"><f>AI10</f><v /></c><c r="AJ11" s="379"><f>AJ10</f><v /></c><c r="AK11" s="373"><f>Z11</f><v /></c><c r="AL11" s="373" t="n"><v>349.19</v></c><c r="AM11" s="382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3"><f>IF(I11&gt;=1,"NO CONFORME",IF(BK11="SIGDIFERENTES",BC11,BL11))</f><v /></c><c r="AU11" s="365"><f>B11=C11</f><v /></c><c r="AV11" s="365"><f>N11&lt;Y11</f><v /></c><c r="AW11" s="365"><f>Z11&lt;=AK11</f><v /></c><c r="AX11" s="365"><f>IF(I11&gt;=1,"Qcorrecto",IF(AND(AY11="aceptable",AZ11="aceptable",BA11="aceptable"),"Qcorrecto","Qincorrecto"))</f><v /></c><c r="AY11" s="366"><f>IF(AR11&lt;$AH$6,"error",IF(AR11&gt;$AH$6*1.1,"error","aceptable"))</f><v /></c><c r="AZ11" s="366"><f>IF(AF11&lt;$V$6,"error",IF(AF11&gt;$V$6*1.1,"error","aceptable"))</f><v /></c><c r="BA11" s="366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7"><f>SIGN(U11)</f><v /></c><c r="BE11" s="367"><f>SIGN(AG11)</f><v /></c><c r="BF11" s="367"><f>SIGN(AS11)</f><v /></c><c r="BG11" s="367"><f>CONCATENATE(BD11,BE11,BF11)</f><v /></c><c r="BH11" s="367"><f>IF(BG11="111","SI","SD")</f><v /></c><c r="BI11" s="367"><f>IF(BG11="-1-1-1","SI","SD")</f><v /></c><c r="BJ11" s="367"><f>OR(BH11="SI",BI11="SI")</f><v /></c><c r="BK11" s="367"><f>IF(BJ11=FALSE,"SIGDIFERENTES","SIGIGUALES")</f><v /></c><c r="BL11" s="366"><f>IF(BC11="NO CONFORME","NO CONFORME",IF(BB11="CONFORME","CONFORME","NO CONFORME"))</f><v /></c></row><row r="12" ht="15" customHeight="1"><c r="A12" s="351" t="n"><v>4</v></c><c r="B12" s="369"><f>B11</f><v /></c><c r="C12" s="369"><f>C11</f><v /></c><c r="D12" s="370"><f>D11</f><v /></c><c r="E12" s="371"><f>E11</f><v /></c><c r="F12" s="13" t="n" /><c r="G12" s="355" t="inlineStr"><is><t>PA25516868</t></is></c><c r="H12" s="313"><f>H11</f><v /></c><c r="I12" s="38"><f>I11</f><v /></c><c r="J12" s="314"><f>J11</f><v /></c><c r="K12" s="372"><f>K11</f><v /></c><c r="L12" s="372"><f>L11</f><v /></c><c r="M12" s="373" t="n"><v>246.14</v></c><c r="N12" s="373" t="n"><v>346.37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9"><f>W11</f><v /></c><c r="X12" s="379"><f>X11</f><v /></c><c r="Y12" s="373" t="n"><v>373.53</v></c><c r="Z12" s="373" t="n"><v>383.5</v></c><c r="AA12" s="380"><f>AA11</f><v /></c><c r="AB12" s="381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9"><f>AI11</f><v /></c><c r="AJ12" s="379"><f>AJ11</f><v /></c><c r="AK12" s="373"><f>Z12</f><v /></c><c r="AL12" s="373" t="n"><v>388.51</v></c><c r="AM12" s="382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3"><f>IF(I12&gt;=1,"NO CONFORME",IF(BK12="SIGDIFERENTES",BC12,BL12))</f><v /></c><c r="AU12" s="365"><f>B12=C12</f><v /></c><c r="AV12" s="365"><f>N12&lt;Y12</f><v /></c><c r="AW12" s="365"><f>Z12&lt;=AK12</f><v /></c><c r="AX12" s="365"><f>IF(I12&gt;=1,"Qcorrecto",IF(AND(AY12="aceptable",AZ12="aceptable",BA12="aceptable"),"Qcorrecto","Qincorrecto"))</f><v /></c><c r="AY12" s="366"><f>IF(AR12&lt;$AH$6,"error",IF(AR12&gt;$AH$6*1.1,"error","aceptable"))</f><v /></c><c r="AZ12" s="366"><f>IF(AF12&lt;$V$6,"error",IF(AF12&gt;$V$6*1.1,"error","aceptable"))</f><v /></c><c r="BA12" s="366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7"><f>SIGN(U12)</f><v /></c><c r="BE12" s="367"><f>SIGN(AG12)</f><v /></c><c r="BF12" s="367"><f>SIGN(AS12)</f><v /></c><c r="BG12" s="367"><f>CONCATENATE(BD12,BE12,BF12)</f><v /></c><c r="BH12" s="367"><f>IF(BG12="111","SI","SD")</f><v /></c><c r="BI12" s="367"><f>IF(BG12="-1-1-1","SI","SD")</f><v /></c><c r="BJ12" s="367"><f>OR(BH12="SI",BI12="SI")</f><v /></c><c r="BK12" s="367"><f>IF(BJ12=FALSE,"SIGDIFERENTES","SIGIGUALES")</f><v /></c><c r="BL12" s="366"><f>IF(BC12="NO CONFORME","NO CONFORME",IF(BB12="CONFORME","CONFORME","NO CONFORME"))</f><v /></c></row><row r="13" ht="15" customHeight="1"><c r="A13" s="351" t="n"><v>5</v></c><c r="B13" s="369"><f>B12</f><v /></c><c r="C13" s="369"><f>C12</f><v /></c><c r="D13" s="370"><f>D12</f><v /></c><c r="E13" s="371"><f>E12</f><v /></c><c r="F13" s="13" t="n" /><c r="G13" s="355" t="inlineStr"><is><t>PA25516869</t></is></c><c r="H13" s="313"><f>H12</f><v /></c><c r="I13" s="38"><f>I12</f><v /></c><c r="J13" s="314"><f>J12</f><v /></c><c r="K13" s="372"><f>K12</f><v /></c><c r="L13" s="372"><f>L12</f><v /></c><c r="M13" s="373" t="n"><v>288.5</v></c><c r="N13" s="373" t="n"><v>388.1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9"><f>W12</f><v /></c><c r="X13" s="379"><f>X12</f><v /></c><c r="Y13" s="373" t="n"><v>415.15</v></c><c r="Z13" s="373" t="n"><v>425.13</v></c><c r="AA13" s="380"><f>AA12</f><v /></c><c r="AB13" s="381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9"><f>AI12</f><v /></c><c r="AJ13" s="379"><f>AJ12</f><v /></c><c r="AK13" s="373"><f>Z13</f><v /></c><c r="AL13" s="373" t="n"><v>430.15</v></c><c r="AM13" s="382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3"><f>IF(I13&gt;=1,"NO CONFORME",IF(BK13="SIGDIFERENTES",BC13,BL13))</f><v /></c><c r="AU13" s="365"><f>B13=C13</f><v /></c><c r="AV13" s="365"><f>N13&lt;Y13</f><v /></c><c r="AW13" s="365"><f>Z13&lt;=AK13</f><v /></c><c r="AX13" s="365"><f>IF(I13&gt;=1,"Qcorrecto",IF(AND(AY13="aceptable",AZ13="aceptable",BA13="aceptable"),"Qcorrecto","Qincorrecto"))</f><v /></c><c r="AY13" s="366"><f>IF(AR13&lt;$AH$6,"error",IF(AR13&gt;$AH$6*1.1,"error","aceptable"))</f><v /></c><c r="AZ13" s="366"><f>IF(AF13&lt;$V$6,"error",IF(AF13&gt;$V$6*1.1,"error","aceptable"))</f><v /></c><c r="BA13" s="366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7"><f>SIGN(U13)</f><v /></c><c r="BE13" s="367"><f>SIGN(AG13)</f><v /></c><c r="BF13" s="367"><f>SIGN(AS13)</f><v /></c><c r="BG13" s="367"><f>CONCATENATE(BD13,BE13,BF13)</f><v /></c><c r="BH13" s="367"><f>IF(BG13="111","SI","SD")</f><v /></c><c r="BI13" s="367"><f>IF(BG13="-1-1-1","SI","SD")</f><v /></c><c r="BJ13" s="367"><f>OR(BH13="SI",BI13="SI")</f><v /></c><c r="BK13" s="367"><f>IF(BJ13=FALSE,"SIGDIFERENTES","SIGIGUALES")</f><v /></c><c r="BL13" s="366"><f>IF(BC13="NO CONFORME","NO CONFORME",IF(BB13="CONFORME","CONFORME","NO CONFORME"))</f><v /></c></row><row r="14" ht="15" customHeight="1"><c r="A14" s="351" t="n"><v>6</v></c><c r="B14" s="369"><f>B13</f><v /></c><c r="C14" s="369"><f>C13</f><v /></c><c r="D14" s="370"><f>D13</f><v /></c><c r="E14" s="371"><f>E13</f><v /></c><c r="F14" s="13" t="n" /><c r="G14" s="355" t="inlineStr"><is><t>PA25516870</t></is></c><c r="H14" s="313"><f>H13</f><v /></c><c r="I14" s="38"><f>I13</f><v /></c><c r="J14" s="314"><f>J13</f><v /></c><c r="K14" s="372"><f>K13</f><v /></c><c r="L14" s="372"><f>L13</f><v /></c><c r="M14" s="373" t="n"><v>245.27</v></c><c r="N14" s="373" t="n"><v>344.66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9"><f>W13</f><v /></c><c r="X14" s="379"><f>X13</f><v /></c><c r="Y14" s="373" t="n"><v>371.74</v></c><c r="Z14" s="373" t="n"><v>381.67</v></c><c r="AA14" s="380"><f>AA13</f><v /></c><c r="AB14" s="381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9"><f>AI13</f><v /></c><c r="AJ14" s="379"><f>AJ13</f><v /></c><c r="AK14" s="373"><f>Z14</f><v /></c><c r="AL14" s="373" t="n"><v>386.64</v></c><c r="AM14" s="382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3"><f>IF(I14&gt;=1,"NO CONFORME",IF(BK14="SIGDIFERENTES",BC14,BL14))</f><v /></c><c r="AU14" s="365"><f>B14=C14</f><v /></c><c r="AV14" s="365"><f>N14&lt;Y14</f><v /></c><c r="AW14" s="365"><f>Z14&lt;=AK14</f><v /></c><c r="AX14" s="365"><f>IF(I14&gt;=1,"Qcorrecto",IF(AND(AY14="aceptable",AZ14="aceptable",BA14="aceptable"),"Qcorrecto","Qincorrecto"))</f><v /></c><c r="AY14" s="366"><f>IF(AR14&lt;$AH$6,"error",IF(AR14&gt;$AH$6*1.1,"error","aceptable"))</f><v /></c><c r="AZ14" s="366"><f>IF(AF14&lt;$V$6,"error",IF(AF14&gt;$V$6*1.1,"error","aceptable"))</f><v /></c><c r="BA14" s="366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7"><f>SIGN(U14)</f><v /></c><c r="BE14" s="367"><f>SIGN(AG14)</f><v /></c><c r="BF14" s="367"><f>SIGN(AS14)</f><v /></c><c r="BG14" s="367"><f>CONCATENATE(BD14,BE14,BF14)</f><v /></c><c r="BH14" s="367"><f>IF(BG14="111","SI","SD")</f><v /></c><c r="BI14" s="367"><f>IF(BG14="-1-1-1","SI","SD")</f><v /></c><c r="BJ14" s="367"><f>OR(BH14="SI",BI14="SI")</f><v /></c><c r="BK14" s="367"><f>IF(BJ14=FALSE,"SIGDIFERENTES","SIGIGUALES")</f><v /></c><c r="BL14" s="366"><f>IF(BC14="NO CONFORME","NO CONFORME",IF(BB14="CONFORME","CONFORME","NO CONFORME"))</f><v /></c></row><row r="15" ht="15" customHeight="1"><c r="A15" s="351" t="n"><v>7</v></c><c r="B15" s="369"><f>B14</f><v /></c><c r="C15" s="369"><f>C14</f><v /></c><c r="D15" s="370"><f>D14</f><v /></c><c r="E15" s="371"><f>E14</f><v /></c><c r="F15" s="13" t="n" /><c r="G15" s="355" t="inlineStr"><is><t>PA25516871</t></is></c><c r="H15" s="313"><f>H14</f><v /></c><c r="I15" s="38"><f>I14</f><v /></c><c r="J15" s="314"><f>J14</f><v /></c><c r="K15" s="372"><f>K14</f><v /></c><c r="L15" s="372"><f>L14</f><v /></c><c r="M15" s="373" t="n"><v>205.17</v></c><c r="N15" s="373" t="n"><v>305.02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9"><f>W14</f><v /></c><c r="X15" s="379"><f>X14</f><v /></c><c r="Y15" s="373" t="n"><v>332.18</v></c><c r="Z15" s="373" t="n"><v>342.18</v></c><c r="AA15" s="380"><f>AA14</f><v /></c><c r="AB15" s="381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9"><f>AI14</f><v /></c><c r="AJ15" s="379"><f>AJ14</f><v /></c><c r="AK15" s="373"><f>Z15</f><v /></c><c r="AL15" s="373" t="n"><v>347.21</v></c><c r="AM15" s="382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3"><f>IF(I15&gt;=1,"NO CONFORME",IF(BK15="SIGDIFERENTES",BC15,BL15))</f><v /></c><c r="AU15" s="365"><f>B15=C15</f><v /></c><c r="AV15" s="365"><f>N15&lt;Y15</f><v /></c><c r="AW15" s="365"><f>Z15&lt;=AK15</f><v /></c><c r="AX15" s="365"><f>IF(I15&gt;=1,"Qcorrecto",IF(AND(AY15="aceptable",AZ15="aceptable",BA15="aceptable"),"Qcorrecto","Qincorrecto"))</f><v /></c><c r="AY15" s="366"><f>IF(AR15&lt;$AH$6,"error",IF(AR15&gt;$AH$6*1.1,"error","aceptable"))</f><v /></c><c r="AZ15" s="366"><f>IF(AF15&lt;$V$6,"error",IF(AF15&gt;$V$6*1.1,"error","aceptable"))</f><v /></c><c r="BA15" s="366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7"><f>SIGN(U15)</f><v /></c><c r="BE15" s="367"><f>SIGN(AG15)</f><v /></c><c r="BF15" s="367"><f>SIGN(AS15)</f><v /></c><c r="BG15" s="367"><f>CONCATENATE(BD15,BE15,BF15)</f><v /></c><c r="BH15" s="367"><f>IF(BG15="111","SI","SD")</f><v /></c><c r="BI15" s="367"><f>IF(BG15="-1-1-1","SI","SD")</f><v /></c><c r="BJ15" s="367"><f>OR(BH15="SI",BI15="SI")</f><v /></c><c r="BK15" s="367"><f>IF(BJ15=FALSE,"SIGDIFERENTES","SIGIGUALES")</f><v /></c><c r="BL15" s="366"><f>IF(BC15="NO CONFORME","NO CONFORME",IF(BB15="CONFORME","CONFORME","NO CONFORME"))</f><v /></c></row><row r="16" ht="15" customHeight="1"><c r="A16" s="351" t="n"><v>8</v></c><c r="B16" s="369"><f>B15</f><v /></c><c r="C16" s="369"><f>C15</f><v /></c><c r="D16" s="370"><f>D15</f><v /></c><c r="E16" s="371"><f>E15</f><v /></c><c r="F16" s="13" t="n" /><c r="G16" s="355" t="inlineStr"><is><t>PA25516872</t></is></c><c r="H16" s="313"><f>H15</f><v /></c><c r="I16" s="38"><f>I15</f><v /></c><c r="J16" s="314"><f>J15</f><v /></c><c r="K16" s="372"><f>K15</f><v /></c><c r="L16" s="372"><f>L15</f><v /></c><c r="M16" s="373" t="n"><v>209.25</v></c><c r="N16" s="373" t="n"><v>309.78</v></c><c r="O16" s="374"><f>O15</f><v /></c><c r="P16" s="375"><f>P15</f><v /></c><c r="Q16" s="376"><f>LEFT(P16,1)</f><v /></c><c r="R16" s="376"><f>RIGHT(P16,6)</f><v /></c><c r="S16" s="376"><f>+(Q16*60+R16)/(60*60)</f><v /></c><c r="T16" s="377"><f>+O16/S16</f><v /></c><c r="U16" s="378"><f>+(((N16-M16-O16)/O16)*100)</f><v /></c><c r="V16" s="317"><f>V15</f><v /></c><c r="W16" s="379"><f>W15</f><v /></c><c r="X16" s="379"><f>X15</f><v /></c><c r="Y16" s="373" t="n"><v>336.96</v></c><c r="Z16" s="373" t="n"><v>347.03</v></c><c r="AA16" s="380"><f>AA15</f><v /></c><c r="AB16" s="381"><f>AB15</f><v /></c><c r="AC16" s="376"><f>LEFT(AB16,2)</f><v /></c><c r="AD16" s="376"><f>RIGHT(AB16,6)</f><v /></c><c r="AE16" s="376"><f>+(AC16*60+AD16)/(60*60)</f><v /></c><c r="AF16" s="377"><f>+AA16/AE16</f><v /></c><c r="AG16" s="321"><f>+(((Z16-Y16-AA16)/AA16)*100)</f><v /></c><c r="AH16" s="317"><f>AH15</f><v /></c><c r="AI16" s="379"><f>AI15</f><v /></c><c r="AJ16" s="379"><f>AJ15</f><v /></c><c r="AK16" s="373"><f>Z16</f><v /></c><c r="AL16" s="373" t="n"><v>352.03</v></c><c r="AM16" s="382"><f>AM15</f><v /></c><c r="AN16" s="375"><f>AN15</f><v /></c><c r="AO16" s="376"><f>LEFT(AN16,2)</f><v /></c><c r="AP16" s="376"><f>RIGHT(AN16,6)</f><v /></c><c r="AQ16" s="376"><f>+(AO16*60+AP16)/(60*60)</f><v /></c><c r="AR16" s="377"><f>+AM16/AQ16</f><v /></c><c r="AS16" s="321"><f>+(((AL16-AK16-AM16)/AM16)*100)</f><v /></c><c r="AT16" s="383"><f>IF(I16&gt;=1,"NO CONFORME",IF(BK16="SIGDIFERENTES",BC16,BL16))</f><v /></c><c r="AU16" s="384"><f>B16=C16</f><v /></c><c r="AV16" s="384"><f>N16&lt;Y16</f><v /></c><c r="AW16" s="384"><f>Z16&lt;=AK16</f><v /></c><c r="AX16" s="384"><f>IF(I16&gt;=1,"Qcorrecto",IF(AND(AY16="aceptable",AZ16="aceptable",BA16="aceptable"),"Qcorrecto","Qincorrecto"))</f><v /></c><c r="AY16" s="366"><f>IF(AR16&lt;$AH$6,"error",IF(AR16&gt;$AH$6*1.1,"error","aceptable"))</f><v /></c><c r="AZ16" s="366"><f>IF(AF16&lt;$V$6,"error",IF(AF16&gt;$V$6*1.1,"error","aceptable"))</f><v /></c><c r="BA16" s="366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85"><f>SIGN(U16)</f><v /></c><c r="BE16" s="385"><f>SIGN(AG16)</f><v /></c><c r="BF16" s="385"><f>SIGN(AS16)</f><v /></c><c r="BG16" s="385"><f>CONCATENATE(BD16,BE16,BF16)</f><v /></c><c r="BH16" s="385"><f>IF(BG16="111","SI","SD")</f><v /></c><c r="BI16" s="385"><f>IF(BG16="-1-1-1","SI","SD")</f><v /></c><c r="BJ16" s="385"><f>OR(BH16="SI",BI16="SI")</f><v /></c><c r="BK16" s="385"><f>IF(BJ16=FALSE,"SIGDIFERENTES","SIGIGUALES")</f><v /></c><c r="BL16" s="366"><f>IF(BC16="NO CONFORME","NO CONFORME",IF(BB16="CONFORME","CONFORME","NO CONFORME"))</f><v /></c></row><row r="17" ht="15" customHeight="1"><c r="A17" s="351" t="n"><v>9</v></c><c r="B17" s="386"><f>B16</f><v /></c><c r="C17" s="386"><f>C16</f><v /></c><c r="D17" s="387"><f>D16</f><v /></c><c r="E17" s="371"><f>E16</f><v /></c><c r="F17" s="58" t="n" /><c r="G17" s="355" t="inlineStr"><is><t>PA25516873</t></is></c><c r="H17" s="388"><f>H16</f><v /></c><c r="I17" s="232"><f>I16</f><v /></c><c r="J17" s="389"><f>J16</f><v /></c><c r="K17" s="390"><f>K16</f><v /></c><c r="L17" s="390"><f>L16</f><v /></c><c r="M17" s="356" t="n"><v>209.35</v></c><c r="N17" s="356" t="n"><v>309.4</v></c><c r="O17" s="391"><f>O16</f><v /></c><c r="P17" s="392"><f>P16</f><v /></c><c r="Q17" s="359"><f>LEFT(P17,1)</f><v /></c><c r="R17" s="359"><f>RIGHT(P17,6)</f><v /></c><c r="S17" s="359"><f>+(Q17*60+R17)/(60*60)</f><v /></c><c r="T17" s="360"><f>+O17/S17</f><v /></c><c r="U17" s="361"><f>+(((N17-M17-O17)/O17)*100)</f><v /></c><c r="V17" s="393"><f>V16</f><v /></c><c r="W17" s="394"><f>W16</f><v /></c><c r="X17" s="394"><f>X16</f><v /></c><c r="Y17" s="356" t="n"><v>336.54</v></c><c r="Z17" s="356" t="n"><v>346.42</v></c><c r="AA17" s="395"><f>AA16</f><v /></c><c r="AB17" s="396"><f>AB16</f><v /></c><c r="AC17" s="359"><f>LEFT(AB17,2)</f><v /></c><c r="AD17" s="359"><f>RIGHT(AB17,6)</f><v /></c><c r="AE17" s="359"><f>+(AC17*60+AD17)/(60*60)</f><v /></c><c r="AF17" s="360"><f>+AA17/AE17</f><v /></c><c r="AG17" s="362"><f>+(((Z17-Y17-AA17)/AA17)*100)</f><v /></c><c r="AH17" s="393"><f>AH16</f><v /></c><c r="AI17" s="394"><f>AI16</f><v /></c><c r="AJ17" s="394"><f>AJ16</f><v /></c><c r="AK17" s="356"><f>Z17</f><v /></c><c r="AL17" s="356" t="n"><v>351.35</v></c><c r="AM17" s="397"><f>AM16</f><v /></c><c r="AN17" s="392"><f>AN16</f><v /></c><c r="AO17" s="359"><f>LEFT(AN17,2)</f><v /></c><c r="AP17" s="359"><f>RIGHT(AN17,6)</f><v /></c><c r="AQ17" s="359"><f>+(AO17*60+AP17)/(60*60)</f><v /></c><c r="AR17" s="360"><f>+AM17/AQ17</f><v /></c><c r="AS17" s="362"><f>+(((AL17-AK17-AM17)/AM17)*100)</f><v /></c><c r="AT17" s="364"><f>IF(I17&gt;=1,"NO CONFORME",IF(BK17="SIGDIFERENTES",BC17,BL17))</f><v /></c><c r="AU17" s="365"><f>B17=C17</f><v /></c><c r="AV17" s="365"><f>N17&lt;Y17</f><v /></c><c r="AW17" s="365"><f>Z17&lt;=AK17</f><v /></c><c r="AX17" s="365"><f>IF(I17&gt;=1,"Qcorrecto",IF(AND(AY17="aceptable",AZ17="aceptable",BA17="aceptable"),"Qcorrecto","Qincorrecto"))</f><v /></c><c r="AY17" s="368"><f>IF(AR17&lt;$AH$6,"error",IF(AR17&gt;$AH$6*1.1,"error","aceptable"))</f><v /></c><c r="AZ17" s="368"><f>IF(AF17&lt;$V$6,"error",IF(AF17&gt;$V$6*1.1,"error","aceptable"))</f><v /></c><c r="BA17" s="368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67"><f>SIGN(U17)</f><v /></c><c r="BE17" s="367"><f>SIGN(AG17)</f><v /></c><c r="BF17" s="367"><f>SIGN(AS17)</f><v /></c><c r="BG17" s="367"><f>CONCATENATE(BD17,BE17,BF17)</f><v /></c><c r="BH17" s="367"><f>IF(BG17="111","SI","SD")</f><v /></c><c r="BI17" s="367"><f>IF(BG17="-1-1-1","SI","SD")</f><v /></c><c r="BJ17" s="367"><f>OR(BH17="SI",BI17="SI")</f><v /></c><c r="BK17" s="367"><f>IF(BJ17=FALSE,"SIGDIFERENTES","SIGIGUALES")</f><v /></c><c r="BL17" s="368"><f>IF(BC17="NO CONFORME","NO CONFORME",IF(BB17="CONFORME","CONFORME","NO CONFORME"))</f><v /></c></row><row r="18" ht="15" customHeight="1" thickBot="1"><c r="A18" s="351" t="n"><v>10</v></c><c r="B18" s="369"><f>B17</f><v /></c><c r="C18" s="369"><f>C17</f><v /></c><c r="D18" s="370"><f>D17</f><v /></c><c r="E18" s="371"><f>E17</f><v /></c><c r="F18" s="13" t="n" /><c r="G18" s="355" t="inlineStr"><is><t>PA25516874</t></is></c><c r="H18" s="313"><f>H17</f><v /></c><c r="I18" s="38"><f>I17</f><v /></c><c r="J18" s="314"><f>J17</f><v /></c><c r="K18" s="372"><f>K17</f><v /></c><c r="L18" s="372"><f>L17</f><v /></c><c r="M18" s="373" t="n"><v>208.55</v></c><c r="N18" s="373" t="n"><v>308.29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9"><f>W17</f><v /></c><c r="X18" s="379"><f>X17</f><v /></c><c r="Y18" s="373" t="n"><v>335.35</v></c><c r="Z18" s="373" t="n"><v>345.28</v></c><c r="AA18" s="380"><f>AA17</f><v /></c><c r="AB18" s="381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9"><f>AI17</f><v /></c><c r="AJ18" s="379"><f>AJ17</f><v /></c><c r="AK18" s="373"><f>Z18</f><v /></c><c r="AL18" s="373" t="n"><v>350.3</v></c><c r="AM18" s="382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3"><f>IF(I18&gt;=1,"NO CONFORME",IF(BK18="SIGDIFERENTES",BC18,BL18))</f><v /></c><c r="AU18" s="365"><f>B18=C18</f><v /></c><c r="AV18" s="365"><f>N18&lt;Y18</f><v /></c><c r="AW18" s="365"><f>Z18&lt;=AK18</f><v /></c><c r="AX18" s="365"><f>IF(I18&gt;=1,"Qcorrecto",IF(AND(AY18="aceptable",AZ18="aceptable",BA18="aceptable"),"Qcorrecto","Qincorrecto"))</f><v /></c><c r="AY18" s="366"><f>IF(AR18&lt;$AH$6,"error",IF(AR18&gt;$AH$6*1.1,"error","aceptable"))</f><v /></c><c r="AZ18" s="366"><f>IF(AF18&lt;$V$6,"error",IF(AF18&gt;$V$6*1.1,"error","aceptable"))</f><v /></c><c r="BA18" s="366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7"><f>SIGN(U18)</f><v /></c><c r="BE18" s="367"><f>SIGN(AG18)</f><v /></c><c r="BF18" s="367"><f>SIGN(AS18)</f><v /></c><c r="BG18" s="367"><f>CONCATENATE(BD18,BE18,BF18)</f><v /></c><c r="BH18" s="367"><f>IF(BG18="111","SI","SD")</f><v /></c><c r="BI18" s="367"><f>IF(BG18="-1-1-1","SI","SD")</f><v /></c><c r="BJ18" s="367"><f>OR(BH18="SI",BI18="SI")</f><v /></c><c r="BK18" s="367"><f>IF(BJ18=FALSE,"SIGDIFERENTES","SIGIGUALES")</f><v /></c><c r="BL18" s="366"><f>IF(BC18="NO CONFORME","NO CONFORME",IF(BB18="CONFORME","CONFORME","NO CONFORME"))</f><v /></c></row><row r="19" ht="15.75" customHeight="1" thickBot="1"><c r="A19" s="398" t="n"><v>11</v></c><c r="B19" s="399"><f>B18</f><v /></c><c r="C19" s="399"><f>C18</f><v /></c><c r="D19" s="400"><f>D18</f><v /></c><c r="E19" s="371"><f>E18</f><v /></c><c r="F19" s="56" t="n" /><c r="G19" s="355" t="inlineStr"><is><t>PA25516875</t></is></c><c r="H19" s="401"><f>H18</f><v /></c><c r="I19" s="402"><f>I18</f><v /></c><c r="J19" s="403"><f>J18</f><v /></c><c r="K19" s="404"><f>K18</f><v /></c><c r="L19" s="404"><f>L18</f><v /></c><c r="M19" s="405" t="n"><v>208.27</v></c><c r="N19" s="405" t="n"><v>308.79</v></c><c r="O19" s="406"><f>O18</f><v /></c><c r="P19" s="407"><f>P18</f><v /></c><c r="Q19" s="408"><f>LEFT(P19,1)</f><v /></c><c r="R19" s="408"><f>RIGHT(P19,6)</f><v /></c><c r="S19" s="408"><f>+(Q19*60+R19)/(60*60)</f><v /></c><c r="T19" s="409"><f>+O19/S19</f><v /></c><c r="U19" s="410"><f>+(((N19-M19-O19)/O19)*100)</f><v /></c><c r="V19" s="411"><f>V18</f><v /></c><c r="W19" s="412"><f>W18</f><v /></c><c r="X19" s="412"><f>X18</f><v /></c><c r="Y19" s="405" t="n"><v>335.94</v></c><c r="Z19" s="405" t="n"><v>345.89</v></c><c r="AA19" s="413"><f>AA18</f><v /></c><c r="AB19" s="414"><f>AB18</f><v /></c><c r="AC19" s="408"><f>LEFT(AB19,2)</f><v /></c><c r="AD19" s="408"><f>RIGHT(AB19,6)</f><v /></c><c r="AE19" s="408"><f>+(AC19*60+AD19)/(60*60)</f><v /></c><c r="AF19" s="409"><f>+AA19/AE19</f><v /></c><c r="AG19" s="415"><f>+(((Z19-Y19-AA19)/AA19)*100)</f><v /></c><c r="AH19" s="411"><f>AH18</f><v /></c><c r="AI19" s="412"><f>AI18</f><v /></c><c r="AJ19" s="412"><f>AJ18</f><v /></c><c r="AK19" s="405"><f>Z19</f><v /></c><c r="AL19" s="405" t="n"><v>350.88</v></c><c r="AM19" s="416"><f>AM18</f><v /></c><c r="AN19" s="407"><f>AN18</f><v /></c><c r="AO19" s="408"><f>LEFT(AN19,2)</f><v /></c><c r="AP19" s="408"><f>RIGHT(AN19,6)</f><v /></c><c r="AQ19" s="408"><f>+(AO19*60+AP19)/(60*60)</f><v /></c><c r="AR19" s="409"><f>+AM19/AQ19</f><v /></c><c r="AS19" s="415"><f>+(((AL19-AK19-AM19)/AM19)*100)</f><v /></c><c r="AT19" s="417"><f>IF(I19&gt;=1,"NO CONFORME",IF(BK19="SIGDIFERENTES",BC19,BL19))</f><v /></c><c r="AU19" s="365"><f>B19=C19</f><v /></c><c r="AV19" s="365"><f>N19&lt;Y19</f><v /></c><c r="AW19" s="365"><f>Z19&lt;=AK19</f><v /></c><c r="AX19" s="365"><f>IF(I19&gt;=1,"Qcorrecto",IF(AND(AY19="aceptable",AZ19="aceptable",BA19="aceptable"),"Qcorrecto","Qincorrecto"))</f><v /></c><c r="AY19" s="418"><f>IF(AR19&lt;$AH$6,"error",IF(AR19&gt;$AH$6*1.1,"error","aceptable"))</f><v /></c><c r="AZ19" s="418"><f>IF(AF19&lt;$V$6,"error",IF(AF19&gt;$V$6*1.1,"error","aceptable"))</f><v /></c><c r="BA19" s="418"><f>IF(T19&lt;$J$6*0.9,"error",IF(T19&gt;$J$6,"error","aceptable"))</f><v /></c><c r="BB19" s="419"><f>(IF(ABS(U19)&lt;1.05,"CONFORME",IF(ABS(AG19)&lt;1.05,"CONFORME",IF(ABS(AS19)&lt;2.55,"CONFORME","NO CONFORME"))))</f><v /></c><c r="BC19" s="420"><f>(IF(ABS(U19)&gt;2.05,"NO CONFORME",IF(ABS(AG19)&gt;2.05,"NO CONFORME",IF(ABS(AS19)&gt;5.05,"NO CONFORME","CONFORME"))))</f><v /></c><c r="BD19" s="367"><f>SIGN(U19)</f><v /></c><c r="BE19" s="367"><f>SIGN(AG19)</f><v /></c><c r="BF19" s="367"><f>SIGN(AS19)</f><v /></c><c r="BG19" s="367"><f>CONCATENATE(BD19,BE19,BF19)</f><v /></c><c r="BH19" s="367"><f>IF(BG19="111","SI","SD")</f><v /></c><c r="BI19" s="367"><f>IF(BG19="-1-1-1","SI","SD")</f><v /></c><c r="BJ19" s="367"><f>OR(BH19="SI",BI19="SI")</f><v /></c><c r="BK19" s="367"><f>IF(BJ19=FALSE,"SIGDIFERENTES","SIGIGUALES")</f><v /></c><c r="BL19" s="418"><f>IF(BC19="NO CONFORME","NO CONFORME",IF(BB19="CONFORME","CONFORME","NO CONFORME"))</f><v /></c></row><row r="20" ht="15" customHeight="1" thickBot="1"><c r="A20" s="371" t="n"><v>12</v></c><c r="B20" s="369"><f>B19</f><v /></c><c r="C20" s="369"><f>C19</f><v /></c><c r="D20" s="370"><f>D19</f><v /></c><c r="E20" s="371"><f>E19</f><v /></c><c r="F20" s="13" t="n" /><c r="G20" s="355" t="inlineStr"><is><t>PA25516876</t></is></c><c r="H20" s="313"><f>H19</f><v /></c><c r="I20" s="38"><f>I19</f><v /></c><c r="J20" s="314"><f>J19</f><v /></c><c r="K20" s="372"><f>K19</f><v /></c><c r="L20" s="372"><f>L19</f><v /></c><c r="M20" s="373" t="n"><v>247.8</v></c><c r="N20" s="373" t="n"><v>347.95</v></c><c r="O20" s="374"><f>O19</f><v /></c><c r="P20" s="407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9"><f>W19</f><v /></c><c r="X20" s="379"><f>X19</f><v /></c><c r="Y20" s="373" t="n"><v>375.03</v></c><c r="Z20" s="373" t="n"><v>384.95</v></c><c r="AA20" s="380"><f>AA19</f><v /></c><c r="AB20" s="381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9"><f>AI19</f><v /></c><c r="AJ20" s="379"><f>AJ19</f><v /></c><c r="AK20" s="373"><f>Z20</f><v /></c><c r="AL20" s="373" t="n"><v>389.9</v></c><c r="AM20" s="382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3"><f>IF(I20&gt;=1,"NO CONFORME",IF(BK20="SIGDIFERENTES",BC20,BL20))</f><v /></c><c r="AU20" s="421"><f>B20=C20</f><v /></c><c r="AV20" s="421"><f>N20&lt;Y20</f><v /></c><c r="AW20" s="421"><f>Z20&lt;=AK20</f><v /></c><c r="AX20" s="421"><f>IF(I20&gt;=1,"Qcorrecto",IF(AND(AY20="aceptable",AZ20="aceptable",BA20="aceptable"),"Qcorrecto","Qincorrecto"))</f><v /></c><c r="AY20" s="366"><f>IF(AR20&lt;$AH$6,"error",IF(AR20&gt;$AH$6*1.1,"error","aceptable"))</f><v /></c><c r="AZ20" s="366"><f>IF(AF20&lt;$V$6,"error",IF(AF20&gt;$V$6*1.1,"error","aceptable"))</f><v /></c><c r="BA20" s="366"><f>IF(T20&lt;$J$6*0.9,"error",IF(T20&gt;$J$6,"error","aceptable"))</f><v /></c><c r="BB20" s="422"><f>(IF(ABS(U20)&lt;1.05,"CONFORME",IF(ABS(AG20)&lt;1.05,"CONFORME",IF(ABS(AS20)&lt;2.55,"CONFORME","NO CONFORME"))))</f><v /></c><c r="BC20" s="423"><f>(IF(ABS(U20)&gt;2.05,"NO CONFORME",IF(ABS(AG20)&gt;2.05,"NO CONFORME",IF(ABS(AS20)&gt;5.05,"NO CONFORME","CONFORME"))))</f><v /></c><c r="BD20" s="424"><f>SIGN(U20)</f><v /></c><c r="BE20" s="424"><f>SIGN(AG20)</f><v /></c><c r="BF20" s="424"><f>SIGN(AS20)</f><v /></c><c r="BG20" s="424"><f>CONCATENATE(BD20,BE20,BF20)</f><v /></c><c r="BH20" s="424"><f>IF(BG20="111","SI","SD")</f><v /></c><c r="BI20" s="424"><f>IF(BG20="-1-1-1","SI","SD")</f><v /></c><c r="BJ20" s="424"><f>OR(BH20="SI",BI20="SI")</f><v /></c><c r="BK20" s="424"><f>IF(BJ20=FALSE,"SIGDIFERENTES","SIGIGUALES")</f><v /></c><c r="BL20" s="366"><f>IF(BC20="NO CONFORME","NO CONFORME",IF(BB20="CONFORME","CONFORME","NO CONFORME"))</f><v /></c></row><row r="21" ht="15" customHeight="1" thickBot="1"><c r="A21" s="351" t="n"><v>13</v></c><c r="B21" s="386"><f>B20</f><v /></c><c r="C21" s="386"><f>C20</f><v /></c><c r="D21" s="387"><f>D20</f><v /></c><c r="E21" s="371"><f>E20</f><v /></c><c r="F21" s="58" t="n" /><c r="G21" s="355" t="inlineStr"><is><t>PA25516877</t></is></c><c r="H21" s="388"><f>H20</f><v /></c><c r="I21" s="232"><f>I20</f><v /></c><c r="J21" s="314"><f>J20</f><v /></c><c r="K21" s="372"><f>K20</f><v /></c><c r="L21" s="372"><f>L20</f><v /></c><c r="M21" s="356" t="n"><v>248.29</v></c><c r="N21" s="356" t="n"><v>348.55</v></c><c r="O21" s="374"><f>O20</f><v /></c><c r="P21" s="407"><f>P20</f><v /></c><c r="Q21" s="359"><f>LEFT(P21,1)</f><v /></c><c r="R21" s="359"><f>RIGHT(P21,6)</f><v /></c><c r="S21" s="359"><f>+(Q21*60+R21)/(60*60)</f><v /></c><c r="T21" s="360"><f>+O21/S21</f><v /></c><c r="U21" s="361"><f>+(((N21-M21-O21)/O21)*100)</f><v /></c><c r="V21" s="317"><f>V20</f><v /></c><c r="W21" s="379"><f>W20</f><v /></c><c r="X21" s="379"><f>X20</f><v /></c><c r="Y21" s="356" t="n"><v>375.53</v></c><c r="Z21" s="356" t="n"><v>385.41</v></c><c r="AA21" s="380"><f>AA20</f><v /></c><c r="AB21" s="381"><f>AB20</f><v /></c><c r="AC21" s="359"><f>LEFT(AB21,2)</f><v /></c><c r="AD21" s="359"><f>RIGHT(AB21,6)</f><v /></c><c r="AE21" s="359"><f>+(AC21*60+AD21)/(60*60)</f><v /></c><c r="AF21" s="360"><f>+AA21/AE21</f><v /></c><c r="AG21" s="362"><f>+(((Z21-Y21-AA21)/AA21)*100)</f><v /></c><c r="AH21" s="317"><f>AH20</f><v /></c><c r="AI21" s="379"><f>AI20</f><v /></c><c r="AJ21" s="379"><f>AJ20</f><v /></c><c r="AK21" s="356"><f>Z21</f><v /></c><c r="AL21" s="356" t="n"><v>390.37</v></c><c r="AM21" s="382"><f>AM20</f><v /></c><c r="AN21" s="375"><f>AN20</f><v /></c><c r="AO21" s="359"><f>LEFT(AN21,2)</f><v /></c><c r="AP21" s="359"><f>RIGHT(AN21,6)</f><v /></c><c r="AQ21" s="359"><f>+(AO21*60+AP21)/(60*60)</f><v /></c><c r="AR21" s="360"><f>+AM21/AQ21</f><v /></c><c r="AS21" s="362"><f>+(((AL21-AK21-AM21)/AM21)*100)</f><v /></c><c r="AT21" s="364"><f>IF(I21&gt;=1,"NO CONFORME",IF(BK21="SIGDIFERENTES",BC21,BL21))</f><v /></c><c r="AU21" s="365"><f>B21=C21</f><v /></c><c r="AV21" s="365"><f>N21&lt;Y21</f><v /></c><c r="AW21" s="365"><f>Z21&lt;=AK21</f><v /></c><c r="AX21" s="365"><f>IF(I21&gt;=1,"Qcorrecto",IF(AND(AY21="aceptable",AZ21="aceptable",BA21="aceptable"),"Qcorrecto","Qincorrecto"))</f><v /></c><c r="AY21" s="368"><f>IF(AR21&lt;$AH$6,"error",IF(AR21&gt;$AH$6*1.1,"error","aceptable"))</f><v /></c><c r="AZ21" s="368"><f>IF(AF21&lt;$V$6,"error",IF(AF21&gt;$V$6*1.1,"error","aceptable"))</f><v /></c><c r="BA21" s="368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7"><f>SIGN(U21)</f><v /></c><c r="BE21" s="367"><f>SIGN(AG21)</f><v /></c><c r="BF21" s="367"><f>SIGN(AS21)</f><v /></c><c r="BG21" s="367"><f>CONCATENATE(BD21,BE21,BF21)</f><v /></c><c r="BH21" s="367"><f>IF(BG21="111","SI","SD")</f><v /></c><c r="BI21" s="367"><f>IF(BG21="-1-1-1","SI","SD")</f><v /></c><c r="BJ21" s="367"><f>OR(BH21="SI",BI21="SI")</f><v /></c><c r="BK21" s="367"><f>IF(BJ21=FALSE,"SIGDIFERENTES","SIGIGUALES")</f><v /></c><c r="BL21" s="368"><f>IF(BC21="NO CONFORME","NO CONFORME",IF(BB21="CONFORME","CONFORME","NO CONFORME"))</f><v /></c></row><row r="22" ht="15.75" customHeight="1" thickBot="1"><c r="A22" s="351" t="n"><v>14</v></c><c r="B22" s="369"><f>B21</f><v /></c><c r="C22" s="369"><f>C21</f><v /></c><c r="D22" s="370"><f>D21</f><v /></c><c r="E22" s="371"><f>E21</f><v /></c><c r="F22" s="13" t="n" /><c r="G22" s="355" t="inlineStr"><is><t>PA25516878</t></is></c><c r="H22" s="313"><f>H21</f><v /></c><c r="I22" s="38"><f>I21</f><v /></c><c r="J22" s="314"><f>J21</f><v /></c><c r="K22" s="372"><f>K21</f><v /></c><c r="L22" s="372"><f>L21</f><v /></c><c r="M22" s="373" t="n"><v>207.53</v></c><c r="N22" s="373" t="n"><v>307.39</v></c><c r="O22" s="374"><f>O21</f><v /></c><c r="P22" s="407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9"><f>W21</f><v /></c><c r="X22" s="379"><f>X21</f><v /></c><c r="Y22" s="373" t="n"><v>334.49</v></c><c r="Z22" s="373" t="n"><v>344.44</v></c><c r="AA22" s="380"><f>AA21</f><v /></c><c r="AB22" s="381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9"><f>AI21</f><v /></c><c r="AJ22" s="379"><f>AJ21</f><v /></c><c r="AK22" s="373"><f>Z22</f><v /></c><c r="AL22" s="373" t="n"><v>349.45</v></c><c r="AM22" s="382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3"><f>IF(I22&gt;=1,"NO CONFORME",IF(BK22="SIGDIFERENTES",BC22,BL22))</f><v /></c><c r="AU22" s="365"><f>B22=C22</f><v /></c><c r="AV22" s="365"><f>N22&lt;Y22</f><v /></c><c r="AW22" s="365"><f>Z22&lt;=AK22</f><v /></c><c r="AX22" s="365"><f>IF(I22&gt;=1,"Qcorrecto",IF(AND(AY22="aceptable",AZ22="aceptable",BA22="aceptable"),"Qcorrecto","Qincorrecto"))</f><v /></c><c r="AY22" s="366"><f>IF(AR22&lt;$AH$6,"error",IF(AR22&gt;$AH$6*1.1,"error","aceptable"))</f><v /></c><c r="AZ22" s="366"><f>IF(AF22&lt;$V$6,"error",IF(AF22&gt;$V$6*1.1,"error","aceptable"))</f><v /></c><c r="BA22" s="366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7"><f>SIGN(U22)</f><v /></c><c r="BE22" s="367"><f>SIGN(AG22)</f><v /></c><c r="BF22" s="367"><f>SIGN(AS22)</f><v /></c><c r="BG22" s="367"><f>CONCATENATE(BD22,BE22,BF22)</f><v /></c><c r="BH22" s="367"><f>IF(BG22="111","SI","SD")</f><v /></c><c r="BI22" s="367"><f>IF(BG22="-1-1-1","SI","SD")</f><v /></c><c r="BJ22" s="367"><f>OR(BH22="SI",BI22="SI")</f><v /></c><c r="BK22" s="367"><f>IF(BJ22=FALSE,"SIGDIFERENTES","SIGIGUALES")</f><v /></c><c r="BL22" s="366"><f>IF(BC22="NO CONFORME","NO CONFORME",IF(BB22="CONFORME","CONFORME","NO CONFORME"))</f><v /></c></row><row r="23" ht="15" customHeight="1" thickBot="1"><c r="A23" s="351" t="n"><v>15</v></c><c r="B23" s="369"><f>B22</f><v /></c><c r="C23" s="369"><f>C22</f><v /></c><c r="D23" s="370"><f>D22</f><v /></c><c r="E23" s="371"><f>E22</f><v /></c><c r="F23" s="13" t="n" /><c r="G23" s="355" t="inlineStr"><is><t>PA25516879</t></is></c><c r="H23" s="313"><f>H22</f><v /></c><c r="I23" s="38"><f>I22</f><v /></c><c r="J23" s="314"><f>J22</f><v /></c><c r="K23" s="372"><f>K22</f><v /></c><c r="L23" s="372"><f>L22</f><v /></c><c r="M23" s="373" t="n"><v>246.77</v></c><c r="N23" s="373" t="n"><v>346.77</v></c><c r="O23" s="374"><f>O22</f><v /></c><c r="P23" s="407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9"><f>W22</f><v /></c><c r="X23" s="379"><f>X22</f><v /></c><c r="Y23" s="373" t="n"><v>373.78</v></c><c r="Z23" s="373" t="n"><v>383.67</v></c><c r="AA23" s="380"><f>AA22</f><v /></c><c r="AB23" s="381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9"><f>AI22</f><v /></c><c r="AJ23" s="379"><f>AJ22</f><v /></c><c r="AK23" s="373"><f>Z23</f><v /></c><c r="AL23" s="373" t="n"><v>388.63</v></c><c r="AM23" s="382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3"><f>IF(I23&gt;=1,"NO CONFORME",IF(BK23="SIGDIFERENTES",BC23,BL23))</f><v /></c><c r="AU23" s="365"><f>B23=C23</f><v /></c><c r="AV23" s="365"><f>N23&lt;Y23</f><v /></c><c r="AW23" s="365"><f>Z23&lt;=AK23</f><v /></c><c r="AX23" s="365"><f>IF(I23&gt;=1,"Qcorrecto",IF(AND(AY23="aceptable",AZ23="aceptable",BA23="aceptable"),"Qcorrecto","Qincorrecto"))</f><v /></c><c r="AY23" s="366"><f>IF(AR23&lt;$AH$6,"error",IF(AR23&gt;$AH$6*1.1,"error","aceptable"))</f><v /></c><c r="AZ23" s="366"><f>IF(AF23&lt;$V$6,"error",IF(AF23&gt;$V$6*1.1,"error","aceptable"))</f><v /></c><c r="BA23" s="366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7"><f>SIGN(U23)</f><v /></c><c r="BE23" s="367"><f>SIGN(AG23)</f><v /></c><c r="BF23" s="367"><f>SIGN(AS23)</f><v /></c><c r="BG23" s="367"><f>CONCATENATE(BD23,BE23,BF23)</f><v /></c><c r="BH23" s="367"><f>IF(BG23="111","SI","SD")</f><v /></c><c r="BI23" s="367"><f>IF(BG23="-1-1-1","SI","SD")</f><v /></c><c r="BJ23" s="367"><f>OR(BH23="SI",BI23="SI")</f><v /></c><c r="BK23" s="367"><f>IF(BJ23=FALSE,"SIGDIFERENTES","SIGIGUALES")</f><v /></c><c r="BL23" s="366"><f>IF(BC23="NO CONFORME","NO CONFORME",IF(BB23="CONFORME","CONFORME","NO CONFORME"))</f><v /></c></row><row r="24" ht="15" customHeight="1" thickBot="1"><c r="A24" s="398" t="n"><v>16</v></c><c r="B24" s="399"><f>B23</f><v /></c><c r="C24" s="399"><f>C23</f><v /></c><c r="D24" s="400"><f>D23</f><v /></c><c r="E24" s="371"><f>E23</f><v /></c><c r="F24" s="56" t="n" /><c r="G24" s="425" t="inlineStr"><is><t>PA25516880</t></is></c><c r="H24" s="401"><f>H23</f><v /></c><c r="I24" s="402"><f>I23</f><v /></c><c r="J24" s="403"><f>J23</f><v /></c><c r="K24" s="404"><f>K23</f><v /></c><c r="L24" s="404"><f>L23</f><v /></c><c r="M24" s="405" t="n"><v>206.75</v></c><c r="N24" s="405" t="n"><v>306.42</v></c><c r="O24" s="406"><f>O23</f><v /></c><c r="P24" s="407"><f>P23</f><v /></c><c r="Q24" s="408"><f>LEFT(P24,1)</f><v /></c><c r="R24" s="408"><f>RIGHT(P24,6)</f><v /></c><c r="S24" s="408"><f>+(Q24*60+R24)/(60*60)</f><v /></c><c r="T24" s="409"><f>+O24/S24</f><v /></c><c r="U24" s="410"><f>+(((N24-M24-O24)/O24)*100)</f><v /></c><c r="V24" s="411"><f>V23</f><v /></c><c r="W24" s="412"><f>W23</f><v /></c><c r="X24" s="412"><f>X23</f><v /></c><c r="Y24" s="405" t="n"><v>333.48</v></c><c r="Z24" s="405" t="n"><v>343.43</v></c><c r="AA24" s="413"><f>AA23</f><v /></c><c r="AB24" s="414"><f>AB23</f><v /></c><c r="AC24" s="408"><f>LEFT(AB24,2)</f><v /></c><c r="AD24" s="408"><f>RIGHT(AB24,6)</f><v /></c><c r="AE24" s="408"><f>+(AC24*60+AD24)/(60*60)</f><v /></c><c r="AF24" s="409"><f>+AA24/AE24</f><v /></c><c r="AG24" s="415"><f>+(((Z24-Y24-AA24)/AA24)*100)</f><v /></c><c r="AH24" s="411"><f>AH23</f><v /></c><c r="AI24" s="412"><f>AI23</f><v /></c><c r="AJ24" s="412"><f>AJ23</f><v /></c><c r="AK24" s="405"><f>Z24</f><v /></c><c r="AL24" s="405" t="n"><v>348.44</v></c><c r="AM24" s="416"><f>AM23</f><v /></c><c r="AN24" s="407"><f>AN23</f><v /></c><c r="AO24" s="408"><f>LEFT(AN24,2)</f><v /></c><c r="AP24" s="408"><f>RIGHT(AN24,6)</f><v /></c><c r="AQ24" s="408"><f>+(AO24*60+AP24)/(60*60)</f><v /></c><c r="AR24" s="409"><f>+AM24/AQ24</f><v /></c><c r="AS24" s="415"><f>+(((AL24-AK24-AM24)/AM24)*100)</f><v /></c><c r="AT24" s="417"><f>IF(I24&gt;=1,"NO CONFORME",IF(BK24="SIGDIFERENTES",BC24,BL24))</f><v /></c><c r="AU24" s="426"><f>B24=C24</f><v /></c><c r="AV24" s="426"><f>N24&lt;Y24</f><v /></c><c r="AW24" s="426"><f>Z24&lt;=AK24</f><v /></c><c r="AX24" s="426"><f>IF(I24&gt;=1,"Qcorrecto",IF(AND(AY24="aceptable",AZ24="aceptable",BA24="aceptable"),"Qcorrecto","Qincorrecto"))</f><v /></c><c r="AY24" s="427"><f>IF(AR24&lt;$AH$6,"error",IF(AR24&gt;$AH$6*1.1,"error","aceptable"))</f><v /></c><c r="AZ24" s="427"><f>IF(AF24&lt;$V$6,"error",IF(AF24&gt;$V$6*1.1,"error","aceptable"))</f><v /></c><c r="BA24" s="427"><f>IF(T24&lt;$J$6*0.9,"error",IF(T24&gt;$J$6,"error","aceptable"))</f><v /></c><c r="BB24" s="428"><f>(IF(ABS(U24)&lt;1.05,"CONFORME",IF(ABS(AG24)&lt;1.05,"CONFORME",IF(ABS(AS24)&lt;2.55,"CONFORME","NO CONFORME"))))</f><v /></c><c r="BC24" s="429"><f>(IF(ABS(U24)&gt;2.05,"NO CONFORME",IF(ABS(AG24)&gt;2.05,"NO CONFORME",IF(ABS(AS24)&gt;5.05,"NO CONFORME","CONFORME"))))</f><v /></c><c r="BD24" s="430"><f>SIGN(U24)</f><v /></c><c r="BE24" s="430"><f>SIGN(AG24)</f><v /></c><c r="BF24" s="430"><f>SIGN(AS24)</f><v /></c><c r="BG24" s="430"><f>CONCATENATE(BD24,BE24,BF24)</f><v /></c><c r="BH24" s="430"><f>IF(BG24="111","SI","SD")</f><v /></c><c r="BI24" s="430"><f>IF(BG24="-1-1-1","SI","SD")</f><v /></c><c r="BJ24" s="430"><f>OR(BH24="SI",BI24="SI")</f><v /></c><c r="BK24" s="430"><f>IF(BJ24=FALSE,"SIGDIFERENTES","SIGIGUALES")</f><v /></c><c r="BL24" s="427"><f>IF(BC24="NO CONFORME","NO CONFORME",IF(BB24="CONFORME","CONFORME","NO CONFORME"))</f><v /></c></row><row r="25" ht="15" customHeight="1" thickBot="1"><c r="A25" s="431" t="n"><v>17</v></c><c r="B25" s="432"><f>B24</f><v /></c><c r="C25" s="432"><f>C24</f><v /></c><c r="D25" s="433"><f>D24</f><v /></c><c r="E25" s="371"><f>E24</f><v /></c><c r="F25" s="46" t="n" /><c r="G25" s="434" t="inlineStr"><is><t>PA25516881</t></is></c><c r="H25" s="435"><f>H24</f><v /></c><c r="I25" s="436"><f>I24</f><v /></c><c r="J25" s="437" t="n"><v>20.5</v></c><c r="K25" s="438" t="n"><v>8.487</v></c><c r="L25" s="438" t="n"><v>0.592</v></c><c r="M25" s="439" t="n"><v>100.7</v></c><c r="N25" s="439" t="n"><v>199.56</v></c><c r="O25" s="440" t="n"><v>100.31</v></c><c r="P25" s="441" t="inlineStr"><is><t>2,30,140</t></is></c><c r="Q25" s="442"><f>LEFT(P25,1)</f><v /></c><c r="R25" s="442"><f>RIGHT(P25,6)</f><v /></c><c r="S25" s="442"><f>+(Q25*60+R25)/(60*60)</f><v /></c><c r="T25" s="443"><f>+O25/S25</f><v /></c><c r="U25" s="444"><f>+(((N25-M25-O25)/O25)*100)</f><v /></c><c r="V25" s="445" t="n"><v>20.7</v></c><c r="W25" s="446" t="n"><v>1.095</v></c><c r="X25" s="446" t="n"><v>1.086</v></c><c r="Y25" s="439" t="n"><v>224.84</v></c><c r="Z25" s="439" t="n"><v>234.76</v></c><c r="AA25" s="447" t="n"><v>10.008</v></c><c r="AB25" s="447" t="inlineStr"><is><t>22,32,060</t></is></c><c r="AC25" s="442"><f>LEFT(AB25,2)</f><v /></c><c r="AD25" s="442"><f>RIGHT(AB25,6)</f><v /></c><c r="AE25" s="442"><f>+(AC25*60+AD25)/(60*60)</f><v /></c><c r="AF25" s="443"><f>+AA25/AE25</f><v /></c><c r="AG25" s="309"><f>+(((Z25-Y25-AA25)/AA25)*100)</f><v /></c><c r="AH25" s="445" t="n"><v>21.3</v></c><c r="AI25" s="446" t="n"><v>1.096</v></c><c r="AJ25" s="446" t="n"><v>1.087</v></c><c r="AK25" s="439"><f>Z25</f><v /></c><c r="AL25" s="439" t="n"><v>239.72</v></c><c r="AM25" s="448" t="n"><v>5.005</v></c><c r="AN25" s="449" t="inlineStr"><is><t>18,09,850</t></is></c><c r="AO25" s="442"><f>LEFT(AN25,2)</f><v /></c><c r="AP25" s="442"><f>RIGHT(AN25,6)</f><v /></c><c r="AQ25" s="442"><f>+(AO25*60+AP25)/(60*60)</f><v /></c><c r="AR25" s="443"><f>+AM25/AQ25</f><v /></c><c r="AS25" s="309"><f>+(((AL25-AK25-AM25)/AM25)*100)</f><v /></c><c r="AT25" s="450"><f>IF(I25&gt;=1,"NO CONFORME",IF(BK25="SIGDIFERENTES",BC25,BL25))</f><v /></c><c r="AU25" s="365"><f>B25=C25</f><v /></c><c r="AV25" s="365"><f>N25&lt;Y25</f><v /></c><c r="AW25" s="365"><f>Z25&lt;=AK25</f><v /></c><c r="AX25" s="365"><f>IF(I25&gt;=1,"Qcorrecto",IF(AND(AY25="aceptable",AZ25="aceptable",BA25="aceptable"),"Qcorrecto","Qincorrecto"))</f><v /></c><c r="AY25" s="368"><f>IF(AR25&lt;$AH$6,"error",IF(AR25&gt;$AH$6*1.1,"error","aceptable"))</f><v /></c><c r="AZ25" s="368"><f>IF(AF25&lt;$V$6,"error",IF(AF25&gt;$V$6*1.1,"error","aceptable"))</f><v /></c><c r="BA25" s="368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7"><f>SIGN(U25)</f><v /></c><c r="BE25" s="367"><f>SIGN(AG25)</f><v /></c><c r="BF25" s="367"><f>SIGN(AS25)</f><v /></c><c r="BG25" s="367"><f>CONCATENATE(BD25,BE25,BF25)</f><v /></c><c r="BH25" s="367"><f>IF(BG25="111","SI","SD")</f><v /></c><c r="BI25" s="367"><f>IF(BG25="-1-1-1","SI","SD")</f><v /></c><c r="BJ25" s="367"><f>OR(BH25="SI",BI25="SI")</f><v /></c><c r="BK25" s="367"><f>IF(BJ25=FALSE,"SIGDIFERENTES","SIGIGUALES")</f><v /></c><c r="BL25" s="368"><f>IF(BC25="NO CONFORME","NO CONFORME",IF(BB25="CONFORME","CONFORME","NO CONFORME"))</f><v /></c></row><row r="26" ht="15" customHeight="1" thickBot="1"><c r="A26" s="351" t="n"><v>18</v></c><c r="B26" s="369"><f>B25</f><v /></c><c r="C26" s="369"><f>C25</f><v /></c><c r="D26" s="370"><f>D25</f><v /></c><c r="E26" s="371"><f>E25</f><v /></c><c r="F26" s="13" t="n" /><c r="G26" s="355" t="inlineStr"><is><t>PA25516882</t></is></c><c r="H26" s="313"><f>H25</f><v /></c><c r="I26" s="38"><f>I25</f><v /></c><c r="J26" s="314"><f>J25</f><v /></c><c r="K26" s="372"><f>K25</f><v /></c><c r="L26" s="372"><f>L25</f><v /></c><c r="M26" s="373" t="n"><v>141.29</v></c><c r="N26" s="373" t="n"><v>240.55</v></c><c r="O26" s="374"><f>O25</f><v /></c><c r="P26" s="407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9"><f>W25</f><v /></c><c r="X26" s="379"><f>X25</f><v /></c><c r="Y26" s="373" t="n"><v>265.99</v></c><c r="Z26" s="373" t="n"><v>275.99</v></c><c r="AA26" s="380"><f>AA25</f><v /></c><c r="AB26" s="381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9"><f>AI25</f><v /></c><c r="AJ26" s="379"><f>AJ25</f><v /></c><c r="AK26" s="373"><f>Z26</f><v /></c><c r="AL26" s="373" t="n"><v>281.02</v></c><c r="AM26" s="382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3"><f>IF(I26&gt;=1,"NO CONFORME",IF(BK26="SIGDIFERENTES",BC26,BL26))</f><v /></c><c r="AU26" s="365"><f>B26=C26</f><v /></c><c r="AV26" s="365"><f>N26&lt;Y26</f><v /></c><c r="AW26" s="365"><f>Z26&lt;=AK26</f><v /></c><c r="AX26" s="365"><f>IF(I26&gt;=1,"Qcorrecto",IF(AND(AY26="aceptable",AZ26="aceptable",BA26="aceptable"),"Qcorrecto","Qincorrecto"))</f><v /></c><c r="AY26" s="366"><f>IF(AR26&lt;$AH$6,"error",IF(AR26&gt;$AH$6*1.1,"error","aceptable"))</f><v /></c><c r="AZ26" s="366"><f>IF(AF26&lt;$V$6,"error",IF(AF26&gt;$V$6*1.1,"error","aceptable"))</f><v /></c><c r="BA26" s="366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7"><f>SIGN(U26)</f><v /></c><c r="BE26" s="367"><f>SIGN(AG26)</f><v /></c><c r="BF26" s="367"><f>SIGN(AS26)</f><v /></c><c r="BG26" s="367"><f>CONCATENATE(BD26,BE26,BF26)</f><v /></c><c r="BH26" s="367"><f>IF(BG26="111","SI","SD")</f><v /></c><c r="BI26" s="367"><f>IF(BG26="-1-1-1","SI","SD")</f><v /></c><c r="BJ26" s="367"><f>OR(BH26="SI",BI26="SI")</f><v /></c><c r="BK26" s="367"><f>IF(BJ26=FALSE,"SIGDIFERENTES","SIGIGUALES")</f><v /></c><c r="BL26" s="366"><f>IF(BC26="NO CONFORME","NO CONFORME",IF(BB26="CONFORME","CONFORME","NO CONFORME"))</f><v /></c></row><row r="27" ht="15" customHeight="1" thickBot="1"><c r="A27" s="351" t="n"><v>19</v></c><c r="B27" s="369"><f>B26</f><v /></c><c r="C27" s="369"><f>C26</f><v /></c><c r="D27" s="370"><f>D26</f><v /></c><c r="E27" s="371"><f>E26</f><v /></c><c r="F27" s="13" t="n" /><c r="G27" s="355" t="inlineStr"><is><t>PA25516883</t></is></c><c r="H27" s="313"><f>H26</f><v /></c><c r="I27" s="38"><f>I26</f><v /></c><c r="J27" s="314"><f>J26</f><v /></c><c r="K27" s="372"><f>K26</f><v /></c><c r="L27" s="372"><f>L26</f><v /></c><c r="M27" s="373" t="n"><v>103.19</v></c><c r="N27" s="373" t="n"><v>202.51</v></c><c r="O27" s="374"><f>O26</f><v /></c><c r="P27" s="407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9"><f>W26</f><v /></c><c r="X27" s="379"><f>X26</f><v /></c><c r="Y27" s="373" t="n"><v>227.95</v></c><c r="Z27" s="373" t="n"><v>237.9</v></c><c r="AA27" s="380"><f>AA26</f><v /></c><c r="AB27" s="381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9"><f>AI26</f><v /></c><c r="AJ27" s="379"><f>AJ26</f><v /></c><c r="AK27" s="373"><f>Z27</f><v /></c><c r="AL27" s="373" t="n"><v>242.94</v></c><c r="AM27" s="382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3"><f>IF(I27&gt;=1,"NO CONFORME",IF(BK27="SIGDIFERENTES",BC27,BL27))</f><v /></c><c r="AU27" s="365"><f>B27=C27</f><v /></c><c r="AV27" s="365"><f>N27&lt;Y27</f><v /></c><c r="AW27" s="365"><f>Z27&lt;=AK27</f><v /></c><c r="AX27" s="365"><f>IF(I27&gt;=1,"Qcorrecto",IF(AND(AY27="aceptable",AZ27="aceptable",BA27="aceptable"),"Qcorrecto","Qincorrecto"))</f><v /></c><c r="AY27" s="366"><f>IF(AR27&lt;$AH$6,"error",IF(AR27&gt;$AH$6*1.1,"error","aceptable"))</f><v /></c><c r="AZ27" s="366"><f>IF(AF27&lt;$V$6,"error",IF(AF27&gt;$V$6*1.1,"error","aceptable"))</f><v /></c><c r="BA27" s="366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7"><f>SIGN(U27)</f><v /></c><c r="BE27" s="367"><f>SIGN(AG27)</f><v /></c><c r="BF27" s="367"><f>SIGN(AS27)</f><v /></c><c r="BG27" s="367"><f>CONCATENATE(BD27,BE27,BF27)</f><v /></c><c r="BH27" s="367"><f>IF(BG27="111","SI","SD")</f><v /></c><c r="BI27" s="367"><f>IF(BG27="-1-1-1","SI","SD")</f><v /></c><c r="BJ27" s="367"><f>OR(BH27="SI",BI27="SI")</f><v /></c><c r="BK27" s="367"><f>IF(BJ27=FALSE,"SIGDIFERENTES","SIGIGUALES")</f><v /></c><c r="BL27" s="366"><f>IF(BC27="NO CONFORME","NO CONFORME",IF(BB27="CONFORME","CONFORME","NO CONFORME"))</f><v /></c></row><row r="28" ht="15" customHeight="1" thickBot="1"><c r="A28" s="351" t="n"><v>20</v></c><c r="B28" s="369"><f>B27</f><v /></c><c r="C28" s="369"><f>C27</f><v /></c><c r="D28" s="370"><f>D27</f><v /></c><c r="E28" s="371"><f>E27</f><v /></c><c r="F28" s="13" t="n" /><c r="G28" s="355" t="inlineStr"><is><t>PA25516884</t></is></c><c r="H28" s="313"><f>H27</f><v /></c><c r="I28" s="38"><f>I27</f><v /></c><c r="J28" s="314"><f>J27</f><v /></c><c r="K28" s="372"><f>K27</f><v /></c><c r="L28" s="372"><f>L27</f><v /></c><c r="M28" s="373" t="n"><v>140.7</v></c><c r="N28" s="373" t="n"><v>240.36</v></c><c r="O28" s="374"><f>O27</f><v /></c><c r="P28" s="407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9"><f>W27</f><v /></c><c r="X28" s="379"><f>X27</f><v /></c><c r="Y28" s="373" t="n"><v>265.75</v></c><c r="Z28" s="373" t="n"><v>275.69</v></c><c r="AA28" s="380"><f>AA27</f><v /></c><c r="AB28" s="381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9"><f>AI27</f><v /></c><c r="AJ28" s="379"><f>AJ27</f><v /></c><c r="AK28" s="373"><f>Z28</f><v /></c><c r="AL28" s="373" t="n"><v>280.68</v></c><c r="AM28" s="382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3"><f>IF(I28&gt;=1,"NO CONFORME",IF(BK28="SIGDIFERENTES",BC28,BL28))</f><v /></c><c r="AU28" s="365"><f>B28=C28</f><v /></c><c r="AV28" s="365"><f>N28&lt;Y28</f><v /></c><c r="AW28" s="365"><f>Z28&lt;=AK28</f><v /></c><c r="AX28" s="365"><f>IF(I28&gt;=1,"Qcorrecto",IF(AND(AY28="aceptable",AZ28="aceptable",BA28="aceptable"),"Qcorrecto","Qincorrecto"))</f><v /></c><c r="AY28" s="366"><f>IF(AR28&lt;$AH$6,"error",IF(AR28&gt;$AH$6*1.1,"error","aceptable"))</f><v /></c><c r="AZ28" s="366"><f>IF(AF28&lt;$V$6,"error",IF(AF28&gt;$V$6*1.1,"error","aceptable"))</f><v /></c><c r="BA28" s="366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7"><f>SIGN(U28)</f><v /></c><c r="BE28" s="367"><f>SIGN(AG28)</f><v /></c><c r="BF28" s="367"><f>SIGN(AS28)</f><v /></c><c r="BG28" s="367"><f>CONCATENATE(BD28,BE28,BF28)</f><v /></c><c r="BH28" s="367"><f>IF(BG28="111","SI","SD")</f><v /></c><c r="BI28" s="367"><f>IF(BG28="-1-1-1","SI","SD")</f><v /></c><c r="BJ28" s="367"><f>OR(BH28="SI",BI28="SI")</f><v /></c><c r="BK28" s="367"><f>IF(BJ28=FALSE,"SIGDIFERENTES","SIGIGUALES")</f><v /></c><c r="BL28" s="366"><f>IF(BC28="NO CONFORME","NO CONFORME",IF(BB28="CONFORME","CONFORME","NO CONFORME"))</f><v /></c></row><row r="29" ht="15.75" customHeight="1" thickBot="1"><c r="A29" s="351" t="n"><v>21</v></c><c r="B29" s="369"><f>B28</f><v /></c><c r="C29" s="369"><f>C28</f><v /></c><c r="D29" s="370"><f>D28</f><v /></c><c r="E29" s="371"><f>E28</f><v /></c><c r="F29" s="13" t="n" /><c r="G29" s="355" t="inlineStr"><is><t>PA25516885</t></is></c><c r="H29" s="313"><f>H28</f><v /></c><c r="I29" s="38"><f>I28</f><v /></c><c r="J29" s="314"><f>J28</f><v /></c><c r="K29" s="372"><f>K28</f><v /></c><c r="L29" s="372"><f>L28</f><v /></c><c r="M29" s="373" t="n"><v>102.85</v></c><c r="N29" s="373" t="n"><v>202.66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9"><f>W28</f><v /></c><c r="X29" s="379"><f>X28</f><v /></c><c r="Y29" s="373" t="n"><v>228.26</v></c><c r="Z29" s="373" t="n"><v>238.27</v></c><c r="AA29" s="380"><f>AA28</f><v /></c><c r="AB29" s="381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9"><f>AI28</f><v /></c><c r="AJ29" s="379"><f>AJ28</f><v /></c><c r="AK29" s="373"><f>Z29</f><v /></c><c r="AL29" s="373" t="n"><v>243.29</v></c><c r="AM29" s="382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3"><f>IF(I29&gt;=1,"NO CONFORME",IF(BK29="SIGDIFERENTES",BC29,BL29))</f><v /></c><c r="AU29" s="365"><f>B29=C29</f><v /></c><c r="AV29" s="365"><f>N29&lt;Y29</f><v /></c><c r="AW29" s="365"><f>Z29&lt;=AK29</f><v /></c><c r="AX29" s="365"><f>IF(I29&gt;=1,"Qcorrecto",IF(AND(AY29="aceptable",AZ29="aceptable",BA29="aceptable"),"Qcorrecto","Qincorrecto"))</f><v /></c><c r="AY29" s="366"><f>IF(AR29&lt;$AH$6,"error",IF(AR29&gt;$AH$6*1.1,"error","aceptable"))</f><v /></c><c r="AZ29" s="366"><f>IF(AF29&lt;$V$6,"error",IF(AF29&gt;$V$6*1.1,"error","aceptable"))</f><v /></c><c r="BA29" s="366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7"><f>SIGN(U29)</f><v /></c><c r="BE29" s="367"><f>SIGN(AG29)</f><v /></c><c r="BF29" s="367"><f>SIGN(AS29)</f><v /></c><c r="BG29" s="367"><f>CONCATENATE(BD29,BE29,BF29)</f><v /></c><c r="BH29" s="367"><f>IF(BG29="111","SI","SD")</f><v /></c><c r="BI29" s="367"><f>IF(BG29="-1-1-1","SI","SD")</f><v /></c><c r="BJ29" s="367"><f>OR(BH29="SI",BI29="SI")</f><v /></c><c r="BK29" s="367"><f>IF(BJ29=FALSE,"SIGDIFERENTES","SIGIGUALES")</f><v /></c><c r="BL29" s="366"><f>IF(BC29="NO CONFORME","NO CONFORME",IF(BB29="CONFORME","CONFORME","NO CONFORME"))</f><v /></c></row><row r="30" ht="15" customHeight="1" thickBot="1"><c r="A30" s="351" t="n"><v>22</v></c><c r="B30" s="369"><f>B29</f><v /></c><c r="C30" s="369"><f>C29</f><v /></c><c r="D30" s="370"><f>D29</f><v /></c><c r="E30" s="371"><f>E29</f><v /></c><c r="F30" s="13" t="n" /><c r="G30" s="355" t="inlineStr"><is><t>PA25516886</t></is></c><c r="H30" s="313"><f>H29</f><v /></c><c r="I30" s="38"><f>I29</f><v /></c><c r="J30" s="314"><f>J29</f><v /></c><c r="K30" s="372"><f>K29</f><v /></c><c r="L30" s="372"><f>L29</f><v /></c><c r="M30" s="373" t="n"><v>103.05</v></c><c r="N30" s="373" t="n"><v>203.68</v></c><c r="O30" s="374"><f>O29</f><v /></c><c r="P30" s="407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9"><f>W29</f><v /></c><c r="X30" s="379"><f>X29</f><v /></c><c r="Y30" s="373" t="n"><v>229.3</v></c><c r="Z30" s="373" t="n"><v>239.33</v></c><c r="AA30" s="380"><f>AA29</f><v /></c><c r="AB30" s="381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9"><f>AI29</f><v /></c><c r="AJ30" s="379"><f>AJ29</f><v /></c><c r="AK30" s="373"><f>Z30</f><v /></c><c r="AL30" s="373" t="n"><v>244.39</v></c><c r="AM30" s="382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3"><f>IF(I30&gt;=1,"NO CONFORME",IF(BK30="SIGDIFERENTES",BC30,BL30))</f><v /></c><c r="AU30" s="365"><f>B30=C30</f><v /></c><c r="AV30" s="365"><f>N30&lt;Y30</f><v /></c><c r="AW30" s="365"><f>Z30&lt;=AK30</f><v /></c><c r="AX30" s="365"><f>IF(I30&gt;=1,"Qcorrecto",IF(AND(AY30="aceptable",AZ30="aceptable",BA30="aceptable"),"Qcorrecto","Qincorrecto"))</f><v /></c><c r="AY30" s="366"><f>IF(AR30&lt;$AH$6,"error",IF(AR30&gt;$AH$6*1.1,"error","aceptable"))</f><v /></c><c r="AZ30" s="366"><f>IF(AF30&lt;$V$6,"error",IF(AF30&gt;$V$6*1.1,"error","aceptable"))</f><v /></c><c r="BA30" s="366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7"><f>SIGN(U30)</f><v /></c><c r="BE30" s="367"><f>SIGN(AG30)</f><v /></c><c r="BF30" s="367"><f>SIGN(AS30)</f><v /></c><c r="BG30" s="367"><f>CONCATENATE(BD30,BE30,BF30)</f><v /></c><c r="BH30" s="367"><f>IF(BG30="111","SI","SD")</f><v /></c><c r="BI30" s="367"><f>IF(BG30="-1-1-1","SI","SD")</f><v /></c><c r="BJ30" s="367"><f>OR(BH30="SI",BI30="SI")</f><v /></c><c r="BK30" s="367"><f>IF(BJ30=FALSE,"SIGDIFERENTES","SIGIGUALES")</f><v /></c><c r="BL30" s="366"><f>IF(BC30="NO CONFORME","NO CONFORME",IF(BB30="CONFORME","CONFORME","NO CONFORME"))</f><v /></c></row><row r="31" ht="15" customHeight="1" thickBot="1"><c r="A31" s="398" t="n"><v>23</v></c><c r="B31" s="399"><f>B30</f><v /></c><c r="C31" s="399"><f>C30</f><v /></c><c r="D31" s="400"><f>D30</f><v /></c><c r="E31" s="371"><f>E30</f><v /></c><c r="F31" s="56" t="n" /><c r="G31" s="355" t="inlineStr"><is><t>PA25516887</t></is></c><c r="H31" s="401"><f>H30</f><v /></c><c r="I31" s="402"><f>I30</f><v /></c><c r="J31" s="314"><f>J30</f><v /></c><c r="K31" s="372"><f>K30</f><v /></c><c r="L31" s="372"><f>L30</f><v /></c><c r="M31" s="405" t="n"><v>101.11</v></c><c r="N31" s="405" t="n"><v>200.56</v></c><c r="O31" s="374"><f>O30</f><v /></c><c r="P31" s="407"><f>P30</f><v /></c><c r="Q31" s="408"><f>LEFT(P31,1)</f><v /></c><c r="R31" s="408"><f>RIGHT(P31,6)</f><v /></c><c r="S31" s="408"><f>+(Q31*60+R31)/(60*60)</f><v /></c><c r="T31" s="409"><f>+O31/S31</f><v /></c><c r="U31" s="410"><f>+(((N31-M31-O31)/O31)*100)</f><v /></c><c r="V31" s="317"><f>V30</f><v /></c><c r="W31" s="379"><f>W30</f><v /></c><c r="X31" s="379"><f>X30</f><v /></c><c r="Y31" s="405" t="n"><v>225.98</v></c><c r="Z31" s="405" t="n"><v>235.94</v></c><c r="AA31" s="380"><f>AA30</f><v /></c><c r="AB31" s="381"><f>AB30</f><v /></c><c r="AC31" s="408"><f>LEFT(AB31,2)</f><v /></c><c r="AD31" s="408"><f>RIGHT(AB31,6)</f><v /></c><c r="AE31" s="408"><f>+(AC31*60+AD31)/(60*60)</f><v /></c><c r="AF31" s="409"><f>+AA31/AE31</f><v /></c><c r="AG31" s="415"><f>+(((Z31-Y31-AA31)/AA31)*100)</f><v /></c><c r="AH31" s="317"><f>AH30</f><v /></c><c r="AI31" s="379"><f>AI30</f><v /></c><c r="AJ31" s="379"><f>AJ30</f><v /></c><c r="AK31" s="405"><f>Z31</f><v /></c><c r="AL31" s="405" t="n"><v>240.97</v></c><c r="AM31" s="382"><f>AM30</f><v /></c><c r="AN31" s="375"><f>AN30</f><v /></c><c r="AO31" s="408"><f>LEFT(AN31,2)</f><v /></c><c r="AP31" s="408"><f>RIGHT(AN31,6)</f><v /></c><c r="AQ31" s="408"><f>+(AO31*60+AP31)/(60*60)</f><v /></c><c r="AR31" s="409"><f>+AM31/AQ31</f><v /></c><c r="AS31" s="415"><f>+(((AL31-AK31-AM31)/AM31)*100)</f><v /></c><c r="AT31" s="417"><f>IF(I31&gt;=1,"NO CONFORME",IF(BK31="SIGDIFERENTES",BC31,BL31))</f><v /></c><c r="AU31" s="365"><f>B31=C31</f><v /></c><c r="AV31" s="365"><f>N31&lt;Y31</f><v /></c><c r="AW31" s="365"><f>Z31&lt;=AK31</f><v /></c><c r="AX31" s="365"><f>IF(I31&gt;=1,"Qcorrecto",IF(AND(AY31="aceptable",AZ31="aceptable",BA31="aceptable"),"Qcorrecto","Qincorrecto"))</f><v /></c><c r="AY31" s="418"><f>IF(AR31&lt;$AH$6,"error",IF(AR31&gt;$AH$6*1.1,"error","aceptable"))</f><v /></c><c r="AZ31" s="418"><f>IF(AF31&lt;$V$6,"error",IF(AF31&gt;$V$6*1.1,"error","aceptable"))</f><v /></c><c r="BA31" s="418"><f>IF(T31&lt;$J$6*0.9,"error",IF(T31&gt;$J$6,"error","aceptable"))</f><v /></c><c r="BB31" s="419"><f>(IF(ABS(U31)&lt;1.05,"CONFORME",IF(ABS(AG31)&lt;1.05,"CONFORME",IF(ABS(AS31)&lt;2.55,"CONFORME","NO CONFORME"))))</f><v /></c><c r="BC31" s="420"><f>(IF(ABS(U31)&gt;2.05,"NO CONFORME",IF(ABS(AG31)&gt;2.05,"NO CONFORME",IF(ABS(AS31)&gt;5.05,"NO CONFORME","CONFORME"))))</f><v /></c><c r="BD31" s="367"><f>SIGN(U31)</f><v /></c><c r="BE31" s="367"><f>SIGN(AG31)</f><v /></c><c r="BF31" s="367"><f>SIGN(AS31)</f><v /></c><c r="BG31" s="367"><f>CONCATENATE(BD31,BE31,BF31)</f><v /></c><c r="BH31" s="367"><f>IF(BG31="111","SI","SD")</f><v /></c><c r="BI31" s="367"><f>IF(BG31="-1-1-1","SI","SD")</f><v /></c><c r="BJ31" s="367"><f>OR(BH31="SI",BI31="SI")</f><v /></c><c r="BK31" s="367"><f>IF(BJ31=FALSE,"SIGDIFERENTES","SIGIGUALES")</f><v /></c><c r="BL31" s="418"><f>IF(BC31="NO CONFORME","NO CONFORME",IF(BB31="CONFORME","CONFORME","NO CONFORME"))</f><v /></c></row><row r="32" ht="15" customHeight="1" thickBot="1"><c r="A32" s="371" t="n"><v>24</v></c><c r="B32" s="369"><f>B31</f><v /></c><c r="C32" s="369"><f>C31</f><v /></c><c r="D32" s="370"><f>D31</f><v /></c><c r="E32" s="371"><f>E31</f><v /></c><c r="F32" s="13" t="n" /><c r="G32" s="355" t="inlineStr"><is><t>PA25516888</t></is></c><c r="H32" s="313"><f>H31</f><v /></c><c r="I32" s="38"><f>I31</f><v /></c><c r="J32" s="314"><f>J31</f><v /></c><c r="K32" s="372"><f>K31</f><v /></c><c r="L32" s="372"><f>L31</f><v /></c><c r="M32" s="373" t="n"><v>102.55</v></c><c r="N32" s="373" t="n"><v>201.48</v></c><c r="O32" s="374"><f>O31</f><v /></c><c r="P32" s="407"><f>P31</f><v /></c><c r="Q32" s="376"><f>LEFT(P32,1)</f><v /></c><c r="R32" s="376"><f>RIGHT(P32,6)</f><v /></c><c r="S32" s="376"><f>+(Q32*60+R32)/(60*60)</f><v /></c><c r="T32" s="377"><f>+O32/S32</f><v /></c><c r="U32" s="378"><f>+(((N32-M32-O32)/O32)*100)</f><v /></c><c r="V32" s="317"><f>V31</f><v /></c><c r="W32" s="379"><f>W31</f><v /></c><c r="X32" s="379"><f>X31</f><v /></c><c r="Y32" s="373" t="n"><v>226.7</v></c><c r="Z32" s="373" t="n"><v>236.61</v></c><c r="AA32" s="380"><f>AA31</f><v /></c><c r="AB32" s="381"><f>AB31</f><v /></c><c r="AC32" s="376"><f>LEFT(AB32,2)</f><v /></c><c r="AD32" s="376"><f>RIGHT(AB32,6)</f><v /></c><c r="AE32" s="376"><f>+(AC32*60+AD32)/(60*60)</f><v /></c><c r="AF32" s="377"><f>+AA32/AE32</f><v /></c><c r="AG32" s="321"><f>+(((Z32-Y32-AA32)/AA32)*100)</f><v /></c><c r="AH32" s="317"><f>AH31</f><v /></c><c r="AI32" s="379"><f>AI31</f><v /></c><c r="AJ32" s="379"><f>AJ31</f><v /></c><c r="AK32" s="373"><f>Z32</f><v /></c><c r="AL32" s="373" t="n"><v>241.56</v></c><c r="AM32" s="382"><f>AM31</f><v /></c><c r="AN32" s="375"><f>AN31</f><v /></c><c r="AO32" s="376"><f>LEFT(AN32,2)</f><v /></c><c r="AP32" s="376"><f>RIGHT(AN32,6)</f><v /></c><c r="AQ32" s="376"><f>+(AO32*60+AP32)/(60*60)</f><v /></c><c r="AR32" s="377"><f>+AM32/AQ32</f><v /></c><c r="AS32" s="321"><f>+(((AL32-AK32-AM32)/AM32)*100)</f><v /></c><c r="AT32" s="383"><f>IF(I32&gt;=1,"NO CONFORME",IF(BK32="SIGDIFERENTES",BC32,BL32))</f><v /></c><c r="AU32" s="421"><f>B32=C32</f><v /></c><c r="AV32" s="421"><f>N32&lt;Y32</f><v /></c><c r="AW32" s="421"><f>Z32&lt;=AK32</f><v /></c><c r="AX32" s="421"><f>IF(I32&gt;=1,"Qcorrecto",IF(AND(AY32="aceptable",AZ32="aceptable",BA32="aceptable"),"Qcorrecto","Qincorrecto"))</f><v /></c><c r="AY32" s="366"><f>IF(AR32&lt;$AH$6,"error",IF(AR32&gt;$AH$6*1.1,"error","aceptable"))</f><v /></c><c r="AZ32" s="366"><f>IF(AF32&lt;$V$6,"error",IF(AF32&gt;$V$6*1.1,"error","aceptable"))</f><v /></c><c r="BA32" s="366"><f>IF(T32&lt;$J$6*0.9,"error",IF(T32&gt;$J$6,"error","aceptable"))</f><v /></c><c r="BB32" s="422"><f>(IF(ABS(U32)&lt;1.05,"CONFORME",IF(ABS(AG32)&lt;1.05,"CONFORME",IF(ABS(AS32)&lt;2.55,"CONFORME","NO CONFORME"))))</f><v /></c><c r="BC32" s="423"><f>(IF(ABS(U32)&gt;2.05,"NO CONFORME",IF(ABS(AG32)&gt;2.05,"NO CONFORME",IF(ABS(AS32)&gt;5.05,"NO CONFORME","CONFORME"))))</f><v /></c><c r="BD32" s="424"><f>SIGN(U32)</f><v /></c><c r="BE32" s="424"><f>SIGN(AG32)</f><v /></c><c r="BF32" s="424"><f>SIGN(AS32)</f><v /></c><c r="BG32" s="424"><f>CONCATENATE(BD32,BE32,BF32)</f><v /></c><c r="BH32" s="424"><f>IF(BG32="111","SI","SD")</f><v /></c><c r="BI32" s="424"><f>IF(BG32="-1-1-1","SI","SD")</f><v /></c><c r="BJ32" s="424"><f>OR(BH32="SI",BI32="SI")</f><v /></c><c r="BK32" s="424"><f>IF(BJ32=FALSE,"SIGDIFERENTES","SIGIGUALES")</f><v /></c><c r="BL32" s="366"><f>IF(BC32="NO CONFORME","NO CONFORME",IF(BB32="CONFORME","CONFORME","NO CONFORME"))</f><v /></c></row><row r="33" ht="15" customHeight="1" thickBot="1"><c r="A33" s="351" t="n"><v>25</v></c><c r="B33" s="386"><f>B32</f><v /></c><c r="C33" s="386"><f>C32</f><v /></c><c r="D33" s="387"><f>D32</f><v /></c><c r="E33" s="371"><f>E32</f><v /></c><c r="F33" s="58" t="n" /><c r="G33" s="355" t="inlineStr"><is><t>PA25516889</t></is></c><c r="H33" s="388"><f>H32</f><v /></c><c r="I33" s="232"><f>I32</f><v /></c><c r="J33" s="314"><f>J32</f><v /></c><c r="K33" s="372"><f>K32</f><v /></c><c r="L33" s="372"><f>L32</f><v /></c><c r="M33" s="356" t="n"><v>142.43</v></c><c r="N33" s="356" t="n"><v>242.08</v></c><c r="O33" s="374"><f>O32</f><v /></c><c r="P33" s="407"><f>P32</f><v /></c><c r="Q33" s="359"><f>LEFT(P33,1)</f><v /></c><c r="R33" s="359"><f>RIGHT(P33,6)</f><v /></c><c r="S33" s="359"><f>+(Q33*60+R33)/(60*60)</f><v /></c><c r="T33" s="360"><f>+O33/S33</f><v /></c><c r="U33" s="361"><f>+(((N33-M33-O33)/O33)*100)</f><v /></c><c r="V33" s="317"><f>V32</f><v /></c><c r="W33" s="379"><f>W32</f><v /></c><c r="X33" s="379"><f>X32</f><v /></c><c r="Y33" s="356" t="n"><v>267.48</v></c><c r="Z33" s="356" t="n"><v>277.41</v></c><c r="AA33" s="380"><f>AA32</f><v /></c><c r="AB33" s="381"><f>AB32</f><v /></c><c r="AC33" s="359"><f>LEFT(AB33,2)</f><v /></c><c r="AD33" s="359"><f>RIGHT(AB33,6)</f><v /></c><c r="AE33" s="359"><f>+(AC33*60+AD33)/(60*60)</f><v /></c><c r="AF33" s="360"><f>+AA33/AE33</f><v /></c><c r="AG33" s="362"><f>+(((Z33-Y33-AA33)/AA33)*100)</f><v /></c><c r="AH33" s="317"><f>AH32</f><v /></c><c r="AI33" s="379"><f>AI32</f><v /></c><c r="AJ33" s="379"><f>AJ32</f><v /></c><c r="AK33" s="356"><f>Z33</f><v /></c><c r="AL33" s="356" t="n"><v>282.42</v></c><c r="AM33" s="382"><f>AM32</f><v /></c><c r="AN33" s="375"><f>AN32</f><v /></c><c r="AO33" s="359"><f>LEFT(AN33,2)</f><v /></c><c r="AP33" s="359"><f>RIGHT(AN33,6)</f><v /></c><c r="AQ33" s="359"><f>+(AO33*60+AP33)/(60*60)</f><v /></c><c r="AR33" s="360"><f>+AM33/AQ33</f><v /></c><c r="AS33" s="362"><f>+(((AL33-AK33-AM33)/AM33)*100)</f><v /></c><c r="AT33" s="364"><f>IF(I33&gt;=1,"NO CONFORME",IF(BK33="SIGDIFERENTES",BC33,BL33))</f><v /></c><c r="AU33" s="365"><f>B33=C33</f><v /></c><c r="AV33" s="365"><f>N33&lt;Y33</f><v /></c><c r="AW33" s="365"><f>Z33&lt;=AK33</f><v /></c><c r="AX33" s="365"><f>IF(I33&gt;=1,"Qcorrecto",IF(AND(AY33="aceptable",AZ33="aceptable",BA33="aceptable"),"Qcorrecto","Qincorrecto"))</f><v /></c><c r="AY33" s="368"><f>IF(AR33&lt;$AH$6,"error",IF(AR33&gt;$AH$6*1.1,"error","aceptable"))</f><v /></c><c r="AZ33" s="368"><f>IF(AF33&lt;$V$6,"error",IF(AF33&gt;$V$6*1.1,"error","aceptable"))</f><v /></c><c r="BA33" s="368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67"><f>SIGN(U33)</f><v /></c><c r="BE33" s="367"><f>SIGN(AG33)</f><v /></c><c r="BF33" s="367"><f>SIGN(AS33)</f><v /></c><c r="BG33" s="367"><f>CONCATENATE(BD33,BE33,BF33)</f><v /></c><c r="BH33" s="367"><f>IF(BG33="111","SI","SD")</f><v /></c><c r="BI33" s="367"><f>IF(BG33="-1-1-1","SI","SD")</f><v /></c><c r="BJ33" s="367"><f>OR(BH33="SI",BI33="SI")</f><v /></c><c r="BK33" s="367"><f>IF(BJ33=FALSE,"SIGDIFERENTES","SIGIGUALES")</f><v /></c><c r="BL33" s="368"><f>IF(BC33="NO CONFORME","NO CONFORME",IF(BB33="CONFORME","CONFORME","NO CONFORME"))</f><v /></c></row><row r="34" ht="15" customHeight="1" thickBot="1"><c r="A34" s="351" t="n"><v>26</v></c><c r="B34" s="369"><f>B33</f><v /></c><c r="C34" s="369"><f>C33</f><v /></c><c r="D34" s="370"><f>D33</f><v /></c><c r="E34" s="371"><f>E33</f><v /></c><c r="F34" s="13" t="n" /><c r="G34" s="355" t="inlineStr"><is><t>PA25516890</t></is></c><c r="H34" s="313"><f>H33</f><v /></c><c r="I34" s="38"><f>I33</f><v /></c><c r="J34" s="314"><f>J33</f><v /></c><c r="K34" s="372"><f>K33</f><v /></c><c r="L34" s="372"><f>L33</f><v /></c><c r="M34" s="373" t="n"><v>101.45</v></c><c r="N34" s="373" t="n"><v>200.55</v></c><c r="O34" s="374"><f>O33</f><v /></c><c r="P34" s="407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9"><f>W33</f><v /></c><c r="X34" s="379"><f>X33</f><v /></c><c r="Y34" s="373" t="n"><v>225.88</v></c><c r="Z34" s="373" t="n"><v>235.79</v></c><c r="AA34" s="380"><f>AA33</f><v /></c><c r="AB34" s="381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9"><f>AI33</f><v /></c><c r="AJ34" s="379"><f>AJ33</f><v /></c><c r="AK34" s="373"><f>Z34</f><v /></c><c r="AL34" s="373" t="n"><v>240.79</v></c><c r="AM34" s="382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3"><f>IF(I34&gt;=1,"NO CONFORME",IF(BK34="SIGDIFERENTES",BC34,BL34))</f><v /></c><c r="AU34" s="365"><f>B34=C34</f><v /></c><c r="AV34" s="365"><f>N34&lt;Y34</f><v /></c><c r="AW34" s="365"><f>Z34&lt;=AK34</f><v /></c><c r="AX34" s="365"><f>IF(I34&gt;=1,"Qcorrecto",IF(AND(AY34="aceptable",AZ34="aceptable",BA34="aceptable"),"Qcorrecto","Qincorrecto"))</f><v /></c><c r="AY34" s="366"><f>IF(AR34&lt;$AH$6,"error",IF(AR34&gt;$AH$6*1.1,"error","aceptable"))</f><v /></c><c r="AZ34" s="366"><f>IF(AF34&lt;$V$6,"error",IF(AF34&gt;$V$6*1.1,"error","aceptable"))</f><v /></c><c r="BA34" s="366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7"><f>SIGN(U34)</f><v /></c><c r="BE34" s="367"><f>SIGN(AG34)</f><v /></c><c r="BF34" s="367"><f>SIGN(AS34)</f><v /></c><c r="BG34" s="367"><f>CONCATENATE(BD34,BE34,BF34)</f><v /></c><c r="BH34" s="367"><f>IF(BG34="111","SI","SD")</f><v /></c><c r="BI34" s="367"><f>IF(BG34="-1-1-1","SI","SD")</f><v /></c><c r="BJ34" s="367"><f>OR(BH34="SI",BI34="SI")</f><v /></c><c r="BK34" s="367"><f>IF(BJ34=FALSE,"SIGDIFERENTES","SIGIGUALES")</f><v /></c><c r="BL34" s="366"><f>IF(BC34="NO CONFORME","NO CONFORME",IF(BB34="CONFORME","CONFORME","NO CONFORME"))</f><v /></c></row><row r="35" ht="15" customHeight="1" thickBot="1"><c r="A35" s="351" t="n"><v>27</v></c><c r="B35" s="369"><f>B34</f><v /></c><c r="C35" s="369"><f>C34</f><v /></c><c r="D35" s="370"><f>D34</f><v /></c><c r="E35" s="371"><f>E34</f><v /></c><c r="F35" s="13" t="n" /><c r="G35" s="355" t="inlineStr"><is><t>PA25516891</t></is></c><c r="H35" s="313"><f>H34</f><v /></c><c r="I35" s="38"><f>I34</f><v /></c><c r="J35" s="314"><f>J34</f><v /></c><c r="K35" s="372"><f>K34</f><v /></c><c r="L35" s="372"><f>L34</f><v /></c><c r="M35" s="373" t="n"><v>100.33</v></c><c r="N35" s="373" t="n"><v>200.09</v></c><c r="O35" s="374"><f>O34</f><v /></c><c r="P35" s="407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9"><f>W34</f><v /></c><c r="X35" s="379"><f>X34</f><v /></c><c r="Y35" s="373" t="n"><v>225.52</v></c><c r="Z35" s="373" t="n"><v>235.45</v></c><c r="AA35" s="380"><f>AA34</f><v /></c><c r="AB35" s="381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9"><f>AI34</f><v /></c><c r="AJ35" s="379"><f>AJ34</f><v /></c><c r="AK35" s="373"><f>Z35</f><v /></c><c r="AL35" s="373" t="n"><v>240.44</v></c><c r="AM35" s="382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3"><f>IF(I35&gt;=1,"NO CONFORME",IF(BK35="SIGDIFERENTES",BC35,BL35))</f><v /></c><c r="AU35" s="365"><f>B35=C35</f><v /></c><c r="AV35" s="365"><f>N35&lt;Y35</f><v /></c><c r="AW35" s="365"><f>Z35&lt;=AK35</f><v /></c><c r="AX35" s="365"><f>IF(I35&gt;=1,"Qcorrecto",IF(AND(AY35="aceptable",AZ35="aceptable",BA35="aceptable"),"Qcorrecto","Qincorrecto"))</f><v /></c><c r="AY35" s="366"><f>IF(AR35&lt;$AH$6,"error",IF(AR35&gt;$AH$6*1.1,"error","aceptable"))</f><v /></c><c r="AZ35" s="366"><f>IF(AF35&lt;$V$6,"error",IF(AF35&gt;$V$6*1.1,"error","aceptable"))</f><v /></c><c r="BA35" s="366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7"><f>SIGN(U35)</f><v /></c><c r="BE35" s="367"><f>SIGN(AG35)</f><v /></c><c r="BF35" s="367"><f>SIGN(AS35)</f><v /></c><c r="BG35" s="367"><f>CONCATENATE(BD35,BE35,BF35)</f><v /></c><c r="BH35" s="367"><f>IF(BG35="111","SI","SD")</f><v /></c><c r="BI35" s="367"><f>IF(BG35="-1-1-1","SI","SD")</f><v /></c><c r="BJ35" s="367"><f>OR(BH35="SI",BI35="SI")</f><v /></c><c r="BK35" s="367"><f>IF(BJ35=FALSE,"SIGDIFERENTES","SIGIGUALES")</f><v /></c><c r="BL35" s="366"><f>IF(BC35="NO CONFORME","NO CONFORME",IF(BB35="CONFORME","CONFORME","NO CONFORME"))</f><v /></c></row><row r="36" ht="15.75" customHeight="1" thickBot="1"><c r="A36" s="451" t="n"><v>28</v></c><c r="B36" s="369"><f>B35</f><v /></c><c r="C36" s="369"><f>C35</f><v /></c><c r="D36" s="370"><f>D35</f><v /></c><c r="E36" s="371"><f>E35</f><v /></c><c r="F36" s="13" t="n" /><c r="G36" s="452" t="inlineStr"><is><t>PA25516892</t></is></c><c r="H36" s="313"><f>H35</f><v /></c><c r="I36" s="38"><f>I35</f><v /></c><c r="J36" s="314"><f>J35</f><v /></c><c r="K36" s="372"><f>K35</f><v /></c><c r="L36" s="372"><f>L35</f><v /></c><c r="M36" s="373" t="n"><v>100.31</v></c><c r="N36" s="373" t="n"><v>200.06</v></c><c r="O36" s="374"><f>O35</f><v /></c><c r="P36" s="407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9"><f>W35</f><v /></c><c r="X36" s="379"><f>X35</f><v /></c><c r="Y36" s="373" t="n"><v>225.44</v></c><c r="Z36" s="373" t="n"><v>235.37</v></c><c r="AA36" s="380"><f>AA35</f><v /></c><c r="AB36" s="381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9"><f>AI35</f><v /></c><c r="AJ36" s="379"><f>AJ35</f><v /></c><c r="AK36" s="373"><f>Z36</f><v /></c><c r="AL36" s="373" t="n"><v>240.36</v></c><c r="AM36" s="382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3"><f>IF(I36&gt;=1,"NO CONFORME",IF(BK36="SIGDIFERENTES",BC36,BL36))</f><v /></c><c r="AU36" s="365"><f>B36=C36</f><v /></c><c r="AV36" s="365"><f>N36&lt;Y36</f><v /></c><c r="AW36" s="365"><f>Z36&lt;=AK36</f><v /></c><c r="AX36" s="365"><f>IF(I36&gt;=1,"Qcorrecto",IF(AND(AY36="aceptable",AZ36="aceptable",BA36="aceptable"),"Qcorrecto","Qincorrecto"))</f><v /></c><c r="AY36" s="366"><f>IF(AR36&lt;$AH$6,"error",IF(AR36&gt;$AH$6*1.1,"error","aceptable"))</f><v /></c><c r="AZ36" s="366"><f>IF(AF36&lt;$V$6,"error",IF(AF36&gt;$V$6*1.1,"error","aceptable"))</f><v /></c><c r="BA36" s="366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7"><f>SIGN(U36)</f><v /></c><c r="BE36" s="367"><f>SIGN(AG36)</f><v /></c><c r="BF36" s="367"><f>SIGN(AS36)</f><v /></c><c r="BG36" s="367"><f>CONCATENATE(BD36,BE36,BF36)</f><v /></c><c r="BH36" s="367"><f>IF(BG36="111","SI","SD")</f><v /></c><c r="BI36" s="367"><f>IF(BG36="-1-1-1","SI","SD")</f><v /></c><c r="BJ36" s="367"><f>OR(BH36="SI",BI36="SI")</f><v /></c><c r="BK36" s="367"><f>IF(BJ36=FALSE,"SIGDIFERENTES","SIGIGUALES")</f><v /></c><c r="BL36" s="366"><f>IF(BC36="NO CONFORME","NO CONFORME",IF(BB36="CONFORME","CONFORME","NO CONFORME"))</f><v /></c></row><row r="37" ht="14.4" customHeight="1" thickBot="1"><c r="A37" s="351" t="n"><v>29</v></c><c r="B37" s="369"><f>B36</f><v /></c><c r="C37" s="369"><f>C36</f><v /></c><c r="D37" s="370"><f>D36</f><v /></c><c r="E37" s="371"><f>E36</f><v /></c><c r="F37" s="13" t="n" /><c r="G37" s="355" t="inlineStr"><is><t>PA25516893</t></is></c><c r="H37" s="313"><f>H36</f><v /></c><c r="I37" s="38"><f>I36</f><v /></c><c r="J37" s="314"><f>J36</f><v /></c><c r="K37" s="372"><f>K36</f><v /></c><c r="L37" s="372"><f>L36</f><v /></c><c r="M37" s="373" t="n"><v>99.76000000000001</v></c><c r="N37" s="373" t="n"><v>199.32</v></c><c r="O37" s="374"><f>O36</f><v /></c><c r="P37" s="407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9"><f>W36</f><v /></c><c r="X37" s="379"><f>X36</f><v /></c><c r="Y37" s="373" t="n"><v>224.65</v></c><c r="Z37" s="373" t="n"><v>234.58</v></c><c r="AA37" s="380"><f>AA36</f><v /></c><c r="AB37" s="381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9"><f>AI36</f><v /></c><c r="AJ37" s="379"><f>AJ36</f><v /></c><c r="AK37" s="373"><f>Z37</f><v /></c><c r="AL37" s="373" t="n"><v>239.58</v></c><c r="AM37" s="382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3"><f>IF(I37&gt;=1,"NO CONFORME",IF(BK37="SIGDIFERENTES",BC37,BL37))</f><v /></c><c r="AU37" s="365"><f>B37=C37</f><v /></c><c r="AV37" s="365"><f>N37&lt;Y37</f><v /></c><c r="AW37" s="365"><f>Z37&lt;=AK37</f><v /></c><c r="AX37" s="365"><f>IF(I37&gt;=1,"Qcorrecto",IF(AND(AY37="aceptable",AZ37="aceptable",BA37="aceptable"),"Qcorrecto","Qincorrecto"))</f><v /></c><c r="AY37" s="366"><f>IF(AR37&lt;$AH$6,"error",IF(AR37&gt;$AH$6*1.1,"error","aceptable"))</f><v /></c><c r="AZ37" s="366"><f>IF(AF37&lt;$V$6,"error",IF(AF37&gt;$V$6*1.1,"error","aceptable"))</f><v /></c><c r="BA37" s="366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7"><f>SIGN(U37)</f><v /></c><c r="BE37" s="367"><f>SIGN(AG37)</f><v /></c><c r="BF37" s="367"><f>SIGN(AS37)</f><v /></c><c r="BG37" s="367"><f>CONCATENATE(BD37,BE37,BF37)</f><v /></c><c r="BH37" s="367"><f>IF(BG37="111","SI","SD")</f><v /></c><c r="BI37" s="367"><f>IF(BG37="-1-1-1","SI","SD")</f><v /></c><c r="BJ37" s="367"><f>OR(BH37="SI",BI37="SI")</f><v /></c><c r="BK37" s="367"><f>IF(BJ37=FALSE,"SIGDIFERENTES","SIGIGUALES")</f><v /></c><c r="BL37" s="366"><f>IF(BC37="NO CONFORME","NO CONFORME",IF(BB37="CONFORME","CONFORME","NO CONFORME"))</f><v /></c></row><row r="38" ht="14.4" customHeight="1" thickBot="1"><c r="A38" s="351" t="n"><v>30</v></c><c r="B38" s="369"><f>B37</f><v /></c><c r="C38" s="369"><f>C37</f><v /></c><c r="D38" s="370"><f>D37</f><v /></c><c r="E38" s="371"><f>E37</f><v /></c><c r="F38" s="13" t="n" /><c r="G38" s="355" t="inlineStr"><is><t>PA25516894</t></is></c><c r="H38" s="313"><f>H37</f><v /></c><c r="I38" s="38"><f>I37</f><v /></c><c r="J38" s="314"><f>J37</f><v /></c><c r="K38" s="372"><f>K37</f><v /></c><c r="L38" s="372"><f>L37</f><v /></c><c r="M38" s="373" t="n"><v>100.45</v></c><c r="N38" s="373" t="n"><v>200.63</v></c><c r="O38" s="374"><f>O37</f><v /></c><c r="P38" s="407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9"><f>W37</f><v /></c><c r="X38" s="379"><f>X37</f><v /></c><c r="Y38" s="373" t="n"><v>226.17</v></c><c r="Z38" s="373" t="n"><v>236.14</v></c><c r="AA38" s="380"><f>AA37</f><v /></c><c r="AB38" s="381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9"><f>AI37</f><v /></c><c r="AJ38" s="379"><f>AJ37</f><v /></c><c r="AK38" s="373"><f>Z38</f><v /></c><c r="AL38" s="373" t="n"><v>241.19</v></c><c r="AM38" s="382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3"><f>IF(I38&gt;=1,"NO CONFORME",IF(BK38="SIGDIFERENTES",BC38,BL38))</f><v /></c><c r="AU38" s="365"><f>B38=C38</f><v /></c><c r="AV38" s="365"><f>N38&lt;Y38</f><v /></c><c r="AW38" s="365"><f>Z38&lt;=AK38</f><v /></c><c r="AX38" s="365"><f>IF(I38&gt;=1,"Qcorrecto",IF(AND(AY38="aceptable",AZ38="aceptable",BA38="aceptable"),"Qcorrecto","Qincorrecto"))</f><v /></c><c r="AY38" s="366"><f>IF(AR38&lt;$AH$6,"error",IF(AR38&gt;$AH$6*1.1,"error","aceptable"))</f><v /></c><c r="AZ38" s="366"><f>IF(AF38&lt;$V$6,"error",IF(AF38&gt;$V$6*1.1,"error","aceptable"))</f><v /></c><c r="BA38" s="366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7"><f>SIGN(U38)</f><v /></c><c r="BE38" s="367"><f>SIGN(AG38)</f><v /></c><c r="BF38" s="367"><f>SIGN(AS38)</f><v /></c><c r="BG38" s="367"><f>CONCATENATE(BD38,BE38,BF38)</f><v /></c><c r="BH38" s="367"><f>IF(BG38="111","SI","SD")</f><v /></c><c r="BI38" s="367"><f>IF(BG38="-1-1-1","SI","SD")</f><v /></c><c r="BJ38" s="367"><f>OR(BH38="SI",BI38="SI")</f><v /></c><c r="BK38" s="367"><f>IF(BJ38=FALSE,"SIGDIFERENTES","SIGIGUALES")</f><v /></c><c r="BL38" s="366"><f>IF(BC38="NO CONFORME","NO CONFORME",IF(BB38="CONFORME","CONFORME","NO CONFORME"))</f><v /></c></row><row r="39" ht="14.4" customHeight="1" thickBot="1"><c r="A39" s="351" t="n"><v>31</v></c><c r="B39" s="369"><f>B38</f><v /></c><c r="C39" s="369"><f>C38</f><v /></c><c r="D39" s="370"><f>D38</f><v /></c><c r="E39" s="371"><f>E38</f><v /></c><c r="F39" s="13" t="n" /><c r="G39" s="355" t="inlineStr"><is><t>PA25516895</t></is></c><c r="H39" s="313"><f>H38</f><v /></c><c r="I39" s="38"><f>I38</f><v /></c><c r="J39" s="314"><f>J38</f><v /></c><c r="K39" s="372"><f>K38</f><v /></c><c r="L39" s="372"><f>L38</f><v /></c><c r="M39" s="373" t="n"><v>101.2</v></c><c r="N39" s="373" t="n"><v>200.65</v></c><c r="O39" s="374"><f>O38</f><v /></c><c r="P39" s="407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9"><f>W38</f><v /></c><c r="X39" s="379"><f>X38</f><v /></c><c r="Y39" s="373" t="n"><v>226.02</v></c><c r="Z39" s="373" t="n"><v>235.99</v></c><c r="AA39" s="380"><f>AA38</f><v /></c><c r="AB39" s="381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9"><f>AI38</f><v /></c><c r="AJ39" s="379"><f>AJ38</f><v /></c><c r="AK39" s="373"><f>Z39</f><v /></c><c r="AL39" s="373" t="n"><v>241.03</v></c><c r="AM39" s="382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3"><f>IF(I39&gt;=1,"NO CONFORME",IF(BK39="SIGDIFERENTES",BC39,BL39))</f><v /></c><c r="AU39" s="365"><f>B39=C39</f><v /></c><c r="AV39" s="365"><f>N39&lt;Y39</f><v /></c><c r="AW39" s="365"><f>Z39&lt;=AK39</f><v /></c><c r="AX39" s="365"><f>IF(I39&gt;=1,"Qcorrecto",IF(AND(AY39="aceptable",AZ39="aceptable",BA39="aceptable"),"Qcorrecto","Qincorrecto"))</f><v /></c><c r="AY39" s="366"><f>IF(AR39&lt;$AH$6,"error",IF(AR39&gt;$AH$6*1.1,"error","aceptable"))</f><v /></c><c r="AZ39" s="366"><f>IF(AF39&lt;$V$6,"error",IF(AF39&gt;$V$6*1.1,"error","aceptable"))</f><v /></c><c r="BA39" s="366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7"><f>SIGN(U39)</f><v /></c><c r="BE39" s="367"><f>SIGN(AG39)</f><v /></c><c r="BF39" s="367"><f>SIGN(AS39)</f><v /></c><c r="BG39" s="367"><f>CONCATENATE(BD39,BE39,BF39)</f><v /></c><c r="BH39" s="367"><f>IF(BG39="111","SI","SD")</f><v /></c><c r="BI39" s="367"><f>IF(BG39="-1-1-1","SI","SD")</f><v /></c><c r="BJ39" s="367"><f>OR(BH39="SI",BI39="SI")</f><v /></c><c r="BK39" s="367"><f>IF(BJ39=FALSE,"SIGDIFERENTES","SIGIGUALES")</f><v /></c><c r="BL39" s="366"><f>IF(BC39="NO CONFORME","NO CONFORME",IF(BB39="CONFORME","CONFORME","NO CONFORME"))</f><v /></c></row><row r="40" ht="15" customHeight="1" thickBot="1"><c r="A40" s="453" t="n"><v>32</v></c><c r="B40" s="454"><f>B39</f><v /></c><c r="C40" s="454"><f>C39</f><v /></c><c r="D40" s="455"><f>D39</f><v /></c><c r="E40" s="456"><f>E39</f><v /></c><c r="F40" s="52" t="n" /><c r="G40" s="457" t="inlineStr"><is><t>PA25516896</t></is></c><c r="H40" s="326"><f>H39</f><v /></c><c r="I40" s="98"><f>I39</f><v /></c><c r="J40" s="327"><f>J39</f><v /></c><c r="K40" s="458"><f>K39</f><v /></c><c r="L40" s="458"><f>L39</f><v /></c><c r="M40" s="459" t="n"><v>100.15</v></c><c r="N40" s="459" t="n"><v>199.64</v></c><c r="O40" s="460"><f>O39</f><v /></c><c r="P40" s="461"><f>P39</f><v /></c><c r="Q40" s="462"><f>LEFT(P40,1)</f><v /></c><c r="R40" s="462"><f>RIGHT(P40,6)</f><v /></c><c r="S40" s="462"><f>+(Q40*60+R40)/(60*60)</f><v /></c><c r="T40" s="463"><f>+O40/S40</f><v /></c><c r="U40" s="464"><f>+(((N40-M40-O40)/O40)*100)</f><v /></c><c r="V40" s="329"><f>V39</f><v /></c><c r="W40" s="465"><f>W39</f><v /></c><c r="X40" s="465"><f>X39</f><v /></c><c r="Y40" s="459" t="n"><v>225.02</v></c><c r="Z40" s="459" t="n"><v>234.99</v></c><c r="AA40" s="466"><f>AA39</f><v /></c><c r="AB40" s="467"><f>AB39</f><v /></c><c r="AC40" s="462"><f>LEFT(AB40,2)</f><v /></c><c r="AD40" s="462"><f>RIGHT(AB40,6)</f><v /></c><c r="AE40" s="462"><f>+(AC40*60+AD40)/(60*60)</f><v /></c><c r="AF40" s="463"><f>+AA40/AE40</f><v /></c><c r="AG40" s="468"><f>+(((Z40-Y40-AA40)/AA40)*100)</f><v /></c><c r="AH40" s="329"><f>AH39</f><v /></c><c r="AI40" s="465"><f>AI39</f><v /></c><c r="AJ40" s="465"><f>AJ39</f><v /></c><c r="AK40" s="459"><f>Z40</f><v /></c><c r="AL40" s="459" t="n"><v>239.96</v></c><c r="AM40" s="469"><f>AM39</f><v /></c><c r="AN40" s="461"><f>AN39</f><v /></c><c r="AO40" s="462"><f>LEFT(AN40,2)</f><v /></c><c r="AP40" s="462"><f>RIGHT(AN40,6)</f><v /></c><c r="AQ40" s="462"><f>+(AO40*60+AP40)/(60*60)</f><v /></c><c r="AR40" s="463"><f>+AM40/AQ40</f><v /></c><c r="AS40" s="468"><f>+(((AL40-AK40-AM40)/AM40)*100)</f><v /></c><c r="AT40" s="470"><f>IF(I40&gt;=1,"NO CONFORME",IF(BK40="SIGDIFERENTES",BC40,BL40))</f><v /></c><c r="AU40" s="426"><f>B40=C40</f><v /></c><c r="AV40" s="426"><f>N40&lt;Y40</f><v /></c><c r="AW40" s="426"><f>Z40&lt;=AK40</f><v /></c><c r="AX40" s="426"><f>IF(I40&gt;=1,"Qcorrecto",IF(AND(AY40="aceptable",AZ40="aceptable",BA40="aceptable"),"Qcorrecto","Qincorrecto"))</f><v /></c><c r="AY40" s="427"><f>IF(AR40&lt;$AH$6,"error",IF(AR40&gt;$AH$6*1.1,"error","aceptable"))</f><v /></c><c r="AZ40" s="427"><f>IF(AF40&lt;$V$6,"error",IF(AF40&gt;$V$6*1.1,"error","aceptable"))</f><v /></c><c r="BA40" s="427"><f>IF(T40&lt;$J$6*0.9,"error",IF(T40&gt;$J$6,"error","aceptable"))</f><v /></c><c r="BB40" s="428"><f>(IF(ABS(U40)&lt;1.05,"CONFORME",IF(ABS(AG40)&lt;1.05,"CONFORME",IF(ABS(AS40)&lt;2.55,"CONFORME","NO CONFORME"))))</f><v /></c><c r="BC40" s="429"><f>(IF(ABS(U40)&gt;2.05,"NO CONFORME",IF(ABS(AG40)&gt;2.05,"NO CONFORME",IF(ABS(AS40)&gt;5.05,"NO CONFORME","CONFORME"))))</f><v /></c><c r="BD40" s="430"><f>SIGN(U40)</f><v /></c><c r="BE40" s="430"><f>SIGN(AG40)</f><v /></c><c r="BF40" s="430"><f>SIGN(AS40)</f><v /></c><c r="BG40" s="430"><f>CONCATENATE(BD40,BE40,BF40)</f><v /></c><c r="BH40" s="430"><f>IF(BG40="111","SI","SD")</f><v /></c><c r="BI40" s="430"><f>IF(BG40="-1-1-1","SI","SD")</f><v /></c><c r="BJ40" s="430"><f>OR(BH40="SI",BI40="SI")</f><v /></c><c r="BK40" s="430"><f>IF(BJ40=FALSE,"SIGDIFERENTES","SIGIGUALES")</f><v /></c><c r="BL40" s="427"><f>IF(BC40="NO CONFORME","NO CONFORME",IF(BB40="CONFORME","CONFORME","NO CONFORME"))</f><v /></c></row><row r="41" ht="14.4" customHeight="1" thickBot="1"><c r="A41" s="351" t="n"><v>33</v></c><c r="B41" s="386"><f>B40</f><v /></c><c r="C41" s="386"><f>C40</f><v /></c><c r="D41" s="387"><f>D40</f><v /></c><c r="E41" s="471"><f>E40</f><v /></c><c r="F41" s="58" t="n" /><c r="G41" s="355" t="inlineStr"><is><t>PA25516897</t></is></c><c r="H41" s="388"><f>H40</f><v /></c><c r="I41" s="232"><f>I40</f><v /></c><c r="J41" s="302" t="n"><v>20.9</v></c><c r="K41" s="303" t="n"><v>8.473000000000001</v></c><c r="L41" s="303" t="n"><v>0.521</v></c><c r="M41" s="356" t="n"><v>109.21</v></c><c r="N41" s="356" t="n"><v>209.35</v></c><c r="O41" s="357" t="n"><v>100.48</v></c><c r="P41" s="472" t="inlineStr"><is><t>2,29,610</t></is></c><c r="Q41" s="359"><f>LEFT(P41,1)</f><v /></c><c r="R41" s="359"><f>RIGHT(P41,6)</f><v /></c><c r="S41" s="359"><f>+(Q41*60+R41)/(60*60)</f><v /></c><c r="T41" s="360"><f>+O41/S41</f><v /></c><c r="U41" s="361"><f>+(((N41-M41-O41)/O41)*100)</f><v /></c><c r="V41" s="306" t="n"><v>21.3</v></c><c r="W41" s="394" t="n"><v>1.096</v></c><c r="X41" s="394" t="n"><v>1.088</v></c><c r="Y41" s="356" t="n"><v>214.75</v></c><c r="Z41" s="356" t="n"><v>224.69</v></c><c r="AA41" s="308" t="n"><v>10.01</v></c><c r="AB41" s="308" t="inlineStr"><is><t>22,44,380</t></is></c><c r="AC41" s="359"><f>LEFT(AB41,2)</f><v /></c><c r="AD41" s="359"><f>RIGHT(AB41,6)</f><v /></c><c r="AE41" s="359"><f>+(AC41*60+AD41)/(60*60)</f><v /></c><c r="AF41" s="360"><f>+AA41/AE41</f><v /></c><c r="AG41" s="362"><f>+(((Z41-Y41-AA41)/AA41)*100)</f><v /></c><c r="AH41" s="306" t="n"><v>21.5</v></c><c r="AI41" s="394" t="n"><v>1.097</v></c><c r="AJ41" s="394" t="n"><v>1.089</v></c><c r="AK41" s="356"><f>Z41</f><v /></c><c r="AL41" s="356" t="n"><v>229.67</v></c><c r="AM41" s="363" t="n"><v>5.01</v></c><c r="AN41" s="358" t="inlineStr"><is><t>18,16,100</t></is></c><c r="AO41" s="359"><f>LEFT(AN41,2)</f><v /></c><c r="AP41" s="359"><f>RIGHT(AN41,6)</f><v /></c><c r="AQ41" s="359"><f>+(AO41*60+AP41)/(60*60)</f><v /></c><c r="AR41" s="360"><f>+AM41/AQ41</f><v /></c><c r="AS41" s="362"><f>+(((AL41-AK41-AM41)/AM41)*100)</f><v /></c><c r="AT41" s="364"><f>IF(I41&gt;=1,"NO CONFORME",IF(BK41="SIGDIFERENTES",BC41,BL41))</f><v /></c><c r="AU41" s="365"><f>B41=C41</f><v /></c><c r="AV41" s="365"><f>N41&lt;Y41</f><v /></c><c r="AW41" s="365"><f>Z41&lt;=AK41</f><v /></c><c r="AX41" s="365"><f>IF(I41&gt;=1,"Qcorrecto",IF(AND(AY41="aceptable",AZ41="aceptable",BA41="aceptable"),"Qcorrecto","Qincorrecto"))</f><v /></c><c r="AY41" s="368"><f>IF(AR41&lt;$AH$6,"error",IF(AR41&gt;$AH$6*1.1,"error","aceptable"))</f><v /></c><c r="AZ41" s="368"><f>IF(AF41&lt;$V$6,"error",IF(AF41&gt;$V$6*1.1,"error","aceptable"))</f><v /></c><c r="BA41" s="368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7"><f>SIGN(U41)</f><v /></c><c r="BE41" s="367"><f>SIGN(AG41)</f><v /></c><c r="BF41" s="367"><f>SIGN(AS41)</f><v /></c><c r="BG41" s="367"><f>CONCATENATE(BD41,BE41,BF41)</f><v /></c><c r="BH41" s="367"><f>IF(BG41="111","SI","SD")</f><v /></c><c r="BI41" s="367"><f>IF(BG41="-1-1-1","SI","SD")</f><v /></c><c r="BJ41" s="367"><f>OR(BH41="SI",BI41="SI")</f><v /></c><c r="BK41" s="367"><f>IF(BJ41=FALSE,"SIGDIFERENTES","SIGIGUALES")</f><v /></c><c r="BL41" s="368"><f>IF(BC41="NO CONFORME","NO CONFORME",IF(BB41="CONFORME","CONFORME","NO CONFORME"))</f><v /></c></row><row r="42" ht="14.4" customHeight="1" thickBot="1"><c r="A42" s="351" t="n"><v>34</v></c><c r="B42" s="369"><f>B41</f><v /></c><c r="C42" s="369"><f>C41</f><v /></c><c r="D42" s="370"><f>D41</f><v /></c><c r="E42" s="371"><f>E41</f><v /></c><c r="F42" s="13" t="n" /><c r="G42" s="355" t="inlineStr"><is><t>PA25516898</t></is></c><c r="H42" s="313"><f>H41</f><v /></c><c r="I42" s="38"><f>I41</f><v /></c><c r="J42" s="314"><f>J41</f><v /></c><c r="K42" s="372"><f>K41</f><v /></c><c r="L42" s="372"><f>L41</f><v /></c><c r="M42" s="373" t="n"><v>150.3</v></c><c r="N42" s="373" t="n"><v>250</v></c><c r="O42" s="374"><f>O41</f><v /></c><c r="P42" s="407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9"><f>W41</f><v /></c><c r="X42" s="379"><f>X41</f><v /></c><c r="Y42" s="373" t="n"><v>255.4</v></c><c r="Z42" s="373" t="n"><v>265.35</v></c><c r="AA42" s="380"><f>AA41</f><v /></c><c r="AB42" s="381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9"><f>AI41</f><v /></c><c r="AJ42" s="379"><f>AJ41</f><v /></c><c r="AK42" s="373"><f>Z42</f><v /></c><c r="AL42" s="373" t="n"><v>270.37</v></c><c r="AM42" s="382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3"><f>IF(I42&gt;=1,"NO CONFORME",IF(BK42="SIGDIFERENTES",BC42,BL42))</f><v /></c><c r="AU42" s="365"><f>B42=C42</f><v /></c><c r="AV42" s="365"><f>N42&lt;Y42</f><v /></c><c r="AW42" s="365"><f>Z42&lt;=AK42</f><v /></c><c r="AX42" s="365"><f>IF(I42&gt;=1,"Qcorrecto",IF(AND(AY42="aceptable",AZ42="aceptable",BA42="aceptable"),"Qcorrecto","Qincorrecto"))</f><v /></c><c r="AY42" s="366"><f>IF(AR42&lt;$AH$6,"error",IF(AR42&gt;$AH$6*1.1,"error","aceptable"))</f><v /></c><c r="AZ42" s="366"><f>IF(AF42&lt;$V$6,"error",IF(AF42&gt;$V$6*1.1,"error","aceptable"))</f><v /></c><c r="BA42" s="366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7"><f>SIGN(U42)</f><v /></c><c r="BE42" s="367"><f>SIGN(AG42)</f><v /></c><c r="BF42" s="367"><f>SIGN(AS42)</f><v /></c><c r="BG42" s="367"><f>CONCATENATE(BD42,BE42,BF42)</f><v /></c><c r="BH42" s="367"><f>IF(BG42="111","SI","SD")</f><v /></c><c r="BI42" s="367"><f>IF(BG42="-1-1-1","SI","SD")</f><v /></c><c r="BJ42" s="367"><f>OR(BH42="SI",BI42="SI")</f><v /></c><c r="BK42" s="367"><f>IF(BJ42=FALSE,"SIGDIFERENTES","SIGIGUALES")</f><v /></c><c r="BL42" s="366"><f>IF(BC42="NO CONFORME","NO CONFORME",IF(BB42="CONFORME","CONFORME","NO CONFORME"))</f><v /></c></row><row r="43" ht="14.4" customHeight="1" thickBot="1"><c r="A43" s="398" t="n"><v>35</v></c><c r="B43" s="399"><f>B42</f><v /></c><c r="C43" s="399"><f>C42</f><v /></c><c r="D43" s="400"><f>D42</f><v /></c><c r="E43" s="371"><f>E42</f><v /></c><c r="F43" s="56" t="n" /><c r="G43" s="355" t="inlineStr"><is><t>PA25516899</t></is></c><c r="H43" s="401"><f>H42</f><v /></c><c r="I43" s="402"><f>I42</f><v /></c><c r="J43" s="314"><f>J42</f><v /></c><c r="K43" s="372"><f>K42</f><v /></c><c r="L43" s="372"><f>L42</f><v /></c><c r="M43" s="405" t="n"><v>108.58</v></c><c r="N43" s="405" t="n"><v>208.08</v></c><c r="O43" s="374"><f>O42</f><v /></c><c r="P43" s="407"><f>P42</f><v /></c><c r="Q43" s="408"><f>LEFT(P43,1)</f><v /></c><c r="R43" s="408"><f>RIGHT(P43,6)</f><v /></c><c r="S43" s="408"><f>+(Q43*60+R43)/(60*60)</f><v /></c><c r="T43" s="409"><f>+O43/S43</f><v /></c><c r="U43" s="410"><f>+(((N43-M43-O43)/O43)*100)</f><v /></c><c r="V43" s="317"><f>V42</f><v /></c><c r="W43" s="379"><f>W42</f><v /></c><c r="X43" s="379"><f>X42</f><v /></c><c r="Y43" s="405" t="n"><v>213.48</v></c><c r="Z43" s="405" t="n"><v>223.42</v></c><c r="AA43" s="380"><f>AA42</f><v /></c><c r="AB43" s="381"><f>AB42</f><v /></c><c r="AC43" s="408"><f>LEFT(AB43,2)</f><v /></c><c r="AD43" s="408"><f>RIGHT(AB43,6)</f><v /></c><c r="AE43" s="408"><f>+(AC43*60+AD43)/(60*60)</f><v /></c><c r="AF43" s="409"><f>+AA43/AE43</f><v /></c><c r="AG43" s="415"><f>+(((Z43-Y43-AA43)/AA43)*100)</f><v /></c><c r="AH43" s="317"><f>AH42</f><v /></c><c r="AI43" s="379"><f>AI42</f><v /></c><c r="AJ43" s="379"><f>AJ42</f><v /></c><c r="AK43" s="405"><f>Z43</f><v /></c><c r="AL43" s="405" t="n"><v>228.44</v></c><c r="AM43" s="382"><f>AM42</f><v /></c><c r="AN43" s="375"><f>AN42</f><v /></c><c r="AO43" s="408"><f>LEFT(AN43,2)</f><v /></c><c r="AP43" s="408"><f>RIGHT(AN43,6)</f><v /></c><c r="AQ43" s="408"><f>+(AO43*60+AP43)/(60*60)</f><v /></c><c r="AR43" s="409"><f>+AM43/AQ43</f><v /></c><c r="AS43" s="415"><f>+(((AL43-AK43-AM43)/AM43)*100)</f><v /></c><c r="AT43" s="417"><f>IF(I43&gt;=1,"NO CONFORME",IF(BK43="SIGDIFERENTES",BC43,BL43))</f><v /></c><c r="AU43" s="365"><f>B43=C43</f><v /></c><c r="AV43" s="365"><f>N43&lt;Y43</f><v /></c><c r="AW43" s="365"><f>Z43&lt;=AK43</f><v /></c><c r="AX43" s="365"><f>IF(I43&gt;=1,"Qcorrecto",IF(AND(AY43="aceptable",AZ43="aceptable",BA43="aceptable"),"Qcorrecto","Qincorrecto"))</f><v /></c><c r="AY43" s="418"><f>IF(AR43&lt;$AH$6,"error",IF(AR43&gt;$AH$6*1.1,"error","aceptable"))</f><v /></c><c r="AZ43" s="418"><f>IF(AF43&lt;$V$6,"error",IF(AF43&gt;$V$6*1.1,"error","aceptable"))</f><v /></c><c r="BA43" s="418"><f>IF(T43&lt;$J$6*0.9,"error",IF(T43&gt;$J$6,"error","aceptable"))</f><v /></c><c r="BB43" s="419"><f>(IF(ABS(U43)&lt;1.05,"CONFORME",IF(ABS(AG43)&lt;1.05,"CONFORME",IF(ABS(AS43)&lt;2.55,"CONFORME","NO CONFORME"))))</f><v /></c><c r="BC43" s="420"><f>(IF(ABS(U43)&gt;2.05,"NO CONFORME",IF(ABS(AG43)&gt;2.05,"NO CONFORME",IF(ABS(AS43)&gt;5.05,"NO CONFORME","CONFORME"))))</f><v /></c><c r="BD43" s="367"><f>SIGN(U43)</f><v /></c><c r="BE43" s="367"><f>SIGN(AG43)</f><v /></c><c r="BF43" s="367"><f>SIGN(AS43)</f><v /></c><c r="BG43" s="367"><f>CONCATENATE(BD43,BE43,BF43)</f><v /></c><c r="BH43" s="367"><f>IF(BG43="111","SI","SD")</f><v /></c><c r="BI43" s="367"><f>IF(BG43="-1-1-1","SI","SD")</f><v /></c><c r="BJ43" s="367"><f>OR(BH43="SI",BI43="SI")</f><v /></c><c r="BK43" s="367"><f>IF(BJ43=FALSE,"SIGDIFERENTES","SIGIGUALES")</f><v /></c><c r="BL43" s="418"><f>IF(BC43="NO CONFORME","NO CONFORME",IF(BB43="CONFORME","CONFORME","NO CONFORME"))</f><v /></c></row><row r="44" ht="14.4" customHeight="1" thickBot="1"><c r="A44" s="371" t="n"><v>36</v></c><c r="B44" s="369"><f>B43</f><v /></c><c r="C44" s="369"><f>C43</f><v /></c><c r="D44" s="370"><f>D43</f><v /></c><c r="E44" s="371"><f>E43</f><v /></c><c r="F44" s="13" t="n" /><c r="G44" s="355" t="inlineStr"><is><t>PA25516900</t></is></c><c r="H44" s="313"><f>H43</f><v /></c><c r="I44" s="38"><f>I43</f><v /></c><c r="J44" s="314"><f>J43</f><v /></c><c r="K44" s="372"><f>K43</f><v /></c><c r="L44" s="372"><f>L43</f><v /></c><c r="M44" s="373" t="n"><v>109.51</v></c><c r="N44" s="373" t="n"><v>209.6</v></c><c r="O44" s="374"><f>O43</f><v /></c><c r="P44" s="407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9"><f>W43</f><v /></c><c r="X44" s="379"><f>X43</f><v /></c><c r="Y44" s="373" t="n"><v>215</v></c><c r="Z44" s="373" t="n"><v>225.01</v></c><c r="AA44" s="380"><f>AA43</f><v /></c><c r="AB44" s="381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9"><f>AI43</f><v /></c><c r="AJ44" s="379"><f>AJ43</f><v /></c><c r="AK44" s="373"><f>Z44</f><v /></c><c r="AL44" s="373" t="n"><v>230.09</v></c><c r="AM44" s="382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3"><f>IF(I44&gt;=1,"NO CONFORME",IF(BK44="SIGDIFERENTES",BC44,BL44))</f><v /></c><c r="AU44" s="421"><f>B44=C44</f><v /></c><c r="AV44" s="421"><f>N44&lt;Y44</f><v /></c><c r="AW44" s="421"><f>Z44&lt;=AK44</f><v /></c><c r="AX44" s="421"><f>IF(I44&gt;=1,"Qcorrecto",IF(AND(AY44="aceptable",AZ44="aceptable",BA44="aceptable"),"Qcorrecto","Qincorrecto"))</f><v /></c><c r="AY44" s="366"><f>IF(AR44&lt;$AH$6,"error",IF(AR44&gt;$AH$6*1.1,"error","aceptable"))</f><v /></c><c r="AZ44" s="366"><f>IF(AF44&lt;$V$6,"error",IF(AF44&gt;$V$6*1.1,"error","aceptable"))</f><v /></c><c r="BA44" s="366"><f>IF(T44&lt;$J$6*0.9,"error",IF(T44&gt;$J$6,"error","aceptable"))</f><v /></c><c r="BB44" s="422"><f>(IF(ABS(U44)&lt;1.05,"CONFORME",IF(ABS(AG44)&lt;1.05,"CONFORME",IF(ABS(AS44)&lt;2.55,"CONFORME","NO CONFORME"))))</f><v /></c><c r="BC44" s="423"><f>(IF(ABS(U44)&gt;2.05,"NO CONFORME",IF(ABS(AG44)&gt;2.05,"NO CONFORME",IF(ABS(AS44)&gt;5.05,"NO CONFORME","CONFORME"))))</f><v /></c><c r="BD44" s="424"><f>SIGN(U44)</f><v /></c><c r="BE44" s="424"><f>SIGN(AG44)</f><v /></c><c r="BF44" s="424"><f>SIGN(AS44)</f><v /></c><c r="BG44" s="424"><f>CONCATENATE(BD44,BE44,BF44)</f><v /></c><c r="BH44" s="424"><f>IF(BG44="111","SI","SD")</f><v /></c><c r="BI44" s="424"><f>IF(BG44="-1-1-1","SI","SD")</f><v /></c><c r="BJ44" s="424"><f>OR(BH44="SI",BI44="SI")</f><v /></c><c r="BK44" s="424"><f>IF(BJ44=FALSE,"SIGDIFERENTES","SIGIGUALES")</f><v /></c><c r="BL44" s="366"><f>IF(BC44="NO CONFORME","NO CONFORME",IF(BB44="CONFORME","CONFORME","NO CONFORME"))</f><v /></c></row><row r="45" ht="14.4" customHeight="1" thickBot="1"><c r="A45" s="351" t="n"><v>37</v></c><c r="B45" s="386"><f>B44</f><v /></c><c r="C45" s="386"><f>C44</f><v /></c><c r="D45" s="387"><f>D44</f><v /></c><c r="E45" s="371"><f>E44</f><v /></c><c r="F45" s="58" t="n" /><c r="G45" s="355" t="inlineStr"><is><t>PA25516901</t></is></c><c r="H45" s="388"><f>H44</f><v /></c><c r="I45" s="232"><f>I44</f><v /></c><c r="J45" s="314"><f>J44</f><v /></c><c r="K45" s="372"><f>K44</f><v /></c><c r="L45" s="372"><f>L44</f><v /></c><c r="M45" s="356" t="n"><v>111.31</v></c><c r="N45" s="356" t="n"><v>211.64</v></c><c r="O45" s="374"><f>O44</f><v /></c><c r="P45" s="407"><f>P44</f><v /></c><c r="Q45" s="359"><f>LEFT(P45,1)</f><v /></c><c r="R45" s="359"><f>RIGHT(P45,6)</f><v /></c><c r="S45" s="359"><f>+(Q45*60+R45)/(60*60)</f><v /></c><c r="T45" s="360"><f>+O45/S45</f><v /></c><c r="U45" s="361"><f>+(((N45-M45-O45)/O45)*100)</f><v /></c><c r="V45" s="317"><f>V44</f><v /></c><c r="W45" s="379"><f>W44</f><v /></c><c r="X45" s="379"><f>X44</f><v /></c><c r="Y45" s="356" t="n"><v>217.05</v></c><c r="Z45" s="356" t="n"><v>227.08</v></c><c r="AA45" s="380"><f>AA44</f><v /></c><c r="AB45" s="381"><f>AB44</f><v /></c><c r="AC45" s="359"><f>LEFT(AB45,2)</f><v /></c><c r="AD45" s="359"><f>RIGHT(AB45,6)</f><v /></c><c r="AE45" s="359"><f>+(AC45*60+AD45)/(60*60)</f><v /></c><c r="AF45" s="360"><f>+AA45/AE45</f><v /></c><c r="AG45" s="362"><f>+(((Z45-Y45-AA45)/AA45)*100)</f><v /></c><c r="AH45" s="317"><f>AH44</f><v /></c><c r="AI45" s="379"><f>AI44</f><v /></c><c r="AJ45" s="379"><f>AJ44</f><v /></c><c r="AK45" s="356"><f>Z45</f><v /></c><c r="AL45" s="356" t="n"><v>232.14</v></c><c r="AM45" s="382"><f>AM44</f><v /></c><c r="AN45" s="375"><f>AN44</f><v /></c><c r="AO45" s="359"><f>LEFT(AN45,2)</f><v /></c><c r="AP45" s="359"><f>RIGHT(AN45,6)</f><v /></c><c r="AQ45" s="359"><f>+(AO45*60+AP45)/(60*60)</f><v /></c><c r="AR45" s="360"><f>+AM45/AQ45</f><v /></c><c r="AS45" s="362"><f>+(((AL45-AK45-AM45)/AM45)*100)</f><v /></c><c r="AT45" s="364"><f>IF(I45&gt;=1,"NO CONFORME",IF(BK45="SIGDIFERENTES",BC45,BL45))</f><v /></c><c r="AU45" s="365"><f>B45=C45</f><v /></c><c r="AV45" s="365"><f>N45&lt;Y45</f><v /></c><c r="AW45" s="365"><f>Z45&lt;=AK45</f><v /></c><c r="AX45" s="365"><f>IF(I45&gt;=1,"Qcorrecto",IF(AND(AY45="aceptable",AZ45="aceptable",BA45="aceptable"),"Qcorrecto","Qincorrecto"))</f><v /></c><c r="AY45" s="368"><f>IF(AR45&lt;$AH$6,"error",IF(AR45&gt;$AH$6*1.1,"error","aceptable"))</f><v /></c><c r="AZ45" s="368"><f>IF(AF45&lt;$V$6,"error",IF(AF45&gt;$V$6*1.1,"error","aceptable"))</f><v /></c><c r="BA45" s="368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7"><f>SIGN(U45)</f><v /></c><c r="BE45" s="367"><f>SIGN(AG45)</f><v /></c><c r="BF45" s="367"><f>SIGN(AS45)</f><v /></c><c r="BG45" s="367"><f>CONCATENATE(BD45,BE45,BF45)</f><v /></c><c r="BH45" s="367"><f>IF(BG45="111","SI","SD")</f><v /></c><c r="BI45" s="367"><f>IF(BG45="-1-1-1","SI","SD")</f><v /></c><c r="BJ45" s="367"><f>OR(BH45="SI",BI45="SI")</f><v /></c><c r="BK45" s="367"><f>IF(BJ45=FALSE,"SIGDIFERENTES","SIGIGUALES")</f><v /></c><c r="BL45" s="368"><f>IF(BC45="NO CONFORME","NO CONFORME",IF(BB45="CONFORME","CONFORME","NO CONFORME"))</f><v /></c></row><row r="46" ht="14.4" customHeight="1" thickBot="1"><c r="A46" s="351" t="n"><v>38</v></c><c r="B46" s="369"><f>B45</f><v /></c><c r="C46" s="369"><f>C45</f><v /></c><c r="D46" s="370"><f>D45</f><v /></c><c r="E46" s="371"><f>E45</f><v /></c><c r="F46" s="13" t="n" /><c r="G46" s="355" t="inlineStr"><is><t>PA25516902</t></is></c><c r="H46" s="313"><f>H45</f><v /></c><c r="I46" s="38"><f>I45</f><v /></c><c r="J46" s="314"><f>J45</f><v /></c><c r="K46" s="372"><f>K45</f><v /></c><c r="L46" s="372"><f>L45</f><v /></c><c r="M46" s="373" t="n"><v>109.2</v></c><c r="N46" s="373" t="n"><v>208.8</v></c><c r="O46" s="374"><f>O45</f><v /></c><c r="P46" s="407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9"><f>W45</f><v /></c><c r="X46" s="379"><f>X45</f><v /></c><c r="Y46" s="373" t="n"><v>214.19</v></c><c r="Z46" s="373" t="n"><v>224.13</v></c><c r="AA46" s="380"><f>AA45</f><v /></c><c r="AB46" s="381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9"><f>AI45</f><v /></c><c r="AJ46" s="379"><f>AJ45</f><v /></c><c r="AK46" s="373"><f>Z46</f><v /></c><c r="AL46" s="373" t="n"><v>229.18</v></c><c r="AM46" s="382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3"><f>IF(I46&gt;=1,"NO CONFORME",IF(BK46="SIGDIFERENTES",BC46,BL46))</f><v /></c><c r="AU46" s="365"><f>B46=C46</f><v /></c><c r="AV46" s="365"><f>N46&lt;Y46</f><v /></c><c r="AW46" s="365"><f>Z46&lt;=AK46</f><v /></c><c r="AX46" s="365"><f>IF(I46&gt;=1,"Qcorrecto",IF(AND(AY46="aceptable",AZ46="aceptable",BA46="aceptable"),"Qcorrecto","Qincorrecto"))</f><v /></c><c r="AY46" s="366"><f>IF(AR46&lt;$AH$6,"error",IF(AR46&gt;$AH$6*1.1,"error","aceptable"))</f><v /></c><c r="AZ46" s="366"><f>IF(AF46&lt;$V$6,"error",IF(AF46&gt;$V$6*1.1,"error","aceptable"))</f><v /></c><c r="BA46" s="366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7"><f>SIGN(U46)</f><v /></c><c r="BE46" s="367"><f>SIGN(AG46)</f><v /></c><c r="BF46" s="367"><f>SIGN(AS46)</f><v /></c><c r="BG46" s="367"><f>CONCATENATE(BD46,BE46,BF46)</f><v /></c><c r="BH46" s="367"><f>IF(BG46="111","SI","SD")</f><v /></c><c r="BI46" s="367"><f>IF(BG46="-1-1-1","SI","SD")</f><v /></c><c r="BJ46" s="367"><f>OR(BH46="SI",BI46="SI")</f><v /></c><c r="BK46" s="367"><f>IF(BJ46=FALSE,"SIGDIFERENTES","SIGIGUALES")</f><v /></c><c r="BL46" s="366"><f>IF(BC46="NO CONFORME","NO CONFORME",IF(BB46="CONFORME","CONFORME","NO CONFORME"))</f><v /></c></row><row r="47" ht="14.4" customHeight="1" thickBot="1"><c r="A47" s="351" t="n"><v>39</v></c><c r="B47" s="369"><f>B46</f><v /></c><c r="C47" s="369"><f>C46</f><v /></c><c r="D47" s="370"><f>D46</f><v /></c><c r="E47" s="371"><f>E46</f><v /></c><c r="F47" s="13" t="n" /><c r="G47" s="355" t="inlineStr"><is><t>PA25516903</t></is></c><c r="H47" s="313"><f>H46</f><v /></c><c r="I47" s="38"><f>I46</f><v /></c><c r="J47" s="314"><f>J46</f><v /></c><c r="K47" s="372"><f>K46</f><v /></c><c r="L47" s="372"><f>L46</f><v /></c><c r="M47" s="373" t="n"><v>150.79</v></c><c r="N47" s="373" t="n"><v>250.93</v></c><c r="O47" s="374"><f>O46</f><v /></c><c r="P47" s="407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9"><f>W46</f><v /></c><c r="X47" s="379"><f>X46</f><v /></c><c r="Y47" s="373" t="n"><v>256.34</v></c><c r="Z47" s="373" t="n"><v>266.28</v></c><c r="AA47" s="380"><f>AA46</f><v /></c><c r="AB47" s="381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9"><f>AI46</f><v /></c><c r="AJ47" s="379"><f>AJ46</f><v /></c><c r="AK47" s="373"><f>Z47</f><v /></c><c r="AL47" s="373" t="n"><v>271.29</v></c><c r="AM47" s="382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3"><f>IF(I47&gt;=1,"NO CONFORME",IF(BK47="SIGDIFERENTES",BC47,BL47))</f><v /></c><c r="AU47" s="365"><f>B47=C47</f><v /></c><c r="AV47" s="365"><f>N47&lt;Y47</f><v /></c><c r="AW47" s="365"><f>Z47&lt;=AK47</f><v /></c><c r="AX47" s="365"><f>IF(I47&gt;=1,"Qcorrecto",IF(AND(AY47="aceptable",AZ47="aceptable",BA47="aceptable"),"Qcorrecto","Qincorrecto"))</f><v /></c><c r="AY47" s="366"><f>IF(AR47&lt;$AH$6,"error",IF(AR47&gt;$AH$6*1.1,"error","aceptable"))</f><v /></c><c r="AZ47" s="366"><f>IF(AF47&lt;$V$6,"error",IF(AF47&gt;$V$6*1.1,"error","aceptable"))</f><v /></c><c r="BA47" s="366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7"><f>SIGN(U47)</f><v /></c><c r="BE47" s="367"><f>SIGN(AG47)</f><v /></c><c r="BF47" s="367"><f>SIGN(AS47)</f><v /></c><c r="BG47" s="367"><f>CONCATENATE(BD47,BE47,BF47)</f><v /></c><c r="BH47" s="367"><f>IF(BG47="111","SI","SD")</f><v /></c><c r="BI47" s="367"><f>IF(BG47="-1-1-1","SI","SD")</f><v /></c><c r="BJ47" s="367"><f>OR(BH47="SI",BI47="SI")</f><v /></c><c r="BK47" s="367"><f>IF(BJ47=FALSE,"SIGDIFERENTES","SIGIGUALES")</f><v /></c><c r="BL47" s="366"><f>IF(BC47="NO CONFORME","NO CONFORME",IF(BB47="CONFORME","CONFORME","NO CONFORME"))</f><v /></c></row><row r="48" ht="14.4" customHeight="1" thickBot="1"><c r="A48" s="351" t="n"><v>40</v></c><c r="B48" s="369"><f>B47</f><v /></c><c r="C48" s="369"><f>C47</f><v /></c><c r="D48" s="370"><f>D47</f><v /></c><c r="E48" s="371"><f>E47</f><v /></c><c r="F48" s="13" t="n" /><c r="G48" s="355" t="inlineStr"><is><t>PA25516904</t></is></c><c r="H48" s="313"><f>H47</f><v /></c><c r="I48" s="38"><f>I47</f><v /></c><c r="J48" s="314"><f>J47</f><v /></c><c r="K48" s="372"><f>K47</f><v /></c><c r="L48" s="372"><f>L47</f><v /></c><c r="M48" s="373" t="n"><v>109.99</v></c><c r="N48" s="373" t="n"><v>209.84</v></c><c r="O48" s="374"><f>O47</f><v /></c><c r="P48" s="407"><f>P47</f><v /></c><c r="Q48" s="376"><f>LEFT(P48,1)</f><v /></c><c r="R48" s="376"><f>RIGHT(P48,6)</f><v /></c><c r="S48" s="376"><f>+(Q48*60+R48)/(60*60)</f><v /></c><c r="T48" s="377"><f>+O48/S48</f><v /></c><c r="U48" s="378"><f>+(((N48-M48-O48)/O48)*100)</f><v /></c><c r="V48" s="317"><f>V47</f><v /></c><c r="W48" s="379"><f>W47</f><v /></c><c r="X48" s="379"><f>X47</f><v /></c><c r="Y48" s="373" t="n"><v>215.24</v></c><c r="Z48" s="373" t="n"><v>225.22</v></c><c r="AA48" s="380"><f>AA47</f><v /></c><c r="AB48" s="381"><f>AB47</f><v /></c><c r="AC48" s="376"><f>LEFT(AB48,2)</f><v /></c><c r="AD48" s="376"><f>RIGHT(AB48,6)</f><v /></c><c r="AE48" s="376"><f>+(AC48*60+AD48)/(60*60)</f><v /></c><c r="AF48" s="377"><f>+AA48/AE48</f><v /></c><c r="AG48" s="321"><f>+(((Z48-Y48-AA48)/AA48)*100)</f><v /></c><c r="AH48" s="317"><f>AH47</f><v /></c><c r="AI48" s="379"><f>AI47</f><v /></c><c r="AJ48" s="379"><f>AJ47</f><v /></c><c r="AK48" s="373"><f>Z48</f><v /></c><c r="AL48" s="373" t="n"><v>230.28</v></c><c r="AM48" s="382"><f>AM47</f><v /></c><c r="AN48" s="375"><f>AN47</f><v /></c><c r="AO48" s="376"><f>LEFT(AN48,2)</f><v /></c><c r="AP48" s="376"><f>RIGHT(AN48,6)</f><v /></c><c r="AQ48" s="376"><f>+(AO48*60+AP48)/(60*60)</f><v /></c><c r="AR48" s="377"><f>+AM48/AQ48</f><v /></c><c r="AS48" s="321"><f>+(((AL48-AK48-AM48)/AM48)*100)</f><v /></c><c r="AT48" s="383"><f>IF(I48&gt;=1,"NO CONFORME",IF(BK48="SIGDIFERENTES",BC48,BL48))</f><v /></c><c r="AU48" s="365"><f>B48=C48</f><v /></c><c r="AV48" s="365"><f>N48&lt;Y48</f><v /></c><c r="AW48" s="365"><f>Z48&lt;=AK48</f><v /></c><c r="AX48" s="365"><f>IF(I48&gt;=1,"Qcorrecto",IF(AND(AY48="aceptable",AZ48="aceptable",BA48="aceptable"),"Qcorrecto","Qincorrecto"))</f><v /></c><c r="AY48" s="366"><f>IF(AR48&lt;$AH$6,"error",IF(AR48&gt;$AH$6*1.1,"error","aceptable"))</f><v /></c><c r="AZ48" s="366"><f>IF(AF48&lt;$V$6,"error",IF(AF48&gt;$V$6*1.1,"error","aceptable"))</f><v /></c><c r="BA48" s="366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67"><f>SIGN(U48)</f><v /></c><c r="BE48" s="367"><f>SIGN(AG48)</f><v /></c><c r="BF48" s="367"><f>SIGN(AS48)</f><v /></c><c r="BG48" s="367"><f>CONCATENATE(BD48,BE48,BF48)</f><v /></c><c r="BH48" s="367"><f>IF(BG48="111","SI","SD")</f><v /></c><c r="BI48" s="367"><f>IF(BG48="-1-1-1","SI","SD")</f><v /></c><c r="BJ48" s="367"><f>OR(BH48="SI",BI48="SI")</f><v /></c><c r="BK48" s="367"><f>IF(BJ48=FALSE,"SIGDIFERENTES","SIGIGUALES")</f><v /></c><c r="BL48" s="366"><f>IF(BC48="NO CONFORME","NO CONFORME",IF(BB48="CONFORME","CONFORME","NO CONFORME"))</f><v /></c></row><row r="49" ht="14.4" customHeight="1" thickBot="1"><c r="A49" s="351" t="n"><v>41</v></c><c r="B49" s="369"><f>B48</f><v /></c><c r="C49" s="369"><f>C48</f><v /></c><c r="D49" s="370"><f>D48</f><v /></c><c r="E49" s="371"><f>E48</f><v /></c><c r="F49" s="13" t="n" /><c r="G49" s="355" t="inlineStr"><is><t>PA25516905</t></is></c><c r="H49" s="313"><f>H48</f><v /></c><c r="I49" s="38"><f>I48</f><v /></c><c r="J49" s="314"><f>J48</f><v /></c><c r="K49" s="372"><f>K48</f><v /></c><c r="L49" s="372"><f>L48</f><v /></c><c r="M49" s="373" t="n"><v>110.91</v></c><c r="N49" s="373" t="n"><v>210.69</v></c><c r="O49" s="374"><f>O48</f><v /></c><c r="P49" s="407"><f>P48</f><v /></c><c r="Q49" s="376"><f>LEFT(P49,1)</f><v /></c><c r="R49" s="376"><f>RIGHT(P49,6)</f><v /></c><c r="S49" s="376"><f>+(Q49*60+R49)/(60*60)</f><v /></c><c r="T49" s="377"><f>+O49/S49</f><v /></c><c r="U49" s="378"><f>+(((N49-M49-O49)/O49)*100)</f><v /></c><c r="V49" s="317"><f>V48</f><v /></c><c r="W49" s="379"><f>W48</f><v /></c><c r="X49" s="379"><f>X48</f><v /></c><c r="Y49" s="373" t="n"><v>216.05</v></c><c r="Z49" s="373" t="n"><v>225.95</v></c><c r="AA49" s="380"><f>AA48</f><v /></c><c r="AB49" s="381"><f>AB48</f><v /></c><c r="AC49" s="376"><f>LEFT(AB49,2)</f><v /></c><c r="AD49" s="376"><f>RIGHT(AB49,6)</f><v /></c><c r="AE49" s="376"><f>+(AC49*60+AD49)/(60*60)</f><v /></c><c r="AF49" s="377"><f>+AA49/AE49</f><v /></c><c r="AG49" s="321"><f>+(((Z49-Y49-AA49)/AA49)*100)</f><v /></c><c r="AH49" s="317"><f>AH48</f><v /></c><c r="AI49" s="379"><f>AI48</f><v /></c><c r="AJ49" s="379"><f>AJ48</f><v /></c><c r="AK49" s="373"><f>Z49</f><v /></c><c r="AL49" s="373" t="n"><v>230.9</v></c><c r="AM49" s="382"><f>AM48</f><v /></c><c r="AN49" s="375"><f>AN48</f><v /></c><c r="AO49" s="376"><f>LEFT(AN49,2)</f><v /></c><c r="AP49" s="376"><f>RIGHT(AN49,6)</f><v /></c><c r="AQ49" s="376"><f>+(AO49*60+AP49)/(60*60)</f><v /></c><c r="AR49" s="377"><f>+AM49/AQ49</f><v /></c><c r="AS49" s="321"><f>+(((AL49-AK49-AM49)/AM49)*100)</f><v /></c><c r="AT49" s="383"><f>IF(I49&gt;=1,"NO CONFORME",IF(BK49="SIGDIFERENTES",BC49,BL49))</f><v /></c><c r="AU49" s="365"><f>B49=C49</f><v /></c><c r="AV49" s="365"><f>N49&lt;Y49</f><v /></c><c r="AW49" s="365"><f>Z49&lt;=AK49</f><v /></c><c r="AX49" s="365"><f>IF(I49&gt;=1,"Qcorrecto",IF(AND(AY49="aceptable",AZ49="aceptable",BA49="aceptable"),"Qcorrecto","Qincorrecto"))</f><v /></c><c r="AY49" s="366"><f>IF(AR49&lt;$AH$6,"error",IF(AR49&gt;$AH$6*1.1,"error","aceptable"))</f><v /></c><c r="AZ49" s="366"><f>IF(AF49&lt;$V$6,"error",IF(AF49&gt;$V$6*1.1,"error","aceptable"))</f><v /></c><c r="BA49" s="366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67"><f>SIGN(U49)</f><v /></c><c r="BE49" s="367"><f>SIGN(AG49)</f><v /></c><c r="BF49" s="367"><f>SIGN(AS49)</f><v /></c><c r="BG49" s="367"><f>CONCATENATE(BD49,BE49,BF49)</f><v /></c><c r="BH49" s="367"><f>IF(BG49="111","SI","SD")</f><v /></c><c r="BI49" s="367"><f>IF(BG49="-1-1-1","SI","SD")</f><v /></c><c r="BJ49" s="367"><f>OR(BH49="SI",BI49="SI")</f><v /></c><c r="BK49" s="367"><f>IF(BJ49=FALSE,"SIGDIFERENTES","SIGIGUALES")</f><v /></c><c r="BL49" s="366"><f>IF(BC49="NO CONFORME","NO CONFORME",IF(BB49="CONFORME","CONFORME","NO CONFORME"))</f><v /></c></row><row r="50" ht="14.4" customHeight="1" thickBot="1"><c r="A50" s="351" t="n"><v>42</v></c><c r="B50" s="369"><f>B49</f><v /></c><c r="C50" s="369"><f>C49</f><v /></c><c r="D50" s="370"><f>D49</f><v /></c><c r="E50" s="371"><f>E49</f><v /></c><c r="F50" s="13" t="n" /><c r="G50" s="355" t="inlineStr"><is><t>PA25516906</t></is></c><c r="H50" s="313"><f>H49</f><v /></c><c r="I50" s="38"><f>I49</f><v /></c><c r="J50" s="314"><f>J49</f><v /></c><c r="K50" s="372"><f>K49</f><v /></c><c r="L50" s="372"><f>L49</f><v /></c><c r="M50" s="373" t="n"><v>111.19</v></c><c r="N50" s="373" t="n"><v>211.29</v></c><c r="O50" s="374"><f>O49</f><v /></c><c r="P50" s="407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9"><f>W49</f><v /></c><c r="X50" s="379"><f>X49</f><v /></c><c r="Y50" s="373" t="n"><v>216.67</v></c><c r="Z50" s="373" t="n"><v>226.6</v></c><c r="AA50" s="380"><f>AA49</f><v /></c><c r="AB50" s="381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9"><f>AI49</f><v /></c><c r="AJ50" s="379"><f>AJ49</f><v /></c><c r="AK50" s="373"><f>Z50</f><v /></c><c r="AL50" s="373" t="n"><v>231.6</v></c><c r="AM50" s="382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3"><f>IF(I50&gt;=1,"NO CONFORME",IF(BK50="SIGDIFERENTES",BC50,BL50))</f><v /></c><c r="AU50" s="365"><f>B50=C50</f><v /></c><c r="AV50" s="365"><f>N50&lt;Y50</f><v /></c><c r="AW50" s="365"><f>Z50&lt;=AK50</f><v /></c><c r="AX50" s="365"><f>IF(I50&gt;=1,"Qcorrecto",IF(AND(AY50="aceptable",AZ50="aceptable",BA50="aceptable"),"Qcorrecto","Qincorrecto"))</f><v /></c><c r="AY50" s="366"><f>IF(AR50&lt;$AH$6,"error",IF(AR50&gt;$AH$6*1.1,"error","aceptable"))</f><v /></c><c r="AZ50" s="366"><f>IF(AF50&lt;$V$6,"error",IF(AF50&gt;$V$6*1.1,"error","aceptable"))</f><v /></c><c r="BA50" s="366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7"><f>SIGN(U50)</f><v /></c><c r="BE50" s="367"><f>SIGN(AG50)</f><v /></c><c r="BF50" s="367"><f>SIGN(AS50)</f><v /></c><c r="BG50" s="367"><f>CONCATENATE(BD50,BE50,BF50)</f><v /></c><c r="BH50" s="367"><f>IF(BG50="111","SI","SD")</f><v /></c><c r="BI50" s="367"><f>IF(BG50="-1-1-1","SI","SD")</f><v /></c><c r="BJ50" s="367"><f>OR(BH50="SI",BI50="SI")</f><v /></c><c r="BK50" s="367"><f>IF(BJ50=FALSE,"SIGDIFERENTES","SIGIGUALES")</f><v /></c><c r="BL50" s="366"><f>IF(BC50="NO CONFORME","NO CONFORME",IF(BB50="CONFORME","CONFORME","NO CONFORME"))</f><v /></c></row><row r="51" ht="14.4" customHeight="1" thickBot="1"><c r="A51" s="451" t="n"><v>43</v></c><c r="B51" s="369"><f>B50</f><v /></c><c r="C51" s="369"><f>C50</f><v /></c><c r="D51" s="370"><f>D50</f><v /></c><c r="E51" s="371"><f>E50</f><v /></c><c r="F51" s="13" t="n" /><c r="G51" s="452" t="inlineStr"><is><t>PA25516907</t></is></c><c r="H51" s="313"><f>H50</f><v /></c><c r="I51" s="38"><f>I50</f><v /></c><c r="J51" s="314"><f>J50</f><v /></c><c r="K51" s="372"><f>K50</f><v /></c><c r="L51" s="372"><f>L50</f><v /></c><c r="M51" s="373" t="n"><v>150.38</v></c><c r="N51" s="373" t="n"><v>250.2</v></c><c r="O51" s="374"><f>O50</f><v /></c><c r="P51" s="407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9"><f>W50</f><v /></c><c r="X51" s="379"><f>X50</f><v /></c><c r="Y51" s="373" t="n"><v>255.6</v></c><c r="Z51" s="373" t="n"><v>265.54</v></c><c r="AA51" s="380"><f>AA50</f><v /></c><c r="AB51" s="381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9"><f>AI50</f><v /></c><c r="AJ51" s="379"><f>AJ50</f><v /></c><c r="AK51" s="373"><f>Z51</f><v /></c><c r="AL51" s="373" t="n"><v>270.54</v></c><c r="AM51" s="382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3"><f>IF(I51&gt;=1,"NO CONFORME",IF(BK51="SIGDIFERENTES",BC51,BL51))</f><v /></c><c r="AU51" s="365"><f>B51=C51</f><v /></c><c r="AV51" s="365"><f>N51&lt;Y51</f><v /></c><c r="AW51" s="365"><f>Z51&lt;=AK51</f><v /></c><c r="AX51" s="365"><f>IF(I51&gt;=1,"Qcorrecto",IF(AND(AY51="aceptable",AZ51="aceptable",BA51="aceptable"),"Qcorrecto","Qincorrecto"))</f><v /></c><c r="AY51" s="366"><f>IF(AR51&lt;$AH$6,"error",IF(AR51&gt;$AH$6*1.1,"error","aceptable"))</f><v /></c><c r="AZ51" s="366"><f>IF(AF51&lt;$V$6,"error",IF(AF51&gt;$V$6*1.1,"error","aceptable"))</f><v /></c><c r="BA51" s="366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7"><f>SIGN(U51)</f><v /></c><c r="BE51" s="367"><f>SIGN(AG51)</f><v /></c><c r="BF51" s="367"><f>SIGN(AS51)</f><v /></c><c r="BG51" s="367"><f>CONCATENATE(BD51,BE51,BF51)</f><v /></c><c r="BH51" s="367"><f>IF(BG51="111","SI","SD")</f><v /></c><c r="BI51" s="367"><f>IF(BG51="-1-1-1","SI","SD")</f><v /></c><c r="BJ51" s="367"><f>OR(BH51="SI",BI51="SI")</f><v /></c><c r="BK51" s="367"><f>IF(BJ51=FALSE,"SIGDIFERENTES","SIGIGUALES")</f><v /></c><c r="BL51" s="366"><f>IF(BC51="NO CONFORME","NO CONFORME",IF(BB51="CONFORME","CONFORME","NO CONFORME"))</f><v /></c></row><row r="52" ht="14.4" customHeight="1" thickBot="1"><c r="A52" s="351" t="n"><v>44</v></c><c r="B52" s="369"><f>B51</f><v /></c><c r="C52" s="369"><f>C51</f><v /></c><c r="D52" s="370"><f>D51</f><v /></c><c r="E52" s="371"><f>E51</f><v /></c><c r="F52" s="13" t="n" /><c r="G52" s="355" t="inlineStr"><is><t>PA25516908</t></is></c><c r="H52" s="313"><f>H51</f><v /></c><c r="I52" s="38"><f>I51</f><v /></c><c r="J52" s="314"><f>J51</f><v /></c><c r="K52" s="372"><f>K51</f><v /></c><c r="L52" s="372"><f>L51</f><v /></c><c r="M52" s="373" t="n"><v>151.56</v></c><c r="N52" s="373" t="n"><v>251.86</v></c><c r="O52" s="374"><f>O51</f><v /></c><c r="P52" s="407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9"><f>W51</f><v /></c><c r="X52" s="379"><f>X51</f><v /></c><c r="Y52" s="373" t="n"><v>257.29</v></c><c r="Z52" s="373" t="n"><v>267.2</v></c><c r="AA52" s="380"><f>AA51</f><v /></c><c r="AB52" s="381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9"><f>AI51</f><v /></c><c r="AJ52" s="379"><f>AJ51</f><v /></c><c r="AK52" s="373"><f>Z52</f><v /></c><c r="AL52" s="373" t="n"><v>272.17</v></c><c r="AM52" s="382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3"><f>IF(I52&gt;=1,"NO CONFORME",IF(BK52="SIGDIFERENTES",BC52,BL52))</f><v /></c><c r="AU52" s="365"><f>B52=C52</f><v /></c><c r="AV52" s="365"><f>N52&lt;Y52</f><v /></c><c r="AW52" s="365"><f>Z52&lt;=AK52</f><v /></c><c r="AX52" s="365"><f>IF(I52&gt;=1,"Qcorrecto",IF(AND(AY52="aceptable",AZ52="aceptable",BA52="aceptable"),"Qcorrecto","Qincorrecto"))</f><v /></c><c r="AY52" s="366"><f>IF(AR52&lt;$AH$6,"error",IF(AR52&gt;$AH$6*1.1,"error","aceptable"))</f><v /></c><c r="AZ52" s="366"><f>IF(AF52&lt;$V$6,"error",IF(AF52&gt;$V$6*1.1,"error","aceptable"))</f><v /></c><c r="BA52" s="366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7"><f>SIGN(U52)</f><v /></c><c r="BE52" s="367"><f>SIGN(AG52)</f><v /></c><c r="BF52" s="367"><f>SIGN(AS52)</f><v /></c><c r="BG52" s="367"><f>CONCATENATE(BD52,BE52,BF52)</f><v /></c><c r="BH52" s="367"><f>IF(BG52="111","SI","SD")</f><v /></c><c r="BI52" s="367"><f>IF(BG52="-1-1-1","SI","SD")</f><v /></c><c r="BJ52" s="367"><f>OR(BH52="SI",BI52="SI")</f><v /></c><c r="BK52" s="367"><f>IF(BJ52=FALSE,"SIGDIFERENTES","SIGIGUALES")</f><v /></c><c r="BL52" s="366"><f>IF(BC52="NO CONFORME","NO CONFORME",IF(BB52="CONFORME","CONFORME","NO CONFORME"))</f><v /></c></row><row r="53" ht="14.4" customHeight="1" thickBot="1"><c r="A53" s="398" t="n"><v>45</v></c><c r="B53" s="399"><f>B52</f><v /></c><c r="C53" s="399"><f>C52</f><v /></c><c r="D53" s="400"><f>D52</f><v /></c><c r="E53" s="371"><f>E52</f><v /></c><c r="F53" s="56" t="n" /><c r="G53" s="355" t="inlineStr"><is><t>PA25516909</t></is></c><c r="H53" s="401"><f>H52</f><v /></c><c r="I53" s="402"><f>I52</f><v /></c><c r="J53" s="314"><f>J52</f><v /></c><c r="K53" s="372"><f>K52</f><v /></c><c r="L53" s="372"><f>L52</f><v /></c><c r="M53" s="405" t="n"><v>112.35</v></c><c r="N53" s="405" t="n"><v>212.11</v></c><c r="O53" s="374"><f>O52</f><v /></c><c r="P53" s="407"><f>P52</f><v /></c><c r="Q53" s="408"><f>LEFT(P53,1)</f><v /></c><c r="R53" s="408"><f>RIGHT(P53,6)</f><v /></c><c r="S53" s="408"><f>+(Q53*60+R53)/(60*60)</f><v /></c><c r="T53" s="409"><f>+O53/S53</f><v /></c><c r="U53" s="410"><f>+(((N53-M53-O53)/O53)*100)</f><v /></c><c r="V53" s="317"><f>V52</f><v /></c><c r="W53" s="379"><f>W52</f><v /></c><c r="X53" s="379"><f>X52</f><v /></c><c r="Y53" s="405" t="n"><v>217.53</v></c><c r="Z53" s="405" t="n"><v>227.54</v></c><c r="AA53" s="380"><f>AA52</f><v /></c><c r="AB53" s="381"><f>AB52</f><v /></c><c r="AC53" s="408"><f>LEFT(AB53,2)</f><v /></c><c r="AD53" s="408"><f>RIGHT(AB53,6)</f><v /></c><c r="AE53" s="408"><f>+(AC53*60+AD53)/(60*60)</f><v /></c><c r="AF53" s="409"><f>+AA53/AE53</f><v /></c><c r="AG53" s="415"><f>+(((Z53-Y53-AA53)/AA53)*100)</f><v /></c><c r="AH53" s="317"><f>AH52</f><v /></c><c r="AI53" s="379"><f>AI52</f><v /></c><c r="AJ53" s="379"><f>AJ52</f><v /></c><c r="AK53" s="405"><f>Z53</f><v /></c><c r="AL53" s="405" t="n"><v>232.54</v></c><c r="AM53" s="382"><f>AM52</f><v /></c><c r="AN53" s="375"><f>AN52</f><v /></c><c r="AO53" s="408"><f>LEFT(AN53,2)</f><v /></c><c r="AP53" s="408"><f>RIGHT(AN53,6)</f><v /></c><c r="AQ53" s="408"><f>+(AO53*60+AP53)/(60*60)</f><v /></c><c r="AR53" s="409"><f>+AM53/AQ53</f><v /></c><c r="AS53" s="415"><f>+(((AL53-AK53-AM53)/AM53)*100)</f><v /></c><c r="AT53" s="417"><f>IF(I53&gt;=1,"NO CONFORME",IF(BK53="SIGDIFERENTES",BC53,BL53))</f><v /></c><c r="AU53" s="365"><f>B53=C53</f><v /></c><c r="AV53" s="365"><f>N53&lt;Y53</f><v /></c><c r="AW53" s="365"><f>Z53&lt;=AK53</f><v /></c><c r="AX53" s="365"><f>IF(I53&gt;=1,"Qcorrecto",IF(AND(AY53="aceptable",AZ53="aceptable",BA53="aceptable"),"Qcorrecto","Qincorrecto"))</f><v /></c><c r="AY53" s="418"><f>IF(AR53&lt;$AH$6,"error",IF(AR53&gt;$AH$6*1.1,"error","aceptable"))</f><v /></c><c r="AZ53" s="418"><f>IF(AF53&lt;$V$6,"error",IF(AF53&gt;$V$6*1.1,"error","aceptable"))</f><v /></c><c r="BA53" s="418"><f>IF(T53&lt;$J$6*0.9,"error",IF(T53&gt;$J$6,"error","aceptable"))</f><v /></c><c r="BB53" s="419"><f>(IF(ABS(U53)&lt;1.05,"CONFORME",IF(ABS(AG53)&lt;1.05,"CONFORME",IF(ABS(AS53)&lt;2.55,"CONFORME","NO CONFORME"))))</f><v /></c><c r="BC53" s="420"><f>(IF(ABS(U53)&gt;2.05,"NO CONFORME",IF(ABS(AG53)&gt;2.05,"NO CONFORME",IF(ABS(AS53)&gt;5.05,"NO CONFORME","CONFORME"))))</f><v /></c><c r="BD53" s="367"><f>SIGN(U53)</f><v /></c><c r="BE53" s="367"><f>SIGN(AG53)</f><v /></c><c r="BF53" s="367"><f>SIGN(AS53)</f><v /></c><c r="BG53" s="367"><f>CONCATENATE(BD53,BE53,BF53)</f><v /></c><c r="BH53" s="367"><f>IF(BG53="111","SI","SD")</f><v /></c><c r="BI53" s="367"><f>IF(BG53="-1-1-1","SI","SD")</f><v /></c><c r="BJ53" s="367"><f>OR(BH53="SI",BI53="SI")</f><v /></c><c r="BK53" s="367"><f>IF(BJ53=FALSE,"SIGDIFERENTES","SIGIGUALES")</f><v /></c><c r="BL53" s="418"><f>IF(BC53="NO CONFORME","NO CONFORME",IF(BB53="CONFORME","CONFORME","NO CONFORME"))</f><v /></c></row><row r="54" ht="14.4" customHeight="1" thickBot="1"><c r="A54" s="371" t="n"><v>46</v></c><c r="B54" s="369"><f>B53</f><v /></c><c r="C54" s="369"><f>C53</f><v /></c><c r="D54" s="370"><f>D53</f><v /></c><c r="E54" s="371"><f>E53</f><v /></c><c r="F54" s="13" t="n" /><c r="G54" s="355" t="inlineStr"><is><t>PA25516910</t></is></c><c r="H54" s="313"><f>H53</f><v /></c><c r="I54" s="38"><f>I53</f><v /></c><c r="J54" s="314"><f>J53</f><v /></c><c r="K54" s="372"><f>K53</f><v /></c><c r="L54" s="372"><f>L53</f><v /></c><c r="M54" s="373" t="n"><v>111.75</v></c><c r="N54" s="373" t="n"><v>211.69</v></c><c r="O54" s="374"><f>O53</f><v /></c><c r="P54" s="407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9"><f>W53</f><v /></c><c r="X54" s="379"><f>X53</f><v /></c><c r="Y54" s="373" t="n"><v>217.13</v></c><c r="Z54" s="373" t="n"><v>227.12</v></c><c r="AA54" s="380"><f>AA53</f><v /></c><c r="AB54" s="381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9"><f>AI53</f><v /></c><c r="AJ54" s="379"><f>AJ53</f><v /></c><c r="AK54" s="373"><f>Z54</f><v /></c><c r="AL54" s="373" t="n"><v>232.17</v></c><c r="AM54" s="382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3"><f>IF(I54&gt;=1,"NO CONFORME",IF(BK54="SIGDIFERENTES",BC54,BL54))</f><v /></c><c r="AU54" s="421"><f>B54=C54</f><v /></c><c r="AV54" s="421"><f>N54&lt;Y54</f><v /></c><c r="AW54" s="421"><f>Z54&lt;=AK54</f><v /></c><c r="AX54" s="421"><f>IF(I54&gt;=1,"Qcorrecto",IF(AND(AY54="aceptable",AZ54="aceptable",BA54="aceptable"),"Qcorrecto","Qincorrecto"))</f><v /></c><c r="AY54" s="366"><f>IF(AR54&lt;$AH$6,"error",IF(AR54&gt;$AH$6*1.1,"error","aceptable"))</f><v /></c><c r="AZ54" s="366"><f>IF(AF54&lt;$V$6,"error",IF(AF54&gt;$V$6*1.1,"error","aceptable"))</f><v /></c><c r="BA54" s="366"><f>IF(T54&lt;$J$6*0.9,"error",IF(T54&gt;$J$6,"error","aceptable"))</f><v /></c><c r="BB54" s="422"><f>(IF(ABS(U54)&lt;1.05,"CONFORME",IF(ABS(AG54)&lt;1.05,"CONFORME",IF(ABS(AS54)&lt;2.55,"CONFORME","NO CONFORME"))))</f><v /></c><c r="BC54" s="423"><f>(IF(ABS(U54)&gt;2.05,"NO CONFORME",IF(ABS(AG54)&gt;2.05,"NO CONFORME",IF(ABS(AS54)&gt;5.05,"NO CONFORME","CONFORME"))))</f><v /></c><c r="BD54" s="424"><f>SIGN(U54)</f><v /></c><c r="BE54" s="424"><f>SIGN(AG54)</f><v /></c><c r="BF54" s="424"><f>SIGN(AS54)</f><v /></c><c r="BG54" s="424"><f>CONCATENATE(BD54,BE54,BF54)</f><v /></c><c r="BH54" s="424"><f>IF(BG54="111","SI","SD")</f><v /></c><c r="BI54" s="424"><f>IF(BG54="-1-1-1","SI","SD")</f><v /></c><c r="BJ54" s="424"><f>OR(BH54="SI",BI54="SI")</f><v /></c><c r="BK54" s="424"><f>IF(BJ54=FALSE,"SIGDIFERENTES","SIGIGUALES")</f><v /></c><c r="BL54" s="366"><f>IF(BC54="NO CONFORME","NO CONFORME",IF(BB54="CONFORME","CONFORME","NO CONFORME"))</f><v /></c></row><row r="55" ht="14.4" customHeight="1" thickBot="1"><c r="A55" s="351" t="n"><v>47</v></c><c r="B55" s="386"><f>B54</f><v /></c><c r="C55" s="386"><f>C54</f><v /></c><c r="D55" s="387"><f>D54</f><v /></c><c r="E55" s="371"><f>E54</f><v /></c><c r="F55" s="58" t="n" /><c r="G55" s="355" t="inlineStr"><is><t>PA25516911</t></is></c><c r="H55" s="388"><f>H54</f><v /></c><c r="I55" s="232"><f>I54</f><v /></c><c r="J55" s="314"><f>J54</f><v /></c><c r="K55" s="372"><f>K54</f><v /></c><c r="L55" s="372"><f>L54</f><v /></c><c r="M55" s="356" t="n"><v>111.16</v></c><c r="N55" s="356" t="n"><v>210.13</v></c><c r="O55" s="374"><f>O54</f><v /></c><c r="P55" s="407"><f>P54</f><v /></c><c r="Q55" s="359"><f>LEFT(P55,1)</f><v /></c><c r="R55" s="359"><f>RIGHT(P55,6)</f><v /></c><c r="S55" s="359"><f>+(Q55*60+R55)/(60*60)</f><v /></c><c r="T55" s="360"><f>+O55/S55</f><v /></c><c r="U55" s="361"><f>+(((N55-M55-O55)/O55)*100)</f><v /></c><c r="V55" s="317"><f>V54</f><v /></c><c r="W55" s="379"><f>W54</f><v /></c><c r="X55" s="379"><f>X54</f><v /></c><c r="Y55" s="356" t="n"><v>215.53</v></c><c r="Z55" s="356" t="n"><v>225.48</v></c><c r="AA55" s="395"><f>AA54</f><v /></c><c r="AB55" s="396"><f>AB54</f><v /></c><c r="AC55" s="359"><f>LEFT(AB55,2)</f><v /></c><c r="AD55" s="359"><f>RIGHT(AB55,6)</f><v /></c><c r="AE55" s="359"><f>+(AC55*60+AD55)/(60*60)</f><v /></c><c r="AF55" s="360"><f>+AA55/AE55</f><v /></c><c r="AG55" s="362"><f>+(((Z55-Y55-AA55)/AA55)*100)</f><v /></c><c r="AH55" s="393"><f>AH54</f><v /></c><c r="AI55" s="394"><f>AI54</f><v /></c><c r="AJ55" s="394"><f>AJ54</f><v /></c><c r="AK55" s="356"><f>Z55</f><v /></c><c r="AL55" s="356" t="n"><v>230.51</v></c><c r="AM55" s="397"><f>AM54</f><v /></c><c r="AN55" s="392"><f>AN54</f><v /></c><c r="AO55" s="359"><f>LEFT(AN55,2)</f><v /></c><c r="AP55" s="359"><f>RIGHT(AN55,6)</f><v /></c><c r="AQ55" s="359"><f>+(AO55*60+AP55)/(60*60)</f><v /></c><c r="AR55" s="360"><f>+AM55/AQ55</f><v /></c><c r="AS55" s="362"><f>+(((AL55-AK55-AM55)/AM55)*100)</f><v /></c><c r="AT55" s="364"><f>IF(I55&gt;=1,"NO CONFORME",IF(BK55="SIGDIFERENTES",BC55,BL55))</f><v /></c><c r="AU55" s="365"><f>B55=C55</f><v /></c><c r="AV55" s="365"><f>N55&lt;Y55</f><v /></c><c r="AW55" s="365"><f>Z55&lt;=AK55</f><v /></c><c r="AX55" s="365"><f>IF(I55&gt;=1,"Qcorrecto",IF(AND(AY55="aceptable",AZ55="aceptable",BA55="aceptable"),"Qcorrecto","Qincorrecto"))</f><v /></c><c r="AY55" s="368"><f>IF(AR55&lt;$AH$6,"error",IF(AR55&gt;$AH$6*1.1,"error","aceptable"))</f><v /></c><c r="AZ55" s="368"><f>IF(AF55&lt;$V$6,"error",IF(AF55&gt;$V$6*1.1,"error","aceptable"))</f><v /></c><c r="BA55" s="368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7"><f>SIGN(U55)</f><v /></c><c r="BE55" s="367"><f>SIGN(AG55)</f><v /></c><c r="BF55" s="367"><f>SIGN(AS55)</f><v /></c><c r="BG55" s="367"><f>CONCATENATE(BD55,BE55,BF55)</f><v /></c><c r="BH55" s="367"><f>IF(BG55="111","SI","SD")</f><v /></c><c r="BI55" s="367"><f>IF(BG55="-1-1-1","SI","SD")</f><v /></c><c r="BJ55" s="367"><f>OR(BH55="SI",BI55="SI")</f><v /></c><c r="BK55" s="367"><f>IF(BJ55=FALSE,"SIGDIFERENTES","SIGIGUALES")</f><v /></c><c r="BL55" s="368"><f>IF(BC55="NO CONFORME","NO CONFORME",IF(BB55="CONFORME","CONFORME","NO CONFORME"))</f><v /></c></row><row r="56" ht="15" customHeight="1" thickBot="1"><c r="A56" s="398" t="n"><v>48</v></c><c r="B56" s="399"><f>B55</f><v /></c><c r="C56" s="399"><f>C55</f><v /></c><c r="D56" s="400"><f>D55</f><v /></c><c r="E56" s="456"><f>E55</f><v /></c><c r="F56" s="56" t="n" /><c r="G56" s="425" t="inlineStr"><is><t>PA25516912</t></is></c><c r="H56" s="401"><f>H55</f><v /></c><c r="I56" s="402"><f>I55</f><v /></c><c r="J56" s="403"><f>J55</f><v /></c><c r="K56" s="404"><f>K55</f><v /></c><c r="L56" s="404"><f>L55</f><v /></c><c r="M56" s="405" t="n"><v>110.2</v></c><c r="N56" s="405" t="n"><v>210</v></c><c r="O56" s="406"><f>O55</f><v /></c><c r="P56" s="407"><f>P55</f><v /></c><c r="Q56" s="408"><f>LEFT(P56,1)</f><v /></c><c r="R56" s="408"><f>RIGHT(P56,6)</f><v /></c><c r="S56" s="408"><f>+(Q56*60+R56)/(60*60)</f><v /></c><c r="T56" s="409"><f>+O56/S56</f><v /></c><c r="U56" s="410"><f>+(((N56-M56-O56)/O56)*100)</f><v /></c><c r="V56" s="411"><f>V55</f><v /></c><c r="W56" s="412"><f>W55</f><v /></c><c r="X56" s="412"><f>X55</f><v /></c><c r="Y56" s="405" t="n"><v>215.41</v></c><c r="Z56" s="405" t="n"><v>225.34</v></c><c r="AA56" s="413"><f>AA55</f><v /></c><c r="AB56" s="414"><f>AB55</f><v /></c><c r="AC56" s="408"><f>LEFT(AB56,2)</f><v /></c><c r="AD56" s="408"><f>RIGHT(AB56,6)</f><v /></c><c r="AE56" s="408"><f>+(AC56*60+AD56)/(60*60)</f><v /></c><c r="AF56" s="409"><f>+AA56/AE56</f><v /></c><c r="AG56" s="415"><f>+(((Z56-Y56-AA56)/AA56)*100)</f><v /></c><c r="AH56" s="411"><f>AH55</f><v /></c><c r="AI56" s="412"><f>AI55</f><v /></c><c r="AJ56" s="412"><f>AJ55</f><v /></c><c r="AK56" s="405"><f>Z56</f><v /></c><c r="AL56" s="405" t="n"><v>230.35</v></c><c r="AM56" s="416"><f>AM55</f><v /></c><c r="AN56" s="407"><f>AN55</f><v /></c><c r="AO56" s="408"><f>LEFT(AN56,2)</f><v /></c><c r="AP56" s="408"><f>RIGHT(AN56,6)</f><v /></c><c r="AQ56" s="408"><f>+(AO56*60+AP56)/(60*60)</f><v /></c><c r="AR56" s="409"><f>+AM56/AQ56</f><v /></c><c r="AS56" s="415"><f>+(((AL56-AK56-AM56)/AM56)*100)</f><v /></c><c r="AT56" s="417"><f>IF(I56&gt;=1,"NO CONFORME",IF(BK56="SIGDIFERENTES",BC56,BL56))</f><v /></c><c r="AU56" s="426"><f>B56=C56</f><v /></c><c r="AV56" s="426"><f>N56&lt;Y56</f><v /></c><c r="AW56" s="426"><f>Z56&lt;=AK56</f><v /></c><c r="AX56" s="426"><f>IF(I56&gt;=1,"Qcorrecto",IF(AND(AY56="aceptable",AZ56="aceptable",BA56="aceptable"),"Qcorrecto","Qincorrecto"))</f><v /></c><c r="AY56" s="427"><f>IF(AR56&lt;$AH$6,"error",IF(AR56&gt;$AH$6*1.1,"error","aceptable"))</f><v /></c><c r="AZ56" s="427"><f>IF(AF56&lt;$V$6,"error",IF(AF56&gt;$V$6*1.1,"error","aceptable"))</f><v /></c><c r="BA56" s="427"><f>IF(T56&lt;$J$6*0.9,"error",IF(T56&gt;$J$6,"error","aceptable"))</f><v /></c><c r="BB56" s="428"><f>(IF(ABS(U56)&lt;1.05,"CONFORME",IF(ABS(AG56)&lt;1.05,"CONFORME",IF(ABS(AS56)&lt;2.55,"CONFORME","NO CONFORME"))))</f><v /></c><c r="BC56" s="429"><f>(IF(ABS(U56)&gt;2.05,"NO CONFORME",IF(ABS(AG56)&gt;2.05,"NO CONFORME",IF(ABS(AS56)&gt;5.05,"NO CONFORME","CONFORME"))))</f><v /></c><c r="BD56" s="430"><f>SIGN(U56)</f><v /></c><c r="BE56" s="430"><f>SIGN(AG56)</f><v /></c><c r="BF56" s="430"><f>SIGN(AS56)</f><v /></c><c r="BG56" s="430"><f>CONCATENATE(BD56,BE56,BF56)</f><v /></c><c r="BH56" s="430"><f>IF(BG56="111","SI","SD")</f><v /></c><c r="BI56" s="430"><f>IF(BG56="-1-1-1","SI","SD")</f><v /></c><c r="BJ56" s="430"><f>OR(BH56="SI",BI56="SI")</f><v /></c><c r="BK56" s="430"><f>IF(BJ56=FALSE,"SIGDIFERENTES","SIGIGUALES")</f><v /></c><c r="BL56" s="427"><f>IF(BC56="NO CONFORME","NO CONFORME",IF(BB56="CONFORME","CONFORME","NO CONFORME"))</f><v /></c></row><row r="57" ht="15" customHeight="1" thickBot="1"><c r="A57" s="351" t="n"><v>49</v></c><c r="B57" s="352" t="n"><v>45919</v></c><c r="C57" s="352"><f>C56</f><v /></c><c r="D57" s="353" t="n"><v>5</v></c><c r="E57" s="354" t="n"><v>10</v></c><c r="F57" s="58" t="n" /><c r="G57" s="300" t="inlineStr"><is><t>PA25516921</t></is></c><c r="H57" s="301" t="n"><v>25.6</v></c><c r="I57" s="232" t="n"><v>0</v></c><c r="J57" s="302" t="n"><v>21.2</v></c><c r="K57" s="303" t="n"><v>8.08</v></c><c r="L57" s="303" t="n"><v>0.573</v></c><c r="M57" s="356" t="n"><v>116.98</v></c><c r="N57" s="356" t="n"><v>217.6</v></c><c r="O57" s="357" t="n"><v>100.71</v></c><c r="P57" s="358" t="inlineStr"><is><t>2,28,370</t></is></c><c r="Q57" s="359"><f>LEFT(P57,1)</f><v /></c><c r="R57" s="359"><f>RIGHT(P57,6)</f><v /></c><c r="S57" s="359"><f>+(Q57*60+R57)/(60*60)</f><v /></c><c r="T57" s="360"><f>+O57/S57</f><v /></c><c r="U57" s="361"><f>+(((N57-M57-O57)/O57)*100)</f><v /></c><c r="V57" s="306" t="n"><v>21</v></c><c r="W57" s="307" t="n"><v>1.508</v></c><c r="X57" s="307" t="n"><v>1.505</v></c><c r="Y57" s="356" t="n"><v>229.54</v></c><c r="Z57" s="356" t="n"><v>239.5</v></c><c r="AA57" s="308" t="n"><v>10.029</v></c><c r="AB57" s="358" t="inlineStr"><is><t>23,11,780</t></is></c><c r="AC57" s="359"><f>LEFT(AB57,2)</f><v /></c><c r="AD57" s="359"><f>RIGHT(AB57,6)</f><v /></c><c r="AE57" s="359"><f>+(AC57*60+AD57)/(60*60)</f><v /></c><c r="AF57" s="360"><f>+AA57/AE57</f><v /></c><c r="AG57" s="362"><f>+(((Z57-Y57-AA57)/AA57)*100)</f><v /></c><c r="AH57" s="306" t="n"><v>21.5</v></c><c r="AI57" s="307" t="n"><v>1.508</v></c><c r="AJ57" s="307" t="n"><v>1.503</v></c><c r="AK57" s="356"><f>Z57</f><v /></c><c r="AL57" s="356" t="n"><v>244.55</v></c><c r="AM57" s="363" t="n"><v>5.025</v></c><c r="AN57" s="358" t="inlineStr"><is><t>18,43,300</t></is></c><c r="AO57" s="359"><f>LEFT(AN57,2)</f><v /></c><c r="AP57" s="359"><f>RIGHT(AN57,6)</f><v /></c><c r="AQ57" s="359"><f>+(AO57*60+AP57)/(60*60)</f><v /></c><c r="AR57" s="360"><f>+AM57/AQ57</f><v /></c><c r="AS57" s="362"><f>+(((AL57-AK57-AM57)/AM57)*100)</f><v /></c><c r="AT57" s="364"><f>IF(I57&gt;=1,"NO CONFORME",IF(BK57="SIGDIFERENTES",BC57,BL57))</f><v /></c><c r="AU57" s="365"><f>B57=C57</f><v /></c><c r="AV57" s="365"><f>N57&lt;Y57</f><v /></c><c r="AW57" s="365"><f>Z57&lt;=AK57</f><v /></c><c r="AX57" s="365"><f>IF(I57&gt;=1,"Qcorrecto",IF(AND(AY57="aceptable",AZ57="aceptable",BA57="aceptable"),"Qcorrecto","Qincorrecto"))</f><v /></c><c r="AY57" s="366"><f>IF(AR57&lt;$AH$6,"error",IF(AR57&gt;$AH$6*1.1,"error","aceptable"))</f><v /></c><c r="AZ57" s="366"><f>IF(AF57&lt;$V$6,"error",IF(AF57&gt;$V$6*1.1,"error","aceptable"))</f><v /></c><c r="BA57" s="366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7"><f>SIGN(U57)</f><v /></c><c r="BE57" s="367"><f>SIGN(AG57)</f><v /></c><c r="BF57" s="367"><f>SIGN(AS57)</f><v /></c><c r="BG57" s="367"><f>CONCATENATE(BD57,BE57,BF57)</f><v /></c><c r="BH57" s="367"><f>IF(BG57="111","SI","SD")</f><v /></c><c r="BI57" s="367"><f>IF(BG57="-1-1-1","SI","SD")</f><v /></c><c r="BJ57" s="367"><f>OR(BH57="SI",BI57="SI")</f><v /></c><c r="BK57" s="367"><f>IF(BJ57=FALSE,"SIGDIFERENTES","SIGIGUALES")</f><v /></c><c r="BL57" s="368"><f>IF(BC57="NO CONFORME","NO CONFORME",IF(BB57="CONFORME","CONFORME","NO CONFORME"))</f><v /></c></row><row r="58" ht="15" customHeight="1" thickBot="1"><c r="A58" s="451" t="n"><v>50</v></c><c r="B58" s="369"><f>B57</f><v /></c><c r="C58" s="369"><f>C57</f><v /></c><c r="D58" s="370"><f>D57</f><v /></c><c r="E58" s="371"><f>E57</f><v /></c><c r="F58" s="13" t="n" /><c r="G58" s="300" t="inlineStr"><is><t>PA25516922</t></is></c><c r="H58" s="313"><f>H57</f><v /></c><c r="I58" s="38"><f>I57</f><v /></c><c r="J58" s="314"><f>J57</f><v /></c><c r="K58" s="372"><f>K57</f><v /></c><c r="L58" s="372"><f>L57</f><v /></c><c r="M58" s="373" t="n"><v>115.2</v></c><c r="N58" s="373" t="n"><v>215.04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9"><f>W57</f><v /></c><c r="X58" s="379"><f>X57</f><v /></c><c r="Y58" s="373" t="n"><v>226.84</v></c><c r="Z58" s="373" t="n"><v>236.65</v></c><c r="AA58" s="380"><f>AA57</f><v /></c><c r="AB58" s="381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9"><f>AI57</f><v /></c><c r="AJ58" s="379"><f>AJ57</f><v /></c><c r="AK58" s="373"><f>Z58</f><v /></c><c r="AL58" s="373" t="n"><v>241.58</v></c><c r="AM58" s="382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3"><f>IF(I58&gt;=1,"NO CONFORME",IF(BK58="SIGDIFERENTES",BC58,BL58))</f><v /></c><c r="AU58" s="365"><f>B58=C58</f><v /></c><c r="AV58" s="365"><f>N58&lt;Y58</f><v /></c><c r="AW58" s="365"><f>Z58&lt;=AK58</f><v /></c><c r="AX58" s="365"><f>IF(I58&gt;=1,"Qcorrecto",IF(AND(AY58="aceptable",AZ58="aceptable",BA58="aceptable"),"Qcorrecto","Qincorrecto"))</f><v /></c><c r="AY58" s="366"><f>IF(AR58&lt;$AH$6,"error",IF(AR58&gt;$AH$6*1.1,"error","aceptable"))</f><v /></c><c r="AZ58" s="366"><f>IF(AF58&lt;$V$6,"error",IF(AF58&gt;$V$6*1.1,"error","aceptable"))</f><v /></c><c r="BA58" s="366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7"><f>SIGN(U58)</f><v /></c><c r="BE58" s="367"><f>SIGN(AG58)</f><v /></c><c r="BF58" s="367"><f>SIGN(AS58)</f><v /></c><c r="BG58" s="367"><f>CONCATENATE(BD58,BE58,BF58)</f><v /></c><c r="BH58" s="367"><f>IF(BG58="111","SI","SD")</f><v /></c><c r="BI58" s="367"><f>IF(BG58="-1-1-1","SI","SD")</f><v /></c><c r="BJ58" s="367"><f>OR(BH58="SI",BI58="SI")</f><v /></c><c r="BK58" s="367"><f>IF(BJ58=FALSE,"SIGDIFERENTES","SIGIGUALES")</f><v /></c><c r="BL58" s="366"><f>IF(BC58="NO CONFORME","NO CONFORME",IF(BB58="CONFORME","CONFORME","NO CONFORME"))</f><v /></c></row><row r="59" ht="15" customHeight="1" thickBot="1"><c r="A59" s="451" t="n"><v>51</v></c><c r="B59" s="369"><f>B58</f><v /></c><c r="C59" s="369"><f>C58</f><v /></c><c r="D59" s="370"><f>D58</f><v /></c><c r="E59" s="371"><f>E58</f><v /></c><c r="F59" s="13" t="n" /><c r="G59" s="300" t="inlineStr"><is><t>PA25516923</t></is></c><c r="H59" s="313"><f>H58</f><v /></c><c r="I59" s="38"><f>I58</f><v /></c><c r="J59" s="314"><f>J58</f><v /></c><c r="K59" s="372"><f>K58</f><v /></c><c r="L59" s="372"><f>L58</f><v /></c><c r="M59" s="373" t="n"><v>115.3</v></c><c r="N59" s="373" t="n"><v>215.5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9"><f>W58</f><v /></c><c r="X59" s="379"><f>X58</f><v /></c><c r="Y59" s="373" t="n"><v>227.4</v></c><c r="Z59" s="373" t="n"><v>237.35</v></c><c r="AA59" s="380"><f>AA58</f><v /></c><c r="AB59" s="381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9"><f>AI58</f><v /></c><c r="AJ59" s="379"><f>AJ58</f><v /></c><c r="AK59" s="373"><f>Z59</f><v /></c><c r="AL59" s="373" t="n"><v>242.35</v></c><c r="AM59" s="382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3"><f>IF(I59&gt;=1,"NO CONFORME",IF(BK59="SIGDIFERENTES",BC59,BL59))</f><v /></c><c r="AU59" s="365"><f>B59=C59</f><v /></c><c r="AV59" s="365"><f>N59&lt;Y59</f><v /></c><c r="AW59" s="365"><f>Z59&lt;=AK59</f><v /></c><c r="AX59" s="365"><f>IF(I59&gt;=1,"Qcorrecto",IF(AND(AY59="aceptable",AZ59="aceptable",BA59="aceptable"),"Qcorrecto","Qincorrecto"))</f><v /></c><c r="AY59" s="366"><f>IF(AR59&lt;$AH$6,"error",IF(AR59&gt;$AH$6*1.1,"error","aceptable"))</f><v /></c><c r="AZ59" s="366"><f>IF(AF59&lt;$V$6,"error",IF(AF59&gt;$V$6*1.1,"error","aceptable"))</f><v /></c><c r="BA59" s="366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7"><f>SIGN(U59)</f><v /></c><c r="BE59" s="367"><f>SIGN(AG59)</f><v /></c><c r="BF59" s="367"><f>SIGN(AS59)</f><v /></c><c r="BG59" s="367"><f>CONCATENATE(BD59,BE59,BF59)</f><v /></c><c r="BH59" s="367"><f>IF(BG59="111","SI","SD")</f><v /></c><c r="BI59" s="367"><f>IF(BG59="-1-1-1","SI","SD")</f><v /></c><c r="BJ59" s="367"><f>OR(BH59="SI",BI59="SI")</f><v /></c><c r="BK59" s="367"><f>IF(BJ59=FALSE,"SIGDIFERENTES","SIGIGUALES")</f><v /></c><c r="BL59" s="366"><f>IF(BC59="NO CONFORME","NO CONFORME",IF(BB59="CONFORME","CONFORME","NO CONFORME"))</f><v /></c></row><row r="60" ht="15" customHeight="1" thickBot="1"><c r="A60" s="451" t="n"><v>52</v></c><c r="B60" s="369"><f>B59</f><v /></c><c r="C60" s="369"><f>C59</f><v /></c><c r="D60" s="370"><f>D59</f><v /></c><c r="E60" s="371"><f>E59</f><v /></c><c r="F60" s="13" t="n" /><c r="G60" s="300" t="inlineStr"><is><t>PA25516924</t></is></c><c r="H60" s="313"><f>H59</f><v /></c><c r="I60" s="38"><f>I59</f><v /></c><c r="J60" s="314"><f>J59</f><v /></c><c r="K60" s="372"><f>K59</f><v /></c><c r="L60" s="372"><f>L59</f><v /></c><c r="M60" s="373" t="n"><v>114.47</v></c><c r="N60" s="373" t="n"><v>214.7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9"><f>W59</f><v /></c><c r="X60" s="379"><f>X59</f><v /></c><c r="Y60" s="373" t="n"><v>226.6</v></c><c r="Z60" s="373" t="n"><v>236.55</v></c><c r="AA60" s="380"><f>AA59</f><v /></c><c r="AB60" s="381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9"><f>AI59</f><v /></c><c r="AJ60" s="379"><f>AJ59</f><v /></c><c r="AK60" s="373"><f>Z60</f><v /></c><c r="AL60" s="373" t="n"><v>241.6</v></c><c r="AM60" s="382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3"><f>IF(I60&gt;=1,"NO CONFORME",IF(BK60="SIGDIFERENTES",BC60,BL60))</f><v /></c><c r="AU60" s="365"><f>B60=C60</f><v /></c><c r="AV60" s="365"><f>N60&lt;Y60</f><v /></c><c r="AW60" s="365"><f>Z60&lt;=AK60</f><v /></c><c r="AX60" s="365"><f>IF(I60&gt;=1,"Qcorrecto",IF(AND(AY60="aceptable",AZ60="aceptable",BA60="aceptable"),"Qcorrecto","Qincorrecto"))</f><v /></c><c r="AY60" s="366"><f>IF(AR60&lt;$AH$6,"error",IF(AR60&gt;$AH$6*1.1,"error","aceptable"))</f><v /></c><c r="AZ60" s="366"><f>IF(AF60&lt;$V$6,"error",IF(AF60&gt;$V$6*1.1,"error","aceptable"))</f><v /></c><c r="BA60" s="366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7"><f>SIGN(U60)</f><v /></c><c r="BE60" s="367"><f>SIGN(AG60)</f><v /></c><c r="BF60" s="367"><f>SIGN(AS60)</f><v /></c><c r="BG60" s="367"><f>CONCATENATE(BD60,BE60,BF60)</f><v /></c><c r="BH60" s="367"><f>IF(BG60="111","SI","SD")</f><v /></c><c r="BI60" s="367"><f>IF(BG60="-1-1-1","SI","SD")</f><v /></c><c r="BJ60" s="367"><f>OR(BH60="SI",BI60="SI")</f><v /></c><c r="BK60" s="367"><f>IF(BJ60=FALSE,"SIGDIFERENTES","SIGIGUALES")</f><v /></c><c r="BL60" s="366"><f>IF(BC60="NO CONFORME","NO CONFORME",IF(BB60="CONFORME","CONFORME","NO CONFORME"))</f><v /></c></row><row r="61" ht="15" customHeight="1" thickBot="1"><c r="A61" s="451" t="n"><v>53</v></c><c r="B61" s="369"><f>B60</f><v /></c><c r="C61" s="369"><f>C60</f><v /></c><c r="D61" s="370"><f>D60</f><v /></c><c r="E61" s="371"><f>E60</f><v /></c><c r="F61" s="13" t="n" /><c r="G61" s="300" t="inlineStr"><is><t>PA25516925</t></is></c><c r="H61" s="313"><f>H60</f><v /></c><c r="I61" s="38"><f>I60</f><v /></c><c r="J61" s="314"><f>J60</f><v /></c><c r="K61" s="372"><f>K60</f><v /></c><c r="L61" s="372"><f>L60</f><v /></c><c r="M61" s="373" t="n"><v>115.69</v></c><c r="N61" s="373" t="n"><v>216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9"><f>W60</f><v /></c><c r="X61" s="379"><f>X60</f><v /></c><c r="Y61" s="373" t="n"><v>227.9</v></c><c r="Z61" s="373" t="n"><v>237.86</v></c><c r="AA61" s="380"><f>AA60</f><v /></c><c r="AB61" s="381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9"><f>AI60</f><v /></c><c r="AJ61" s="379"><f>AJ60</f><v /></c><c r="AK61" s="373"><f>Z61</f><v /></c><c r="AL61" s="373" t="n"><v>242.89</v></c><c r="AM61" s="382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3"><f>IF(I61&gt;=1,"NO CONFORME",IF(BK61="SIGDIFERENTES",BC61,BL61))</f><v /></c><c r="AU61" s="365"><f>B61=C61</f><v /></c><c r="AV61" s="365"><f>N61&lt;Y61</f><v /></c><c r="AW61" s="365"><f>Z61&lt;=AK61</f><v /></c><c r="AX61" s="365"><f>IF(I61&gt;=1,"Qcorrecto",IF(AND(AY61="aceptable",AZ61="aceptable",BA61="aceptable"),"Qcorrecto","Qincorrecto"))</f><v /></c><c r="AY61" s="366"><f>IF(AR61&lt;$AH$6,"error",IF(AR61&gt;$AH$6*1.1,"error","aceptable"))</f><v /></c><c r="AZ61" s="366"><f>IF(AF61&lt;$V$6,"error",IF(AF61&gt;$V$6*1.1,"error","aceptable"))</f><v /></c><c r="BA61" s="366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7"><f>SIGN(U61)</f><v /></c><c r="BE61" s="367"><f>SIGN(AG61)</f><v /></c><c r="BF61" s="367"><f>SIGN(AS61)</f><v /></c><c r="BG61" s="367"><f>CONCATENATE(BD61,BE61,BF61)</f><v /></c><c r="BH61" s="367"><f>IF(BG61="111","SI","SD")</f><v /></c><c r="BI61" s="367"><f>IF(BG61="-1-1-1","SI","SD")</f><v /></c><c r="BJ61" s="367"><f>OR(BH61="SI",BI61="SI")</f><v /></c><c r="BK61" s="367"><f>IF(BJ61=FALSE,"SIGDIFERENTES","SIGIGUALES")</f><v /></c><c r="BL61" s="366"><f>IF(BC61="NO CONFORME","NO CONFORME",IF(BB61="CONFORME","CONFORME","NO CONFORME"))</f><v /></c></row><row r="62" ht="15" customHeight="1" thickBot="1"><c r="A62" s="451" t="n"><v>54</v></c><c r="B62" s="369"><f>B61</f><v /></c><c r="C62" s="369"><f>C61</f><v /></c><c r="D62" s="370"><f>D61</f><v /></c><c r="E62" s="371"><f>E61</f><v /></c><c r="F62" s="13" t="n" /><c r="G62" s="300" t="inlineStr"><is><t>PA25516926</t></is></c><c r="H62" s="313"><f>H61</f><v /></c><c r="I62" s="38"><f>I61</f><v /></c><c r="J62" s="314"><f>J61</f><v /></c><c r="K62" s="372"><f>K61</f><v /></c><c r="L62" s="372"><f>L61</f><v /></c><c r="M62" s="373" t="n"><v>115.55</v></c><c r="N62" s="373" t="n"><v>216.52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9"><f>W61</f><v /></c><c r="X62" s="379"><f>X61</f><v /></c><c r="Y62" s="373" t="n"><v>228.45</v></c><c r="Z62" s="373" t="n"><v>238.41</v></c><c r="AA62" s="380"><f>AA61</f><v /></c><c r="AB62" s="381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9"><f>AI61</f><v /></c><c r="AJ62" s="379"><f>AJ61</f><v /></c><c r="AK62" s="373"><f>Z62</f><v /></c><c r="AL62" s="373" t="n"><v>243.52</v></c><c r="AM62" s="382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3"><f>IF(I62&gt;=1,"NO CONFORME",IF(BK62="SIGDIFERENTES",BC62,BL62))</f><v /></c><c r="AU62" s="365"><f>B62=C62</f><v /></c><c r="AV62" s="365"><f>N62&lt;Y62</f><v /></c><c r="AW62" s="365"><f>Z62&lt;=AK62</f><v /></c><c r="AX62" s="365"><f>IF(I62&gt;=1,"Qcorrecto",IF(AND(AY62="aceptable",AZ62="aceptable",BA62="aceptable"),"Qcorrecto","Qincorrecto"))</f><v /></c><c r="AY62" s="366"><f>IF(AR62&lt;$AH$6,"error",IF(AR62&gt;$AH$6*1.1,"error","aceptable"))</f><v /></c><c r="AZ62" s="366"><f>IF(AF62&lt;$V$6,"error",IF(AF62&gt;$V$6*1.1,"error","aceptable"))</f><v /></c><c r="BA62" s="366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7"><f>SIGN(U62)</f><v /></c><c r="BE62" s="367"><f>SIGN(AG62)</f><v /></c><c r="BF62" s="367"><f>SIGN(AS62)</f><v /></c><c r="BG62" s="367"><f>CONCATENATE(BD62,BE62,BF62)</f><v /></c><c r="BH62" s="367"><f>IF(BG62="111","SI","SD")</f><v /></c><c r="BI62" s="367"><f>IF(BG62="-1-1-1","SI","SD")</f><v /></c><c r="BJ62" s="367"><f>OR(BH62="SI",BI62="SI")</f><v /></c><c r="BK62" s="367"><f>IF(BJ62=FALSE,"SIGDIFERENTES","SIGIGUALES")</f><v /></c><c r="BL62" s="366"><f>IF(BC62="NO CONFORME","NO CONFORME",IF(BB62="CONFORME","CONFORME","NO CONFORME"))</f><v /></c></row><row r="63" ht="15" customHeight="1" thickBot="1"><c r="A63" s="451" t="n"><v>55</v></c><c r="B63" s="369"><f>B62</f><v /></c><c r="C63" s="369"><f>C62</f><v /></c><c r="D63" s="370"><f>D62</f><v /></c><c r="E63" s="371"><f>E62</f><v /></c><c r="F63" s="13" t="n" /><c r="G63" s="300" t="inlineStr"><is><t>PA25516927</t></is></c><c r="H63" s="313"><f>H62</f><v /></c><c r="I63" s="38"><f>I62</f><v /></c><c r="J63" s="314"><f>J62</f><v /></c><c r="K63" s="372"><f>K62</f><v /></c><c r="L63" s="372"><f>L62</f><v /></c><c r="M63" s="373" t="n"><v>116.11</v></c><c r="N63" s="373" t="n"><v>216.65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9"><f>W62</f><v /></c><c r="X63" s="379"><f>X62</f><v /></c><c r="Y63" s="373" t="n"><v>228.55</v></c><c r="Z63" s="373" t="n"><v>238.5</v></c><c r="AA63" s="380"><f>AA62</f><v /></c><c r="AB63" s="381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9"><f>AI62</f><v /></c><c r="AJ63" s="379"><f>AJ62</f><v /></c><c r="AK63" s="373"><f>Z63</f><v /></c><c r="AL63" s="373" t="n"><v>243.54</v></c><c r="AM63" s="382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3"><f>IF(I63&gt;=1,"NO CONFORME",IF(BK63="SIGDIFERENTES",BC63,BL63))</f><v /></c><c r="AU63" s="365"><f>B63=C63</f><v /></c><c r="AV63" s="365"><f>N63&lt;Y63</f><v /></c><c r="AW63" s="365"><f>Z63&lt;=AK63</f><v /></c><c r="AX63" s="365"><f>IF(I63&gt;=1,"Qcorrecto",IF(AND(AY63="aceptable",AZ63="aceptable",BA63="aceptable"),"Qcorrecto","Qincorrecto"))</f><v /></c><c r="AY63" s="366"><f>IF(AR63&lt;$AH$6,"error",IF(AR63&gt;$AH$6*1.1,"error","aceptable"))</f><v /></c><c r="AZ63" s="366"><f>IF(AF63&lt;$V$6,"error",IF(AF63&gt;$V$6*1.1,"error","aceptable"))</f><v /></c><c r="BA63" s="366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7"><f>SIGN(U63)</f><v /></c><c r="BE63" s="367"><f>SIGN(AG63)</f><v /></c><c r="BF63" s="367"><f>SIGN(AS63)</f><v /></c><c r="BG63" s="367"><f>CONCATENATE(BD63,BE63,BF63)</f><v /></c><c r="BH63" s="367"><f>IF(BG63="111","SI","SD")</f><v /></c><c r="BI63" s="367"><f>IF(BG63="-1-1-1","SI","SD")</f><v /></c><c r="BJ63" s="367"><f>OR(BH63="SI",BI63="SI")</f><v /></c><c r="BK63" s="367"><f>IF(BJ63=FALSE,"SIGDIFERENTES","SIGIGUALES")</f><v /></c><c r="BL63" s="366"><f>IF(BC63="NO CONFORME","NO CONFORME",IF(BB63="CONFORME","CONFORME","NO CONFORME"))</f><v /></c></row><row r="64" ht="15" customHeight="1" thickBot="1"><c r="A64" s="451" t="n"><v>56</v></c><c r="B64" s="369"><f>B63</f><v /></c><c r="C64" s="369"><f>C63</f><v /></c><c r="D64" s="370"><f>D63</f><v /></c><c r="E64" s="371"><f>E63</f><v /></c><c r="F64" s="13" t="n" /><c r="G64" s="300" t="inlineStr"><is><t>PA25516928</t></is></c><c r="H64" s="313"><f>H63</f><v /></c><c r="I64" s="38"><f>I63</f><v /></c><c r="J64" s="314"><f>J63</f><v /></c><c r="K64" s="372"><f>K63</f><v /></c><c r="L64" s="372"><f>L63</f><v /></c><c r="M64" s="373" t="n"><v>113.8</v></c><c r="N64" s="373" t="n"><v>214.49</v></c><c r="O64" s="374"><f>O63</f><v /></c><c r="P64" s="375"><f>P63</f><v /></c><c r="Q64" s="376"><f>LEFT(P64,1)</f><v /></c><c r="R64" s="376"><f>RIGHT(P64,6)</f><v /></c><c r="S64" s="376"><f>+(Q64*60+R64)/(60*60)</f><v /></c><c r="T64" s="377"><f>+O64/S64</f><v /></c><c r="U64" s="378"><f>+(((N64-M64-O64)/O64)*100)</f><v /></c><c r="V64" s="317"><f>V63</f><v /></c><c r="W64" s="379"><f>W63</f><v /></c><c r="X64" s="379"><f>X63</f><v /></c><c r="Y64" s="373" t="n"><v>226.5</v></c><c r="Z64" s="373" t="n"><v>236.47</v></c><c r="AA64" s="380"><f>AA63</f><v /></c><c r="AB64" s="381"><f>AB63</f><v /></c><c r="AC64" s="376"><f>LEFT(AB64,2)</f><v /></c><c r="AD64" s="376"><f>RIGHT(AB64,6)</f><v /></c><c r="AE64" s="376"><f>+(AC64*60+AD64)/(60*60)</f><v /></c><c r="AF64" s="377"><f>+AA64/AE64</f><v /></c><c r="AG64" s="321"><f>+(((Z64-Y64-AA64)/AA64)*100)</f><v /></c><c r="AH64" s="317"><f>AH63</f><v /></c><c r="AI64" s="379"><f>AI63</f><v /></c><c r="AJ64" s="379"><f>AJ63</f><v /></c><c r="AK64" s="373"><f>Z64</f><v /></c><c r="AL64" s="373" t="n"><v>241.53</v></c><c r="AM64" s="382"><f>AM63</f><v /></c><c r="AN64" s="375"><f>AN63</f><v /></c><c r="AO64" s="376"><f>LEFT(AN64,2)</f><v /></c><c r="AP64" s="376"><f>RIGHT(AN64,6)</f><v /></c><c r="AQ64" s="376"><f>+(AO64*60+AP64)/(60*60)</f><v /></c><c r="AR64" s="377"><f>+AM64/AQ64</f><v /></c><c r="AS64" s="321"><f>+(((AL64-AK64-AM64)/AM64)*100)</f><v /></c><c r="AT64" s="383"><f>IF(I64&gt;=1,"NO CONFORME",IF(BK64="SIGDIFERENTES",BC64,BL64))</f><v /></c><c r="AU64" s="365"><f>B64=C64</f><v /></c><c r="AV64" s="365"><f>N64&lt;Y64</f><v /></c><c r="AW64" s="365"><f>Z64&lt;=AK64</f><v /></c><c r="AX64" s="365"><f>IF(I64&gt;=1,"Qcorrecto",IF(AND(AY64="aceptable",AZ64="aceptable",BA64="aceptable"),"Qcorrecto","Qincorrecto"))</f><v /></c><c r="AY64" s="366"><f>IF(AR64&lt;$AH$6,"error",IF(AR64&gt;$AH$6*1.1,"error","aceptable"))</f><v /></c><c r="AZ64" s="366"><f>IF(AF64&lt;$V$6,"error",IF(AF64&gt;$V$6*1.1,"error","aceptable"))</f><v /></c><c r="BA64" s="366"><f>IF(T64&lt;$J$6*0.9,"error",IF(T64&gt;$J$6,"error","aceptable"))</f><v /></c><c r="BB64" s="25"><f>(IF(ABS(U64)&lt;1.05,"CONFORME",IF(ABS(AG64)&lt;1.05,"CONFORME",IF(ABS(AS64)&lt;2.55,"CONFORME","NO CONFORME"))))</f><v /></c><c r="BC64" s="5"><f>(IF(ABS(U64)&gt;2.05,"NO CONFORME",IF(ABS(AG64)&gt;2.05,"NO CONFORME",IF(ABS(AS64)&gt;5.05,"NO CONFORME","CONFORME"))))</f><v /></c><c r="BD64" s="367"><f>SIGN(U64)</f><v /></c><c r="BE64" s="367"><f>SIGN(AG64)</f><v /></c><c r="BF64" s="367"><f>SIGN(AS64)</f><v /></c><c r="BG64" s="367"><f>CONCATENATE(BD64,BE64,BF64)</f><v /></c><c r="BH64" s="367"><f>IF(BG64="111","SI","SD")</f><v /></c><c r="BI64" s="367"><f>IF(BG64="-1-1-1","SI","SD")</f><v /></c><c r="BJ64" s="367"><f>OR(BH64="SI",BI64="SI")</f><v /></c><c r="BK64" s="367"><f>IF(BJ64=FALSE,"SIGDIFERENTES","SIGIGUALES")</f><v /></c><c r="BL64" s="366"><f>IF(BC64="NO CONFORME","NO CONFORME",IF(BB64="CONFORME","CONFORME","NO CONFORME"))</f><v /></c></row><row r="65" ht="15" customHeight="1" thickBot="1"><c r="A65" s="451" t="n"><v>57</v></c><c r="B65" s="369"><f>B64</f><v /></c><c r="C65" s="369"><f>C64</f><v /></c><c r="D65" s="370"><f>D64</f><v /></c><c r="E65" s="371"><f>E64</f><v /></c><c r="F65" s="13" t="n" /><c r="G65" s="300" t="inlineStr"><is><t>PA25516929</t></is></c><c r="H65" s="313"><f>H64</f><v /></c><c r="I65" s="38"><f>I64</f><v /></c><c r="J65" s="314"><f>J64</f><v /></c><c r="K65" s="372"><f>K64</f><v /></c><c r="L65" s="372"><f>L64</f><v /></c><c r="M65" s="373" t="n"><v>114.14</v></c><c r="N65" s="373" t="n"><v>214.3</v></c><c r="O65" s="374"><f>O64</f><v /></c><c r="P65" s="375"><f>P64</f><v /></c><c r="Q65" s="376"><f>LEFT(P65,1)</f><v /></c><c r="R65" s="376"><f>RIGHT(P65,6)</f><v /></c><c r="S65" s="376"><f>+(Q65*60+R65)/(60*60)</f><v /></c><c r="T65" s="377"><f>+O65/S65</f><v /></c><c r="U65" s="378"><f>+(((N65-M65-O65)/O65)*100)</f><v /></c><c r="V65" s="317"><f>V64</f><v /></c><c r="W65" s="379"><f>W64</f><v /></c><c r="X65" s="379"><f>X64</f><v /></c><c r="Y65" s="373" t="n"><v>226.18</v></c><c r="Z65" s="373" t="n"><v>236.1</v></c><c r="AA65" s="380"><f>AA64</f><v /></c><c r="AB65" s="381"><f>AB64</f><v /></c><c r="AC65" s="376"><f>LEFT(AB65,2)</f><v /></c><c r="AD65" s="376"><f>RIGHT(AB65,6)</f><v /></c><c r="AE65" s="376"><f>+(AC65*60+AD65)/(60*60)</f><v /></c><c r="AF65" s="377"><f>+AA65/AE65</f><v /></c><c r="AG65" s="321"><f>+(((Z65-Y65-AA65)/AA65)*100)</f><v /></c><c r="AH65" s="317"><f>AH64</f><v /></c><c r="AI65" s="379"><f>AI64</f><v /></c><c r="AJ65" s="379"><f>AJ64</f><v /></c><c r="AK65" s="373"><f>Z65</f><v /></c><c r="AL65" s="373" t="n"><v>241.07</v></c><c r="AM65" s="382"><f>AM64</f><v /></c><c r="AN65" s="375"><f>AN64</f><v /></c><c r="AO65" s="376"><f>LEFT(AN65,2)</f><v /></c><c r="AP65" s="376"><f>RIGHT(AN65,6)</f><v /></c><c r="AQ65" s="376"><f>+(AO65*60+AP65)/(60*60)</f><v /></c><c r="AR65" s="377"><f>+AM65/AQ65</f><v /></c><c r="AS65" s="321"><f>+(((AL65-AK65-AM65)/AM65)*100)</f><v /></c><c r="AT65" s="383"><f>IF(I65&gt;=1,"NO CONFORME",IF(BK65="SIGDIFERENTES",BC65,BL65))</f><v /></c><c r="AU65" s="365"><f>B65=C65</f><v /></c><c r="AV65" s="365"><f>N65&lt;Y65</f><v /></c><c r="AW65" s="365"><f>Z65&lt;=AK65</f><v /></c><c r="AX65" s="365"><f>IF(I65&gt;=1,"Qcorrecto",IF(AND(AY65="aceptable",AZ65="aceptable",BA65="aceptable"),"Qcorrecto","Qincorrecto"))</f><v /></c><c r="AY65" s="366"><f>IF(AR65&lt;$AH$6,"error",IF(AR65&gt;$AH$6*1.1,"error","aceptable"))</f><v /></c><c r="AZ65" s="366"><f>IF(AF65&lt;$V$6,"error",IF(AF65&gt;$V$6*1.1,"error","aceptable"))</f><v /></c><c r="BA65" s="366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367"><f>SIGN(U65)</f><v /></c><c r="BE65" s="367"><f>SIGN(AG65)</f><v /></c><c r="BF65" s="367"><f>SIGN(AS65)</f><v /></c><c r="BG65" s="367"><f>CONCATENATE(BD65,BE65,BF65)</f><v /></c><c r="BH65" s="367"><f>IF(BG65="111","SI","SD")</f><v /></c><c r="BI65" s="367"><f>IF(BG65="-1-1-1","SI","SD")</f><v /></c><c r="BJ65" s="367"><f>OR(BH65="SI",BI65="SI")</f><v /></c><c r="BK65" s="367"><f>IF(BJ65=FALSE,"SIGDIFERENTES","SIGIGUALES")</f><v /></c><c r="BL65" s="366"><f>IF(BC65="NO CONFORME","NO CONFORME",IF(BB65="CONFORME","CONFORME","NO CONFORME"))</f><v /></c></row><row r="66" ht="15" customHeight="1" thickBot="1"><c r="A66" s="451" t="n"><v>58</v></c><c r="B66" s="369"><f>B65</f><v /></c><c r="C66" s="369"><f>C65</f><v /></c><c r="D66" s="370"><f>D65</f><v /></c><c r="E66" s="371"><f>E65</f><v /></c><c r="F66" s="13" t="n" /><c r="G66" s="337" t="inlineStr"><is><t>PA25516930</t></is></c><c r="H66" s="326"><f>H65</f><v /></c><c r="I66" s="98"><f>I65</f><v /></c><c r="J66" s="327"><f>J65</f><v /></c><c r="K66" s="458"><f>K65</f><v /></c><c r="L66" s="458"><f>L65</f><v /></c><c r="M66" s="459" t="n"><v>114.32</v></c><c r="N66" s="459" t="n"><v>215.16</v></c><c r="O66" s="460"><f>O65</f><v /></c><c r="P66" s="461"><f>P65</f><v /></c><c r="Q66" s="462"><f>LEFT(P66,1)</f><v /></c><c r="R66" s="462"><f>RIGHT(P66,6)</f><v /></c><c r="S66" s="462"><f>+(Q66*60+R66)/(60*60)</f><v /></c><c r="T66" s="463"><f>+O66/S66</f><v /></c><c r="U66" s="464"><f>+(((N66-M66-O66)/O66)*100)</f><v /></c><c r="V66" s="329"><f>V65</f><v /></c><c r="W66" s="465"><f>W65</f><v /></c><c r="X66" s="465"><f>X65</f><v /></c><c r="Y66" s="459" t="n"><v>227.17</v></c><c r="Z66" s="459" t="n"><v>237.19</v></c><c r="AA66" s="466"><f>AA65</f><v /></c><c r="AB66" s="467"><f>AB65</f><v /></c><c r="AC66" s="462"><f>LEFT(AB66,2)</f><v /></c><c r="AD66" s="462"><f>RIGHT(AB66,6)</f><v /></c><c r="AE66" s="462"><f>+(AC66*60+AD66)/(60*60)</f><v /></c><c r="AF66" s="463"><f>+AA66/AE66</f><v /></c><c r="AG66" s="468"><f>+(((Z66-Y66-AA66)/AA66)*100)</f><v /></c><c r="AH66" s="329"><f>AH65</f><v /></c><c r="AI66" s="465"><f>AI65</f><v /></c><c r="AJ66" s="465"><f>AJ65</f><v /></c><c r="AK66" s="459"><f>Z66</f><v /></c><c r="AL66" s="459" t="n"><v>242.29</v></c><c r="AM66" s="469"><f>AM65</f><v /></c><c r="AN66" s="461"><f>AN65</f><v /></c><c r="AO66" s="462"><f>LEFT(AN66,2)</f><v /></c><c r="AP66" s="462"><f>RIGHT(AN66,6)</f><v /></c><c r="AQ66" s="462"><f>+(AO66*60+AP66)/(60*60)</f><v /></c><c r="AR66" s="463"><f>+AM66/AQ66</f><v /></c><c r="AS66" s="468"><f>+(((AL66-AK66-AM66)/AM66)*100)</f><v /></c><c r="AT66" s="470"><f>IF(I66&gt;=1,"NO CONFORME",IF(BK66="SIGDIFERENTES",BC66,BL66))</f><v /></c><c r="AU66" s="365"><f>B66=C66</f><v /></c><c r="AV66" s="365"><f>N66&lt;Y66</f><v /></c><c r="AW66" s="365"><f>Z66&lt;=AK66</f><v /></c><c r="AX66" s="365"><f>IF(I66&gt;=1,"Qcorrecto",IF(AND(AY66="aceptable",AZ66="aceptable",BA66="aceptable"),"Qcorrecto","Qincorrecto"))</f><v /></c><c r="AY66" s="366"><f>IF(AR66&lt;$AH$6,"error",IF(AR66&gt;$AH$6*1.1,"error","aceptable"))</f><v /></c><c r="AZ66" s="366"><f>IF(AF66&lt;$V$6,"error",IF(AF66&gt;$V$6*1.1,"error","aceptable"))</f><v /></c><c r="BA66" s="366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7"><f>SIGN(U66)</f><v /></c><c r="BE66" s="367"><f>SIGN(AG66)</f><v /></c><c r="BF66" s="367"><f>SIGN(AS66)</f><v /></c><c r="BG66" s="367"><f>CONCATENATE(BD66,BE66,BF66)</f><v /></c><c r="BH66" s="367"><f>IF(BG66="111","SI","SD")</f><v /></c><c r="BI66" s="367"><f>IF(BG66="-1-1-1","SI","SD")</f><v /></c><c r="BJ66" s="367"><f>OR(BH66="SI",BI66="SI")</f><v /></c><c r="BK66" s="367"><f>IF(BJ66=FALSE,"SIGDIFERENTES","SIGIGUALES")</f><v /></c><c r="BL66" s="366"><f>IF(BC66="NO CONFORME","NO CONFORME",IF(BB66="CONFORME","CONFORME","NO CONFORME"))</f><v /></c></row><row r="67" ht="15" customHeight="1" thickBot="1"><c r="A67" s="351" t="n"><v>59</v></c><c r="B67" s="352" t="n"><v>45919</v></c><c r="C67" s="352"><f>C66</f><v /></c><c r="D67" s="353" t="n"><v>6</v></c><c r="E67" s="354" t="n"><v>15</v></c><c r="F67" s="58" t="n" /><c r="G67" s="300" t="inlineStr"><is><t>PA25517181</t></is></c><c r="H67" s="301" t="n"><v>25.6</v></c><c r="I67" s="232" t="n"><v>0</v></c><c r="J67" s="302" t="n"><v>20.9</v></c><c r="K67" s="303" t="n"><v>7.883</v></c><c r="L67" s="303" t="n"><v>0.554</v></c><c r="M67" s="356" t="n"><v>113.47</v></c><c r="N67" s="356" t="n"><v>213.25</v></c><c r="O67" s="357" t="n"><v>100.62</v></c><c r="P67" s="358" t="inlineStr"><is><t>2,29,560</t></is></c><c r="Q67" s="359"><f>LEFT(P67,1)</f><v /></c><c r="R67" s="359"><f>RIGHT(P67,6)</f><v /></c><c r="S67" s="359"><f>+(Q67*60+R67)/(60*60)</f><v /></c><c r="T67" s="360"><f>+O67/S67</f><v /></c><c r="U67" s="361"><f>+(((N67-M67-O67)/O67)*100)</f><v /></c><c r="V67" s="306" t="n"><v>20.4</v></c><c r="W67" s="307" t="n"><v>1.507</v></c><c r="X67" s="307" t="n"><v>1.504</v></c><c r="Y67" s="356" t="n"><v>224.8</v></c><c r="Z67" s="356" t="n"><v>234.72</v></c><c r="AA67" s="308" t="n"><v>10.015</v></c><c r="AB67" s="358" t="inlineStr"><is><t>22,10,090</t></is></c><c r="AC67" s="359"><f>LEFT(AB67,2)</f><v /></c><c r="AD67" s="359"><f>RIGHT(AB67,6)</f><v /></c><c r="AE67" s="359"><f>+(AC67*60+AD67)/(60*60)</f><v /></c><c r="AF67" s="360"><f>+AA67/AE67</f><v /></c><c r="AG67" s="362"><f>+(((Z67-Y67-AA67)/AA67)*100)</f><v /></c><c r="AH67" s="306" t="n"><v>20.3</v></c><c r="AI67" s="307" t="n"><v>1.509</v></c><c r="AJ67" s="307" t="n"><v>1.504</v></c><c r="AK67" s="356"><f>Z67</f><v /></c><c r="AL67" s="356" t="n"><v>239.76</v></c><c r="AM67" s="363" t="n"><v>5.013</v></c><c r="AN67" s="358" t="inlineStr"><is><t>17,59,050</t></is></c><c r="AO67" s="359"><f>LEFT(AN67,2)</f><v /></c><c r="AP67" s="359"><f>RIGHT(AN67,6)</f><v /></c><c r="AQ67" s="359"><f>+(AO67*60+AP67)/(60*60)</f><v /></c><c r="AR67" s="360"><f>+AM67/AQ67</f><v /></c><c r="AS67" s="362"><f>+(((AL67-AK67-AM67)/AM67)*100)</f><v /></c><c r="AT67" s="364"><f>IF(I67&gt;=1,"NO CONFORME",IF(BK67="SIGDIFERENTES",BC67,BL67))</f><v /></c><c r="AU67" s="365"><f>B67=C67</f><v /></c><c r="AV67" s="365"><f>N67&lt;Y67</f><v /></c><c r="AW67" s="365"><f>Z67&lt;=AK67</f><v /></c><c r="AX67" s="365"><f>IF(I67&gt;=1,"Qcorrecto",IF(AND(AY67="aceptable",AZ67="aceptable",BA67="aceptable"),"Qcorrecto","Qincorrecto"))</f><v /></c><c r="AY67" s="366"><f>IF(AR67&lt;$AH$6,"error",IF(AR67&gt;$AH$6*1.1,"error","aceptable"))</f><v /></c><c r="AZ67" s="366"><f>IF(AF67&lt;$V$6,"error",IF(AF67&gt;$V$6*1.1,"error","aceptable"))</f><v /></c><c r="BA67" s="366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7"><f>SIGN(U67)</f><v /></c><c r="BE67" s="367"><f>SIGN(AG67)</f><v /></c><c r="BF67" s="367"><f>SIGN(AS67)</f><v /></c><c r="BG67" s="367"><f>CONCATENATE(BD67,BE67,BF67)</f><v /></c><c r="BH67" s="367"><f>IF(BG67="111","SI","SD")</f><v /></c><c r="BI67" s="367"><f>IF(BG67="-1-1-1","SI","SD")</f><v /></c><c r="BJ67" s="367"><f>OR(BH67="SI",BI67="SI")</f><v /></c><c r="BK67" s="367"><f>IF(BJ67=FALSE,"SIGDIFERENTES","SIGIGUALES")</f><v /></c><c r="BL67" s="368"><f>IF(BC67="NO CONFORME","NO CONFORME",IF(BB67="CONFORME","CONFORME","NO CONFORME"))</f><v /></c></row><row r="68" ht="15" customHeight="1" thickBot="1"><c r="A68" s="451" t="n"><v>60</v></c><c r="B68" s="369"><f>B67</f><v /></c><c r="C68" s="369"><f>C67</f><v /></c><c r="D68" s="370"><f>D67</f><v /></c><c r="E68" s="371"><f>E67</f><v /></c><c r="F68" s="13" t="n" /><c r="G68" s="300" t="inlineStr"><is><t>PA25517182</t></is></c><c r="H68" s="313"><f>H67</f><v /></c><c r="I68" s="38"><f>I67</f><v /></c><c r="J68" s="314"><f>J67</f><v /></c><c r="K68" s="372"><f>K67</f><v /></c><c r="L68" s="372"><f>L67</f><v /></c><c r="M68" s="373" t="n"><v>113.65</v></c><c r="N68" s="373" t="n"><v>214.16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9"><f>W67</f><v /></c><c r="X68" s="379"><f>X67</f><v /></c><c r="Y68" s="373" t="n"><v>225.78</v></c><c r="Z68" s="373" t="n"><v>235.75</v></c><c r="AA68" s="380"><f>AA67</f><v /></c><c r="AB68" s="381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9"><f>AI67</f><v /></c><c r="AJ68" s="379"><f>AJ67</f><v /></c><c r="AK68" s="373"><f>Z68</f><v /></c><c r="AL68" s="373" t="n"><v>240.81</v></c><c r="AM68" s="382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3"><f>IF(I68&gt;=1,"NO CONFORME",IF(BK68="SIGDIFERENTES",BC68,BL68))</f><v /></c><c r="AU68" s="365"><f>B68=C68</f><v /></c><c r="AV68" s="365"><f>N68&lt;Y68</f><v /></c><c r="AW68" s="365"><f>Z68&lt;=AK68</f><v /></c><c r="AX68" s="365"><f>IF(I68&gt;=1,"Qcorrecto",IF(AND(AY68="aceptable",AZ68="aceptable",BA68="aceptable"),"Qcorrecto","Qincorrecto"))</f><v /></c><c r="AY68" s="366"><f>IF(AR68&lt;$AH$6,"error",IF(AR68&gt;$AH$6*1.1,"error","aceptable"))</f><v /></c><c r="AZ68" s="366"><f>IF(AF68&lt;$V$6,"error",IF(AF68&gt;$V$6*1.1,"error","aceptable"))</f><v /></c><c r="BA68" s="366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7"><f>SIGN(U68)</f><v /></c><c r="BE68" s="367"><f>SIGN(AG68)</f><v /></c><c r="BF68" s="367"><f>SIGN(AS68)</f><v /></c><c r="BG68" s="367"><f>CONCATENATE(BD68,BE68,BF68)</f><v /></c><c r="BH68" s="367"><f>IF(BG68="111","SI","SD")</f><v /></c><c r="BI68" s="367"><f>IF(BG68="-1-1-1","SI","SD")</f><v /></c><c r="BJ68" s="367"><f>OR(BH68="SI",BI68="SI")</f><v /></c><c r="BK68" s="367"><f>IF(BJ68=FALSE,"SIGDIFERENTES","SIGIGUALES")</f><v /></c><c r="BL68" s="366"><f>IF(BC68="NO CONFORME","NO CONFORME",IF(BB68="CONFORME","CONFORME","NO CONFORME"))</f><v /></c></row><row r="69" ht="15" customHeight="1" thickBot="1"><c r="A69" s="451" t="n"><v>61</v></c><c r="B69" s="369"><f>B68</f><v /></c><c r="C69" s="369"><f>C68</f><v /></c><c r="D69" s="370"><f>D68</f><v /></c><c r="E69" s="371"><f>E68</f><v /></c><c r="F69" s="13" t="n" /><c r="G69" s="300" t="inlineStr"><is><t>PA25517183</t></is></c><c r="H69" s="313"><f>H68</f><v /></c><c r="I69" s="38"><f>I68</f><v /></c><c r="J69" s="314"><f>J68</f><v /></c><c r="K69" s="372"><f>K68</f><v /></c><c r="L69" s="372"><f>L68</f><v /></c><c r="M69" s="373" t="n"><v>112.12</v></c><c r="N69" s="373" t="n"><v>211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9"><f>W68</f><v /></c><c r="X69" s="379"><f>X68</f><v /></c><c r="Y69" s="373" t="n"><v>223.25</v></c><c r="Z69" s="373" t="n"><v>233.3</v></c><c r="AA69" s="380"><f>AA68</f><v /></c><c r="AB69" s="381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9"><f>AI68</f><v /></c><c r="AJ69" s="379"><f>AJ68</f><v /></c><c r="AK69" s="373"><f>Z69</f><v /></c><c r="AL69" s="373" t="n"><v>238.37</v></c><c r="AM69" s="382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3"><f>IF(I69&gt;=1,"NO CONFORME",IF(BK69="SIGDIFERENTES",BC69,BL69))</f><v /></c><c r="AU69" s="365"><f>B69=C69</f><v /></c><c r="AV69" s="365"><f>N69&lt;Y69</f><v /></c><c r="AW69" s="365"><f>Z69&lt;=AK69</f><v /></c><c r="AX69" s="365"><f>IF(I69&gt;=1,"Qcorrecto",IF(AND(AY69="aceptable",AZ69="aceptable",BA69="aceptable"),"Qcorrecto","Qincorrecto"))</f><v /></c><c r="AY69" s="366"><f>IF(AR69&lt;$AH$6,"error",IF(AR69&gt;$AH$6*1.1,"error","aceptable"))</f><v /></c><c r="AZ69" s="366"><f>IF(AF69&lt;$V$6,"error",IF(AF69&gt;$V$6*1.1,"error","aceptable"))</f><v /></c><c r="BA69" s="366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7"><f>SIGN(U69)</f><v /></c><c r="BE69" s="367"><f>SIGN(AG69)</f><v /></c><c r="BF69" s="367"><f>SIGN(AS69)</f><v /></c><c r="BG69" s="367"><f>CONCATENATE(BD69,BE69,BF69)</f><v /></c><c r="BH69" s="367"><f>IF(BG69="111","SI","SD")</f><v /></c><c r="BI69" s="367"><f>IF(BG69="-1-1-1","SI","SD")</f><v /></c><c r="BJ69" s="367"><f>OR(BH69="SI",BI69="SI")</f><v /></c><c r="BK69" s="367"><f>IF(BJ69=FALSE,"SIGDIFERENTES","SIGIGUALES")</f><v /></c><c r="BL69" s="366"><f>IF(BC69="NO CONFORME","NO CONFORME",IF(BB69="CONFORME","CONFORME","NO CONFORME"))</f><v /></c></row><row r="70" ht="15" customHeight="1" thickBot="1"><c r="A70" s="451" t="n"><v>62</v></c><c r="B70" s="369"><f>B69</f><v /></c><c r="C70" s="369"><f>C69</f><v /></c><c r="D70" s="370"><f>D69</f><v /></c><c r="E70" s="371"><f>E69</f><v /></c><c r="F70" s="13" t="n" /><c r="G70" s="300" t="inlineStr"><is><t>PA25517184</t></is></c><c r="H70" s="313"><f>H69</f><v /></c><c r="I70" s="38"><f>I69</f><v /></c><c r="J70" s="314"><f>J69</f><v /></c><c r="K70" s="372"><f>K69</f><v /></c><c r="L70" s="372"><f>L69</f><v /></c><c r="M70" s="373" t="n"><v>109.9</v></c><c r="N70" s="373" t="n"><v>210.24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9"><f>W69</f><v /></c><c r="X70" s="379"><f>X69</f><v /></c><c r="Y70" s="373" t="n"><v>221.86</v></c><c r="Z70" s="373" t="n"><v>231.8</v></c><c r="AA70" s="380"><f>AA69</f><v /></c><c r="AB70" s="381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9"><f>AI69</f><v /></c><c r="AJ70" s="379"><f>AJ69</f><v /></c><c r="AK70" s="373"><f>Z70</f><v /></c><c r="AL70" s="373" t="n"><v>236.81</v></c><c r="AM70" s="382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3"><f>IF(I70&gt;=1,"NO CONFORME",IF(BK70="SIGDIFERENTES",BC70,BL70))</f><v /></c><c r="AU70" s="365"><f>B70=C70</f><v /></c><c r="AV70" s="365"><f>N70&lt;Y70</f><v /></c><c r="AW70" s="365"><f>Z70&lt;=AK70</f><v /></c><c r="AX70" s="365"><f>IF(I70&gt;=1,"Qcorrecto",IF(AND(AY70="aceptable",AZ70="aceptable",BA70="aceptable"),"Qcorrecto","Qincorrecto"))</f><v /></c><c r="AY70" s="366"><f>IF(AR70&lt;$AH$6,"error",IF(AR70&gt;$AH$6*1.1,"error","aceptable"))</f><v /></c><c r="AZ70" s="366"><f>IF(AF70&lt;$V$6,"error",IF(AF70&gt;$V$6*1.1,"error","aceptable"))</f><v /></c><c r="BA70" s="366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7"><f>SIGN(U70)</f><v /></c><c r="BE70" s="367"><f>SIGN(AG70)</f><v /></c><c r="BF70" s="367"><f>SIGN(AS70)</f><v /></c><c r="BG70" s="367"><f>CONCATENATE(BD70,BE70,BF70)</f><v /></c><c r="BH70" s="367"><f>IF(BG70="111","SI","SD")</f><v /></c><c r="BI70" s="367"><f>IF(BG70="-1-1-1","SI","SD")</f><v /></c><c r="BJ70" s="367"><f>OR(BH70="SI",BI70="SI")</f><v /></c><c r="BK70" s="367"><f>IF(BJ70=FALSE,"SIGDIFERENTES","SIGIGUALES")</f><v /></c><c r="BL70" s="366"><f>IF(BC70="NO CONFORME","NO CONFORME",IF(BB70="CONFORME","CONFORME","NO CONFORME"))</f><v /></c></row><row r="71" ht="15" customHeight="1" thickBot="1"><c r="A71" s="451" t="n"><v>63</v></c><c r="B71" s="369"><f>B70</f><v /></c><c r="C71" s="369"><f>C70</f><v /></c><c r="D71" s="370"><f>D70</f><v /></c><c r="E71" s="371"><f>E70</f><v /></c><c r="F71" s="13" t="n" /><c r="G71" s="300" t="inlineStr"><is><t>PA25517185</t></is></c><c r="H71" s="313"><f>H70</f><v /></c><c r="I71" s="38"><f>I70</f><v /></c><c r="J71" s="314"><f>J70</f><v /></c><c r="K71" s="372"><f>K70</f><v /></c><c r="L71" s="372"><f>L70</f><v /></c><c r="M71" s="373" t="n"><v>112.81</v></c><c r="N71" s="373" t="n"><v>213.23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9"><f>W70</f><v /></c><c r="X71" s="379"><f>X70</f><v /></c><c r="Y71" s="373" t="n"><v>224.85</v></c><c r="Z71" s="373" t="n"><v>234.9</v></c><c r="AA71" s="380"><f>AA70</f><v /></c><c r="AB71" s="381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9"><f>AI70</f><v /></c><c r="AJ71" s="379"><f>AJ70</f><v /></c><c r="AK71" s="373"><f>Z71</f><v /></c><c r="AL71" s="373" t="n"><v>240.01</v></c><c r="AM71" s="382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3"><f>IF(I71&gt;=1,"NO CONFORME",IF(BK71="SIGDIFERENTES",BC71,BL71))</f><v /></c><c r="AU71" s="365"><f>B71=C71</f><v /></c><c r="AV71" s="365"><f>N71&lt;Y71</f><v /></c><c r="AW71" s="365"><f>Z71&lt;=AK71</f><v /></c><c r="AX71" s="365"><f>IF(I71&gt;=1,"Qcorrecto",IF(AND(AY71="aceptable",AZ71="aceptable",BA71="aceptable"),"Qcorrecto","Qincorrecto"))</f><v /></c><c r="AY71" s="366"><f>IF(AR71&lt;$AH$6,"error",IF(AR71&gt;$AH$6*1.1,"error","aceptable"))</f><v /></c><c r="AZ71" s="366"><f>IF(AF71&lt;$V$6,"error",IF(AF71&gt;$V$6*1.1,"error","aceptable"))</f><v /></c><c r="BA71" s="366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7"><f>SIGN(U71)</f><v /></c><c r="BE71" s="367"><f>SIGN(AG71)</f><v /></c><c r="BF71" s="367"><f>SIGN(AS71)</f><v /></c><c r="BG71" s="367"><f>CONCATENATE(BD71,BE71,BF71)</f><v /></c><c r="BH71" s="367"><f>IF(BG71="111","SI","SD")</f><v /></c><c r="BI71" s="367"><f>IF(BG71="-1-1-1","SI","SD")</f><v /></c><c r="BJ71" s="367"><f>OR(BH71="SI",BI71="SI")</f><v /></c><c r="BK71" s="367"><f>IF(BJ71=FALSE,"SIGDIFERENTES","SIGIGUALES")</f><v /></c><c r="BL71" s="366"><f>IF(BC71="NO CONFORME","NO CONFORME",IF(BB71="CONFORME","CONFORME","NO CONFORME"))</f><v /></c></row><row r="72" ht="15" customHeight="1" thickBot="1"><c r="A72" s="451" t="n"><v>64</v></c><c r="B72" s="369"><f>B71</f><v /></c><c r="C72" s="369"><f>C71</f><v /></c><c r="D72" s="370"><f>D71</f><v /></c><c r="E72" s="371"><f>E71</f><v /></c><c r="F72" s="13" t="n" /><c r="G72" s="300" t="inlineStr"><is><t>PA25517186</t></is></c><c r="H72" s="313"><f>H71</f><v /></c><c r="I72" s="38"><f>I71</f><v /></c><c r="J72" s="314"><f>J71</f><v /></c><c r="K72" s="372"><f>K71</f><v /></c><c r="L72" s="372"><f>L71</f><v /></c><c r="M72" s="373" t="n"><v>110.77</v></c><c r="N72" s="373" t="n"><v>211.25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9"><f>W71</f><v /></c><c r="X72" s="379"><f>X71</f><v /></c><c r="Y72" s="373" t="n"><v>222.87</v></c><c r="Z72" s="373" t="n"><v>232.85</v></c><c r="AA72" s="380"><f>AA71</f><v /></c><c r="AB72" s="381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9"><f>AI71</f><v /></c><c r="AJ72" s="379"><f>AJ71</f><v /></c><c r="AK72" s="373"><f>Z72</f><v /></c><c r="AL72" s="373" t="n"><v>237.94</v></c><c r="AM72" s="382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3"><f>IF(I72&gt;=1,"NO CONFORME",IF(BK72="SIGDIFERENTES",BC72,BL72))</f><v /></c><c r="AU72" s="365"><f>B72=C72</f><v /></c><c r="AV72" s="365"><f>N72&lt;Y72</f><v /></c><c r="AW72" s="365"><f>Z72&lt;=AK72</f><v /></c><c r="AX72" s="365"><f>IF(I72&gt;=1,"Qcorrecto",IF(AND(AY72="aceptable",AZ72="aceptable",BA72="aceptable"),"Qcorrecto","Qincorrecto"))</f><v /></c><c r="AY72" s="366"><f>IF(AR72&lt;$AH$6,"error",IF(AR72&gt;$AH$6*1.1,"error","aceptable"))</f><v /></c><c r="AZ72" s="366"><f>IF(AF72&lt;$V$6,"error",IF(AF72&gt;$V$6*1.1,"error","aceptable"))</f><v /></c><c r="BA72" s="366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7"><f>SIGN(U72)</f><v /></c><c r="BE72" s="367"><f>SIGN(AG72)</f><v /></c><c r="BF72" s="367"><f>SIGN(AS72)</f><v /></c><c r="BG72" s="367"><f>CONCATENATE(BD72,BE72,BF72)</f><v /></c><c r="BH72" s="367"><f>IF(BG72="111","SI","SD")</f><v /></c><c r="BI72" s="367"><f>IF(BG72="-1-1-1","SI","SD")</f><v /></c><c r="BJ72" s="367"><f>OR(BH72="SI",BI72="SI")</f><v /></c><c r="BK72" s="367"><f>IF(BJ72=FALSE,"SIGDIFERENTES","SIGIGUALES")</f><v /></c><c r="BL72" s="366"><f>IF(BC72="NO CONFORME","NO CONFORME",IF(BB72="CONFORME","CONFORME","NO CONFORME"))</f><v /></c></row><row r="73" ht="15" customHeight="1" thickBot="1"><c r="A73" s="451" t="n"><v>65</v></c><c r="B73" s="369"><f>B72</f><v /></c><c r="C73" s="369"><f>C72</f><v /></c><c r="D73" s="370"><f>D72</f><v /></c><c r="E73" s="371"><f>E72</f><v /></c><c r="F73" s="13" t="n" /><c r="G73" s="300" t="inlineStr"><is><t>PA25517187</t></is></c><c r="H73" s="313"><f>H72</f><v /></c><c r="I73" s="38"><f>I72</f><v /></c><c r="J73" s="314"><f>J72</f><v /></c><c r="K73" s="372"><f>K72</f><v /></c><c r="L73" s="372"><f>L72</f><v /></c><c r="M73" s="373" t="n"><v>110.7</v></c><c r="N73" s="373" t="n"><v>210.4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9"><f>W72</f><v /></c><c r="X73" s="379"><f>X72</f><v /></c><c r="Y73" s="373" t="n"><v>221.94</v></c><c r="Z73" s="373" t="n"><v>231.89</v></c><c r="AA73" s="380"><f>AA72</f><v /></c><c r="AB73" s="381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9"><f>AI72</f><v /></c><c r="AJ73" s="379"><f>AJ72</f><v /></c><c r="AK73" s="373"><f>Z73</f><v /></c><c r="AL73" s="373" t="n"><v>236.91</v></c><c r="AM73" s="382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3"><f>IF(I73&gt;=1,"NO CONFORME",IF(BK73="SIGDIFERENTES",BC73,BL73))</f><v /></c><c r="AU73" s="365"><f>B73=C73</f><v /></c><c r="AV73" s="365"><f>N73&lt;Y73</f><v /></c><c r="AW73" s="365"><f>Z73&lt;=AK73</f><v /></c><c r="AX73" s="365"><f>IF(I73&gt;=1,"Qcorrecto",IF(AND(AY73="aceptable",AZ73="aceptable",BA73="aceptable"),"Qcorrecto","Qincorrecto"))</f><v /></c><c r="AY73" s="366"><f>IF(AR73&lt;$AH$6,"error",IF(AR73&gt;$AH$6*1.1,"error","aceptable"))</f><v /></c><c r="AZ73" s="366"><f>IF(AF73&lt;$V$6,"error",IF(AF73&gt;$V$6*1.1,"error","aceptable"))</f><v /></c><c r="BA73" s="366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7"><f>SIGN(U73)</f><v /></c><c r="BE73" s="367"><f>SIGN(AG73)</f><v /></c><c r="BF73" s="367"><f>SIGN(AS73)</f><v /></c><c r="BG73" s="367"><f>CONCATENATE(BD73,BE73,BF73)</f><v /></c><c r="BH73" s="367"><f>IF(BG73="111","SI","SD")</f><v /></c><c r="BI73" s="367"><f>IF(BG73="-1-1-1","SI","SD")</f><v /></c><c r="BJ73" s="367"><f>OR(BH73="SI",BI73="SI")</f><v /></c><c r="BK73" s="367"><f>IF(BJ73=FALSE,"SIGDIFERENTES","SIGIGUALES")</f><v /></c><c r="BL73" s="366"><f>IF(BC73="NO CONFORME","NO CONFORME",IF(BB73="CONFORME","CONFORME","NO CONFORME"))</f><v /></c></row><row r="74" ht="15" customHeight="1" thickBot="1"><c r="A74" s="451" t="n"><v>66</v></c><c r="B74" s="369"><f>B73</f><v /></c><c r="C74" s="369"><f>C73</f><v /></c><c r="D74" s="370"><f>D73</f><v /></c><c r="E74" s="371"><f>E73</f><v /></c><c r="F74" s="13" t="n" /><c r="G74" s="300" t="inlineStr"><is><t>PA25517188</t></is></c><c r="H74" s="313"><f>H73</f><v /></c><c r="I74" s="38"><f>I73</f><v /></c><c r="J74" s="314"><f>J73</f><v /></c><c r="K74" s="372"><f>K73</f><v /></c><c r="L74" s="372"><f>L73</f><v /></c><c r="M74" s="373" t="n"><v>112.1</v></c><c r="N74" s="373" t="n"><v>212.35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9"><f>W73</f><v /></c><c r="X74" s="379"><f>X73</f><v /></c><c r="Y74" s="373" t="n"><v>223.97</v></c><c r="Z74" s="373" t="n"><v>234</v></c><c r="AA74" s="380"><f>AA73</f><v /></c><c r="AB74" s="381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9"><f>AI73</f><v /></c><c r="AJ74" s="379"><f>AJ73</f><v /></c><c r="AK74" s="373"><f>Z74</f><v /></c><c r="AL74" s="373" t="n"><v>239.1</v></c><c r="AM74" s="382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3"><f>IF(I74&gt;=1,"NO CONFORME",IF(BK74="SIGDIFERENTES",BC74,BL74))</f><v /></c><c r="AU74" s="365"><f>B74=C74</f><v /></c><c r="AV74" s="365"><f>N74&lt;Y74</f><v /></c><c r="AW74" s="365"><f>Z74&lt;=AK74</f><v /></c><c r="AX74" s="365"><f>IF(I74&gt;=1,"Qcorrecto",IF(AND(AY74="aceptable",AZ74="aceptable",BA74="aceptable"),"Qcorrecto","Qincorrecto"))</f><v /></c><c r="AY74" s="366"><f>IF(AR74&lt;$AH$6,"error",IF(AR74&gt;$AH$6*1.1,"error","aceptable"))</f><v /></c><c r="AZ74" s="366"><f>IF(AF74&lt;$V$6,"error",IF(AF74&gt;$V$6*1.1,"error","aceptable"))</f><v /></c><c r="BA74" s="366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7"><f>SIGN(U74)</f><v /></c><c r="BE74" s="367"><f>SIGN(AG74)</f><v /></c><c r="BF74" s="367"><f>SIGN(AS74)</f><v /></c><c r="BG74" s="367"><f>CONCATENATE(BD74,BE74,BF74)</f><v /></c><c r="BH74" s="367"><f>IF(BG74="111","SI","SD")</f><v /></c><c r="BI74" s="367"><f>IF(BG74="-1-1-1","SI","SD")</f><v /></c><c r="BJ74" s="367"><f>OR(BH74="SI",BI74="SI")</f><v /></c><c r="BK74" s="367"><f>IF(BJ74=FALSE,"SIGDIFERENTES","SIGIGUALES")</f><v /></c><c r="BL74" s="366"><f>IF(BC74="NO CONFORME","NO CONFORME",IF(BB74="CONFORME","CONFORME","NO CONFORME"))</f><v /></c></row><row r="75" ht="15" customHeight="1" thickBot="1"><c r="A75" s="451" t="n"><v>67</v></c><c r="B75" s="369"><f>B74</f><v /></c><c r="C75" s="369"><f>C74</f><v /></c><c r="D75" s="370"><f>D74</f><v /></c><c r="E75" s="371"><f>E74</f><v /></c><c r="F75" s="13" t="n" /><c r="G75" s="300" t="inlineStr"><is><t>PA25517189</t></is></c><c r="H75" s="313"><f>H74</f><v /></c><c r="I75" s="38"><f>I74</f><v /></c><c r="J75" s="314"><f>J74</f><v /></c><c r="K75" s="372"><f>K74</f><v /></c><c r="L75" s="372"><f>L74</f><v /></c><c r="M75" s="373" t="n"><v>111.1</v></c><c r="N75" s="373" t="n"><v>211.75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9"><f>W74</f><v /></c><c r="X75" s="379"><f>X74</f><v /></c><c r="Y75" s="373" t="n"><v>223.4</v></c><c r="Z75" s="373" t="n"><v>233.45</v></c><c r="AA75" s="380"><f>AA74</f><v /></c><c r="AB75" s="381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9"><f>AI74</f><v /></c><c r="AJ75" s="379"><f>AJ74</f><v /></c><c r="AK75" s="373"><f>Z75</f><v /></c><c r="AL75" s="373" t="n"><v>238.5</v></c><c r="AM75" s="382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3"><f>IF(I75&gt;=1,"NO CONFORME",IF(BK75="SIGDIFERENTES",BC75,BL75))</f><v /></c><c r="AU75" s="365"><f>B75=C75</f><v /></c><c r="AV75" s="365"><f>N75&lt;Y75</f><v /></c><c r="AW75" s="365"><f>Z75&lt;=AK75</f><v /></c><c r="AX75" s="365"><f>IF(I75&gt;=1,"Qcorrecto",IF(AND(AY75="aceptable",AZ75="aceptable",BA75="aceptable"),"Qcorrecto","Qincorrecto"))</f><v /></c><c r="AY75" s="366"><f>IF(AR75&lt;$AH$6,"error",IF(AR75&gt;$AH$6*1.1,"error","aceptable"))</f><v /></c><c r="AZ75" s="366"><f>IF(AF75&lt;$V$6,"error",IF(AF75&gt;$V$6*1.1,"error","aceptable"))</f><v /></c><c r="BA75" s="366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7"><f>SIGN(U75)</f><v /></c><c r="BE75" s="367"><f>SIGN(AG75)</f><v /></c><c r="BF75" s="367"><f>SIGN(AS75)</f><v /></c><c r="BG75" s="367"><f>CONCATENATE(BD75,BE75,BF75)</f><v /></c><c r="BH75" s="367"><f>IF(BG75="111","SI","SD")</f><v /></c><c r="BI75" s="367"><f>IF(BG75="-1-1-1","SI","SD")</f><v /></c><c r="BJ75" s="367"><f>OR(BH75="SI",BI75="SI")</f><v /></c><c r="BK75" s="367"><f>IF(BJ75=FALSE,"SIGDIFERENTES","SIGIGUALES")</f><v /></c><c r="BL75" s="366"><f>IF(BC75="NO CONFORME","NO CONFORME",IF(BB75="CONFORME","CONFORME","NO CONFORME"))</f><v /></c></row><row r="76" ht="15" customHeight="1" thickBot="1"><c r="A76" s="473" t="n"><v>68</v></c><c r="B76" s="454"><f>B75</f><v /></c><c r="C76" s="454"><f>C75</f><v /></c><c r="D76" s="455"><f>D75</f><v /></c><c r="E76" s="474"><f>E75</f><v /></c><c r="F76" s="52" t="n" /><c r="G76" s="337" t="inlineStr"><is><t>PA25517190</t></is></c><c r="H76" s="326"><f>H75</f><v /></c><c r="I76" s="98"><f>I75</f><v /></c><c r="J76" s="327"><f>J75</f><v /></c><c r="K76" s="458"><f>K75</f><v /></c><c r="L76" s="458"><f>L75</f><v /></c><c r="M76" s="459" t="n"><v>110.67</v></c><c r="N76" s="459" t="n"><v>210.99</v></c><c r="O76" s="460"><f>O75</f><v /></c><c r="P76" s="461"><f>P75</f><v /></c><c r="Q76" s="462"><f>LEFT(P76,1)</f><v /></c><c r="R76" s="462"><f>RIGHT(P76,6)</f><v /></c><c r="S76" s="462"><f>+(Q76*60+R76)/(60*60)</f><v /></c><c r="T76" s="463"><f>+O76/S76</f><v /></c><c r="U76" s="464"><f>+(((N76-M76-O76)/O76)*100)</f><v /></c><c r="V76" s="329"><f>V75</f><v /></c><c r="W76" s="465"><f>W75</f><v /></c><c r="X76" s="465"><f>X75</f><v /></c><c r="Y76" s="459" t="n"><v>222.65</v></c><c r="Z76" s="459" t="n"><v>232.75</v></c><c r="AA76" s="466"><f>AA75</f><v /></c><c r="AB76" s="467"><f>AB75</f><v /></c><c r="AC76" s="462"><f>LEFT(AB76,2)</f><v /></c><c r="AD76" s="462"><f>RIGHT(AB76,6)</f><v /></c><c r="AE76" s="462"><f>+(AC76*60+AD76)/(60*60)</f><v /></c><c r="AF76" s="463"><f>+AA76/AE76</f><v /></c><c r="AG76" s="468"><f>+(((Z76-Y76-AA76)/AA76)*100)</f><v /></c><c r="AH76" s="329"><f>AH75</f><v /></c><c r="AI76" s="465"><f>AI75</f><v /></c><c r="AJ76" s="465"><f>AJ75</f><v /></c><c r="AK76" s="459"><f>Z76</f><v /></c><c r="AL76" s="459" t="n"><v>237.84</v></c><c r="AM76" s="469"><f>AM75</f><v /></c><c r="AN76" s="461"><f>AN75</f><v /></c><c r="AO76" s="462"><f>LEFT(AN76,2)</f><v /></c><c r="AP76" s="462"><f>RIGHT(AN76,6)</f><v /></c><c r="AQ76" s="462"><f>+(AO76*60+AP76)/(60*60)</f><v /></c><c r="AR76" s="463"><f>+AM76/AQ76</f><v /></c><c r="AS76" s="468"><f>+(((AL76-AK76-AM76)/AM76)*100)</f><v /></c><c r="AT76" s="470"><f>IF(I76&gt;=1,"NO CONFORME",IF(BK76="SIGDIFERENTES",BC76,BL76))</f><v /></c><c r="AU76" s="426"><f>B76=C76</f><v /></c><c r="AV76" s="426"><f>N76&lt;Y76</f><v /></c><c r="AW76" s="426"><f>Z76&lt;=AK76</f><v /></c><c r="AX76" s="426"><f>IF(I76&gt;=1,"Qcorrecto",IF(AND(AY76="aceptable",AZ76="aceptable",BA76="aceptable"),"Qcorrecto","Qincorrecto"))</f><v /></c><c r="AY76" s="427"><f>IF(AR76&lt;$AH$6,"error",IF(AR76&gt;$AH$6*1.1,"error","aceptable"))</f><v /></c><c r="AZ76" s="427"><f>IF(AF76&lt;$V$6,"error",IF(AF76&gt;$V$6*1.1,"error","aceptable"))</f><v /></c><c r="BA76" s="427"><f>IF(T76&lt;$J$6*0.9,"error",IF(T76&gt;$J$6,"error","aceptable"))</f><v /></c><c r="BB76" s="428"><f>(IF(ABS(U76)&lt;1.05,"CONFORME",IF(ABS(AG76)&lt;1.05,"CONFORME",IF(ABS(AS76)&lt;2.55,"CONFORME","NO CONFORME"))))</f><v /></c><c r="BC76" s="429"><f>(IF(ABS(U76)&gt;2.05,"NO CONFORME",IF(ABS(AG76)&gt;2.05,"NO CONFORME",IF(ABS(AS76)&gt;5.05,"NO CONFORME","CONFORME"))))</f><v /></c><c r="BD76" s="430"><f>SIGN(U76)</f><v /></c><c r="BE76" s="430"><f>SIGN(AG76)</f><v /></c><c r="BF76" s="430"><f>SIGN(AS76)</f><v /></c><c r="BG76" s="430"><f>CONCATENATE(BD76,BE76,BF76)</f><v /></c><c r="BH76" s="430"><f>IF(BG76="111","SI","SD")</f><v /></c><c r="BI76" s="430"><f>IF(BG76="-1-1-1","SI","SD")</f><v /></c><c r="BJ76" s="430"><f>OR(BH76="SI",BI76="SI")</f><v /></c><c r="BK76" s="430"><f>IF(BJ76=FALSE,"SIGDIFERENTES","SIGIGUALES")</f><v /></c><c r="BL76" s="427"><f>IF(BC76="NO CONFORME","NO CONFORME",IF(BB76="CONFORME","CONFORME","NO CONFORME"))</f><v /></c></row><row r="77" ht="15.75" customHeight="1" thickBot="1"><c r="A77" s="351" t="n"><v>69</v></c><c r="B77" s="386"><f>B76</f><v /></c><c r="C77" s="386"><f>C76</f><v /></c><c r="D77" s="387"><f>D76</f><v /></c><c r="E77" s="475"><f>E76</f><v /></c><c r="F77" s="58" t="n" /><c r="G77" s="300" t="inlineStr"><is><t>PA25517191</t></is></c><c r="H77" s="388"><f>H76</f><v /></c><c r="I77" s="232"><f>I76</f><v /></c><c r="J77" s="389" t="n"><v>21</v></c><c r="K77" s="390" t="n"><v>7.892</v></c><c r="L77" s="390" t="n"><v>0.5570000000000001</v></c><c r="M77" s="356" t="n"><v>105.07</v></c><c r="N77" s="356" t="n"><v>205.25</v></c><c r="O77" s="391" t="n"><v>100.7</v></c><c r="P77" s="392" t="inlineStr"><is><t>2,29,640</t></is></c><c r="Q77" s="359"><f>LEFT(P77,1)</f><v /></c><c r="R77" s="359"><f>RIGHT(P77,6)</f><v /></c><c r="S77" s="359"><f>+(Q77*60+R77)/(60*60)</f><v /></c><c r="T77" s="360"><f>+O77/S77</f><v /></c><c r="U77" s="361"><f>+(((N77-M77-O77)/O77)*100)</f><v /></c><c r="V77" s="393" t="n"><v>20.9</v></c><c r="W77" s="394" t="n"><v>1.51</v></c><c r="X77" s="394" t="n"><v>1.509</v></c><c r="Y77" s="356" t="n"><v>210.5</v></c><c r="Z77" s="356" t="n"><v>220.5</v></c><c r="AA77" s="395" t="n"><v>10.011</v></c><c r="AB77" s="396" t="inlineStr"><is><t>22,11,640</t></is></c><c r="AC77" s="359"><f>LEFT(AB77,2)</f><v /></c><c r="AD77" s="359"><f>RIGHT(AB77,6)</f><v /></c><c r="AE77" s="359"><f>+(AC77*60+AD77)/(60*60)</f><v /></c><c r="AF77" s="360"><f>+AA77/AE77</f><v /></c><c r="AG77" s="362"><f>+(((Z77-Y77-AA77)/AA77)*100)</f><v /></c><c r="AH77" s="393" t="n"><v>20.8</v></c><c r="AI77" s="394" t="n"><v>1.51</v></c><c r="AJ77" s="394" t="n"><v>1.506</v></c><c r="AK77" s="356"><f>Z77</f><v /></c><c r="AL77" s="356" t="n"><v>225.54</v></c><c r="AM77" s="397" t="n"><v>5.014</v></c><c r="AN77" s="392" t="inlineStr"><is><t>17,59,710</t></is></c><c r="AO77" s="359"><f>LEFT(AN77,2)</f><v /></c><c r="AP77" s="359"><f>RIGHT(AN77,6)</f><v /></c><c r="AQ77" s="359"><f>+(AO77*60+AP77)/(60*60)</f><v /></c><c r="AR77" s="360"><f>+AM77/AQ77</f><v /></c><c r="AS77" s="362"><f>+(((AL77-AK77-AM77)/AM77)*100)</f><v /></c><c r="AT77" s="364"><f>IF(I77&gt;=1,"NO CONFORME",IF(BK77="SIGDIFERENTES",BC77,BL77))</f><v /></c><c r="AU77" s="365"><f>B77=C77</f><v /></c><c r="AV77" s="365"><f>N77&lt;Y77</f><v /></c><c r="AW77" s="365"><f>Z77&lt;=AK77</f><v /></c><c r="AX77" s="365"><f>IF(I77&gt;=1,"Qcorrecto",IF(AND(AY77="aceptable",AZ77="aceptable",BA77="aceptable"),"Qcorrecto","Qincorrecto"))</f><v /></c><c r="AY77" s="368"><f>IF(AR77&lt;$AH$6,"error",IF(AR77&gt;$AH$6*1.1,"error","aceptable"))</f><v /></c><c r="AZ77" s="368"><f>IF(AF77&lt;$V$6,"error",IF(AF77&gt;$V$6*1.1,"error","aceptable"))</f><v /></c><c r="BA77" s="368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7"><f>SIGN(U77)</f><v /></c><c r="BE77" s="367"><f>SIGN(AG77)</f><v /></c><c r="BF77" s="367"><f>SIGN(AS77)</f><v /></c><c r="BG77" s="367"><f>CONCATENATE(BD77,BE77,BF77)</f><v /></c><c r="BH77" s="367"><f>IF(BG77="111","SI","SD")</f><v /></c><c r="BI77" s="367"><f>IF(BG77="-1-1-1","SI","SD")</f><v /></c><c r="BJ77" s="367"><f>OR(BH77="SI",BI77="SI")</f><v /></c><c r="BK77" s="367"><f>IF(BJ77=FALSE,"SIGDIFERENTES","SIGIGUALES")</f><v /></c><c r="BL77" s="368"><f>IF(BC77="NO CONFORME","NO CONFORME",IF(BB77="CONFORME","CONFORME","NO CONFORME"))</f><v /></c></row><row r="78" ht="15" customHeight="1" thickBot="1"><c r="A78" s="451" t="n"><v>70</v></c><c r="B78" s="369"><f>B77</f><v /></c><c r="C78" s="369"><f>C77</f><v /></c><c r="D78" s="370"><f>D77</f><v /></c><c r="E78" s="371"><f>E77</f><v /></c><c r="F78" s="13" t="n" /><c r="G78" s="300" t="inlineStr"><is><t>PA25517192</t></is></c><c r="H78" s="313"><f>H77</f><v /></c><c r="I78" s="38"><f>I77</f><v /></c><c r="J78" s="314"><f>J77</f><v /></c><c r="K78" s="372"><f>K77</f><v /></c><c r="L78" s="372"><f>L77</f><v /></c><c r="M78" s="373" t="n"><v>108.3</v></c><c r="N78" s="373" t="n"><v>207.9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9"><f>W77</f><v /></c><c r="X78" s="379"><f>X77</f><v /></c><c r="Y78" s="373" t="n"><v>213.15</v></c><c r="Z78" s="373" t="n"><v>223.1</v></c><c r="AA78" s="380"><f>AA77</f><v /></c><c r="AB78" s="381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9"><f>AI77</f><v /></c><c r="AJ78" s="379"><f>AJ77</f><v /></c><c r="AK78" s="373"><f>Z78</f><v /></c><c r="AL78" s="373" t="n"><v>228.16</v></c><c r="AM78" s="382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3"><f>IF(I78&gt;=1,"NO CONFORME",IF(BK78="SIGDIFERENTES",BC78,BL78))</f><v /></c><c r="AU78" s="365"><f>B78=C78</f><v /></c><c r="AV78" s="365"><f>N78&lt;Y78</f><v /></c><c r="AW78" s="365"><f>Z78&lt;=AK78</f><v /></c><c r="AX78" s="365"><f>IF(I78&gt;=1,"Qcorrecto",IF(AND(AY78="aceptable",AZ78="aceptable",BA78="aceptable"),"Qcorrecto","Qincorrecto"))</f><v /></c><c r="AY78" s="366"><f>IF(AR78&lt;$AH$6,"error",IF(AR78&gt;$AH$6*1.1,"error","aceptable"))</f><v /></c><c r="AZ78" s="366"><f>IF(AF78&lt;$V$6,"error",IF(AF78&gt;$V$6*1.1,"error","aceptable"))</f><v /></c><c r="BA78" s="366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7"><f>SIGN(U78)</f><v /></c><c r="BE78" s="367"><f>SIGN(AG78)</f><v /></c><c r="BF78" s="367"><f>SIGN(AS78)</f><v /></c><c r="BG78" s="367"><f>CONCATENATE(BD78,BE78,BF78)</f><v /></c><c r="BH78" s="367"><f>IF(BG78="111","SI","SD")</f><v /></c><c r="BI78" s="367"><f>IF(BG78="-1-1-1","SI","SD")</f><v /></c><c r="BJ78" s="367"><f>OR(BH78="SI",BI78="SI")</f><v /></c><c r="BK78" s="367"><f>IF(BJ78=FALSE,"SIGDIFERENTES","SIGIGUALES")</f><v /></c><c r="BL78" s="366"><f>IF(BC78="NO CONFORME","NO CONFORME",IF(BB78="CONFORME","CONFORME","NO CONFORME"))</f><v /></c></row><row r="79" ht="15" customHeight="1" thickBot="1"><c r="A79" s="451" t="n"><v>71</v></c><c r="B79" s="369"><f>B78</f><v /></c><c r="C79" s="369"><f>C78</f><v /></c><c r="D79" s="370"><f>D78</f><v /></c><c r="E79" s="371"><f>E78</f><v /></c><c r="F79" s="13" t="n" /><c r="G79" s="300" t="inlineStr"><is><t>PA25517193</t></is></c><c r="H79" s="313"><f>H78</f><v /></c><c r="I79" s="38"><f>I78</f><v /></c><c r="J79" s="314"><f>J78</f><v /></c><c r="K79" s="372"><f>K78</f><v /></c><c r="L79" s="372"><f>L78</f><v /></c><c r="M79" s="373" t="n"><v>107.35</v></c><c r="N79" s="373" t="n"><v>207.2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9"><f>W78</f><v /></c><c r="X79" s="379"><f>X78</f><v /></c><c r="Y79" s="373" t="n"><v>212.45</v></c><c r="Z79" s="373" t="n"><v>222.42</v></c><c r="AA79" s="380"><f>AA78</f><v /></c><c r="AB79" s="381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9"><f>AI78</f><v /></c><c r="AJ79" s="379"><f>AJ78</f><v /></c><c r="AK79" s="373"><f>Z79</f><v /></c><c r="AL79" s="373" t="n"><v>227.45</v></c><c r="AM79" s="382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3"><f>IF(I79&gt;=1,"NO CONFORME",IF(BK79="SIGDIFERENTES",BC79,BL79))</f><v /></c><c r="AU79" s="365"><f>B79=C79</f><v /></c><c r="AV79" s="365"><f>N79&lt;Y79</f><v /></c><c r="AW79" s="365"><f>Z79&lt;=AK79</f><v /></c><c r="AX79" s="365"><f>IF(I79&gt;=1,"Qcorrecto",IF(AND(AY79="aceptable",AZ79="aceptable",BA79="aceptable"),"Qcorrecto","Qincorrecto"))</f><v /></c><c r="AY79" s="366"><f>IF(AR79&lt;$AH$6,"error",IF(AR79&gt;$AH$6*1.1,"error","aceptable"))</f><v /></c><c r="AZ79" s="366"><f>IF(AF79&lt;$V$6,"error",IF(AF79&gt;$V$6*1.1,"error","aceptable"))</f><v /></c><c r="BA79" s="366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7"><f>SIGN(U79)</f><v /></c><c r="BE79" s="367"><f>SIGN(AG79)</f><v /></c><c r="BF79" s="367"><f>SIGN(AS79)</f><v /></c><c r="BG79" s="367"><f>CONCATENATE(BD79,BE79,BF79)</f><v /></c><c r="BH79" s="367"><f>IF(BG79="111","SI","SD")</f><v /></c><c r="BI79" s="367"><f>IF(BG79="-1-1-1","SI","SD")</f><v /></c><c r="BJ79" s="367"><f>OR(BH79="SI",BI79="SI")</f><v /></c><c r="BK79" s="367"><f>IF(BJ79=FALSE,"SIGDIFERENTES","SIGIGUALES")</f><v /></c><c r="BL79" s="366"><f>IF(BC79="NO CONFORME","NO CONFORME",IF(BB79="CONFORME","CONFORME","NO CONFORME"))</f><v /></c></row><row r="80" ht="15.75" customHeight="1" thickBot="1"><c r="A80" s="451" t="n"><v>72</v></c><c r="B80" s="369"><f>B79</f><v /></c><c r="C80" s="369"><f>C79</f><v /></c><c r="D80" s="370"><f>D79</f><v /></c><c r="E80" s="371"><f>E79</f><v /></c><c r="F80" s="13" t="n" /><c r="G80" s="300" t="inlineStr"><is><t>PA25517194</t></is></c><c r="H80" s="313"><f>H79</f><v /></c><c r="I80" s="38"><f>I79</f><v /></c><c r="J80" s="314"><f>J79</f><v /></c><c r="K80" s="372"><f>K79</f><v /></c><c r="L80" s="372"><f>L79</f><v /></c><c r="M80" s="373" t="n"><v>104.58</v></c><c r="N80" s="373" t="n"><v>204.4</v></c><c r="O80" s="374"><f>O79</f><v /></c><c r="P80" s="375"><f>P79</f><v /></c><c r="Q80" s="376"><f>LEFT(P80,1)</f><v /></c><c r="R80" s="376"><f>RIGHT(P80,6)</f><v /></c><c r="S80" s="376"><f>+(Q80*60+R80)/(60*60)</f><v /></c><c r="T80" s="377"><f>+O80/S80</f><v /></c><c r="U80" s="378"><f>+(((N80-M80-O80)/O80)*100)</f><v /></c><c r="V80" s="317"><f>V79</f><v /></c><c r="W80" s="379"><f>W79</f><v /></c><c r="X80" s="379"><f>X79</f><v /></c><c r="Y80" s="373" t="n"><v>209.69</v></c><c r="Z80" s="373" t="n"><v>219.65</v></c><c r="AA80" s="380"><f>AA79</f><v /></c><c r="AB80" s="381"><f>AB79</f><v /></c><c r="AC80" s="376"><f>LEFT(AB80,2)</f><v /></c><c r="AD80" s="376"><f>RIGHT(AB80,6)</f><v /></c><c r="AE80" s="376"><f>+(AC80*60+AD80)/(60*60)</f><v /></c><c r="AF80" s="377"><f>+AA80/AE80</f><v /></c><c r="AG80" s="321"><f>+(((Z80-Y80-AA80)/AA80)*100)</f><v /></c><c r="AH80" s="317"><f>AH79</f><v /></c><c r="AI80" s="379"><f>AI79</f><v /></c><c r="AJ80" s="379"><f>AJ79</f><v /></c><c r="AK80" s="373"><f>Z80</f><v /></c><c r="AL80" s="373" t="n"><v>224.75</v></c><c r="AM80" s="382"><f>AM79</f><v /></c><c r="AN80" s="375"><f>AN79</f><v /></c><c r="AO80" s="376"><f>LEFT(AN80,2)</f><v /></c><c r="AP80" s="376"><f>RIGHT(AN80,6)</f><v /></c><c r="AQ80" s="376"><f>+(AO80*60+AP80)/(60*60)</f><v /></c><c r="AR80" s="377"><f>+AM80/AQ80</f><v /></c><c r="AS80" s="321"><f>+(((AL80-AK80-AM80)/AM80)*100)</f><v /></c><c r="AT80" s="383"><f>IF(I80&gt;=1,"NO CONFORME",IF(BK80="SIGDIFERENTES",BC80,BL80))</f><v /></c><c r="AU80" s="365"><f>B80=C80</f><v /></c><c r="AV80" s="365"><f>N80&lt;Y80</f><v /></c><c r="AW80" s="365"><f>Z80&lt;=AK80</f><v /></c><c r="AX80" s="365"><f>IF(I80&gt;=1,"Qcorrecto",IF(AND(AY80="aceptable",AZ80="aceptable",BA80="aceptable"),"Qcorrecto","Qincorrecto"))</f><v /></c><c r="AY80" s="366"><f>IF(AR80&lt;$AH$6,"error",IF(AR80&gt;$AH$6*1.1,"error","aceptable"))</f><v /></c><c r="AZ80" s="366"><f>IF(AF80&lt;$V$6,"error",IF(AF80&gt;$V$6*1.1,"error","aceptable"))</f><v /></c><c r="BA80" s="366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67"><f>SIGN(U80)</f><v /></c><c r="BE80" s="367"><f>SIGN(AG80)</f><v /></c><c r="BF80" s="367"><f>SIGN(AS80)</f><v /></c><c r="BG80" s="367"><f>CONCATENATE(BD80,BE80,BF80)</f><v /></c><c r="BH80" s="367"><f>IF(BG80="111","SI","SD")</f><v /></c><c r="BI80" s="367"><f>IF(BG80="-1-1-1","SI","SD")</f><v /></c><c r="BJ80" s="367"><f>OR(BH80="SI",BI80="SI")</f><v /></c><c r="BK80" s="367"><f>IF(BJ80=FALSE,"SIGDIFERENTES","SIGIGUALES")</f><v /></c><c r="BL80" s="366"><f>IF(BC80="NO CONFORME","NO CONFORME",IF(BB80="CONFORME","CONFORME","NO CONFORME"))</f><v /></c></row><row r="81" ht="15" customHeight="1" thickBot="1"><c r="A81" s="451" t="n"><v>73</v></c><c r="B81" s="369"><f>B80</f><v /></c><c r="C81" s="369"><f>C80</f><v /></c><c r="D81" s="370"><f>D80</f><v /></c><c r="E81" s="371"><f>E80</f><v /></c><c r="F81" s="13" t="n" /><c r="G81" s="300" t="inlineStr"><is><t>PA25517195</t></is></c><c r="H81" s="313"><f>H80</f><v /></c><c r="I81" s="38"><f>I80</f><v /></c><c r="J81" s="314"><f>J80</f><v /></c><c r="K81" s="372"><f>K80</f><v /></c><c r="L81" s="372"><f>L80</f><v /></c><c r="M81" s="373" t="n"><v>107.15</v></c><c r="N81" s="373" t="n"><v>207.5</v></c><c r="O81" s="374"><f>O80</f><v /></c><c r="P81" s="375"><f>P80</f><v /></c><c r="Q81" s="376"><f>LEFT(P81,1)</f><v /></c><c r="R81" s="376"><f>RIGHT(P81,6)</f><v /></c><c r="S81" s="376"><f>+(Q81*60+R81)/(60*60)</f><v /></c><c r="T81" s="377"><f>+O81/S81</f><v /></c><c r="U81" s="378"><f>+(((N81-M81-O81)/O81)*100)</f><v /></c><c r="V81" s="317"><f>V80</f><v /></c><c r="W81" s="379"><f>W80</f><v /></c><c r="X81" s="379"><f>X80</f><v /></c><c r="Y81" s="373" t="n"><v>212.78</v></c><c r="Z81" s="373" t="n"><v>222.75</v></c><c r="AA81" s="380"><f>AA80</f><v /></c><c r="AB81" s="381"><f>AB80</f><v /></c><c r="AC81" s="376"><f>LEFT(AB81,2)</f><v /></c><c r="AD81" s="376"><f>RIGHT(AB81,6)</f><v /></c><c r="AE81" s="376"><f>+(AC81*60+AD81)/(60*60)</f><v /></c><c r="AF81" s="377"><f>+AA81/AE81</f><v /></c><c r="AG81" s="321"><f>+(((Z81-Y81-AA81)/AA81)*100)</f><v /></c><c r="AH81" s="317"><f>AH80</f><v /></c><c r="AI81" s="379"><f>AI80</f><v /></c><c r="AJ81" s="379"><f>AJ80</f><v /></c><c r="AK81" s="373"><f>Z81</f><v /></c><c r="AL81" s="373" t="n"><v>227.75</v></c><c r="AM81" s="382"><f>AM80</f><v /></c><c r="AN81" s="375"><f>AN80</f><v /></c><c r="AO81" s="376"><f>LEFT(AN81,2)</f><v /></c><c r="AP81" s="376"><f>RIGHT(AN81,6)</f><v /></c><c r="AQ81" s="376"><f>+(AO81*60+AP81)/(60*60)</f><v /></c><c r="AR81" s="377"><f>+AM81/AQ81</f><v /></c><c r="AS81" s="321"><f>+(((AL81-AK81-AM81)/AM81)*100)</f><v /></c><c r="AT81" s="383"><f>IF(I81&gt;=1,"NO CONFORME",IF(BK81="SIGDIFERENTES",BC81,BL81))</f><v /></c><c r="AU81" s="365"><f>B81=C81</f><v /></c><c r="AV81" s="365"><f>N81&lt;Y81</f><v /></c><c r="AW81" s="365"><f>Z81&lt;=AK81</f><v /></c><c r="AX81" s="365"><f>IF(I81&gt;=1,"Qcorrecto",IF(AND(AY81="aceptable",AZ81="aceptable",BA81="aceptable"),"Qcorrecto","Qincorrecto"))</f><v /></c><c r="AY81" s="366"><f>IF(AR81&lt;$AH$6,"error",IF(AR81&gt;$AH$6*1.1,"error","aceptable"))</f><v /></c><c r="AZ81" s="366"><f>IF(AF81&lt;$V$6,"error",IF(AF81&gt;$V$6*1.1,"error","aceptable"))</f><v /></c><c r="BA81" s="366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67"><f>SIGN(U81)</f><v /></c><c r="BE81" s="367"><f>SIGN(AG81)</f><v /></c><c r="BF81" s="367"><f>SIGN(AS81)</f><v /></c><c r="BG81" s="367"><f>CONCATENATE(BD81,BE81,BF81)</f><v /></c><c r="BH81" s="367"><f>IF(BG81="111","SI","SD")</f><v /></c><c r="BI81" s="367"><f>IF(BG81="-1-1-1","SI","SD")</f><v /></c><c r="BJ81" s="367"><f>OR(BH81="SI",BI81="SI")</f><v /></c><c r="BK81" s="367"><f>IF(BJ81=FALSE,"SIGDIFERENTES","SIGIGUALES")</f><v /></c><c r="BL81" s="366"><f>IF(BC81="NO CONFORME","NO CONFORME",IF(BB81="CONFORME","CONFORME","NO CONFORME"))</f><v /></c></row><row r="82" ht="15" customHeight="1" thickBot="1"><c r="A82" s="451" t="n"><v>74</v></c><c r="B82" s="369"><f>B81</f><v /></c><c r="C82" s="369"><f>C81</f><v /></c><c r="D82" s="370"><f>D81</f><v /></c><c r="E82" s="371"><f>E81</f><v /></c><c r="F82" s="13" t="n" /><c r="G82" s="300" t="inlineStr"><is><t>PA25517196</t></is></c><c r="H82" s="313"><f>H81</f><v /></c><c r="I82" s="38"><f>I81</f><v /></c><c r="J82" s="314"><f>J81</f><v /></c><c r="K82" s="372"><f>K81</f><v /></c><c r="L82" s="372"><f>L81</f><v /></c><c r="M82" s="373" t="n"><v>110.62</v></c><c r="N82" s="373" t="n"><v>211.43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9"><f>W81</f><v /></c><c r="X82" s="379"><f>X81</f><v /></c><c r="Y82" s="373" t="n"><v>216.72</v></c><c r="Z82" s="373" t="n"><v>226.75</v></c><c r="AA82" s="380"><f>AA81</f><v /></c><c r="AB82" s="381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9"><f>AI81</f><v /></c><c r="AJ82" s="379"><f>AJ81</f><v /></c><c r="AK82" s="373"><f>Z82</f><v /></c><c r="AL82" s="373" t="n"><v>231.89</v></c><c r="AM82" s="382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3"><f>IF(I82&gt;=1,"NO CONFORME",IF(BK82="SIGDIFERENTES",BC82,BL82))</f><v /></c><c r="AU82" s="365"><f>B82=C82</f><v /></c><c r="AV82" s="365"><f>N82&lt;Y82</f><v /></c><c r="AW82" s="365"><f>Z82&lt;=AK82</f><v /></c><c r="AX82" s="365"><f>IF(I82&gt;=1,"Qcorrecto",IF(AND(AY82="aceptable",AZ82="aceptable",BA82="aceptable"),"Qcorrecto","Qincorrecto"))</f><v /></c><c r="AY82" s="366"><f>IF(AR82&lt;$AH$6,"error",IF(AR82&gt;$AH$6*1.1,"error","aceptable"))</f><v /></c><c r="AZ82" s="366"><f>IF(AF82&lt;$V$6,"error",IF(AF82&gt;$V$6*1.1,"error","aceptable"))</f><v /></c><c r="BA82" s="366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7"><f>SIGN(U82)</f><v /></c><c r="BE82" s="367"><f>SIGN(AG82)</f><v /></c><c r="BF82" s="367"><f>SIGN(AS82)</f><v /></c><c r="BG82" s="367"><f>CONCATENATE(BD82,BE82,BF82)</f><v /></c><c r="BH82" s="367"><f>IF(BG82="111","SI","SD")</f><v /></c><c r="BI82" s="367"><f>IF(BG82="-1-1-1","SI","SD")</f><v /></c><c r="BJ82" s="367"><f>OR(BH82="SI",BI82="SI")</f><v /></c><c r="BK82" s="367"><f>IF(BJ82=FALSE,"SIGDIFERENTES","SIGIGUALES")</f><v /></c><c r="BL82" s="366"><f>IF(BC82="NO CONFORME","NO CONFORME",IF(BB82="CONFORME","CONFORME","NO CONFORME"))</f><v /></c></row><row r="83" ht="15" customHeight="1" thickBot="1"><c r="A83" s="451" t="n"><v>75</v></c><c r="B83" s="369"><f>B82</f><v /></c><c r="C83" s="369"><f>C82</f><v /></c><c r="D83" s="370"><f>D82</f><v /></c><c r="E83" s="371"><f>E82</f><v /></c><c r="F83" s="13" t="n" /><c r="G83" s="300" t="inlineStr"><is><t>PA25517197</t></is></c><c r="H83" s="313"><f>H82</f><v /></c><c r="I83" s="38"><f>I82</f><v /></c><c r="J83" s="314"><f>J82</f><v /></c><c r="K83" s="372"><f>K82</f><v /></c><c r="L83" s="372"><f>L82</f><v /></c><c r="M83" s="373" t="n"><v>110.21</v></c><c r="N83" s="373" t="n"><v>210.82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9"><f>W82</f><v /></c><c r="X83" s="379"><f>X82</f><v /></c><c r="Y83" s="373" t="n"><v>216.07</v></c><c r="Z83" s="373" t="n"><v>226.05</v></c><c r="AA83" s="380"><f>AA82</f><v /></c><c r="AB83" s="381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9"><f>AI82</f><v /></c><c r="AJ83" s="379"><f>AJ82</f><v /></c><c r="AK83" s="373"><f>Z83</f><v /></c><c r="AL83" s="373" t="n"><v>231.09</v></c><c r="AM83" s="382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3"><f>IF(I83&gt;=1,"NO CONFORME",IF(BK83="SIGDIFERENTES",BC83,BL83))</f><v /></c><c r="AU83" s="365"><f>B83=C83</f><v /></c><c r="AV83" s="365"><f>N83&lt;Y83</f><v /></c><c r="AW83" s="365"><f>Z83&lt;=AK83</f><v /></c><c r="AX83" s="365"><f>IF(I83&gt;=1,"Qcorrecto",IF(AND(AY83="aceptable",AZ83="aceptable",BA83="aceptable"),"Qcorrecto","Qincorrecto"))</f><v /></c><c r="AY83" s="366"><f>IF(AR83&lt;$AH$6,"error",IF(AR83&gt;$AH$6*1.1,"error","aceptable"))</f><v /></c><c r="AZ83" s="366"><f>IF(AF83&lt;$V$6,"error",IF(AF83&gt;$V$6*1.1,"error","aceptable"))</f><v /></c><c r="BA83" s="366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7"><f>SIGN(U83)</f><v /></c><c r="BE83" s="367"><f>SIGN(AG83)</f><v /></c><c r="BF83" s="367"><f>SIGN(AS83)</f><v /></c><c r="BG83" s="367"><f>CONCATENATE(BD83,BE83,BF83)</f><v /></c><c r="BH83" s="367"><f>IF(BG83="111","SI","SD")</f><v /></c><c r="BI83" s="367"><f>IF(BG83="-1-1-1","SI","SD")</f><v /></c><c r="BJ83" s="367"><f>OR(BH83="SI",BI83="SI")</f><v /></c><c r="BK83" s="367"><f>IF(BJ83=FALSE,"SIGDIFERENTES","SIGIGUALES")</f><v /></c><c r="BL83" s="366"><f>IF(BC83="NO CONFORME","NO CONFORME",IF(BB83="CONFORME","CONFORME","NO CONFORME"))</f><v /></c></row><row r="84" ht="15" customHeight="1" thickBot="1"><c r="A84" s="451" t="n"><v>76</v></c><c r="B84" s="369"><f>B83</f><v /></c><c r="C84" s="369"><f>C83</f><v /></c><c r="D84" s="370"><f>D83</f><v /></c><c r="E84" s="371"><f>E83</f><v /></c><c r="F84" s="13" t="n" /><c r="G84" s="300" t="inlineStr"><is><t>PA25517198</t></is></c><c r="H84" s="313"><f>H83</f><v /></c><c r="I84" s="38"><f>I83</f><v /></c><c r="J84" s="314"><f>J83</f><v /></c><c r="K84" s="372"><f>K83</f><v /></c><c r="L84" s="372"><f>L83</f><v /></c><c r="M84" s="373" t="n"><v>110.4</v></c><c r="N84" s="373" t="n"><v>210.95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9"><f>W83</f><v /></c><c r="X84" s="379"><f>X83</f><v /></c><c r="Y84" s="373" t="n"><v>216.25</v></c><c r="Z84" s="373" t="n"><v>226.3</v></c><c r="AA84" s="380"><f>AA83</f><v /></c><c r="AB84" s="381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9"><f>AI83</f><v /></c><c r="AJ84" s="379"><f>AJ83</f><v /></c><c r="AK84" s="373"><f>Z84</f><v /></c><c r="AL84" s="373" t="n"><v>231.35</v></c><c r="AM84" s="382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3"><f>IF(I84&gt;=1,"NO CONFORME",IF(BK84="SIGDIFERENTES",BC84,BL84))</f><v /></c><c r="AU84" s="365"><f>B84=C84</f><v /></c><c r="AV84" s="365"><f>N84&lt;Y84</f><v /></c><c r="AW84" s="365"><f>Z84&lt;=AK84</f><v /></c><c r="AX84" s="365"><f>IF(I84&gt;=1,"Qcorrecto",IF(AND(AY84="aceptable",AZ84="aceptable",BA84="aceptable"),"Qcorrecto","Qincorrecto"))</f><v /></c><c r="AY84" s="366"><f>IF(AR84&lt;$AH$6,"error",IF(AR84&gt;$AH$6*1.1,"error","aceptable"))</f><v /></c><c r="AZ84" s="366"><f>IF(AF84&lt;$V$6,"error",IF(AF84&gt;$V$6*1.1,"error","aceptable"))</f><v /></c><c r="BA84" s="366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7"><f>SIGN(U84)</f><v /></c><c r="BE84" s="367"><f>SIGN(AG84)</f><v /></c><c r="BF84" s="367"><f>SIGN(AS84)</f><v /></c><c r="BG84" s="367"><f>CONCATENATE(BD84,BE84,BF84)</f><v /></c><c r="BH84" s="367"><f>IF(BG84="111","SI","SD")</f><v /></c><c r="BI84" s="367"><f>IF(BG84="-1-1-1","SI","SD")</f><v /></c><c r="BJ84" s="367"><f>OR(BH84="SI",BI84="SI")</f><v /></c><c r="BK84" s="367"><f>IF(BJ84=FALSE,"SIGDIFERENTES","SIGIGUALES")</f><v /></c><c r="BL84" s="366"><f>IF(BC84="NO CONFORME","NO CONFORME",IF(BB84="CONFORME","CONFORME","NO CONFORME"))</f><v /></c></row><row r="85" ht="15" customHeight="1" thickBot="1"><c r="A85" s="451" t="n"><v>77</v></c><c r="B85" s="369"><f>B84</f><v /></c><c r="C85" s="369"><f>C84</f><v /></c><c r="D85" s="370"><f>D84</f><v /></c><c r="E85" s="371"><f>E84</f><v /></c><c r="F85" s="13" t="n" /><c r="G85" s="300" t="inlineStr"><is><t>PA25517199</t></is></c><c r="H85" s="313"><f>H84</f><v /></c><c r="I85" s="38"><f>I84</f><v /></c><c r="J85" s="314"><f>J84</f><v /></c><c r="K85" s="372"><f>K84</f><v /></c><c r="L85" s="372"><f>L84</f><v /></c><c r="M85" s="373" t="n"><v>110</v></c><c r="N85" s="373" t="n"><v>210.37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9"><f>W84</f><v /></c><c r="X85" s="379"><f>X84</f><v /></c><c r="Y85" s="373" t="n"><v>215.64</v></c><c r="Z85" s="373" t="n"><v>225.62</v></c><c r="AA85" s="380"><f>AA84</f><v /></c><c r="AB85" s="381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9"><f>AI84</f><v /></c><c r="AJ85" s="379"><f>AJ84</f><v /></c><c r="AK85" s="373"><f>Z85</f><v /></c><c r="AL85" s="373" t="n"><v>230.65</v></c><c r="AM85" s="382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3"><f>IF(I85&gt;=1,"NO CONFORME",IF(BK85="SIGDIFERENTES",BC85,BL85))</f><v /></c><c r="AU85" s="365"><f>B85=C85</f><v /></c><c r="AV85" s="365"><f>N85&lt;Y85</f><v /></c><c r="AW85" s="365"><f>Z85&lt;=AK85</f><v /></c><c r="AX85" s="365"><f>IF(I85&gt;=1,"Qcorrecto",IF(AND(AY85="aceptable",AZ85="aceptable",BA85="aceptable"),"Qcorrecto","Qincorrecto"))</f><v /></c><c r="AY85" s="366"><f>IF(AR85&lt;$AH$6,"error",IF(AR85&gt;$AH$6*1.1,"error","aceptable"))</f><v /></c><c r="AZ85" s="366"><f>IF(AF85&lt;$V$6,"error",IF(AF85&gt;$V$6*1.1,"error","aceptable"))</f><v /></c><c r="BA85" s="366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7"><f>SIGN(U85)</f><v /></c><c r="BE85" s="367"><f>SIGN(AG85)</f><v /></c><c r="BF85" s="367"><f>SIGN(AS85)</f><v /></c><c r="BG85" s="367"><f>CONCATENATE(BD85,BE85,BF85)</f><v /></c><c r="BH85" s="367"><f>IF(BG85="111","SI","SD")</f><v /></c><c r="BI85" s="367"><f>IF(BG85="-1-1-1","SI","SD")</f><v /></c><c r="BJ85" s="367"><f>OR(BH85="SI",BI85="SI")</f><v /></c><c r="BK85" s="367"><f>IF(BJ85=FALSE,"SIGDIFERENTES","SIGIGUALES")</f><v /></c><c r="BL85" s="366"><f>IF(BC85="NO CONFORME","NO CONFORME",IF(BB85="CONFORME","CONFORME","NO CONFORME"))</f><v /></c></row><row r="86" ht="15" customHeight="1" thickBot="1"><c r="A86" s="451" t="n"><v>78</v></c><c r="B86" s="369"><f>B85</f><v /></c><c r="C86" s="369"><f>C85</f><v /></c><c r="D86" s="370"><f>D85</f><v /></c><c r="E86" s="371"><f>E85</f><v /></c><c r="F86" s="13" t="n" /><c r="G86" s="300" t="inlineStr"><is><t>PA25517200</t></is></c><c r="H86" s="313"><f>H85</f><v /></c><c r="I86" s="38"><f>I85</f><v /></c><c r="J86" s="314"><f>J85</f><v /></c><c r="K86" s="372"><f>K85</f><v /></c><c r="L86" s="372"><f>L85</f><v /></c><c r="M86" s="373" t="n"><v>111.41</v></c><c r="N86" s="373" t="n"><v>211.44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9"><f>W85</f><v /></c><c r="X86" s="379"><f>X85</f><v /></c><c r="Y86" s="373" t="n"><v>217.2</v></c><c r="Z86" s="373" t="n"><v>227.2</v></c><c r="AA86" s="380"><f>AA85</f><v /></c><c r="AB86" s="381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9"><f>AI85</f><v /></c><c r="AJ86" s="379"><f>AJ85</f><v /></c><c r="AK86" s="373"><f>Z86</f><v /></c><c r="AL86" s="373" t="n"><v>232.25</v></c><c r="AM86" s="382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3"><f>IF(I86&gt;=1,"NO CONFORME",IF(BK86="SIGDIFERENTES",BC86,BL86))</f><v /></c><c r="AU86" s="365"><f>B86=C86</f><v /></c><c r="AV86" s="365"><f>N86&lt;Y86</f><v /></c><c r="AW86" s="365"><f>Z86&lt;=AK86</f><v /></c><c r="AX86" s="365"><f>IF(I86&gt;=1,"Qcorrecto",IF(AND(AY86="aceptable",AZ86="aceptable",BA86="aceptable"),"Qcorrecto","Qincorrecto"))</f><v /></c><c r="AY86" s="366"><f>IF(AR86&lt;$AH$6,"error",IF(AR86&gt;$AH$6*1.1,"error","aceptable"))</f><v /></c><c r="AZ86" s="366"><f>IF(AF86&lt;$V$6,"error",IF(AF86&gt;$V$6*1.1,"error","aceptable"))</f><v /></c><c r="BA86" s="366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7"><f>SIGN(U86)</f><v /></c><c r="BE86" s="367"><f>SIGN(AG86)</f><v /></c><c r="BF86" s="367"><f>SIGN(AS86)</f><v /></c><c r="BG86" s="367"><f>CONCATENATE(BD86,BE86,BF86)</f><v /></c><c r="BH86" s="367"><f>IF(BG86="111","SI","SD")</f><v /></c><c r="BI86" s="367"><f>IF(BG86="-1-1-1","SI","SD")</f><v /></c><c r="BJ86" s="367"><f>OR(BH86="SI",BI86="SI")</f><v /></c><c r="BK86" s="367"><f>IF(BJ86=FALSE,"SIGDIFERENTES","SIGIGUALES")</f><v /></c><c r="BL86" s="366"><f>IF(BC86="NO CONFORME","NO CONFORME",IF(BB86="CONFORME","CONFORME","NO CONFORME"))</f><v /></c></row><row r="87" ht="15.75" customHeight="1" thickBot="1"><c r="A87" s="451" t="n"><v>79</v></c><c r="B87" s="369"><f>B86</f><v /></c><c r="C87" s="369"><f>C86</f><v /></c><c r="D87" s="370"><f>D86</f><v /></c><c r="E87" s="371"><f>E86</f><v /></c><c r="F87" s="13" t="n" /><c r="G87" s="300" t="inlineStr"><is><t>PA25517201</t></is></c><c r="H87" s="313"><f>H86</f><v /></c><c r="I87" s="38"><f>I86</f><v /></c><c r="J87" s="314"><f>J86</f><v /></c><c r="K87" s="372"><f>K86</f><v /></c><c r="L87" s="372"><f>L86</f><v /></c><c r="M87" s="373" t="n"><v>110.95</v></c><c r="N87" s="373" t="n"><v>211.87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9"><f>W86</f><v /></c><c r="X87" s="379"><f>X86</f><v /></c><c r="Y87" s="373" t="n"><v>217.15</v></c><c r="Z87" s="373" t="n"><v>227.15</v></c><c r="AA87" s="380"><f>AA86</f><v /></c><c r="AB87" s="381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9"><f>AI86</f><v /></c><c r="AJ87" s="379"><f>AJ86</f><v /></c><c r="AK87" s="373"><f>Z87</f><v /></c><c r="AL87" s="373" t="n"><v>232.21</v></c><c r="AM87" s="382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3"><f>IF(I87&gt;=1,"NO CONFORME",IF(BK87="SIGDIFERENTES",BC87,BL87))</f><v /></c><c r="AU87" s="365"><f>B87=C87</f><v /></c><c r="AV87" s="365"><f>N87&lt;Y87</f><v /></c><c r="AW87" s="365"><f>Z87&lt;=AK87</f><v /></c><c r="AX87" s="365"><f>IF(I87&gt;=1,"Qcorrecto",IF(AND(AY87="aceptable",AZ87="aceptable",BA87="aceptable"),"Qcorrecto","Qincorrecto"))</f><v /></c><c r="AY87" s="366"><f>IF(AR87&lt;$AH$6,"error",IF(AR87&gt;$AH$6*1.1,"error","aceptable"))</f><v /></c><c r="AZ87" s="366"><f>IF(AF87&lt;$V$6,"error",IF(AF87&gt;$V$6*1.1,"error","aceptable"))</f><v /></c><c r="BA87" s="366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7"><f>SIGN(U87)</f><v /></c><c r="BE87" s="367"><f>SIGN(AG87)</f><v /></c><c r="BF87" s="367"><f>SIGN(AS87)</f><v /></c><c r="BG87" s="367"><f>CONCATENATE(BD87,BE87,BF87)</f><v /></c><c r="BH87" s="367"><f>IF(BG87="111","SI","SD")</f><v /></c><c r="BI87" s="367"><f>IF(BG87="-1-1-1","SI","SD")</f><v /></c><c r="BJ87" s="367"><f>OR(BH87="SI",BI87="SI")</f><v /></c><c r="BK87" s="367"><f>IF(BJ87=FALSE,"SIGDIFERENTES","SIGIGUALES")</f><v /></c><c r="BL87" s="366"><f>IF(BC87="NO CONFORME","NO CONFORME",IF(BB87="CONFORME","CONFORME","NO CONFORME"))</f><v /></c></row><row r="88" ht="15" customHeight="1" thickBot="1"><c r="A88" s="451" t="n"><v>80</v></c><c r="B88" s="369"><f>B87</f><v /></c><c r="C88" s="369"><f>C87</f><v /></c><c r="D88" s="370"><f>D87</f><v /></c><c r="E88" s="371"><f>E87</f><v /></c><c r="F88" s="13" t="n" /><c r="G88" s="300" t="inlineStr"><is><t>PA25517202</t></is></c><c r="H88" s="313"><f>H87</f><v /></c><c r="I88" s="38"><f>I87</f><v /></c><c r="J88" s="314"><f>J87</f><v /></c><c r="K88" s="372"><f>K87</f><v /></c><c r="L88" s="372"><f>L87</f><v /></c><c r="M88" s="373" t="n"><v>110.78</v></c><c r="N88" s="373" t="n"><v>211.17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9"><f>W87</f><v /></c><c r="X88" s="379"><f>X87</f><v /></c><c r="Y88" s="373" t="n"><v>216.45</v></c><c r="Z88" s="373" t="n"><v>226.46</v></c><c r="AA88" s="380"><f>AA87</f><v /></c><c r="AB88" s="381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9"><f>AI87</f><v /></c><c r="AJ88" s="379"><f>AJ87</f><v /></c><c r="AK88" s="373"><f>Z88</f><v /></c><c r="AL88" s="373" t="n"><v>231.4</v></c><c r="AM88" s="382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3"><f>IF(I88&gt;=1,"NO CONFORME",IF(BK88="SIGDIFERENTES",BC88,BL88))</f><v /></c><c r="AU88" s="365"><f>B88=C88</f><v /></c><c r="AV88" s="365"><f>N88&lt;Y88</f><v /></c><c r="AW88" s="365"><f>Z88&lt;=AK88</f><v /></c><c r="AX88" s="365"><f>IF(I88&gt;=1,"Qcorrecto",IF(AND(AY88="aceptable",AZ88="aceptable",BA88="aceptable"),"Qcorrecto","Qincorrecto"))</f><v /></c><c r="AY88" s="366"><f>IF(AR88&lt;$AH$6,"error",IF(AR88&gt;$AH$6*1.1,"error","aceptable"))</f><v /></c><c r="AZ88" s="366"><f>IF(AF88&lt;$V$6,"error",IF(AF88&gt;$V$6*1.1,"error","aceptable"))</f><v /></c><c r="BA88" s="366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7"><f>SIGN(U88)</f><v /></c><c r="BE88" s="367"><f>SIGN(AG88)</f><v /></c><c r="BF88" s="367"><f>SIGN(AS88)</f><v /></c><c r="BG88" s="367"><f>CONCATENATE(BD88,BE88,BF88)</f><v /></c><c r="BH88" s="367"><f>IF(BG88="111","SI","SD")</f><v /></c><c r="BI88" s="367"><f>IF(BG88="-1-1-1","SI","SD")</f><v /></c><c r="BJ88" s="367"><f>OR(BH88="SI",BI88="SI")</f><v /></c><c r="BK88" s="367"><f>IF(BJ88=FALSE,"SIGDIFERENTES","SIGIGUALES")</f><v /></c><c r="BL88" s="366"><f>IF(BC88="NO CONFORME","NO CONFORME",IF(BB88="CONFORME","CONFORME","NO CONFORME"))</f><v /></c></row><row r="89" ht="15" customHeight="1" thickBot="1"><c r="A89" s="451" t="n"><v>81</v></c><c r="B89" s="369"><f>B88</f><v /></c><c r="C89" s="369"><f>C88</f><v /></c><c r="D89" s="370"><f>D88</f><v /></c><c r="E89" s="371"><f>E88</f><v /></c><c r="F89" s="13" t="n" /><c r="G89" s="300" t="inlineStr"><is><t>PA25517203</t></is></c><c r="H89" s="313"><f>H88</f><v /></c><c r="I89" s="38"><f>I88</f><v /></c><c r="J89" s="314"><f>J88</f><v /></c><c r="K89" s="372"><f>K88</f><v /></c><c r="L89" s="372"><f>L88</f><v /></c><c r="M89" s="373" t="n"><v>109.72</v></c><c r="N89" s="373" t="n"><v>210.15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9"><f>W88</f><v /></c><c r="X89" s="379"><f>X88</f><v /></c><c r="Y89" s="373" t="n"><v>215.33</v></c><c r="Z89" s="373" t="n"><v>225.32</v></c><c r="AA89" s="380"><f>AA88</f><v /></c><c r="AB89" s="381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9"><f>AI88</f><v /></c><c r="AJ89" s="379"><f>AJ88</f><v /></c><c r="AK89" s="373"><f>Z89</f><v /></c><c r="AL89" s="373" t="n"><v>230.4</v></c><c r="AM89" s="382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3"><f>IF(I89&gt;=1,"NO CONFORME",IF(BK89="SIGDIFERENTES",BC89,BL89))</f><v /></c><c r="AU89" s="365"><f>B89=C89</f><v /></c><c r="AV89" s="365"><f>N89&lt;Y89</f><v /></c><c r="AW89" s="365"><f>Z89&lt;=AK89</f><v /></c><c r="AX89" s="365"><f>IF(I89&gt;=1,"Qcorrecto",IF(AND(AY89="aceptable",AZ89="aceptable",BA89="aceptable"),"Qcorrecto","Qincorrecto"))</f><v /></c><c r="AY89" s="366"><f>IF(AR89&lt;$AH$6,"error",IF(AR89&gt;$AH$6*1.1,"error","aceptable"))</f><v /></c><c r="AZ89" s="366"><f>IF(AF89&lt;$V$6,"error",IF(AF89&gt;$V$6*1.1,"error","aceptable"))</f><v /></c><c r="BA89" s="366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7"><f>SIGN(U89)</f><v /></c><c r="BE89" s="367"><f>SIGN(AG89)</f><v /></c><c r="BF89" s="367"><f>SIGN(AS89)</f><v /></c><c r="BG89" s="367"><f>CONCATENATE(BD89,BE89,BF89)</f><v /></c><c r="BH89" s="367"><f>IF(BG89="111","SI","SD")</f><v /></c><c r="BI89" s="367"><f>IF(BG89="-1-1-1","SI","SD")</f><v /></c><c r="BJ89" s="367"><f>OR(BH89="SI",BI89="SI")</f><v /></c><c r="BK89" s="367"><f>IF(BJ89=FALSE,"SIGDIFERENTES","SIGIGUALES")</f><v /></c><c r="BL89" s="366"><f>IF(BC89="NO CONFORME","NO CONFORME",IF(BB89="CONFORME","CONFORME","NO CONFORME"))</f><v /></c></row><row r="90" ht="15" customHeight="1" thickBot="1"><c r="A90" s="451" t="n"><v>82</v></c><c r="B90" s="369"><f>B89</f><v /></c><c r="C90" s="369"><f>C89</f><v /></c><c r="D90" s="370"><f>D89</f><v /></c><c r="E90" s="371"><f>E89</f><v /></c><c r="F90" s="13" t="n" /><c r="G90" s="300" t="inlineStr"><is><t>PA25517204</t></is></c><c r="H90" s="313"><f>H89</f><v /></c><c r="I90" s="38"><f>I89</f><v /></c><c r="J90" s="314"><f>J89</f><v /></c><c r="K90" s="372"><f>K89</f><v /></c><c r="L90" s="372"><f>L89</f><v /></c><c r="M90" s="373" t="n"><v>109.9</v></c><c r="N90" s="373" t="n"><v>209.9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9"><f>W89</f><v /></c><c r="X90" s="379"><f>X89</f><v /></c><c r="Y90" s="373" t="n"><v>215.2</v></c><c r="Z90" s="373" t="n"><v>225.15</v></c><c r="AA90" s="380"><f>AA89</f><v /></c><c r="AB90" s="381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9"><f>AI89</f><v /></c><c r="AJ90" s="379"><f>AJ89</f><v /></c><c r="AK90" s="373"><f>Z90</f><v /></c><c r="AL90" s="373" t="n"><v>230.22</v></c><c r="AM90" s="382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3"><f>IF(I90&gt;=1,"NO CONFORME",IF(BK90="SIGDIFERENTES",BC90,BL90))</f><v /></c><c r="AU90" s="365"><f>B90=C90</f><v /></c><c r="AV90" s="365"><f>N90&lt;Y90</f><v /></c><c r="AW90" s="365"><f>Z90&lt;=AK90</f><v /></c><c r="AX90" s="365"><f>IF(I90&gt;=1,"Qcorrecto",IF(AND(AY90="aceptable",AZ90="aceptable",BA90="aceptable"),"Qcorrecto","Qincorrecto"))</f><v /></c><c r="AY90" s="366"><f>IF(AR90&lt;$AH$6,"error",IF(AR90&gt;$AH$6*1.1,"error","aceptable"))</f><v /></c><c r="AZ90" s="366"><f>IF(AF90&lt;$V$6,"error",IF(AF90&gt;$V$6*1.1,"error","aceptable"))</f><v /></c><c r="BA90" s="366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7"><f>SIGN(U90)</f><v /></c><c r="BE90" s="367"><f>SIGN(AG90)</f><v /></c><c r="BF90" s="367"><f>SIGN(AS90)</f><v /></c><c r="BG90" s="367"><f>CONCATENATE(BD90,BE90,BF90)</f><v /></c><c r="BH90" s="367"><f>IF(BG90="111","SI","SD")</f><v /></c><c r="BI90" s="367"><f>IF(BG90="-1-1-1","SI","SD")</f><v /></c><c r="BJ90" s="367"><f>OR(BH90="SI",BI90="SI")</f><v /></c><c r="BK90" s="367"><f>IF(BJ90=FALSE,"SIGDIFERENTES","SIGIGUALES")</f><v /></c><c r="BL90" s="366"><f>IF(BC90="NO CONFORME","NO CONFORME",IF(BB90="CONFORME","CONFORME","NO CONFORME"))</f><v /></c></row><row r="91" ht="15" customHeight="1" thickBot="1"><c r="A91" s="473" t="n"><v>83</v></c><c r="B91" s="454"><f>B90</f><v /></c><c r="C91" s="454"><f>C90</f><v /></c><c r="D91" s="455"><f>D90</f><v /></c><c r="E91" s="474"><f>E90</f><v /></c><c r="F91" s="52" t="n" /><c r="G91" s="337" t="inlineStr"><is><t>PA25517205</t></is></c><c r="H91" s="326"><f>H90</f><v /></c><c r="I91" s="98"><f>I90</f><v /></c><c r="J91" s="327"><f>J90</f><v /></c><c r="K91" s="458"><f>K90</f><v /></c><c r="L91" s="458"><f>L90</f><v /></c><c r="M91" s="459" t="n"><v>110.4</v></c><c r="N91" s="459" t="n"><v>211.1</v></c><c r="O91" s="460"><f>O90</f><v /></c><c r="P91" s="461"><f>P90</f><v /></c><c r="Q91" s="462"><f>LEFT(P91,1)</f><v /></c><c r="R91" s="462"><f>RIGHT(P91,6)</f><v /></c><c r="S91" s="462"><f>+(Q91*60+R91)/(60*60)</f><v /></c><c r="T91" s="463"><f>+O91/S91</f><v /></c><c r="U91" s="464"><f>+(((N91-M91-O91)/O91)*100)</f><v /></c><c r="V91" s="329"><f>V90</f><v /></c><c r="W91" s="465"><f>W90</f><v /></c><c r="X91" s="465"><f>X90</f><v /></c><c r="Y91" s="459" t="n"><v>216.25</v></c><c r="Z91" s="459" t="n"><v>226.28</v></c><c r="AA91" s="466"><f>AA90</f><v /></c><c r="AB91" s="467"><f>AB90</f><v /></c><c r="AC91" s="462"><f>LEFT(AB91,2)</f><v /></c><c r="AD91" s="462"><f>RIGHT(AB91,6)</f><v /></c><c r="AE91" s="462"><f>+(AC91*60+AD91)/(60*60)</f><v /></c><c r="AF91" s="463"><f>+AA91/AE91</f><v /></c><c r="AG91" s="468"><f>+(((Z91-Y91-AA91)/AA91)*100)</f><v /></c><c r="AH91" s="329"><f>AH90</f><v /></c><c r="AI91" s="465"><f>AI90</f><v /></c><c r="AJ91" s="465"><f>AJ90</f><v /></c><c r="AK91" s="459"><f>Z91</f><v /></c><c r="AL91" s="459" t="n"><v>231.32</v></c><c r="AM91" s="469"><f>AM90</f><v /></c><c r="AN91" s="461"><f>AN90</f><v /></c><c r="AO91" s="462"><f>LEFT(AN91,2)</f><v /></c><c r="AP91" s="462"><f>RIGHT(AN91,6)</f><v /></c><c r="AQ91" s="462"><f>+(AO91*60+AP91)/(60*60)</f><v /></c><c r="AR91" s="463"><f>+AM91/AQ91</f><v /></c><c r="AS91" s="468"><f>+(((AL91-AK91-AM91)/AM91)*100)</f><v /></c><c r="AT91" s="470"><f>IF(I91&gt;=1,"NO CONFORME",IF(BK91="SIGDIFERENTES",BC91,BL91))</f><v /></c><c r="AU91" s="426"><f>B91=C91</f><v /></c><c r="AV91" s="426"><f>N91&lt;Y91</f><v /></c><c r="AW91" s="426"><f>Z91&lt;=AK91</f><v /></c><c r="AX91" s="426"><f>IF(I91&gt;=1,"Qcorrecto",IF(AND(AY91="aceptable",AZ91="aceptable",BA91="aceptable"),"Qcorrecto","Qincorrecto"))</f><v /></c><c r="AY91" s="427"><f>IF(AR91&lt;$AH$6,"error",IF(AR91&gt;$AH$6*1.1,"error","aceptable"))</f><v /></c><c r="AZ91" s="427"><f>IF(AF91&lt;$V$6,"error",IF(AF91&gt;$V$6*1.1,"error","aceptable"))</f><v /></c><c r="BA91" s="427"><f>IF(T91&lt;$J$6*0.9,"error",IF(T91&gt;$J$6,"error","aceptable"))</f><v /></c><c r="BB91" s="428"><f>(IF(ABS(U91)&lt;1.05,"CONFORME",IF(ABS(AG91)&lt;1.05,"CONFORME",IF(ABS(AS91)&lt;2.55,"CONFORME","NO CONFORME"))))</f><v /></c><c r="BC91" s="429"><f>(IF(ABS(U91)&gt;2.05,"NO CONFORME",IF(ABS(AG91)&gt;2.05,"NO CONFORME",IF(ABS(AS91)&gt;5.05,"NO CONFORME","CONFORME"))))</f><v /></c><c r="BD91" s="430"><f>SIGN(U91)</f><v /></c><c r="BE91" s="430"><f>SIGN(AG91)</f><v /></c><c r="BF91" s="430"><f>SIGN(AS91)</f><v /></c><c r="BG91" s="430"><f>CONCATENATE(BD91,BE91,BF91)</f><v /></c><c r="BH91" s="430"><f>IF(BG91="111","SI","SD")</f><v /></c><c r="BI91" s="430"><f>IF(BG91="-1-1-1","SI","SD")</f><v /></c><c r="BJ91" s="430"><f>OR(BH91="SI",BI91="SI")</f><v /></c><c r="BK91" s="430"><f>IF(BJ91=FALSE,"SIGDIFERENTES","SIGIGUALES")</f><v /></c><c r="BL91" s="427"><f>IF(BC91="NO CONFORME","NO CONFORME",IF(BB91="CONFORME","CONFORME","NO CONFORME"))</f><v /></c></row><row r="92" ht="15" customHeight="1" thickBot="1"><c r="A92" s="351" t="n"><v>84</v></c><c r="B92" s="386"><f>B91</f><v /></c><c r="C92" s="386"><f>C91</f><v /></c><c r="D92" s="387"><f>D91</f><v /></c><c r="E92" s="475"><f>E91</f><v /></c><c r="F92" s="58" t="n" /><c r="G92" s="300" t="inlineStr"><is><t>PA25517206</t></is></c><c r="H92" s="388"><f>H91</f><v /></c><c r="I92" s="232"><f>I91</f><v /></c><c r="J92" s="389" t="n"><v>21</v></c><c r="K92" s="390" t="n"><v>7.897</v></c><c r="L92" s="390" t="n"><v>0.5570000000000001</v></c><c r="M92" s="356" t="n"><v>113.46</v></c><c r="N92" s="356" t="n"><v>213.16</v></c><c r="O92" s="391" t="n"><v>100.7</v></c><c r="P92" s="392" t="inlineStr"><is><t>2,29,810</t></is></c><c r="Q92" s="359"><f>LEFT(P92,1)</f><v /></c><c r="R92" s="359"><f>RIGHT(P92,6)</f><v /></c><c r="S92" s="359"><f>+(Q92*60+R92)/(60*60)</f><v /></c><c r="T92" s="360"><f>+O92/S92</f><v /></c><c r="U92" s="361"><f>+(((N92-M92-O92)/O92)*100)</f><v /></c><c r="V92" s="393" t="n"><v>21.2</v></c><c r="W92" s="394" t="n"><v>1.509</v></c><c r="X92" s="394" t="n"><v>1.506</v></c><c r="Y92" s="356" t="n"><v>218.95</v></c><c r="Z92" s="356" t="n"><v>228.9</v></c><c r="AA92" s="395" t="n"><v>10.015</v></c><c r="AB92" s="396" t="inlineStr"><is><t>22,21,390</t></is></c><c r="AC92" s="359"><f>LEFT(AB92,2)</f><v /></c><c r="AD92" s="359"><f>RIGHT(AB92,6)</f><v /></c><c r="AE92" s="359"><f>+(AC92*60+AD92)/(60*60)</f><v /></c><c r="AF92" s="360"><f>+AA92/AE92</f><v /></c><c r="AG92" s="362"><f>+(((Z92-Y92-AA92)/AA92)*100)</f><v /></c><c r="AH92" s="393" t="n"><v>21.1</v></c><c r="AI92" s="394" t="n"><v>1.509</v></c><c r="AJ92" s="394" t="n"><v>1.504</v></c><c r="AK92" s="356"><f>Z92</f><v /></c><c r="AL92" s="356" t="n"><v>233.92</v></c><c r="AM92" s="397" t="n"><v>5.015</v></c><c r="AN92" s="392" t="inlineStr"><is><t>18,01,670</t></is></c><c r="AO92" s="359"><f>LEFT(AN92,2)</f><v /></c><c r="AP92" s="359"><f>RIGHT(AN92,6)</f><v /></c><c r="AQ92" s="359"><f>+(AO92*60+AP92)/(60*60)</f><v /></c><c r="AR92" s="360"><f>+AM92/AQ92</f><v /></c><c r="AS92" s="362"><f>+(((AL92-AK92-AM92)/AM92)*100)</f><v /></c><c r="AT92" s="364"><f>IF(I92&gt;=1,"NO CONFORME",IF(BK92="SIGDIFERENTES",BC92,BL92))</f><v /></c><c r="AU92" s="384"><f>B92=C92</f><v /></c><c r="AV92" s="384"><f>N92&lt;Y92</f><v /></c><c r="AW92" s="384"><f>Z92&lt;=AK92</f><v /></c><c r="AX92" s="384"><f>IF(I92&gt;=1,"Qcorrecto",IF(AND(AY92="aceptable",AZ92="aceptable",BA92="aceptable"),"Qcorrecto","Qincorrecto"))</f><v /></c><c r="AY92" s="368"><f>IF(AR92&lt;$AH$6,"error",IF(AR92&gt;$AH$6*1.1,"error","aceptable"))</f><v /></c><c r="AZ92" s="368"><f>IF(AF92&lt;$V$6,"error",IF(AF92&gt;$V$6*1.1,"error","aceptable"))</f><v /></c><c r="BA92" s="368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85"><f>SIGN(U92)</f><v /></c><c r="BE92" s="385"><f>SIGN(AG92)</f><v /></c><c r="BF92" s="385"><f>SIGN(AS92)</f><v /></c><c r="BG92" s="385"><f>CONCATENATE(BD92,BE92,BF92)</f><v /></c><c r="BH92" s="385"><f>IF(BG92="111","SI","SD")</f><v /></c><c r="BI92" s="385"><f>IF(BG92="-1-1-1","SI","SD")</f><v /></c><c r="BJ92" s="385"><f>OR(BH92="SI",BI92="SI")</f><v /></c><c r="BK92" s="385"><f>IF(BJ92=FALSE,"SIGDIFERENTES","SIGIGUALES")</f><v /></c><c r="BL92" s="368"><f>IF(BC92="NO CONFORME","NO CONFORME",IF(BB92="CONFORME","CONFORME","NO CONFORME"))</f><v /></c></row><row r="93" ht="15" customHeight="1" thickBot="1"><c r="A93" s="351" t="n"><v>85</v></c><c r="B93" s="386"><f>B92</f><v /></c><c r="C93" s="386"><f>C92</f><v /></c><c r="D93" s="387"><f>D92</f><v /></c><c r="E93" s="475"><f>E92</f><v /></c><c r="F93" s="58" t="n" /><c r="G93" s="300" t="inlineStr"><is><t>PA25517207</t></is></c><c r="H93" s="388"><f>H92</f><v /></c><c r="I93" s="232"><f>I92</f><v /></c><c r="J93" s="389"><f>J92</f><v /></c><c r="K93" s="390"><f>K92</f><v /></c><c r="L93" s="390"><f>L92</f><v /></c><c r="M93" s="356" t="n"><v>114.1</v></c><c r="N93" s="356" t="n"><v>214.11</v></c><c r="O93" s="391"><f>O92</f><v /></c><c r="P93" s="392"><f>P92</f><v /></c><c r="Q93" s="359"><f>LEFT(P93,1)</f><v /></c><c r="R93" s="359"><f>RIGHT(P93,6)</f><v /></c><c r="S93" s="359"><f>+(Q93*60+R93)/(60*60)</f><v /></c><c r="T93" s="360"><f>+O93/S93</f><v /></c><c r="U93" s="361"><f>+(((N93-M93-O93)/O93)*100)</f><v /></c><c r="V93" s="393"><f>V92</f><v /></c><c r="W93" s="394"><f>W92</f><v /></c><c r="X93" s="394"><f>X92</f><v /></c><c r="Y93" s="356" t="n"><v>219.87</v></c><c r="Z93" s="356" t="n"><v>229.82</v></c><c r="AA93" s="395"><f>AA92</f><v /></c><c r="AB93" s="396"><f>AB92</f><v /></c><c r="AC93" s="359"><f>LEFT(AB93,2)</f><v /></c><c r="AD93" s="359"><f>RIGHT(AB93,6)</f><v /></c><c r="AE93" s="359"><f>+(AC93*60+AD93)/(60*60)</f><v /></c><c r="AF93" s="360"><f>+AA93/AE93</f><v /></c><c r="AG93" s="362"><f>+(((Z93-Y93-AA93)/AA93)*100)</f><v /></c><c r="AH93" s="393"><f>AH92</f><v /></c><c r="AI93" s="394"><f>AI92</f><v /></c><c r="AJ93" s="394"><f>AJ92</f><v /></c><c r="AK93" s="356"><f>Z93</f><v /></c><c r="AL93" s="356" t="n"><v>234.85</v></c><c r="AM93" s="397"><f>AM92</f><v /></c><c r="AN93" s="392"><f>AN92</f><v /></c><c r="AO93" s="359"><f>LEFT(AN93,2)</f><v /></c><c r="AP93" s="359"><f>RIGHT(AN93,6)</f><v /></c><c r="AQ93" s="359"><f>+(AO93*60+AP93)/(60*60)</f><v /></c><c r="AR93" s="360"><f>+AM93/AQ93</f><v /></c><c r="AS93" s="362"><f>+(((AL93-AK93-AM93)/AM93)*100)</f><v /></c><c r="AT93" s="364"><f>IF(I93&gt;=1,"NO CONFORME",IF(BK93="SIGDIFERENTES",BC93,BL93))</f><v /></c><c r="AU93" s="365"><f>B93=C93</f><v /></c><c r="AV93" s="365"><f>N93&lt;Y93</f><v /></c><c r="AW93" s="365"><f>Z93&lt;=AK93</f><v /></c><c r="AX93" s="365"><f>IF(I93&gt;=1,"Qcorrecto",IF(AND(AY93="aceptable",AZ93="aceptable",BA93="aceptable"),"Qcorrecto","Qincorrecto"))</f><v /></c><c r="AY93" s="368"><f>IF(AR93&lt;$AH$6,"error",IF(AR93&gt;$AH$6*1.1,"error","aceptable"))</f><v /></c><c r="AZ93" s="368"><f>IF(AF93&lt;$V$6,"error",IF(AF93&gt;$V$6*1.1,"error","aceptable"))</f><v /></c><c r="BA93" s="368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7"><f>SIGN(U93)</f><v /></c><c r="BE93" s="367"><f>SIGN(AG93)</f><v /></c><c r="BF93" s="367"><f>SIGN(AS93)</f><v /></c><c r="BG93" s="367"><f>CONCATENATE(BD93,BE93,BF93)</f><v /></c><c r="BH93" s="367"><f>IF(BG93="111","SI","SD")</f><v /></c><c r="BI93" s="367"><f>IF(BG93="-1-1-1","SI","SD")</f><v /></c><c r="BJ93" s="367"><f>OR(BH93="SI",BI93="SI")</f><v /></c><c r="BK93" s="367"><f>IF(BJ93=FALSE,"SIGDIFERENTES","SIGIGUALES")</f><v /></c><c r="BL93" s="368"><f>IF(BC93="NO CONFORME","NO CONFORME",IF(BB93="CONFORME","CONFORME","NO CONFORME"))</f><v /></c></row><row r="94" ht="15.75" customHeight="1" thickBot="1"><c r="A94" s="451" t="n"><v>86</v></c><c r="B94" s="369"><f>B93</f><v /></c><c r="C94" s="369"><f>C93</f><v /></c><c r="D94" s="370"><f>D93</f><v /></c><c r="E94" s="371"><f>E93</f><v /></c><c r="F94" s="13" t="n" /><c r="G94" s="300" t="inlineStr"><is><t>PA25517208</t></is></c><c r="H94" s="313"><f>H93</f><v /></c><c r="I94" s="38"><f>I93</f><v /></c><c r="J94" s="314"><f>J93</f><v /></c><c r="K94" s="372"><f>K93</f><v /></c><c r="L94" s="372"><f>L93</f><v /></c><c r="M94" s="373" t="n"><v>117.12</v></c><c r="N94" s="373" t="n"><v>218.15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9"><f>W93</f><v /></c><c r="X94" s="379"><f>X93</f><v /></c><c r="Y94" s="373" t="n"><v>223.95</v></c><c r="Z94" s="373" t="n"><v>233.95</v></c><c r="AA94" s="380"><f>AA93</f><v /></c><c r="AB94" s="381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9"><f>AI93</f><v /></c><c r="AJ94" s="379"><f>AJ93</f><v /></c><c r="AK94" s="373"><f>Z94</f><v /></c><c r="AL94" s="373" t="n"><v>239</v></c><c r="AM94" s="382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3"><f>IF(I94&gt;=1,"NO CONFORME",IF(BK94="SIGDIFERENTES",BC94,BL94))</f><v /></c><c r="AU94" s="365"><f>B94=C94</f><v /></c><c r="AV94" s="365"><f>N94&lt;Y94</f><v /></c><c r="AW94" s="365"><f>Z94&lt;=AK94</f><v /></c><c r="AX94" s="365"><f>IF(I94&gt;=1,"Qcorrecto",IF(AND(AY94="aceptable",AZ94="aceptable",BA94="aceptable"),"Qcorrecto","Qincorrecto"))</f><v /></c><c r="AY94" s="366"><f>IF(AR94&lt;$AH$6,"error",IF(AR94&gt;$AH$6*1.1,"error","aceptable"))</f><v /></c><c r="AZ94" s="366"><f>IF(AF94&lt;$V$6,"error",IF(AF94&gt;$V$6*1.1,"error","aceptable"))</f><v /></c><c r="BA94" s="366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7"><f>SIGN(U94)</f><v /></c><c r="BE94" s="367"><f>SIGN(AG94)</f><v /></c><c r="BF94" s="367"><f>SIGN(AS94)</f><v /></c><c r="BG94" s="367"><f>CONCATENATE(BD94,BE94,BF94)</f><v /></c><c r="BH94" s="367"><f>IF(BG94="111","SI","SD")</f><v /></c><c r="BI94" s="367"><f>IF(BG94="-1-1-1","SI","SD")</f><v /></c><c r="BJ94" s="367"><f>OR(BH94="SI",BI94="SI")</f><v /></c><c r="BK94" s="367"><f>IF(BJ94=FALSE,"SIGDIFERENTES","SIGIGUALES")</f><v /></c><c r="BL94" s="366"><f>IF(BC94="NO CONFORME","NO CONFORME",IF(BB94="CONFORME","CONFORME","NO CONFORME"))</f><v /></c></row><row r="95" ht="14.4" customHeight="1" thickBot="1"><c r="A95" s="451" t="n"><v>87</v></c><c r="B95" s="369"><f>B94</f><v /></c><c r="C95" s="369"><f>C94</f><v /></c><c r="D95" s="370"><f>D94</f><v /></c><c r="E95" s="371"><f>E94</f><v /></c><c r="F95" s="13" t="n" /><c r="G95" s="300" t="inlineStr"><is><t>PA25517209</t></is></c><c r="H95" s="313"><f>H94</f><v /></c><c r="I95" s="38"><f>I94</f><v /></c><c r="J95" s="314"><f>J94</f><v /></c><c r="K95" s="372"><f>K94</f><v /></c><c r="L95" s="372"><f>L94</f><v /></c><c r="M95" s="373" t="n"><v>117.65</v></c><c r="N95" s="373" t="n"><v>218.6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9"><f>W94</f><v /></c><c r="X95" s="379"><f>X94</f><v /></c><c r="Y95" s="373" t="n"><v>224.43</v></c><c r="Z95" s="373" t="n"><v>234.48</v></c><c r="AA95" s="380"><f>AA94</f><v /></c><c r="AB95" s="381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9"><f>AI94</f><v /></c><c r="AJ95" s="379"><f>AJ94</f><v /></c><c r="AK95" s="373"><f>Z95</f><v /></c><c r="AL95" s="373" t="n"><v>239.52</v></c><c r="AM95" s="382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3"><f>IF(I95&gt;=1,"NO CONFORME",IF(BK95="SIGDIFERENTES",BC95,BL95))</f><v /></c><c r="AU95" s="365"><f>B95=C95</f><v /></c><c r="AV95" s="365"><f>N95&lt;Y95</f><v /></c><c r="AW95" s="365"><f>Z95&lt;=AK95</f><v /></c><c r="AX95" s="365"><f>IF(I95&gt;=1,"Qcorrecto",IF(AND(AY95="aceptable",AZ95="aceptable",BA95="aceptable"),"Qcorrecto","Qincorrecto"))</f><v /></c><c r="AY95" s="366"><f>IF(AR95&lt;$AH$6,"error",IF(AR95&gt;$AH$6*1.1,"error","aceptable"))</f><v /></c><c r="AZ95" s="366"><f>IF(AF95&lt;$V$6,"error",IF(AF95&gt;$V$6*1.1,"error","aceptable"))</f><v /></c><c r="BA95" s="366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7"><f>SIGN(U95)</f><v /></c><c r="BE95" s="367"><f>SIGN(AG95)</f><v /></c><c r="BF95" s="367"><f>SIGN(AS95)</f><v /></c><c r="BG95" s="367"><f>CONCATENATE(BD95,BE95,BF95)</f><v /></c><c r="BH95" s="367"><f>IF(BG95="111","SI","SD")</f><v /></c><c r="BI95" s="367"><f>IF(BG95="-1-1-1","SI","SD")</f><v /></c><c r="BJ95" s="367"><f>OR(BH95="SI",BI95="SI")</f><v /></c><c r="BK95" s="367"><f>IF(BJ95=FALSE,"SIGDIFERENTES","SIGIGUALES")</f><v /></c><c r="BL95" s="366"><f>IF(BC95="NO CONFORME","NO CONFORME",IF(BB95="CONFORME","CONFORME","NO CONFORME"))</f><v /></c></row><row r="96" ht="14.4" customHeight="1" thickBot="1"><c r="A96" s="451" t="n"><v>88</v></c><c r="B96" s="369"><f>B95</f><v /></c><c r="C96" s="369"><f>C95</f><v /></c><c r="D96" s="370"><f>D95</f><v /></c><c r="E96" s="371"><f>E95</f><v /></c><c r="F96" s="13" t="n" /><c r="G96" s="300" t="inlineStr"><is><t>PA25517210</t></is></c><c r="H96" s="313"><f>H95</f><v /></c><c r="I96" s="38"><f>I95</f><v /></c><c r="J96" s="314"><f>J95</f><v /></c><c r="K96" s="372"><f>K95</f><v /></c><c r="L96" s="372"><f>L95</f><v /></c><c r="M96" s="373" t="n"><v>116.4</v></c><c r="N96" s="373" t="n"><v>216.5</v></c><c r="O96" s="374"><f>O95</f><v /></c><c r="P96" s="375"><f>P95</f><v /></c><c r="Q96" s="376"><f>LEFT(P96,1)</f><v /></c><c r="R96" s="376"><f>RIGHT(P96,6)</f><v /></c><c r="S96" s="376"><f>+(Q96*60+R96)/(60*60)</f><v /></c><c r="T96" s="377"><f>+O96/S96</f><v /></c><c r="U96" s="378"><f>+(((N96-M96-O96)/O96)*100)</f><v /></c><c r="V96" s="317"><f>V95</f><v /></c><c r="W96" s="379"><f>W95</f><v /></c><c r="X96" s="379"><f>X95</f><v /></c><c r="Y96" s="373" t="n"><v>222.3</v></c><c r="Z96" s="373" t="n"><v>232.27</v></c><c r="AA96" s="380"><f>AA95</f><v /></c><c r="AB96" s="381"><f>AB95</f><v /></c><c r="AC96" s="376"><f>LEFT(AB96,2)</f><v /></c><c r="AD96" s="376"><f>RIGHT(AB96,6)</f><v /></c><c r="AE96" s="376"><f>+(AC96*60+AD96)/(60*60)</f><v /></c><c r="AF96" s="377"><f>+AA96/AE96</f><v /></c><c r="AG96" s="321"><f>+(((Z96-Y96-AA96)/AA96)*100)</f><v /></c><c r="AH96" s="317"><f>AH95</f><v /></c><c r="AI96" s="379"><f>AI95</f><v /></c><c r="AJ96" s="379"><f>AJ95</f><v /></c><c r="AK96" s="373"><f>Z96</f><v /></c><c r="AL96" s="373" t="n"><v>237.34</v></c><c r="AM96" s="382"><f>AM95</f><v /></c><c r="AN96" s="375"><f>AN95</f><v /></c><c r="AO96" s="376"><f>LEFT(AN96,2)</f><v /></c><c r="AP96" s="376"><f>RIGHT(AN96,6)</f><v /></c><c r="AQ96" s="376"><f>+(AO96*60+AP96)/(60*60)</f><v /></c><c r="AR96" s="377"><f>+AM96/AQ96</f><v /></c><c r="AS96" s="321"><f>+(((AL96-AK96-AM96)/AM96)*100)</f><v /></c><c r="AT96" s="383"><f>IF(I96&gt;=1,"NO CONFORME",IF(BK96="SIGDIFERENTES",BC96,BL96))</f><v /></c><c r="AU96" s="365"><f>B96=C96</f><v /></c><c r="AV96" s="365"><f>N96&lt;Y96</f><v /></c><c r="AW96" s="365"><f>Z96&lt;=AK96</f><v /></c><c r="AX96" s="365"><f>IF(I96&gt;=1,"Qcorrecto",IF(AND(AY96="aceptable",AZ96="aceptable",BA96="aceptable"),"Qcorrecto","Qincorrecto"))</f><v /></c><c r="AY96" s="366"><f>IF(AR96&lt;$AH$6,"error",IF(AR96&gt;$AH$6*1.1,"error","aceptable"))</f><v /></c><c r="AZ96" s="366"><f>IF(AF96&lt;$V$6,"error",IF(AF96&gt;$V$6*1.1,"error","aceptable"))</f><v /></c><c r="BA96" s="366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67"><f>SIGN(U96)</f><v /></c><c r="BE96" s="367"><f>SIGN(AG96)</f><v /></c><c r="BF96" s="367"><f>SIGN(AS96)</f><v /></c><c r="BG96" s="367"><f>CONCATENATE(BD96,BE96,BF96)</f><v /></c><c r="BH96" s="367"><f>IF(BG96="111","SI","SD")</f><v /></c><c r="BI96" s="367"><f>IF(BG96="-1-1-1","SI","SD")</f><v /></c><c r="BJ96" s="367"><f>OR(BH96="SI",BI96="SI")</f><v /></c><c r="BK96" s="367"><f>IF(BJ96=FALSE,"SIGDIFERENTES","SIGIGUALES")</f><v /></c><c r="BL96" s="366"><f>IF(BC96="NO CONFORME","NO CONFORME",IF(BB96="CONFORME","CONFORME","NO CONFORME"))</f><v /></c></row><row r="97" ht="14.4" customHeight="1" thickBot="1"><c r="A97" s="451" t="n"><v>89</v></c><c r="B97" s="369"><f>B96</f><v /></c><c r="C97" s="369"><f>C96</f><v /></c><c r="D97" s="370"><f>D96</f><v /></c><c r="E97" s="371"><f>E96</f><v /></c><c r="F97" s="13" t="n" /><c r="G97" s="300" t="inlineStr"><is><t>PA25517211</t></is></c><c r="H97" s="313"><f>H96</f><v /></c><c r="I97" s="38"><f>I96</f><v /></c><c r="J97" s="314"><f>J96</f><v /></c><c r="K97" s="372"><f>K96</f><v /></c><c r="L97" s="372"><f>L96</f><v /></c><c r="M97" s="373" t="n"><v>116.2</v></c><c r="N97" s="373" t="n"><v>216.7</v></c><c r="O97" s="374"><f>O96</f><v /></c><c r="P97" s="375"><f>P96</f><v /></c><c r="Q97" s="376"><f>LEFT(P97,1)</f><v /></c><c r="R97" s="376"><f>RIGHT(P97,6)</f><v /></c><c r="S97" s="376"><f>+(Q97*60+R97)/(60*60)</f><v /></c><c r="T97" s="377"><f>+O97/S97</f><v /></c><c r="U97" s="378"><f>+(((N97-M97-O97)/O97)*100)</f><v /></c><c r="V97" s="317"><f>V96</f><v /></c><c r="W97" s="379"><f>W96</f><v /></c><c r="X97" s="379"><f>X96</f><v /></c><c r="Y97" s="373" t="n"><v>222.51</v></c><c r="Z97" s="373" t="n"><v>232.54</v></c><c r="AA97" s="380"><f>AA96</f><v /></c><c r="AB97" s="381"><f>AB96</f><v /></c><c r="AC97" s="376"><f>LEFT(AB97,2)</f><v /></c><c r="AD97" s="376"><f>RIGHT(AB97,6)</f><v /></c><c r="AE97" s="376"><f>+(AC97*60+AD97)/(60*60)</f><v /></c><c r="AF97" s="377"><f>+AA97/AE97</f><v /></c><c r="AG97" s="321"><f>+(((Z97-Y97-AA97)/AA97)*100)</f><v /></c><c r="AH97" s="317"><f>AH96</f><v /></c><c r="AI97" s="379"><f>AI96</f><v /></c><c r="AJ97" s="379"><f>AJ96</f><v /></c><c r="AK97" s="373"><f>Z97</f><v /></c><c r="AL97" s="373" t="n"><v>237.62</v></c><c r="AM97" s="382"><f>AM96</f><v /></c><c r="AN97" s="375"><f>AN96</f><v /></c><c r="AO97" s="376"><f>LEFT(AN97,2)</f><v /></c><c r="AP97" s="376"><f>RIGHT(AN97,6)</f><v /></c><c r="AQ97" s="376"><f>+(AO97*60+AP97)/(60*60)</f><v /></c><c r="AR97" s="377"><f>+AM97/AQ97</f><v /></c><c r="AS97" s="321"><f>+(((AL97-AK97-AM97)/AM97)*100)</f><v /></c><c r="AT97" s="383"><f>IF(I97&gt;=1,"NO CONFORME",IF(BK97="SIGDIFERENTES",BC97,BL97))</f><v /></c><c r="AU97" s="365"><f>B97=C97</f><v /></c><c r="AV97" s="365"><f>N97&lt;Y97</f><v /></c><c r="AW97" s="365"><f>Z97&lt;=AK97</f><v /></c><c r="AX97" s="365"><f>IF(I97&gt;=1,"Qcorrecto",IF(AND(AY97="aceptable",AZ97="aceptable",BA97="aceptable"),"Qcorrecto","Qincorrecto"))</f><v /></c><c r="AY97" s="366"><f>IF(AR97&lt;$AH$6,"error",IF(AR97&gt;$AH$6*1.1,"error","aceptable"))</f><v /></c><c r="AZ97" s="366"><f>IF(AF97&lt;$V$6,"error",IF(AF97&gt;$V$6*1.1,"error","aceptable"))</f><v /></c><c r="BA97" s="366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67"><f>SIGN(U97)</f><v /></c><c r="BE97" s="367"><f>SIGN(AG97)</f><v /></c><c r="BF97" s="367"><f>SIGN(AS97)</f><v /></c><c r="BG97" s="367"><f>CONCATENATE(BD97,BE97,BF97)</f><v /></c><c r="BH97" s="367"><f>IF(BG97="111","SI","SD")</f><v /></c><c r="BI97" s="367"><f>IF(BG97="-1-1-1","SI","SD")</f><v /></c><c r="BJ97" s="367"><f>OR(BH97="SI",BI97="SI")</f><v /></c><c r="BK97" s="367"><f>IF(BJ97=FALSE,"SIGDIFERENTES","SIGIGUALES")</f><v /></c><c r="BL97" s="366"><f>IF(BC97="NO CONFORME","NO CONFORME",IF(BB97="CONFORME","CONFORME","NO CONFORME"))</f><v /></c></row><row r="98" ht="14.4" customHeight="1" thickBot="1"><c r="A98" s="451" t="n"><v>90</v></c><c r="B98" s="369"><f>B97</f><v /></c><c r="C98" s="369"><f>C97</f><v /></c><c r="D98" s="370"><f>D97</f><v /></c><c r="E98" s="371"><f>E97</f><v /></c><c r="F98" s="13" t="n" /><c r="G98" s="300" t="inlineStr"><is><t>PA25517212</t></is></c><c r="H98" s="313"><f>H97</f><v /></c><c r="I98" s="38"><f>I97</f><v /></c><c r="J98" s="314"><f>J97</f><v /></c><c r="K98" s="372"><f>K97</f><v /></c><c r="L98" s="372"><f>L97</f><v /></c><c r="M98" s="373" t="n"><v>112.06</v></c><c r="N98" s="373" t="n"><v>211.35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9"><f>W97</f><v /></c><c r="X98" s="379"><f>X97</f><v /></c><c r="Y98" s="373" t="n"><v>217.1</v></c><c r="Z98" s="373" t="n"><v>226.97</v></c><c r="AA98" s="380"><f>AA97</f><v /></c><c r="AB98" s="381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9"><f>AI97</f><v /></c><c r="AJ98" s="379"><f>AJ97</f><v /></c><c r="AK98" s="373"><f>Z98</f><v /></c><c r="AL98" s="373" t="n"><v>231.95</v></c><c r="AM98" s="382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3"><f>IF(I98&gt;=1,"NO CONFORME",IF(BK98="SIGDIFERENTES",BC98,BL98))</f><v /></c><c r="AU98" s="365"><f>B98=C98</f><v /></c><c r="AV98" s="365"><f>N98&lt;Y98</f><v /></c><c r="AW98" s="365"><f>Z98&lt;=AK98</f><v /></c><c r="AX98" s="365"><f>IF(I98&gt;=1,"Qcorrecto",IF(AND(AY98="aceptable",AZ98="aceptable",BA98="aceptable"),"Qcorrecto","Qincorrecto"))</f><v /></c><c r="AY98" s="366"><f>IF(AR98&lt;$AH$6,"error",IF(AR98&gt;$AH$6*1.1,"error","aceptable"))</f><v /></c><c r="AZ98" s="366"><f>IF(AF98&lt;$V$6,"error",IF(AF98&gt;$V$6*1.1,"error","aceptable"))</f><v /></c><c r="BA98" s="366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7"><f>SIGN(U98)</f><v /></c><c r="BE98" s="367"><f>SIGN(AG98)</f><v /></c><c r="BF98" s="367"><f>SIGN(AS98)</f><v /></c><c r="BG98" s="367"><f>CONCATENATE(BD98,BE98,BF98)</f><v /></c><c r="BH98" s="367"><f>IF(BG98="111","SI","SD")</f><v /></c><c r="BI98" s="367"><f>IF(BG98="-1-1-1","SI","SD")</f><v /></c><c r="BJ98" s="367"><f>OR(BH98="SI",BI98="SI")</f><v /></c><c r="BK98" s="367"><f>IF(BJ98=FALSE,"SIGDIFERENTES","SIGIGUALES")</f><v /></c><c r="BL98" s="366"><f>IF(BC98="NO CONFORME","NO CONFORME",IF(BB98="CONFORME","CONFORME","NO CONFORME"))</f><v /></c></row><row r="99" ht="14.4" customHeight="1" thickBot="1"><c r="A99" s="451" t="n"><v>91</v></c><c r="B99" s="369"><f>B98</f><v /></c><c r="C99" s="369"><f>C98</f><v /></c><c r="D99" s="370"><f>D98</f><v /></c><c r="E99" s="371"><f>E98</f><v /></c><c r="F99" s="13" t="n" /><c r="G99" s="300" t="inlineStr"><is><t>PA25517213</t></is></c><c r="H99" s="313"><f>H98</f><v /></c><c r="I99" s="38"><f>I98</f><v /></c><c r="J99" s="314"><f>J98</f><v /></c><c r="K99" s="372"><f>K98</f><v /></c><c r="L99" s="372"><f>L98</f><v /></c><c r="M99" s="373" t="n"><v>116.65</v></c><c r="N99" s="373" t="n"><v>216.85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9"><f>W98</f><v /></c><c r="X99" s="379"><f>X98</f><v /></c><c r="Y99" s="373" t="n"><v>222.69</v></c><c r="Z99" s="373" t="n"><v>232.65</v></c><c r="AA99" s="380"><f>AA98</f><v /></c><c r="AB99" s="381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9"><f>AI98</f><v /></c><c r="AJ99" s="379"><f>AJ98</f><v /></c><c r="AK99" s="373"><f>Z99</f><v /></c><c r="AL99" s="373" t="n"><v>237.72</v></c><c r="AM99" s="382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3"><f>IF(I99&gt;=1,"NO CONFORME",IF(BK99="SIGDIFERENTES",BC99,BL99))</f><v /></c><c r="AU99" s="365"><f>B99=C99</f><v /></c><c r="AV99" s="365"><f>N99&lt;Y99</f><v /></c><c r="AW99" s="365"><f>Z99&lt;=AK99</f><v /></c><c r="AX99" s="365"><f>IF(I99&gt;=1,"Qcorrecto",IF(AND(AY99="aceptable",AZ99="aceptable",BA99="aceptable"),"Qcorrecto","Qincorrecto"))</f><v /></c><c r="AY99" s="366"><f>IF(AR99&lt;$AH$6,"error",IF(AR99&gt;$AH$6*1.1,"error","aceptable"))</f><v /></c><c r="AZ99" s="366"><f>IF(AF99&lt;$V$6,"error",IF(AF99&gt;$V$6*1.1,"error","aceptable"))</f><v /></c><c r="BA99" s="366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7"><f>SIGN(U99)</f><v /></c><c r="BE99" s="367"><f>SIGN(AG99)</f><v /></c><c r="BF99" s="367"><f>SIGN(AS99)</f><v /></c><c r="BG99" s="367"><f>CONCATENATE(BD99,BE99,BF99)</f><v /></c><c r="BH99" s="367"><f>IF(BG99="111","SI","SD")</f><v /></c><c r="BI99" s="367"><f>IF(BG99="-1-1-1","SI","SD")</f><v /></c><c r="BJ99" s="367"><f>OR(BH99="SI",BI99="SI")</f><v /></c><c r="BK99" s="367"><f>IF(BJ99=FALSE,"SIGDIFERENTES","SIGIGUALES")</f><v /></c><c r="BL99" s="366"><f>IF(BC99="NO CONFORME","NO CONFORME",IF(BB99="CONFORME","CONFORME","NO CONFORME"))</f><v /></c></row><row r="100" ht="14.4" customHeight="1" thickBot="1"><c r="A100" s="451" t="n"><v>92</v></c><c r="B100" s="369"><f>B99</f><v /></c><c r="C100" s="369"><f>C99</f><v /></c><c r="D100" s="370"><f>D99</f><v /></c><c r="E100" s="371"><f>E99</f><v /></c><c r="F100" s="13" t="n" /><c r="G100" s="300" t="inlineStr"><is><t>PA25517214</t></is></c><c r="H100" s="313"><f>H99</f><v /></c><c r="I100" s="38"><f>I99</f><v /></c><c r="J100" s="314"><f>J99</f><v /></c><c r="K100" s="372"><f>K99</f><v /></c><c r="L100" s="372"><f>L99</f><v /></c><c r="M100" s="373" t="n"><v>117.25</v></c><c r="N100" s="373" t="n"><v>217.6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9"><f>W99</f><v /></c><c r="X100" s="379"><f>X99</f><v /></c><c r="Y100" s="373" t="n"><v>223.4</v></c><c r="Z100" s="373" t="n"><v>233.4</v></c><c r="AA100" s="380"><f>AA99</f><v /></c><c r="AB100" s="381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9"><f>AI99</f><v /></c><c r="AJ100" s="379"><f>AJ99</f><v /></c><c r="AK100" s="373"><f>Z100</f><v /></c><c r="AL100" s="373" t="n"><v>238.46</v></c><c r="AM100" s="382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3"><f>IF(I100&gt;=1,"NO CONFORME",IF(BK100="SIGDIFERENTES",BC100,BL100))</f><v /></c><c r="AU100" s="365"><f>B100=C100</f><v /></c><c r="AV100" s="365"><f>N100&lt;Y100</f><v /></c><c r="AW100" s="365"><f>Z100&lt;=AK100</f><v /></c><c r="AX100" s="365"><f>IF(I100&gt;=1,"Qcorrecto",IF(AND(AY100="aceptable",AZ100="aceptable",BA100="aceptable"),"Qcorrecto","Qincorrecto"))</f><v /></c><c r="AY100" s="366"><f>IF(AR100&lt;$AH$6,"error",IF(AR100&gt;$AH$6*1.1,"error","aceptable"))</f><v /></c><c r="AZ100" s="366"><f>IF(AF100&lt;$V$6,"error",IF(AF100&gt;$V$6*1.1,"error","aceptable"))</f><v /></c><c r="BA100" s="366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7"><f>SIGN(U100)</f><v /></c><c r="BE100" s="367"><f>SIGN(AG100)</f><v /></c><c r="BF100" s="367"><f>SIGN(AS100)</f><v /></c><c r="BG100" s="367"><f>CONCATENATE(BD100,BE100,BF100)</f><v /></c><c r="BH100" s="367"><f>IF(BG100="111","SI","SD")</f><v /></c><c r="BI100" s="367"><f>IF(BG100="-1-1-1","SI","SD")</f><v /></c><c r="BJ100" s="367"><f>OR(BH100="SI",BI100="SI")</f><v /></c><c r="BK100" s="367"><f>IF(BJ100=FALSE,"SIGDIFERENTES","SIGIGUALES")</f><v /></c><c r="BL100" s="366"><f>IF(BC100="NO CONFORME","NO CONFORME",IF(BB100="CONFORME","CONFORME","NO CONFORME"))</f><v /></c></row><row r="101" ht="14.4" customHeight="1" thickBot="1"><c r="A101" s="451" t="n"><v>93</v></c><c r="B101" s="369"><f>B100</f><v /></c><c r="C101" s="369"><f>C100</f><v /></c><c r="D101" s="370"><f>D100</f><v /></c><c r="E101" s="371"><f>E100</f><v /></c><c r="F101" s="13" t="n" /><c r="G101" s="300" t="inlineStr"><is><t>PA25517215</t></is></c><c r="H101" s="313"><f>H100</f><v /></c><c r="I101" s="38"><f>I100</f><v /></c><c r="J101" s="314"><f>J100</f><v /></c><c r="K101" s="372"><f>K100</f><v /></c><c r="L101" s="372"><f>L100</f><v /></c><c r="M101" s="373" t="n"><v>115.65</v></c><c r="N101" s="373" t="n"><v>216.2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9"><f>W100</f><v /></c><c r="X101" s="379"><f>X100</f><v /></c><c r="Y101" s="373" t="n"><v>222</v></c><c r="Z101" s="373" t="n"><v>231.97</v></c><c r="AA101" s="380"><f>AA100</f><v /></c><c r="AB101" s="381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9"><f>AI100</f><v /></c><c r="AJ101" s="379"><f>AJ100</f><v /></c><c r="AK101" s="373"><f>Z101</f><v /></c><c r="AL101" s="373" t="n"><v>237.03</v></c><c r="AM101" s="382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3"><f>IF(I101&gt;=1,"NO CONFORME",IF(BK101="SIGDIFERENTES",BC101,BL101))</f><v /></c><c r="AU101" s="365"><f>B101=C101</f><v /></c><c r="AV101" s="365"><f>N101&lt;Y101</f><v /></c><c r="AW101" s="365"><f>Z101&lt;=AK101</f><v /></c><c r="AX101" s="365"><f>IF(I101&gt;=1,"Qcorrecto",IF(AND(AY101="aceptable",AZ101="aceptable",BA101="aceptable"),"Qcorrecto","Qincorrecto"))</f><v /></c><c r="AY101" s="366"><f>IF(AR101&lt;$AH$6,"error",IF(AR101&gt;$AH$6*1.1,"error","aceptable"))</f><v /></c><c r="AZ101" s="366"><f>IF(AF101&lt;$V$6,"error",IF(AF101&gt;$V$6*1.1,"error","aceptable"))</f><v /></c><c r="BA101" s="366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7"><f>SIGN(U101)</f><v /></c><c r="BE101" s="367"><f>SIGN(AG101)</f><v /></c><c r="BF101" s="367"><f>SIGN(AS101)</f><v /></c><c r="BG101" s="367"><f>CONCATENATE(BD101,BE101,BF101)</f><v /></c><c r="BH101" s="367"><f>IF(BG101="111","SI","SD")</f><v /></c><c r="BI101" s="367"><f>IF(BG101="-1-1-1","SI","SD")</f><v /></c><c r="BJ101" s="367"><f>OR(BH101="SI",BI101="SI")</f><v /></c><c r="BK101" s="367"><f>IF(BJ101=FALSE,"SIGDIFERENTES","SIGIGUALES")</f><v /></c><c r="BL101" s="366"><f>IF(BC101="NO CONFORME","NO CONFORME",IF(BB101="CONFORME","CONFORME","NO CONFORME"))</f><v /></c></row><row r="102" ht="14.4" customHeight="1" thickBot="1"><c r="A102" s="451" t="n"><v>94</v></c><c r="B102" s="369"><f>B101</f><v /></c><c r="C102" s="369"><f>C101</f><v /></c><c r="D102" s="370"><f>D101</f><v /></c><c r="E102" s="371"><f>E101</f><v /></c><c r="F102" s="13" t="n" /><c r="G102" s="300" t="inlineStr"><is><t>PA25517216</t></is></c><c r="H102" s="313"><f>H101</f><v /></c><c r="I102" s="38"><f>I101</f><v /></c><c r="J102" s="314"><f>J101</f><v /></c><c r="K102" s="372"><f>K101</f><v /></c><c r="L102" s="372"><f>L101</f><v /></c><c r="M102" s="373" t="n"><v>116</v></c><c r="N102" s="373" t="n"><v>216.31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9"><f>W101</f><v /></c><c r="X102" s="379"><f>X101</f><v /></c><c r="Y102" s="373" t="n"><v>222.1</v></c><c r="Z102" s="373" t="n"><v>232.06</v></c><c r="AA102" s="380"><f>AA101</f><v /></c><c r="AB102" s="381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9"><f>AI101</f><v /></c><c r="AJ102" s="379"><f>AJ101</f><v /></c><c r="AK102" s="373"><f>Z102</f><v /></c><c r="AL102" s="373" t="n"><v>237.13</v></c><c r="AM102" s="382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3"><f>IF(I102&gt;=1,"NO CONFORME",IF(BK102="SIGDIFERENTES",BC102,BL102))</f><v /></c><c r="AU102" s="365"><f>B102=C102</f><v /></c><c r="AV102" s="365"><f>N102&lt;Y102</f><v /></c><c r="AW102" s="365"><f>Z102&lt;=AK102</f><v /></c><c r="AX102" s="365"><f>IF(I102&gt;=1,"Qcorrecto",IF(AND(AY102="aceptable",AZ102="aceptable",BA102="aceptable"),"Qcorrecto","Qincorrecto"))</f><v /></c><c r="AY102" s="366"><f>IF(AR102&lt;$AH$6,"error",IF(AR102&gt;$AH$6*1.1,"error","aceptable"))</f><v /></c><c r="AZ102" s="366"><f>IF(AF102&lt;$V$6,"error",IF(AF102&gt;$V$6*1.1,"error","aceptable"))</f><v /></c><c r="BA102" s="366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7"><f>SIGN(U102)</f><v /></c><c r="BE102" s="367"><f>SIGN(AG102)</f><v /></c><c r="BF102" s="367"><f>SIGN(AS102)</f><v /></c><c r="BG102" s="367"><f>CONCATENATE(BD102,BE102,BF102)</f><v /></c><c r="BH102" s="367"><f>IF(BG102="111","SI","SD")</f><v /></c><c r="BI102" s="367"><f>IF(BG102="-1-1-1","SI","SD")</f><v /></c><c r="BJ102" s="367"><f>OR(BH102="SI",BI102="SI")</f><v /></c><c r="BK102" s="367"><f>IF(BJ102=FALSE,"SIGDIFERENTES","SIGIGUALES")</f><v /></c><c r="BL102" s="366"><f>IF(BC102="NO CONFORME","NO CONFORME",IF(BB102="CONFORME","CONFORME","NO CONFORME"))</f><v /></c></row><row r="103" ht="14.4" customHeight="1" thickBot="1"><c r="A103" s="451" t="n"><v>95</v></c><c r="B103" s="369"><f>B102</f><v /></c><c r="C103" s="369"><f>C102</f><v /></c><c r="D103" s="370"><f>D102</f><v /></c><c r="E103" s="371"><f>E102</f><v /></c><c r="F103" s="13" t="n" /><c r="G103" s="300" t="inlineStr"><is><t>PA25517217</t></is></c><c r="H103" s="313"><f>H102</f><v /></c><c r="I103" s="38"><f>I102</f><v /></c><c r="J103" s="314"><f>J102</f><v /></c><c r="K103" s="372"><f>K102</f><v /></c><c r="L103" s="372"><f>L102</f><v /></c><c r="M103" s="373" t="n"><v>115.2</v></c><c r="N103" s="373" t="n"><v>215.7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9"><f>W102</f><v /></c><c r="X103" s="379"><f>X102</f><v /></c><c r="Y103" s="373" t="n"><v>221.5</v></c><c r="Z103" s="373" t="n"><v>231.49</v></c><c r="AA103" s="380"><f>AA102</f><v /></c><c r="AB103" s="381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9"><f>AI102</f><v /></c><c r="AJ103" s="379"><f>AJ102</f><v /></c><c r="AK103" s="373"><f>Z103</f><v /></c><c r="AL103" s="373" t="n"><v>236.52</v></c><c r="AM103" s="382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3"><f>IF(I103&gt;=1,"NO CONFORME",IF(BK103="SIGDIFERENTES",BC103,BL103))</f><v /></c><c r="AU103" s="365"><f>B103=C103</f><v /></c><c r="AV103" s="365"><f>N103&lt;Y103</f><v /></c><c r="AW103" s="365"><f>Z103&lt;=AK103</f><v /></c><c r="AX103" s="365"><f>IF(I103&gt;=1,"Qcorrecto",IF(AND(AY103="aceptable",AZ103="aceptable",BA103="aceptable"),"Qcorrecto","Qincorrecto"))</f><v /></c><c r="AY103" s="366"><f>IF(AR103&lt;$AH$6,"error",IF(AR103&gt;$AH$6*1.1,"error","aceptable"))</f><v /></c><c r="AZ103" s="366"><f>IF(AF103&lt;$V$6,"error",IF(AF103&gt;$V$6*1.1,"error","aceptable"))</f><v /></c><c r="BA103" s="366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7"><f>SIGN(U103)</f><v /></c><c r="BE103" s="367"><f>SIGN(AG103)</f><v /></c><c r="BF103" s="367"><f>SIGN(AS103)</f><v /></c><c r="BG103" s="367"><f>CONCATENATE(BD103,BE103,BF103)</f><v /></c><c r="BH103" s="367"><f>IF(BG103="111","SI","SD")</f><v /></c><c r="BI103" s="367"><f>IF(BG103="-1-1-1","SI","SD")</f><v /></c><c r="BJ103" s="367"><f>OR(BH103="SI",BI103="SI")</f><v /></c><c r="BK103" s="367"><f>IF(BJ103=FALSE,"SIGDIFERENTES","SIGIGUALES")</f><v /></c><c r="BL103" s="366"><f>IF(BC103="NO CONFORME","NO CONFORME",IF(BB103="CONFORME","CONFORME","NO CONFORME"))</f><v /></c></row><row r="104" ht="14.4" customHeight="1" thickBot="1"><c r="A104" s="451" t="n"><v>96</v></c><c r="B104" s="369"><f>B103</f><v /></c><c r="C104" s="369"><f>C103</f><v /></c><c r="D104" s="370"><f>D103</f><v /></c><c r="E104" s="371"><f>E103</f><v /></c><c r="F104" s="13" t="n" /><c r="G104" s="300" t="inlineStr"><is><t>PA25517218</t></is></c><c r="H104" s="313"><f>H103</f><v /></c><c r="I104" s="38"><f>I103</f><v /></c><c r="J104" s="314"><f>J103</f><v /></c><c r="K104" s="372"><f>K103</f><v /></c><c r="L104" s="372"><f>L103</f><v /></c><c r="M104" s="373" t="n"><v>114.2</v></c><c r="N104" s="373" t="n"><v>215.25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9"><f>W103</f><v /></c><c r="X104" s="379"><f>X103</f><v /></c><c r="Y104" s="373" t="n"><v>221.06</v></c><c r="Z104" s="373" t="n"><v>231.04</v></c><c r="AA104" s="380"><f>AA103</f><v /></c><c r="AB104" s="381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9"><f>AI103</f><v /></c><c r="AJ104" s="379"><f>AJ103</f><v /></c><c r="AK104" s="373"><f>Z104</f><v /></c><c r="AL104" s="373" t="n"><v>236.06</v></c><c r="AM104" s="382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3"><f>IF(I104&gt;=1,"NO CONFORME",IF(BK104="SIGDIFERENTES",BC104,BL104))</f><v /></c><c r="AU104" s="365"><f>B104=C104</f><v /></c><c r="AV104" s="365"><f>N104&lt;Y104</f><v /></c><c r="AW104" s="365"><f>Z104&lt;=AK104</f><v /></c><c r="AX104" s="365"><f>IF(I104&gt;=1,"Qcorrecto",IF(AND(AY104="aceptable",AZ104="aceptable",BA104="aceptable"),"Qcorrecto","Qincorrecto"))</f><v /></c><c r="AY104" s="366"><f>IF(AR104&lt;$AH$6,"error",IF(AR104&gt;$AH$6*1.1,"error","aceptable"))</f><v /></c><c r="AZ104" s="366"><f>IF(AF104&lt;$V$6,"error",IF(AF104&gt;$V$6*1.1,"error","aceptable"))</f><v /></c><c r="BA104" s="366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7"><f>SIGN(U104)</f><v /></c><c r="BE104" s="367"><f>SIGN(AG104)</f><v /></c><c r="BF104" s="367"><f>SIGN(AS104)</f><v /></c><c r="BG104" s="367"><f>CONCATENATE(BD104,BE104,BF104)</f><v /></c><c r="BH104" s="367"><f>IF(BG104="111","SI","SD")</f><v /></c><c r="BI104" s="367"><f>IF(BG104="-1-1-1","SI","SD")</f><v /></c><c r="BJ104" s="367"><f>OR(BH104="SI",BI104="SI")</f><v /></c><c r="BK104" s="367"><f>IF(BJ104=FALSE,"SIGDIFERENTES","SIGIGUALES")</f><v /></c><c r="BL104" s="366"><f>IF(BC104="NO CONFORME","NO CONFORME",IF(BB104="CONFORME","CONFORME","NO CONFORME"))</f><v /></c></row><row r="105" ht="14.4" customHeight="1" thickBot="1"><c r="A105" s="451" t="n"><v>97</v></c><c r="B105" s="369"><f>B104</f><v /></c><c r="C105" s="369"><f>C104</f><v /></c><c r="D105" s="370"><f>D104</f><v /></c><c r="E105" s="371"><f>E104</f><v /></c><c r="F105" s="13" t="n" /><c r="G105" s="300" t="inlineStr"><is><t>PA25517219</t></is></c><c r="H105" s="313"><f>H104</f><v /></c><c r="I105" s="38"><f>I104</f><v /></c><c r="J105" s="314"><f>J104</f><v /></c><c r="K105" s="372"><f>K104</f><v /></c><c r="L105" s="372"><f>L104</f><v /></c><c r="M105" s="373" t="n"><v>117.66</v></c><c r="N105" s="373" t="n"><v>218.3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9"><f>W104</f><v /></c><c r="X105" s="379"><f>X104</f><v /></c><c r="Y105" s="373" t="n"><v>224.1</v></c><c r="Z105" s="373" t="n"><v>234.15</v></c><c r="AA105" s="380"><f>AA104</f><v /></c><c r="AB105" s="381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9"><f>AI104</f><v /></c><c r="AJ105" s="379"><f>AJ104</f><v /></c><c r="AK105" s="373"><f>Z105</f><v /></c><c r="AL105" s="373" t="n"><v>239.21</v></c><c r="AM105" s="382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3"><f>IF(I105&gt;=1,"NO CONFORME",IF(BK105="SIGDIFERENTES",BC105,BL105))</f><v /></c><c r="AU105" s="365"><f>B105=C105</f><v /></c><c r="AV105" s="365"><f>N105&lt;Y105</f><v /></c><c r="AW105" s="365"><f>Z105&lt;=AK105</f><v /></c><c r="AX105" s="365"><f>IF(I105&gt;=1,"Qcorrecto",IF(AND(AY105="aceptable",AZ105="aceptable",BA105="aceptable"),"Qcorrecto","Qincorrecto"))</f><v /></c><c r="AY105" s="366"><f>IF(AR105&lt;$AH$6,"error",IF(AR105&gt;$AH$6*1.1,"error","aceptable"))</f><v /></c><c r="AZ105" s="366"><f>IF(AF105&lt;$V$6,"error",IF(AF105&gt;$V$6*1.1,"error","aceptable"))</f><v /></c><c r="BA105" s="366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7"><f>SIGN(U105)</f><v /></c><c r="BE105" s="367"><f>SIGN(AG105)</f><v /></c><c r="BF105" s="367"><f>SIGN(AS105)</f><v /></c><c r="BG105" s="367"><f>CONCATENATE(BD105,BE105,BF105)</f><v /></c><c r="BH105" s="367"><f>IF(BG105="111","SI","SD")</f><v /></c><c r="BI105" s="367"><f>IF(BG105="-1-1-1","SI","SD")</f><v /></c><c r="BJ105" s="367"><f>OR(BH105="SI",BI105="SI")</f><v /></c><c r="BK105" s="367"><f>IF(BJ105=FALSE,"SIGDIFERENTES","SIGIGUALES")</f><v /></c><c r="BL105" s="366"><f>IF(BC105="NO CONFORME","NO CONFORME",IF(BB105="CONFORME","CONFORME","NO CONFORME"))</f><v /></c></row><row r="106" ht="15" customHeight="1" thickBot="1"><c r="A106" s="473" t="n"><v>98</v></c><c r="B106" s="454"><f>B105</f><v /></c><c r="C106" s="454"><f>C105</f><v /></c><c r="D106" s="455"><f>D105</f><v /></c><c r="E106" s="474"><f>E105</f><v /></c><c r="F106" s="52" t="n" /><c r="G106" s="337" t="inlineStr"><is><t>PA25517220</t></is></c><c r="H106" s="326"><f>H105</f><v /></c><c r="I106" s="98"><f>I105</f><v /></c><c r="J106" s="327"><f>J105</f><v /></c><c r="K106" s="458"><f>K105</f><v /></c><c r="L106" s="458"><f>L105</f><v /></c><c r="M106" s="459" t="n"><v>113.37</v></c><c r="N106" s="459" t="n"><v>214.15</v></c><c r="O106" s="460"><f>O105</f><v /></c><c r="P106" s="461"><f>P105</f><v /></c><c r="Q106" s="462"><f>LEFT(P106,1)</f><v /></c><c r="R106" s="462"><f>RIGHT(P106,6)</f><v /></c><c r="S106" s="462"><f>+(Q106*60+R106)/(60*60)</f><v /></c><c r="T106" s="463"><f>+O106/S106</f><v /></c><c r="U106" s="464"><f>+(((N106-M106-O106)/O106)*100)</f><v /></c><c r="V106" s="329"><f>V105</f><v /></c><c r="W106" s="465"><f>W105</f><v /></c><c r="X106" s="465"><f>X105</f><v /></c><c r="Y106" s="459" t="n"><v>219.95</v></c><c r="Z106" s="459" t="n"><v>230.02</v></c><c r="AA106" s="466"><f>AA105</f><v /></c><c r="AB106" s="467"><f>AB105</f><v /></c><c r="AC106" s="462"><f>LEFT(AB106,2)</f><v /></c><c r="AD106" s="462"><f>RIGHT(AB106,6)</f><v /></c><c r="AE106" s="462"><f>+(AC106*60+AD106)/(60*60)</f><v /></c><c r="AF106" s="463"><f>+AA106/AE106</f><v /></c><c r="AG106" s="468"><f>+(((Z106-Y106-AA106)/AA106)*100)</f><v /></c><c r="AH106" s="329"><f>AH105</f><v /></c><c r="AI106" s="465"><f>AI105</f><v /></c><c r="AJ106" s="465"><f>AJ105</f><v /></c><c r="AK106" s="459"><f>Z106</f><v /></c><c r="AL106" s="459" t="n"><v>235.14</v></c><c r="AM106" s="469"><f>AM105</f><v /></c><c r="AN106" s="461"><f>AN105</f><v /></c><c r="AO106" s="462"><f>LEFT(AN106,2)</f><v /></c><c r="AP106" s="462"><f>RIGHT(AN106,6)</f><v /></c><c r="AQ106" s="462"><f>+(AO106*60+AP106)/(60*60)</f><v /></c><c r="AR106" s="463"><f>+AM106/AQ106</f><v /></c><c r="AS106" s="468"><f>+(((AL106-AK106-AM106)/AM106)*100)</f><v /></c><c r="AT106" s="470"><f>IF(I106&gt;=1,"NO CONFORME",IF(BK106="SIGDIFERENTES",BC106,BL106))</f><v /></c><c r="AU106" s="426"><f>B106=C106</f><v /></c><c r="AV106" s="426"><f>N106&lt;Y106</f><v /></c><c r="AW106" s="426"><f>Z106&lt;=AK106</f><v /></c><c r="AX106" s="426"><f>IF(I106&gt;=1,"Qcorrecto",IF(AND(AY106="aceptable",AZ106="aceptable",BA106="aceptable"),"Qcorrecto","Qincorrecto"))</f><v /></c><c r="AY106" s="427"><f>IF(AR106&lt;$AH$6,"error",IF(AR106&gt;$AH$6*1.1,"error","aceptable"))</f><v /></c><c r="AZ106" s="427"><f>IF(AF106&lt;$V$6,"error",IF(AF106&gt;$V$6*1.1,"error","aceptable"))</f><v /></c><c r="BA106" s="427"><f>IF(T106&lt;$J$6*0.9,"error",IF(T106&gt;$J$6,"error","aceptable"))</f><v /></c><c r="BB106" s="428"><f>(IF(ABS(U106)&lt;1.05,"CONFORME",IF(ABS(AG106)&lt;1.05,"CONFORME",IF(ABS(AS106)&lt;2.55,"CONFORME","NO CONFORME"))))</f><v /></c><c r="BC106" s="429"><f>(IF(ABS(U106)&gt;2.05,"NO CONFORME",IF(ABS(AG106)&gt;2.05,"NO CONFORME",IF(ABS(AS106)&gt;5.05,"NO CONFORME","CONFORME"))))</f><v /></c><c r="BD106" s="430"><f>SIGN(U106)</f><v /></c><c r="BE106" s="430"><f>SIGN(AG106)</f><v /></c><c r="BF106" s="430"><f>SIGN(AS106)</f><v /></c><c r="BG106" s="430"><f>CONCATENATE(BD106,BE106,BF106)</f><v /></c><c r="BH106" s="430"><f>IF(BG106="111","SI","SD")</f><v /></c><c r="BI106" s="430"><f>IF(BG106="-1-1-1","SI","SD")</f><v /></c><c r="BJ106" s="430"><f>OR(BH106="SI",BI106="SI")</f><v /></c><c r="BK106" s="430"><f>IF(BJ106=FALSE,"SIGDIFERENTES","SIGIGUALES")</f><v /></c><c r="BL106" s="427"><f>IF(BC106="NO CONFORME","NO CONFORME",IF(BB106="CONFORME","CONFORME","NO CONFORME"))</f><v /></c></row><row r="107" ht="15" customHeight="1" thickBot="1"><c r="A107" s="351" t="n"><v>99</v></c><c r="B107" s="386"><f>B106</f><v /></c><c r="C107" s="386"><f>C106</f><v /></c><c r="D107" s="387"><f>D106</f><v /></c><c r="E107" s="475"><f>E106</f><v /></c><c r="F107" s="58" t="n" /><c r="G107" s="337" t="inlineStr"><is><t>PA25517221</t></is></c><c r="H107" s="388"><f>H106</f><v /></c><c r="I107" s="232"><f>I106</f><v /></c><c r="J107" s="389" t="n"><v>21.1</v></c><c r="K107" s="390" t="n"><v>7.893</v></c><c r="L107" s="390" t="n"><v>0.5580000000000001</v></c><c r="M107" s="356" t="n"><v>108.04</v></c><c r="N107" s="356" t="n"><v>208.16</v></c><c r="O107" s="391" t="n"><v>100.6</v></c><c r="P107" s="392" t="inlineStr"><is><t>2,29,460</t></is></c><c r="Q107" s="359"><f>LEFT(P107,1)</f><v /></c><c r="R107" s="359"><f>RIGHT(P107,6)</f><v /></c><c r="S107" s="359"><f>+(Q107*60+R107)/(60*60)</f><v /></c><c r="T107" s="360"><f>+O107/S107</f><v /></c><c r="U107" s="361"><f>+(((N107-M107-O107)/O107)*100)</f><v /></c><c r="V107" s="393" t="n"><v>21.2</v></c><c r="W107" s="394" t="n"><v>1.509</v></c><c r="X107" s="394" t="n"><v>1.504</v></c><c r="Y107" s="356" t="n"><v>213.8</v></c><c r="Z107" s="356" t="n"><v>223.8</v></c><c r="AA107" s="395" t="n"><v>10.015</v></c><c r="AB107" s="396" t="inlineStr"><is><t>22,08,570</t></is></c><c r="AC107" s="359"><f>LEFT(AB107,2)</f><v /></c><c r="AD107" s="359"><f>RIGHT(AB107,6)</f><v /></c><c r="AE107" s="359"><f>+(AC107*60+AD107)/(60*60)</f><v /></c><c r="AF107" s="360"><f>+AA107/AE107</f><v /></c><c r="AG107" s="362"><f>+(((Z107-Y107-AA107)/AA107)*100)</f><v /></c><c r="AH107" s="393" t="n"><v>21.2</v></c><c r="AI107" s="394" t="n"><v>1.508</v></c><c r="AJ107" s="394" t="n"><v>1.507</v></c><c r="AK107" s="356"><f>Z107</f><v /></c><c r="AL107" s="356" t="n"><v>228.87</v></c><c r="AM107" s="397" t="n"><v>5.016</v></c><c r="AN107" s="392" t="inlineStr"><is><t>17,57,310</t></is></c><c r="AO107" s="359"><f>LEFT(AN107,2)</f><v /></c><c r="AP107" s="359"><f>RIGHT(AN107,6)</f><v /></c><c r="AQ107" s="359"><f>+(AO107*60+AP107)/(60*60)</f><v /></c><c r="AR107" s="360"><f>+AM107/AQ107</f><v /></c><c r="AS107" s="362"><f>+(((AL107-AK107-AM107)/AM107)*100)</f><v /></c><c r="AT107" s="364"><f>IF(I107&gt;=1,"NO CONFORME",IF(BK107="SIGDIFERENTES",BC107,BL107))</f><v /></c><c r="AU107" s="365"><f>B107=C107</f><v /></c><c r="AV107" s="365"><f>N107&lt;Y107</f><v /></c><c r="AW107" s="365"><f>Z107&lt;=AK107</f><v /></c><c r="AX107" s="365"><f>IF(I107&gt;=1,"Qcorrecto",IF(AND(AY107="aceptable",AZ107="aceptable",BA107="aceptable"),"Qcorrecto","Qincorrecto"))</f><v /></c><c r="AY107" s="368"><f>IF(AR107&lt;$AH$6,"error",IF(AR107&gt;$AH$6*1.1,"error","aceptable"))</f><v /></c><c r="AZ107" s="368"><f>IF(AF107&lt;$V$6,"error",IF(AF107&gt;$V$6*1.1,"error","aceptable"))</f><v /></c><c r="BA107" s="368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7"><f>SIGN(U107)</f><v /></c><c r="BE107" s="367"><f>SIGN(AG107)</f><v /></c><c r="BF107" s="367"><f>SIGN(AS107)</f><v /></c><c r="BG107" s="367"><f>CONCATENATE(BD107,BE107,BF107)</f><v /></c><c r="BH107" s="367"><f>IF(BG107="111","SI","SD")</f><v /></c><c r="BI107" s="367"><f>IF(BG107="-1-1-1","SI","SD")</f><v /></c><c r="BJ107" s="367"><f>OR(BH107="SI",BI107="SI")</f><v /></c><c r="BK107" s="367"><f>IF(BJ107=FALSE,"SIGDIFERENTES","SIGIGUALES")</f><v /></c><c r="BL107" s="368"><f>IF(BC107="NO CONFORME","NO CONFORME",IF(BB107="CONFORME","CONFORME","NO CONFORME"))</f><v /></c></row><row r="108" ht="15" customHeight="1" thickBot="1"><c r="A108" s="451" t="n"><v>100</v></c><c r="B108" s="369"><f>B107</f><v /></c><c r="C108" s="369"><f>C107</f><v /></c><c r="D108" s="370"><f>D107</f><v /></c><c r="E108" s="371"><f>E107</f><v /></c><c r="F108" s="13" t="n" /><c r="G108" s="337" t="inlineStr"><is><t>PA25517222</t></is></c><c r="H108" s="313"><f>H107</f><v /></c><c r="I108" s="38"><f>I107</f><v /></c><c r="J108" s="314"><f>J107</f><v /></c><c r="K108" s="372"><f>K107</f><v /></c><c r="L108" s="372"><f>L107</f><v /></c><c r="M108" s="373" t="n"><v>103.25</v></c><c r="N108" s="373" t="n"><v>202.85</v></c><c r="O108" s="374"><f>O107</f><v /></c><c r="P108" s="375"><f>P107</f><v /></c><c r="Q108" s="376"><f>LEFT(P108,1)</f><v /></c><c r="R108" s="376"><f>RIGHT(P108,6)</f><v /></c><c r="S108" s="376"><f>+(Q108*60+R108)/(60*60)</f><v /></c><c r="T108" s="377"><f>+O108/S108</f><v /></c><c r="U108" s="378"><f>+(((N108-M108-O108)/O108)*100)</f><v /></c><c r="V108" s="317"><f>V107</f><v /></c><c r="W108" s="379"><f>W107</f><v /></c><c r="X108" s="379"><f>X107</f><v /></c><c r="Y108" s="373" t="n"><v>208.46</v></c><c r="Z108" s="373" t="n"><v>218.45</v></c><c r="AA108" s="380"><f>AA107</f><v /></c><c r="AB108" s="381"><f>AB107</f><v /></c><c r="AC108" s="376"><f>LEFT(AB108,2)</f><v /></c><c r="AD108" s="376"><f>RIGHT(AB108,6)</f><v /></c><c r="AE108" s="376"><f>+(AC108*60+AD108)/(60*60)</f><v /></c><c r="AF108" s="377"><f>+AA108/AE108</f><v /></c><c r="AG108" s="321"><f>+(((Z108-Y108-AA108)/AA108)*100)</f><v /></c><c r="AH108" s="317"><f>AH107</f><v /></c><c r="AI108" s="379"><f>AI107</f><v /></c><c r="AJ108" s="379"><f>AJ107</f><v /></c><c r="AK108" s="373"><f>Z108</f><v /></c><c r="AL108" s="373" t="n"><v>223.49</v></c><c r="AM108" s="382"><f>AM107</f><v /></c><c r="AN108" s="375"><f>AN107</f><v /></c><c r="AO108" s="376"><f>LEFT(AN108,2)</f><v /></c><c r="AP108" s="376"><f>RIGHT(AN108,6)</f><v /></c><c r="AQ108" s="376"><f>+(AO108*60+AP108)/(60*60)</f><v /></c><c r="AR108" s="377"><f>+AM108/AQ108</f><v /></c><c r="AS108" s="321"><f>+(((AL108-AK108-AM108)/AM108)*100)</f><v /></c><c r="AT108" s="383"><f>IF(I108&gt;=1,"NO CONFORME",IF(BK108="SIGDIFERENTES",BC108,BL108))</f><v /></c><c r="AU108" s="365"><f>B108=C108</f><v /></c><c r="AV108" s="365"><f>N108&lt;Y108</f><v /></c><c r="AW108" s="365"><f>Z108&lt;=AK108</f><v /></c><c r="AX108" s="365"><f>IF(I108&gt;=1,"Qcorrecto",IF(AND(AY108="aceptable",AZ108="aceptable",BA108="aceptable"),"Qcorrecto","Qincorrecto"))</f><v /></c><c r="AY108" s="366"><f>IF(AR108&lt;$AH$6,"error",IF(AR108&gt;$AH$6*1.1,"error","aceptable"))</f><v /></c><c r="AZ108" s="366"><f>IF(AF108&lt;$V$6,"error",IF(AF108&gt;$V$6*1.1,"error","aceptable"))</f><v /></c><c r="BA108" s="366"><f>IF(T108&lt;$J$6*0.9,"error",IF(T108&gt;$J$6,"error","aceptable"))</f><v /></c><c r="BB108" s="25"><f>(IF(ABS(U108)&lt;1.05,"CONFORME",IF(ABS(AG108)&lt;1.05,"CONFORME",IF(ABS(AS108)&lt;2.55,"CONFORME","NO CONFORME"))))</f><v /></c><c r="BC108" s="5"><f>(IF(ABS(U108)&gt;2.05,"NO CONFORME",IF(ABS(AG108)&gt;2.05,"NO CONFORME",IF(ABS(AS108)&gt;5.05,"NO CONFORME","CONFORME"))))</f><v /></c><c r="BD108" s="367"><f>SIGN(U108)</f><v /></c><c r="BE108" s="367"><f>SIGN(AG108)</f><v /></c><c r="BF108" s="367"><f>SIGN(AS108)</f><v /></c><c r="BG108" s="367"><f>CONCATENATE(BD108,BE108,BF108)</f><v /></c><c r="BH108" s="367"><f>IF(BG108="111","SI","SD")</f><v /></c><c r="BI108" s="367"><f>IF(BG108="-1-1-1","SI","SD")</f><v /></c><c r="BJ108" s="367"><f>OR(BH108="SI",BI108="SI")</f><v /></c><c r="BK108" s="367"><f>IF(BJ108=FALSE,"SIGDIFERENTES","SIGIGUALES")</f><v /></c><c r="BL108" s="366"><f>IF(BC108="NO CONFORME","NO CONFORME",IF(BB108="CONFORME","CONFORME","NO CONFORME"))</f><v /></c></row><row r="109" ht="15" customHeight="1" thickBot="1"><c r="A109" s="451" t="n"><v>101</v></c><c r="B109" s="369"><f>B108</f><v /></c><c r="C109" s="369"><f>C108</f><v /></c><c r="D109" s="370"><f>D108</f><v /></c><c r="E109" s="371"><f>E108</f><v /></c><c r="F109" s="13" t="n" /><c r="G109" s="337" t="inlineStr"><is><t>PA25517223</t></is></c><c r="H109" s="313"><f>H108</f><v /></c><c r="I109" s="38"><f>I108</f><v /></c><c r="J109" s="314"><f>J108</f><v /></c><c r="K109" s="372"><f>K108</f><v /></c><c r="L109" s="372"><f>L108</f><v /></c><c r="M109" s="373" t="n"><v>103</v></c><c r="N109" s="373" t="n"><v>202.75</v></c><c r="O109" s="374"><f>O108</f><v /></c><c r="P109" s="375"><f>P108</f><v /></c><c r="Q109" s="376"><f>LEFT(P109,1)</f><v /></c><c r="R109" s="376"><f>RIGHT(P109,6)</f><v /></c><c r="S109" s="376"><f>+(Q109*60+R109)/(60*60)</f><v /></c><c r="T109" s="377"><f>+O109/S109</f><v /></c><c r="U109" s="378"><f>+(((N109-M109-O109)/O109)*100)</f><v /></c><c r="V109" s="317"><f>V108</f><v /></c><c r="W109" s="379"><f>W108</f><v /></c><c r="X109" s="379"><f>X108</f><v /></c><c r="Y109" s="373" t="n"><v>208.4</v></c><c r="Z109" s="373" t="n"><v>218.37</v></c><c r="AA109" s="380"><f>AA108</f><v /></c><c r="AB109" s="381"><f>AB108</f><v /></c><c r="AC109" s="376"><f>LEFT(AB109,2)</f><v /></c><c r="AD109" s="376"><f>RIGHT(AB109,6)</f><v /></c><c r="AE109" s="376"><f>+(AC109*60+AD109)/(60*60)</f><v /></c><c r="AF109" s="377"><f>+AA109/AE109</f><v /></c><c r="AG109" s="321"><f>+(((Z109-Y109-AA109)/AA109)*100)</f><v /></c><c r="AH109" s="317"><f>AH108</f><v /></c><c r="AI109" s="379"><f>AI108</f><v /></c><c r="AJ109" s="379"><f>AJ108</f><v /></c><c r="AK109" s="373"><f>Z109</f><v /></c><c r="AL109" s="373" t="n"><v>223.32</v></c><c r="AM109" s="382"><f>AM108</f><v /></c><c r="AN109" s="375"><f>AN108</f><v /></c><c r="AO109" s="376"><f>LEFT(AN109,2)</f><v /></c><c r="AP109" s="376"><f>RIGHT(AN109,6)</f><v /></c><c r="AQ109" s="376"><f>+(AO109*60+AP109)/(60*60)</f><v /></c><c r="AR109" s="377"><f>+AM109/AQ109</f><v /></c><c r="AS109" s="321"><f>+(((AL109-AK109-AM109)/AM109)*100)</f><v /></c><c r="AT109" s="383"><f>IF(I109&gt;=1,"NO CONFORME",IF(BK109="SIGDIFERENTES",BC109,BL109))</f><v /></c><c r="AU109" s="365"><f>B109=C109</f><v /></c><c r="AV109" s="365"><f>N109&lt;Y109</f><v /></c><c r="AW109" s="365"><f>Z109&lt;=AK109</f><v /></c><c r="AX109" s="365"><f>IF(I109&gt;=1,"Qcorrecto",IF(AND(AY109="aceptable",AZ109="aceptable",BA109="aceptable"),"Qcorrecto","Qincorrecto"))</f><v /></c><c r="AY109" s="366"><f>IF(AR109&lt;$AH$6,"error",IF(AR109&gt;$AH$6*1.1,"error","aceptable"))</f><v /></c><c r="AZ109" s="366"><f>IF(AF109&lt;$V$6,"error",IF(AF109&gt;$V$6*1.1,"error","aceptable"))</f><v /></c><c r="BA109" s="366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7"><f>SIGN(U109)</f><v /></c><c r="BE109" s="367"><f>SIGN(AG109)</f><v /></c><c r="BF109" s="367"><f>SIGN(AS109)</f><v /></c><c r="BG109" s="367"><f>CONCATENATE(BD109,BE109,BF109)</f><v /></c><c r="BH109" s="367"><f>IF(BG109="111","SI","SD")</f><v /></c><c r="BI109" s="367"><f>IF(BG109="-1-1-1","SI","SD")</f><v /></c><c r="BJ109" s="367"><f>OR(BH109="SI",BI109="SI")</f><v /></c><c r="BK109" s="367"><f>IF(BJ109=FALSE,"SIGDIFERENTES","SIGIGUALES")</f><v /></c><c r="BL109" s="366"><f>IF(BC109="NO CONFORME","NO CONFORME",IF(BB109="CONFORME","CONFORME","NO CONFORME"))</f><v /></c></row><row r="110" ht="15" customHeight="1" thickBot="1"><c r="A110" s="451" t="n"><v>102</v></c><c r="B110" s="369"><f>B109</f><v /></c><c r="C110" s="369"><f>C109</f><v /></c><c r="D110" s="370"><f>D109</f><v /></c><c r="E110" s="371"><f>E109</f><v /></c><c r="F110" s="13" t="n" /><c r="G110" s="337" t="inlineStr"><is><t>PA25517224</t></is></c><c r="H110" s="313"><f>H109</f><v /></c><c r="I110" s="38"><f>I109</f><v /></c><c r="J110" s="314"><f>J109</f><v /></c><c r="K110" s="372"><f>K109</f><v /></c><c r="L110" s="372"><f>L109</f><v /></c><c r="M110" s="373" t="n"><v>106.45</v></c><c r="N110" s="373" t="n"><v>206.46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9"><f>W109</f><v /></c><c r="X110" s="379"><f>X109</f><v /></c><c r="Y110" s="373" t="n"><v>212.1</v></c><c r="Z110" s="373" t="n"><v>222.1</v></c><c r="AA110" s="380"><f>AA109</f><v /></c><c r="AB110" s="381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9"><f>AI109</f><v /></c><c r="AJ110" s="379"><f>AJ109</f><v /></c><c r="AK110" s="373"><f>Z110</f><v /></c><c r="AL110" s="373" t="n"><v>227.15</v></c><c r="AM110" s="382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3"><f>IF(I110&gt;=1,"NO CONFORME",IF(BK110="SIGDIFERENTES",BC110,BL110))</f><v /></c><c r="AU110" s="365"><f>B110=C110</f><v /></c><c r="AV110" s="365"><f>N110&lt;Y110</f><v /></c><c r="AW110" s="365"><f>Z110&lt;=AK110</f><v /></c><c r="AX110" s="365"><f>IF(I110&gt;=1,"Qcorrecto",IF(AND(AY110="aceptable",AZ110="aceptable",BA110="aceptable"),"Qcorrecto","Qincorrecto"))</f><v /></c><c r="AY110" s="366"><f>IF(AR110&lt;$AH$6,"error",IF(AR110&gt;$AH$6*1.1,"error","aceptable"))</f><v /></c><c r="AZ110" s="366"><f>IF(AF110&lt;$V$6,"error",IF(AF110&gt;$V$6*1.1,"error","aceptable"))</f><v /></c><c r="BA110" s="366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7"><f>SIGN(U110)</f><v /></c><c r="BE110" s="367"><f>SIGN(AG110)</f><v /></c><c r="BF110" s="367"><f>SIGN(AS110)</f><v /></c><c r="BG110" s="367"><f>CONCATENATE(BD110,BE110,BF110)</f><v /></c><c r="BH110" s="367"><f>IF(BG110="111","SI","SD")</f><v /></c><c r="BI110" s="367"><f>IF(BG110="-1-1-1","SI","SD")</f><v /></c><c r="BJ110" s="367"><f>OR(BH110="SI",BI110="SI")</f><v /></c><c r="BK110" s="367"><f>IF(BJ110=FALSE,"SIGDIFERENTES","SIGIGUALES")</f><v /></c><c r="BL110" s="366"><f>IF(BC110="NO CONFORME","NO CONFORME",IF(BB110="CONFORME","CONFORME","NO CONFORME"))</f><v /></c></row><row r="111" ht="15" customHeight="1" thickBot="1"><c r="A111" s="451" t="n"><v>103</v></c><c r="B111" s="369"><f>B110</f><v /></c><c r="C111" s="369"><f>C110</f><v /></c><c r="D111" s="370"><f>D110</f><v /></c><c r="E111" s="371"><f>E110</f><v /></c><c r="F111" s="13" t="n" /><c r="G111" s="337" t="inlineStr"><is><t>PA25517225</t></is></c><c r="H111" s="313"><f>H110</f><v /></c><c r="I111" s="38"><f>I110</f><v /></c><c r="J111" s="314"><f>J110</f><v /></c><c r="K111" s="372"><f>K110</f><v /></c><c r="L111" s="372"><f>L110</f><v /></c><c r="M111" s="373" t="n"><v>105.64</v></c><c r="N111" s="373" t="n"><v>205.56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9"><f>W110</f><v /></c><c r="X111" s="379"><f>X110</f><v /></c><c r="Y111" s="373" t="n"><v>211.2</v></c><c r="Z111" s="373" t="n"><v>221.15</v></c><c r="AA111" s="380"><f>AA110</f><v /></c><c r="AB111" s="381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9"><f>AI110</f><v /></c><c r="AJ111" s="379"><f>AJ110</f><v /></c><c r="AK111" s="373"><f>Z111</f><v /></c><c r="AL111" s="373" t="n"><v>226.16</v></c><c r="AM111" s="382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3"><f>IF(I111&gt;=1,"NO CONFORME",IF(BK111="SIGDIFERENTES",BC111,BL111))</f><v /></c><c r="AU111" s="365"><f>B111=C111</f><v /></c><c r="AV111" s="365"><f>N111&lt;Y111</f><v /></c><c r="AW111" s="365"><f>Z111&lt;=AK111</f><v /></c><c r="AX111" s="365"><f>IF(I111&gt;=1,"Qcorrecto",IF(AND(AY111="aceptable",AZ111="aceptable",BA111="aceptable"),"Qcorrecto","Qincorrecto"))</f><v /></c><c r="AY111" s="366"><f>IF(AR111&lt;$AH$6,"error",IF(AR111&gt;$AH$6*1.1,"error","aceptable"))</f><v /></c><c r="AZ111" s="366"><f>IF(AF111&lt;$V$6,"error",IF(AF111&gt;$V$6*1.1,"error","aceptable"))</f><v /></c><c r="BA111" s="366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7"><f>SIGN(U111)</f><v /></c><c r="BE111" s="367"><f>SIGN(AG111)</f><v /></c><c r="BF111" s="367"><f>SIGN(AS111)</f><v /></c><c r="BG111" s="367"><f>CONCATENATE(BD111,BE111,BF111)</f><v /></c><c r="BH111" s="367"><f>IF(BG111="111","SI","SD")</f><v /></c><c r="BI111" s="367"><f>IF(BG111="-1-1-1","SI","SD")</f><v /></c><c r="BJ111" s="367"><f>OR(BH111="SI",BI111="SI")</f><v /></c><c r="BK111" s="367"><f>IF(BJ111=FALSE,"SIGDIFERENTES","SIGIGUALES")</f><v /></c><c r="BL111" s="366"><f>IF(BC111="NO CONFORME","NO CONFORME",IF(BB111="CONFORME","CONFORME","NO CONFORME"))</f><v /></c></row><row r="112" ht="15" customHeight="1" thickBot="1"><c r="A112" s="451" t="n"><v>104</v></c><c r="B112" s="369"><f>B111</f><v /></c><c r="C112" s="369"><f>C111</f><v /></c><c r="D112" s="370"><f>D111</f><v /></c><c r="E112" s="371"><f>E111</f><v /></c><c r="F112" s="13" t="n" /><c r="G112" s="337" t="inlineStr"><is><t>PA25517226</t></is></c><c r="H112" s="313"><f>H111</f><v /></c><c r="I112" s="38"><f>I111</f><v /></c><c r="J112" s="314"><f>J111</f><v /></c><c r="K112" s="372"><f>K111</f><v /></c><c r="L112" s="372"><f>L111</f><v /></c><c r="M112" s="373" t="n"><v>107.2</v></c><c r="N112" s="373" t="n"><v>207.9</v></c><c r="O112" s="374"><f>O111</f><v /></c><c r="P112" s="375"><f>P111</f><v /></c><c r="Q112" s="376"><f>LEFT(P112,1)</f><v /></c><c r="R112" s="376"><f>RIGHT(P112,6)</f><v /></c><c r="S112" s="376"><f>+(Q112*60+R112)/(60*60)</f><v /></c><c r="T112" s="377"><f>+O112/S112</f><v /></c><c r="U112" s="378"><f>+(((N112-M112-O112)/O112)*100)</f><v /></c><c r="V112" s="317"><f>V111</f><v /></c><c r="W112" s="379"><f>W111</f><v /></c><c r="X112" s="379"><f>X111</f><v /></c><c r="Y112" s="373" t="n"><v>213.57</v></c><c r="Z112" s="373" t="n"><v>223.62</v></c><c r="AA112" s="380"><f>AA111</f><v /></c><c r="AB112" s="381"><f>AB111</f><v /></c><c r="AC112" s="376"><f>LEFT(AB112,2)</f><v /></c><c r="AD112" s="376"><f>RIGHT(AB112,6)</f><v /></c><c r="AE112" s="376"><f>+(AC112*60+AD112)/(60*60)</f><v /></c><c r="AF112" s="377"><f>+AA112/AE112</f><v /></c><c r="AG112" s="321"><f>+(((Z112-Y112-AA112)/AA112)*100)</f><v /></c><c r="AH112" s="317"><f>AH111</f><v /></c><c r="AI112" s="379"><f>AI111</f><v /></c><c r="AJ112" s="379"><f>AJ111</f><v /></c><c r="AK112" s="373"><f>Z112</f><v /></c><c r="AL112" s="373" t="n"><v>228.7</v></c><c r="AM112" s="382"><f>AM111</f><v /></c><c r="AN112" s="375"><f>AN111</f><v /></c><c r="AO112" s="376"><f>LEFT(AN112,2)</f><v /></c><c r="AP112" s="376"><f>RIGHT(AN112,6)</f><v /></c><c r="AQ112" s="376"><f>+(AO112*60+AP112)/(60*60)</f><v /></c><c r="AR112" s="377"><f>+AM112/AQ112</f><v /></c><c r="AS112" s="321"><f>+(((AL112-AK112-AM112)/AM112)*100)</f><v /></c><c r="AT112" s="383"><f>IF(I112&gt;=1,"NO CONFORME",IF(BK112="SIGDIFERENTES",BC112,BL112))</f><v /></c><c r="AU112" s="365"><f>B112=C112</f><v /></c><c r="AV112" s="365"><f>N112&lt;Y112</f><v /></c><c r="AW112" s="365"><f>Z112&lt;=AK112</f><v /></c><c r="AX112" s="365"><f>IF(I112&gt;=1,"Qcorrecto",IF(AND(AY112="aceptable",AZ112="aceptable",BA112="aceptable"),"Qcorrecto","Qincorrecto"))</f><v /></c><c r="AY112" s="366"><f>IF(AR112&lt;$AH$6,"error",IF(AR112&gt;$AH$6*1.1,"error","aceptable"))</f><v /></c><c r="AZ112" s="366"><f>IF(AF112&lt;$V$6,"error",IF(AF112&gt;$V$6*1.1,"error","aceptable"))</f><v /></c><c r="BA112" s="366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67"><f>SIGN(U112)</f><v /></c><c r="BE112" s="367"><f>SIGN(AG112)</f><v /></c><c r="BF112" s="367"><f>SIGN(AS112)</f><v /></c><c r="BG112" s="367"><f>CONCATENATE(BD112,BE112,BF112)</f><v /></c><c r="BH112" s="367"><f>IF(BG112="111","SI","SD")</f><v /></c><c r="BI112" s="367"><f>IF(BG112="-1-1-1","SI","SD")</f><v /></c><c r="BJ112" s="367"><f>OR(BH112="SI",BI112="SI")</f><v /></c><c r="BK112" s="367"><f>IF(BJ112=FALSE,"SIGDIFERENTES","SIGIGUALES")</f><v /></c><c r="BL112" s="366"><f>IF(BC112="NO CONFORME","NO CONFORME",IF(BB112="CONFORME","CONFORME","NO CONFORME"))</f><v /></c></row><row r="113" ht="15" customHeight="1" thickBot="1"><c r="A113" s="451" t="n"><v>105</v></c><c r="B113" s="369"><f>B112</f><v /></c><c r="C113" s="369"><f>C112</f><v /></c><c r="D113" s="370"><f>D112</f><v /></c><c r="E113" s="371"><f>E112</f><v /></c><c r="F113" s="13" t="n" /><c r="G113" s="337" t="inlineStr"><is><t>PA25517227</t></is></c><c r="H113" s="313"><f>H112</f><v /></c><c r="I113" s="38"><f>I112</f><v /></c><c r="J113" s="314"><f>J112</f><v /></c><c r="K113" s="372"><f>K112</f><v /></c><c r="L113" s="372"><f>L112</f><v /></c><c r="M113" s="373" t="n"><v>106.43</v></c><c r="N113" s="373" t="n"><v>206.84</v></c><c r="O113" s="374"><f>O112</f><v /></c><c r="P113" s="375"><f>P112</f><v /></c><c r="Q113" s="376"><f>LEFT(P113,1)</f><v /></c><c r="R113" s="376"><f>RIGHT(P113,6)</f><v /></c><c r="S113" s="376"><f>+(Q113*60+R113)/(60*60)</f><v /></c><c r="T113" s="377"><f>+O113/S113</f><v /></c><c r="U113" s="378"><f>+(((N113-M113-O113)/O113)*100)</f><v /></c><c r="V113" s="317"><f>V112</f><v /></c><c r="W113" s="379"><f>W112</f><v /></c><c r="X113" s="379"><f>X112</f><v /></c><c r="Y113" s="373" t="n"><v>212.51</v></c><c r="Z113" s="373" t="n"><v>222.51</v></c><c r="AA113" s="380"><f>AA112</f><v /></c><c r="AB113" s="381"><f>AB112</f><v /></c><c r="AC113" s="376"><f>LEFT(AB113,2)</f><v /></c><c r="AD113" s="376"><f>RIGHT(AB113,6)</f><v /></c><c r="AE113" s="376"><f>+(AC113*60+AD113)/(60*60)</f><v /></c><c r="AF113" s="377"><f>+AA113/AE113</f><v /></c><c r="AG113" s="321"><f>+(((Z113-Y113-AA113)/AA113)*100)</f><v /></c><c r="AH113" s="317"><f>AH112</f><v /></c><c r="AI113" s="379"><f>AI112</f><v /></c><c r="AJ113" s="379"><f>AJ112</f><v /></c><c r="AK113" s="373"><f>Z113</f><v /></c><c r="AL113" s="373" t="n"><v>227.56</v></c><c r="AM113" s="382"><f>AM112</f><v /></c><c r="AN113" s="375"><f>AN112</f><v /></c><c r="AO113" s="376"><f>LEFT(AN113,2)</f><v /></c><c r="AP113" s="376"><f>RIGHT(AN113,6)</f><v /></c><c r="AQ113" s="376"><f>+(AO113*60+AP113)/(60*60)</f><v /></c><c r="AR113" s="377"><f>+AM113/AQ113</f><v /></c><c r="AS113" s="321"><f>+(((AL113-AK113-AM113)/AM113)*100)</f><v /></c><c r="AT113" s="383"><f>IF(I113&gt;=1,"NO CONFORME",IF(BK113="SIGDIFERENTES",BC113,BL113))</f><v /></c><c r="AU113" s="365"><f>B113=C113</f><v /></c><c r="AV113" s="365"><f>N113&lt;Y113</f><v /></c><c r="AW113" s="365"><f>Z113&lt;=AK113</f><v /></c><c r="AX113" s="365"><f>IF(I113&gt;=1,"Qcorrecto",IF(AND(AY113="aceptable",AZ113="aceptable",BA113="aceptable"),"Qcorrecto","Qincorrecto"))</f><v /></c><c r="AY113" s="366"><f>IF(AR113&lt;$AH$6,"error",IF(AR113&gt;$AH$6*1.1,"error","aceptable"))</f><v /></c><c r="AZ113" s="366"><f>IF(AF113&lt;$V$6,"error",IF(AF113&gt;$V$6*1.1,"error","aceptable"))</f><v /></c><c r="BA113" s="366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7"><f>SIGN(U113)</f><v /></c><c r="BE113" s="367"><f>SIGN(AG113)</f><v /></c><c r="BF113" s="367"><f>SIGN(AS113)</f><v /></c><c r="BG113" s="367"><f>CONCATENATE(BD113,BE113,BF113)</f><v /></c><c r="BH113" s="367"><f>IF(BG113="111","SI","SD")</f><v /></c><c r="BI113" s="367"><f>IF(BG113="-1-1-1","SI","SD")</f><v /></c><c r="BJ113" s="367"><f>OR(BH113="SI",BI113="SI")</f><v /></c><c r="BK113" s="367"><f>IF(BJ113=FALSE,"SIGDIFERENTES","SIGIGUALES")</f><v /></c><c r="BL113" s="366"><f>IF(BC113="NO CONFORME","NO CONFORME",IF(BB113="CONFORME","CONFORME","NO CONFORME"))</f><v /></c></row><row r="114" ht="15" customHeight="1" thickBot="1"><c r="A114" s="451" t="n"><v>106</v></c><c r="B114" s="369"><f>B113</f><v /></c><c r="C114" s="369"><f>C113</f><v /></c><c r="D114" s="370"><f>D113</f><v /></c><c r="E114" s="371"><f>E113</f><v /></c><c r="F114" s="13" t="n" /><c r="G114" s="337" t="inlineStr"><is><t>PA25517228</t></is></c><c r="H114" s="313"><f>H113</f><v /></c><c r="I114" s="38"><f>I113</f><v /></c><c r="J114" s="314"><f>J113</f><v /></c><c r="K114" s="372"><f>K113</f><v /></c><c r="L114" s="372"><f>L113</f><v /></c><c r="M114" s="373" t="n"><v>107.05</v></c><c r="N114" s="373" t="n"><v>207.25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9"><f>W113</f><v /></c><c r="X114" s="379"><f>X113</f><v /></c><c r="Y114" s="373" t="n"><v>212.89</v></c><c r="Z114" s="373" t="n"><v>222.91</v></c><c r="AA114" s="380"><f>AA113</f><v /></c><c r="AB114" s="381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9"><f>AI113</f><v /></c><c r="AJ114" s="379"><f>AJ113</f><v /></c><c r="AK114" s="373"><f>Z114</f><v /></c><c r="AL114" s="373" t="n"><v>228.02</v></c><c r="AM114" s="382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3"><f>IF(I114&gt;=1,"NO CONFORME",IF(BK114="SIGDIFERENTES",BC114,BL114))</f><v /></c><c r="AU114" s="365"><f>B114=C114</f><v /></c><c r="AV114" s="365"><f>N114&lt;Y114</f><v /></c><c r="AW114" s="365"><f>Z114&lt;=AK114</f><v /></c><c r="AX114" s="365"><f>IF(I114&gt;=1,"Qcorrecto",IF(AND(AY114="aceptable",AZ114="aceptable",BA114="aceptable"),"Qcorrecto","Qincorrecto"))</f><v /></c><c r="AY114" s="366"><f>IF(AR114&lt;$AH$6,"error",IF(AR114&gt;$AH$6*1.1,"error","aceptable"))</f><v /></c><c r="AZ114" s="366"><f>IF(AF114&lt;$V$6,"error",IF(AF114&gt;$V$6*1.1,"error","aceptable"))</f><v /></c><c r="BA114" s="366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7"><f>SIGN(U114)</f><v /></c><c r="BE114" s="367"><f>SIGN(AG114)</f><v /></c><c r="BF114" s="367"><f>SIGN(AS114)</f><v /></c><c r="BG114" s="367"><f>CONCATENATE(BD114,BE114,BF114)</f><v /></c><c r="BH114" s="367"><f>IF(BG114="111","SI","SD")</f><v /></c><c r="BI114" s="367"><f>IF(BG114="-1-1-1","SI","SD")</f><v /></c><c r="BJ114" s="367"><f>OR(BH114="SI",BI114="SI")</f><v /></c><c r="BK114" s="367"><f>IF(BJ114=FALSE,"SIGDIFERENTES","SIGIGUALES")</f><v /></c><c r="BL114" s="366"><f>IF(BC114="NO CONFORME","NO CONFORME",IF(BB114="CONFORME","CONFORME","NO CONFORME"))</f><v /></c></row><row r="115" ht="15" customHeight="1" thickBot="1"><c r="A115" s="451" t="n"><v>107</v></c><c r="B115" s="369"><f>B114</f><v /></c><c r="C115" s="369"><f>C114</f><v /></c><c r="D115" s="370"><f>D114</f><v /></c><c r="E115" s="371"><f>E114</f><v /></c><c r="F115" s="13" t="n" /><c r="G115" s="337" t="inlineStr"><is><t>PA25517229</t></is></c><c r="H115" s="313"><f>H114</f><v /></c><c r="I115" s="38"><f>I114</f><v /></c><c r="J115" s="314"><f>J114</f><v /></c><c r="K115" s="372"><f>K114</f><v /></c><c r="L115" s="372"><f>L114</f><v /></c><c r="M115" s="373" t="n"><v>108.7</v></c><c r="N115" s="373" t="n"><v>208.84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9"><f>W114</f><v /></c><c r="X115" s="379"><f>X114</f><v /></c><c r="Y115" s="373" t="n"><v>214.5</v></c><c r="Z115" s="373" t="n"><v>224.52</v></c><c r="AA115" s="380"><f>AA114</f><v /></c><c r="AB115" s="381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9"><f>AI114</f><v /></c><c r="AJ115" s="379"><f>AJ114</f><v /></c><c r="AK115" s="373"><f>Z115</f><v /></c><c r="AL115" s="373" t="n"><v>229.6</v></c><c r="AM115" s="382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3"><f>IF(I115&gt;=1,"NO CONFORME",IF(BK115="SIGDIFERENTES",BC115,BL115))</f><v /></c><c r="AU115" s="365"><f>B115=C115</f><v /></c><c r="AV115" s="365"><f>N115&lt;Y115</f><v /></c><c r="AW115" s="365"><f>Z115&lt;=AK115</f><v /></c><c r="AX115" s="365"><f>IF(I115&gt;=1,"Qcorrecto",IF(AND(AY115="aceptable",AZ115="aceptable",BA115="aceptable"),"Qcorrecto","Qincorrecto"))</f><v /></c><c r="AY115" s="366"><f>IF(AR115&lt;$AH$6,"error",IF(AR115&gt;$AH$6*1.1,"error","aceptable"))</f><v /></c><c r="AZ115" s="366"><f>IF(AF115&lt;$V$6,"error",IF(AF115&gt;$V$6*1.1,"error","aceptable"))</f><v /></c><c r="BA115" s="366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7"><f>SIGN(U115)</f><v /></c><c r="BE115" s="367"><f>SIGN(AG115)</f><v /></c><c r="BF115" s="367"><f>SIGN(AS115)</f><v /></c><c r="BG115" s="367"><f>CONCATENATE(BD115,BE115,BF115)</f><v /></c><c r="BH115" s="367"><f>IF(BG115="111","SI","SD")</f><v /></c><c r="BI115" s="367"><f>IF(BG115="-1-1-1","SI","SD")</f><v /></c><c r="BJ115" s="367"><f>OR(BH115="SI",BI115="SI")</f><v /></c><c r="BK115" s="367"><f>IF(BJ115=FALSE,"SIGDIFERENTES","SIGIGUALES")</f><v /></c><c r="BL115" s="366"><f>IF(BC115="NO CONFORME","NO CONFORME",IF(BB115="CONFORME","CONFORME","NO CONFORME"))</f><v /></c></row><row r="116" ht="15" customHeight="1" thickBot="1"><c r="A116" s="451" t="n"><v>108</v></c><c r="B116" s="369"><f>B115</f><v /></c><c r="C116" s="369"><f>C115</f><v /></c><c r="D116" s="370"><f>D115</f><v /></c><c r="E116" s="371"><f>E115</f><v /></c><c r="F116" s="13" t="n" /><c r="G116" s="337" t="inlineStr"><is><t>PA25517230</t></is></c><c r="H116" s="313"><f>H115</f><v /></c><c r="I116" s="38"><f>I115</f><v /></c><c r="J116" s="314"><f>J115</f><v /></c><c r="K116" s="372"><f>K115</f><v /></c><c r="L116" s="372"><f>L115</f><v /></c><c r="M116" s="373" t="n"><v>104.71</v></c><c r="N116" s="373" t="n"><v>205.2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9"><f>W115</f><v /></c><c r="X116" s="379"><f>X115</f><v /></c><c r="Y116" s="373" t="n"><v>210.82</v></c><c r="Z116" s="373" t="n"><v>220.85</v></c><c r="AA116" s="380"><f>AA115</f><v /></c><c r="AB116" s="381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9"><f>AI115</f><v /></c><c r="AJ116" s="379"><f>AJ115</f><v /></c><c r="AK116" s="373"><f>Z116</f><v /></c><c r="AL116" s="373" t="n"><v>225.93</v></c><c r="AM116" s="382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3"><f>IF(I116&gt;=1,"NO CONFORME",IF(BK116="SIGDIFERENTES",BC116,BL116))</f><v /></c><c r="AU116" s="365"><f>B116=C116</f><v /></c><c r="AV116" s="365"><f>N116&lt;Y116</f><v /></c><c r="AW116" s="365"><f>Z116&lt;=AK116</f><v /></c><c r="AX116" s="365"><f>IF(I116&gt;=1,"Qcorrecto",IF(AND(AY116="aceptable",AZ116="aceptable",BA116="aceptable"),"Qcorrecto","Qincorrecto"))</f><v /></c><c r="AY116" s="366"><f>IF(AR116&lt;$AH$6,"error",IF(AR116&gt;$AH$6*1.1,"error","aceptable"))</f><v /></c><c r="AZ116" s="366"><f>IF(AF116&lt;$V$6,"error",IF(AF116&gt;$V$6*1.1,"error","aceptable"))</f><v /></c><c r="BA116" s="366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7"><f>SIGN(U116)</f><v /></c><c r="BE116" s="367"><f>SIGN(AG116)</f><v /></c><c r="BF116" s="367"><f>SIGN(AS116)</f><v /></c><c r="BG116" s="367"><f>CONCATENATE(BD116,BE116,BF116)</f><v /></c><c r="BH116" s="367"><f>IF(BG116="111","SI","SD")</f><v /></c><c r="BI116" s="367"><f>IF(BG116="-1-1-1","SI","SD")</f><v /></c><c r="BJ116" s="367"><f>OR(BH116="SI",BI116="SI")</f><v /></c><c r="BK116" s="367"><f>IF(BJ116=FALSE,"SIGDIFERENTES","SIGIGUALES")</f><v /></c><c r="BL116" s="366"><f>IF(BC116="NO CONFORME","NO CONFORME",IF(BB116="CONFORME","CONFORME","NO CONFORME"))</f><v /></c></row><row r="117" ht="15" customHeight="1" thickBot="1"><c r="A117" s="451" t="n"><v>109</v></c><c r="B117" s="369"><f>B116</f><v /></c><c r="C117" s="369"><f>C116</f><v /></c><c r="D117" s="370"><f>D116</f><v /></c><c r="E117" s="371"><f>E116</f><v /></c><c r="F117" s="13" t="n" /><c r="G117" s="337" t="inlineStr"><is><t>PA25517231</t></is></c><c r="H117" s="313"><f>H116</f><v /></c><c r="I117" s="38"><f>I116</f><v /></c><c r="J117" s="314"><f>J116</f><v /></c><c r="K117" s="372"><f>K116</f><v /></c><c r="L117" s="372"><f>L116</f><v /></c><c r="M117" s="373" t="n"><v>108.2</v></c><c r="N117" s="373" t="n"><v>208.15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9"><f>W116</f><v /></c><c r="X117" s="379"><f>X116</f><v /></c><c r="Y117" s="373" t="n"><v>213.75</v></c><c r="Z117" s="373" t="n"><v>223.65</v></c><c r="AA117" s="380"><f>AA116</f><v /></c><c r="AB117" s="381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9"><f>AI116</f><v /></c><c r="AJ117" s="379"><f>AJ116</f><v /></c><c r="AK117" s="373"><f>Z117</f><v /></c><c r="AL117" s="373" t="n"><v>228.9</v></c><c r="AM117" s="382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3"><f>IF(I117&gt;=1,"NO CONFORME",IF(BK117="SIGDIFERENTES",BC117,BL117))</f><v /></c><c r="AU117" s="365"><f>B117=C117</f><v /></c><c r="AV117" s="365"><f>N117&lt;Y117</f><v /></c><c r="AW117" s="365"><f>Z117&lt;=AK117</f><v /></c><c r="AX117" s="365"><f>IF(I117&gt;=1,"Qcorrecto",IF(AND(AY117="aceptable",AZ117="aceptable",BA117="aceptable"),"Qcorrecto","Qincorrecto"))</f><v /></c><c r="AY117" s="366"><f>IF(AR117&lt;$AH$6,"error",IF(AR117&gt;$AH$6*1.1,"error","aceptable"))</f><v /></c><c r="AZ117" s="366"><f>IF(AF117&lt;$V$6,"error",IF(AF117&gt;$V$6*1.1,"error","aceptable"))</f><v /></c><c r="BA117" s="366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7"><f>SIGN(U117)</f><v /></c><c r="BE117" s="367"><f>SIGN(AG117)</f><v /></c><c r="BF117" s="367"><f>SIGN(AS117)</f><v /></c><c r="BG117" s="367"><f>CONCATENATE(BD117,BE117,BF117)</f><v /></c><c r="BH117" s="367"><f>IF(BG117="111","SI","SD")</f><v /></c><c r="BI117" s="367"><f>IF(BG117="-1-1-1","SI","SD")</f><v /></c><c r="BJ117" s="367"><f>OR(BH117="SI",BI117="SI")</f><v /></c><c r="BK117" s="367"><f>IF(BJ117=FALSE,"SIGDIFERENTES","SIGIGUALES")</f><v /></c><c r="BL117" s="366"><f>IF(BC117="NO CONFORME","NO CONFORME",IF(BB117="CONFORME","CONFORME","NO CONFORME"))</f><v /></c></row><row r="118" ht="15" customHeight="1" thickBot="1"><c r="A118" s="451" t="n"><v>110</v></c><c r="B118" s="369"><f>B117</f><v /></c><c r="C118" s="369"><f>C117</f><v /></c><c r="D118" s="370"><f>D117</f><v /></c><c r="E118" s="371"><f>E117</f><v /></c><c r="F118" s="13" t="n" /><c r="G118" s="337" t="inlineStr"><is><t>PA25517232</t></is></c><c r="H118" s="313"><f>H117</f><v /></c><c r="I118" s="38"><f>I117</f><v /></c><c r="J118" s="314"><f>J117</f><v /></c><c r="K118" s="372"><f>K117</f><v /></c><c r="L118" s="372"><f>L117</f><v /></c><c r="M118" s="373" t="n"><v>106.2</v></c><c r="N118" s="373" t="n"><v>205.68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9"><f>W117</f><v /></c><c r="X118" s="379"><f>X117</f><v /></c><c r="Y118" s="373" t="n"><v>211.3</v></c><c r="Z118" s="373" t="n"><v>221.25</v></c><c r="AA118" s="380"><f>AA117</f><v /></c><c r="AB118" s="381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9"><f>AI117</f><v /></c><c r="AJ118" s="379"><f>AJ117</f><v /></c><c r="AK118" s="373"><f>Z118</f><v /></c><c r="AL118" s="373" t="n"><v>226.26</v></c><c r="AM118" s="382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3"><f>IF(I118&gt;=1,"NO CONFORME",IF(BK118="SIGDIFERENTES",BC118,BL118))</f><v /></c><c r="AU118" s="365"><f>B118=C118</f><v /></c><c r="AV118" s="365"><f>N118&lt;Y118</f><v /></c><c r="AW118" s="365"><f>Z118&lt;=AK118</f><v /></c><c r="AX118" s="365"><f>IF(I118&gt;=1,"Qcorrecto",IF(AND(AY118="aceptable",AZ118="aceptable",BA118="aceptable"),"Qcorrecto","Qincorrecto"))</f><v /></c><c r="AY118" s="366"><f>IF(AR118&lt;$AH$6,"error",IF(AR118&gt;$AH$6*1.1,"error","aceptable"))</f><v /></c><c r="AZ118" s="366"><f>IF(AF118&lt;$V$6,"error",IF(AF118&gt;$V$6*1.1,"error","aceptable"))</f><v /></c><c r="BA118" s="366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7"><f>SIGN(U118)</f><v /></c><c r="BE118" s="367"><f>SIGN(AG118)</f><v /></c><c r="BF118" s="367"><f>SIGN(AS118)</f><v /></c><c r="BG118" s="367"><f>CONCATENATE(BD118,BE118,BF118)</f><v /></c><c r="BH118" s="367"><f>IF(BG118="111","SI","SD")</f><v /></c><c r="BI118" s="367"><f>IF(BG118="-1-1-1","SI","SD")</f><v /></c><c r="BJ118" s="367"><f>OR(BH118="SI",BI118="SI")</f><v /></c><c r="BK118" s="367"><f>IF(BJ118=FALSE,"SIGDIFERENTES","SIGIGUALES")</f><v /></c><c r="BL118" s="366"><f>IF(BC118="NO CONFORME","NO CONFORME",IF(BB118="CONFORME","CONFORME","NO CONFORME"))</f><v /></c></row><row r="119" ht="15" customHeight="1" thickBot="1"><c r="A119" s="451" t="n"><v>111</v></c><c r="B119" s="369"><f>B118</f><v /></c><c r="C119" s="369"><f>C118</f><v /></c><c r="D119" s="370"><f>D118</f><v /></c><c r="E119" s="371"><f>E118</f><v /></c><c r="F119" s="13" t="n" /><c r="G119" s="337" t="inlineStr"><is><t>PA25517233</t></is></c><c r="H119" s="313"><f>H118</f><v /></c><c r="I119" s="38"><f>I118</f><v /></c><c r="J119" s="314"><f>J118</f><v /></c><c r="K119" s="372"><f>K118</f><v /></c><c r="L119" s="372"><f>L118</f><v /></c><c r="M119" s="373" t="n"><v>108.94</v></c><c r="N119" s="373" t="n"><v>208.73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9"><f>W118</f><v /></c><c r="X119" s="379"><f>X118</f><v /></c><c r="Y119" s="373" t="n"><v>214.35</v></c><c r="Z119" s="373" t="n"><v>224.35</v></c><c r="AA119" s="380"><f>AA118</f><v /></c><c r="AB119" s="381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9"><f>AI118</f><v /></c><c r="AJ119" s="379"><f>AJ118</f><v /></c><c r="AK119" s="373"><f>Z119</f><v /></c><c r="AL119" s="373" t="n"><v>229.37</v></c><c r="AM119" s="382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3"><f>IF(I119&gt;=1,"NO CONFORME",IF(BK119="SIGDIFERENTES",BC119,BL119))</f><v /></c><c r="AU119" s="365"><f>B119=C119</f><v /></c><c r="AV119" s="365"><f>N119&lt;Y119</f><v /></c><c r="AW119" s="365"><f>Z119&lt;=AK119</f><v /></c><c r="AX119" s="365"><f>IF(I119&gt;=1,"Qcorrecto",IF(AND(AY119="aceptable",AZ119="aceptable",BA119="aceptable"),"Qcorrecto","Qincorrecto"))</f><v /></c><c r="AY119" s="366"><f>IF(AR119&lt;$AH$6,"error",IF(AR119&gt;$AH$6*1.1,"error","aceptable"))</f><v /></c><c r="AZ119" s="366"><f>IF(AF119&lt;$V$6,"error",IF(AF119&gt;$V$6*1.1,"error","aceptable"))</f><v /></c><c r="BA119" s="366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7"><f>SIGN(U119)</f><v /></c><c r="BE119" s="367"><f>SIGN(AG119)</f><v /></c><c r="BF119" s="367"><f>SIGN(AS119)</f><v /></c><c r="BG119" s="367"><f>CONCATENATE(BD119,BE119,BF119)</f><v /></c><c r="BH119" s="367"><f>IF(BG119="111","SI","SD")</f><v /></c><c r="BI119" s="367"><f>IF(BG119="-1-1-1","SI","SD")</f><v /></c><c r="BJ119" s="367"><f>OR(BH119="SI",BI119="SI")</f><v /></c><c r="BK119" s="367"><f>IF(BJ119=FALSE,"SIGDIFERENTES","SIGIGUALES")</f><v /></c><c r="BL119" s="366"><f>IF(BC119="NO CONFORME","NO CONFORME",IF(BB119="CONFORME","CONFORME","NO CONFORME"))</f><v /></c></row><row r="120" ht="15" customHeight="1" thickBot="1"><c r="A120" s="451" t="n"><v>112</v></c><c r="B120" s="369"><f>B119</f><v /></c><c r="C120" s="369"><f>C119</f><v /></c><c r="D120" s="370"><f>D119</f><v /></c><c r="E120" s="371"><f>E119</f><v /></c><c r="F120" s="13" t="n" /><c r="G120" s="337" t="inlineStr"><is><t>PA25517234</t></is></c><c r="H120" s="313"><f>H119</f><v /></c><c r="I120" s="38"><f>I119</f><v /></c><c r="J120" s="314"><f>J119</f><v /></c><c r="K120" s="372"><f>K119</f><v /></c><c r="L120" s="372"><f>L119</f><v /></c><c r="M120" s="373" t="n"><v>107.35</v></c><c r="N120" s="373" t="n"><v>207.6</v></c><c r="O120" s="374"><f>O119</f><v /></c><c r="P120" s="375"><f>P119</f><v /></c><c r="Q120" s="376"><f>LEFT(P120,1)</f><v /></c><c r="R120" s="376"><f>RIGHT(P120,6)</f><v /></c><c r="S120" s="376"><f>+(Q120*60+R120)/(60*60)</f><v /></c><c r="T120" s="377"><f>+O120/S120</f><v /></c><c r="U120" s="378"><f>+(((N120-M120-O120)/O120)*100)</f><v /></c><c r="V120" s="317"><f>V119</f><v /></c><c r="W120" s="379"><f>W119</f><v /></c><c r="X120" s="379"><f>X119</f><v /></c><c r="Y120" s="373" t="n"><v>213.27</v></c><c r="Z120" s="373" t="n"><v>223.3</v></c><c r="AA120" s="380"><f>AA119</f><v /></c><c r="AB120" s="381"><f>AB119</f><v /></c><c r="AC120" s="376"><f>LEFT(AB120,2)</f><v /></c><c r="AD120" s="376"><f>RIGHT(AB120,6)</f><v /></c><c r="AE120" s="376"><f>+(AC120*60+AD120)/(60*60)</f><v /></c><c r="AF120" s="377"><f>+AA120/AE120</f><v /></c><c r="AG120" s="321"><f>+(((Z120-Y120-AA120)/AA120)*100)</f><v /></c><c r="AH120" s="317"><f>AH119</f><v /></c><c r="AI120" s="379"><f>AI119</f><v /></c><c r="AJ120" s="379"><f>AJ119</f><v /></c><c r="AK120" s="373"><f>Z120</f><v /></c><c r="AL120" s="373" t="n"><v>228.37</v></c><c r="AM120" s="382"><f>AM119</f><v /></c><c r="AN120" s="375"><f>AN119</f><v /></c><c r="AO120" s="376"><f>LEFT(AN120,2)</f><v /></c><c r="AP120" s="376"><f>RIGHT(AN120,6)</f><v /></c><c r="AQ120" s="376"><f>+(AO120*60+AP120)/(60*60)</f><v /></c><c r="AR120" s="377"><f>+AM120/AQ120</f><v /></c><c r="AS120" s="321"><f>+(((AL120-AK120-AM120)/AM120)*100)</f><v /></c><c r="AT120" s="383"><f>IF(I120&gt;=1,"NO CONFORME",IF(BK120="SIGDIFERENTES",BC120,BL120))</f><v /></c><c r="AU120" s="365"><f>B120=C120</f><v /></c><c r="AV120" s="365"><f>N120&lt;Y120</f><v /></c><c r="AW120" s="365"><f>Z120&lt;=AK120</f><v /></c><c r="AX120" s="365"><f>IF(I120&gt;=1,"Qcorrecto",IF(AND(AY120="aceptable",AZ120="aceptable",BA120="aceptable"),"Qcorrecto","Qincorrecto"))</f><v /></c><c r="AY120" s="366"><f>IF(AR120&lt;$AH$6,"error",IF(AR120&gt;$AH$6*1.1,"error","aceptable"))</f><v /></c><c r="AZ120" s="366"><f>IF(AF120&lt;$V$6,"error",IF(AF120&gt;$V$6*1.1,"error","aceptable"))</f><v /></c><c r="BA120" s="366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67"><f>SIGN(U120)</f><v /></c><c r="BE120" s="367"><f>SIGN(AG120)</f><v /></c><c r="BF120" s="367"><f>SIGN(AS120)</f><v /></c><c r="BG120" s="367"><f>CONCATENATE(BD120,BE120,BF120)</f><v /></c><c r="BH120" s="367"><f>IF(BG120="111","SI","SD")</f><v /></c><c r="BI120" s="367"><f>IF(BG120="-1-1-1","SI","SD")</f><v /></c><c r="BJ120" s="367"><f>OR(BH120="SI",BI120="SI")</f><v /></c><c r="BK120" s="367"><f>IF(BJ120=FALSE,"SIGDIFERENTES","SIGIGUALES")</f><v /></c><c r="BL120" s="366"><f>IF(BC120="NO CONFORME","NO CONFORME",IF(BB120="CONFORME","CONFORME","NO CONFORME"))</f><v /></c></row><row r="121" ht="15" customHeight="1" thickBot="1"><c r="A121" s="473" t="n"><v>113</v></c><c r="B121" s="454"><f>B120</f><v /></c><c r="C121" s="454"><f>C120</f><v /></c><c r="D121" s="455"><f>D120</f><v /></c><c r="E121" s="474"><f>E120</f><v /></c><c r="F121" s="52" t="n" /><c r="G121" s="337" t="inlineStr"><is><t>PA25517235</t></is></c><c r="H121" s="326"><f>H120</f><v /></c><c r="I121" s="98"><f>I120</f><v /></c><c r="J121" s="327"><f>J120</f><v /></c><c r="K121" s="458"><f>K120</f><v /></c><c r="L121" s="458"><f>L120</f><v /></c><c r="M121" s="459" t="n"><v>106</v></c><c r="N121" s="459" t="n"><v>206.61</v></c><c r="O121" s="460"><f>O120</f><v /></c><c r="P121" s="461"><f>P120</f><v /></c><c r="Q121" s="462"><f>LEFT(P121,1)</f><v /></c><c r="R121" s="462"><f>RIGHT(P121,6)</f><v /></c><c r="S121" s="462"><f>+(Q121*60+R121)/(60*60)</f><v /></c><c r="T121" s="463"><f>+O121/S121</f><v /></c><c r="U121" s="464"><f>+(((N121-M121-O121)/O121)*100)</f><v /></c><c r="V121" s="329"><f>V120</f><v /></c><c r="W121" s="465"><f>W120</f><v /></c><c r="X121" s="465"><f>X120</f><v /></c><c r="Y121" s="459" t="n"><v>212.3</v></c><c r="Z121" s="459" t="n"><v>222.36</v></c><c r="AA121" s="466"><f>AA120</f><v /></c><c r="AB121" s="467"><f>AB120</f><v /></c><c r="AC121" s="462"><f>LEFT(AB121,2)</f><v /></c><c r="AD121" s="462"><f>RIGHT(AB121,6)</f><v /></c><c r="AE121" s="462"><f>+(AC121*60+AD121)/(60*60)</f><v /></c><c r="AF121" s="463"><f>+AA121/AE121</f><v /></c><c r="AG121" s="468"><f>+(((Z121-Y121-AA121)/AA121)*100)</f><v /></c><c r="AH121" s="329"><f>AH120</f><v /></c><c r="AI121" s="465"><f>AI120</f><v /></c><c r="AJ121" s="465"><f>AJ120</f><v /></c><c r="AK121" s="459"><f>Z121</f><v /></c><c r="AL121" s="459" t="n"><v>227.4</v></c><c r="AM121" s="469"><f>AM120</f><v /></c><c r="AN121" s="461"><f>AN120</f><v /></c><c r="AO121" s="462"><f>LEFT(AN121,2)</f><v /></c><c r="AP121" s="462"><f>RIGHT(AN121,6)</f><v /></c><c r="AQ121" s="462"><f>+(AO121*60+AP121)/(60*60)</f><v /></c><c r="AR121" s="463"><f>+AM121/AQ121</f><v /></c><c r="AS121" s="468"><f>+(((AL121-AK121-AM121)/AM121)*100)</f><v /></c><c r="AT121" s="470"><f>IF(I121&gt;=1,"NO CONFORME",IF(BK121="SIGDIFERENTES",BC121,BL121))</f><v /></c><c r="AU121" s="426"><f>B121=C121</f><v /></c><c r="AV121" s="426"><f>N121&lt;Y121</f><v /></c><c r="AW121" s="426"><f>Z121&lt;=AK121</f><v /></c><c r="AX121" s="426"><f>IF(I121&gt;=1,"Qcorrecto",IF(AND(AY121="aceptable",AZ121="aceptable",BA121="aceptable"),"Qcorrecto","Qincorrecto"))</f><v /></c><c r="AY121" s="427"><f>IF(AR121&lt;$AH$6,"error",IF(AR121&gt;$AH$6*1.1,"error","aceptable"))</f><v /></c><c r="AZ121" s="427"><f>IF(AF121&lt;$V$6,"error",IF(AF121&gt;$V$6*1.1,"error","aceptable"))</f><v /></c><c r="BA121" s="427"><f>IF(T121&lt;$J$6*0.9,"error",IF(T121&gt;$J$6,"error","aceptable"))</f><v /></c><c r="BB121" s="428"><f>(IF(ABS(U121)&lt;1.05,"CONFORME",IF(ABS(AG121)&lt;1.05,"CONFORME",IF(ABS(AS121)&lt;2.55,"CONFORME","NO CONFORME"))))</f><v /></c><c r="BC121" s="429"><f>(IF(ABS(U121)&gt;2.05,"NO CONFORME",IF(ABS(AG121)&gt;2.05,"NO CONFORME",IF(ABS(AS121)&gt;5.05,"NO CONFORME","CONFORME"))))</f><v /></c><c r="BD121" s="430"><f>SIGN(U121)</f><v /></c><c r="BE121" s="430"><f>SIGN(AG121)</f><v /></c><c r="BF121" s="430"><f>SIGN(AS121)</f><v /></c><c r="BG121" s="430"><f>CONCATENATE(BD121,BE121,BF121)</f><v /></c><c r="BH121" s="430"><f>IF(BG121="111","SI","SD")</f><v /></c><c r="BI121" s="430"><f>IF(BG121="-1-1-1","SI","SD")</f><v /></c><c r="BJ121" s="430"><f>OR(BH121="SI",BI121="SI")</f><v /></c><c r="BK121" s="430"><f>IF(BJ121=FALSE,"SIGDIFERENTES","SIGIGUALES")</f><v /></c><c r="BL121" s="427"><f>IF(BC121="NO CONFORME","NO CONFORME",IF(BB121="CONFORME","CONFORME","NO CONFORME"))</f><v /></c></row><row r="122" ht="15" customHeight="1" thickBot="1"><c r="A122" s="351" t="n"><v>114</v></c><c r="B122" s="386"><f>B121</f><v /></c><c r="C122" s="386"><f>C121</f><v /></c><c r="D122" s="387"><f>D121</f><v /></c><c r="E122" s="475"><f>E121</f><v /></c><c r="F122" s="58" t="n" /><c r="G122" s="337" t="inlineStr"><is><t>PA25517236</t></is></c><c r="H122" s="388"><f>H121</f><v /></c><c r="I122" s="232"><f>I121</f><v /></c><c r="J122" s="389" t="n"><v>21.3</v></c><c r="K122" s="390" t="n"><v>7.889</v></c><c r="L122" s="390" t="n"><v>0.556</v></c><c r="M122" s="356" t="n"><v>106.25</v></c><c r="N122" s="356" t="n"><v>206.15</v></c><c r="O122" s="391" t="n"><v>100.6</v></c><c r="P122" s="392" t="inlineStr"><is><t>2,30,980</t></is></c><c r="Q122" s="359"><f>LEFT(P122,1)</f><v /></c><c r="R122" s="359"><f>RIGHT(P122,6)</f><v /></c><c r="S122" s="359"><f>+(Q122*60+R122)/(60*60)</f><v /></c><c r="T122" s="360"><f>+O122/S122</f><v /></c><c r="U122" s="361"><f>+(((N122-M122-O122)/O122)*100)</f><v /></c><c r="V122" s="393" t="n"><v>21.2</v></c><c r="W122" s="394" t="n"><v>1.508</v></c><c r="X122" s="394" t="n"><v>1.504</v></c><c r="Y122" s="356" t="n"><v>214.03</v></c><c r="Z122" s="356" t="n"><v>224</v></c><c r="AA122" s="395" t="n"><v>10.01</v></c><c r="AB122" s="396" t="inlineStr"><is><t>22,12,050</t></is></c><c r="AC122" s="359"><f>LEFT(AB122,2)</f><v /></c><c r="AD122" s="359"><f>RIGHT(AB122,6)</f><v /></c><c r="AE122" s="359"><f>+(AC122*60+AD122)/(60*60)</f><v /></c><c r="AF122" s="360"><f>+AA122/AE122</f><v /></c><c r="AG122" s="362"><f>+(((Z122-Y122-AA122)/AA122)*100)</f><v /></c><c r="AH122" s="393" t="n"><v>21</v></c><c r="AI122" s="394" t="n"><v>1.509</v></c><c r="AJ122" s="394" t="n"><v>1.507</v></c><c r="AK122" s="356"><f>Z122</f><v /></c><c r="AL122" s="356" t="n"><v>229.02</v></c><c r="AM122" s="397" t="n"><v>5.015</v></c><c r="AN122" s="392" t="inlineStr"><is><t>17,58,370</t></is></c><c r="AO122" s="359"><f>LEFT(AN122,2)</f><v /></c><c r="AP122" s="359"><f>RIGHT(AN122,6)</f><v /></c><c r="AQ122" s="359"><f>+(AO122*60+AP122)/(60*60)</f><v /></c><c r="AR122" s="360"><f>+AM122/AQ122</f><v /></c><c r="AS122" s="362"><f>+(((AL122-AK122-AM122)/AM122)*100)</f><v /></c><c r="AT122" s="364"><f>IF(I122&gt;=1,"NO CONFORME",IF(BK122="SIGDIFERENTES",BC122,BL122))</f><v /></c><c r="AU122" s="365"><f>B122=C122</f><v /></c><c r="AV122" s="365"><f>N122&lt;Y122</f><v /></c><c r="AW122" s="365"><f>Z122&lt;=AK122</f><v /></c><c r="AX122" s="365"><f>IF(I122&gt;=1,"Qcorrecto",IF(AND(AY122="aceptable",AZ122="aceptable",BA122="aceptable"),"Qcorrecto","Qincorrecto"))</f><v /></c><c r="AY122" s="368"><f>IF(AR122&lt;$AH$6,"error",IF(AR122&gt;$AH$6*1.1,"error","aceptable"))</f><v /></c><c r="AZ122" s="368"><f>IF(AF122&lt;$V$6,"error",IF(AF122&gt;$V$6*1.1,"error","aceptable"))</f><v /></c><c r="BA122" s="368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7"><f>SIGN(U122)</f><v /></c><c r="BE122" s="367"><f>SIGN(AG122)</f><v /></c><c r="BF122" s="367"><f>SIGN(AS122)</f><v /></c><c r="BG122" s="367"><f>CONCATENATE(BD122,BE122,BF122)</f><v /></c><c r="BH122" s="367"><f>IF(BG122="111","SI","SD")</f><v /></c><c r="BI122" s="367"><f>IF(BG122="-1-1-1","SI","SD")</f><v /></c><c r="BJ122" s="367"><f>OR(BH122="SI",BI122="SI")</f><v /></c><c r="BK122" s="367"><f>IF(BJ122=FALSE,"SIGDIFERENTES","SIGIGUALES")</f><v /></c><c r="BL122" s="368"><f>IF(BC122="NO CONFORME","NO CONFORME",IF(BB122="CONFORME","CONFORME","NO CONFORME"))</f><v /></c></row><row r="123" ht="15" customHeight="1" thickBot="1"><c r="A123" s="451" t="n"><v>115</v></c><c r="B123" s="369"><f>B122</f><v /></c><c r="C123" s="369"><f>C122</f><v /></c><c r="D123" s="370"><f>D122</f><v /></c><c r="E123" s="371"><f>E122</f><v /></c><c r="F123" s="13" t="n" /><c r="G123" s="337" t="inlineStr"><is><t>PA25517237</t></is></c><c r="H123" s="313"><f>H122</f><v /></c><c r="I123" s="38"><f>I122</f><v /></c><c r="J123" s="314"><f>J122</f><v /></c><c r="K123" s="372"><f>K122</f><v /></c><c r="L123" s="372"><f>L122</f><v /></c><c r="M123" s="373" t="n"><v>103.8</v></c><c r="N123" s="373" t="n"><v>203.12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9"><f>W122</f><v /></c><c r="X123" s="379"><f>X122</f><v /></c><c r="Y123" s="373" t="n"><v>210.96</v></c><c r="Z123" s="373" t="n"><v>220.85</v></c><c r="AA123" s="380"><f>AA122</f><v /></c><c r="AB123" s="381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9"><f>AI122</f><v /></c><c r="AJ123" s="379"><f>AJ122</f><v /></c><c r="AK123" s="373"><f>Z123</f><v /></c><c r="AL123" s="373" t="n"><v>225.85</v></c><c r="AM123" s="382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3"><f>IF(I123&gt;=1,"NO CONFORME",IF(BK123="SIGDIFERENTES",BC123,BL123))</f><v /></c><c r="AU123" s="365"><f>B123=C123</f><v /></c><c r="AV123" s="365"><f>N123&lt;Y123</f><v /></c><c r="AW123" s="365"><f>Z123&lt;=AK123</f><v /></c><c r="AX123" s="365"><f>IF(I123&gt;=1,"Qcorrecto",IF(AND(AY123="aceptable",AZ123="aceptable",BA123="aceptable"),"Qcorrecto","Qincorrecto"))</f><v /></c><c r="AY123" s="366"><f>IF(AR123&lt;$AH$6,"error",IF(AR123&gt;$AH$6*1.1,"error","aceptable"))</f><v /></c><c r="AZ123" s="366"><f>IF(AF123&lt;$V$6,"error",IF(AF123&gt;$V$6*1.1,"error","aceptable"))</f><v /></c><c r="BA123" s="366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7"><f>SIGN(U123)</f><v /></c><c r="BE123" s="367"><f>SIGN(AG123)</f><v /></c><c r="BF123" s="367"><f>SIGN(AS123)</f><v /></c><c r="BG123" s="367"><f>CONCATENATE(BD123,BE123,BF123)</f><v /></c><c r="BH123" s="367"><f>IF(BG123="111","SI","SD")</f><v /></c><c r="BI123" s="367"><f>IF(BG123="-1-1-1","SI","SD")</f><v /></c><c r="BJ123" s="367"><f>OR(BH123="SI",BI123="SI")</f><v /></c><c r="BK123" s="367"><f>IF(BJ123=FALSE,"SIGDIFERENTES","SIGIGUALES")</f><v /></c><c r="BL123" s="366"><f>IF(BC123="NO CONFORME","NO CONFORME",IF(BB123="CONFORME","CONFORME","NO CONFORME"))</f><v /></c></row><row r="124" ht="15" customHeight="1" thickBot="1"><c r="A124" s="451" t="n"><v>116</v></c><c r="B124" s="369"><f>B123</f><v /></c><c r="C124" s="369"><f>C123</f><v /></c><c r="D124" s="370"><f>D123</f><v /></c><c r="E124" s="371"><f>E123</f><v /></c><c r="F124" s="13" t="n" /><c r="G124" s="337" t="inlineStr"><is><t>PA25517238</t></is></c><c r="H124" s="313"><f>H123</f><v /></c><c r="I124" s="38"><f>I123</f><v /></c><c r="J124" s="314"><f>J123</f><v /></c><c r="K124" s="372"><f>K123</f><v /></c><c r="L124" s="372"><f>L123</f><v /></c><c r="M124" s="373" t="n"><v>103.62</v></c><c r="N124" s="373" t="n"><v>203.74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9"><f>W123</f><v /></c><c r="X124" s="379"><f>X123</f><v /></c><c r="Y124" s="373" t="n"><v>211.65</v></c><c r="Z124" s="373" t="n"><v>221.7</v></c><c r="AA124" s="380"><f>AA123</f><v /></c><c r="AB124" s="381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9"><f>AI123</f><v /></c><c r="AJ124" s="379"><f>AJ123</f><v /></c><c r="AK124" s="373"><f>Z124</f><v /></c><c r="AL124" s="373" t="n"><v>226.78</v></c><c r="AM124" s="382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3"><f>IF(I124&gt;=1,"NO CONFORME",IF(BK124="SIGDIFERENTES",BC124,BL124))</f><v /></c><c r="AU124" s="365"><f>B124=C124</f><v /></c><c r="AV124" s="365"><f>N124&lt;Y124</f><v /></c><c r="AW124" s="365"><f>Z124&lt;=AK124</f><v /></c><c r="AX124" s="365"><f>IF(I124&gt;=1,"Qcorrecto",IF(AND(AY124="aceptable",AZ124="aceptable",BA124="aceptable"),"Qcorrecto","Qincorrecto"))</f><v /></c><c r="AY124" s="366"><f>IF(AR124&lt;$AH$6,"error",IF(AR124&gt;$AH$6*1.1,"error","aceptable"))</f><v /></c><c r="AZ124" s="366"><f>IF(AF124&lt;$V$6,"error",IF(AF124&gt;$V$6*1.1,"error","aceptable"))</f><v /></c><c r="BA124" s="366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7"><f>SIGN(U124)</f><v /></c><c r="BE124" s="367"><f>SIGN(AG124)</f><v /></c><c r="BF124" s="367"><f>SIGN(AS124)</f><v /></c><c r="BG124" s="367"><f>CONCATENATE(BD124,BE124,BF124)</f><v /></c><c r="BH124" s="367"><f>IF(BG124="111","SI","SD")</f><v /></c><c r="BI124" s="367"><f>IF(BG124="-1-1-1","SI","SD")</f><v /></c><c r="BJ124" s="367"><f>OR(BH124="SI",BI124="SI")</f><v /></c><c r="BK124" s="367"><f>IF(BJ124=FALSE,"SIGDIFERENTES","SIGIGUALES")</f><v /></c><c r="BL124" s="366"><f>IF(BC124="NO CONFORME","NO CONFORME",IF(BB124="CONFORME","CONFORME","NO CONFORME"))</f><v /></c></row><row r="125" ht="15" customHeight="1" thickBot="1"><c r="A125" s="451" t="n"><v>117</v></c><c r="B125" s="369"><f>B124</f><v /></c><c r="C125" s="369"><f>C124</f><v /></c><c r="D125" s="370"><f>D124</f><v /></c><c r="E125" s="371"><f>E124</f><v /></c><c r="F125" s="13" t="n" /><c r="G125" s="337" t="inlineStr"><is><t>PA25517239</t></is></c><c r="H125" s="313"><f>H124</f><v /></c><c r="I125" s="38"><f>I124</f><v /></c><c r="J125" s="314"><f>J124</f><v /></c><c r="K125" s="372"><f>K124</f><v /></c><c r="L125" s="372"><f>L124</f><v /></c><c r="M125" s="373" t="n"><v>108.6</v></c><c r="N125" s="373" t="n"><v>208.55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9"><f>W124</f><v /></c><c r="X125" s="379"><f>X124</f><v /></c><c r="Y125" s="373" t="n"><v>216.39</v></c><c r="Z125" s="373" t="n"><v>226.42</v></c><c r="AA125" s="380"><f>AA124</f><v /></c><c r="AB125" s="381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9"><f>AI124</f><v /></c><c r="AJ125" s="379"><f>AJ124</f><v /></c><c r="AK125" s="373"><f>Z125</f><v /></c><c r="AL125" s="373" t="n"><v>231.46</v></c><c r="AM125" s="382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3"><f>IF(I125&gt;=1,"NO CONFORME",IF(BK125="SIGDIFERENTES",BC125,BL125))</f><v /></c><c r="AU125" s="365"><f>B125=C125</f><v /></c><c r="AV125" s="365"><f>N125&lt;Y125</f><v /></c><c r="AW125" s="365"><f>Z125&lt;=AK125</f><v /></c><c r="AX125" s="365"><f>IF(I125&gt;=1,"Qcorrecto",IF(AND(AY125="aceptable",AZ125="aceptable",BA125="aceptable"),"Qcorrecto","Qincorrecto"))</f><v /></c><c r="AY125" s="366"><f>IF(AR125&lt;$AH$6,"error",IF(AR125&gt;$AH$6*1.1,"error","aceptable"))</f><v /></c><c r="AZ125" s="366"><f>IF(AF125&lt;$V$6,"error",IF(AF125&gt;$V$6*1.1,"error","aceptable"))</f><v /></c><c r="BA125" s="366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7"><f>SIGN(U125)</f><v /></c><c r="BE125" s="367"><f>SIGN(AG125)</f><v /></c><c r="BF125" s="367"><f>SIGN(AS125)</f><v /></c><c r="BG125" s="367"><f>CONCATENATE(BD125,BE125,BF125)</f><v /></c><c r="BH125" s="367"><f>IF(BG125="111","SI","SD")</f><v /></c><c r="BI125" s="367"><f>IF(BG125="-1-1-1","SI","SD")</f><v /></c><c r="BJ125" s="367"><f>OR(BH125="SI",BI125="SI")</f><v /></c><c r="BK125" s="367"><f>IF(BJ125=FALSE,"SIGDIFERENTES","SIGIGUALES")</f><v /></c><c r="BL125" s="366"><f>IF(BC125="NO CONFORME","NO CONFORME",IF(BB125="CONFORME","CONFORME","NO CONFORME"))</f><v /></c></row><row r="126" ht="15" customHeight="1" thickBot="1"><c r="A126" s="451" t="n"><v>118</v></c><c r="B126" s="369"><f>B125</f><v /></c><c r="C126" s="369"><f>C125</f><v /></c><c r="D126" s="370"><f>D125</f><v /></c><c r="E126" s="371"><f>E125</f><v /></c><c r="F126" s="13" t="n" /><c r="G126" s="337" t="inlineStr"><is><t>PA25517240</t></is></c><c r="H126" s="313"><f>H125</f><v /></c><c r="I126" s="38"><f>I125</f><v /></c><c r="J126" s="314"><f>J125</f><v /></c><c r="K126" s="372"><f>K125</f><v /></c><c r="L126" s="372"><f>L125</f><v /></c><c r="M126" s="373" t="n"><v>107.7</v></c><c r="N126" s="373" t="n"><v>207.95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9"><f>W125</f><v /></c><c r="X126" s="379"><f>X125</f><v /></c><c r="Y126" s="373" t="n"><v>215.85</v></c><c r="Z126" s="373" t="n"><v>225.71</v></c><c r="AA126" s="380"><f>AA125</f><v /></c><c r="AB126" s="381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9"><f>AI125</f><v /></c><c r="AJ126" s="379"><f>AJ125</f><v /></c><c r="AK126" s="373"><f>Z126</f><v /></c><c r="AL126" s="373" t="n"><v>230.65</v></c><c r="AM126" s="382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3"><f>IF(I126&gt;=1,"NO CONFORME",IF(BK126="SIGDIFERENTES",BC126,BL126))</f><v /></c><c r="AU126" s="365"><f>B126=C126</f><v /></c><c r="AV126" s="365"><f>N126&lt;Y126</f><v /></c><c r="AW126" s="365"><f>Z126&lt;=AK126</f><v /></c><c r="AX126" s="365"><f>IF(I126&gt;=1,"Qcorrecto",IF(AND(AY126="aceptable",AZ126="aceptable",BA126="aceptable"),"Qcorrecto","Qincorrecto"))</f><v /></c><c r="AY126" s="366"><f>IF(AR126&lt;$AH$6,"error",IF(AR126&gt;$AH$6*1.1,"error","aceptable"))</f><v /></c><c r="AZ126" s="366"><f>IF(AF126&lt;$V$6,"error",IF(AF126&gt;$V$6*1.1,"error","aceptable"))</f><v /></c><c r="BA126" s="366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7"><f>SIGN(U126)</f><v /></c><c r="BE126" s="367"><f>SIGN(AG126)</f><v /></c><c r="BF126" s="367"><f>SIGN(AS126)</f><v /></c><c r="BG126" s="367"><f>CONCATENATE(BD126,BE126,BF126)</f><v /></c><c r="BH126" s="367"><f>IF(BG126="111","SI","SD")</f><v /></c><c r="BI126" s="367"><f>IF(BG126="-1-1-1","SI","SD")</f><v /></c><c r="BJ126" s="367"><f>OR(BH126="SI",BI126="SI")</f><v /></c><c r="BK126" s="367"><f>IF(BJ126=FALSE,"SIGDIFERENTES","SIGIGUALES")</f><v /></c><c r="BL126" s="366"><f>IF(BC126="NO CONFORME","NO CONFORME",IF(BB126="CONFORME","CONFORME","NO CONFORME"))</f><v /></c></row><row r="127" ht="15" customHeight="1" thickBot="1"><c r="A127" s="451" t="n"><v>119</v></c><c r="B127" s="369"><f>B126</f><v /></c><c r="C127" s="369"><f>C126</f><v /></c><c r="D127" s="370"><f>D126</f><v /></c><c r="E127" s="371"><f>E126</f><v /></c><c r="F127" s="13" t="n" /><c r="G127" s="337" t="inlineStr"><is><t>PA25517241</t></is></c><c r="H127" s="313"><f>H126</f><v /></c><c r="I127" s="38"><f>I126</f><v /></c><c r="J127" s="314"><f>J126</f><v /></c><c r="K127" s="372"><f>K126</f><v /></c><c r="L127" s="372"><f>L126</f><v /></c><c r="M127" s="373" t="n"><v>107.4</v></c><c r="N127" s="373" t="n"><v>207.56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9"><f>W126</f><v /></c><c r="X127" s="379"><f>X126</f><v /></c><c r="Y127" s="373" t="n"><v>215.45</v></c><c r="Z127" s="373" t="n"><v>225.45</v></c><c r="AA127" s="380"><f>AA126</f><v /></c><c r="AB127" s="381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9"><f>AI126</f><v /></c><c r="AJ127" s="379"><f>AJ126</f><v /></c><c r="AK127" s="373"><f>Z127</f><v /></c><c r="AL127" s="373" t="n"><v>230.46</v></c><c r="AM127" s="382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3"><f>IF(I127&gt;=1,"NO CONFORME",IF(BK127="SIGDIFERENTES",BC127,BL127))</f><v /></c><c r="AU127" s="365"><f>B127=C127</f><v /></c><c r="AV127" s="365"><f>N127&lt;Y127</f><v /></c><c r="AW127" s="365"><f>Z127&lt;=AK127</f><v /></c><c r="AX127" s="365"><f>IF(I127&gt;=1,"Qcorrecto",IF(AND(AY127="aceptable",AZ127="aceptable",BA127="aceptable"),"Qcorrecto","Qincorrecto"))</f><v /></c><c r="AY127" s="366"><f>IF(AR127&lt;$AH$6,"error",IF(AR127&gt;$AH$6*1.1,"error","aceptable"))</f><v /></c><c r="AZ127" s="366"><f>IF(AF127&lt;$V$6,"error",IF(AF127&gt;$V$6*1.1,"error","aceptable"))</f><v /></c><c r="BA127" s="366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7"><f>SIGN(U127)</f><v /></c><c r="BE127" s="367"><f>SIGN(AG127)</f><v /></c><c r="BF127" s="367"><f>SIGN(AS127)</f><v /></c><c r="BG127" s="367"><f>CONCATENATE(BD127,BE127,BF127)</f><v /></c><c r="BH127" s="367"><f>IF(BG127="111","SI","SD")</f><v /></c><c r="BI127" s="367"><f>IF(BG127="-1-1-1","SI","SD")</f><v /></c><c r="BJ127" s="367"><f>OR(BH127="SI",BI127="SI")</f><v /></c><c r="BK127" s="367"><f>IF(BJ127=FALSE,"SIGDIFERENTES","SIGIGUALES")</f><v /></c><c r="BL127" s="366"><f>IF(BC127="NO CONFORME","NO CONFORME",IF(BB127="CONFORME","CONFORME","NO CONFORME"))</f><v /></c></row><row r="128" ht="15" customHeight="1" thickBot="1"><c r="A128" s="451" t="n"><v>120</v></c><c r="B128" s="369"><f>B127</f><v /></c><c r="C128" s="369"><f>C127</f><v /></c><c r="D128" s="370"><f>D127</f><v /></c><c r="E128" s="371"><f>E127</f><v /></c><c r="F128" s="13" t="n" /><c r="G128" s="337" t="inlineStr"><is><t>PA25517242</t></is></c><c r="H128" s="313"><f>H127</f><v /></c><c r="I128" s="38"><f>I127</f><v /></c><c r="J128" s="314"><f>J127</f><v /></c><c r="K128" s="372"><f>K127</f><v /></c><c r="L128" s="372"><f>L127</f><v /></c><c r="M128" s="373" t="n"><v>108.46</v></c><c r="N128" s="373" t="n"><v>208.5</v></c><c r="O128" s="374"><f>O127</f><v /></c><c r="P128" s="375"><f>P127</f><v /></c><c r="Q128" s="376"><f>LEFT(P128,1)</f><v /></c><c r="R128" s="376"><f>RIGHT(P128,6)</f><v /></c><c r="S128" s="376"><f>+(Q128*60+R128)/(60*60)</f><v /></c><c r="T128" s="377"><f>+O128/S128</f><v /></c><c r="U128" s="378"><f>+(((N128-M128-O128)/O128)*100)</f><v /></c><c r="V128" s="317"><f>V127</f><v /></c><c r="W128" s="379"><f>W127</f><v /></c><c r="X128" s="379"><f>X127</f><v /></c><c r="Y128" s="373" t="n"><v>216.36</v></c><c r="Z128" s="373" t="n"><v>226.35</v></c><c r="AA128" s="380"><f>AA127</f><v /></c><c r="AB128" s="381"><f>AB127</f><v /></c><c r="AC128" s="376"><f>LEFT(AB128,2)</f><v /></c><c r="AD128" s="376"><f>RIGHT(AB128,6)</f><v /></c><c r="AE128" s="376"><f>+(AC128*60+AD128)/(60*60)</f><v /></c><c r="AF128" s="377"><f>+AA128/AE128</f><v /></c><c r="AG128" s="321"><f>+(((Z128-Y128-AA128)/AA128)*100)</f><v /></c><c r="AH128" s="317"><f>AH127</f><v /></c><c r="AI128" s="379"><f>AI127</f><v /></c><c r="AJ128" s="379"><f>AJ127</f><v /></c><c r="AK128" s="373"><f>Z128</f><v /></c><c r="AL128" s="373" t="n"><v>231.37</v></c><c r="AM128" s="382"><f>AM127</f><v /></c><c r="AN128" s="375"><f>AN127</f><v /></c><c r="AO128" s="376"><f>LEFT(AN128,2)</f><v /></c><c r="AP128" s="376"><f>RIGHT(AN128,6)</f><v /></c><c r="AQ128" s="376"><f>+(AO128*60+AP128)/(60*60)</f><v /></c><c r="AR128" s="377"><f>+AM128/AQ128</f><v /></c><c r="AS128" s="321"><f>+(((AL128-AK128-AM128)/AM128)*100)</f><v /></c><c r="AT128" s="383"><f>IF(I128&gt;=1,"NO CONFORME",IF(BK128="SIGDIFERENTES",BC128,BL128))</f><v /></c><c r="AU128" s="365"><f>B128=C128</f><v /></c><c r="AV128" s="365"><f>N128&lt;Y128</f><v /></c><c r="AW128" s="365"><f>Z128&lt;=AK128</f><v /></c><c r="AX128" s="365"><f>IF(I128&gt;=1,"Qcorrecto",IF(AND(AY128="aceptable",AZ128="aceptable",BA128="aceptable"),"Qcorrecto","Qincorrecto"))</f><v /></c><c r="AY128" s="366"><f>IF(AR128&lt;$AH$6,"error",IF(AR128&gt;$AH$6*1.1,"error","aceptable"))</f><v /></c><c r="AZ128" s="366"><f>IF(AF128&lt;$V$6,"error",IF(AF128&gt;$V$6*1.1,"error","aceptable"))</f><v /></c><c r="BA128" s="366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67"><f>SIGN(U128)</f><v /></c><c r="BE128" s="367"><f>SIGN(AG128)</f><v /></c><c r="BF128" s="367"><f>SIGN(AS128)</f><v /></c><c r="BG128" s="367"><f>CONCATENATE(BD128,BE128,BF128)</f><v /></c><c r="BH128" s="367"><f>IF(BG128="111","SI","SD")</f><v /></c><c r="BI128" s="367"><f>IF(BG128="-1-1-1","SI","SD")</f><v /></c><c r="BJ128" s="367"><f>OR(BH128="SI",BI128="SI")</f><v /></c><c r="BK128" s="367"><f>IF(BJ128=FALSE,"SIGDIFERENTES","SIGIGUALES")</f><v /></c><c r="BL128" s="366"><f>IF(BC128="NO CONFORME","NO CONFORME",IF(BB128="CONFORME","CONFORME","NO CONFORME"))</f><v /></c></row><row r="129" ht="15" customHeight="1" thickBot="1"><c r="A129" s="451" t="n"><v>121</v></c><c r="B129" s="369"><f>B128</f><v /></c><c r="C129" s="369"><f>C128</f><v /></c><c r="D129" s="370"><f>D128</f><v /></c><c r="E129" s="371"><f>E128</f><v /></c><c r="F129" s="13" t="n" /><c r="G129" s="337" t="inlineStr"><is><t>PA25517243</t></is></c><c r="H129" s="313"><f>H128</f><v /></c><c r="I129" s="38"><f>I128</f><v /></c><c r="J129" s="314"><f>J128</f><v /></c><c r="K129" s="372"><f>K128</f><v /></c><c r="L129" s="372"><f>L128</f><v /></c><c r="M129" s="373" t="n"><v>150.6</v></c><c r="N129" s="373" t="n"><v>250.5</v></c><c r="O129" s="374"><f>O128</f><v /></c><c r="P129" s="375"><f>P128</f><v /></c><c r="Q129" s="376"><f>LEFT(P129,1)</f><v /></c><c r="R129" s="376"><f>RIGHT(P129,6)</f><v /></c><c r="S129" s="376"><f>+(Q129*60+R129)/(60*60)</f><v /></c><c r="T129" s="377"><f>+O129/S129</f><v /></c><c r="U129" s="378"><f>+(((N129-M129-O129)/O129)*100)</f><v /></c><c r="V129" s="317"><f>V128</f><v /></c><c r="W129" s="379"><f>W128</f><v /></c><c r="X129" s="379"><f>X128</f><v /></c><c r="Y129" s="373" t="n"><v>258.3</v></c><c r="Z129" s="373" t="n"><v>268.32</v></c><c r="AA129" s="380"><f>AA128</f><v /></c><c r="AB129" s="381"><f>AB128</f><v /></c><c r="AC129" s="376"><f>LEFT(AB129,2)</f><v /></c><c r="AD129" s="376"><f>RIGHT(AB129,6)</f><v /></c><c r="AE129" s="376"><f>+(AC129*60+AD129)/(60*60)</f><v /></c><c r="AF129" s="377"><f>+AA129/AE129</f><v /></c><c r="AG129" s="321"><f>+(((Z129-Y129-AA129)/AA129)*100)</f><v /></c><c r="AH129" s="317"><f>AH128</f><v /></c><c r="AI129" s="379"><f>AI128</f><v /></c><c r="AJ129" s="379"><f>AJ128</f><v /></c><c r="AK129" s="373"><f>Z129</f><v /></c><c r="AL129" s="373" t="n"><v>273.37</v></c><c r="AM129" s="382"><f>AM128</f><v /></c><c r="AN129" s="375"><f>AN128</f><v /></c><c r="AO129" s="376"><f>LEFT(AN129,2)</f><v /></c><c r="AP129" s="376"><f>RIGHT(AN129,6)</f><v /></c><c r="AQ129" s="376"><f>+(AO129*60+AP129)/(60*60)</f><v /></c><c r="AR129" s="377"><f>+AM129/AQ129</f><v /></c><c r="AS129" s="321"><f>+(((AL129-AK129-AM129)/AM129)*100)</f><v /></c><c r="AT129" s="383"><f>IF(I129&gt;=1,"NO CONFORME",IF(BK129="SIGDIFERENTES",BC129,BL129))</f><v /></c><c r="AU129" s="365"><f>B129=C129</f><v /></c><c r="AV129" s="365"><f>N129&lt;Y129</f><v /></c><c r="AW129" s="365"><f>Z129&lt;=AK129</f><v /></c><c r="AX129" s="365"><f>IF(I129&gt;=1,"Qcorrecto",IF(AND(AY129="aceptable",AZ129="aceptable",BA129="aceptable"),"Qcorrecto","Qincorrecto"))</f><v /></c><c r="AY129" s="366"><f>IF(AR129&lt;$AH$6,"error",IF(AR129&gt;$AH$6*1.1,"error","aceptable"))</f><v /></c><c r="AZ129" s="366"><f>IF(AF129&lt;$V$6,"error",IF(AF129&gt;$V$6*1.1,"error","aceptable"))</f><v /></c><c r="BA129" s="366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7"><f>SIGN(U129)</f><v /></c><c r="BE129" s="367"><f>SIGN(AG129)</f><v /></c><c r="BF129" s="367"><f>SIGN(AS129)</f><v /></c><c r="BG129" s="367"><f>CONCATENATE(BD129,BE129,BF129)</f><v /></c><c r="BH129" s="367"><f>IF(BG129="111","SI","SD")</f><v /></c><c r="BI129" s="367"><f>IF(BG129="-1-1-1","SI","SD")</f><v /></c><c r="BJ129" s="367"><f>OR(BH129="SI",BI129="SI")</f><v /></c><c r="BK129" s="367"><f>IF(BJ129=FALSE,"SIGDIFERENTES","SIGIGUALES")</f><v /></c><c r="BL129" s="366"><f>IF(BC129="NO CONFORME","NO CONFORME",IF(BB129="CONFORME","CONFORME","NO CONFORME"))</f><v /></c></row><row r="130" ht="15" customHeight="1" thickBot="1"><c r="A130" s="451" t="n"><v>122</v></c><c r="B130" s="369"><f>B129</f><v /></c><c r="C130" s="369"><f>C129</f><v /></c><c r="D130" s="370"><f>D129</f><v /></c><c r="E130" s="371"><f>E129</f><v /></c><c r="F130" s="13" t="n" /><c r="G130" s="337" t="inlineStr"><is><t>PA25517244</t></is></c><c r="H130" s="313"><f>H129</f><v /></c><c r="I130" s="38"><f>I129</f><v /></c><c r="J130" s="314"><f>J129</f><v /></c><c r="K130" s="372"><f>K129</f><v /></c><c r="L130" s="372"><f>L129</f><v /></c><c r="M130" s="373" t="n"><v>108.64</v></c><c r="N130" s="373" t="n"><v>208.63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9"><f>W129</f><v /></c><c r="X130" s="379"><f>X129</f><v /></c><c r="Y130" s="373" t="n"><v>216.5</v></c><c r="Z130" s="373" t="n"><v>226.49</v></c><c r="AA130" s="380"><f>AA129</f><v /></c><c r="AB130" s="381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9"><f>AI129</f><v /></c><c r="AJ130" s="379"><f>AJ129</f><v /></c><c r="AK130" s="373"><f>Z130</f><v /></c><c r="AL130" s="373" t="n"><v>231.55</v></c><c r="AM130" s="382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3"><f>IF(I130&gt;=1,"NO CONFORME",IF(BK130="SIGDIFERENTES",BC130,BL130))</f><v /></c><c r="AU130" s="365"><f>B130=C130</f><v /></c><c r="AV130" s="365"><f>N130&lt;Y130</f><v /></c><c r="AW130" s="365"><f>Z130&lt;=AK130</f><v /></c><c r="AX130" s="365"><f>IF(I130&gt;=1,"Qcorrecto",IF(AND(AY130="aceptable",AZ130="aceptable",BA130="aceptable"),"Qcorrecto","Qincorrecto"))</f><v /></c><c r="AY130" s="366"><f>IF(AR130&lt;$AH$6,"error",IF(AR130&gt;$AH$6*1.1,"error","aceptable"))</f><v /></c><c r="AZ130" s="366"><f>IF(AF130&lt;$V$6,"error",IF(AF130&gt;$V$6*1.1,"error","aceptable"))</f><v /></c><c r="BA130" s="366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7"><f>SIGN(U130)</f><v /></c><c r="BE130" s="367"><f>SIGN(AG130)</f><v /></c><c r="BF130" s="367"><f>SIGN(AS130)</f><v /></c><c r="BG130" s="367"><f>CONCATENATE(BD130,BE130,BF130)</f><v /></c><c r="BH130" s="367"><f>IF(BG130="111","SI","SD")</f><v /></c><c r="BI130" s="367"><f>IF(BG130="-1-1-1","SI","SD")</f><v /></c><c r="BJ130" s="367"><f>OR(BH130="SI",BI130="SI")</f><v /></c><c r="BK130" s="367"><f>IF(BJ130=FALSE,"SIGDIFERENTES","SIGIGUALES")</f><v /></c><c r="BL130" s="366"><f>IF(BC130="NO CONFORME","NO CONFORME",IF(BB130="CONFORME","CONFORME","NO CONFORME"))</f><v /></c></row><row r="131" ht="15" customHeight="1" thickBot="1"><c r="A131" s="451" t="n"><v>123</v></c><c r="B131" s="369"><f>B130</f><v /></c><c r="C131" s="369"><f>C130</f><v /></c><c r="D131" s="370"><f>D130</f><v /></c><c r="E131" s="371"><f>E130</f><v /></c><c r="F131" s="13" t="n" /><c r="G131" s="337" t="inlineStr"><is><t>PA25517245</t></is></c><c r="H131" s="313"><f>H130</f><v /></c><c r="I131" s="38"><f>I130</f><v /></c><c r="J131" s="314"><f>J130</f><v /></c><c r="K131" s="372"><f>K130</f><v /></c><c r="L131" s="372"><f>L130</f><v /></c><c r="M131" s="373" t="n"><v>105.22</v></c><c r="N131" s="373" t="n"><v>205.8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9"><f>W130</f><v /></c><c r="X131" s="379"><f>X130</f><v /></c><c r="Y131" s="373" t="n"><v>213.69</v></c><c r="Z131" s="373" t="n"><v>223.64</v></c><c r="AA131" s="380"><f>AA130</f><v /></c><c r="AB131" s="381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9"><f>AI130</f><v /></c><c r="AJ131" s="379"><f>AJ130</f><v /></c><c r="AK131" s="373"><f>Z131</f><v /></c><c r="AL131" s="373" t="n"><v>228.6</v></c><c r="AM131" s="382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3"><f>IF(I131&gt;=1,"NO CONFORME",IF(BK131="SIGDIFERENTES",BC131,BL131))</f><v /></c><c r="AU131" s="365"><f>B131=C131</f><v /></c><c r="AV131" s="365"><f>N131&lt;Y131</f><v /></c><c r="AW131" s="365"><f>Z131&lt;=AK131</f><v /></c><c r="AX131" s="365"><f>IF(I131&gt;=1,"Qcorrecto",IF(AND(AY131="aceptable",AZ131="aceptable",BA131="aceptable"),"Qcorrecto","Qincorrecto"))</f><v /></c><c r="AY131" s="366"><f>IF(AR131&lt;$AH$6,"error",IF(AR131&gt;$AH$6*1.1,"error","aceptable"))</f><v /></c><c r="AZ131" s="366"><f>IF(AF131&lt;$V$6,"error",IF(AF131&gt;$V$6*1.1,"error","aceptable"))</f><v /></c><c r="BA131" s="366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7"><f>SIGN(U131)</f><v /></c><c r="BE131" s="367"><f>SIGN(AG131)</f><v /></c><c r="BF131" s="367"><f>SIGN(AS131)</f><v /></c><c r="BG131" s="367"><f>CONCATENATE(BD131,BE131,BF131)</f><v /></c><c r="BH131" s="367"><f>IF(BG131="111","SI","SD")</f><v /></c><c r="BI131" s="367"><f>IF(BG131="-1-1-1","SI","SD")</f><v /></c><c r="BJ131" s="367"><f>OR(BH131="SI",BI131="SI")</f><v /></c><c r="BK131" s="367"><f>IF(BJ131=FALSE,"SIGDIFERENTES","SIGIGUALES")</f><v /></c><c r="BL131" s="366"><f>IF(BC131="NO CONFORME","NO CONFORME",IF(BB131="CONFORME","CONFORME","NO CONFORME"))</f><v /></c></row><row r="132" ht="15" customHeight="1" thickBot="1"><c r="A132" s="451" t="n"><v>124</v></c><c r="B132" s="369"><f>B131</f><v /></c><c r="C132" s="369"><f>C131</f><v /></c><c r="D132" s="370"><f>D131</f><v /></c><c r="E132" s="371"><f>E131</f><v /></c><c r="F132" s="13" t="n" /><c r="G132" s="337" t="inlineStr"><is><t>PA25517246</t></is></c><c r="H132" s="313"><f>H131</f><v /></c><c r="I132" s="38"><f>I131</f><v /></c><c r="J132" s="314"><f>J131</f><v /></c><c r="K132" s="372"><f>K131</f><v /></c><c r="L132" s="372"><f>L131</f><v /></c><c r="M132" s="373" t="n"><v>109.12</v></c><c r="N132" s="373" t="n"><v>209.35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9"><f>W131</f><v /></c><c r="X132" s="379"><f>X131</f><v /></c><c r="Y132" s="373" t="n"><v>217.2</v></c><c r="Z132" s="373" t="n"><v>227.24</v></c><c r="AA132" s="380"><f>AA131</f><v /></c><c r="AB132" s="381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9"><f>AI131</f><v /></c><c r="AJ132" s="379"><f>AJ131</f><v /></c><c r="AK132" s="373"><f>Z132</f><v /></c><c r="AL132" s="373" t="n"><v>232.3</v></c><c r="AM132" s="382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3"><f>IF(I132&gt;=1,"NO CONFORME",IF(BK132="SIGDIFERENTES",BC132,BL132))</f><v /></c><c r="AU132" s="365"><f>B132=C132</f><v /></c><c r="AV132" s="365"><f>N132&lt;Y132</f><v /></c><c r="AW132" s="365"><f>Z132&lt;=AK132</f><v /></c><c r="AX132" s="365"><f>IF(I132&gt;=1,"Qcorrecto",IF(AND(AY132="aceptable",AZ132="aceptable",BA132="aceptable"),"Qcorrecto","Qincorrecto"))</f><v /></c><c r="AY132" s="366"><f>IF(AR132&lt;$AH$6,"error",IF(AR132&gt;$AH$6*1.1,"error","aceptable"))</f><v /></c><c r="AZ132" s="366"><f>IF(AF132&lt;$V$6,"error",IF(AF132&gt;$V$6*1.1,"error","aceptable"))</f><v /></c><c r="BA132" s="366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7"><f>SIGN(U132)</f><v /></c><c r="BE132" s="367"><f>SIGN(AG132)</f><v /></c><c r="BF132" s="367"><f>SIGN(AS132)</f><v /></c><c r="BG132" s="367"><f>CONCATENATE(BD132,BE132,BF132)</f><v /></c><c r="BH132" s="367"><f>IF(BG132="111","SI","SD")</f><v /></c><c r="BI132" s="367"><f>IF(BG132="-1-1-1","SI","SD")</f><v /></c><c r="BJ132" s="367"><f>OR(BH132="SI",BI132="SI")</f><v /></c><c r="BK132" s="367"><f>IF(BJ132=FALSE,"SIGDIFERENTES","SIGIGUALES")</f><v /></c><c r="BL132" s="366"><f>IF(BC132="NO CONFORME","NO CONFORME",IF(BB132="CONFORME","CONFORME","NO CONFORME"))</f><v /></c></row><row r="133" ht="15" customHeight="1" thickBot="1"><c r="A133" s="451" t="n"><v>125</v></c><c r="B133" s="369"><f>B132</f><v /></c><c r="C133" s="369"><f>C132</f><v /></c><c r="D133" s="370"><f>D132</f><v /></c><c r="E133" s="371"><f>E132</f><v /></c><c r="F133" s="13" t="n" /><c r="G133" s="337" t="inlineStr"><is><t>PA25517247</t></is></c><c r="H133" s="313"><f>H132</f><v /></c><c r="I133" s="38"><f>I132</f><v /></c><c r="J133" s="314"><f>J132</f><v /></c><c r="K133" s="372"><f>K132</f><v /></c><c r="L133" s="372"><f>L132</f><v /></c><c r="M133" s="373" t="n"><v>104.06</v></c><c r="N133" s="373" t="n"><v>204.05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9"><f>W132</f><v /></c><c r="X133" s="379"><f>X132</f><v /></c><c r="Y133" s="373" t="n"><v>211.89</v></c><c r="Z133" s="373" t="n"><v>221.86</v></c><c r="AA133" s="380"><f>AA132</f><v /></c><c r="AB133" s="381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9"><f>AI132</f><v /></c><c r="AJ133" s="379"><f>AJ132</f><v /></c><c r="AK133" s="373"><f>Z133</f><v /></c><c r="AL133" s="373" t="n"><v>226.91</v></c><c r="AM133" s="382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3"><f>IF(I133&gt;=1,"NO CONFORME",IF(BK133="SIGDIFERENTES",BC133,BL133))</f><v /></c><c r="AU133" s="365"><f>B133=C133</f><v /></c><c r="AV133" s="365"><f>N133&lt;Y133</f><v /></c><c r="AW133" s="365"><f>Z133&lt;=AK133</f><v /></c><c r="AX133" s="365"><f>IF(I133&gt;=1,"Qcorrecto",IF(AND(AY133="aceptable",AZ133="aceptable",BA133="aceptable"),"Qcorrecto","Qincorrecto"))</f><v /></c><c r="AY133" s="366"><f>IF(AR133&lt;$AH$6,"error",IF(AR133&gt;$AH$6*1.1,"error","aceptable"))</f><v /></c><c r="AZ133" s="366"><f>IF(AF133&lt;$V$6,"error",IF(AF133&gt;$V$6*1.1,"error","aceptable"))</f><v /></c><c r="BA133" s="366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7"><f>SIGN(U133)</f><v /></c><c r="BE133" s="367"><f>SIGN(AG133)</f><v /></c><c r="BF133" s="367"><f>SIGN(AS133)</f><v /></c><c r="BG133" s="367"><f>CONCATENATE(BD133,BE133,BF133)</f><v /></c><c r="BH133" s="367"><f>IF(BG133="111","SI","SD")</f><v /></c><c r="BI133" s="367"><f>IF(BG133="-1-1-1","SI","SD")</f><v /></c><c r="BJ133" s="367"><f>OR(BH133="SI",BI133="SI")</f><v /></c><c r="BK133" s="367"><f>IF(BJ133=FALSE,"SIGDIFERENTES","SIGIGUALES")</f><v /></c><c r="BL133" s="366"><f>IF(BC133="NO CONFORME","NO CONFORME",IF(BB133="CONFORME","CONFORME","NO CONFORME"))</f><v /></c></row><row r="134" ht="15" customHeight="1" thickBot="1"><c r="A134" s="451" t="n"><v>126</v></c><c r="B134" s="369"><f>B133</f><v /></c><c r="C134" s="369"><f>C133</f><v /></c><c r="D134" s="370"><f>D133</f><v /></c><c r="E134" s="371"><f>E133</f><v /></c><c r="F134" s="13" t="n" /><c r="G134" s="337" t="inlineStr"><is><t>PA25517248</t></is></c><c r="H134" s="313"><f>H133</f><v /></c><c r="I134" s="38"><f>I133</f><v /></c><c r="J134" s="314"><f>J133</f><v /></c><c r="K134" s="372"><f>K133</f><v /></c><c r="L134" s="372"><f>L133</f><v /></c><c r="M134" s="373" t="n"><v>105.4</v></c><c r="N134" s="373" t="n"><v>205.08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9"><f>W133</f><v /></c><c r="X134" s="379"><f>X133</f><v /></c><c r="Y134" s="373" t="n"><v>213.54</v></c><c r="Z134" s="373" t="n"><v>223.55</v></c><c r="AA134" s="380"><f>AA133</f><v /></c><c r="AB134" s="381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9"><f>AI133</f><v /></c><c r="AJ134" s="379"><f>AJ133</f><v /></c><c r="AK134" s="373"><f>Z134</f><v /></c><c r="AL134" s="373" t="n"><v>228.6</v></c><c r="AM134" s="382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3"><f>IF(I134&gt;=1,"NO CONFORME",IF(BK134="SIGDIFERENTES",BC134,BL134))</f><v /></c><c r="AU134" s="365"><f>B134=C134</f><v /></c><c r="AV134" s="365"><f>N134&lt;Y134</f><v /></c><c r="AW134" s="365"><f>Z134&lt;=AK134</f><v /></c><c r="AX134" s="365"><f>IF(I134&gt;=1,"Qcorrecto",IF(AND(AY134="aceptable",AZ134="aceptable",BA134="aceptable"),"Qcorrecto","Qincorrecto"))</f><v /></c><c r="AY134" s="366"><f>IF(AR134&lt;$AH$6,"error",IF(AR134&gt;$AH$6*1.1,"error","aceptable"))</f><v /></c><c r="AZ134" s="366"><f>IF(AF134&lt;$V$6,"error",IF(AF134&gt;$V$6*1.1,"error","aceptable"))</f><v /></c><c r="BA134" s="366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7"><f>SIGN(U134)</f><v /></c><c r="BE134" s="367"><f>SIGN(AG134)</f><v /></c><c r="BF134" s="367"><f>SIGN(AS134)</f><v /></c><c r="BG134" s="367"><f>CONCATENATE(BD134,BE134,BF134)</f><v /></c><c r="BH134" s="367"><f>IF(BG134="111","SI","SD")</f><v /></c><c r="BI134" s="367"><f>IF(BG134="-1-1-1","SI","SD")</f><v /></c><c r="BJ134" s="367"><f>OR(BH134="SI",BI134="SI")</f><v /></c><c r="BK134" s="367"><f>IF(BJ134=FALSE,"SIGDIFERENTES","SIGIGUALES")</f><v /></c><c r="BL134" s="366"><f>IF(BC134="NO CONFORME","NO CONFORME",IF(BB134="CONFORME","CONFORME","NO CONFORME"))</f><v /></c></row><row r="135" ht="15" customHeight="1" thickBot="1"><c r="A135" s="451" t="n"><v>127</v></c><c r="B135" s="369"><f>B134</f><v /></c><c r="C135" s="369"><f>C134</f><v /></c><c r="D135" s="370"><f>D134</f><v /></c><c r="E135" s="371"><f>E134</f><v /></c><c r="F135" s="13" t="n" /><c r="G135" s="337" t="inlineStr"><is><t>PA25517249</t></is></c><c r="H135" s="313"><f>H134</f><v /></c><c r="I135" s="38"><f>I134</f><v /></c><c r="J135" s="314"><f>J134</f><v /></c><c r="K135" s="372"><f>K134</f><v /></c><c r="L135" s="372"><f>L134</f><v /></c><c r="M135" s="373" t="n"><v>111.75</v></c><c r="N135" s="373" t="n"><v>211.6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9"><f>W134</f><v /></c><c r="X135" s="379"><f>X134</f><v /></c><c r="Y135" s="373" t="n"><v>219.43</v></c><c r="Z135" s="373" t="n"><v>229.55</v></c><c r="AA135" s="380"><f>AA134</f><v /></c><c r="AB135" s="381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9"><f>AI134</f><v /></c><c r="AJ135" s="379"><f>AJ134</f><v /></c><c r="AK135" s="373"><f>Z135</f><v /></c><c r="AL135" s="373" t="n"><v>234.65</v></c><c r="AM135" s="382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3"><f>IF(I135&gt;=1,"NO CONFORME",IF(BK135="SIGDIFERENTES",BC135,BL135))</f><v /></c><c r="AU135" s="365"><f>B135=C135</f><v /></c><c r="AV135" s="365"><f>N135&lt;Y135</f><v /></c><c r="AW135" s="365"><f>Z135&lt;=AK135</f><v /></c><c r="AX135" s="365"><f>IF(I135&gt;=1,"Qcorrecto",IF(AND(AY135="aceptable",AZ135="aceptable",BA135="aceptable"),"Qcorrecto","Qincorrecto"))</f><v /></c><c r="AY135" s="366"><f>IF(AR135&lt;$AH$6,"error",IF(AR135&gt;$AH$6*1.1,"error","aceptable"))</f><v /></c><c r="AZ135" s="366"><f>IF(AF135&lt;$V$6,"error",IF(AF135&gt;$V$6*1.1,"error","aceptable"))</f><v /></c><c r="BA135" s="366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7"><f>SIGN(U135)</f><v /></c><c r="BE135" s="367"><f>SIGN(AG135)</f><v /></c><c r="BF135" s="367"><f>SIGN(AS135)</f><v /></c><c r="BG135" s="367"><f>CONCATENATE(BD135,BE135,BF135)</f><v /></c><c r="BH135" s="367"><f>IF(BG135="111","SI","SD")</f><v /></c><c r="BI135" s="367"><f>IF(BG135="-1-1-1","SI","SD")</f><v /></c><c r="BJ135" s="367"><f>OR(BH135="SI",BI135="SI")</f><v /></c><c r="BK135" s="367"><f>IF(BJ135=FALSE,"SIGDIFERENTES","SIGIGUALES")</f><v /></c><c r="BL135" s="366"><f>IF(BC135="NO CONFORME","NO CONFORME",IF(BB135="CONFORME","CONFORME","NO CONFORME"))</f><v /></c></row><row r="136" ht="15" customHeight="1" thickBot="1"><c r="A136" s="473" t="n"><v>128</v></c><c r="B136" s="454"><f>B135</f><v /></c><c r="C136" s="454"><f>C135</f><v /></c><c r="D136" s="455"><f>D135</f><v /></c><c r="E136" s="474"><f>E135</f><v /></c><c r="F136" s="52" t="n" /><c r="G136" s="337" t="inlineStr"><is><t>PA25517250</t></is></c><c r="H136" s="326"><f>H135</f><v /></c><c r="I136" s="98"><f>I135</f><v /></c><c r="J136" s="327"><f>J135</f><v /></c><c r="K136" s="458"><f>K135</f><v /></c><c r="L136" s="458"><f>L135</f><v /></c><c r="M136" s="459" t="n"><v>110.45</v></c><c r="N136" s="459" t="n"><v>211.3</v></c><c r="O136" s="460"><f>O135</f><v /></c><c r="P136" s="461"><f>P135</f><v /></c><c r="Q136" s="462"><f>LEFT(P136,1)</f><v /></c><c r="R136" s="462"><f>RIGHT(P136,6)</f><v /></c><c r="S136" s="462"><f>+(Q136*60+R136)/(60*60)</f><v /></c><c r="T136" s="463"><f>+O136/S136</f><v /></c><c r="U136" s="464"><f>+(((N136-M136-O136)/O136)*100)</f><v /></c><c r="V136" s="329"><f>V135</f><v /></c><c r="W136" s="465"><f>W135</f><v /></c><c r="X136" s="465"><f>X135</f><v /></c><c r="Y136" s="459" t="n"><v>219.12</v></c><c r="Z136" s="459" t="n"><v>229.3</v></c><c r="AA136" s="466"><f>AA135</f><v /></c><c r="AB136" s="467"><f>AB135</f><v /></c><c r="AC136" s="462"><f>LEFT(AB136,2)</f><v /></c><c r="AD136" s="462"><f>RIGHT(AB136,6)</f><v /></c><c r="AE136" s="462"><f>+(AC136*60+AD136)/(60*60)</f><v /></c><c r="AF136" s="463"><f>+AA136/AE136</f><v /></c><c r="AG136" s="468"><f>+(((Z136-Y136-AA136)/AA136)*100)</f><v /></c><c r="AH136" s="329"><f>AH135</f><v /></c><c r="AI136" s="465"><f>AI135</f><v /></c><c r="AJ136" s="465"><f>AJ135</f><v /></c><c r="AK136" s="459"><f>Z136</f><v /></c><c r="AL136" s="459" t="n"><v>234.43</v></c><c r="AM136" s="469"><f>AM135</f><v /></c><c r="AN136" s="461"><f>AN135</f><v /></c><c r="AO136" s="462"><f>LEFT(AN136,2)</f><v /></c><c r="AP136" s="462"><f>RIGHT(AN136,6)</f><v /></c><c r="AQ136" s="462"><f>+(AO136*60+AP136)/(60*60)</f><v /></c><c r="AR136" s="463"><f>+AM136/AQ136</f><v /></c><c r="AS136" s="468"><f>+(((AL136-AK136-AM136)/AM136)*100)</f><v /></c><c r="AT136" s="470"><f>IF(I136&gt;=1,"NO CONFORME",IF(BK136="SIGDIFERENTES",BC136,BL136))</f><v /></c><c r="AU136" s="426"><f>B136=C136</f><v /></c><c r="AV136" s="426"><f>N136&lt;Y136</f><v /></c><c r="AW136" s="426"><f>Z136&lt;=AK136</f><v /></c><c r="AX136" s="426"><f>IF(I136&gt;=1,"Qcorrecto",IF(AND(AY136="aceptable",AZ136="aceptable",BA136="aceptable"),"Qcorrecto","Qincorrecto"))</f><v /></c><c r="AY136" s="427"><f>IF(AR136&lt;$AH$6,"error",IF(AR136&gt;$AH$6*1.1,"error","aceptable"))</f><v /></c><c r="AZ136" s="427"><f>IF(AF136&lt;$V$6,"error",IF(AF136&gt;$V$6*1.1,"error","aceptable"))</f><v /></c><c r="BA136" s="427"><f>IF(T136&lt;$J$6*0.9,"error",IF(T136&gt;$J$6,"error","aceptable"))</f><v /></c><c r="BB136" s="428"><f>(IF(ABS(U136)&lt;1.05,"CONFORME",IF(ABS(AG136)&lt;1.05,"CONFORME",IF(ABS(AS136)&lt;2.55,"CONFORME","NO CONFORME"))))</f><v /></c><c r="BC136" s="429"><f>(IF(ABS(U136)&gt;2.05,"NO CONFORME",IF(ABS(AG136)&gt;2.05,"NO CONFORME",IF(ABS(AS136)&gt;5.05,"NO CONFORME","CONFORME"))))</f><v /></c><c r="BD136" s="430"><f>SIGN(U136)</f><v /></c><c r="BE136" s="430"><f>SIGN(AG136)</f><v /></c><c r="BF136" s="430"><f>SIGN(AS136)</f><v /></c><c r="BG136" s="430"><f>CONCATENATE(BD136,BE136,BF136)</f><v /></c><c r="BH136" s="430"><f>IF(BG136="111","SI","SD")</f><v /></c><c r="BI136" s="430"><f>IF(BG136="-1-1-1","SI","SD")</f><v /></c><c r="BJ136" s="430"><f>OR(BH136="SI",BI136="SI")</f><v /></c><c r="BK136" s="430"><f>IF(BJ136=FALSE,"SIGDIFERENTES","SIGIGUALES")</f><v /></c><c r="BL136" s="427"><f>IF(BC136="NO CONFORME","NO CONFORME",IF(BB136="CONFORME","CONFORME","NO CONFORME"))</f><v /></c></row><row r="137" ht="15" customHeight="1" thickBot="1"><c r="A137" s="351" t="n"><v>129</v></c><c r="B137" s="386"><f>B136</f><v /></c><c r="C137" s="386"><f>C136</f><v /></c><c r="D137" s="387"><f>D136</f><v /></c><c r="E137" s="475"><f>E136</f><v /></c><c r="F137" s="58" t="n" /><c r="G137" s="337" t="inlineStr"><is><t>PA25517251</t></is></c><c r="H137" s="388"><f>H136</f><v /></c><c r="I137" s="232"><f>I136</f><v /></c><c r="J137" s="389" t="n"><v>21.4</v></c><c r="K137" s="390" t="n"><v>7.897</v></c><c r="L137" s="390" t="n"><v>0.5639999999999999</v></c><c r="M137" s="356" t="n"><v>146.35</v></c><c r="N137" s="356" t="n"><v>246.52</v></c><c r="O137" s="391" t="n"><v>100.8</v></c><c r="P137" s="392" t="inlineStr"><is><t>2,29,840</t></is></c><c r="Q137" s="359"><f>LEFT(P137,1)</f><v /></c><c r="R137" s="359"><f>RIGHT(P137,6)</f><v /></c><c r="S137" s="359"><f>+(Q137*60+R137)/(60*60)</f><v /></c><c r="T137" s="360"><f>+O137/S137</f><v /></c><c r="U137" s="361"><f>+(((N137-M137-O137)/O137)*100)</f><v /></c><c r="V137" s="393" t="n"><v>21.3</v></c><c r="W137" s="394" t="n"><v>1.509</v></c><c r="X137" s="394" t="n"><v>1.504</v></c><c r="Y137" s="356" t="n"><v>253.64</v></c><c r="Z137" s="356" t="n"><v>263.66</v></c><c r="AA137" s="395" t="n"><v>10.011</v></c><c r="AB137" s="396" t="inlineStr"><is><t>22,14,040</t></is></c><c r="AC137" s="359"><f>LEFT(AB137,2)</f><v /></c><c r="AD137" s="359"><f>RIGHT(AB137,6)</f><v /></c><c r="AE137" s="359"><f>+(AC137*60+AD137)/(60*60)</f><v /></c><c r="AF137" s="360"><f>+AA137/AE137</f><v /></c><c r="AG137" s="362"><f>+(((Z137-Y137-AA137)/AA137)*100)</f><v /></c><c r="AH137" s="393" t="n"><v>21.2</v></c><c r="AI137" s="394" t="n"><v>1.506</v></c><c r="AJ137" s="394" t="n"><v>1.503</v></c><c r="AK137" s="356"><f>Z137</f><v /></c><c r="AL137" s="356" t="n"><v>268.74</v></c><c r="AM137" s="397" t="n"><v>5.02</v></c><c r="AN137" s="392" t="inlineStr"><is><t>17,59,600</t></is></c><c r="AO137" s="359"><f>LEFT(AN137,2)</f><v /></c><c r="AP137" s="359"><f>RIGHT(AN137,6)</f><v /></c><c r="AQ137" s="359"><f>+(AO137*60+AP137)/(60*60)</f><v /></c><c r="AR137" s="360"><f>+AM137/AQ137</f><v /></c><c r="AS137" s="362"><f>+(((AL137-AK137-AM137)/AM137)*100)</f><v /></c><c r="AT137" s="364"><f>IF(I137&gt;=1,"NO CONFORME",IF(BK137="SIGDIFERENTES",BC137,BL137))</f><v /></c><c r="AU137" s="365"><f>B137=C137</f><v /></c><c r="AV137" s="365"><f>N137&lt;Y137</f><v /></c><c r="AW137" s="365"><f>Z137&lt;=AK137</f><v /></c><c r="AX137" s="365"><f>IF(I137&gt;=1,"Qcorrecto",IF(AND(AY137="aceptable",AZ137="aceptable",BA137="aceptable"),"Qcorrecto","Qincorrecto"))</f><v /></c><c r="AY137" s="368"><f>IF(AR137&lt;$AH$6,"error",IF(AR137&gt;$AH$6*1.1,"error","aceptable"))</f><v /></c><c r="AZ137" s="368"><f>IF(AF137&lt;$V$6,"error",IF(AF137&gt;$V$6*1.1,"error","aceptable"))</f><v /></c><c r="BA137" s="368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7"><f>SIGN(U137)</f><v /></c><c r="BE137" s="367"><f>SIGN(AG137)</f><v /></c><c r="BF137" s="367"><f>SIGN(AS137)</f><v /></c><c r="BG137" s="367"><f>CONCATENATE(BD137,BE137,BF137)</f><v /></c><c r="BH137" s="367"><f>IF(BG137="111","SI","SD")</f><v /></c><c r="BI137" s="367"><f>IF(BG137="-1-1-1","SI","SD")</f><v /></c><c r="BJ137" s="367"><f>OR(BH137="SI",BI137="SI")</f><v /></c><c r="BK137" s="367"><f>IF(BJ137=FALSE,"SIGDIFERENTES","SIGIGUALES")</f><v /></c><c r="BL137" s="368"><f>IF(BC137="NO CONFORME","NO CONFORME",IF(BB137="CONFORME","CONFORME","NO CONFORME"))</f><v /></c></row><row r="138" ht="15" customHeight="1" thickBot="1"><c r="A138" s="451" t="n"><v>130</v></c><c r="B138" s="369"><f>B137</f><v /></c><c r="C138" s="369"><f>C137</f><v /></c><c r="D138" s="370"><f>D137</f><v /></c><c r="E138" s="371"><f>E137</f><v /></c><c r="F138" s="13" t="n" /><c r="G138" s="337" t="inlineStr"><is><t>PA25517252</t></is></c><c r="H138" s="313"><f>H137</f><v /></c><c r="I138" s="38"><f>I137</f><v /></c><c r="J138" s="314"><f>J137</f><v /></c><c r="K138" s="372"><f>K137</f><v /></c><c r="L138" s="372"><f>L137</f><v /></c><c r="M138" s="373" t="n"><v>102.8</v></c><c r="N138" s="373" t="n"><v>202.95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9"><f>W137</f><v /></c><c r="X138" s="379"><f>X137</f><v /></c><c r="Y138" s="373" t="n"><v>210.05</v></c><c r="Z138" s="373" t="n"><v>220.05</v></c><c r="AA138" s="380"><f>AA137</f><v /></c><c r="AB138" s="381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9"><f>AI137</f><v /></c><c r="AJ138" s="379"><f>AJ137</f><v /></c><c r="AK138" s="373"><f>Z138</f><v /></c><c r="AL138" s="373" t="n"><v>225.06</v></c><c r="AM138" s="382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3"><f>IF(I138&gt;=1,"NO CONFORME",IF(BK138="SIGDIFERENTES",BC138,BL138))</f><v /></c><c r="AU138" s="365"><f>B138=C138</f><v /></c><c r="AV138" s="365"><f>N138&lt;Y138</f><v /></c><c r="AW138" s="365"><f>Z138&lt;=AK138</f><v /></c><c r="AX138" s="365"><f>IF(I138&gt;=1,"Qcorrecto",IF(AND(AY138="aceptable",AZ138="aceptable",BA138="aceptable"),"Qcorrecto","Qincorrecto"))</f><v /></c><c r="AY138" s="366"><f>IF(AR138&lt;$AH$6,"error",IF(AR138&gt;$AH$6*1.1,"error","aceptable"))</f><v /></c><c r="AZ138" s="366"><f>IF(AF138&lt;$V$6,"error",IF(AF138&gt;$V$6*1.1,"error","aceptable"))</f><v /></c><c r="BA138" s="366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7"><f>SIGN(U138)</f><v /></c><c r="BE138" s="367"><f>SIGN(AG138)</f><v /></c><c r="BF138" s="367"><f>SIGN(AS138)</f><v /></c><c r="BG138" s="367"><f>CONCATENATE(BD138,BE138,BF138)</f><v /></c><c r="BH138" s="367"><f>IF(BG138="111","SI","SD")</f><v /></c><c r="BI138" s="367"><f>IF(BG138="-1-1-1","SI","SD")</f><v /></c><c r="BJ138" s="367"><f>OR(BH138="SI",BI138="SI")</f><v /></c><c r="BK138" s="367"><f>IF(BJ138=FALSE,"SIGDIFERENTES","SIGIGUALES")</f><v /></c><c r="BL138" s="366"><f>IF(BC138="NO CONFORME","NO CONFORME",IF(BB138="CONFORME","CONFORME","NO CONFORME"))</f><v /></c></row><row r="139" ht="15" customHeight="1" thickBot="1"><c r="A139" s="451" t="n"><v>131</v></c><c r="B139" s="369"><f>B138</f><v /></c><c r="C139" s="369"><f>C138</f><v /></c><c r="D139" s="370"><f>D138</f><v /></c><c r="E139" s="371"><f>E138</f><v /></c><c r="F139" s="13" t="n" /><c r="G139" s="337" t="inlineStr"><is><t>PA25517253</t></is></c><c r="H139" s="313"><f>H138</f><v /></c><c r="I139" s="38"><f>I138</f><v /></c><c r="J139" s="314"><f>J138</f><v /></c><c r="K139" s="372"><f>K138</f><v /></c><c r="L139" s="372"><f>L138</f><v /></c><c r="M139" s="373" t="n"><v>107.7</v></c><c r="N139" s="373" t="n"><v>207.55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9"><f>W138</f><v /></c><c r="X139" s="379"><f>X138</f><v /></c><c r="Y139" s="373" t="n"><v>214.64</v></c><c r="Z139" s="373" t="n"><v>224.57</v></c><c r="AA139" s="380"><f>AA138</f><v /></c><c r="AB139" s="381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9"><f>AI138</f><v /></c><c r="AJ139" s="379"><f>AJ138</f><v /></c><c r="AK139" s="373"><f>Z139</f><v /></c><c r="AL139" s="373" t="n"><v>229.6</v></c><c r="AM139" s="382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3"><f>IF(I139&gt;=1,"NO CONFORME",IF(BK139="SIGDIFERENTES",BC139,BL139))</f><v /></c><c r="AU139" s="365"><f>B139=C139</f><v /></c><c r="AV139" s="365"><f>N139&lt;Y139</f><v /></c><c r="AW139" s="365"><f>Z139&lt;=AK139</f><v /></c><c r="AX139" s="365"><f>IF(I139&gt;=1,"Qcorrecto",IF(AND(AY139="aceptable",AZ139="aceptable",BA139="aceptable"),"Qcorrecto","Qincorrecto"))</f><v /></c><c r="AY139" s="366"><f>IF(AR139&lt;$AH$6,"error",IF(AR139&gt;$AH$6*1.1,"error","aceptable"))</f><v /></c><c r="AZ139" s="366"><f>IF(AF139&lt;$V$6,"error",IF(AF139&gt;$V$6*1.1,"error","aceptable"))</f><v /></c><c r="BA139" s="366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7"><f>SIGN(U139)</f><v /></c><c r="BE139" s="367"><f>SIGN(AG139)</f><v /></c><c r="BF139" s="367"><f>SIGN(AS139)</f><v /></c><c r="BG139" s="367"><f>CONCATENATE(BD139,BE139,BF139)</f><v /></c><c r="BH139" s="367"><f>IF(BG139="111","SI","SD")</f><v /></c><c r="BI139" s="367"><f>IF(BG139="-1-1-1","SI","SD")</f><v /></c><c r="BJ139" s="367"><f>OR(BH139="SI",BI139="SI")</f><v /></c><c r="BK139" s="367"><f>IF(BJ139=FALSE,"SIGDIFERENTES","SIGIGUALES")</f><v /></c><c r="BL139" s="366"><f>IF(BC139="NO CONFORME","NO CONFORME",IF(BB139="CONFORME","CONFORME","NO CONFORME"))</f><v /></c></row><row r="140" ht="15" customHeight="1" thickBot="1"><c r="A140" s="451" t="n"><v>132</v></c><c r="B140" s="369"><f>B139</f><v /></c><c r="C140" s="369"><f>C139</f><v /></c><c r="D140" s="370"><f>D139</f><v /></c><c r="E140" s="371"><f>E139</f><v /></c><c r="F140" s="13" t="n" /><c r="G140" s="337" t="inlineStr"><is><t>PA25517254</t></is></c><c r="H140" s="313"><f>H139</f><v /></c><c r="I140" s="38"><f>I139</f><v /></c><c r="J140" s="314"><f>J139</f><v /></c><c r="K140" s="372"><f>K139</f><v /></c><c r="L140" s="372"><f>L139</f><v /></c><c r="M140" s="373" t="n"><v>105.8</v></c><c r="N140" s="373" t="n"><v>206.12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9"><f>W139</f><v /></c><c r="X140" s="379"><f>X139</f><v /></c><c r="Y140" s="373" t="n"><v>213.25</v></c><c r="Z140" s="373" t="n"><v>223.26</v></c><c r="AA140" s="380"><f>AA139</f><v /></c><c r="AB140" s="381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9"><f>AI139</f><v /></c><c r="AJ140" s="379"><f>AJ139</f><v /></c><c r="AK140" s="373"><f>Z140</f><v /></c><c r="AL140" s="373" t="n"><v>228.32</v></c><c r="AM140" s="382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3"><f>IF(I140&gt;=1,"NO CONFORME",IF(BK140="SIGDIFERENTES",BC140,BL140))</f><v /></c><c r="AU140" s="365"><f>B140=C140</f><v /></c><c r="AV140" s="365"><f>N140&lt;Y140</f><v /></c><c r="AW140" s="365"><f>Z140&lt;=AK140</f><v /></c><c r="AX140" s="365"><f>IF(I140&gt;=1,"Qcorrecto",IF(AND(AY140="aceptable",AZ140="aceptable",BA140="aceptable"),"Qcorrecto","Qincorrecto"))</f><v /></c><c r="AY140" s="366"><f>IF(AR140&lt;$AH$6,"error",IF(AR140&gt;$AH$6*1.1,"error","aceptable"))</f><v /></c><c r="AZ140" s="366"><f>IF(AF140&lt;$V$6,"error",IF(AF140&gt;$V$6*1.1,"error","aceptable"))</f><v /></c><c r="BA140" s="366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7"><f>SIGN(U140)</f><v /></c><c r="BE140" s="367"><f>SIGN(AG140)</f><v /></c><c r="BF140" s="367"><f>SIGN(AS140)</f><v /></c><c r="BG140" s="367"><f>CONCATENATE(BD140,BE140,BF140)</f><v /></c><c r="BH140" s="367"><f>IF(BG140="111","SI","SD")</f><v /></c><c r="BI140" s="367"><f>IF(BG140="-1-1-1","SI","SD")</f><v /></c><c r="BJ140" s="367"><f>OR(BH140="SI",BI140="SI")</f><v /></c><c r="BK140" s="367"><f>IF(BJ140=FALSE,"SIGDIFERENTES","SIGIGUALES")</f><v /></c><c r="BL140" s="366"><f>IF(BC140="NO CONFORME","NO CONFORME",IF(BB140="CONFORME","CONFORME","NO CONFORME"))</f><v /></c></row><row r="141" ht="15" customHeight="1" thickBot="1"><c r="A141" s="451" t="n"><v>133</v></c><c r="B141" s="369"><f>B140</f><v /></c><c r="C141" s="369"><f>C140</f><v /></c><c r="D141" s="370"><f>D140</f><v /></c><c r="E141" s="371"><f>E140</f><v /></c><c r="F141" s="13" t="n" /><c r="G141" s="337" t="inlineStr"><is><t>PA25517255</t></is></c><c r="H141" s="313"><f>H140</f><v /></c><c r="I141" s="38"><f>I140</f><v /></c><c r="J141" s="314"><f>J140</f><v /></c><c r="K141" s="372"><f>K140</f><v /></c><c r="L141" s="372"><f>L140</f><v /></c><c r="M141" s="373" t="n"><v>106.5</v></c><c r="N141" s="373" t="n"><v>206.25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9"><f>W140</f><v /></c><c r="X141" s="379"><f>X140</f><v /></c><c r="Y141" s="373" t="n"><v>213.17</v></c><c r="Z141" s="373" t="n"><v>223.2</v></c><c r="AA141" s="380"><f>AA140</f><v /></c><c r="AB141" s="381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9"><f>AI140</f><v /></c><c r="AJ141" s="379"><f>AJ140</f><v /></c><c r="AK141" s="373"><f>Z141</f><v /></c><c r="AL141" s="373" t="n"><v>228.25</v></c><c r="AM141" s="382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3"><f>IF(I141&gt;=1,"NO CONFORME",IF(BK141="SIGDIFERENTES",BC141,BL141))</f><v /></c><c r="AU141" s="365"><f>B141=C141</f><v /></c><c r="AV141" s="365"><f>N141&lt;Y141</f><v /></c><c r="AW141" s="365"><f>Z141&lt;=AK141</f><v /></c><c r="AX141" s="365"><f>IF(I141&gt;=1,"Qcorrecto",IF(AND(AY141="aceptable",AZ141="aceptable",BA141="aceptable"),"Qcorrecto","Qincorrecto"))</f><v /></c><c r="AY141" s="366"><f>IF(AR141&lt;$AH$6,"error",IF(AR141&gt;$AH$6*1.1,"error","aceptable"))</f><v /></c><c r="AZ141" s="366"><f>IF(AF141&lt;$V$6,"error",IF(AF141&gt;$V$6*1.1,"error","aceptable"))</f><v /></c><c r="BA141" s="366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7"><f>SIGN(U141)</f><v /></c><c r="BE141" s="367"><f>SIGN(AG141)</f><v /></c><c r="BF141" s="367"><f>SIGN(AS141)</f><v /></c><c r="BG141" s="367"><f>CONCATENATE(BD141,BE141,BF141)</f><v /></c><c r="BH141" s="367"><f>IF(BG141="111","SI","SD")</f><v /></c><c r="BI141" s="367"><f>IF(BG141="-1-1-1","SI","SD")</f><v /></c><c r="BJ141" s="367"><f>OR(BH141="SI",BI141="SI")</f><v /></c><c r="BK141" s="367"><f>IF(BJ141=FALSE,"SIGDIFERENTES","SIGIGUALES")</f><v /></c><c r="BL141" s="366"><f>IF(BC141="NO CONFORME","NO CONFORME",IF(BB141="CONFORME","CONFORME","NO CONFORME"))</f><v /></c></row><row r="142" ht="15" customHeight="1" thickBot="1"><c r="A142" s="451" t="n"><v>134</v></c><c r="B142" s="369"><f>B141</f><v /></c><c r="C142" s="369"><f>C141</f><v /></c><c r="D142" s="370"><f>D141</f><v /></c><c r="E142" s="371"><f>E141</f><v /></c><c r="F142" s="13" t="n" /><c r="G142" s="337" t="inlineStr"><is><t>PA25517256</t></is></c><c r="H142" s="313"><f>H141</f><v /></c><c r="I142" s="38"><f>I141</f><v /></c><c r="J142" s="314"><f>J141</f><v /></c><c r="K142" s="372"><f>K141</f><v /></c><c r="L142" s="372"><f>L141</f><v /></c><c r="M142" s="373" t="n"><v>105.9</v></c><c r="N142" s="373" t="n"><v>205.82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9"><f>W141</f><v /></c><c r="X142" s="379"><f>X141</f><v /></c><c r="Y142" s="373" t="n"><v>212.94</v></c><c r="Z142" s="373" t="n"><v>222.9</v></c><c r="AA142" s="380"><f>AA141</f><v /></c><c r="AB142" s="381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9"><f>AI141</f><v /></c><c r="AJ142" s="379"><f>AJ141</f><v /></c><c r="AK142" s="373"><f>Z142</f><v /></c><c r="AL142" s="373" t="n"><v>227.95</v></c><c r="AM142" s="382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3"><f>IF(I142&gt;=1,"NO CONFORME",IF(BK142="SIGDIFERENTES",BC142,BL142))</f><v /></c><c r="AU142" s="365"><f>B142=C142</f><v /></c><c r="AV142" s="365"><f>N142&lt;Y142</f><v /></c><c r="AW142" s="365"><f>Z142&lt;=AK142</f><v /></c><c r="AX142" s="365"><f>IF(I142&gt;=1,"Qcorrecto",IF(AND(AY142="aceptable",AZ142="aceptable",BA142="aceptable"),"Qcorrecto","Qincorrecto"))</f><v /></c><c r="AY142" s="366"><f>IF(AR142&lt;$AH$6,"error",IF(AR142&gt;$AH$6*1.1,"error","aceptable"))</f><v /></c><c r="AZ142" s="366"><f>IF(AF142&lt;$V$6,"error",IF(AF142&gt;$V$6*1.1,"error","aceptable"))</f><v /></c><c r="BA142" s="366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7"><f>SIGN(U142)</f><v /></c><c r="BE142" s="367"><f>SIGN(AG142)</f><v /></c><c r="BF142" s="367"><f>SIGN(AS142)</f><v /></c><c r="BG142" s="367"><f>CONCATENATE(BD142,BE142,BF142)</f><v /></c><c r="BH142" s="367"><f>IF(BG142="111","SI","SD")</f><v /></c><c r="BI142" s="367"><f>IF(BG142="-1-1-1","SI","SD")</f><v /></c><c r="BJ142" s="367"><f>OR(BH142="SI",BI142="SI")</f><v /></c><c r="BK142" s="367"><f>IF(BJ142=FALSE,"SIGDIFERENTES","SIGIGUALES")</f><v /></c><c r="BL142" s="366"><f>IF(BC142="NO CONFORME","NO CONFORME",IF(BB142="CONFORME","CONFORME","NO CONFORME"))</f><v /></c></row><row r="143" ht="15" customHeight="1" thickBot="1"><c r="A143" s="451" t="n"><v>135</v></c><c r="B143" s="369"><f>B142</f><v /></c><c r="C143" s="369"><f>C142</f><v /></c><c r="D143" s="370"><f>D142</f><v /></c><c r="E143" s="371"><f>E142</f><v /></c><c r="F143" s="13" t="n" /><c r="G143" s="337" t="inlineStr"><is><t>PA25517257</t></is></c><c r="H143" s="313"><f>H142</f><v /></c><c r="I143" s="38"><f>I142</f><v /></c><c r="J143" s="314"><f>J142</f><v /></c><c r="K143" s="372"><f>K142</f><v /></c><c r="L143" s="372"><f>L142</f><v /></c><c r="M143" s="373" t="n"><v>106.5</v></c><c r="N143" s="373" t="n"><v>206.65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9"><f>W142</f><v /></c><c r="X143" s="379"><f>X142</f><v /></c><c r="Y143" s="373" t="n"><v>213.75</v></c><c r="Z143" s="373" t="n"><v>223.84</v></c><c r="AA143" s="380"><f>AA142</f><v /></c><c r="AB143" s="381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9"><f>AI142</f><v /></c><c r="AJ143" s="379"><f>AJ142</f><v /></c><c r="AK143" s="373"><f>Z143</f><v /></c><c r="AL143" s="373" t="n"><v>228.96</v></c><c r="AM143" s="382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3"><f>IF(I143&gt;=1,"NO CONFORME",IF(BK143="SIGDIFERENTES",BC143,BL143))</f><v /></c><c r="AU143" s="365"><f>B143=C143</f><v /></c><c r="AV143" s="365"><f>N143&lt;Y143</f><v /></c><c r="AW143" s="365"><f>Z143&lt;=AK143</f><v /></c><c r="AX143" s="365"><f>IF(I143&gt;=1,"Qcorrecto",IF(AND(AY143="aceptable",AZ143="aceptable",BA143="aceptable"),"Qcorrecto","Qincorrecto"))</f><v /></c><c r="AY143" s="366"><f>IF(AR143&lt;$AH$6,"error",IF(AR143&gt;$AH$6*1.1,"error","aceptable"))</f><v /></c><c r="AZ143" s="366"><f>IF(AF143&lt;$V$6,"error",IF(AF143&gt;$V$6*1.1,"error","aceptable"))</f><v /></c><c r="BA143" s="366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7"><f>SIGN(U143)</f><v /></c><c r="BE143" s="367"><f>SIGN(AG143)</f><v /></c><c r="BF143" s="367"><f>SIGN(AS143)</f><v /></c><c r="BG143" s="367"><f>CONCATENATE(BD143,BE143,BF143)</f><v /></c><c r="BH143" s="367"><f>IF(BG143="111","SI","SD")</f><v /></c><c r="BI143" s="367"><f>IF(BG143="-1-1-1","SI","SD")</f><v /></c><c r="BJ143" s="367"><f>OR(BH143="SI",BI143="SI")</f><v /></c><c r="BK143" s="367"><f>IF(BJ143=FALSE,"SIGDIFERENTES","SIGIGUALES")</f><v /></c><c r="BL143" s="366"><f>IF(BC143="NO CONFORME","NO CONFORME",IF(BB143="CONFORME","CONFORME","NO CONFORME"))</f><v /></c></row><row r="144" ht="15" customHeight="1" thickBot="1"><c r="A144" s="451" t="n"><v>136</v></c><c r="B144" s="369"><f>B143</f><v /></c><c r="C144" s="369"><f>C143</f><v /></c><c r="D144" s="370"><f>D143</f><v /></c><c r="E144" s="371"><f>E143</f><v /></c><c r="F144" s="13" t="n" /><c r="G144" s="337" t="inlineStr"><is><t>PA25517258</t></is></c><c r="H144" s="313"><f>H143</f><v /></c><c r="I144" s="38"><f>I143</f><v /></c><c r="J144" s="314"><f>J143</f><v /></c><c r="K144" s="372"><f>K143</f><v /></c><c r="L144" s="372"><f>L143</f><v /></c><c r="M144" s="373" t="n"><v>106.86</v></c><c r="N144" s="373" t="n"><v>206.05</v></c><c r="O144" s="374"><f>O143</f><v /></c><c r="P144" s="375"><f>P143</f><v /></c><c r="Q144" s="376"><f>LEFT(P144,1)</f><v /></c><c r="R144" s="376"><f>RIGHT(P144,6)</f><v /></c><c r="S144" s="376"><f>+(Q144*60+R144)/(60*60)</f><v /></c><c r="T144" s="377"><f>+O144/S144</f><v /></c><c r="U144" s="378"><f>+(((N144-M144-O144)/O144)*100)</f><v /></c><c r="V144" s="317"><f>V143</f><v /></c><c r="W144" s="379"><f>W143</f><v /></c><c r="X144" s="379"><f>X143</f><v /></c><c r="Y144" s="373" t="n"><v>213.15</v></c><c r="Z144" s="373" t="n"><v>223.17</v></c><c r="AA144" s="380"><f>AA143</f><v /></c><c r="AB144" s="381"><f>AB143</f><v /></c><c r="AC144" s="376"><f>LEFT(AB144,2)</f><v /></c><c r="AD144" s="376"><f>RIGHT(AB144,6)</f><v /></c><c r="AE144" s="376"><f>+(AC144*60+AD144)/(60*60)</f><v /></c><c r="AF144" s="377"><f>+AA144/AE144</f><v /></c><c r="AG144" s="321"><f>+(((Z144-Y144-AA144)/AA144)*100)</f><v /></c><c r="AH144" s="317"><f>AH143</f><v /></c><c r="AI144" s="379"><f>AI143</f><v /></c><c r="AJ144" s="379"><f>AJ143</f><v /></c><c r="AK144" s="373"><f>Z144</f><v /></c><c r="AL144" s="373" t="n"><v>228.27</v></c><c r="AM144" s="382"><f>AM143</f><v /></c><c r="AN144" s="375"><f>AN143</f><v /></c><c r="AO144" s="376"><f>LEFT(AN144,2)</f><v /></c><c r="AP144" s="376"><f>RIGHT(AN144,6)</f><v /></c><c r="AQ144" s="376"><f>+(AO144*60+AP144)/(60*60)</f><v /></c><c r="AR144" s="377"><f>+AM144/AQ144</f><v /></c><c r="AS144" s="321"><f>+(((AL144-AK144-AM144)/AM144)*100)</f><v /></c><c r="AT144" s="383"><f>IF(I144&gt;=1,"NO CONFORME",IF(BK144="SIGDIFERENTES",BC144,BL144))</f><v /></c><c r="AU144" s="365"><f>B144=C144</f><v /></c><c r="AV144" s="365"><f>N144&lt;Y144</f><v /></c><c r="AW144" s="365"><f>Z144&lt;=AK144</f><v /></c><c r="AX144" s="365"><f>IF(I144&gt;=1,"Qcorrecto",IF(AND(AY144="aceptable",AZ144="aceptable",BA144="aceptable"),"Qcorrecto","Qincorrecto"))</f><v /></c><c r="AY144" s="366"><f>IF(AR144&lt;$AH$6,"error",IF(AR144&gt;$AH$6*1.1,"error","aceptable"))</f><v /></c><c r="AZ144" s="366"><f>IF(AF144&lt;$V$6,"error",IF(AF144&gt;$V$6*1.1,"error","aceptable"))</f><v /></c><c r="BA144" s="366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67"><f>SIGN(U144)</f><v /></c><c r="BE144" s="367"><f>SIGN(AG144)</f><v /></c><c r="BF144" s="367"><f>SIGN(AS144)</f><v /></c><c r="BG144" s="367"><f>CONCATENATE(BD144,BE144,BF144)</f><v /></c><c r="BH144" s="367"><f>IF(BG144="111","SI","SD")</f><v /></c><c r="BI144" s="367"><f>IF(BG144="-1-1-1","SI","SD")</f><v /></c><c r="BJ144" s="367"><f>OR(BH144="SI",BI144="SI")</f><v /></c><c r="BK144" s="367"><f>IF(BJ144=FALSE,"SIGDIFERENTES","SIGIGUALES")</f><v /></c><c r="BL144" s="366"><f>IF(BC144="NO CONFORME","NO CONFORME",IF(BB144="CONFORME","CONFORME","NO CONFORME"))</f><v /></c></row><row r="145" ht="15" customHeight="1" thickBot="1"><c r="A145" s="451" t="n"><v>137</v></c><c r="B145" s="369"><f>B144</f><v /></c><c r="C145" s="369"><f>C144</f><v /></c><c r="D145" s="370"><f>D144</f><v /></c><c r="E145" s="371"><f>E144</f><v /></c><c r="F145" s="13" t="n" /><c r="G145" s="337" t="inlineStr"><is><t>PA25517259</t></is></c><c r="H145" s="313"><f>H144</f><v /></c><c r="I145" s="38"><f>I144</f><v /></c><c r="J145" s="314"><f>J144</f><v /></c><c r="K145" s="372"><f>K144</f><v /></c><c r="L145" s="372"><f>L144</f><v /></c><c r="M145" s="373" t="n"><v>149.12</v></c><c r="N145" s="373" t="n"><v>250.25</v></c><c r="O145" s="374"><f>O144</f><v /></c><c r="P145" s="375"><f>P144</f><v /></c><c r="Q145" s="376"><f>LEFT(P145,1)</f><v /></c><c r="R145" s="376"><f>RIGHT(P145,6)</f><v /></c><c r="S145" s="376"><f>+(Q145*60+R145)/(60*60)</f><v /></c><c r="T145" s="377"><f>+O145/S145</f><v /></c><c r="U145" s="378"><f>+(((N145-M145-O145)/O145)*100)</f><v /></c><c r="V145" s="317"><f>V144</f><v /></c><c r="W145" s="379"><f>W144</f><v /></c><c r="X145" s="379"><f>X144</f><v /></c><c r="Y145" s="373" t="n"><v>257.37</v></c><c r="Z145" s="373" t="n"><v>267.45</v></c><c r="AA145" s="380"><f>AA144</f><v /></c><c r="AB145" s="381"><f>AB144</f><v /></c><c r="AC145" s="376"><f>LEFT(AB145,2)</f><v /></c><c r="AD145" s="376"><f>RIGHT(AB145,6)</f><v /></c><c r="AE145" s="376"><f>+(AC145*60+AD145)/(60*60)</f><v /></c><c r="AF145" s="377"><f>+AA145/AE145</f><v /></c><c r="AG145" s="321"><f>+(((Z145-Y145-AA145)/AA145)*100)</f><v /></c><c r="AH145" s="317"><f>AH144</f><v /></c><c r="AI145" s="379"><f>AI144</f><v /></c><c r="AJ145" s="379"><f>AJ144</f><v /></c><c r="AK145" s="373"><f>Z145</f><v /></c><c r="AL145" s="373" t="n"><v>272.52</v></c><c r="AM145" s="382"><f>AM144</f><v /></c><c r="AN145" s="375"><f>AN144</f><v /></c><c r="AO145" s="376"><f>LEFT(AN145,2)</f><v /></c><c r="AP145" s="376"><f>RIGHT(AN145,6)</f><v /></c><c r="AQ145" s="376"><f>+(AO145*60+AP145)/(60*60)</f><v /></c><c r="AR145" s="377"><f>+AM145/AQ145</f><v /></c><c r="AS145" s="321"><f>+(((AL145-AK145-AM145)/AM145)*100)</f><v /></c><c r="AT145" s="383"><f>IF(I145&gt;=1,"NO CONFORME",IF(BK145="SIGDIFERENTES",BC145,BL145))</f><v /></c><c r="AU145" s="365"><f>B145=C145</f><v /></c><c r="AV145" s="365"><f>N145&lt;Y145</f><v /></c><c r="AW145" s="365"><f>Z145&lt;=AK145</f><v /></c><c r="AX145" s="365"><f>IF(I145&gt;=1,"Qcorrecto",IF(AND(AY145="aceptable",AZ145="aceptable",BA145="aceptable"),"Qcorrecto","Qincorrecto"))</f><v /></c><c r="AY145" s="366"><f>IF(AR145&lt;$AH$6,"error",IF(AR145&gt;$AH$6*1.1,"error","aceptable"))</f><v /></c><c r="AZ145" s="366"><f>IF(AF145&lt;$V$6,"error",IF(AF145&gt;$V$6*1.1,"error","aceptable"))</f><v /></c><c r="BA145" s="366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7"><f>SIGN(U145)</f><v /></c><c r="BE145" s="367"><f>SIGN(AG145)</f><v /></c><c r="BF145" s="367"><f>SIGN(AS145)</f><v /></c><c r="BG145" s="367"><f>CONCATENATE(BD145,BE145,BF145)</f><v /></c><c r="BH145" s="367"><f>IF(BG145="111","SI","SD")</f><v /></c><c r="BI145" s="367"><f>IF(BG145="-1-1-1","SI","SD")</f><v /></c><c r="BJ145" s="367"><f>OR(BH145="SI",BI145="SI")</f><v /></c><c r="BK145" s="367"><f>IF(BJ145=FALSE,"SIGDIFERENTES","SIGIGUALES")</f><v /></c><c r="BL145" s="366"><f>IF(BC145="NO CONFORME","NO CONFORME",IF(BB145="CONFORME","CONFORME","NO CONFORME"))</f><v /></c></row><row r="146" ht="15" customHeight="1" thickBot="1"><c r="A146" s="451" t="n"><v>138</v></c><c r="B146" s="369"><f>B145</f><v /></c><c r="C146" s="369"><f>C145</f><v /></c><c r="D146" s="370"><f>D145</f><v /></c><c r="E146" s="371"><f>E145</f><v /></c><c r="F146" s="13" t="n" /><c r="G146" s="337" t="inlineStr"><is><t>PA25517260</t></is></c><c r="H146" s="313"><f>H145</f><v /></c><c r="I146" s="38"><f>I145</f><v /></c><c r="J146" s="314"><f>J145</f><v /></c><c r="K146" s="372"><f>K145</f><v /></c><c r="L146" s="372"><f>L145</f><v /></c><c r="M146" s="373" t="n"><v>109.85</v></c><c r="N146" s="373" t="n"><v>210.6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9"><f>W145</f><v /></c><c r="X146" s="379"><f>X145</f><v /></c><c r="Y146" s="373" t="n"><v>217.65</v></c><c r="Z146" s="373" t="n"><v>227.7</v></c><c r="AA146" s="380"><f>AA145</f><v /></c><c r="AB146" s="381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9"><f>AI145</f><v /></c><c r="AJ146" s="379"><f>AJ145</f><v /></c><c r="AK146" s="373"><f>Z146</f><v /></c><c r="AL146" s="373" t="n"><v>232.85</v></c><c r="AM146" s="382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3"><f>IF(I146&gt;=1,"NO CONFORME",IF(BK146="SIGDIFERENTES",BC146,BL146))</f><v /></c><c r="AU146" s="365"><f>B146=C146</f><v /></c><c r="AV146" s="365"><f>N146&lt;Y146</f><v /></c><c r="AW146" s="365"><f>Z146&lt;=AK146</f><v /></c><c r="AX146" s="365"><f>IF(I146&gt;=1,"Qcorrecto",IF(AND(AY146="aceptable",AZ146="aceptable",BA146="aceptable"),"Qcorrecto","Qincorrecto"))</f><v /></c><c r="AY146" s="366"><f>IF(AR146&lt;$AH$6,"error",IF(AR146&gt;$AH$6*1.1,"error","aceptable"))</f><v /></c><c r="AZ146" s="366"><f>IF(AF146&lt;$V$6,"error",IF(AF146&gt;$V$6*1.1,"error","aceptable"))</f><v /></c><c r="BA146" s="366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7"><f>SIGN(U146)</f><v /></c><c r="BE146" s="367"><f>SIGN(AG146)</f><v /></c><c r="BF146" s="367"><f>SIGN(AS146)</f><v /></c><c r="BG146" s="367"><f>CONCATENATE(BD146,BE146,BF146)</f><v /></c><c r="BH146" s="367"><f>IF(BG146="111","SI","SD")</f><v /></c><c r="BI146" s="367"><f>IF(BG146="-1-1-1","SI","SD")</f><v /></c><c r="BJ146" s="367"><f>OR(BH146="SI",BI146="SI")</f><v /></c><c r="BK146" s="367"><f>IF(BJ146=FALSE,"SIGDIFERENTES","SIGIGUALES")</f><v /></c><c r="BL146" s="366"><f>IF(BC146="NO CONFORME","NO CONFORME",IF(BB146="CONFORME","CONFORME","NO CONFORME"))</f><v /></c></row><row r="147" ht="15" customHeight="1" thickBot="1"><c r="A147" s="451" t="n"><v>139</v></c><c r="B147" s="369"><f>B146</f><v /></c><c r="C147" s="369"><f>C146</f><v /></c><c r="D147" s="370"><f>D146</f><v /></c><c r="E147" s="371"><f>E146</f><v /></c><c r="F147" s="13" t="n" /><c r="G147" s="337" t="inlineStr"><is><t>PA25517261</t></is></c><c r="H147" s="313"><f>H146</f><v /></c><c r="I147" s="38"><f>I146</f><v /></c><c r="J147" s="314"><f>J146</f><v /></c><c r="K147" s="372"><f>K146</f><v /></c><c r="L147" s="372"><f>L146</f><v /></c><c r="M147" s="373" t="n"><v>108.8</v></c><c r="N147" s="373" t="n"><v>208.7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9"><f>W146</f><v /></c><c r="X147" s="379"><f>X146</f><v /></c><c r="Y147" s="373" t="n"><v>215.72</v></c><c r="Z147" s="373" t="n"><v>225.75</v></c><c r="AA147" s="380"><f>AA146</f><v /></c><c r="AB147" s="381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9"><f>AI146</f><v /></c><c r="AJ147" s="379"><f>AJ146</f><v /></c><c r="AK147" s="373"><f>Z147</f><v /></c><c r="AL147" s="373" t="n"><v>230.86</v></c><c r="AM147" s="382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3"><f>IF(I147&gt;=1,"NO CONFORME",IF(BK147="SIGDIFERENTES",BC147,BL147))</f><v /></c><c r="AU147" s="365"><f>B147=C147</f><v /></c><c r="AV147" s="365"><f>N147&lt;Y147</f><v /></c><c r="AW147" s="365"><f>Z147&lt;=AK147</f><v /></c><c r="AX147" s="365"><f>IF(I147&gt;=1,"Qcorrecto",IF(AND(AY147="aceptable",AZ147="aceptable",BA147="aceptable"),"Qcorrecto","Qincorrecto"))</f><v /></c><c r="AY147" s="366"><f>IF(AR147&lt;$AH$6,"error",IF(AR147&gt;$AH$6*1.1,"error","aceptable"))</f><v /></c><c r="AZ147" s="366"><f>IF(AF147&lt;$V$6,"error",IF(AF147&gt;$V$6*1.1,"error","aceptable"))</f><v /></c><c r="BA147" s="366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7"><f>SIGN(U147)</f><v /></c><c r="BE147" s="367"><f>SIGN(AG147)</f><v /></c><c r="BF147" s="367"><f>SIGN(AS147)</f><v /></c><c r="BG147" s="367"><f>CONCATENATE(BD147,BE147,BF147)</f><v /></c><c r="BH147" s="367"><f>IF(BG147="111","SI","SD")</f><v /></c><c r="BI147" s="367"><f>IF(BG147="-1-1-1","SI","SD")</f><v /></c><c r="BJ147" s="367"><f>OR(BH147="SI",BI147="SI")</f><v /></c><c r="BK147" s="367"><f>IF(BJ147=FALSE,"SIGDIFERENTES","SIGIGUALES")</f><v /></c><c r="BL147" s="366"><f>IF(BC147="NO CONFORME","NO CONFORME",IF(BB147="CONFORME","CONFORME","NO CONFORME"))</f><v /></c></row><row r="148" ht="15" customHeight="1" thickBot="1"><c r="A148" s="451" t="n"><v>140</v></c><c r="B148" s="369"><f>B147</f><v /></c><c r="C148" s="369"><f>C147</f><v /></c><c r="D148" s="370"><f>D147</f><v /></c><c r="E148" s="371"><f>E147</f><v /></c><c r="F148" s="13" t="n" /><c r="G148" s="337" t="inlineStr"><is><t>PA25517262</t></is></c><c r="H148" s="313"><f>H147</f><v /></c><c r="I148" s="38"><f>I147</f><v /></c><c r="J148" s="314"><f>J147</f><v /></c><c r="K148" s="372"><f>K147</f><v /></c><c r="L148" s="372"><f>L147</f><v /></c><c r="M148" s="373" t="n"><v>109.31</v></c><c r="N148" s="373" t="n"><v>209.67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9"><f>W147</f><v /></c><c r="X148" s="379"><f>X147</f><v /></c><c r="Y148" s="373" t="n"><v>216.72</v></c><c r="Z148" s="373" t="n"><v>226.7</v></c><c r="AA148" s="380"><f>AA147</f><v /></c><c r="AB148" s="381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9"><f>AI147</f><v /></c><c r="AJ148" s="379"><f>AJ147</f><v /></c><c r="AK148" s="373"><f>Z148</f><v /></c><c r="AL148" s="373" t="n"><v>231.66</v></c><c r="AM148" s="382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3"><f>IF(I148&gt;=1,"NO CONFORME",IF(BK148="SIGDIFERENTES",BC148,BL148))</f><v /></c><c r="AU148" s="365"><f>B148=C148</f><v /></c><c r="AV148" s="365"><f>N148&lt;Y148</f><v /></c><c r="AW148" s="365"><f>Z148&lt;=AK148</f><v /></c><c r="AX148" s="365"><f>IF(I148&gt;=1,"Qcorrecto",IF(AND(AY148="aceptable",AZ148="aceptable",BA148="aceptable"),"Qcorrecto","Qincorrecto"))</f><v /></c><c r="AY148" s="366"><f>IF(AR148&lt;$AH$6,"error",IF(AR148&gt;$AH$6*1.1,"error","aceptable"))</f><v /></c><c r="AZ148" s="366"><f>IF(AF148&lt;$V$6,"error",IF(AF148&gt;$V$6*1.1,"error","aceptable"))</f><v /></c><c r="BA148" s="366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7"><f>SIGN(U148)</f><v /></c><c r="BE148" s="367"><f>SIGN(AG148)</f><v /></c><c r="BF148" s="367"><f>SIGN(AS148)</f><v /></c><c r="BG148" s="367"><f>CONCATENATE(BD148,BE148,BF148)</f><v /></c><c r="BH148" s="367"><f>IF(BG148="111","SI","SD")</f><v /></c><c r="BI148" s="367"><f>IF(BG148="-1-1-1","SI","SD")</f><v /></c><c r="BJ148" s="367"><f>OR(BH148="SI",BI148="SI")</f><v /></c><c r="BK148" s="367"><f>IF(BJ148=FALSE,"SIGDIFERENTES","SIGIGUALES")</f><v /></c><c r="BL148" s="366"><f>IF(BC148="NO CONFORME","NO CONFORME",IF(BB148="CONFORME","CONFORME","NO CONFORME"))</f><v /></c></row><row r="149" ht="15" customHeight="1" thickBot="1"><c r="A149" s="451" t="n"><v>141</v></c><c r="B149" s="369"><f>B148</f><v /></c><c r="C149" s="369"><f>C148</f><v /></c><c r="D149" s="370"><f>D148</f><v /></c><c r="E149" s="371"><f>E148</f><v /></c><c r="F149" s="13" t="n" /><c r="G149" s="337" t="inlineStr"><is><t>PA25517263</t></is></c><c r="H149" s="313"><f>H148</f><v /></c><c r="I149" s="38"><f>I148</f><v /></c><c r="J149" s="314"><f>J148</f><v /></c><c r="K149" s="372"><f>K148</f><v /></c><c r="L149" s="372"><f>L148</f><v /></c><c r="M149" s="373" t="n"><v>110.13</v></c><c r="N149" s="373" t="n"><v>210.87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9"><f>W148</f><v /></c><c r="X149" s="379"><f>X148</f><v /></c><c r="Y149" s="373" t="n"><v>217.94</v></c><c r="Z149" s="373" t="n"><v>228</v></c><c r="AA149" s="380"><f>AA148</f><v /></c><c r="AB149" s="381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9"><f>AI148</f><v /></c><c r="AJ149" s="379"><f>AJ148</f><v /></c><c r="AK149" s="373"><f>Z149</f><v /></c><c r="AL149" s="373" t="n"><v>233.05</v></c><c r="AM149" s="382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3"><f>IF(I149&gt;=1,"NO CONFORME",IF(BK149="SIGDIFERENTES",BC149,BL149))</f><v /></c><c r="AU149" s="365"><f>B149=C149</f><v /></c><c r="AV149" s="365"><f>N149&lt;Y149</f><v /></c><c r="AW149" s="365"><f>Z149&lt;=AK149</f><v /></c><c r="AX149" s="365"><f>IF(I149&gt;=1,"Qcorrecto",IF(AND(AY149="aceptable",AZ149="aceptable",BA149="aceptable"),"Qcorrecto","Qincorrecto"))</f><v /></c><c r="AY149" s="366"><f>IF(AR149&lt;$AH$6,"error",IF(AR149&gt;$AH$6*1.1,"error","aceptable"))</f><v /></c><c r="AZ149" s="366"><f>IF(AF149&lt;$V$6,"error",IF(AF149&gt;$V$6*1.1,"error","aceptable"))</f><v /></c><c r="BA149" s="366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7"><f>SIGN(U149)</f><v /></c><c r="BE149" s="367"><f>SIGN(AG149)</f><v /></c><c r="BF149" s="367"><f>SIGN(AS149)</f><v /></c><c r="BG149" s="367"><f>CONCATENATE(BD149,BE149,BF149)</f><v /></c><c r="BH149" s="367"><f>IF(BG149="111","SI","SD")</f><v /></c><c r="BI149" s="367"><f>IF(BG149="-1-1-1","SI","SD")</f><v /></c><c r="BJ149" s="367"><f>OR(BH149="SI",BI149="SI")</f><v /></c><c r="BK149" s="367"><f>IF(BJ149=FALSE,"SIGDIFERENTES","SIGIGUALES")</f><v /></c><c r="BL149" s="366"><f>IF(BC149="NO CONFORME","NO CONFORME",IF(BB149="CONFORME","CONFORME","NO CONFORME"))</f><v /></c></row><row r="150" ht="15" customHeight="1" thickBot="1"><c r="A150" s="451" t="n"><v>142</v></c><c r="B150" s="369"><f>B149</f><v /></c><c r="C150" s="369"><f>C149</f><v /></c><c r="D150" s="370"><f>D149</f><v /></c><c r="E150" s="371"><f>E149</f><v /></c><c r="F150" s="13" t="n" /><c r="G150" s="337" t="inlineStr"><is><t>PA25517264</t></is></c><c r="H150" s="313"><f>H149</f><v /></c><c r="I150" s="38"><f>I149</f><v /></c><c r="J150" s="314"><f>J149</f><v /></c><c r="K150" s="372"><f>K149</f><v /></c><c r="L150" s="372"><f>L149</f><v /></c><c r="M150" s="373" t="n"><v>145.96</v></c><c r="N150" s="373" t="n"><v>245.95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9"><f>W149</f><v /></c><c r="X150" s="379"><f>X149</f><v /></c><c r="Y150" s="373" t="n"><v>252.9</v></c><c r="Z150" s="373" t="n"><v>262.9</v></c><c r="AA150" s="380"><f>AA149</f><v /></c><c r="AB150" s="381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9"><f>AI149</f><v /></c><c r="AJ150" s="379"><f>AJ149</f><v /></c><c r="AK150" s="373"><f>Z150</f><v /></c><c r="AL150" s="373" t="n"><v>267.95</v></c><c r="AM150" s="382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3"><f>IF(I150&gt;=1,"NO CONFORME",IF(BK150="SIGDIFERENTES",BC150,BL150))</f><v /></c><c r="AU150" s="365"><f>B150=C150</f><v /></c><c r="AV150" s="365"><f>N150&lt;Y150</f><v /></c><c r="AW150" s="365"><f>Z150&lt;=AK150</f><v /></c><c r="AX150" s="365"><f>IF(I150&gt;=1,"Qcorrecto",IF(AND(AY150="aceptable",AZ150="aceptable",BA150="aceptable"),"Qcorrecto","Qincorrecto"))</f><v /></c><c r="AY150" s="366"><f>IF(AR150&lt;$AH$6,"error",IF(AR150&gt;$AH$6*1.1,"error","aceptable"))</f><v /></c><c r="AZ150" s="366"><f>IF(AF150&lt;$V$6,"error",IF(AF150&gt;$V$6*1.1,"error","aceptable"))</f><v /></c><c r="BA150" s="366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7"><f>SIGN(U150)</f><v /></c><c r="BE150" s="367"><f>SIGN(AG150)</f><v /></c><c r="BF150" s="367"><f>SIGN(AS150)</f><v /></c><c r="BG150" s="367"><f>CONCATENATE(BD150,BE150,BF150)</f><v /></c><c r="BH150" s="367"><f>IF(BG150="111","SI","SD")</f><v /></c><c r="BI150" s="367"><f>IF(BG150="-1-1-1","SI","SD")</f><v /></c><c r="BJ150" s="367"><f>OR(BH150="SI",BI150="SI")</f><v /></c><c r="BK150" s="367"><f>IF(BJ150=FALSE,"SIGDIFERENTES","SIGIGUALES")</f><v /></c><c r="BL150" s="366"><f>IF(BC150="NO CONFORME","NO CONFORME",IF(BB150="CONFORME","CONFORME","NO CONFORME"))</f><v /></c></row><row r="151" ht="15" customHeight="1" thickBot="1"><c r="A151" s="473" t="n"><v>143</v></c><c r="B151" s="454"><f>B150</f><v /></c><c r="C151" s="454"><f>C150</f><v /></c><c r="D151" s="455"><f>D150</f><v /></c><c r="E151" s="474"><f>E150</f><v /></c><c r="F151" s="52" t="n" /><c r="G151" s="337" t="inlineStr"><is><t>PA25517265</t></is></c><c r="H151" s="326"><f>H150</f><v /></c><c r="I151" s="98"><f>I150</f><v /></c><c r="J151" s="327"><f>J150</f><v /></c><c r="K151" s="458"><f>K150</f><v /></c><c r="L151" s="458"><f>L150</f><v /></c><c r="M151" s="459" t="n"><v>185.3</v></c><c r="N151" s="459" t="n"><v>285.35</v></c><c r="O151" s="460"><f>O150</f><v /></c><c r="P151" s="461"><f>P150</f><v /></c><c r="Q151" s="462"><f>LEFT(P151,1)</f><v /></c><c r="R151" s="462"><f>RIGHT(P151,6)</f><v /></c><c r="S151" s="462"><f>+(Q151*60+R151)/(60*60)</f><v /></c><c r="T151" s="463"><f>+O151/S151</f><v /></c><c r="U151" s="464"><f>+(((N151-M151-O151)/O151)*100)</f><v /></c><c r="V151" s="329"><f>V150</f><v /></c><c r="W151" s="465"><f>W150</f><v /></c><c r="X151" s="465"><f>X150</f><v /></c><c r="Y151" s="459" t="n"><v>292.37</v></c><c r="Z151" s="459" t="n"><v>302.44</v></c><c r="AA151" s="466"><f>AA150</f><v /></c><c r="AB151" s="467"><f>AB150</f><v /></c><c r="AC151" s="462"><f>LEFT(AB151,2)</f><v /></c><c r="AD151" s="462"><f>RIGHT(AB151,6)</f><v /></c><c r="AE151" s="462"><f>+(AC151*60+AD151)/(60*60)</f><v /></c><c r="AF151" s="463"><f>+AA151/AE151</f><v /></c><c r="AG151" s="468"><f>+(((Z151-Y151-AA151)/AA151)*100)</f><v /></c><c r="AH151" s="329"><f>AH150</f><v /></c><c r="AI151" s="465"><f>AI150</f><v /></c><c r="AJ151" s="465"><f>AJ150</f><v /></c><c r="AK151" s="459"><f>Z151</f><v /></c><c r="AL151" s="459" t="n"><v>307.52</v></c><c r="AM151" s="469"><f>AM150</f><v /></c><c r="AN151" s="461"><f>AN150</f><v /></c><c r="AO151" s="462"><f>LEFT(AN151,2)</f><v /></c><c r="AP151" s="462"><f>RIGHT(AN151,6)</f><v /></c><c r="AQ151" s="462"><f>+(AO151*60+AP151)/(60*60)</f><v /></c><c r="AR151" s="463"><f>+AM151/AQ151</f><v /></c><c r="AS151" s="468"><f>+(((AL151-AK151-AM151)/AM151)*100)</f><v /></c><c r="AT151" s="470"><f>IF(I151&gt;=1,"NO CONFORME",IF(BK151="SIGDIFERENTES",BC151,BL151))</f><v /></c><c r="AU151" s="426"><f>B151=C151</f><v /></c><c r="AV151" s="426"><f>N151&lt;Y151</f><v /></c><c r="AW151" s="426"><f>Z151&lt;=AK151</f><v /></c><c r="AX151" s="426"><f>IF(I151&gt;=1,"Qcorrecto",IF(AND(AY151="aceptable",AZ151="aceptable",BA151="aceptable"),"Qcorrecto","Qincorrecto"))</f><v /></c><c r="AY151" s="427"><f>IF(AR151&lt;$AH$6,"error",IF(AR151&gt;$AH$6*1.1,"error","aceptable"))</f><v /></c><c r="AZ151" s="427"><f>IF(AF151&lt;$V$6,"error",IF(AF151&gt;$V$6*1.1,"error","aceptable"))</f><v /></c><c r="BA151" s="427"><f>IF(T151&lt;$J$6*0.9,"error",IF(T151&gt;$J$6,"error","aceptable"))</f><v /></c><c r="BB151" s="428"><f>(IF(ABS(U151)&lt;1.05,"CONFORME",IF(ABS(AG151)&lt;1.05,"CONFORME",IF(ABS(AS151)&lt;2.55,"CONFORME","NO CONFORME"))))</f><v /></c><c r="BC151" s="429"><f>(IF(ABS(U151)&gt;2.05,"NO CONFORME",IF(ABS(AG151)&gt;2.05,"NO CONFORME",IF(ABS(AS151)&gt;5.05,"NO CONFORME","CONFORME"))))</f><v /></c><c r="BD151" s="430"><f>SIGN(U151)</f><v /></c><c r="BE151" s="430"><f>SIGN(AG151)</f><v /></c><c r="BF151" s="430"><f>SIGN(AS151)</f><v /></c><c r="BG151" s="430"><f>CONCATENATE(BD151,BE151,BF151)</f><v /></c><c r="BH151" s="430"><f>IF(BG151="111","SI","SD")</f><v /></c><c r="BI151" s="430"><f>IF(BG151="-1-1-1","SI","SD")</f><v /></c><c r="BJ151" s="430"><f>OR(BH151="SI",BI151="SI")</f><v /></c><c r="BK151" s="430"><f>IF(BJ151=FALSE,"SIGDIFERENTES","SIGIGUALES")</f><v /></c><c r="BL151" s="427"><f>IF(BC151="NO CONFORME","NO CONFORME",IF(BB151="CONFORME","CONFORME","NO CONFORME"))</f><v /></c></row><row r="152" ht="15" customHeight="1" thickBot="1"><c r="A152" s="351" t="n"><v>144</v></c><c r="B152" s="352" t="n"><v>45920</v></c><c r="C152" s="352"><f>C151</f><v /></c><c r="D152" s="353" t="n"><v>6</v></c><c r="E152" s="354" t="n"><v>15</v></c><c r="F152" s="58" t="n" /><c r="G152" s="300" t="inlineStr"><is><t>PA25517016</t></is></c><c r="H152" s="301" t="n"><v>25.6</v></c><c r="I152" s="232" t="n"><v>0</v></c><c r="J152" s="302" t="n"><v>20</v></c><c r="K152" s="303" t="n"><v>7.898</v></c><c r="L152" s="303" t="n"><v>0.5570000000000001</v></c><c r="M152" s="356" t="n"><v>193.7</v></c><c r="N152" s="356" t="n"><v>293.49</v></c><c r="O152" s="357" t="n"><v>100.65</v></c><c r="P152" s="358" t="inlineStr"><is><t>2,29,920</t></is></c><c r="Q152" s="359"><f>LEFT(P152,1)</f><v /></c><c r="R152" s="359"><f>RIGHT(P152,6)</f><v /></c><c r="S152" s="359"><f>+(Q152*60+R152)/(60*60)</f><v /></c><c r="T152" s="360"><f>+O152/S152</f><v /></c><c r="U152" s="361"><f>+(((N152-M152-O152)/O152)*100)</f><v /></c><c r="V152" s="306" t="n"><v>20.2</v></c><c r="W152" s="307" t="n"><v>1.509</v></c><c r="X152" s="307" t="n"><v>1.507</v></c><c r="Y152" s="356" t="n"><v>299.6</v></c><c r="Z152" s="356" t="n"><v>309.65</v></c><c r="AA152" s="308" t="n"><v>10.018</v></c><c r="AB152" s="358" t="inlineStr"><is><t>22,21,430</t></is></c><c r="AC152" s="359"><f>LEFT(AB152,2)</f><v /></c><c r="AD152" s="359"><f>RIGHT(AB152,6)</f><v /></c><c r="AE152" s="359"><f>+(AC152*60+AD152)/(60*60)</f><v /></c><c r="AF152" s="360"><f>+AA152/AE152</f><v /></c><c r="AG152" s="362"><f>+(((Z152-Y152-AA152)/AA152)*100)</f><v /></c><c r="AH152" s="306" t="n"><v>20.3</v></c><c r="AI152" s="307" t="n"><v>1.507</v></c><c r="AJ152" s="307" t="n"><v>1.503</v></c><c r="AK152" s="356"><f>Z152</f><v /></c><c r="AL152" s="356" t="n"><v>314.59</v></c><c r="AM152" s="363" t="n"><v>5.02</v></c><c r="AN152" s="358" t="inlineStr"><is><t>17,59,000</t></is></c><c r="AO152" s="359"><f>LEFT(AN152,2)</f><v /></c><c r="AP152" s="359"><f>RIGHT(AN152,6)</f><v /></c><c r="AQ152" s="359"><f>+(AO152*60+AP152)/(60*60)</f><v /></c><c r="AR152" s="360"><f>+AM152/AQ152</f><v /></c><c r="AS152" s="362"><f>+(((AL152-AK152-AM152)/AM152)*100)</f><v /></c><c r="AT152" s="364"><f>IF(I152&gt;=1,"NO CONFORME",IF(BK152="SIGDIFERENTES",BC152,BL152))</f><v /></c><c r="AU152" s="365"><f>B152=C152</f><v /></c><c r="AV152" s="365"><f>N152&lt;Y152</f><v /></c><c r="AW152" s="365"><f>Z152&lt;=AK152</f><v /></c><c r="AX152" s="365"><f>IF(I152&gt;=1,"Qcorrecto",IF(AND(AY152="aceptable",AZ152="aceptable",BA152="aceptable"),"Qcorrecto","Qincorrecto"))</f><v /></c><c r="AY152" s="366"><f>IF(AR152&lt;$AH$6,"error",IF(AR152&gt;$AH$6*1.1,"error","aceptable"))</f><v /></c><c r="AZ152" s="366"><f>IF(AF152&lt;$V$6,"error",IF(AF152&gt;$V$6*1.1,"error","aceptable"))</f><v /></c><c r="BA152" s="366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7"><f>SIGN(U152)</f><v /></c><c r="BE152" s="367"><f>SIGN(AG152)</f><v /></c><c r="BF152" s="367"><f>SIGN(AS152)</f><v /></c><c r="BG152" s="367"><f>CONCATENATE(BD152,BE152,BF152)</f><v /></c><c r="BH152" s="367"><f>IF(BG152="111","SI","SD")</f><v /></c><c r="BI152" s="367"><f>IF(BG152="-1-1-1","SI","SD")</f><v /></c><c r="BJ152" s="367"><f>OR(BH152="SI",BI152="SI")</f><v /></c><c r="BK152" s="367"><f>IF(BJ152=FALSE,"SIGDIFERENTES","SIGIGUALES")</f><v /></c><c r="BL152" s="368"><f>IF(BC152="NO CONFORME","NO CONFORME",IF(BB152="CONFORME","CONFORME","NO CONFORME"))</f><v /></c></row><row r="153" ht="15" customHeight="1" thickBot="1"><c r="A153" s="451" t="n"><v>145</v></c><c r="B153" s="369"><f>B152</f><v /></c><c r="C153" s="369"><f>C152</f><v /></c><c r="D153" s="370"><f>D152</f><v /></c><c r="E153" s="371"><f>E152</f><v /></c><c r="F153" s="13" t="n" /><c r="G153" s="300" t="inlineStr"><is><t>PA25517017</t></is></c><c r="H153" s="313"><f>H152</f><v /></c><c r="I153" s="38"><f>I152</f><v /></c><c r="J153" s="314"><f>J152</f><v /></c><c r="K153" s="372"><f>K152</f><v /></c><c r="L153" s="372"><f>L152</f><v /></c><c r="M153" s="373" t="n"><v>156.2</v></c><c r="N153" s="373" t="n"><v>256.05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9"><f>W152</f><v /></c><c r="X153" s="379"><f>X152</f><v /></c><c r="Y153" s="373" t="n"><v>262.15</v></c><c r="Z153" s="373" t="n"><v>272.1</v></c><c r="AA153" s="380"><f>AA152</f><v /></c><c r="AB153" s="381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9"><f>AI152</f><v /></c><c r="AJ153" s="379"><f>AJ152</f><v /></c><c r="AK153" s="373"><f>Z153</f><v /></c><c r="AL153" s="373" t="n"><v>277.15</v></c><c r="AM153" s="382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3"><f>IF(I153&gt;=1,"NO CONFORME",IF(BK153="SIGDIFERENTES",BC153,BL153))</f><v /></c><c r="AU153" s="365"><f>B153=C153</f><v /></c><c r="AV153" s="365"><f>N153&lt;Y153</f><v /></c><c r="AW153" s="365"><f>Z153&lt;=AK153</f><v /></c><c r="AX153" s="365"><f>IF(I153&gt;=1,"Qcorrecto",IF(AND(AY153="aceptable",AZ153="aceptable",BA153="aceptable"),"Qcorrecto","Qincorrecto"))</f><v /></c><c r="AY153" s="366"><f>IF(AR153&lt;$AH$6,"error",IF(AR153&gt;$AH$6*1.1,"error","aceptable"))</f><v /></c><c r="AZ153" s="366"><f>IF(AF153&lt;$V$6,"error",IF(AF153&gt;$V$6*1.1,"error","aceptable"))</f><v /></c><c r="BA153" s="366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7"><f>SIGN(U153)</f><v /></c><c r="BE153" s="367"><f>SIGN(AG153)</f><v /></c><c r="BF153" s="367"><f>SIGN(AS153)</f><v /></c><c r="BG153" s="367"><f>CONCATENATE(BD153,BE153,BF153)</f><v /></c><c r="BH153" s="367"><f>IF(BG153="111","SI","SD")</f><v /></c><c r="BI153" s="367"><f>IF(BG153="-1-1-1","SI","SD")</f><v /></c><c r="BJ153" s="367"><f>OR(BH153="SI",BI153="SI")</f><v /></c><c r="BK153" s="367"><f>IF(BJ153=FALSE,"SIGDIFERENTES","SIGIGUALES")</f><v /></c><c r="BL153" s="366"><f>IF(BC153="NO CONFORME","NO CONFORME",IF(BB153="CONFORME","CONFORME","NO CONFORME"))</f><v /></c></row><row r="154" ht="15" customHeight="1" thickBot="1"><c r="A154" s="451" t="n"><v>146</v></c><c r="B154" s="369"><f>B153</f><v /></c><c r="C154" s="369"><f>C153</f><v /></c><c r="D154" s="370"><f>D153</f><v /></c><c r="E154" s="371"><f>E153</f><v /></c><c r="F154" s="13" t="n" /><c r="G154" s="300" t="inlineStr"><is><t>PA25517018</t></is></c><c r="H154" s="313"><f>H153</f><v /></c><c r="I154" s="38"><f>I153</f><v /></c><c r="J154" s="314"><f>J153</f><v /></c><c r="K154" s="372"><f>K153</f><v /></c><c r="L154" s="372"><f>L153</f><v /></c><c r="M154" s="373" t="n"><v>156.7</v></c><c r="N154" s="373" t="n"><v>256.6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9"><f>W153</f><v /></c><c r="X154" s="379"><f>X153</f><v /></c><c r="Y154" s="373" t="n"><v>262.72</v></c><c r="Z154" s="373" t="n"><v>272.74</v></c><c r="AA154" s="380"><f>AA153</f><v /></c><c r="AB154" s="381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9"><f>AI153</f><v /></c><c r="AJ154" s="379"><f>AJ153</f><v /></c><c r="AK154" s="373"><f>Z154</f><v /></c><c r="AL154" s="373" t="n"><v>277.79</v></c><c r="AM154" s="382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3"><f>IF(I154&gt;=1,"NO CONFORME",IF(BK154="SIGDIFERENTES",BC154,BL154))</f><v /></c><c r="AU154" s="365"><f>B154=C154</f><v /></c><c r="AV154" s="365"><f>N154&lt;Y154</f><v /></c><c r="AW154" s="365"><f>Z154&lt;=AK154</f><v /></c><c r="AX154" s="365"><f>IF(I154&gt;=1,"Qcorrecto",IF(AND(AY154="aceptable",AZ154="aceptable",BA154="aceptable"),"Qcorrecto","Qincorrecto"))</f><v /></c><c r="AY154" s="366"><f>IF(AR154&lt;$AH$6,"error",IF(AR154&gt;$AH$6*1.1,"error","aceptable"))</f><v /></c><c r="AZ154" s="366"><f>IF(AF154&lt;$V$6,"error",IF(AF154&gt;$V$6*1.1,"error","aceptable"))</f><v /></c><c r="BA154" s="366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7"><f>SIGN(U154)</f><v /></c><c r="BE154" s="367"><f>SIGN(AG154)</f><v /></c><c r="BF154" s="367"><f>SIGN(AS154)</f><v /></c><c r="BG154" s="367"><f>CONCATENATE(BD154,BE154,BF154)</f><v /></c><c r="BH154" s="367"><f>IF(BG154="111","SI","SD")</f><v /></c><c r="BI154" s="367"><f>IF(BG154="-1-1-1","SI","SD")</f><v /></c><c r="BJ154" s="367"><f>OR(BH154="SI",BI154="SI")</f><v /></c><c r="BK154" s="367"><f>IF(BJ154=FALSE,"SIGDIFERENTES","SIGIGUALES")</f><v /></c><c r="BL154" s="366"><f>IF(BC154="NO CONFORME","NO CONFORME",IF(BB154="CONFORME","CONFORME","NO CONFORME"))</f><v /></c></row><row r="155" ht="15" customHeight="1" thickBot="1"><c r="A155" s="451" t="n"><v>147</v></c><c r="B155" s="369"><f>B154</f><v /></c><c r="C155" s="369"><f>C154</f><v /></c><c r="D155" s="370"><f>D154</f><v /></c><c r="E155" s="371"><f>E154</f><v /></c><c r="F155" s="13" t="n" /><c r="G155" s="300" t="inlineStr"><is><t>PA25517019</t></is></c><c r="H155" s="313"><f>H154</f><v /></c><c r="I155" s="38"><f>I154</f><v /></c><c r="J155" s="314"><f>J154</f><v /></c><c r="K155" s="372"><f>K154</f><v /></c><c r="L155" s="372"><f>L154</f><v /></c><c r="M155" s="373" t="n"><v>156.55</v></c><c r="N155" s="373" t="n"><v>256.5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9"><f>W154</f><v /></c><c r="X155" s="379"><f>X154</f><v /></c><c r="Y155" s="373" t="n"><v>262.72</v></c><c r="Z155" s="373" t="n"><v>272.7</v></c><c r="AA155" s="380"><f>AA154</f><v /></c><c r="AB155" s="381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9"><f>AI154</f><v /></c><c r="AJ155" s="379"><f>AJ154</f><v /></c><c r="AK155" s="373"><f>Z155</f><v /></c><c r="AL155" s="373" t="n"><v>277.75</v></c><c r="AM155" s="382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3"><f>IF(I155&gt;=1,"NO CONFORME",IF(BK155="SIGDIFERENTES",BC155,BL155))</f><v /></c><c r="AU155" s="365"><f>B155=C155</f><v /></c><c r="AV155" s="365"><f>N155&lt;Y155</f><v /></c><c r="AW155" s="365"><f>Z155&lt;=AK155</f><v /></c><c r="AX155" s="365"><f>IF(I155&gt;=1,"Qcorrecto",IF(AND(AY155="aceptable",AZ155="aceptable",BA155="aceptable"),"Qcorrecto","Qincorrecto"))</f><v /></c><c r="AY155" s="366"><f>IF(AR155&lt;$AH$6,"error",IF(AR155&gt;$AH$6*1.1,"error","aceptable"))</f><v /></c><c r="AZ155" s="366"><f>IF(AF155&lt;$V$6,"error",IF(AF155&gt;$V$6*1.1,"error","aceptable"))</f><v /></c><c r="BA155" s="366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7"><f>SIGN(U155)</f><v /></c><c r="BE155" s="367"><f>SIGN(AG155)</f><v /></c><c r="BF155" s="367"><f>SIGN(AS155)</f><v /></c><c r="BG155" s="367"><f>CONCATENATE(BD155,BE155,BF155)</f><v /></c><c r="BH155" s="367"><f>IF(BG155="111","SI","SD")</f><v /></c><c r="BI155" s="367"><f>IF(BG155="-1-1-1","SI","SD")</f><v /></c><c r="BJ155" s="367"><f>OR(BH155="SI",BI155="SI")</f><v /></c><c r="BK155" s="367"><f>IF(BJ155=FALSE,"SIGDIFERENTES","SIGIGUALES")</f><v /></c><c r="BL155" s="366"><f>IF(BC155="NO CONFORME","NO CONFORME",IF(BB155="CONFORME","CONFORME","NO CONFORME"))</f><v /></c></row><row r="156" ht="15" customHeight="1" thickBot="1"><c r="A156" s="451" t="n"><v>148</v></c><c r="B156" s="369"><f>B155</f><v /></c><c r="C156" s="369"><f>C155</f><v /></c><c r="D156" s="370"><f>D155</f><v /></c><c r="E156" s="371"><f>E155</f><v /></c><c r="F156" s="13" t="n" /><c r="G156" s="300" t="inlineStr"><is><t>PA25517020</t></is></c><c r="H156" s="313"><f>H155</f><v /></c><c r="I156" s="38"><f>I155</f><v /></c><c r="J156" s="314"><f>J155</f><v /></c><c r="K156" s="372"><f>K155</f><v /></c><c r="L156" s="372"><f>L155</f><v /></c><c r="M156" s="373" t="n"><v>153.52</v></c><c r="N156" s="373" t="n"><v>253.2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9"><f>W155</f><v /></c><c r="X156" s="379"><f>X155</f><v /></c><c r="Y156" s="373" t="n"><v>259.35</v></c><c r="Z156" s="373" t="n"><v>269.34</v></c><c r="AA156" s="380"><f>AA155</f><v /></c><c r="AB156" s="381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9"><f>AI155</f><v /></c><c r="AJ156" s="379"><f>AJ155</f><v /></c><c r="AK156" s="373"><f>Z156</f><v /></c><c r="AL156" s="373" t="n"><v>274.35</v></c><c r="AM156" s="382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3"><f>IF(I156&gt;=1,"NO CONFORME",IF(BK156="SIGDIFERENTES",BC156,BL156))</f><v /></c><c r="AU156" s="365"><f>B156=C156</f><v /></c><c r="AV156" s="365"><f>N156&lt;Y156</f><v /></c><c r="AW156" s="365"><f>Z156&lt;=AK156</f><v /></c><c r="AX156" s="365"><f>IF(I156&gt;=1,"Qcorrecto",IF(AND(AY156="aceptable",AZ156="aceptable",BA156="aceptable"),"Qcorrecto","Qincorrecto"))</f><v /></c><c r="AY156" s="366"><f>IF(AR156&lt;$AH$6,"error",IF(AR156&gt;$AH$6*1.1,"error","aceptable"))</f><v /></c><c r="AZ156" s="366"><f>IF(AF156&lt;$V$6,"error",IF(AF156&gt;$V$6*1.1,"error","aceptable"))</f><v /></c><c r="BA156" s="366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7"><f>SIGN(U156)</f><v /></c><c r="BE156" s="367"><f>SIGN(AG156)</f><v /></c><c r="BF156" s="367"><f>SIGN(AS156)</f><v /></c><c r="BG156" s="367"><f>CONCATENATE(BD156,BE156,BF156)</f><v /></c><c r="BH156" s="367"><f>IF(BG156="111","SI","SD")</f><v /></c><c r="BI156" s="367"><f>IF(BG156="-1-1-1","SI","SD")</f><v /></c><c r="BJ156" s="367"><f>OR(BH156="SI",BI156="SI")</f><v /></c><c r="BK156" s="367"><f>IF(BJ156=FALSE,"SIGDIFERENTES","SIGIGUALES")</f><v /></c><c r="BL156" s="366"><f>IF(BC156="NO CONFORME","NO CONFORME",IF(BB156="CONFORME","CONFORME","NO CONFORME"))</f><v /></c></row><row r="157" ht="15" customHeight="1" thickBot="1"><c r="A157" s="451" t="n"><v>149</v></c><c r="B157" s="369"><f>B156</f><v /></c><c r="C157" s="369"><f>C156</f><v /></c><c r="D157" s="370"><f>D156</f><v /></c><c r="E157" s="371"><f>E156</f><v /></c><c r="F157" s="13" t="n" /><c r="G157" s="300" t="inlineStr"><is><t>PA25517021</t></is></c><c r="H157" s="313"><f>H156</f><v /></c><c r="I157" s="38"><f>I156</f><v /></c><c r="J157" s="314"><f>J156</f><v /></c><c r="K157" s="372"><f>K156</f><v /></c><c r="L157" s="372"><f>L156</f><v /></c><c r="M157" s="373" t="n"><v>154.92</v></c><c r="N157" s="373" t="n"><v>255.12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9"><f>W156</f><v /></c><c r="X157" s="379"><f>X156</f><v /></c><c r="Y157" s="373" t="n"><v>261.35</v></c><c r="Z157" s="373" t="n"><v>271.32</v></c><c r="AA157" s="380"><f>AA156</f><v /></c><c r="AB157" s="381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9"><f>AI156</f><v /></c><c r="AJ157" s="379"><f>AJ156</f><v /></c><c r="AK157" s="373"><f>Z157</f><v /></c><c r="AL157" s="373" t="n"><v>276.37</v></c><c r="AM157" s="382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3"><f>IF(I157&gt;=1,"NO CONFORME",IF(BK157="SIGDIFERENTES",BC157,BL157))</f><v /></c><c r="AU157" s="365"><f>B157=C157</f><v /></c><c r="AV157" s="365"><f>N157&lt;Y157</f><v /></c><c r="AW157" s="365"><f>Z157&lt;=AK157</f><v /></c><c r="AX157" s="365"><f>IF(I157&gt;=1,"Qcorrecto",IF(AND(AY157="aceptable",AZ157="aceptable",BA157="aceptable"),"Qcorrecto","Qincorrecto"))</f><v /></c><c r="AY157" s="366"><f>IF(AR157&lt;$AH$6,"error",IF(AR157&gt;$AH$6*1.1,"error","aceptable"))</f><v /></c><c r="AZ157" s="366"><f>IF(AF157&lt;$V$6,"error",IF(AF157&gt;$V$6*1.1,"error","aceptable"))</f><v /></c><c r="BA157" s="366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7"><f>SIGN(U157)</f><v /></c><c r="BE157" s="367"><f>SIGN(AG157)</f><v /></c><c r="BF157" s="367"><f>SIGN(AS157)</f><v /></c><c r="BG157" s="367"><f>CONCATENATE(BD157,BE157,BF157)</f><v /></c><c r="BH157" s="367"><f>IF(BG157="111","SI","SD")</f><v /></c><c r="BI157" s="367"><f>IF(BG157="-1-1-1","SI","SD")</f><v /></c><c r="BJ157" s="367"><f>OR(BH157="SI",BI157="SI")</f><v /></c><c r="BK157" s="367"><f>IF(BJ157=FALSE,"SIGDIFERENTES","SIGIGUALES")</f><v /></c><c r="BL157" s="366"><f>IF(BC157="NO CONFORME","NO CONFORME",IF(BB157="CONFORME","CONFORME","NO CONFORME"))</f><v /></c></row><row r="158" ht="15" customHeight="1" thickBot="1"><c r="A158" s="451" t="n"><v>150</v></c><c r="B158" s="369"><f>B157</f><v /></c><c r="C158" s="369"><f>C157</f><v /></c><c r="D158" s="370"><f>D157</f><v /></c><c r="E158" s="371"><f>E157</f><v /></c><c r="F158" s="13" t="n" /><c r="G158" s="300" t="inlineStr"><is><t>PA25517022</t></is></c><c r="H158" s="313"><f>H157</f><v /></c><c r="I158" s="38"><f>I157</f><v /></c><c r="J158" s="314"><f>J157</f><v /></c><c r="K158" s="372"><f>K157</f><v /></c><c r="L158" s="372"><f>L157</f><v /></c><c r="M158" s="373" t="n"><v>153.75</v></c><c r="N158" s="373" t="n"><v>253.52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9"><f>W157</f><v /></c><c r="X158" s="379"><f>X157</f><v /></c><c r="Y158" s="373" t="n"><v>259.6</v></c><c r="Z158" s="373" t="n"><v>269.54</v></c><c r="AA158" s="380"><f>AA157</f><v /></c><c r="AB158" s="381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9"><f>AI157</f><v /></c><c r="AJ158" s="379"><f>AJ157</f><v /></c><c r="AK158" s="373"><f>Z158</f><v /></c><c r="AL158" s="373" t="n"><v>274.58</v></c><c r="AM158" s="382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3"><f>IF(I158&gt;=1,"NO CONFORME",IF(BK158="SIGDIFERENTES",BC158,BL158))</f><v /></c><c r="AU158" s="365"><f>B158=C158</f><v /></c><c r="AV158" s="365"><f>N158&lt;Y158</f><v /></c><c r="AW158" s="365"><f>Z158&lt;=AK158</f><v /></c><c r="AX158" s="365"><f>IF(I158&gt;=1,"Qcorrecto",IF(AND(AY158="aceptable",AZ158="aceptable",BA158="aceptable"),"Qcorrecto","Qincorrecto"))</f><v /></c><c r="AY158" s="366"><f>IF(AR158&lt;$AH$6,"error",IF(AR158&gt;$AH$6*1.1,"error","aceptable"))</f><v /></c><c r="AZ158" s="366"><f>IF(AF158&lt;$V$6,"error",IF(AF158&gt;$V$6*1.1,"error","aceptable"))</f><v /></c><c r="BA158" s="366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7"><f>SIGN(U158)</f><v /></c><c r="BE158" s="367"><f>SIGN(AG158)</f><v /></c><c r="BF158" s="367"><f>SIGN(AS158)</f><v /></c><c r="BG158" s="367"><f>CONCATENATE(BD158,BE158,BF158)</f><v /></c><c r="BH158" s="367"><f>IF(BG158="111","SI","SD")</f><v /></c><c r="BI158" s="367"><f>IF(BG158="-1-1-1","SI","SD")</f><v /></c><c r="BJ158" s="367"><f>OR(BH158="SI",BI158="SI")</f><v /></c><c r="BK158" s="367"><f>IF(BJ158=FALSE,"SIGDIFERENTES","SIGIGUALES")</f><v /></c><c r="BL158" s="366"><f>IF(BC158="NO CONFORME","NO CONFORME",IF(BB158="CONFORME","CONFORME","NO CONFORME"))</f><v /></c></row><row r="159" ht="15" customHeight="1" thickBot="1"><c r="A159" s="451" t="n"><v>151</v></c><c r="B159" s="369"><f>B158</f><v /></c><c r="C159" s="369"><f>C158</f><v /></c><c r="D159" s="370"><f>D158</f><v /></c><c r="E159" s="371"><f>E158</f><v /></c><c r="F159" s="13" t="n" /><c r="G159" s="300" t="inlineStr"><is><t>PA25517023</t></is></c><c r="H159" s="313"><f>H158</f><v /></c><c r="I159" s="38"><f>I158</f><v /></c><c r="J159" s="314"><f>J158</f><v /></c><c r="K159" s="372"><f>K158</f><v /></c><c r="L159" s="372"><f>L158</f><v /></c><c r="M159" s="373" t="n"><v>154.7</v></c><c r="N159" s="373" t="n"><v>254.76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9"><f>W158</f><v /></c><c r="X159" s="379"><f>X158</f><v /></c><c r="Y159" s="373" t="n"><v>260.92</v></c><c r="Z159" s="373" t="n"><v>271.01</v></c><c r="AA159" s="380"><f>AA158</f><v /></c><c r="AB159" s="381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9"><f>AI158</f><v /></c><c r="AJ159" s="379"><f>AJ158</f><v /></c><c r="AK159" s="373"><f>Z159</f><v /></c><c r="AL159" s="373" t="n"><v>276.12</v></c><c r="AM159" s="382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3"><f>IF(I159&gt;=1,"NO CONFORME",IF(BK159="SIGDIFERENTES",BC159,BL159))</f><v /></c><c r="AU159" s="365"><f>B159=C159</f><v /></c><c r="AV159" s="365"><f>N159&lt;Y159</f><v /></c><c r="AW159" s="365"><f>Z159&lt;=AK159</f><v /></c><c r="AX159" s="365"><f>IF(I159&gt;=1,"Qcorrecto",IF(AND(AY159="aceptable",AZ159="aceptable",BA159="aceptable"),"Qcorrecto","Qincorrecto"))</f><v /></c><c r="AY159" s="366"><f>IF(AR159&lt;$AH$6,"error",IF(AR159&gt;$AH$6*1.1,"error","aceptable"))</f><v /></c><c r="AZ159" s="366"><f>IF(AF159&lt;$V$6,"error",IF(AF159&gt;$V$6*1.1,"error","aceptable"))</f><v /></c><c r="BA159" s="366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7"><f>SIGN(U159)</f><v /></c><c r="BE159" s="367"><f>SIGN(AG159)</f><v /></c><c r="BF159" s="367"><f>SIGN(AS159)</f><v /></c><c r="BG159" s="367"><f>CONCATENATE(BD159,BE159,BF159)</f><v /></c><c r="BH159" s="367"><f>IF(BG159="111","SI","SD")</f><v /></c><c r="BI159" s="367"><f>IF(BG159="-1-1-1","SI","SD")</f><v /></c><c r="BJ159" s="367"><f>OR(BH159="SI",BI159="SI")</f><v /></c><c r="BK159" s="367"><f>IF(BJ159=FALSE,"SIGDIFERENTES","SIGIGUALES")</f><v /></c><c r="BL159" s="366"><f>IF(BC159="NO CONFORME","NO CONFORME",IF(BB159="CONFORME","CONFORME","NO CONFORME"))</f><v /></c></row><row r="160" ht="15" customHeight="1" thickBot="1"><c r="A160" s="451" t="n"><v>152</v></c><c r="B160" s="369"><f>B159</f><v /></c><c r="C160" s="369"><f>C159</f><v /></c><c r="D160" s="370"><f>D159</f><v /></c><c r="E160" s="371"><f>E159</f><v /></c><c r="F160" s="13" t="n" /><c r="G160" s="300" t="inlineStr"><is><t>PA25517024</t></is></c><c r="H160" s="313"><f>H159</f><v /></c><c r="I160" s="38"><f>I159</f><v /></c><c r="J160" s="314"><f>J159</f><v /></c><c r="K160" s="372"><f>K159</f><v /></c><c r="L160" s="372"><f>L159</f><v /></c><c r="M160" s="373" t="n"><v>157.2</v></c><c r="N160" s="373" t="n"><v>256.74</v></c><c r="O160" s="374"><f>O159</f><v /></c><c r="P160" s="375"><f>P159</f><v /></c><c r="Q160" s="376"><f>LEFT(P160,1)</f><v /></c><c r="R160" s="376"><f>RIGHT(P160,6)</f><v /></c><c r="S160" s="376"><f>+(Q160*60+R160)/(60*60)</f><v /></c><c r="T160" s="377"><f>+O160/S160</f><v /></c><c r="U160" s="378"><f>+(((N160-M160-O160)/O160)*100)</f><v /></c><c r="V160" s="317"><f>V159</f><v /></c><c r="W160" s="379"><f>W159</f><v /></c><c r="X160" s="379"><f>X159</f><v /></c><c r="Y160" s="373" t="n"><v>262.85</v></c><c r="Z160" s="373" t="n"><v>272.85</v></c><c r="AA160" s="380"><f>AA159</f><v /></c><c r="AB160" s="381"><f>AB159</f><v /></c><c r="AC160" s="376"><f>LEFT(AB160,2)</f><v /></c><c r="AD160" s="376"><f>RIGHT(AB160,6)</f><v /></c><c r="AE160" s="376"><f>+(AC160*60+AD160)/(60*60)</f><v /></c><c r="AF160" s="377"><f>+AA160/AE160</f><v /></c><c r="AG160" s="321"><f>+(((Z160-Y160-AA160)/AA160)*100)</f><v /></c><c r="AH160" s="317"><f>AH159</f><v /></c><c r="AI160" s="379"><f>AI159</f><v /></c><c r="AJ160" s="379"><f>AJ159</f><v /></c><c r="AK160" s="373"><f>Z160</f><v /></c><c r="AL160" s="373" t="n"><v>277.86</v></c><c r="AM160" s="382"><f>AM159</f><v /></c><c r="AN160" s="375"><f>AN159</f><v /></c><c r="AO160" s="376"><f>LEFT(AN160,2)</f><v /></c><c r="AP160" s="376"><f>RIGHT(AN160,6)</f><v /></c><c r="AQ160" s="376"><f>+(AO160*60+AP160)/(60*60)</f><v /></c><c r="AR160" s="377"><f>+AM160/AQ160</f><v /></c><c r="AS160" s="321"><f>+(((AL160-AK160-AM160)/AM160)*100)</f><v /></c><c r="AT160" s="383"><f>IF(I160&gt;=1,"NO CONFORME",IF(BK160="SIGDIFERENTES",BC160,BL160))</f><v /></c><c r="AU160" s="365"><f>B160=C160</f><v /></c><c r="AV160" s="365"><f>N160&lt;Y160</f><v /></c><c r="AW160" s="365"><f>Z160&lt;=AK160</f><v /></c><c r="AX160" s="365"><f>IF(I160&gt;=1,"Qcorrecto",IF(AND(AY160="aceptable",AZ160="aceptable",BA160="aceptable"),"Qcorrecto","Qincorrecto"))</f><v /></c><c r="AY160" s="366"><f>IF(AR160&lt;$AH$6,"error",IF(AR160&gt;$AH$6*1.1,"error","aceptable"))</f><v /></c><c r="AZ160" s="366"><f>IF(AF160&lt;$V$6,"error",IF(AF160&gt;$V$6*1.1,"error","aceptable"))</f><v /></c><c r="BA160" s="366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67"><f>SIGN(U160)</f><v /></c><c r="BE160" s="367"><f>SIGN(AG160)</f><v /></c><c r="BF160" s="367"><f>SIGN(AS160)</f><v /></c><c r="BG160" s="367"><f>CONCATENATE(BD160,BE160,BF160)</f><v /></c><c r="BH160" s="367"><f>IF(BG160="111","SI","SD")</f><v /></c><c r="BI160" s="367"><f>IF(BG160="-1-1-1","SI","SD")</f><v /></c><c r="BJ160" s="367"><f>OR(BH160="SI",BI160="SI")</f><v /></c><c r="BK160" s="367"><f>IF(BJ160=FALSE,"SIGDIFERENTES","SIGIGUALES")</f><v /></c><c r="BL160" s="366"><f>IF(BC160="NO CONFORME","NO CONFORME",IF(BB160="CONFORME","CONFORME","NO CONFORME"))</f><v /></c></row><row r="161" ht="15" customHeight="1" thickBot="1"><c r="A161" s="451" t="n"><v>153</v></c><c r="B161" s="369"><f>B160</f><v /></c><c r="C161" s="369"><f>C160</f><v /></c><c r="D161" s="370"><f>D160</f><v /></c><c r="E161" s="371"><f>E160</f><v /></c><c r="F161" s="13" t="n" /><c r="G161" s="300" t="inlineStr"><is><t>PA25517025</t></is></c><c r="H161" s="313"><f>H160</f><v /></c><c r="I161" s="38"><f>I160</f><v /></c><c r="J161" s="314"><f>J160</f><v /></c><c r="K161" s="372"><f>K160</f><v /></c><c r="L161" s="372"><f>L160</f><v /></c><c r="M161" s="373" t="n"><v>200.4</v></c><c r="N161" s="373" t="n"><v>300.02</v></c><c r="O161" s="374"><f>O160</f><v /></c><c r="P161" s="375"><f>P160</f><v /></c><c r="Q161" s="376"><f>LEFT(P161,1)</f><v /></c><c r="R161" s="376"><f>RIGHT(P161,6)</f><v /></c><c r="S161" s="376"><f>+(Q161*60+R161)/(60*60)</f><v /></c><c r="T161" s="377"><f>+O161/S161</f><v /></c><c r="U161" s="378"><f>+(((N161-M161-O161)/O161)*100)</f><v /></c><c r="V161" s="317"><f>V160</f><v /></c><c r="W161" s="379"><f>W160</f><v /></c><c r="X161" s="379"><f>X160</f><v /></c><c r="Y161" s="373" t="n"><v>306.72</v></c><c r="Z161" s="373" t="n"><v>316.7</v></c><c r="AA161" s="380"><f>AA160</f><v /></c><c r="AB161" s="381"><f>AB160</f><v /></c><c r="AC161" s="376"><f>LEFT(AB161,2)</f><v /></c><c r="AD161" s="376"><f>RIGHT(AB161,6)</f><v /></c><c r="AE161" s="376"><f>+(AC161*60+AD161)/(60*60)</f><v /></c><c r="AF161" s="377"><f>+AA161/AE161</f><v /></c><c r="AG161" s="321"><f>+(((Z161-Y161-AA161)/AA161)*100)</f><v /></c><c r="AH161" s="317"><f>AH160</f><v /></c><c r="AI161" s="379"><f>AI160</f><v /></c><c r="AJ161" s="379"><f>AJ160</f><v /></c><c r="AK161" s="373"><f>Z161</f><v /></c><c r="AL161" s="373" t="n"><v>321.75</v></c><c r="AM161" s="382"><f>AM160</f><v /></c><c r="AN161" s="375"><f>AN160</f><v /></c><c r="AO161" s="376"><f>LEFT(AN161,2)</f><v /></c><c r="AP161" s="376"><f>RIGHT(AN161,6)</f><v /></c><c r="AQ161" s="376"><f>+(AO161*60+AP161)/(60*60)</f><v /></c><c r="AR161" s="377"><f>+AM161/AQ161</f><v /></c><c r="AS161" s="321"><f>+(((AL161-AK161-AM161)/AM161)*100)</f><v /></c><c r="AT161" s="383"><f>IF(I161&gt;=1,"NO CONFORME",IF(BK161="SIGDIFERENTES",BC161,BL161))</f><v /></c><c r="AU161" s="365"><f>B161=C161</f><v /></c><c r="AV161" s="365"><f>N161&lt;Y161</f><v /></c><c r="AW161" s="365"><f>Z161&lt;=AK161</f><v /></c><c r="AX161" s="365"><f>IF(I161&gt;=1,"Qcorrecto",IF(AND(AY161="aceptable",AZ161="aceptable",BA161="aceptable"),"Qcorrecto","Qincorrecto"))</f><v /></c><c r="AY161" s="366"><f>IF(AR161&lt;$AH$6,"error",IF(AR161&gt;$AH$6*1.1,"error","aceptable"))</f><v /></c><c r="AZ161" s="366"><f>IF(AF161&lt;$V$6,"error",IF(AF161&gt;$V$6*1.1,"error","aceptable"))</f><v /></c><c r="BA161" s="366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7"><f>SIGN(U161)</f><v /></c><c r="BE161" s="367"><f>SIGN(AG161)</f><v /></c><c r="BF161" s="367"><f>SIGN(AS161)</f><v /></c><c r="BG161" s="367"><f>CONCATENATE(BD161,BE161,BF161)</f><v /></c><c r="BH161" s="367"><f>IF(BG161="111","SI","SD")</f><v /></c><c r="BI161" s="367"><f>IF(BG161="-1-1-1","SI","SD")</f><v /></c><c r="BJ161" s="367"><f>OR(BH161="SI",BI161="SI")</f><v /></c><c r="BK161" s="367"><f>IF(BJ161=FALSE,"SIGDIFERENTES","SIGIGUALES")</f><v /></c><c r="BL161" s="366"><f>IF(BC161="NO CONFORME","NO CONFORME",IF(BB161="CONFORME","CONFORME","NO CONFORME"))</f><v /></c></row><row r="162" ht="15.75" customHeight="1" thickBot="1"><c r="A162" s="451" t="n"><v>154</v></c><c r="B162" s="369"><f>B161</f><v /></c><c r="C162" s="369"><f>C161</f><v /></c><c r="D162" s="370"><f>D161</f><v /></c><c r="E162" s="371"><f>E161</f><v /></c><c r="F162" s="13" t="n" /><c r="G162" s="300" t="inlineStr"><is><t>PA25517026</t></is></c><c r="H162" s="313"><f>H161</f><v /></c><c r="I162" s="38"><f>I161</f><v /></c><c r="J162" s="314"><f>J161</f><v /></c><c r="K162" s="372"><f>K161</f><v /></c><c r="L162" s="372"><f>L161</f><v /></c><c r="M162" s="373" t="n"><v>158.65</v></c><c r="N162" s="373" t="n"><v>259.02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9"><f>W161</f><v /></c><c r="X162" s="379"><f>X161</f><v /></c><c r="Y162" s="373" t="n"><v>265.12</v></c><c r="Z162" s="373" t="n"><v>275.14</v></c><c r="AA162" s="380"><f>AA161</f><v /></c><c r="AB162" s="381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9"><f>AI161</f><v /></c><c r="AJ162" s="379"><f>AJ161</f><v /></c><c r="AK162" s="373"><f>Z162</f><v /></c><c r="AL162" s="373" t="n"><v>280.16</v></c><c r="AM162" s="382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3"><f>IF(I162&gt;=1,"NO CONFORME",IF(BK162="SIGDIFERENTES",BC162,BL162))</f><v /></c><c r="AU162" s="365"><f>B162=C162</f><v /></c><c r="AV162" s="365"><f>N162&lt;Y162</f><v /></c><c r="AW162" s="365"><f>Z162&lt;=AK162</f><v /></c><c r="AX162" s="365"><f>IF(I162&gt;=1,"Qcorrecto",IF(AND(AY162="aceptable",AZ162="aceptable",BA162="aceptable"),"Qcorrecto","Qincorrecto"))</f><v /></c><c r="AY162" s="366"><f>IF(AR162&lt;$AH$6,"error",IF(AR162&gt;$AH$6*1.1,"error","aceptable"))</f><v /></c><c r="AZ162" s="366"><f>IF(AF162&lt;$V$6,"error",IF(AF162&gt;$V$6*1.1,"error","aceptable"))</f><v /></c><c r="BA162" s="366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7"><f>SIGN(U162)</f><v /></c><c r="BE162" s="367"><f>SIGN(AG162)</f><v /></c><c r="BF162" s="367"><f>SIGN(AS162)</f><v /></c><c r="BG162" s="367"><f>CONCATENATE(BD162,BE162,BF162)</f><v /></c><c r="BH162" s="367"><f>IF(BG162="111","SI","SD")</f><v /></c><c r="BI162" s="367"><f>IF(BG162="-1-1-1","SI","SD")</f><v /></c><c r="BJ162" s="367"><f>OR(BH162="SI",BI162="SI")</f><v /></c><c r="BK162" s="367"><f>IF(BJ162=FALSE,"SIGDIFERENTES","SIGIGUALES")</f><v /></c><c r="BL162" s="366"><f>IF(BC162="NO CONFORME","NO CONFORME",IF(BB162="CONFORME","CONFORME","NO CONFORME"))</f><v /></c></row><row r="163" ht="15" customHeight="1" thickBot="1"><c r="A163" s="451" t="n"><v>155</v></c><c r="B163" s="369"><f>B162</f><v /></c><c r="C163" s="369"><f>C162</f><v /></c><c r="D163" s="370"><f>D162</f><v /></c><c r="E163" s="371"><f>E162</f><v /></c><c r="F163" s="13" t="n" /><c r="G163" s="300" t="inlineStr"><is><t>PA25517027</t></is></c><c r="H163" s="313"><f>H162</f><v /></c><c r="I163" s="38"><f>I162</f><v /></c><c r="J163" s="314"><f>J162</f><v /></c><c r="K163" s="372"><f>K162</f><v /></c><c r="L163" s="372"><f>L162</f><v /></c><c r="M163" s="373" t="n"><v>157.85</v></c><c r="N163" s="373" t="n"><v>258.35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9"><f>W162</f><v /></c><c r="X163" s="379"><f>X162</f><v /></c><c r="Y163" s="373" t="n"><v>264.47</v></c><c r="Z163" s="373" t="n"><v>274.4</v></c><c r="AA163" s="380"><f>AA162</f><v /></c><c r="AB163" s="381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9"><f>AI162</f><v /></c><c r="AJ163" s="379"><f>AJ162</f><v /></c><c r="AK163" s="373"><f>Z163</f><v /></c><c r="AL163" s="373" t="n"><v>279.39</v></c><c r="AM163" s="382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3"><f>IF(I163&gt;=1,"NO CONFORME",IF(BK163="SIGDIFERENTES",BC163,BL163))</f><v /></c><c r="AU163" s="365"><f>B163=C163</f><v /></c><c r="AV163" s="365"><f>N163&lt;Y163</f><v /></c><c r="AW163" s="365"><f>Z163&lt;=AK163</f><v /></c><c r="AX163" s="365"><f>IF(I163&gt;=1,"Qcorrecto",IF(AND(AY163="aceptable",AZ163="aceptable",BA163="aceptable"),"Qcorrecto","Qincorrecto"))</f><v /></c><c r="AY163" s="366"><f>IF(AR163&lt;$AH$6,"error",IF(AR163&gt;$AH$6*1.1,"error","aceptable"))</f><v /></c><c r="AZ163" s="366"><f>IF(AF163&lt;$V$6,"error",IF(AF163&gt;$V$6*1.1,"error","aceptable"))</f><v /></c><c r="BA163" s="366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7"><f>SIGN(U163)</f><v /></c><c r="BE163" s="367"><f>SIGN(AG163)</f><v /></c><c r="BF163" s="367"><f>SIGN(AS163)</f><v /></c><c r="BG163" s="367"><f>CONCATENATE(BD163,BE163,BF163)</f><v /></c><c r="BH163" s="367"><f>IF(BG163="111","SI","SD")</f><v /></c><c r="BI163" s="367"><f>IF(BG163="-1-1-1","SI","SD")</f><v /></c><c r="BJ163" s="367"><f>OR(BH163="SI",BI163="SI")</f><v /></c><c r="BK163" s="367"><f>IF(BJ163=FALSE,"SIGDIFERENTES","SIGIGUALES")</f><v /></c><c r="BL163" s="366"><f>IF(BC163="NO CONFORME","NO CONFORME",IF(BB163="CONFORME","CONFORME","NO CONFORME"))</f><v /></c></row><row r="164" ht="15" customHeight="1" thickBot="1"><c r="A164" s="451" t="n"><v>156</v></c><c r="B164" s="369"><f>B163</f><v /></c><c r="C164" s="369"><f>C163</f><v /></c><c r="D164" s="370"><f>D163</f><v /></c><c r="E164" s="371"><f>E163</f><v /></c><c r="F164" s="13" t="n" /><c r="G164" s="300" t="inlineStr"><is><t>PA25517028</t></is></c><c r="H164" s="313"><f>H163</f><v /></c><c r="I164" s="38"><f>I163</f><v /></c><c r="J164" s="314"><f>J163</f><v /></c><c r="K164" s="372"><f>K163</f><v /></c><c r="L164" s="372"><f>L163</f><v /></c><c r="M164" s="373" t="n"><v>239.37</v></c><c r="N164" s="373" t="n"><v>339.46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9"><f>W163</f><v /></c><c r="X164" s="379"><f>X163</f><v /></c><c r="Y164" s="373" t="n"><v>345.56</v></c><c r="Z164" s="373" t="n"><v>355.44</v></c><c r="AA164" s="380"><f>AA163</f><v /></c><c r="AB164" s="381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9"><f>AI163</f><v /></c><c r="AJ164" s="379"><f>AJ163</f><v /></c><c r="AK164" s="373"><f>Z164</f><v /></c><c r="AL164" s="373" t="n"><v>360.4</v></c><c r="AM164" s="382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3"><f>IF(I164&gt;=1,"NO CONFORME",IF(BK164="SIGDIFERENTES",BC164,BL164))</f><v /></c><c r="AU164" s="365"><f>B164=C164</f><v /></c><c r="AV164" s="365"><f>N164&lt;Y164</f><v /></c><c r="AW164" s="365"><f>Z164&lt;=AK164</f><v /></c><c r="AX164" s="365"><f>IF(I164&gt;=1,"Qcorrecto",IF(AND(AY164="aceptable",AZ164="aceptable",BA164="aceptable"),"Qcorrecto","Qincorrecto"))</f><v /></c><c r="AY164" s="366"><f>IF(AR164&lt;$AH$6,"error",IF(AR164&gt;$AH$6*1.1,"error","aceptable"))</f><v /></c><c r="AZ164" s="366"><f>IF(AF164&lt;$V$6,"error",IF(AF164&gt;$V$6*1.1,"error","aceptable"))</f><v /></c><c r="BA164" s="366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7"><f>SIGN(U164)</f><v /></c><c r="BE164" s="367"><f>SIGN(AG164)</f><v /></c><c r="BF164" s="367"><f>SIGN(AS164)</f><v /></c><c r="BG164" s="367"><f>CONCATENATE(BD164,BE164,BF164)</f><v /></c><c r="BH164" s="367"><f>IF(BG164="111","SI","SD")</f><v /></c><c r="BI164" s="367"><f>IF(BG164="-1-1-1","SI","SD")</f><v /></c><c r="BJ164" s="367"><f>OR(BH164="SI",BI164="SI")</f><v /></c><c r="BK164" s="367"><f>IF(BJ164=FALSE,"SIGDIFERENTES","SIGIGUALES")</f><v /></c><c r="BL164" s="366"><f>IF(BC164="NO CONFORME","NO CONFORME",IF(BB164="CONFORME","CONFORME","NO CONFORME"))</f><v /></c></row><row r="165" ht="15.75" customHeight="1" thickBot="1"><c r="A165" s="451" t="n"><v>157</v></c><c r="B165" s="369"><f>B164</f><v /></c><c r="C165" s="369"><f>C164</f><v /></c><c r="D165" s="370"><f>D164</f><v /></c><c r="E165" s="371"><f>E164</f><v /></c><c r="F165" s="13" t="n" /><c r="G165" s="300" t="inlineStr"><is><t>PA25517029</t></is></c><c r="H165" s="313"><f>H164</f><v /></c><c r="I165" s="38"><f>I164</f><v /></c><c r="J165" s="314"><f>J164</f><v /></c><c r="K165" s="372"><f>K164</f><v /></c><c r="L165" s="372"><f>L164</f><v /></c><c r="M165" s="373" t="n"><v>156.85</v></c><c r="N165" s="373" t="n"><v>257.3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9"><f>W164</f><v /></c><c r="X165" s="379"><f>X164</f><v /></c><c r="Y165" s="373" t="n"><v>263.5</v></c><c r="Z165" s="373" t="n"><v>273.45</v></c><c r="AA165" s="380"><f>AA164</f><v /></c><c r="AB165" s="381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9"><f>AI164</f><v /></c><c r="AJ165" s="379"><f>AJ164</f><v /></c><c r="AK165" s="373"><f>Z165</f><v /></c><c r="AL165" s="373" t="n"><v>278.5</v></c><c r="AM165" s="382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3"><f>IF(I165&gt;=1,"NO CONFORME",IF(BK165="SIGDIFERENTES",BC165,BL165))</f><v /></c><c r="AU165" s="365"><f>B165=C165</f><v /></c><c r="AV165" s="365"><f>N165&lt;Y165</f><v /></c><c r="AW165" s="365"><f>Z165&lt;=AK165</f><v /></c><c r="AX165" s="365"><f>IF(I165&gt;=1,"Qcorrecto",IF(AND(AY165="aceptable",AZ165="aceptable",BA165="aceptable"),"Qcorrecto","Qincorrecto"))</f><v /></c><c r="AY165" s="366"><f>IF(AR165&lt;$AH$6,"error",IF(AR165&gt;$AH$6*1.1,"error","aceptable"))</f><v /></c><c r="AZ165" s="366"><f>IF(AF165&lt;$V$6,"error",IF(AF165&gt;$V$6*1.1,"error","aceptable"))</f><v /></c><c r="BA165" s="366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7"><f>SIGN(U165)</f><v /></c><c r="BE165" s="367"><f>SIGN(AG165)</f><v /></c><c r="BF165" s="367"><f>SIGN(AS165)</f><v /></c><c r="BG165" s="367"><f>CONCATENATE(BD165,BE165,BF165)</f><v /></c><c r="BH165" s="367"><f>IF(BG165="111","SI","SD")</f><v /></c><c r="BI165" s="367"><f>IF(BG165="-1-1-1","SI","SD")</f><v /></c><c r="BJ165" s="367"><f>OR(BH165="SI",BI165="SI")</f><v /></c><c r="BK165" s="367"><f>IF(BJ165=FALSE,"SIGDIFERENTES","SIGIGUALES")</f><v /></c><c r="BL165" s="366"><f>IF(BC165="NO CONFORME","NO CONFORME",IF(BB165="CONFORME","CONFORME","NO CONFORME"))</f><v /></c></row><row r="166" ht="15" customHeight="1" thickBot="1"><c r="A166" s="473" t="n"><v>158</v></c><c r="B166" s="454"><f>B165</f><v /></c><c r="C166" s="454"><f>C165</f><v /></c><c r="D166" s="455"><f>D165</f><v /></c><c r="E166" s="474"><f>E165</f><v /></c><c r="F166" s="52" t="n" /><c r="G166" s="300" t="inlineStr"><is><t>PA25517030</t></is></c><c r="H166" s="326"><f>H165</f><v /></c><c r="I166" s="98"><f>I165</f><v /></c><c r="J166" s="327"><f>J165</f><v /></c><c r="K166" s="458"><f>K165</f><v /></c><c r="L166" s="458"><f>L165</f><v /></c><c r="M166" s="459" t="n"><v>198.7</v></c><c r="N166" s="459" t="n"><v>298.99</v></c><c r="O166" s="460"><f>O165</f><v /></c><c r="P166" s="461"><f>P165</f><v /></c><c r="Q166" s="462"><f>LEFT(P166,1)</f><v /></c><c r="R166" s="462"><f>RIGHT(P166,6)</f><v /></c><c r="S166" s="462"><f>+(Q166*60+R166)/(60*60)</f><v /></c><c r="T166" s="463"><f>+O166/S166</f><v /></c><c r="U166" s="464"><f>+(((N166-M166-O166)/O166)*100)</f><v /></c><c r="V166" s="329"><f>V165</f><v /></c><c r="W166" s="465"><f>W165</f><v /></c><c r="X166" s="465"><f>X165</f><v /></c><c r="Y166" s="459" t="n"><v>305.15</v></c><c r="Z166" s="459" t="n"><v>315.2</v></c><c r="AA166" s="466"><f>AA165</f><v /></c><c r="AB166" s="467"><f>AB165</f><v /></c><c r="AC166" s="462"><f>LEFT(AB166,2)</f><v /></c><c r="AD166" s="462"><f>RIGHT(AB166,6)</f><v /></c><c r="AE166" s="462"><f>+(AC166*60+AD166)/(60*60)</f><v /></c><c r="AF166" s="463"><f>+AA166/AE166</f><v /></c><c r="AG166" s="468"><f>+(((Z166-Y166-AA166)/AA166)*100)</f><v /></c><c r="AH166" s="329"><f>AH165</f><v /></c><c r="AI166" s="465"><f>AI165</f><v /></c><c r="AJ166" s="465"><f>AJ165</f><v /></c><c r="AK166" s="459"><f>Z166</f><v /></c><c r="AL166" s="459" t="n"><v>320.29</v></c><c r="AM166" s="469"><f>AM165</f><v /></c><c r="AN166" s="461"><f>AN165</f><v /></c><c r="AO166" s="462"><f>LEFT(AN166,2)</f><v /></c><c r="AP166" s="462"><f>RIGHT(AN166,6)</f><v /></c><c r="AQ166" s="462"><f>+(AO166*60+AP166)/(60*60)</f><v /></c><c r="AR166" s="463"><f>+AM166/AQ166</f><v /></c><c r="AS166" s="468"><f>+(((AL166-AK166-AM166)/AM166)*100)</f><v /></c><c r="AT166" s="470"><f>IF(I166&gt;=1,"NO CONFORME",IF(BK166="SIGDIFERENTES",BC166,BL166))</f><v /></c><c r="AU166" s="426"><f>B166=C166</f><v /></c><c r="AV166" s="426"><f>N166&lt;Y166</f><v /></c><c r="AW166" s="426"><f>Z166&lt;=AK166</f><v /></c><c r="AX166" s="426"><f>IF(I166&gt;=1,"Qcorrecto",IF(AND(AY166="aceptable",AZ166="aceptable",BA166="aceptable"),"Qcorrecto","Qincorrecto"))</f><v /></c><c r="AY166" s="427"><f>IF(AR166&lt;$AH$6,"error",IF(AR166&gt;$AH$6*1.1,"error","aceptable"))</f><v /></c><c r="AZ166" s="427"><f>IF(AF166&lt;$V$6,"error",IF(AF166&gt;$V$6*1.1,"error","aceptable"))</f><v /></c><c r="BA166" s="427"><f>IF(T166&lt;$J$6*0.9,"error",IF(T166&gt;$J$6,"error","aceptable"))</f><v /></c><c r="BB166" s="428"><f>(IF(ABS(U166)&lt;1.05,"CONFORME",IF(ABS(AG166)&lt;1.05,"CONFORME",IF(ABS(AS166)&lt;2.55,"CONFORME","NO CONFORME"))))</f><v /></c><c r="BC166" s="429"><f>(IF(ABS(U166)&gt;2.05,"NO CONFORME",IF(ABS(AG166)&gt;2.05,"NO CONFORME",IF(ABS(AS166)&gt;5.05,"NO CONFORME","CONFORME"))))</f><v /></c><c r="BD166" s="430"><f>SIGN(U166)</f><v /></c><c r="BE166" s="430"><f>SIGN(AG166)</f><v /></c><c r="BF166" s="430"><f>SIGN(AS166)</f><v /></c><c r="BG166" s="430"><f>CONCATENATE(BD166,BE166,BF166)</f><v /></c><c r="BH166" s="430"><f>IF(BG166="111","SI","SD")</f><v /></c><c r="BI166" s="430"><f>IF(BG166="-1-1-1","SI","SD")</f><v /></c><c r="BJ166" s="430"><f>OR(BH166="SI",BI166="SI")</f><v /></c><c r="BK166" s="430"><f>IF(BJ166=FALSE,"SIGDIFERENTES","SIGIGUALES")</f><v /></c><c r="BL166" s="427"><f>IF(BC166="NO CONFORME","NO CONFORME",IF(BB166="CONFORME","CONFORME","NO CONFORME"))</f><v /></c></row><row r="167" ht="15" customHeight="1" thickBot="1"><c r="A167" s="351" t="n"><v>159</v></c><c r="B167" s="386"><f>B166</f><v /></c><c r="C167" s="386"><f>C166</f><v /></c><c r="D167" s="387"><f>D166</f><v /></c><c r="E167" s="475"><f>E166</f><v /></c><c r="F167" s="58" t="n" /><c r="G167" s="300" t="inlineStr"><is><t>PA25517031</t></is></c><c r="H167" s="388"><f>H166</f><v /></c><c r="I167" s="232"><f>I166</f><v /></c><c r="J167" s="389" t="n"><v>20.1</v></c><c r="K167" s="390" t="n"><v>7.898</v></c><c r="L167" s="390" t="n"><v>0.554</v></c><c r="M167" s="356" t="n"><v>159.7</v></c><c r="N167" s="356" t="n"><v>259.75</v></c><c r="O167" s="391" t="n"><v>100.63</v></c><c r="P167" s="392" t="inlineStr"><is><t>2,29,980</t></is></c><c r="Q167" s="359"><f>LEFT(P167,1)</f><v /></c><c r="R167" s="359"><f>RIGHT(P167,6)</f><v /></c><c r="S167" s="359"><f>+(Q167*60+R167)/(60*60)</f><v /></c><c r="T167" s="360"><f>+O167/S167</f><v /></c><c r="U167" s="361"><f>+(((N167-M167-O167)/O167)*100)</f><v /></c><c r="V167" s="393" t="n"><v>20.4</v></c><c r="W167" s="394" t="n"><v>1.507</v></c><c r="X167" s="394" t="n"><v>1.504</v></c><c r="Y167" s="356" t="n"><v>265.52</v></c><c r="Z167" s="356" t="n"><v>275.47</v></c><c r="AA167" s="395" t="n"><v>10.019</v></c><c r="AB167" s="396" t="inlineStr"><is><t>22,13,560</t></is></c><c r="AC167" s="359"><f>LEFT(AB167,2)</f><v /></c><c r="AD167" s="359"><f>RIGHT(AB167,6)</f><v /></c><c r="AE167" s="359"><f>+(AC167*60+AD167)/(60*60)</f><v /></c><c r="AF167" s="360"><f>+AA167/AE167</f><v /></c><c r="AG167" s="362"><f>+(((Z167-Y167-AA167)/AA167)*100)</f><v /></c><c r="AH167" s="393" t="n"><v>20.5</v></c><c r="AI167" s="394" t="n"><v>1.505</v></c><c r="AJ167" s="394" t="n"><v>1.503</v></c><c r="AK167" s="356"><f>Z167</f><v /></c><c r="AL167" s="356" t="n"><v>280.5</v></c><c r="AM167" s="397" t="n"><v>5.018</v></c><c r="AN167" s="392" t="inlineStr"><is><t>18,00,000</t></is></c><c r="AO167" s="359"><f>LEFT(AN167,2)</f><v /></c><c r="AP167" s="359"><f>RIGHT(AN167,6)</f><v /></c><c r="AQ167" s="359"><f>+(AO167*60+AP167)/(60*60)</f><v /></c><c r="AR167" s="360"><f>+AM167/AQ167</f><v /></c><c r="AS167" s="362"><f>+(((AL167-AK167-AM167)/AM167)*100)</f><v /></c><c r="AT167" s="364"><f>IF(I167&gt;=1,"NO CONFORME",IF(BK167="SIGDIFERENTES",BC167,BL167))</f><v /></c><c r="AU167" s="365"><f>B167=C167</f><v /></c><c r="AV167" s="365"><f>N167&lt;Y167</f><v /></c><c r="AW167" s="365"><f>Z167&lt;=AK167</f><v /></c><c r="AX167" s="365"><f>IF(I167&gt;=1,"Qcorrecto",IF(AND(AY167="aceptable",AZ167="aceptable",BA167="aceptable"),"Qcorrecto","Qincorrecto"))</f><v /></c><c r="AY167" s="368"><f>IF(AR167&lt;$AH$6,"error",IF(AR167&gt;$AH$6*1.1,"error","aceptable"))</f><v /></c><c r="AZ167" s="368"><f>IF(AF167&lt;$V$6,"error",IF(AF167&gt;$V$6*1.1,"error","aceptable"))</f><v /></c><c r="BA167" s="368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7"><f>SIGN(U167)</f><v /></c><c r="BE167" s="367"><f>SIGN(AG167)</f><v /></c><c r="BF167" s="367"><f>SIGN(AS167)</f><v /></c><c r="BG167" s="367"><f>CONCATENATE(BD167,BE167,BF167)</f><v /></c><c r="BH167" s="367"><f>IF(BG167="111","SI","SD")</f><v /></c><c r="BI167" s="367"><f>IF(BG167="-1-1-1","SI","SD")</f><v /></c><c r="BJ167" s="367"><f>OR(BH167="SI",BI167="SI")</f><v /></c><c r="BK167" s="367"><f>IF(BJ167=FALSE,"SIGDIFERENTES","SIGIGUALES")</f><v /></c><c r="BL167" s="368"><f>IF(BC167="NO CONFORME","NO CONFORME",IF(BB167="CONFORME","CONFORME","NO CONFORME"))</f><v /></c></row><row r="168" ht="15" customHeight="1" thickBot="1"><c r="A168" s="451" t="n"><v>160</v></c><c r="B168" s="369"><f>B167</f><v /></c><c r="C168" s="369"><f>C167</f><v /></c><c r="D168" s="370"><f>D167</f><v /></c><c r="E168" s="371"><f>E167</f><v /></c><c r="F168" s="13" t="n" /><c r="G168" s="300" t="inlineStr"><is><t>PA25517032</t></is></c><c r="H168" s="313"><f>H167</f><v /></c><c r="I168" s="38"><f>I167</f><v /></c><c r="J168" s="314"><f>J167</f><v /></c><c r="K168" s="372"><f>K167</f><v /></c><c r="L168" s="372"><f>L167</f><v /></c><c r="M168" s="373" t="n"><v>198.9</v></c><c r="N168" s="373" t="n"><v>298.6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9"><f>W167</f><v /></c><c r="X168" s="379"><f>X167</f><v /></c><c r="Y168" s="373" t="n"><v>304.37</v></c><c r="Z168" s="373" t="n"><v>314.27</v></c><c r="AA168" s="380"><f>AA167</f><v /></c><c r="AB168" s="381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9"><f>AI167</f><v /></c><c r="AJ168" s="379"><f>AJ167</f><v /></c><c r="AK168" s="373"><f>Z168</f><v /></c><c r="AL168" s="373" t="n"><v>319.37</v></c><c r="AM168" s="382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3"><f>IF(I168&gt;=1,"NO CONFORME",IF(BK168="SIGDIFERENTES",BC168,BL168))</f><v /></c><c r="AU168" s="365"><f>B168=C168</f><v /></c><c r="AV168" s="365"><f>N168&lt;Y168</f><v /></c><c r="AW168" s="365"><f>Z168&lt;=AK168</f><v /></c><c r="AX168" s="365"><f>IF(I168&gt;=1,"Qcorrecto",IF(AND(AY168="aceptable",AZ168="aceptable",BA168="aceptable"),"Qcorrecto","Qincorrecto"))</f><v /></c><c r="AY168" s="366"><f>IF(AR168&lt;$AH$6,"error",IF(AR168&gt;$AH$6*1.1,"error","aceptable"))</f><v /></c><c r="AZ168" s="366"><f>IF(AF168&lt;$V$6,"error",IF(AF168&gt;$V$6*1.1,"error","aceptable"))</f><v /></c><c r="BA168" s="366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7"><f>SIGN(U168)</f><v /></c><c r="BE168" s="367"><f>SIGN(AG168)</f><v /></c><c r="BF168" s="367"><f>SIGN(AS168)</f><v /></c><c r="BG168" s="367"><f>CONCATENATE(BD168,BE168,BF168)</f><v /></c><c r="BH168" s="367"><f>IF(BG168="111","SI","SD")</f><v /></c><c r="BI168" s="367"><f>IF(BG168="-1-1-1","SI","SD")</f><v /></c><c r="BJ168" s="367"><f>OR(BH168="SI",BI168="SI")</f><v /></c><c r="BK168" s="367"><f>IF(BJ168=FALSE,"SIGDIFERENTES","SIGIGUALES")</f><v /></c><c r="BL168" s="366"><f>IF(BC168="NO CONFORME","NO CONFORME",IF(BB168="CONFORME","CONFORME","NO CONFORME"))</f><v /></c></row><row r="169" ht="15" customHeight="1" thickBot="1"><c r="A169" s="451" t="n"><v>161</v></c><c r="B169" s="369"><f>B168</f><v /></c><c r="C169" s="369"><f>C168</f><v /></c><c r="D169" s="370"><f>D168</f><v /></c><c r="E169" s="371"><f>E168</f><v /></c><c r="F169" s="13" t="n" /><c r="G169" s="300" t="inlineStr"><is><t>PA25517033</t></is></c><c r="H169" s="313"><f>H168</f><v /></c><c r="I169" s="38"><f>I168</f><v /></c><c r="J169" s="314"><f>J168</f><v /></c><c r="K169" s="372"><f>K168</f><v /></c><c r="L169" s="372"><f>L168</f><v /></c><c r="M169" s="373" t="n"><v>118.42</v></c><c r="N169" s="373" t="n"><v>217.8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9"><f>W168</f><v /></c><c r="X169" s="379"><f>X168</f><v /></c><c r="Y169" s="373" t="n"><v>223.6</v></c><c r="Z169" s="373" t="n"><v>233.5</v></c><c r="AA169" s="380"><f>AA168</f><v /></c><c r="AB169" s="381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9"><f>AI168</f><v /></c><c r="AJ169" s="379"><f>AJ168</f><v /></c><c r="AK169" s="373"><f>Z169</f><v /></c><c r="AL169" s="373" t="n"><v>238.54</v></c><c r="AM169" s="382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3"><f>IF(I169&gt;=1,"NO CONFORME",IF(BK169="SIGDIFERENTES",BC169,BL169))</f><v /></c><c r="AU169" s="365"><f>B169=C169</f><v /></c><c r="AV169" s="365"><f>N169&lt;Y169</f><v /></c><c r="AW169" s="365"><f>Z169&lt;=AK169</f><v /></c><c r="AX169" s="365"><f>IF(I169&gt;=1,"Qcorrecto",IF(AND(AY169="aceptable",AZ169="aceptable",BA169="aceptable"),"Qcorrecto","Qincorrecto"))</f><v /></c><c r="AY169" s="366"><f>IF(AR169&lt;$AH$6,"error",IF(AR169&gt;$AH$6*1.1,"error","aceptable"))</f><v /></c><c r="AZ169" s="366"><f>IF(AF169&lt;$V$6,"error",IF(AF169&gt;$V$6*1.1,"error","aceptable"))</f><v /></c><c r="BA169" s="366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7"><f>SIGN(U169)</f><v /></c><c r="BE169" s="367"><f>SIGN(AG169)</f><v /></c><c r="BF169" s="367"><f>SIGN(AS169)</f><v /></c><c r="BG169" s="367"><f>CONCATENATE(BD169,BE169,BF169)</f><v /></c><c r="BH169" s="367"><f>IF(BG169="111","SI","SD")</f><v /></c><c r="BI169" s="367"><f>IF(BG169="-1-1-1","SI","SD")</f><v /></c><c r="BJ169" s="367"><f>OR(BH169="SI",BI169="SI")</f><v /></c><c r="BK169" s="367"><f>IF(BJ169=FALSE,"SIGDIFERENTES","SIGIGUALES")</f><v /></c><c r="BL169" s="366"><f>IF(BC169="NO CONFORME","NO CONFORME",IF(BB169="CONFORME","CONFORME","NO CONFORME"))</f><v /></c></row><row r="170" ht="15" customHeight="1" thickBot="1"><c r="A170" s="451" t="n"><v>162</v></c><c r="B170" s="369"><f>B169</f><v /></c><c r="C170" s="369"><f>C169</f><v /></c><c r="D170" s="370"><f>D169</f><v /></c><c r="E170" s="371"><f>E169</f><v /></c><c r="F170" s="13" t="n" /><c r="G170" s="300" t="inlineStr"><is><t>PA25517034</t></is></c><c r="H170" s="313"><f>H169</f><v /></c><c r="I170" s="38"><f>I169</f><v /></c><c r="J170" s="314"><f>J169</f><v /></c><c r="K170" s="372"><f>K169</f><v /></c><c r="L170" s="372"><f>L169</f><v /></c><c r="M170" s="373" t="n"><v>156.82</v></c><c r="N170" s="373" t="n"><v>256.36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9"><f>W169</f><v /></c><c r="X170" s="379"><f>X169</f><v /></c><c r="Y170" s="373" t="n"><v>262.05</v></c><c r="Z170" s="373" t="n"><v>272.02</v></c><c r="AA170" s="380"><f>AA169</f><v /></c><c r="AB170" s="381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9"><f>AI169</f><v /></c><c r="AJ170" s="379"><f>AJ169</f><v /></c><c r="AK170" s="373"><f>Z170</f><v /></c><c r="AL170" s="373" t="n"><v>277.06</v></c><c r="AM170" s="382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3"><f>IF(I170&gt;=1,"NO CONFORME",IF(BK170="SIGDIFERENTES",BC170,BL170))</f><v /></c><c r="AU170" s="365"><f>B170=C170</f><v /></c><c r="AV170" s="365"><f>N170&lt;Y170</f><v /></c><c r="AW170" s="365"><f>Z170&lt;=AK170</f><v /></c><c r="AX170" s="365"><f>IF(I170&gt;=1,"Qcorrecto",IF(AND(AY170="aceptable",AZ170="aceptable",BA170="aceptable"),"Qcorrecto","Qincorrecto"))</f><v /></c><c r="AY170" s="366"><f>IF(AR170&lt;$AH$6,"error",IF(AR170&gt;$AH$6*1.1,"error","aceptable"))</f><v /></c><c r="AZ170" s="366"><f>IF(AF170&lt;$V$6,"error",IF(AF170&gt;$V$6*1.1,"error","aceptable"))</f><v /></c><c r="BA170" s="366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7"><f>SIGN(U170)</f><v /></c><c r="BE170" s="367"><f>SIGN(AG170)</f><v /></c><c r="BF170" s="367"><f>SIGN(AS170)</f><v /></c><c r="BG170" s="367"><f>CONCATENATE(BD170,BE170,BF170)</f><v /></c><c r="BH170" s="367"><f>IF(BG170="111","SI","SD")</f><v /></c><c r="BI170" s="367"><f>IF(BG170="-1-1-1","SI","SD")</f><v /></c><c r="BJ170" s="367"><f>OR(BH170="SI",BI170="SI")</f><v /></c><c r="BK170" s="367"><f>IF(BJ170=FALSE,"SIGDIFERENTES","SIGIGUALES")</f><v /></c><c r="BL170" s="366"><f>IF(BC170="NO CONFORME","NO CONFORME",IF(BB170="CONFORME","CONFORME","NO CONFORME"))</f><v /></c></row><row r="171" ht="15" customHeight="1" thickBot="1"><c r="A171" s="451" t="n"><v>163</v></c><c r="B171" s="369"><f>B170</f><v /></c><c r="C171" s="369"><f>C170</f><v /></c><c r="D171" s="370"><f>D170</f><v /></c><c r="E171" s="371"><f>E170</f><v /></c><c r="F171" s="13" t="n" /><c r="G171" s="300" t="inlineStr"><is><t>PA25517035</t></is></c><c r="H171" s="313"><f>H170</f><v /></c><c r="I171" s="38"><f>I170</f><v /></c><c r="J171" s="314"><f>J170</f><v /></c><c r="K171" s="372"><f>K170</f><v /></c><c r="L171" s="372"><f>L170</f><v /></c><c r="M171" s="373" t="n"><v>199.21</v></c><c r="N171" s="373" t="n"><v>299.26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9"><f>W170</f><v /></c><c r="X171" s="379"><f>X170</f><v /></c><c r="Y171" s="373" t="n"><v>305</v></c><c r="Z171" s="373" t="n"><v>315.01</v></c><c r="AA171" s="380"><f>AA170</f><v /></c><c r="AB171" s="381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9"><f>AI170</f><v /></c><c r="AJ171" s="379"><f>AJ170</f><v /></c><c r="AK171" s="373"><f>Z171</f><v /></c><c r="AL171" s="373" t="n"><v>320.06</v></c><c r="AM171" s="382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3"><f>IF(I171&gt;=1,"NO CONFORME",IF(BK171="SIGDIFERENTES",BC171,BL171))</f><v /></c><c r="AU171" s="365"><f>B171=C171</f><v /></c><c r="AV171" s="365"><f>N171&lt;Y171</f><v /></c><c r="AW171" s="365"><f>Z171&lt;=AK171</f><v /></c><c r="AX171" s="365"><f>IF(I171&gt;=1,"Qcorrecto",IF(AND(AY171="aceptable",AZ171="aceptable",BA171="aceptable"),"Qcorrecto","Qincorrecto"))</f><v /></c><c r="AY171" s="366"><f>IF(AR171&lt;$AH$6,"error",IF(AR171&gt;$AH$6*1.1,"error","aceptable"))</f><v /></c><c r="AZ171" s="366"><f>IF(AF171&lt;$V$6,"error",IF(AF171&gt;$V$6*1.1,"error","aceptable"))</f><v /></c><c r="BA171" s="366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7"><f>SIGN(U171)</f><v /></c><c r="BE171" s="367"><f>SIGN(AG171)</f><v /></c><c r="BF171" s="367"><f>SIGN(AS171)</f><v /></c><c r="BG171" s="367"><f>CONCATENATE(BD171,BE171,BF171)</f><v /></c><c r="BH171" s="367"><f>IF(BG171="111","SI","SD")</f><v /></c><c r="BI171" s="367"><f>IF(BG171="-1-1-1","SI","SD")</f><v /></c><c r="BJ171" s="367"><f>OR(BH171="SI",BI171="SI")</f><v /></c><c r="BK171" s="367"><f>IF(BJ171=FALSE,"SIGDIFERENTES","SIGIGUALES")</f><v /></c><c r="BL171" s="366"><f>IF(BC171="NO CONFORME","NO CONFORME",IF(BB171="CONFORME","CONFORME","NO CONFORME"))</f><v /></c></row><row r="172" ht="15.75" customHeight="1" thickBot="1"><c r="A172" s="451" t="n"><v>164</v></c><c r="B172" s="369"><f>B171</f><v /></c><c r="C172" s="369"><f>C171</f><v /></c><c r="D172" s="370"><f>D171</f><v /></c><c r="E172" s="371"><f>E171</f><v /></c><c r="F172" s="13" t="n" /><c r="G172" s="300" t="inlineStr"><is><t>PA25517036</t></is></c><c r="H172" s="313"><f>H171</f><v /></c><c r="I172" s="38"><f>I171</f><v /></c><c r="J172" s="314"><f>J171</f><v /></c><c r="K172" s="372"><f>K171</f><v /></c><c r="L172" s="372"><f>L171</f><v /></c><c r="M172" s="373" t="n"><v>120.72</v></c><c r="N172" s="373" t="n"><v>220.75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9"><f>W171</f><v /></c><c r="X172" s="379"><f>X171</f><v /></c><c r="Y172" s="373" t="n"><v>226.5</v></c><c r="Z172" s="373" t="n"><v>236.4</v></c><c r="AA172" s="380"><f>AA171</f><v /></c><c r="AB172" s="381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9"><f>AI171</f><v /></c><c r="AJ172" s="379"><f>AJ171</f><v /></c><c r="AK172" s="373"><f>Z172</f><v /></c><c r="AL172" s="373" t="n"><v>241.45</v></c><c r="AM172" s="382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3"><f>IF(I172&gt;=1,"NO CONFORME",IF(BK172="SIGDIFERENTES",BC172,BL172))</f><v /></c><c r="AU172" s="365"><f>B172=C172</f><v /></c><c r="AV172" s="365"><f>N172&lt;Y172</f><v /></c><c r="AW172" s="365"><f>Z172&lt;=AK172</f><v /></c><c r="AX172" s="365"><f>IF(I172&gt;=1,"Qcorrecto",IF(AND(AY172="aceptable",AZ172="aceptable",BA172="aceptable"),"Qcorrecto","Qincorrecto"))</f><v /></c><c r="AY172" s="366"><f>IF(AR172&lt;$AH$6,"error",IF(AR172&gt;$AH$6*1.1,"error","aceptable"))</f><v /></c><c r="AZ172" s="366"><f>IF(AF172&lt;$V$6,"error",IF(AF172&gt;$V$6*1.1,"error","aceptable"))</f><v /></c><c r="BA172" s="366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7"><f>SIGN(U172)</f><v /></c><c r="BE172" s="367"><f>SIGN(AG172)</f><v /></c><c r="BF172" s="367"><f>SIGN(AS172)</f><v /></c><c r="BG172" s="367"><f>CONCATENATE(BD172,BE172,BF172)</f><v /></c><c r="BH172" s="367"><f>IF(BG172="111","SI","SD")</f><v /></c><c r="BI172" s="367"><f>IF(BG172="-1-1-1","SI","SD")</f><v /></c><c r="BJ172" s="367"><f>OR(BH172="SI",BI172="SI")</f><v /></c><c r="BK172" s="367"><f>IF(BJ172=FALSE,"SIGDIFERENTES","SIGIGUALES")</f><v /></c><c r="BL172" s="366"><f>IF(BC172="NO CONFORME","NO CONFORME",IF(BB172="CONFORME","CONFORME","NO CONFORME"))</f><v /></c></row><row r="173" ht="15" customHeight="1" thickBot="1"><c r="A173" s="451" t="n"><v>165</v></c><c r="B173" s="369"><f>B172</f><v /></c><c r="C173" s="369"><f>C172</f><v /></c><c r="D173" s="370"><f>D172</f><v /></c><c r="E173" s="371"><f>E172</f><v /></c><c r="F173" s="13" t="n" /><c r="G173" s="300" t="inlineStr"><is><t>PA25517037</t></is></c><c r="H173" s="313"><f>H172</f><v /></c><c r="I173" s="38"><f>I172</f><v /></c><c r="J173" s="314"><f>J172</f><v /></c><c r="K173" s="372"><f>K172</f><v /></c><c r="L173" s="372"><f>L172</f><v /></c><c r="M173" s="373" t="n"><v>116.2</v></c><c r="N173" s="373" t="n"><v>215.75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9"><f>W172</f><v /></c><c r="X173" s="379"><f>X172</f><v /></c><c r="Y173" s="373" t="n"><v>221.44</v></c><c r="Z173" s="373" t="n"><v>231.35</v></c><c r="AA173" s="380"><f>AA172</f><v /></c><c r="AB173" s="381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9"><f>AI172</f><v /></c><c r="AJ173" s="379"><f>AJ172</f><v /></c><c r="AK173" s="373"><f>Z173</f><v /></c><c r="AL173" s="373" t="n"><v>236.37</v></c><c r="AM173" s="382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3"><f>IF(I173&gt;=1,"NO CONFORME",IF(BK173="SIGDIFERENTES",BC173,BL173))</f><v /></c><c r="AU173" s="365"><f>B173=C173</f><v /></c><c r="AV173" s="365"><f>N173&lt;Y173</f><v /></c><c r="AW173" s="365"><f>Z173&lt;=AK173</f><v /></c><c r="AX173" s="365"><f>IF(I173&gt;=1,"Qcorrecto",IF(AND(AY173="aceptable",AZ173="aceptable",BA173="aceptable"),"Qcorrecto","Qincorrecto"))</f><v /></c><c r="AY173" s="366"><f>IF(AR173&lt;$AH$6,"error",IF(AR173&gt;$AH$6*1.1,"error","aceptable"))</f><v /></c><c r="AZ173" s="366"><f>IF(AF173&lt;$V$6,"error",IF(AF173&gt;$V$6*1.1,"error","aceptable"))</f><v /></c><c r="BA173" s="366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7"><f>SIGN(U173)</f><v /></c><c r="BE173" s="367"><f>SIGN(AG173)</f><v /></c><c r="BF173" s="367"><f>SIGN(AS173)</f><v /></c><c r="BG173" s="367"><f>CONCATENATE(BD173,BE173,BF173)</f><v /></c><c r="BH173" s="367"><f>IF(BG173="111","SI","SD")</f><v /></c><c r="BI173" s="367"><f>IF(BG173="-1-1-1","SI","SD")</f><v /></c><c r="BJ173" s="367"><f>OR(BH173="SI",BI173="SI")</f><v /></c><c r="BK173" s="367"><f>IF(BJ173=FALSE,"SIGDIFERENTES","SIGIGUALES")</f><v /></c><c r="BL173" s="366"><f>IF(BC173="NO CONFORME","NO CONFORME",IF(BB173="CONFORME","CONFORME","NO CONFORME"))</f><v /></c></row><row r="174" ht="15" customHeight="1" thickBot="1"><c r="A174" s="451" t="n"><v>166</v></c><c r="B174" s="369"><f>B173</f><v /></c><c r="C174" s="369"><f>C173</f><v /></c><c r="D174" s="370"><f>D173</f><v /></c><c r="E174" s="371"><f>E173</f><v /></c><c r="F174" s="13" t="n" /><c r="G174" s="300" t="inlineStr"><is><t>PA25517038</t></is></c><c r="H174" s="313"><f>H173</f><v /></c><c r="I174" s="38"><f>I173</f><v /></c><c r="J174" s="314"><f>J173</f><v /></c><c r="K174" s="372"><f>K173</f><v /></c><c r="L174" s="372"><f>L173</f><v /></c><c r="M174" s="373" t="n"><v>117.64</v></c><c r="N174" s="373" t="n"><v>217.4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9"><f>W173</f><v /></c><c r="X174" s="379"><f>X173</f><v /></c><c r="Y174" s="373" t="n"><v>223.06</v></c><c r="Z174" s="373" t="n"><v>233</v></c><c r="AA174" s="380"><f>AA173</f><v /></c><c r="AB174" s="381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9"><f>AI173</f><v /></c><c r="AJ174" s="379"><f>AJ173</f><v /></c><c r="AK174" s="373"><f>Z174</f><v /></c><c r="AL174" s="373" t="n"><v>237.95</v></c><c r="AM174" s="382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3"><f>IF(I174&gt;=1,"NO CONFORME",IF(BK174="SIGDIFERENTES",BC174,BL174))</f><v /></c><c r="AU174" s="365"><f>B174=C174</f><v /></c><c r="AV174" s="365"><f>N174&lt;Y174</f><v /></c><c r="AW174" s="365"><f>Z174&lt;=AK174</f><v /></c><c r="AX174" s="365"><f>IF(I174&gt;=1,"Qcorrecto",IF(AND(AY174="aceptable",AZ174="aceptable",BA174="aceptable"),"Qcorrecto","Qincorrecto"))</f><v /></c><c r="AY174" s="366"><f>IF(AR174&lt;$AH$6,"error",IF(AR174&gt;$AH$6*1.1,"error","aceptable"))</f><v /></c><c r="AZ174" s="366"><f>IF(AF174&lt;$V$6,"error",IF(AF174&gt;$V$6*1.1,"error","aceptable"))</f><v /></c><c r="BA174" s="366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7"><f>SIGN(U174)</f><v /></c><c r="BE174" s="367"><f>SIGN(AG174)</f><v /></c><c r="BF174" s="367"><f>SIGN(AS174)</f><v /></c><c r="BG174" s="367"><f>CONCATENATE(BD174,BE174,BF174)</f><v /></c><c r="BH174" s="367"><f>IF(BG174="111","SI","SD")</f><v /></c><c r="BI174" s="367"><f>IF(BG174="-1-1-1","SI","SD")</f><v /></c><c r="BJ174" s="367"><f>OR(BH174="SI",BI174="SI")</f><v /></c><c r="BK174" s="367"><f>IF(BJ174=FALSE,"SIGDIFERENTES","SIGIGUALES")</f><v /></c><c r="BL174" s="366"><f>IF(BC174="NO CONFORME","NO CONFORME",IF(BB174="CONFORME","CONFORME","NO CONFORME"))</f><v /></c></row><row r="175" ht="15" customHeight="1" thickBot="1"><c r="A175" s="451" t="n"><v>167</v></c><c r="B175" s="369"><f>B174</f><v /></c><c r="C175" s="369"><f>C174</f><v /></c><c r="D175" s="370"><f>D174</f><v /></c><c r="E175" s="371"><f>E174</f><v /></c><c r="F175" s="13" t="n" /><c r="G175" s="300" t="inlineStr"><is><t>PA25517039</t></is></c><c r="H175" s="313"><f>H174</f><v /></c><c r="I175" s="38"><f>I174</f><v /></c><c r="J175" s="314"><f>J174</f><v /></c><c r="K175" s="372"><f>K174</f><v /></c><c r="L175" s="372"><f>L174</f><v /></c><c r="M175" s="373" t="n"><v>114.86</v></c><c r="N175" s="373" t="n"><v>213.6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9"><f>W174</f><v /></c><c r="X175" s="379"><f>X174</f><v /></c><c r="Y175" s="373" t="n"><v>219.35</v></c><c r="Z175" s="373" t="n"><v>229.27</v></c><c r="AA175" s="380"><f>AA174</f><v /></c><c r="AB175" s="381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9"><f>AI174</f><v /></c><c r="AJ175" s="379"><f>AJ174</f><v /></c><c r="AK175" s="373"><f>Z175</f><v /></c><c r="AL175" s="373" t="n"><v>234.27</v></c><c r="AM175" s="382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3"><f>IF(I175&gt;=1,"NO CONFORME",IF(BK175="SIGDIFERENTES",BC175,BL175))</f><v /></c><c r="AU175" s="365"><f>B175=C175</f><v /></c><c r="AV175" s="365"><f>N175&lt;Y175</f><v /></c><c r="AW175" s="365"><f>Z175&lt;=AK175</f><v /></c><c r="AX175" s="365"><f>IF(I175&gt;=1,"Qcorrecto",IF(AND(AY175="aceptable",AZ175="aceptable",BA175="aceptable"),"Qcorrecto","Qincorrecto"))</f><v /></c><c r="AY175" s="366"><f>IF(AR175&lt;$AH$6,"error",IF(AR175&gt;$AH$6*1.1,"error","aceptable"))</f><v /></c><c r="AZ175" s="366"><f>IF(AF175&lt;$V$6,"error",IF(AF175&gt;$V$6*1.1,"error","aceptable"))</f><v /></c><c r="BA175" s="366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7"><f>SIGN(U175)</f><v /></c><c r="BE175" s="367"><f>SIGN(AG175)</f><v /></c><c r="BF175" s="367"><f>SIGN(AS175)</f><v /></c><c r="BG175" s="367"><f>CONCATENATE(BD175,BE175,BF175)</f><v /></c><c r="BH175" s="367"><f>IF(BG175="111","SI","SD")</f><v /></c><c r="BI175" s="367"><f>IF(BG175="-1-1-1","SI","SD")</f><v /></c><c r="BJ175" s="367"><f>OR(BH175="SI",BI175="SI")</f><v /></c><c r="BK175" s="367"><f>IF(BJ175=FALSE,"SIGDIFERENTES","SIGIGUALES")</f><v /></c><c r="BL175" s="366"><f>IF(BC175="NO CONFORME","NO CONFORME",IF(BB175="CONFORME","CONFORME","NO CONFORME"))</f><v /></c></row><row r="176" ht="15" customHeight="1" thickBot="1"><c r="A176" s="473" t="n"><v>168</v></c><c r="B176" s="454"><f>B175</f><v /></c><c r="C176" s="454"><f>C175</f><v /></c><c r="D176" s="455"><f>D175</f><v /></c><c r="E176" s="474"><f>E175</f><v /></c><c r="F176" s="52" t="n" /><c r="G176" s="337" t="inlineStr"><is><t>PA25517040</t></is></c><c r="H176" s="326"><f>H175</f><v /></c><c r="I176" s="98"><f>I175</f><v /></c><c r="J176" s="327"><f>J175</f><v /></c><c r="K176" s="458"><f>K175</f><v /></c><c r="L176" s="458"><f>L175</f><v /></c><c r="M176" s="459" t="n"><v>156.65</v></c><c r="N176" s="459" t="n"><v>256.85</v></c><c r="O176" s="460"><f>O175</f><v /></c><c r="P176" s="461"><f>P175</f><v /></c><c r="Q176" s="462"><f>LEFT(P176,1)</f><v /></c><c r="R176" s="462"><f>RIGHT(P176,6)</f><v /></c><c r="S176" s="462"><f>+(Q176*60+R176)/(60*60)</f><v /></c><c r="T176" s="463"><f>+O176/S176</f><v /></c><c r="U176" s="464"><f>+(((N176-M176-O176)/O176)*100)</f><v /></c><c r="V176" s="329"><f>V175</f><v /></c><c r="W176" s="465"><f>W175</f><v /></c><c r="X176" s="465"><f>X175</f><v /></c><c r="Y176" s="459" t="n"><v>262.62</v></c><c r="Z176" s="459" t="n"><v>272.59</v></c><c r="AA176" s="466"><f>AA175</f><v /></c><c r="AB176" s="467"><f>AB175</f><v /></c><c r="AC176" s="462"><f>LEFT(AB176,2)</f><v /></c><c r="AD176" s="462"><f>RIGHT(AB176,6)</f><v /></c><c r="AE176" s="462"><f>+(AC176*60+AD176)/(60*60)</f><v /></c><c r="AF176" s="463"><f>+AA176/AE176</f><v /></c><c r="AG176" s="468"><f>+(((Z176-Y176-AA176)/AA176)*100)</f><v /></c><c r="AH176" s="329"><f>AH175</f><v /></c><c r="AI176" s="465"><f>AI175</f><v /></c><c r="AJ176" s="465"><f>AJ175</f><v /></c><c r="AK176" s="459"><f>Z176</f><v /></c><c r="AL176" s="459" t="n"><v>277.63</v></c><c r="AM176" s="469"><f>AM175</f><v /></c><c r="AN176" s="461"><f>AN175</f><v /></c><c r="AO176" s="462"><f>LEFT(AN176,2)</f><v /></c><c r="AP176" s="462"><f>RIGHT(AN176,6)</f><v /></c><c r="AQ176" s="462"><f>+(AO176*60+AP176)/(60*60)</f><v /></c><c r="AR176" s="463"><f>+AM176/AQ176</f><v /></c><c r="AS176" s="468"><f>+(((AL176-AK176-AM176)/AM176)*100)</f><v /></c><c r="AT176" s="470"><f>IF(I176&gt;=1,"NO CONFORME",IF(BK176="SIGDIFERENTES",BC176,BL176))</f><v /></c><c r="AU176" s="426"><f>B176=C176</f><v /></c><c r="AV176" s="426"><f>N176&lt;Y176</f><v /></c><c r="AW176" s="426"><f>Z176&lt;=AK176</f><v /></c><c r="AX176" s="426"><f>IF(I176&gt;=1,"Qcorrecto",IF(AND(AY176="aceptable",AZ176="aceptable",BA176="aceptable"),"Qcorrecto","Qincorrecto"))</f><v /></c><c r="AY176" s="427"><f>IF(AR176&lt;$AH$6,"error",IF(AR176&gt;$AH$6*1.1,"error","aceptable"))</f><v /></c><c r="AZ176" s="427"><f>IF(AF176&lt;$V$6,"error",IF(AF176&gt;$V$6*1.1,"error","aceptable"))</f><v /></c><c r="BA176" s="427"><f>IF(T176&lt;$J$6*0.9,"error",IF(T176&gt;$J$6,"error","aceptable"))</f><v /></c><c r="BB176" s="428"><f>(IF(ABS(U176)&lt;1.05,"CONFORME",IF(ABS(AG176)&lt;1.05,"CONFORME",IF(ABS(AS176)&lt;2.55,"CONFORME","NO CONFORME"))))</f><v /></c><c r="BC176" s="429"><f>(IF(ABS(U176)&gt;2.05,"NO CONFORME",IF(ABS(AG176)&gt;2.05,"NO CONFORME",IF(ABS(AS176)&gt;5.05,"NO CONFORME","CONFORME"))))</f><v /></c><c r="BD176" s="430"><f>SIGN(U176)</f><v /></c><c r="BE176" s="430"><f>SIGN(AG176)</f><v /></c><c r="BF176" s="430"><f>SIGN(AS176)</f><v /></c><c r="BG176" s="430"><f>CONCATENATE(BD176,BE176,BF176)</f><v /></c><c r="BH176" s="430"><f>IF(BG176="111","SI","SD")</f><v /></c><c r="BI176" s="430"><f>IF(BG176="-1-1-1","SI","SD")</f><v /></c><c r="BJ176" s="430"><f>OR(BH176="SI",BI176="SI")</f><v /></c><c r="BK176" s="430"><f>IF(BJ176=FALSE,"SIGDIFERENTES","SIGIGUALES")</f><v /></c><c r="BL176" s="427"><f>IF(BC176="NO CONFORME","NO CONFORME",IF(BB176="CONFORME","CONFORME","NO CONFORME"))</f><v /></c></row><row r="177" ht="15" customHeight="1" thickBot="1"><c r="A177" s="351" t="n"><v>169</v></c><c r="B177" s="352" t="n"><v>45920</v></c><c r="C177" s="352"><f>C176</f><v /></c><c r="D177" s="353" t="n"><v>4</v></c><c r="E177" s="354" t="n"><v>1</v></c><c r="F177" s="58" t="n" /><c r="G177" s="300" t="inlineStr"><is><t>PA25517266</t></is></c><c r="H177" s="301" t="n"><v>25.6</v></c><c r="I177" s="232" t="n"><v>0</v></c><c r="J177" s="302" t="n"><v>21.1</v></c><c r="K177" s="303" t="n"><v>8.315</v></c><c r="L177" s="303" t="n"><v>0.552</v></c><c r="M177" s="356" t="n"><v>178.22</v></c><c r="N177" s="356" t="n"><v>278.24</v></c><c r="O177" s="357" t="n"><v>100.4</v></c><c r="P177" s="358" t="inlineStr"><is><t>2,30,990</t></is></c><c r="Q177" s="359"><f>LEFT(P177,1)</f><v /></c><c r="R177" s="359"><f>RIGHT(P177,6)</f><v /></c><c r="S177" s="359"><f>+(Q177*60+R177)/(60*60)</f><v /></c><c r="T177" s="360"><f>+O177/S177</f><v /></c><c r="U177" s="361"><f>+(((N177-M177-O177)/O177)*100)</f><v /></c><c r="V177" s="306" t="n"><v>21.1</v></c><c r="W177" s="303" t="n"><v>1.391</v></c><c r="X177" s="303" t="n"><v>1.391</v></c><c r="Y177" s="356" t="n"><v>283.43</v></c><c r="Z177" s="356" t="n"><v>293.48</v></c><c r="AA177" s="308" t="n"><v>10.012</v></c><c r="AB177" s="358" t="inlineStr"><is><t>22,43,570</t></is></c><c r="AC177" s="359"><f>LEFT(AB177,2)</f><v /></c><c r="AD177" s="359"><f>RIGHT(AB177,6)</f><v /></c><c r="AE177" s="359"><f>+(AC177*60+AD177)/(60*60)</f><v /></c><c r="AF177" s="360"><f>+AA177/AE177</f><v /></c><c r="AG177" s="362"><f>+(((Z177-Y177-AA177)/AA177)*100)</f><v /></c><c r="AH177" s="306" t="n"><v>21.1</v></c><c r="AI177" s="303" t="n"><v>1.393</v></c><c r="AJ177" s="303" t="n"><v>1.39</v></c><c r="AK177" s="356"><f>Z177</f><v /></c><c r="AL177" s="356" t="n"><v>298.56</v></c><c r="AM177" s="363" t="n"><v>5.018</v></c><c r="AN177" s="358" t="inlineStr"><is><t>18,08,810</t></is></c><c r="AO177" s="359"><f>LEFT(AN177,2)</f><v /></c><c r="AP177" s="359"><f>RIGHT(AN177,6)</f><v /></c><c r="AQ177" s="359"><f>+(AO177*60+AP177)/(60*60)</f><v /></c><c r="AR177" s="360"><f>+AM177/AQ177</f><v /></c><c r="AS177" s="362"><f>+(((AL177-AK177-AM177)/AM177)*100)</f><v /></c><c r="AT177" s="364"><f>IF(I177&gt;=1,"NO CONFORME",IF(BK177="SIGDIFERENTES",BC177,BL177))</f><v /></c><c r="AU177" s="365"><f>B177=C177</f><v /></c><c r="AV177" s="365"><f>N177&lt;Y177</f><v /></c><c r="AW177" s="365"><f>Z177&lt;=AK177</f><v /></c><c r="AX177" s="365"><f>IF(I177&gt;=1,"Qcorrecto",IF(AND(AY177="aceptable",AZ177="aceptable",BA177="aceptable"),"Qcorrecto","Qincorrecto"))</f><v /></c><c r="AY177" s="366"><f>IF(AR177&lt;$AH$6,"error",IF(AR177&gt;$AH$6*1.1,"error","aceptable"))</f><v /></c><c r="AZ177" s="366"><f>IF(AF177&lt;$V$6,"error",IF(AF177&gt;$V$6*1.1,"error","aceptable"))</f><v /></c><c r="BA177" s="366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7"><f>SIGN(U177)</f><v /></c><c r="BE177" s="367"><f>SIGN(AG177)</f><v /></c><c r="BF177" s="367"><f>SIGN(AS177)</f><v /></c><c r="BG177" s="367"><f>CONCATENATE(BD177,BE177,BF177)</f><v /></c><c r="BH177" s="367"><f>IF(BG177="111","SI","SD")</f><v /></c><c r="BI177" s="367"><f>IF(BG177="-1-1-1","SI","SD")</f><v /></c><c r="BJ177" s="367"><f>OR(BH177="SI",BI177="SI")</f><v /></c><c r="BK177" s="367"><f>IF(BJ177=FALSE,"SIGDIFERENTES","SIGIGUALES")</f><v /></c><c r="BL177" s="368"><f>IF(BC177="NO CONFORME","NO CONFORME",IF(BB177="CONFORME","CONFORME","NO CONFORME"))</f><v /></c></row><row r="178" ht="15" customHeight="1" thickBot="1"><c r="A178" s="451" t="n"><v>170</v></c><c r="B178" s="369"><f>B177</f><v /></c><c r="C178" s="369"><f>C177</f><v /></c><c r="D178" s="370"><f>D177</f><v /></c><c r="E178" s="371"><f>E177</f><v /></c><c r="F178" s="13" t="n" /><c r="G178" s="300" t="inlineStr"><is><t>PA25517267</t></is></c><c r="H178" s="313"><f>H177</f><v /></c><c r="I178" s="38"><f>I177</f><v /></c><c r="J178" s="314"><f>J177</f><v /></c><c r="K178" s="372"><f>K177</f><v /></c><c r="L178" s="372"><f>L177</f><v /></c><c r="M178" s="373" t="n"><v>177.58</v></c><c r="N178" s="373" t="n"><v>277.2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282.38</v></c><c r="Z178" s="373" t="n"><v>292.4</v></c><c r="AA178" s="380"><f>AA177</f><v /></c><c r="AB178" s="381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297.48</v></c><c r="AM178" s="382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3"><f>IF(I178&gt;=1,"NO CONFORME",IF(BK178="SIGDIFERENTES",BC178,BL178))</f><v /></c><c r="AU178" s="365"><f>B178=C178</f><v /></c><c r="AV178" s="365"><f>N178&lt;Y178</f><v /></c><c r="AW178" s="365"><f>Z178&lt;=AK178</f><v /></c><c r="AX178" s="365"><f>IF(I178&gt;=1,"Qcorrecto",IF(AND(AY178="aceptable",AZ178="aceptable",BA178="aceptable"),"Qcorrecto","Qincorrecto"))</f><v /></c><c r="AY178" s="366"><f>IF(AR178&lt;$AH$6,"error",IF(AR178&gt;$AH$6*1.1,"error","aceptable"))</f><v /></c><c r="AZ178" s="366"><f>IF(AF178&lt;$V$6,"error",IF(AF178&gt;$V$6*1.1,"error","aceptable"))</f><v /></c><c r="BA178" s="366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7"><f>SIGN(U178)</f><v /></c><c r="BE178" s="367"><f>SIGN(AG178)</f><v /></c><c r="BF178" s="367"><f>SIGN(AS178)</f><v /></c><c r="BG178" s="367"><f>CONCATENATE(BD178,BE178,BF178)</f><v /></c><c r="BH178" s="367"><f>IF(BG178="111","SI","SD")</f><v /></c><c r="BI178" s="367"><f>IF(BG178="-1-1-1","SI","SD")</f><v /></c><c r="BJ178" s="367"><f>OR(BH178="SI",BI178="SI")</f><v /></c><c r="BK178" s="367"><f>IF(BJ178=FALSE,"SIGDIFERENTES","SIGIGUALES")</f><v /></c><c r="BL178" s="366"><f>IF(BC178="NO CONFORME","NO CONFORME",IF(BB178="CONFORME","CONFORME","NO CONFORME"))</f><v /></c></row><row r="179" ht="15" customHeight="1" thickBot="1"><c r="A179" s="451" t="n"><v>171</v></c><c r="B179" s="369"><f>B178</f><v /></c><c r="C179" s="369"><f>C178</f><v /></c><c r="D179" s="370"><f>D178</f><v /></c><c r="E179" s="371"><f>E178</f><v /></c><c r="F179" s="13" t="n" /><c r="G179" s="300" t="inlineStr"><is><t>PA25517268</t></is></c><c r="H179" s="313"><f>H178</f><v /></c><c r="I179" s="38"><f>I178</f><v /></c><c r="J179" s="314"><f>J178</f><v /></c><c r="K179" s="372"><f>K178</f><v /></c><c r="L179" s="372"><f>L178</f><v /></c><c r="M179" s="373" t="n"><v>138.37</v></c><c r="N179" s="373" t="n"><v>237.96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243.14</v></c><c r="Z179" s="373" t="n"><v>253.16</v></c><c r="AA179" s="380"><f>AA178</f><v /></c><c r="AB179" s="381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258.22</v></c><c r="AM179" s="382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3"><f>IF(I179&gt;=1,"NO CONFORME",IF(BK179="SIGDIFERENTES",BC179,BL179))</f><v /></c><c r="AU179" s="365"><f>B179=C179</f><v /></c><c r="AV179" s="365"><f>N179&lt;Y179</f><v /></c><c r="AW179" s="365"><f>Z179&lt;=AK179</f><v /></c><c r="AX179" s="365"><f>IF(I179&gt;=1,"Qcorrecto",IF(AND(AY179="aceptable",AZ179="aceptable",BA179="aceptable"),"Qcorrecto","Qincorrecto"))</f><v /></c><c r="AY179" s="366"><f>IF(AR179&lt;$AH$6,"error",IF(AR179&gt;$AH$6*1.1,"error","aceptable"))</f><v /></c><c r="AZ179" s="366"><f>IF(AF179&lt;$V$6,"error",IF(AF179&gt;$V$6*1.1,"error","aceptable"))</f><v /></c><c r="BA179" s="366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7"><f>SIGN(U179)</f><v /></c><c r="BE179" s="367"><f>SIGN(AG179)</f><v /></c><c r="BF179" s="367"><f>SIGN(AS179)</f><v /></c><c r="BG179" s="367"><f>CONCATENATE(BD179,BE179,BF179)</f><v /></c><c r="BH179" s="367"><f>IF(BG179="111","SI","SD")</f><v /></c><c r="BI179" s="367"><f>IF(BG179="-1-1-1","SI","SD")</f><v /></c><c r="BJ179" s="367"><f>OR(BH179="SI",BI179="SI")</f><v /></c><c r="BK179" s="367"><f>IF(BJ179=FALSE,"SIGDIFERENTES","SIGIGUALES")</f><v /></c><c r="BL179" s="366"><f>IF(BC179="NO CONFORME","NO CONFORME",IF(BB179="CONFORME","CONFORME","NO CONFORME"))</f><v /></c></row><row r="180" ht="15" customHeight="1" thickBot="1"><c r="A180" s="451" t="n"><v>172</v></c><c r="B180" s="369"><f>B179</f><v /></c><c r="C180" s="369"><f>C179</f><v /></c><c r="D180" s="370"><f>D179</f><v /></c><c r="E180" s="371"><f>E179</f><v /></c><c r="F180" s="13" t="n" /><c r="G180" s="300" t="inlineStr"><is><t>PA25517269</t></is></c><c r="H180" s="313"><f>H179</f><v /></c><c r="I180" s="38"><f>I179</f><v /></c><c r="J180" s="314"><f>J179</f><v /></c><c r="K180" s="372"><f>K179</f><v /></c><c r="L180" s="372"><f>L179</f><v /></c><c r="M180" s="373" t="n"><v>176.19</v></c><c r="N180" s="373" t="n"><v>276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281.16</v></c><c r="Z180" s="373" t="n"><v>291.18</v></c><c r="AA180" s="380"><f>AA179</f><v /></c><c r="AB180" s="381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296.25</v></c><c r="AM180" s="382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3"><f>IF(I180&gt;=1,"NO CONFORME",IF(BK180="SIGDIFERENTES",BC180,BL180))</f><v /></c><c r="AU180" s="365"><f>B180=C180</f><v /></c><c r="AV180" s="365"><f>N180&lt;Y180</f><v /></c><c r="AW180" s="365"><f>Z180&lt;=AK180</f><v /></c><c r="AX180" s="365"><f>IF(I180&gt;=1,"Qcorrecto",IF(AND(AY180="aceptable",AZ180="aceptable",BA180="aceptable"),"Qcorrecto","Qincorrecto"))</f><v /></c><c r="AY180" s="366"><f>IF(AR180&lt;$AH$6,"error",IF(AR180&gt;$AH$6*1.1,"error","aceptable"))</f><v /></c><c r="AZ180" s="366"><f>IF(AF180&lt;$V$6,"error",IF(AF180&gt;$V$6*1.1,"error","aceptable"))</f><v /></c><c r="BA180" s="366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7"><f>SIGN(U180)</f><v /></c><c r="BE180" s="367"><f>SIGN(AG180)</f><v /></c><c r="BF180" s="367"><f>SIGN(AS180)</f><v /></c><c r="BG180" s="367"><f>CONCATENATE(BD180,BE180,BF180)</f><v /></c><c r="BH180" s="367"><f>IF(BG180="111","SI","SD")</f><v /></c><c r="BI180" s="367"><f>IF(BG180="-1-1-1","SI","SD")</f><v /></c><c r="BJ180" s="367"><f>OR(BH180="SI",BI180="SI")</f><v /></c><c r="BK180" s="367"><f>IF(BJ180=FALSE,"SIGDIFERENTES","SIGIGUALES")</f><v /></c><c r="BL180" s="366"><f>IF(BC180="NO CONFORME","NO CONFORME",IF(BB180="CONFORME","CONFORME","NO CONFORME"))</f><v /></c></row><row r="181" ht="15" customHeight="1" thickBot="1"><c r="A181" s="451" t="n"><v>173</v></c><c r="B181" s="369"><f>B180</f><v /></c><c r="C181" s="369"><f>C180</f><v /></c><c r="D181" s="370"><f>D180</f><v /></c><c r="E181" s="371"><f>E180</f><v /></c><c r="F181" s="13" t="n" /><c r="G181" s="300" t="inlineStr"><is><t>PA25517270</t></is></c><c r="H181" s="313"><f>H180</f><v /></c><c r="I181" s="38"><f>I180</f><v /></c><c r="J181" s="314"><f>J180</f><v /></c><c r="K181" s="372"><f>K180</f><v /></c><c r="L181" s="372"><f>L180</f><v /></c><c r="M181" s="373" t="n"><v>136.3</v></c><c r="N181" s="373" t="n"><v>236.21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241.39</v></c><c r="Z181" s="373" t="n"><v>251.48</v></c><c r="AA181" s="380"><f>AA180</f><v /></c><c r="AB181" s="381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256.58</v></c><c r="AM181" s="382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3"><f>IF(I181&gt;=1,"NO CONFORME",IF(BK181="SIGDIFERENTES",BC181,BL181))</f><v /></c><c r="AU181" s="365"><f>B181=C181</f><v /></c><c r="AV181" s="365"><f>N181&lt;Y181</f><v /></c><c r="AW181" s="365"><f>Z181&lt;=AK181</f><v /></c><c r="AX181" s="365"><f>IF(I181&gt;=1,"Qcorrecto",IF(AND(AY181="aceptable",AZ181="aceptable",BA181="aceptable"),"Qcorrecto","Qincorrecto"))</f><v /></c><c r="AY181" s="366"><f>IF(AR181&lt;$AH$6,"error",IF(AR181&gt;$AH$6*1.1,"error","aceptable"))</f><v /></c><c r="AZ181" s="366"><f>IF(AF181&lt;$V$6,"error",IF(AF181&gt;$V$6*1.1,"error","aceptable"))</f><v /></c><c r="BA181" s="366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7"><f>SIGN(U181)</f><v /></c><c r="BE181" s="367"><f>SIGN(AG181)</f><v /></c><c r="BF181" s="367"><f>SIGN(AS181)</f><v /></c><c r="BG181" s="367"><f>CONCATENATE(BD181,BE181,BF181)</f><v /></c><c r="BH181" s="367"><f>IF(BG181="111","SI","SD")</f><v /></c><c r="BI181" s="367"><f>IF(BG181="-1-1-1","SI","SD")</f><v /></c><c r="BJ181" s="367"><f>OR(BH181="SI",BI181="SI")</f><v /></c><c r="BK181" s="367"><f>IF(BJ181=FALSE,"SIGDIFERENTES","SIGIGUALES")</f><v /></c><c r="BL181" s="366"><f>IF(BC181="NO CONFORME","NO CONFORME",IF(BB181="CONFORME","CONFORME","NO CONFORME"))</f><v /></c></row><row r="182" ht="15" customHeight="1" thickBot="1"><c r="A182" s="451" t="n"><v>174</v></c><c r="B182" s="369"><f>B181</f><v /></c><c r="C182" s="369"><f>C181</f><v /></c><c r="D182" s="370"><f>D181</f><v /></c><c r="E182" s="371"><f>E181</f><v /></c><c r="F182" s="13" t="n" /><c r="G182" s="300" t="inlineStr"><is><t>PA25517271</t></is></c><c r="H182" s="313"><f>H181</f><v /></c><c r="I182" s="38"><f>I181</f><v /></c><c r="J182" s="314"><f>J181</f><v /></c><c r="K182" s="372"><f>K181</f><v /></c><c r="L182" s="372"><f>L181</f><v /></c><c r="M182" s="373" t="n"><v>138.16</v></c><c r="N182" s="373" t="n"><v>237.68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242.84</v></c><c r="Z182" s="373" t="n"><v>252.91</v></c><c r="AA182" s="380"><f>AA181</f><v /></c><c r="AB182" s="381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258.02</v></c><c r="AM182" s="382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3"><f>IF(I182&gt;=1,"NO CONFORME",IF(BK182="SIGDIFERENTES",BC182,BL182))</f><v /></c><c r="AU182" s="365"><f>B182=C182</f><v /></c><c r="AV182" s="365"><f>N182&lt;Y182</f><v /></c><c r="AW182" s="365"><f>Z182&lt;=AK182</f><v /></c><c r="AX182" s="365"><f>IF(I182&gt;=1,"Qcorrecto",IF(AND(AY182="aceptable",AZ182="aceptable",BA182="aceptable"),"Qcorrecto","Qincorrecto"))</f><v /></c><c r="AY182" s="366"><f>IF(AR182&lt;$AH$6,"error",IF(AR182&gt;$AH$6*1.1,"error","aceptable"))</f><v /></c><c r="AZ182" s="366"><f>IF(AF182&lt;$V$6,"error",IF(AF182&gt;$V$6*1.1,"error","aceptable"))</f><v /></c><c r="BA182" s="366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7"><f>SIGN(U182)</f><v /></c><c r="BE182" s="367"><f>SIGN(AG182)</f><v /></c><c r="BF182" s="367"><f>SIGN(AS182)</f><v /></c><c r="BG182" s="367"><f>CONCATENATE(BD182,BE182,BF182)</f><v /></c><c r="BH182" s="367"><f>IF(BG182="111","SI","SD")</f><v /></c><c r="BI182" s="367"><f>IF(BG182="-1-1-1","SI","SD")</f><v /></c><c r="BJ182" s="367"><f>OR(BH182="SI",BI182="SI")</f><v /></c><c r="BK182" s="367"><f>IF(BJ182=FALSE,"SIGDIFERENTES","SIGIGUALES")</f><v /></c><c r="BL182" s="366"><f>IF(BC182="NO CONFORME","NO CONFORME",IF(BB182="CONFORME","CONFORME","NO CONFORME"))</f><v /></c></row><row r="183" ht="15" customHeight="1" thickBot="1"><c r="A183" s="451" t="n"><v>175</v></c><c r="B183" s="369"><f>B182</f><v /></c><c r="C183" s="369"><f>C182</f><v /></c><c r="D183" s="370"><f>D182</f><v /></c><c r="E183" s="371"><f>E182</f><v /></c><c r="F183" s="13" t="n" /><c r="G183" s="300" t="inlineStr"><is><t>PA25517272</t></is></c><c r="H183" s="313"><f>H182</f><v /></c><c r="I183" s="38"><f>I182</f><v /></c><c r="J183" s="314"><f>J182</f><v /></c><c r="K183" s="372"><f>K182</f><v /></c><c r="L183" s="372"><f>L182</f><v /></c><c r="M183" s="373" t="n"><v>181.83</v></c><c r="N183" s="373" t="n"><v>281.62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286.82</v></c><c r="Z183" s="373" t="n"><v>296.83</v></c><c r="AA183" s="380"><f>AA182</f><v /></c><c r="AB183" s="381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301.89</v></c><c r="AM183" s="382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3"><f>IF(I183&gt;=1,"NO CONFORME",IF(BK183="SIGDIFERENTES",BC183,BL183))</f><v /></c><c r="AU183" s="365"><f>B183=C183</f><v /></c><c r="AV183" s="365"><f>N183&lt;Y183</f><v /></c><c r="AW183" s="365"><f>Z183&lt;=AK183</f><v /></c><c r="AX183" s="365"><f>IF(I183&gt;=1,"Qcorrecto",IF(AND(AY183="aceptable",AZ183="aceptable",BA183="aceptable"),"Qcorrecto","Qincorrecto"))</f><v /></c><c r="AY183" s="366"><f>IF(AR183&lt;$AH$6,"error",IF(AR183&gt;$AH$6*1.1,"error","aceptable"))</f><v /></c><c r="AZ183" s="366"><f>IF(AF183&lt;$V$6,"error",IF(AF183&gt;$V$6*1.1,"error","aceptable"))</f><v /></c><c r="BA183" s="366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7"><f>SIGN(U183)</f><v /></c><c r="BE183" s="367"><f>SIGN(AG183)</f><v /></c><c r="BF183" s="367"><f>SIGN(AS183)</f><v /></c><c r="BG183" s="367"><f>CONCATENATE(BD183,BE183,BF183)</f><v /></c><c r="BH183" s="367"><f>IF(BG183="111","SI","SD")</f><v /></c><c r="BI183" s="367"><f>IF(BG183="-1-1-1","SI","SD")</f><v /></c><c r="BJ183" s="367"><f>OR(BH183="SI",BI183="SI")</f><v /></c><c r="BK183" s="367"><f>IF(BJ183=FALSE,"SIGDIFERENTES","SIGIGUALES")</f><v /></c><c r="BL183" s="366"><f>IF(BC183="NO CONFORME","NO CONFORME",IF(BB183="CONFORME","CONFORME","NO CONFORME"))</f><v /></c></row><row r="184" ht="15" customHeight="1" thickBot="1"><c r="A184" s="473" t="n"><v>176</v></c><c r="B184" s="454"><f>B183</f><v /></c><c r="C184" s="454"><f>C183</f><v /></c><c r="D184" s="455"><f>D183</f><v /></c><c r="E184" s="474"><f>E183</f><v /></c><c r="F184" s="52" t="n" /><c r="G184" s="337" t="inlineStr"><is><t>PA25517273</t></is></c><c r="H184" s="326"><f>H183</f><v /></c><c r="I184" s="98"><f>I183</f><v /></c><c r="J184" s="327"><f>J183</f><v /></c><c r="K184" s="458"><f>K183</f><v /></c><c r="L184" s="458"><f>L183</f><v /></c><c r="M184" s="459" t="n"><v>137.29</v></c><c r="N184" s="459" t="n"><v>237.69</v></c><c r="O184" s="460"><f>O183</f><v /></c><c r="P184" s="461"><f>P183</f><v /></c><c r="Q184" s="462"><f>LEFT(P184,1)</f><v /></c><c r="R184" s="462"><f>RIGHT(P184,6)</f><v /></c><c r="S184" s="462"><f>+(Q184*60+R184)/(60*60)</f><v /></c><c r="T184" s="463"><f>+O184/S184</f><v /></c><c r="U184" s="464"><f>+(((N184-M184-O184)/O184)*100)</f><v /></c><c r="V184" s="329"><f>V183</f><v /></c><c r="W184" s="458"><f>W183</f><v /></c><c r="X184" s="458"><f>X183</f><v /></c><c r="Y184" s="459" t="n"><v>242.89</v></c><c r="Z184" s="459" t="n"><v>252.98</v></c><c r="AA184" s="466"><f>AA183</f><v /></c><c r="AB184" s="467"><f>AB183</f><v /></c><c r="AC184" s="462"><f>LEFT(AB184,2)</f><v /></c><c r="AD184" s="462"><f>RIGHT(AB184,6)</f><v /></c><c r="AE184" s="462"><f>+(AC184*60+AD184)/(60*60)</f><v /></c><c r="AF184" s="463"><f>+AA184/AE184</f><v /></c><c r="AG184" s="468"><f>+(((Z184-Y184-AA184)/AA184)*100)</f><v /></c><c r="AH184" s="329"><f>AH183</f><v /></c><c r="AI184" s="458"><f>AI183</f><v /></c><c r="AJ184" s="458"><f>AJ183</f><v /></c><c r="AK184" s="459"><f>Z184</f><v /></c><c r="AL184" s="459" t="n"><v>258.1</v></c><c r="AM184" s="469"><f>AM183</f><v /></c><c r="AN184" s="461"><f>AN183</f><v /></c><c r="AO184" s="462"><f>LEFT(AN184,2)</f><v /></c><c r="AP184" s="462"><f>RIGHT(AN184,6)</f><v /></c><c r="AQ184" s="462"><f>+(AO184*60+AP184)/(60*60)</f><v /></c><c r="AR184" s="463"><f>+AM184/AQ184</f><v /></c><c r="AS184" s="468"><f>+(((AL184-AK184-AM184)/AM184)*100)</f><v /></c><c r="AT184" s="470"><f>IF(I184&gt;=1,"NO CONFORME",IF(BK184="SIGDIFERENTES",BC184,BL184))</f><v /></c><c r="AU184" s="426"><f>B184=C184</f><v /></c><c r="AV184" s="426"><f>N184&lt;Y184</f><v /></c><c r="AW184" s="426"><f>Z184&lt;=AK184</f><v /></c><c r="AX184" s="426"><f>IF(I184&gt;=1,"Qcorrecto",IF(AND(AY184="aceptable",AZ184="aceptable",BA184="aceptable"),"Qcorrecto","Qincorrecto"))</f><v /></c><c r="AY184" s="427"><f>IF(AR184&lt;$AH$6,"error",IF(AR184&gt;$AH$6*1.1,"error","aceptable"))</f><v /></c><c r="AZ184" s="427"><f>IF(AF184&lt;$V$6,"error",IF(AF184&gt;$V$6*1.1,"error","aceptable"))</f><v /></c><c r="BA184" s="427"><f>IF(T184&lt;$J$6*0.9,"error",IF(T184&gt;$J$6,"error","aceptable"))</f><v /></c><c r="BB184" s="428"><f>(IF(ABS(U184)&lt;1.05,"CONFORME",IF(ABS(AG184)&lt;1.05,"CONFORME",IF(ABS(AS184)&lt;2.55,"CONFORME","NO CONFORME"))))</f><v /></c><c r="BC184" s="429"><f>(IF(ABS(U184)&gt;2.05,"NO CONFORME",IF(ABS(AG184)&gt;2.05,"NO CONFORME",IF(ABS(AS184)&gt;5.05,"NO CONFORME","CONFORME"))))</f><v /></c><c r="BD184" s="430"><f>SIGN(U184)</f><v /></c><c r="BE184" s="430"><f>SIGN(AG184)</f><v /></c><c r="BF184" s="430"><f>SIGN(AS184)</f><v /></c><c r="BG184" s="430"><f>CONCATENATE(BD184,BE184,BF184)</f><v /></c><c r="BH184" s="430"><f>IF(BG184="111","SI","SD")</f><v /></c><c r="BI184" s="430"><f>IF(BG184="-1-1-1","SI","SD")</f><v /></c><c r="BJ184" s="430"><f>OR(BH184="SI",BI184="SI")</f><v /></c><c r="BK184" s="430"><f>IF(BJ184=FALSE,"SIGDIFERENTES","SIGIGUALES")</f><v /></c><c r="BL184" s="427"><f>IF(BC184="NO CONFORME","NO CONFORME",IF(BB184="CONFORME","CONFORME","NO CONFORME"))</f><v /></c></row><row r="185" ht="15" customHeight="1" thickBot="1"><c r="A185" s="351" t="n"><v>177</v></c><c r="B185" s="386"><f>B184</f><v /></c><c r="C185" s="386"><f>C184</f><v /></c><c r="D185" s="387"><f>D184</f><v /></c><c r="E185" s="475"><f>E184</f><v /></c><c r="F185" s="58" t="n" /><c r="G185" s="300" t="inlineStr"><is><t>PA25517274</t></is></c><c r="H185" s="388"><f>H184</f><v /></c><c r="I185" s="232"><f>I184</f><v /></c><c r="J185" s="389" t="n"><v>21</v></c><c r="K185" s="390" t="n"><v>8.313000000000001</v></c><c r="L185" s="390" t="n"><v>0.539</v></c><c r="M185" s="356" t="n"><v>91.59999999999999</v></c><c r="N185" s="356" t="n"><v>190.98</v></c><c r="O185" s="391" t="n"><v>100.45</v></c><c r="P185" s="392" t="inlineStr"><is><t>2,30,120</t></is></c><c r="Q185" s="359"><f>LEFT(P185,1)</f><v /></c><c r="R185" s="359"><f>RIGHT(P185,6)</f><v /></c><c r="S185" s="359"><f>+(Q185*60+R185)/(60*60)</f><v /></c><c r="T185" s="360"><f>+O185/S185</f><v /></c><c r="U185" s="361"><f>+(((N185-M185-O185)/O185)*100)</f><v /></c><c r="V185" s="393" t="n"><v>21.1</v></c><c r="W185" s="390" t="n"><v>1.401</v></c><c r="X185" s="390" t="n"><v>1.402</v></c><c r="Y185" s="356" t="n"><v>199.03</v></c><c r="Z185" s="356" t="n"><v>209.02</v></c><c r="AA185" s="395" t="n"><v>10.038</v></c><c r="AB185" s="396" t="inlineStr"><is><t>22,42,720</t></is></c><c r="AC185" s="359"><f>LEFT(AB185,2)</f><v /></c><c r="AD185" s="359"><f>RIGHT(AB185,6)</f><v /></c><c r="AE185" s="359"><f>+(AC185*60+AD185)/(60*60)</f><v /></c><c r="AF185" s="360"><f>+AA185/AE185</f><v /></c><c r="AG185" s="362"><f>+(((Z185-Y185-AA185)/AA185)*100)</f><v /></c><c r="AH185" s="393" t="n"><v>21</v></c><c r="AI185" s="390" t="n"><v>1.4</v></c><c r="AJ185" s="390" t="n"><v>1.399</v></c><c r="AK185" s="356"><f>Z185</f><v /></c><c r="AL185" s="356" t="n"><v>214.05</v></c><c r="AM185" s="397" t="n"><v>5.05</v></c><c r="AN185" s="392" t="inlineStr"><is><t>18,10,810</t></is></c><c r="AO185" s="359"><f>LEFT(AN185,2)</f><v /></c><c r="AP185" s="359"><f>RIGHT(AN185,6)</f><v /></c><c r="AQ185" s="359"><f>+(AO185*60+AP185)/(60*60)</f><v /></c><c r="AR185" s="360"><f>+AM185/AQ185</f><v /></c><c r="AS185" s="362"><f>+(((AL185-AK185-AM185)/AM185)*100)</f><v /></c><c r="AT185" s="364"><f>IF(I185&gt;=1,"NO CONFORME",IF(BK185="SIGDIFERENTES",BC185,BL185))</f><v /></c><c r="AU185" s="365"><f>B185=C185</f><v /></c><c r="AV185" s="365"><f>N185&lt;Y185</f><v /></c><c r="AW185" s="365"><f>Z185&lt;=AK185</f><v /></c><c r="AX185" s="365"><f>IF(I185&gt;=1,"Qcorrecto",IF(AND(AY185="aceptable",AZ185="aceptable",BA185="aceptable"),"Qcorrecto","Qincorrecto"))</f><v /></c><c r="AY185" s="368"><f>IF(AR185&lt;$AH$6,"error",IF(AR185&gt;$AH$6*1.1,"error","aceptable"))</f><v /></c><c r="AZ185" s="368"><f>IF(AF185&lt;$V$6,"error",IF(AF185&gt;$V$6*1.1,"error","aceptable"))</f><v /></c><c r="BA185" s="368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7"><f>SIGN(U185)</f><v /></c><c r="BE185" s="367"><f>SIGN(AG185)</f><v /></c><c r="BF185" s="367"><f>SIGN(AS185)</f><v /></c><c r="BG185" s="367"><f>CONCATENATE(BD185,BE185,BF185)</f><v /></c><c r="BH185" s="367"><f>IF(BG185="111","SI","SD")</f><v /></c><c r="BI185" s="367"><f>IF(BG185="-1-1-1","SI","SD")</f><v /></c><c r="BJ185" s="367"><f>OR(BH185="SI",BI185="SI")</f><v /></c><c r="BK185" s="367"><f>IF(BJ185=FALSE,"SIGDIFERENTES","SIGIGUALES")</f><v /></c><c r="BL185" s="368"><f>IF(BC185="NO CONFORME","NO CONFORME",IF(BB185="CONFORME","CONFORME","NO CONFORME"))</f><v /></c></row><row r="186" ht="15" customHeight="1" thickBot="1"><c r="A186" s="451" t="n"><v>178</v></c><c r="B186" s="369"><f>B185</f><v /></c><c r="C186" s="369"><f>C185</f><v /></c><c r="D186" s="370"><f>D185</f><v /></c><c r="E186" s="371"><f>E185</f><v /></c><c r="F186" s="13" t="n" /><c r="G186" s="300" t="inlineStr"><is><t>PA25517275</t></is></c><c r="H186" s="313"><f>H185</f><v /></c><c r="I186" s="38"><f>I185</f><v /></c><c r="J186" s="314"><f>J185</f><v /></c><c r="K186" s="372"><f>K185</f><v /></c><c r="L186" s="372"><f>L185</f><v /></c><c r="M186" s="373" t="n"><v>132.35</v></c><c r="N186" s="373" t="n"><v>232.28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240.33</v></c><c r="Z186" s="373" t="n"><v>250.32</v></c><c r="AA186" s="380"><f>AA185</f><v /></c><c r="AB186" s="381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255.39</v></c><c r="AM186" s="382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3"><f>IF(I186&gt;=1,"NO CONFORME",IF(BK186="SIGDIFERENTES",BC186,BL186))</f><v /></c><c r="AU186" s="365"><f>B186=C186</f><v /></c><c r="AV186" s="365"><f>N186&lt;Y186</f><v /></c><c r="AW186" s="365"><f>Z186&lt;=AK186</f><v /></c><c r="AX186" s="365"><f>IF(I186&gt;=1,"Qcorrecto",IF(AND(AY186="aceptable",AZ186="aceptable",BA186="aceptable"),"Qcorrecto","Qincorrecto"))</f><v /></c><c r="AY186" s="366"><f>IF(AR186&lt;$AH$6,"error",IF(AR186&gt;$AH$6*1.1,"error","aceptable"))</f><v /></c><c r="AZ186" s="366"><f>IF(AF186&lt;$V$6,"error",IF(AF186&gt;$V$6*1.1,"error","aceptable"))</f><v /></c><c r="BA186" s="366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7"><f>SIGN(U186)</f><v /></c><c r="BE186" s="367"><f>SIGN(AG186)</f><v /></c><c r="BF186" s="367"><f>SIGN(AS186)</f><v /></c><c r="BG186" s="367"><f>CONCATENATE(BD186,BE186,BF186)</f><v /></c><c r="BH186" s="367"><f>IF(BG186="111","SI","SD")</f><v /></c><c r="BI186" s="367"><f>IF(BG186="-1-1-1","SI","SD")</f><v /></c><c r="BJ186" s="367"><f>OR(BH186="SI",BI186="SI")</f><v /></c><c r="BK186" s="367"><f>IF(BJ186=FALSE,"SIGDIFERENTES","SIGIGUALES")</f><v /></c><c r="BL186" s="366"><f>IF(BC186="NO CONFORME","NO CONFORME",IF(BB186="CONFORME","CONFORME","NO CONFORME"))</f><v /></c></row><row r="187" ht="15.75" customHeight="1" thickBot="1"><c r="A187" s="451" t="n"><v>179</v></c><c r="B187" s="369"><f>B186</f><v /></c><c r="C187" s="369"><f>C186</f><v /></c><c r="D187" s="370"><f>D186</f><v /></c><c r="E187" s="371"><f>E186</f><v /></c><c r="F187" s="13" t="n" /><c r="G187" s="300" t="inlineStr"><is><t>PA25517276</t></is></c><c r="H187" s="313"><f>H186</f><v /></c><c r="I187" s="38"><f>I186</f><v /></c><c r="J187" s="314"><f>J186</f><v /></c><c r="K187" s="372"><f>K186</f><v /></c><c r="L187" s="372"><f>L186</f><v /></c><c r="M187" s="373" t="n"><v>92.77</v></c><c r="N187" s="373" t="n"><v>192.35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200.4</v></c><c r="Z187" s="373" t="n"><v>210.37</v></c><c r="AA187" s="380"><f>AA186</f><v /></c><c r="AB187" s="381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215.37</v></c><c r="AM187" s="382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3"><f>IF(I187&gt;=1,"NO CONFORME",IF(BK187="SIGDIFERENTES",BC187,BL187))</f><v /></c><c r="AU187" s="365"><f>B187=C187</f><v /></c><c r="AV187" s="365"><f>N187&lt;Y187</f><v /></c><c r="AW187" s="365"><f>Z187&lt;=AK187</f><v /></c><c r="AX187" s="365"><f>IF(I187&gt;=1,"Qcorrecto",IF(AND(AY187="aceptable",AZ187="aceptable",BA187="aceptable"),"Qcorrecto","Qincorrecto"))</f><v /></c><c r="AY187" s="366"><f>IF(AR187&lt;$AH$6,"error",IF(AR187&gt;$AH$6*1.1,"error","aceptable"))</f><v /></c><c r="AZ187" s="366"><f>IF(AF187&lt;$V$6,"error",IF(AF187&gt;$V$6*1.1,"error","aceptable"))</f><v /></c><c r="BA187" s="366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7"><f>SIGN(U187)</f><v /></c><c r="BE187" s="367"><f>SIGN(AG187)</f><v /></c><c r="BF187" s="367"><f>SIGN(AS187)</f><v /></c><c r="BG187" s="367"><f>CONCATENATE(BD187,BE187,BF187)</f><v /></c><c r="BH187" s="367"><f>IF(BG187="111","SI","SD")</f><v /></c><c r="BI187" s="367"><f>IF(BG187="-1-1-1","SI","SD")</f><v /></c><c r="BJ187" s="367"><f>OR(BH187="SI",BI187="SI")</f><v /></c><c r="BK187" s="367"><f>IF(BJ187=FALSE,"SIGDIFERENTES","SIGIGUALES")</f><v /></c><c r="BL187" s="366"><f>IF(BC187="NO CONFORME","NO CONFORME",IF(BB187="CONFORME","CONFORME","NO CONFORME"))</f><v /></c></row><row r="188" ht="15" customHeight="1" thickBot="1"><c r="A188" s="451" t="n"><v>180</v></c><c r="B188" s="369"><f>B187</f><v /></c><c r="C188" s="369"><f>C187</f><v /></c><c r="D188" s="370"><f>D187</f><v /></c><c r="E188" s="371"><f>E187</f><v /></c><c r="F188" s="13" t="n" /><c r="G188" s="300" t="inlineStr"><is><t>PA25517277</t></is></c><c r="H188" s="313"><f>H187</f><v /></c><c r="I188" s="38"><f>I187</f><v /></c><c r="J188" s="314"><f>J187</f><v /></c><c r="K188" s="372"><f>K187</f><v /></c><c r="L188" s="372"><f>L187</f><v /></c><c r="M188" s="373" t="n"><v>92.5</v></c><c r="N188" s="373" t="n"><v>192.48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200.52</v></c><c r="Z188" s="373" t="n"><v>210.59</v></c><c r="AA188" s="380"><f>AA187</f><v /></c><c r="AB188" s="381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215.68</v></c><c r="AM188" s="382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3"><f>IF(I188&gt;=1,"NO CONFORME",IF(BK188="SIGDIFERENTES",BC188,BL188))</f><v /></c><c r="AU188" s="365"><f>B188=C188</f><v /></c><c r="AV188" s="365"><f>N188&lt;Y188</f><v /></c><c r="AW188" s="365"><f>Z188&lt;=AK188</f><v /></c><c r="AX188" s="365"><f>IF(I188&gt;=1,"Qcorrecto",IF(AND(AY188="aceptable",AZ188="aceptable",BA188="aceptable"),"Qcorrecto","Qincorrecto"))</f><v /></c><c r="AY188" s="366"><f>IF(AR188&lt;$AH$6,"error",IF(AR188&gt;$AH$6*1.1,"error","aceptable"))</f><v /></c><c r="AZ188" s="366"><f>IF(AF188&lt;$V$6,"error",IF(AF188&gt;$V$6*1.1,"error","aceptable"))</f><v /></c><c r="BA188" s="366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7"><f>SIGN(U188)</f><v /></c><c r="BE188" s="367"><f>SIGN(AG188)</f><v /></c><c r="BF188" s="367"><f>SIGN(AS188)</f><v /></c><c r="BG188" s="367"><f>CONCATENATE(BD188,BE188,BF188)</f><v /></c><c r="BH188" s="367"><f>IF(BG188="111","SI","SD")</f><v /></c><c r="BI188" s="367"><f>IF(BG188="-1-1-1","SI","SD")</f><v /></c><c r="BJ188" s="367"><f>OR(BH188="SI",BI188="SI")</f><v /></c><c r="BK188" s="367"><f>IF(BJ188=FALSE,"SIGDIFERENTES","SIGIGUALES")</f><v /></c><c r="BL188" s="366"><f>IF(BC188="NO CONFORME","NO CONFORME",IF(BB188="CONFORME","CONFORME","NO CONFORME"))</f><v /></c></row><row r="189" ht="15" customHeight="1" thickBot="1"><c r="A189" s="451" t="n"><v>181</v></c><c r="B189" s="369"><f>B188</f><v /></c><c r="C189" s="369"><f>C188</f><v /></c><c r="D189" s="370"><f>D188</f><v /></c><c r="E189" s="371"><f>E188</f><v /></c><c r="F189" s="13" t="n" /><c r="G189" s="300" t="inlineStr"><is><t>PA25517278</t></is></c><c r="H189" s="313"><f>H188</f><v /></c><c r="I189" s="38"><f>I188</f><v /></c><c r="J189" s="314"><f>J188</f><v /></c><c r="K189" s="372"><f>K188</f><v /></c><c r="L189" s="372"><f>L188</f><v /></c><c r="M189" s="373" t="n"><v>93.58</v></c><c r="N189" s="373" t="n"><v>193.89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201.94</v></c><c r="Z189" s="373" t="n"><v>212</v></c><c r="AA189" s="380"><f>AA188</f><v /></c><c r="AB189" s="381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217.06</v></c><c r="AM189" s="382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3"><f>IF(I189&gt;=1,"NO CONFORME",IF(BK189="SIGDIFERENTES",BC189,BL189))</f><v /></c><c r="AU189" s="365"><f>B189=C189</f><v /></c><c r="AV189" s="365"><f>N189&lt;Y189</f><v /></c><c r="AW189" s="365"><f>Z189&lt;=AK189</f><v /></c><c r="AX189" s="365"><f>IF(I189&gt;=1,"Qcorrecto",IF(AND(AY189="aceptable",AZ189="aceptable",BA189="aceptable"),"Qcorrecto","Qincorrecto"))</f><v /></c><c r="AY189" s="366"><f>IF(AR189&lt;$AH$6,"error",IF(AR189&gt;$AH$6*1.1,"error","aceptable"))</f><v /></c><c r="AZ189" s="366"><f>IF(AF189&lt;$V$6,"error",IF(AF189&gt;$V$6*1.1,"error","aceptable"))</f><v /></c><c r="BA189" s="366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7"><f>SIGN(U189)</f><v /></c><c r="BE189" s="367"><f>SIGN(AG189)</f><v /></c><c r="BF189" s="367"><f>SIGN(AS189)</f><v /></c><c r="BG189" s="367"><f>CONCATENATE(BD189,BE189,BF189)</f><v /></c><c r="BH189" s="367"><f>IF(BG189="111","SI","SD")</f><v /></c><c r="BI189" s="367"><f>IF(BG189="-1-1-1","SI","SD")</f><v /></c><c r="BJ189" s="367"><f>OR(BH189="SI",BI189="SI")</f><v /></c><c r="BK189" s="367"><f>IF(BJ189=FALSE,"SIGDIFERENTES","SIGIGUALES")</f><v /></c><c r="BL189" s="366"><f>IF(BC189="NO CONFORME","NO CONFORME",IF(BB189="CONFORME","CONFORME","NO CONFORME"))</f><v /></c></row><row r="190" ht="15.75" customHeight="1" thickBot="1"><c r="A190" s="451" t="n"><v>182</v></c><c r="B190" s="369"><f>B189</f><v /></c><c r="C190" s="369"><f>C189</f><v /></c><c r="D190" s="370"><f>D189</f><v /></c><c r="E190" s="371"><f>E189</f><v /></c><c r="F190" s="13" t="n" /><c r="G190" s="300" t="inlineStr"><is><t>PA25517279</t></is></c><c r="H190" s="313"><f>H189</f><v /></c><c r="I190" s="38"><f>I189</f><v /></c><c r="J190" s="314"><f>J189</f><v /></c><c r="K190" s="372"><f>K189</f><v /></c><c r="L190" s="372"><f>L189</f><v /></c><c r="M190" s="373" t="n"><v>92.14</v></c><c r="N190" s="373" t="n"><v>191.46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199.48</v></c><c r="Z190" s="373" t="n"><v>209.48</v></c><c r="AA190" s="380"><f>AA189</f><v /></c><c r="AB190" s="381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214.58</v></c><c r="AM190" s="382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3"><f>IF(I190&gt;=1,"NO CONFORME",IF(BK190="SIGDIFERENTES",BC190,BL190))</f><v /></c><c r="AU190" s="365"><f>B190=C190</f><v /></c><c r="AV190" s="365"><f>N190&lt;Y190</f><v /></c><c r="AW190" s="365"><f>Z190&lt;=AK190</f><v /></c><c r="AX190" s="365"><f>IF(I190&gt;=1,"Qcorrecto",IF(AND(AY190="aceptable",AZ190="aceptable",BA190="aceptable"),"Qcorrecto","Qincorrecto"))</f><v /></c><c r="AY190" s="366"><f>IF(AR190&lt;$AH$6,"error",IF(AR190&gt;$AH$6*1.1,"error","aceptable"))</f><v /></c><c r="AZ190" s="366"><f>IF(AF190&lt;$V$6,"error",IF(AF190&gt;$V$6*1.1,"error","aceptable"))</f><v /></c><c r="BA190" s="366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7"><f>SIGN(U190)</f><v /></c><c r="BE190" s="367"><f>SIGN(AG190)</f><v /></c><c r="BF190" s="367"><f>SIGN(AS190)</f><v /></c><c r="BG190" s="367"><f>CONCATENATE(BD190,BE190,BF190)</f><v /></c><c r="BH190" s="367"><f>IF(BG190="111","SI","SD")</f><v /></c><c r="BI190" s="367"><f>IF(BG190="-1-1-1","SI","SD")</f><v /></c><c r="BJ190" s="367"><f>OR(BH190="SI",BI190="SI")</f><v /></c><c r="BK190" s="367"><f>IF(BJ190=FALSE,"SIGDIFERENTES","SIGIGUALES")</f><v /></c><c r="BL190" s="366"><f>IF(BC190="NO CONFORME","NO CONFORME",IF(BB190="CONFORME","CONFORME","NO CONFORME"))</f><v /></c></row><row r="191" ht="15" customHeight="1" thickBot="1"><c r="A191" s="451" t="n"><v>183</v></c><c r="B191" s="369"><f>B190</f><v /></c><c r="C191" s="369"><f>C190</f><v /></c><c r="D191" s="370"><f>D190</f><v /></c><c r="E191" s="371"><f>E190</f><v /></c><c r="F191" s="13" t="n" /><c r="G191" s="300" t="inlineStr"><is><t>PA25517280</t></is></c><c r="H191" s="313"><f>H190</f><v /></c><c r="I191" s="38"><f>I190</f><v /></c><c r="J191" s="314"><f>J190</f><v /></c><c r="K191" s="372"><f>K190</f><v /></c><c r="L191" s="372"><f>L190</f><v /></c><c r="M191" s="373" t="n"><v>92.48</v></c><c r="N191" s="373" t="n"><v>191.88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199.89</v></c><c r="Z191" s="373" t="n"><v>209.93</v></c><c r="AA191" s="380"><f>AA190</f><v /></c><c r="AB191" s="381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215</v></c><c r="AM191" s="382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3"><f>IF(I191&gt;=1,"NO CONFORME",IF(BK191="SIGDIFERENTES",BC191,BL191))</f><v /></c><c r="AU191" s="365"><f>B191=C191</f><v /></c><c r="AV191" s="365"><f>N191&lt;Y191</f><v /></c><c r="AW191" s="365"><f>Z191&lt;=AK191</f><v /></c><c r="AX191" s="365"><f>IF(I191&gt;=1,"Qcorrecto",IF(AND(AY191="aceptable",AZ191="aceptable",BA191="aceptable"),"Qcorrecto","Qincorrecto"))</f><v /></c><c r="AY191" s="366"><f>IF(AR191&lt;$AH$6,"error",IF(AR191&gt;$AH$6*1.1,"error","aceptable"))</f><v /></c><c r="AZ191" s="366"><f>IF(AF191&lt;$V$6,"error",IF(AF191&gt;$V$6*1.1,"error","aceptable"))</f><v /></c><c r="BA191" s="366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7"><f>SIGN(U191)</f><v /></c><c r="BE191" s="367"><f>SIGN(AG191)</f><v /></c><c r="BF191" s="367"><f>SIGN(AS191)</f><v /></c><c r="BG191" s="367"><f>CONCATENATE(BD191,BE191,BF191)</f><v /></c><c r="BH191" s="367"><f>IF(BG191="111","SI","SD")</f><v /></c><c r="BI191" s="367"><f>IF(BG191="-1-1-1","SI","SD")</f><v /></c><c r="BJ191" s="367"><f>OR(BH191="SI",BI191="SI")</f><v /></c><c r="BK191" s="367"><f>IF(BJ191=FALSE,"SIGDIFERENTES","SIGIGUALES")</f><v /></c><c r="BL191" s="366"><f>IF(BC191="NO CONFORME","NO CONFORME",IF(BB191="CONFORME","CONFORME","NO CONFORME"))</f><v /></c></row><row r="192" ht="15" customHeight="1" thickBot="1"><c r="A192" s="451" t="n"><v>184</v></c><c r="B192" s="369"><f>B191</f><v /></c><c r="C192" s="369"><f>C191</f><v /></c><c r="D192" s="370"><f>D191</f><v /></c><c r="E192" s="371"><f>E191</f><v /></c><c r="F192" s="13" t="n" /><c r="G192" s="300" t="inlineStr"><is><t>PA25517281</t></is></c><c r="H192" s="313"><f>H191</f><v /></c><c r="I192" s="38"><f>I191</f><v /></c><c r="J192" s="314"><f>J191</f><v /></c><c r="K192" s="372"><f>K191</f><v /></c><c r="L192" s="372"><f>L191</f><v /></c><c r="M192" s="373" t="n"><v>93</v></c><c r="N192" s="373" t="n"><v>193.13</v></c><c r="O192" s="374"><f>O191</f><v /></c><c r="P192" s="375"><f>P191</f><v /></c><c r="Q192" s="376"><f>LEFT(P192,1)</f><v /></c><c r="R192" s="376"><f>RIGHT(P192,6)</f><v /></c><c r="S192" s="376"><f>+(Q192*60+R192)/(60*60)</f><v /></c><c r="T192" s="377"><f>+O192/S192</f><v /></c><c r="U192" s="378"><f>+(((N192-M192-O192)/O192)*100)</f><v /></c><c r="V192" s="317"><f>V191</f><v /></c><c r="W192" s="372"><f>W191</f><v /></c><c r="X192" s="372"><f>X191</f><v /></c><c r="Y192" s="373" t="n"><v>201.18</v></c><c r="Z192" s="373" t="n"><v>211.28</v></c><c r="AA192" s="380"><f>AA191</f><v /></c><c r="AB192" s="381"><f>AB191</f><v /></c><c r="AC192" s="376"><f>LEFT(AB192,2)</f><v /></c><c r="AD192" s="376"><f>RIGHT(AB192,6)</f><v /></c><c r="AE192" s="376"><f>+(AC192*60+AD192)/(60*60)</f><v /></c><c r="AF192" s="377"><f>+AA192/AE192</f><v /></c><c r="AG192" s="321"><f>+(((Z192-Y192-AA192)/AA192)*100)</f><v /></c><c r="AH192" s="317"><f>AH191</f><v /></c><c r="AI192" s="372"><f>AI191</f><v /></c><c r="AJ192" s="372"><f>AJ191</f><v /></c><c r="AK192" s="373"><f>Z192</f><v /></c><c r="AL192" s="373" t="n"><v>216.4</v></c><c r="AM192" s="382"><f>AM191</f><v /></c><c r="AN192" s="375"><f>AN191</f><v /></c><c r="AO192" s="376"><f>LEFT(AN192,2)</f><v /></c><c r="AP192" s="376"><f>RIGHT(AN192,6)</f><v /></c><c r="AQ192" s="376"><f>+(AO192*60+AP192)/(60*60)</f><v /></c><c r="AR192" s="377"><f>+AM192/AQ192</f><v /></c><c r="AS192" s="321"><f>+(((AL192-AK192-AM192)/AM192)*100)</f><v /></c><c r="AT192" s="383"><f>IF(I192&gt;=1,"NO CONFORME",IF(BK192="SIGDIFERENTES",BC192,BL192))</f><v /></c><c r="AU192" s="365"><f>B192=C192</f><v /></c><c r="AV192" s="365"><f>N192&lt;Y192</f><v /></c><c r="AW192" s="365"><f>Z192&lt;=AK192</f><v /></c><c r="AX192" s="365"><f>IF(I192&gt;=1,"Qcorrecto",IF(AND(AY192="aceptable",AZ192="aceptable",BA192="aceptable"),"Qcorrecto","Qincorrecto"))</f><v /></c><c r="AY192" s="366"><f>IF(AR192&lt;$AH$6,"error",IF(AR192&gt;$AH$6*1.1,"error","aceptable"))</f><v /></c><c r="AZ192" s="366"><f>IF(AF192&lt;$V$6,"error",IF(AF192&gt;$V$6*1.1,"error","aceptable"))</f><v /></c><c r="BA192" s="366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67"><f>SIGN(U192)</f><v /></c><c r="BE192" s="367"><f>SIGN(AG192)</f><v /></c><c r="BF192" s="367"><f>SIGN(AS192)</f><v /></c><c r="BG192" s="367"><f>CONCATENATE(BD192,BE192,BF192)</f><v /></c><c r="BH192" s="367"><f>IF(BG192="111","SI","SD")</f><v /></c><c r="BI192" s="367"><f>IF(BG192="-1-1-1","SI","SD")</f><v /></c><c r="BJ192" s="367"><f>OR(BH192="SI",BI192="SI")</f><v /></c><c r="BK192" s="367"><f>IF(BJ192=FALSE,"SIGDIFERENTES","SIGIGUALES")</f><v /></c><c r="BL192" s="366"><f>IF(BC192="NO CONFORME","NO CONFORME",IF(BB192="CONFORME","CONFORME","NO CONFORME"))</f><v /></c></row><row r="193" ht="15" customHeight="1" thickBot="1"><c r="A193" s="451" t="n"><v>185</v></c><c r="B193" s="369"><f>B192</f><v /></c><c r="C193" s="369"><f>C192</f><v /></c><c r="D193" s="370"><f>D192</f><v /></c><c r="E193" s="371"><f>E192</f><v /></c><c r="F193" s="13" t="n" /><c r="G193" s="300" t="inlineStr"><is><t>PA25517282</t></is></c><c r="H193" s="313"><f>H192</f><v /></c><c r="I193" s="38"><f>I192</f><v /></c><c r="J193" s="314"><f>J192</f><v /></c><c r="K193" s="372"><f>K192</f><v /></c><c r="L193" s="372"><f>L192</f><v /></c><c r="M193" s="373" t="n"><v>93.3</v></c><c r="N193" s="373" t="n"><v>192.9</v></c><c r="O193" s="374"><f>O192</f><v /></c><c r="P193" s="375"><f>P192</f><v /></c><c r="Q193" s="376"><f>LEFT(P193,1)</f><v /></c><c r="R193" s="376"><f>RIGHT(P193,6)</f><v /></c><c r="S193" s="376"><f>+(Q193*60+R193)/(60*60)</f><v /></c><c r="T193" s="377"><f>+O193/S193</f><v /></c><c r="U193" s="378"><f>+(((N193-M193-O193)/O193)*100)</f><v /></c><c r="V193" s="317"><f>V192</f><v /></c><c r="W193" s="372"><f>W192</f><v /></c><c r="X193" s="372"><f>X192</f><v /></c><c r="Y193" s="373" t="n"><v>200.9</v></c><c r="Z193" s="373" t="n"><v>210.87</v></c><c r="AA193" s="380"><f>AA192</f><v /></c><c r="AB193" s="381"><f>AB192</f><v /></c><c r="AC193" s="376"><f>LEFT(AB193,2)</f><v /></c><c r="AD193" s="376"><f>RIGHT(AB193,6)</f><v /></c><c r="AE193" s="376"><f>+(AC193*60+AD193)/(60*60)</f><v /></c><c r="AF193" s="377"><f>+AA193/AE193</f><v /></c><c r="AG193" s="321"><f>+(((Z193-Y193-AA193)/AA193)*100)</f><v /></c><c r="AH193" s="317"><f>AH192</f><v /></c><c r="AI193" s="372"><f>AI192</f><v /></c><c r="AJ193" s="372"><f>AJ192</f><v /></c><c r="AK193" s="373"><f>Z193</f><v /></c><c r="AL193" s="373" t="n"><v>215.92</v></c><c r="AM193" s="382"><f>AM192</f><v /></c><c r="AN193" s="375"><f>AN192</f><v /></c><c r="AO193" s="376"><f>LEFT(AN193,2)</f><v /></c><c r="AP193" s="376"><f>RIGHT(AN193,6)</f><v /></c><c r="AQ193" s="376"><f>+(AO193*60+AP193)/(60*60)</f><v /></c><c r="AR193" s="377"><f>+AM193/AQ193</f><v /></c><c r="AS193" s="321"><f>+(((AL193-AK193-AM193)/AM193)*100)</f><v /></c><c r="AT193" s="383"><f>IF(I193&gt;=1,"NO CONFORME",IF(BK193="SIGDIFERENTES",BC193,BL193))</f><v /></c><c r="AU193" s="365"><f>B193=C193</f><v /></c><c r="AV193" s="365"><f>N193&lt;Y193</f><v /></c><c r="AW193" s="365"><f>Z193&lt;=AK193</f><v /></c><c r="AX193" s="365"><f>IF(I193&gt;=1,"Qcorrecto",IF(AND(AY193="aceptable",AZ193="aceptable",BA193="aceptable"),"Qcorrecto","Qincorrecto"))</f><v /></c><c r="AY193" s="366"><f>IF(AR193&lt;$AH$6,"error",IF(AR193&gt;$AH$6*1.1,"error","aceptable"))</f><v /></c><c r="AZ193" s="366"><f>IF(AF193&lt;$V$6,"error",IF(AF193&gt;$V$6*1.1,"error","aceptable"))</f><v /></c><c r="BA193" s="366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7"><f>SIGN(U193)</f><v /></c><c r="BE193" s="367"><f>SIGN(AG193)</f><v /></c><c r="BF193" s="367"><f>SIGN(AS193)</f><v /></c><c r="BG193" s="367"><f>CONCATENATE(BD193,BE193,BF193)</f><v /></c><c r="BH193" s="367"><f>IF(BG193="111","SI","SD")</f><v /></c><c r="BI193" s="367"><f>IF(BG193="-1-1-1","SI","SD")</f><v /></c><c r="BJ193" s="367"><f>OR(BH193="SI",BI193="SI")</f><v /></c><c r="BK193" s="367"><f>IF(BJ193=FALSE,"SIGDIFERENTES","SIGIGUALES")</f><v /></c><c r="BL193" s="366"><f>IF(BC193="NO CONFORME","NO CONFORME",IF(BB193="CONFORME","CONFORME","NO CONFORME"))</f><v /></c></row><row r="194" ht="14.4" customHeight="1" thickBot="1"><c r="A194" s="451" t="n"><v>186</v></c><c r="B194" s="369"><f>B193</f><v /></c><c r="C194" s="369"><f>C193</f><v /></c><c r="D194" s="370"><f>D193</f><v /></c><c r="E194" s="371"><f>E193</f><v /></c><c r="F194" s="13" t="n" /><c r="G194" s="300" t="inlineStr"><is><t>PA25517283</t></is></c><c r="H194" s="313"><f>H193</f><v /></c><c r="I194" s="38"><f>I193</f><v /></c><c r="J194" s="314"><f>J193</f><v /></c><c r="K194" s="372"><f>K193</f><v /></c><c r="L194" s="372"><f>L193</f><v /></c><c r="M194" s="373" t="n"><v>132.06</v></c><c r="N194" s="373" t="n"><v>232.24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240.32</v></c><c r="Z194" s="373" t="n"><v>250.4</v></c><c r="AA194" s="380"><f>AA193</f><v /></c><c r="AB194" s="381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255.49</v></c><c r="AM194" s="382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3"><f>IF(I194&gt;=1,"NO CONFORME",IF(BK194="SIGDIFERENTES",BC194,BL194))</f><v /></c><c r="AU194" s="365"><f>B194=C194</f><v /></c><c r="AV194" s="365"><f>N194&lt;Y194</f><v /></c><c r="AW194" s="365"><f>Z194&lt;=AK194</f><v /></c><c r="AX194" s="365"><f>IF(I194&gt;=1,"Qcorrecto",IF(AND(AY194="aceptable",AZ194="aceptable",BA194="aceptable"),"Qcorrecto","Qincorrecto"))</f><v /></c><c r="AY194" s="366"><f>IF(AR194&lt;$AH$6,"error",IF(AR194&gt;$AH$6*1.1,"error","aceptable"))</f><v /></c><c r="AZ194" s="366"><f>IF(AF194&lt;$V$6,"error",IF(AF194&gt;$V$6*1.1,"error","aceptable"))</f><v /></c><c r="BA194" s="366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7"><f>SIGN(U194)</f><v /></c><c r="BE194" s="367"><f>SIGN(AG194)</f><v /></c><c r="BF194" s="367"><f>SIGN(AS194)</f><v /></c><c r="BG194" s="367"><f>CONCATENATE(BD194,BE194,BF194)</f><v /></c><c r="BH194" s="367"><f>IF(BG194="111","SI","SD")</f><v /></c><c r="BI194" s="367"><f>IF(BG194="-1-1-1","SI","SD")</f><v /></c><c r="BJ194" s="367"><f>OR(BH194="SI",BI194="SI")</f><v /></c><c r="BK194" s="367"><f>IF(BJ194=FALSE,"SIGDIFERENTES","SIGIGUALES")</f><v /></c><c r="BL194" s="366"><f>IF(BC194="NO CONFORME","NO CONFORME",IF(BB194="CONFORME","CONFORME","NO CONFORME"))</f><v /></c></row><row r="195" ht="15" customHeight="1" thickBot="1"><c r="A195" s="451" t="n"><v>187</v></c><c r="B195" s="369"><f>B194</f><v /></c><c r="C195" s="369"><f>C194</f><v /></c><c r="D195" s="370"><f>D194</f><v /></c><c r="E195" s="371"><f>E194</f><v /></c><c r="F195" s="13" t="n" /><c r="G195" s="476" t="inlineStr"><is><t>PA25517284</t></is></c><c r="H195" s="313"><f>H194</f><v /></c><c r="I195" s="38"><f>I194</f><v /></c><c r="J195" s="314"><f>J194</f><v /></c><c r="K195" s="372"><f>K194</f><v /></c><c r="L195" s="372"><f>L194</f><v /></c><c r="M195" s="373" t="n"><v>93.23</v></c><c r="N195" s="373" t="n"><v>193.22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201.24</v></c><c r="Z195" s="373" t="n"><v>211.02</v></c><c r="AA195" s="380"><f>AA194</f><v /></c><c r="AB195" s="381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215.8</v></c><c r="AM195" s="382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3"><f>IF(I195&gt;=1,"NO CONFORME",IF(BK195="SIGDIFERENTES",BC195,BL195))</f><v /></c><c r="AU195" s="365"><f>B195=C195</f><v /></c><c r="AV195" s="365"><f>N195&lt;Y195</f><v /></c><c r="AW195" s="365"><f>Z195&lt;=AK195</f><v /></c><c r="AX195" s="365"><f>IF(I195&gt;=1,"Qcorrecto",IF(AND(AY195="aceptable",AZ195="aceptable",BA195="aceptable"),"Qcorrecto","Qincorrecto"))</f><v /></c><c r="AY195" s="366"><f>IF(AR195&lt;$AH$6,"error",IF(AR195&gt;$AH$6*1.1,"error","aceptable"))</f><v /></c><c r="AZ195" s="366"><f>IF(AF195&lt;$V$6,"error",IF(AF195&gt;$V$6*1.1,"error","aceptable"))</f><v /></c><c r="BA195" s="366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7"><f>SIGN(U195)</f><v /></c><c r="BE195" s="367"><f>SIGN(AG195)</f><v /></c><c r="BF195" s="367"><f>SIGN(AS195)</f><v /></c><c r="BG195" s="367"><f>CONCATENATE(BD195,BE195,BF195)</f><v /></c><c r="BH195" s="367"><f>IF(BG195="111","SI","SD")</f><v /></c><c r="BI195" s="367"><f>IF(BG195="-1-1-1","SI","SD")</f><v /></c><c r="BJ195" s="367"><f>OR(BH195="SI",BI195="SI")</f><v /></c><c r="BK195" s="367"><f>IF(BJ195=FALSE,"SIGDIFERENTES","SIGIGUALES")</f><v /></c><c r="BL195" s="366"><f>IF(BC195="NO CONFORME","NO CONFORME",IF(BB195="CONFORME","CONFORME","NO CONFORME"))</f><v /></c></row><row r="196" ht="15" customHeight="1" thickBot="1"><c r="A196" s="451" t="n"><v>188</v></c><c r="B196" s="369"><f>B195</f><v /></c><c r="C196" s="369"><f>C195</f><v /></c><c r="D196" s="370"><f>D195</f><v /></c><c r="E196" s="371"><f>E195</f><v /></c><c r="F196" s="13" t="n" /><c r="G196" s="300" t="inlineStr"><is><t>PA25517285</t></is></c><c r="H196" s="313"><f>H195</f><v /></c><c r="I196" s="38"><f>I195</f><v /></c><c r="J196" s="314"><f>J195</f><v /></c><c r="K196" s="372"><f>K195</f><v /></c><c r="L196" s="372"><f>L195</f><v /></c><c r="M196" s="373" t="n"><v>94.94</v></c><c r="N196" s="373" t="n"><v>195.2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203.29</v></c><c r="Z196" s="373" t="n"><v>213.35</v></c><c r="AA196" s="380"><f>AA195</f><v /></c><c r="AB196" s="381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218.42</v></c><c r="AM196" s="382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3"><f>IF(I196&gt;=1,"NO CONFORME",IF(BK196="SIGDIFERENTES",BC196,BL196))</f><v /></c><c r="AU196" s="365"><f>B196=C196</f><v /></c><c r="AV196" s="365"><f>N196&lt;Y196</f><v /></c><c r="AW196" s="365"><f>Z196&lt;=AK196</f><v /></c><c r="AX196" s="365"><f>IF(I196&gt;=1,"Qcorrecto",IF(AND(AY196="aceptable",AZ196="aceptable",BA196="aceptable"),"Qcorrecto","Qincorrecto"))</f><v /></c><c r="AY196" s="366"><f>IF(AR196&lt;$AH$6,"error",IF(AR196&gt;$AH$6*1.1,"error","aceptable"))</f><v /></c><c r="AZ196" s="366"><f>IF(AF196&lt;$V$6,"error",IF(AF196&gt;$V$6*1.1,"error","aceptable"))</f><v /></c><c r="BA196" s="366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7"><f>SIGN(U196)</f><v /></c><c r="BE196" s="367"><f>SIGN(AG196)</f><v /></c><c r="BF196" s="367"><f>SIGN(AS196)</f><v /></c><c r="BG196" s="367"><f>CONCATENATE(BD196,BE196,BF196)</f><v /></c><c r="BH196" s="367"><f>IF(BG196="111","SI","SD")</f><v /></c><c r="BI196" s="367"><f>IF(BG196="-1-1-1","SI","SD")</f><v /></c><c r="BJ196" s="367"><f>OR(BH196="SI",BI196="SI")</f><v /></c><c r="BK196" s="367"><f>IF(BJ196=FALSE,"SIGDIFERENTES","SIGIGUALES")</f><v /></c><c r="BL196" s="366"><f>IF(BC196="NO CONFORME","NO CONFORME",IF(BB196="CONFORME","CONFORME","NO CONFORME"))</f><v /></c></row><row r="197" ht="15.75" customHeight="1" thickBot="1"><c r="A197" s="451" t="n"><v>189</v></c><c r="B197" s="369"><f>B196</f><v /></c><c r="C197" s="369"><f>C196</f><v /></c><c r="D197" s="370"><f>D196</f><v /></c><c r="E197" s="371"><f>E196</f><v /></c><c r="F197" s="13" t="n" /><c r="G197" s="300" t="inlineStr"><is><t>PA25517286</t></is></c><c r="H197" s="313"><f>H196</f><v /></c><c r="I197" s="38"><f>I196</f><v /></c><c r="J197" s="314"><f>J196</f><v /></c><c r="K197" s="372"><f>K196</f><v /></c><c r="L197" s="372"><f>L196</f><v /></c><c r="M197" s="373" t="n"><v>95.83</v></c><c r="N197" s="373" t="n"><v>195.82</v></c><c r="O197" s="374"><f>O196</f><v /></c><c r="P197" s="375"><f>P196</f><v /></c><c r="Q197" s="376"><f>LEFT(P197,1)</f><v /></c><c r="R197" s="376"><f>RIGHT(P197,6)</f><v /></c><c r="S197" s="376"><f>+(Q197*60+R197)/(60*60)</f><v /></c><c r="T197" s="377"><f>+O197/S197</f><v /></c><c r="U197" s="378"><f>+(((N197-M197-O197)/O197)*100)</f><v /></c><c r="V197" s="317"><f>V196</f><v /></c><c r="W197" s="372"><f>W196</f><v /></c><c r="X197" s="372"><f>X196</f><v /></c><c r="Y197" s="373" t="n"><v>203.86</v></c><c r="Z197" s="373" t="n"><v>213.89</v></c><c r="AA197" s="380"><f>AA196</f><v /></c><c r="AB197" s="381"><f>AB196</f><v /></c><c r="AC197" s="376"><f>LEFT(AB197,2)</f><v /></c><c r="AD197" s="376"><f>RIGHT(AB197,6)</f><v /></c><c r="AE197" s="376"><f>+(AC197*60+AD197)/(60*60)</f><v /></c><c r="AF197" s="377"><f>+AA197/AE197</f><v /></c><c r="AG197" s="321"><f>+(((Z197-Y197-AA197)/AA197)*100)</f><v /></c><c r="AH197" s="317"><f>AH196</f><v /></c><c r="AI197" s="372"><f>AI196</f><v /></c><c r="AJ197" s="372"><f>AJ196</f><v /></c><c r="AK197" s="373"><f>Z197</f><v /></c><c r="AL197" s="373" t="n"><v>219.02</v></c><c r="AM197" s="382"><f>AM196</f><v /></c><c r="AN197" s="375"><f>AN196</f><v /></c><c r="AO197" s="376"><f>LEFT(AN197,2)</f><v /></c><c r="AP197" s="376"><f>RIGHT(AN197,6)</f><v /></c><c r="AQ197" s="376"><f>+(AO197*60+AP197)/(60*60)</f><v /></c><c r="AR197" s="377"><f>+AM197/AQ197</f><v /></c><c r="AS197" s="321"><f>+(((AL197-AK197-AM197)/AM197)*100)</f><v /></c><c r="AT197" s="383"><f>IF(I197&gt;=1,"NO CONFORME",IF(BK197="SIGDIFERENTES",BC197,BL197))</f><v /></c><c r="AU197" s="365"><f>B197=C197</f><v /></c><c r="AV197" s="365"><f>N197&lt;Y197</f><v /></c><c r="AW197" s="365"><f>Z197&lt;=AK197</f><v /></c><c r="AX197" s="365"><f>IF(I197&gt;=1,"Qcorrecto",IF(AND(AY197="aceptable",AZ197="aceptable",BA197="aceptable"),"Qcorrecto","Qincorrecto"))</f><v /></c><c r="AY197" s="366"><f>IF(AR197&lt;$AH$6,"error",IF(AR197&gt;$AH$6*1.1,"error","aceptable"))</f><v /></c><c r="AZ197" s="366"><f>IF(AF197&lt;$V$6,"error",IF(AF197&gt;$V$6*1.1,"error","aceptable"))</f><v /></c><c r="BA197" s="366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7"><f>SIGN(U197)</f><v /></c><c r="BE197" s="367"><f>SIGN(AG197)</f><v /></c><c r="BF197" s="367"><f>SIGN(AS197)</f><v /></c><c r="BG197" s="367"><f>CONCATENATE(BD197,BE197,BF197)</f><v /></c><c r="BH197" s="367"><f>IF(BG197="111","SI","SD")</f><v /></c><c r="BI197" s="367"><f>IF(BG197="-1-1-1","SI","SD")</f><v /></c><c r="BJ197" s="367"><f>OR(BH197="SI",BI197="SI")</f><v /></c><c r="BK197" s="367"><f>IF(BJ197=FALSE,"SIGDIFERENTES","SIGIGUALES")</f><v /></c><c r="BL197" s="366"><f>IF(BC197="NO CONFORME","NO CONFORME",IF(BB197="CONFORME","CONFORME","NO CONFORME"))</f><v /></c></row><row r="198" ht="15" customHeight="1" thickBot="1"><c r="A198" s="451" t="n"><v>190</v></c><c r="B198" s="369"><f>B197</f><v /></c><c r="C198" s="369"><f>C197</f><v /></c><c r="D198" s="370"><f>D197</f><v /></c><c r="E198" s="371"><f>E197</f><v /></c><c r="F198" s="13" t="n" /><c r="G198" s="300" t="inlineStr"><is><t>PA25517287</t></is></c><c r="H198" s="313"><f>H197</f><v /></c><c r="I198" s="38"><f>I197</f><v /></c><c r="J198" s="314"><f>J197</f><v /></c><c r="K198" s="372"><f>K197</f><v /></c><c r="L198" s="372"><f>L197</f><v /></c><c r="M198" s="373" t="n"><v>92.5</v></c><c r="N198" s="373" t="n"><v>192.14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200.18</v></c><c r="Z198" s="373" t="n"><v>210.25</v></c><c r="AA198" s="380"><f>AA197</f><v /></c><c r="AB198" s="381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215.38</v></c><c r="AM198" s="382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3"><f>IF(I198&gt;=1,"NO CONFORME",IF(BK198="SIGDIFERENTES",BC198,BL198))</f><v /></c><c r="AU198" s="365"><f>B198=C198</f><v /></c><c r="AV198" s="365"><f>N198&lt;Y198</f><v /></c><c r="AW198" s="365"><f>Z198&lt;=AK198</f><v /></c><c r="AX198" s="365"><f>IF(I198&gt;=1,"Qcorrecto",IF(AND(AY198="aceptable",AZ198="aceptable",BA198="aceptable"),"Qcorrecto","Qincorrecto"))</f><v /></c><c r="AY198" s="366"><f>IF(AR198&lt;$AH$6,"error",IF(AR198&gt;$AH$6*1.1,"error","aceptable"))</f><v /></c><c r="AZ198" s="366"><f>IF(AF198&lt;$V$6,"error",IF(AF198&gt;$V$6*1.1,"error","aceptable"))</f><v /></c><c r="BA198" s="366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7"><f>SIGN(U198)</f><v /></c><c r="BE198" s="367"><f>SIGN(AG198)</f><v /></c><c r="BF198" s="367"><f>SIGN(AS198)</f><v /></c><c r="BG198" s="367"><f>CONCATENATE(BD198,BE198,BF198)</f><v /></c><c r="BH198" s="367"><f>IF(BG198="111","SI","SD")</f><v /></c><c r="BI198" s="367"><f>IF(BG198="-1-1-1","SI","SD")</f><v /></c><c r="BJ198" s="367"><f>OR(BH198="SI",BI198="SI")</f><v /></c><c r="BK198" s="367"><f>IF(BJ198=FALSE,"SIGDIFERENTES","SIGIGUALES")</f><v /></c><c r="BL198" s="366"><f>IF(BC198="NO CONFORME","NO CONFORME",IF(BB198="CONFORME","CONFORME","NO CONFORME"))</f><v /></c></row><row r="199" ht="15" customHeight="1" thickBot="1"><c r="A199" s="451" t="n"><v>191</v></c><c r="B199" s="369"><f>B198</f><v /></c><c r="C199" s="369"><f>C198</f><v /></c><c r="D199" s="370"><f>D198</f><v /></c><c r="E199" s="371"><f>E198</f><v /></c><c r="F199" s="13" t="n" /><c r="G199" s="300" t="inlineStr"><is><t>PA25517288</t></is></c><c r="H199" s="313"><f>H198</f><v /></c><c r="I199" s="38"><f>I198</f><v /></c><c r="J199" s="314"><f>J198</f><v /></c><c r="K199" s="372"><f>K198</f><v /></c><c r="L199" s="372"><f>L198</f><v /></c><c r="M199" s="373" t="n"><v>96.54000000000001</v></c><c r="N199" s="373" t="n"><v>196.69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204.75</v></c><c r="Z199" s="373" t="n"><v>214.78</v></c><c r="AA199" s="380"><f>AA198</f><v /></c><c r="AB199" s="381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219.82</v></c><c r="AM199" s="382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3"><f>IF(I199&gt;=1,"NO CONFORME",IF(BK199="SIGDIFERENTES",BC199,BL199))</f><v /></c><c r="AU199" s="365"><f>B199=C199</f><v /></c><c r="AV199" s="365"><f>N199&lt;Y199</f><v /></c><c r="AW199" s="365"><f>Z199&lt;=AK199</f><v /></c><c r="AX199" s="365"><f>IF(I199&gt;=1,"Qcorrecto",IF(AND(AY199="aceptable",AZ199="aceptable",BA199="aceptable"),"Qcorrecto","Qincorrecto"))</f><v /></c><c r="AY199" s="366"><f>IF(AR199&lt;$AH$6,"error",IF(AR199&gt;$AH$6*1.1,"error","aceptable"))</f><v /></c><c r="AZ199" s="366"><f>IF(AF199&lt;$V$6,"error",IF(AF199&gt;$V$6*1.1,"error","aceptable"))</f><v /></c><c r="BA199" s="366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7"><f>SIGN(U199)</f><v /></c><c r="BE199" s="367"><f>SIGN(AG199)</f><v /></c><c r="BF199" s="367"><f>SIGN(AS199)</f><v /></c><c r="BG199" s="367"><f>CONCATENATE(BD199,BE199,BF199)</f><v /></c><c r="BH199" s="367"><f>IF(BG199="111","SI","SD")</f><v /></c><c r="BI199" s="367"><f>IF(BG199="-1-1-1","SI","SD")</f><v /></c><c r="BJ199" s="367"><f>OR(BH199="SI",BI199="SI")</f><v /></c><c r="BK199" s="367"><f>IF(BJ199=FALSE,"SIGDIFERENTES","SIGIGUALES")</f><v /></c><c r="BL199" s="366"><f>IF(BC199="NO CONFORME","NO CONFORME",IF(BB199="CONFORME","CONFORME","NO CONFORME"))</f><v /></c></row><row r="200" ht="15" customHeight="1" thickBot="1"><c r="A200" s="473" t="n"><v>192</v></c><c r="B200" s="454"><f>B199</f><v /></c><c r="C200" s="454"><f>C199</f><v /></c><c r="D200" s="455"><f>D199</f><v /></c><c r="E200" s="474"><f>E199</f><v /></c><c r="F200" s="52" t="n" /><c r="G200" s="337" t="inlineStr"><is><t>PA25517289</t></is></c><c r="H200" s="326"><f>H199</f><v /></c><c r="I200" s="98"><f>I199</f><v /></c><c r="J200" s="327"><f>J199</f><v /></c><c r="K200" s="458"><f>K199</f><v /></c><c r="L200" s="458"><f>L199</f><v /></c><c r="M200" s="459" t="n"><v>96.23</v></c><c r="N200" s="459" t="n"><v>196.32</v></c><c r="O200" s="460"><f>O199</f><v /></c><c r="P200" s="461"><f>P199</f><v /></c><c r="Q200" s="462"><f>LEFT(P200,1)</f><v /></c><c r="R200" s="462"><f>RIGHT(P200,6)</f><v /></c><c r="S200" s="462"><f>+(Q200*60+R200)/(60*60)</f><v /></c><c r="T200" s="463"><f>+O200/S200</f><v /></c><c r="U200" s="464"><f>+(((N200-M200-O200)/O200)*100)</f><v /></c><c r="V200" s="329"><f>V199</f><v /></c><c r="W200" s="458"><f>W199</f><v /></c><c r="X200" s="458"><f>X199</f><v /></c><c r="Y200" s="459" t="n"><v>204.39</v></c><c r="Z200" s="459" t="n"><v>214.49</v></c><c r="AA200" s="466"><f>AA199</f><v /></c><c r="AB200" s="467"><f>AB199</f><v /></c><c r="AC200" s="462"><f>LEFT(AB200,2)</f><v /></c><c r="AD200" s="462"><f>RIGHT(AB200,6)</f><v /></c><c r="AE200" s="462"><f>+(AC200*60+AD200)/(60*60)</f><v /></c><c r="AF200" s="463"><f>+AA200/AE200</f><v /></c><c r="AG200" s="468"><f>+(((Z200-Y200-AA200)/AA200)*100)</f><v /></c><c r="AH200" s="329"><f>AH199</f><v /></c><c r="AI200" s="458"><f>AI199</f><v /></c><c r="AJ200" s="458"><f>AJ199</f><v /></c><c r="AK200" s="459"><f>Z200</f><v /></c><c r="AL200" s="459" t="n"><v>219.63</v></c><c r="AM200" s="469"><f>AM199</f><v /></c><c r="AN200" s="461"><f>AN199</f><v /></c><c r="AO200" s="462"><f>LEFT(AN200,2)</f><v /></c><c r="AP200" s="462"><f>RIGHT(AN200,6)</f><v /></c><c r="AQ200" s="462"><f>+(AO200*60+AP200)/(60*60)</f><v /></c><c r="AR200" s="463"><f>+AM200/AQ200</f><v /></c><c r="AS200" s="468"><f>+(((AL200-AK200-AM200)/AM200)*100)</f><v /></c><c r="AT200" s="470"><f>IF(I200&gt;=1,"NO CONFORME",IF(BK200="SIGDIFERENTES",BC200,BL200))</f><v /></c><c r="AU200" s="426"><f>B200=C200</f><v /></c><c r="AV200" s="426"><f>N200&lt;Y200</f><v /></c><c r="AW200" s="426"><f>Z200&lt;=AK200</f><v /></c><c r="AX200" s="426"><f>IF(I200&gt;=1,"Qcorrecto",IF(AND(AY200="aceptable",AZ200="aceptable",BA200="aceptable"),"Qcorrecto","Qincorrecto"))</f><v /></c><c r="AY200" s="427"><f>IF(AR200&lt;$AH$6,"error",IF(AR200&gt;$AH$6*1.1,"error","aceptable"))</f><v /></c><c r="AZ200" s="427"><f>IF(AF200&lt;$V$6,"error",IF(AF200&gt;$V$6*1.1,"error","aceptable"))</f><v /></c><c r="BA200" s="427"><f>IF(T200&lt;$J$6*0.9,"error",IF(T200&gt;$J$6,"error","aceptable"))</f><v /></c><c r="BB200" s="428"><f>(IF(ABS(U200)&lt;1.05,"CONFORME",IF(ABS(AG200)&lt;1.05,"CONFORME",IF(ABS(AS200)&lt;2.55,"CONFORME","NO CONFORME"))))</f><v /></c><c r="BC200" s="429"><f>(IF(ABS(U200)&gt;2.05,"NO CONFORME",IF(ABS(AG200)&gt;2.05,"NO CONFORME",IF(ABS(AS200)&gt;5.05,"NO CONFORME","CONFORME"))))</f><v /></c><c r="BD200" s="430"><f>SIGN(U200)</f><v /></c><c r="BE200" s="430"><f>SIGN(AG200)</f><v /></c><c r="BF200" s="430"><f>SIGN(AS200)</f><v /></c><c r="BG200" s="430"><f>CONCATENATE(BD200,BE200,BF200)</f><v /></c><c r="BH200" s="430"><f>IF(BG200="111","SI","SD")</f><v /></c><c r="BI200" s="430"><f>IF(BG200="-1-1-1","SI","SD")</f><v /></c><c r="BJ200" s="430"><f>OR(BH200="SI",BI200="SI")</f><v /></c><c r="BK200" s="430"><f>IF(BJ200=FALSE,"SIGDIFERENTES","SIGIGUALES")</f><v /></c><c r="BL200" s="427"><f>IF(BC200="NO CONFORME","NO CONFORME",IF(BB200="CONFORME","CONFORME","NO CONFORME"))</f><v /></c></row><row r="201" ht="15" customHeight="1" thickBot="1"><c r="A201" s="351" t="n"><v>193</v></c><c r="B201" s="386"><f>B200</f><v /></c><c r="C201" s="386"><f>C200</f><v /></c><c r="D201" s="387"><f>D200</f><v /></c><c r="E201" s="475"><f>E200</f><v /></c><c r="F201" s="58" t="n" /><c r="G201" s="300" t="inlineStr"><is><t>PA25517290</t></is></c><c r="H201" s="388"><f>H200</f><v /></c><c r="I201" s="232"><f>I200</f><v /></c><c r="J201" s="389" t="n"><v>21</v></c><c r="K201" s="390" t="n"><v>8.314</v></c><c r="L201" s="390" t="n"><v>0.553</v></c><c r="M201" s="356" t="n"><v>165.58</v></c><c r="N201" s="356" t="n"><v>265.96</v></c><c r="O201" s="391" t="n"><v>100.5</v></c><c r="P201" s="392" t="inlineStr"><is><t>2,30,400</t></is></c><c r="Q201" s="359"><f>LEFT(P201,1)</f><v /></c><c r="R201" s="359"><f>RIGHT(P201,6)</f><v /></c><c r="S201" s="359"><f>+(Q201*60+R201)/(60*60)</f><v /></c><c r="T201" s="360"><f>+O201/S201</f><v /></c><c r="U201" s="361"><f>+(((N201-M201-O201)/O201)*100)</f><v /></c><c r="V201" s="393" t="n"><v>21.1</v></c><c r="W201" s="390" t="n"><v>1.403</v></c><c r="X201" s="390" t="n"><v>1.405</v></c><c r="Y201" s="356" t="n"><v>275.63</v></c><c r="Z201" s="356" t="n"><v>285.72</v></c><c r="AA201" s="395" t="n"><v>10.032</v></c><c r="AB201" s="396" t="inlineStr"><is><t>22,47,990</t></is></c><c r="AC201" s="359"><f>LEFT(AB201,2)</f><v /></c><c r="AD201" s="359"><f>RIGHT(AB201,6)</f><v /></c><c r="AE201" s="359"><f>+(AC201*60+AD201)/(60*60)</f><v /></c><c r="AF201" s="360"><f>+AA201/AE201</f><v /></c><c r="AG201" s="362"><f>+(((Z201-Y201-AA201)/AA201)*100)</f><v /></c><c r="AH201" s="393" t="n"><v>21</v></c><c r="AI201" s="390" t="n"><v>1.399</v></c><c r="AJ201" s="390" t="n"><v>1.401</v></c><c r="AK201" s="356"><f>Z201</f><v /></c><c r="AL201" s="356" t="n"><v>290.84</v></c><c r="AM201" s="397" t="n"><v>5.032</v></c><c r="AN201" s="392" t="inlineStr"><is><t>18,06,970</t></is></c><c r="AO201" s="359"><f>LEFT(AN201,2)</f><v /></c><c r="AP201" s="359"><f>RIGHT(AN201,6)</f><v /></c><c r="AQ201" s="359"><f>+(AO201*60+AP201)/(60*60)</f><v /></c><c r="AR201" s="360"><f>+AM201/AQ201</f><v /></c><c r="AS201" s="362"><f>+(((AL201-AK201-AM201)/AM201)*100)</f><v /></c><c r="AT201" s="364"><f>IF(I201&gt;=1,"NO CONFORME",IF(BK201="SIGDIFERENTES",BC201,BL201))</f><v /></c><c r="AU201" s="365"><f>B201=C201</f><v /></c><c r="AV201" s="365"><f>N201&lt;Y201</f><v /></c><c r="AW201" s="365"><f>Z201&lt;=AK201</f><v /></c><c r="AX201" s="365"><f>IF(I201&gt;=1,"Qcorrecto",IF(AND(AY201="aceptable",AZ201="aceptable",BA201="aceptable"),"Qcorrecto","Qincorrecto"))</f><v /></c><c r="AY201" s="368"><f>IF(AR201&lt;$AH$6,"error",IF(AR201&gt;$AH$6*1.1,"error","aceptable"))</f><v /></c><c r="AZ201" s="368"><f>IF(AF201&lt;$V$6,"error",IF(AF201&gt;$V$6*1.1,"error","aceptable"))</f><v /></c><c r="BA201" s="368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7"><f>SIGN(U201)</f><v /></c><c r="BE201" s="367"><f>SIGN(AG201)</f><v /></c><c r="BF201" s="367"><f>SIGN(AS201)</f><v /></c><c r="BG201" s="367"><f>CONCATENATE(BD201,BE201,BF201)</f><v /></c><c r="BH201" s="367"><f>IF(BG201="111","SI","SD")</f><v /></c><c r="BI201" s="367"><f>IF(BG201="-1-1-1","SI","SD")</f><v /></c><c r="BJ201" s="367"><f>OR(BH201="SI",BI201="SI")</f><v /></c><c r="BK201" s="367"><f>IF(BJ201=FALSE,"SIGDIFERENTES","SIGIGUALES")</f><v /></c><c r="BL201" s="368"><f>IF(BC201="NO CONFORME","NO CONFORME",IF(BB201="CONFORME","CONFORME","NO CONFORME"))</f><v /></c></row><row r="202" ht="15" customHeight="1" thickBot="1"><c r="A202" s="451" t="n"><v>194</v></c><c r="B202" s="369"><f>B201</f><v /></c><c r="C202" s="369"><f>C201</f><v /></c><c r="D202" s="370"><f>D201</f><v /></c><c r="E202" s="371"><f>E201</f><v /></c><c r="F202" s="13" t="n" /><c r="G202" s="300" t="inlineStr"><is><t>PA25517291</t></is></c><c r="H202" s="313"><f>H201</f><v /></c><c r="I202" s="38"><f>I201</f><v /></c><c r="J202" s="314"><f>J201</f><v /></c><c r="K202" s="372"><f>K201</f><v /></c><c r="L202" s="372"><f>L201</f><v /></c><c r="M202" s="373" t="n"><v>163.7</v></c><c r="N202" s="373" t="n"><v>264.14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273.8</v></c><c r="Z202" s="373" t="n"><v>283.94</v></c><c r="AA202" s="380"><f>AA201</f><v /></c><c r="AB202" s="381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289.11</v></c><c r="AM202" s="382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3"><f>IF(I202&gt;=1,"NO CONFORME",IF(BK202="SIGDIFERENTES",BC202,BL202))</f><v /></c><c r="AU202" s="365"><f>B202=C202</f><v /></c><c r="AV202" s="365"><f>N202&lt;Y202</f><v /></c><c r="AW202" s="365"><f>Z202&lt;=AK202</f><v /></c><c r="AX202" s="365"><f>IF(I202&gt;=1,"Qcorrecto",IF(AND(AY202="aceptable",AZ202="aceptable",BA202="aceptable"),"Qcorrecto","Qincorrecto"))</f><v /></c><c r="AY202" s="366"><f>IF(AR202&lt;$AH$6,"error",IF(AR202&gt;$AH$6*1.1,"error","aceptable"))</f><v /></c><c r="AZ202" s="366"><f>IF(AF202&lt;$V$6,"error",IF(AF202&gt;$V$6*1.1,"error","aceptable"))</f><v /></c><c r="BA202" s="366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7"><f>SIGN(U202)</f><v /></c><c r="BE202" s="367"><f>SIGN(AG202)</f><v /></c><c r="BF202" s="367"><f>SIGN(AS202)</f><v /></c><c r="BG202" s="367"><f>CONCATENATE(BD202,BE202,BF202)</f><v /></c><c r="BH202" s="367"><f>IF(BG202="111","SI","SD")</f><v /></c><c r="BI202" s="367"><f>IF(BG202="-1-1-1","SI","SD")</f><v /></c><c r="BJ202" s="367"><f>OR(BH202="SI",BI202="SI")</f><v /></c><c r="BK202" s="367"><f>IF(BJ202=FALSE,"SIGDIFERENTES","SIGIGUALES")</f><v /></c><c r="BL202" s="366"><f>IF(BC202="NO CONFORME","NO CONFORME",IF(BB202="CONFORME","CONFORME","NO CONFORME"))</f><v /></c></row><row r="203" ht="15" customHeight="1" thickBot="1"><c r="A203" s="451" t="n"><v>195</v></c><c r="B203" s="369"><f>B202</f><v /></c><c r="C203" s="369"><f>C202</f><v /></c><c r="D203" s="370"><f>D202</f><v /></c><c r="E203" s="371"><f>E202</f><v /></c><c r="F203" s="13" t="n" /><c r="G203" s="300" t="inlineStr"><is><t>PA25517292</t></is></c><c r="H203" s="313"><f>H202</f><v /></c><c r="I203" s="38"><f>I202</f><v /></c><c r="J203" s="314"><f>J202</f><v /></c><c r="K203" s="372"><f>K202</f><v /></c><c r="L203" s="372"><f>L202</f><v /></c><c r="M203" s="373" t="n"><v>163.42</v></c><c r="N203" s="373" t="n"><v>264.27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273.96</v></c><c r="Z203" s="373" t="n"><v>284.09</v></c><c r="AA203" s="380"><f>AA202</f><v /></c><c r="AB203" s="381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289.16</v></c><c r="AM203" s="382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3"><f>IF(I203&gt;=1,"NO CONFORME",IF(BK203="SIGDIFERENTES",BC203,BL203))</f><v /></c><c r="AU203" s="365"><f>B203=C203</f><v /></c><c r="AV203" s="365"><f>N203&lt;Y203</f><v /></c><c r="AW203" s="365"><f>Z203&lt;=AK203</f><v /></c><c r="AX203" s="365"><f>IF(I203&gt;=1,"Qcorrecto",IF(AND(AY203="aceptable",AZ203="aceptable",BA203="aceptable"),"Qcorrecto","Qincorrecto"))</f><v /></c><c r="AY203" s="366"><f>IF(AR203&lt;$AH$6,"error",IF(AR203&gt;$AH$6*1.1,"error","aceptable"))</f><v /></c><c r="AZ203" s="366"><f>IF(AF203&lt;$V$6,"error",IF(AF203&gt;$V$6*1.1,"error","aceptable"))</f><v /></c><c r="BA203" s="366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7"><f>SIGN(U203)</f><v /></c><c r="BE203" s="367"><f>SIGN(AG203)</f><v /></c><c r="BF203" s="367"><f>SIGN(AS203)</f><v /></c><c r="BG203" s="367"><f>CONCATENATE(BD203,BE203,BF203)</f><v /></c><c r="BH203" s="367"><f>IF(BG203="111","SI","SD")</f><v /></c><c r="BI203" s="367"><f>IF(BG203="-1-1-1","SI","SD")</f><v /></c><c r="BJ203" s="367"><f>OR(BH203="SI",BI203="SI")</f><v /></c><c r="BK203" s="367"><f>IF(BJ203=FALSE,"SIGDIFERENTES","SIGIGUALES")</f><v /></c><c r="BL203" s="366"><f>IF(BC203="NO CONFORME","NO CONFORME",IF(BB203="CONFORME","CONFORME","NO CONFORME"))</f><v /></c></row><row r="204" ht="15.75" customHeight="1" thickBot="1"><c r="A204" s="451" t="n"><v>196</v></c><c r="B204" s="369"><f>B203</f><v /></c><c r="C204" s="369"><f>C203</f><v /></c><c r="D204" s="370"><f>D203</f><v /></c><c r="E204" s="371"><f>E203</f><v /></c><c r="F204" s="13" t="n" /><c r="G204" s="300" t="inlineStr"><is><t>PA25517293</t></is></c><c r="H204" s="313"><f>H203</f><v /></c><c r="I204" s="38"><f>I203</f><v /></c><c r="J204" s="314"><f>J203</f><v /></c><c r="K204" s="372"><f>K203</f><v /></c><c r="L204" s="372"><f>L203</f><v /></c><c r="M204" s="373" t="n"><v>164.47</v></c><c r="N204" s="373" t="n"><v>264.85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274.48</v></c><c r="Z204" s="373" t="n"><v>284.53</v></c><c r="AA204" s="380"><f>AA203</f><v /></c><c r="AB204" s="381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289.64</v></c><c r="AM204" s="382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3"><f>IF(I204&gt;=1,"NO CONFORME",IF(BK204="SIGDIFERENTES",BC204,BL204))</f><v /></c><c r="AU204" s="365"><f>B204=C204</f><v /></c><c r="AV204" s="365"><f>N204&lt;Y204</f><v /></c><c r="AW204" s="365"><f>Z204&lt;=AK204</f><v /></c><c r="AX204" s="365"><f>IF(I204&gt;=1,"Qcorrecto",IF(AND(AY204="aceptable",AZ204="aceptable",BA204="aceptable"),"Qcorrecto","Qincorrecto"))</f><v /></c><c r="AY204" s="366"><f>IF(AR204&lt;$AH$6,"error",IF(AR204&gt;$AH$6*1.1,"error","aceptable"))</f><v /></c><c r="AZ204" s="366"><f>IF(AF204&lt;$V$6,"error",IF(AF204&gt;$V$6*1.1,"error","aceptable"))</f><v /></c><c r="BA204" s="366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7"><f>SIGN(U204)</f><v /></c><c r="BE204" s="367"><f>SIGN(AG204)</f><v /></c><c r="BF204" s="367"><f>SIGN(AS204)</f><v /></c><c r="BG204" s="367"><f>CONCATENATE(BD204,BE204,BF204)</f><v /></c><c r="BH204" s="367"><f>IF(BG204="111","SI","SD")</f><v /></c><c r="BI204" s="367"><f>IF(BG204="-1-1-1","SI","SD")</f><v /></c><c r="BJ204" s="367"><f>OR(BH204="SI",BI204="SI")</f><v /></c><c r="BK204" s="367"><f>IF(BJ204=FALSE,"SIGDIFERENTES","SIGIGUALES")</f><v /></c><c r="BL204" s="366"><f>IF(BC204="NO CONFORME","NO CONFORME",IF(BB204="CONFORME","CONFORME","NO CONFORME"))</f><v /></c></row><row r="205" ht="14.4" customHeight="1" thickBot="1"><c r="A205" s="451" t="n"><v>197</v></c><c r="B205" s="369"><f>B204</f><v /></c><c r="C205" s="369"><f>C204</f><v /></c><c r="D205" s="370"><f>D204</f><v /></c><c r="E205" s="371"><f>E204</f><v /></c><c r="F205" s="13" t="n" /><c r="G205" s="300" t="inlineStr"><is><t>PA25517294</t></is></c><c r="H205" s="313"><f>H204</f><v /></c><c r="I205" s="38"><f>I204</f><v /></c><c r="J205" s="314"><f>J204</f><v /></c><c r="K205" s="372"><f>K204</f><v /></c><c r="L205" s="372"><f>L204</f><v /></c><c r="M205" s="373" t="n"><v>162.13</v></c><c r="N205" s="373" t="n"><v>261.8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271.38</v></c><c r="Z205" s="373" t="n"><v>281.45</v></c><c r="AA205" s="380"><f>AA204</f><v /></c><c r="AB205" s="381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286.52</v></c><c r="AM205" s="382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3"><f>IF(I205&gt;=1,"NO CONFORME",IF(BK205="SIGDIFERENTES",BC205,BL205))</f><v /></c><c r="AU205" s="365"><f>B205=C205</f><v /></c><c r="AV205" s="365"><f>N205&lt;Y205</f><v /></c><c r="AW205" s="365"><f>Z205&lt;=AK205</f><v /></c><c r="AX205" s="365"><f>IF(I205&gt;=1,"Qcorrecto",IF(AND(AY205="aceptable",AZ205="aceptable",BA205="aceptable"),"Qcorrecto","Qincorrecto"))</f><v /></c><c r="AY205" s="366"><f>IF(AR205&lt;$AH$6,"error",IF(AR205&gt;$AH$6*1.1,"error","aceptable"))</f><v /></c><c r="AZ205" s="366"><f>IF(AF205&lt;$V$6,"error",IF(AF205&gt;$V$6*1.1,"error","aceptable"))</f><v /></c><c r="BA205" s="366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7"><f>SIGN(U205)</f><v /></c><c r="BE205" s="367"><f>SIGN(AG205)</f><v /></c><c r="BF205" s="367"><f>SIGN(AS205)</f><v /></c><c r="BG205" s="367"><f>CONCATENATE(BD205,BE205,BF205)</f><v /></c><c r="BH205" s="367"><f>IF(BG205="111","SI","SD")</f><v /></c><c r="BI205" s="367"><f>IF(BG205="-1-1-1","SI","SD")</f><v /></c><c r="BJ205" s="367"><f>OR(BH205="SI",BI205="SI")</f><v /></c><c r="BK205" s="367"><f>IF(BJ205=FALSE,"SIGDIFERENTES","SIGIGUALES")</f><v /></c><c r="BL205" s="366"><f>IF(BC205="NO CONFORME","NO CONFORME",IF(BB205="CONFORME","CONFORME","NO CONFORME"))</f><v /></c></row><row r="206" ht="14.4" customHeight="1" thickBot="1"><c r="A206" s="451" t="n"><v>198</v></c><c r="B206" s="369"><f>B205</f><v /></c><c r="C206" s="369"><f>C205</f><v /></c><c r="D206" s="370"><f>D205</f><v /></c><c r="E206" s="371"><f>E205</f><v /></c><c r="F206" s="13" t="n" /><c r="G206" s="300" t="inlineStr"><is><t>PA25517295</t></is></c><c r="H206" s="313"><f>H205</f><v /></c><c r="I206" s="38"><f>I205</f><v /></c><c r="J206" s="314"><f>J205</f><v /></c><c r="K206" s="372"><f>K205</f><v /></c><c r="L206" s="372"><f>L205</f><v /></c><c r="M206" s="373" t="n"><v>164.38</v></c><c r="N206" s="373" t="n"><v>264.48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274.04</v></c><c r="Z206" s="373" t="n"><v>284.16</v></c><c r="AA206" s="380"><f>AA205</f><v /></c><c r="AB206" s="381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289.26</v></c><c r="AM206" s="382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3"><f>IF(I206&gt;=1,"NO CONFORME",IF(BK206="SIGDIFERENTES",BC206,BL206))</f><v /></c><c r="AU206" s="365"><f>B206=C206</f><v /></c><c r="AV206" s="365"><f>N206&lt;Y206</f><v /></c><c r="AW206" s="365"><f>Z206&lt;=AK206</f><v /></c><c r="AX206" s="365"><f>IF(I206&gt;=1,"Qcorrecto",IF(AND(AY206="aceptable",AZ206="aceptable",BA206="aceptable"),"Qcorrecto","Qincorrecto"))</f><v /></c><c r="AY206" s="366"><f>IF(AR206&lt;$AH$6,"error",IF(AR206&gt;$AH$6*1.1,"error","aceptable"))</f><v /></c><c r="AZ206" s="366"><f>IF(AF206&lt;$V$6,"error",IF(AF206&gt;$V$6*1.1,"error","aceptable"))</f><v /></c><c r="BA206" s="366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7"><f>SIGN(U206)</f><v /></c><c r="BE206" s="367"><f>SIGN(AG206)</f><v /></c><c r="BF206" s="367"><f>SIGN(AS206)</f><v /></c><c r="BG206" s="367"><f>CONCATENATE(BD206,BE206,BF206)</f><v /></c><c r="BH206" s="367"><f>IF(BG206="111","SI","SD")</f><v /></c><c r="BI206" s="367"><f>IF(BG206="-1-1-1","SI","SD")</f><v /></c><c r="BJ206" s="367"><f>OR(BH206="SI",BI206="SI")</f><v /></c><c r="BK206" s="367"><f>IF(BJ206=FALSE,"SIGDIFERENTES","SIGIGUALES")</f><v /></c><c r="BL206" s="366"><f>IF(BC206="NO CONFORME","NO CONFORME",IF(BB206="CONFORME","CONFORME","NO CONFORME"))</f><v /></c></row><row r="207" ht="14.4" customHeight="1" thickBot="1"><c r="A207" s="451" t="n"><v>199</v></c><c r="B207" s="369"><f>B206</f><v /></c><c r="C207" s="369"><f>C206</f><v /></c><c r="D207" s="370"><f>D206</f><v /></c><c r="E207" s="371"><f>E206</f><v /></c><c r="F207" s="13" t="n" /><c r="G207" s="300" t="inlineStr"><is><t>PA25517296</t></is></c><c r="H207" s="313"><f>H206</f><v /></c><c r="I207" s="38"><f>I206</f><v /></c><c r="J207" s="314"><f>J206</f><v /></c><c r="K207" s="372"><f>K206</f><v /></c><c r="L207" s="372"><f>L206</f><v /></c><c r="M207" s="373" t="n"><v>163.82</v></c><c r="N207" s="373" t="n"><v>264.28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273.88</v></c><c r="Z207" s="373" t="n"><v>283.9</v></c><c r="AA207" s="380"><f>AA206</f><v /></c><c r="AB207" s="381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288.96</v></c><c r="AM207" s="382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3"><f>IF(I207&gt;=1,"NO CONFORME",IF(BK207="SIGDIFERENTES",BC207,BL207))</f><v /></c><c r="AU207" s="365"><f>B207=C207</f><v /></c><c r="AV207" s="365"><f>N207&lt;Y207</f><v /></c><c r="AW207" s="365"><f>Z207&lt;=AK207</f><v /></c><c r="AX207" s="365"><f>IF(I207&gt;=1,"Qcorrecto",IF(AND(AY207="aceptable",AZ207="aceptable",BA207="aceptable"),"Qcorrecto","Qincorrecto"))</f><v /></c><c r="AY207" s="366"><f>IF(AR207&lt;$AH$6,"error",IF(AR207&gt;$AH$6*1.1,"error","aceptable"))</f><v /></c><c r="AZ207" s="366"><f>IF(AF207&lt;$V$6,"error",IF(AF207&gt;$V$6*1.1,"error","aceptable"))</f><v /></c><c r="BA207" s="366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7"><f>SIGN(U207)</f><v /></c><c r="BE207" s="367"><f>SIGN(AG207)</f><v /></c><c r="BF207" s="367"><f>SIGN(AS207)</f><v /></c><c r="BG207" s="367"><f>CONCATENATE(BD207,BE207,BF207)</f><v /></c><c r="BH207" s="367"><f>IF(BG207="111","SI","SD")</f><v /></c><c r="BI207" s="367"><f>IF(BG207="-1-1-1","SI","SD")</f><v /></c><c r="BJ207" s="367"><f>OR(BH207="SI",BI207="SI")</f><v /></c><c r="BK207" s="367"><f>IF(BJ207=FALSE,"SIGDIFERENTES","SIGIGUALES")</f><v /></c><c r="BL207" s="366"><f>IF(BC207="NO CONFORME","NO CONFORME",IF(BB207="CONFORME","CONFORME","NO CONFORME"))</f><v /></c></row><row r="208" ht="14.4" customHeight="1" thickBot="1"><c r="A208" s="451" t="n"><v>200</v></c><c r="B208" s="369"><f>B207</f><v /></c><c r="C208" s="369"><f>C207</f><v /></c><c r="D208" s="370"><f>D207</f><v /></c><c r="E208" s="371"><f>E207</f><v /></c><c r="F208" s="13" t="n" /><c r="G208" s="300" t="inlineStr"><is><t>PA25517297</t></is></c><c r="H208" s="313"><f>H207</f><v /></c><c r="I208" s="38"><f>I207</f><v /></c><c r="J208" s="314"><f>J207</f><v /></c><c r="K208" s="372"><f>K207</f><v /></c><c r="L208" s="372"><f>L207</f><v /></c><c r="M208" s="373" t="n"><v>165.48</v></c><c r="N208" s="373" t="n"><v>266.02</v></c><c r="O208" s="374"><f>O207</f><v /></c><c r="P208" s="375"><f>P207</f><v /></c><c r="Q208" s="376"><f>LEFT(P208,1)</f><v /></c><c r="R208" s="376"><f>RIGHT(P208,6)</f><v /></c><c r="S208" s="376"><f>+(Q208*60+R208)/(60*60)</f><v /></c><c r="T208" s="377"><f>+O208/S208</f><v /></c><c r="U208" s="378"><f>+(((N208-M208-O208)/O208)*100)</f><v /></c><c r="V208" s="317"><f>V207</f><v /></c><c r="W208" s="372"><f>W207</f><v /></c><c r="X208" s="372"><f>X207</f><v /></c><c r="Y208" s="373" t="n"><v>275.7</v></c><c r="Z208" s="373" t="n"><v>285.82</v></c><c r="AA208" s="380"><f>AA207</f><v /></c><c r="AB208" s="381"><f>AB207</f><v /></c><c r="AC208" s="376"><f>LEFT(AB208,2)</f><v /></c><c r="AD208" s="376"><f>RIGHT(AB208,6)</f><v /></c><c r="AE208" s="376"><f>+(AC208*60+AD208)/(60*60)</f><v /></c><c r="AF208" s="377"><f>+AA208/AE208</f><v /></c><c r="AG208" s="321"><f>+(((Z208-Y208-AA208)/AA208)*100)</f><v /></c><c r="AH208" s="317"><f>AH207</f><v /></c><c r="AI208" s="372"><f>AI207</f><v /></c><c r="AJ208" s="372"><f>AJ207</f><v /></c><c r="AK208" s="373"><f>Z208</f><v /></c><c r="AL208" s="373" t="n"><v>290.92</v></c><c r="AM208" s="382"><f>AM207</f><v /></c><c r="AN208" s="375"><f>AN207</f><v /></c><c r="AO208" s="376"><f>LEFT(AN208,2)</f><v /></c><c r="AP208" s="376"><f>RIGHT(AN208,6)</f><v /></c><c r="AQ208" s="376"><f>+(AO208*60+AP208)/(60*60)</f><v /></c><c r="AR208" s="377"><f>+AM208/AQ208</f><v /></c><c r="AS208" s="321"><f>+(((AL208-AK208-AM208)/AM208)*100)</f><v /></c><c r="AT208" s="383"><f>IF(I208&gt;=1,"NO CONFORME",IF(BK208="SIGDIFERENTES",BC208,BL208))</f><v /></c><c r="AU208" s="365"><f>B208=C208</f><v /></c><c r="AV208" s="365"><f>N208&lt;Y208</f><v /></c><c r="AW208" s="365"><f>Z208&lt;=AK208</f><v /></c><c r="AX208" s="365"><f>IF(I208&gt;=1,"Qcorrecto",IF(AND(AY208="aceptable",AZ208="aceptable",BA208="aceptable"),"Qcorrecto","Qincorrecto"))</f><v /></c><c r="AY208" s="366"><f>IF(AR208&lt;$AH$6,"error",IF(AR208&gt;$AH$6*1.1,"error","aceptable"))</f><v /></c><c r="AZ208" s="366"><f>IF(AF208&lt;$V$6,"error",IF(AF208&gt;$V$6*1.1,"error","aceptable"))</f><v /></c><c r="BA208" s="366"><f>IF(T208&lt;$J$6*0.9,"error",IF(T208&gt;$J$6,"error","aceptable"))</f><v /></c><c r="BB208" s="25"><f>(IF(ABS(U208)&lt;1.05,"CONFORME",IF(ABS(AG208)&lt;1.05,"CONFORME",IF(ABS(AS208)&lt;2.55,"CONFORME","NO CONFORME"))))</f><v /></c><c r="BC208" s="5"><f>(IF(ABS(U208)&gt;2.05,"NO CONFORME",IF(ABS(AG208)&gt;2.05,"NO CONFORME",IF(ABS(AS208)&gt;5.05,"NO CONFORME","CONFORME"))))</f><v /></c><c r="BD208" s="367"><f>SIGN(U208)</f><v /></c><c r="BE208" s="367"><f>SIGN(AG208)</f><v /></c><c r="BF208" s="367"><f>SIGN(AS208)</f><v /></c><c r="BG208" s="367"><f>CONCATENATE(BD208,BE208,BF208)</f><v /></c><c r="BH208" s="367"><f>IF(BG208="111","SI","SD")</f><v /></c><c r="BI208" s="367"><f>IF(BG208="-1-1-1","SI","SD")</f><v /></c><c r="BJ208" s="367"><f>OR(BH208="SI",BI208="SI")</f><v /></c><c r="BK208" s="367"><f>IF(BJ208=FALSE,"SIGDIFERENTES","SIGIGUALES")</f><v /></c><c r="BL208" s="366"><f>IF(BC208="NO CONFORME","NO CONFORME",IF(BB208="CONFORME","CONFORME","NO CONFORME"))</f><v /></c></row><row r="209" ht="14.4" customHeight="1" thickBot="1"><c r="A209" s="451" t="n"><v>201</v></c><c r="B209" s="369"><f>B208</f><v /></c><c r="C209" s="369"><f>C208</f><v /></c><c r="D209" s="370"><f>D208</f><v /></c><c r="E209" s="371"><f>E208</f><v /></c><c r="F209" s="13" t="n" /><c r="G209" s="300" t="inlineStr"><is><t>PA25517298</t></is></c><c r="H209" s="313"><f>H208</f><v /></c><c r="I209" s="38"><f>I208</f><v /></c><c r="J209" s="314"><f>J208</f><v /></c><c r="K209" s="372"><f>K208</f><v /></c><c r="L209" s="372"><f>L208</f><v /></c><c r="M209" s="373" t="n"><v>166.3</v></c><c r="N209" s="373" t="n"><v>266.25</v></c><c r="O209" s="374"><f>O208</f><v /></c><c r="P209" s="375"><f>P208</f><v /></c><c r="Q209" s="376"><f>LEFT(P209,1)</f><v /></c><c r="R209" s="376"><f>RIGHT(P209,6)</f><v /></c><c r="S209" s="376"><f>+(Q209*60+R209)/(60*60)</f><v /></c><c r="T209" s="377"><f>+O209/S209</f><v /></c><c r="U209" s="378"><f>+(((N209-M209-O209)/O209)*100)</f><v /></c><c r="V209" s="317"><f>V208</f><v /></c><c r="W209" s="372"><f>W208</f><v /></c><c r="X209" s="372"><f>X208</f><v /></c><c r="Y209" s="373" t="n"><v>275.84</v></c><c r="Z209" s="373" t="n"><v>285.95</v></c><c r="AA209" s="380"><f>AA208</f><v /></c><c r="AB209" s="381"><f>AB208</f><v /></c><c r="AC209" s="376"><f>LEFT(AB209,2)</f><v /></c><c r="AD209" s="376"><f>RIGHT(AB209,6)</f><v /></c><c r="AE209" s="376"><f>+(AC209*60+AD209)/(60*60)</f><v /></c><c r="AF209" s="377"><f>+AA209/AE209</f><v /></c><c r="AG209" s="321"><f>+(((Z209-Y209-AA209)/AA209)*100)</f><v /></c><c r="AH209" s="317"><f>AH208</f><v /></c><c r="AI209" s="372"><f>AI208</f><v /></c><c r="AJ209" s="372"><f>AJ208</f><v /></c><c r="AK209" s="373"><f>Z209</f><v /></c><c r="AL209" s="373" t="n"><v>291.11</v></c><c r="AM209" s="382"><f>AM208</f><v /></c><c r="AN209" s="375"><f>AN208</f><v /></c><c r="AO209" s="376"><f>LEFT(AN209,2)</f><v /></c><c r="AP209" s="376"><f>RIGHT(AN209,6)</f><v /></c><c r="AQ209" s="376"><f>+(AO209*60+AP209)/(60*60)</f><v /></c><c r="AR209" s="377"><f>+AM209/AQ209</f><v /></c><c r="AS209" s="321"><f>+(((AL209-AK209-AM209)/AM209)*100)</f><v /></c><c r="AT209" s="383"><f>IF(I209&gt;=1,"NO CONFORME",IF(BK209="SIGDIFERENTES",BC209,BL209))</f><v /></c><c r="AU209" s="365"><f>B209=C209</f><v /></c><c r="AV209" s="365"><f>N209&lt;Y209</f><v /></c><c r="AW209" s="365"><f>Z209&lt;=AK209</f><v /></c><c r="AX209" s="365"><f>IF(I209&gt;=1,"Qcorrecto",IF(AND(AY209="aceptable",AZ209="aceptable",BA209="aceptable"),"Qcorrecto","Qincorrecto"))</f><v /></c><c r="AY209" s="366"><f>IF(AR209&lt;$AH$6,"error",IF(AR209&gt;$AH$6*1.1,"error","aceptable"))</f><v /></c><c r="AZ209" s="366"><f>IF(AF209&lt;$V$6,"error",IF(AF209&gt;$V$6*1.1,"error","aceptable"))</f><v /></c><c r="BA209" s="366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7"><f>SIGN(U209)</f><v /></c><c r="BE209" s="367"><f>SIGN(AG209)</f><v /></c><c r="BF209" s="367"><f>SIGN(AS209)</f><v /></c><c r="BG209" s="367"><f>CONCATENATE(BD209,BE209,BF209)</f><v /></c><c r="BH209" s="367"><f>IF(BG209="111","SI","SD")</f><v /></c><c r="BI209" s="367"><f>IF(BG209="-1-1-1","SI","SD")</f><v /></c><c r="BJ209" s="367"><f>OR(BH209="SI",BI209="SI")</f><v /></c><c r="BK209" s="367"><f>IF(BJ209=FALSE,"SIGDIFERENTES","SIGIGUALES")</f><v /></c><c r="BL209" s="366"><f>IF(BC209="NO CONFORME","NO CONFORME",IF(BB209="CONFORME","CONFORME","NO CONFORME"))</f><v /></c></row><row r="210" ht="14.4" customHeight="1" thickBot="1"><c r="A210" s="451" t="n"><v>202</v></c><c r="B210" s="369"><f>B209</f><v /></c><c r="C210" s="369"><f>C209</f><v /></c><c r="D210" s="370"><f>D209</f><v /></c><c r="E210" s="371"><f>E209</f><v /></c><c r="F210" s="13" t="n" /><c r="G210" s="300" t="inlineStr"><is><t>PA25517299</t></is></c><c r="H210" s="313"><f>H209</f><v /></c><c r="I210" s="38"><f>I209</f><v /></c><c r="J210" s="314"><f>J209</f><v /></c><c r="K210" s="372"><f>K209</f><v /></c><c r="L210" s="372"><f>L209</f><v /></c><c r="M210" s="373" t="n"><v>164.63</v></c><c r="N210" s="373" t="n"><v>264.94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372"><f>W209</f><v /></c><c r="X210" s="372"><f>X209</f><v /></c><c r="Y210" s="373" t="n"><v>274.57</v></c><c r="Z210" s="373" t="n"><v>284.64</v></c><c r="AA210" s="380"><f>AA209</f><v /></c><c r="AB210" s="381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372"><f>AI209</f><v /></c><c r="AJ210" s="372"><f>AJ209</f><v /></c><c r="AK210" s="373"><f>Z210</f><v /></c><c r="AL210" s="373" t="n"><v>289.75</v></c><c r="AM210" s="382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3"><f>IF(I210&gt;=1,"NO CONFORME",IF(BK210="SIGDIFERENTES",BC210,BL210))</f><v /></c><c r="AU210" s="365"><f>B210=C210</f><v /></c><c r="AV210" s="365"><f>N210&lt;Y210</f><v /></c><c r="AW210" s="365"><f>Z210&lt;=AK210</f><v /></c><c r="AX210" s="365"><f>IF(I210&gt;=1,"Qcorrecto",IF(AND(AY210="aceptable",AZ210="aceptable",BA210="aceptable"),"Qcorrecto","Qincorrecto"))</f><v /></c><c r="AY210" s="366"><f>IF(AR210&lt;$AH$6,"error",IF(AR210&gt;$AH$6*1.1,"error","aceptable"))</f><v /></c><c r="AZ210" s="366"><f>IF(AF210&lt;$V$6,"error",IF(AF210&gt;$V$6*1.1,"error","aceptable"))</f><v /></c><c r="BA210" s="366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7"><f>SIGN(U210)</f><v /></c><c r="BE210" s="367"><f>SIGN(AG210)</f><v /></c><c r="BF210" s="367"><f>SIGN(AS210)</f><v /></c><c r="BG210" s="367"><f>CONCATENATE(BD210,BE210,BF210)</f><v /></c><c r="BH210" s="367"><f>IF(BG210="111","SI","SD")</f><v /></c><c r="BI210" s="367"><f>IF(BG210="-1-1-1","SI","SD")</f><v /></c><c r="BJ210" s="367"><f>OR(BH210="SI",BI210="SI")</f><v /></c><c r="BK210" s="367"><f>IF(BJ210=FALSE,"SIGDIFERENTES","SIGIGUALES")</f><v /></c><c r="BL210" s="366"><f>IF(BC210="NO CONFORME","NO CONFORME",IF(BB210="CONFORME","CONFORME","NO CONFORME"))</f><v /></c></row><row r="211" ht="15" customHeight="1" thickBot="1"><c r="A211" s="473" t="n"><v>203</v></c><c r="B211" s="454"><f>B210</f><v /></c><c r="C211" s="454"><f>C210</f><v /></c><c r="D211" s="455"><f>D210</f><v /></c><c r="E211" s="474"><f>E210</f><v /></c><c r="F211" s="52" t="n" /><c r="G211" s="337" t="inlineStr"><is><t>PA25517300</t></is></c><c r="H211" s="326"><f>H210</f><v /></c><c r="I211" s="98"><f>I210</f><v /></c><c r="J211" s="327"><f>J210</f><v /></c><c r="K211" s="458"><f>K210</f><v /></c><c r="L211" s="458"><f>L210</f><v /></c><c r="M211" s="459" t="n"><v>169.5</v></c><c r="N211" s="459" t="n"><v>269.98</v></c><c r="O211" s="460"><f>O210</f><v /></c><c r="P211" s="461"><f>P210</f><v /></c><c r="Q211" s="462"><f>LEFT(P211,1)</f><v /></c><c r="R211" s="462"><f>RIGHT(P211,6)</f><v /></c><c r="S211" s="462"><f>+(Q211*60+R211)/(60*60)</f><v /></c><c r="T211" s="463"><f>+O211/S211</f><v /></c><c r="U211" s="464"><f>+(((N211-M211-O211)/O211)*100)</f><v /></c><c r="V211" s="329"><f>V210</f><v /></c><c r="W211" s="458"><f>W210</f><v /></c><c r="X211" s="458"><f>X210</f><v /></c><c r="Y211" s="459" t="n"><v>279.52</v></c><c r="Z211" s="459" t="n"><v>289.65</v></c><c r="AA211" s="466"><f>AA210</f><v /></c><c r="AB211" s="467"><f>AB210</f><v /></c><c r="AC211" s="462"><f>LEFT(AB211,2)</f><v /></c><c r="AD211" s="462"><f>RIGHT(AB211,6)</f><v /></c><c r="AE211" s="462"><f>+(AC211*60+AD211)/(60*60)</f><v /></c><c r="AF211" s="463"><f>+AA211/AE211</f><v /></c><c r="AG211" s="468"><f>+(((Z211-Y211-AA211)/AA211)*100)</f><v /></c><c r="AH211" s="329"><f>AH210</f><v /></c><c r="AI211" s="458"><f>AI210</f><v /></c><c r="AJ211" s="458"><f>AJ210</f><v /></c><c r="AK211" s="459"><f>Z211</f><v /></c><c r="AL211" s="459" t="n"><v>294.81</v></c><c r="AM211" s="469"><f>AM210</f><v /></c><c r="AN211" s="461"><f>AN210</f><v /></c><c r="AO211" s="462"><f>LEFT(AN211,2)</f><v /></c><c r="AP211" s="462"><f>RIGHT(AN211,6)</f><v /></c><c r="AQ211" s="462"><f>+(AO211*60+AP211)/(60*60)</f><v /></c><c r="AR211" s="463"><f>+AM211/AQ211</f><v /></c><c r="AS211" s="468"><f>+(((AL211-AK211-AM211)/AM211)*100)</f><v /></c><c r="AT211" s="470"><f>IF(I211&gt;=1,"NO CONFORME",IF(BK211="SIGDIFERENTES",BC211,BL211))</f><v /></c><c r="AU211" s="426"><f>B211=C211</f><v /></c><c r="AV211" s="426"><f>N211&lt;Y211</f><v /></c><c r="AW211" s="426"><f>Z211&lt;=AK211</f><v /></c><c r="AX211" s="426"><f>IF(I211&gt;=1,"Qcorrecto",IF(AND(AY211="aceptable",AZ211="aceptable",BA211="aceptable"),"Qcorrecto","Qincorrecto"))</f><v /></c><c r="AY211" s="427"><f>IF(AR211&lt;$AH$6,"error",IF(AR211&gt;$AH$6*1.1,"error","aceptable"))</f><v /></c><c r="AZ211" s="427"><f>IF(AF211&lt;$V$6,"error",IF(AF211&gt;$V$6*1.1,"error","aceptable"))</f><v /></c><c r="BA211" s="427"><f>IF(T211&lt;$J$6*0.9,"error",IF(T211&gt;$J$6,"error","aceptable"))</f><v /></c><c r="BB211" s="428"><f>(IF(ABS(U211)&lt;1.05,"CONFORME",IF(ABS(AG211)&lt;1.05,"CONFORME",IF(ABS(AS211)&lt;2.55,"CONFORME","NO CONFORME"))))</f><v /></c><c r="BC211" s="429"><f>(IF(ABS(U211)&gt;2.05,"NO CONFORME",IF(ABS(AG211)&gt;2.05,"NO CONFORME",IF(ABS(AS211)&gt;5.05,"NO CONFORME","CONFORME"))))</f><v /></c><c r="BD211" s="430"><f>SIGN(U211)</f><v /></c><c r="BE211" s="430"><f>SIGN(AG211)</f><v /></c><c r="BF211" s="430"><f>SIGN(AS211)</f><v /></c><c r="BG211" s="430"><f>CONCATENATE(BD211,BE211,BF211)</f><v /></c><c r="BH211" s="430"><f>IF(BG211="111","SI","SD")</f><v /></c><c r="BI211" s="430"><f>IF(BG211="-1-1-1","SI","SD")</f><v /></c><c r="BJ211" s="430"><f>OR(BH211="SI",BI211="SI")</f><v /></c><c r="BK211" s="430"><f>IF(BJ211=FALSE,"SIGDIFERENTES","SIGIGUALES")</f><v /></c><c r="BL211" s="427"><f>IF(BC211="NO CONFORME","NO CONFORME",IF(BB211="CONFORME","CONFORME","NO CONFORME"))</f><v /></c></row><row r="212" ht="14.4" customHeight="1" thickBot="1"><c r="A212" s="351" t="n"><v>204</v></c><c r="B212" s="386"><f>B211</f><v /></c><c r="C212" s="386"><f>C211</f><v /></c><c r="D212" s="387"><f>D211</f><v /></c><c r="E212" s="475"><f>E211</f><v /></c><c r="F212" s="58" t="n" /><c r="G212" s="300" t="inlineStr"><is><t>PA25516931</t></is></c><c r="H212" s="388"><f>H211</f><v /></c><c r="I212" s="232"><f>I211</f><v /></c><c r="J212" s="389" t="n"><v>21</v></c><c r="K212" s="390" t="n"><v>8.314</v></c><c r="L212" s="390" t="n"><v>0.553</v></c><c r="M212" s="356" t="n"><v>167.59</v></c><c r="N212" s="356" t="n"><v>267.8</v></c><c r="O212" s="391" t="n"><v>100.5</v></c><c r="P212" s="392" t="inlineStr"><is><t>2,30,400</t></is></c><c r="Q212" s="359"><f>LEFT(P212,1)</f><v /></c><c r="R212" s="359"><f>RIGHT(P212,6)</f><v /></c><c r="S212" s="359"><f>+(Q212*60+R212)/(60*60)</f><v /></c><c r="T212" s="360"><f>+O212/S212</f><v /></c><c r="U212" s="361"><f>+(((N212-M212-O212)/O212)*100)</f><v /></c><c r="V212" s="393" t="n"><v>21.1</v></c><c r="W212" s="390" t="n"><v>1.403</v></c><c r="X212" s="390" t="n"><v>1.405</v></c><c r="Y212" s="356" t="n"><v>277.43</v></c><c r="Z212" s="356" t="n"><v>287.48</v></c><c r="AA212" s="395" t="n"><v>10.032</v></c><c r="AB212" s="396" t="inlineStr"><is><t>22,47,990</t></is></c><c r="AC212" s="359"><f>LEFT(AB212,2)</f><v /></c><c r="AD212" s="359"><f>RIGHT(AB212,6)</f><v /></c><c r="AE212" s="359"><f>+(AC212*60+AD212)/(60*60)</f><v /></c><c r="AF212" s="360"><f>+AA212/AE212</f><v /></c><c r="AG212" s="362"><f>+(((Z212-Y212-AA212)/AA212)*100)</f><v /></c><c r="AH212" s="393" t="n"><v>21</v></c><c r="AI212" s="390" t="n"><v>1.399</v></c><c r="AJ212" s="390" t="n"><v>1.401</v></c><c r="AK212" s="356"><f>Z212</f><v /></c><c r="AL212" s="356" t="n"><v>292.54</v></c><c r="AM212" s="397" t="n"><v>5.032</v></c><c r="AN212" s="392" t="inlineStr"><is><t>18,06,970</t></is></c><c r="AO212" s="359"><f>LEFT(AN212,2)</f><v /></c><c r="AP212" s="359"><f>RIGHT(AN212,6)</f><v /></c><c r="AQ212" s="359"><f>+(AO212*60+AP212)/(60*60)</f><v /></c><c r="AR212" s="360"><f>+AM212/AQ212</f><v /></c><c r="AS212" s="362"><f>+(((AL212-AK212-AM212)/AM212)*100)</f><v /></c><c r="AT212" s="364"><f>IF(I212&gt;=1,"NO CONFORME",IF(BK212="SIGDIFERENTES",BC212,BL212))</f><v /></c><c r="AU212" s="365"><f>B212=C212</f><v /></c><c r="AV212" s="365"><f>N212&lt;Y212</f><v /></c><c r="AW212" s="365"><f>Z212&lt;=AK212</f><v /></c><c r="AX212" s="365"><f>IF(I212&gt;=1,"Qcorrecto",IF(AND(AY212="aceptable",AZ212="aceptable",BA212="aceptable"),"Qcorrecto","Qincorrecto"))</f><v /></c><c r="AY212" s="368"><f>IF(AR212&lt;$AH$6,"error",IF(AR212&gt;$AH$6*1.1,"error","aceptable"))</f><v /></c><c r="AZ212" s="368"><f>IF(AF212&lt;$V$6,"error",IF(AF212&gt;$V$6*1.1,"error","aceptable"))</f><v /></c><c r="BA212" s="368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7"><f>SIGN(U212)</f><v /></c><c r="BE212" s="367"><f>SIGN(AG212)</f><v /></c><c r="BF212" s="367"><f>SIGN(AS212)</f><v /></c><c r="BG212" s="367"><f>CONCATENATE(BD212,BE212,BF212)</f><v /></c><c r="BH212" s="367"><f>IF(BG212="111","SI","SD")</f><v /></c><c r="BI212" s="367"><f>IF(BG212="-1-1-1","SI","SD")</f><v /></c><c r="BJ212" s="367"><f>OR(BH212="SI",BI212="SI")</f><v /></c><c r="BK212" s="367"><f>IF(BJ212=FALSE,"SIGDIFERENTES","SIGIGUALES")</f><v /></c><c r="BL212" s="368"><f>IF(BC212="NO CONFORME","NO CONFORME",IF(BB212="CONFORME","CONFORME","NO CONFORME"))</f><v /></c></row><row r="213" ht="14.4" customHeight="1" thickBot="1"><c r="A213" s="451" t="n"><v>205</v></c><c r="B213" s="369"><f>B212</f><v /></c><c r="C213" s="369"><f>C212</f><v /></c><c r="D213" s="370"><f>D212</f><v /></c><c r="E213" s="371"><f>E212</f><v /></c><c r="F213" s="13" t="n" /><c r="G213" s="312" t="inlineStr"><is><t>PA25516932</t></is></c><c r="H213" s="313"><f>H212</f><v /></c><c r="I213" s="38"><f>I212</f><v /></c><c r="J213" s="314"><f>J212</f><v /></c><c r="K213" s="372"><f>K212</f><v /></c><c r="L213" s="372"><f>L212</f><v /></c><c r="M213" s="373" t="n"><v>167.38</v></c><c r="N213" s="373" t="n"><v>267.42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372"><f>W212</f><v /></c><c r="X213" s="372"><f>X212</f><v /></c><c r="Y213" s="373" t="n"><v>277</v></c><c r="Z213" s="373" t="n"><v>287.04</v></c><c r="AA213" s="380"><f>AA212</f><v /></c><c r="AB213" s="381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372"><f>AI212</f><v /></c><c r="AJ213" s="372"><f>AJ212</f><v /></c><c r="AK213" s="373"><f>Z213</f><v /></c><c r="AL213" s="373" t="n"><v>292.14</v></c><c r="AM213" s="382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3"><f>IF(I213&gt;=1,"NO CONFORME",IF(BK213="SIGDIFERENTES",BC213,BL213))</f><v /></c><c r="AU213" s="365"><f>B213=C213</f><v /></c><c r="AV213" s="365"><f>N213&lt;Y213</f><v /></c><c r="AW213" s="365"><f>Z213&lt;=AK213</f><v /></c><c r="AX213" s="365"><f>IF(I213&gt;=1,"Qcorrecto",IF(AND(AY213="aceptable",AZ213="aceptable",BA213="aceptable"),"Qcorrecto","Qincorrecto"))</f><v /></c><c r="AY213" s="366"><f>IF(AR213&lt;$AH$6,"error",IF(AR213&gt;$AH$6*1.1,"error","aceptable"))</f><v /></c><c r="AZ213" s="366"><f>IF(AF213&lt;$V$6,"error",IF(AF213&gt;$V$6*1.1,"error","aceptable"))</f><v /></c><c r="BA213" s="366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7"><f>SIGN(U213)</f><v /></c><c r="BE213" s="367"><f>SIGN(AG213)</f><v /></c><c r="BF213" s="367"><f>SIGN(AS213)</f><v /></c><c r="BG213" s="367"><f>CONCATENATE(BD213,BE213,BF213)</f><v /></c><c r="BH213" s="367"><f>IF(BG213="111","SI","SD")</f><v /></c><c r="BI213" s="367"><f>IF(BG213="-1-1-1","SI","SD")</f><v /></c><c r="BJ213" s="367"><f>OR(BH213="SI",BI213="SI")</f><v /></c><c r="BK213" s="367"><f>IF(BJ213=FALSE,"SIGDIFERENTES","SIGIGUALES")</f><v /></c><c r="BL213" s="366"><f>IF(BC213="NO CONFORME","NO CONFORME",IF(BB213="CONFORME","CONFORME","NO CONFORME"))</f><v /></c></row><row r="214" ht="14.4" customHeight="1" thickBot="1"><c r="A214" s="451" t="n"><v>206</v></c><c r="B214" s="369"><f>B213</f><v /></c><c r="C214" s="369"><f>C213</f><v /></c><c r="D214" s="370"><f>D213</f><v /></c><c r="E214" s="371"><f>E213</f><v /></c><c r="F214" s="13" t="n" /><c r="G214" s="312" t="inlineStr"><is><t>PA25516933</t></is></c><c r="H214" s="313"><f>H213</f><v /></c><c r="I214" s="38"><f>I213</f><v /></c><c r="J214" s="314"><f>J213</f><v /></c><c r="K214" s="372"><f>K213</f><v /></c><c r="L214" s="372"><f>L213</f><v /></c><c r="M214" s="373" t="n"><v>167.65</v></c><c r="N214" s="373" t="n"><v>268.2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372"><f>W213</f><v /></c><c r="X214" s="372"><f>X213</f><v /></c><c r="Y214" s="373" t="n"><v>277.82</v></c><c r="Z214" s="373" t="n"><v>287.9</v></c><c r="AA214" s="380"><f>AA213</f><v /></c><c r="AB214" s="381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372"><f>AI213</f><v /></c><c r="AJ214" s="372"><f>AJ213</f><v /></c><c r="AK214" s="373"><f>Z214</f><v /></c><c r="AL214" s="373" t="n"><v>293</v></c><c r="AM214" s="382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3"><f>IF(I214&gt;=1,"NO CONFORME",IF(BK214="SIGDIFERENTES",BC214,BL214))</f><v /></c><c r="AU214" s="365"><f>B214=C214</f><v /></c><c r="AV214" s="365"><f>N214&lt;Y214</f><v /></c><c r="AW214" s="365"><f>Z214&lt;=AK214</f><v /></c><c r="AX214" s="365"><f>IF(I214&gt;=1,"Qcorrecto",IF(AND(AY214="aceptable",AZ214="aceptable",BA214="aceptable"),"Qcorrecto","Qincorrecto"))</f><v /></c><c r="AY214" s="366"><f>IF(AR214&lt;$AH$6,"error",IF(AR214&gt;$AH$6*1.1,"error","aceptable"))</f><v /></c><c r="AZ214" s="366"><f>IF(AF214&lt;$V$6,"error",IF(AF214&gt;$V$6*1.1,"error","aceptable"))</f><v /></c><c r="BA214" s="366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7"><f>SIGN(U214)</f><v /></c><c r="BE214" s="367"><f>SIGN(AG214)</f><v /></c><c r="BF214" s="367"><f>SIGN(AS214)</f><v /></c><c r="BG214" s="367"><f>CONCATENATE(BD214,BE214,BF214)</f><v /></c><c r="BH214" s="367"><f>IF(BG214="111","SI","SD")</f><v /></c><c r="BI214" s="367"><f>IF(BG214="-1-1-1","SI","SD")</f><v /></c><c r="BJ214" s="367"><f>OR(BH214="SI",BI214="SI")</f><v /></c><c r="BK214" s="367"><f>IF(BJ214=FALSE,"SIGDIFERENTES","SIGIGUALES")</f><v /></c><c r="BL214" s="366"><f>IF(BC214="NO CONFORME","NO CONFORME",IF(BB214="CONFORME","CONFORME","NO CONFORME"))</f><v /></c></row><row r="215" ht="14.4" customHeight="1" thickBot="1"><c r="A215" s="451" t="n"><v>207</v></c><c r="B215" s="369"><f>B214</f><v /></c><c r="C215" s="369"><f>C214</f><v /></c><c r="D215" s="370"><f>D214</f><v /></c><c r="E215" s="371"><f>E214</f><v /></c><c r="F215" s="13" t="n" /><c r="G215" s="334" t="inlineStr"><is><t>PA25516934</t></is></c><c r="H215" s="313"><f>H214</f><v /></c><c r="I215" s="38" t="n"><v>1</v></c><c r="J215" s="314"><f>J214</f><v /></c><c r="K215" s="372"><f>K214</f><v /></c><c r="L215" s="372"><f>L214</f><v /></c><c r="M215" s="373" t="n" /><c r="N215" s="373" t="n" /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372"><f>W214</f><v /></c><c r="X215" s="372"><f>X214</f><v /></c><c r="Y215" s="373" t="n" /><c r="Z215" s="373" t="n" /><c r="AA215" s="380"><f>AA214</f><v /></c><c r="AB215" s="381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372"><f>AI214</f><v /></c><c r="AJ215" s="372"><f>AJ214</f><v /></c><c r="AK215" s="373"><f>Z215</f><v /></c><c r="AL215" s="373" t="n" /><c r="AM215" s="382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3"><f>IF(I215&gt;=1,"NO CONFORME",IF(BK215="SIGDIFERENTES",BC215,BL215))</f><v /></c><c r="AU215" s="365"><f>B215=C215</f><v /></c><c r="AV215" s="365"><f>N215&lt;Y215</f><v /></c><c r="AW215" s="365"><f>Z215&lt;=AK215</f><v /></c><c r="AX215" s="365"><f>IF(I215&gt;=1,"Qcorrecto",IF(AND(AY215="aceptable",AZ215="aceptable",BA215="aceptable"),"Qcorrecto","Qincorrecto"))</f><v /></c><c r="AY215" s="366"><f>IF(AR215&lt;$AH$6,"error",IF(AR215&gt;$AH$6*1.1,"error","aceptable"))</f><v /></c><c r="AZ215" s="366"><f>IF(AF215&lt;$V$6,"error",IF(AF215&gt;$V$6*1.1,"error","aceptable"))</f><v /></c><c r="BA215" s="366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7"><f>SIGN(U215)</f><v /></c><c r="BE215" s="367"><f>SIGN(AG215)</f><v /></c><c r="BF215" s="367"><f>SIGN(AS215)</f><v /></c><c r="BG215" s="367"><f>CONCATENATE(BD215,BE215,BF215)</f><v /></c><c r="BH215" s="367"><f>IF(BG215="111","SI","SD")</f><v /></c><c r="BI215" s="367"><f>IF(BG215="-1-1-1","SI","SD")</f><v /></c><c r="BJ215" s="367"><f>OR(BH215="SI",BI215="SI")</f><v /></c><c r="BK215" s="367"><f>IF(BJ215=FALSE,"SIGDIFERENTES","SIGIGUALES")</f><v /></c><c r="BL215" s="366"><f>IF(BC215="NO CONFORME","NO CONFORME",IF(BB215="CONFORME","CONFORME","NO CONFORME"))</f><v /></c></row><row r="216" ht="15" customHeight="1" thickBot="1"><c r="A216" s="473" t="n"><v>208</v></c><c r="B216" s="454"><f>B215</f><v /></c><c r="C216" s="454"><f>C215</f><v /></c><c r="D216" s="455"><f>D215</f><v /></c><c r="E216" s="474"><f>E215</f><v /></c><c r="F216" s="52" t="n" /><c r="G216" s="325" t="inlineStr"><is><t>PA25516935</t></is></c><c r="H216" s="326"><f>H215</f><v /></c><c r="I216" s="98" t="n"><v>0</v></c><c r="J216" s="327"><f>J215</f><v /></c><c r="K216" s="458"><f>K215</f><v /></c><c r="L216" s="458"><f>L215</f><v /></c><c r="M216" s="459" t="n"><v>167.28</v></c><c r="N216" s="459" t="n"><v>267.4</v></c><c r="O216" s="460"><f>O215</f><v /></c><c r="P216" s="461"><f>P215</f><v /></c><c r="Q216" s="462"><f>LEFT(P216,1)</f><v /></c><c r="R216" s="462"><f>RIGHT(P216,6)</f><v /></c><c r="S216" s="462"><f>+(Q216*60+R216)/(60*60)</f><v /></c><c r="T216" s="463"><f>+O216/S216</f><v /></c><c r="U216" s="464"><f>+(((N216-M216-O216)/O216)*100)</f><v /></c><c r="V216" s="329"><f>V215</f><v /></c><c r="W216" s="458"><f>W215</f><v /></c><c r="X216" s="458"><f>X215</f><v /></c><c r="Y216" s="459" t="n"><v>277.02</v></c><c r="Z216" s="459" t="n"><v>287.18</v></c><c r="AA216" s="466"><f>AA215</f><v /></c><c r="AB216" s="467"><f>AB215</f><v /></c><c r="AC216" s="462"><f>LEFT(AB216,2)</f><v /></c><c r="AD216" s="462"><f>RIGHT(AB216,6)</f><v /></c><c r="AE216" s="462"><f>+(AC216*60+AD216)/(60*60)</f><v /></c><c r="AF216" s="463"><f>+AA216/AE216</f><v /></c><c r="AG216" s="468"><f>+(((Z216-Y216-AA216)/AA216)*100)</f><v /></c><c r="AH216" s="329"><f>AH215</f><v /></c><c r="AI216" s="458"><f>AI215</f><v /></c><c r="AJ216" s="458"><f>AJ215</f><v /></c><c r="AK216" s="459"><f>Z216</f><v /></c><c r="AL216" s="459" t="n"><v>292.29</v></c><c r="AM216" s="469"><f>AM215</f><v /></c><c r="AN216" s="461"><f>AN215</f><v /></c><c r="AO216" s="462"><f>LEFT(AN216,2)</f><v /></c><c r="AP216" s="462"><f>RIGHT(AN216,6)</f><v /></c><c r="AQ216" s="462"><f>+(AO216*60+AP216)/(60*60)</f><v /></c><c r="AR216" s="463"><f>+AM216/AQ216</f><v /></c><c r="AS216" s="468"><f>+(((AL216-AK216-AM216)/AM216)*100)</f><v /></c><c r="AT216" s="470"><f>IF(I216&gt;=1,"NO CONFORME",IF(BK216="SIGDIFERENTES",BC216,BL216))</f><v /></c><c r="AU216" s="426"><f>B216=C216</f><v /></c><c r="AV216" s="426"><f>N216&lt;Y216</f><v /></c><c r="AW216" s="426"><f>Z216&lt;=AK216</f><v /></c><c r="AX216" s="426"><f>IF(I216&gt;=1,"Qcorrecto",IF(AND(AY216="aceptable",AZ216="aceptable",BA216="aceptable"),"Qcorrecto","Qincorrecto"))</f><v /></c><c r="AY216" s="427"><f>IF(AR216&lt;$AH$6,"error",IF(AR216&gt;$AH$6*1.1,"error","aceptable"))</f><v /></c><c r="AZ216" s="427"><f>IF(AF216&lt;$V$6,"error",IF(AF216&gt;$V$6*1.1,"error","aceptable"))</f><v /></c><c r="BA216" s="427"><f>IF(T216&lt;$J$6*0.9,"error",IF(T216&gt;$J$6,"error","aceptable"))</f><v /></c><c r="BB216" s="428"><f>(IF(ABS(U216)&lt;1.05,"CONFORME",IF(ABS(AG216)&lt;1.05,"CONFORME",IF(ABS(AS216)&lt;2.55,"CONFORME","NO CONFORME"))))</f><v /></c><c r="BC216" s="429"><f>(IF(ABS(U216)&gt;2.05,"NO CONFORME",IF(ABS(AG216)&gt;2.05,"NO CONFORME",IF(ABS(AS216)&gt;5.05,"NO CONFORME","CONFORME"))))</f><v /></c><c r="BD216" s="430"><f>SIGN(U216)</f><v /></c><c r="BE216" s="430"><f>SIGN(AG216)</f><v /></c><c r="BF216" s="430"><f>SIGN(AS216)</f><v /></c><c r="BG216" s="430"><f>CONCATENATE(BD216,BE216,BF216)</f><v /></c><c r="BH216" s="430"><f>IF(BG216="111","SI","SD")</f><v /></c><c r="BI216" s="430"><f>IF(BG216="-1-1-1","SI","SD")</f><v /></c><c r="BJ216" s="430"><f>OR(BH216="SI",BI216="SI")</f><v /></c><c r="BK216" s="430"><f>IF(BJ216=FALSE,"SIGDIFERENTES","SIGIGUALES")</f><v /></c><c r="BL216" s="427"><f>IF(BC216="NO CONFORME","NO CONFORME",IF(BB216="CONFORME","CONFORME","NO CONFORME"))</f><v /></c></row><row r="217" ht="14.4" customHeight="1" thickBot="1"><c r="A217" s="351" t="n"><v>209</v></c><c r="B217" s="386"><f>B216</f><v /></c><c r="C217" s="386"><f>C216</f><v /></c><c r="D217" s="387"><f>D216</f><v /></c><c r="E217" s="475"><f>E216</f><v /></c><c r="F217" s="58" t="n" /><c r="G217" s="300" t="inlineStr"><is><t>PA25516936</t></is></c><c r="H217" s="388"><f>H216</f><v /></c><c r="I217" s="232"><f>I216</f><v /></c><c r="J217" s="389" t="n"><v>21.1</v></c><c r="K217" s="390" t="n"><v>8.311</v></c><c r="L217" s="390" t="n"><v>0.525</v></c><c r="M217" s="356" t="n"><v>136.98</v></c><c r="N217" s="356" t="n"><v>236.76</v></c><c r="O217" s="391" t="n"><v>100.4</v></c><c r="P217" s="392" t="inlineStr"><is><t>2,30,700</t></is></c><c r="Q217" s="359"><f>LEFT(P217,1)</f><v /></c><c r="R217" s="359"><f>RIGHT(P217,6)</f><v /></c><c r="S217" s="359"><f>+(Q217*60+R217)/(60*60)</f><v /></c><c r="T217" s="360"><f>+O217/S217</f><v /></c><c r="U217" s="361"><f>+(((N217-M217-O217)/O217)*100)</f><v /></c><c r="V217" s="393" t="n"><v>21.1</v></c><c r="W217" s="390" t="n"><v>1.399</v></c><c r="X217" s="390" t="n"><v>1.395</v></c><c r="Y217" s="356" t="n"><v>245.11</v></c><c r="Z217" s="356" t="n"><v>255.09</v></c><c r="AA217" s="395" t="n"><v>10.03</v></c><c r="AB217" s="396" t="inlineStr"><is><t>22,30,770</t></is></c><c r="AC217" s="359"><f>LEFT(AB217,2)</f><v /></c><c r="AD217" s="359"><f>RIGHT(AB217,6)</f><v /></c><c r="AE217" s="359"><f>+(AC217*60+AD217)/(60*60)</f><v /></c><c r="AF217" s="360"><f>+AA217/AE217</f><v /></c><c r="AG217" s="362"><f>+(((Z217-Y217-AA217)/AA217)*100)</f><v /></c><c r="AH217" s="393" t="n"><v>21</v></c><c r="AI217" s="390" t="n"><v>1.401</v></c><c r="AJ217" s="390" t="n"><v>1.4</v></c><c r="AK217" s="356"><f>Z217</f><v /></c><c r="AL217" s="356" t="n"><v>260.18</v></c><c r="AM217" s="397" t="n"><v>5.048</v></c><c r="AN217" s="392" t="inlineStr"><is><t>18,18,760</t></is></c><c r="AO217" s="359"><f>LEFT(AN217,2)</f><v /></c><c r="AP217" s="359"><f>RIGHT(AN217,6)</f><v /></c><c r="AQ217" s="359"><f>+(AO217*60+AP217)/(60*60)</f><v /></c><c r="AR217" s="360"><f>+AM217/AQ217</f><v /></c><c r="AS217" s="362"><f>+(((AL217-AK217-AM217)/AM217)*100)</f><v /></c><c r="AT217" s="364"><f>IF(I217&gt;=1,"NO CONFORME",IF(BK217="SIGDIFERENTES",BC217,BL217))</f><v /></c><c r="AU217" s="365"><f>B217=C217</f><v /></c><c r="AV217" s="365"><f>N217&lt;Y217</f><v /></c><c r="AW217" s="365"><f>Z217&lt;=AK217</f><v /></c><c r="AX217" s="365"><f>IF(I217&gt;=1,"Qcorrecto",IF(AND(AY217="aceptable",AZ217="aceptable",BA217="aceptable"),"Qcorrecto","Qincorrecto"))</f><v /></c><c r="AY217" s="368"><f>IF(AR217&lt;$AH$6,"error",IF(AR217&gt;$AH$6*1.1,"error","aceptable"))</f><v /></c><c r="AZ217" s="368"><f>IF(AF217&lt;$V$6,"error",IF(AF217&gt;$V$6*1.1,"error","aceptable"))</f><v /></c><c r="BA217" s="368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7"><f>SIGN(U217)</f><v /></c><c r="BE217" s="367"><f>SIGN(AG217)</f><v /></c><c r="BF217" s="367"><f>SIGN(AS217)</f><v /></c><c r="BG217" s="367"><f>CONCATENATE(BD217,BE217,BF217)</f><v /></c><c r="BH217" s="367"><f>IF(BG217="111","SI","SD")</f><v /></c><c r="BI217" s="367"><f>IF(BG217="-1-1-1","SI","SD")</f><v /></c><c r="BJ217" s="367"><f>OR(BH217="SI",BI217="SI")</f><v /></c><c r="BK217" s="367"><f>IF(BJ217=FALSE,"SIGDIFERENTES","SIGIGUALES")</f><v /></c><c r="BL217" s="368"><f>IF(BC217="NO CONFORME","NO CONFORME",IF(BB217="CONFORME","CONFORME","NO CONFORME"))</f><v /></c></row><row r="218" ht="14.4" customHeight="1" thickBot="1"><c r="A218" s="451" t="n"><v>210</v></c><c r="B218" s="369"><f>B217</f><v /></c><c r="C218" s="369"><f>C217</f><v /></c><c r="D218" s="370"><f>D217</f><v /></c><c r="E218" s="371"><f>E217</f><v /></c><c r="F218" s="13" t="n" /><c r="G218" s="312" t="inlineStr"><is><t>PA25516937</t></is></c><c r="H218" s="313"><f>H217</f><v /></c><c r="I218" s="38"><f>I217</f><v /></c><c r="J218" s="314"><f>J217</f><v /></c><c r="K218" s="372"><f>K217</f><v /></c><c r="L218" s="372"><f>L217</f><v /></c><c r="M218" s="373" t="n"><v>137.18</v></c><c r="N218" s="373" t="n"><v>236.8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372"><f>W217</f><v /></c><c r="X218" s="372"><f>X217</f><v /></c><c r="Y218" s="373" t="n"><v>245.14</v></c><c r="Z218" s="373" t="n"><v>255.19</v></c><c r="AA218" s="380"><f>AA217</f><v /></c><c r="AB218" s="381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372"><f>AI217</f><v /></c><c r="AJ218" s="372"><f>AJ217</f><v /></c><c r="AK218" s="373"><f>Z218</f><v /></c><c r="AL218" s="373" t="n"><v>260.33</v></c><c r="AM218" s="382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3"><f>IF(I218&gt;=1,"NO CONFORME",IF(BK218="SIGDIFERENTES",BC218,BL218))</f><v /></c><c r="AU218" s="365"><f>B218=C218</f><v /></c><c r="AV218" s="365"><f>N218&lt;Y218</f><v /></c><c r="AW218" s="365"><f>Z218&lt;=AK218</f><v /></c><c r="AX218" s="365"><f>IF(I218&gt;=1,"Qcorrecto",IF(AND(AY218="aceptable",AZ218="aceptable",BA218="aceptable"),"Qcorrecto","Qincorrecto"))</f><v /></c><c r="AY218" s="366"><f>IF(AR218&lt;$AH$6,"error",IF(AR218&gt;$AH$6*1.1,"error","aceptable"))</f><v /></c><c r="AZ218" s="366"><f>IF(AF218&lt;$V$6,"error",IF(AF218&gt;$V$6*1.1,"error","aceptable"))</f><v /></c><c r="BA218" s="366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7"><f>SIGN(U218)</f><v /></c><c r="BE218" s="367"><f>SIGN(AG218)</f><v /></c><c r="BF218" s="367"><f>SIGN(AS218)</f><v /></c><c r="BG218" s="367"><f>CONCATENATE(BD218,BE218,BF218)</f><v /></c><c r="BH218" s="367"><f>IF(BG218="111","SI","SD")</f><v /></c><c r="BI218" s="367"><f>IF(BG218="-1-1-1","SI","SD")</f><v /></c><c r="BJ218" s="367"><f>OR(BH218="SI",BI218="SI")</f><v /></c><c r="BK218" s="367"><f>IF(BJ218=FALSE,"SIGDIFERENTES","SIGIGUALES")</f><v /></c><c r="BL218" s="366"><f>IF(BC218="NO CONFORME","NO CONFORME",IF(BB218="CONFORME","CONFORME","NO CONFORME"))</f><v /></c></row><row r="219" ht="14.4" customHeight="1" thickBot="1"><c r="A219" s="451" t="n"><v>211</v></c><c r="B219" s="369"><f>B218</f><v /></c><c r="C219" s="369"><f>C218</f><v /></c><c r="D219" s="370"><f>D218</f><v /></c><c r="E219" s="371"><f>E218</f><v /></c><c r="F219" s="13" t="n" /><c r="G219" s="312" t="inlineStr"><is><t>PA25516938</t></is></c><c r="H219" s="313"><f>H218</f><v /></c><c r="I219" s="38"><f>I218</f><v /></c><c r="J219" s="314"><f>J218</f><v /></c><c r="K219" s="372"><f>K218</f><v /></c><c r="L219" s="372"><f>L218</f><v /></c><c r="M219" s="373" t="n"><v>137.58</v></c><c r="N219" s="373" t="n"><v>237.33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372"><f>W218</f><v /></c><c r="X219" s="372"><f>X218</f><v /></c><c r="Y219" s="373" t="n"><v>245.58</v></c><c r="Z219" s="373" t="n"><v>255.43</v></c><c r="AA219" s="380"><f>AA218</f><v /></c><c r="AB219" s="381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372"><f>AI218</f><v /></c><c r="AJ219" s="372"><f>AJ218</f><v /></c><c r="AK219" s="373"><f>Z219</f><v /></c><c r="AL219" s="373" t="n"><v>260.39</v></c><c r="AM219" s="382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3"><f>IF(I219&gt;=1,"NO CONFORME",IF(BK219="SIGDIFERENTES",BC219,BL219))</f><v /></c><c r="AU219" s="365"><f>B219=C219</f><v /></c><c r="AV219" s="365"><f>N219&lt;Y219</f><v /></c><c r="AW219" s="365"><f>Z219&lt;=AK219</f><v /></c><c r="AX219" s="365"><f>IF(I219&gt;=1,"Qcorrecto",IF(AND(AY219="aceptable",AZ219="aceptable",BA219="aceptable"),"Qcorrecto","Qincorrecto"))</f><v /></c><c r="AY219" s="366"><f>IF(AR219&lt;$AH$6,"error",IF(AR219&gt;$AH$6*1.1,"error","aceptable"))</f><v /></c><c r="AZ219" s="366"><f>IF(AF219&lt;$V$6,"error",IF(AF219&gt;$V$6*1.1,"error","aceptable"))</f><v /></c><c r="BA219" s="366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7"><f>SIGN(U219)</f><v /></c><c r="BE219" s="367"><f>SIGN(AG219)</f><v /></c><c r="BF219" s="367"><f>SIGN(AS219)</f><v /></c><c r="BG219" s="367"><f>CONCATENATE(BD219,BE219,BF219)</f><v /></c><c r="BH219" s="367"><f>IF(BG219="111","SI","SD")</f><v /></c><c r="BI219" s="367"><f>IF(BG219="-1-1-1","SI","SD")</f><v /></c><c r="BJ219" s="367"><f>OR(BH219="SI",BI219="SI")</f><v /></c><c r="BK219" s="367"><f>IF(BJ219=FALSE,"SIGDIFERENTES","SIGIGUALES")</f><v /></c><c r="BL219" s="366"><f>IF(BC219="NO CONFORME","NO CONFORME",IF(BB219="CONFORME","CONFORME","NO CONFORME"))</f><v /></c></row><row r="220" ht="14.4" customHeight="1" thickBot="1"><c r="A220" s="451" t="n"><v>212</v></c><c r="B220" s="369"><f>B219</f><v /></c><c r="C220" s="369"><f>C219</f><v /></c><c r="D220" s="370"><f>D219</f><v /></c><c r="E220" s="371"><f>E219</f><v /></c><c r="F220" s="13" t="n" /><c r="G220" s="312" t="inlineStr"><is><t>PA25516939</t></is></c><c r="H220" s="313"><f>H219</f><v /></c><c r="I220" s="38"><f>I219</f><v /></c><c r="J220" s="314"><f>J219</f><v /></c><c r="K220" s="372"><f>K219</f><v /></c><c r="L220" s="372"><f>L219</f><v /></c><c r="M220" s="373" t="n"><v>135.98</v></c><c r="N220" s="373" t="n"><v>235.36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372"><f>W219</f><v /></c><c r="X220" s="372"><f>X219</f><v /></c><c r="Y220" s="373" t="n"><v>243.66</v></c><c r="Z220" s="373" t="n"><v>253.59</v></c><c r="AA220" s="380"><f>AA219</f><v /></c><c r="AB220" s="381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372"><f>AI219</f><v /></c><c r="AJ220" s="372"><f>AJ219</f><v /></c><c r="AK220" s="373"><f>Z220</f><v /></c><c r="AL220" s="373" t="n"><v>258.62</v></c><c r="AM220" s="382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3"><f>IF(I220&gt;=1,"NO CONFORME",IF(BK220="SIGDIFERENTES",BC220,BL220))</f><v /></c><c r="AU220" s="365"><f>B220=C220</f><v /></c><c r="AV220" s="365"><f>N220&lt;Y220</f><v /></c><c r="AW220" s="365"><f>Z220&lt;=AK220</f><v /></c><c r="AX220" s="365"><f>IF(I220&gt;=1,"Qcorrecto",IF(AND(AY220="aceptable",AZ220="aceptable",BA220="aceptable"),"Qcorrecto","Qincorrecto"))</f><v /></c><c r="AY220" s="366"><f>IF(AR220&lt;$AH$6,"error",IF(AR220&gt;$AH$6*1.1,"error","aceptable"))</f><v /></c><c r="AZ220" s="366"><f>IF(AF220&lt;$V$6,"error",IF(AF220&gt;$V$6*1.1,"error","aceptable"))</f><v /></c><c r="BA220" s="366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7"><f>SIGN(U220)</f><v /></c><c r="BE220" s="367"><f>SIGN(AG220)</f><v /></c><c r="BF220" s="367"><f>SIGN(AS220)</f><v /></c><c r="BG220" s="367"><f>CONCATENATE(BD220,BE220,BF220)</f><v /></c><c r="BH220" s="367"><f>IF(BG220="111","SI","SD")</f><v /></c><c r="BI220" s="367"><f>IF(BG220="-1-1-1","SI","SD")</f><v /></c><c r="BJ220" s="367"><f>OR(BH220="SI",BI220="SI")</f><v /></c><c r="BK220" s="367"><f>IF(BJ220=FALSE,"SIGDIFERENTES","SIGIGUALES")</f><v /></c><c r="BL220" s="366"><f>IF(BC220="NO CONFORME","NO CONFORME",IF(BB220="CONFORME","CONFORME","NO CONFORME"))</f><v /></c></row><row r="221" ht="14.4" customHeight="1" thickBot="1"><c r="A221" s="451" t="n"><v>213</v></c><c r="B221" s="369"><f>B220</f><v /></c><c r="C221" s="369"><f>C220</f><v /></c><c r="D221" s="370"><f>D220</f><v /></c><c r="E221" s="371"><f>E220</f><v /></c><c r="F221" s="13" t="n" /><c r="G221" s="312" t="inlineStr"><is><t>PA25516940</t></is></c><c r="H221" s="313"><f>H220</f><v /></c><c r="I221" s="38"><f>I220</f><v /></c><c r="J221" s="314"><f>J220</f><v /></c><c r="K221" s="372"><f>K220</f><v /></c><c r="L221" s="372"><f>L220</f><v /></c><c r="M221" s="373" t="n"><v>137.8</v></c><c r="N221" s="373" t="n"><v>237.64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372"><f>W220</f><v /></c><c r="X221" s="372"><f>X220</f><v /></c><c r="Y221" s="373" t="n"><v>245.98</v></c><c r="Z221" s="373" t="n"><v>256.05</v></c><c r="AA221" s="380"><f>AA220</f><v /></c><c r="AB221" s="381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372"><f>AI220</f><v /></c><c r="AJ221" s="372"><f>AJ220</f><v /></c><c r="AK221" s="373"><f>Z221</f><v /></c><c r="AL221" s="373" t="n"><v>261.2</v></c><c r="AM221" s="382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3"><f>IF(I221&gt;=1,"NO CONFORME",IF(BK221="SIGDIFERENTES",BC221,BL221))</f><v /></c><c r="AU221" s="365"><f>B221=C221</f><v /></c><c r="AV221" s="365"><f>N221&lt;Y221</f><v /></c><c r="AW221" s="365"><f>Z221&lt;=AK221</f><v /></c><c r="AX221" s="365"><f>IF(I221&gt;=1,"Qcorrecto",IF(AND(AY221="aceptable",AZ221="aceptable",BA221="aceptable"),"Qcorrecto","Qincorrecto"))</f><v /></c><c r="AY221" s="366"><f>IF(AR221&lt;$AH$6,"error",IF(AR221&gt;$AH$6*1.1,"error","aceptable"))</f><v /></c><c r="AZ221" s="366"><f>IF(AF221&lt;$V$6,"error",IF(AF221&gt;$V$6*1.1,"error","aceptable"))</f><v /></c><c r="BA221" s="366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7"><f>SIGN(U221)</f><v /></c><c r="BE221" s="367"><f>SIGN(AG221)</f><v /></c><c r="BF221" s="367"><f>SIGN(AS221)</f><v /></c><c r="BG221" s="367"><f>CONCATENATE(BD221,BE221,BF221)</f><v /></c><c r="BH221" s="367"><f>IF(BG221="111","SI","SD")</f><v /></c><c r="BI221" s="367"><f>IF(BG221="-1-1-1","SI","SD")</f><v /></c><c r="BJ221" s="367"><f>OR(BH221="SI",BI221="SI")</f><v /></c><c r="BK221" s="367"><f>IF(BJ221=FALSE,"SIGDIFERENTES","SIGIGUALES")</f><v /></c><c r="BL221" s="366"><f>IF(BC221="NO CONFORME","NO CONFORME",IF(BB221="CONFORME","CONFORME","NO CONFORME"))</f><v /></c></row><row r="222" ht="14.4" customHeight="1" thickBot="1"><c r="A222" s="451" t="n"><v>214</v></c><c r="B222" s="369"><f>B221</f><v /></c><c r="C222" s="369"><f>C221</f><v /></c><c r="D222" s="370"><f>D221</f><v /></c><c r="E222" s="371"><f>E221</f><v /></c><c r="F222" s="13" t="n" /><c r="G222" s="312" t="inlineStr"><is><t>PA25516941</t></is></c><c r="H222" s="313"><f>H221</f><v /></c><c r="I222" s="38"><f>I221</f><v /></c><c r="J222" s="314"><f>J221</f><v /></c><c r="K222" s="372"><f>K221</f><v /></c><c r="L222" s="372"><f>L221</f><v /></c><c r="M222" s="373" t="n"><v>137.24</v></c><c r="N222" s="373" t="n"><v>236.89</v></c><c r="O222" s="374"><f>O221</f><v /></c><c r="P222" s="375"><f>P221</f><v /></c><c r="Q222" s="376"><f>LEFT(P222,1)</f><v /></c><c r="R222" s="376"><f>RIGHT(P222,6)</f><v /></c><c r="S222" s="376"><f>+(Q222*60+R222)/(60*60)</f><v /></c><c r="T222" s="377"><f>+O222/S222</f><v /></c><c r="U222" s="378"><f>+(((N222-M222-O222)/O222)*100)</f><v /></c><c r="V222" s="317"><f>V221</f><v /></c><c r="W222" s="372"><f>W221</f><v /></c><c r="X222" s="372"><f>X221</f><v /></c><c r="Y222" s="373" t="n"><v>245.22</v></c><c r="Z222" s="373" t="n"><v>255.26</v></c><c r="AA222" s="380"><f>AA221</f><v /></c><c r="AB222" s="381"><f>AB221</f><v /></c><c r="AC222" s="376"><f>LEFT(AB222,2)</f><v /></c><c r="AD222" s="376"><f>RIGHT(AB222,6)</f><v /></c><c r="AE222" s="376"><f>+(AC222*60+AD222)/(60*60)</f><v /></c><c r="AF222" s="377"><f>+AA222/AE222</f><v /></c><c r="AG222" s="321"><f>+(((Z222-Y222-AA222)/AA222)*100)</f><v /></c><c r="AH222" s="317"><f>AH221</f><v /></c><c r="AI222" s="372"><f>AI221</f><v /></c><c r="AJ222" s="372"><f>AJ221</f><v /></c><c r="AK222" s="373"><f>Z222</f><v /></c><c r="AL222" s="373" t="n"><v>260.38</v></c><c r="AM222" s="382"><f>AM221</f><v /></c><c r="AN222" s="375"><f>AN221</f><v /></c><c r="AO222" s="376"><f>LEFT(AN222,2)</f><v /></c><c r="AP222" s="376"><f>RIGHT(AN222,6)</f><v /></c><c r="AQ222" s="376"><f>+(AO222*60+AP222)/(60*60)</f><v /></c><c r="AR222" s="377"><f>+AM222/AQ222</f><v /></c><c r="AS222" s="321"><f>+(((AL222-AK222-AM222)/AM222)*100)</f><v /></c><c r="AT222" s="383"><f>IF(I222&gt;=1,"NO CONFORME",IF(BK222="SIGDIFERENTES",BC222,BL222))</f><v /></c><c r="AU222" s="365"><f>B222=C222</f><v /></c><c r="AV222" s="365"><f>N222&lt;Y222</f><v /></c><c r="AW222" s="365"><f>Z222&lt;=AK222</f><v /></c><c r="AX222" s="365"><f>IF(I222&gt;=1,"Qcorrecto",IF(AND(AY222="aceptable",AZ222="aceptable",BA222="aceptable"),"Qcorrecto","Qincorrecto"))</f><v /></c><c r="AY222" s="366"><f>IF(AR222&lt;$AH$6,"error",IF(AR222&gt;$AH$6*1.1,"error","aceptable"))</f><v /></c><c r="AZ222" s="366"><f>IF(AF222&lt;$V$6,"error",IF(AF222&gt;$V$6*1.1,"error","aceptable"))</f><v /></c><c r="BA222" s="366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67"><f>SIGN(U222)</f><v /></c><c r="BE222" s="367"><f>SIGN(AG222)</f><v /></c><c r="BF222" s="367"><f>SIGN(AS222)</f><v /></c><c r="BG222" s="367"><f>CONCATENATE(BD222,BE222,BF222)</f><v /></c><c r="BH222" s="367"><f>IF(BG222="111","SI","SD")</f><v /></c><c r="BI222" s="367"><f>IF(BG222="-1-1-1","SI","SD")</f><v /></c><c r="BJ222" s="367"><f>OR(BH222="SI",BI222="SI")</f><v /></c><c r="BK222" s="367"><f>IF(BJ222=FALSE,"SIGDIFERENTES","SIGIGUALES")</f><v /></c><c r="BL222" s="366"><f>IF(BC222="NO CONFORME","NO CONFORME",IF(BB222="CONFORME","CONFORME","NO CONFORME"))</f><v /></c></row><row r="223" ht="14.4" customHeight="1" thickBot="1"><c r="A223" s="451" t="n"><v>215</v></c><c r="B223" s="369"><f>B222</f><v /></c><c r="C223" s="369"><f>C222</f><v /></c><c r="D223" s="370"><f>D222</f><v /></c><c r="E223" s="371"><f>E222</f><v /></c><c r="F223" s="13" t="n" /><c r="G223" s="312" t="inlineStr"><is><t>PA25516942</t></is></c><c r="H223" s="313"><f>H222</f><v /></c><c r="I223" s="38"><f>I222</f><v /></c><c r="J223" s="314"><f>J222</f><v /></c><c r="K223" s="372"><f>K222</f><v /></c><c r="L223" s="372"><f>L222</f><v /></c><c r="M223" s="373" t="n"><v>138.29</v></c><c r="N223" s="373" t="n"><v>239.04</v></c><c r="O223" s="374"><f>O222</f><v /></c><c r="P223" s="375"><f>P222</f><v /></c><c r="Q223" s="376"><f>LEFT(P223,1)</f><v /></c><c r="R223" s="376"><f>RIGHT(P223,6)</f><v /></c><c r="S223" s="376"><f>+(Q223*60+R223)/(60*60)</f><v /></c><c r="T223" s="377"><f>+O223/S223</f><v /></c><c r="U223" s="378"><f>+(((N223-M223-O223)/O223)*100)</f><v /></c><c r="V223" s="317"><f>V222</f><v /></c><c r="W223" s="372"><f>W222</f><v /></c><c r="X223" s="372"><f>X222</f><v /></c><c r="Y223" s="373" t="n"><v>247.39</v></c><c r="Z223" s="373" t="n"><v>257.42</v></c><c r="AA223" s="380"><f>AA222</f><v /></c><c r="AB223" s="381"><f>AB222</f><v /></c><c r="AC223" s="376"><f>LEFT(AB223,2)</f><v /></c><c r="AD223" s="376"><f>RIGHT(AB223,6)</f><v /></c><c r="AE223" s="376"><f>+(AC223*60+AD223)/(60*60)</f><v /></c><c r="AF223" s="377"><f>+AA223/AE223</f><v /></c><c r="AG223" s="321"><f>+(((Z223-Y223-AA223)/AA223)*100)</f><v /></c><c r="AH223" s="317"><f>AH222</f><v /></c><c r="AI223" s="372"><f>AI222</f><v /></c><c r="AJ223" s="372"><f>AJ222</f><v /></c><c r="AK223" s="373"><f>Z223</f><v /></c><c r="AL223" s="373" t="n"><v>262.51</v></c><c r="AM223" s="382"><f>AM222</f><v /></c><c r="AN223" s="375"><f>AN222</f><v /></c><c r="AO223" s="376"><f>LEFT(AN223,2)</f><v /></c><c r="AP223" s="376"><f>RIGHT(AN223,6)</f><v /></c><c r="AQ223" s="376"><f>+(AO223*60+AP223)/(60*60)</f><v /></c><c r="AR223" s="377"><f>+AM223/AQ223</f><v /></c><c r="AS223" s="321"><f>+(((AL223-AK223-AM223)/AM223)*100)</f><v /></c><c r="AT223" s="383"><f>IF(I223&gt;=1,"NO CONFORME",IF(BK223="SIGDIFERENTES",BC223,BL223))</f><v /></c><c r="AU223" s="365"><f>B223=C223</f><v /></c><c r="AV223" s="365"><f>N223&lt;Y223</f><v /></c><c r="AW223" s="365"><f>Z223&lt;=AK223</f><v /></c><c r="AX223" s="365"><f>IF(I223&gt;=1,"Qcorrecto",IF(AND(AY223="aceptable",AZ223="aceptable",BA223="aceptable"),"Qcorrecto","Qincorrecto"))</f><v /></c><c r="AY223" s="366"><f>IF(AR223&lt;$AH$6,"error",IF(AR223&gt;$AH$6*1.1,"error","aceptable"))</f><v /></c><c r="AZ223" s="366"><f>IF(AF223&lt;$V$6,"error",IF(AF223&gt;$V$6*1.1,"error","aceptable"))</f><v /></c><c r="BA223" s="366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67"><f>SIGN(U223)</f><v /></c><c r="BE223" s="367"><f>SIGN(AG223)</f><v /></c><c r="BF223" s="367"><f>SIGN(AS223)</f><v /></c><c r="BG223" s="367"><f>CONCATENATE(BD223,BE223,BF223)</f><v /></c><c r="BH223" s="367"><f>IF(BG223="111","SI","SD")</f><v /></c><c r="BI223" s="367"><f>IF(BG223="-1-1-1","SI","SD")</f><v /></c><c r="BJ223" s="367"><f>OR(BH223="SI",BI223="SI")</f><v /></c><c r="BK223" s="367"><f>IF(BJ223=FALSE,"SIGDIFERENTES","SIGIGUALES")</f><v /></c><c r="BL223" s="366"><f>IF(BC223="NO CONFORME","NO CONFORME",IF(BB223="CONFORME","CONFORME","NO CONFORME"))</f><v /></c></row><row r="224" ht="14.4" customHeight="1" thickBot="1"><c r="A224" s="451" t="n"><v>216</v></c><c r="B224" s="369"><f>B223</f><v /></c><c r="C224" s="369"><f>C223</f><v /></c><c r="D224" s="370"><f>D223</f><v /></c><c r="E224" s="371"><f>E223</f><v /></c><c r="F224" s="13" t="n" /><c r="G224" s="312" t="inlineStr"><is><t>PA25516943</t></is></c><c r="H224" s="313"><f>H223</f><v /></c><c r="I224" s="38"><f>I223</f><v /></c><c r="J224" s="314"><f>J223</f><v /></c><c r="K224" s="372"><f>K223</f><v /></c><c r="L224" s="372"><f>L223</f><v /></c><c r="M224" s="373" t="n"><v>136.83</v></c><c r="N224" s="373" t="n"><v>236.4</v></c><c r="O224" s="374"><f>O223</f><v /></c><c r="P224" s="375"><f>P223</f><v /></c><c r="Q224" s="376"><f>LEFT(P224,1)</f><v /></c><c r="R224" s="376"><f>RIGHT(P224,6)</f><v /></c><c r="S224" s="376"><f>+(Q224*60+R224)/(60*60)</f><v /></c><c r="T224" s="377"><f>+O224/S224</f><v /></c><c r="U224" s="378"><f>+(((N224-M224-O224)/O224)*100)</f><v /></c><c r="V224" s="317"><f>V223</f><v /></c><c r="W224" s="372"><f>W223</f><v /></c><c r="X224" s="372"><f>X223</f><v /></c><c r="Y224" s="373" t="n"><v>244.68</v></c><c r="Z224" s="373" t="n"><v>254.64</v></c><c r="AA224" s="380"><f>AA223</f><v /></c><c r="AB224" s="381"><f>AB223</f><v /></c><c r="AC224" s="376"><f>LEFT(AB224,2)</f><v /></c><c r="AD224" s="376"><f>RIGHT(AB224,6)</f><v /></c><c r="AE224" s="376"><f>+(AC224*60+AD224)/(60*60)</f><v /></c><c r="AF224" s="377"><f>+AA224/AE224</f><v /></c><c r="AG224" s="321"><f>+(((Z224-Y224-AA224)/AA224)*100)</f><v /></c><c r="AH224" s="317"><f>AH223</f><v /></c><c r="AI224" s="372"><f>AI223</f><v /></c><c r="AJ224" s="372"><f>AJ223</f><v /></c><c r="AK224" s="373"><f>Z224</f><v /></c><c r="AL224" s="373" t="n"><v>259.69</v></c><c r="AM224" s="382"><f>AM223</f><v /></c><c r="AN224" s="375"><f>AN223</f><v /></c><c r="AO224" s="376"><f>LEFT(AN224,2)</f><v /></c><c r="AP224" s="376"><f>RIGHT(AN224,6)</f><v /></c><c r="AQ224" s="376"><f>+(AO224*60+AP224)/(60*60)</f><v /></c><c r="AR224" s="377"><f>+AM224/AQ224</f><v /></c><c r="AS224" s="321"><f>+(((AL224-AK224-AM224)/AM224)*100)</f><v /></c><c r="AT224" s="383"><f>IF(I224&gt;=1,"NO CONFORME",IF(BK224="SIGDIFERENTES",BC224,BL224))</f><v /></c><c r="AU224" s="365"><f>B224=C224</f><v /></c><c r="AV224" s="365"><f>N224&lt;Y224</f><v /></c><c r="AW224" s="365"><f>Z224&lt;=AK224</f><v /></c><c r="AX224" s="365"><f>IF(I224&gt;=1,"Qcorrecto",IF(AND(AY224="aceptable",AZ224="aceptable",BA224="aceptable"),"Qcorrecto","Qincorrecto"))</f><v /></c><c r="AY224" s="366"><f>IF(AR224&lt;$AH$6,"error",IF(AR224&gt;$AH$6*1.1,"error","aceptable"))</f><v /></c><c r="AZ224" s="366"><f>IF(AF224&lt;$V$6,"error",IF(AF224&gt;$V$6*1.1,"error","aceptable"))</f><v /></c><c r="BA224" s="366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67"><f>SIGN(U224)</f><v /></c><c r="BE224" s="367"><f>SIGN(AG224)</f><v /></c><c r="BF224" s="367"><f>SIGN(AS224)</f><v /></c><c r="BG224" s="367"><f>CONCATENATE(BD224,BE224,BF224)</f><v /></c><c r="BH224" s="367"><f>IF(BG224="111","SI","SD")</f><v /></c><c r="BI224" s="367"><f>IF(BG224="-1-1-1","SI","SD")</f><v /></c><c r="BJ224" s="367"><f>OR(BH224="SI",BI224="SI")</f><v /></c><c r="BK224" s="367"><f>IF(BJ224=FALSE,"SIGDIFERENTES","SIGIGUALES")</f><v /></c><c r="BL224" s="366"><f>IF(BC224="NO CONFORME","NO CONFORME",IF(BB224="CONFORME","CONFORME","NO CONFORME"))</f><v /></c></row><row r="225" ht="14.4" customHeight="1" thickBot="1"><c r="A225" s="451" t="n"><v>217</v></c><c r="B225" s="369"><f>B224</f><v /></c><c r="C225" s="369"><f>C224</f><v /></c><c r="D225" s="370"><f>D224</f><v /></c><c r="E225" s="371"><f>E224</f><v /></c><c r="F225" s="13" t="n" /><c r="G225" s="312" t="inlineStr"><is><t>PA25516944</t></is></c><c r="H225" s="313"><f>H224</f><v /></c><c r="I225" s="38"><f>I224</f><v /></c><c r="J225" s="314"><f>J224</f><v /></c><c r="K225" s="372"><f>K224</f><v /></c><c r="L225" s="372"><f>L224</f><v /></c><c r="M225" s="373" t="n"><v>137.82</v></c><c r="N225" s="373" t="n"><v>237.58</v></c><c r="O225" s="374"><f>O224</f><v /></c><c r="P225" s="375"><f>P224</f><v /></c><c r="Q225" s="376"><f>LEFT(P225,1)</f><v /></c><c r="R225" s="376"><f>RIGHT(P225,6)</f><v /></c><c r="S225" s="376"><f>+(Q225*60+R225)/(60*60)</f><v /></c><c r="T225" s="377"><f>+O225/S225</f><v /></c><c r="U225" s="378"><f>+(((N225-M225-O225)/O225)*100)</f><v /></c><c r="V225" s="317"><f>V224</f><v /></c><c r="W225" s="372"><f>W224</f><v /></c><c r="X225" s="372"><f>X224</f><v /></c><c r="Y225" s="373" t="n"><v>245.93</v></c><c r="Z225" s="373" t="n"><v>255.95</v></c><c r="AA225" s="380"><f>AA224</f><v /></c><c r="AB225" s="381"><f>AB224</f><v /></c><c r="AC225" s="376"><f>LEFT(AB225,2)</f><v /></c><c r="AD225" s="376"><f>RIGHT(AB225,6)</f><v /></c><c r="AE225" s="376"><f>+(AC225*60+AD225)/(60*60)</f><v /></c><c r="AF225" s="377"><f>+AA225/AE225</f><v /></c><c r="AG225" s="321"><f>+(((Z225-Y225-AA225)/AA225)*100)</f><v /></c><c r="AH225" s="317"><f>AH224</f><v /></c><c r="AI225" s="372"><f>AI224</f><v /></c><c r="AJ225" s="372"><f>AJ224</f><v /></c><c r="AK225" s="373"><f>Z225</f><v /></c><c r="AL225" s="373" t="n"><v>261.02</v></c><c r="AM225" s="382"><f>AM224</f><v /></c><c r="AN225" s="375"><f>AN224</f><v /></c><c r="AO225" s="376"><f>LEFT(AN225,2)</f><v /></c><c r="AP225" s="376"><f>RIGHT(AN225,6)</f><v /></c><c r="AQ225" s="376"><f>+(AO225*60+AP225)/(60*60)</f><v /></c><c r="AR225" s="377"><f>+AM225/AQ225</f><v /></c><c r="AS225" s="321"><f>+(((AL225-AK225-AM225)/AM225)*100)</f><v /></c><c r="AT225" s="383"><f>IF(I225&gt;=1,"NO CONFORME",IF(BK225="SIGDIFERENTES",BC225,BL225))</f><v /></c><c r="AU225" s="365"><f>B225=C225</f><v /></c><c r="AV225" s="365"><f>N225&lt;Y225</f><v /></c><c r="AW225" s="365"><f>Z225&lt;=AK225</f><v /></c><c r="AX225" s="365"><f>IF(I225&gt;=1,"Qcorrecto",IF(AND(AY225="aceptable",AZ225="aceptable",BA225="aceptable"),"Qcorrecto","Qincorrecto"))</f><v /></c><c r="AY225" s="366"><f>IF(AR225&lt;$AH$6,"error",IF(AR225&gt;$AH$6*1.1,"error","aceptable"))</f><v /></c><c r="AZ225" s="366"><f>IF(AF225&lt;$V$6,"error",IF(AF225&gt;$V$6*1.1,"error","aceptable"))</f><v /></c><c r="BA225" s="366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7"><f>SIGN(U225)</f><v /></c><c r="BE225" s="367"><f>SIGN(AG225)</f><v /></c><c r="BF225" s="367"><f>SIGN(AS225)</f><v /></c><c r="BG225" s="367"><f>CONCATENATE(BD225,BE225,BF225)</f><v /></c><c r="BH225" s="367"><f>IF(BG225="111","SI","SD")</f><v /></c><c r="BI225" s="367"><f>IF(BG225="-1-1-1","SI","SD")</f><v /></c><c r="BJ225" s="367"><f>OR(BH225="SI",BI225="SI")</f><v /></c><c r="BK225" s="367"><f>IF(BJ225=FALSE,"SIGDIFERENTES","SIGIGUALES")</f><v /></c><c r="BL225" s="366"><f>IF(BC225="NO CONFORME","NO CONFORME",IF(BB225="CONFORME","CONFORME","NO CONFORME"))</f><v /></c></row><row r="226" ht="14.4" customHeight="1" thickBot="1"><c r="A226" s="451" t="n"><v>218</v></c><c r="B226" s="369"><f>B225</f><v /></c><c r="C226" s="369"><f>C225</f><v /></c><c r="D226" s="370"><f>D225</f><v /></c><c r="E226" s="371"><f>E225</f><v /></c><c r="F226" s="13" t="n" /><c r="G226" s="312" t="inlineStr"><is><t>PA25516945</t></is></c><c r="H226" s="313"><f>H225</f><v /></c><c r="I226" s="38"><f>I225</f><v /></c><c r="J226" s="314"><f>J225</f><v /></c><c r="K226" s="372"><f>K225</f><v /></c><c r="L226" s="372"><f>L225</f><v /></c><c r="M226" s="373" t="n"><v>136.06</v></c><c r="N226" s="373" t="n"><v>235.26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372"><f>W225</f><v /></c><c r="X226" s="372"><f>X225</f><v /></c><c r="Y226" s="373" t="n"><v>243.53</v></c><c r="Z226" s="373" t="n"><v>253.49</v></c><c r="AA226" s="380"><f>AA225</f><v /></c><c r="AB226" s="381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372"><f>AI225</f><v /></c><c r="AJ226" s="372"><f>AJ225</f><v /></c><c r="AK226" s="373"><f>Z226</f><v /></c><c r="AL226" s="373" t="n"><v>258.58</v></c><c r="AM226" s="382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3"><f>IF(I226&gt;=1,"NO CONFORME",IF(BK226="SIGDIFERENTES",BC226,BL226))</f><v /></c><c r="AU226" s="365"><f>B226=C226</f><v /></c><c r="AV226" s="365"><f>N226&lt;Y226</f><v /></c><c r="AW226" s="365"><f>Z226&lt;=AK226</f><v /></c><c r="AX226" s="365"><f>IF(I226&gt;=1,"Qcorrecto",IF(AND(AY226="aceptable",AZ226="aceptable",BA226="aceptable"),"Qcorrecto","Qincorrecto"))</f><v /></c><c r="AY226" s="366"><f>IF(AR226&lt;$AH$6,"error",IF(AR226&gt;$AH$6*1.1,"error","aceptable"))</f><v /></c><c r="AZ226" s="366"><f>IF(AF226&lt;$V$6,"error",IF(AF226&gt;$V$6*1.1,"error","aceptable"))</f><v /></c><c r="BA226" s="366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7"><f>SIGN(U226)</f><v /></c><c r="BE226" s="367"><f>SIGN(AG226)</f><v /></c><c r="BF226" s="367"><f>SIGN(AS226)</f><v /></c><c r="BG226" s="367"><f>CONCATENATE(BD226,BE226,BF226)</f><v /></c><c r="BH226" s="367"><f>IF(BG226="111","SI","SD")</f><v /></c><c r="BI226" s="367"><f>IF(BG226="-1-1-1","SI","SD")</f><v /></c><c r="BJ226" s="367"><f>OR(BH226="SI",BI226="SI")</f><v /></c><c r="BK226" s="367"><f>IF(BJ226=FALSE,"SIGDIFERENTES","SIGIGUALES")</f><v /></c><c r="BL226" s="366"><f>IF(BC226="NO CONFORME","NO CONFORME",IF(BB226="CONFORME","CONFORME","NO CONFORME"))</f><v /></c></row><row r="227" ht="14.4" customHeight="1" thickBot="1"><c r="A227" s="451" t="n"><v>219</v></c><c r="B227" s="369"><f>B226</f><v /></c><c r="C227" s="369"><f>C226</f><v /></c><c r="D227" s="370"><f>D226</f><v /></c><c r="E227" s="371"><f>E226</f><v /></c><c r="F227" s="13" t="n" /><c r="G227" s="312" t="inlineStr"><is><t>PA25516946</t></is></c><c r="H227" s="313"><f>H226</f><v /></c><c r="I227" s="38"><f>I226</f><v /></c><c r="J227" s="314"><f>J226</f><v /></c><c r="K227" s="372"><f>K226</f><v /></c><c r="L227" s="372"><f>L226</f><v /></c><c r="M227" s="373" t="n"><v>136.59</v></c><c r="N227" s="373" t="n"><v>236.33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372"><f>W226</f><v /></c><c r="X227" s="372"><f>X226</f><v /></c><c r="Y227" s="373" t="n"><v>244.64</v></c><c r="Z227" s="373" t="n"><v>254.62</v></c><c r="AA227" s="380"><f>AA226</f><v /></c><c r="AB227" s="381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372"><f>AI226</f><v /></c><c r="AJ227" s="372"><f>AJ226</f><v /></c><c r="AK227" s="373"><f>Z227</f><v /></c><c r="AL227" s="373" t="n"><v>259.68</v></c><c r="AM227" s="382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3"><f>IF(I227&gt;=1,"NO CONFORME",IF(BK227="SIGDIFERENTES",BC227,BL227))</f><v /></c><c r="AU227" s="365"><f>B227=C227</f><v /></c><c r="AV227" s="365"><f>N227&lt;Y227</f><v /></c><c r="AW227" s="365"><f>Z227&lt;=AK227</f><v /></c><c r="AX227" s="365"><f>IF(I227&gt;=1,"Qcorrecto",IF(AND(AY227="aceptable",AZ227="aceptable",BA227="aceptable"),"Qcorrecto","Qincorrecto"))</f><v /></c><c r="AY227" s="366"><f>IF(AR227&lt;$AH$6,"error",IF(AR227&gt;$AH$6*1.1,"error","aceptable"))</f><v /></c><c r="AZ227" s="366"><f>IF(AF227&lt;$V$6,"error",IF(AF227&gt;$V$6*1.1,"error","aceptable"))</f><v /></c><c r="BA227" s="366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7"><f>SIGN(U227)</f><v /></c><c r="BE227" s="367"><f>SIGN(AG227)</f><v /></c><c r="BF227" s="367"><f>SIGN(AS227)</f><v /></c><c r="BG227" s="367"><f>CONCATENATE(BD227,BE227,BF227)</f><v /></c><c r="BH227" s="367"><f>IF(BG227="111","SI","SD")</f><v /></c><c r="BI227" s="367"><f>IF(BG227="-1-1-1","SI","SD")</f><v /></c><c r="BJ227" s="367"><f>OR(BH227="SI",BI227="SI")</f><v /></c><c r="BK227" s="367"><f>IF(BJ227=FALSE,"SIGDIFERENTES","SIGIGUALES")</f><v /></c><c r="BL227" s="366"><f>IF(BC227="NO CONFORME","NO CONFORME",IF(BB227="CONFORME","CONFORME","NO CONFORME"))</f><v /></c></row><row r="228" ht="14.4" customHeight="1" thickBot="1"><c r="A228" s="451" t="n"><v>220</v></c><c r="B228" s="369"><f>B227</f><v /></c><c r="C228" s="369"><f>C227</f><v /></c><c r="D228" s="370"><f>D227</f><v /></c><c r="E228" s="371"><f>E227</f><v /></c><c r="F228" s="13" t="n" /><c r="G228" s="312" t="inlineStr"><is><t>PA25516947</t></is></c><c r="H228" s="313"><f>H227</f><v /></c><c r="I228" s="38"><f>I227</f><v /></c><c r="J228" s="314"><f>J227</f><v /></c><c r="K228" s="372"><f>K227</f><v /></c><c r="L228" s="372"><f>L227</f><v /></c><c r="M228" s="373" t="n"><v>136.33</v></c><c r="N228" s="373" t="n"><v>236.02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372"><f>W227</f><v /></c><c r="X228" s="372"><f>X227</f><v /></c><c r="Y228" s="373" t="n"><v>244.34</v></c><c r="Z228" s="373" t="n"><v>254.43</v></c><c r="AA228" s="380"><f>AA227</f><v /></c><c r="AB228" s="381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372"><f>AI227</f><v /></c><c r="AJ228" s="372"><f>AJ227</f><v /></c><c r="AK228" s="373"><f>Z228</f><v /></c><c r="AL228" s="373" t="n"><v>259.54</v></c><c r="AM228" s="382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3"><f>IF(I228&gt;=1,"NO CONFORME",IF(BK228="SIGDIFERENTES",BC228,BL228))</f><v /></c><c r="AU228" s="365"><f>B228=C228</f><v /></c><c r="AV228" s="365"><f>N228&lt;Y228</f><v /></c><c r="AW228" s="365"><f>Z228&lt;=AK228</f><v /></c><c r="AX228" s="365"><f>IF(I228&gt;=1,"Qcorrecto",IF(AND(AY228="aceptable",AZ228="aceptable",BA228="aceptable"),"Qcorrecto","Qincorrecto"))</f><v /></c><c r="AY228" s="366"><f>IF(AR228&lt;$AH$6,"error",IF(AR228&gt;$AH$6*1.1,"error","aceptable"))</f><v /></c><c r="AZ228" s="366"><f>IF(AF228&lt;$V$6,"error",IF(AF228&gt;$V$6*1.1,"error","aceptable"))</f><v /></c><c r="BA228" s="366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7"><f>SIGN(U228)</f><v /></c><c r="BE228" s="367"><f>SIGN(AG228)</f><v /></c><c r="BF228" s="367"><f>SIGN(AS228)</f><v /></c><c r="BG228" s="367"><f>CONCATENATE(BD228,BE228,BF228)</f><v /></c><c r="BH228" s="367"><f>IF(BG228="111","SI","SD")</f><v /></c><c r="BI228" s="367"><f>IF(BG228="-1-1-1","SI","SD")</f><v /></c><c r="BJ228" s="367"><f>OR(BH228="SI",BI228="SI")</f><v /></c><c r="BK228" s="367"><f>IF(BJ228=FALSE,"SIGDIFERENTES","SIGIGUALES")</f><v /></c><c r="BL228" s="366"><f>IF(BC228="NO CONFORME","NO CONFORME",IF(BB228="CONFORME","CONFORME","NO CONFORME"))</f><v /></c></row><row r="229" ht="14.4" customHeight="1" thickBot="1"><c r="A229" s="451" t="n"><v>221</v></c><c r="B229" s="369"><f>B228</f><v /></c><c r="C229" s="369"><f>C228</f><v /></c><c r="D229" s="370"><f>D228</f><v /></c><c r="E229" s="371"><f>E228</f><v /></c><c r="F229" s="13" t="n" /><c r="G229" s="312" t="inlineStr"><is><t>PA25516948</t></is></c><c r="H229" s="313"><f>H228</f><v /></c><c r="I229" s="38"><f>I228</f><v /></c><c r="J229" s="314"><f>J228</f><v /></c><c r="K229" s="372"><f>K228</f><v /></c><c r="L229" s="372"><f>L228</f><v /></c><c r="M229" s="373" t="n"><v>136.54</v></c><c r="N229" s="373" t="n"><v>236.54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372"><f>W228</f><v /></c><c r="X229" s="372"><f>X228</f><v /></c><c r="Y229" s="373" t="n"><v>244.86</v></c><c r="Z229" s="373" t="n"><v>254.83</v></c><c r="AA229" s="380"><f>AA228</f><v /></c><c r="AB229" s="381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372"><f>AI228</f><v /></c><c r="AJ229" s="372"><f>AJ228</f><v /></c><c r="AK229" s="373"><f>Z229</f><v /></c><c r="AL229" s="373" t="n"><v>259.93</v></c><c r="AM229" s="382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3"><f>IF(I229&gt;=1,"NO CONFORME",IF(BK229="SIGDIFERENTES",BC229,BL229))</f><v /></c><c r="AU229" s="365"><f>B229=C229</f><v /></c><c r="AV229" s="365"><f>N229&lt;Y229</f><v /></c><c r="AW229" s="365"><f>Z229&lt;=AK229</f><v /></c><c r="AX229" s="365"><f>IF(I229&gt;=1,"Qcorrecto",IF(AND(AY229="aceptable",AZ229="aceptable",BA229="aceptable"),"Qcorrecto","Qincorrecto"))</f><v /></c><c r="AY229" s="366"><f>IF(AR229&lt;$AH$6,"error",IF(AR229&gt;$AH$6*1.1,"error","aceptable"))</f><v /></c><c r="AZ229" s="366"><f>IF(AF229&lt;$V$6,"error",IF(AF229&gt;$V$6*1.1,"error","aceptable"))</f><v /></c><c r="BA229" s="366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7"><f>SIGN(U229)</f><v /></c><c r="BE229" s="367"><f>SIGN(AG229)</f><v /></c><c r="BF229" s="367"><f>SIGN(AS229)</f><v /></c><c r="BG229" s="367"><f>CONCATENATE(BD229,BE229,BF229)</f><v /></c><c r="BH229" s="367"><f>IF(BG229="111","SI","SD")</f><v /></c><c r="BI229" s="367"><f>IF(BG229="-1-1-1","SI","SD")</f><v /></c><c r="BJ229" s="367"><f>OR(BH229="SI",BI229="SI")</f><v /></c><c r="BK229" s="367"><f>IF(BJ229=FALSE,"SIGDIFERENTES","SIGIGUALES")</f><v /></c><c r="BL229" s="366"><f>IF(BC229="NO CONFORME","NO CONFORME",IF(BB229="CONFORME","CONFORME","NO CONFORME"))</f><v /></c></row><row r="230" ht="14.4" customHeight="1" thickBot="1"><c r="A230" s="451" t="n"><v>222</v></c><c r="B230" s="369"><f>B229</f><v /></c><c r="C230" s="369"><f>C229</f><v /></c><c r="D230" s="370"><f>D229</f><v /></c><c r="E230" s="371"><f>E229</f><v /></c><c r="F230" s="13" t="n" /><c r="G230" s="312" t="inlineStr"><is><t>PA25516949</t></is></c><c r="H230" s="313"><f>H229</f><v /></c><c r="I230" s="38"><f>I229</f><v /></c><c r="J230" s="314"><f>J229</f><v /></c><c r="K230" s="372"><f>K229</f><v /></c><c r="L230" s="372"><f>L229</f><v /></c><c r="M230" s="373" t="n"><v>137.58</v></c><c r="N230" s="373" t="n"><v>237.23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372"><f>W229</f><v /></c><c r="X230" s="372"><f>X229</f><v /></c><c r="Y230" s="373" t="n"><v>245.53</v></c><c r="Z230" s="373" t="n"><v>255.5</v></c><c r="AA230" s="380"><f>AA229</f><v /></c><c r="AB230" s="381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372"><f>AI229</f><v /></c><c r="AJ230" s="372"><f>AJ229</f><v /></c><c r="AK230" s="373"><f>Z230</f><v /></c><c r="AL230" s="373" t="n"><v>260.54</v></c><c r="AM230" s="382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3"><f>IF(I230&gt;=1,"NO CONFORME",IF(BK230="SIGDIFERENTES",BC230,BL230))</f><v /></c><c r="AU230" s="365"><f>B230=C230</f><v /></c><c r="AV230" s="365"><f>N230&lt;Y230</f><v /></c><c r="AW230" s="365"><f>Z230&lt;=AK230</f><v /></c><c r="AX230" s="365"><f>IF(I230&gt;=1,"Qcorrecto",IF(AND(AY230="aceptable",AZ230="aceptable",BA230="aceptable"),"Qcorrecto","Qincorrecto"))</f><v /></c><c r="AY230" s="366"><f>IF(AR230&lt;$AH$6,"error",IF(AR230&gt;$AH$6*1.1,"error","aceptable"))</f><v /></c><c r="AZ230" s="366"><f>IF(AF230&lt;$V$6,"error",IF(AF230&gt;$V$6*1.1,"error","aceptable"))</f><v /></c><c r="BA230" s="366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7"><f>SIGN(U230)</f><v /></c><c r="BE230" s="367"><f>SIGN(AG230)</f><v /></c><c r="BF230" s="367"><f>SIGN(AS230)</f><v /></c><c r="BG230" s="367"><f>CONCATENATE(BD230,BE230,BF230)</f><v /></c><c r="BH230" s="367"><f>IF(BG230="111","SI","SD")</f><v /></c><c r="BI230" s="367"><f>IF(BG230="-1-1-1","SI","SD")</f><v /></c><c r="BJ230" s="367"><f>OR(BH230="SI",BI230="SI")</f><v /></c><c r="BK230" s="367"><f>IF(BJ230=FALSE,"SIGDIFERENTES","SIGIGUALES")</f><v /></c><c r="BL230" s="366"><f>IF(BC230="NO CONFORME","NO CONFORME",IF(BB230="CONFORME","CONFORME","NO CONFORME"))</f><v /></c></row><row r="231" ht="14.4" customHeight="1" thickBot="1"><c r="A231" s="451" t="n"><v>223</v></c><c r="B231" s="369"><f>B230</f><v /></c><c r="C231" s="369"><f>C230</f><v /></c><c r="D231" s="370"><f>D230</f><v /></c><c r="E231" s="371"><f>E230</f><v /></c><c r="F231" s="13" t="n" /><c r="G231" s="312" t="inlineStr"><is><t>PA25516950</t></is></c><c r="H231" s="313"><f>H230</f><v /></c><c r="I231" s="38"><f>I230</f><v /></c><c r="J231" s="314"><f>J230</f><v /></c><c r="K231" s="372"><f>K230</f><v /></c><c r="L231" s="372"><f>L230</f><v /></c><c r="M231" s="373" t="n"><v>136.71</v></c><c r="N231" s="373" t="n"><v>236.15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372"><f>W230</f><v /></c><c r="X231" s="372"><f>X230</f><v /></c><c r="Y231" s="373" t="n"><v>244.43</v></c><c r="Z231" s="373" t="n"><v>254.41</v></c><c r="AA231" s="380"><f>AA230</f><v /></c><c r="AB231" s="381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372"><f>AI230</f><v /></c><c r="AJ231" s="372"><f>AJ230</f><v /></c><c r="AK231" s="373"><f>Z231</f><v /></c><c r="AL231" s="373" t="n"><v>259.49</v></c><c r="AM231" s="382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3"><f>IF(I231&gt;=1,"NO CONFORME",IF(BK231="SIGDIFERENTES",BC231,BL231))</f><v /></c><c r="AU231" s="365"><f>B231=C231</f><v /></c><c r="AV231" s="365"><f>N231&lt;Y231</f><v /></c><c r="AW231" s="365"><f>Z231&lt;=AK231</f><v /></c><c r="AX231" s="365"><f>IF(I231&gt;=1,"Qcorrecto",IF(AND(AY231="aceptable",AZ231="aceptable",BA231="aceptable"),"Qcorrecto","Qincorrecto"))</f><v /></c><c r="AY231" s="366"><f>IF(AR231&lt;$AH$6,"error",IF(AR231&gt;$AH$6*1.1,"error","aceptable"))</f><v /></c><c r="AZ231" s="366"><f>IF(AF231&lt;$V$6,"error",IF(AF231&gt;$V$6*1.1,"error","aceptable"))</f><v /></c><c r="BA231" s="366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7"><f>SIGN(U231)</f><v /></c><c r="BE231" s="367"><f>SIGN(AG231)</f><v /></c><c r="BF231" s="367"><f>SIGN(AS231)</f><v /></c><c r="BG231" s="367"><f>CONCATENATE(BD231,BE231,BF231)</f><v /></c><c r="BH231" s="367"><f>IF(BG231="111","SI","SD")</f><v /></c><c r="BI231" s="367"><f>IF(BG231="-1-1-1","SI","SD")</f><v /></c><c r="BJ231" s="367"><f>OR(BH231="SI",BI231="SI")</f><v /></c><c r="BK231" s="367"><f>IF(BJ231=FALSE,"SIGDIFERENTES","SIGIGUALES")</f><v /></c><c r="BL231" s="366"><f>IF(BC231="NO CONFORME","NO CONFORME",IF(BB231="CONFORME","CONFORME","NO CONFORME"))</f><v /></c></row><row r="232" ht="15" customHeight="1" thickBot="1"><c r="A232" s="473" t="n"><v>224</v></c><c r="B232" s="454"><f>B231</f><v /></c><c r="C232" s="454"><f>C231</f><v /></c><c r="D232" s="455"><f>D231</f><v /></c><c r="E232" s="474"><f>E231</f><v /></c><c r="F232" s="52" t="n" /><c r="G232" s="325" t="inlineStr"><is><t>PA25516951</t></is></c><c r="H232" s="326"><f>H231</f><v /></c><c r="I232" s="98"><f>I231</f><v /></c><c r="J232" s="327"><f>J231</f><v /></c><c r="K232" s="458"><f>K231</f><v /></c><c r="L232" s="458"><f>L231</f><v /></c><c r="M232" s="459" t="n"><v>137.34</v></c><c r="N232" s="459" t="n"><v>237.1</v></c><c r="O232" s="460"><f>O231</f><v /></c><c r="P232" s="461"><f>P231</f><v /></c><c r="Q232" s="462"><f>LEFT(P232,1)</f><v /></c><c r="R232" s="462"><f>RIGHT(P232,6)</f><v /></c><c r="S232" s="462"><f>+(Q232*60+R232)/(60*60)</f><v /></c><c r="T232" s="463"><f>+O232/S232</f><v /></c><c r="U232" s="464"><f>+(((N232-M232-O232)/O232)*100)</f><v /></c><c r="V232" s="329"><f>V231</f><v /></c><c r="W232" s="458"><f>W231</f><v /></c><c r="X232" s="458"><f>X231</f><v /></c><c r="Y232" s="459" t="n"><v>245.4</v></c><c r="Z232" s="459" t="n"><v>255.44</v></c><c r="AA232" s="466"><f>AA231</f><v /></c><c r="AB232" s="467"><f>AB231</f><v /></c><c r="AC232" s="462"><f>LEFT(AB232,2)</f><v /></c><c r="AD232" s="462"><f>RIGHT(AB232,6)</f><v /></c><c r="AE232" s="462"><f>+(AC232*60+AD232)/(60*60)</f><v /></c><c r="AF232" s="463"><f>+AA232/AE232</f><v /></c><c r="AG232" s="468"><f>+(((Z232-Y232-AA232)/AA232)*100)</f><v /></c><c r="AH232" s="329"><f>AH231</f><v /></c><c r="AI232" s="458"><f>AI231</f><v /></c><c r="AJ232" s="458"><f>AJ231</f><v /></c><c r="AK232" s="459"><f>Z232</f><v /></c><c r="AL232" s="459" t="n"><v>260.53</v></c><c r="AM232" s="469"><f>AM231</f><v /></c><c r="AN232" s="461"><f>AN231</f><v /></c><c r="AO232" s="462"><f>LEFT(AN232,2)</f><v /></c><c r="AP232" s="462"><f>RIGHT(AN232,6)</f><v /></c><c r="AQ232" s="462"><f>+(AO232*60+AP232)/(60*60)</f><v /></c><c r="AR232" s="463"><f>+AM232/AQ232</f><v /></c><c r="AS232" s="468"><f>+(((AL232-AK232-AM232)/AM232)*100)</f><v /></c><c r="AT232" s="470"><f>IF(I232&gt;=1,"NO CONFORME",IF(BK232="SIGDIFERENTES",BC232,BL232))</f><v /></c><c r="AU232" s="426"><f>B232=C232</f><v /></c><c r="AV232" s="426"><f>N232&lt;Y232</f><v /></c><c r="AW232" s="426"><f>Z232&lt;=AK232</f><v /></c><c r="AX232" s="426"><f>IF(I232&gt;=1,"Qcorrecto",IF(AND(AY232="aceptable",AZ232="aceptable",BA232="aceptable"),"Qcorrecto","Qincorrecto"))</f><v /></c><c r="AY232" s="427"><f>IF(AR232&lt;$AH$6,"error",IF(AR232&gt;$AH$6*1.1,"error","aceptable"))</f><v /></c><c r="AZ232" s="427"><f>IF(AF232&lt;$V$6,"error",IF(AF232&gt;$V$6*1.1,"error","aceptable"))</f><v /></c><c r="BA232" s="427"><f>IF(T232&lt;$J$6*0.9,"error",IF(T232&gt;$J$6,"error","aceptable"))</f><v /></c><c r="BB232" s="428"><f>(IF(ABS(U232)&lt;1.05,"CONFORME",IF(ABS(AG232)&lt;1.05,"CONFORME",IF(ABS(AS232)&lt;2.55,"CONFORME","NO CONFORME"))))</f><v /></c><c r="BC232" s="429"><f>(IF(ABS(U232)&gt;2.05,"NO CONFORME",IF(ABS(AG232)&gt;2.05,"NO CONFORME",IF(ABS(AS232)&gt;5.05,"NO CONFORME","CONFORME"))))</f><v /></c><c r="BD232" s="430"><f>SIGN(U232)</f><v /></c><c r="BE232" s="430"><f>SIGN(AG232)</f><v /></c><c r="BF232" s="430"><f>SIGN(AS232)</f><v /></c><c r="BG232" s="430"><f>CONCATENATE(BD232,BE232,BF232)</f><v /></c><c r="BH232" s="430"><f>IF(BG232="111","SI","SD")</f><v /></c><c r="BI232" s="430"><f>IF(BG232="-1-1-1","SI","SD")</f><v /></c><c r="BJ232" s="430"><f>OR(BH232="SI",BI232="SI")</f><v /></c><c r="BK232" s="430"><f>IF(BJ232=FALSE,"SIGDIFERENTES","SIGIGUALES")</f><v /></c><c r="BL232" s="427"><f>IF(BC232="NO CONFORME","NO CONFORME",IF(BB232="CONFORME","CONFORME","NO CONFORME"))</f><v /></c></row><row r="233" ht="14.4" customHeight="1" thickBot="1"><c r="A233" s="351" t="n"><v>225</v></c><c r="B233" s="386"><f>B232</f><v /></c><c r="C233" s="386"><f>C232</f><v /></c><c r="D233" s="387"><f>D232</f><v /></c><c r="E233" s="475"><f>E232</f><v /></c><c r="F233" s="58" t="n" /><c r="G233" s="300" t="inlineStr"><is><t>PA25516952</t></is></c><c r="H233" s="388"><f>H232</f><v /></c><c r="I233" s="232"><f>I232</f><v /></c><c r="J233" s="389" t="n"><v>21.1</v></c><c r="K233" s="390" t="n"><v>8.333</v></c><c r="L233" s="390" t="n"><v>0.534</v></c><c r="M233" s="356" t="n"><v>78.95999999999999</v></c><c r="N233" s="356" t="n"><v>178.49</v></c><c r="O233" s="391" t="n"><v>100.32</v></c><c r="P233" s="392" t="inlineStr"><is><t>2,30,130</t></is></c><c r="Q233" s="359"><f>LEFT(P233,1)</f><v /></c><c r="R233" s="359"><f>RIGHT(P233,6)</f><v /></c><c r="S233" s="359"><f>+(Q233*60+R233)/(60*60)</f><v /></c><c r="T233" s="360"><f>+O233/S233</f><v /></c><c r="U233" s="361"><f>+(((N233-M233-O233)/O233)*100)</f><v /></c><c r="V233" s="393" t="n"><v>21.1</v></c><c r="W233" s="390" t="n"><v>1.4</v></c><c r="X233" s="390" t="n"><v>1.4</v></c><c r="Y233" s="356" t="n"><v>190.38</v></c><c r="Z233" s="356" t="n"><v>200.33</v></c><c r="AA233" s="395" t="n"><v>10.032</v></c><c r="AB233" s="396" t="inlineStr"><is><t>22,50,450</t></is></c><c r="AC233" s="359"><f>LEFT(AB233,2)</f><v /></c><c r="AD233" s="359"><f>RIGHT(AB233,6)</f><v /></c><c r="AE233" s="359"><f>+(AC233*60+AD233)/(60*60)</f><v /></c><c r="AF233" s="360"><f>+AA233/AE233</f><v /></c><c r="AG233" s="362"><f>+(((Z233-Y233-AA233)/AA233)*100)</f><v /></c><c r="AH233" s="393" t="n"><v>21.1</v></c><c r="AI233" s="390" t="n"><v>1.402</v></c><c r="AJ233" s="390" t="n"><v>1.402</v></c><c r="AK233" s="356"><f>Z233</f><v /></c><c r="AL233" s="356" t="n"><v>205.36</v></c><c r="AM233" s="397" t="n"><v>5.014</v></c><c r="AN233" s="392" t="inlineStr"><is><t>18,18,510</t></is></c><c r="AO233" s="359"><f>LEFT(AN233,2)</f><v /></c><c r="AP233" s="359"><f>RIGHT(AN233,6)</f><v /></c><c r="AQ233" s="359"><f>+(AO233*60+AP233)/(60*60)</f><v /></c><c r="AR233" s="360"><f>+AM233/AQ233</f><v /></c><c r="AS233" s="362"><f>+(((AL233-AK233-AM233)/AM233)*100)</f><v /></c><c r="AT233" s="364"><f>IF(I233&gt;=1,"NO CONFORME",IF(BK233="SIGDIFERENTES",BC233,BL233))</f><v /></c><c r="AU233" s="365"><f>B233=C233</f><v /></c><c r="AV233" s="365"><f>N233&lt;Y233</f><v /></c><c r="AW233" s="365"><f>Z233&lt;=AK233</f><v /></c><c r="AX233" s="365"><f>IF(I233&gt;=1,"Qcorrecto",IF(AND(AY233="aceptable",AZ233="aceptable",BA233="aceptable"),"Qcorrecto","Qincorrecto"))</f><v /></c><c r="AY233" s="368"><f>IF(AR233&lt;$AH$6,"error",IF(AR233&gt;$AH$6*1.1,"error","aceptable"))</f><v /></c><c r="AZ233" s="368"><f>IF(AF233&lt;$V$6,"error",IF(AF233&gt;$V$6*1.1,"error","aceptable"))</f><v /></c><c r="BA233" s="368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7"><f>SIGN(U233)</f><v /></c><c r="BE233" s="367"><f>SIGN(AG233)</f><v /></c><c r="BF233" s="367"><f>SIGN(AS233)</f><v /></c><c r="BG233" s="367"><f>CONCATENATE(BD233,BE233,BF233)</f><v /></c><c r="BH233" s="367"><f>IF(BG233="111","SI","SD")</f><v /></c><c r="BI233" s="367"><f>IF(BG233="-1-1-1","SI","SD")</f><v /></c><c r="BJ233" s="367"><f>OR(BH233="SI",BI233="SI")</f><v /></c><c r="BK233" s="367"><f>IF(BJ233=FALSE,"SIGDIFERENTES","SIGIGUALES")</f><v /></c><c r="BL233" s="368"><f>IF(BC233="NO CONFORME","NO CONFORME",IF(BB233="CONFORME","CONFORME","NO CONFORME"))</f><v /></c></row><row r="234" ht="14.4" customHeight="1" thickBot="1"><c r="A234" s="451" t="n"><v>226</v></c><c r="B234" s="369"><f>B233</f><v /></c><c r="C234" s="369"><f>C233</f><v /></c><c r="D234" s="370"><f>D233</f><v /></c><c r="E234" s="371"><f>E233</f><v /></c><c r="F234" s="13" t="n" /><c r="G234" s="312" t="inlineStr"><is><t>PA25516953</t></is></c><c r="H234" s="313"><f>H233</f><v /></c><c r="I234" s="38"><f>I233</f><v /></c><c r="J234" s="314"><f>J233</f><v /></c><c r="K234" s="372"><f>K233</f><v /></c><c r="L234" s="372"><f>L233</f><v /></c><c r="M234" s="373" t="n"><v>79.06999999999999</v></c><c r="N234" s="373" t="n"><v>178.43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372"><f>W233</f><v /></c><c r="X234" s="372"><f>X233</f><v /></c><c r="Y234" s="373" t="n"><v>190.33</v></c><c r="Z234" s="373" t="n"><v>200.34</v></c><c r="AA234" s="380"><f>AA233</f><v /></c><c r="AB234" s="381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372"><f>AI233</f><v /></c><c r="AJ234" s="372"><f>AJ233</f><v /></c><c r="AK234" s="373"><f>Z234</f><v /></c><c r="AL234" s="373" t="n"><v>205.41</v></c><c r="AM234" s="382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3"><f>IF(I234&gt;=1,"NO CONFORME",IF(BK234="SIGDIFERENTES",BC234,BL234))</f><v /></c><c r="AU234" s="365"><f>B234=C234</f><v /></c><c r="AV234" s="365"><f>N234&lt;Y234</f><v /></c><c r="AW234" s="365"><f>Z234&lt;=AK234</f><v /></c><c r="AX234" s="365"><f>IF(I234&gt;=1,"Qcorrecto",IF(AND(AY234="aceptable",AZ234="aceptable",BA234="aceptable"),"Qcorrecto","Qincorrecto"))</f><v /></c><c r="AY234" s="366"><f>IF(AR234&lt;$AH$6,"error",IF(AR234&gt;$AH$6*1.1,"error","aceptable"))</f><v /></c><c r="AZ234" s="366"><f>IF(AF234&lt;$V$6,"error",IF(AF234&gt;$V$6*1.1,"error","aceptable"))</f><v /></c><c r="BA234" s="366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7"><f>SIGN(U234)</f><v /></c><c r="BE234" s="367"><f>SIGN(AG234)</f><v /></c><c r="BF234" s="367"><f>SIGN(AS234)</f><v /></c><c r="BG234" s="367"><f>CONCATENATE(BD234,BE234,BF234)</f><v /></c><c r="BH234" s="367"><f>IF(BG234="111","SI","SD")</f><v /></c><c r="BI234" s="367"><f>IF(BG234="-1-1-1","SI","SD")</f><v /></c><c r="BJ234" s="367"><f>OR(BH234="SI",BI234="SI")</f><v /></c><c r="BK234" s="367"><f>IF(BJ234=FALSE,"SIGDIFERENTES","SIGIGUALES")</f><v /></c><c r="BL234" s="366"><f>IF(BC234="NO CONFORME","NO CONFORME",IF(BB234="CONFORME","CONFORME","NO CONFORME"))</f><v /></c></row><row r="235" ht="14.4" customHeight="1" thickBot="1"><c r="A235" s="451" t="n"><v>227</v></c><c r="B235" s="369"><f>B234</f><v /></c><c r="C235" s="369"><f>C234</f><v /></c><c r="D235" s="370"><f>D234</f><v /></c><c r="E235" s="371"><f>E234</f><v /></c><c r="F235" s="13" t="n" /><c r="G235" s="312" t="inlineStr"><is><t>PA25516954</t></is></c><c r="H235" s="313"><f>H234</f><v /></c><c r="I235" s="38"><f>I234</f><v /></c><c r="J235" s="314"><f>J234</f><v /></c><c r="K235" s="372"><f>K234</f><v /></c><c r="L235" s="372"><f>L234</f><v /></c><c r="M235" s="373" t="n"><v>78.91</v></c><c r="N235" s="373" t="n"><v>178.74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372"><f>W234</f><v /></c><c r="X235" s="372"><f>X234</f><v /></c><c r="Y235" s="373" t="n"><v>190.66</v></c><c r="Z235" s="373" t="n"><v>200.66</v></c><c r="AA235" s="380"><f>AA234</f><v /></c><c r="AB235" s="381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372"><f>AI234</f><v /></c><c r="AJ235" s="372"><f>AJ234</f><v /></c><c r="AK235" s="373"><f>Z235</f><v /></c><c r="AL235" s="373" t="n"><v>205.74</v></c><c r="AM235" s="382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3"><f>IF(I235&gt;=1,"NO CONFORME",IF(BK235="SIGDIFERENTES",BC235,BL235))</f><v /></c><c r="AU235" s="365"><f>B235=C235</f><v /></c><c r="AV235" s="365"><f>N235&lt;Y235</f><v /></c><c r="AW235" s="365"><f>Z235&lt;=AK235</f><v /></c><c r="AX235" s="365"><f>IF(I235&gt;=1,"Qcorrecto",IF(AND(AY235="aceptable",AZ235="aceptable",BA235="aceptable"),"Qcorrecto","Qincorrecto"))</f><v /></c><c r="AY235" s="366"><f>IF(AR235&lt;$AH$6,"error",IF(AR235&gt;$AH$6*1.1,"error","aceptable"))</f><v /></c><c r="AZ235" s="366"><f>IF(AF235&lt;$V$6,"error",IF(AF235&gt;$V$6*1.1,"error","aceptable"))</f><v /></c><c r="BA235" s="366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7"><f>SIGN(U235)</f><v /></c><c r="BE235" s="367"><f>SIGN(AG235)</f><v /></c><c r="BF235" s="367"><f>SIGN(AS235)</f><v /></c><c r="BG235" s="367"><f>CONCATENATE(BD235,BE235,BF235)</f><v /></c><c r="BH235" s="367"><f>IF(BG235="111","SI","SD")</f><v /></c><c r="BI235" s="367"><f>IF(BG235="-1-1-1","SI","SD")</f><v /></c><c r="BJ235" s="367"><f>OR(BH235="SI",BI235="SI")</f><v /></c><c r="BK235" s="367"><f>IF(BJ235=FALSE,"SIGDIFERENTES","SIGIGUALES")</f><v /></c><c r="BL235" s="366"><f>IF(BC235="NO CONFORME","NO CONFORME",IF(BB235="CONFORME","CONFORME","NO CONFORME"))</f><v /></c></row><row r="236" ht="14.4" customHeight="1" thickBot="1"><c r="A236" s="451" t="n"><v>228</v></c><c r="B236" s="369"><f>B235</f><v /></c><c r="C236" s="369"><f>C235</f><v /></c><c r="D236" s="370"><f>D235</f><v /></c><c r="E236" s="371"><f>E235</f><v /></c><c r="F236" s="13" t="n" /><c r="G236" s="312" t="inlineStr"><is><t>PA25516955</t></is></c><c r="H236" s="313"><f>H235</f><v /></c><c r="I236" s="38"><f>I235</f><v /></c><c r="J236" s="314"><f>J235</f><v /></c><c r="K236" s="372"><f>K235</f><v /></c><c r="L236" s="372"><f>L235</f><v /></c><c r="M236" s="373" t="n"><v>82.47</v></c><c r="N236" s="373" t="n"><v>181.96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372"><f>W235</f><v /></c><c r="X236" s="372"><f>X235</f><v /></c><c r="Y236" s="373" t="n"><v>193.86</v></c><c r="Z236" s="373" t="n"><v>203.83</v></c><c r="AA236" s="380"><f>AA235</f><v /></c><c r="AB236" s="381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372"><f>AI235</f><v /></c><c r="AJ236" s="372"><f>AJ235</f><v /></c><c r="AK236" s="373"><f>Z236</f><v /></c><c r="AL236" s="373" t="n"><v>208.9</v></c><c r="AM236" s="382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3"><f>IF(I236&gt;=1,"NO CONFORME",IF(BK236="SIGDIFERENTES",BC236,BL236))</f><v /></c><c r="AU236" s="365"><f>B236=C236</f><v /></c><c r="AV236" s="365"><f>N236&lt;Y236</f><v /></c><c r="AW236" s="365"><f>Z236&lt;=AK236</f><v /></c><c r="AX236" s="365"><f>IF(I236&gt;=1,"Qcorrecto",IF(AND(AY236="aceptable",AZ236="aceptable",BA236="aceptable"),"Qcorrecto","Qincorrecto"))</f><v /></c><c r="AY236" s="366"><f>IF(AR236&lt;$AH$6,"error",IF(AR236&gt;$AH$6*1.1,"error","aceptable"))</f><v /></c><c r="AZ236" s="366"><f>IF(AF236&lt;$V$6,"error",IF(AF236&gt;$V$6*1.1,"error","aceptable"))</f><v /></c><c r="BA236" s="366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7"><f>SIGN(U236)</f><v /></c><c r="BE236" s="367"><f>SIGN(AG236)</f><v /></c><c r="BF236" s="367"><f>SIGN(AS236)</f><v /></c><c r="BG236" s="367"><f>CONCATENATE(BD236,BE236,BF236)</f><v /></c><c r="BH236" s="367"><f>IF(BG236="111","SI","SD")</f><v /></c><c r="BI236" s="367"><f>IF(BG236="-1-1-1","SI","SD")</f><v /></c><c r="BJ236" s="367"><f>OR(BH236="SI",BI236="SI")</f><v /></c><c r="BK236" s="367"><f>IF(BJ236=FALSE,"SIGDIFERENTES","SIGIGUALES")</f><v /></c><c r="BL236" s="366"><f>IF(BC236="NO CONFORME","NO CONFORME",IF(BB236="CONFORME","CONFORME","NO CONFORME"))</f><v /></c></row><row r="237" ht="14.4" customHeight="1" thickBot="1"><c r="A237" s="451" t="n"><v>229</v></c><c r="B237" s="369"><f>B236</f><v /></c><c r="C237" s="369"><f>C236</f><v /></c><c r="D237" s="370"><f>D236</f><v /></c><c r="E237" s="371"><f>E236</f><v /></c><c r="F237" s="13" t="n" /><c r="G237" s="312" t="inlineStr"><is><t>PA25516956</t></is></c><c r="H237" s="313"><f>H236</f><v /></c><c r="I237" s="38"><f>I236</f><v /></c><c r="J237" s="314"><f>J236</f><v /></c><c r="K237" s="372"><f>K236</f><v /></c><c r="L237" s="372"><f>L236</f><v /></c><c r="M237" s="373" t="n"><v>80</v></c><c r="N237" s="373" t="n"><v>179.38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372"><f>W236</f><v /></c><c r="X237" s="372"><f>X236</f><v /></c><c r="Y237" s="373" t="n"><v>191.23</v></c><c r="Z237" s="373" t="n"><v>201.24</v></c><c r="AA237" s="380"><f>AA236</f><v /></c><c r="AB237" s="381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372"><f>AI236</f><v /></c><c r="AJ237" s="372"><f>AJ236</f><v /></c><c r="AK237" s="373"><f>Z237</f><v /></c><c r="AL237" s="373" t="n"><v>206.33</v></c><c r="AM237" s="382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3"><f>IF(I237&gt;=1,"NO CONFORME",IF(BK237="SIGDIFERENTES",BC237,BL237))</f><v /></c><c r="AU237" s="365"><f>B237=C237</f><v /></c><c r="AV237" s="365"><f>N237&lt;Y237</f><v /></c><c r="AW237" s="365"><f>Z237&lt;=AK237</f><v /></c><c r="AX237" s="365"><f>IF(I237&gt;=1,"Qcorrecto",IF(AND(AY237="aceptable",AZ237="aceptable",BA237="aceptable"),"Qcorrecto","Qincorrecto"))</f><v /></c><c r="AY237" s="366"><f>IF(AR237&lt;$AH$6,"error",IF(AR237&gt;$AH$6*1.1,"error","aceptable"))</f><v /></c><c r="AZ237" s="366"><f>IF(AF237&lt;$V$6,"error",IF(AF237&gt;$V$6*1.1,"error","aceptable"))</f><v /></c><c r="BA237" s="366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7"><f>SIGN(U237)</f><v /></c><c r="BE237" s="367"><f>SIGN(AG237)</f><v /></c><c r="BF237" s="367"><f>SIGN(AS237)</f><v /></c><c r="BG237" s="367"><f>CONCATENATE(BD237,BE237,BF237)</f><v /></c><c r="BH237" s="367"><f>IF(BG237="111","SI","SD")</f><v /></c><c r="BI237" s="367"><f>IF(BG237="-1-1-1","SI","SD")</f><v /></c><c r="BJ237" s="367"><f>OR(BH237="SI",BI237="SI")</f><v /></c><c r="BK237" s="367"><f>IF(BJ237=FALSE,"SIGDIFERENTES","SIGIGUALES")</f><v /></c><c r="BL237" s="366"><f>IF(BC237="NO CONFORME","NO CONFORME",IF(BB237="CONFORME","CONFORME","NO CONFORME"))</f><v /></c></row><row r="238" ht="14.4" customHeight="1" thickBot="1"><c r="A238" s="451" t="n"><v>230</v></c><c r="B238" s="369"><f>B237</f><v /></c><c r="C238" s="369"><f>C237</f><v /></c><c r="D238" s="370"><f>D237</f><v /></c><c r="E238" s="371"><f>E237</f><v /></c><c r="F238" s="13" t="n" /><c r="G238" s="312" t="inlineStr"><is><t>PA25516957</t></is></c><c r="H238" s="313"><f>H237</f><v /></c><c r="I238" s="38"><f>I237</f><v /></c><c r="J238" s="314"><f>J237</f><v /></c><c r="K238" s="372"><f>K237</f><v /></c><c r="L238" s="372"><f>L237</f><v /></c><c r="M238" s="373" t="n"><v>79.84</v></c><c r="N238" s="373" t="n"><v>179.7</v></c><c r="O238" s="374"><f>O237</f><v /></c><c r="P238" s="375"><f>P237</f><v /></c><c r="Q238" s="376"><f>LEFT(P238,1)</f><v /></c><c r="R238" s="376"><f>RIGHT(P238,6)</f><v /></c><c r="S238" s="376"><f>+(Q238*60+R238)/(60*60)</f><v /></c><c r="T238" s="377"><f>+O238/S238</f><v /></c><c r="U238" s="378"><f>+(((N238-M238-O238)/O238)*100)</f><v /></c><c r="V238" s="317"><f>V237</f><v /></c><c r="W238" s="372"><f>W237</f><v /></c><c r="X238" s="372"><f>X237</f><v /></c><c r="Y238" s="373" t="n"><v>191.62</v></c><c r="Z238" s="373" t="n"><v>201.58</v></c><c r="AA238" s="380"><f>AA237</f><v /></c><c r="AB238" s="381"><f>AB237</f><v /></c><c r="AC238" s="376"><f>LEFT(AB238,2)</f><v /></c><c r="AD238" s="376"><f>RIGHT(AB238,6)</f><v /></c><c r="AE238" s="376"><f>+(AC238*60+AD238)/(60*60)</f><v /></c><c r="AF238" s="377"><f>+AA238/AE238</f><v /></c><c r="AG238" s="321"><f>+(((Z238-Y238-AA238)/AA238)*100)</f><v /></c><c r="AH238" s="317"><f>AH237</f><v /></c><c r="AI238" s="372"><f>AI237</f><v /></c><c r="AJ238" s="372"><f>AJ237</f><v /></c><c r="AK238" s="373"><f>Z238</f><v /></c><c r="AL238" s="373" t="n"><v>206.54</v></c><c r="AM238" s="382"><f>AM237</f><v /></c><c r="AN238" s="375"><f>AN237</f><v /></c><c r="AO238" s="376"><f>LEFT(AN238,2)</f><v /></c><c r="AP238" s="376"><f>RIGHT(AN238,6)</f><v /></c><c r="AQ238" s="376"><f>+(AO238*60+AP238)/(60*60)</f><v /></c><c r="AR238" s="377"><f>+AM238/AQ238</f><v /></c><c r="AS238" s="321"><f>+(((AL238-AK238-AM238)/AM238)*100)</f><v /></c><c r="AT238" s="383"><f>IF(I238&gt;=1,"NO CONFORME",IF(BK238="SIGDIFERENTES",BC238,BL238))</f><v /></c><c r="AU238" s="365"><f>B238=C238</f><v /></c><c r="AV238" s="365"><f>N238&lt;Y238</f><v /></c><c r="AW238" s="365"><f>Z238&lt;=AK238</f><v /></c><c r="AX238" s="365"><f>IF(I238&gt;=1,"Qcorrecto",IF(AND(AY238="aceptable",AZ238="aceptable",BA238="aceptable"),"Qcorrecto","Qincorrecto"))</f><v /></c><c r="AY238" s="366"><f>IF(AR238&lt;$AH$6,"error",IF(AR238&gt;$AH$6*1.1,"error","aceptable"))</f><v /></c><c r="AZ238" s="366"><f>IF(AF238&lt;$V$6,"error",IF(AF238&gt;$V$6*1.1,"error","aceptable"))</f><v /></c><c r="BA238" s="366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67"><f>SIGN(U238)</f><v /></c><c r="BE238" s="367"><f>SIGN(AG238)</f><v /></c><c r="BF238" s="367"><f>SIGN(AS238)</f><v /></c><c r="BG238" s="367"><f>CONCATENATE(BD238,BE238,BF238)</f><v /></c><c r="BH238" s="367"><f>IF(BG238="111","SI","SD")</f><v /></c><c r="BI238" s="367"><f>IF(BG238="-1-1-1","SI","SD")</f><v /></c><c r="BJ238" s="367"><f>OR(BH238="SI",BI238="SI")</f><v /></c><c r="BK238" s="367"><f>IF(BJ238=FALSE,"SIGDIFERENTES","SIGIGUALES")</f><v /></c><c r="BL238" s="366"><f>IF(BC238="NO CONFORME","NO CONFORME",IF(BB238="CONFORME","CONFORME","NO CONFORME"))</f><v /></c></row><row r="239" ht="14.4" customHeight="1" thickBot="1"><c r="A239" s="451" t="n"><v>231</v></c><c r="B239" s="369"><f>B238</f><v /></c><c r="C239" s="369"><f>C238</f><v /></c><c r="D239" s="370"><f>D238</f><v /></c><c r="E239" s="371"><f>E238</f><v /></c><c r="F239" s="13" t="n" /><c r="G239" s="312" t="inlineStr"><is><t>PA25516958</t></is></c><c r="H239" s="313"><f>H238</f><v /></c><c r="I239" s="38"><f>I238</f><v /></c><c r="J239" s="314"><f>J238</f><v /></c><c r="K239" s="372"><f>K238</f><v /></c><c r="L239" s="372"><f>L238</f><v /></c><c r="M239" s="373" t="n"><v>80.42</v></c><c r="N239" s="373" t="n"><v>179.79</v></c><c r="O239" s="374"><f>O238</f><v /></c><c r="P239" s="375"><f>P238</f><v /></c><c r="Q239" s="376"><f>LEFT(P239,1)</f><v /></c><c r="R239" s="376"><f>RIGHT(P239,6)</f><v /></c><c r="S239" s="376"><f>+(Q239*60+R239)/(60*60)</f><v /></c><c r="T239" s="377"><f>+O239/S239</f><v /></c><c r="U239" s="378"><f>+(((N239-M239-O239)/O239)*100)</f><v /></c><c r="V239" s="317"><f>V238</f><v /></c><c r="W239" s="372"><f>W238</f><v /></c><c r="X239" s="372"><f>X238</f><v /></c><c r="Y239" s="373" t="n"><v>191.63</v></c><c r="Z239" s="373" t="n"><v>201.63</v></c><c r="AA239" s="380"><f>AA238</f><v /></c><c r="AB239" s="381"><f>AB238</f><v /></c><c r="AC239" s="376"><f>LEFT(AB239,2)</f><v /></c><c r="AD239" s="376"><f>RIGHT(AB239,6)</f><v /></c><c r="AE239" s="376"><f>+(AC239*60+AD239)/(60*60)</f><v /></c><c r="AF239" s="377"><f>+AA239/AE239</f><v /></c><c r="AG239" s="321"><f>+(((Z239-Y239-AA239)/AA239)*100)</f><v /></c><c r="AH239" s="317"><f>AH238</f><v /></c><c r="AI239" s="372"><f>AI238</f><v /></c><c r="AJ239" s="372"><f>AJ238</f><v /></c><c r="AK239" s="373"><f>Z239</f><v /></c><c r="AL239" s="373" t="n"><v>206.61</v></c><c r="AM239" s="382"><f>AM238</f><v /></c><c r="AN239" s="375"><f>AN238</f><v /></c><c r="AO239" s="376"><f>LEFT(AN239,2)</f><v /></c><c r="AP239" s="376"><f>RIGHT(AN239,6)</f><v /></c><c r="AQ239" s="376"><f>+(AO239*60+AP239)/(60*60)</f><v /></c><c r="AR239" s="377"><f>+AM239/AQ239</f><v /></c><c r="AS239" s="321"><f>+(((AL239-AK239-AM239)/AM239)*100)</f><v /></c><c r="AT239" s="383"><f>IF(I239&gt;=1,"NO CONFORME",IF(BK239="SIGDIFERENTES",BC239,BL239))</f><v /></c><c r="AU239" s="365"><f>B239=C239</f><v /></c><c r="AV239" s="365"><f>N239&lt;Y239</f><v /></c><c r="AW239" s="365"><f>Z239&lt;=AK239</f><v /></c><c r="AX239" s="365"><f>IF(I239&gt;=1,"Qcorrecto",IF(AND(AY239="aceptable",AZ239="aceptable",BA239="aceptable"),"Qcorrecto","Qincorrecto"))</f><v /></c><c r="AY239" s="366"><f>IF(AR239&lt;$AH$6,"error",IF(AR239&gt;$AH$6*1.1,"error","aceptable"))</f><v /></c><c r="AZ239" s="366"><f>IF(AF239&lt;$V$6,"error",IF(AF239&gt;$V$6*1.1,"error","aceptable"))</f><v /></c><c r="BA239" s="366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7"><f>SIGN(U239)</f><v /></c><c r="BE239" s="367"><f>SIGN(AG239)</f><v /></c><c r="BF239" s="367"><f>SIGN(AS239)</f><v /></c><c r="BG239" s="367"><f>CONCATENATE(BD239,BE239,BF239)</f><v /></c><c r="BH239" s="367"><f>IF(BG239="111","SI","SD")</f><v /></c><c r="BI239" s="367"><f>IF(BG239="-1-1-1","SI","SD")</f><v /></c><c r="BJ239" s="367"><f>OR(BH239="SI",BI239="SI")</f><v /></c><c r="BK239" s="367"><f>IF(BJ239=FALSE,"SIGDIFERENTES","SIGIGUALES")</f><v /></c><c r="BL239" s="366"><f>IF(BC239="NO CONFORME","NO CONFORME",IF(BB239="CONFORME","CONFORME","NO CONFORME"))</f><v /></c></row><row r="240" ht="14.4" customHeight="1" thickBot="1"><c r="A240" s="451" t="n"><v>232</v></c><c r="B240" s="369"><f>B239</f><v /></c><c r="C240" s="369"><f>C239</f><v /></c><c r="D240" s="370"><f>D239</f><v /></c><c r="E240" s="371"><f>E239</f><v /></c><c r="F240" s="13" t="n" /><c r="G240" s="312" t="inlineStr"><is><t>PA25516959</t></is></c><c r="H240" s="313"><f>H239</f><v /></c><c r="I240" s="38"><f>I239</f><v /></c><c r="J240" s="314"><f>J239</f><v /></c><c r="K240" s="372"><f>K239</f><v /></c><c r="L240" s="372"><f>L239</f><v /></c><c r="M240" s="373" t="n"><v>80.84</v></c><c r="N240" s="373" t="n"><v>180.46</v></c><c r="O240" s="374"><f>O239</f><v /></c><c r="P240" s="375"><f>P239</f><v /></c><c r="Q240" s="376"><f>LEFT(P240,1)</f><v /></c><c r="R240" s="376"><f>RIGHT(P240,6)</f><v /></c><c r="S240" s="376"><f>+(Q240*60+R240)/(60*60)</f><v /></c><c r="T240" s="377"><f>+O240/S240</f><v /></c><c r="U240" s="378"><f>+(((N240-M240-O240)/O240)*100)</f><v /></c><c r="V240" s="317"><f>V239</f><v /></c><c r="W240" s="372"><f>W239</f><v /></c><c r="X240" s="372"><f>X239</f><v /></c><c r="Y240" s="373" t="n"><v>192.36</v></c><c r="Z240" s="373" t="n"><v>202.39</v></c><c r="AA240" s="380"><f>AA239</f><v /></c><c r="AB240" s="381"><f>AB239</f><v /></c><c r="AC240" s="376"><f>LEFT(AB240,2)</f><v /></c><c r="AD240" s="376"><f>RIGHT(AB240,6)</f><v /></c><c r="AE240" s="376"><f>+(AC240*60+AD240)/(60*60)</f><v /></c><c r="AF240" s="377"><f>+AA240/AE240</f><v /></c><c r="AG240" s="321"><f>+(((Z240-Y240-AA240)/AA240)*100)</f><v /></c><c r="AH240" s="317"><f>AH239</f><v /></c><c r="AI240" s="372"><f>AI239</f><v /></c><c r="AJ240" s="372"><f>AJ239</f><v /></c><c r="AK240" s="373"><f>Z240</f><v /></c><c r="AL240" s="373" t="n"><v>207.44</v></c><c r="AM240" s="382"><f>AM239</f><v /></c><c r="AN240" s="375"><f>AN239</f><v /></c><c r="AO240" s="376"><f>LEFT(AN240,2)</f><v /></c><c r="AP240" s="376"><f>RIGHT(AN240,6)</f><v /></c><c r="AQ240" s="376"><f>+(AO240*60+AP240)/(60*60)</f><v /></c><c r="AR240" s="377"><f>+AM240/AQ240</f><v /></c><c r="AS240" s="321"><f>+(((AL240-AK240-AM240)/AM240)*100)</f><v /></c><c r="AT240" s="383"><f>IF(I240&gt;=1,"NO CONFORME",IF(BK240="SIGDIFERENTES",BC240,BL240))</f><v /></c><c r="AU240" s="365"><f>B240=C240</f><v /></c><c r="AV240" s="365"><f>N240&lt;Y240</f><v /></c><c r="AW240" s="365"><f>Z240&lt;=AK240</f><v /></c><c r="AX240" s="365"><f>IF(I240&gt;=1,"Qcorrecto",IF(AND(AY240="aceptable",AZ240="aceptable",BA240="aceptable"),"Qcorrecto","Qincorrecto"))</f><v /></c><c r="AY240" s="366"><f>IF(AR240&lt;$AH$6,"error",IF(AR240&gt;$AH$6*1.1,"error","aceptable"))</f><v /></c><c r="AZ240" s="366"><f>IF(AF240&lt;$V$6,"error",IF(AF240&gt;$V$6*1.1,"error","aceptable"))</f><v /></c><c r="BA240" s="366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67"><f>SIGN(U240)</f><v /></c><c r="BE240" s="367"><f>SIGN(AG240)</f><v /></c><c r="BF240" s="367"><f>SIGN(AS240)</f><v /></c><c r="BG240" s="367"><f>CONCATENATE(BD240,BE240,BF240)</f><v /></c><c r="BH240" s="367"><f>IF(BG240="111","SI","SD")</f><v /></c><c r="BI240" s="367"><f>IF(BG240="-1-1-1","SI","SD")</f><v /></c><c r="BJ240" s="367"><f>OR(BH240="SI",BI240="SI")</f><v /></c><c r="BK240" s="367"><f>IF(BJ240=FALSE,"SIGDIFERENTES","SIGIGUALES")</f><v /></c><c r="BL240" s="366"><f>IF(BC240="NO CONFORME","NO CONFORME",IF(BB240="CONFORME","CONFORME","NO CONFORME"))</f><v /></c></row><row r="241" ht="14.4" customHeight="1" thickBot="1"><c r="A241" s="451" t="n"><v>233</v></c><c r="B241" s="369"><f>B240</f><v /></c><c r="C241" s="369"><f>C240</f><v /></c><c r="D241" s="370"><f>D240</f><v /></c><c r="E241" s="371"><f>E240</f><v /></c><c r="F241" s="13" t="n" /><c r="G241" s="312" t="inlineStr"><is><t>PA25516960</t></is></c><c r="H241" s="313"><f>H240</f><v /></c><c r="I241" s="38"><f>I240</f><v /></c><c r="J241" s="314"><f>J240</f><v /></c><c r="K241" s="372"><f>K240</f><v /></c><c r="L241" s="372"><f>L240</f><v /></c><c r="M241" s="373" t="n"><v>80.3</v></c><c r="N241" s="373" t="n"><v>179.46</v></c><c r="O241" s="374"><f>O240</f><v /></c><c r="P241" s="375"><f>P240</f><v /></c><c r="Q241" s="376"><f>LEFT(P241,1)</f><v /></c><c r="R241" s="376"><f>RIGHT(P241,6)</f><v /></c><c r="S241" s="376"><f>+(Q241*60+R241)/(60*60)</f><v /></c><c r="T241" s="377"><f>+O241/S241</f><v /></c><c r="U241" s="378"><f>+(((N241-M241-O241)/O241)*100)</f><v /></c><c r="V241" s="317"><f>V240</f><v /></c><c r="W241" s="372"><f>W240</f><v /></c><c r="X241" s="372"><f>X240</f><v /></c><c r="Y241" s="373" t="n"><v>191.37</v></c><c r="Z241" s="373" t="n"><v>201.36</v></c><c r="AA241" s="380"><f>AA240</f><v /></c><c r="AB241" s="381"><f>AB240</f><v /></c><c r="AC241" s="376"><f>LEFT(AB241,2)</f><v /></c><c r="AD241" s="376"><f>RIGHT(AB241,6)</f><v /></c><c r="AE241" s="376"><f>+(AC241*60+AD241)/(60*60)</f><v /></c><c r="AF241" s="377"><f>+AA241/AE241</f><v /></c><c r="AG241" s="321"><f>+(((Z241-Y241-AA241)/AA241)*100)</f><v /></c><c r="AH241" s="317"><f>AH240</f><v /></c><c r="AI241" s="372"><f>AI240</f><v /></c><c r="AJ241" s="372"><f>AJ240</f><v /></c><c r="AK241" s="373"><f>Z241</f><v /></c><c r="AL241" s="373" t="n"><v>206.43</v></c><c r="AM241" s="382"><f>AM240</f><v /></c><c r="AN241" s="375"><f>AN240</f><v /></c><c r="AO241" s="376"><f>LEFT(AN241,2)</f><v /></c><c r="AP241" s="376"><f>RIGHT(AN241,6)</f><v /></c><c r="AQ241" s="376"><f>+(AO241*60+AP241)/(60*60)</f><v /></c><c r="AR241" s="377"><f>+AM241/AQ241</f><v /></c><c r="AS241" s="321"><f>+(((AL241-AK241-AM241)/AM241)*100)</f><v /></c><c r="AT241" s="383"><f>IF(I241&gt;=1,"NO CONFORME",IF(BK241="SIGDIFERENTES",BC241,BL241))</f><v /></c><c r="AU241" s="365"><f>B241=C241</f><v /></c><c r="AV241" s="365"><f>N241&lt;Y241</f><v /></c><c r="AW241" s="365"><f>Z241&lt;=AK241</f><v /></c><c r="AX241" s="365"><f>IF(I241&gt;=1,"Qcorrecto",IF(AND(AY241="aceptable",AZ241="aceptable",BA241="aceptable"),"Qcorrecto","Qincorrecto"))</f><v /></c><c r="AY241" s="366"><f>IF(AR241&lt;$AH$6,"error",IF(AR241&gt;$AH$6*1.1,"error","aceptable"))</f><v /></c><c r="AZ241" s="366"><f>IF(AF241&lt;$V$6,"error",IF(AF241&gt;$V$6*1.1,"error","aceptable"))</f><v /></c><c r="BA241" s="366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7"><f>SIGN(U241)</f><v /></c><c r="BE241" s="367"><f>SIGN(AG241)</f><v /></c><c r="BF241" s="367"><f>SIGN(AS241)</f><v /></c><c r="BG241" s="367"><f>CONCATENATE(BD241,BE241,BF241)</f><v /></c><c r="BH241" s="367"><f>IF(BG241="111","SI","SD")</f><v /></c><c r="BI241" s="367"><f>IF(BG241="-1-1-1","SI","SD")</f><v /></c><c r="BJ241" s="367"><f>OR(BH241="SI",BI241="SI")</f><v /></c><c r="BK241" s="367"><f>IF(BJ241=FALSE,"SIGDIFERENTES","SIGIGUALES")</f><v /></c><c r="BL241" s="366"><f>IF(BC241="NO CONFORME","NO CONFORME",IF(BB241="CONFORME","CONFORME","NO CONFORME"))</f><v /></c></row><row r="242" ht="14.4" customHeight="1" thickBot="1"><c r="A242" s="451" t="n"><v>234</v></c><c r="B242" s="369"><f>B241</f><v /></c><c r="C242" s="369"><f>C241</f><v /></c><c r="D242" s="370"><f>D241</f><v /></c><c r="E242" s="371"><f>E241</f><v /></c><c r="F242" s="13" t="n" /><c r="G242" s="312" t="inlineStr"><is><t>PA25516961</t></is></c><c r="H242" s="313"><f>H241</f><v /></c><c r="I242" s="38"><f>I241</f><v /></c><c r="J242" s="314"><f>J241</f><v /></c><c r="K242" s="372"><f>K241</f><v /></c><c r="L242" s="372"><f>L241</f><v /></c><c r="M242" s="373" t="n"><v>80.88</v></c><c r="N242" s="373" t="n"><v>180.68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372"><f>W241</f><v /></c><c r="X242" s="372"><f>X241</f><v /></c><c r="Y242" s="373" t="n"><v>192.6</v></c><c r="Z242" s="373" t="n"><v>202.65</v></c><c r="AA242" s="380"><f>AA241</f><v /></c><c r="AB242" s="381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372"><f>AI241</f><v /></c><c r="AJ242" s="372"><f>AJ241</f><v /></c><c r="AK242" s="373"><f>Z242</f><v /></c><c r="AL242" s="373" t="n"><v>207.76</v></c><c r="AM242" s="382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3"><f>IF(I242&gt;=1,"NO CONFORME",IF(BK242="SIGDIFERENTES",BC242,BL242))</f><v /></c><c r="AU242" s="365"><f>B242=C242</f><v /></c><c r="AV242" s="365"><f>N242&lt;Y242</f><v /></c><c r="AW242" s="365"><f>Z242&lt;=AK242</f><v /></c><c r="AX242" s="365"><f>IF(I242&gt;=1,"Qcorrecto",IF(AND(AY242="aceptable",AZ242="aceptable",BA242="aceptable"),"Qcorrecto","Qincorrecto"))</f><v /></c><c r="AY242" s="366"><f>IF(AR242&lt;$AH$6,"error",IF(AR242&gt;$AH$6*1.1,"error","aceptable"))</f><v /></c><c r="AZ242" s="366"><f>IF(AF242&lt;$V$6,"error",IF(AF242&gt;$V$6*1.1,"error","aceptable"))</f><v /></c><c r="BA242" s="366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7"><f>SIGN(U242)</f><v /></c><c r="BE242" s="367"><f>SIGN(AG242)</f><v /></c><c r="BF242" s="367"><f>SIGN(AS242)</f><v /></c><c r="BG242" s="367"><f>CONCATENATE(BD242,BE242,BF242)</f><v /></c><c r="BH242" s="367"><f>IF(BG242="111","SI","SD")</f><v /></c><c r="BI242" s="367"><f>IF(BG242="-1-1-1","SI","SD")</f><v /></c><c r="BJ242" s="367"><f>OR(BH242="SI",BI242="SI")</f><v /></c><c r="BK242" s="367"><f>IF(BJ242=FALSE,"SIGDIFERENTES","SIGIGUALES")</f><v /></c><c r="BL242" s="366"><f>IF(BC242="NO CONFORME","NO CONFORME",IF(BB242="CONFORME","CONFORME","NO CONFORME"))</f><v /></c></row><row r="243" ht="14.4" customHeight="1" thickBot="1"><c r="A243" s="451" t="n"><v>235</v></c><c r="B243" s="369"><f>B242</f><v /></c><c r="C243" s="369"><f>C242</f><v /></c><c r="D243" s="370"><f>D242</f><v /></c><c r="E243" s="371"><f>E242</f><v /></c><c r="F243" s="13" t="n" /><c r="G243" s="312" t="inlineStr"><is><t>PA25516962</t></is></c><c r="H243" s="313"><f>H242</f><v /></c><c r="I243" s="38"><f>I242</f><v /></c><c r="J243" s="314"><f>J242</f><v /></c><c r="K243" s="372"><f>K242</f><v /></c><c r="L243" s="372"><f>L242</f><v /></c><c r="M243" s="373" t="n"><v>80.36</v></c><c r="N243" s="373" t="n"><v>180.44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372"><f>W242</f><v /></c><c r="X243" s="372"><f>X242</f><v /></c><c r="Y243" s="373" t="n"><v>192.39</v></c><c r="Z243" s="373" t="n"><v>202.46</v></c><c r="AA243" s="380"><f>AA242</f><v /></c><c r="AB243" s="381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372"><f>AI242</f><v /></c><c r="AJ243" s="372"><f>AJ242</f><v /></c><c r="AK243" s="373"><f>Z243</f><v /></c><c r="AL243" s="373" t="n"><v>207.52</v></c><c r="AM243" s="382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3"><f>IF(I243&gt;=1,"NO CONFORME",IF(BK243="SIGDIFERENTES",BC243,BL243))</f><v /></c><c r="AU243" s="365"><f>B243=C243</f><v /></c><c r="AV243" s="365"><f>N243&lt;Y243</f><v /></c><c r="AW243" s="365"><f>Z243&lt;=AK243</f><v /></c><c r="AX243" s="365"><f>IF(I243&gt;=1,"Qcorrecto",IF(AND(AY243="aceptable",AZ243="aceptable",BA243="aceptable"),"Qcorrecto","Qincorrecto"))</f><v /></c><c r="AY243" s="366"><f>IF(AR243&lt;$AH$6,"error",IF(AR243&gt;$AH$6*1.1,"error","aceptable"))</f><v /></c><c r="AZ243" s="366"><f>IF(AF243&lt;$V$6,"error",IF(AF243&gt;$V$6*1.1,"error","aceptable"))</f><v /></c><c r="BA243" s="366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7"><f>SIGN(U243)</f><v /></c><c r="BE243" s="367"><f>SIGN(AG243)</f><v /></c><c r="BF243" s="367"><f>SIGN(AS243)</f><v /></c><c r="BG243" s="367"><f>CONCATENATE(BD243,BE243,BF243)</f><v /></c><c r="BH243" s="367"><f>IF(BG243="111","SI","SD")</f><v /></c><c r="BI243" s="367"><f>IF(BG243="-1-1-1","SI","SD")</f><v /></c><c r="BJ243" s="367"><f>OR(BH243="SI",BI243="SI")</f><v /></c><c r="BK243" s="367"><f>IF(BJ243=FALSE,"SIGDIFERENTES","SIGIGUALES")</f><v /></c><c r="BL243" s="366"><f>IF(BC243="NO CONFORME","NO CONFORME",IF(BB243="CONFORME","CONFORME","NO CONFORME"))</f><v /></c></row><row r="244" ht="14.4" customHeight="1" thickBot="1"><c r="A244" s="451" t="n"><v>236</v></c><c r="B244" s="369"><f>B243</f><v /></c><c r="C244" s="369"><f>C243</f><v /></c><c r="D244" s="370"><f>D243</f><v /></c><c r="E244" s="371"><f>E243</f><v /></c><c r="F244" s="13" t="n" /><c r="G244" s="312" t="inlineStr"><is><t>PA25516963</t></is></c><c r="H244" s="313"><f>H243</f><v /></c><c r="I244" s="38"><f>I243</f><v /></c><c r="J244" s="314"><f>J243</f><v /></c><c r="K244" s="372"><f>K243</f><v /></c><c r="L244" s="372"><f>L243</f><v /></c><c r="M244" s="373" t="n"><v>80.09</v></c><c r="N244" s="373" t="n"><v>179.63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372"><f>W243</f><v /></c><c r="X244" s="372"><f>X243</f><v /></c><c r="Y244" s="373" t="n"><v>191.49</v></c><c r="Z244" s="373" t="n"><v>201.48</v></c><c r="AA244" s="380"><f>AA243</f><v /></c><c r="AB244" s="381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372"><f>AI243</f><v /></c><c r="AJ244" s="372"><f>AJ243</f><v /></c><c r="AK244" s="373"><f>Z244</f><v /></c><c r="AL244" s="373" t="n"><v>206.49</v></c><c r="AM244" s="382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3"><f>IF(I244&gt;=1,"NO CONFORME",IF(BK244="SIGDIFERENTES",BC244,BL244))</f><v /></c><c r="AU244" s="365"><f>B244=C244</f><v /></c><c r="AV244" s="365"><f>N244&lt;Y244</f><v /></c><c r="AW244" s="365"><f>Z244&lt;=AK244</f><v /></c><c r="AX244" s="365"><f>IF(I244&gt;=1,"Qcorrecto",IF(AND(AY244="aceptable",AZ244="aceptable",BA244="aceptable"),"Qcorrecto","Qincorrecto"))</f><v /></c><c r="AY244" s="366"><f>IF(AR244&lt;$AH$6,"error",IF(AR244&gt;$AH$6*1.1,"error","aceptable"))</f><v /></c><c r="AZ244" s="366"><f>IF(AF244&lt;$V$6,"error",IF(AF244&gt;$V$6*1.1,"error","aceptable"))</f><v /></c><c r="BA244" s="366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7"><f>SIGN(U244)</f><v /></c><c r="BE244" s="367"><f>SIGN(AG244)</f><v /></c><c r="BF244" s="367"><f>SIGN(AS244)</f><v /></c><c r="BG244" s="367"><f>CONCATENATE(BD244,BE244,BF244)</f><v /></c><c r="BH244" s="367"><f>IF(BG244="111","SI","SD")</f><v /></c><c r="BI244" s="367"><f>IF(BG244="-1-1-1","SI","SD")</f><v /></c><c r="BJ244" s="367"><f>OR(BH244="SI",BI244="SI")</f><v /></c><c r="BK244" s="367"><f>IF(BJ244=FALSE,"SIGDIFERENTES","SIGIGUALES")</f><v /></c><c r="BL244" s="366"><f>IF(BC244="NO CONFORME","NO CONFORME",IF(BB244="CONFORME","CONFORME","NO CONFORME"))</f><v /></c></row><row r="245" ht="14.4" customHeight="1" thickBot="1"><c r="A245" s="451" t="n"><v>237</v></c><c r="B245" s="369"><f>B244</f><v /></c><c r="C245" s="369"><f>C244</f><v /></c><c r="D245" s="370"><f>D244</f><v /></c><c r="E245" s="371"><f>E244</f><v /></c><c r="F245" s="13" t="n" /><c r="G245" s="312" t="inlineStr"><is><t>PA25516964</t></is></c><c r="H245" s="313"><f>H244</f><v /></c><c r="I245" s="38"><f>I244</f><v /></c><c r="J245" s="314"><f>J244</f><v /></c><c r="K245" s="372"><f>K244</f><v /></c><c r="L245" s="372"><f>L244</f><v /></c><c r="M245" s="373" t="n"><v>78.90000000000001</v></c><c r="N245" s="373" t="n"><v>178.33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372"><f>W244</f><v /></c><c r="X245" s="372"><f>X244</f><v /></c><c r="Y245" s="373" t="n"><v>190.18</v></c><c r="Z245" s="373" t="n"><v>200.2</v></c><c r="AA245" s="380"><f>AA244</f><v /></c><c r="AB245" s="381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372"><f>AI244</f><v /></c><c r="AJ245" s="372"><f>AJ244</f><v /></c><c r="AK245" s="373"><f>Z245</f><v /></c><c r="AL245" s="373" t="n"><v>205.28</v></c><c r="AM245" s="382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3"><f>IF(I245&gt;=1,"NO CONFORME",IF(BK245="SIGDIFERENTES",BC245,BL245))</f><v /></c><c r="AU245" s="365"><f>B245=C245</f><v /></c><c r="AV245" s="365"><f>N245&lt;Y245</f><v /></c><c r="AW245" s="365"><f>Z245&lt;=AK245</f><v /></c><c r="AX245" s="365"><f>IF(I245&gt;=1,"Qcorrecto",IF(AND(AY245="aceptable",AZ245="aceptable",BA245="aceptable"),"Qcorrecto","Qincorrecto"))</f><v /></c><c r="AY245" s="366"><f>IF(AR245&lt;$AH$6,"error",IF(AR245&gt;$AH$6*1.1,"error","aceptable"))</f><v /></c><c r="AZ245" s="366"><f>IF(AF245&lt;$V$6,"error",IF(AF245&gt;$V$6*1.1,"error","aceptable"))</f><v /></c><c r="BA245" s="366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7"><f>SIGN(U245)</f><v /></c><c r="BE245" s="367"><f>SIGN(AG245)</f><v /></c><c r="BF245" s="367"><f>SIGN(AS245)</f><v /></c><c r="BG245" s="367"><f>CONCATENATE(BD245,BE245,BF245)</f><v /></c><c r="BH245" s="367"><f>IF(BG245="111","SI","SD")</f><v /></c><c r="BI245" s="367"><f>IF(BG245="-1-1-1","SI","SD")</f><v /></c><c r="BJ245" s="367"><f>OR(BH245="SI",BI245="SI")</f><v /></c><c r="BK245" s="367"><f>IF(BJ245=FALSE,"SIGDIFERENTES","SIGIGUALES")</f><v /></c><c r="BL245" s="366"><f>IF(BC245="NO CONFORME","NO CONFORME",IF(BB245="CONFORME","CONFORME","NO CONFORME"))</f><v /></c></row><row r="246" ht="14.4" customHeight="1" thickBot="1"><c r="A246" s="451" t="n"><v>238</v></c><c r="B246" s="369"><f>B245</f><v /></c><c r="C246" s="369"><f>C245</f><v /></c><c r="D246" s="370"><f>D245</f><v /></c><c r="E246" s="371"><f>E245</f><v /></c><c r="F246" s="13" t="n" /><c r="G246" s="312" t="inlineStr"><is><t>PA25516965</t></is></c><c r="H246" s="313"><f>H245</f><v /></c><c r="I246" s="38"><f>I245</f><v /></c><c r="J246" s="314"><f>J245</f><v /></c><c r="K246" s="372"><f>K245</f><v /></c><c r="L246" s="372"><f>L245</f><v /></c><c r="M246" s="373" t="n"><v>81.23</v></c><c r="N246" s="373" t="n"><v>181.64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372"><f>W245</f><v /></c><c r="X246" s="372"><f>X245</f><v /></c><c r="Y246" s="373" t="n"><v>193.63</v></c><c r="Z246" s="373" t="n"><v>203.66</v></c><c r="AA246" s="380"><f>AA245</f><v /></c><c r="AB246" s="381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372"><f>AI245</f><v /></c><c r="AJ246" s="372"><f>AJ245</f><v /></c><c r="AK246" s="373"><f>Z246</f><v /></c><c r="AL246" s="373" t="n"><v>208.74</v></c><c r="AM246" s="382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3"><f>IF(I246&gt;=1,"NO CONFORME",IF(BK246="SIGDIFERENTES",BC246,BL246))</f><v /></c><c r="AU246" s="365"><f>B246=C246</f><v /></c><c r="AV246" s="365"><f>N246&lt;Y246</f><v /></c><c r="AW246" s="365"><f>Z246&lt;=AK246</f><v /></c><c r="AX246" s="365"><f>IF(I246&gt;=1,"Qcorrecto",IF(AND(AY246="aceptable",AZ246="aceptable",BA246="aceptable"),"Qcorrecto","Qincorrecto"))</f><v /></c><c r="AY246" s="366"><f>IF(AR246&lt;$AH$6,"error",IF(AR246&gt;$AH$6*1.1,"error","aceptable"))</f><v /></c><c r="AZ246" s="366"><f>IF(AF246&lt;$V$6,"error",IF(AF246&gt;$V$6*1.1,"error","aceptable"))</f><v /></c><c r="BA246" s="366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7"><f>SIGN(U246)</f><v /></c><c r="BE246" s="367"><f>SIGN(AG246)</f><v /></c><c r="BF246" s="367"><f>SIGN(AS246)</f><v /></c><c r="BG246" s="367"><f>CONCATENATE(BD246,BE246,BF246)</f><v /></c><c r="BH246" s="367"><f>IF(BG246="111","SI","SD")</f><v /></c><c r="BI246" s="367"><f>IF(BG246="-1-1-1","SI","SD")</f><v /></c><c r="BJ246" s="367"><f>OR(BH246="SI",BI246="SI")</f><v /></c><c r="BK246" s="367"><f>IF(BJ246=FALSE,"SIGDIFERENTES","SIGIGUALES")</f><v /></c><c r="BL246" s="366"><f>IF(BC246="NO CONFORME","NO CONFORME",IF(BB246="CONFORME","CONFORME","NO CONFORME"))</f><v /></c></row><row r="247" ht="14.4" customHeight="1" thickBot="1"><c r="A247" s="451" t="n"><v>239</v></c><c r="B247" s="369"><f>B246</f><v /></c><c r="C247" s="369"><f>C246</f><v /></c><c r="D247" s="370"><f>D246</f><v /></c><c r="E247" s="371"><f>E246</f><v /></c><c r="F247" s="13" t="n" /><c r="G247" s="312" t="inlineStr"><is><t>PA25516966</t></is></c><c r="H247" s="313"><f>H246</f><v /></c><c r="I247" s="38"><f>I246</f><v /></c><c r="J247" s="314"><f>J246</f><v /></c><c r="K247" s="372"><f>K246</f><v /></c><c r="L247" s="372"><f>L246</f><v /></c><c r="M247" s="373" t="n"><v>80.14</v></c><c r="N247" s="373" t="n"><v>179.43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372"><f>W246</f><v /></c><c r="X247" s="372"><f>X246</f><v /></c><c r="Y247" s="373" t="n"><v>191.3</v></c><c r="Z247" s="373" t="n"><v>201.28</v></c><c r="AA247" s="380"><f>AA246</f><v /></c><c r="AB247" s="381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372"><f>AI246</f><v /></c><c r="AJ247" s="372"><f>AJ246</f><v /></c><c r="AK247" s="373"><f>Z247</f><v /></c><c r="AL247" s="373" t="n"><v>206.32</v></c><c r="AM247" s="382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3"><f>IF(I247&gt;=1,"NO CONFORME",IF(BK247="SIGDIFERENTES",BC247,BL247))</f><v /></c><c r="AU247" s="365"><f>B247=C247</f><v /></c><c r="AV247" s="365"><f>N247&lt;Y247</f><v /></c><c r="AW247" s="365"><f>Z247&lt;=AK247</f><v /></c><c r="AX247" s="365"><f>IF(I247&gt;=1,"Qcorrecto",IF(AND(AY247="aceptable",AZ247="aceptable",BA247="aceptable"),"Qcorrecto","Qincorrecto"))</f><v /></c><c r="AY247" s="366"><f>IF(AR247&lt;$AH$6,"error",IF(AR247&gt;$AH$6*1.1,"error","aceptable"))</f><v /></c><c r="AZ247" s="366"><f>IF(AF247&lt;$V$6,"error",IF(AF247&gt;$V$6*1.1,"error","aceptable"))</f><v /></c><c r="BA247" s="366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7"><f>SIGN(U247)</f><v /></c><c r="BE247" s="367"><f>SIGN(AG247)</f><v /></c><c r="BF247" s="367"><f>SIGN(AS247)</f><v /></c><c r="BG247" s="367"><f>CONCATENATE(BD247,BE247,BF247)</f><v /></c><c r="BH247" s="367"><f>IF(BG247="111","SI","SD")</f><v /></c><c r="BI247" s="367"><f>IF(BG247="-1-1-1","SI","SD")</f><v /></c><c r="BJ247" s="367"><f>OR(BH247="SI",BI247="SI")</f><v /></c><c r="BK247" s="367"><f>IF(BJ247=FALSE,"SIGDIFERENTES","SIGIGUALES")</f><v /></c><c r="BL247" s="366"><f>IF(BC247="NO CONFORME","NO CONFORME",IF(BB247="CONFORME","CONFORME","NO CONFORME"))</f><v /></c></row><row r="248" ht="15" customHeight="1" thickBot="1"><c r="A248" s="473" t="n"><v>240</v></c><c r="B248" s="454"><f>B247</f><v /></c><c r="C248" s="454"><f>C247</f><v /></c><c r="D248" s="455"><f>D247</f><v /></c><c r="E248" s="474"><f>E247</f><v /></c><c r="F248" s="52" t="n" /><c r="G248" s="325" t="inlineStr"><is><t>PA25516967</t></is></c><c r="H248" s="326"><f>H247</f><v /></c><c r="I248" s="98"><f>I247</f><v /></c><c r="J248" s="327"><f>J247</f><v /></c><c r="K248" s="458"><f>K247</f><v /></c><c r="L248" s="458"><f>L247</f><v /></c><c r="M248" s="459" t="n"><v>80.2</v></c><c r="N248" s="459" t="n"><v>179.82</v></c><c r="O248" s="460"><f>O247</f><v /></c><c r="P248" s="461"><f>P247</f><v /></c><c r="Q248" s="462"><f>LEFT(P248,1)</f><v /></c><c r="R248" s="462"><f>RIGHT(P248,6)</f><v /></c><c r="S248" s="462"><f>+(Q248*60+R248)/(60*60)</f><v /></c><c r="T248" s="463"><f>+O248/S248</f><v /></c><c r="U248" s="464"><f>+(((N248-M248-O248)/O248)*100)</f><v /></c><c r="V248" s="329"><f>V247</f><v /></c><c r="W248" s="458"><f>W247</f><v /></c><c r="X248" s="458"><f>X247</f><v /></c><c r="Y248" s="459" t="n"><v>191.72</v></c><c r="Z248" s="459" t="n"><v>201.78</v></c><c r="AA248" s="466"><f>AA247</f><v /></c><c r="AB248" s="467"><f>AB247</f><v /></c><c r="AC248" s="462"><f>LEFT(AB248,2)</f><v /></c><c r="AD248" s="462"><f>RIGHT(AB248,6)</f><v /></c><c r="AE248" s="462"><f>+(AC248*60+AD248)/(60*60)</f><v /></c><c r="AF248" s="463"><f>+AA248/AE248</f><v /></c><c r="AG248" s="468"><f>+(((Z248-Y248-AA248)/AA248)*100)</f><v /></c><c r="AH248" s="329"><f>AH247</f><v /></c><c r="AI248" s="458"><f>AI247</f><v /></c><c r="AJ248" s="458"><f>AJ247</f><v /></c><c r="AK248" s="459"><f>Z248</f><v /></c><c r="AL248" s="459" t="n"><v>206.88</v></c><c r="AM248" s="469"><f>AM247</f><v /></c><c r="AN248" s="461"><f>AN247</f><v /></c><c r="AO248" s="462"><f>LEFT(AN248,2)</f><v /></c><c r="AP248" s="462"><f>RIGHT(AN248,6)</f><v /></c><c r="AQ248" s="462"><f>+(AO248*60+AP248)/(60*60)</f><v /></c><c r="AR248" s="463"><f>+AM248/AQ248</f><v /></c><c r="AS248" s="468"><f>+(((AL248-AK248-AM248)/AM248)*100)</f><v /></c><c r="AT248" s="470"><f>IF(I248&gt;=1,"NO CONFORME",IF(BK248="SIGDIFERENTES",BC248,BL248))</f><v /></c><c r="AU248" s="426"><f>B248=C248</f><v /></c><c r="AV248" s="426"><f>N248&lt;Y248</f><v /></c><c r="AW248" s="426"><f>Z248&lt;=AK248</f><v /></c><c r="AX248" s="426"><f>IF(I248&gt;=1,"Qcorrecto",IF(AND(AY248="aceptable",AZ248="aceptable",BA248="aceptable"),"Qcorrecto","Qincorrecto"))</f><v /></c><c r="AY248" s="427"><f>IF(AR248&lt;$AH$6,"error",IF(AR248&gt;$AH$6*1.1,"error","aceptable"))</f><v /></c><c r="AZ248" s="427"><f>IF(AF248&lt;$V$6,"error",IF(AF248&gt;$V$6*1.1,"error","aceptable"))</f><v /></c><c r="BA248" s="427"><f>IF(T248&lt;$J$6*0.9,"error",IF(T248&gt;$J$6,"error","aceptable"))</f><v /></c><c r="BB248" s="428"><f>(IF(ABS(U248)&lt;1.05,"CONFORME",IF(ABS(AG248)&lt;1.05,"CONFORME",IF(ABS(AS248)&lt;2.55,"CONFORME","NO CONFORME"))))</f><v /></c><c r="BC248" s="429"><f>(IF(ABS(U248)&gt;2.05,"NO CONFORME",IF(ABS(AG248)&gt;2.05,"NO CONFORME",IF(ABS(AS248)&gt;5.05,"NO CONFORME","CONFORME"))))</f><v /></c><c r="BD248" s="430"><f>SIGN(U248)</f><v /></c><c r="BE248" s="430"><f>SIGN(AG248)</f><v /></c><c r="BF248" s="430"><f>SIGN(AS248)</f><v /></c><c r="BG248" s="430"><f>CONCATENATE(BD248,BE248,BF248)</f><v /></c><c r="BH248" s="430"><f>IF(BG248="111","SI","SD")</f><v /></c><c r="BI248" s="430"><f>IF(BG248="-1-1-1","SI","SD")</f><v /></c><c r="BJ248" s="430"><f>OR(BH248="SI",BI248="SI")</f><v /></c><c r="BK248" s="430"><f>IF(BJ248=FALSE,"SIGDIFERENTES","SIGIGUALES")</f><v /></c><c r="BL248" s="427"><f>IF(BC248="NO CONFORME","NO CONFORME",IF(BB248="CONFORME","CONFORME","NO CONFORME"))</f><v /></c></row><row r="249" ht="14.4" customHeight="1" thickBot="1"><c r="A249" s="351" t="n"><v>241</v></c><c r="B249" s="386"><f>B248</f><v /></c><c r="C249" s="386"><f>C248</f><v /></c><c r="D249" s="387"><f>D248</f><v /></c><c r="E249" s="475"><f>E248</f><v /></c><c r="F249" s="58" t="n" /><c r="G249" s="300" t="inlineStr"><is><t>PA25516968</t></is></c><c r="H249" s="388"><f>H248</f><v /></c><c r="I249" s="232"><f>I248</f><v /></c><c r="J249" s="389" t="n"><v>21</v></c><c r="K249" s="390" t="n"><v>8.342000000000001</v></c><c r="L249" s="390" t="n"><v>0.529</v></c><c r="M249" s="356" t="n"><v>85.39</v></c><c r="N249" s="356" t="n"><v>184.66</v></c><c r="O249" s="391" t="n"><v>100.3</v></c><c r="P249" s="392" t="inlineStr"><is><t>2,29,920</t></is></c><c r="Q249" s="359"><f>LEFT(P249,1)</f><v /></c><c r="R249" s="359"><f>RIGHT(P249,6)</f><v /></c><c r="S249" s="359"><f>+(Q249*60+R249)/(60*60)</f><v /></c><c r="T249" s="360"><f>+O249/S249</f><v /></c><c r="U249" s="361"><f>+(((N249-M249-O249)/O249)*100)</f><v /></c><c r="V249" s="393" t="n"><v>21</v></c><c r="W249" s="390" t="n"><v>1.4</v></c><c r="X249" s="390" t="n"><v>1.4</v></c><c r="Y249" s="356" t="n"><v>189.06</v></c><c r="Z249" s="356" t="n"><v>199</v></c><c r="AA249" s="395" t="n"><v>10.03</v></c><c r="AB249" s="396" t="inlineStr"><is><t>22,49,120</t></is></c><c r="AC249" s="359"><f>LEFT(AB249,2)</f><v /></c><c r="AD249" s="359"><f>RIGHT(AB249,6)</f><v /></c><c r="AE249" s="359"><f>+(AC249*60+AD249)/(60*60)</f><v /></c><c r="AF249" s="360"><f>+AA249/AE249</f><v /></c><c r="AG249" s="362"><f>+(((Z249-Y249-AA249)/AA249)*100)</f><v /></c><c r="AH249" s="393" t="n"><v>21</v></c><c r="AI249" s="390" t="n"><v>1.4</v></c><c r="AJ249" s="390" t="n"><v>1.402</v></c><c r="AK249" s="356"><f>Z249</f><v /></c><c r="AL249" s="356" t="n"><v>204</v></c><c r="AM249" s="397" t="n"><v>5.02</v></c><c r="AN249" s="392" t="inlineStr"><is><t>18,15,640</t></is></c><c r="AO249" s="359"><f>LEFT(AN249,2)</f><v /></c><c r="AP249" s="359"><f>RIGHT(AN249,6)</f><v /></c><c r="AQ249" s="359"><f>+(AO249*60+AP249)/(60*60)</f><v /></c><c r="AR249" s="360"><f>+AM249/AQ249</f><v /></c><c r="AS249" s="362"><f>+(((AL249-AK249-AM249)/AM249)*100)</f><v /></c><c r="AT249" s="364"><f>IF(I249&gt;=1,"NO CONFORME",IF(BK249="SIGDIFERENTES",BC249,BL249))</f><v /></c><c r="AU249" s="365"><f>B249=C249</f><v /></c><c r="AV249" s="365"><f>N249&lt;Y249</f><v /></c><c r="AW249" s="365"><f>Z249&lt;=AK249</f><v /></c><c r="AX249" s="365"><f>IF(I249&gt;=1,"Qcorrecto",IF(AND(AY249="aceptable",AZ249="aceptable",BA249="aceptable"),"Qcorrecto","Qincorrecto"))</f><v /></c><c r="AY249" s="368"><f>IF(AR249&lt;$AH$6,"error",IF(AR249&gt;$AH$6*1.1,"error","aceptable"))</f><v /></c><c r="AZ249" s="368"><f>IF(AF249&lt;$V$6,"error",IF(AF249&gt;$V$6*1.1,"error","aceptable"))</f><v /></c><c r="BA249" s="368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7"><f>SIGN(U249)</f><v /></c><c r="BE249" s="367"><f>SIGN(AG249)</f><v /></c><c r="BF249" s="367"><f>SIGN(AS249)</f><v /></c><c r="BG249" s="367"><f>CONCATENATE(BD249,BE249,BF249)</f><v /></c><c r="BH249" s="367"><f>IF(BG249="111","SI","SD")</f><v /></c><c r="BI249" s="367"><f>IF(BG249="-1-1-1","SI","SD")</f><v /></c><c r="BJ249" s="367"><f>OR(BH249="SI",BI249="SI")</f><v /></c><c r="BK249" s="367"><f>IF(BJ249=FALSE,"SIGDIFERENTES","SIGIGUALES")</f><v /></c><c r="BL249" s="368"><f>IF(BC249="NO CONFORME","NO CONFORME",IF(BB249="CONFORME","CONFORME","NO CONFORME"))</f><v /></c></row><row r="250" ht="14.4" customHeight="1" thickBot="1"><c r="A250" s="451" t="n"><v>242</v></c><c r="B250" s="369"><f>B249</f><v /></c><c r="C250" s="369"><f>C249</f><v /></c><c r="D250" s="370"><f>D249</f><v /></c><c r="E250" s="371"><f>E249</f><v /></c><c r="F250" s="13" t="n" /><c r="G250" s="312" t="inlineStr"><is><t>PA25516969</t></is></c><c r="H250" s="313"><f>H249</f><v /></c><c r="I250" s="38"><f>I249</f><v /></c><c r="J250" s="314"><f>J249</f><v /></c><c r="K250" s="372"><f>K249</f><v /></c><c r="L250" s="372"><f>L249</f><v /></c><c r="M250" s="373" t="n"><v>83.67</v></c><c r="N250" s="373" t="n"><v>182.52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372"><f>W249</f><v /></c><c r="X250" s="372"><f>X249</f><v /></c><c r="Y250" s="373" t="n"><v>186.89</v></c><c r="Z250" s="373" t="n"><v>196.86</v></c><c r="AA250" s="380"><f>AA249</f><v /></c><c r="AB250" s="381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372"><f>AI249</f><v /></c><c r="AJ250" s="372"><f>AJ249</f><v /></c><c r="AK250" s="373"><f>Z250</f><v /></c><c r="AL250" s="373" t="n"><v>201.84</v></c><c r="AM250" s="382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3"><f>IF(I250&gt;=1,"NO CONFORME",IF(BK250="SIGDIFERENTES",BC250,BL250))</f><v /></c><c r="AU250" s="365"><f>B250=C250</f><v /></c><c r="AV250" s="365"><f>N250&lt;Y250</f><v /></c><c r="AW250" s="365"><f>Z250&lt;=AK250</f><v /></c><c r="AX250" s="365"><f>IF(I250&gt;=1,"Qcorrecto",IF(AND(AY250="aceptable",AZ250="aceptable",BA250="aceptable"),"Qcorrecto","Qincorrecto"))</f><v /></c><c r="AY250" s="366"><f>IF(AR250&lt;$AH$6,"error",IF(AR250&gt;$AH$6*1.1,"error","aceptable"))</f><v /></c><c r="AZ250" s="366"><f>IF(AF250&lt;$V$6,"error",IF(AF250&gt;$V$6*1.1,"error","aceptable"))</f><v /></c><c r="BA250" s="366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7"><f>SIGN(U250)</f><v /></c><c r="BE250" s="367"><f>SIGN(AG250)</f><v /></c><c r="BF250" s="367"><f>SIGN(AS250)</f><v /></c><c r="BG250" s="367"><f>CONCATENATE(BD250,BE250,BF250)</f><v /></c><c r="BH250" s="367"><f>IF(BG250="111","SI","SD")</f><v /></c><c r="BI250" s="367"><f>IF(BG250="-1-1-1","SI","SD")</f><v /></c><c r="BJ250" s="367"><f>OR(BH250="SI",BI250="SI")</f><v /></c><c r="BK250" s="367"><f>IF(BJ250=FALSE,"SIGDIFERENTES","SIGIGUALES")</f><v /></c><c r="BL250" s="366"><f>IF(BC250="NO CONFORME","NO CONFORME",IF(BB250="CONFORME","CONFORME","NO CONFORME"))</f><v /></c></row><row r="251" ht="14.4" customHeight="1" thickBot="1"><c r="A251" s="451" t="n"><v>243</v></c><c r="B251" s="369"><f>B250</f><v /></c><c r="C251" s="369"><f>C250</f><v /></c><c r="D251" s="370"><f>D250</f><v /></c><c r="E251" s="371"><f>E250</f><v /></c><c r="F251" s="13" t="n" /><c r="G251" s="312" t="inlineStr"><is><t>PA25516970</t></is></c><c r="H251" s="313"><f>H250</f><v /></c><c r="I251" s="38"><f>I250</f><v /></c><c r="J251" s="314"><f>J250</f><v /></c><c r="K251" s="372"><f>K250</f><v /></c><c r="L251" s="372"><f>L250</f><v /></c><c r="M251" s="373" t="n"><v>84.64</v></c><c r="N251" s="373" t="n"><v>184.22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372"><f>W250</f><v /></c><c r="X251" s="372"><f>X250</f><v /></c><c r="Y251" s="373" t="n"><v>188.6</v></c><c r="Z251" s="373" t="n"><v>198.62</v></c><c r="AA251" s="380"><f>AA250</f><v /></c><c r="AB251" s="381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372"><f>AI250</f><v /></c><c r="AJ251" s="372"><f>AJ250</f><v /></c><c r="AK251" s="373"><f>Z251</f><v /></c><c r="AL251" s="373" t="n"><v>203.64</v></c><c r="AM251" s="382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3"><f>IF(I251&gt;=1,"NO CONFORME",IF(BK251="SIGDIFERENTES",BC251,BL251))</f><v /></c><c r="AU251" s="365"><f>B251=C251</f><v /></c><c r="AV251" s="365"><f>N251&lt;Y251</f><v /></c><c r="AW251" s="365"><f>Z251&lt;=AK251</f><v /></c><c r="AX251" s="365"><f>IF(I251&gt;=1,"Qcorrecto",IF(AND(AY251="aceptable",AZ251="aceptable",BA251="aceptable"),"Qcorrecto","Qincorrecto"))</f><v /></c><c r="AY251" s="366"><f>IF(AR251&lt;$AH$6,"error",IF(AR251&gt;$AH$6*1.1,"error","aceptable"))</f><v /></c><c r="AZ251" s="366"><f>IF(AF251&lt;$V$6,"error",IF(AF251&gt;$V$6*1.1,"error","aceptable"))</f><v /></c><c r="BA251" s="366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7"><f>SIGN(U251)</f><v /></c><c r="BE251" s="367"><f>SIGN(AG251)</f><v /></c><c r="BF251" s="367"><f>SIGN(AS251)</f><v /></c><c r="BG251" s="367"><f>CONCATENATE(BD251,BE251,BF251)</f><v /></c><c r="BH251" s="367"><f>IF(BG251="111","SI","SD")</f><v /></c><c r="BI251" s="367"><f>IF(BG251="-1-1-1","SI","SD")</f><v /></c><c r="BJ251" s="367"><f>OR(BH251="SI",BI251="SI")</f><v /></c><c r="BK251" s="367"><f>IF(BJ251=FALSE,"SIGDIFERENTES","SIGIGUALES")</f><v /></c><c r="BL251" s="366"><f>IF(BC251="NO CONFORME","NO CONFORME",IF(BB251="CONFORME","CONFORME","NO CONFORME"))</f><v /></c></row><row r="252" ht="14.4" customHeight="1" thickBot="1"><c r="A252" s="451" t="n"><v>244</v></c><c r="B252" s="369"><f>B251</f><v /></c><c r="C252" s="369"><f>C251</f><v /></c><c r="D252" s="370"><f>D251</f><v /></c><c r="E252" s="371"><f>E251</f><v /></c><c r="F252" s="13" t="n" /><c r="G252" s="312" t="inlineStr"><is><t>PA25516971</t></is></c><c r="H252" s="313"><f>H251</f><v /></c><c r="I252" s="38"><f>I251</f><v /></c><c r="J252" s="314"><f>J251</f><v /></c><c r="K252" s="372"><f>K251</f><v /></c><c r="L252" s="372"><f>L251</f><v /></c><c r="M252" s="373" t="n"><v>84.58</v></c><c r="N252" s="373" t="n"><v>184.12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372"><f>W251</f><v /></c><c r="X252" s="372"><f>X251</f><v /></c><c r="Y252" s="373" t="n"><v>188.5</v></c><c r="Z252" s="373" t="n"><v>198.5</v></c><c r="AA252" s="380"><f>AA251</f><v /></c><c r="AB252" s="381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372"><f>AI251</f><v /></c><c r="AJ252" s="372"><f>AJ251</f><v /></c><c r="AK252" s="373"><f>Z252</f><v /></c><c r="AL252" s="373" t="n"><v>203.56</v></c><c r="AM252" s="382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3"><f>IF(I252&gt;=1,"NO CONFORME",IF(BK252="SIGDIFERENTES",BC252,BL252))</f><v /></c><c r="AU252" s="365"><f>B252=C252</f><v /></c><c r="AV252" s="365"><f>N252&lt;Y252</f><v /></c><c r="AW252" s="365"><f>Z252&lt;=AK252</f><v /></c><c r="AX252" s="365"><f>IF(I252&gt;=1,"Qcorrecto",IF(AND(AY252="aceptable",AZ252="aceptable",BA252="aceptable"),"Qcorrecto","Qincorrecto"))</f><v /></c><c r="AY252" s="366"><f>IF(AR252&lt;$AH$6,"error",IF(AR252&gt;$AH$6*1.1,"error","aceptable"))</f><v /></c><c r="AZ252" s="366"><f>IF(AF252&lt;$V$6,"error",IF(AF252&gt;$V$6*1.1,"error","aceptable"))</f><v /></c><c r="BA252" s="366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7"><f>SIGN(U252)</f><v /></c><c r="BE252" s="367"><f>SIGN(AG252)</f><v /></c><c r="BF252" s="367"><f>SIGN(AS252)</f><v /></c><c r="BG252" s="367"><f>CONCATENATE(BD252,BE252,BF252)</f><v /></c><c r="BH252" s="367"><f>IF(BG252="111","SI","SD")</f><v /></c><c r="BI252" s="367"><f>IF(BG252="-1-1-1","SI","SD")</f><v /></c><c r="BJ252" s="367"><f>OR(BH252="SI",BI252="SI")</f><v /></c><c r="BK252" s="367"><f>IF(BJ252=FALSE,"SIGDIFERENTES","SIGIGUALES")</f><v /></c><c r="BL252" s="366"><f>IF(BC252="NO CONFORME","NO CONFORME",IF(BB252="CONFORME","CONFORME","NO CONFORME"))</f><v /></c></row><row r="253" ht="14.4" customHeight="1" thickBot="1"><c r="A253" s="451" t="n"><v>245</v></c><c r="B253" s="369"><f>B252</f><v /></c><c r="C253" s="369"><f>C252</f><v /></c><c r="D253" s="370"><f>D252</f><v /></c><c r="E253" s="371"><f>E252</f><v /></c><c r="F253" s="13" t="n" /><c r="G253" s="312" t="inlineStr"><is><t>PA25516972</t></is></c><c r="H253" s="313"><f>H252</f><v /></c><c r="I253" s="38"><f>I252</f><v /></c><c r="J253" s="314"><f>J252</f><v /></c><c r="K253" s="372"><f>K252</f><v /></c><c r="L253" s="372"><f>L252</f><v /></c><c r="M253" s="373" t="n"><v>83.61</v></c><c r="N253" s="373" t="n"><v>182.84</v></c><c r="O253" s="374"><f>O252</f><v /></c><c r="P253" s="375"><f>P252</f><v /></c><c r="Q253" s="376"><f>LEFT(P253,1)</f><v /></c><c r="R253" s="376"><f>RIGHT(P253,6)</f><v /></c><c r="S253" s="376"><f>+(Q253*60+R253)/(60*60)</f><v /></c><c r="T253" s="377"><f>+O253/S253</f><v /></c><c r="U253" s="378"><f>+(((N253-M253-O253)/O253)*100)</f><v /></c><c r="V253" s="317"><f>V252</f><v /></c><c r="W253" s="372"><f>W252</f><v /></c><c r="X253" s="372"><f>X252</f><v /></c><c r="Y253" s="373" t="n"><v>187.22</v></c><c r="Z253" s="373" t="n"><v>197.21</v></c><c r="AA253" s="380"><f>AA252</f><v /></c><c r="AB253" s="381"><f>AB252</f><v /></c><c r="AC253" s="376"><f>LEFT(AB253,2)</f><v /></c><c r="AD253" s="376"><f>RIGHT(AB253,6)</f><v /></c><c r="AE253" s="376"><f>+(AC253*60+AD253)/(60*60)</f><v /></c><c r="AF253" s="377"><f>+AA253/AE253</f><v /></c><c r="AG253" s="321"><f>+(((Z253-Y253-AA253)/AA253)*100)</f><v /></c><c r="AH253" s="317"><f>AH252</f><v /></c><c r="AI253" s="372"><f>AI252</f><v /></c><c r="AJ253" s="372"><f>AJ252</f><v /></c><c r="AK253" s="373"><f>Z253</f><v /></c><c r="AL253" s="373" t="n"><v>202.21</v></c><c r="AM253" s="382"><f>AM252</f><v /></c><c r="AN253" s="375"><f>AN252</f><v /></c><c r="AO253" s="376"><f>LEFT(AN253,2)</f><v /></c><c r="AP253" s="376"><f>RIGHT(AN253,6)</f><v /></c><c r="AQ253" s="376"><f>+(AO253*60+AP253)/(60*60)</f><v /></c><c r="AR253" s="377"><f>+AM253/AQ253</f><v /></c><c r="AS253" s="321"><f>+(((AL253-AK253-AM253)/AM253)*100)</f><v /></c><c r="AT253" s="383"><f>IF(I253&gt;=1,"NO CONFORME",IF(BK253="SIGDIFERENTES",BC253,BL253))</f><v /></c><c r="AU253" s="365"><f>B253=C253</f><v /></c><c r="AV253" s="365"><f>N253&lt;Y253</f><v /></c><c r="AW253" s="365"><f>Z253&lt;=AK253</f><v /></c><c r="AX253" s="365"><f>IF(I253&gt;=1,"Qcorrecto",IF(AND(AY253="aceptable",AZ253="aceptable",BA253="aceptable"),"Qcorrecto","Qincorrecto"))</f><v /></c><c r="AY253" s="366"><f>IF(AR253&lt;$AH$6,"error",IF(AR253&gt;$AH$6*1.1,"error","aceptable"))</f><v /></c><c r="AZ253" s="366"><f>IF(AF253&lt;$V$6,"error",IF(AF253&gt;$V$6*1.1,"error","aceptable"))</f><v /></c><c r="BA253" s="366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7"><f>SIGN(U253)</f><v /></c><c r="BE253" s="367"><f>SIGN(AG253)</f><v /></c><c r="BF253" s="367"><f>SIGN(AS253)</f><v /></c><c r="BG253" s="367"><f>CONCATENATE(BD253,BE253,BF253)</f><v /></c><c r="BH253" s="367"><f>IF(BG253="111","SI","SD")</f><v /></c><c r="BI253" s="367"><f>IF(BG253="-1-1-1","SI","SD")</f><v /></c><c r="BJ253" s="367"><f>OR(BH253="SI",BI253="SI")</f><v /></c><c r="BK253" s="367"><f>IF(BJ253=FALSE,"SIGDIFERENTES","SIGIGUALES")</f><v /></c><c r="BL253" s="366"><f>IF(BC253="NO CONFORME","NO CONFORME",IF(BB253="CONFORME","CONFORME","NO CONFORME"))</f><v /></c></row><row r="254" ht="14.4" customHeight="1" thickBot="1"><c r="A254" s="451" t="n"><v>246</v></c><c r="B254" s="369"><f>B253</f><v /></c><c r="C254" s="369"><f>C253</f><v /></c><c r="D254" s="370"><f>D253</f><v /></c><c r="E254" s="371"><f>E253</f><v /></c><c r="F254" s="13" t="n" /><c r="G254" s="312" t="inlineStr"><is><t>PA25516973</t></is></c><c r="H254" s="313"><f>H253</f><v /></c><c r="I254" s="38"><f>I253</f><v /></c><c r="J254" s="314"><f>J253</f><v /></c><c r="K254" s="372"><f>K253</f><v /></c><c r="L254" s="372"><f>L253</f><v /></c><c r="M254" s="373" t="n"><v>85.29000000000001</v></c><c r="N254" s="373" t="n"><v>184.53</v></c><c r="O254" s="374"><f>O253</f><v /></c><c r="P254" s="375"><f>P253</f><v /></c><c r="Q254" s="376"><f>LEFT(P254,1)</f><v /></c><c r="R254" s="376"><f>RIGHT(P254,6)</f><v /></c><c r="S254" s="376"><f>+(Q254*60+R254)/(60*60)</f><v /></c><c r="T254" s="377"><f>+O254/S254</f><v /></c><c r="U254" s="378"><f>+(((N254-M254-O254)/O254)*100)</f><v /></c><c r="V254" s="317"><f>V253</f><v /></c><c r="W254" s="372"><f>W253</f><v /></c><c r="X254" s="372"><f>X253</f><v /></c><c r="Y254" s="373" t="n"><v>188.92</v></c><c r="Z254" s="373" t="n"><v>198.89</v></c><c r="AA254" s="380"><f>AA253</f><v /></c><c r="AB254" s="381"><f>AB253</f><v /></c><c r="AC254" s="376"><f>LEFT(AB254,2)</f><v /></c><c r="AD254" s="376"><f>RIGHT(AB254,6)</f><v /></c><c r="AE254" s="376"><f>+(AC254*60+AD254)/(60*60)</f><v /></c><c r="AF254" s="377"><f>+AA254/AE254</f><v /></c><c r="AG254" s="321"><f>+(((Z254-Y254-AA254)/AA254)*100)</f><v /></c><c r="AH254" s="317"><f>AH253</f><v /></c><c r="AI254" s="372"><f>AI253</f><v /></c><c r="AJ254" s="372"><f>AJ253</f><v /></c><c r="AK254" s="373"><f>Z254</f><v /></c><c r="AL254" s="373" t="n"><v>203.9</v></c><c r="AM254" s="382"><f>AM253</f><v /></c><c r="AN254" s="375"><f>AN253</f><v /></c><c r="AO254" s="376"><f>LEFT(AN254,2)</f><v /></c><c r="AP254" s="376"><f>RIGHT(AN254,6)</f><v /></c><c r="AQ254" s="376"><f>+(AO254*60+AP254)/(60*60)</f><v /></c><c r="AR254" s="377"><f>+AM254/AQ254</f><v /></c><c r="AS254" s="321"><f>+(((AL254-AK254-AM254)/AM254)*100)</f><v /></c><c r="AT254" s="383"><f>IF(I254&gt;=1,"NO CONFORME",IF(BK254="SIGDIFERENTES",BC254,BL254))</f><v /></c><c r="AU254" s="365"><f>B254=C254</f><v /></c><c r="AV254" s="365"><f>N254&lt;Y254</f><v /></c><c r="AW254" s="365"><f>Z254&lt;=AK254</f><v /></c><c r="AX254" s="365"><f>IF(I254&gt;=1,"Qcorrecto",IF(AND(AY254="aceptable",AZ254="aceptable",BA254="aceptable"),"Qcorrecto","Qincorrecto"))</f><v /></c><c r="AY254" s="366"><f>IF(AR254&lt;$AH$6,"error",IF(AR254&gt;$AH$6*1.1,"error","aceptable"))</f><v /></c><c r="AZ254" s="366"><f>IF(AF254&lt;$V$6,"error",IF(AF254&gt;$V$6*1.1,"error","aceptable"))</f><v /></c><c r="BA254" s="366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7"><f>SIGN(U254)</f><v /></c><c r="BE254" s="367"><f>SIGN(AG254)</f><v /></c><c r="BF254" s="367"><f>SIGN(AS254)</f><v /></c><c r="BG254" s="367"><f>CONCATENATE(BD254,BE254,BF254)</f><v /></c><c r="BH254" s="367"><f>IF(BG254="111","SI","SD")</f><v /></c><c r="BI254" s="367"><f>IF(BG254="-1-1-1","SI","SD")</f><v /></c><c r="BJ254" s="367"><f>OR(BH254="SI",BI254="SI")</f><v /></c><c r="BK254" s="367"><f>IF(BJ254=FALSE,"SIGDIFERENTES","SIGIGUALES")</f><v /></c><c r="BL254" s="366"><f>IF(BC254="NO CONFORME","NO CONFORME",IF(BB254="CONFORME","CONFORME","NO CONFORME"))</f><v /></c></row><row r="255" ht="14.4" customHeight="1" thickBot="1"><c r="A255" s="451" t="n"><v>247</v></c><c r="B255" s="369"><f>B254</f><v /></c><c r="C255" s="369"><f>C254</f><v /></c><c r="D255" s="370"><f>D254</f><v /></c><c r="E255" s="371"><f>E254</f><v /></c><c r="F255" s="13" t="n" /><c r="G255" s="312" t="inlineStr"><is><t>PA25516974</t></is></c><c r="H255" s="313"><f>H254</f><v /></c><c r="I255" s="38"><f>I254</f><v /></c><c r="J255" s="314"><f>J254</f><v /></c><c r="K255" s="372"><f>K254</f><v /></c><c r="L255" s="372"><f>L254</f><v /></c><c r="M255" s="373" t="n"><v>86.34</v></c><c r="N255" s="373" t="n"><v>186.2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372"><f>W254</f><v /></c><c r="X255" s="372"><f>X254</f><v /></c><c r="Y255" s="373" t="n"><v>190.59</v></c><c r="Z255" s="373" t="n"><v>200.54</v></c><c r="AA255" s="380"><f>AA254</f><v /></c><c r="AB255" s="381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372"><f>AI254</f><v /></c><c r="AJ255" s="372"><f>AJ254</f><v /></c><c r="AK255" s="373"><f>Z255</f><v /></c><c r="AL255" s="373" t="n"><v>205.62</v></c><c r="AM255" s="382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3"><f>IF(I255&gt;=1,"NO CONFORME",IF(BK255="SIGDIFERENTES",BC255,BL255))</f><v /></c><c r="AU255" s="365"><f>B255=C255</f><v /></c><c r="AV255" s="365"><f>N255&lt;Y255</f><v /></c><c r="AW255" s="365"><f>Z255&lt;=AK255</f><v /></c><c r="AX255" s="365"><f>IF(I255&gt;=1,"Qcorrecto",IF(AND(AY255="aceptable",AZ255="aceptable",BA255="aceptable"),"Qcorrecto","Qincorrecto"))</f><v /></c><c r="AY255" s="366"><f>IF(AR255&lt;$AH$6,"error",IF(AR255&gt;$AH$6*1.1,"error","aceptable"))</f><v /></c><c r="AZ255" s="366"><f>IF(AF255&lt;$V$6,"error",IF(AF255&gt;$V$6*1.1,"error","aceptable"))</f><v /></c><c r="BA255" s="366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7"><f>SIGN(U255)</f><v /></c><c r="BE255" s="367"><f>SIGN(AG255)</f><v /></c><c r="BF255" s="367"><f>SIGN(AS255)</f><v /></c><c r="BG255" s="367"><f>CONCATENATE(BD255,BE255,BF255)</f><v /></c><c r="BH255" s="367"><f>IF(BG255="111","SI","SD")</f><v /></c><c r="BI255" s="367"><f>IF(BG255="-1-1-1","SI","SD")</f><v /></c><c r="BJ255" s="367"><f>OR(BH255="SI",BI255="SI")</f><v /></c><c r="BK255" s="367"><f>IF(BJ255=FALSE,"SIGDIFERENTES","SIGIGUALES")</f><v /></c><c r="BL255" s="366"><f>IF(BC255="NO CONFORME","NO CONFORME",IF(BB255="CONFORME","CONFORME","NO CONFORME"))</f><v /></c></row><row r="256" ht="14.4" customHeight="1" thickBot="1"><c r="A256" s="451" t="n"><v>248</v></c><c r="B256" s="369"><f>B255</f><v /></c><c r="C256" s="369"><f>C255</f><v /></c><c r="D256" s="370"><f>D255</f><v /></c><c r="E256" s="371"><f>E255</f><v /></c><c r="F256" s="13" t="n" /><c r="G256" s="312" t="inlineStr"><is><t>PA25516975</t></is></c><c r="H256" s="313"><f>H255</f><v /></c><c r="I256" s="38"><f>I255</f><v /></c><c r="J256" s="314"><f>J255</f><v /></c><c r="K256" s="372"><f>K255</f><v /></c><c r="L256" s="372"><f>L255</f><v /></c><c r="M256" s="373" t="n"><v>85.94</v></c><c r="N256" s="373" t="n"><v>185.18</v></c><c r="O256" s="374"><f>O255</f><v /></c><c r="P256" s="375"><f>P255</f><v /></c><c r="Q256" s="376"><f>LEFT(P256,1)</f><v /></c><c r="R256" s="376"><f>RIGHT(P256,6)</f><v /></c><c r="S256" s="376"><f>+(Q256*60+R256)/(60*60)</f><v /></c><c r="T256" s="377"><f>+O256/S256</f><v /></c><c r="U256" s="378"><f>+(((N256-M256-O256)/O256)*100)</f><v /></c><c r="V256" s="317"><f>V255</f><v /></c><c r="W256" s="372"><f>W255</f><v /></c><c r="X256" s="372"><f>X255</f><v /></c><c r="Y256" s="373" t="n"><v>189.53</v></c><c r="Z256" s="373" t="n"><v>199.51</v></c><c r="AA256" s="380"><f>AA255</f><v /></c><c r="AB256" s="381"><f>AB255</f><v /></c><c r="AC256" s="376"><f>LEFT(AB256,2)</f><v /></c><c r="AD256" s="376"><f>RIGHT(AB256,6)</f><v /></c><c r="AE256" s="376"><f>+(AC256*60+AD256)/(60*60)</f><v /></c><c r="AF256" s="377"><f>+AA256/AE256</f><v /></c><c r="AG256" s="321"><f>+(((Z256-Y256-AA256)/AA256)*100)</f><v /></c><c r="AH256" s="317"><f>AH255</f><v /></c><c r="AI256" s="372"><f>AI255</f><v /></c><c r="AJ256" s="372"><f>AJ255</f><v /></c><c r="AK256" s="373"><f>Z256</f><v /></c><c r="AL256" s="373" t="n"><v>204.53</v></c><c r="AM256" s="382"><f>AM255</f><v /></c><c r="AN256" s="375"><f>AN255</f><v /></c><c r="AO256" s="376"><f>LEFT(AN256,2)</f><v /></c><c r="AP256" s="376"><f>RIGHT(AN256,6)</f><v /></c><c r="AQ256" s="376"><f>+(AO256*60+AP256)/(60*60)</f><v /></c><c r="AR256" s="377"><f>+AM256/AQ256</f><v /></c><c r="AS256" s="321"><f>+(((AL256-AK256-AM256)/AM256)*100)</f><v /></c><c r="AT256" s="383"><f>IF(I256&gt;=1,"NO CONFORME",IF(BK256="SIGDIFERENTES",BC256,BL256))</f><v /></c><c r="AU256" s="365"><f>B256=C256</f><v /></c><c r="AV256" s="365"><f>N256&lt;Y256</f><v /></c><c r="AW256" s="365"><f>Z256&lt;=AK256</f><v /></c><c r="AX256" s="365"><f>IF(I256&gt;=1,"Qcorrecto",IF(AND(AY256="aceptable",AZ256="aceptable",BA256="aceptable"),"Qcorrecto","Qincorrecto"))</f><v /></c><c r="AY256" s="366"><f>IF(AR256&lt;$AH$6,"error",IF(AR256&gt;$AH$6*1.1,"error","aceptable"))</f><v /></c><c r="AZ256" s="366"><f>IF(AF256&lt;$V$6,"error",IF(AF256&gt;$V$6*1.1,"error","aceptable"))</f><v /></c><c r="BA256" s="366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67"><f>SIGN(U256)</f><v /></c><c r="BE256" s="367"><f>SIGN(AG256)</f><v /></c><c r="BF256" s="367"><f>SIGN(AS256)</f><v /></c><c r="BG256" s="367"><f>CONCATENATE(BD256,BE256,BF256)</f><v /></c><c r="BH256" s="367"><f>IF(BG256="111","SI","SD")</f><v /></c><c r="BI256" s="367"><f>IF(BG256="-1-1-1","SI","SD")</f><v /></c><c r="BJ256" s="367"><f>OR(BH256="SI",BI256="SI")</f><v /></c><c r="BK256" s="367"><f>IF(BJ256=FALSE,"SIGDIFERENTES","SIGIGUALES")</f><v /></c><c r="BL256" s="366"><f>IF(BC256="NO CONFORME","NO CONFORME",IF(BB256="CONFORME","CONFORME","NO CONFORME"))</f><v /></c></row><row r="257" ht="14.4" customHeight="1" thickBot="1"><c r="A257" s="451" t="n"><v>249</v></c><c r="B257" s="369"><f>B256</f><v /></c><c r="C257" s="369"><f>C256</f><v /></c><c r="D257" s="370"><f>D256</f><v /></c><c r="E257" s="371"><f>E256</f><v /></c><c r="F257" s="13" t="n" /><c r="G257" s="312" t="inlineStr"><is><t>PA25516976</t></is></c><c r="H257" s="313"><f>H256</f><v /></c><c r="I257" s="38"><f>I256</f><v /></c><c r="J257" s="314"><f>J256</f><v /></c><c r="K257" s="372"><f>K256</f><v /></c><c r="L257" s="372"><f>L256</f><v /></c><c r="M257" s="373" t="n"><v>86.20999999999999</v></c><c r="N257" s="373" t="n"><v>186.02</v></c><c r="O257" s="374"><f>O256</f><v /></c><c r="P257" s="375"><f>P256</f><v /></c><c r="Q257" s="376"><f>LEFT(P257,1)</f><v /></c><c r="R257" s="376"><f>RIGHT(P257,6)</f><v /></c><c r="S257" s="376"><f>+(Q257*60+R257)/(60*60)</f><v /></c><c r="T257" s="377"><f>+O257/S257</f><v /></c><c r="U257" s="378"><f>+(((N257-M257-O257)/O257)*100)</f><v /></c><c r="V257" s="317"><f>V256</f><v /></c><c r="W257" s="372"><f>W256</f><v /></c><c r="X257" s="372"><f>X256</f><v /></c><c r="Y257" s="373" t="n"><v>190.42</v></c><c r="Z257" s="373" t="n"><v>200.48</v></c><c r="AA257" s="380"><f>AA256</f><v /></c><c r="AB257" s="381"><f>AB256</f><v /></c><c r="AC257" s="376"><f>LEFT(AB257,2)</f><v /></c><c r="AD257" s="376"><f>RIGHT(AB257,6)</f><v /></c><c r="AE257" s="376"><f>+(AC257*60+AD257)/(60*60)</f><v /></c><c r="AF257" s="377"><f>+AA257/AE257</f><v /></c><c r="AG257" s="321"><f>+(((Z257-Y257-AA257)/AA257)*100)</f><v /></c><c r="AH257" s="317"><f>AH256</f><v /></c><c r="AI257" s="372"><f>AI256</f><v /></c><c r="AJ257" s="372"><f>AJ256</f><v /></c><c r="AK257" s="373"><f>Z257</f><v /></c><c r="AL257" s="373" t="n"><v>205.58</v></c><c r="AM257" s="382"><f>AM256</f><v /></c><c r="AN257" s="375"><f>AN256</f><v /></c><c r="AO257" s="376"><f>LEFT(AN257,2)</f><v /></c><c r="AP257" s="376"><f>RIGHT(AN257,6)</f><v /></c><c r="AQ257" s="376"><f>+(AO257*60+AP257)/(60*60)</f><v /></c><c r="AR257" s="377"><f>+AM257/AQ257</f><v /></c><c r="AS257" s="321"><f>+(((AL257-AK257-AM257)/AM257)*100)</f><v /></c><c r="AT257" s="383"><f>IF(I257&gt;=1,"NO CONFORME",IF(BK257="SIGDIFERENTES",BC257,BL257))</f><v /></c><c r="AU257" s="365"><f>B257=C257</f><v /></c><c r="AV257" s="365"><f>N257&lt;Y257</f><v /></c><c r="AW257" s="365"><f>Z257&lt;=AK257</f><v /></c><c r="AX257" s="365"><f>IF(I257&gt;=1,"Qcorrecto",IF(AND(AY257="aceptable",AZ257="aceptable",BA257="aceptable"),"Qcorrecto","Qincorrecto"))</f><v /></c><c r="AY257" s="366"><f>IF(AR257&lt;$AH$6,"error",IF(AR257&gt;$AH$6*1.1,"error","aceptable"))</f><v /></c><c r="AZ257" s="366"><f>IF(AF257&lt;$V$6,"error",IF(AF257&gt;$V$6*1.1,"error","aceptable"))</f><v /></c><c r="BA257" s="366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7"><f>SIGN(U257)</f><v /></c><c r="BE257" s="367"><f>SIGN(AG257)</f><v /></c><c r="BF257" s="367"><f>SIGN(AS257)</f><v /></c><c r="BG257" s="367"><f>CONCATENATE(BD257,BE257,BF257)</f><v /></c><c r="BH257" s="367"><f>IF(BG257="111","SI","SD")</f><v /></c><c r="BI257" s="367"><f>IF(BG257="-1-1-1","SI","SD")</f><v /></c><c r="BJ257" s="367"><f>OR(BH257="SI",BI257="SI")</f><v /></c><c r="BK257" s="367"><f>IF(BJ257=FALSE,"SIGDIFERENTES","SIGIGUALES")</f><v /></c><c r="BL257" s="366"><f>IF(BC257="NO CONFORME","NO CONFORME",IF(BB257="CONFORME","CONFORME","NO CONFORME"))</f><v /></c></row><row r="258" ht="14.4" customHeight="1" thickBot="1"><c r="A258" s="451" t="n"><v>250</v></c><c r="B258" s="369"><f>B257</f><v /></c><c r="C258" s="369"><f>C257</f><v /></c><c r="D258" s="370"><f>D257</f><v /></c><c r="E258" s="371"><f>E257</f><v /></c><c r="F258" s="13" t="n" /><c r="G258" s="312" t="inlineStr"><is><t>PA25516977</t></is></c><c r="H258" s="313"><f>H257</f><v /></c><c r="I258" s="38"><f>I257</f><v /></c><c r="J258" s="314"><f>J257</f><v /></c><c r="K258" s="372"><f>K257</f><v /></c><c r="L258" s="372"><f>L257</f><v /></c><c r="M258" s="373" t="n"><v>87.04000000000001</v></c><c r="N258" s="373" t="n"><v>186.41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372"><f>W257</f><v /></c><c r="X258" s="372"><f>X257</f><v /></c><c r="Y258" s="373" t="n"><v>190.84</v></c><c r="Z258" s="373" t="n"><v>200.79</v></c><c r="AA258" s="380"><f>AA257</f><v /></c><c r="AB258" s="381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372"><f>AI257</f><v /></c><c r="AJ258" s="372"><f>AJ257</f><v /></c><c r="AK258" s="373"><f>Z258</f><v /></c><c r="AL258" s="373" t="n"><v>205.89</v></c><c r="AM258" s="382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3"><f>IF(I258&gt;=1,"NO CONFORME",IF(BK258="SIGDIFERENTES",BC258,BL258))</f><v /></c><c r="AU258" s="365"><f>B258=C258</f><v /></c><c r="AV258" s="365"><f>N258&lt;Y258</f><v /></c><c r="AW258" s="365"><f>Z258&lt;=AK258</f><v /></c><c r="AX258" s="365"><f>IF(I258&gt;=1,"Qcorrecto",IF(AND(AY258="aceptable",AZ258="aceptable",BA258="aceptable"),"Qcorrecto","Qincorrecto"))</f><v /></c><c r="AY258" s="366"><f>IF(AR258&lt;$AH$6,"error",IF(AR258&gt;$AH$6*1.1,"error","aceptable"))</f><v /></c><c r="AZ258" s="366"><f>IF(AF258&lt;$V$6,"error",IF(AF258&gt;$V$6*1.1,"error","aceptable"))</f><v /></c><c r="BA258" s="366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7"><f>SIGN(U258)</f><v /></c><c r="BE258" s="367"><f>SIGN(AG258)</f><v /></c><c r="BF258" s="367"><f>SIGN(AS258)</f><v /></c><c r="BG258" s="367"><f>CONCATENATE(BD258,BE258,BF258)</f><v /></c><c r="BH258" s="367"><f>IF(BG258="111","SI","SD")</f><v /></c><c r="BI258" s="367"><f>IF(BG258="-1-1-1","SI","SD")</f><v /></c><c r="BJ258" s="367"><f>OR(BH258="SI",BI258="SI")</f><v /></c><c r="BK258" s="367"><f>IF(BJ258=FALSE,"SIGDIFERENTES","SIGIGUALES")</f><v /></c><c r="BL258" s="366"><f>IF(BC258="NO CONFORME","NO CONFORME",IF(BB258="CONFORME","CONFORME","NO CONFORME"))</f><v /></c></row><row r="259" ht="14.4" customHeight="1" thickBot="1"><c r="A259" s="451" t="n"><v>251</v></c><c r="B259" s="369"><f>B258</f><v /></c><c r="C259" s="369"><f>C258</f><v /></c><c r="D259" s="370"><f>D258</f><v /></c><c r="E259" s="371"><f>E258</f><v /></c><c r="F259" s="13" t="n" /><c r="G259" s="312" t="inlineStr"><is><t>PA25516978</t></is></c><c r="H259" s="313"><f>H258</f><v /></c><c r="I259" s="38"><f>I258</f><v /></c><c r="J259" s="314"><f>J258</f><v /></c><c r="K259" s="372"><f>K258</f><v /></c><c r="L259" s="372"><f>L258</f><v /></c><c r="M259" s="373" t="n"><v>87.7</v></c><c r="N259" s="373" t="n"><v>186.52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372"><f>W258</f><v /></c><c r="X259" s="372"><f>X258</f><v /></c><c r="Y259" s="373" t="n"><v>190.92</v></c><c r="Z259" s="373" t="n"><v>200.84</v></c><c r="AA259" s="380"><f>AA258</f><v /></c><c r="AB259" s="381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372"><f>AI258</f><v /></c><c r="AJ259" s="372"><f>AJ258</f><v /></c><c r="AK259" s="373"><f>Z259</f><v /></c><c r="AL259" s="373" t="n"><v>205.74</v></c><c r="AM259" s="382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3"><f>IF(I259&gt;=1,"NO CONFORME",IF(BK259="SIGDIFERENTES",BC259,BL259))</f><v /></c><c r="AU259" s="365"><f>B259=C259</f><v /></c><c r="AV259" s="365"><f>N259&lt;Y259</f><v /></c><c r="AW259" s="365"><f>Z259&lt;=AK259</f><v /></c><c r="AX259" s="365"><f>IF(I259&gt;=1,"Qcorrecto",IF(AND(AY259="aceptable",AZ259="aceptable",BA259="aceptable"),"Qcorrecto","Qincorrecto"))</f><v /></c><c r="AY259" s="366"><f>IF(AR259&lt;$AH$6,"error",IF(AR259&gt;$AH$6*1.1,"error","aceptable"))</f><v /></c><c r="AZ259" s="366"><f>IF(AF259&lt;$V$6,"error",IF(AF259&gt;$V$6*1.1,"error","aceptable"))</f><v /></c><c r="BA259" s="366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7"><f>SIGN(U259)</f><v /></c><c r="BE259" s="367"><f>SIGN(AG259)</f><v /></c><c r="BF259" s="367"><f>SIGN(AS259)</f><v /></c><c r="BG259" s="367"><f>CONCATENATE(BD259,BE259,BF259)</f><v /></c><c r="BH259" s="367"><f>IF(BG259="111","SI","SD")</f><v /></c><c r="BI259" s="367"><f>IF(BG259="-1-1-1","SI","SD")</f><v /></c><c r="BJ259" s="367"><f>OR(BH259="SI",BI259="SI")</f><v /></c><c r="BK259" s="367"><f>IF(BJ259=FALSE,"SIGDIFERENTES","SIGIGUALES")</f><v /></c><c r="BL259" s="366"><f>IF(BC259="NO CONFORME","NO CONFORME",IF(BB259="CONFORME","CONFORME","NO CONFORME"))</f><v /></c></row><row r="260" ht="14.4" customHeight="1" thickBot="1"><c r="A260" s="451" t="n"><v>252</v></c><c r="B260" s="369"><f>B259</f><v /></c><c r="C260" s="369"><f>C259</f><v /></c><c r="D260" s="370"><f>D259</f><v /></c><c r="E260" s="371"><f>E259</f><v /></c><c r="F260" s="13" t="n" /><c r="G260" s="312" t="inlineStr"><is><t>PA25516979</t></is></c><c r="H260" s="313"><f>H259</f><v /></c><c r="I260" s="38"><f>I259</f><v /></c><c r="J260" s="314"><f>J259</f><v /></c><c r="K260" s="372"><f>K259</f><v /></c><c r="L260" s="372"><f>L259</f><v /></c><c r="M260" s="373" t="n"><v>87.29000000000001</v></c><c r="N260" s="373" t="n"><v>187.22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372"><f>W259</f><v /></c><c r="X260" s="372"><f>X259</f><v /></c><c r="Y260" s="373" t="n"><v>191.6</v></c><c r="Z260" s="373" t="n"><v>201.6</v></c><c r="AA260" s="380"><f>AA259</f><v /></c><c r="AB260" s="381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372"><f>AI259</f><v /></c><c r="AJ260" s="372"><f>AJ259</f><v /></c><c r="AK260" s="373"><f>Z260</f><v /></c><c r="AL260" s="373" t="n"><v>206.52</v></c><c r="AM260" s="382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3"><f>IF(I260&gt;=1,"NO CONFORME",IF(BK260="SIGDIFERENTES",BC260,BL260))</f><v /></c><c r="AU260" s="365"><f>B260=C260</f><v /></c><c r="AV260" s="365"><f>N260&lt;Y260</f><v /></c><c r="AW260" s="365"><f>Z260&lt;=AK260</f><v /></c><c r="AX260" s="365"><f>IF(I260&gt;=1,"Qcorrecto",IF(AND(AY260="aceptable",AZ260="aceptable",BA260="aceptable"),"Qcorrecto","Qincorrecto"))</f><v /></c><c r="AY260" s="366"><f>IF(AR260&lt;$AH$6,"error",IF(AR260&gt;$AH$6*1.1,"error","aceptable"))</f><v /></c><c r="AZ260" s="366"><f>IF(AF260&lt;$V$6,"error",IF(AF260&gt;$V$6*1.1,"error","aceptable"))</f><v /></c><c r="BA260" s="366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7"><f>SIGN(U260)</f><v /></c><c r="BE260" s="367"><f>SIGN(AG260)</f><v /></c><c r="BF260" s="367"><f>SIGN(AS260)</f><v /></c><c r="BG260" s="367"><f>CONCATENATE(BD260,BE260,BF260)</f><v /></c><c r="BH260" s="367"><f>IF(BG260="111","SI","SD")</f><v /></c><c r="BI260" s="367"><f>IF(BG260="-1-1-1","SI","SD")</f><v /></c><c r="BJ260" s="367"><f>OR(BH260="SI",BI260="SI")</f><v /></c><c r="BK260" s="367"><f>IF(BJ260=FALSE,"SIGDIFERENTES","SIGIGUALES")</f><v /></c><c r="BL260" s="366"><f>IF(BC260="NO CONFORME","NO CONFORME",IF(BB260="CONFORME","CONFORME","NO CONFORME"))</f><v /></c></row><row r="261" ht="14.4" customHeight="1" thickBot="1"><c r="A261" s="451" t="n"><v>253</v></c><c r="B261" s="369"><f>B260</f><v /></c><c r="C261" s="369"><f>C260</f><v /></c><c r="D261" s="370"><f>D260</f><v /></c><c r="E261" s="371"><f>E260</f><v /></c><c r="F261" s="13" t="n" /><c r="G261" s="312" t="inlineStr"><is><t>PA25516980</t></is></c><c r="H261" s="313"><f>H260</f><v /></c><c r="I261" s="38"><f>I260</f><v /></c><c r="J261" s="314"><f>J260</f><v /></c><c r="K261" s="372"><f>K260</f><v /></c><c r="L261" s="372"><f>L260</f><v /></c><c r="M261" s="373" t="n"><v>87.61</v></c><c r="N261" s="373" t="n"><v>187.59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372"><f>W260</f><v /></c><c r="X261" s="372"><f>X260</f><v /></c><c r="Y261" s="373" t="n"><v>192</v></c><c r="Z261" s="373" t="n"><v>202.09</v></c><c r="AA261" s="380"><f>AA260</f><v /></c><c r="AB261" s="381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372"><f>AI260</f><v /></c><c r="AJ261" s="372"><f>AJ260</f><v /></c><c r="AK261" s="373"><f>Z261</f><v /></c><c r="AL261" s="373" t="n"><v>207.16</v></c><c r="AM261" s="382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3"><f>IF(I261&gt;=1,"NO CONFORME",IF(BK261="SIGDIFERENTES",BC261,BL261))</f><v /></c><c r="AU261" s="365"><f>B261=C261</f><v /></c><c r="AV261" s="365"><f>N261&lt;Y261</f><v /></c><c r="AW261" s="365"><f>Z261&lt;=AK261</f><v /></c><c r="AX261" s="365"><f>IF(I261&gt;=1,"Qcorrecto",IF(AND(AY261="aceptable",AZ261="aceptable",BA261="aceptable"),"Qcorrecto","Qincorrecto"))</f><v /></c><c r="AY261" s="366"><f>IF(AR261&lt;$AH$6,"error",IF(AR261&gt;$AH$6*1.1,"error","aceptable"))</f><v /></c><c r="AZ261" s="366"><f>IF(AF261&lt;$V$6,"error",IF(AF261&gt;$V$6*1.1,"error","aceptable"))</f><v /></c><c r="BA261" s="366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7"><f>SIGN(U261)</f><v /></c><c r="BE261" s="367"><f>SIGN(AG261)</f><v /></c><c r="BF261" s="367"><f>SIGN(AS261)</f><v /></c><c r="BG261" s="367"><f>CONCATENATE(BD261,BE261,BF261)</f><v /></c><c r="BH261" s="367"><f>IF(BG261="111","SI","SD")</f><v /></c><c r="BI261" s="367"><f>IF(BG261="-1-1-1","SI","SD")</f><v /></c><c r="BJ261" s="367"><f>OR(BH261="SI",BI261="SI")</f><v /></c><c r="BK261" s="367"><f>IF(BJ261=FALSE,"SIGDIFERENTES","SIGIGUALES")</f><v /></c><c r="BL261" s="366"><f>IF(BC261="NO CONFORME","NO CONFORME",IF(BB261="CONFORME","CONFORME","NO CONFORME"))</f><v /></c></row><row r="262" ht="14.4" customHeight="1" thickBot="1"><c r="A262" s="451" t="n"><v>254</v></c><c r="B262" s="369"><f>B261</f><v /></c><c r="C262" s="369"><f>C261</f><v /></c><c r="D262" s="370"><f>D261</f><v /></c><c r="E262" s="371"><f>E261</f><v /></c><c r="F262" s="13" t="n" /><c r="G262" s="312" t="inlineStr"><is><t>PA25516981</t></is></c><c r="H262" s="313"><f>H261</f><v /></c><c r="I262" s="38"><f>I261</f><v /></c><c r="J262" s="314"><f>J261</f><v /></c><c r="K262" s="372"><f>K261</f><v /></c><c r="L262" s="372"><f>L261</f><v /></c><c r="M262" s="373" t="n"><v>86.68000000000001</v></c><c r="N262" s="373" t="n"><v>185.88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372"><f>W261</f><v /></c><c r="X262" s="372"><f>X261</f><v /></c><c r="Y262" s="373" t="n"><v>190.28</v></c><c r="Z262" s="373" t="n"><v>200.29</v></c><c r="AA262" s="380"><f>AA261</f><v /></c><c r="AB262" s="381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372"><f>AI261</f><v /></c><c r="AJ262" s="372"><f>AJ261</f><v /></c><c r="AK262" s="373"><f>Z262</f><v /></c><c r="AL262" s="373" t="n"><v>205.28</v></c><c r="AM262" s="382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3"><f>IF(I262&gt;=1,"NO CONFORME",IF(BK262="SIGDIFERENTES",BC262,BL262))</f><v /></c><c r="AU262" s="365"><f>B262=C262</f><v /></c><c r="AV262" s="365"><f>N262&lt;Y262</f><v /></c><c r="AW262" s="365"><f>Z262&lt;=AK262</f><v /></c><c r="AX262" s="365"><f>IF(I262&gt;=1,"Qcorrecto",IF(AND(AY262="aceptable",AZ262="aceptable",BA262="aceptable"),"Qcorrecto","Qincorrecto"))</f><v /></c><c r="AY262" s="366"><f>IF(AR262&lt;$AH$6,"error",IF(AR262&gt;$AH$6*1.1,"error","aceptable"))</f><v /></c><c r="AZ262" s="366"><f>IF(AF262&lt;$V$6,"error",IF(AF262&gt;$V$6*1.1,"error","aceptable"))</f><v /></c><c r="BA262" s="366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7"><f>SIGN(U262)</f><v /></c><c r="BE262" s="367"><f>SIGN(AG262)</f><v /></c><c r="BF262" s="367"><f>SIGN(AS262)</f><v /></c><c r="BG262" s="367"><f>CONCATENATE(BD262,BE262,BF262)</f><v /></c><c r="BH262" s="367"><f>IF(BG262="111","SI","SD")</f><v /></c><c r="BI262" s="367"><f>IF(BG262="-1-1-1","SI","SD")</f><v /></c><c r="BJ262" s="367"><f>OR(BH262="SI",BI262="SI")</f><v /></c><c r="BK262" s="367"><f>IF(BJ262=FALSE,"SIGDIFERENTES","SIGIGUALES")</f><v /></c><c r="BL262" s="366"><f>IF(BC262="NO CONFORME","NO CONFORME",IF(BB262="CONFORME","CONFORME","NO CONFORME"))</f><v /></c></row><row r="263" ht="14.4" customHeight="1" thickBot="1"><c r="A263" s="451" t="n"><v>255</v></c><c r="B263" s="369"><f>B262</f><v /></c><c r="C263" s="369"><f>C262</f><v /></c><c r="D263" s="370"><f>D262</f><v /></c><c r="E263" s="371"><f>E262</f><v /></c><c r="F263" s="13" t="n" /><c r="G263" s="312" t="inlineStr"><is><t>PA25516982</t></is></c><c r="H263" s="313"><f>H262</f><v /></c><c r="I263" s="38"><f>I262</f><v /></c><c r="J263" s="314"><f>J262</f><v /></c><c r="K263" s="372"><f>K262</f><v /></c><c r="L263" s="372"><f>L262</f><v /></c><c r="M263" s="373" t="n"><v>87.23</v></c><c r="N263" s="373" t="n"><v>186.68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372"><f>W262</f><v /></c><c r="X263" s="372"><f>X262</f><v /></c><c r="Y263" s="373" t="n"><v>191.1</v></c><c r="Z263" s="373" t="n"><v>201.18</v></c><c r="AA263" s="380"><f>AA262</f><v /></c><c r="AB263" s="381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372"><f>AI262</f><v /></c><c r="AJ263" s="372"><f>AJ262</f><v /></c><c r="AK263" s="373"><f>Z263</f><v /></c><c r="AL263" s="373" t="n"><v>206.26</v></c><c r="AM263" s="382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3"><f>IF(I263&gt;=1,"NO CONFORME",IF(BK263="SIGDIFERENTES",BC263,BL263))</f><v /></c><c r="AU263" s="365"><f>B263=C263</f><v /></c><c r="AV263" s="365"><f>N263&lt;Y263</f><v /></c><c r="AW263" s="365"><f>Z263&lt;=AK263</f><v /></c><c r="AX263" s="365"><f>IF(I263&gt;=1,"Qcorrecto",IF(AND(AY263="aceptable",AZ263="aceptable",BA263="aceptable"),"Qcorrecto","Qincorrecto"))</f><v /></c><c r="AY263" s="366"><f>IF(AR263&lt;$AH$6,"error",IF(AR263&gt;$AH$6*1.1,"error","aceptable"))</f><v /></c><c r="AZ263" s="366"><f>IF(AF263&lt;$V$6,"error",IF(AF263&gt;$V$6*1.1,"error","aceptable"))</f><v /></c><c r="BA263" s="366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7"><f>SIGN(U263)</f><v /></c><c r="BE263" s="367"><f>SIGN(AG263)</f><v /></c><c r="BF263" s="367"><f>SIGN(AS263)</f><v /></c><c r="BG263" s="367"><f>CONCATENATE(BD263,BE263,BF263)</f><v /></c><c r="BH263" s="367"><f>IF(BG263="111","SI","SD")</f><v /></c><c r="BI263" s="367"><f>IF(BG263="-1-1-1","SI","SD")</f><v /></c><c r="BJ263" s="367"><f>OR(BH263="SI",BI263="SI")</f><v /></c><c r="BK263" s="367"><f>IF(BJ263=FALSE,"SIGDIFERENTES","SIGIGUALES")</f><v /></c><c r="BL263" s="366"><f>IF(BC263="NO CONFORME","NO CONFORME",IF(BB263="CONFORME","CONFORME","NO CONFORME"))</f><v /></c></row><row r="264" ht="15" customHeight="1" thickBot="1"><c r="A264" s="473" t="n"><v>256</v></c><c r="B264" s="454"><f>B263</f><v /></c><c r="C264" s="454"><f>C263</f><v /></c><c r="D264" s="455"><f>D263</f><v /></c><c r="E264" s="474"><f>E263</f><v /></c><c r="F264" s="52" t="n" /><c r="G264" s="325" t="inlineStr"><is><t>PA25516983</t></is></c><c r="H264" s="326"><f>H263</f><v /></c><c r="I264" s="98"><f>I263</f><v /></c><c r="J264" s="327"><f>J263</f><v /></c><c r="K264" s="458"><f>K263</f><v /></c><c r="L264" s="458"><f>L263</f><v /></c><c r="M264" s="459" t="n"><v>86.52</v></c><c r="N264" s="459" t="n"><v>186.17</v></c><c r="O264" s="460"><f>O263</f><v /></c><c r="P264" s="461"><f>P263</f><v /></c><c r="Q264" s="462"><f>LEFT(P264,1)</f><v /></c><c r="R264" s="462"><f>RIGHT(P264,6)</f><v /></c><c r="S264" s="462"><f>+(Q264*60+R264)/(60*60)</f><v /></c><c r="T264" s="463"><f>+O264/S264</f><v /></c><c r="U264" s="464"><f>+(((N264-M264-O264)/O264)*100)</f><v /></c><c r="V264" s="329"><f>V263</f><v /></c><c r="W264" s="458"><f>W263</f><v /></c><c r="X264" s="458"><f>X263</f><v /></c><c r="Y264" s="459" t="n"><v>190.57</v></c><c r="Z264" s="459" t="n"><v>200.67</v></c><c r="AA264" s="466"><f>AA263</f><v /></c><c r="AB264" s="467"><f>AB263</f><v /></c><c r="AC264" s="462"><f>LEFT(AB264,2)</f><v /></c><c r="AD264" s="462"><f>RIGHT(AB264,6)</f><v /></c><c r="AE264" s="462"><f>+(AC264*60+AD264)/(60*60)</f><v /></c><c r="AF264" s="463"><f>+AA264/AE264</f><v /></c><c r="AG264" s="468"><f>+(((Z264-Y264-AA264)/AA264)*100)</f><v /></c><c r="AH264" s="329"><f>AH263</f><v /></c><c r="AI264" s="458"><f>AI263</f><v /></c><c r="AJ264" s="458"><f>AJ263</f><v /></c><c r="AK264" s="459"><f>Z264</f><v /></c><c r="AL264" s="459" t="n"><v>205.74</v></c><c r="AM264" s="469"><f>AM263</f><v /></c><c r="AN264" s="461"><f>AN263</f><v /></c><c r="AO264" s="462"><f>LEFT(AN264,2)</f><v /></c><c r="AP264" s="462"><f>RIGHT(AN264,6)</f><v /></c><c r="AQ264" s="462"><f>+(AO264*60+AP264)/(60*60)</f><v /></c><c r="AR264" s="463"><f>+AM264/AQ264</f><v /></c><c r="AS264" s="468"><f>+(((AL264-AK264-AM264)/AM264)*100)</f><v /></c><c r="AT264" s="470"><f>IF(I264&gt;=1,"NO CONFORME",IF(BK264="SIGDIFERENTES",BC264,BL264))</f><v /></c><c r="AU264" s="426"><f>B264=C264</f><v /></c><c r="AV264" s="426"><f>N264&lt;Y264</f><v /></c><c r="AW264" s="426"><f>Z264&lt;=AK264</f><v /></c><c r="AX264" s="426"><f>IF(I264&gt;=1,"Qcorrecto",IF(AND(AY264="aceptable",AZ264="aceptable",BA264="aceptable"),"Qcorrecto","Qincorrecto"))</f><v /></c><c r="AY264" s="427"><f>IF(AR264&lt;$AH$6,"error",IF(AR264&gt;$AH$6*1.1,"error","aceptable"))</f><v /></c><c r="AZ264" s="427"><f>IF(AF264&lt;$V$6,"error",IF(AF264&gt;$V$6*1.1,"error","aceptable"))</f><v /></c><c r="BA264" s="427"><f>IF(T264&lt;$J$6*0.9,"error",IF(T264&gt;$J$6,"error","aceptable"))</f><v /></c><c r="BB264" s="428"><f>(IF(ABS(U264)&lt;1.05,"CONFORME",IF(ABS(AG264)&lt;1.05,"CONFORME",IF(ABS(AS264)&lt;2.55,"CONFORME","NO CONFORME"))))</f><v /></c><c r="BC264" s="429"><f>(IF(ABS(U264)&gt;2.05,"NO CONFORME",IF(ABS(AG264)&gt;2.05,"NO CONFORME",IF(ABS(AS264)&gt;5.05,"NO CONFORME","CONFORME"))))</f><v /></c><c r="BD264" s="430"><f>SIGN(U264)</f><v /></c><c r="BE264" s="430"><f>SIGN(AG264)</f><v /></c><c r="BF264" s="430"><f>SIGN(AS264)</f><v /></c><c r="BG264" s="430"><f>CONCATENATE(BD264,BE264,BF264)</f><v /></c><c r="BH264" s="430"><f>IF(BG264="111","SI","SD")</f><v /></c><c r="BI264" s="430"><f>IF(BG264="-1-1-1","SI","SD")</f><v /></c><c r="BJ264" s="430"><f>OR(BH264="SI",BI264="SI")</f><v /></c><c r="BK264" s="430"><f>IF(BJ264=FALSE,"SIGDIFERENTES","SIGIGUALES")</f><v /></c><c r="BL264" s="427"><f>IF(BC264="NO CONFORME","NO CONFORME",IF(BB264="CONFORME","CONFORME","NO CONFORME"))</f><v /></c></row><row r="265" ht="14.4" customHeight="1" thickBot="1"><c r="A265" s="351" t="n"><v>257</v></c><c r="B265" s="386"><f>B264</f><v /></c><c r="C265" s="386"><f>C264</f><v /></c><c r="D265" s="387"><f>D264</f><v /></c><c r="E265" s="475"><f>E264</f><v /></c><c r="F265" s="58" t="n" /><c r="G265" s="300" t="inlineStr"><is><t>PA25516984</t></is></c><c r="H265" s="388"><f>H264</f><v /></c><c r="I265" s="232"><f>I264</f><v /></c><c r="J265" s="389" t="n"><v>20.9</v></c><c r="K265" s="390" t="n"><v>8.32</v></c><c r="L265" s="390" t="n"><v>0.525</v></c><c r="M265" s="356" t="n"><v>111.73</v></c><c r="N265" s="356" t="n"><v>210.69</v></c><c r="O265" s="391" t="n"><v>100.32</v></c><c r="P265" s="392" t="inlineStr"><is><t>2,30,480</t></is></c><c r="Q265" s="359"><f>LEFT(P265,1)</f><v /></c><c r="R265" s="359"><f>RIGHT(P265,6)</f><v /></c><c r="S265" s="359"><f>+(Q265*60+R265)/(60*60)</f><v /></c><c r="T265" s="360"><f>+O265/S265</f><v /></c><c r="U265" s="361"><f>+(((N265-M265-O265)/O265)*100)</f><v /></c><c r="V265" s="393" t="n"><v>20.9</v></c><c r="W265" s="390" t="n"><v>1.396</v></c><c r="X265" s="390" t="n"><v>1.393</v></c><c r="Y265" s="356" t="n"><v>216.18</v></c><c r="Z265" s="356" t="n"><v>226.13</v></c><c r="AA265" s="395" t="n"><v>10.015</v></c><c r="AB265" s="396" t="inlineStr"><is><t>22,49,160</t></is></c><c r="AC265" s="359"><f>LEFT(AB265,2)</f><v /></c><c r="AD265" s="359"><f>RIGHT(AB265,6)</f><v /></c><c r="AE265" s="359"><f>+(AC265*60+AD265)/(60*60)</f><v /></c><c r="AF265" s="360"><f>+AA265/AE265</f><v /></c><c r="AG265" s="362"><f>+(((Z265-Y265-AA265)/AA265)*100)</f><v /></c><c r="AH265" s="393" t="n"><v>20.8</v></c><c r="AI265" s="390" t="n"><v>1.396</v></c><c r="AJ265" s="390" t="n"><v>1.393</v></c><c r="AK265" s="356"><f>Z265</f><v /></c><c r="AL265" s="356" t="n"><v>231.28</v></c><c r="AM265" s="397" t="n"><v>5.11</v></c><c r="AN265" s="392" t="inlineStr"><is><t>18,32,200</t></is></c><c r="AO265" s="359"><f>LEFT(AN265,2)</f><v /></c><c r="AP265" s="359"><f>RIGHT(AN265,6)</f><v /></c><c r="AQ265" s="359"><f>+(AO265*60+AP265)/(60*60)</f><v /></c><c r="AR265" s="360"><f>+AM265/AQ265</f><v /></c><c r="AS265" s="362"><f>+(((AL265-AK265-AM265)/AM265)*100)</f><v /></c><c r="AT265" s="364"><f>IF(I265&gt;=1,"NO CONFORME",IF(BK265="SIGDIFERENTES",BC265,BL265))</f><v /></c><c r="AU265" s="365"><f>B265=C265</f><v /></c><c r="AV265" s="365"><f>N265&lt;Y265</f><v /></c><c r="AW265" s="365"><f>Z265&lt;=AK265</f><v /></c><c r="AX265" s="365"><f>IF(I265&gt;=1,"Qcorrecto",IF(AND(AY265="aceptable",AZ265="aceptable",BA265="aceptable"),"Qcorrecto","Qincorrecto"))</f><v /></c><c r="AY265" s="368"><f>IF(AR265&lt;$AH$6,"error",IF(AR265&gt;$AH$6*1.1,"error","aceptable"))</f><v /></c><c r="AZ265" s="368"><f>IF(AF265&lt;$V$6,"error",IF(AF265&gt;$V$6*1.1,"error","aceptable"))</f><v /></c><c r="BA265" s="368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7"><f>SIGN(U265)</f><v /></c><c r="BE265" s="367"><f>SIGN(AG265)</f><v /></c><c r="BF265" s="367"><f>SIGN(AS265)</f><v /></c><c r="BG265" s="367"><f>CONCATENATE(BD265,BE265,BF265)</f><v /></c><c r="BH265" s="367"><f>IF(BG265="111","SI","SD")</f><v /></c><c r="BI265" s="367"><f>IF(BG265="-1-1-1","SI","SD")</f><v /></c><c r="BJ265" s="367"><f>OR(BH265="SI",BI265="SI")</f><v /></c><c r="BK265" s="367"><f>IF(BJ265=FALSE,"SIGDIFERENTES","SIGIGUALES")</f><v /></c><c r="BL265" s="368"><f>IF(BC265="NO CONFORME","NO CONFORME",IF(BB265="CONFORME","CONFORME","NO CONFORME"))</f><v /></c></row><row r="266" ht="14.4" customHeight="1" thickBot="1"><c r="A266" s="451" t="n"><v>258</v></c><c r="B266" s="369"><f>B265</f><v /></c><c r="C266" s="369"><f>C265</f><v /></c><c r="D266" s="370"><f>D265</f><v /></c><c r="E266" s="371"><f>E265</f><v /></c><c r="F266" s="13" t="n" /><c r="G266" s="312" t="inlineStr"><is><t>PA25516985</t></is></c><c r="H266" s="313"><f>H265</f><v /></c><c r="I266" s="38"><f>I265</f><v /></c><c r="J266" s="314"><f>J265</f><v /></c><c r="K266" s="372"><f>K265</f><v /></c><c r="L266" s="372"><f>L265</f><v /></c><c r="M266" s="373" t="n"><v>111.62</v></c><c r="N266" s="373" t="n"><v>210.66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372"><f>W265</f><v /></c><c r="X266" s="372"><f>X265</f><v /></c><c r="Y266" s="373" t="n"><v>216.16</v></c><c r="Z266" s="373" t="n"><v>226.11</v></c><c r="AA266" s="380"><f>AA265</f><v /></c><c r="AB266" s="381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372"><f>AI265</f><v /></c><c r="AJ266" s="372"><f>AJ265</f><v /></c><c r="AK266" s="373"><f>Z266</f><v /></c><c r="AL266" s="373" t="n"><v>231.2</v></c><c r="AM266" s="382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3"><f>IF(I266&gt;=1,"NO CONFORME",IF(BK266="SIGDIFERENTES",BC266,BL266))</f><v /></c><c r="AU266" s="365"><f>B266=C266</f><v /></c><c r="AV266" s="365"><f>N266&lt;Y266</f><v /></c><c r="AW266" s="365"><f>Z266&lt;=AK266</f><v /></c><c r="AX266" s="365"><f>IF(I266&gt;=1,"Qcorrecto",IF(AND(AY266="aceptable",AZ266="aceptable",BA266="aceptable"),"Qcorrecto","Qincorrecto"))</f><v /></c><c r="AY266" s="366"><f>IF(AR266&lt;$AH$6,"error",IF(AR266&gt;$AH$6*1.1,"error","aceptable"))</f><v /></c><c r="AZ266" s="366"><f>IF(AF266&lt;$V$6,"error",IF(AF266&gt;$V$6*1.1,"error","aceptable"))</f><v /></c><c r="BA266" s="366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7"><f>SIGN(U266)</f><v /></c><c r="BE266" s="367"><f>SIGN(AG266)</f><v /></c><c r="BF266" s="367"><f>SIGN(AS266)</f><v /></c><c r="BG266" s="367"><f>CONCATENATE(BD266,BE266,BF266)</f><v /></c><c r="BH266" s="367"><f>IF(BG266="111","SI","SD")</f><v /></c><c r="BI266" s="367"><f>IF(BG266="-1-1-1","SI","SD")</f><v /></c><c r="BJ266" s="367"><f>OR(BH266="SI",BI266="SI")</f><v /></c><c r="BK266" s="367"><f>IF(BJ266=FALSE,"SIGDIFERENTES","SIGIGUALES")</f><v /></c><c r="BL266" s="366"><f>IF(BC266="NO CONFORME","NO CONFORME",IF(BB266="CONFORME","CONFORME","NO CONFORME"))</f><v /></c></row><row r="267" ht="14.4" customHeight="1" thickBot="1"><c r="A267" s="451" t="n"><v>259</v></c><c r="B267" s="369"><f>B266</f><v /></c><c r="C267" s="369"><f>C266</f><v /></c><c r="D267" s="370"><f>D266</f><v /></c><c r="E267" s="371"><f>E266</f><v /></c><c r="F267" s="13" t="n" /><c r="G267" s="312" t="inlineStr"><is><t>PA25516986</t></is></c><c r="H267" s="313"><f>H266</f><v /></c><c r="I267" s="38"><f>I266</f><v /></c><c r="J267" s="314"><f>J266</f><v /></c><c r="K267" s="372"><f>K266</f><v /></c><c r="L267" s="372"><f>L266</f><v /></c><c r="M267" s="373" t="n"><v>112.29</v></c><c r="N267" s="373" t="n"><v>211.6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372"><f>W266</f><v /></c><c r="X267" s="372"><f>X266</f><v /></c><c r="Y267" s="373" t="n"><v>217.09</v></c><c r="Z267" s="373" t="n"><v>227.13</v></c><c r="AA267" s="380"><f>AA266</f><v /></c><c r="AB267" s="381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372"><f>AI266</f><v /></c><c r="AJ267" s="372"><f>AJ266</f><v /></c><c r="AK267" s="373"><f>Z267</f><v /></c><c r="AL267" s="373" t="n"><v>232.29</v></c><c r="AM267" s="382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3"><f>IF(I267&gt;=1,"NO CONFORME",IF(BK267="SIGDIFERENTES",BC267,BL267))</f><v /></c><c r="AU267" s="365"><f>B267=C267</f><v /></c><c r="AV267" s="365"><f>N267&lt;Y267</f><v /></c><c r="AW267" s="365"><f>Z267&lt;=AK267</f><v /></c><c r="AX267" s="365"><f>IF(I267&gt;=1,"Qcorrecto",IF(AND(AY267="aceptable",AZ267="aceptable",BA267="aceptable"),"Qcorrecto","Qincorrecto"))</f><v /></c><c r="AY267" s="366"><f>IF(AR267&lt;$AH$6,"error",IF(AR267&gt;$AH$6*1.1,"error","aceptable"))</f><v /></c><c r="AZ267" s="366"><f>IF(AF267&lt;$V$6,"error",IF(AF267&gt;$V$6*1.1,"error","aceptable"))</f><v /></c><c r="BA267" s="366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7"><f>SIGN(U267)</f><v /></c><c r="BE267" s="367"><f>SIGN(AG267)</f><v /></c><c r="BF267" s="367"><f>SIGN(AS267)</f><v /></c><c r="BG267" s="367"><f>CONCATENATE(BD267,BE267,BF267)</f><v /></c><c r="BH267" s="367"><f>IF(BG267="111","SI","SD")</f><v /></c><c r="BI267" s="367"><f>IF(BG267="-1-1-1","SI","SD")</f><v /></c><c r="BJ267" s="367"><f>OR(BH267="SI",BI267="SI")</f><v /></c><c r="BK267" s="367"><f>IF(BJ267=FALSE,"SIGDIFERENTES","SIGIGUALES")</f><v /></c><c r="BL267" s="366"><f>IF(BC267="NO CONFORME","NO CONFORME",IF(BB267="CONFORME","CONFORME","NO CONFORME"))</f><v /></c></row><row r="268" ht="14.4" customHeight="1" thickBot="1"><c r="A268" s="451" t="n"><v>260</v></c><c r="B268" s="369"><f>B267</f><v /></c><c r="C268" s="369"><f>C267</f><v /></c><c r="D268" s="370"><f>D267</f><v /></c><c r="E268" s="371"><f>E267</f><v /></c><c r="F268" s="13" t="n" /><c r="G268" s="312" t="inlineStr"><is><t>PA25516987</t></is></c><c r="H268" s="313"><f>H267</f><v /></c><c r="I268" s="38"><f>I267</f><v /></c><c r="J268" s="314"><f>J267</f><v /></c><c r="K268" s="372"><f>K267</f><v /></c><c r="L268" s="372"><f>L267</f><v /></c><c r="M268" s="373" t="n"><v>111.98</v></c><c r="N268" s="373" t="n"><v>211.08</v></c><c r="O268" s="374"><f>O267</f><v /></c><c r="P268" s="375"><f>P267</f><v /></c><c r="Q268" s="376"><f>LEFT(P268,1)</f><v /></c><c r="R268" s="376"><f>RIGHT(P268,6)</f><v /></c><c r="S268" s="376"><f>+(Q268*60+R268)/(60*60)</f><v /></c><c r="T268" s="377"><f>+O268/S268</f><v /></c><c r="U268" s="378"><f>+(((N268-M268-O268)/O268)*100)</f><v /></c><c r="V268" s="317"><f>V267</f><v /></c><c r="W268" s="372"><f>W267</f><v /></c><c r="X268" s="372"><f>X267</f><v /></c><c r="Y268" s="373" t="n"><v>216.53</v></c><c r="Z268" s="373" t="n"><v>226.54</v></c><c r="AA268" s="380"><f>AA267</f><v /></c><c r="AB268" s="381"><f>AB267</f><v /></c><c r="AC268" s="376"><f>LEFT(AB268,2)</f><v /></c><c r="AD268" s="376"><f>RIGHT(AB268,6)</f><v /></c><c r="AE268" s="376"><f>+(AC268*60+AD268)/(60*60)</f><v /></c><c r="AF268" s="377"><f>+AA268/AE268</f><v /></c><c r="AG268" s="321"><f>+(((Z268-Y268-AA268)/AA268)*100)</f><v /></c><c r="AH268" s="317"><f>AH267</f><v /></c><c r="AI268" s="372"><f>AI267</f><v /></c><c r="AJ268" s="372"><f>AJ267</f><v /></c><c r="AK268" s="373"><f>Z268</f><v /></c><c r="AL268" s="373" t="n"><v>231.69</v></c><c r="AM268" s="382"><f>AM267</f><v /></c><c r="AN268" s="375"><f>AN267</f><v /></c><c r="AO268" s="376"><f>LEFT(AN268,2)</f><v /></c><c r="AP268" s="376"><f>RIGHT(AN268,6)</f><v /></c><c r="AQ268" s="376"><f>+(AO268*60+AP268)/(60*60)</f><v /></c><c r="AR268" s="377"><f>+AM268/AQ268</f><v /></c><c r="AS268" s="321"><f>+(((AL268-AK268-AM268)/AM268)*100)</f><v /></c><c r="AT268" s="383"><f>IF(I268&gt;=1,"NO CONFORME",IF(BK268="SIGDIFERENTES",BC268,BL268))</f><v /></c><c r="AU268" s="365"><f>B268=C268</f><v /></c><c r="AV268" s="365"><f>N268&lt;Y268</f><v /></c><c r="AW268" s="365"><f>Z268&lt;=AK268</f><v /></c><c r="AX268" s="365"><f>IF(I268&gt;=1,"Qcorrecto",IF(AND(AY268="aceptable",AZ268="aceptable",BA268="aceptable"),"Qcorrecto","Qincorrecto"))</f><v /></c><c r="AY268" s="366"><f>IF(AR268&lt;$AH$6,"error",IF(AR268&gt;$AH$6*1.1,"error","aceptable"))</f><v /></c><c r="AZ268" s="366"><f>IF(AF268&lt;$V$6,"error",IF(AF268&gt;$V$6*1.1,"error","aceptable"))</f><v /></c><c r="BA268" s="366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7"><f>SIGN(U268)</f><v /></c><c r="BE268" s="367"><f>SIGN(AG268)</f><v /></c><c r="BF268" s="367"><f>SIGN(AS268)</f><v /></c><c r="BG268" s="367"><f>CONCATENATE(BD268,BE268,BF268)</f><v /></c><c r="BH268" s="367"><f>IF(BG268="111","SI","SD")</f><v /></c><c r="BI268" s="367"><f>IF(BG268="-1-1-1","SI","SD")</f><v /></c><c r="BJ268" s="367"><f>OR(BH268="SI",BI268="SI")</f><v /></c><c r="BK268" s="367"><f>IF(BJ268=FALSE,"SIGDIFERENTES","SIGIGUALES")</f><v /></c><c r="BL268" s="366"><f>IF(BC268="NO CONFORME","NO CONFORME",IF(BB268="CONFORME","CONFORME","NO CONFORME"))</f><v /></c></row><row r="269" ht="14.4" customHeight="1" thickBot="1"><c r="A269" s="451" t="n"><v>261</v></c><c r="B269" s="369"><f>B268</f><v /></c><c r="C269" s="369"><f>C268</f><v /></c><c r="D269" s="370"><f>D268</f><v /></c><c r="E269" s="371"><f>E268</f><v /></c><c r="F269" s="13" t="n" /><c r="G269" s="312" t="inlineStr"><is><t>PA25516988</t></is></c><c r="H269" s="313"><f>H268</f><v /></c><c r="I269" s="38"><f>I268</f><v /></c><c r="J269" s="314"><f>J268</f><v /></c><c r="K269" s="372"><f>K268</f><v /></c><c r="L269" s="372"><f>L268</f><v /></c><c r="M269" s="373" t="n"><v>111.88</v></c><c r="N269" s="373" t="n"><v>210.63</v></c><c r="O269" s="374"><f>O268</f><v /></c><c r="P269" s="375"><f>P268</f><v /></c><c r="Q269" s="376"><f>LEFT(P269,1)</f><v /></c><c r="R269" s="376"><f>RIGHT(P269,6)</f><v /></c><c r="S269" s="376"><f>+(Q269*60+R269)/(60*60)</f><v /></c><c r="T269" s="377"><f>+O269/S269</f><v /></c><c r="U269" s="378"><f>+(((N269-M269-O269)/O269)*100)</f><v /></c><c r="V269" s="317"><f>V268</f><v /></c><c r="W269" s="372"><f>W268</f><v /></c><c r="X269" s="372"><f>X268</f><v /></c><c r="Y269" s="373" t="n"><v>216.09</v></c><c r="Z269" s="373" t="n"><v>226.05</v></c><c r="AA269" s="380"><f>AA268</f><v /></c><c r="AB269" s="381"><f>AB268</f><v /></c><c r="AC269" s="376"><f>LEFT(AB269,2)</f><v /></c><c r="AD269" s="376"><f>RIGHT(AB269,6)</f><v /></c><c r="AE269" s="376"><f>+(AC269*60+AD269)/(60*60)</f><v /></c><c r="AF269" s="377"><f>+AA269/AE269</f><v /></c><c r="AG269" s="321"><f>+(((Z269-Y269-AA269)/AA269)*100)</f><v /></c><c r="AH269" s="317"><f>AH268</f><v /></c><c r="AI269" s="372"><f>AI268</f><v /></c><c r="AJ269" s="372"><f>AJ268</f><v /></c><c r="AK269" s="373"><f>Z269</f><v /></c><c r="AL269" s="373" t="n"><v>231.22</v></c><c r="AM269" s="382"><f>AM268</f><v /></c><c r="AN269" s="375"><f>AN268</f><v /></c><c r="AO269" s="376"><f>LEFT(AN269,2)</f><v /></c><c r="AP269" s="376"><f>RIGHT(AN269,6)</f><v /></c><c r="AQ269" s="376"><f>+(AO269*60+AP269)/(60*60)</f><v /></c><c r="AR269" s="377"><f>+AM269/AQ269</f><v /></c><c r="AS269" s="321"><f>+(((AL269-AK269-AM269)/AM269)*100)</f><v /></c><c r="AT269" s="383"><f>IF(I269&gt;=1,"NO CONFORME",IF(BK269="SIGDIFERENTES",BC269,BL269))</f><v /></c><c r="AU269" s="365"><f>B269=C269</f><v /></c><c r="AV269" s="365"><f>N269&lt;Y269</f><v /></c><c r="AW269" s="365"><f>Z269&lt;=AK269</f><v /></c><c r="AX269" s="365"><f>IF(I269&gt;=1,"Qcorrecto",IF(AND(AY269="aceptable",AZ269="aceptable",BA269="aceptable"),"Qcorrecto","Qincorrecto"))</f><v /></c><c r="AY269" s="366"><f>IF(AR269&lt;$AH$6,"error",IF(AR269&gt;$AH$6*1.1,"error","aceptable"))</f><v /></c><c r="AZ269" s="366"><f>IF(AF269&lt;$V$6,"error",IF(AF269&gt;$V$6*1.1,"error","aceptable"))</f><v /></c><c r="BA269" s="366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7"><f>SIGN(U269)</f><v /></c><c r="BE269" s="367"><f>SIGN(AG269)</f><v /></c><c r="BF269" s="367"><f>SIGN(AS269)</f><v /></c><c r="BG269" s="367"><f>CONCATENATE(BD269,BE269,BF269)</f><v /></c><c r="BH269" s="367"><f>IF(BG269="111","SI","SD")</f><v /></c><c r="BI269" s="367"><f>IF(BG269="-1-1-1","SI","SD")</f><v /></c><c r="BJ269" s="367"><f>OR(BH269="SI",BI269="SI")</f><v /></c><c r="BK269" s="367"><f>IF(BJ269=FALSE,"SIGDIFERENTES","SIGIGUALES")</f><v /></c><c r="BL269" s="366"><f>IF(BC269="NO CONFORME","NO CONFORME",IF(BB269="CONFORME","CONFORME","NO CONFORME"))</f><v /></c></row><row r="270" ht="14.4" customHeight="1" thickBot="1"><c r="A270" s="451" t="n"><v>262</v></c><c r="B270" s="369"><f>B269</f><v /></c><c r="C270" s="369"><f>C269</f><v /></c><c r="D270" s="370"><f>D269</f><v /></c><c r="E270" s="371"><f>E269</f><v /></c><c r="F270" s="13" t="n" /><c r="G270" s="312" t="inlineStr"><is><t>PA25516989</t></is></c><c r="H270" s="313"><f>H269</f><v /></c><c r="I270" s="38"><f>I269</f><v /></c><c r="J270" s="314"><f>J269</f><v /></c><c r="K270" s="372"><f>K269</f><v /></c><c r="L270" s="372"><f>L269</f><v /></c><c r="M270" s="373" t="n"><v>111.93</v></c><c r="N270" s="373" t="n"><v>211.29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372"><f>W269</f><v /></c><c r="X270" s="372"><f>X269</f><v /></c><c r="Y270" s="373" t="n"><v>216.78</v></c><c r="Z270" s="373" t="n"><v>226.82</v></c><c r="AA270" s="380"><f>AA269</f><v /></c><c r="AB270" s="381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372"><f>AI269</f><v /></c><c r="AJ270" s="372"><f>AJ269</f><v /></c><c r="AK270" s="373"><f>Z270</f><v /></c><c r="AL270" s="373" t="n"><v>231.98</v></c><c r="AM270" s="382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3"><f>IF(I270&gt;=1,"NO CONFORME",IF(BK270="SIGDIFERENTES",BC270,BL270))</f><v /></c><c r="AU270" s="365"><f>B270=C270</f><v /></c><c r="AV270" s="365"><f>N270&lt;Y270</f><v /></c><c r="AW270" s="365"><f>Z270&lt;=AK270</f><v /></c><c r="AX270" s="365"><f>IF(I270&gt;=1,"Qcorrecto",IF(AND(AY270="aceptable",AZ270="aceptable",BA270="aceptable"),"Qcorrecto","Qincorrecto"))</f><v /></c><c r="AY270" s="366"><f>IF(AR270&lt;$AH$6,"error",IF(AR270&gt;$AH$6*1.1,"error","aceptable"))</f><v /></c><c r="AZ270" s="366"><f>IF(AF270&lt;$V$6,"error",IF(AF270&gt;$V$6*1.1,"error","aceptable"))</f><v /></c><c r="BA270" s="366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7"><f>SIGN(U270)</f><v /></c><c r="BE270" s="367"><f>SIGN(AG270)</f><v /></c><c r="BF270" s="367"><f>SIGN(AS270)</f><v /></c><c r="BG270" s="367"><f>CONCATENATE(BD270,BE270,BF270)</f><v /></c><c r="BH270" s="367"><f>IF(BG270="111","SI","SD")</f><v /></c><c r="BI270" s="367"><f>IF(BG270="-1-1-1","SI","SD")</f><v /></c><c r="BJ270" s="367"><f>OR(BH270="SI",BI270="SI")</f><v /></c><c r="BK270" s="367"><f>IF(BJ270=FALSE,"SIGDIFERENTES","SIGIGUALES")</f><v /></c><c r="BL270" s="366"><f>IF(BC270="NO CONFORME","NO CONFORME",IF(BB270="CONFORME","CONFORME","NO CONFORME"))</f><v /></c></row><row r="271" ht="14.4" customHeight="1" thickBot="1"><c r="A271" s="451" t="n"><v>263</v></c><c r="B271" s="369"><f>B270</f><v /></c><c r="C271" s="369"><f>C270</f><v /></c><c r="D271" s="370"><f>D270</f><v /></c><c r="E271" s="371"><f>E270</f><v /></c><c r="F271" s="13" t="n" /><c r="G271" s="312" t="inlineStr"><is><t>PA25516990</t></is></c><c r="H271" s="313"><f>H270</f><v /></c><c r="I271" s="38"><f>I270</f><v /></c><c r="J271" s="314"><f>J270</f><v /></c><c r="K271" s="372"><f>K270</f><v /></c><c r="L271" s="372"><f>L270</f><v /></c><c r="M271" s="373" t="n"><v>112.52</v></c><c r="N271" s="373" t="n"><v>212.28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372"><f>W270</f><v /></c><c r="X271" s="372"><f>X270</f><v /></c><c r="Y271" s="373" t="n"><v>217.76</v></c><c r="Z271" s="373" t="n"><v>227.78</v></c><c r="AA271" s="380"><f>AA270</f><v /></c><c r="AB271" s="381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372"><f>AI270</f><v /></c><c r="AJ271" s="372"><f>AJ270</f><v /></c><c r="AK271" s="373"><f>Z271</f><v /></c><c r="AL271" s="373" t="n"><v>232.93</v></c><c r="AM271" s="382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3"><f>IF(I271&gt;=1,"NO CONFORME",IF(BK271="SIGDIFERENTES",BC271,BL271))</f><v /></c><c r="AU271" s="365"><f>B271=C271</f><v /></c><c r="AV271" s="365"><f>N271&lt;Y271</f><v /></c><c r="AW271" s="365"><f>Z271&lt;=AK271</f><v /></c><c r="AX271" s="365"><f>IF(I271&gt;=1,"Qcorrecto",IF(AND(AY271="aceptable",AZ271="aceptable",BA271="aceptable"),"Qcorrecto","Qincorrecto"))</f><v /></c><c r="AY271" s="366"><f>IF(AR271&lt;$AH$6,"error",IF(AR271&gt;$AH$6*1.1,"error","aceptable"))</f><v /></c><c r="AZ271" s="366"><f>IF(AF271&lt;$V$6,"error",IF(AF271&gt;$V$6*1.1,"error","aceptable"))</f><v /></c><c r="BA271" s="366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7"><f>SIGN(U271)</f><v /></c><c r="BE271" s="367"><f>SIGN(AG271)</f><v /></c><c r="BF271" s="367"><f>SIGN(AS271)</f><v /></c><c r="BG271" s="367"><f>CONCATENATE(BD271,BE271,BF271)</f><v /></c><c r="BH271" s="367"><f>IF(BG271="111","SI","SD")</f><v /></c><c r="BI271" s="367"><f>IF(BG271="-1-1-1","SI","SD")</f><v /></c><c r="BJ271" s="367"><f>OR(BH271="SI",BI271="SI")</f><v /></c><c r="BK271" s="367"><f>IF(BJ271=FALSE,"SIGDIFERENTES","SIGIGUALES")</f><v /></c><c r="BL271" s="366"><f>IF(BC271="NO CONFORME","NO CONFORME",IF(BB271="CONFORME","CONFORME","NO CONFORME"))</f><v /></c></row><row r="272" ht="14.4" customHeight="1" thickBot="1"><c r="A272" s="451" t="n"><v>264</v></c><c r="B272" s="369"><f>B271</f><v /></c><c r="C272" s="369"><f>C271</f><v /></c><c r="D272" s="370"><f>D271</f><v /></c><c r="E272" s="371"><f>E271</f><v /></c><c r="F272" s="13" t="n" /><c r="G272" s="312" t="inlineStr"><is><t>PA25516991</t></is></c><c r="H272" s="313"><f>H271</f><v /></c><c r="I272" s="38"><f>I271</f><v /></c><c r="J272" s="314"><f>J271</f><v /></c><c r="K272" s="372"><f>K271</f><v /></c><c r="L272" s="372"><f>L271</f><v /></c><c r="M272" s="373" t="n"><v>111.21</v></c><c r="N272" s="373" t="n"><v>210.42</v></c><c r="O272" s="374"><f>O271</f><v /></c><c r="P272" s="375"><f>P271</f><v /></c><c r="Q272" s="376"><f>LEFT(P272,1)</f><v /></c><c r="R272" s="376"><f>RIGHT(P272,6)</f><v /></c><c r="S272" s="376"><f>+(Q272*60+R272)/(60*60)</f><v /></c><c r="T272" s="377"><f>+O272/S272</f><v /></c><c r="U272" s="378"><f>+(((N272-M272-O272)/O272)*100)</f><v /></c><c r="V272" s="317"><f>V271</f><v /></c><c r="W272" s="372"><f>W271</f><v /></c><c r="X272" s="372"><f>X271</f><v /></c><c r="Y272" s="373" t="n"><v>215.89</v></c><c r="Z272" s="373" t="n"><v>225.86</v></c><c r="AA272" s="380"><f>AA271</f><v /></c><c r="AB272" s="381"><f>AB271</f><v /></c><c r="AC272" s="376"><f>LEFT(AB272,2)</f><v /></c><c r="AD272" s="376"><f>RIGHT(AB272,6)</f><v /></c><c r="AE272" s="376"><f>+(AC272*60+AD272)/(60*60)</f><v /></c><c r="AF272" s="377"><f>+AA272/AE272</f><v /></c><c r="AG272" s="321"><f>+(((Z272-Y272-AA272)/AA272)*100)</f><v /></c><c r="AH272" s="317"><f>AH271</f><v /></c><c r="AI272" s="372"><f>AI271</f><v /></c><c r="AJ272" s="372"><f>AJ271</f><v /></c><c r="AK272" s="373"><f>Z272</f><v /></c><c r="AL272" s="373" t="n"><v>231</v></c><c r="AM272" s="382"><f>AM271</f><v /></c><c r="AN272" s="375"><f>AN271</f><v /></c><c r="AO272" s="376"><f>LEFT(AN272,2)</f><v /></c><c r="AP272" s="376"><f>RIGHT(AN272,6)</f><v /></c><c r="AQ272" s="376"><f>+(AO272*60+AP272)/(60*60)</f><v /></c><c r="AR272" s="377"><f>+AM272/AQ272</f><v /></c><c r="AS272" s="321"><f>+(((AL272-AK272-AM272)/AM272)*100)</f><v /></c><c r="AT272" s="383"><f>IF(I272&gt;=1,"NO CONFORME",IF(BK272="SIGDIFERENTES",BC272,BL272))</f><v /></c><c r="AU272" s="365"><f>B272=C272</f><v /></c><c r="AV272" s="365"><f>N272&lt;Y272</f><v /></c><c r="AW272" s="365"><f>Z272&lt;=AK272</f><v /></c><c r="AX272" s="365"><f>IF(I272&gt;=1,"Qcorrecto",IF(AND(AY272="aceptable",AZ272="aceptable",BA272="aceptable"),"Qcorrecto","Qincorrecto"))</f><v /></c><c r="AY272" s="366"><f>IF(AR272&lt;$AH$6,"error",IF(AR272&gt;$AH$6*1.1,"error","aceptable"))</f><v /></c><c r="AZ272" s="366"><f>IF(AF272&lt;$V$6,"error",IF(AF272&gt;$V$6*1.1,"error","aceptable"))</f><v /></c><c r="BA272" s="366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67"><f>SIGN(U272)</f><v /></c><c r="BE272" s="367"><f>SIGN(AG272)</f><v /></c><c r="BF272" s="367"><f>SIGN(AS272)</f><v /></c><c r="BG272" s="367"><f>CONCATENATE(BD272,BE272,BF272)</f><v /></c><c r="BH272" s="367"><f>IF(BG272="111","SI","SD")</f><v /></c><c r="BI272" s="367"><f>IF(BG272="-1-1-1","SI","SD")</f><v /></c><c r="BJ272" s="367"><f>OR(BH272="SI",BI272="SI")</f><v /></c><c r="BK272" s="367"><f>IF(BJ272=FALSE,"SIGDIFERENTES","SIGIGUALES")</f><v /></c><c r="BL272" s="366"><f>IF(BC272="NO CONFORME","NO CONFORME",IF(BB272="CONFORME","CONFORME","NO CONFORME"))</f><v /></c></row><row r="273" ht="14.4" customHeight="1" thickBot="1"><c r="A273" s="451" t="n"><v>265</v></c><c r="B273" s="369"><f>B272</f><v /></c><c r="C273" s="369"><f>C272</f><v /></c><c r="D273" s="370"><f>D272</f><v /></c><c r="E273" s="371"><f>E272</f><v /></c><c r="F273" s="13" t="n" /><c r="G273" s="312" t="inlineStr"><is><t>PA25516992</t></is></c><c r="H273" s="313"><f>H272</f><v /></c><c r="I273" s="38"><f>I272</f><v /></c><c r="J273" s="314"><f>J272</f><v /></c><c r="K273" s="372"><f>K272</f><v /></c><c r="L273" s="372"><f>L272</f><v /></c><c r="M273" s="373" t="n"><v>111.75</v></c><c r="N273" s="373" t="n"><v>210.86</v></c><c r="O273" s="374"><f>O272</f><v /></c><c r="P273" s="375"><f>P272</f><v /></c><c r="Q273" s="376"><f>LEFT(P273,1)</f><v /></c><c r="R273" s="376"><f>RIGHT(P273,6)</f><v /></c><c r="S273" s="376"><f>+(Q273*60+R273)/(60*60)</f><v /></c><c r="T273" s="377"><f>+O273/S273</f><v /></c><c r="U273" s="378"><f>+(((N273-M273-O273)/O273)*100)</f><v /></c><c r="V273" s="317"><f>V272</f><v /></c><c r="W273" s="372"><f>W272</f><v /></c><c r="X273" s="372"><f>X272</f><v /></c><c r="Y273" s="373" t="n"><v>216.34</v></c><c r="Z273" s="373" t="n"><v>226.33</v></c><c r="AA273" s="380"><f>AA272</f><v /></c><c r="AB273" s="381"><f>AB272</f><v /></c><c r="AC273" s="376"><f>LEFT(AB273,2)</f><v /></c><c r="AD273" s="376"><f>RIGHT(AB273,6)</f><v /></c><c r="AE273" s="376"><f>+(AC273*60+AD273)/(60*60)</f><v /></c><c r="AF273" s="377"><f>+AA273/AE273</f><v /></c><c r="AG273" s="321"><f>+(((Z273-Y273-AA273)/AA273)*100)</f><v /></c><c r="AH273" s="317"><f>AH272</f><v /></c><c r="AI273" s="372"><f>AI272</f><v /></c><c r="AJ273" s="372"><f>AJ272</f><v /></c><c r="AK273" s="373"><f>Z273</f><v /></c><c r="AL273" s="373" t="n"><v>231.44</v></c><c r="AM273" s="382"><f>AM272</f><v /></c><c r="AN273" s="375"><f>AN272</f><v /></c><c r="AO273" s="376"><f>LEFT(AN273,2)</f><v /></c><c r="AP273" s="376"><f>RIGHT(AN273,6)</f><v /></c><c r="AQ273" s="376"><f>+(AO273*60+AP273)/(60*60)</f><v /></c><c r="AR273" s="377"><f>+AM273/AQ273</f><v /></c><c r="AS273" s="321"><f>+(((AL273-AK273-AM273)/AM273)*100)</f><v /></c><c r="AT273" s="383"><f>IF(I273&gt;=1,"NO CONFORME",IF(BK273="SIGDIFERENTES",BC273,BL273))</f><v /></c><c r="AU273" s="365"><f>B273=C273</f><v /></c><c r="AV273" s="365"><f>N273&lt;Y273</f><v /></c><c r="AW273" s="365"><f>Z273&lt;=AK273</f><v /></c><c r="AX273" s="365"><f>IF(I273&gt;=1,"Qcorrecto",IF(AND(AY273="aceptable",AZ273="aceptable",BA273="aceptable"),"Qcorrecto","Qincorrecto"))</f><v /></c><c r="AY273" s="366"><f>IF(AR273&lt;$AH$6,"error",IF(AR273&gt;$AH$6*1.1,"error","aceptable"))</f><v /></c><c r="AZ273" s="366"><f>IF(AF273&lt;$V$6,"error",IF(AF273&gt;$V$6*1.1,"error","aceptable"))</f><v /></c><c r="BA273" s="366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7"><f>SIGN(U273)</f><v /></c><c r="BE273" s="367"><f>SIGN(AG273)</f><v /></c><c r="BF273" s="367"><f>SIGN(AS273)</f><v /></c><c r="BG273" s="367"><f>CONCATENATE(BD273,BE273,BF273)</f><v /></c><c r="BH273" s="367"><f>IF(BG273="111","SI","SD")</f><v /></c><c r="BI273" s="367"><f>IF(BG273="-1-1-1","SI","SD")</f><v /></c><c r="BJ273" s="367"><f>OR(BH273="SI",BI273="SI")</f><v /></c><c r="BK273" s="367"><f>IF(BJ273=FALSE,"SIGDIFERENTES","SIGIGUALES")</f><v /></c><c r="BL273" s="366"><f>IF(BC273="NO CONFORME","NO CONFORME",IF(BB273="CONFORME","CONFORME","NO CONFORME"))</f><v /></c></row><row r="274" ht="14.4" customHeight="1" thickBot="1"><c r="A274" s="451" t="n"><v>266</v></c><c r="B274" s="369"><f>B273</f><v /></c><c r="C274" s="369"><f>C273</f><v /></c><c r="D274" s="370"><f>D273</f><v /></c><c r="E274" s="371"><f>E273</f><v /></c><c r="F274" s="13" t="n" /><c r="G274" s="312" t="inlineStr"><is><t>PA25516993</t></is></c><c r="H274" s="313"><f>H273</f><v /></c><c r="I274" s="38"><f>I273</f><v /></c><c r="J274" s="314"><f>J273</f><v /></c><c r="K274" s="372"><f>K273</f><v /></c><c r="L274" s="372"><f>L273</f><v /></c><c r="M274" s="373" t="n"><v>111.24</v></c><c r="N274" s="373" t="n"><v>210.49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372"><f>W273</f><v /></c><c r="X274" s="372"><f>X273</f><v /></c><c r="Y274" s="373" t="n"><v>216</v></c><c r="Z274" s="373" t="n"><v>226</v></c><c r="AA274" s="380"><f>AA273</f><v /></c><c r="AB274" s="381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372"><f>AI273</f><v /></c><c r="AJ274" s="372"><f>AJ273</f><v /></c><c r="AK274" s="373"><f>Z274</f><v /></c><c r="AL274" s="373" t="n"><v>231.16</v></c><c r="AM274" s="382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3"><f>IF(I274&gt;=1,"NO CONFORME",IF(BK274="SIGDIFERENTES",BC274,BL274))</f><v /></c><c r="AU274" s="365"><f>B274=C274</f><v /></c><c r="AV274" s="365"><f>N274&lt;Y274</f><v /></c><c r="AW274" s="365"><f>Z274&lt;=AK274</f><v /></c><c r="AX274" s="365"><f>IF(I274&gt;=1,"Qcorrecto",IF(AND(AY274="aceptable",AZ274="aceptable",BA274="aceptable"),"Qcorrecto","Qincorrecto"))</f><v /></c><c r="AY274" s="366"><f>IF(AR274&lt;$AH$6,"error",IF(AR274&gt;$AH$6*1.1,"error","aceptable"))</f><v /></c><c r="AZ274" s="366"><f>IF(AF274&lt;$V$6,"error",IF(AF274&gt;$V$6*1.1,"error","aceptable"))</f><v /></c><c r="BA274" s="366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7"><f>SIGN(U274)</f><v /></c><c r="BE274" s="367"><f>SIGN(AG274)</f><v /></c><c r="BF274" s="367"><f>SIGN(AS274)</f><v /></c><c r="BG274" s="367"><f>CONCATENATE(BD274,BE274,BF274)</f><v /></c><c r="BH274" s="367"><f>IF(BG274="111","SI","SD")</f><v /></c><c r="BI274" s="367"><f>IF(BG274="-1-1-1","SI","SD")</f><v /></c><c r="BJ274" s="367"><f>OR(BH274="SI",BI274="SI")</f><v /></c><c r="BK274" s="367"><f>IF(BJ274=FALSE,"SIGDIFERENTES","SIGIGUALES")</f><v /></c><c r="BL274" s="366"><f>IF(BC274="NO CONFORME","NO CONFORME",IF(BB274="CONFORME","CONFORME","NO CONFORME"))</f><v /></c></row><row r="275" ht="14.4" customHeight="1" thickBot="1"><c r="A275" s="451" t="n"><v>267</v></c><c r="B275" s="369"><f>B274</f><v /></c><c r="C275" s="369"><f>C274</f><v /></c><c r="D275" s="370"><f>D274</f><v /></c><c r="E275" s="371"><f>E274</f><v /></c><c r="F275" s="13" t="n" /><c r="G275" s="312" t="inlineStr"><is><t>PA25516994</t></is></c><c r="H275" s="313"><f>H274</f><v /></c><c r="I275" s="38"><f>I274</f><v /></c><c r="J275" s="314"><f>J274</f><v /></c><c r="K275" s="372"><f>K274</f><v /></c><c r="L275" s="372"><f>L274</f><v /></c><c r="M275" s="373" t="n"><v>111.94</v></c><c r="N275" s="373" t="n"><v>211.5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372"><f>W274</f><v /></c><c r="X275" s="372"><f>X274</f><v /></c><c r="Y275" s="373" t="n"><v>217</v></c><c r="Z275" s="373" t="n"><v>227.06</v></c><c r="AA275" s="380"><f>AA274</f><v /></c><c r="AB275" s="381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372"><f>AI274</f><v /></c><c r="AJ275" s="372"><f>AJ274</f><v /></c><c r="AK275" s="373"><f>Z275</f><v /></c><c r="AL275" s="373" t="n"><v>232.25</v></c><c r="AM275" s="382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3"><f>IF(I275&gt;=1,"NO CONFORME",IF(BK275="SIGDIFERENTES",BC275,BL275))</f><v /></c><c r="AU275" s="365"><f>B275=C275</f><v /></c><c r="AV275" s="365"><f>N275&lt;Y275</f><v /></c><c r="AW275" s="365"><f>Z275&lt;=AK275</f><v /></c><c r="AX275" s="365"><f>IF(I275&gt;=1,"Qcorrecto",IF(AND(AY275="aceptable",AZ275="aceptable",BA275="aceptable"),"Qcorrecto","Qincorrecto"))</f><v /></c><c r="AY275" s="366"><f>IF(AR275&lt;$AH$6,"error",IF(AR275&gt;$AH$6*1.1,"error","aceptable"))</f><v /></c><c r="AZ275" s="366"><f>IF(AF275&lt;$V$6,"error",IF(AF275&gt;$V$6*1.1,"error","aceptable"))</f><v /></c><c r="BA275" s="366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7"><f>SIGN(U275)</f><v /></c><c r="BE275" s="367"><f>SIGN(AG275)</f><v /></c><c r="BF275" s="367"><f>SIGN(AS275)</f><v /></c><c r="BG275" s="367"><f>CONCATENATE(BD275,BE275,BF275)</f><v /></c><c r="BH275" s="367"><f>IF(BG275="111","SI","SD")</f><v /></c><c r="BI275" s="367"><f>IF(BG275="-1-1-1","SI","SD")</f><v /></c><c r="BJ275" s="367"><f>OR(BH275="SI",BI275="SI")</f><v /></c><c r="BK275" s="367"><f>IF(BJ275=FALSE,"SIGDIFERENTES","SIGIGUALES")</f><v /></c><c r="BL275" s="366"><f>IF(BC275="NO CONFORME","NO CONFORME",IF(BB275="CONFORME","CONFORME","NO CONFORME"))</f><v /></c></row><row r="276" ht="14.4" customHeight="1" thickBot="1"><c r="A276" s="451" t="n"><v>268</v></c><c r="B276" s="369"><f>B275</f><v /></c><c r="C276" s="369"><f>C275</f><v /></c><c r="D276" s="370"><f>D275</f><v /></c><c r="E276" s="371"><f>E275</f><v /></c><c r="F276" s="13" t="n" /><c r="G276" s="312" t="inlineStr"><is><t>PA25516995</t></is></c><c r="H276" s="313"><f>H275</f><v /></c><c r="I276" s="38"><f>I275</f><v /></c><c r="J276" s="314"><f>J275</f><v /></c><c r="K276" s="372"><f>K275</f><v /></c><c r="L276" s="372"><f>L275</f><v /></c><c r="M276" s="373" t="n"><v>111.59</v></c><c r="N276" s="373" t="n"><v>210.56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372"><f>W275</f><v /></c><c r="X276" s="372"><f>X275</f><v /></c><c r="Y276" s="373" t="n"><v>216.03</v></c><c r="Z276" s="373" t="n"><v>226.02</v></c><c r="AA276" s="380"><f>AA275</f><v /></c><c r="AB276" s="381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372"><f>AI275</f><v /></c><c r="AJ276" s="372"><f>AJ275</f><v /></c><c r="AK276" s="373"><f>Z276</f><v /></c><c r="AL276" s="373" t="n"><v>231.18</v></c><c r="AM276" s="382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3"><f>IF(I276&gt;=1,"NO CONFORME",IF(BK276="SIGDIFERENTES",BC276,BL276))</f><v /></c><c r="AU276" s="365"><f>B276=C276</f><v /></c><c r="AV276" s="365"><f>N276&lt;Y276</f><v /></c><c r="AW276" s="365"><f>Z276&lt;=AK276</f><v /></c><c r="AX276" s="365"><f>IF(I276&gt;=1,"Qcorrecto",IF(AND(AY276="aceptable",AZ276="aceptable",BA276="aceptable"),"Qcorrecto","Qincorrecto"))</f><v /></c><c r="AY276" s="366"><f>IF(AR276&lt;$AH$6,"error",IF(AR276&gt;$AH$6*1.1,"error","aceptable"))</f><v /></c><c r="AZ276" s="366"><f>IF(AF276&lt;$V$6,"error",IF(AF276&gt;$V$6*1.1,"error","aceptable"))</f><v /></c><c r="BA276" s="366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7"><f>SIGN(U276)</f><v /></c><c r="BE276" s="367"><f>SIGN(AG276)</f><v /></c><c r="BF276" s="367"><f>SIGN(AS276)</f><v /></c><c r="BG276" s="367"><f>CONCATENATE(BD276,BE276,BF276)</f><v /></c><c r="BH276" s="367"><f>IF(BG276="111","SI","SD")</f><v /></c><c r="BI276" s="367"><f>IF(BG276="-1-1-1","SI","SD")</f><v /></c><c r="BJ276" s="367"><f>OR(BH276="SI",BI276="SI")</f><v /></c><c r="BK276" s="367"><f>IF(BJ276=FALSE,"SIGDIFERENTES","SIGIGUALES")</f><v /></c><c r="BL276" s="366"><f>IF(BC276="NO CONFORME","NO CONFORME",IF(BB276="CONFORME","CONFORME","NO CONFORME"))</f><v /></c></row><row r="277" ht="14.4" customHeight="1" thickBot="1"><c r="A277" s="451" t="n"><v>269</v></c><c r="B277" s="369"><f>B276</f><v /></c><c r="C277" s="369"><f>C276</f><v /></c><c r="D277" s="370"><f>D276</f><v /></c><c r="E277" s="371"><f>E276</f><v /></c><c r="F277" s="13" t="n" /><c r="G277" s="312" t="inlineStr"><is><t>PA25516996</t></is></c><c r="H277" s="313"><f>H276</f><v /></c><c r="I277" s="38"><f>I276</f><v /></c><c r="J277" s="314"><f>J276</f><v /></c><c r="K277" s="372"><f>K276</f><v /></c><c r="L277" s="372"><f>L276</f><v /></c><c r="M277" s="373" t="n"><v>110.63</v></c><c r="N277" s="373" t="n"><v>210.4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372"><f>W276</f><v /></c><c r="X277" s="372"><f>X276</f><v /></c><c r="Y277" s="373" t="n"><v>215.9</v></c><c r="Z277" s="373" t="n"><v>225.9</v></c><c r="AA277" s="380"><f>AA276</f><v /></c><c r="AB277" s="381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372"><f>AI276</f><v /></c><c r="AJ277" s="372"><f>AJ276</f><v /></c><c r="AK277" s="373"><f>Z277</f><v /></c><c r="AL277" s="373" t="n"><v>231.05</v></c><c r="AM277" s="382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3"><f>IF(I277&gt;=1,"NO CONFORME",IF(BK277="SIGDIFERENTES",BC277,BL277))</f><v /></c><c r="AU277" s="365"><f>B277=C277</f><v /></c><c r="AV277" s="365"><f>N277&lt;Y277</f><v /></c><c r="AW277" s="365"><f>Z277&lt;=AK277</f><v /></c><c r="AX277" s="365"><f>IF(I277&gt;=1,"Qcorrecto",IF(AND(AY277="aceptable",AZ277="aceptable",BA277="aceptable"),"Qcorrecto","Qincorrecto"))</f><v /></c><c r="AY277" s="366"><f>IF(AR277&lt;$AH$6,"error",IF(AR277&gt;$AH$6*1.1,"error","aceptable"))</f><v /></c><c r="AZ277" s="366"><f>IF(AF277&lt;$V$6,"error",IF(AF277&gt;$V$6*1.1,"error","aceptable"))</f><v /></c><c r="BA277" s="366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7"><f>SIGN(U277)</f><v /></c><c r="BE277" s="367"><f>SIGN(AG277)</f><v /></c><c r="BF277" s="367"><f>SIGN(AS277)</f><v /></c><c r="BG277" s="367"><f>CONCATENATE(BD277,BE277,BF277)</f><v /></c><c r="BH277" s="367"><f>IF(BG277="111","SI","SD")</f><v /></c><c r="BI277" s="367"><f>IF(BG277="-1-1-1","SI","SD")</f><v /></c><c r="BJ277" s="367"><f>OR(BH277="SI",BI277="SI")</f><v /></c><c r="BK277" s="367"><f>IF(BJ277=FALSE,"SIGDIFERENTES","SIGIGUALES")</f><v /></c><c r="BL277" s="366"><f>IF(BC277="NO CONFORME","NO CONFORME",IF(BB277="CONFORME","CONFORME","NO CONFORME"))</f><v /></c></row><row r="278" ht="14.4" customHeight="1" thickBot="1"><c r="A278" s="451" t="n"><v>270</v></c><c r="B278" s="369"><f>B277</f><v /></c><c r="C278" s="369"><f>C277</f><v /></c><c r="D278" s="370"><f>D277</f><v /></c><c r="E278" s="371"><f>E277</f><v /></c><c r="F278" s="13" t="n" /><c r="G278" s="312" t="inlineStr"><is><t>PA25516997</t></is></c><c r="H278" s="313"><f>H277</f><v /></c><c r="I278" s="38"><f>I277</f><v /></c><c r="J278" s="314"><f>J277</f><v /></c><c r="K278" s="372"><f>K277</f><v /></c><c r="L278" s="372"><f>L277</f><v /></c><c r="M278" s="373" t="n"><v>144.84</v></c><c r="N278" s="373" t="n"><v>244.31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372"><f>W277</f><v /></c><c r="X278" s="372"><f>X277</f><v /></c><c r="Y278" s="373" t="n"><v>249.78</v></c><c r="Z278" s="373" t="n"><v>259.82</v></c><c r="AA278" s="380"><f>AA277</f><v /></c><c r="AB278" s="381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372"><f>AI277</f><v /></c><c r="AJ278" s="372"><f>AJ277</f><v /></c><c r="AK278" s="373"><f>Z278</f><v /></c><c r="AL278" s="373" t="n"><v>264.98</v></c><c r="AM278" s="382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3"><f>IF(I278&gt;=1,"NO CONFORME",IF(BK278="SIGDIFERENTES",BC278,BL278))</f><v /></c><c r="AU278" s="365"><f>B278=C278</f><v /></c><c r="AV278" s="365"><f>N278&lt;Y278</f><v /></c><c r="AW278" s="365"><f>Z278&lt;=AK278</f><v /></c><c r="AX278" s="365"><f>IF(I278&gt;=1,"Qcorrecto",IF(AND(AY278="aceptable",AZ278="aceptable",BA278="aceptable"),"Qcorrecto","Qincorrecto"))</f><v /></c><c r="AY278" s="366"><f>IF(AR278&lt;$AH$6,"error",IF(AR278&gt;$AH$6*1.1,"error","aceptable"))</f><v /></c><c r="AZ278" s="366"><f>IF(AF278&lt;$V$6,"error",IF(AF278&gt;$V$6*1.1,"error","aceptable"))</f><v /></c><c r="BA278" s="366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7"><f>SIGN(U278)</f><v /></c><c r="BE278" s="367"><f>SIGN(AG278)</f><v /></c><c r="BF278" s="367"><f>SIGN(AS278)</f><v /></c><c r="BG278" s="367"><f>CONCATENATE(BD278,BE278,BF278)</f><v /></c><c r="BH278" s="367"><f>IF(BG278="111","SI","SD")</f><v /></c><c r="BI278" s="367"><f>IF(BG278="-1-1-1","SI","SD")</f><v /></c><c r="BJ278" s="367"><f>OR(BH278="SI",BI278="SI")</f><v /></c><c r="BK278" s="367"><f>IF(BJ278=FALSE,"SIGDIFERENTES","SIGIGUALES")</f><v /></c><c r="BL278" s="366"><f>IF(BC278="NO CONFORME","NO CONFORME",IF(BB278="CONFORME","CONFORME","NO CONFORME"))</f><v /></c></row><row r="279" ht="14.4" customHeight="1" thickBot="1"><c r="A279" s="451" t="n"><v>271</v></c><c r="B279" s="369"><f>B278</f><v /></c><c r="C279" s="369"><f>C278</f><v /></c><c r="D279" s="370"><f>D278</f><v /></c><c r="E279" s="371"><f>E278</f><v /></c><c r="F279" s="13" t="n" /><c r="G279" s="312" t="inlineStr"><is><t>PA25516998</t></is></c><c r="H279" s="313"><f>H278</f><v /></c><c r="I279" s="38"><f>I278</f><v /></c><c r="J279" s="314"><f>J278</f><v /></c><c r="K279" s="372"><f>K278</f><v /></c><c r="L279" s="372"><f>L278</f><v /></c><c r="M279" s="373" t="n"><v>108.33</v></c><c r="N279" s="373" t="n"><v>207.59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372"><f>W278</f><v /></c><c r="X279" s="372"><f>X278</f><v /></c><c r="Y279" s="373" t="n"><v>213.04</v></c><c r="Z279" s="373" t="n"><v>223.08</v></c><c r="AA279" s="380"><f>AA278</f><v /></c><c r="AB279" s="381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372"><f>AI278</f><v /></c><c r="AJ279" s="372"><f>AJ278</f><v /></c><c r="AK279" s="373"><f>Z279</f><v /></c><c r="AL279" s="373" t="n"><v>228.1</v></c><c r="AM279" s="382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3"><f>IF(I279&gt;=1,"NO CONFORME",IF(BK279="SIGDIFERENTES",BC279,BL279))</f><v /></c><c r="AU279" s="365"><f>B279=C279</f><v /></c><c r="AV279" s="365"><f>N279&lt;Y279</f><v /></c><c r="AW279" s="365"><f>Z279&lt;=AK279</f><v /></c><c r="AX279" s="365"><f>IF(I279&gt;=1,"Qcorrecto",IF(AND(AY279="aceptable",AZ279="aceptable",BA279="aceptable"),"Qcorrecto","Qincorrecto"))</f><v /></c><c r="AY279" s="366"><f>IF(AR279&lt;$AH$6,"error",IF(AR279&gt;$AH$6*1.1,"error","aceptable"))</f><v /></c><c r="AZ279" s="366"><f>IF(AF279&lt;$V$6,"error",IF(AF279&gt;$V$6*1.1,"error","aceptable"))</f><v /></c><c r="BA279" s="366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7"><f>SIGN(U279)</f><v /></c><c r="BE279" s="367"><f>SIGN(AG279)</f><v /></c><c r="BF279" s="367"><f>SIGN(AS279)</f><v /></c><c r="BG279" s="367"><f>CONCATENATE(BD279,BE279,BF279)</f><v /></c><c r="BH279" s="367"><f>IF(BG279="111","SI","SD")</f><v /></c><c r="BI279" s="367"><f>IF(BG279="-1-1-1","SI","SD")</f><v /></c><c r="BJ279" s="367"><f>OR(BH279="SI",BI279="SI")</f><v /></c><c r="BK279" s="367"><f>IF(BJ279=FALSE,"SIGDIFERENTES","SIGIGUALES")</f><v /></c><c r="BL279" s="366"><f>IF(BC279="NO CONFORME","NO CONFORME",IF(BB279="CONFORME","CONFORME","NO CONFORME"))</f><v /></c></row><row r="280" ht="15" customHeight="1" thickBot="1"><c r="A280" s="473" t="n"><v>272</v></c><c r="B280" s="454"><f>B279</f><v /></c><c r="C280" s="454"><f>C279</f><v /></c><c r="D280" s="455"><f>D279</f><v /></c><c r="E280" s="474"><f>E279</f><v /></c><c r="F280" s="52" t="n" /><c r="G280" s="325" t="inlineStr"><is><t>PA25516999</t></is></c><c r="H280" s="326"><f>H279</f><v /></c><c r="I280" s="98"><f>I279</f><v /></c><c r="J280" s="327"><f>J279</f><v /></c><c r="K280" s="458"><f>K279</f><v /></c><c r="L280" s="458"><f>L279</f><v /></c><c r="M280" s="459" t="n"><v>110.25</v></c><c r="N280" s="459" t="n"><v>209.76</v></c><c r="O280" s="460"><f>O279</f><v /></c><c r="P280" s="461"><f>P279</f><v /></c><c r="Q280" s="462"><f>LEFT(P280,1)</f><v /></c><c r="R280" s="462"><f>RIGHT(P280,6)</f><v /></c><c r="S280" s="462"><f>+(Q280*60+R280)/(60*60)</f><v /></c><c r="T280" s="463"><f>+O280/S280</f><v /></c><c r="U280" s="464"><f>+(((N280-M280-O280)/O280)*100)</f><v /></c><c r="V280" s="329"><f>V279</f><v /></c><c r="W280" s="458"><f>W279</f><v /></c><c r="X280" s="458"><f>X279</f><v /></c><c r="Y280" s="459" t="n"><v>215.28</v></c><c r="Z280" s="459" t="n"><v>225.33</v></c><c r="AA280" s="466"><f>AA279</f><v /></c><c r="AB280" s="467"><f>AB279</f><v /></c><c r="AC280" s="462"><f>LEFT(AB280,2)</f><v /></c><c r="AD280" s="462"><f>RIGHT(AB280,6)</f><v /></c><c r="AE280" s="462"><f>+(AC280*60+AD280)/(60*60)</f><v /></c><c r="AF280" s="463"><f>+AA280/AE280</f><v /></c><c r="AG280" s="468"><f>+(((Z280-Y280-AA280)/AA280)*100)</f><v /></c><c r="AH280" s="329"><f>AH279</f><v /></c><c r="AI280" s="458"><f>AI279</f><v /></c><c r="AJ280" s="458"><f>AJ279</f><v /></c><c r="AK280" s="459"><f>Z280</f><v /></c><c r="AL280" s="459" t="n"><v>230.43</v></c><c r="AM280" s="469"><f>AM279</f><v /></c><c r="AN280" s="461"><f>AN279</f><v /></c><c r="AO280" s="462"><f>LEFT(AN280,2)</f><v /></c><c r="AP280" s="462"><f>RIGHT(AN280,6)</f><v /></c><c r="AQ280" s="462"><f>+(AO280*60+AP280)/(60*60)</f><v /></c><c r="AR280" s="463"><f>+AM280/AQ280</f><v /></c><c r="AS280" s="468"><f>+(((AL280-AK280-AM280)/AM280)*100)</f><v /></c><c r="AT280" s="470"><f>IF(I280&gt;=1,"NO CONFORME",IF(BK280="SIGDIFERENTES",BC280,BL280))</f><v /></c><c r="AU280" s="426"><f>B280=C280</f><v /></c><c r="AV280" s="426"><f>N280&lt;Y280</f><v /></c><c r="AW280" s="426"><f>Z280&lt;=AK280</f><v /></c><c r="AX280" s="426"><f>IF(I280&gt;=1,"Qcorrecto",IF(AND(AY280="aceptable",AZ280="aceptable",BA280="aceptable"),"Qcorrecto","Qincorrecto"))</f><v /></c><c r="AY280" s="427"><f>IF(AR280&lt;$AH$6,"error",IF(AR280&gt;$AH$6*1.1,"error","aceptable"))</f><v /></c><c r="AZ280" s="427"><f>IF(AF280&lt;$V$6,"error",IF(AF280&gt;$V$6*1.1,"error","aceptable"))</f><v /></c><c r="BA280" s="427"><f>IF(T280&lt;$J$6*0.9,"error",IF(T280&gt;$J$6,"error","aceptable"))</f><v /></c><c r="BB280" s="428"><f>(IF(ABS(U280)&lt;1.05,"CONFORME",IF(ABS(AG280)&lt;1.05,"CONFORME",IF(ABS(AS280)&lt;2.55,"CONFORME","NO CONFORME"))))</f><v /></c><c r="BC280" s="429"><f>(IF(ABS(U280)&gt;2.05,"NO CONFORME",IF(ABS(AG280)&gt;2.05,"NO CONFORME",IF(ABS(AS280)&gt;5.05,"NO CONFORME","CONFORME"))))</f><v /></c><c r="BD280" s="430"><f>SIGN(U280)</f><v /></c><c r="BE280" s="430"><f>SIGN(AG280)</f><v /></c><c r="BF280" s="430"><f>SIGN(AS280)</f><v /></c><c r="BG280" s="430"><f>CONCATENATE(BD280,BE280,BF280)</f><v /></c><c r="BH280" s="430"><f>IF(BG280="111","SI","SD")</f><v /></c><c r="BI280" s="430"><f>IF(BG280="-1-1-1","SI","SD")</f><v /></c><c r="BJ280" s="430"><f>OR(BH280="SI",BI280="SI")</f><v /></c><c r="BK280" s="430"><f>IF(BJ280=FALSE,"SIGDIFERENTES","SIGIGUALES")</f><v /></c><c r="BL280" s="427"><f>IF(BC280="NO CONFORME","NO CONFORME",IF(BB280="CONFORME","CONFORME","NO CONFORME"))</f><v /></c></row><row r="281" ht="14.4" customHeight="1" thickBot="1"><c r="A281" s="351" t="n"><v>273</v></c><c r="B281" s="386"><f>B280</f><v /></c><c r="C281" s="386"><f>C280</f><v /></c><c r="D281" s="387"><f>D280</f><v /></c><c r="E281" s="475"><f>E280</f><v /></c><c r="F281" s="58" t="n" /><c r="G281" s="300" t="inlineStr"><is><t>PA25517000</t></is></c><c r="H281" s="388"><f>H280</f><v /></c><c r="I281" s="232"><f>I280</f><v /></c><c r="J281" s="389" t="n"><v>20.9</v></c><c r="K281" s="390" t="n"><v>8.332000000000001</v></c><c r="L281" s="390" t="n"><v>0.52</v></c><c r="M281" s="356" t="n"><v>78.34</v></c><c r="N281" s="356" t="n"><v>177.36</v></c><c r="O281" s="391" t="n"><v>100.25</v></c><c r="P281" s="392" t="inlineStr"><is><t>2,30,100</t></is></c><c r="Q281" s="359"><f>LEFT(P281,1)</f><v /></c><c r="R281" s="359"><f>RIGHT(P281,6)</f><v /></c><c r="S281" s="359"><f>+(Q281*60+R281)/(60*60)</f><v /></c><c r="T281" s="360"><f>+O281/S281</f><v /></c><c r="U281" s="361"><f>+(((N281-M281-O281)/O281)*100)</f><v /></c><c r="V281" s="393" t="n"><v>20.7</v></c><c r="W281" s="390" t="n"><v>1.405</v></c><c r="X281" s="390" t="n"><v>1.4</v></c><c r="Y281" s="356" t="n"><v>195.49</v></c><c r="Z281" s="356" t="n"><v>205.53</v></c><c r="AA281" s="395" t="n"><v>10.055</v></c><c r="AB281" s="396" t="inlineStr"><is><t>22,52,040</t></is></c><c r="AC281" s="359"><f>LEFT(AB281,2)</f><v /></c><c r="AD281" s="359"><f>RIGHT(AB281,6)</f><v /></c><c r="AE281" s="359"><f>+(AC281*60+AD281)/(60*60)</f><v /></c><c r="AF281" s="360"><f>+AA281/AE281</f><v /></c><c r="AG281" s="362"><f>+(((Z281-Y281-AA281)/AA281)*100)</f><v /></c><c r="AH281" s="393" t="n"><v>20.6</v></c><c r="AI281" s="390" t="n"><v>1.401</v></c><c r="AJ281" s="390" t="n"><v>1.397</v></c><c r="AK281" s="356"><f>Z281</f><v /></c><c r="AL281" s="356" t="n"><v>210.59</v></c><c r="AM281" s="397" t="n"><v>5.022</v></c><c r="AN281" s="392" t="inlineStr"><is><t>18,16,060</t></is></c><c r="AO281" s="359"><f>LEFT(AN281,2)</f><v /></c><c r="AP281" s="359"><f>RIGHT(AN281,6)</f><v /></c><c r="AQ281" s="359"><f>+(AO281*60+AP281)/(60*60)</f><v /></c><c r="AR281" s="360"><f>+AM281/AQ281</f><v /></c><c r="AS281" s="362"><f>+(((AL281-AK281-AM281)/AM281)*100)</f><v /></c><c r="AT281" s="364"><f>IF(I281&gt;=1,"NO CONFORME",IF(BK281="SIGDIFERENTES",BC281,BL281))</f><v /></c><c r="AU281" s="365"><f>B281=C281</f><v /></c><c r="AV281" s="365"><f>N281&lt;Y281</f><v /></c><c r="AW281" s="365"><f>Z281&lt;=AK281</f><v /></c><c r="AX281" s="365"><f>IF(I281&gt;=1,"Qcorrecto",IF(AND(AY281="aceptable",AZ281="aceptable",BA281="aceptable"),"Qcorrecto","Qincorrecto"))</f><v /></c><c r="AY281" s="368"><f>IF(AR281&lt;$AH$6,"error",IF(AR281&gt;$AH$6*1.1,"error","aceptable"))</f><v /></c><c r="AZ281" s="368"><f>IF(AF281&lt;$V$6,"error",IF(AF281&gt;$V$6*1.1,"error","aceptable"))</f><v /></c><c r="BA281" s="368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7"><f>SIGN(U281)</f><v /></c><c r="BE281" s="367"><f>SIGN(AG281)</f><v /></c><c r="BF281" s="367"><f>SIGN(AS281)</f><v /></c><c r="BG281" s="367"><f>CONCATENATE(BD281,BE281,BF281)</f><v /></c><c r="BH281" s="367"><f>IF(BG281="111","SI","SD")</f><v /></c><c r="BI281" s="367"><f>IF(BG281="-1-1-1","SI","SD")</f><v /></c><c r="BJ281" s="367"><f>OR(BH281="SI",BI281="SI")</f><v /></c><c r="BK281" s="367"><f>IF(BJ281=FALSE,"SIGDIFERENTES","SIGIGUALES")</f><v /></c><c r="BL281" s="368"><f>IF(BC281="NO CONFORME","NO CONFORME",IF(BB281="CONFORME","CONFORME","NO CONFORME"))</f><v /></c></row><row r="282" ht="14.4" customHeight="1" thickBot="1"><c r="A282" s="451" t="n"><v>274</v></c><c r="B282" s="369"><f>B281</f><v /></c><c r="C282" s="369"><f>C281</f><v /></c><c r="D282" s="370"><f>D281</f><v /></c><c r="E282" s="371"><f>E281</f><v /></c><c r="F282" s="13" t="n" /><c r="G282" s="312" t="inlineStr"><is><t>PA25517001</t></is></c><c r="H282" s="313"><f>H281</f><v /></c><c r="I282" s="38"><f>I281</f><v /></c><c r="J282" s="314"><f>J281</f><v /></c><c r="K282" s="372"><f>K281</f><v /></c><c r="L282" s="372"><f>L281</f><v /></c><c r="M282" s="373" t="n"><v>78.48999999999999</v></c><c r="N282" s="373" t="n"><v>177.49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372"><f>W281</f><v /></c><c r="X282" s="372"><f>X281</f><v /></c><c r="Y282" s="373" t="n"><v>195.52</v></c><c r="Z282" s="373" t="n"><v>205.53</v></c><c r="AA282" s="380"><f>AA281</f><v /></c><c r="AB282" s="381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372"><f>AI281</f><v /></c><c r="AJ282" s="372"><f>AJ281</f><v /></c><c r="AK282" s="373"><f>Z282</f><v /></c><c r="AL282" s="373" t="n"><v>210.58</v></c><c r="AM282" s="382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3"><f>IF(I282&gt;=1,"NO CONFORME",IF(BK282="SIGDIFERENTES",BC282,BL282))</f><v /></c><c r="AU282" s="365"><f>B282=C282</f><v /></c><c r="AV282" s="365"><f>N282&lt;Y282</f><v /></c><c r="AW282" s="365"><f>Z282&lt;=AK282</f><v /></c><c r="AX282" s="365"><f>IF(I282&gt;=1,"Qcorrecto",IF(AND(AY282="aceptable",AZ282="aceptable",BA282="aceptable"),"Qcorrecto","Qincorrecto"))</f><v /></c><c r="AY282" s="366"><f>IF(AR282&lt;$AH$6,"error",IF(AR282&gt;$AH$6*1.1,"error","aceptable"))</f><v /></c><c r="AZ282" s="366"><f>IF(AF282&lt;$V$6,"error",IF(AF282&gt;$V$6*1.1,"error","aceptable"))</f><v /></c><c r="BA282" s="366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7"><f>SIGN(U282)</f><v /></c><c r="BE282" s="367"><f>SIGN(AG282)</f><v /></c><c r="BF282" s="367"><f>SIGN(AS282)</f><v /></c><c r="BG282" s="367"><f>CONCATENATE(BD282,BE282,BF282)</f><v /></c><c r="BH282" s="367"><f>IF(BG282="111","SI","SD")</f><v /></c><c r="BI282" s="367"><f>IF(BG282="-1-1-1","SI","SD")</f><v /></c><c r="BJ282" s="367"><f>OR(BH282="SI",BI282="SI")</f><v /></c><c r="BK282" s="367"><f>IF(BJ282=FALSE,"SIGDIFERENTES","SIGIGUALES")</f><v /></c><c r="BL282" s="366"><f>IF(BC282="NO CONFORME","NO CONFORME",IF(BB282="CONFORME","CONFORME","NO CONFORME"))</f><v /></c></row><row r="283" ht="14.4" customHeight="1" thickBot="1"><c r="A283" s="451" t="n"><v>275</v></c><c r="B283" s="369"><f>B282</f><v /></c><c r="C283" s="369"><f>C282</f><v /></c><c r="D283" s="370"><f>D282</f><v /></c><c r="E283" s="371"><f>E282</f><v /></c><c r="F283" s="13" t="n" /><c r="G283" s="312" t="inlineStr"><is><t>PA25517002</t></is></c><c r="H283" s="313"><f>H282</f><v /></c><c r="I283" s="38"><f>I282</f><v /></c><c r="J283" s="314"><f>J282</f><v /></c><c r="K283" s="372"><f>K282</f><v /></c><c r="L283" s="372"><f>L282</f><v /></c><c r="M283" s="373" t="n"><v>80</v></c><c r="N283" s="373" t="n"><v>179.78</v></c><c r="O283" s="374"><f>O282</f><v /></c><c r="P283" s="375"><f>P282</f><v /></c><c r="Q283" s="376"><f>LEFT(P283,1)</f><v /></c><c r="R283" s="376"><f>RIGHT(P283,6)</f><v /></c><c r="S283" s="376"><f>+(Q283*60+R283)/(60*60)</f><v /></c><c r="T283" s="377"><f>+O283/S283</f><v /></c><c r="U283" s="378"><f>+(((N283-M283-O283)/O283)*100)</f><v /></c><c r="V283" s="317"><f>V282</f><v /></c><c r="W283" s="372"><f>W282</f><v /></c><c r="X283" s="372"><f>X282</f><v /></c><c r="Y283" s="373" t="n"><v>197.94</v></c><c r="Z283" s="373" t="n"><v>208.04</v></c><c r="AA283" s="380"><f>AA282</f><v /></c><c r="AB283" s="381"><f>AB282</f><v /></c><c r="AC283" s="376"><f>LEFT(AB283,2)</f><v /></c><c r="AD283" s="376"><f>RIGHT(AB283,6)</f><v /></c><c r="AE283" s="376"><f>+(AC283*60+AD283)/(60*60)</f><v /></c><c r="AF283" s="377"><f>+AA283/AE283</f><v /></c><c r="AG283" s="321"><f>+(((Z283-Y283-AA283)/AA283)*100)</f><v /></c><c r="AH283" s="317"><f>AH282</f><v /></c><c r="AI283" s="372"><f>AI282</f><v /></c><c r="AJ283" s="372"><f>AJ282</f><v /></c><c r="AK283" s="373"><f>Z283</f><v /></c><c r="AL283" s="373" t="n"><v>213.16</v></c><c r="AM283" s="382"><f>AM282</f><v /></c><c r="AN283" s="375"><f>AN282</f><v /></c><c r="AO283" s="376"><f>LEFT(AN283,2)</f><v /></c><c r="AP283" s="376"><f>RIGHT(AN283,6)</f><v /></c><c r="AQ283" s="376"><f>+(AO283*60+AP283)/(60*60)</f><v /></c><c r="AR283" s="377"><f>+AM283/AQ283</f><v /></c><c r="AS283" s="321"><f>+(((AL283-AK283-AM283)/AM283)*100)</f><v /></c><c r="AT283" s="383"><f>IF(I283&gt;=1,"NO CONFORME",IF(BK283="SIGDIFERENTES",BC283,BL283))</f><v /></c><c r="AU283" s="365"><f>B283=C283</f><v /></c><c r="AV283" s="365"><f>N283&lt;Y283</f><v /></c><c r="AW283" s="365"><f>Z283&lt;=AK283</f><v /></c><c r="AX283" s="365"><f>IF(I283&gt;=1,"Qcorrecto",IF(AND(AY283="aceptable",AZ283="aceptable",BA283="aceptable"),"Qcorrecto","Qincorrecto"))</f><v /></c><c r="AY283" s="366"><f>IF(AR283&lt;$AH$6,"error",IF(AR283&gt;$AH$6*1.1,"error","aceptable"))</f><v /></c><c r="AZ283" s="366"><f>IF(AF283&lt;$V$6,"error",IF(AF283&gt;$V$6*1.1,"error","aceptable"))</f><v /></c><c r="BA283" s="366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7"><f>SIGN(U283)</f><v /></c><c r="BE283" s="367"><f>SIGN(AG283)</f><v /></c><c r="BF283" s="367"><f>SIGN(AS283)</f><v /></c><c r="BG283" s="367"><f>CONCATENATE(BD283,BE283,BF283)</f><v /></c><c r="BH283" s="367"><f>IF(BG283="111","SI","SD")</f><v /></c><c r="BI283" s="367"><f>IF(BG283="-1-1-1","SI","SD")</f><v /></c><c r="BJ283" s="367"><f>OR(BH283="SI",BI283="SI")</f><v /></c><c r="BK283" s="367"><f>IF(BJ283=FALSE,"SIGDIFERENTES","SIGIGUALES")</f><v /></c><c r="BL283" s="366"><f>IF(BC283="NO CONFORME","NO CONFORME",IF(BB283="CONFORME","CONFORME","NO CONFORME"))</f><v /></c></row><row r="284" ht="14.4" customHeight="1" thickBot="1"><c r="A284" s="451" t="n"><v>276</v></c><c r="B284" s="369"><f>B283</f><v /></c><c r="C284" s="369"><f>C283</f><v /></c><c r="D284" s="370"><f>D283</f><v /></c><c r="E284" s="371"><f>E283</f><v /></c><c r="F284" s="13" t="n" /><c r="G284" s="312" t="inlineStr"><is><t>PA25517003</t></is></c><c r="H284" s="313"><f>H283</f><v /></c><c r="I284" s="38"><f>I283</f><v /></c><c r="J284" s="314"><f>J283</f><v /></c><c r="K284" s="372"><f>K283</f><v /></c><c r="L284" s="372"><f>L283</f><v /></c><c r="M284" s="373" t="n"><v>84.13</v></c><c r="N284" s="373" t="n"><v>183.15</v></c><c r="O284" s="374"><f>O283</f><v /></c><c r="P284" s="375"><f>P283</f><v /></c><c r="Q284" s="376"><f>LEFT(P284,1)</f><v /></c><c r="R284" s="376"><f>RIGHT(P284,6)</f><v /></c><c r="S284" s="376"><f>+(Q284*60+R284)/(60*60)</f><v /></c><c r="T284" s="377"><f>+O284/S284</f><v /></c><c r="U284" s="378"><f>+(((N284-M284-O284)/O284)*100)</f><v /></c><c r="V284" s="317"><f>V283</f><v /></c><c r="W284" s="372"><f>W283</f><v /></c><c r="X284" s="372"><f>X283</f><v /></c><c r="Y284" s="373" t="n"><v>201.23</v></c><c r="Z284" s="373" t="n"><v>211.24</v></c><c r="AA284" s="380"><f>AA283</f><v /></c><c r="AB284" s="381"><f>AB283</f><v /></c><c r="AC284" s="376"><f>LEFT(AB284,2)</f><v /></c><c r="AD284" s="376"><f>RIGHT(AB284,6)</f><v /></c><c r="AE284" s="376"><f>+(AC284*60+AD284)/(60*60)</f><v /></c><c r="AF284" s="377"><f>+AA284/AE284</f><v /></c><c r="AG284" s="321"><f>+(((Z284-Y284-AA284)/AA284)*100)</f><v /></c><c r="AH284" s="317"><f>AH283</f><v /></c><c r="AI284" s="372"><f>AI283</f><v /></c><c r="AJ284" s="372"><f>AJ283</f><v /></c><c r="AK284" s="373"><f>Z284</f><v /></c><c r="AL284" s="373" t="n"><v>216.3</v></c><c r="AM284" s="382"><f>AM283</f><v /></c><c r="AN284" s="375"><f>AN283</f><v /></c><c r="AO284" s="376"><f>LEFT(AN284,2)</f><v /></c><c r="AP284" s="376"><f>RIGHT(AN284,6)</f><v /></c><c r="AQ284" s="376"><f>+(AO284*60+AP284)/(60*60)</f><v /></c><c r="AR284" s="377"><f>+AM284/AQ284</f><v /></c><c r="AS284" s="321"><f>+(((AL284-AK284-AM284)/AM284)*100)</f><v /></c><c r="AT284" s="383"><f>IF(I284&gt;=1,"NO CONFORME",IF(BK284="SIGDIFERENTES",BC284,BL284))</f><v /></c><c r="AU284" s="365"><f>B284=C284</f><v /></c><c r="AV284" s="365"><f>N284&lt;Y284</f><v /></c><c r="AW284" s="365"><f>Z284&lt;=AK284</f><v /></c><c r="AX284" s="365"><f>IF(I284&gt;=1,"Qcorrecto",IF(AND(AY284="aceptable",AZ284="aceptable",BA284="aceptable"),"Qcorrecto","Qincorrecto"))</f><v /></c><c r="AY284" s="366"><f>IF(AR284&lt;$AH$6,"error",IF(AR284&gt;$AH$6*1.1,"error","aceptable"))</f><v /></c><c r="AZ284" s="366"><f>IF(AF284&lt;$V$6,"error",IF(AF284&gt;$V$6*1.1,"error","aceptable"))</f><v /></c><c r="BA284" s="366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7"><f>SIGN(U284)</f><v /></c><c r="BE284" s="367"><f>SIGN(AG284)</f><v /></c><c r="BF284" s="367"><f>SIGN(AS284)</f><v /></c><c r="BG284" s="367"><f>CONCATENATE(BD284,BE284,BF284)</f><v /></c><c r="BH284" s="367"><f>IF(BG284="111","SI","SD")</f><v /></c><c r="BI284" s="367"><f>IF(BG284="-1-1-1","SI","SD")</f><v /></c><c r="BJ284" s="367"><f>OR(BH284="SI",BI284="SI")</f><v /></c><c r="BK284" s="367"><f>IF(BJ284=FALSE,"SIGDIFERENTES","SIGIGUALES")</f><v /></c><c r="BL284" s="366"><f>IF(BC284="NO CONFORME","NO CONFORME",IF(BB284="CONFORME","CONFORME","NO CONFORME"))</f><v /></c></row><row r="285" ht="14.4" customHeight="1" thickBot="1"><c r="A285" s="451" t="n"><v>277</v></c><c r="B285" s="369"><f>B284</f><v /></c><c r="C285" s="369"><f>C284</f><v /></c><c r="D285" s="370"><f>D284</f><v /></c><c r="E285" s="371"><f>E284</f><v /></c><c r="F285" s="13" t="n" /><c r="G285" s="312" t="inlineStr"><is><t>PA25517004</t></is></c><c r="H285" s="313"><f>H284</f><v /></c><c r="I285" s="38"><f>I284</f><v /></c><c r="J285" s="314"><f>J284</f><v /></c><c r="K285" s="372"><f>K284</f><v /></c><c r="L285" s="372"><f>L284</f><v /></c><c r="M285" s="373" t="n"><v>83.84</v></c><c r="N285" s="373" t="n"><v>182.58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372"><f>W284</f><v /></c><c r="X285" s="372"><f>X284</f><v /></c><c r="Y285" s="373" t="n"><v>200.6</v></c><c r="Z285" s="373" t="n"><v>210.62</v></c><c r="AA285" s="380"><f>AA284</f><v /></c><c r="AB285" s="381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372"><f>AI284</f><v /></c><c r="AJ285" s="372"><f>AJ284</f><v /></c><c r="AK285" s="373"><f>Z285</f><v /></c><c r="AL285" s="373" t="n"><v>215.68</v></c><c r="AM285" s="382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3"><f>IF(I285&gt;=1,"NO CONFORME",IF(BK285="SIGDIFERENTES",BC285,BL285))</f><v /></c><c r="AU285" s="365"><f>B285=C285</f><v /></c><c r="AV285" s="365"><f>N285&lt;Y285</f><v /></c><c r="AW285" s="365"><f>Z285&lt;=AK285</f><v /></c><c r="AX285" s="365"><f>IF(I285&gt;=1,"Qcorrecto",IF(AND(AY285="aceptable",AZ285="aceptable",BA285="aceptable"),"Qcorrecto","Qincorrecto"))</f><v /></c><c r="AY285" s="366"><f>IF(AR285&lt;$AH$6,"error",IF(AR285&gt;$AH$6*1.1,"error","aceptable"))</f><v /></c><c r="AZ285" s="366"><f>IF(AF285&lt;$V$6,"error",IF(AF285&gt;$V$6*1.1,"error","aceptable"))</f><v /></c><c r="BA285" s="366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7"><f>SIGN(U285)</f><v /></c><c r="BE285" s="367"><f>SIGN(AG285)</f><v /></c><c r="BF285" s="367"><f>SIGN(AS285)</f><v /></c><c r="BG285" s="367"><f>CONCATENATE(BD285,BE285,BF285)</f><v /></c><c r="BH285" s="367"><f>IF(BG285="111","SI","SD")</f><v /></c><c r="BI285" s="367"><f>IF(BG285="-1-1-1","SI","SD")</f><v /></c><c r="BJ285" s="367"><f>OR(BH285="SI",BI285="SI")</f><v /></c><c r="BK285" s="367"><f>IF(BJ285=FALSE,"SIGDIFERENTES","SIGIGUALES")</f><v /></c><c r="BL285" s="366"><f>IF(BC285="NO CONFORME","NO CONFORME",IF(BB285="CONFORME","CONFORME","NO CONFORME"))</f><v /></c></row><row r="286" ht="14.4" customHeight="1" thickBot="1"><c r="A286" s="451" t="n"><v>278</v></c><c r="B286" s="369"><f>B285</f><v /></c><c r="C286" s="369"><f>C285</f><v /></c><c r="D286" s="370"><f>D285</f><v /></c><c r="E286" s="371"><f>E285</f><v /></c><c r="F286" s="13" t="n" /><c r="G286" s="312" t="inlineStr"><is><t>PA25517005</t></is></c><c r="H286" s="313"><f>H285</f><v /></c><c r="I286" s="38"><f>I285</f><v /></c><c r="J286" s="314"><f>J285</f><v /></c><c r="K286" s="372"><f>K285</f><v /></c><c r="L286" s="372"><f>L285</f><v /></c><c r="M286" s="373" t="n"><v>84.52</v></c><c r="N286" s="373" t="n"><v>183.6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372"><f>W285</f><v /></c><c r="X286" s="372"><f>X285</f><v /></c><c r="Y286" s="373" t="n"><v>201.62</v></c><c r="Z286" s="373" t="n"><v>211.59</v></c><c r="AA286" s="380"><f>AA285</f><v /></c><c r="AB286" s="381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372"><f>AI285</f><v /></c><c r="AJ286" s="372"><f>AJ285</f><v /></c><c r="AK286" s="373"><f>Z286</f><v /></c><c r="AL286" s="373" t="n"><v>216.61</v></c><c r="AM286" s="382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3"><f>IF(I286&gt;=1,"NO CONFORME",IF(BK286="SIGDIFERENTES",BC286,BL286))</f><v /></c><c r="AU286" s="365"><f>B286=C286</f><v /></c><c r="AV286" s="365"><f>N286&lt;Y286</f><v /></c><c r="AW286" s="365"><f>Z286&lt;=AK286</f><v /></c><c r="AX286" s="365"><f>IF(I286&gt;=1,"Qcorrecto",IF(AND(AY286="aceptable",AZ286="aceptable",BA286="aceptable"),"Qcorrecto","Qincorrecto"))</f><v /></c><c r="AY286" s="366"><f>IF(AR286&lt;$AH$6,"error",IF(AR286&gt;$AH$6*1.1,"error","aceptable"))</f><v /></c><c r="AZ286" s="366"><f>IF(AF286&lt;$V$6,"error",IF(AF286&gt;$V$6*1.1,"error","aceptable"))</f><v /></c><c r="BA286" s="366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7"><f>SIGN(U286)</f><v /></c><c r="BE286" s="367"><f>SIGN(AG286)</f><v /></c><c r="BF286" s="367"><f>SIGN(AS286)</f><v /></c><c r="BG286" s="367"><f>CONCATENATE(BD286,BE286,BF286)</f><v /></c><c r="BH286" s="367"><f>IF(BG286="111","SI","SD")</f><v /></c><c r="BI286" s="367"><f>IF(BG286="-1-1-1","SI","SD")</f><v /></c><c r="BJ286" s="367"><f>OR(BH286="SI",BI286="SI")</f><v /></c><c r="BK286" s="367"><f>IF(BJ286=FALSE,"SIGDIFERENTES","SIGIGUALES")</f><v /></c><c r="BL286" s="366"><f>IF(BC286="NO CONFORME","NO CONFORME",IF(BB286="CONFORME","CONFORME","NO CONFORME"))</f><v /></c></row><row r="287" ht="14.4" customHeight="1" thickBot="1"><c r="A287" s="451" t="n"><v>279</v></c><c r="B287" s="369"><f>B286</f><v /></c><c r="C287" s="369"><f>C286</f><v /></c><c r="D287" s="370"><f>D286</f><v /></c><c r="E287" s="371"><f>E286</f><v /></c><c r="F287" s="13" t="n" /><c r="G287" s="312" t="inlineStr"><is><t>PA25517006</t></is></c><c r="H287" s="313"><f>H286</f><v /></c><c r="I287" s="38"><f>I286</f><v /></c><c r="J287" s="314"><f>J286</f><v /></c><c r="K287" s="372"><f>K286</f><v /></c><c r="L287" s="372"><f>L286</f><v /></c><c r="M287" s="373" t="n"><v>122.43</v></c><c r="N287" s="373" t="n"><v>221.64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372"><f>W286</f><v /></c><c r="X287" s="372"><f>X286</f><v /></c><c r="Y287" s="373" t="n"><v>239.74</v></c><c r="Z287" s="373" t="n"><v>249.76</v></c><c r="AA287" s="380"><f>AA286</f><v /></c><c r="AB287" s="381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372"><f>AI286</f><v /></c><c r="AJ287" s="372"><f>AJ286</f><v /></c><c r="AK287" s="373"><f>Z287</f><v /></c><c r="AL287" s="373" t="n"><v>254.84</v></c><c r="AM287" s="382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3"><f>IF(I287&gt;=1,"NO CONFORME",IF(BK287="SIGDIFERENTES",BC287,BL287))</f><v /></c><c r="AU287" s="365"><f>B287=C287</f><v /></c><c r="AV287" s="365"><f>N287&lt;Y287</f><v /></c><c r="AW287" s="365"><f>Z287&lt;=AK287</f><v /></c><c r="AX287" s="365"><f>IF(I287&gt;=1,"Qcorrecto",IF(AND(AY287="aceptable",AZ287="aceptable",BA287="aceptable"),"Qcorrecto","Qincorrecto"))</f><v /></c><c r="AY287" s="366"><f>IF(AR287&lt;$AH$6,"error",IF(AR287&gt;$AH$6*1.1,"error","aceptable"))</f><v /></c><c r="AZ287" s="366"><f>IF(AF287&lt;$V$6,"error",IF(AF287&gt;$V$6*1.1,"error","aceptable"))</f><v /></c><c r="BA287" s="366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7"><f>SIGN(U287)</f><v /></c><c r="BE287" s="367"><f>SIGN(AG287)</f><v /></c><c r="BF287" s="367"><f>SIGN(AS287)</f><v /></c><c r="BG287" s="367"><f>CONCATENATE(BD287,BE287,BF287)</f><v /></c><c r="BH287" s="367"><f>IF(BG287="111","SI","SD")</f><v /></c><c r="BI287" s="367"><f>IF(BG287="-1-1-1","SI","SD")</f><v /></c><c r="BJ287" s="367"><f>OR(BH287="SI",BI287="SI")</f><v /></c><c r="BK287" s="367"><f>IF(BJ287=FALSE,"SIGDIFERENTES","SIGIGUALES")</f><v /></c><c r="BL287" s="366"><f>IF(BC287="NO CONFORME","NO CONFORME",IF(BB287="CONFORME","CONFORME","NO CONFORME"))</f><v /></c></row><row r="288" ht="14.4" customHeight="1" thickBot="1"><c r="A288" s="451" t="n"><v>280</v></c><c r="B288" s="369"><f>B287</f><v /></c><c r="C288" s="369"><f>C287</f><v /></c><c r="D288" s="370"><f>D287</f><v /></c><c r="E288" s="371"><f>E287</f><v /></c><c r="F288" s="13" t="n" /><c r="G288" s="312" t="inlineStr"><is><t>PA25517007</t></is></c><c r="H288" s="313"><f>H287</f><v /></c><c r="I288" s="38"><f>I287</f><v /></c><c r="J288" s="314"><f>J287</f><v /></c><c r="K288" s="372"><f>K287</f><v /></c><c r="L288" s="372"><f>L287</f><v /></c><c r="M288" s="373" t="n"><v>83.38</v></c><c r="N288" s="373" t="n"><v>182.23</v></c><c r="O288" s="374"><f>O287</f><v /></c><c r="P288" s="375"><f>P287</f><v /></c><c r="Q288" s="376"><f>LEFT(P288,1)</f><v /></c><c r="R288" s="376"><f>RIGHT(P288,6)</f><v /></c><c r="S288" s="376"><f>+(Q288*60+R288)/(60*60)</f><v /></c><c r="T288" s="377"><f>+O288/S288</f><v /></c><c r="U288" s="378"><f>+(((N288-M288-O288)/O288)*100)</f><v /></c><c r="V288" s="317"><f>V287</f><v /></c><c r="W288" s="372"><f>W287</f><v /></c><c r="X288" s="372"><f>X287</f><v /></c><c r="Y288" s="373" t="n"><v>200.35</v></c><c r="Z288" s="373" t="n"><v>210.36</v></c><c r="AA288" s="380"><f>AA287</f><v /></c><c r="AB288" s="381"><f>AB287</f><v /></c><c r="AC288" s="376"><f>LEFT(AB288,2)</f><v /></c><c r="AD288" s="376"><f>RIGHT(AB288,6)</f><v /></c><c r="AE288" s="376"><f>+(AC288*60+AD288)/(60*60)</f><v /></c><c r="AF288" s="377"><f>+AA288/AE288</f><v /></c><c r="AG288" s="321"><f>+(((Z288-Y288-AA288)/AA288)*100)</f><v /></c><c r="AH288" s="317"><f>AH287</f><v /></c><c r="AI288" s="372"><f>AI287</f><v /></c><c r="AJ288" s="372"><f>AJ287</f><v /></c><c r="AK288" s="373"><f>Z288</f><v /></c><c r="AL288" s="373" t="n"><v>215.4</v></c><c r="AM288" s="382"><f>AM287</f><v /></c><c r="AN288" s="375"><f>AN287</f><v /></c><c r="AO288" s="376"><f>LEFT(AN288,2)</f><v /></c><c r="AP288" s="376"><f>RIGHT(AN288,6)</f><v /></c><c r="AQ288" s="376"><f>+(AO288*60+AP288)/(60*60)</f><v /></c><c r="AR288" s="377"><f>+AM288/AQ288</f><v /></c><c r="AS288" s="321"><f>+(((AL288-AK288-AM288)/AM288)*100)</f><v /></c><c r="AT288" s="383"><f>IF(I288&gt;=1,"NO CONFORME",IF(BK288="SIGDIFERENTES",BC288,BL288))</f><v /></c><c r="AU288" s="365"><f>B288=C288</f><v /></c><c r="AV288" s="365"><f>N288&lt;Y288</f><v /></c><c r="AW288" s="365"><f>Z288&lt;=AK288</f><v /></c><c r="AX288" s="365"><f>IF(I288&gt;=1,"Qcorrecto",IF(AND(AY288="aceptable",AZ288="aceptable",BA288="aceptable"),"Qcorrecto","Qincorrecto"))</f><v /></c><c r="AY288" s="366"><f>IF(AR288&lt;$AH$6,"error",IF(AR288&gt;$AH$6*1.1,"error","aceptable"))</f><v /></c><c r="AZ288" s="366"><f>IF(AF288&lt;$V$6,"error",IF(AF288&gt;$V$6*1.1,"error","aceptable"))</f><v /></c><c r="BA288" s="366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67"><f>SIGN(U288)</f><v /></c><c r="BE288" s="367"><f>SIGN(AG288)</f><v /></c><c r="BF288" s="367"><f>SIGN(AS288)</f><v /></c><c r="BG288" s="367"><f>CONCATENATE(BD288,BE288,BF288)</f><v /></c><c r="BH288" s="367"><f>IF(BG288="111","SI","SD")</f><v /></c><c r="BI288" s="367"><f>IF(BG288="-1-1-1","SI","SD")</f><v /></c><c r="BJ288" s="367"><f>OR(BH288="SI",BI288="SI")</f><v /></c><c r="BK288" s="367"><f>IF(BJ288=FALSE,"SIGDIFERENTES","SIGIGUALES")</f><v /></c><c r="BL288" s="366"><f>IF(BC288="NO CONFORME","NO CONFORME",IF(BB288="CONFORME","CONFORME","NO CONFORME"))</f><v /></c></row><row r="289" ht="14.4" customHeight="1" thickBot="1"><c r="A289" s="451" t="n"><v>281</v></c><c r="B289" s="369"><f>B288</f><v /></c><c r="C289" s="369"><f>C288</f><v /></c><c r="D289" s="370"><f>D288</f><v /></c><c r="E289" s="371"><f>E288</f><v /></c><c r="F289" s="13" t="n" /><c r="G289" s="312" t="inlineStr"><is><t>PA25517008</t></is></c><c r="H289" s="313"><f>H288</f><v /></c><c r="I289" s="38"><f>I288</f><v /></c><c r="J289" s="314"><f>J288</f><v /></c><c r="K289" s="372"><f>K288</f><v /></c><c r="L289" s="372"><f>L288</f><v /></c><c r="M289" s="373" t="n"><v>84.20999999999999</v></c><c r="N289" s="373" t="n"><v>183.61</v></c><c r="O289" s="374"><f>O288</f><v /></c><c r="P289" s="375"><f>P288</f><v /></c><c r="Q289" s="376"><f>LEFT(P289,1)</f><v /></c><c r="R289" s="376"><f>RIGHT(P289,6)</f><v /></c><c r="S289" s="376"><f>+(Q289*60+R289)/(60*60)</f><v /></c><c r="T289" s="377"><f>+O289/S289</f><v /></c><c r="U289" s="378"><f>+(((N289-M289-O289)/O289)*100)</f><v /></c><c r="V289" s="317"><f>V288</f><v /></c><c r="W289" s="372"><f>W288</f><v /></c><c r="X289" s="372"><f>X288</f><v /></c><c r="Y289" s="373" t="n"><v>201.75</v></c><c r="Z289" s="373" t="n"><v>211.8</v></c><c r="AA289" s="380"><f>AA288</f><v /></c><c r="AB289" s="381"><f>AB288</f><v /></c><c r="AC289" s="376"><f>LEFT(AB289,2)</f><v /></c><c r="AD289" s="376"><f>RIGHT(AB289,6)</f><v /></c><c r="AE289" s="376"><f>+(AC289*60+AD289)/(60*60)</f><v /></c><c r="AF289" s="377"><f>+AA289/AE289</f><v /></c><c r="AG289" s="321"><f>+(((Z289-Y289-AA289)/AA289)*100)</f><v /></c><c r="AH289" s="317"><f>AH288</f><v /></c><c r="AI289" s="372"><f>AI288</f><v /></c><c r="AJ289" s="372"><f>AJ288</f><v /></c><c r="AK289" s="373"><f>Z289</f><v /></c><c r="AL289" s="373" t="n"><v>216.88</v></c><c r="AM289" s="382"><f>AM288</f><v /></c><c r="AN289" s="375"><f>AN288</f><v /></c><c r="AO289" s="376"><f>LEFT(AN289,2)</f><v /></c><c r="AP289" s="376"><f>RIGHT(AN289,6)</f><v /></c><c r="AQ289" s="376"><f>+(AO289*60+AP289)/(60*60)</f><v /></c><c r="AR289" s="377"><f>+AM289/AQ289</f><v /></c><c r="AS289" s="321"><f>+(((AL289-AK289-AM289)/AM289)*100)</f><v /></c><c r="AT289" s="383"><f>IF(I289&gt;=1,"NO CONFORME",IF(BK289="SIGDIFERENTES",BC289,BL289))</f><v /></c><c r="AU289" s="365"><f>B289=C289</f><v /></c><c r="AV289" s="365"><f>N289&lt;Y289</f><v /></c><c r="AW289" s="365"><f>Z289&lt;=AK289</f><v /></c><c r="AX289" s="365"><f>IF(I289&gt;=1,"Qcorrecto",IF(AND(AY289="aceptable",AZ289="aceptable",BA289="aceptable"),"Qcorrecto","Qincorrecto"))</f><v /></c><c r="AY289" s="366"><f>IF(AR289&lt;$AH$6,"error",IF(AR289&gt;$AH$6*1.1,"error","aceptable"))</f><v /></c><c r="AZ289" s="366"><f>IF(AF289&lt;$V$6,"error",IF(AF289&gt;$V$6*1.1,"error","aceptable"))</f><v /></c><c r="BA289" s="366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7"><f>SIGN(U289)</f><v /></c><c r="BE289" s="367"><f>SIGN(AG289)</f><v /></c><c r="BF289" s="367"><f>SIGN(AS289)</f><v /></c><c r="BG289" s="367"><f>CONCATENATE(BD289,BE289,BF289)</f><v /></c><c r="BH289" s="367"><f>IF(BG289="111","SI","SD")</f><v /></c><c r="BI289" s="367"><f>IF(BG289="-1-1-1","SI","SD")</f><v /></c><c r="BJ289" s="367"><f>OR(BH289="SI",BI289="SI")</f><v /></c><c r="BK289" s="367"><f>IF(BJ289=FALSE,"SIGDIFERENTES","SIGIGUALES")</f><v /></c><c r="BL289" s="366"><f>IF(BC289="NO CONFORME","NO CONFORME",IF(BB289="CONFORME","CONFORME","NO CONFORME"))</f><v /></c></row><row r="290" ht="14.4" customHeight="1" thickBot="1"><c r="A290" s="451" t="n"><v>282</v></c><c r="B290" s="369"><f>B289</f><v /></c><c r="C290" s="369"><f>C289</f><v /></c><c r="D290" s="370"><f>D289</f><v /></c><c r="E290" s="371"><f>E289</f><v /></c><c r="F290" s="13" t="n" /><c r="G290" s="312" t="inlineStr"><is><t>PA25517009</t></is></c><c r="H290" s="313"><f>H289</f><v /></c><c r="I290" s="38"><f>I289</f><v /></c><c r="J290" s="314"><f>J289</f><v /></c><c r="K290" s="372"><f>K289</f><v /></c><c r="L290" s="372"><f>L289</f><v /></c><c r="M290" s="373" t="n"><v>83.95999999999999</v></c><c r="N290" s="373" t="n"><v>183.18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372"><f>W289</f><v /></c><c r="X290" s="372"><f>X289</f><v /></c><c r="Y290" s="373" t="n"><v>201.26</v></c><c r="Z290" s="373" t="n"><v>211.3</v></c><c r="AA290" s="380"><f>AA289</f><v /></c><c r="AB290" s="381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372"><f>AI289</f><v /></c><c r="AJ290" s="372"><f>AJ289</f><v /></c><c r="AK290" s="373"><f>Z290</f><v /></c><c r="AL290" s="373" t="n"><v>216.38</v></c><c r="AM290" s="382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3"><f>IF(I290&gt;=1,"NO CONFORME",IF(BK290="SIGDIFERENTES",BC290,BL290))</f><v /></c><c r="AU290" s="365"><f>B290=C290</f><v /></c><c r="AV290" s="365"><f>N290&lt;Y290</f><v /></c><c r="AW290" s="365"><f>Z290&lt;=AK290</f><v /></c><c r="AX290" s="365"><f>IF(I290&gt;=1,"Qcorrecto",IF(AND(AY290="aceptable",AZ290="aceptable",BA290="aceptable"),"Qcorrecto","Qincorrecto"))</f><v /></c><c r="AY290" s="366"><f>IF(AR290&lt;$AH$6,"error",IF(AR290&gt;$AH$6*1.1,"error","aceptable"))</f><v /></c><c r="AZ290" s="366"><f>IF(AF290&lt;$V$6,"error",IF(AF290&gt;$V$6*1.1,"error","aceptable"))</f><v /></c><c r="BA290" s="366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7"><f>SIGN(U290)</f><v /></c><c r="BE290" s="367"><f>SIGN(AG290)</f><v /></c><c r="BF290" s="367"><f>SIGN(AS290)</f><v /></c><c r="BG290" s="367"><f>CONCATENATE(BD290,BE290,BF290)</f><v /></c><c r="BH290" s="367"><f>IF(BG290="111","SI","SD")</f><v /></c><c r="BI290" s="367"><f>IF(BG290="-1-1-1","SI","SD")</f><v /></c><c r="BJ290" s="367"><f>OR(BH290="SI",BI290="SI")</f><v /></c><c r="BK290" s="367"><f>IF(BJ290=FALSE,"SIGDIFERENTES","SIGIGUALES")</f><v /></c><c r="BL290" s="366"><f>IF(BC290="NO CONFORME","NO CONFORME",IF(BB290="CONFORME","CONFORME","NO CONFORME"))</f><v /></c></row><row r="291" ht="14.4" customHeight="1" thickBot="1"><c r="A291" s="451" t="n"><v>283</v></c><c r="B291" s="369"><f>B290</f><v /></c><c r="C291" s="369"><f>C290</f><v /></c><c r="D291" s="370"><f>D290</f><v /></c><c r="E291" s="371"><f>E290</f><v /></c><c r="F291" s="13" t="n" /><c r="G291" s="312" t="inlineStr"><is><t>PA25517010</t></is></c><c r="H291" s="313"><f>H290</f><v /></c><c r="I291" s="38"><f>I290</f><v /></c><c r="J291" s="314"><f>J290</f><v /></c><c r="K291" s="372"><f>K290</f><v /></c><c r="L291" s="372"><f>L290</f><v /></c><c r="M291" s="373" t="n"><v>84.43000000000001</v></c><c r="N291" s="373" t="n"><v>183.89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372"><f>W290</f><v /></c><c r="X291" s="372"><f>X290</f><v /></c><c r="Y291" s="373" t="n"><v>202.04</v></c><c r="Z291" s="373" t="n"><v>212.1</v></c><c r="AA291" s="380"><f>AA290</f><v /></c><c r="AB291" s="381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372"><f>AI290</f><v /></c><c r="AJ291" s="372"><f>AJ290</f><v /></c><c r="AK291" s="373"><f>Z291</f><v /></c><c r="AL291" s="373" t="n"><v>217.19</v></c><c r="AM291" s="382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3"><f>IF(I291&gt;=1,"NO CONFORME",IF(BK291="SIGDIFERENTES",BC291,BL291))</f><v /></c><c r="AU291" s="365"><f>B291=C291</f><v /></c><c r="AV291" s="365"><f>N291&lt;Y291</f><v /></c><c r="AW291" s="365"><f>Z291&lt;=AK291</f><v /></c><c r="AX291" s="365"><f>IF(I291&gt;=1,"Qcorrecto",IF(AND(AY291="aceptable",AZ291="aceptable",BA291="aceptable"),"Qcorrecto","Qincorrecto"))</f><v /></c><c r="AY291" s="366"><f>IF(AR291&lt;$AH$6,"error",IF(AR291&gt;$AH$6*1.1,"error","aceptable"))</f><v /></c><c r="AZ291" s="366"><f>IF(AF291&lt;$V$6,"error",IF(AF291&gt;$V$6*1.1,"error","aceptable"))</f><v /></c><c r="BA291" s="366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7"><f>SIGN(U291)</f><v /></c><c r="BE291" s="367"><f>SIGN(AG291)</f><v /></c><c r="BF291" s="367"><f>SIGN(AS291)</f><v /></c><c r="BG291" s="367"><f>CONCATENATE(BD291,BE291,BF291)</f><v /></c><c r="BH291" s="367"><f>IF(BG291="111","SI","SD")</f><v /></c><c r="BI291" s="367"><f>IF(BG291="-1-1-1","SI","SD")</f><v /></c><c r="BJ291" s="367"><f>OR(BH291="SI",BI291="SI")</f><v /></c><c r="BK291" s="367"><f>IF(BJ291=FALSE,"SIGDIFERENTES","SIGIGUALES")</f><v /></c><c r="BL291" s="366"><f>IF(BC291="NO CONFORME","NO CONFORME",IF(BB291="CONFORME","CONFORME","NO CONFORME"))</f><v /></c></row><row r="292" ht="14.4" customHeight="1" thickBot="1"><c r="A292" s="451" t="n"><v>284</v></c><c r="B292" s="369"><f>B291</f><v /></c><c r="C292" s="369"><f>C291</f><v /></c><c r="D292" s="370"><f>D291</f><v /></c><c r="E292" s="371"><f>E291</f><v /></c><c r="F292" s="13" t="n" /><c r="G292" s="312" t="inlineStr"><is><t>PA25517011</t></is></c><c r="H292" s="313"><f>H291</f><v /></c><c r="I292" s="38"><f>I291</f><v /></c><c r="J292" s="314"><f>J291</f><v /></c><c r="K292" s="372"><f>K291</f><v /></c><c r="L292" s="372"><f>L291</f><v /></c><c r="M292" s="373" t="n"><v>85.08</v></c><c r="N292" s="373" t="n"><v>184.16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372"><f>W291</f><v /></c><c r="X292" s="372"><f>X291</f><v /></c><c r="Y292" s="373" t="n"><v>202.24</v></c><c r="Z292" s="373" t="n"><v>212.24</v></c><c r="AA292" s="380"><f>AA291</f><v /></c><c r="AB292" s="381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372"><f>AI291</f><v /></c><c r="AJ292" s="372"><f>AJ291</f><v /></c><c r="AK292" s="373"><f>Z292</f><v /></c><c r="AL292" s="373" t="n"><v>217.28</v></c><c r="AM292" s="382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3"><f>IF(I292&gt;=1,"NO CONFORME",IF(BK292="SIGDIFERENTES",BC292,BL292))</f><v /></c><c r="AU292" s="365"><f>B292=C292</f><v /></c><c r="AV292" s="365"><f>N292&lt;Y292</f><v /></c><c r="AW292" s="365"><f>Z292&lt;=AK292</f><v /></c><c r="AX292" s="365"><f>IF(I292&gt;=1,"Qcorrecto",IF(AND(AY292="aceptable",AZ292="aceptable",BA292="aceptable"),"Qcorrecto","Qincorrecto"))</f><v /></c><c r="AY292" s="366"><f>IF(AR292&lt;$AH$6,"error",IF(AR292&gt;$AH$6*1.1,"error","aceptable"))</f><v /></c><c r="AZ292" s="366"><f>IF(AF292&lt;$V$6,"error",IF(AF292&gt;$V$6*1.1,"error","aceptable"))</f><v /></c><c r="BA292" s="366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7"><f>SIGN(U292)</f><v /></c><c r="BE292" s="367"><f>SIGN(AG292)</f><v /></c><c r="BF292" s="367"><f>SIGN(AS292)</f><v /></c><c r="BG292" s="367"><f>CONCATENATE(BD292,BE292,BF292)</f><v /></c><c r="BH292" s="367"><f>IF(BG292="111","SI","SD")</f><v /></c><c r="BI292" s="367"><f>IF(BG292="-1-1-1","SI","SD")</f><v /></c><c r="BJ292" s="367"><f>OR(BH292="SI",BI292="SI")</f><v /></c><c r="BK292" s="367"><f>IF(BJ292=FALSE,"SIGDIFERENTES","SIGIGUALES")</f><v /></c><c r="BL292" s="366"><f>IF(BC292="NO CONFORME","NO CONFORME",IF(BB292="CONFORME","CONFORME","NO CONFORME"))</f><v /></c></row><row r="293" ht="14.4" customHeight="1" thickBot="1"><c r="A293" s="451" t="n"><v>285</v></c><c r="B293" s="369"><f>B292</f><v /></c><c r="C293" s="369"><f>C292</f><v /></c><c r="D293" s="370"><f>D292</f><v /></c><c r="E293" s="371"><f>E292</f><v /></c><c r="F293" s="13" t="n" /><c r="G293" s="312" t="inlineStr"><is><t>PA25517012</t></is></c><c r="H293" s="313"><f>H292</f><v /></c><c r="I293" s="38"><f>I292</f><v /></c><c r="J293" s="314"><f>J292</f><v /></c><c r="K293" s="372"><f>K292</f><v /></c><c r="L293" s="372"><f>L292</f><v /></c><c r="M293" s="373" t="n"><v>84.23</v></c><c r="N293" s="373" t="n"><v>183.94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372"><f>W292</f><v /></c><c r="X293" s="372"><f>X292</f><v /></c><c r="Y293" s="373" t="n"><v>202.12</v></c><c r="Z293" s="373" t="n"><v>212.14</v></c><c r="AA293" s="380"><f>AA292</f><v /></c><c r="AB293" s="381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372"><f>AI292</f><v /></c><c r="AJ293" s="372"><f>AJ292</f><v /></c><c r="AK293" s="373"><f>Z293</f><v /></c><c r="AL293" s="373" t="n"><v>217.23</v></c><c r="AM293" s="382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3"><f>IF(I293&gt;=1,"NO CONFORME",IF(BK293="SIGDIFERENTES",BC293,BL293))</f><v /></c><c r="AU293" s="365"><f>B293=C293</f><v /></c><c r="AV293" s="365"><f>N293&lt;Y293</f><v /></c><c r="AW293" s="365"><f>Z293&lt;=AK293</f><v /></c><c r="AX293" s="365"><f>IF(I293&gt;=1,"Qcorrecto",IF(AND(AY293="aceptable",AZ293="aceptable",BA293="aceptable"),"Qcorrecto","Qincorrecto"))</f><v /></c><c r="AY293" s="366"><f>IF(AR293&lt;$AH$6,"error",IF(AR293&gt;$AH$6*1.1,"error","aceptable"))</f><v /></c><c r="AZ293" s="366"><f>IF(AF293&lt;$V$6,"error",IF(AF293&gt;$V$6*1.1,"error","aceptable"))</f><v /></c><c r="BA293" s="366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7"><f>SIGN(U293)</f><v /></c><c r="BE293" s="367"><f>SIGN(AG293)</f><v /></c><c r="BF293" s="367"><f>SIGN(AS293)</f><v /></c><c r="BG293" s="367"><f>CONCATENATE(BD293,BE293,BF293)</f><v /></c><c r="BH293" s="367"><f>IF(BG293="111","SI","SD")</f><v /></c><c r="BI293" s="367"><f>IF(BG293="-1-1-1","SI","SD")</f><v /></c><c r="BJ293" s="367"><f>OR(BH293="SI",BI293="SI")</f><v /></c><c r="BK293" s="367"><f>IF(BJ293=FALSE,"SIGDIFERENTES","SIGIGUALES")</f><v /></c><c r="BL293" s="366"><f>IF(BC293="NO CONFORME","NO CONFORME",IF(BB293="CONFORME","CONFORME","NO CONFORME"))</f><v /></c></row><row r="294" ht="14.4" customHeight="1" thickBot="1"><c r="A294" s="451" t="n"><v>286</v></c><c r="B294" s="369"><f>B293</f><v /></c><c r="C294" s="369"><f>C293</f><v /></c><c r="D294" s="370"><f>D293</f><v /></c><c r="E294" s="371"><f>E293</f><v /></c><c r="F294" s="13" t="n" /><c r="G294" s="312" t="inlineStr"><is><t>PA25517013</t></is></c><c r="H294" s="313"><f>H293</f><v /></c><c r="I294" s="38"><f>I293</f><v /></c><c r="J294" s="314"><f>J293</f><v /></c><c r="K294" s="372"><f>K293</f><v /></c><c r="L294" s="372"><f>L293</f><v /></c><c r="M294" s="373" t="n"><v>155.03</v></c><c r="N294" s="373" t="n"><v>254.24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372"><f>W293</f><v /></c><c r="X294" s="372"><f>X293</f><v /></c><c r="Y294" s="373" t="n"><v>272.34</v></c><c r="Z294" s="373" t="n"><v>282.32</v></c><c r="AA294" s="380"><f>AA293</f><v /></c><c r="AB294" s="381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372"><f>AI293</f><v /></c><c r="AJ294" s="372"><f>AJ293</f><v /></c><c r="AK294" s="373"><f>Z294</f><v /></c><c r="AL294" s="373" t="n"><v>287.34</v></c><c r="AM294" s="382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3"><f>IF(I294&gt;=1,"NO CONFORME",IF(BK294="SIGDIFERENTES",BC294,BL294))</f><v /></c><c r="AU294" s="365"><f>B294=C294</f><v /></c><c r="AV294" s="365"><f>N294&lt;Y294</f><v /></c><c r="AW294" s="365"><f>Z294&lt;=AK294</f><v /></c><c r="AX294" s="365"><f>IF(I294&gt;=1,"Qcorrecto",IF(AND(AY294="aceptable",AZ294="aceptable",BA294="aceptable"),"Qcorrecto","Qincorrecto"))</f><v /></c><c r="AY294" s="366"><f>IF(AR294&lt;$AH$6,"error",IF(AR294&gt;$AH$6*1.1,"error","aceptable"))</f><v /></c><c r="AZ294" s="366"><f>IF(AF294&lt;$V$6,"error",IF(AF294&gt;$V$6*1.1,"error","aceptable"))</f><v /></c><c r="BA294" s="366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7"><f>SIGN(U294)</f><v /></c><c r="BE294" s="367"><f>SIGN(AG294)</f><v /></c><c r="BF294" s="367"><f>SIGN(AS294)</f><v /></c><c r="BG294" s="367"><f>CONCATENATE(BD294,BE294,BF294)</f><v /></c><c r="BH294" s="367"><f>IF(BG294="111","SI","SD")</f><v /></c><c r="BI294" s="367"><f>IF(BG294="-1-1-1","SI","SD")</f><v /></c><c r="BJ294" s="367"><f>OR(BH294="SI",BI294="SI")</f><v /></c><c r="BK294" s="367"><f>IF(BJ294=FALSE,"SIGDIFERENTES","SIGIGUALES")</f><v /></c><c r="BL294" s="366"><f>IF(BC294="NO CONFORME","NO CONFORME",IF(BB294="CONFORME","CONFORME","NO CONFORME"))</f><v /></c></row><row r="295" ht="14.4" customHeight="1" thickBot="1"><c r="A295" s="451" t="n"><v>287</v></c><c r="B295" s="369"><f>B294</f><v /></c><c r="C295" s="369"><f>C294</f><v /></c><c r="D295" s="370"><f>D294</f><v /></c><c r="E295" s="371"><f>E294</f><v /></c><c r="F295" s="13" t="n" /><c r="G295" s="312" t="inlineStr"><is><t>PA25517014</t></is></c><c r="H295" s="313"><f>H294</f><v /></c><c r="I295" s="38"><f>I294</f><v /></c><c r="J295" s="314"><f>J294</f><v /></c><c r="K295" s="372"><f>K294</f><v /></c><c r="L295" s="372"><f>L294</f><v /></c><c r="M295" s="373" t="n"><v>119.69</v></c><c r="N295" s="373" t="n"><v>218.29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372"><f>W294</f><v /></c><c r="X295" s="372"><f>X294</f><v /></c><c r="Y295" s="373" t="n"><v>236.33</v></c><c r="Z295" s="373" t="n"><v>246.3</v></c><c r="AA295" s="380"><f>AA294</f><v /></c><c r="AB295" s="381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372"><f>AI294</f><v /></c><c r="AJ295" s="372"><f>AJ294</f><v /></c><c r="AK295" s="373"><f>Z295</f><v /></c><c r="AL295" s="373" t="n"><v>251.32</v></c><c r="AM295" s="382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3"><f>IF(I295&gt;=1,"NO CONFORME",IF(BK295="SIGDIFERENTES",BC295,BL295))</f><v /></c><c r="AU295" s="365"><f>B295=C295</f><v /></c><c r="AV295" s="365"><f>N295&lt;Y295</f><v /></c><c r="AW295" s="365"><f>Z295&lt;=AK295</f><v /></c><c r="AX295" s="365"><f>IF(I295&gt;=1,"Qcorrecto",IF(AND(AY295="aceptable",AZ295="aceptable",BA295="aceptable"),"Qcorrecto","Qincorrecto"))</f><v /></c><c r="AY295" s="366"><f>IF(AR295&lt;$AH$6,"error",IF(AR295&gt;$AH$6*1.1,"error","aceptable"))</f><v /></c><c r="AZ295" s="366"><f>IF(AF295&lt;$V$6,"error",IF(AF295&gt;$V$6*1.1,"error","aceptable"))</f><v /></c><c r="BA295" s="366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7"><f>SIGN(U295)</f><v /></c><c r="BE295" s="367"><f>SIGN(AG295)</f><v /></c><c r="BF295" s="367"><f>SIGN(AS295)</f><v /></c><c r="BG295" s="367"><f>CONCATENATE(BD295,BE295,BF295)</f><v /></c><c r="BH295" s="367"><f>IF(BG295="111","SI","SD")</f><v /></c><c r="BI295" s="367"><f>IF(BG295="-1-1-1","SI","SD")</f><v /></c><c r="BJ295" s="367"><f>OR(BH295="SI",BI295="SI")</f><v /></c><c r="BK295" s="367"><f>IF(BJ295=FALSE,"SIGDIFERENTES","SIGIGUALES")</f><v /></c><c r="BL295" s="366"><f>IF(BC295="NO CONFORME","NO CONFORME",IF(BB295="CONFORME","CONFORME","NO CONFORME"))</f><v /></c></row><row r="296" ht="15" customHeight="1" thickBot="1"><c r="A296" s="473" t="n"><v>288</v></c><c r="B296" s="454"><f>B295</f><v /></c><c r="C296" s="454"><f>C295</f><v /></c><c r="D296" s="455"><f>D295</f><v /></c><c r="E296" s="474"><f>E295</f><v /></c><c r="F296" s="52" t="n" /><c r="G296" s="325" t="inlineStr"><is><t>PA25517015</t></is></c><c r="H296" s="326"><f>H295</f><v /></c><c r="I296" s="98"><f>I295</f><v /></c><c r="J296" s="327"><f>J295</f><v /></c><c r="K296" s="458"><f>K295</f><v /></c><c r="L296" s="458"><f>L295</f><v /></c><c r="M296" s="459" t="n"><v>82.56</v></c><c r="N296" s="459" t="n"><v>181.43</v></c><c r="O296" s="460"><f>O295</f><v /></c><c r="P296" s="461"><f>P295</f><v /></c><c r="Q296" s="462"><f>LEFT(P296,1)</f><v /></c><c r="R296" s="462"><f>RIGHT(P296,6)</f><v /></c><c r="S296" s="462"><f>+(Q296*60+R296)/(60*60)</f><v /></c><c r="T296" s="463"><f>+O296/S296</f><v /></c><c r="U296" s="464"><f>+(((N296-M296-O296)/O296)*100)</f><v /></c><c r="V296" s="329"><f>V295</f><v /></c><c r="W296" s="458"><f>W295</f><v /></c><c r="X296" s="458"><f>X295</f><v /></c><c r="Y296" s="459" t="n"><v>199.5</v></c><c r="Z296" s="459" t="n"><v>209.51</v></c><c r="AA296" s="466"><f>AA295</f><v /></c><c r="AB296" s="467"><f>AB295</f><v /></c><c r="AC296" s="462"><f>LEFT(AB296,2)</f><v /></c><c r="AD296" s="462"><f>RIGHT(AB296,6)</f><v /></c><c r="AE296" s="462"><f>+(AC296*60+AD296)/(60*60)</f><v /></c><c r="AF296" s="463"><f>+AA296/AE296</f><v /></c><c r="AG296" s="468"><f>+(((Z296-Y296-AA296)/AA296)*100)</f><v /></c><c r="AH296" s="329"><f>AH295</f><v /></c><c r="AI296" s="458"><f>AI295</f><v /></c><c r="AJ296" s="458"><f>AJ295</f><v /></c><c r="AK296" s="459"><f>Z296</f><v /></c><c r="AL296" s="459" t="n"><v>214.58</v></c><c r="AM296" s="469"><f>AM295</f><v /></c><c r="AN296" s="461"><f>AN295</f><v /></c><c r="AO296" s="462"><f>LEFT(AN296,2)</f><v /></c><c r="AP296" s="462"><f>RIGHT(AN296,6)</f><v /></c><c r="AQ296" s="462"><f>+(AO296*60+AP296)/(60*60)</f><v /></c><c r="AR296" s="463"><f>+AM296/AQ296</f><v /></c><c r="AS296" s="468"><f>+(((AL296-AK296-AM296)/AM296)*100)</f><v /></c><c r="AT296" s="470"><f>IF(I296&gt;=1,"NO CONFORME",IF(BK296="SIGDIFERENTES",BC296,BL296))</f><v /></c><c r="AU296" s="426"><f>B296=C296</f><v /></c><c r="AV296" s="426"><f>N296&lt;Y296</f><v /></c><c r="AW296" s="426"><f>Z296&lt;=AK296</f><v /></c><c r="AX296" s="426"><f>IF(I296&gt;=1,"Qcorrecto",IF(AND(AY296="aceptable",AZ296="aceptable",BA296="aceptable"),"Qcorrecto","Qincorrecto"))</f><v /></c><c r="AY296" s="427"><f>IF(AR296&lt;$AH$6,"error",IF(AR296&gt;$AH$6*1.1,"error","aceptable"))</f><v /></c><c r="AZ296" s="427"><f>IF(AF296&lt;$V$6,"error",IF(AF296&gt;$V$6*1.1,"error","aceptable"))</f><v /></c><c r="BA296" s="427"><f>IF(T296&lt;$J$6*0.9,"error",IF(T296&gt;$J$6,"error","aceptable"))</f><v /></c><c r="BB296" s="428"><f>(IF(ABS(U296)&lt;1.05,"CONFORME",IF(ABS(AG296)&lt;1.05,"CONFORME",IF(ABS(AS296)&lt;2.55,"CONFORME","NO CONFORME"))))</f><v /></c><c r="BC296" s="429"><f>(IF(ABS(U296)&gt;2.05,"NO CONFORME",IF(ABS(AG296)&gt;2.05,"NO CONFORME",IF(ABS(AS296)&gt;5.05,"NO CONFORME","CONFORME"))))</f><v /></c><c r="BD296" s="430"><f>SIGN(U296)</f><v /></c><c r="BE296" s="430"><f>SIGN(AG296)</f><v /></c><c r="BF296" s="430"><f>SIGN(AS296)</f><v /></c><c r="BG296" s="430"><f>CONCATENATE(BD296,BE296,BF296)</f><v /></c><c r="BH296" s="430"><f>IF(BG296="111","SI","SD")</f><v /></c><c r="BI296" s="430"><f>IF(BG296="-1-1-1","SI","SD")</f><v /></c><c r="BJ296" s="430"><f>OR(BH296="SI",BI296="SI")</f><v /></c><c r="BK296" s="430"><f>IF(BJ296=FALSE,"SIGDIFERENTES","SIGIGUALES")</f><v /></c><c r="BL296" s="427"><f>IF(BC296="NO CONFORME","NO CONFORME",IF(BB296="CONFORME","CONFORME","NO CONFORME"))</f><v /></c></row><row r="297" ht="15" customHeight="1" thickBot="1"><c r="A297" s="351" t="n"><v>289</v></c><c r="B297" s="352" t="n"><v>45920</v></c><c r="C297" s="352"><f>C296</f><v /></c><c r="D297" s="353" t="n"><v>3</v></c><c r="E297" s="354" t="n"><v>11</v></c><c r="F297" s="58" t="n" /><c r="G297" s="355" t="inlineStr"><is><t>PA25517169</t></is></c><c r="H297" s="301" t="n"><v>25.6</v></c><c r="I297" s="232" t="n"><v>0</v></c><c r="J297" s="302" t="n"><v>22.4</v></c><c r="K297" s="303" t="n"><v>8.209</v></c><c r="L297" s="303" t="n"><v>0.588</v></c><c r="M297" s="356" t="n"><v>104.86</v></c><c r="N297" s="356" t="n"><v>204.45</v></c><c r="O297" s="357" t="n"><v>100.55</v></c><c r="P297" s="358" t="inlineStr"><is><t>2,32,330</t></is></c><c r="Q297" s="359"><f>LEFT(P297,1)</f><v /></c><c r="R297" s="359"><f>RIGHT(P297,6)</f><v /></c><c r="S297" s="359"><f>+(Q297*60+R297)/(60*60)</f><v /></c><c r="T297" s="360"><f>+O297/S297</f><v /></c><c r="U297" s="361"><f>+(((N297-M297-O297)/O297)*100)</f><v /></c><c r="V297" s="306" t="n"><v>21.4</v></c><c r="W297" s="307" t="n"><v>1.092</v></c><c r="X297" s="307" t="n"><v>1.084</v></c><c r="Y297" s="356" t="n"><v>212.32</v></c><c r="Z297" s="356" t="n"><v>222.31</v></c><c r="AA297" s="308" t="n"><v>10.025</v></c><c r="AB297" s="358" t="inlineStr"><is><t>22,23,380</t></is></c><c r="AC297" s="359"><f>LEFT(AB297,2)</f><v /></c><c r="AD297" s="359"><f>RIGHT(AB297,6)</f><v /></c><c r="AE297" s="359"><f>+(AC297*60+AD297)/(60*60)</f><v /></c><c r="AF297" s="360"><f>+AA297/AE297</f><v /></c><c r="AG297" s="362"><f>+(((Z297-Y297-AA297)/AA297)*100)</f><v /></c><c r="AH297" s="306" t="n"><v>21.1</v></c><c r="AI297" s="307" t="n"><v>1.076</v></c><c r="AJ297" s="307" t="n"><v>1.066</v></c><c r="AK297" s="356"><f>Z297</f><v /></c><c r="AL297" s="356" t="n"><v>227.3</v></c><c r="AM297" s="363" t="n"><v>5.01</v></c><c r="AN297" s="358" t="inlineStr"><is><t>18,28,500</t></is></c><c r="AO297" s="359"><f>LEFT(AN297,2)</f><v /></c><c r="AP297" s="359"><f>RIGHT(AN297,6)</f><v /></c><c r="AQ297" s="359"><f>+(AO297*60+AP297)/(60*60)</f><v /></c><c r="AR297" s="360"><f>+AM297/AQ297</f><v /></c><c r="AS297" s="362"><f>+(((AL297-AK297-AM297)/AM297)*100)</f><v /></c><c r="AT297" s="364"><f>IF(I297&gt;=1,"NO CONFORME",IF(BK297="SIGDIFERENTES",BC297,BL297))</f><v /></c><c r="AU297" s="365"><f>B297=C297</f><v /></c><c r="AV297" s="365"><f>N297&lt;Y297</f><v /></c><c r="AW297" s="365"><f>Z297&lt;=AK297</f><v /></c><c r="AX297" s="365"><f>IF(I297&gt;=1,"Qcorrecto",IF(AND(AY297="aceptable",AZ297="aceptable",BA297="aceptable"),"Qcorrecto","Qincorrecto"))</f><v /></c><c r="AY297" s="366"><f>IF(AR297&lt;$AH$6,"error",IF(AR297&gt;$AH$6*1.1,"error","aceptable"))</f><v /></c><c r="AZ297" s="366"><f>IF(AF297&lt;$V$6,"error",IF(AF297&gt;$V$6*1.1,"error","aceptable"))</f><v /></c><c r="BA297" s="366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7"><f>SIGN(U297)</f><v /></c><c r="BE297" s="367"><f>SIGN(AG297)</f><v /></c><c r="BF297" s="367"><f>SIGN(AS297)</f><v /></c><c r="BG297" s="367"><f>CONCATENATE(BD297,BE297,BF297)</f><v /></c><c r="BH297" s="367"><f>IF(BG297="111","SI","SD")</f><v /></c><c r="BI297" s="367"><f>IF(BG297="-1-1-1","SI","SD")</f><v /></c><c r="BJ297" s="367"><f>OR(BH297="SI",BI297="SI")</f><v /></c><c r="BK297" s="367"><f>IF(BJ297=FALSE,"SIGDIFERENTES","SIGIGUALES")</f><v /></c><c r="BL297" s="368"><f>IF(BC297="NO CONFORME","NO CONFORME",IF(BB297="CONFORME","CONFORME","NO CONFORME"))</f><v /></c></row><row r="298" ht="15" customHeight="1" thickBot="1"><c r="A298" s="351" t="n"><v>290</v></c><c r="B298" s="369"><f>B297</f><v /></c><c r="C298" s="369"><f>C297</f><v /></c><c r="D298" s="370"><f>D297</f><v /></c><c r="E298" s="371"><f>E297</f><v /></c><c r="F298" s="13" t="n" /><c r="G298" s="355" t="inlineStr"><is><t>PA25517170</t></is></c><c r="H298" s="313"><f>H297</f><v /></c><c r="I298" s="38"><f>I297</f><v /></c><c r="J298" s="314"><f>J297</f><v /></c><c r="K298" s="372"><f>K297</f><v /></c><c r="L298" s="372"><f>L297</f><v /></c><c r="M298" s="373" t="n"><v>103.1</v></c><c r="N298" s="373" t="n"><v>202.7</v></c><c r="O298" s="374"><f>O297</f><v /></c><c r="P298" s="375"><f>P297</f><v /></c><c r="Q298" s="376"><f>LEFT(P298,1)</f><v /></c><c r="R298" s="376"><f>RIGHT(P298,6)</f><v /></c><c r="S298" s="376"><f>+(Q298*60+R298)/(60*60)</f><v /></c><c r="T298" s="377"><f>+O298/S298</f><v /></c><c r="U298" s="378"><f>+(((N298-M298-O298)/O298)*100)</f><v /></c><c r="V298" s="317"><f>V297</f><v /></c><c r="W298" s="379"><f>W297</f><v /></c><c r="X298" s="379"><f>X297</f><v /></c><c r="Y298" s="373" t="n"><v>210.51</v></c><c r="Z298" s="373" t="n"><v>220.48</v></c><c r="AA298" s="380"><f>AA297</f><v /></c><c r="AB298" s="381"><f>AB297</f><v /></c><c r="AC298" s="376"><f>LEFT(AB298,2)</f><v /></c><c r="AD298" s="376"><f>RIGHT(AB298,6)</f><v /></c><c r="AE298" s="376"><f>+(AC298*60+AD298)/(60*60)</f><v /></c><c r="AF298" s="377"><f>+AA298/AE298</f><v /></c><c r="AG298" s="321"><f>+(((Z298-Y298-AA298)/AA298)*100)</f><v /></c><c r="AH298" s="317"><f>AH297</f><v /></c><c r="AI298" s="379"><f>AI297</f><v /></c><c r="AJ298" s="379"><f>AJ297</f><v /></c><c r="AK298" s="373"><f>Z298</f><v /></c><c r="AL298" s="373" t="n"><v>225.49</v></c><c r="AM298" s="382"><f>AM297</f><v /></c><c r="AN298" s="375"><f>AN297</f><v /></c><c r="AO298" s="376"><f>LEFT(AN298,2)</f><v /></c><c r="AP298" s="376"><f>RIGHT(AN298,6)</f><v /></c><c r="AQ298" s="376"><f>+(AO298*60+AP298)/(60*60)</f><v /></c><c r="AR298" s="377"><f>+AM298/AQ298</f><v /></c><c r="AS298" s="321"><f>+(((AL298-AK298-AM298)/AM298)*100)</f><v /></c><c r="AT298" s="383"><f>IF(I298&gt;=1,"NO CONFORME",IF(BK298="SIGDIFERENTES",BC298,BL298))</f><v /></c><c r="AU298" s="365"><f>B298=C298</f><v /></c><c r="AV298" s="365"><f>N298&lt;Y298</f><v /></c><c r="AW298" s="365"><f>Z298&lt;=AK298</f><v /></c><c r="AX298" s="365"><f>IF(I298&gt;=1,"Qcorrecto",IF(AND(AY298="aceptable",AZ298="aceptable",BA298="aceptable"),"Qcorrecto","Qincorrecto"))</f><v /></c><c r="AY298" s="366"><f>IF(AR298&lt;$AH$6,"error",IF(AR298&gt;$AH$6*1.1,"error","aceptable"))</f><v /></c><c r="AZ298" s="366"><f>IF(AF298&lt;$V$6,"error",IF(AF298&gt;$V$6*1.1,"error","aceptable"))</f><v /></c><c r="BA298" s="366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7"><f>SIGN(U298)</f><v /></c><c r="BE298" s="367"><f>SIGN(AG298)</f><v /></c><c r="BF298" s="367"><f>SIGN(AS298)</f><v /></c><c r="BG298" s="367"><f>CONCATENATE(BD298,BE298,BF298)</f><v /></c><c r="BH298" s="367"><f>IF(BG298="111","SI","SD")</f><v /></c><c r="BI298" s="367"><f>IF(BG298="-1-1-1","SI","SD")</f><v /></c><c r="BJ298" s="367"><f>OR(BH298="SI",BI298="SI")</f><v /></c><c r="BK298" s="367"><f>IF(BJ298=FALSE,"SIGDIFERENTES","SIGIGUALES")</f><v /></c><c r="BL298" s="366"><f>IF(BC298="NO CONFORME","NO CONFORME",IF(BB298="CONFORME","CONFORME","NO CONFORME"))</f><v /></c></row><row r="299" ht="15" customHeight="1" thickBot="1"><c r="A299" s="351" t="n"><v>291</v></c><c r="B299" s="369"><f>B298</f><v /></c><c r="C299" s="369"><f>C298</f><v /></c><c r="D299" s="370"><f>D298</f><v /></c><c r="E299" s="371"><f>E298</f><v /></c><c r="F299" s="13" t="n" /><c r="G299" s="355" t="inlineStr"><is><t>PA25517171</t></is></c><c r="H299" s="313"><f>H298</f><v /></c><c r="I299" s="38"><f>I298</f><v /></c><c r="J299" s="314"><f>J298</f><v /></c><c r="K299" s="372"><f>K298</f><v /></c><c r="L299" s="372"><f>L298</f><v /></c><c r="M299" s="373" t="n"><v>106.55</v></c><c r="N299" s="373" t="n"><v>206.51</v></c><c r="O299" s="374"><f>O298</f><v /></c><c r="P299" s="375"><f>P298</f><v /></c><c r="Q299" s="376"><f>LEFT(P299,1)</f><v /></c><c r="R299" s="376"><f>RIGHT(P299,6)</f><v /></c><c r="S299" s="376"><f>+(Q299*60+R299)/(60*60)</f><v /></c><c r="T299" s="377"><f>+O299/S299</f><v /></c><c r="U299" s="378"><f>+(((N299-M299-O299)/O299)*100)</f><v /></c><c r="V299" s="317"><f>V298</f><v /></c><c r="W299" s="379"><f>W298</f><v /></c><c r="X299" s="379"><f>X298</f><v /></c><c r="Y299" s="373" t="n"><v>214.35</v></c><c r="Z299" s="373" t="n"><v>224.33</v></c><c r="AA299" s="380"><f>AA298</f><v /></c><c r="AB299" s="381"><f>AB298</f><v /></c><c r="AC299" s="376"><f>LEFT(AB299,2)</f><v /></c><c r="AD299" s="376"><f>RIGHT(AB299,6)</f><v /></c><c r="AE299" s="376"><f>+(AC299*60+AD299)/(60*60)</f><v /></c><c r="AF299" s="377"><f>+AA299/AE299</f><v /></c><c r="AG299" s="321"><f>+(((Z299-Y299-AA299)/AA299)*100)</f><v /></c><c r="AH299" s="317"><f>AH298</f><v /></c><c r="AI299" s="379"><f>AI298</f><v /></c><c r="AJ299" s="379"><f>AJ298</f><v /></c><c r="AK299" s="373"><f>Z299</f><v /></c><c r="AL299" s="373" t="n"><v>229.35</v></c><c r="AM299" s="382"><f>AM298</f><v /></c><c r="AN299" s="375"><f>AN298</f><v /></c><c r="AO299" s="376"><f>LEFT(AN299,2)</f><v /></c><c r="AP299" s="376"><f>RIGHT(AN299,6)</f><v /></c><c r="AQ299" s="376"><f>+(AO299*60+AP299)/(60*60)</f><v /></c><c r="AR299" s="377"><f>+AM299/AQ299</f><v /></c><c r="AS299" s="321"><f>+(((AL299-AK299-AM299)/AM299)*100)</f><v /></c><c r="AT299" s="383"><f>IF(I299&gt;=1,"NO CONFORME",IF(BK299="SIGDIFERENTES",BC299,BL299))</f><v /></c><c r="AU299" s="365"><f>B299=C299</f><v /></c><c r="AV299" s="365"><f>N299&lt;Y299</f><v /></c><c r="AW299" s="365"><f>Z299&lt;=AK299</f><v /></c><c r="AX299" s="365"><f>IF(I299&gt;=1,"Qcorrecto",IF(AND(AY299="aceptable",AZ299="aceptable",BA299="aceptable"),"Qcorrecto","Qincorrecto"))</f><v /></c><c r="AY299" s="366"><f>IF(AR299&lt;$AH$6,"error",IF(AR299&gt;$AH$6*1.1,"error","aceptable"))</f><v /></c><c r="AZ299" s="366"><f>IF(AF299&lt;$V$6,"error",IF(AF299&gt;$V$6*1.1,"error","aceptable"))</f><v /></c><c r="BA299" s="366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7"><f>SIGN(U299)</f><v /></c><c r="BE299" s="367"><f>SIGN(AG299)</f><v /></c><c r="BF299" s="367"><f>SIGN(AS299)</f><v /></c><c r="BG299" s="367"><f>CONCATENATE(BD299,BE299,BF299)</f><v /></c><c r="BH299" s="367"><f>IF(BG299="111","SI","SD")</f><v /></c><c r="BI299" s="367"><f>IF(BG299="-1-1-1","SI","SD")</f><v /></c><c r="BJ299" s="367"><f>OR(BH299="SI",BI299="SI")</f><v /></c><c r="BK299" s="367"><f>IF(BJ299=FALSE,"SIGDIFERENTES","SIGIGUALES")</f><v /></c><c r="BL299" s="366"><f>IF(BC299="NO CONFORME","NO CONFORME",IF(BB299="CONFORME","CONFORME","NO CONFORME"))</f><v /></c></row><row r="300" ht="15" customHeight="1" thickBot="1"><c r="A300" s="351" t="n"><v>292</v></c><c r="B300" s="369"><f>B299</f><v /></c><c r="C300" s="369"><f>C299</f><v /></c><c r="D300" s="370"><f>D299</f><v /></c><c r="E300" s="371"><f>E299</f><v /></c><c r="F300" s="13" t="n" /><c r="G300" s="355" t="inlineStr"><is><t>PA25517172</t></is></c><c r="H300" s="313"><f>H299</f><v /></c><c r="I300" s="38"><f>I299</f><v /></c><c r="J300" s="314"><f>J299</f><v /></c><c r="K300" s="372"><f>K299</f><v /></c><c r="L300" s="372"><f>L299</f><v /></c><c r="M300" s="373" t="n"><v>108.16</v></c><c r="N300" s="373" t="n"><v>208.05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379"><f>W299</f><v /></c><c r="X300" s="379"><f>X299</f><v /></c><c r="Y300" s="373" t="n"><v>215.95</v></c><c r="Z300" s="373" t="n"><v>225.9</v></c><c r="AA300" s="380"><f>AA299</f><v /></c><c r="AB300" s="381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379"><f>AI299</f><v /></c><c r="AJ300" s="379"><f>AJ299</f><v /></c><c r="AK300" s="373"><f>Z300</f><v /></c><c r="AL300" s="373" t="n"><v>230.95</v></c><c r="AM300" s="382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3"><f>IF(I300&gt;=1,"NO CONFORME",IF(BK300="SIGDIFERENTES",BC300,BL300))</f><v /></c><c r="AU300" s="365"><f>B300=C300</f><v /></c><c r="AV300" s="365"><f>N300&lt;Y300</f><v /></c><c r="AW300" s="365"><f>Z300&lt;=AK300</f><v /></c><c r="AX300" s="365"><f>IF(I300&gt;=1,"Qcorrecto",IF(AND(AY300="aceptable",AZ300="aceptable",BA300="aceptable"),"Qcorrecto","Qincorrecto"))</f><v /></c><c r="AY300" s="366"><f>IF(AR300&lt;$AH$6,"error",IF(AR300&gt;$AH$6*1.1,"error","aceptable"))</f><v /></c><c r="AZ300" s="366"><f>IF(AF300&lt;$V$6,"error",IF(AF300&gt;$V$6*1.1,"error","aceptable"))</f><v /></c><c r="BA300" s="366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7"><f>SIGN(U300)</f><v /></c><c r="BE300" s="367"><f>SIGN(AG300)</f><v /></c><c r="BF300" s="367"><f>SIGN(AS300)</f><v /></c><c r="BG300" s="367"><f>CONCATENATE(BD300,BE300,BF300)</f><v /></c><c r="BH300" s="367"><f>IF(BG300="111","SI","SD")</f><v /></c><c r="BI300" s="367"><f>IF(BG300="-1-1-1","SI","SD")</f><v /></c><c r="BJ300" s="367"><f>OR(BH300="SI",BI300="SI")</f><v /></c><c r="BK300" s="367"><f>IF(BJ300=FALSE,"SIGDIFERENTES","SIGIGUALES")</f><v /></c><c r="BL300" s="366"><f>IF(BC300="NO CONFORME","NO CONFORME",IF(BB300="CONFORME","CONFORME","NO CONFORME"))</f><v /></c></row><row r="301" ht="15" customHeight="1" thickBot="1"><c r="A301" s="351" t="n"><v>293</v></c><c r="B301" s="369"><f>B300</f><v /></c><c r="C301" s="369"><f>C300</f><v /></c><c r="D301" s="370"><f>D300</f><v /></c><c r="E301" s="371"><f>E300</f><v /></c><c r="F301" s="13" t="n" /><c r="G301" s="355" t="inlineStr"><is><t>PA25517173</t></is></c><c r="H301" s="313"><f>H300</f><v /></c><c r="I301" s="38"><f>I300</f><v /></c><c r="J301" s="314"><f>J300</f><v /></c><c r="K301" s="372"><f>K300</f><v /></c><c r="L301" s="372"><f>L300</f><v /></c><c r="M301" s="373" t="n"><v>105.9</v></c><c r="N301" s="373" t="n"><v>205.72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379"><f>W300</f><v /></c><c r="X301" s="379"><f>X300</f><v /></c><c r="Y301" s="373" t="n"><v>213.56</v></c><c r="Z301" s="373" t="n"><v>223.55</v></c><c r="AA301" s="380"><f>AA300</f><v /></c><c r="AB301" s="381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379"><f>AI300</f><v /></c><c r="AJ301" s="379"><f>AJ300</f><v /></c><c r="AK301" s="373"><f>Z301</f><v /></c><c r="AL301" s="373" t="n"><v>228.58</v></c><c r="AM301" s="382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3"><f>IF(I301&gt;=1,"NO CONFORME",IF(BK301="SIGDIFERENTES",BC301,BL301))</f><v /></c><c r="AU301" s="365"><f>B301=C301</f><v /></c><c r="AV301" s="365"><f>N301&lt;Y301</f><v /></c><c r="AW301" s="365"><f>Z301&lt;=AK301</f><v /></c><c r="AX301" s="365"><f>IF(I301&gt;=1,"Qcorrecto",IF(AND(AY301="aceptable",AZ301="aceptable",BA301="aceptable"),"Qcorrecto","Qincorrecto"))</f><v /></c><c r="AY301" s="366"><f>IF(AR301&lt;$AH$6,"error",IF(AR301&gt;$AH$6*1.1,"error","aceptable"))</f><v /></c><c r="AZ301" s="366"><f>IF(AF301&lt;$V$6,"error",IF(AF301&gt;$V$6*1.1,"error","aceptable"))</f><v /></c><c r="BA301" s="366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7"><f>SIGN(U301)</f><v /></c><c r="BE301" s="367"><f>SIGN(AG301)</f><v /></c><c r="BF301" s="367"><f>SIGN(AS301)</f><v /></c><c r="BG301" s="367"><f>CONCATENATE(BD301,BE301,BF301)</f><v /></c><c r="BH301" s="367"><f>IF(BG301="111","SI","SD")</f><v /></c><c r="BI301" s="367"><f>IF(BG301="-1-1-1","SI","SD")</f><v /></c><c r="BJ301" s="367"><f>OR(BH301="SI",BI301="SI")</f><v /></c><c r="BK301" s="367"><f>IF(BJ301=FALSE,"SIGDIFERENTES","SIGIGUALES")</f><v /></c><c r="BL301" s="366"><f>IF(BC301="NO CONFORME","NO CONFORME",IF(BB301="CONFORME","CONFORME","NO CONFORME"))</f><v /></c></row><row r="302" ht="15" customHeight="1" thickBot="1"><c r="A302" s="351" t="n"><v>294</v></c><c r="B302" s="369"><f>B301</f><v /></c><c r="C302" s="369"><f>C301</f><v /></c><c r="D302" s="370"><f>D301</f><v /></c><c r="E302" s="371"><f>E301</f><v /></c><c r="F302" s="13" t="n" /><c r="G302" s="355" t="inlineStr"><is><t>PA25517174</t></is></c><c r="H302" s="313"><f>H301</f><v /></c><c r="I302" s="38"><f>I301</f><v /></c><c r="J302" s="314"><f>J301</f><v /></c><c r="K302" s="372"><f>K301</f><v /></c><c r="L302" s="372"><f>L301</f><v /></c><c r="M302" s="373" t="n"><v>105.95</v></c><c r="N302" s="373" t="n"><v>206.05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379"><f>W301</f><v /></c><c r="X302" s="379"><f>X301</f><v /></c><c r="Y302" s="373" t="n"><v>213.93</v></c><c r="Z302" s="373" t="n"><v>223.89</v></c><c r="AA302" s="380"><f>AA301</f><v /></c><c r="AB302" s="381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379"><f>AI301</f><v /></c><c r="AJ302" s="379"><f>AJ301</f><v /></c><c r="AK302" s="373"><f>Z302</f><v /></c><c r="AL302" s="373" t="n"><v>228.9</v></c><c r="AM302" s="382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3"><f>IF(I302&gt;=1,"NO CONFORME",IF(BK302="SIGDIFERENTES",BC302,BL302))</f><v /></c><c r="AU302" s="365"><f>B302=C302</f><v /></c><c r="AV302" s="365"><f>N302&lt;Y302</f><v /></c><c r="AW302" s="365"><f>Z302&lt;=AK302</f><v /></c><c r="AX302" s="365"><f>IF(I302&gt;=1,"Qcorrecto",IF(AND(AY302="aceptable",AZ302="aceptable",BA302="aceptable"),"Qcorrecto","Qincorrecto"))</f><v /></c><c r="AY302" s="366"><f>IF(AR302&lt;$AH$6,"error",IF(AR302&gt;$AH$6*1.1,"error","aceptable"))</f><v /></c><c r="AZ302" s="366"><f>IF(AF302&lt;$V$6,"error",IF(AF302&gt;$V$6*1.1,"error","aceptable"))</f><v /></c><c r="BA302" s="366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7"><f>SIGN(U302)</f><v /></c><c r="BE302" s="367"><f>SIGN(AG302)</f><v /></c><c r="BF302" s="367"><f>SIGN(AS302)</f><v /></c><c r="BG302" s="367"><f>CONCATENATE(BD302,BE302,BF302)</f><v /></c><c r="BH302" s="367"><f>IF(BG302="111","SI","SD")</f><v /></c><c r="BI302" s="367"><f>IF(BG302="-1-1-1","SI","SD")</f><v /></c><c r="BJ302" s="367"><f>OR(BH302="SI",BI302="SI")</f><v /></c><c r="BK302" s="367"><f>IF(BJ302=FALSE,"SIGDIFERENTES","SIGIGUALES")</f><v /></c><c r="BL302" s="366"><f>IF(BC302="NO CONFORME","NO CONFORME",IF(BB302="CONFORME","CONFORME","NO CONFORME"))</f><v /></c></row><row r="303" ht="15" customHeight="1" thickBot="1"><c r="A303" s="351" t="n"><v>295</v></c><c r="B303" s="369"><f>B302</f><v /></c><c r="C303" s="369"><f>C302</f><v /></c><c r="D303" s="370"><f>D302</f><v /></c><c r="E303" s="371"><f>E302</f><v /></c><c r="F303" s="13" t="n" /><c r="G303" s="355" t="inlineStr"><is><t>PA25517175</t></is></c><c r="H303" s="313"><f>H302</f><v /></c><c r="I303" s="38"><f>I302</f><v /></c><c r="J303" s="314"><f>J302</f><v /></c><c r="K303" s="372"><f>K302</f><v /></c><c r="L303" s="372"><f>L302</f><v /></c><c r="M303" s="373" t="n"><v>106.7</v></c><c r="N303" s="373" t="n"><v>206.71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379"><f>W302</f><v /></c><c r="X303" s="379"><f>X302</f><v /></c><c r="Y303" s="373" t="n"><v>214.6</v></c><c r="Z303" s="373" t="n"><v>224.56</v></c><c r="AA303" s="380"><f>AA302</f><v /></c><c r="AB303" s="381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379"><f>AI302</f><v /></c><c r="AJ303" s="379"><f>AJ302</f><v /></c><c r="AK303" s="373"><f>Z303</f><v /></c><c r="AL303" s="373" t="n"><v>229.6</v></c><c r="AM303" s="382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3"><f>IF(I303&gt;=1,"NO CONFORME",IF(BK303="SIGDIFERENTES",BC303,BL303))</f><v /></c><c r="AU303" s="365"><f>B303=C303</f><v /></c><c r="AV303" s="365"><f>N303&lt;Y303</f><v /></c><c r="AW303" s="365"><f>Z303&lt;=AK303</f><v /></c><c r="AX303" s="365"><f>IF(I303&gt;=1,"Qcorrecto",IF(AND(AY303="aceptable",AZ303="aceptable",BA303="aceptable"),"Qcorrecto","Qincorrecto"))</f><v /></c><c r="AY303" s="366"><f>IF(AR303&lt;$AH$6,"error",IF(AR303&gt;$AH$6*1.1,"error","aceptable"))</f><v /></c><c r="AZ303" s="366"><f>IF(AF303&lt;$V$6,"error",IF(AF303&gt;$V$6*1.1,"error","aceptable"))</f><v /></c><c r="BA303" s="366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7"><f>SIGN(U303)</f><v /></c><c r="BE303" s="367"><f>SIGN(AG303)</f><v /></c><c r="BF303" s="367"><f>SIGN(AS303)</f><v /></c><c r="BG303" s="367"><f>CONCATENATE(BD303,BE303,BF303)</f><v /></c><c r="BH303" s="367"><f>IF(BG303="111","SI","SD")</f><v /></c><c r="BI303" s="367"><f>IF(BG303="-1-1-1","SI","SD")</f><v /></c><c r="BJ303" s="367"><f>OR(BH303="SI",BI303="SI")</f><v /></c><c r="BK303" s="367"><f>IF(BJ303=FALSE,"SIGDIFERENTES","SIGIGUALES")</f><v /></c><c r="BL303" s="366"><f>IF(BC303="NO CONFORME","NO CONFORME",IF(BB303="CONFORME","CONFORME","NO CONFORME"))</f><v /></c></row><row r="304" ht="15" customHeight="1" thickBot="1"><c r="A304" s="351" t="n"><v>296</v></c><c r="B304" s="369"><f>B303</f><v /></c><c r="C304" s="369"><f>C303</f><v /></c><c r="D304" s="370"><f>D303</f><v /></c><c r="E304" s="371"><f>E303</f><v /></c><c r="F304" s="13" t="n" /><c r="G304" s="355" t="inlineStr"><is><t>PA25517176</t></is></c><c r="H304" s="313"><f>H303</f><v /></c><c r="I304" s="38"><f>I303</f><v /></c><c r="J304" s="314"><f>J303</f><v /></c><c r="K304" s="372"><f>K303</f><v /></c><c r="L304" s="372"><f>L303</f><v /></c><c r="M304" s="373" t="n"><v>107.64</v></c><c r="N304" s="373" t="n"><v>207.75</v></c><c r="O304" s="374"><f>O303</f><v /></c><c r="P304" s="375"><f>P303</f><v /></c><c r="Q304" s="376"><f>LEFT(P304,1)</f><v /></c><c r="R304" s="376"><f>RIGHT(P304,6)</f><v /></c><c r="S304" s="376"><f>+(Q304*60+R304)/(60*60)</f><v /></c><c r="T304" s="377"><f>+O304/S304</f><v /></c><c r="U304" s="378"><f>+(((N304-M304-O304)/O304)*100)</f><v /></c><c r="V304" s="317"><f>V303</f><v /></c><c r="W304" s="379"><f>W303</f><v /></c><c r="X304" s="379"><f>X303</f><v /></c><c r="Y304" s="373" t="n"><v>215.62</v></c><c r="Z304" s="373" t="n"><v>225.56</v></c><c r="AA304" s="380"><f>AA303</f><v /></c><c r="AB304" s="381"><f>AB303</f><v /></c><c r="AC304" s="376"><f>LEFT(AB304,2)</f><v /></c><c r="AD304" s="376"><f>RIGHT(AB304,6)</f><v /></c><c r="AE304" s="376"><f>+(AC304*60+AD304)/(60*60)</f><v /></c><c r="AF304" s="377"><f>+AA304/AE304</f><v /></c><c r="AG304" s="321"><f>+(((Z304-Y304-AA304)/AA304)*100)</f><v /></c><c r="AH304" s="317"><f>AH303</f><v /></c><c r="AI304" s="379"><f>AI303</f><v /></c><c r="AJ304" s="379"><f>AJ303</f><v /></c><c r="AK304" s="373"><f>Z304</f><v /></c><c r="AL304" s="373" t="n"><v>230.48</v></c><c r="AM304" s="382"><f>AM303</f><v /></c><c r="AN304" s="375"><f>AN303</f><v /></c><c r="AO304" s="376"><f>LEFT(AN304,2)</f><v /></c><c r="AP304" s="376"><f>RIGHT(AN304,6)</f><v /></c><c r="AQ304" s="376"><f>+(AO304*60+AP304)/(60*60)</f><v /></c><c r="AR304" s="377"><f>+AM304/AQ304</f><v /></c><c r="AS304" s="321"><f>+(((AL304-AK304-AM304)/AM304)*100)</f><v /></c><c r="AT304" s="383"><f>IF(I304&gt;=1,"NO CONFORME",IF(BK304="SIGDIFERENTES",BC304,BL304))</f><v /></c><c r="AU304" s="384"><f>B304=C304</f><v /></c><c r="AV304" s="384"><f>N304&lt;Y304</f><v /></c><c r="AW304" s="384"><f>Z304&lt;=AK304</f><v /></c><c r="AX304" s="384"><f>IF(I304&gt;=1,"Qcorrecto",IF(AND(AY304="aceptable",AZ304="aceptable",BA304="aceptable"),"Qcorrecto","Qincorrecto"))</f><v /></c><c r="AY304" s="366"><f>IF(AR304&lt;$AH$6,"error",IF(AR304&gt;$AH$6*1.1,"error","aceptable"))</f><v /></c><c r="AZ304" s="366"><f>IF(AF304&lt;$V$6,"error",IF(AF304&gt;$V$6*1.1,"error","aceptable"))</f><v /></c><c r="BA304" s="366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85"><f>SIGN(U304)</f><v /></c><c r="BE304" s="385"><f>SIGN(AG304)</f><v /></c><c r="BF304" s="385"><f>SIGN(AS304)</f><v /></c><c r="BG304" s="385"><f>CONCATENATE(BD304,BE304,BF304)</f><v /></c><c r="BH304" s="385"><f>IF(BG304="111","SI","SD")</f><v /></c><c r="BI304" s="385"><f>IF(BG304="-1-1-1","SI","SD")</f><v /></c><c r="BJ304" s="385"><f>OR(BH304="SI",BI304="SI")</f><v /></c><c r="BK304" s="385"><f>IF(BJ304=FALSE,"SIGDIFERENTES","SIGIGUALES")</f><v /></c><c r="BL304" s="366"><f>IF(BC304="NO CONFORME","NO CONFORME",IF(BB304="CONFORME","CONFORME","NO CONFORME"))</f><v /></c></row><row r="305" ht="15" customHeight="1" thickBot="1"><c r="A305" s="351" t="n"><v>297</v></c><c r="B305" s="386"><f>B304</f><v /></c><c r="C305" s="386"><f>C304</f><v /></c><c r="D305" s="387"><f>D304</f><v /></c><c r="E305" s="475"><f>E304</f><v /></c><c r="F305" s="58" t="n" /><c r="G305" s="355" t="inlineStr"><is><t>PA25517177</t></is></c><c r="H305" s="388"><f>H304</f><v /></c><c r="I305" s="232"><f>I304</f><v /></c><c r="J305" s="389"><f>J304</f><v /></c><c r="K305" s="390"><f>K304</f><v /></c><c r="L305" s="390"><f>L304</f><v /></c><c r="M305" s="356" t="n"><v>109</v></c><c r="N305" s="356" t="n"><v>209.36</v></c><c r="O305" s="391"><f>O304</f><v /></c><c r="P305" s="392"><f>P304</f><v /></c><c r="Q305" s="359"><f>LEFT(P305,1)</f><v /></c><c r="R305" s="359"><f>RIGHT(P305,6)</f><v /></c><c r="S305" s="359"><f>+(Q305*60+R305)/(60*60)</f><v /></c><c r="T305" s="360"><f>+O305/S305</f><v /></c><c r="U305" s="361"><f>+(((N305-M305-O305)/O305)*100)</f><v /></c><c r="V305" s="393"><f>V304</f><v /></c><c r="W305" s="394"><f>W304</f><v /></c><c r="X305" s="394"><f>X304</f><v /></c><c r="Y305" s="356" t="n"><v>217.26</v></c><c r="Z305" s="356" t="n"><v>227.25</v></c><c r="AA305" s="395"><f>AA304</f><v /></c><c r="AB305" s="396"><f>AB304</f><v /></c><c r="AC305" s="359"><f>LEFT(AB305,2)</f><v /></c><c r="AD305" s="359"><f>RIGHT(AB305,6)</f><v /></c><c r="AE305" s="359"><f>+(AC305*60+AD305)/(60*60)</f><v /></c><c r="AF305" s="360"><f>+AA305/AE305</f><v /></c><c r="AG305" s="362"><f>+(((Z305-Y305-AA305)/AA305)*100)</f><v /></c><c r="AH305" s="393"><f>AH304</f><v /></c><c r="AI305" s="394"><f>AI304</f><v /></c><c r="AJ305" s="394"><f>AJ304</f><v /></c><c r="AK305" s="356"><f>Z305</f><v /></c><c r="AL305" s="356" t="n"><v>232.3</v></c><c r="AM305" s="397"><f>AM304</f><v /></c><c r="AN305" s="392"><f>AN304</f><v /></c><c r="AO305" s="359"><f>LEFT(AN305,2)</f><v /></c><c r="AP305" s="359"><f>RIGHT(AN305,6)</f><v /></c><c r="AQ305" s="359"><f>+(AO305*60+AP305)/(60*60)</f><v /></c><c r="AR305" s="360"><f>+AM305/AQ305</f><v /></c><c r="AS305" s="362"><f>+(((AL305-AK305-AM305)/AM305)*100)</f><v /></c><c r="AT305" s="364"><f>IF(I305&gt;=1,"NO CONFORME",IF(BK305="SIGDIFERENTES",BC305,BL305))</f><v /></c><c r="AU305" s="365"><f>B305=C305</f><v /></c><c r="AV305" s="365"><f>N305&lt;Y305</f><v /></c><c r="AW305" s="365"><f>Z305&lt;=AK305</f><v /></c><c r="AX305" s="365"><f>IF(I305&gt;=1,"Qcorrecto",IF(AND(AY305="aceptable",AZ305="aceptable",BA305="aceptable"),"Qcorrecto","Qincorrecto"))</f><v /></c><c r="AY305" s="368"><f>IF(AR305&lt;$AH$6,"error",IF(AR305&gt;$AH$6*1.1,"error","aceptable"))</f><v /></c><c r="AZ305" s="368"><f>IF(AF305&lt;$V$6,"error",IF(AF305&gt;$V$6*1.1,"error","aceptable"))</f><v /></c><c r="BA305" s="368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7"><f>SIGN(U305)</f><v /></c><c r="BE305" s="367"><f>SIGN(AG305)</f><v /></c><c r="BF305" s="367"><f>SIGN(AS305)</f><v /></c><c r="BG305" s="367"><f>CONCATENATE(BD305,BE305,BF305)</f><v /></c><c r="BH305" s="367"><f>IF(BG305="111","SI","SD")</f><v /></c><c r="BI305" s="367"><f>IF(BG305="-1-1-1","SI","SD")</f><v /></c><c r="BJ305" s="367"><f>OR(BH305="SI",BI305="SI")</f><v /></c><c r="BK305" s="367"><f>IF(BJ305=FALSE,"SIGDIFERENTES","SIGIGUALES")</f><v /></c><c r="BL305" s="368"><f>IF(BC305="NO CONFORME","NO CONFORME",IF(BB305="CONFORME","CONFORME","NO CONFORME"))</f><v /></c></row><row r="306" ht="15" customHeight="1" thickBot="1"><c r="A306" s="351" t="n"><v>298</v></c><c r="B306" s="369"><f>B305</f><v /></c><c r="C306" s="369"><f>C305</f><v /></c><c r="D306" s="370"><f>D305</f><v /></c><c r="E306" s="371"><f>E305</f><v /></c><c r="F306" s="13" t="n" /><c r="G306" s="355" t="inlineStr"><is><t>PA25517178</t></is></c><c r="H306" s="313"><f>H305</f><v /></c><c r="I306" s="38"><f>I305</f><v /></c><c r="J306" s="314"><f>J305</f><v /></c><c r="K306" s="372"><f>K305</f><v /></c><c r="L306" s="372"><f>L305</f><v /></c><c r="M306" s="373" t="n"><v>108.96</v></c><c r="N306" s="373" t="n"><v>209.15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379"><f>W305</f><v /></c><c r="X306" s="379"><f>X305</f><v /></c><c r="Y306" s="373" t="n"><v>217.05</v></c><c r="Z306" s="373" t="n"><v>227.06</v></c><c r="AA306" s="380"><f>AA305</f><v /></c><c r="AB306" s="381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379"><f>AI305</f><v /></c><c r="AJ306" s="379"><f>AJ305</f><v /></c><c r="AK306" s="373"><f>Z306</f><v /></c><c r="AL306" s="373" t="n"><v>232.12</v></c><c r="AM306" s="382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3"><f>IF(I306&gt;=1,"NO CONFORME",IF(BK306="SIGDIFERENTES",BC306,BL306))</f><v /></c><c r="AU306" s="365"><f>B306=C306</f><v /></c><c r="AV306" s="365"><f>N306&lt;Y306</f><v /></c><c r="AW306" s="365"><f>Z306&lt;=AK306</f><v /></c><c r="AX306" s="365"><f>IF(I306&gt;=1,"Qcorrecto",IF(AND(AY306="aceptable",AZ306="aceptable",BA306="aceptable"),"Qcorrecto","Qincorrecto"))</f><v /></c><c r="AY306" s="366"><f>IF(AR306&lt;$AH$6,"error",IF(AR306&gt;$AH$6*1.1,"error","aceptable"))</f><v /></c><c r="AZ306" s="366"><f>IF(AF306&lt;$V$6,"error",IF(AF306&gt;$V$6*1.1,"error","aceptable"))</f><v /></c><c r="BA306" s="366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7"><f>SIGN(U306)</f><v /></c><c r="BE306" s="367"><f>SIGN(AG306)</f><v /></c><c r="BF306" s="367"><f>SIGN(AS306)</f><v /></c><c r="BG306" s="367"><f>CONCATENATE(BD306,BE306,BF306)</f><v /></c><c r="BH306" s="367"><f>IF(BG306="111","SI","SD")</f><v /></c><c r="BI306" s="367"><f>IF(BG306="-1-1-1","SI","SD")</f><v /></c><c r="BJ306" s="367"><f>OR(BH306="SI",BI306="SI")</f><v /></c><c r="BK306" s="367"><f>IF(BJ306=FALSE,"SIGDIFERENTES","SIGIGUALES")</f><v /></c><c r="BL306" s="366"><f>IF(BC306="NO CONFORME","NO CONFORME",IF(BB306="CONFORME","CONFORME","NO CONFORME"))</f><v /></c></row><row r="307" ht="15.75" customHeight="1" thickBot="1"><c r="A307" s="398" t="n"><v>299</v></c><c r="B307" s="399"><f>B306</f><v /></c><c r="C307" s="399"><f>C306</f><v /></c><c r="D307" s="400"><f>D306</f><v /></c><c r="E307" s="456"><f>E306</f><v /></c><c r="F307" s="56" t="n" /><c r="G307" s="355" t="inlineStr"><is><t>PA25517179</t></is></c><c r="H307" s="401"><f>H306</f><v /></c><c r="I307" s="402"><f>I306</f><v /></c><c r="J307" s="403"><f>J306</f><v /></c><c r="K307" s="404"><f>K306</f><v /></c><c r="L307" s="404"><f>L306</f><v /></c><c r="M307" s="405" t="n"><v>107.88</v></c><c r="N307" s="405" t="n"><v>207.66</v></c><c r="O307" s="406"><f>O306</f><v /></c><c r="P307" s="407"><f>P306</f><v /></c><c r="Q307" s="408"><f>LEFT(P307,1)</f><v /></c><c r="R307" s="408"><f>RIGHT(P307,6)</f><v /></c><c r="S307" s="408"><f>+(Q307*60+R307)/(60*60)</f><v /></c><c r="T307" s="409"><f>+O307/S307</f><v /></c><c r="U307" s="410"><f>+(((N307-M307-O307)/O307)*100)</f><v /></c><c r="V307" s="411"><f>V306</f><v /></c><c r="W307" s="412"><f>W306</f><v /></c><c r="X307" s="412"><f>X306</f><v /></c><c r="Y307" s="405" t="n"><v>215.54</v></c><c r="Z307" s="405" t="n"><v>225.54</v></c><c r="AA307" s="413"><f>AA306</f><v /></c><c r="AB307" s="414"><f>AB306</f><v /></c><c r="AC307" s="408"><f>LEFT(AB307,2)</f><v /></c><c r="AD307" s="408"><f>RIGHT(AB307,6)</f><v /></c><c r="AE307" s="408"><f>+(AC307*60+AD307)/(60*60)</f><v /></c><c r="AF307" s="409"><f>+AA307/AE307</f><v /></c><c r="AG307" s="415"><f>+(((Z307-Y307-AA307)/AA307)*100)</f><v /></c><c r="AH307" s="411"><f>AH306</f><v /></c><c r="AI307" s="412"><f>AI306</f><v /></c><c r="AJ307" s="412"><f>AJ306</f><v /></c><c r="AK307" s="405"><f>Z307</f><v /></c><c r="AL307" s="405" t="n"><v>230.55</v></c><c r="AM307" s="416"><f>AM306</f><v /></c><c r="AN307" s="407"><f>AN306</f><v /></c><c r="AO307" s="408"><f>LEFT(AN307,2)</f><v /></c><c r="AP307" s="408"><f>RIGHT(AN307,6)</f><v /></c><c r="AQ307" s="408"><f>+(AO307*60+AP307)/(60*60)</f><v /></c><c r="AR307" s="409"><f>+AM307/AQ307</f><v /></c><c r="AS307" s="415"><f>+(((AL307-AK307-AM307)/AM307)*100)</f><v /></c><c r="AT307" s="417"><f>IF(I307&gt;=1,"NO CONFORME",IF(BK307="SIGDIFERENTES",BC307,BL307))</f><v /></c><c r="AU307" s="365"><f>B307=C307</f><v /></c><c r="AV307" s="365"><f>N307&lt;Y307</f><v /></c><c r="AW307" s="365"><f>Z307&lt;=AK307</f><v /></c><c r="AX307" s="365"><f>IF(I307&gt;=1,"Qcorrecto",IF(AND(AY307="aceptable",AZ307="aceptable",BA307="aceptable"),"Qcorrecto","Qincorrecto"))</f><v /></c><c r="AY307" s="418"><f>IF(AR307&lt;$AH$6,"error",IF(AR307&gt;$AH$6*1.1,"error","aceptable"))</f><v /></c><c r="AZ307" s="418"><f>IF(AF307&lt;$V$6,"error",IF(AF307&gt;$V$6*1.1,"error","aceptable"))</f><v /></c><c r="BA307" s="418"><f>IF(T307&lt;$J$6*0.9,"error",IF(T307&gt;$J$6,"error","aceptable"))</f><v /></c><c r="BB307" s="419"><f>(IF(ABS(U307)&lt;1.05,"CONFORME",IF(ABS(AG307)&lt;1.05,"CONFORME",IF(ABS(AS307)&lt;2.55,"CONFORME","NO CONFORME"))))</f><v /></c><c r="BC307" s="420"><f>(IF(ABS(U307)&gt;2.05,"NO CONFORME",IF(ABS(AG307)&gt;2.05,"NO CONFORME",IF(ABS(AS307)&gt;5.05,"NO CONFORME","CONFORME"))))</f><v /></c><c r="BD307" s="367"><f>SIGN(U307)</f><v /></c><c r="BE307" s="367"><f>SIGN(AG307)</f><v /></c><c r="BF307" s="367"><f>SIGN(AS307)</f><v /></c><c r="BG307" s="367"><f>CONCATENATE(BD307,BE307,BF307)</f><v /></c><c r="BH307" s="367"><f>IF(BG307="111","SI","SD")</f><v /></c><c r="BI307" s="367"><f>IF(BG307="-1-1-1","SI","SD")</f><v /></c><c r="BJ307" s="367"><f>OR(BH307="SI",BI307="SI")</f><v /></c><c r="BK307" s="367"><f>IF(BJ307=FALSE,"SIGDIFERENTES","SIGIGUALES")</f><v /></c><c r="BL307" s="418"><f>IF(BC307="NO CONFORME","NO CONFORME",IF(BB307="CONFORME","CONFORME","NO CONFORME"))</f><v /></c></row><row r="308" ht="15" customHeight="1" thickBot="1"><c r="A308" s="474" t="n"><v>300</v></c><c r="B308" s="454"><f>B307</f><v /></c><c r="C308" s="454"><f>C307</f><v /></c><c r="D308" s="455"><f>D307</f><v /></c><c r="E308" s="474"><f>E307</f><v /></c><c r="F308" s="52" t="n" /><c r="G308" s="477" t="inlineStr"><is><t>PA25517180</t></is></c><c r="H308" s="326"><f>H307</f><v /></c><c r="I308" s="98"><f>I307</f><v /></c><c r="J308" s="327"><f>J307</f><v /></c><c r="K308" s="458"><f>K307</f><v /></c><c r="L308" s="458"><f>L307</f><v /></c><c r="M308" s="459" t="n"><v>108.3</v></c><c r="N308" s="459" t="n"><v>208.69</v></c><c r="O308" s="460"><f>O307</f><v /></c><c r="P308" s="461"><f>P307</f><v /></c><c r="Q308" s="462"><f>LEFT(P308,1)</f><v /></c><c r="R308" s="462"><f>RIGHT(P308,6)</f><v /></c><c r="S308" s="462"><f>+(Q308*60+R308)/(60*60)</f><v /></c><c r="T308" s="463"><f>+O308/S308</f><v /></c><c r="U308" s="464"><f>+(((N308-M308-O308)/O308)*100)</f><v /></c><c r="V308" s="329"><f>V307</f><v /></c><c r="W308" s="465"><f>W307</f><v /></c><c r="X308" s="465"><f>X307</f><v /></c><c r="Y308" s="459" t="n"><v>216.6</v></c><c r="Z308" s="459" t="n"><v>226.63</v></c><c r="AA308" s="466"><f>AA307</f><v /></c><c r="AB308" s="467"><f>AB307</f><v /></c><c r="AC308" s="462"><f>LEFT(AB308,2)</f><v /></c><c r="AD308" s="462"><f>RIGHT(AB308,6)</f><v /></c><c r="AE308" s="462"><f>+(AC308*60+AD308)/(60*60)</f><v /></c><c r="AF308" s="463"><f>+AA308/AE308</f><v /></c><c r="AG308" s="468"><f>+(((Z308-Y308-AA308)/AA308)*100)</f><v /></c><c r="AH308" s="329"><f>AH307</f><v /></c><c r="AI308" s="465"><f>AI307</f><v /></c><c r="AJ308" s="465"><f>AJ307</f><v /></c><c r="AK308" s="459"><f>Z308</f><v /></c><c r="AL308" s="459" t="n"><v>231.66</v></c><c r="AM308" s="469"><f>AM307</f><v /></c><c r="AN308" s="461"><f>AN307</f><v /></c><c r="AO308" s="462"><f>LEFT(AN308,2)</f><v /></c><c r="AP308" s="462"><f>RIGHT(AN308,6)</f><v /></c><c r="AQ308" s="462"><f>+(AO308*60+AP308)/(60*60)</f><v /></c><c r="AR308" s="463"><f>+AM308/AQ308</f><v /></c><c r="AS308" s="468"><f>+(((AL308-AK308-AM308)/AM308)*100)</f><v /></c><c r="AT308" s="470"><f>IF(I308&gt;=1,"NO CONFORME",IF(BK308="SIGDIFERENTES",BC308,BL308))</f><v /></c><c r="AU308" s="478"><f>B308=C308</f><v /></c><c r="AV308" s="478"><f>N308&lt;Y308</f><v /></c><c r="AW308" s="478"><f>Z308&lt;=AK308</f><v /></c><c r="AX308" s="478"><f>IF(I308&gt;=1,"Qcorrecto",IF(AND(AY308="aceptable",AZ308="aceptable",BA308="aceptable"),"Qcorrecto","Qincorrecto"))</f><v /></c><c r="AY308" s="427"><f>IF(AR308&lt;$AH$6,"error",IF(AR308&gt;$AH$6*1.1,"error","aceptable"))</f><v /></c><c r="AZ308" s="427"><f>IF(AF308&lt;$V$6,"error",IF(AF308&gt;$V$6*1.1,"error","aceptable"))</f><v /></c><c r="BA308" s="427"><f>IF(T308&lt;$J$6*0.9,"error",IF(T308&gt;$J$6,"error","aceptable"))</f><v /></c><c r="BB308" s="479"><f>(IF(ABS(U308)&lt;1.05,"CONFORME",IF(ABS(AG308)&lt;1.05,"CONFORME",IF(ABS(AS308)&lt;2.55,"CONFORME","NO CONFORME"))))</f><v /></c><c r="BC308" s="480"><f>(IF(ABS(U308)&gt;2.05,"NO CONFORME",IF(ABS(AG308)&gt;2.05,"NO CONFORME",IF(ABS(AS308)&gt;5.05,"NO CONFORME","CONFORME"))))</f><v /></c><c r="BD308" s="481"><f>SIGN(U308)</f><v /></c><c r="BE308" s="481"><f>SIGN(AG308)</f><v /></c><c r="BF308" s="481"><f>SIGN(AS308)</f><v /></c><c r="BG308" s="481"><f>CONCATENATE(BD308,BE308,BF308)</f><v /></c><c r="BH308" s="481"><f>IF(BG308="111","SI","SD")</f><v /></c><c r="BI308" s="481"><f>IF(BG308="-1-1-1","SI","SD")</f><v /></c><c r="BJ308" s="481"><f>OR(BH308="SI",BI308="SI")</f><v /></c><c r="BK308" s="481"><f>IF(BJ308=FALSE,"SIGDIFERENTES","SIGIGUALES")</f><v /></c><c r="BL308" s="427"><f>IF(BC308="NO CONFORME","NO CONFORME",IF(BB308="CONFORME","CONFORME","NO CONFORME"))</f><v /></c></row><row r="309" ht="15" customHeight="1" thickBot="1"><c r="A309" s="351" t="n"><v>301</v></c><c r="B309" s="386"><f>B308</f><v /></c><c r="C309" s="386"><f>C308</f><v /></c><c r="D309" s="387"><f>D308</f><v /></c><c r="E309" s="475"><f>E308</f><v /></c><c r="F309" s="58" t="n" /><c r="G309" s="355" t="inlineStr"><is><t>PA25516701</t></is></c><c r="H309" s="388" t="n"><v>25.6</v></c><c r="I309" s="232"><f>I308</f><v /></c><c r="J309" s="389" t="n"><v>22.4</v></c><c r="K309" s="390" t="n"><v>8.209</v></c><c r="L309" s="390" t="n"><v>0.588</v></c><c r="M309" s="356" t="n"><v>107.85</v></c><c r="N309" s="356" t="n"><v>207.88</v></c><c r="O309" s="391" t="n"><v>100.55</v></c><c r="P309" s="392" t="inlineStr"><is><t>2,32,330</t></is></c><c r="Q309" s="359"><f>LEFT(P309,1)</f><v /></c><c r="R309" s="359"><f>RIGHT(P309,6)</f><v /></c><c r="S309" s="359"><f>+(Q309*60+R309)/(60*60)</f><v /></c><c r="T309" s="360"><f>+O309/S309</f><v /></c><c r="U309" s="361"><f>+(((N309-M309-O309)/O309)*100)</f><v /></c><c r="V309" s="393" t="n"><v>21.4</v></c><c r="W309" s="394" t="n"><v>1.092</v></c><c r="X309" s="394" t="n"><v>1.084</v></c><c r="Y309" s="356" t="n"><v>215.8</v></c><c r="Z309" s="356" t="n"><v>225.85</v></c><c r="AA309" s="395" t="n"><v>10.025</v></c><c r="AB309" s="396" t="inlineStr"><is><t>22,23,380</t></is></c><c r="AC309" s="359"><f>LEFT(AB309,2)</f><v /></c><c r="AD309" s="359"><f>RIGHT(AB309,6)</f><v /></c><c r="AE309" s="359"><f>+(AC309*60+AD309)/(60*60)</f><v /></c><c r="AF309" s="360"><f>+AA309/AE309</f><v /></c><c r="AG309" s="362"><f>+(((Z309-Y309-AA309)/AA309)*100)</f><v /></c><c r="AH309" s="393" t="n"><v>21.1</v></c><c r="AI309" s="394" t="n"><v>1.076</v></c><c r="AJ309" s="394" t="n"><v>1.066</v></c><c r="AK309" s="356"><f>Z309</f><v /></c><c r="AL309" s="356" t="n"><v>230.9</v></c><c r="AM309" s="397" t="n"><v>5.01</v></c><c r="AN309" s="392" t="inlineStr"><is><t>18,28,500</t></is></c><c r="AO309" s="359"><f>LEFT(AN309,2)</f><v /></c><c r="AP309" s="359"><f>RIGHT(AN309,6)</f><v /></c><c r="AQ309" s="359"><f>+(AO309*60+AP309)/(60*60)</f><v /></c><c r="AR309" s="360"><f>+AM309/AQ309</f><v /></c><c r="AS309" s="362"><f>+(((AL309-AK309-AM309)/AM309)*100)</f><v /></c><c r="AT309" s="364"><f>IF(I309&gt;=1,"NO CONFORME",IF(BK309="SIGDIFERENTES",BC309,BL309))</f><v /></c><c r="AU309" s="365"><f>B309=C309</f><v /></c><c r="AV309" s="365"><f>N309&lt;Y309</f><v /></c><c r="AW309" s="365"><f>Z309&lt;=AK309</f><v /></c><c r="AX309" s="365"><f>IF(I309&gt;=1,"Qcorrecto",IF(AND(AY309="aceptable",AZ309="aceptable",BA309="aceptable"),"Qcorrecto","Qincorrecto"))</f><v /></c><c r="AY309" s="368"><f>IF(AR309&lt;$AH$6,"error",IF(AR309&gt;$AH$6*1.1,"error","aceptable"))</f><v /></c><c r="AZ309" s="368"><f>IF(AF309&lt;$V$6,"error",IF(AF309&gt;$V$6*1.1,"error","aceptable"))</f><v /></c><c r="BA309" s="368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7"><f>SIGN(U309)</f><v /></c><c r="BE309" s="367"><f>SIGN(AG309)</f><v /></c><c r="BF309" s="367"><f>SIGN(AS309)</f><v /></c><c r="BG309" s="367"><f>CONCATENATE(BD309,BE309,BF309)</f><v /></c><c r="BH309" s="367"><f>IF(BG309="111","SI","SD")</f><v /></c><c r="BI309" s="367"><f>IF(BG309="-1-1-1","SI","SD")</f><v /></c><c r="BJ309" s="367"><f>OR(BH309="SI",BI309="SI")</f><v /></c><c r="BK309" s="367"><f>IF(BJ309=FALSE,"SIGDIFERENTES","SIGIGUALES")</f><v /></c><c r="BL309" s="368"><f>IF(BC309="NO CONFORME","NO CONFORME",IF(BB309="CONFORME","CONFORME","NO CONFORME"))</f><v /></c></row><row r="310" ht="15.75" customHeight="1" thickBot="1"><c r="A310" s="351" t="n"><v>302</v></c><c r="B310" s="369"><f>B309</f><v /></c><c r="C310" s="369"><f>C309</f><v /></c><c r="D310" s="370"><f>D309</f><v /></c><c r="E310" s="371"><f>E309</f><v /></c><c r="F310" s="13" t="n" /><c r="G310" s="355" t="inlineStr"><is><t>PA25516702</t></is></c><c r="H310" s="313"><f>H309</f><v /></c><c r="I310" s="38"><f>I309</f><v /></c><c r="J310" s="314"><f>J309</f><v /></c><c r="K310" s="372"><f>K309</f><v /></c><c r="L310" s="372"><f>L309</f><v /></c><c r="M310" s="373" t="n"><v>105</v></c><c r="N310" s="373" t="n"><v>204.71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379"><f>W309</f><v /></c><c r="X310" s="379"><f>X309</f><v /></c><c r="Y310" s="373" t="n"><v>212.55</v></c><c r="Z310" s="373" t="n"><v>222.55</v></c><c r="AA310" s="380"><f>AA309</f><v /></c><c r="AB310" s="381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379"><f>AI309</f><v /></c><c r="AJ310" s="379"><f>AJ309</f><v /></c><c r="AK310" s="373"><f>Z310</f><v /></c><c r="AL310" s="373" t="n"><v>227.58</v></c><c r="AM310" s="382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3"><f>IF(I310&gt;=1,"NO CONFORME",IF(BK310="SIGDIFERENTES",BC310,BL310))</f><v /></c><c r="AU310" s="365"><f>B310=C310</f><v /></c><c r="AV310" s="365"><f>N310&lt;Y310</f><v /></c><c r="AW310" s="365"><f>Z310&lt;=AK310</f><v /></c><c r="AX310" s="365"><f>IF(I310&gt;=1,"Qcorrecto",IF(AND(AY310="aceptable",AZ310="aceptable",BA310="aceptable"),"Qcorrecto","Qincorrecto"))</f><v /></c><c r="AY310" s="366"><f>IF(AR310&lt;$AH$6,"error",IF(AR310&gt;$AH$6*1.1,"error","aceptable"))</f><v /></c><c r="AZ310" s="366"><f>IF(AF310&lt;$V$6,"error",IF(AF310&gt;$V$6*1.1,"error","aceptable"))</f><v /></c><c r="BA310" s="366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7"><f>SIGN(U310)</f><v /></c><c r="BE310" s="367"><f>SIGN(AG310)</f><v /></c><c r="BF310" s="367"><f>SIGN(AS310)</f><v /></c><c r="BG310" s="367"><f>CONCATENATE(BD310,BE310,BF310)</f><v /></c><c r="BH310" s="367"><f>IF(BG310="111","SI","SD")</f><v /></c><c r="BI310" s="367"><f>IF(BG310="-1-1-1","SI","SD")</f><v /></c><c r="BJ310" s="367"><f>OR(BH310="SI",BI310="SI")</f><v /></c><c r="BK310" s="367"><f>IF(BJ310=FALSE,"SIGDIFERENTES","SIGIGUALES")</f><v /></c><c r="BL310" s="366"><f>IF(BC310="NO CONFORME","NO CONFORME",IF(BB310="CONFORME","CONFORME","NO CONFORME"))</f><v /></c></row><row r="311" ht="15" customHeight="1" thickBot="1"><c r="A311" s="351" t="n"><v>303</v></c><c r="B311" s="369"><f>B310</f><v /></c><c r="C311" s="369"><f>C310</f><v /></c><c r="D311" s="370"><f>D310</f><v /></c><c r="E311" s="371"><f>E310</f><v /></c><c r="F311" s="13" t="n" /><c r="G311" s="355" t="inlineStr"><is><t>PA25516703</t></is></c><c r="H311" s="313"><f>H310</f><v /></c><c r="I311" s="38"><f>I310</f><v /></c><c r="J311" s="314"><f>J310</f><v /></c><c r="K311" s="372"><f>K310</f><v /></c><c r="L311" s="372"><f>L310</f><v /></c><c r="M311" s="373" t="n"><v>106.34</v></c><c r="N311" s="373" t="n"><v>205.84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379"><f>W310</f><v /></c><c r="X311" s="379"><f>X310</f><v /></c><c r="Y311" s="373" t="n"><v>213.74</v></c><c r="Z311" s="373" t="n"><v>223.75</v></c><c r="AA311" s="380"><f>AA310</f><v /></c><c r="AB311" s="381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379"><f>AI310</f><v /></c><c r="AJ311" s="379"><f>AJ310</f><v /></c><c r="AK311" s="373"><f>Z311</f><v /></c><c r="AL311" s="373" t="n"><v>228.82</v></c><c r="AM311" s="382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3"><f>IF(I311&gt;=1,"NO CONFORME",IF(BK311="SIGDIFERENTES",BC311,BL311))</f><v /></c><c r="AU311" s="365"><f>B311=C311</f><v /></c><c r="AV311" s="365"><f>N311&lt;Y311</f><v /></c><c r="AW311" s="365"><f>Z311&lt;=AK311</f><v /></c><c r="AX311" s="365"><f>IF(I311&gt;=1,"Qcorrecto",IF(AND(AY311="aceptable",AZ311="aceptable",BA311="aceptable"),"Qcorrecto","Qincorrecto"))</f><v /></c><c r="AY311" s="366"><f>IF(AR311&lt;$AH$6,"error",IF(AR311&gt;$AH$6*1.1,"error","aceptable"))</f><v /></c><c r="AZ311" s="366"><f>IF(AF311&lt;$V$6,"error",IF(AF311&gt;$V$6*1.1,"error","aceptable"))</f><v /></c><c r="BA311" s="366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7"><f>SIGN(U311)</f><v /></c><c r="BE311" s="367"><f>SIGN(AG311)</f><v /></c><c r="BF311" s="367"><f>SIGN(AS311)</f><v /></c><c r="BG311" s="367"><f>CONCATENATE(BD311,BE311,BF311)</f><v /></c><c r="BH311" s="367"><f>IF(BG311="111","SI","SD")</f><v /></c><c r="BI311" s="367"><f>IF(BG311="-1-1-1","SI","SD")</f><v /></c><c r="BJ311" s="367"><f>OR(BH311="SI",BI311="SI")</f><v /></c><c r="BK311" s="367"><f>IF(BJ311=FALSE,"SIGDIFERENTES","SIGIGUALES")</f><v /></c><c r="BL311" s="366"><f>IF(BC311="NO CONFORME","NO CONFORME",IF(BB311="CONFORME","CONFORME","NO CONFORME"))</f><v /></c></row><row r="312" ht="15" customHeight="1" thickBot="1"><c r="A312" s="453" t="n"><v>304</v></c><c r="B312" s="454"><f>B311</f><v /></c><c r="C312" s="454"><f>C311</f><v /></c><c r="D312" s="455"><f>D311</f><v /></c><c r="E312" s="474"><f>E311</f><v /></c><c r="F312" s="52" t="n" /><c r="G312" s="457" t="inlineStr"><is><t>PA25516704</t></is></c><c r="H312" s="326"><f>H311</f><v /></c><c r="I312" s="98"><f>I311</f><v /></c><c r="J312" s="327"><f>J311</f><v /></c><c r="K312" s="458"><f>K311</f><v /></c><c r="L312" s="458"><f>L311</f><v /></c><c r="M312" s="459" t="n"><v>106.29</v></c><c r="N312" s="459" t="n"><v>206.1</v></c><c r="O312" s="460"><f>O311</f><v /></c><c r="P312" s="461"><f>P311</f><v /></c><c r="Q312" s="462"><f>LEFT(P312,1)</f><v /></c><c r="R312" s="462"><f>RIGHT(P312,6)</f><v /></c><c r="S312" s="462"><f>+(Q312*60+R312)/(60*60)</f><v /></c><c r="T312" s="463"><f>+O312/S312</f><v /></c><c r="U312" s="464"><f>+(((N312-M312-O312)/O312)*100)</f><v /></c><c r="V312" s="329"><f>V311</f><v /></c><c r="W312" s="465"><f>W311</f><v /></c><c r="X312" s="465"><f>X311</f><v /></c><c r="Y312" s="459" t="n"><v>214</v></c><c r="Z312" s="459" t="n"><v>224.08</v></c><c r="AA312" s="466"><f>AA311</f><v /></c><c r="AB312" s="467"><f>AB311</f><v /></c><c r="AC312" s="462"><f>LEFT(AB312,2)</f><v /></c><c r="AD312" s="462"><f>RIGHT(AB312,6)</f><v /></c><c r="AE312" s="462"><f>+(AC312*60+AD312)/(60*60)</f><v /></c><c r="AF312" s="463"><f>+AA312/AE312</f><v /></c><c r="AG312" s="468"><f>+(((Z312-Y312-AA312)/AA312)*100)</f><v /></c><c r="AH312" s="329"><f>AH311</f><v /></c><c r="AI312" s="465"><f>AI311</f><v /></c><c r="AJ312" s="465"><f>AJ311</f><v /></c><c r="AK312" s="459"><f>Z312</f><v /></c><c r="AL312" s="459" t="n"><v>229.15</v></c><c r="AM312" s="469"><f>AM311</f><v /></c><c r="AN312" s="461"><f>AN311</f><v /></c><c r="AO312" s="462"><f>LEFT(AN312,2)</f><v /></c><c r="AP312" s="462"><f>RIGHT(AN312,6)</f><v /></c><c r="AQ312" s="462"><f>+(AO312*60+AP312)/(60*60)</f><v /></c><c r="AR312" s="463"><f>+AM312/AQ312</f><v /></c><c r="AS312" s="468"><f>+(((AL312-AK312-AM312)/AM312)*100)</f><v /></c><c r="AT312" s="470"><f>IF(I312&gt;=1,"NO CONFORME",IF(BK312="SIGDIFERENTES",BC312,BL312))</f><v /></c><c r="AU312" s="426"><f>B312=C312</f><v /></c><c r="AV312" s="426"><f>N312&lt;Y312</f><v /></c><c r="AW312" s="426"><f>Z312&lt;=AK312</f><v /></c><c r="AX312" s="426"><f>IF(I312&gt;=1,"Qcorrecto",IF(AND(AY312="aceptable",AZ312="aceptable",BA312="aceptable"),"Qcorrecto","Qincorrecto"))</f><v /></c><c r="AY312" s="427"><f>IF(AR312&lt;$AH$6,"error",IF(AR312&gt;$AH$6*1.1,"error","aceptable"))</f><v /></c><c r="AZ312" s="427"><f>IF(AF312&lt;$V$6,"error",IF(AF312&gt;$V$6*1.1,"error","aceptable"))</f><v /></c><c r="BA312" s="427"><f>IF(T312&lt;$J$6*0.9,"error",IF(T312&gt;$J$6,"error","aceptable"))</f><v /></c><c r="BB312" s="428"><f>(IF(ABS(U312)&lt;1.05,"CONFORME",IF(ABS(AG312)&lt;1.05,"CONFORME",IF(ABS(AS312)&lt;2.55,"CONFORME","NO CONFORME"))))</f><v /></c><c r="BC312" s="429"><f>(IF(ABS(U312)&gt;2.05,"NO CONFORME",IF(ABS(AG312)&gt;2.05,"NO CONFORME",IF(ABS(AS312)&gt;5.05,"NO CONFORME","CONFORME"))))</f><v /></c><c r="BD312" s="430"><f>SIGN(U312)</f><v /></c><c r="BE312" s="430"><f>SIGN(AG312)</f><v /></c><c r="BF312" s="430"><f>SIGN(AS312)</f><v /></c><c r="BG312" s="430"><f>CONCATENATE(BD312,BE312,BF312)</f><v /></c><c r="BH312" s="430"><f>IF(BG312="111","SI","SD")</f><v /></c><c r="BI312" s="430"><f>IF(BG312="-1-1-1","SI","SD")</f><v /></c><c r="BJ312" s="430"><f>OR(BH312="SI",BI312="SI")</f><v /></c><c r="BK312" s="430"><f>IF(BJ312=FALSE,"SIGDIFERENTES","SIGIGUALES")</f><v /></c><c r="BL312" s="427"><f>IF(BC312="NO CONFORME","NO CONFORME",IF(BB312="CONFORME","CONFORME","NO CONFORME"))</f><v /></c></row><row r="313" ht="15" customHeight="1" thickBot="1"><c r="A313" s="351" t="n"><v>305</v></c><c r="B313" s="386"><f>B312</f><v /></c><c r="C313" s="386"><f>C312</f><v /></c><c r="D313" s="387"><f>D312</f><v /></c><c r="E313" s="475"><f>E312</f><v /></c><c r="F313" s="58" t="n" /><c r="G313" s="355" t="inlineStr"><is><t>PA25516705</t></is></c><c r="H313" s="388"><f>H312</f><v /></c><c r="I313" s="232"><f>I312</f><v /></c><c r="J313" s="389" t="n"><v>21.1</v></c><c r="K313" s="390" t="n"><v>8.215</v></c><c r="L313" s="390" t="n"><v>0.618</v></c><c r="M313" s="356" t="n"><v>172.95</v></c><c r="N313" s="356" t="n"><v>272.85</v></c><c r="O313" s="391" t="n"><v>100.59</v></c><c r="P313" s="392" t="inlineStr"><is><t>2,32,840</t></is></c><c r="Q313" s="359"><f>LEFT(P313,1)</f><v /></c><c r="R313" s="359"><f>RIGHT(P313,6)</f><v /></c><c r="S313" s="359"><f>+(Q313*60+R313)/(60*60)</f><v /></c><c r="T313" s="360"><f>+O313/S313</f><v /></c><c r="U313" s="361"><f>+(((N313-M313-O313)/O313)*100)</f><v /></c><c r="V313" s="393" t="n"><v>21.3</v></c><c r="W313" s="394" t="n"><v>1.073</v></c><c r="X313" s="394" t="n"><v>1.062</v></c><c r="Y313" s="356" t="n"><v>278.4</v></c><c r="Z313" s="356" t="n"><v>288.36</v></c><c r="AA313" s="395" t="n"><v>10.001</v></c><c r="AB313" s="396" t="inlineStr"><is><t>22,22,750</t></is></c><c r="AC313" s="359"><f>LEFT(AB313,2)</f><v /></c><c r="AD313" s="359"><f>RIGHT(AB313,6)</f><v /></c><c r="AE313" s="359"><f>+(AC313*60+AD313)/(60*60)</f><v /></c><c r="AF313" s="360"><f>+AA313/AE313</f><v /></c><c r="AG313" s="362"><f>+(((Z313-Y313-AA313)/AA313)*100)</f><v /></c><c r="AH313" s="393" t="n"><v>21.3</v></c><c r="AI313" s="394" t="n"><v>1.073</v></c><c r="AJ313" s="394" t="n"><v>1.065</v></c><c r="AK313" s="356"><f>Z313</f><v /></c><c r="AL313" s="356" t="n"><v>293.31</v></c><c r="AM313" s="397" t="n"><v>5.005</v></c><c r="AN313" s="392" t="inlineStr"><is><t>18,27,050</t></is></c><c r="AO313" s="359"><f>LEFT(AN313,2)</f><v /></c><c r="AP313" s="359"><f>RIGHT(AN313,6)</f><v /></c><c r="AQ313" s="359"><f>+(AO313*60+AP313)/(60*60)</f><v /></c><c r="AR313" s="360"><f>+AM313/AQ313</f><v /></c><c r="AS313" s="362"><f>+(((AL313-AK313-AM313)/AM313)*100)</f><v /></c><c r="AT313" s="364"><f>IF(I313&gt;=1,"NO CONFORME",IF(BK313="SIGDIFERENTES",BC313,BL313))</f><v /></c><c r="AU313" s="365"><f>B313=C313</f><v /></c><c r="AV313" s="365"><f>N313&lt;Y313</f><v /></c><c r="AW313" s="365"><f>Z313&lt;=AK313</f><v /></c><c r="AX313" s="365"><f>IF(I313&gt;=1,"Qcorrecto",IF(AND(AY313="aceptable",AZ313="aceptable",BA313="aceptable"),"Qcorrecto","Qincorrecto"))</f><v /></c><c r="AY313" s="368"><f>IF(AR313&lt;$AH$6,"error",IF(AR313&gt;$AH$6*1.1,"error","aceptable"))</f><v /></c><c r="AZ313" s="368"><f>IF(AF313&lt;$V$6,"error",IF(AF313&gt;$V$6*1.1,"error","aceptable"))</f><v /></c><c r="BA313" s="368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7"><f>SIGN(U313)</f><v /></c><c r="BE313" s="367"><f>SIGN(AG313)</f><v /></c><c r="BF313" s="367"><f>SIGN(AS313)</f><v /></c><c r="BG313" s="367"><f>CONCATENATE(BD313,BE313,BF313)</f><v /></c><c r="BH313" s="367"><f>IF(BG313="111","SI","SD")</f><v /></c><c r="BI313" s="367"><f>IF(BG313="-1-1-1","SI","SD")</f><v /></c><c r="BJ313" s="367"><f>OR(BH313="SI",BI313="SI")</f><v /></c><c r="BK313" s="367"><f>IF(BJ313=FALSE,"SIGDIFERENTES","SIGIGUALES")</f><v /></c><c r="BL313" s="368"><f>IF(BC313="NO CONFORME","NO CONFORME",IF(BB313="CONFORME","CONFORME","NO CONFORME"))</f><v /></c></row><row r="314" ht="15" customHeight="1" thickBot="1"><c r="A314" s="351" t="n"><v>306</v></c><c r="B314" s="369"><f>B313</f><v /></c><c r="C314" s="369"><f>C313</f><v /></c><c r="D314" s="370"><f>D313</f><v /></c><c r="E314" s="371"><f>E313</f><v /></c><c r="F314" s="13" t="n" /><c r="G314" s="355" t="inlineStr"><is><t>PA25516706</t></is></c><c r="H314" s="313"><f>H313</f><v /></c><c r="I314" s="38"><f>I313</f><v /></c><c r="J314" s="314"><f>J313</f><v /></c><c r="K314" s="372"><f>K313</f><v /></c><c r="L314" s="372"><f>L313</f><v /></c><c r="M314" s="373" t="n"><v>170.69</v></c><c r="N314" s="373" t="n"><v>269.9</v></c><c r="O314" s="374"><f>O313</f><v /></c><c r="P314" s="375"><f>P313</f><v /></c><c r="Q314" s="376"><f>LEFT(P314,1)</f><v /></c><c r="R314" s="376"><f>RIGHT(P314,6)</f><v /></c><c r="S314" s="376"><f>+(Q314*60+R314)/(60*60)</f><v /></c><c r="T314" s="377"><f>+O314/S314</f><v /></c><c r="U314" s="378"><f>+(((N314-M314-O314)/O314)*100)</f><v /></c><c r="V314" s="317"><f>V313</f><v /></c><c r="W314" s="379"><f>W313</f><v /></c><c r="X314" s="379"><f>X313</f><v /></c><c r="Y314" s="373" t="n"><v>275.4</v></c><c r="Z314" s="373" t="n"><v>285.35</v></c><c r="AA314" s="380"><f>AA313</f><v /></c><c r="AB314" s="381"><f>AB313</f><v /></c><c r="AC314" s="376"><f>LEFT(AB314,2)</f><v /></c><c r="AD314" s="376"><f>RIGHT(AB314,6)</f><v /></c><c r="AE314" s="376"><f>+(AC314*60+AD314)/(60*60)</f><v /></c><c r="AF314" s="377"><f>+AA314/AE314</f><v /></c><c r="AG314" s="321"><f>+(((Z314-Y314-AA314)/AA314)*100)</f><v /></c><c r="AH314" s="317"><f>AH313</f><v /></c><c r="AI314" s="379"><f>AI313</f><v /></c><c r="AJ314" s="379"><f>AJ313</f><v /></c><c r="AK314" s="373"><f>Z314</f><v /></c><c r="AL314" s="373" t="n"><v>290.36</v></c><c r="AM314" s="382"><f>AM313</f><v /></c><c r="AN314" s="375"><f>AN313</f><v /></c><c r="AO314" s="376"><f>LEFT(AN314,2)</f><v /></c><c r="AP314" s="376"><f>RIGHT(AN314,6)</f><v /></c><c r="AQ314" s="376"><f>+(AO314*60+AP314)/(60*60)</f><v /></c><c r="AR314" s="377"><f>+AM314/AQ314</f><v /></c><c r="AS314" s="321"><f>+(((AL314-AK314-AM314)/AM314)*100)</f><v /></c><c r="AT314" s="383"><f>IF(I314&gt;=1,"NO CONFORME",IF(BK314="SIGDIFERENTES",BC314,BL314))</f><v /></c><c r="AU314" s="365"><f>B314=C314</f><v /></c><c r="AV314" s="365"><f>N314&lt;Y314</f><v /></c><c r="AW314" s="365"><f>Z314&lt;=AK314</f><v /></c><c r="AX314" s="365"><f>IF(I314&gt;=1,"Qcorrecto",IF(AND(AY314="aceptable",AZ314="aceptable",BA314="aceptable"),"Qcorrecto","Qincorrecto"))</f><v /></c><c r="AY314" s="366"><f>IF(AR314&lt;$AH$6,"error",IF(AR314&gt;$AH$6*1.1,"error","aceptable"))</f><v /></c><c r="AZ314" s="366"><f>IF(AF314&lt;$V$6,"error",IF(AF314&gt;$V$6*1.1,"error","aceptable"))</f><v /></c><c r="BA314" s="366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7"><f>SIGN(U314)</f><v /></c><c r="BE314" s="367"><f>SIGN(AG314)</f><v /></c><c r="BF314" s="367"><f>SIGN(AS314)</f><v /></c><c r="BG314" s="367"><f>CONCATENATE(BD314,BE314,BF314)</f><v /></c><c r="BH314" s="367"><f>IF(BG314="111","SI","SD")</f><v /></c><c r="BI314" s="367"><f>IF(BG314="-1-1-1","SI","SD")</f><v /></c><c r="BJ314" s="367"><f>OR(BH314="SI",BI314="SI")</f><v /></c><c r="BK314" s="367"><f>IF(BJ314=FALSE,"SIGDIFERENTES","SIGIGUALES")</f><v /></c><c r="BL314" s="366"><f>IF(BC314="NO CONFORME","NO CONFORME",IF(BB314="CONFORME","CONFORME","NO CONFORME"))</f><v /></c></row><row r="315" ht="15" customHeight="1" thickBot="1"><c r="A315" s="351" t="n"><v>307</v></c><c r="B315" s="369"><f>B314</f><v /></c><c r="C315" s="369"><f>C314</f><v /></c><c r="D315" s="370"><f>D314</f><v /></c><c r="E315" s="371"><f>E314</f><v /></c><c r="F315" s="13" t="n" /><c r="G315" s="355" t="inlineStr"><is><t>PA25516707</t></is></c><c r="H315" s="313"><f>H314</f><v /></c><c r="I315" s="38"><f>I314</f><v /></c><c r="J315" s="314"><f>J314</f><v /></c><c r="K315" s="372"><f>K314</f><v /></c><c r="L315" s="372"><f>L314</f><v /></c><c r="M315" s="373" t="n"><v>172.61</v></c><c r="N315" s="373" t="n"><v>271.92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379"><f>W314</f><v /></c><c r="X315" s="379"><f>X314</f><v /></c><c r="Y315" s="373" t="n"><v>277.36</v></c><c r="Z315" s="373" t="n"><v>287.29</v></c><c r="AA315" s="380"><f>AA314</f><v /></c><c r="AB315" s="381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379"><f>AI314</f><v /></c><c r="AJ315" s="379"><f>AJ314</f><v /></c><c r="AK315" s="373"><f>Z315</f><v /></c><c r="AL315" s="373" t="n"><v>292.22</v></c><c r="AM315" s="382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3"><f>IF(I315&gt;=1,"NO CONFORME",IF(BK315="SIGDIFERENTES",BC315,BL315))</f><v /></c><c r="AU315" s="365"><f>B315=C315</f><v /></c><c r="AV315" s="365"><f>N315&lt;Y315</f><v /></c><c r="AW315" s="365"><f>Z315&lt;=AK315</f><v /></c><c r="AX315" s="365"><f>IF(I315&gt;=1,"Qcorrecto",IF(AND(AY315="aceptable",AZ315="aceptable",BA315="aceptable"),"Qcorrecto","Qincorrecto"))</f><v /></c><c r="AY315" s="366"><f>IF(AR315&lt;$AH$6,"error",IF(AR315&gt;$AH$6*1.1,"error","aceptable"))</f><v /></c><c r="AZ315" s="366"><f>IF(AF315&lt;$V$6,"error",IF(AF315&gt;$V$6*1.1,"error","aceptable"))</f><v /></c><c r="BA315" s="366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7"><f>SIGN(U315)</f><v /></c><c r="BE315" s="367"><f>SIGN(AG315)</f><v /></c><c r="BF315" s="367"><f>SIGN(AS315)</f><v /></c><c r="BG315" s="367"><f>CONCATENATE(BD315,BE315,BF315)</f><v /></c><c r="BH315" s="367"><f>IF(BG315="111","SI","SD")</f><v /></c><c r="BI315" s="367"><f>IF(BG315="-1-1-1","SI","SD")</f><v /></c><c r="BJ315" s="367"><f>OR(BH315="SI",BI315="SI")</f><v /></c><c r="BK315" s="367"><f>IF(BJ315=FALSE,"SIGDIFERENTES","SIGIGUALES")</f><v /></c><c r="BL315" s="366"><f>IF(BC315="NO CONFORME","NO CONFORME",IF(BB315="CONFORME","CONFORME","NO CONFORME"))</f><v /></c></row><row r="316" ht="15" customHeight="1" thickBot="1"><c r="A316" s="351" t="n"><v>308</v></c><c r="B316" s="369"><f>B315</f><v /></c><c r="C316" s="369"><f>C315</f><v /></c><c r="D316" s="370"><f>D315</f><v /></c><c r="E316" s="371"><f>E315</f><v /></c><c r="F316" s="13" t="n" /><c r="G316" s="355" t="inlineStr"><is><t>PA25516708</t></is></c><c r="H316" s="313"><f>H315</f><v /></c><c r="I316" s="38"><f>I315</f><v /></c><c r="J316" s="314"><f>J315</f><v /></c><c r="K316" s="372"><f>K315</f><v /></c><c r="L316" s="372"><f>L315</f><v /></c><c r="M316" s="373" t="n"><v>173.05</v></c><c r="N316" s="373" t="n"><v>272.84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379"><f>W315</f><v /></c><c r="X316" s="379"><f>X315</f><v /></c><c r="Y316" s="373" t="n"><v>278.36</v></c><c r="Z316" s="373" t="n"><v>288.32</v></c><c r="AA316" s="380"><f>AA315</f><v /></c><c r="AB316" s="381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379"><f>AI315</f><v /></c><c r="AJ316" s="379"><f>AJ315</f><v /></c><c r="AK316" s="373"><f>Z316</f><v /></c><c r="AL316" s="373" t="n"><v>293.3</v></c><c r="AM316" s="382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3"><f>IF(I316&gt;=1,"NO CONFORME",IF(BK316="SIGDIFERENTES",BC316,BL316))</f><v /></c><c r="AU316" s="365"><f>B316=C316</f><v /></c><c r="AV316" s="365"><f>N316&lt;Y316</f><v /></c><c r="AW316" s="365"><f>Z316&lt;=AK316</f><v /></c><c r="AX316" s="365"><f>IF(I316&gt;=1,"Qcorrecto",IF(AND(AY316="aceptable",AZ316="aceptable",BA316="aceptable"),"Qcorrecto","Qincorrecto"))</f><v /></c><c r="AY316" s="366"><f>IF(AR316&lt;$AH$6,"error",IF(AR316&gt;$AH$6*1.1,"error","aceptable"))</f><v /></c><c r="AZ316" s="366"><f>IF(AF316&lt;$V$6,"error",IF(AF316&gt;$V$6*1.1,"error","aceptable"))</f><v /></c><c r="BA316" s="366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7"><f>SIGN(U316)</f><v /></c><c r="BE316" s="367"><f>SIGN(AG316)</f><v /></c><c r="BF316" s="367"><f>SIGN(AS316)</f><v /></c><c r="BG316" s="367"><f>CONCATENATE(BD316,BE316,BF316)</f><v /></c><c r="BH316" s="367"><f>IF(BG316="111","SI","SD")</f><v /></c><c r="BI316" s="367"><f>IF(BG316="-1-1-1","SI","SD")</f><v /></c><c r="BJ316" s="367"><f>OR(BH316="SI",BI316="SI")</f><v /></c><c r="BK316" s="367"><f>IF(BJ316=FALSE,"SIGDIFERENTES","SIGIGUALES")</f><v /></c><c r="BL316" s="366"><f>IF(BC316="NO CONFORME","NO CONFORME",IF(BB316="CONFORME","CONFORME","NO CONFORME"))</f><v /></c></row><row r="317" ht="15.75" customHeight="1" thickBot="1"><c r="A317" s="351" t="n"><v>309</v></c><c r="B317" s="369"><f>B316</f><v /></c><c r="C317" s="369"><f>C316</f><v /></c><c r="D317" s="370"><f>D316</f><v /></c><c r="E317" s="371"><f>E316</f><v /></c><c r="F317" s="13" t="n" /><c r="G317" s="355" t="inlineStr"><is><t>PA25516709</t></is></c><c r="H317" s="313"><f>H316</f><v /></c><c r="I317" s="38"><f>I316</f><v /></c><c r="J317" s="314"><f>J316</f><v /></c><c r="K317" s="372"><f>K316</f><v /></c><c r="L317" s="372"><f>L316</f><v /></c><c r="M317" s="373" t="n"><v>173.06</v></c><c r="N317" s="373" t="n"><v>272.64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379"><f>W316</f><v /></c><c r="X317" s="379"><f>X316</f><v /></c><c r="Y317" s="373" t="n"><v>278.15</v></c><c r="Z317" s="373" t="n"><v>288.12</v></c><c r="AA317" s="380"><f>AA316</f><v /></c><c r="AB317" s="381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379"><f>AI316</f><v /></c><c r="AJ317" s="379"><f>AJ316</f><v /></c><c r="AK317" s="373"><f>Z317</f><v /></c><c r="AL317" s="373" t="n"><v>293.15</v></c><c r="AM317" s="382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3"><f>IF(I317&gt;=1,"NO CONFORME",IF(BK317="SIGDIFERENTES",BC317,BL317))</f><v /></c><c r="AU317" s="365"><f>B317=C317</f><v /></c><c r="AV317" s="365"><f>N317&lt;Y317</f><v /></c><c r="AW317" s="365"><f>Z317&lt;=AK317</f><v /></c><c r="AX317" s="365"><f>IF(I317&gt;=1,"Qcorrecto",IF(AND(AY317="aceptable",AZ317="aceptable",BA317="aceptable"),"Qcorrecto","Qincorrecto"))</f><v /></c><c r="AY317" s="366"><f>IF(AR317&lt;$AH$6,"error",IF(AR317&gt;$AH$6*1.1,"error","aceptable"))</f><v /></c><c r="AZ317" s="366"><f>IF(AF317&lt;$V$6,"error",IF(AF317&gt;$V$6*1.1,"error","aceptable"))</f><v /></c><c r="BA317" s="366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7"><f>SIGN(U317)</f><v /></c><c r="BE317" s="367"><f>SIGN(AG317)</f><v /></c><c r="BF317" s="367"><f>SIGN(AS317)</f><v /></c><c r="BG317" s="367"><f>CONCATENATE(BD317,BE317,BF317)</f><v /></c><c r="BH317" s="367"><f>IF(BG317="111","SI","SD")</f><v /></c><c r="BI317" s="367"><f>IF(BG317="-1-1-1","SI","SD")</f><v /></c><c r="BJ317" s="367"><f>OR(BH317="SI",BI317="SI")</f><v /></c><c r="BK317" s="367"><f>IF(BJ317=FALSE,"SIGDIFERENTES","SIGIGUALES")</f><v /></c><c r="BL317" s="366"><f>IF(BC317="NO CONFORME","NO CONFORME",IF(BB317="CONFORME","CONFORME","NO CONFORME"))</f><v /></c></row><row r="318" ht="15" customHeight="1" thickBot="1"><c r="A318" s="351" t="n"><v>310</v></c><c r="B318" s="369"><f>B317</f><v /></c><c r="C318" s="369"><f>C317</f><v /></c><c r="D318" s="370"><f>D317</f><v /></c><c r="E318" s="371"><f>E317</f><v /></c><c r="F318" s="13" t="n" /><c r="G318" s="355" t="inlineStr"><is><t>PA25516710</t></is></c><c r="H318" s="313"><f>H317</f><v /></c><c r="I318" s="38"><f>I317</f><v /></c><c r="J318" s="314"><f>J317</f><v /></c><c r="K318" s="372"><f>K317</f><v /></c><c r="L318" s="372"><f>L317</f><v /></c><c r="M318" s="373" t="n"><v>172.75</v></c><c r="N318" s="373" t="n"><v>272.38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379"><f>W317</f><v /></c><c r="X318" s="379"><f>X317</f><v /></c><c r="Y318" s="373" t="n"><v>277.87</v></c><c r="Z318" s="373" t="n"><v>287.9</v></c><c r="AA318" s="380"><f>AA317</f><v /></c><c r="AB318" s="381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379"><f>AI317</f><v /></c><c r="AJ318" s="379"><f>AJ317</f><v /></c><c r="AK318" s="373"><f>Z318</f><v /></c><c r="AL318" s="373" t="n"><v>292.92</v></c><c r="AM318" s="382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3"><f>IF(I318&gt;=1,"NO CONFORME",IF(BK318="SIGDIFERENTES",BC318,BL318))</f><v /></c><c r="AU318" s="365"><f>B318=C318</f><v /></c><c r="AV318" s="365"><f>N318&lt;Y318</f><v /></c><c r="AW318" s="365"><f>Z318&lt;=AK318</f><v /></c><c r="AX318" s="365"><f>IF(I318&gt;=1,"Qcorrecto",IF(AND(AY318="aceptable",AZ318="aceptable",BA318="aceptable"),"Qcorrecto","Qincorrecto"))</f><v /></c><c r="AY318" s="366"><f>IF(AR318&lt;$AH$6,"error",IF(AR318&gt;$AH$6*1.1,"error","aceptable"))</f><v /></c><c r="AZ318" s="366"><f>IF(AF318&lt;$V$6,"error",IF(AF318&gt;$V$6*1.1,"error","aceptable"))</f><v /></c><c r="BA318" s="366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7"><f>SIGN(U318)</f><v /></c><c r="BE318" s="367"><f>SIGN(AG318)</f><v /></c><c r="BF318" s="367"><f>SIGN(AS318)</f><v /></c><c r="BG318" s="367"><f>CONCATENATE(BD318,BE318,BF318)</f><v /></c><c r="BH318" s="367"><f>IF(BG318="111","SI","SD")</f><v /></c><c r="BI318" s="367"><f>IF(BG318="-1-1-1","SI","SD")</f><v /></c><c r="BJ318" s="367"><f>OR(BH318="SI",BI318="SI")</f><v /></c><c r="BK318" s="367"><f>IF(BJ318=FALSE,"SIGDIFERENTES","SIGIGUALES")</f><v /></c><c r="BL318" s="366"><f>IF(BC318="NO CONFORME","NO CONFORME",IF(BB318="CONFORME","CONFORME","NO CONFORME"))</f><v /></c></row><row r="319" ht="15" customHeight="1" thickBot="1"><c r="A319" s="398" t="n"><v>311</v></c><c r="B319" s="399"><f>B318</f><v /></c><c r="C319" s="399"><f>C318</f><v /></c><c r="D319" s="400"><f>D318</f><v /></c><c r="E319" s="456"><f>E318</f><v /></c><c r="F319" s="56" t="n" /><c r="G319" s="355" t="inlineStr"><is><t>PA25516711</t></is></c><c r="H319" s="401"><f>H318</f><v /></c><c r="I319" s="402"><f>I318</f><v /></c><c r="J319" s="403"><f>J318</f><v /></c><c r="K319" s="404"><f>K318</f><v /></c><c r="L319" s="404"><f>L318</f><v /></c><c r="M319" s="405" t="n"><v>281.36</v></c><c r="N319" s="405" t="n"><v>381.44</v></c><c r="O319" s="406"><f>O318</f><v /></c><c r="P319" s="407"><f>P318</f><v /></c><c r="Q319" s="408"><f>LEFT(P319,1)</f><v /></c><c r="R319" s="408"><f>RIGHT(P319,6)</f><v /></c><c r="S319" s="408"><f>+(Q319*60+R319)/(60*60)</f><v /></c><c r="T319" s="409"><f>+O319/S319</f><v /></c><c r="U319" s="410"><f>+(((N319-M319-O319)/O319)*100)</f><v /></c><c r="V319" s="411"><f>V318</f><v /></c><c r="W319" s="412"><f>W318</f><v /></c><c r="X319" s="412"><f>X318</f><v /></c><c r="Y319" s="405" t="n"><v>386.95</v></c><c r="Z319" s="405" t="n"><v>396.92</v></c><c r="AA319" s="413"><f>AA318</f><v /></c><c r="AB319" s="414"><f>AB318</f><v /></c><c r="AC319" s="408"><f>LEFT(AB319,2)</f><v /></c><c r="AD319" s="408"><f>RIGHT(AB319,6)</f><v /></c><c r="AE319" s="408"><f>+(AC319*60+AD319)/(60*60)</f><v /></c><c r="AF319" s="409"><f>+AA319/AE319</f><v /></c><c r="AG319" s="415"><f>+(((Z319-Y319-AA319)/AA319)*100)</f><v /></c><c r="AH319" s="411"><f>AH318</f><v /></c><c r="AI319" s="412"><f>AI318</f><v /></c><c r="AJ319" s="412"><f>AJ318</f><v /></c><c r="AK319" s="405"><f>Z319</f><v /></c><c r="AL319" s="405" t="n"><v>401.9</v></c><c r="AM319" s="416"><f>AM318</f><v /></c><c r="AN319" s="407"><f>AN318</f><v /></c><c r="AO319" s="408"><f>LEFT(AN319,2)</f><v /></c><c r="AP319" s="408"><f>RIGHT(AN319,6)</f><v /></c><c r="AQ319" s="408"><f>+(AO319*60+AP319)/(60*60)</f><v /></c><c r="AR319" s="409"><f>+AM319/AQ319</f><v /></c><c r="AS319" s="415"><f>+(((AL319-AK319-AM319)/AM319)*100)</f><v /></c><c r="AT319" s="417"><f>IF(I319&gt;=1,"NO CONFORME",IF(BK319="SIGDIFERENTES",BC319,BL319))</f><v /></c><c r="AU319" s="365"><f>B319=C319</f><v /></c><c r="AV319" s="365"><f>N319&lt;Y319</f><v /></c><c r="AW319" s="365"><f>Z319&lt;=AK319</f><v /></c><c r="AX319" s="365"><f>IF(I319&gt;=1,"Qcorrecto",IF(AND(AY319="aceptable",AZ319="aceptable",BA319="aceptable"),"Qcorrecto","Qincorrecto"))</f><v /></c><c r="AY319" s="418"><f>IF(AR319&lt;$AH$6,"error",IF(AR319&gt;$AH$6*1.1,"error","aceptable"))</f><v /></c><c r="AZ319" s="418"><f>IF(AF319&lt;$V$6,"error",IF(AF319&gt;$V$6*1.1,"error","aceptable"))</f><v /></c><c r="BA319" s="418"><f>IF(T319&lt;$J$6*0.9,"error",IF(T319&gt;$J$6,"error","aceptable"))</f><v /></c><c r="BB319" s="419"><f>(IF(ABS(U319)&lt;1.05,"CONFORME",IF(ABS(AG319)&lt;1.05,"CONFORME",IF(ABS(AS319)&lt;2.55,"CONFORME","NO CONFORME"))))</f><v /></c><c r="BC319" s="420"><f>(IF(ABS(U319)&gt;2.05,"NO CONFORME",IF(ABS(AG319)&gt;2.05,"NO CONFORME",IF(ABS(AS319)&gt;5.05,"NO CONFORME","CONFORME"))))</f><v /></c><c r="BD319" s="367"><f>SIGN(U319)</f><v /></c><c r="BE319" s="367"><f>SIGN(AG319)</f><v /></c><c r="BF319" s="367"><f>SIGN(AS319)</f><v /></c><c r="BG319" s="367"><f>CONCATENATE(BD319,BE319,BF319)</f><v /></c><c r="BH319" s="367"><f>IF(BG319="111","SI","SD")</f><v /></c><c r="BI319" s="367"><f>IF(BG319="-1-1-1","SI","SD")</f><v /></c><c r="BJ319" s="367"><f>OR(BH319="SI",BI319="SI")</f><v /></c><c r="BK319" s="367"><f>IF(BJ319=FALSE,"SIGDIFERENTES","SIGIGUALES")</f><v /></c><c r="BL319" s="418"><f>IF(BC319="NO CONFORME","NO CONFORME",IF(BB319="CONFORME","CONFORME","NO CONFORME"))</f><v /></c></row><row r="320" ht="15" customHeight="1" thickBot="1"><c r="A320" s="371" t="n"><v>312</v></c><c r="B320" s="369"><f>B319</f><v /></c><c r="C320" s="369"><f>C319</f><v /></c><c r="D320" s="370"><f>D319</f><v /></c><c r="E320" s="371"><f>E319</f><v /></c><c r="F320" s="13" t="n" /><c r="G320" s="355" t="inlineStr"><is><t>PA25516712</t></is></c><c r="H320" s="313"><f>H319</f><v /></c><c r="I320" s="38"><f>I319</f><v /></c><c r="J320" s="314"><f>J319</f><v /></c><c r="K320" s="372"><f>K319</f><v /></c><c r="L320" s="372"><f>L319</f><v /></c><c r="M320" s="373" t="n"><v>283.25</v></c><c r="N320" s="373" t="n"><v>382.85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379"><f>W319</f><v /></c><c r="X320" s="379"><f>X319</f><v /></c><c r="Y320" s="373" t="n"><v>388.36</v></c><c r="Z320" s="373" t="n"><v>398.26</v></c><c r="AA320" s="380"><f>AA319</f><v /></c><c r="AB320" s="381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379"><f>AI319</f><v /></c><c r="AJ320" s="379"><f>AJ319</f><v /></c><c r="AK320" s="373"><f>Z320</f><v /></c><c r="AL320" s="373" t="n"><v>403.3</v></c><c r="AM320" s="382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3"><f>IF(I320&gt;=1,"NO CONFORME",IF(BK320="SIGDIFERENTES",BC320,BL320))</f><v /></c><c r="AU320" s="421"><f>B320=C320</f><v /></c><c r="AV320" s="421"><f>N320&lt;Y320</f><v /></c><c r="AW320" s="421"><f>Z320&lt;=AK320</f><v /></c><c r="AX320" s="421"><f>IF(I320&gt;=1,"Qcorrecto",IF(AND(AY320="aceptable",AZ320="aceptable",BA320="aceptable"),"Qcorrecto","Qincorrecto"))</f><v /></c><c r="AY320" s="366"><f>IF(AR320&lt;$AH$6,"error",IF(AR320&gt;$AH$6*1.1,"error","aceptable"))</f><v /></c><c r="AZ320" s="366"><f>IF(AF320&lt;$V$6,"error",IF(AF320&gt;$V$6*1.1,"error","aceptable"))</f><v /></c><c r="BA320" s="366"><f>IF(T320&lt;$J$6*0.9,"error",IF(T320&gt;$J$6,"error","aceptable"))</f><v /></c><c r="BB320" s="422"><f>(IF(ABS(U320)&lt;1.05,"CONFORME",IF(ABS(AG320)&lt;1.05,"CONFORME",IF(ABS(AS320)&lt;2.55,"CONFORME","NO CONFORME"))))</f><v /></c><c r="BC320" s="423"><f>(IF(ABS(U320)&gt;2.05,"NO CONFORME",IF(ABS(AG320)&gt;2.05,"NO CONFORME",IF(ABS(AS320)&gt;5.05,"NO CONFORME","CONFORME"))))</f><v /></c><c r="BD320" s="424"><f>SIGN(U320)</f><v /></c><c r="BE320" s="424"><f>SIGN(AG320)</f><v /></c><c r="BF320" s="424"><f>SIGN(AS320)</f><v /></c><c r="BG320" s="424"><f>CONCATENATE(BD320,BE320,BF320)</f><v /></c><c r="BH320" s="424"><f>IF(BG320="111","SI","SD")</f><v /></c><c r="BI320" s="424"><f>IF(BG320="-1-1-1","SI","SD")</f><v /></c><c r="BJ320" s="424"><f>OR(BH320="SI",BI320="SI")</f><v /></c><c r="BK320" s="424"><f>IF(BJ320=FALSE,"SIGDIFERENTES","SIGIGUALES")</f><v /></c><c r="BL320" s="366"><f>IF(BC320="NO CONFORME","NO CONFORME",IF(BB320="CONFORME","CONFORME","NO CONFORME"))</f><v /></c></row><row r="321" ht="15" customHeight="1" thickBot="1"><c r="A321" s="351" t="n"><v>313</v></c><c r="B321" s="386"><f>B320</f><v /></c><c r="C321" s="386"><f>C320</f><v /></c><c r="D321" s="387"><f>D320</f><v /></c><c r="E321" s="475"><f>E320</f><v /></c><c r="F321" s="58" t="n" /><c r="G321" s="355" t="inlineStr"><is><t>PA25516713</t></is></c><c r="H321" s="388"><f>H320</f><v /></c><c r="I321" s="232"><f>I320</f><v /></c><c r="J321" s="389" t="n"><v>21.1</v></c><c r="K321" s="372"><f>K320</f><v /></c><c r="L321" s="372"><f>L320</f><v /></c><c r="M321" s="356" t="n"><v>171.19</v></c><c r="N321" s="356" t="n"><v>271.44</v></c><c r="O321" s="374"><f>O320</f><v /></c><c r="P321" s="375"><f>P320</f><v /></c><c r="Q321" s="359"><f>LEFT(P321,1)</f><v /></c><c r="R321" s="359"><f>RIGHT(P321,6)</f><v /></c><c r="S321" s="359"><f>+(Q321*60+R321)/(60*60)</f><v /></c><c r="T321" s="360"><f>+O321/S321</f><v /></c><c r="U321" s="361"><f>+(((N321-M321-O321)/O321)*100)</f><v /></c><c r="V321" s="317"><f>V320</f><v /></c><c r="W321" s="379"><f>W320</f><v /></c><c r="X321" s="379"><f>X320</f><v /></c><c r="Y321" s="356" t="n"><v>276.96</v></c><c r="Z321" s="356" t="n"><v>286.99</v></c><c r="AA321" s="380"><f>AA320</f><v /></c><c r="AB321" s="381"><f>AB320</f><v /></c><c r="AC321" s="359"><f>LEFT(AB321,2)</f><v /></c><c r="AD321" s="359"><f>RIGHT(AB321,6)</f><v /></c><c r="AE321" s="359"><f>+(AC321*60+AD321)/(60*60)</f><v /></c><c r="AF321" s="360"><f>+AA321/AE321</f><v /></c><c r="AG321" s="362"><f>+(((Z321-Y321-AA321)/AA321)*100)</f><v /></c><c r="AH321" s="317"><f>AH320</f><v /></c><c r="AI321" s="379"><f>AI320</f><v /></c><c r="AJ321" s="379"><f>AJ320</f><v /></c><c r="AK321" s="356"><f>Z321</f><v /></c><c r="AL321" s="356" t="n"><v>291.95</v></c><c r="AM321" s="382"><f>AM320</f><v /></c><c r="AN321" s="375"><f>AN320</f><v /></c><c r="AO321" s="359"><f>LEFT(AN321,2)</f><v /></c><c r="AP321" s="359"><f>RIGHT(AN321,6)</f><v /></c><c r="AQ321" s="359"><f>+(AO321*60+AP321)/(60*60)</f><v /></c><c r="AR321" s="360"><f>+AM321/AQ321</f><v /></c><c r="AS321" s="362"><f>+(((AL321-AK321-AM321)/AM321)*100)</f><v /></c><c r="AT321" s="364"><f>IF(I321&gt;=1,"NO CONFORME",IF(BK321="SIGDIFERENTES",BC321,BL321))</f><v /></c><c r="AU321" s="365"><f>B321=C321</f><v /></c><c r="AV321" s="365"><f>N321&lt;Y321</f><v /></c><c r="AW321" s="365"><f>Z321&lt;=AK321</f><v /></c><c r="AX321" s="365"><f>IF(I321&gt;=1,"Qcorrecto",IF(AND(AY321="aceptable",AZ321="aceptable",BA321="aceptable"),"Qcorrecto","Qincorrecto"))</f><v /></c><c r="AY321" s="368"><f>IF(AR321&lt;$AH$6,"error",IF(AR321&gt;$AH$6*1.1,"error","aceptable"))</f><v /></c><c r="AZ321" s="368"><f>IF(AF321&lt;$V$6,"error",IF(AF321&gt;$V$6*1.1,"error","aceptable"))</f><v /></c><c r="BA321" s="368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7"><f>SIGN(U321)</f><v /></c><c r="BE321" s="367"><f>SIGN(AG321)</f><v /></c><c r="BF321" s="367"><f>SIGN(AS321)</f><v /></c><c r="BG321" s="367"><f>CONCATENATE(BD321,BE321,BF321)</f><v /></c><c r="BH321" s="367"><f>IF(BG321="111","SI","SD")</f><v /></c><c r="BI321" s="367"><f>IF(BG321="-1-1-1","SI","SD")</f><v /></c><c r="BJ321" s="367"><f>OR(BH321="SI",BI321="SI")</f><v /></c><c r="BK321" s="367"><f>IF(BJ321=FALSE,"SIGDIFERENTES","SIGIGUALES")</f><v /></c><c r="BL321" s="368"><f>IF(BC321="NO CONFORME","NO CONFORME",IF(BB321="CONFORME","CONFORME","NO CONFORME"))</f><v /></c></row><row r="322" ht="15" customHeight="1" thickBot="1"><c r="A322" s="351" t="n"><v>314</v></c><c r="B322" s="369"><f>B321</f><v /></c><c r="C322" s="369"><f>C321</f><v /></c><c r="D322" s="370"><f>D321</f><v /></c><c r="E322" s="371"><f>E321</f><v /></c><c r="F322" s="13" t="n" /><c r="G322" s="476" t="inlineStr"><is><t>PA25516714</t></is></c><c r="H322" s="313"><f>H321</f><v /></c><c r="I322" s="38"><f>I321</f><v /></c><c r="J322" s="314"><f>J321</f><v /></c><c r="K322" s="372"><f>K321</f><v /></c><c r="L322" s="372"><f>L321</f><v /></c><c r="M322" s="373" t="n"><v>168.24</v></c><c r="N322" s="373" t="n"><v>266.91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379"><f>W321</f><v /></c><c r="X322" s="379"><f>X321</f><v /></c><c r="Y322" s="373" t="n"><v>272.35</v></c><c r="Z322" s="373" t="n"><v>281.85</v></c><c r="AA322" s="380"><f>AA321</f><v /></c><c r="AB322" s="381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379"><f>AI321</f><v /></c><c r="AJ322" s="379"><f>AJ321</f><v /></c><c r="AK322" s="373"><f>Z322</f><v /></c><c r="AL322" s="373" t="n"><v>286.29</v></c><c r="AM322" s="382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3"><f>IF(I322&gt;=1,"NO CONFORME",IF(BK322="SIGDIFERENTES",BC322,BL322))</f><v /></c><c r="AU322" s="365"><f>B322=C322</f><v /></c><c r="AV322" s="365"><f>N322&lt;Y322</f><v /></c><c r="AW322" s="365"><f>Z322&lt;=AK322</f><v /></c><c r="AX322" s="365"><f>IF(I322&gt;=1,"Qcorrecto",IF(AND(AY322="aceptable",AZ322="aceptable",BA322="aceptable"),"Qcorrecto","Qincorrecto"))</f><v /></c><c r="AY322" s="366"><f>IF(AR322&lt;$AH$6,"error",IF(AR322&gt;$AH$6*1.1,"error","aceptable"))</f><v /></c><c r="AZ322" s="366"><f>IF(AF322&lt;$V$6,"error",IF(AF322&gt;$V$6*1.1,"error","aceptable"))</f><v /></c><c r="BA322" s="366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7"><f>SIGN(U322)</f><v /></c><c r="BE322" s="367"><f>SIGN(AG322)</f><v /></c><c r="BF322" s="367"><f>SIGN(AS322)</f><v /></c><c r="BG322" s="367"><f>CONCATENATE(BD322,BE322,BF322)</f><v /></c><c r="BH322" s="367"><f>IF(BG322="111","SI","SD")</f><v /></c><c r="BI322" s="367"><f>IF(BG322="-1-1-1","SI","SD")</f><v /></c><c r="BJ322" s="367"><f>OR(BH322="SI",BI322="SI")</f><v /></c><c r="BK322" s="367"><f>IF(BJ322=FALSE,"SIGDIFERENTES","SIGIGUALES")</f><v /></c><c r="BL322" s="366"><f>IF(BC322="NO CONFORME","NO CONFORME",IF(BB322="CONFORME","CONFORME","NO CONFORME"))</f><v /></c></row><row r="323" ht="15" customHeight="1" thickBot="1"><c r="A323" s="351" t="n"><v>315</v></c><c r="B323" s="369"><f>B322</f><v /></c><c r="C323" s="369"><f>C322</f><v /></c><c r="D323" s="370"><f>D322</f><v /></c><c r="E323" s="371"><f>E322</f><v /></c><c r="F323" s="13" t="n" /><c r="G323" s="355" t="inlineStr"><is><t>PA25516715</t></is></c><c r="H323" s="313"><f>H322</f><v /></c><c r="I323" s="38"><f>I322</f><v /></c><c r="J323" s="314"><f>J322</f><v /></c><c r="K323" s="372"><f>K322</f><v /></c><c r="L323" s="372"><f>L322</f><v /></c><c r="M323" s="373" t="n"><v>173.86</v></c><c r="N323" s="373" t="n"><v>274.15</v></c><c r="O323" s="374"><f>O322</f><v /></c><c r="P323" s="375"><f>P322</f><v /></c><c r="Q323" s="376"><f>LEFT(P323,1)</f><v /></c><c r="R323" s="376"><f>RIGHT(P323,6)</f><v /></c><c r="S323" s="376"><f>+(Q323*60+R323)/(60*60)</f><v /></c><c r="T323" s="377"><f>+O323/S323</f><v /></c><c r="U323" s="378"><f>+(((N323-M323-O323)/O323)*100)</f><v /></c><c r="V323" s="317"><f>V322</f><v /></c><c r="W323" s="379"><f>W322</f><v /></c><c r="X323" s="379"><f>X322</f><v /></c><c r="Y323" s="373" t="n"><v>279.71</v></c><c r="Z323" s="373" t="n"><v>289.71</v></c><c r="AA323" s="380"><f>AA322</f><v /></c><c r="AB323" s="381"><f>AB322</f><v /></c><c r="AC323" s="376"><f>LEFT(AB323,2)</f><v /></c><c r="AD323" s="376"><f>RIGHT(AB323,6)</f><v /></c><c r="AE323" s="376"><f>+(AC323*60+AD323)/(60*60)</f><v /></c><c r="AF323" s="377"><f>+AA323/AE323</f><v /></c><c r="AG323" s="321"><f>+(((Z323-Y323-AA323)/AA323)*100)</f><v /></c><c r="AH323" s="317"><f>AH322</f><v /></c><c r="AI323" s="379"><f>AI322</f><v /></c><c r="AJ323" s="379"><f>AJ322</f><v /></c><c r="AK323" s="373"><f>Z323</f><v /></c><c r="AL323" s="373" t="n"><v>294.71</v></c><c r="AM323" s="382"><f>AM322</f><v /></c><c r="AN323" s="375"><f>AN322</f><v /></c><c r="AO323" s="376"><f>LEFT(AN323,2)</f><v /></c><c r="AP323" s="376"><f>RIGHT(AN323,6)</f><v /></c><c r="AQ323" s="376"><f>+(AO323*60+AP323)/(60*60)</f><v /></c><c r="AR323" s="377"><f>+AM323/AQ323</f><v /></c><c r="AS323" s="321"><f>+(((AL323-AK323-AM323)/AM323)*100)</f><v /></c><c r="AT323" s="383"><f>IF(I323&gt;=1,"NO CONFORME",IF(BK323="SIGDIFERENTES",BC323,BL323))</f><v /></c><c r="AU323" s="365"><f>B323=C323</f><v /></c><c r="AV323" s="365"><f>N323&lt;Y323</f><v /></c><c r="AW323" s="365"><f>Z323&lt;=AK323</f><v /></c><c r="AX323" s="365"><f>IF(I323&gt;=1,"Qcorrecto",IF(AND(AY323="aceptable",AZ323="aceptable",BA323="aceptable"),"Qcorrecto","Qincorrecto"))</f><v /></c><c r="AY323" s="366"><f>IF(AR323&lt;$AH$6,"error",IF(AR323&gt;$AH$6*1.1,"error","aceptable"))</f><v /></c><c r="AZ323" s="366"><f>IF(AF323&lt;$V$6,"error",IF(AF323&gt;$V$6*1.1,"error","aceptable"))</f><v /></c><c r="BA323" s="366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7"><f>SIGN(U323)</f><v /></c><c r="BE323" s="367"><f>SIGN(AG323)</f><v /></c><c r="BF323" s="367"><f>SIGN(AS323)</f><v /></c><c r="BG323" s="367"><f>CONCATENATE(BD323,BE323,BF323)</f><v /></c><c r="BH323" s="367"><f>IF(BG323="111","SI","SD")</f><v /></c><c r="BI323" s="367"><f>IF(BG323="-1-1-1","SI","SD")</f><v /></c><c r="BJ323" s="367"><f>OR(BH323="SI",BI323="SI")</f><v /></c><c r="BK323" s="367"><f>IF(BJ323=FALSE,"SIGDIFERENTES","SIGIGUALES")</f><v /></c><c r="BL323" s="366"><f>IF(BC323="NO CONFORME","NO CONFORME",IF(BB323="CONFORME","CONFORME","NO CONFORME"))</f><v /></c></row><row r="324" ht="15.75" customHeight="1" thickBot="1"><c r="A324" s="351" t="n"><v>316</v></c><c r="B324" s="369"><f>B323</f><v /></c><c r="C324" s="369"><f>C323</f><v /></c><c r="D324" s="370"><f>D323</f><v /></c><c r="E324" s="371"><f>E323</f><v /></c><c r="F324" s="13" t="n" /><c r="G324" s="355" t="inlineStr"><is><t>PA25516716</t></is></c><c r="H324" s="313"><f>H323</f><v /></c><c r="I324" s="38"><f>I323</f><v /></c><c r="J324" s="314"><f>J323</f><v /></c><c r="K324" s="372"><f>K323</f><v /></c><c r="L324" s="372"><f>L323</f><v /></c><c r="M324" s="373" t="n"><v>171.25</v></c><c r="N324" s="373" t="n"><v>271.34</v></c><c r="O324" s="374"><f>O323</f><v /></c><c r="P324" s="375"><f>P323</f><v /></c><c r="Q324" s="376"><f>LEFT(P324,1)</f><v /></c><c r="R324" s="376"><f>RIGHT(P324,6)</f><v /></c><c r="S324" s="376"><f>+(Q324*60+R324)/(60*60)</f><v /></c><c r="T324" s="377"><f>+O324/S324</f><v /></c><c r="U324" s="378"><f>+(((N324-M324-O324)/O324)*100)</f><v /></c><c r="V324" s="317"><f>V323</f><v /></c><c r="W324" s="379"><f>W323</f><v /></c><c r="X324" s="379"><f>X323</f><v /></c><c r="Y324" s="373" t="n"><v>276.86</v></c><c r="Z324" s="373" t="n"><v>286.85</v></c><c r="AA324" s="380"><f>AA323</f><v /></c><c r="AB324" s="381"><f>AB323</f><v /></c><c r="AC324" s="376"><f>LEFT(AB324,2)</f><v /></c><c r="AD324" s="376"><f>RIGHT(AB324,6)</f><v /></c><c r="AE324" s="376"><f>+(AC324*60+AD324)/(60*60)</f><v /></c><c r="AF324" s="377"><f>+AA324/AE324</f><v /></c><c r="AG324" s="321"><f>+(((Z324-Y324-AA324)/AA324)*100)</f><v /></c><c r="AH324" s="317"><f>AH323</f><v /></c><c r="AI324" s="379"><f>AI323</f><v /></c><c r="AJ324" s="379"><f>AJ323</f><v /></c><c r="AK324" s="373"><f>Z324</f><v /></c><c r="AL324" s="373" t="n"><v>291.89</v></c><c r="AM324" s="382"><f>AM323</f><v /></c><c r="AN324" s="375"><f>AN323</f><v /></c><c r="AO324" s="376"><f>LEFT(AN324,2)</f><v /></c><c r="AP324" s="376"><f>RIGHT(AN324,6)</f><v /></c><c r="AQ324" s="376"><f>+(AO324*60+AP324)/(60*60)</f><v /></c><c r="AR324" s="377"><f>+AM324/AQ324</f><v /></c><c r="AS324" s="321"><f>+(((AL324-AK324-AM324)/AM324)*100)</f><v /></c><c r="AT324" s="383"><f>IF(I324&gt;=1,"NO CONFORME",IF(BK324="SIGDIFERENTES",BC324,BL324))</f><v /></c><c r="AU324" s="365"><f>B324=C324</f><v /></c><c r="AV324" s="365"><f>N324&lt;Y324</f><v /></c><c r="AW324" s="365"><f>Z324&lt;=AK324</f><v /></c><c r="AX324" s="365"><f>IF(I324&gt;=1,"Qcorrecto",IF(AND(AY324="aceptable",AZ324="aceptable",BA324="aceptable"),"Qcorrecto","Qincorrecto"))</f><v /></c><c r="AY324" s="366"><f>IF(AR324&lt;$AH$6,"error",IF(AR324&gt;$AH$6*1.1,"error","aceptable"))</f><v /></c><c r="AZ324" s="366"><f>IF(AF324&lt;$V$6,"error",IF(AF324&gt;$V$6*1.1,"error","aceptable"))</f><v /></c><c r="BA324" s="366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7"><f>SIGN(U324)</f><v /></c><c r="BE324" s="367"><f>SIGN(AG324)</f><v /></c><c r="BF324" s="367"><f>SIGN(AS324)</f><v /></c><c r="BG324" s="367"><f>CONCATENATE(BD324,BE324,BF324)</f><v /></c><c r="BH324" s="367"><f>IF(BG324="111","SI","SD")</f><v /></c><c r="BI324" s="367"><f>IF(BG324="-1-1-1","SI","SD")</f><v /></c><c r="BJ324" s="367"><f>OR(BH324="SI",BI324="SI")</f><v /></c><c r="BK324" s="367"><f>IF(BJ324=FALSE,"SIGDIFERENTES","SIGIGUALES")</f><v /></c><c r="BL324" s="366"><f>IF(BC324="NO CONFORME","NO CONFORME",IF(BB324="CONFORME","CONFORME","NO CONFORME"))</f><v /></c></row><row r="325" ht="14.4" customHeight="1" thickBot="1"><c r="A325" s="351" t="n"><v>317</v></c><c r="B325" s="369"><f>B324</f><v /></c><c r="C325" s="369"><f>C324</f><v /></c><c r="D325" s="370"><f>D324</f><v /></c><c r="E325" s="371"><f>E324</f><v /></c><c r="F325" s="13" t="n" /><c r="G325" s="355" t="inlineStr"><is><t>PA25516717</t></is></c><c r="H325" s="313"><f>H324</f><v /></c><c r="I325" s="38"><f>I324</f><v /></c><c r="J325" s="314"><f>J324</f><v /></c><c r="K325" s="372"><f>K324</f><v /></c><c r="L325" s="372"><f>L324</f><v /></c><c r="M325" s="373" t="n"><v>175.36</v></c><c r="N325" s="373" t="n"><v>275.73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379"><f>W324</f><v /></c><c r="X325" s="379"><f>X324</f><v /></c><c r="Y325" s="373" t="n"><v>281.26</v></c><c r="Z325" s="373" t="n"><v>291.25</v></c><c r="AA325" s="380"><f>AA324</f><v /></c><c r="AB325" s="381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379"><f>AI324</f><v /></c><c r="AJ325" s="379"><f>AJ324</f><v /></c><c r="AK325" s="373"><f>Z325</f><v /></c><c r="AL325" s="373" t="n"><v>296.28</v></c><c r="AM325" s="382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3"><f>IF(I325&gt;=1,"NO CONFORME",IF(BK325="SIGDIFERENTES",BC325,BL325))</f><v /></c><c r="AU325" s="365"><f>B325=C325</f><v /></c><c r="AV325" s="365"><f>N325&lt;Y325</f><v /></c><c r="AW325" s="365"><f>Z325&lt;=AK325</f><v /></c><c r="AX325" s="365"><f>IF(I325&gt;=1,"Qcorrecto",IF(AND(AY325="aceptable",AZ325="aceptable",BA325="aceptable"),"Qcorrecto","Qincorrecto"))</f><v /></c><c r="AY325" s="366"><f>IF(AR325&lt;$AH$6,"error",IF(AR325&gt;$AH$6*1.1,"error","aceptable"))</f><v /></c><c r="AZ325" s="366"><f>IF(AF325&lt;$V$6,"error",IF(AF325&gt;$V$6*1.1,"error","aceptable"))</f><v /></c><c r="BA325" s="366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7"><f>SIGN(U325)</f><v /></c><c r="BE325" s="367"><f>SIGN(AG325)</f><v /></c><c r="BF325" s="367"><f>SIGN(AS325)</f><v /></c><c r="BG325" s="367"><f>CONCATENATE(BD325,BE325,BF325)</f><v /></c><c r="BH325" s="367"><f>IF(BG325="111","SI","SD")</f><v /></c><c r="BI325" s="367"><f>IF(BG325="-1-1-1","SI","SD")</f><v /></c><c r="BJ325" s="367"><f>OR(BH325="SI",BI325="SI")</f><v /></c><c r="BK325" s="367"><f>IF(BJ325=FALSE,"SIGDIFERENTES","SIGIGUALES")</f><v /></c><c r="BL325" s="366"><f>IF(BC325="NO CONFORME","NO CONFORME",IF(BB325="CONFORME","CONFORME","NO CONFORME"))</f><v /></c></row><row r="326" ht="14.4" customHeight="1" thickBot="1"><c r="A326" s="351" t="n"><v>318</v></c><c r="B326" s="369"><f>B325</f><v /></c><c r="C326" s="369"><f>C325</f><v /></c><c r="D326" s="370"><f>D325</f><v /></c><c r="E326" s="371"><f>E325</f><v /></c><c r="F326" s="13" t="n" /><c r="G326" s="355" t="inlineStr"><is><t>PA25516718</t></is></c><c r="H326" s="313"><f>H325</f><v /></c><c r="I326" s="38"><f>I325</f><v /></c><c r="J326" s="314"><f>J325</f><v /></c><c r="K326" s="372"><f>K325</f><v /></c><c r="L326" s="372"><f>L325</f><v /></c><c r="M326" s="373" t="n"><v>171.66</v></c><c r="N326" s="373" t="n"><v>271.35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379"><f>W325</f><v /></c><c r="X326" s="379"><f>X325</f><v /></c><c r="Y326" s="373" t="n"><v>276.86</v></c><c r="Z326" s="373" t="n"><v>286.82</v></c><c r="AA326" s="380"><f>AA325</f><v /></c><c r="AB326" s="381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379"><f>AI325</f><v /></c><c r="AJ326" s="379"><f>AJ325</f><v /></c><c r="AK326" s="373"><f>Z326</f><v /></c><c r="AL326" s="373" t="n"><v>291.81</v></c><c r="AM326" s="382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3"><f>IF(I326&gt;=1,"NO CONFORME",IF(BK326="SIGDIFERENTES",BC326,BL326))</f><v /></c><c r="AU326" s="365"><f>B326=C326</f><v /></c><c r="AV326" s="365"><f>N326&lt;Y326</f><v /></c><c r="AW326" s="365"><f>Z326&lt;=AK326</f><v /></c><c r="AX326" s="365"><f>IF(I326&gt;=1,"Qcorrecto",IF(AND(AY326="aceptable",AZ326="aceptable",BA326="aceptable"),"Qcorrecto","Qincorrecto"))</f><v /></c><c r="AY326" s="366"><f>IF(AR326&lt;$AH$6,"error",IF(AR326&gt;$AH$6*1.1,"error","aceptable"))</f><v /></c><c r="AZ326" s="366"><f>IF(AF326&lt;$V$6,"error",IF(AF326&gt;$V$6*1.1,"error","aceptable"))</f><v /></c><c r="BA326" s="366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7"><f>SIGN(U326)</f><v /></c><c r="BE326" s="367"><f>SIGN(AG326)</f><v /></c><c r="BF326" s="367"><f>SIGN(AS326)</f><v /></c><c r="BG326" s="367"><f>CONCATENATE(BD326,BE326,BF326)</f><v /></c><c r="BH326" s="367"><f>IF(BG326="111","SI","SD")</f><v /></c><c r="BI326" s="367"><f>IF(BG326="-1-1-1","SI","SD")</f><v /></c><c r="BJ326" s="367"><f>OR(BH326="SI",BI326="SI")</f><v /></c><c r="BK326" s="367"><f>IF(BJ326=FALSE,"SIGDIFERENTES","SIGIGUALES")</f><v /></c><c r="BL326" s="366"><f>IF(BC326="NO CONFORME","NO CONFORME",IF(BB326="CONFORME","CONFORME","NO CONFORME"))</f><v /></c></row><row r="327" ht="14.4" customHeight="1" thickBot="1"><c r="A327" s="351" t="n"><v>319</v></c><c r="B327" s="369"><f>B326</f><v /></c><c r="C327" s="369"><f>C326</f><v /></c><c r="D327" s="370"><f>D326</f><v /></c><c r="E327" s="371"><f>E326</f><v /></c><c r="F327" s="13" t="n" /><c r="G327" s="355" t="inlineStr"><is><t>PA25516719</t></is></c><c r="H327" s="313"><f>H326</f><v /></c><c r="I327" s="38"><f>I326</f><v /></c><c r="J327" s="314"><f>J326</f><v /></c><c r="K327" s="372"><f>K326</f><v /></c><c r="L327" s="372"><f>L326</f><v /></c><c r="M327" s="373" t="n"><v>171.78</v></c><c r="N327" s="373" t="n"><v>271.84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379"><f>W326</f><v /></c><c r="X327" s="379"><f>X326</f><v /></c><c r="Y327" s="373" t="n"><v>277.35</v></c><c r="Z327" s="373" t="n"><v>287.33</v></c><c r="AA327" s="380"><f>AA326</f><v /></c><c r="AB327" s="381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379"><f>AI326</f><v /></c><c r="AJ327" s="379"><f>AJ326</f><v /></c><c r="AK327" s="373"><f>Z327</f><v /></c><c r="AL327" s="373" t="n"><v>292.35</v></c><c r="AM327" s="382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3"><f>IF(I327&gt;=1,"NO CONFORME",IF(BK327="SIGDIFERENTES",BC327,BL327))</f><v /></c><c r="AU327" s="365"><f>B327=C327</f><v /></c><c r="AV327" s="365"><f>N327&lt;Y327</f><v /></c><c r="AW327" s="365"><f>Z327&lt;=AK327</f><v /></c><c r="AX327" s="365"><f>IF(I327&gt;=1,"Qcorrecto",IF(AND(AY327="aceptable",AZ327="aceptable",BA327="aceptable"),"Qcorrecto","Qincorrecto"))</f><v /></c><c r="AY327" s="366"><f>IF(AR327&lt;$AH$6,"error",IF(AR327&gt;$AH$6*1.1,"error","aceptable"))</f><v /></c><c r="AZ327" s="366"><f>IF(AF327&lt;$V$6,"error",IF(AF327&gt;$V$6*1.1,"error","aceptable"))</f><v /></c><c r="BA327" s="366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7"><f>SIGN(U327)</f><v /></c><c r="BE327" s="367"><f>SIGN(AG327)</f><v /></c><c r="BF327" s="367"><f>SIGN(AS327)</f><v /></c><c r="BG327" s="367"><f>CONCATENATE(BD327,BE327,BF327)</f><v /></c><c r="BH327" s="367"><f>IF(BG327="111","SI","SD")</f><v /></c><c r="BI327" s="367"><f>IF(BG327="-1-1-1","SI","SD")</f><v /></c><c r="BJ327" s="367"><f>OR(BH327="SI",BI327="SI")</f><v /></c><c r="BK327" s="367"><f>IF(BJ327=FALSE,"SIGDIFERENTES","SIGIGUALES")</f><v /></c><c r="BL327" s="366"><f>IF(BC327="NO CONFORME","NO CONFORME",IF(BB327="CONFORME","CONFORME","NO CONFORME"))</f><v /></c></row><row r="328" ht="15" customHeight="1" thickBot="1"><c r="A328" s="453" t="n"><v>320</v></c><c r="B328" s="454"><f>B327</f><v /></c><c r="C328" s="454"><f>C327</f><v /></c><c r="D328" s="455"><f>D327</f><v /></c><c r="E328" s="474"><f>E327</f><v /></c><c r="F328" s="52" t="n" /><c r="G328" s="457" t="inlineStr"><is><t>PA25516720</t></is></c><c r="H328" s="326"><f>H327</f><v /></c><c r="I328" s="98"><f>I327</f><v /></c><c r="J328" s="327"><f>J327</f><v /></c><c r="K328" s="458"><f>K327</f><v /></c><c r="L328" s="458"><f>L327</f><v /></c><c r="M328" s="459" t="n"><v>170.8</v></c><c r="N328" s="459" t="n"><v>270.76</v></c><c r="O328" s="460"><f>O327</f><v /></c><c r="P328" s="461"><f>P327</f><v /></c><c r="Q328" s="462"><f>LEFT(P328,1)</f><v /></c><c r="R328" s="462"><f>RIGHT(P328,6)</f><v /></c><c r="S328" s="462"><f>+(Q328*60+R328)/(60*60)</f><v /></c><c r="T328" s="463"><f>+O328/S328</f><v /></c><c r="U328" s="464"><f>+(((N328-M328-O328)/O328)*100)</f><v /></c><c r="V328" s="329"><f>V327</f><v /></c><c r="W328" s="465"><f>W327</f><v /></c><c r="X328" s="465"><f>X327</f><v /></c><c r="Y328" s="459" t="n"><v>276.3</v></c><c r="Z328" s="459" t="n"><v>286.29</v></c><c r="AA328" s="466"><f>AA327</f><v /></c><c r="AB328" s="467"><f>AB327</f><v /></c><c r="AC328" s="462"><f>LEFT(AB328,2)</f><v /></c><c r="AD328" s="462"><f>RIGHT(AB328,6)</f><v /></c><c r="AE328" s="462"><f>+(AC328*60+AD328)/(60*60)</f><v /></c><c r="AF328" s="463"><f>+AA328/AE328</f><v /></c><c r="AG328" s="468"><f>+(((Z328-Y328-AA328)/AA328)*100)</f><v /></c><c r="AH328" s="329"><f>AH327</f><v /></c><c r="AI328" s="465"><f>AI327</f><v /></c><c r="AJ328" s="465"><f>AJ327</f><v /></c><c r="AK328" s="459"><f>Z328</f><v /></c><c r="AL328" s="459" t="n"><v>291.3</v></c><c r="AM328" s="469"><f>AM327</f><v /></c><c r="AN328" s="461"><f>AN327</f><v /></c><c r="AO328" s="462"><f>LEFT(AN328,2)</f><v /></c><c r="AP328" s="462"><f>RIGHT(AN328,6)</f><v /></c><c r="AQ328" s="462"><f>+(AO328*60+AP328)/(60*60)</f><v /></c><c r="AR328" s="463"><f>+AM328/AQ328</f><v /></c><c r="AS328" s="468"><f>+(((AL328-AK328-AM328)/AM328)*100)</f><v /></c><c r="AT328" s="470"><f>IF(I328&gt;=1,"NO CONFORME",IF(BK328="SIGDIFERENTES",BC328,BL328))</f><v /></c><c r="AU328" s="426"><f>B328=C328</f><v /></c><c r="AV328" s="426"><f>N328&lt;Y328</f><v /></c><c r="AW328" s="426"><f>Z328&lt;=AK328</f><v /></c><c r="AX328" s="426"><f>IF(I328&gt;=1,"Qcorrecto",IF(AND(AY328="aceptable",AZ328="aceptable",BA328="aceptable"),"Qcorrecto","Qincorrecto"))</f><v /></c><c r="AY328" s="427"><f>IF(AR328&lt;$AH$6,"error",IF(AR328&gt;$AH$6*1.1,"error","aceptable"))</f><v /></c><c r="AZ328" s="427"><f>IF(AF328&lt;$V$6,"error",IF(AF328&gt;$V$6*1.1,"error","aceptable"))</f><v /></c><c r="BA328" s="427"><f>IF(T328&lt;$J$6*0.9,"error",IF(T328&gt;$J$6,"error","aceptable"))</f><v /></c><c r="BB328" s="428"><f>(IF(ABS(U328)&lt;1.05,"CONFORME",IF(ABS(AG328)&lt;1.05,"CONFORME",IF(ABS(AS328)&lt;2.55,"CONFORME","NO CONFORME"))))</f><v /></c><c r="BC328" s="429"><f>(IF(ABS(U328)&gt;2.05,"NO CONFORME",IF(ABS(AG328)&gt;2.05,"NO CONFORME",IF(ABS(AS328)&gt;5.05,"NO CONFORME","CONFORME"))))</f><v /></c><c r="BD328" s="430"><f>SIGN(U328)</f><v /></c><c r="BE328" s="430"><f>SIGN(AG328)</f><v /></c><c r="BF328" s="430"><f>SIGN(AS328)</f><v /></c><c r="BG328" s="430"><f>CONCATENATE(BD328,BE328,BF328)</f><v /></c><c r="BH328" s="430"><f>IF(BG328="111","SI","SD")</f><v /></c><c r="BI328" s="430"><f>IF(BG328="-1-1-1","SI","SD")</f><v /></c><c r="BJ328" s="430"><f>OR(BH328="SI",BI328="SI")</f><v /></c><c r="BK328" s="430"><f>IF(BJ328=FALSE,"SIGDIFERENTES","SIGIGUALES")</f><v /></c><c r="BL328" s="427"><f>IF(BC328="NO CONFORME","NO CONFORME",IF(BB328="CONFORME","CONFORME","NO CONFORME"))</f><v /></c></row><row r="329" ht="14.4" customHeight="1" thickBot="1"><c r="A329" s="351" t="n"><v>321</v></c><c r="B329" s="386"><f>B328</f><v /></c><c r="C329" s="386"><f>C328</f><v /></c><c r="D329" s="387"><f>D328</f><v /></c><c r="E329" s="475"><f>E328</f><v /></c><c r="F329" s="58" t="n" /><c r="G329" s="355" t="inlineStr"><is><t>PA25516721</t></is></c><c r="H329" s="388"><f>H328</f><v /></c><c r="I329" s="232"><f>I328</f><v /></c><c r="J329" s="389" t="n"><v>21.5</v></c><c r="K329" s="390" t="n"><v>8.209</v></c><c r="L329" s="390" t="n"><v>0.5610000000000001</v></c><c r="M329" s="356" t="n"><v>82.68000000000001</v></c><c r="N329" s="356" t="n"><v>182.04</v></c><c r="O329" s="391" t="n"><v>100.55</v></c><c r="P329" s="392" t="inlineStr"><is><t>2,32,090</t></is></c><c r="Q329" s="359"><f>LEFT(P329,1)</f><v /></c><c r="R329" s="359"><f>RIGHT(P329,6)</f><v /></c><c r="S329" s="359"><f>+(Q329*60+R329)/(60*60)</f><v /></c><c r="T329" s="360"><f>+O329/S329</f><v /></c><c r="U329" s="361"><f>+(((N329-M329-O329)/O329)*100)</f><v /></c><c r="V329" s="393" t="n"><v>21.5</v></c><c r="W329" s="394" t="n"><v>1.071</v></c><c r="X329" s="394" t="n"><v>1.061</v></c><c r="Y329" s="356" t="n"><v>188.35</v></c><c r="Z329" s="356" t="n"><v>198.35</v></c><c r="AA329" s="395" t="n"><v>10.04</v></c><c r="AB329" s="396" t="inlineStr"><is><t>22,29,940</t></is></c><c r="AC329" s="359"><f>LEFT(AB329,2)</f><v /></c><c r="AD329" s="359"><f>RIGHT(AB329,6)</f><v /></c><c r="AE329" s="359"><f>+(AC329*60+AD329)/(60*60)</f><v /></c><c r="AF329" s="360"><f>+AA329/AE329</f><v /></c><c r="AG329" s="362"><f>+(((Z329-Y329-AA329)/AA329)*100)</f><v /></c><c r="AH329" s="393" t="n"><v>21.3</v></c><c r="AI329" s="394" t="n"><v>1.071</v></c><c r="AJ329" s="394" t="n"><v>1.062</v></c><c r="AK329" s="356"><f>Z329</f><v /></c><c r="AL329" s="356" t="n"><v>203.35</v></c><c r="AM329" s="397" t="n"><v>5.001</v></c><c r="AN329" s="392" t="inlineStr"><is><t>18,26,550</t></is></c><c r="AO329" s="359"><f>LEFT(AN329,2)</f><v /></c><c r="AP329" s="359"><f>RIGHT(AN329,6)</f><v /></c><c r="AQ329" s="359"><f>+(AO329*60+AP329)/(60*60)</f><v /></c><c r="AR329" s="360"><f>+AM329/AQ329</f><v /></c><c r="AS329" s="362"><f>+(((AL329-AK329-AM329)/AM329)*100)</f><v /></c><c r="AT329" s="364"><f>IF(I329&gt;=1,"NO CONFORME",IF(BK329="SIGDIFERENTES",BC329,BL329))</f><v /></c><c r="AU329" s="365"><f>B329=C329</f><v /></c><c r="AV329" s="365"><f>N329&lt;Y329</f><v /></c><c r="AW329" s="365"><f>Z329&lt;=AK329</f><v /></c><c r="AX329" s="365"><f>IF(I329&gt;=1,"Qcorrecto",IF(AND(AY329="aceptable",AZ329="aceptable",BA329="aceptable"),"Qcorrecto","Qincorrecto"))</f><v /></c><c r="AY329" s="368"><f>IF(AR329&lt;$AH$6,"error",IF(AR329&gt;$AH$6*1.1,"error","aceptable"))</f><v /></c><c r="AZ329" s="368"><f>IF(AF329&lt;$V$6,"error",IF(AF329&gt;$V$6*1.1,"error","aceptable"))</f><v /></c><c r="BA329" s="368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7"><f>SIGN(U329)</f><v /></c><c r="BE329" s="367"><f>SIGN(AG329)</f><v /></c><c r="BF329" s="367"><f>SIGN(AS329)</f><v /></c><c r="BG329" s="367"><f>CONCATENATE(BD329,BE329,BF329)</f><v /></c><c r="BH329" s="367"><f>IF(BG329="111","SI","SD")</f><v /></c><c r="BI329" s="367"><f>IF(BG329="-1-1-1","SI","SD")</f><v /></c><c r="BJ329" s="367"><f>OR(BH329="SI",BI329="SI")</f><v /></c><c r="BK329" s="367"><f>IF(BJ329=FALSE,"SIGDIFERENTES","SIGIGUALES")</f><v /></c><c r="BL329" s="368"><f>IF(BC329="NO CONFORME","NO CONFORME",IF(BB329="CONFORME","CONFORME","NO CONFORME"))</f><v /></c></row><row r="330" ht="14.4" customHeight="1" thickBot="1"><c r="A330" s="351" t="n"><v>322</v></c><c r="B330" s="369"><f>B329</f><v /></c><c r="C330" s="369"><f>C329</f><v /></c><c r="D330" s="370"><f>D329</f><v /></c><c r="E330" s="371"><f>E329</f><v /></c><c r="F330" s="13" t="n" /><c r="G330" s="355" t="inlineStr"><is><t>PA25516722</t></is></c><c r="H330" s="313"><f>H329</f><v /></c><c r="I330" s="38"><f>I329</f><v /></c><c r="J330" s="314"><f>J329</f><v /></c><c r="K330" s="372"><f>K329</f><v /></c><c r="L330" s="372"><f>L329</f><v /></c><c r="M330" s="373" t="n"><v>123.65</v></c><c r="N330" s="373" t="n"><v>223.7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379"><f>W329</f><v /></c><c r="X330" s="379"><f>X329</f><v /></c><c r="Y330" s="373" t="n"><v>230.06</v></c><c r="Z330" s="373" t="n"><v>240.06</v></c><c r="AA330" s="380"><f>AA329</f><v /></c><c r="AB330" s="381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379"><f>AI329</f><v /></c><c r="AJ330" s="379"><f>AJ329</f><v /></c><c r="AK330" s="373"><f>Z330</f><v /></c><c r="AL330" s="373" t="n"><v>245.06</v></c><c r="AM330" s="382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3"><f>IF(I330&gt;=1,"NO CONFORME",IF(BK330="SIGDIFERENTES",BC330,BL330))</f><v /></c><c r="AU330" s="365"><f>B330=C330</f><v /></c><c r="AV330" s="365"><f>N330&lt;Y330</f><v /></c><c r="AW330" s="365"><f>Z330&lt;=AK330</f><v /></c><c r="AX330" s="365"><f>IF(I330&gt;=1,"Qcorrecto",IF(AND(AY330="aceptable",AZ330="aceptable",BA330="aceptable"),"Qcorrecto","Qincorrecto"))</f><v /></c><c r="AY330" s="366"><f>IF(AR330&lt;$AH$6,"error",IF(AR330&gt;$AH$6*1.1,"error","aceptable"))</f><v /></c><c r="AZ330" s="366"><f>IF(AF330&lt;$V$6,"error",IF(AF330&gt;$V$6*1.1,"error","aceptable"))</f><v /></c><c r="BA330" s="366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7"><f>SIGN(U330)</f><v /></c><c r="BE330" s="367"><f>SIGN(AG330)</f><v /></c><c r="BF330" s="367"><f>SIGN(AS330)</f><v /></c><c r="BG330" s="367"><f>CONCATENATE(BD330,BE330,BF330)</f><v /></c><c r="BH330" s="367"><f>IF(BG330="111","SI","SD")</f><v /></c><c r="BI330" s="367"><f>IF(BG330="-1-1-1","SI","SD")</f><v /></c><c r="BJ330" s="367"><f>OR(BH330="SI",BI330="SI")</f><v /></c><c r="BK330" s="367"><f>IF(BJ330=FALSE,"SIGDIFERENTES","SIGIGUALES")</f><v /></c><c r="BL330" s="366"><f>IF(BC330="NO CONFORME","NO CONFORME",IF(BB330="CONFORME","CONFORME","NO CONFORME"))</f><v /></c></row><row r="331" ht="14.4" customHeight="1" thickBot="1"><c r="A331" s="398" t="n"><v>323</v></c><c r="B331" s="399"><f>B330</f><v /></c><c r="C331" s="399"><f>C330</f><v /></c><c r="D331" s="400"><f>D330</f><v /></c><c r="E331" s="456"><f>E330</f><v /></c><c r="F331" s="56" t="n" /><c r="G331" s="355" t="inlineStr"><is><t>PA25516723</t></is></c><c r="H331" s="401"><f>H330</f><v /></c><c r="I331" s="402"><f>I330</f><v /></c><c r="J331" s="403"><f>J330</f><v /></c><c r="K331" s="404"><f>K330</f><v /></c><c r="L331" s="404"><f>L330</f><v /></c><c r="M331" s="405" t="n"><v>82.8</v></c><c r="N331" s="405" t="n"><v>182.44</v></c><c r="O331" s="406"><f>O330</f><v /></c><c r="P331" s="407"><f>P330</f><v /></c><c r="Q331" s="408"><f>LEFT(P331,1)</f><v /></c><c r="R331" s="408"><f>RIGHT(P331,6)</f><v /></c><c r="S331" s="408"><f>+(Q331*60+R331)/(60*60)</f><v /></c><c r="T331" s="409"><f>+O331/S331</f><v /></c><c r="U331" s="410"><f>+(((N331-M331-O331)/O331)*100)</f><v /></c><c r="V331" s="411"><f>V330</f><v /></c><c r="W331" s="412"><f>W330</f><v /></c><c r="X331" s="412"><f>X330</f><v /></c><c r="Y331" s="405" t="n"><v>188.71</v></c><c r="Z331" s="405" t="n"><v>198.56</v></c><c r="AA331" s="413"><f>AA330</f><v /></c><c r="AB331" s="414"><f>AB330</f><v /></c><c r="AC331" s="408"><f>LEFT(AB331,2)</f><v /></c><c r="AD331" s="408"><f>RIGHT(AB331,6)</f><v /></c><c r="AE331" s="408"><f>+(AC331*60+AD331)/(60*60)</f><v /></c><c r="AF331" s="409"><f>+AA331/AE331</f><v /></c><c r="AG331" s="415"><f>+(((Z331-Y331-AA331)/AA331)*100)</f><v /></c><c r="AH331" s="411"><f>AH330</f><v /></c><c r="AI331" s="412"><f>AI330</f><v /></c><c r="AJ331" s="412"><f>AJ330</f><v /></c><c r="AK331" s="405"><f>Z331</f><v /></c><c r="AL331" s="405" t="n"><v>203.54</v></c><c r="AM331" s="416"><f>AM330</f><v /></c><c r="AN331" s="407"><f>AN330</f><v /></c><c r="AO331" s="408"><f>LEFT(AN331,2)</f><v /></c><c r="AP331" s="408"><f>RIGHT(AN331,6)</f><v /></c><c r="AQ331" s="408"><f>+(AO331*60+AP331)/(60*60)</f><v /></c><c r="AR331" s="409"><f>+AM331/AQ331</f><v /></c><c r="AS331" s="415"><f>+(((AL331-AK331-AM331)/AM331)*100)</f><v /></c><c r="AT331" s="417"><f>IF(I331&gt;=1,"NO CONFORME",IF(BK331="SIGDIFERENTES",BC331,BL331))</f><v /></c><c r="AU331" s="365"><f>B331=C331</f><v /></c><c r="AV331" s="365"><f>N331&lt;Y331</f><v /></c><c r="AW331" s="365"><f>Z331&lt;=AK331</f><v /></c><c r="AX331" s="365"><f>IF(I331&gt;=1,"Qcorrecto",IF(AND(AY331="aceptable",AZ331="aceptable",BA331="aceptable"),"Qcorrecto","Qincorrecto"))</f><v /></c><c r="AY331" s="418"><f>IF(AR331&lt;$AH$6,"error",IF(AR331&gt;$AH$6*1.1,"error","aceptable"))</f><v /></c><c r="AZ331" s="418"><f>IF(AF331&lt;$V$6,"error",IF(AF331&gt;$V$6*1.1,"error","aceptable"))</f><v /></c><c r="BA331" s="418"><f>IF(T331&lt;$J$6*0.9,"error",IF(T331&gt;$J$6,"error","aceptable"))</f><v /></c><c r="BB331" s="419"><f>(IF(ABS(U331)&lt;1.05,"CONFORME",IF(ABS(AG331)&lt;1.05,"CONFORME",IF(ABS(AS331)&lt;2.55,"CONFORME","NO CONFORME"))))</f><v /></c><c r="BC331" s="420"><f>(IF(ABS(U331)&gt;2.05,"NO CONFORME",IF(ABS(AG331)&gt;2.05,"NO CONFORME",IF(ABS(AS331)&gt;5.05,"NO CONFORME","CONFORME"))))</f><v /></c><c r="BD331" s="367"><f>SIGN(U331)</f><v /></c><c r="BE331" s="367"><f>SIGN(AG331)</f><v /></c><c r="BF331" s="367"><f>SIGN(AS331)</f><v /></c><c r="BG331" s="367"><f>CONCATENATE(BD331,BE331,BF331)</f><v /></c><c r="BH331" s="367"><f>IF(BG331="111","SI","SD")</f><v /></c><c r="BI331" s="367"><f>IF(BG331="-1-1-1","SI","SD")</f><v /></c><c r="BJ331" s="367"><f>OR(BH331="SI",BI331="SI")</f><v /></c><c r="BK331" s="367"><f>IF(BJ331=FALSE,"SIGDIFERENTES","SIGIGUALES")</f><v /></c><c r="BL331" s="418"><f>IF(BC331="NO CONFORME","NO CONFORME",IF(BB331="CONFORME","CONFORME","NO CONFORME"))</f><v /></c></row><row r="332" ht="14.4" customHeight="1" thickBot="1"><c r="A332" s="371" t="n"><v>324</v></c><c r="B332" s="369"><f>B331</f><v /></c><c r="C332" s="369"><f>C331</f><v /></c><c r="D332" s="370"><f>D331</f><v /></c><c r="E332" s="371"><f>E331</f><v /></c><c r="F332" s="13" t="n" /><c r="G332" s="355" t="inlineStr"><is><t>PA25516724</t></is></c><c r="H332" s="313"><f>H331</f><v /></c><c r="I332" s="38"><f>I331</f><v /></c><c r="J332" s="314"><f>J331</f><v /></c><c r="K332" s="372"><f>K331</f><v /></c><c r="L332" s="372"><f>L331</f><v /></c><c r="M332" s="373" t="n"><v>83.95</v></c><c r="N332" s="373" t="n"><v>184.4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379"><f>W331</f><v /></c><c r="X332" s="379"><f>X331</f><v /></c><c r="Y332" s="373" t="n"><v>190.75</v></c><c r="Z332" s="373" t="n"><v>200.8</v></c><c r="AA332" s="380"><f>AA331</f><v /></c><c r="AB332" s="381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379"><f>AI331</f><v /></c><c r="AJ332" s="379"><f>AJ331</f><v /></c><c r="AK332" s="373"><f>Z332</f><v /></c><c r="AL332" s="373" t="n"><v>205.82</v></c><c r="AM332" s="382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3"><f>IF(I332&gt;=1,"NO CONFORME",IF(BK332="SIGDIFERENTES",BC332,BL332))</f><v /></c><c r="AU332" s="421"><f>B332=C332</f><v /></c><c r="AV332" s="421"><f>N332&lt;Y332</f><v /></c><c r="AW332" s="421"><f>Z332&lt;=AK332</f><v /></c><c r="AX332" s="421"><f>IF(I332&gt;=1,"Qcorrecto",IF(AND(AY332="aceptable",AZ332="aceptable",BA332="aceptable"),"Qcorrecto","Qincorrecto"))</f><v /></c><c r="AY332" s="366"><f>IF(AR332&lt;$AH$6,"error",IF(AR332&gt;$AH$6*1.1,"error","aceptable"))</f><v /></c><c r="AZ332" s="366"><f>IF(AF332&lt;$V$6,"error",IF(AF332&gt;$V$6*1.1,"error","aceptable"))</f><v /></c><c r="BA332" s="366"><f>IF(T332&lt;$J$6*0.9,"error",IF(T332&gt;$J$6,"error","aceptable"))</f><v /></c><c r="BB332" s="422"><f>(IF(ABS(U332)&lt;1.05,"CONFORME",IF(ABS(AG332)&lt;1.05,"CONFORME",IF(ABS(AS332)&lt;2.55,"CONFORME","NO CONFORME"))))</f><v /></c><c r="BC332" s="423"><f>(IF(ABS(U332)&gt;2.05,"NO CONFORME",IF(ABS(AG332)&gt;2.05,"NO CONFORME",IF(ABS(AS332)&gt;5.05,"NO CONFORME","CONFORME"))))</f><v /></c><c r="BD332" s="424"><f>SIGN(U332)</f><v /></c><c r="BE332" s="424"><f>SIGN(AG332)</f><v /></c><c r="BF332" s="424"><f>SIGN(AS332)</f><v /></c><c r="BG332" s="424"><f>CONCATENATE(BD332,BE332,BF332)</f><v /></c><c r="BH332" s="424"><f>IF(BG332="111","SI","SD")</f><v /></c><c r="BI332" s="424"><f>IF(BG332="-1-1-1","SI","SD")</f><v /></c><c r="BJ332" s="424"><f>OR(BH332="SI",BI332="SI")</f><v /></c><c r="BK332" s="424"><f>IF(BJ332=FALSE,"SIGDIFERENTES","SIGIGUALES")</f><v /></c><c r="BL332" s="366"><f>IF(BC332="NO CONFORME","NO CONFORME",IF(BB332="CONFORME","CONFORME","NO CONFORME"))</f><v /></c></row><row r="333" ht="14.4" customHeight="1" thickBot="1"><c r="A333" s="351" t="n"><v>325</v></c><c r="B333" s="386"><f>B332</f><v /></c><c r="C333" s="386"><f>C332</f><v /></c><c r="D333" s="387"><f>D332</f><v /></c><c r="E333" s="475"><f>E332</f><v /></c><c r="F333" s="58" t="n" /><c r="G333" s="355" t="inlineStr"><is><t>PA25516725</t></is></c><c r="H333" s="388"><f>H332</f><v /></c><c r="I333" s="232"><f>I332</f><v /></c><c r="J333" s="314"><f>J332</f><v /></c><c r="K333" s="372"><f>K332</f><v /></c><c r="L333" s="372"><f>L332</f><v /></c><c r="M333" s="356" t="n"><v>83.75</v></c><c r="N333" s="356" t="n"><v>183.8</v></c><c r="O333" s="374"><f>O332</f><v /></c><c r="P333" s="375"><f>P332</f><v /></c><c r="Q333" s="359"><f>LEFT(P333,1)</f><v /></c><c r="R333" s="359"><f>RIGHT(P333,6)</f><v /></c><c r="S333" s="359"><f>+(Q333*60+R333)/(60*60)</f><v /></c><c r="T333" s="360"><f>+O333/S333</f><v /></c><c r="U333" s="361"><f>+(((N333-M333-O333)/O333)*100)</f><v /></c><c r="V333" s="317"><f>V332</f><v /></c><c r="W333" s="379"><f>W332</f><v /></c><c r="X333" s="379"><f>X332</f><v /></c><c r="Y333" s="356" t="n"><v>190.14</v></c><c r="Z333" s="356" t="n"><v>200.19</v></c><c r="AA333" s="380"><f>AA332</f><v /></c><c r="AB333" s="381"><f>AB332</f><v /></c><c r="AC333" s="359"><f>LEFT(AB333,2)</f><v /></c><c r="AD333" s="359"><f>RIGHT(AB333,6)</f><v /></c><c r="AE333" s="359"><f>+(AC333*60+AD333)/(60*60)</f><v /></c><c r="AF333" s="360"><f>+AA333/AE333</f><v /></c><c r="AG333" s="362"><f>+(((Z333-Y333-AA333)/AA333)*100)</f><v /></c><c r="AH333" s="317"><f>AH332</f><v /></c><c r="AI333" s="379"><f>AI332</f><v /></c><c r="AJ333" s="379"><f>AJ332</f><v /></c><c r="AK333" s="356"><f>Z333</f><v /></c><c r="AL333" s="356" t="n"><v>205.19</v></c><c r="AM333" s="382"><f>AM332</f><v /></c><c r="AN333" s="375"><f>AN332</f><v /></c><c r="AO333" s="359"><f>LEFT(AN333,2)</f><v /></c><c r="AP333" s="359"><f>RIGHT(AN333,6)</f><v /></c><c r="AQ333" s="359"><f>+(AO333*60+AP333)/(60*60)</f><v /></c><c r="AR333" s="360"><f>+AM333/AQ333</f><v /></c><c r="AS333" s="362"><f>+(((AL333-AK333-AM333)/AM333)*100)</f><v /></c><c r="AT333" s="364"><f>IF(I333&gt;=1,"NO CONFORME",IF(BK333="SIGDIFERENTES",BC333,BL333))</f><v /></c><c r="AU333" s="365"><f>B333=C333</f><v /></c><c r="AV333" s="365"><f>N333&lt;Y333</f><v /></c><c r="AW333" s="365"><f>Z333&lt;=AK333</f><v /></c><c r="AX333" s="365"><f>IF(I333&gt;=1,"Qcorrecto",IF(AND(AY333="aceptable",AZ333="aceptable",BA333="aceptable"),"Qcorrecto","Qincorrecto"))</f><v /></c><c r="AY333" s="368"><f>IF(AR333&lt;$AH$6,"error",IF(AR333&gt;$AH$6*1.1,"error","aceptable"))</f><v /></c><c r="AZ333" s="368"><f>IF(AF333&lt;$V$6,"error",IF(AF333&gt;$V$6*1.1,"error","aceptable"))</f><v /></c><c r="BA333" s="368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7"><f>SIGN(U333)</f><v /></c><c r="BE333" s="367"><f>SIGN(AG333)</f><v /></c><c r="BF333" s="367"><f>SIGN(AS333)</f><v /></c><c r="BG333" s="367"><f>CONCATENATE(BD333,BE333,BF333)</f><v /></c><c r="BH333" s="367"><f>IF(BG333="111","SI","SD")</f><v /></c><c r="BI333" s="367"><f>IF(BG333="-1-1-1","SI","SD")</f><v /></c><c r="BJ333" s="367"><f>OR(BH333="SI",BI333="SI")</f><v /></c><c r="BK333" s="367"><f>IF(BJ333=FALSE,"SIGDIFERENTES","SIGIGUALES")</f><v /></c><c r="BL333" s="368"><f>IF(BC333="NO CONFORME","NO CONFORME",IF(BB333="CONFORME","CONFORME","NO CONFORME"))</f><v /></c></row><row r="334" ht="14.4" customHeight="1" thickBot="1"><c r="A334" s="351" t="n"><v>326</v></c><c r="B334" s="369"><f>B333</f><v /></c><c r="C334" s="369"><f>C333</f><v /></c><c r="D334" s="370"><f>D333</f><v /></c><c r="E334" s="371"><f>E333</f><v /></c><c r="F334" s="13" t="n" /><c r="G334" s="355" t="inlineStr"><is><t>PA25516726</t></is></c><c r="H334" s="313"><f>H333</f><v /></c><c r="I334" s="38"><f>I333</f><v /></c><c r="J334" s="314"><f>J333</f><v /></c><c r="K334" s="372"><f>K333</f><v /></c><c r="L334" s="372"><f>L333</f><v /></c><c r="M334" s="373" t="n"><v>85</v></c><c r="N334" s="373" t="n"><v>184.9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379"><f>W333</f><v /></c><c r="X334" s="379"><f>X333</f><v /></c><c r="Y334" s="373" t="n"><v>191.18</v></c><c r="Z334" s="373" t="n"><v>201.16</v></c><c r="AA334" s="380"><f>AA333</f><v /></c><c r="AB334" s="381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379"><f>AI333</f><v /></c><c r="AJ334" s="379"><f>AJ333</f><v /></c><c r="AK334" s="373"><f>Z334</f><v /></c><c r="AL334" s="373" t="n"><v>206.15</v></c><c r="AM334" s="382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3"><f>IF(I334&gt;=1,"NO CONFORME",IF(BK334="SIGDIFERENTES",BC334,BL334))</f><v /></c><c r="AU334" s="365"><f>B334=C334</f><v /></c><c r="AV334" s="365"><f>N334&lt;Y334</f><v /></c><c r="AW334" s="365"><f>Z334&lt;=AK334</f><v /></c><c r="AX334" s="365"><f>IF(I334&gt;=1,"Qcorrecto",IF(AND(AY334="aceptable",AZ334="aceptable",BA334="aceptable"),"Qcorrecto","Qincorrecto"))</f><v /></c><c r="AY334" s="366"><f>IF(AR334&lt;$AH$6,"error",IF(AR334&gt;$AH$6*1.1,"error","aceptable"))</f><v /></c><c r="AZ334" s="366"><f>IF(AF334&lt;$V$6,"error",IF(AF334&gt;$V$6*1.1,"error","aceptable"))</f><v /></c><c r="BA334" s="366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7"><f>SIGN(U334)</f><v /></c><c r="BE334" s="367"><f>SIGN(AG334)</f><v /></c><c r="BF334" s="367"><f>SIGN(AS334)</f><v /></c><c r="BG334" s="367"><f>CONCATENATE(BD334,BE334,BF334)</f><v /></c><c r="BH334" s="367"><f>IF(BG334="111","SI","SD")</f><v /></c><c r="BI334" s="367"><f>IF(BG334="-1-1-1","SI","SD")</f><v /></c><c r="BJ334" s="367"><f>OR(BH334="SI",BI334="SI")</f><v /></c><c r="BK334" s="367"><f>IF(BJ334=FALSE,"SIGDIFERENTES","SIGIGUALES")</f><v /></c><c r="BL334" s="366"><f>IF(BC334="NO CONFORME","NO CONFORME",IF(BB334="CONFORME","CONFORME","NO CONFORME"))</f><v /></c></row><row r="335" ht="14.4" customHeight="1" thickBot="1"><c r="A335" s="351" t="n"><v>327</v></c><c r="B335" s="369"><f>B334</f><v /></c><c r="C335" s="369"><f>C334</f><v /></c><c r="D335" s="370"><f>D334</f><v /></c><c r="E335" s="371"><f>E334</f><v /></c><c r="F335" s="13" t="n" /><c r="G335" s="355" t="inlineStr"><is><t>PA25516727</t></is></c><c r="H335" s="313"><f>H334</f><v /></c><c r="I335" s="38"><f>I334</f><v /></c><c r="J335" s="314"><f>J334</f><v /></c><c r="K335" s="372"><f>K334</f><v /></c><c r="L335" s="372"><f>L334</f><v /></c><c r="M335" s="373" t="n"><v>158.49</v></c><c r="N335" s="373" t="n"><v>258.2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379"><f>W334</f><v /></c><c r="X335" s="379"><f>X334</f><v /></c><c r="Y335" s="373" t="n"><v>264.48</v></c><c r="Z335" s="373" t="n"><v>274.47</v></c><c r="AA335" s="380"><f>AA334</f><v /></c><c r="AB335" s="381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379"><f>AI334</f><v /></c><c r="AJ335" s="379"><f>AJ334</f><v /></c><c r="AK335" s="373"><f>Z335</f><v /></c><c r="AL335" s="373" t="n"><v>279.46</v></c><c r="AM335" s="382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3"><f>IF(I335&gt;=1,"NO CONFORME",IF(BK335="SIGDIFERENTES",BC335,BL335))</f><v /></c><c r="AU335" s="365"><f>B335=C335</f><v /></c><c r="AV335" s="365"><f>N335&lt;Y335</f><v /></c><c r="AW335" s="365"><f>Z335&lt;=AK335</f><v /></c><c r="AX335" s="365"><f>IF(I335&gt;=1,"Qcorrecto",IF(AND(AY335="aceptable",AZ335="aceptable",BA335="aceptable"),"Qcorrecto","Qincorrecto"))</f><v /></c><c r="AY335" s="366"><f>IF(AR335&lt;$AH$6,"error",IF(AR335&gt;$AH$6*1.1,"error","aceptable"))</f><v /></c><c r="AZ335" s="366"><f>IF(AF335&lt;$V$6,"error",IF(AF335&gt;$V$6*1.1,"error","aceptable"))</f><v /></c><c r="BA335" s="366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7"><f>SIGN(U335)</f><v /></c><c r="BE335" s="367"><f>SIGN(AG335)</f><v /></c><c r="BF335" s="367"><f>SIGN(AS335)</f><v /></c><c r="BG335" s="367"><f>CONCATENATE(BD335,BE335,BF335)</f><v /></c><c r="BH335" s="367"><f>IF(BG335="111","SI","SD")</f><v /></c><c r="BI335" s="367"><f>IF(BG335="-1-1-1","SI","SD")</f><v /></c><c r="BJ335" s="367"><f>OR(BH335="SI",BI335="SI")</f><v /></c><c r="BK335" s="367"><f>IF(BJ335=FALSE,"SIGDIFERENTES","SIGIGUALES")</f><v /></c><c r="BL335" s="366"><f>IF(BC335="NO CONFORME","NO CONFORME",IF(BB335="CONFORME","CONFORME","NO CONFORME"))</f><v /></c></row><row r="336" ht="14.4" customHeight="1" thickBot="1"><c r="A336" s="351" t="n"><v>328</v></c><c r="B336" s="369"><f>B335</f><v /></c><c r="C336" s="369"><f>C335</f><v /></c><c r="D336" s="370"><f>D335</f><v /></c><c r="E336" s="371"><f>E335</f><v /></c><c r="F336" s="13" t="n" /><c r="G336" s="355" t="inlineStr"><is><t>PA25516728</t></is></c><c r="H336" s="313"><f>H335</f><v /></c><c r="I336" s="38"><f>I335</f><v /></c><c r="J336" s="314"><f>J335</f><v /></c><c r="K336" s="372"><f>K335</f><v /></c><c r="L336" s="372"><f>L335</f><v /></c><c r="M336" s="373" t="n"><v>81.45</v></c><c r="N336" s="373" t="n"><v>181.11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379"><f>W335</f><v /></c><c r="X336" s="379"><f>X335</f><v /></c><c r="Y336" s="373" t="n"><v>187.42</v></c><c r="Z336" s="373" t="n"><v>197.42</v></c><c r="AA336" s="380"><f>AA335</f><v /></c><c r="AB336" s="381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379"><f>AI335</f><v /></c><c r="AJ336" s="379"><f>AJ335</f><v /></c><c r="AK336" s="373"><f>Z336</f><v /></c><c r="AL336" s="373" t="n"><v>202.41</v></c><c r="AM336" s="382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3"><f>IF(I336&gt;=1,"NO CONFORME",IF(BK336="SIGDIFERENTES",BC336,BL336))</f><v /></c><c r="AU336" s="365"><f>B336=C336</f><v /></c><c r="AV336" s="365"><f>N336&lt;Y336</f><v /></c><c r="AW336" s="365"><f>Z336&lt;=AK336</f><v /></c><c r="AX336" s="365"><f>IF(I336&gt;=1,"Qcorrecto",IF(AND(AY336="aceptable",AZ336="aceptable",BA336="aceptable"),"Qcorrecto","Qincorrecto"))</f><v /></c><c r="AY336" s="366"><f>IF(AR336&lt;$AH$6,"error",IF(AR336&gt;$AH$6*1.1,"error","aceptable"))</f><v /></c><c r="AZ336" s="366"><f>IF(AF336&lt;$V$6,"error",IF(AF336&gt;$V$6*1.1,"error","aceptable"))</f><v /></c><c r="BA336" s="366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7"><f>SIGN(U336)</f><v /></c><c r="BE336" s="367"><f>SIGN(AG336)</f><v /></c><c r="BF336" s="367"><f>SIGN(AS336)</f><v /></c><c r="BG336" s="367"><f>CONCATENATE(BD336,BE336,BF336)</f><v /></c><c r="BH336" s="367"><f>IF(BG336="111","SI","SD")</f><v /></c><c r="BI336" s="367"><f>IF(BG336="-1-1-1","SI","SD")</f><v /></c><c r="BJ336" s="367"><f>OR(BH336="SI",BI336="SI")</f><v /></c><c r="BK336" s="367"><f>IF(BJ336=FALSE,"SIGDIFERENTES","SIGIGUALES")</f><v /></c><c r="BL336" s="366"><f>IF(BC336="NO CONFORME","NO CONFORME",IF(BB336="CONFORME","CONFORME","NO CONFORME"))</f><v /></c></row><row r="337" ht="14.4" customHeight="1" thickBot="1"><c r="A337" s="351" t="n"><v>329</v></c><c r="B337" s="369"><f>B336</f><v /></c><c r="C337" s="369"><f>C336</f><v /></c><c r="D337" s="370"><f>D336</f><v /></c><c r="E337" s="371"><f>E336</f><v /></c><c r="F337" s="13" t="n" /><c r="G337" s="355" t="inlineStr"><is><t>PA25516729</t></is></c><c r="H337" s="313"><f>H336</f><v /></c><c r="I337" s="38"><f>I336</f><v /></c><c r="J337" s="314"><f>J336</f><v /></c><c r="K337" s="372"><f>K336</f><v /></c><c r="L337" s="372"><f>L336</f><v /></c><c r="M337" s="373" t="n"><v>82.95999999999999</v></c><c r="N337" s="373" t="n"><v>182.3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379"><f>W336</f><v /></c><c r="X337" s="379"><f>X336</f><v /></c><c r="Y337" s="373" t="n"><v>188.65</v></c><c r="Z337" s="373" t="n"><v>198.7</v></c><c r="AA337" s="380"><f>AA336</f><v /></c><c r="AB337" s="381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379"><f>AI336</f><v /></c><c r="AJ337" s="379"><f>AJ336</f><v /></c><c r="AK337" s="373"><f>Z337</f><v /></c><c r="AL337" s="373" t="n"><v>203.72</v></c><c r="AM337" s="382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3"><f>IF(I337&gt;=1,"NO CONFORME",IF(BK337="SIGDIFERENTES",BC337,BL337))</f><v /></c><c r="AU337" s="365"><f>B337=C337</f><v /></c><c r="AV337" s="365"><f>N337&lt;Y337</f><v /></c><c r="AW337" s="365"><f>Z337&lt;=AK337</f><v /></c><c r="AX337" s="365"><f>IF(I337&gt;=1,"Qcorrecto",IF(AND(AY337="aceptable",AZ337="aceptable",BA337="aceptable"),"Qcorrecto","Qincorrecto"))</f><v /></c><c r="AY337" s="366"><f>IF(AR337&lt;$AH$6,"error",IF(AR337&gt;$AH$6*1.1,"error","aceptable"))</f><v /></c><c r="AZ337" s="366"><f>IF(AF337&lt;$V$6,"error",IF(AF337&gt;$V$6*1.1,"error","aceptable"))</f><v /></c><c r="BA337" s="366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7"><f>SIGN(U337)</f><v /></c><c r="BE337" s="367"><f>SIGN(AG337)</f><v /></c><c r="BF337" s="367"><f>SIGN(AS337)</f><v /></c><c r="BG337" s="367"><f>CONCATENATE(BD337,BE337,BF337)</f><v /></c><c r="BH337" s="367"><f>IF(BG337="111","SI","SD")</f><v /></c><c r="BI337" s="367"><f>IF(BG337="-1-1-1","SI","SD")</f><v /></c><c r="BJ337" s="367"><f>OR(BH337="SI",BI337="SI")</f><v /></c><c r="BK337" s="367"><f>IF(BJ337=FALSE,"SIGDIFERENTES","SIGIGUALES")</f><v /></c><c r="BL337" s="366"><f>IF(BC337="NO CONFORME","NO CONFORME",IF(BB337="CONFORME","CONFORME","NO CONFORME"))</f><v /></c></row><row r="338" ht="14.4" customHeight="1" thickBot="1"><c r="A338" s="351" t="n"><v>330</v></c><c r="B338" s="369"><f>B337</f><v /></c><c r="C338" s="369"><f>C337</f><v /></c><c r="D338" s="370"><f>D337</f><v /></c><c r="E338" s="371"><f>E337</f><v /></c><c r="F338" s="13" t="n" /><c r="G338" s="355" t="inlineStr"><is><t>PA25516730</t></is></c><c r="H338" s="313"><f>H337</f><v /></c><c r="I338" s="38"><f>I337</f><v /></c><c r="J338" s="314"><f>J337</f><v /></c><c r="K338" s="372"><f>K337</f><v /></c><c r="L338" s="372"><f>L337</f><v /></c><c r="M338" s="373" t="n"><v>82</v></c><c r="N338" s="373" t="n"><v>181.81</v></c><c r="O338" s="374"><f>O337</f><v /></c><c r="P338" s="375"><f>P337</f><v /></c><c r="Q338" s="376"><f>LEFT(P338,1)</f><v /></c><c r="R338" s="376"><f>RIGHT(P338,6)</f><v /></c><c r="S338" s="376"><f>+(Q338*60+R338)/(60*60)</f><v /></c><c r="T338" s="377"><f>+O338/S338</f><v /></c><c r="U338" s="378"><f>+(((N338-M338-O338)/O338)*100)</f><v /></c><c r="V338" s="317"><f>V337</f><v /></c><c r="W338" s="379"><f>W337</f><v /></c><c r="X338" s="379"><f>X337</f><v /></c><c r="Y338" s="373" t="n"><v>188.1</v></c><c r="Z338" s="373" t="n"><v>198.06</v></c><c r="AA338" s="380"><f>AA337</f><v /></c><c r="AB338" s="381"><f>AB337</f><v /></c><c r="AC338" s="376"><f>LEFT(AB338,2)</f><v /></c><c r="AD338" s="376"><f>RIGHT(AB338,6)</f><v /></c><c r="AE338" s="376"><f>+(AC338*60+AD338)/(60*60)</f><v /></c><c r="AF338" s="377"><f>+AA338/AE338</f><v /></c><c r="AG338" s="321"><f>+(((Z338-Y338-AA338)/AA338)*100)</f><v /></c><c r="AH338" s="317"><f>AH337</f><v /></c><c r="AI338" s="379"><f>AI337</f><v /></c><c r="AJ338" s="379"><f>AJ337</f><v /></c><c r="AK338" s="373"><f>Z338</f><v /></c><c r="AL338" s="373" t="n"><v>203.01</v></c><c r="AM338" s="382"><f>AM337</f><v /></c><c r="AN338" s="375"><f>AN337</f><v /></c><c r="AO338" s="376"><f>LEFT(AN338,2)</f><v /></c><c r="AP338" s="376"><f>RIGHT(AN338,6)</f><v /></c><c r="AQ338" s="376"><f>+(AO338*60+AP338)/(60*60)</f><v /></c><c r="AR338" s="377"><f>+AM338/AQ338</f><v /></c><c r="AS338" s="321"><f>+(((AL338-AK338-AM338)/AM338)*100)</f><v /></c><c r="AT338" s="383"><f>IF(I338&gt;=1,"NO CONFORME",IF(BK338="SIGDIFERENTES",BC338,BL338))</f><v /></c><c r="AU338" s="365"><f>B338=C338</f><v /></c><c r="AV338" s="365"><f>N338&lt;Y338</f><v /></c><c r="AW338" s="365"><f>Z338&lt;=AK338</f><v /></c><c r="AX338" s="365"><f>IF(I338&gt;=1,"Qcorrecto",IF(AND(AY338="aceptable",AZ338="aceptable",BA338="aceptable"),"Qcorrecto","Qincorrecto"))</f><v /></c><c r="AY338" s="366"><f>IF(AR338&lt;$AH$6,"error",IF(AR338&gt;$AH$6*1.1,"error","aceptable"))</f><v /></c><c r="AZ338" s="366"><f>IF(AF338&lt;$V$6,"error",IF(AF338&gt;$V$6*1.1,"error","aceptable"))</f><v /></c><c r="BA338" s="366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7"><f>SIGN(U338)</f><v /></c><c r="BE338" s="367"><f>SIGN(AG338)</f><v /></c><c r="BF338" s="367"><f>SIGN(AS338)</f><v /></c><c r="BG338" s="367"><f>CONCATENATE(BD338,BE338,BF338)</f><v /></c><c r="BH338" s="367"><f>IF(BG338="111","SI","SD")</f><v /></c><c r="BI338" s="367"><f>IF(BG338="-1-1-1","SI","SD")</f><v /></c><c r="BJ338" s="367"><f>OR(BH338="SI",BI338="SI")</f><v /></c><c r="BK338" s="367"><f>IF(BJ338=FALSE,"SIGDIFERENTES","SIGIGUALES")</f><v /></c><c r="BL338" s="366"><f>IF(BC338="NO CONFORME","NO CONFORME",IF(BB338="CONFORME","CONFORME","NO CONFORME"))</f><v /></c></row><row r="339" ht="14.4" customHeight="1" thickBot="1"><c r="A339" s="351" t="n"><v>331</v></c><c r="B339" s="369"><f>B338</f><v /></c><c r="C339" s="369"><f>C338</f><v /></c><c r="D339" s="370"><f>D338</f><v /></c><c r="E339" s="371"><f>E338</f><v /></c><c r="F339" s="13" t="n" /><c r="G339" s="355" t="inlineStr"><is><t>PA25516731</t></is></c><c r="H339" s="313"><f>H338</f><v /></c><c r="I339" s="38"><f>I338</f><v /></c><c r="J339" s="314"><f>J338</f><v /></c><c r="K339" s="372"><f>K338</f><v /></c><c r="L339" s="372"><f>L338</f><v /></c><c r="M339" s="373" t="n"><v>83.5</v></c><c r="N339" s="373" t="n"><v>183.27</v></c><c r="O339" s="374"><f>O338</f><v /></c><c r="P339" s="375"><f>P338</f><v /></c><c r="Q339" s="376"><f>LEFT(P339,1)</f><v /></c><c r="R339" s="376"><f>RIGHT(P339,6)</f><v /></c><c r="S339" s="376"><f>+(Q339*60+R339)/(60*60)</f><v /></c><c r="T339" s="377"><f>+O339/S339</f><v /></c><c r="U339" s="378"><f>+(((N339-M339-O339)/O339)*100)</f><v /></c><c r="V339" s="317"><f>V338</f><v /></c><c r="W339" s="379"><f>W338</f><v /></c><c r="X339" s="379"><f>X338</f><v /></c><c r="Y339" s="373" t="n"><v>189.58</v></c><c r="Z339" s="373" t="n"><v>199.56</v></c><c r="AA339" s="380"><f>AA338</f><v /></c><c r="AB339" s="381"><f>AB338</f><v /></c><c r="AC339" s="376"><f>LEFT(AB339,2)</f><v /></c><c r="AD339" s="376"><f>RIGHT(AB339,6)</f><v /></c><c r="AE339" s="376"><f>+(AC339*60+AD339)/(60*60)</f><v /></c><c r="AF339" s="377"><f>+AA339/AE339</f><v /></c><c r="AG339" s="321"><f>+(((Z339-Y339-AA339)/AA339)*100)</f><v /></c><c r="AH339" s="317"><f>AH338</f><v /></c><c r="AI339" s="379"><f>AI338</f><v /></c><c r="AJ339" s="379"><f>AJ338</f><v /></c><c r="AK339" s="373"><f>Z339</f><v /></c><c r="AL339" s="373" t="n"><v>204.55</v></c><c r="AM339" s="382"><f>AM338</f><v /></c><c r="AN339" s="375"><f>AN338</f><v /></c><c r="AO339" s="376"><f>LEFT(AN339,2)</f><v /></c><c r="AP339" s="376"><f>RIGHT(AN339,6)</f><v /></c><c r="AQ339" s="376"><f>+(AO339*60+AP339)/(60*60)</f><v /></c><c r="AR339" s="377"><f>+AM339/AQ339</f><v /></c><c r="AS339" s="321"><f>+(((AL339-AK339-AM339)/AM339)*100)</f><v /></c><c r="AT339" s="383"><f>IF(I339&gt;=1,"NO CONFORME",IF(BK339="SIGDIFERENTES",BC339,BL339))</f><v /></c><c r="AU339" s="365"><f>B339=C339</f><v /></c><c r="AV339" s="365"><f>N339&lt;Y339</f><v /></c><c r="AW339" s="365"><f>Z339&lt;=AK339</f><v /></c><c r="AX339" s="365"><f>IF(I339&gt;=1,"Qcorrecto",IF(AND(AY339="aceptable",AZ339="aceptable",BA339="aceptable"),"Qcorrecto","Qincorrecto"))</f><v /></c><c r="AY339" s="366"><f>IF(AR339&lt;$AH$6,"error",IF(AR339&gt;$AH$6*1.1,"error","aceptable"))</f><v /></c><c r="AZ339" s="366"><f>IF(AF339&lt;$V$6,"error",IF(AF339&gt;$V$6*1.1,"error","aceptable"))</f><v /></c><c r="BA339" s="366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7"><f>SIGN(U339)</f><v /></c><c r="BE339" s="367"><f>SIGN(AG339)</f><v /></c><c r="BF339" s="367"><f>SIGN(AS339)</f><v /></c><c r="BG339" s="367"><f>CONCATENATE(BD339,BE339,BF339)</f><v /></c><c r="BH339" s="367"><f>IF(BG339="111","SI","SD")</f><v /></c><c r="BI339" s="367"><f>IF(BG339="-1-1-1","SI","SD")</f><v /></c><c r="BJ339" s="367"><f>OR(BH339="SI",BI339="SI")</f><v /></c><c r="BK339" s="367"><f>IF(BJ339=FALSE,"SIGDIFERENTES","SIGIGUALES")</f><v /></c><c r="BL339" s="366"><f>IF(BC339="NO CONFORME","NO CONFORME",IF(BB339="CONFORME","CONFORME","NO CONFORME"))</f><v /></c></row><row r="340" ht="14.4" customHeight="1" thickBot="1"><c r="A340" s="351" t="n"><v>332</v></c><c r="B340" s="369"><f>B339</f><v /></c><c r="C340" s="369"><f>C339</f><v /></c><c r="D340" s="370"><f>D339</f><v /></c><c r="E340" s="371"><f>E339</f><v /></c><c r="F340" s="13" t="n" /><c r="G340" s="355" t="inlineStr"><is><t>PA25516732</t></is></c><c r="H340" s="313"><f>H339</f><v /></c><c r="I340" s="38"><f>I339</f><v /></c><c r="J340" s="314"><f>J339</f><v /></c><c r="K340" s="372"><f>K339</f><v /></c><c r="L340" s="372"><f>L339</f><v /></c><c r="M340" s="373" t="n"><v>84.09</v></c><c r="N340" s="373" t="n"><v>184.12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379"><f>W339</f><v /></c><c r="X340" s="379"><f>X339</f><v /></c><c r="Y340" s="373" t="n"><v>190.45</v></c><c r="Z340" s="373" t="n"><v>200.47</v></c><c r="AA340" s="380"><f>AA339</f><v /></c><c r="AB340" s="381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379"><f>AI339</f><v /></c><c r="AJ340" s="379"><f>AJ339</f><v /></c><c r="AK340" s="373"><f>Z340</f><v /></c><c r="AL340" s="373" t="n"><v>205.45</v></c><c r="AM340" s="382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3"><f>IF(I340&gt;=1,"NO CONFORME",IF(BK340="SIGDIFERENTES",BC340,BL340))</f><v /></c><c r="AU340" s="365"><f>B340=C340</f><v /></c><c r="AV340" s="365"><f>N340&lt;Y340</f><v /></c><c r="AW340" s="365"><f>Z340&lt;=AK340</f><v /></c><c r="AX340" s="365"><f>IF(I340&gt;=1,"Qcorrecto",IF(AND(AY340="aceptable",AZ340="aceptable",BA340="aceptable"),"Qcorrecto","Qincorrecto"))</f><v /></c><c r="AY340" s="366"><f>IF(AR340&lt;$AH$6,"error",IF(AR340&gt;$AH$6*1.1,"error","aceptable"))</f><v /></c><c r="AZ340" s="366"><f>IF(AF340&lt;$V$6,"error",IF(AF340&gt;$V$6*1.1,"error","aceptable"))</f><v /></c><c r="BA340" s="366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7"><f>SIGN(U340)</f><v /></c><c r="BE340" s="367"><f>SIGN(AG340)</f><v /></c><c r="BF340" s="367"><f>SIGN(AS340)</f><v /></c><c r="BG340" s="367"><f>CONCATENATE(BD340,BE340,BF340)</f><v /></c><c r="BH340" s="367"><f>IF(BG340="111","SI","SD")</f><v /></c><c r="BI340" s="367"><f>IF(BG340="-1-1-1","SI","SD")</f><v /></c><c r="BJ340" s="367"><f>OR(BH340="SI",BI340="SI")</f><v /></c><c r="BK340" s="367"><f>IF(BJ340=FALSE,"SIGDIFERENTES","SIGIGUALES")</f><v /></c><c r="BL340" s="366"><f>IF(BC340="NO CONFORME","NO CONFORME",IF(BB340="CONFORME","CONFORME","NO CONFORME"))</f><v /></c></row><row r="341" ht="14.4" customHeight="1" thickBot="1"><c r="A341" s="398" t="n"><v>333</v></c><c r="B341" s="399"><f>B340</f><v /></c><c r="C341" s="399"><f>C340</f><v /></c><c r="D341" s="400"><f>D340</f><v /></c><c r="E341" s="456"><f>E340</f><v /></c><c r="F341" s="56" t="n" /><c r="G341" s="355" t="inlineStr"><is><t>PA25516733</t></is></c><c r="H341" s="401"><f>H340</f><v /></c><c r="I341" s="402"><f>I340</f><v /></c><c r="J341" s="403"><f>J340</f><v /></c><c r="K341" s="404"><f>K340</f><v /></c><c r="L341" s="404"><f>L340</f><v /></c><c r="M341" s="405" t="n"><v>123</v></c><c r="N341" s="405" t="n"><v>222.8</v></c><c r="O341" s="406"><f>O340</f><v /></c><c r="P341" s="407"><f>P340</f><v /></c><c r="Q341" s="408"><f>LEFT(P341,1)</f><v /></c><c r="R341" s="408"><f>RIGHT(P341,6)</f><v /></c><c r="S341" s="408"><f>+(Q341*60+R341)/(60*60)</f><v /></c><c r="T341" s="409"><f>+O341/S341</f><v /></c><c r="U341" s="410"><f>+(((N341-M341-O341)/O341)*100)</f><v /></c><c r="V341" s="411"><f>V340</f><v /></c><c r="W341" s="412"><f>W340</f><v /></c><c r="X341" s="412"><f>X340</f><v /></c><c r="Y341" s="405" t="n"><v>229.15</v></c><c r="Z341" s="405" t="n"><v>239.16</v></c><c r="AA341" s="413"><f>AA340</f><v /></c><c r="AB341" s="414"><f>AB340</f><v /></c><c r="AC341" s="408"><f>LEFT(AB341,2)</f><v /></c><c r="AD341" s="408"><f>RIGHT(AB341,6)</f><v /></c><c r="AE341" s="408"><f>+(AC341*60+AD341)/(60*60)</f><v /></c><c r="AF341" s="409"><f>+AA341/AE341</f><v /></c><c r="AG341" s="415"><f>+(((Z341-Y341-AA341)/AA341)*100)</f><v /></c><c r="AH341" s="411"><f>AH340</f><v /></c><c r="AI341" s="412"><f>AI340</f><v /></c><c r="AJ341" s="412"><f>AJ340</f><v /></c><c r="AK341" s="405"><f>Z341</f><v /></c><c r="AL341" s="405" t="n"><v>244.09</v></c><c r="AM341" s="416"><f>AM340</f><v /></c><c r="AN341" s="407"><f>AN340</f><v /></c><c r="AO341" s="408"><f>LEFT(AN341,2)</f><v /></c><c r="AP341" s="408"><f>RIGHT(AN341,6)</f><v /></c><c r="AQ341" s="408"><f>+(AO341*60+AP341)/(60*60)</f><v /></c><c r="AR341" s="409"><f>+AM341/AQ341</f><v /></c><c r="AS341" s="415"><f>+(((AL341-AK341-AM341)/AM341)*100)</f><v /></c><c r="AT341" s="417"><f>IF(I341&gt;=1,"NO CONFORME",IF(BK341="SIGDIFERENTES",BC341,BL341))</f><v /></c><c r="AU341" s="365"><f>B341=C341</f><v /></c><c r="AV341" s="365"><f>N341&lt;Y341</f><v /></c><c r="AW341" s="365"><f>Z341&lt;=AK341</f><v /></c><c r="AX341" s="365"><f>IF(I341&gt;=1,"Qcorrecto",IF(AND(AY341="aceptable",AZ341="aceptable",BA341="aceptable"),"Qcorrecto","Qincorrecto"))</f><v /></c><c r="AY341" s="418"><f>IF(AR341&lt;$AH$6,"error",IF(AR341&gt;$AH$6*1.1,"error","aceptable"))</f><v /></c><c r="AZ341" s="418"><f>IF(AF341&lt;$V$6,"error",IF(AF341&gt;$V$6*1.1,"error","aceptable"))</f><v /></c><c r="BA341" s="418"><f>IF(T341&lt;$J$6*0.9,"error",IF(T341&gt;$J$6,"error","aceptable"))</f><v /></c><c r="BB341" s="419"><f>(IF(ABS(U341)&lt;1.05,"CONFORME",IF(ABS(AG341)&lt;1.05,"CONFORME",IF(ABS(AS341)&lt;2.55,"CONFORME","NO CONFORME"))))</f><v /></c><c r="BC341" s="420"><f>(IF(ABS(U341)&gt;2.05,"NO CONFORME",IF(ABS(AG341)&gt;2.05,"NO CONFORME",IF(ABS(AS341)&gt;5.05,"NO CONFORME","CONFORME"))))</f><v /></c><c r="BD341" s="367"><f>SIGN(U341)</f><v /></c><c r="BE341" s="367"><f>SIGN(AG341)</f><v /></c><c r="BF341" s="367"><f>SIGN(AS341)</f><v /></c><c r="BG341" s="367"><f>CONCATENATE(BD341,BE341,BF341)</f><v /></c><c r="BH341" s="367"><f>IF(BG341="111","SI","SD")</f><v /></c><c r="BI341" s="367"><f>IF(BG341="-1-1-1","SI","SD")</f><v /></c><c r="BJ341" s="367"><f>OR(BH341="SI",BI341="SI")</f><v /></c><c r="BK341" s="367"><f>IF(BJ341=FALSE,"SIGDIFERENTES","SIGIGUALES")</f><v /></c><c r="BL341" s="418"><f>IF(BC341="NO CONFORME","NO CONFORME",IF(BB341="CONFORME","CONFORME","NO CONFORME"))</f><v /></c></row><row r="342" ht="14.4" customHeight="1" thickBot="1"><c r="A342" s="371" t="n"><v>334</v></c><c r="B342" s="369"><f>B341</f><v /></c><c r="C342" s="369"><f>C341</f><v /></c><c r="D342" s="370"><f>D341</f><v /></c><c r="E342" s="371"><f>E341</f><v /></c><c r="F342" s="13" t="n" /><c r="G342" s="355" t="inlineStr"><is><t>PA25516734</t></is></c><c r="H342" s="313"><f>H341</f><v /></c><c r="I342" s="38"><f>I341</f><v /></c><c r="J342" s="314"><f>J341</f><v /></c><c r="K342" s="372"><f>K341</f><v /></c><c r="L342" s="372"><f>L341</f><v /></c><c r="M342" s="373" t="n"><v>86.2</v></c><c r="N342" s="373" t="n"><v>186.44</v></c><c r="O342" s="406"><f>O341</f><v /></c><c r="P342" s="407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379"><f>W341</f><v /></c><c r="X342" s="379"><f>X341</f><v /></c><c r="Y342" s="373" t="n"><v>192.75</v></c><c r="Z342" s="373" t="n"><v>202.78</v></c><c r="AA342" s="380"><f>AA341</f><v /></c><c r="AB342" s="381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379"><f>AI341</f><v /></c><c r="AJ342" s="379"><f>AJ341</f><v /></c><c r="AK342" s="373"><f>Z342</f><v /></c><c r="AL342" s="373" t="n"><v>207.78</v></c><c r="AM342" s="382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3"><f>IF(I342&gt;=1,"NO CONFORME",IF(BK342="SIGDIFERENTES",BC342,BL342))</f><v /></c><c r="AU342" s="421"><f>B342=C342</f><v /></c><c r="AV342" s="421"><f>N342&lt;Y342</f><v /></c><c r="AW342" s="421"><f>Z342&lt;=AK342</f><v /></c><c r="AX342" s="421"><f>IF(I342&gt;=1,"Qcorrecto",IF(AND(AY342="aceptable",AZ342="aceptable",BA342="aceptable"),"Qcorrecto","Qincorrecto"))</f><v /></c><c r="AY342" s="366"><f>IF(AR342&lt;$AH$6,"error",IF(AR342&gt;$AH$6*1.1,"error","aceptable"))</f><v /></c><c r="AZ342" s="366"><f>IF(AF342&lt;$V$6,"error",IF(AF342&gt;$V$6*1.1,"error","aceptable"))</f><v /></c><c r="BA342" s="366"><f>IF(T342&lt;$J$6*0.9,"error",IF(T342&gt;$J$6,"error","aceptable"))</f><v /></c><c r="BB342" s="422"><f>(IF(ABS(U342)&lt;1.05,"CONFORME",IF(ABS(AG342)&lt;1.05,"CONFORME",IF(ABS(AS342)&lt;2.55,"CONFORME","NO CONFORME"))))</f><v /></c><c r="BC342" s="423"><f>(IF(ABS(U342)&gt;2.05,"NO CONFORME",IF(ABS(AG342)&gt;2.05,"NO CONFORME",IF(ABS(AS342)&gt;5.05,"NO CONFORME","CONFORME"))))</f><v /></c><c r="BD342" s="424"><f>SIGN(U342)</f><v /></c><c r="BE342" s="424"><f>SIGN(AG342)</f><v /></c><c r="BF342" s="424"><f>SIGN(AS342)</f><v /></c><c r="BG342" s="424"><f>CONCATENATE(BD342,BE342,BF342)</f><v /></c><c r="BH342" s="424"><f>IF(BG342="111","SI","SD")</f><v /></c><c r="BI342" s="424"><f>IF(BG342="-1-1-1","SI","SD")</f><v /></c><c r="BJ342" s="424"><f>OR(BH342="SI",BI342="SI")</f><v /></c><c r="BK342" s="424"><f>IF(BJ342=FALSE,"SIGDIFERENTES","SIGIGUALES")</f><v /></c><c r="BL342" s="366"><f>IF(BC342="NO CONFORME","NO CONFORME",IF(BB342="CONFORME","CONFORME","NO CONFORME"))</f><v /></c></row><row r="343" ht="14.4" customHeight="1" thickBot="1"><c r="A343" s="451" t="n"><v>335</v></c><c r="B343" s="369"><f>B342</f><v /></c><c r="C343" s="369"><f>C342</f><v /></c><c r="D343" s="370"><f>D342</f><v /></c><c r="E343" s="371"><f>E342</f><v /></c><c r="F343" s="13" t="n" /><c r="G343" s="452" t="inlineStr"><is><t>PA25516735</t></is></c><c r="H343" s="313"><f>H342</f><v /></c><c r="I343" s="38"><f>I342</f><v /></c><c r="J343" s="314" t="n"><v>21.5</v></c><c r="K343" s="372" t="n"><v>8.209</v></c><c r="L343" s="372" t="n"><v>0.5610000000000001</v></c><c r="M343" s="373" t="n"><v>85.26000000000001</v></c><c r="N343" s="373" t="n"><v>185.48</v></c><c r="O343" s="374" t="n"><v>100.55</v></c><c r="P343" s="375" t="inlineStr"><is><t>2,32,090</t></is></c><c r="Q343" s="376"><f>LEFT(P343,1)</f><v /></c><c r="R343" s="376"><f>RIGHT(P343,6)</f><v /></c><c r="S343" s="376"><f>+(Q343*60+R343)/(60*60)</f><v /></c><c r="T343" s="377"><f>+O343/S343</f><v /></c><c r="U343" s="378"><f>+(((N343-M343-O343)/O343)*100)</f><v /></c><c r="V343" s="317"><f>V342</f><v /></c><c r="W343" s="379"><f>W342</f><v /></c><c r="X343" s="379"><f>X342</f><v /></c><c r="Y343" s="373" t="n"><v>191.79</v></c><c r="Z343" s="373" t="n"><v>201.84</v></c><c r="AA343" s="380"><f>AA342</f><v /></c><c r="AB343" s="381"><f>AB342</f><v /></c><c r="AC343" s="376"><f>LEFT(AB343,2)</f><v /></c><c r="AD343" s="376"><f>RIGHT(AB343,6)</f><v /></c><c r="AE343" s="376"><f>+(AC343*60+AD343)/(60*60)</f><v /></c><c r="AF343" s="377"><f>+AA343/AE343</f><v /></c><c r="AG343" s="321"><f>+(((Z343-Y343-AA343)/AA343)*100)</f><v /></c><c r="AH343" s="317"><f>AH342</f><v /></c><c r="AI343" s="379"><f>AI342</f><v /></c><c r="AJ343" s="379"><f>AJ342</f><v /></c><c r="AK343" s="373"><f>Z343</f><v /></c><c r="AL343" s="373" t="n"><v>206.86</v></c><c r="AM343" s="382"><f>AM342</f><v /></c><c r="AN343" s="375"><f>AN342</f><v /></c><c r="AO343" s="376"><f>LEFT(AN343,2)</f><v /></c><c r="AP343" s="376"><f>RIGHT(AN343,6)</f><v /></c><c r="AQ343" s="376"><f>+(AO343*60+AP343)/(60*60)</f><v /></c><c r="AR343" s="377"><f>+AM343/AQ343</f><v /></c><c r="AS343" s="321"><f>+(((AL343-AK343-AM343)/AM343)*100)</f><v /></c><c r="AT343" s="383"><f>IF(I343&gt;=1,"NO CONFORME",IF(BK343="SIGDIFERENTES",BC343,BL343))</f><v /></c><c r="AU343" s="421"><f>B343=C343</f><v /></c><c r="AV343" s="421"><f>N343&lt;Y343</f><v /></c><c r="AW343" s="421"><f>Z343&lt;=AK343</f><v /></c><c r="AX343" s="421"><f>IF(I343&gt;=1,"Qcorrecto",IF(AND(AY343="aceptable",AZ343="aceptable",BA343="aceptable"),"Qcorrecto","Qincorrecto"))</f><v /></c><c r="AY343" s="366"><f>IF(AR343&lt;$AH$6,"error",IF(AR343&gt;$AH$6*1.1,"error","aceptable"))</f><v /></c><c r="AZ343" s="366"><f>IF(AF343&lt;$V$6,"error",IF(AF343&gt;$V$6*1.1,"error","aceptable"))</f><v /></c><c r="BA343" s="366"><f>IF(T343&lt;$J$6*0.9,"error",IF(T343&gt;$J$6,"error","aceptable"))</f><v /></c><c r="BB343" s="422"><f>(IF(ABS(U343)&lt;1.05,"CONFORME",IF(ABS(AG343)&lt;1.05,"CONFORME",IF(ABS(AS343)&lt;2.55,"CONFORME","NO CONFORME"))))</f><v /></c><c r="BC343" s="423"><f>(IF(ABS(U343)&gt;2.05,"NO CONFORME",IF(ABS(AG343)&gt;2.05,"NO CONFORME",IF(ABS(AS343)&gt;5.05,"NO CONFORME","CONFORME"))))</f><v /></c><c r="BD343" s="424"><f>SIGN(U343)</f><v /></c><c r="BE343" s="424"><f>SIGN(AG343)</f><v /></c><c r="BF343" s="424"><f>SIGN(AS343)</f><v /></c><c r="BG343" s="424"><f>CONCATENATE(BD343,BE343,BF343)</f><v /></c><c r="BH343" s="424"><f>IF(BG343="111","SI","SD")</f><v /></c><c r="BI343" s="424"><f>IF(BG343="-1-1-1","SI","SD")</f><v /></c><c r="BJ343" s="424"><f>OR(BH343="SI",BI343="SI")</f><v /></c><c r="BK343" s="424"><f>IF(BJ343=FALSE,"SIGDIFERENTES","SIGIGUALES")</f><v /></c><c r="BL343" s="366"><f>IF(BC343="NO CONFORME","NO CONFORME",IF(BB343="CONFORME","CONFORME","NO CONFORME"))</f><v /></c></row><row r="344" ht="15" customHeight="1" thickBot="1"><c r="A344" s="473" t="n"><v>336</v></c><c r="B344" s="454"><f>B343</f><v /></c><c r="C344" s="454"><f>C343</f><v /></c><c r="D344" s="455"><f>D343</f><v /></c><c r="E344" s="474"><f>E343</f><v /></c><c r="F344" s="52" t="n" /><c r="G344" s="477" t="inlineStr"><is><t>PA25516736</t></is></c><c r="H344" s="326"><f>H343</f><v /></c><c r="I344" s="98"><f>I343</f><v /></c><c r="J344" s="327"><f>J343</f><v /></c><c r="K344" s="458"><f>K343</f><v /></c><c r="L344" s="458"><f>L343</f><v /></c><c r="M344" s="459" t="n"><v>84.95</v></c><c r="N344" s="459" t="n"><v>185</v></c><c r="O344" s="460"><f>O343</f><v /></c><c r="P344" s="461"><f>P343</f><v /></c><c r="Q344" s="462"><f>LEFT(P344,1)</f><v /></c><c r="R344" s="462"><f>RIGHT(P344,6)</f><v /></c><c r="S344" s="462"><f>+(Q344*60+R344)/(60*60)</f><v /></c><c r="T344" s="463"><f>+O344/S344</f><v /></c><c r="U344" s="464"><f>+(((N344-M344-O344)/O344)*100)</f><v /></c><c r="V344" s="329"><f>V343</f><v /></c><c r="W344" s="465"><f>W343</f><v /></c><c r="X344" s="465"><f>X343</f><v /></c><c r="Y344" s="459" t="n"><v>191.31</v></c><c r="Z344" s="459" t="n"><v>201.34</v></c><c r="AA344" s="466"><f>AA343</f><v /></c><c r="AB344" s="467"><f>AB343</f><v /></c><c r="AC344" s="462"><f>LEFT(AB344,2)</f><v /></c><c r="AD344" s="462"><f>RIGHT(AB344,6)</f><v /></c><c r="AE344" s="462"><f>+(AC344*60+AD344)/(60*60)</f><v /></c><c r="AF344" s="463"><f>+AA344/AE344</f><v /></c><c r="AG344" s="468"><f>+(((Z344-Y344-AA344)/AA344)*100)</f><v /></c><c r="AH344" s="329"><f>AH343</f><v /></c><c r="AI344" s="465"><f>AI343</f><v /></c><c r="AJ344" s="465"><f>AJ343</f><v /></c><c r="AK344" s="459"><f>Z344</f><v /></c><c r="AL344" s="459" t="n"><v>206.3</v></c><c r="AM344" s="469"><f>AM343</f><v /></c><c r="AN344" s="461"><f>AN343</f><v /></c><c r="AO344" s="462"><f>LEFT(AN344,2)</f><v /></c><c r="AP344" s="462"><f>RIGHT(AN344,6)</f><v /></c><c r="AQ344" s="462"><f>+(AO344*60+AP344)/(60*60)</f><v /></c><c r="AR344" s="463"><f>+AM344/AQ344</f><v /></c><c r="AS344" s="468"><f>+(((AL344-AK344-AM344)/AM344)*100)</f><v /></c><c r="AT344" s="470"><f>IF(I344&gt;=1,"NO CONFORME",IF(BK344="SIGDIFERENTES",BC344,BL344))</f><v /></c><c r="AU344" s="478"><f>B344=C344</f><v /></c><c r="AV344" s="478"><f>N344&lt;Y344</f><v /></c><c r="AW344" s="478"><f>Z344&lt;=AK344</f><v /></c><c r="AX344" s="478"><f>IF(I344&gt;=1,"Qcorrecto",IF(AND(AY344="aceptable",AZ344="aceptable",BA344="aceptable"),"Qcorrecto","Qincorrecto"))</f><v /></c><c r="AY344" s="427"><f>IF(AR344&lt;$AH$6,"error",IF(AR344&gt;$AH$6*1.1,"error","aceptable"))</f><v /></c><c r="AZ344" s="427"><f>IF(AF344&lt;$V$6,"error",IF(AF344&gt;$V$6*1.1,"error","aceptable"))</f><v /></c><c r="BA344" s="427"><f>IF(T344&lt;$J$6*0.9,"error",IF(T344&gt;$J$6,"error","aceptable"))</f><v /></c><c r="BB344" s="479"><f>(IF(ABS(U344)&lt;1.05,"CONFORME",IF(ABS(AG344)&lt;1.05,"CONFORME",IF(ABS(AS344)&lt;2.55,"CONFORME","NO CONFORME"))))</f><v /></c><c r="BC344" s="480"><f>(IF(ABS(U344)&gt;2.05,"NO CONFORME",IF(ABS(AG344)&gt;2.05,"NO CONFORME",IF(ABS(AS344)&gt;5.05,"NO CONFORME","CONFORME"))))</f><v /></c><c r="BD344" s="481"><f>SIGN(U344)</f><v /></c><c r="BE344" s="481"><f>SIGN(AG344)</f><v /></c><c r="BF344" s="481"><f>SIGN(AS344)</f><v /></c><c r="BG344" s="481"><f>CONCATENATE(BD344,BE344,BF344)</f><v /></c><c r="BH344" s="481"><f>IF(BG344="111","SI","SD")</f><v /></c><c r="BI344" s="481"><f>IF(BG344="-1-1-1","SI","SD")</f><v /></c><c r="BJ344" s="481"><f>OR(BH344="SI",BI344="SI")</f><v /></c><c r="BK344" s="481"><f>IF(BJ344=FALSE,"SIGDIFERENTES","SIGIGUALES")</f><v /></c><c r="BL344" s="427"><f>IF(BC344="NO CONFORME","NO CONFORME",IF(BB344="CONFORME","CONFORME","NO CONFORME"))</f><v /></c></row><row r="345" ht="15" customHeight="1" thickBot="1"><c r="A345" s="351" t="n"><v>337</v></c><c r="B345" s="386"><f>B344</f><v /></c><c r="C345" s="386"><f>C344</f><v /></c><c r="D345" s="387"><f>D344</f><v /></c><c r="E345" s="475"><f>E344</f><v /></c><c r="F345" s="58" t="n" /><c r="G345" s="457" t="inlineStr"><is><t>PA25516737</t></is></c><c r="H345" s="388"><f>H344</f><v /></c><c r="I345" s="232"><f>I344</f><v /></c><c r="J345" s="389" t="n"><v>21.3</v></c><c r="K345" s="390" t="n"><v>8.212</v></c><c r="L345" s="390" t="n"><v>0.595</v></c><c r="M345" s="356" t="n"><v>88.29000000000001</v></c><c r="N345" s="356" t="n"><v>187.9</v></c><c r="O345" s="391" t="n"><v>100.6</v></c><c r="P345" s="392" t="inlineStr"><is><t>2,32,530</t></is></c><c r="Q345" s="359"><f>LEFT(P345,1)</f><v /></c><c r="R345" s="359"><f>RIGHT(P345,6)</f><v /></c><c r="S345" s="359"><f>+(Q345*60+R345)/(60*60)</f><v /></c><c r="T345" s="360"><f>+O345/S345</f><v /></c><c r="U345" s="361"><f>+(((N345-M345-O345)/O345)*100)</f><v /></c><c r="V345" s="393" t="n"><v>21.3</v></c><c r="W345" s="394" t="n"><v>1.074</v></c><c r="X345" s="394" t="n"><v>1.065</v></c><c r="Y345" s="356" t="n"><v>193.07</v></c><c r="Z345" s="356" t="n"><v>203.05</v></c><c r="AA345" s="395" t="n"><v>10.01</v></c><c r="AB345" s="396" t="inlineStr"><is><t>22,26,350</t></is></c><c r="AC345" s="359"><f>LEFT(AB345,2)</f><v /></c><c r="AD345" s="359"><f>RIGHT(AB345,6)</f><v /></c><c r="AE345" s="359"><f>+(AC345*60+AD345)/(60*60)</f><v /></c><c r="AF345" s="360"><f>+AA345/AE345</f><v /></c><c r="AG345" s="362"><f>+(((Z345-Y345-AA345)/AA345)*100)</f><v /></c><c r="AH345" s="393" t="n"><v>21.4</v></c><c r="AI345" s="394" t="n"><v>1.075</v></c><c r="AJ345" s="394" t="n"><v>1.065</v></c><c r="AK345" s="356"><f>Z345</f><v /></c><c r="AL345" s="356" t="n"><v>208.1</v></c><c r="AM345" s="397" t="n"><v>5.015</v></c><c r="AN345" s="392" t="inlineStr"><is><t>18,20,900</t></is></c><c r="AO345" s="359"><f>LEFT(AN345,2)</f><v /></c><c r="AP345" s="359"><f>RIGHT(AN345,6)</f><v /></c><c r="AQ345" s="359"><f>+(AO345*60+AP345)/(60*60)</f><v /></c><c r="AR345" s="360"><f>+AM345/AQ345</f><v /></c><c r="AS345" s="362"><f>+(((AL345-AK345-AM345)/AM345)*100)</f><v /></c><c r="AT345" s="364"><f>IF(I345&gt;=1,"NO CONFORME",IF(BK345="SIGDIFERENTES",BC345,BL345))</f><v /></c><c r="AU345" s="365"><f>B345=C345</f><v /></c><c r="AV345" s="365"><f>N345&lt;Y345</f><v /></c><c r="AW345" s="365"><f>Z345&lt;=AK345</f><v /></c><c r="AX345" s="365"><f>IF(I345&gt;=1,"Qcorrecto",IF(AND(AY345="aceptable",AZ345="aceptable",BA345="aceptable"),"Qcorrecto","Qincorrecto"))</f><v /></c><c r="AY345" s="368"><f>IF(AR345&lt;$AH$6,"error",IF(AR345&gt;$AH$6*1.1,"error","aceptable"))</f><v /></c><c r="AZ345" s="368"><f>IF(AF345&lt;$V$6,"error",IF(AF345&gt;$V$6*1.1,"error","aceptable"))</f><v /></c><c r="BA345" s="368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7"><f>SIGN(U345)</f><v /></c><c r="BE345" s="367"><f>SIGN(AG345)</f><v /></c><c r="BF345" s="367"><f>SIGN(AS345)</f><v /></c><c r="BG345" s="367"><f>CONCATENATE(BD345,BE345,BF345)</f><v /></c><c r="BH345" s="367"><f>IF(BG345="111","SI","SD")</f><v /></c><c r="BI345" s="367"><f>IF(BG345="-1-1-1","SI","SD")</f><v /></c><c r="BJ345" s="367"><f>OR(BH345="SI",BI345="SI")</f><v /></c><c r="BK345" s="367"><f>IF(BJ345=FALSE,"SIGDIFERENTES","SIGIGUALES")</f><v /></c><c r="BL345" s="368"><f>IF(BC345="NO CONFORME","NO CONFORME",IF(BB345="CONFORME","CONFORME","NO CONFORME"))</f><v /></c></row><row r="346" ht="15" customHeight="1" thickBot="1"><c r="A346" s="351" t="n"><v>338</v></c><c r="B346" s="369"><f>B345</f><v /></c><c r="C346" s="369"><f>C345</f><v /></c><c r="D346" s="370"><f>D345</f><v /></c><c r="E346" s="371"><f>E345</f><v /></c><c r="F346" s="13" t="n" /><c r="G346" s="477" t="inlineStr"><is><t>PA25516738</t></is></c><c r="H346" s="313"><f>H345</f><v /></c><c r="I346" s="38"><f>I345</f><v /></c><c r="J346" s="314"><f>J345</f><v /></c><c r="K346" s="372"><f>K345</f><v /></c><c r="L346" s="372"><f>L345</f><v /></c><c r="M346" s="373" t="n"><v>87.8</v></c><c r="N346" s="373" t="n"><v>187.78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379"><f>W345</f><v /></c><c r="X346" s="379"><f>X345</f><v /></c><c r="Y346" s="373" t="n"><v>192.95</v></c><c r="Z346" s="373" t="n"><v>202.91</v></c><c r="AA346" s="380"><f>AA345</f><v /></c><c r="AB346" s="381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379"><f>AI345</f><v /></c><c r="AJ346" s="379"><f>AJ345</f><v /></c><c r="AK346" s="373"><f>Z346</f><v /></c><c r="AL346" s="373" t="n"><v>207.94</v></c><c r="AM346" s="382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3"><f>IF(I346&gt;=1,"NO CONFORME",IF(BK346="SIGDIFERENTES",BC346,BL346))</f><v /></c><c r="AU346" s="365"><f>B346=C346</f><v /></c><c r="AV346" s="365"><f>N346&lt;Y346</f><v /></c><c r="AW346" s="365"><f>Z346&lt;=AK346</f><v /></c><c r="AX346" s="365"><f>IF(I346&gt;=1,"Qcorrecto",IF(AND(AY346="aceptable",AZ346="aceptable",BA346="aceptable"),"Qcorrecto","Qincorrecto"))</f><v /></c><c r="AY346" s="366"><f>IF(AR346&lt;$AH$6,"error",IF(AR346&gt;$AH$6*1.1,"error","aceptable"))</f><v /></c><c r="AZ346" s="366"><f>IF(AF346&lt;$V$6,"error",IF(AF346&gt;$V$6*1.1,"error","aceptable"))</f><v /></c><c r="BA346" s="366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7"><f>SIGN(U346)</f><v /></c><c r="BE346" s="367"><f>SIGN(AG346)</f><v /></c><c r="BF346" s="367"><f>SIGN(AS346)</f><v /></c><c r="BG346" s="367"><f>CONCATENATE(BD346,BE346,BF346)</f><v /></c><c r="BH346" s="367"><f>IF(BG346="111","SI","SD")</f><v /></c><c r="BI346" s="367"><f>IF(BG346="-1-1-1","SI","SD")</f><v /></c><c r="BJ346" s="367"><f>OR(BH346="SI",BI346="SI")</f><v /></c><c r="BK346" s="367"><f>IF(BJ346=FALSE,"SIGDIFERENTES","SIGIGUALES")</f><v /></c><c r="BL346" s="366"><f>IF(BC346="NO CONFORME","NO CONFORME",IF(BB346="CONFORME","CONFORME","NO CONFORME"))</f><v /></c></row><row r="347" ht="15" customHeight="1" thickBot="1"><c r="A347" s="351" t="n"><v>339</v></c><c r="B347" s="369"><f>B346</f><v /></c><c r="C347" s="369"><f>C346</f><v /></c><c r="D347" s="370"><f>D346</f><v /></c><c r="E347" s="371"><f>E346</f><v /></c><c r="F347" s="13" t="n" /><c r="G347" s="477" t="inlineStr"><is><t>PA25516739</t></is></c><c r="H347" s="313"><f>H346</f><v /></c><c r="I347" s="38"><f>I346</f><v /></c><c r="J347" s="314"><f>J346</f><v /></c><c r="K347" s="372"><f>K346</f><v /></c><c r="L347" s="372"><f>L346</f><v /></c><c r="M347" s="373" t="n"><v>85.39</v></c><c r="N347" s="373" t="n"><v>184.86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379"><f>W346</f><v /></c><c r="X347" s="379"><f>X346</f><v /></c><c r="Y347" s="373" t="n"><v>190</v></c><c r="Z347" s="373" t="n"><v>200.05</v></c><c r="AA347" s="380"><f>AA346</f><v /></c><c r="AB347" s="381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379"><f>AI346</f><v /></c><c r="AJ347" s="379"><f>AJ346</f><v /></c><c r="AK347" s="373"><f>Z347</f><v /></c><c r="AL347" s="373" t="n"><v>205.15</v></c><c r="AM347" s="382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3"><f>IF(I347&gt;=1,"NO CONFORME",IF(BK347="SIGDIFERENTES",BC347,BL347))</f><v /></c><c r="AU347" s="365"><f>B347=C347</f><v /></c><c r="AV347" s="365"><f>N347&lt;Y347</f><v /></c><c r="AW347" s="365"><f>Z347&lt;=AK347</f><v /></c><c r="AX347" s="365"><f>IF(I347&gt;=1,"Qcorrecto",IF(AND(AY347="aceptable",AZ347="aceptable",BA347="aceptable"),"Qcorrecto","Qincorrecto"))</f><v /></c><c r="AY347" s="366"><f>IF(AR347&lt;$AH$6,"error",IF(AR347&gt;$AH$6*1.1,"error","aceptable"))</f><v /></c><c r="AZ347" s="366"><f>IF(AF347&lt;$V$6,"error",IF(AF347&gt;$V$6*1.1,"error","aceptable"))</f><v /></c><c r="BA347" s="366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7"><f>SIGN(U347)</f><v /></c><c r="BE347" s="367"><f>SIGN(AG347)</f><v /></c><c r="BF347" s="367"><f>SIGN(AS347)</f><v /></c><c r="BG347" s="367"><f>CONCATENATE(BD347,BE347,BF347)</f><v /></c><c r="BH347" s="367"><f>IF(BG347="111","SI","SD")</f><v /></c><c r="BI347" s="367"><f>IF(BG347="-1-1-1","SI","SD")</f><v /></c><c r="BJ347" s="367"><f>OR(BH347="SI",BI347="SI")</f><v /></c><c r="BK347" s="367"><f>IF(BJ347=FALSE,"SIGDIFERENTES","SIGIGUALES")</f><v /></c><c r="BL347" s="366"><f>IF(BC347="NO CONFORME","NO CONFORME",IF(BB347="CONFORME","CONFORME","NO CONFORME"))</f><v /></c></row><row r="348" ht="15" customHeight="1" thickBot="1"><c r="A348" s="351" t="n"><v>340</v></c><c r="B348" s="369"><f>B347</f><v /></c><c r="C348" s="369"><f>C347</f><v /></c><c r="D348" s="370"><f>D347</f><v /></c><c r="E348" s="371"><f>E347</f><v /></c><c r="F348" s="13" t="n" /><c r="G348" s="477" t="inlineStr"><is><t>PA25516740</t></is></c><c r="H348" s="313"><f>H347</f><v /></c><c r="I348" s="38"><f>I347</f><v /></c><c r="J348" s="314"><f>J347</f><v /></c><c r="K348" s="372"><f>K347</f><v /></c><c r="L348" s="372"><f>L347</f><v /></c><c r="M348" s="373" t="n"><v>87.8</v></c><c r="N348" s="373" t="n"><v>188.01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379"><f>W347</f><v /></c><c r="X348" s="379"><f>X347</f><v /></c><c r="Y348" s="373" t="n"><v>193.2</v></c><c r="Z348" s="373" t="n"><v>203.16</v></c><c r="AA348" s="380"><f>AA347</f><v /></c><c r="AB348" s="381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379"><f>AI347</f><v /></c><c r="AJ348" s="379"><f>AJ347</f><v /></c><c r="AK348" s="373"><f>Z348</f><v /></c><c r="AL348" s="373" t="n"><v>208.16</v></c><c r="AM348" s="382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3"><f>IF(I348&gt;=1,"NO CONFORME",IF(BK348="SIGDIFERENTES",BC348,BL348))</f><v /></c><c r="AU348" s="365"><f>B348=C348</f><v /></c><c r="AV348" s="365"><f>N348&lt;Y348</f><v /></c><c r="AW348" s="365"><f>Z348&lt;=AK348</f><v /></c><c r="AX348" s="365"><f>IF(I348&gt;=1,"Qcorrecto",IF(AND(AY348="aceptable",AZ348="aceptable",BA348="aceptable"),"Qcorrecto","Qincorrecto"))</f><v /></c><c r="AY348" s="366"><f>IF(AR348&lt;$AH$6,"error",IF(AR348&gt;$AH$6*1.1,"error","aceptable"))</f><v /></c><c r="AZ348" s="366"><f>IF(AF348&lt;$V$6,"error",IF(AF348&gt;$V$6*1.1,"error","aceptable"))</f><v /></c><c r="BA348" s="366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7"><f>SIGN(U348)</f><v /></c><c r="BE348" s="367"><f>SIGN(AG348)</f><v /></c><c r="BF348" s="367"><f>SIGN(AS348)</f><v /></c><c r="BG348" s="367"><f>CONCATENATE(BD348,BE348,BF348)</f><v /></c><c r="BH348" s="367"><f>IF(BG348="111","SI","SD")</f><v /></c><c r="BI348" s="367"><f>IF(BG348="-1-1-1","SI","SD")</f><v /></c><c r="BJ348" s="367"><f>OR(BH348="SI",BI348="SI")</f><v /></c><c r="BK348" s="367"><f>IF(BJ348=FALSE,"SIGDIFERENTES","SIGIGUALES")</f><v /></c><c r="BL348" s="366"><f>IF(BC348="NO CONFORME","NO CONFORME",IF(BB348="CONFORME","CONFORME","NO CONFORME"))</f><v /></c></row><row r="349" ht="15" customHeight="1" thickBot="1"><c r="A349" s="351" t="n"><v>341</v></c><c r="B349" s="369"><f>B348</f><v /></c><c r="C349" s="369"><f>C348</f><v /></c><c r="D349" s="370"><f>D348</f><v /></c><c r="E349" s="371"><f>E348</f><v /></c><c r="F349" s="13" t="n" /><c r="G349" s="477" t="inlineStr"><is><t>PA25516741</t></is></c><c r="H349" s="313"><f>H348</f><v /></c><c r="I349" s="38"><f>I348</f><v /></c><c r="J349" s="314"><f>J348</f><v /></c><c r="K349" s="372"><f>K348</f><v /></c><c r="L349" s="372"><f>L348</f><v /></c><c r="M349" s="373" t="n"><v>89.75</v></c><c r="N349" s="373" t="n"><v>189.09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379"><f>W348</f><v /></c><c r="X349" s="379"><f>X348</f><v /></c><c r="Y349" s="373" t="n"><v>194.25</v></c><c r="Z349" s="373" t="n"><v>204.21</v></c><c r="AA349" s="380"><f>AA348</f><v /></c><c r="AB349" s="381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379"><f>AI348</f><v /></c><c r="AJ349" s="379"><f>AJ348</f><v /></c><c r="AK349" s="373"><f>Z349</f><v /></c><c r="AL349" s="373" t="n"><v>209.24</v></c><c r="AM349" s="382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3"><f>IF(I349&gt;=1,"NO CONFORME",IF(BK349="SIGDIFERENTES",BC349,BL349))</f><v /></c><c r="AU349" s="365"><f>B349=C349</f><v /></c><c r="AV349" s="365"><f>N349&lt;Y349</f><v /></c><c r="AW349" s="365"><f>Z349&lt;=AK349</f><v /></c><c r="AX349" s="365"><f>IF(I349&gt;=1,"Qcorrecto",IF(AND(AY349="aceptable",AZ349="aceptable",BA349="aceptable"),"Qcorrecto","Qincorrecto"))</f><v /></c><c r="AY349" s="366"><f>IF(AR349&lt;$AH$6,"error",IF(AR349&gt;$AH$6*1.1,"error","aceptable"))</f><v /></c><c r="AZ349" s="366"><f>IF(AF349&lt;$V$6,"error",IF(AF349&gt;$V$6*1.1,"error","aceptable"))</f><v /></c><c r="BA349" s="366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7"><f>SIGN(U349)</f><v /></c><c r="BE349" s="367"><f>SIGN(AG349)</f><v /></c><c r="BF349" s="367"><f>SIGN(AS349)</f><v /></c><c r="BG349" s="367"><f>CONCATENATE(BD349,BE349,BF349)</f><v /></c><c r="BH349" s="367"><f>IF(BG349="111","SI","SD")</f><v /></c><c r="BI349" s="367"><f>IF(BG349="-1-1-1","SI","SD")</f><v /></c><c r="BJ349" s="367"><f>OR(BH349="SI",BI349="SI")</f><v /></c><c r="BK349" s="367"><f>IF(BJ349=FALSE,"SIGDIFERENTES","SIGIGUALES")</f><v /></c><c r="BL349" s="366"><f>IF(BC349="NO CONFORME","NO CONFORME",IF(BB349="CONFORME","CONFORME","NO CONFORME"))</f><v /></c></row><row r="350" ht="15" customHeight="1" thickBot="1"><c r="A350" s="351" t="n"><v>342</v></c><c r="B350" s="369"><f>B349</f><v /></c><c r="C350" s="369"><f>C349</f><v /></c><c r="D350" s="370"><f>D349</f><v /></c><c r="E350" s="371"><f>E349</f><v /></c><c r="F350" s="13" t="n" /><c r="G350" s="477" t="inlineStr"><is><t>PA25516742</t></is></c><c r="H350" s="313"><f>H349</f><v /></c><c r="I350" s="38"><f>I349</f><v /></c><c r="J350" s="314"><f>J349</f><v /></c><c r="K350" s="372"><f>K349</f><v /></c><c r="L350" s="372"><f>L349</f><v /></c><c r="M350" s="373" t="n"><v>88.65000000000001</v></c><c r="N350" s="373" t="n"><v>188.44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379"><f>W349</f><v /></c><c r="X350" s="379"><f>X349</f><v /></c><c r="Y350" s="373" t="n"><v>193.55</v></c><c r="Z350" s="373" t="n"><v>203.56</v></c><c r="AA350" s="380"><f>AA349</f><v /></c><c r="AB350" s="381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379"><f>AI349</f><v /></c><c r="AJ350" s="379"><f>AJ349</f><v /></c><c r="AK350" s="373"><f>Z350</f><v /></c><c r="AL350" s="373" t="n"><v>208.64</v></c><c r="AM350" s="382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3"><f>IF(I350&gt;=1,"NO CONFORME",IF(BK350="SIGDIFERENTES",BC350,BL350))</f><v /></c><c r="AU350" s="365"><f>B350=C350</f><v /></c><c r="AV350" s="365"><f>N350&lt;Y350</f><v /></c><c r="AW350" s="365"><f>Z350&lt;=AK350</f><v /></c><c r="AX350" s="365"><f>IF(I350&gt;=1,"Qcorrecto",IF(AND(AY350="aceptable",AZ350="aceptable",BA350="aceptable"),"Qcorrecto","Qincorrecto"))</f><v /></c><c r="AY350" s="366"><f>IF(AR350&lt;$AH$6,"error",IF(AR350&gt;$AH$6*1.1,"error","aceptable"))</f><v /></c><c r="AZ350" s="366"><f>IF(AF350&lt;$V$6,"error",IF(AF350&gt;$V$6*1.1,"error","aceptable"))</f><v /></c><c r="BA350" s="366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7"><f>SIGN(U350)</f><v /></c><c r="BE350" s="367"><f>SIGN(AG350)</f><v /></c><c r="BF350" s="367"><f>SIGN(AS350)</f><v /></c><c r="BG350" s="367"><f>CONCATENATE(BD350,BE350,BF350)</f><v /></c><c r="BH350" s="367"><f>IF(BG350="111","SI","SD")</f><v /></c><c r="BI350" s="367"><f>IF(BG350="-1-1-1","SI","SD")</f><v /></c><c r="BJ350" s="367"><f>OR(BH350="SI",BI350="SI")</f><v /></c><c r="BK350" s="367"><f>IF(BJ350=FALSE,"SIGDIFERENTES","SIGIGUALES")</f><v /></c><c r="BL350" s="366"><f>IF(BC350="NO CONFORME","NO CONFORME",IF(BB350="CONFORME","CONFORME","NO CONFORME"))</f><v /></c></row><row r="351" ht="15" customHeight="1" thickBot="1"><c r="A351" s="351" t="n"><v>343</v></c><c r="B351" s="369"><f>B350</f><v /></c><c r="C351" s="369"><f>C350</f><v /></c><c r="D351" s="370"><f>D350</f><v /></c><c r="E351" s="371"><f>E350</f><v /></c><c r="F351" s="13" t="n" /><c r="G351" s="477" t="inlineStr"><is><t>PA25516743</t></is></c><c r="H351" s="313"><f>H350</f><v /></c><c r="I351" s="38"><f>I350</f><v /></c><c r="J351" s="314"><f>J350</f><v /></c><c r="K351" s="372"><f>K350</f><v /></c><c r="L351" s="372"><f>L350</f><v /></c><c r="M351" s="373" t="n"><v>236.6</v></c><c r="N351" s="373" t="n"><v>336.36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379"><f>W350</f><v /></c><c r="X351" s="379"><f>X350</f><v /></c><c r="Y351" s="373" t="n"><v>341.51</v></c><c r="Z351" s="373" t="n"><v>351.49</v></c><c r="AA351" s="380"><f>AA350</f><v /></c><c r="AB351" s="381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379"><f>AI350</f><v /></c><c r="AJ351" s="379"><f>AJ350</f><v /></c><c r="AK351" s="373"><f>Z351</f><v /></c><c r="AL351" s="373" t="n"><v>356.54</v></c><c r="AM351" s="382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3"><f>IF(I351&gt;=1,"NO CONFORME",IF(BK351="SIGDIFERENTES",BC351,BL351))</f><v /></c><c r="AU351" s="365"><f>B351=C351</f><v /></c><c r="AV351" s="365"><f>N351&lt;Y351</f><v /></c><c r="AW351" s="365"><f>Z351&lt;=AK351</f><v /></c><c r="AX351" s="365"><f>IF(I351&gt;=1,"Qcorrecto",IF(AND(AY351="aceptable",AZ351="aceptable",BA351="aceptable"),"Qcorrecto","Qincorrecto"))</f><v /></c><c r="AY351" s="366"><f>IF(AR351&lt;$AH$6,"error",IF(AR351&gt;$AH$6*1.1,"error","aceptable"))</f><v /></c><c r="AZ351" s="366"><f>IF(AF351&lt;$V$6,"error",IF(AF351&gt;$V$6*1.1,"error","aceptable"))</f><v /></c><c r="BA351" s="366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7"><f>SIGN(U351)</f><v /></c><c r="BE351" s="367"><f>SIGN(AG351)</f><v /></c><c r="BF351" s="367"><f>SIGN(AS351)</f><v /></c><c r="BG351" s="367"><f>CONCATENATE(BD351,BE351,BF351)</f><v /></c><c r="BH351" s="367"><f>IF(BG351="111","SI","SD")</f><v /></c><c r="BI351" s="367"><f>IF(BG351="-1-1-1","SI","SD")</f><v /></c><c r="BJ351" s="367"><f>OR(BH351="SI",BI351="SI")</f><v /></c><c r="BK351" s="367"><f>IF(BJ351=FALSE,"SIGDIFERENTES","SIGIGUALES")</f><v /></c><c r="BL351" s="366"><f>IF(BC351="NO CONFORME","NO CONFORME",IF(BB351="CONFORME","CONFORME","NO CONFORME"))</f><v /></c></row><row r="352" ht="15" customHeight="1" thickBot="1"><c r="A352" s="351" t="n"><v>344</v></c><c r="B352" s="369"><f>B351</f><v /></c><c r="C352" s="369"><f>C351</f><v /></c><c r="D352" s="370"><f>D351</f><v /></c><c r="E352" s="371"><f>E351</f><v /></c><c r="F352" s="13" t="n" /><c r="G352" s="477" t="inlineStr"><is><t>PA25516744</t></is></c><c r="H352" s="313"><f>H351</f><v /></c><c r="I352" s="38"><f>I351</f><v /></c><c r="J352" s="314"><f>J351</f><v /></c><c r="K352" s="372"><f>K351</f><v /></c><c r="L352" s="372"><f>L351</f><v /></c><c r="M352" s="373" t="n"><v>86.79000000000001</v></c><c r="N352" s="373" t="n"><v>186.8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379"><f>W351</f><v /></c><c r="X352" s="379"><f>X351</f><v /></c><c r="Y352" s="373" t="n"><v>192</v></c><c r="Z352" s="373" t="n"><v>202.02</v></c><c r="AA352" s="380"><f>AA351</f><v /></c><c r="AB352" s="381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379"><f>AI351</f><v /></c><c r="AJ352" s="379"><f>AJ351</f><v /></c><c r="AK352" s="373"><f>Z352</f><v /></c><c r="AL352" s="373" t="n"><v>207.07</v></c><c r="AM352" s="382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3"><f>IF(I352&gt;=1,"NO CONFORME",IF(BK352="SIGDIFERENTES",BC352,BL352))</f><v /></c><c r="AU352" s="365"><f>B352=C352</f><v /></c><c r="AV352" s="365"><f>N352&lt;Y352</f><v /></c><c r="AW352" s="365"><f>Z352&lt;=AK352</f><v /></c><c r="AX352" s="365"><f>IF(I352&gt;=1,"Qcorrecto",IF(AND(AY352="aceptable",AZ352="aceptable",BA352="aceptable"),"Qcorrecto","Qincorrecto"))</f><v /></c><c r="AY352" s="366"><f>IF(AR352&lt;$AH$6,"error",IF(AR352&gt;$AH$6*1.1,"error","aceptable"))</f><v /></c><c r="AZ352" s="366"><f>IF(AF352&lt;$V$6,"error",IF(AF352&gt;$V$6*1.1,"error","aceptable"))</f><v /></c><c r="BA352" s="366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7"><f>SIGN(U352)</f><v /></c><c r="BE352" s="367"><f>SIGN(AG352)</f><v /></c><c r="BF352" s="367"><f>SIGN(AS352)</f><v /></c><c r="BG352" s="367"><f>CONCATENATE(BD352,BE352,BF352)</f><v /></c><c r="BH352" s="367"><f>IF(BG352="111","SI","SD")</f><v /></c><c r="BI352" s="367"><f>IF(BG352="-1-1-1","SI","SD")</f><v /></c><c r="BJ352" s="367"><f>OR(BH352="SI",BI352="SI")</f><v /></c><c r="BK352" s="367"><f>IF(BJ352=FALSE,"SIGDIFERENTES","SIGIGUALES")</f><v /></c><c r="BL352" s="366"><f>IF(BC352="NO CONFORME","NO CONFORME",IF(BB352="CONFORME","CONFORME","NO CONFORME"))</f><v /></c></row><row r="353" ht="15" customHeight="1" thickBot="1"><c r="A353" s="351" t="n"><v>345</v></c><c r="B353" s="369"><f>B352</f><v /></c><c r="C353" s="369"><f>C352</f><v /></c><c r="D353" s="370"><f>D352</f><v /></c><c r="E353" s="371"><f>E352</f><v /></c><c r="F353" s="13" t="n" /><c r="G353" s="477" t="inlineStr"><is><t>PA25516745</t></is></c><c r="H353" s="313"><f>H352</f><v /></c><c r="I353" s="38"><f>I352</f><v /></c><c r="J353" s="314"><f>J352</f><v /></c><c r="K353" s="372"><f>K352</f><v /></c><c r="L353" s="372"><f>L352</f><v /></c><c r="M353" s="373" t="n"><v>85.40000000000001</v></c><c r="N353" s="373" t="n"><v>185.08</v></c><c r="O353" s="374"><f>O352</f><v /></c><c r="P353" s="375"><f>P352</f><v /></c><c r="Q353" s="376"><f>LEFT(P353,1)</f><v /></c><c r="R353" s="376"><f>RIGHT(P353,6)</f><v /></c><c r="S353" s="376"><f>+(Q353*60+R353)/(60*60)</f><v /></c><c r="T353" s="377"><f>+O353/S353</f><v /></c><c r="U353" s="378"><f>+(((N353-M353-O353)/O353)*100)</f><v /></c><c r="V353" s="317"><f>V352</f><v /></c><c r="W353" s="379"><f>W352</f><v /></c><c r="X353" s="379"><f>X352</f><v /></c><c r="Y353" s="373" t="n"><v>190.22</v></c><c r="Z353" s="373" t="n"><v>200.2</v></c><c r="AA353" s="380"><f>AA352</f><v /></c><c r="AB353" s="381"><f>AB352</f><v /></c><c r="AC353" s="376"><f>LEFT(AB353,2)</f><v /></c><c r="AD353" s="376"><f>RIGHT(AB353,6)</f><v /></c><c r="AE353" s="376"><f>+(AC353*60+AD353)/(60*60)</f><v /></c><c r="AF353" s="377"><f>+AA353/AE353</f><v /></c><c r="AG353" s="321"><f>+(((Z353-Y353-AA353)/AA353)*100)</f><v /></c><c r="AH353" s="317"><f>AH352</f><v /></c><c r="AI353" s="379"><f>AI352</f><v /></c><c r="AJ353" s="379"><f>AJ352</f><v /></c><c r="AK353" s="373"><f>Z353</f><v /></c><c r="AL353" s="373" t="n"><v>205.21</v></c><c r="AM353" s="382"><f>AM352</f><v /></c><c r="AN353" s="375"><f>AN352</f><v /></c><c r="AO353" s="376"><f>LEFT(AN353,2)</f><v /></c><c r="AP353" s="376"><f>RIGHT(AN353,6)</f><v /></c><c r="AQ353" s="376"><f>+(AO353*60+AP353)/(60*60)</f><v /></c><c r="AR353" s="377"><f>+AM353/AQ353</f><v /></c><c r="AS353" s="321"><f>+(((AL353-AK353-AM353)/AM353)*100)</f><v /></c><c r="AT353" s="383"><f>IF(I353&gt;=1,"NO CONFORME",IF(BK353="SIGDIFERENTES",BC353,BL353))</f><v /></c><c r="AU353" s="365"><f>B353=C353</f><v /></c><c r="AV353" s="365"><f>N353&lt;Y353</f><v /></c><c r="AW353" s="365"><f>Z353&lt;=AK353</f><v /></c><c r="AX353" s="365"><f>IF(I353&gt;=1,"Qcorrecto",IF(AND(AY353="aceptable",AZ353="aceptable",BA353="aceptable"),"Qcorrecto","Qincorrecto"))</f><v /></c><c r="AY353" s="366"><f>IF(AR353&lt;$AH$6,"error",IF(AR353&gt;$AH$6*1.1,"error","aceptable"))</f><v /></c><c r="AZ353" s="366"><f>IF(AF353&lt;$V$6,"error",IF(AF353&gt;$V$6*1.1,"error","aceptable"))</f><v /></c><c r="BA353" s="366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7"><f>SIGN(U353)</f><v /></c><c r="BE353" s="367"><f>SIGN(AG353)</f><v /></c><c r="BF353" s="367"><f>SIGN(AS353)</f><v /></c><c r="BG353" s="367"><f>CONCATENATE(BD353,BE353,BF353)</f><v /></c><c r="BH353" s="367"><f>IF(BG353="111","SI","SD")</f><v /></c><c r="BI353" s="367"><f>IF(BG353="-1-1-1","SI","SD")</f><v /></c><c r="BJ353" s="367"><f>OR(BH353="SI",BI353="SI")</f><v /></c><c r="BK353" s="367"><f>IF(BJ353=FALSE,"SIGDIFERENTES","SIGIGUALES")</f><v /></c><c r="BL353" s="366"><f>IF(BC353="NO CONFORME","NO CONFORME",IF(BB353="CONFORME","CONFORME","NO CONFORME"))</f><v /></c></row><row r="354" ht="15" customHeight="1" thickBot="1"><c r="A354" s="351" t="n"><v>346</v></c><c r="B354" s="369"><f>B353</f><v /></c><c r="C354" s="369"><f>C353</f><v /></c><c r="D354" s="370"><f>D353</f><v /></c><c r="E354" s="371"><f>E353</f><v /></c><c r="F354" s="13" t="n" /><c r="G354" s="477" t="inlineStr"><is><t>PA25516746</t></is></c><c r="H354" s="313"><f>H353</f><v /></c><c r="I354" s="38"><f>I353</f><v /></c><c r="J354" s="314"><f>J353</f><v /></c><c r="K354" s="372"><f>K353</f><v /></c><c r="L354" s="372"><f>L353</f><v /></c><c r="M354" s="373" t="n"><v>87.95</v></c><c r="N354" s="373" t="n"><v>188.71</v></c><c r="O354" s="374"><f>O353</f><v /></c><c r="P354" s="375"><f>P353</f><v /></c><c r="Q354" s="376"><f>LEFT(P354,1)</f><v /></c><c r="R354" s="376"><f>RIGHT(P354,6)</f><v /></c><c r="S354" s="376"><f>+(Q354*60+R354)/(60*60)</f><v /></c><c r="T354" s="377"><f>+O354/S354</f><v /></c><c r="U354" s="378"><f>+(((N354-M354-O354)/O354)*100)</f><v /></c><c r="V354" s="317"><f>V353</f><v /></c><c r="W354" s="379"><f>W353</f><v /></c><c r="X354" s="379"><f>X353</f><v /></c><c r="Y354" s="373" t="n"><v>193.91</v></c><c r="Z354" s="373" t="n"><v>203.95</v></c><c r="AA354" s="380"><f>AA353</f><v /></c><c r="AB354" s="381"><f>AB353</f><v /></c><c r="AC354" s="376"><f>LEFT(AB354,2)</f><v /></c><c r="AD354" s="376"><f>RIGHT(AB354,6)</f><v /></c><c r="AE354" s="376"><f>+(AC354*60+AD354)/(60*60)</f><v /></c><c r="AF354" s="377"><f>+AA354/AE354</f><v /></c><c r="AG354" s="321"><f>+(((Z354-Y354-AA354)/AA354)*100)</f><v /></c><c r="AH354" s="317"><f>AH353</f><v /></c><c r="AI354" s="379"><f>AI353</f><v /></c><c r="AJ354" s="379"><f>AJ353</f><v /></c><c r="AK354" s="373"><f>Z354</f><v /></c><c r="AL354" s="373" t="n"><v>209</v></c><c r="AM354" s="382"><f>AM353</f><v /></c><c r="AN354" s="375"><f>AN353</f><v /></c><c r="AO354" s="376"><f>LEFT(AN354,2)</f><v /></c><c r="AP354" s="376"><f>RIGHT(AN354,6)</f><v /></c><c r="AQ354" s="376"><f>+(AO354*60+AP354)/(60*60)</f><v /></c><c r="AR354" s="377"><f>+AM354/AQ354</f><v /></c><c r="AS354" s="321"><f>+(((AL354-AK354-AM354)/AM354)*100)</f><v /></c><c r="AT354" s="383"><f>IF(I354&gt;=1,"NO CONFORME",IF(BK354="SIGDIFERENTES",BC354,BL354))</f><v /></c><c r="AU354" s="365"><f>B354=C354</f><v /></c><c r="AV354" s="365"><f>N354&lt;Y354</f><v /></c><c r="AW354" s="365"><f>Z354&lt;=AK354</f><v /></c><c r="AX354" s="365"><f>IF(I354&gt;=1,"Qcorrecto",IF(AND(AY354="aceptable",AZ354="aceptable",BA354="aceptable"),"Qcorrecto","Qincorrecto"))</f><v /></c><c r="AY354" s="366"><f>IF(AR354&lt;$AH$6,"error",IF(AR354&gt;$AH$6*1.1,"error","aceptable"))</f><v /></c><c r="AZ354" s="366"><f>IF(AF354&lt;$V$6,"error",IF(AF354&gt;$V$6*1.1,"error","aceptable"))</f><v /></c><c r="BA354" s="366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7"><f>SIGN(U354)</f><v /></c><c r="BE354" s="367"><f>SIGN(AG354)</f><v /></c><c r="BF354" s="367"><f>SIGN(AS354)</f><v /></c><c r="BG354" s="367"><f>CONCATENATE(BD354,BE354,BF354)</f><v /></c><c r="BH354" s="367"><f>IF(BG354="111","SI","SD")</f><v /></c><c r="BI354" s="367"><f>IF(BG354="-1-1-1","SI","SD")</f><v /></c><c r="BJ354" s="367"><f>OR(BH354="SI",BI354="SI")</f><v /></c><c r="BK354" s="367"><f>IF(BJ354=FALSE,"SIGDIFERENTES","SIGIGUALES")</f><v /></c><c r="BL354" s="366"><f>IF(BC354="NO CONFORME","NO CONFORME",IF(BB354="CONFORME","CONFORME","NO CONFORME"))</f><v /></c></row><row r="355" ht="15" customHeight="1" thickBot="1"><c r="A355" s="398" t="n"><v>347</v></c><c r="B355" s="399"><f>B354</f><v /></c><c r="C355" s="399"><f>C354</f><v /></c><c r="D355" s="400"><f>D354</f><v /></c><c r="E355" s="456"><f>E354</f><v /></c><c r="F355" s="56" t="n" /><c r="G355" s="477" t="inlineStr"><is><t>PA25516747</t></is></c><c r="H355" s="401"><f>H354</f><v /></c><c r="I355" s="402"><f>I354</f><v /></c><c r="J355" s="403"><f>J354</f><v /></c><c r="K355" s="404"><f>K354</f><v /></c><c r="L355" s="404"><f>L354</f><v /></c><c r="M355" s="405" t="n"><v>89.84999999999999</v></c><c r="N355" s="405" t="n"><v>190.3</v></c><c r="O355" s="406"><f>O354</f><v /></c><c r="P355" s="407"><f>P354</f><v /></c><c r="Q355" s="408"><f>LEFT(P355,1)</f><v /></c><c r="R355" s="408"><f>RIGHT(P355,6)</f><v /></c><c r="S355" s="408"><f>+(Q355*60+R355)/(60*60)</f><v /></c><c r="T355" s="409"><f>+O355/S355</f><v /></c><c r="U355" s="410"><f>+(((N355-M355-O355)/O355)*100)</f><v /></c><c r="V355" s="411"><f>V354</f><v /></c><c r="W355" s="412"><f>W354</f><v /></c><c r="X355" s="412"><f>X354</f><v /></c><c r="Y355" s="405" t="n"><v>195.48</v></c><c r="Z355" s="405" t="n"><v>205.43</v></c><c r="AA355" s="413"><f>AA354</f><v /></c><c r="AB355" s="414"><f>AB354</f><v /></c><c r="AC355" s="408"><f>LEFT(AB355,2)</f><v /></c><c r="AD355" s="408"><f>RIGHT(AB355,6)</f><v /></c><c r="AE355" s="408"><f>+(AC355*60+AD355)/(60*60)</f><v /></c><c r="AF355" s="409"><f>+AA355/AE355</f><v /></c><c r="AG355" s="415"><f>+(((Z355-Y355-AA355)/AA355)*100)</f><v /></c><c r="AH355" s="411"><f>AH354</f><v /></c><c r="AI355" s="412"><f>AI354</f><v /></c><c r="AJ355" s="412"><f>AJ354</f><v /></c><c r="AK355" s="405"><f>Z355</f><v /></c><c r="AL355" s="405" t="n"><v>210.39</v></c><c r="AM355" s="416"><f>AM354</f><v /></c><c r="AN355" s="407"><f>AN354</f><v /></c><c r="AO355" s="408"><f>LEFT(AN355,2)</f><v /></c><c r="AP355" s="408"><f>RIGHT(AN355,6)</f><v /></c><c r="AQ355" s="408"><f>+(AO355*60+AP355)/(60*60)</f><v /></c><c r="AR355" s="409"><f>+AM355/AQ355</f><v /></c><c r="AS355" s="415"><f>+(((AL355-AK355-AM355)/AM355)*100)</f><v /></c><c r="AT355" s="417"><f>IF(I355&gt;=1,"NO CONFORME",IF(BK355="SIGDIFERENTES",BC355,BL355))</f><v /></c><c r="AU355" s="365"><f>B355=C355</f><v /></c><c r="AV355" s="365"><f>N355&lt;Y355</f><v /></c><c r="AW355" s="365"><f>Z355&lt;=AK355</f><v /></c><c r="AX355" s="365"><f>IF(I355&gt;=1,"Qcorrecto",IF(AND(AY355="aceptable",AZ355="aceptable",BA355="aceptable"),"Qcorrecto","Qincorrecto"))</f><v /></c><c r="AY355" s="418"><f>IF(AR355&lt;$AH$6,"error",IF(AR355&gt;$AH$6*1.1,"error","aceptable"))</f><v /></c><c r="AZ355" s="418"><f>IF(AF355&lt;$V$6,"error",IF(AF355&gt;$V$6*1.1,"error","aceptable"))</f><v /></c><c r="BA355" s="418"><f>IF(T355&lt;$J$6*0.9,"error",IF(T355&gt;$J$6,"error","aceptable"))</f><v /></c><c r="BB355" s="419"><f>(IF(ABS(U355)&lt;1.05,"CONFORME",IF(ABS(AG355)&lt;1.05,"CONFORME",IF(ABS(AS355)&lt;2.55,"CONFORME","NO CONFORME"))))</f><v /></c><c r="BC355" s="420"><f>(IF(ABS(U355)&gt;2.05,"NO CONFORME",IF(ABS(AG355)&gt;2.05,"NO CONFORME",IF(ABS(AS355)&gt;5.05,"NO CONFORME","CONFORME"))))</f><v /></c><c r="BD355" s="367"><f>SIGN(U355)</f><v /></c><c r="BE355" s="367"><f>SIGN(AG355)</f><v /></c><c r="BF355" s="367"><f>SIGN(AS355)</f><v /></c><c r="BG355" s="367"><f>CONCATENATE(BD355,BE355,BF355)</f><v /></c><c r="BH355" s="367"><f>IF(BG355="111","SI","SD")</f><v /></c><c r="BI355" s="367"><f>IF(BG355="-1-1-1","SI","SD")</f><v /></c><c r="BJ355" s="367"><f>OR(BH355="SI",BI355="SI")</f><v /></c><c r="BK355" s="367"><f>IF(BJ355=FALSE,"SIGDIFERENTES","SIGIGUALES")</f><v /></c><c r="BL355" s="418"><f>IF(BC355="NO CONFORME","NO CONFORME",IF(BB355="CONFORME","CONFORME","NO CONFORME"))</f><v /></c></row><row r="356" ht="15" customHeight="1" thickBot="1"><c r="A356" s="371" t="n"><v>348</v></c><c r="B356" s="369"><f>B355</f><v /></c><c r="C356" s="369"><f>C355</f><v /></c><c r="D356" s="370"><f>D355</f><v /></c><c r="E356" s="371"><f>E355</f><v /></c><c r="F356" s="13" t="n" /><c r="G356" s="477" t="inlineStr"><is><t>PA25516748</t></is></c><c r="H356" s="313"><f>H355</f><v /></c><c r="I356" s="38"><f>I355</f><v /></c><c r="J356" s="314"><f>J355</f><v /></c><c r="K356" s="372"><f>K355</f><v /></c><c r="L356" s="372"><f>L355</f><v /></c><c r="M356" s="373" t="n"><v>91.05</v></c><c r="N356" s="373" t="n"><v>190.79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379"><f>W355</f><v /></c><c r="X356" s="379"><f>X355</f><v /></c><c r="Y356" s="373" t="n"><v>195.94</v></c><c r="Z356" s="373" t="n"><v>205.86</v></c><c r="AA356" s="380"><f>AA355</f><v /></c><c r="AB356" s="381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379"><f>AI355</f><v /></c><c r="AJ356" s="379"><f>AJ355</f><v /></c><c r="AK356" s="373"><f>Z356</f><v /></c><c r="AL356" s="373" t="n"><v>210.77</v></c><c r="AM356" s="382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3"><f>IF(I356&gt;=1,"NO CONFORME",IF(BK356="SIGDIFERENTES",BC356,BL356))</f><v /></c><c r="AU356" s="421"><f>B356=C356</f><v /></c><c r="AV356" s="421"><f>N356&lt;Y356</f><v /></c><c r="AW356" s="421"><f>Z356&lt;=AK356</f><v /></c><c r="AX356" s="421"><f>IF(I356&gt;=1,"Qcorrecto",IF(AND(AY356="aceptable",AZ356="aceptable",BA356="aceptable"),"Qcorrecto","Qincorrecto"))</f><v /></c><c r="AY356" s="366"><f>IF(AR356&lt;$AH$6,"error",IF(AR356&gt;$AH$6*1.1,"error","aceptable"))</f><v /></c><c r="AZ356" s="366"><f>IF(AF356&lt;$V$6,"error",IF(AF356&gt;$V$6*1.1,"error","aceptable"))</f><v /></c><c r="BA356" s="366"><f>IF(T356&lt;$J$6*0.9,"error",IF(T356&gt;$J$6,"error","aceptable"))</f><v /></c><c r="BB356" s="422"><f>(IF(ABS(U356)&lt;1.05,"CONFORME",IF(ABS(AG356)&lt;1.05,"CONFORME",IF(ABS(AS356)&lt;2.55,"CONFORME","NO CONFORME"))))</f><v /></c><c r="BC356" s="423"><f>(IF(ABS(U356)&gt;2.05,"NO CONFORME",IF(ABS(AG356)&gt;2.05,"NO CONFORME",IF(ABS(AS356)&gt;5.05,"NO CONFORME","CONFORME"))))</f><v /></c><c r="BD356" s="424"><f>SIGN(U356)</f><v /></c><c r="BE356" s="424"><f>SIGN(AG356)</f><v /></c><c r="BF356" s="424"><f>SIGN(AS356)</f><v /></c><c r="BG356" s="424"><f>CONCATENATE(BD356,BE356,BF356)</f><v /></c><c r="BH356" s="424"><f>IF(BG356="111","SI","SD")</f><v /></c><c r="BI356" s="424"><f>IF(BG356="-1-1-1","SI","SD")</f><v /></c><c r="BJ356" s="424"><f>OR(BH356="SI",BI356="SI")</f><v /></c><c r="BK356" s="424"><f>IF(BJ356=FALSE,"SIGDIFERENTES","SIGIGUALES")</f><v /></c><c r="BL356" s="366"><f>IF(BC356="NO CONFORME","NO CONFORME",IF(BB356="CONFORME","CONFORME","NO CONFORME"))</f><v /></c></row><row r="357" ht="15" customHeight="1" thickBot="1"><c r="A357" s="451" t="n"><v>349</v></c><c r="B357" s="369"><f>B356</f><v /></c><c r="C357" s="369"><f>C356</f><v /></c><c r="D357" s="370"><f>D356</f><v /></c><c r="E357" s="371"><f>E356</f><v /></c><c r="F357" s="13" t="n" /><c r="G357" s="477" t="inlineStr"><is><t>PA25516749</t></is></c><c r="H357" s="313"><f>H356</f><v /></c><c r="I357" s="38"><f>I356</f><v /></c><c r="J357" s="314"><f>J356</f><v /></c><c r="K357" s="372"><f>K356</f><v /></c><c r="L357" s="372"><f>L356</f><v /></c><c r="M357" s="373" t="n"><v>90.94</v></c><c r="N357" s="373" t="n"><v>190.85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379"><f>W356</f><v /></c><c r="X357" s="379"><f>X356</f><v /></c><c r="Y357" s="373" t="n"><v>196</v></c><c r="Z357" s="373" t="n"><v>205.94</v></c><c r="AA357" s="380"><f>AA356</f><v /></c><c r="AB357" s="381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379"><f>AI356</f><v /></c><c r="AJ357" s="379"><f>AJ356</f><v /></c><c r="AK357" s="373"><f>Z357</f><v /></c><c r="AL357" s="373" t="n"><v>210.92</v></c><c r="AM357" s="382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3"><f>IF(I357&gt;=1,"NO CONFORME",IF(BK357="SIGDIFERENTES",BC357,BL357))</f><v /></c><c r="AU357" s="421"><f>B357=C357</f><v /></c><c r="AV357" s="421"><f>N357&lt;Y357</f><v /></c><c r="AW357" s="421"><f>Z357&lt;=AK357</f><v /></c><c r="AX357" s="421"><f>IF(I357&gt;=1,"Qcorrecto",IF(AND(AY357="aceptable",AZ357="aceptable",BA357="aceptable"),"Qcorrecto","Qincorrecto"))</f><v /></c><c r="AY357" s="366"><f>IF(AR357&lt;$AH$6,"error",IF(AR357&gt;$AH$6*1.1,"error","aceptable"))</f><v /></c><c r="AZ357" s="366"><f>IF(AF357&lt;$V$6,"error",IF(AF357&gt;$V$6*1.1,"error","aceptable"))</f><v /></c><c r="BA357" s="366"><f>IF(T357&lt;$J$6*0.9,"error",IF(T357&gt;$J$6,"error","aceptable"))</f><v /></c><c r="BB357" s="422"><f>(IF(ABS(U357)&lt;1.05,"CONFORME",IF(ABS(AG357)&lt;1.05,"CONFORME",IF(ABS(AS357)&lt;2.55,"CONFORME","NO CONFORME"))))</f><v /></c><c r="BC357" s="423"><f>(IF(ABS(U357)&gt;2.05,"NO CONFORME",IF(ABS(AG357)&gt;2.05,"NO CONFORME",IF(ABS(AS357)&gt;5.05,"NO CONFORME","CONFORME"))))</f><v /></c><c r="BD357" s="424"><f>SIGN(U357)</f><v /></c><c r="BE357" s="424"><f>SIGN(AG357)</f><v /></c><c r="BF357" s="424"><f>SIGN(AS357)</f><v /></c><c r="BG357" s="424"><f>CONCATENATE(BD357,BE357,BF357)</f><v /></c><c r="BH357" s="424"><f>IF(BG357="111","SI","SD")</f><v /></c><c r="BI357" s="424"><f>IF(BG357="-1-1-1","SI","SD")</f><v /></c><c r="BJ357" s="424"><f>OR(BH357="SI",BI357="SI")</f><v /></c><c r="BK357" s="424"><f>IF(BJ357=FALSE,"SIGDIFERENTES","SIGIGUALES")</f><v /></c><c r="BL357" s="366"><f>IF(BC357="NO CONFORME","NO CONFORME",IF(BB357="CONFORME","CONFORME","NO CONFORME"))</f><v /></c></row><row r="358" ht="15" customHeight="1" thickBot="1"><c r="A358" s="451" t="n"><v>350</v></c><c r="B358" s="369"><f>B357</f><v /></c><c r="C358" s="369"><f>C357</f><v /></c><c r="D358" s="370"><f>D357</f><v /></c><c r="E358" s="371"><f>E357</f><v /></c><c r="F358" s="13" t="n" /><c r="G358" s="477" t="inlineStr"><is><t>PA25516750</t></is></c><c r="H358" s="313"><f>H357</f><v /></c><c r="I358" s="38"><f>I357</f><v /></c><c r="J358" s="314"><f>J357</f><v /></c><c r="K358" s="372"><f>K357</f><v /></c><c r="L358" s="372"><f>L357</f><v /></c><c r="M358" s="373" t="n"><v>92.7</v></c><c r="N358" s="373" t="n"><v>193.25</v></c><c r="O358" s="374"><f>O357</f><v /></c><c r="P358" s="375"><f>P357</f><v /></c><c r="Q358" s="376"><f>LEFT(P358,1)</f><v /></c><c r="R358" s="376"><f>RIGHT(P358,6)</f><v /></c><c r="S358" s="376"><f>+(Q358*60+R358)/(60*60)</f><v /></c><c r="T358" s="377"><f>+O358/S358</f><v /></c><c r="U358" s="378"><f>+(((N358-M358-O358)/O358)*100)</f><v /></c><c r="V358" s="317"><f>V357</f><v /></c><c r="W358" s="379"><f>W357</f><v /></c><c r="X358" s="379"><f>X357</f><v /></c><c r="Y358" s="373" t="n"><v>198.45</v></c><c r="Z358" s="373" t="n"><v>208.42</v></c><c r="AA358" s="380"><f>AA357</f><v /></c><c r="AB358" s="381"><f>AB357</f><v /></c><c r="AC358" s="376"><f>LEFT(AB358,2)</f><v /></c><c r="AD358" s="376"><f>RIGHT(AB358,6)</f><v /></c><c r="AE358" s="376"><f>+(AC358*60+AD358)/(60*60)</f><v /></c><c r="AF358" s="377"><f>+AA358/AE358</f><v /></c><c r="AG358" s="321"><f>+(((Z358-Y358-AA358)/AA358)*100)</f><v /></c><c r="AH358" s="317"><f>AH357</f><v /></c><c r="AI358" s="379"><f>AI357</f><v /></c><c r="AJ358" s="379"><f>AJ357</f><v /></c><c r="AK358" s="373"><f>Z358</f><v /></c><c r="AL358" s="373" t="n"><v>213.39</v></c><c r="AM358" s="382"><f>AM357</f><v /></c><c r="AN358" s="375"><f>AN357</f><v /></c><c r="AO358" s="376"><f>LEFT(AN358,2)</f><v /></c><c r="AP358" s="376"><f>RIGHT(AN358,6)</f><v /></c><c r="AQ358" s="376"><f>+(AO358*60+AP358)/(60*60)</f><v /></c><c r="AR358" s="377"><f>+AM358/AQ358</f><v /></c><c r="AS358" s="321"><f>+(((AL358-AK358-AM358)/AM358)*100)</f><v /></c><c r="AT358" s="383"><f>IF(I358&gt;=1,"NO CONFORME",IF(BK358="SIGDIFERENTES",BC358,BL358))</f><v /></c><c r="AU358" s="421"><f>B358=C358</f><v /></c><c r="AV358" s="421"><f>N358&lt;Y358</f><v /></c><c r="AW358" s="421"><f>Z358&lt;=AK358</f><v /></c><c r="AX358" s="421"><f>IF(I358&gt;=1,"Qcorrecto",IF(AND(AY358="aceptable",AZ358="aceptable",BA358="aceptable"),"Qcorrecto","Qincorrecto"))</f><v /></c><c r="AY358" s="366"><f>IF(AR358&lt;$AH$6,"error",IF(AR358&gt;$AH$6*1.1,"error","aceptable"))</f><v /></c><c r="AZ358" s="366"><f>IF(AF358&lt;$V$6,"error",IF(AF358&gt;$V$6*1.1,"error","aceptable"))</f><v /></c><c r="BA358" s="366"><f>IF(T358&lt;$J$6*0.9,"error",IF(T358&gt;$J$6,"error","aceptable"))</f><v /></c><c r="BB358" s="422"><f>(IF(ABS(U358)&lt;1.05,"CONFORME",IF(ABS(AG358)&lt;1.05,"CONFORME",IF(ABS(AS358)&lt;2.55,"CONFORME","NO CONFORME"))))</f><v /></c><c r="BC358" s="423"><f>(IF(ABS(U358)&gt;2.05,"NO CONFORME",IF(ABS(AG358)&gt;2.05,"NO CONFORME",IF(ABS(AS358)&gt;5.05,"NO CONFORME","CONFORME"))))</f><v /></c><c r="BD358" s="424"><f>SIGN(U358)</f><v /></c><c r="BE358" s="424"><f>SIGN(AG358)</f><v /></c><c r="BF358" s="424"><f>SIGN(AS358)</f><v /></c><c r="BG358" s="424"><f>CONCATENATE(BD358,BE358,BF358)</f><v /></c><c r="BH358" s="424"><f>IF(BG358="111","SI","SD")</f><v /></c><c r="BI358" s="424"><f>IF(BG358="-1-1-1","SI","SD")</f><v /></c><c r="BJ358" s="424"><f>OR(BH358="SI",BI358="SI")</f><v /></c><c r="BK358" s="424"><f>IF(BJ358=FALSE,"SIGDIFERENTES","SIGIGUALES")</f><v /></c><c r="BL358" s="366"><f>IF(BC358="NO CONFORME","NO CONFORME",IF(BB358="CONFORME","CONFORME","NO CONFORME"))</f><v /></c></row><row r="359" ht="15" customHeight="1" thickBot="1"><c r="A359" s="451" t="n"><v>351</v></c><c r="B359" s="369"><f>B358</f><v /></c><c r="C359" s="369"><f>C358</f><v /></c><c r="D359" s="370"><f>D358</f><v /></c><c r="E359" s="371"><f>E358</f><v /></c><c r="F359" s="13" t="n" /><c r="G359" s="477" t="inlineStr"><is><t>PA25516751</t></is></c><c r="H359" s="313"><f>H358</f><v /></c><c r="I359" s="38"><f>I358</f><v /></c><c r="J359" s="314"><f>J358</f><v /></c><c r="K359" s="372"><f>K358</f><v /></c><c r="L359" s="372"><f>L358</f><v /></c><c r="M359" s="373" t="n"><v>91.89</v></c><c r="N359" s="373" t="n"><v>191.85</v></c><c r="O359" s="374"><f>O358</f><v /></c><c r="P359" s="375"><f>P358</f><v /></c><c r="Q359" s="376"><f>LEFT(P359,1)</f><v /></c><c r="R359" s="376"><f>RIGHT(P359,6)</f><v /></c><c r="S359" s="376"><f>+(Q359*60+R359)/(60*60)</f><v /></c><c r="T359" s="377"><f>+O359/S359</f><v /></c><c r="U359" s="378"><f>+(((N359-M359-O359)/O359)*100)</f><v /></c><c r="V359" s="317"><f>V358</f><v /></c><c r="W359" s="379"><f>W358</f><v /></c><c r="X359" s="379"><f>X358</f><v /></c><c r="Y359" s="373" t="n"><v>197</v></c><c r="Z359" s="373" t="n"><v>206.92</v></c><c r="AA359" s="380"><f>AA358</f><v /></c><c r="AB359" s="381"><f>AB358</f><v /></c><c r="AC359" s="376"><f>LEFT(AB359,2)</f><v /></c><c r="AD359" s="376"><f>RIGHT(AB359,6)</f><v /></c><c r="AE359" s="376"><f>+(AC359*60+AD359)/(60*60)</f><v /></c><c r="AF359" s="377"><f>+AA359/AE359</f><v /></c><c r="AG359" s="321"><f>+(((Z359-Y359-AA359)/AA359)*100)</f><v /></c><c r="AH359" s="317"><f>AH358</f><v /></c><c r="AI359" s="379"><f>AI358</f><v /></c><c r="AJ359" s="379"><f>AJ358</f><v /></c><c r="AK359" s="373"><f>Z359</f><v /></c><c r="AL359" s="373" t="n"><v>211.85</v></c><c r="AM359" s="382"><f>AM358</f><v /></c><c r="AN359" s="375"><f>AN358</f><v /></c><c r="AO359" s="376"><f>LEFT(AN359,2)</f><v /></c><c r="AP359" s="376"><f>RIGHT(AN359,6)</f><v /></c><c r="AQ359" s="376"><f>+(AO359*60+AP359)/(60*60)</f><v /></c><c r="AR359" s="377"><f>+AM359/AQ359</f><v /></c><c r="AS359" s="321"><f>+(((AL359-AK359-AM359)/AM359)*100)</f><v /></c><c r="AT359" s="383"><f>IF(I359&gt;=1,"NO CONFORME",IF(BK359="SIGDIFERENTES",BC359,BL359))</f><v /></c><c r="AU359" s="421"><f>B359=C359</f><v /></c><c r="AV359" s="421"><f>N359&lt;Y359</f><v /></c><c r="AW359" s="421"><f>Z359&lt;=AK359</f><v /></c><c r="AX359" s="421"><f>IF(I359&gt;=1,"Qcorrecto",IF(AND(AY359="aceptable",AZ359="aceptable",BA359="aceptable"),"Qcorrecto","Qincorrecto"))</f><v /></c><c r="AY359" s="366"><f>IF(AR359&lt;$AH$6,"error",IF(AR359&gt;$AH$6*1.1,"error","aceptable"))</f><v /></c><c r="AZ359" s="366"><f>IF(AF359&lt;$V$6,"error",IF(AF359&gt;$V$6*1.1,"error","aceptable"))</f><v /></c><c r="BA359" s="366"><f>IF(T359&lt;$J$6*0.9,"error",IF(T359&gt;$J$6,"error","aceptable"))</f><v /></c><c r="BB359" s="422"><f>(IF(ABS(U359)&lt;1.05,"CONFORME",IF(ABS(AG359)&lt;1.05,"CONFORME",IF(ABS(AS359)&lt;2.55,"CONFORME","NO CONFORME"))))</f><v /></c><c r="BC359" s="423"><f>(IF(ABS(U359)&gt;2.05,"NO CONFORME",IF(ABS(AG359)&gt;2.05,"NO CONFORME",IF(ABS(AS359)&gt;5.05,"NO CONFORME","CONFORME"))))</f><v /></c><c r="BD359" s="424"><f>SIGN(U359)</f><v /></c><c r="BE359" s="424"><f>SIGN(AG359)</f><v /></c><c r="BF359" s="424"><f>SIGN(AS359)</f><v /></c><c r="BG359" s="424"><f>CONCATENATE(BD359,BE359,BF359)</f><v /></c><c r="BH359" s="424"><f>IF(BG359="111","SI","SD")</f><v /></c><c r="BI359" s="424"><f>IF(BG359="-1-1-1","SI","SD")</f><v /></c><c r="BJ359" s="424"><f>OR(BH359="SI",BI359="SI")</f><v /></c><c r="BK359" s="424"><f>IF(BJ359=FALSE,"SIGDIFERENTES","SIGIGUALES")</f><v /></c><c r="BL359" s="366"><f>IF(BC359="NO CONFORME","NO CONFORME",IF(BB359="CONFORME","CONFORME","NO CONFORME"))</f><v /></c></row><row r="360" ht="15" customHeight="1" thickBot="1"><c r="A360" s="473" t="n"><v>352</v></c><c r="B360" s="454"><f>B359</f><v /></c><c r="C360" s="454"><f>C359</f><v /></c><c r="D360" s="455"><f>D359</f><v /></c><c r="E360" s="474"><f>E359</f><v /></c><c r="F360" s="52" t="n" /><c r="G360" s="477" t="inlineStr"><is><t>PA25516752</t></is></c><c r="H360" s="326"><f>H359</f><v /></c><c r="I360" s="98"><f>I359</f><v /></c><c r="J360" s="327"><f>J359</f><v /></c><c r="K360" s="458"><f>K359</f><v /></c><c r="L360" s="458"><f>L359</f><v /></c><c r="M360" s="459" t="n"><v>92.25</v></c><c r="N360" s="459" t="n"><v>192.2</v></c><c r="O360" s="460"><f>O359</f><v /></c><c r="P360" s="461"><f>P359</f><v /></c><c r="Q360" s="462"><f>LEFT(P360,1)</f><v /></c><c r="R360" s="462"><f>RIGHT(P360,6)</f><v /></c><c r="S360" s="462"><f>+(Q360*60+R360)/(60*60)</f><v /></c><c r="T360" s="463"><f>+O360/S360</f><v /></c><c r="U360" s="464"><f>+(((N360-M360-O360)/O360)*100)</f><v /></c><c r="V360" s="329"><f>V359</f><v /></c><c r="W360" s="465"><f>W359</f><v /></c><c r="X360" s="465"><f>X359</f><v /></c><c r="Y360" s="459" t="n"><v>197.36</v></c><c r="Z360" s="459" t="n"><v>207.35</v></c><c r="AA360" s="466"><f>AA359</f><v /></c><c r="AB360" s="467"><f>AB359</f><v /></c><c r="AC360" s="462"><f>LEFT(AB360,2)</f><v /></c><c r="AD360" s="462"><f>RIGHT(AB360,6)</f><v /></c><c r="AE360" s="462"><f>+(AC360*60+AD360)/(60*60)</f><v /></c><c r="AF360" s="463"><f>+AA360/AE360</f><v /></c><c r="AG360" s="468"><f>+(((Z360-Y360-AA360)/AA360)*100)</f><v /></c><c r="AH360" s="329"><f>AH359</f><v /></c><c r="AI360" s="465"><f>AI359</f><v /></c><c r="AJ360" s="465"><f>AJ359</f><v /></c><c r="AK360" s="459"><f>Z360</f><v /></c><c r="AL360" s="459" t="n"><v>212.36</v></c><c r="AM360" s="469"><f>AM359</f><v /></c><c r="AN360" s="461"><f>AN359</f><v /></c><c r="AO360" s="462"><f>LEFT(AN360,2)</f><v /></c><c r="AP360" s="462"><f>RIGHT(AN360,6)</f><v /></c><c r="AQ360" s="462"><f>+(AO360*60+AP360)/(60*60)</f><v /></c><c r="AR360" s="463"><f>+AM360/AQ360</f><v /></c><c r="AS360" s="468"><f>+(((AL360-AK360-AM360)/AM360)*100)</f><v /></c><c r="AT360" s="470"><f>IF(I360&gt;=1,"NO CONFORME",IF(BK360="SIGDIFERENTES",BC360,BL360))</f><v /></c><c r="AU360" s="478"><f>B360=C360</f><v /></c><c r="AV360" s="478"><f>N360&lt;Y360</f><v /></c><c r="AW360" s="478"><f>Z360&lt;=AK360</f><v /></c><c r="AX360" s="478"><f>IF(I360&gt;=1,"Qcorrecto",IF(AND(AY360="aceptable",AZ360="aceptable",BA360="aceptable"),"Qcorrecto","Qincorrecto"))</f><v /></c><c r="AY360" s="427"><f>IF(AR360&lt;$AH$6,"error",IF(AR360&gt;$AH$6*1.1,"error","aceptable"))</f><v /></c><c r="AZ360" s="427"><f>IF(AF360&lt;$V$6,"error",IF(AF360&gt;$V$6*1.1,"error","aceptable"))</f><v /></c><c r="BA360" s="427"><f>IF(T360&lt;$J$6*0.9,"error",IF(T360&gt;$J$6,"error","aceptable"))</f><v /></c><c r="BB360" s="479"><f>(IF(ABS(U360)&lt;1.05,"CONFORME",IF(ABS(AG360)&lt;1.05,"CONFORME",IF(ABS(AS360)&lt;2.55,"CONFORME","NO CONFORME"))))</f><v /></c><c r="BC360" s="480"><f>(IF(ABS(U360)&gt;2.05,"NO CONFORME",IF(ABS(AG360)&gt;2.05,"NO CONFORME",IF(ABS(AS360)&gt;5.05,"NO CONFORME","CONFORME"))))</f><v /></c><c r="BD360" s="481"><f>SIGN(U360)</f><v /></c><c r="BE360" s="481"><f>SIGN(AG360)</f><v /></c><c r="BF360" s="481"><f>SIGN(AS360)</f><v /></c><c r="BG360" s="481"><f>CONCATENATE(BD360,BE360,BF360)</f><v /></c><c r="BH360" s="481"><f>IF(BG360="111","SI","SD")</f><v /></c><c r="BI360" s="481"><f>IF(BG360="-1-1-1","SI","SD")</f><v /></c><c r="BJ360" s="481"><f>OR(BH360="SI",BI360="SI")</f><v /></c><c r="BK360" s="481"><f>IF(BJ360=FALSE,"SIGDIFERENTES","SIGIGUALES")</f><v /></c><c r="BL360" s="427"><f>IF(BC360="NO CONFORME","NO CONFORME",IF(BB360="CONFORME","CONFORME","NO CONFORME"))</f><v /></c></row><row r="361" ht="15" customHeight="1" thickBot="1"><c r="A361" s="351" t="n"><v>353</v></c><c r="B361" s="386"><f>B360</f><v /></c><c r="C361" s="386"><f>C360</f><v /></c><c r="D361" s="387"><f>D360</f><v /></c><c r="E361" s="475"><f>E360</f><v /></c><c r="F361" s="58" t="n" /><c r="G361" s="457" t="inlineStr"><is><t>PA25516753</t></is></c><c r="H361" s="388"><f>H360</f><v /></c><c r="I361" s="232"><f>I360</f><v /></c><c r="J361" s="389" t="n"><v>21.2</v></c><c r="K361" s="390" t="n"><v>8.208</v></c><c r="L361" s="390" t="n"><v>0.578</v></c><c r="M361" s="356" t="n"><v>88.09999999999999</v></c><c r="N361" s="356" t="n"><v>187.58</v></c><c r="O361" s="391" t="n"><v>100.65</v></c><c r="P361" s="392" t="inlineStr"><is><t>2,32,500</t></is></c><c r="Q361" s="359"><f>LEFT(P361,1)</f><v /></c><c r="R361" s="359"><f>RIGHT(P361,6)</f><v /></c><c r="S361" s="359"><f>+(Q361*60+R361)/(60*60)</f><v /></c><c r="T361" s="360"><f>+O361/S361</f><v /></c><c r="U361" s="361"><f>+(((N361-M361-O361)/O361)*100)</f><v /></c><c r="V361" s="393" t="n"><v>20.9</v></c><c r="W361" s="394" t="n"><v>1.074</v></c><c r="X361" s="394" t="n"><v>1.062</v></c><c r="Y361" s="356" t="n"><v>193.18</v></c><c r="Z361" s="356" t="n"><v>203.12</v></c><c r="AA361" s="395" t="n"><v>10.005</v></c><c r="AB361" s="396" t="inlineStr"><is><t>22,28,810</t></is></c><c r="AC361" s="359"><f>LEFT(AB361,2)</f><v /></c><c r="AD361" s="359"><f>RIGHT(AB361,6)</f><v /></c><c r="AE361" s="359"><f>+(AC361*60+AD361)/(60*60)</f><v /></c><c r="AF361" s="360"><f>+AA361/AE361</f><v /></c><c r="AG361" s="362"><f>+(((Z361-Y361-AA361)/AA361)*100)</f><v /></c><c r="AH361" s="393" t="n"><v>21</v></c><c r="AI361" s="394" t="n"><v>1.074</v></c><c r="AJ361" s="394" t="n"><v>1.062</v></c><c r="AK361" s="356"><f>Z361</f><v /></c><c r="AL361" s="356" t="n"><v>208.06</v></c><c r="AM361" s="397" t="n"><v>5.011</v></c><c r="AN361" s="392" t="inlineStr"><is><t>18,22,110</t></is></c><c r="AO361" s="359"><f>LEFT(AN361,2)</f><v /></c><c r="AP361" s="359"><f>RIGHT(AN361,6)</f><v /></c><c r="AQ361" s="359"><f>+(AO361*60+AP361)/(60*60)</f><v /></c><c r="AR361" s="360"><f>+AM361/AQ361</f><v /></c><c r="AS361" s="362"><f>+(((AL361-AK361-AM361)/AM361)*100)</f><v /></c><c r="AT361" s="364"><f>IF(I361&gt;=1,"NO CONFORME",IF(BK361="SIGDIFERENTES",BC361,BL361))</f><v /></c><c r="AU361" s="384"><f>B361=C361</f><v /></c><c r="AV361" s="384"><f>N361&lt;Y361</f><v /></c><c r="AW361" s="384"><f>Z361&lt;=AK361</f><v /></c><c r="AX361" s="384"><f>IF(I361&gt;=1,"Qcorrecto",IF(AND(AY361="aceptable",AZ361="aceptable",BA361="aceptable"),"Qcorrecto","Qincorrecto"))</f><v /></c><c r="AY361" s="368"><f>IF(AR361&lt;$AH$6,"error",IF(AR361&gt;$AH$6*1.1,"error","aceptable"))</f><v /></c><c r="AZ361" s="368"><f>IF(AF361&lt;$V$6,"error",IF(AF361&gt;$V$6*1.1,"error","aceptable"))</f><v /></c><c r="BA361" s="368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85"><f>SIGN(U361)</f><v /></c><c r="BE361" s="385"><f>SIGN(AG361)</f><v /></c><c r="BF361" s="385"><f>SIGN(AS361)</f><v /></c><c r="BG361" s="385"><f>CONCATENATE(BD361,BE361,BF361)</f><v /></c><c r="BH361" s="385"><f>IF(BG361="111","SI","SD")</f><v /></c><c r="BI361" s="385"><f>IF(BG361="-1-1-1","SI","SD")</f><v /></c><c r="BJ361" s="385"><f>OR(BH361="SI",BI361="SI")</f><v /></c><c r="BK361" s="385"><f>IF(BJ361=FALSE,"SIGDIFERENTES","SIGIGUALES")</f><v /></c><c r="BL361" s="368"><f>IF(BC361="NO CONFORME","NO CONFORME",IF(BB361="CONFORME","CONFORME","NO CONFORME"))</f><v /></c></row><row r="362" ht="15" customHeight="1" thickBot="1"><c r="A362" s="451" t="n"><v>354</v></c><c r="B362" s="369"><f>B361</f><v /></c><c r="C362" s="369"><f>C361</f><v /></c><c r="D362" s="370"><f>D361</f><v /></c><c r="E362" s="371"><f>E361</f><v /></c><c r="F362" s="13" t="n" /><c r="G362" s="477" t="inlineStr"><is><t>PA25516754</t></is></c><c r="H362" s="313"><f>H361</f><v /></c><c r="I362" s="38"><f>I361</f><v /></c><c r="J362" s="314"><f>J361</f><v /></c><c r="K362" s="372"><f>K361</f><v /></c><c r="L362" s="372"><f>L361</f><v /></c><c r="M362" s="373" t="n"><v>87.66</v></c><c r="N362" s="373" t="n"><v>187.05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379"><f>W361</f><v /></c><c r="X362" s="379"><f>X361</f><v /></c><c r="Y362" s="373" t="n"><v>192.6</v></c><c r="Z362" s="373" t="n"><v>202.55</v></c><c r="AA362" s="380"><f>AA361</f><v /></c><c r="AB362" s="381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379"><f>AI361</f><v /></c><c r="AJ362" s="379"><f>AJ361</f><v /></c><c r="AK362" s="373"><f>Z362</f><v /></c><c r="AL362" s="373" t="n"><v>207.56</v></c><c r="AM362" s="382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3"><f>IF(I362&gt;=1,"NO CONFORME",IF(BK362="SIGDIFERENTES",BC362,BL362))</f><v /></c><c r="AU362" s="421"><f>B362=C362</f><v /></c><c r="AV362" s="421"><f>N362&lt;Y362</f><v /></c><c r="AW362" s="421"><f>Z362&lt;=AK362</f><v /></c><c r="AX362" s="421"><f>IF(I362&gt;=1,"Qcorrecto",IF(AND(AY362="aceptable",AZ362="aceptable",BA362="aceptable"),"Qcorrecto","Qincorrecto"))</f><v /></c><c r="AY362" s="366"><f>IF(AR362&lt;$AH$6,"error",IF(AR362&gt;$AH$6*1.1,"error","aceptable"))</f><v /></c><c r="AZ362" s="366"><f>IF(AF362&lt;$V$6,"error",IF(AF362&gt;$V$6*1.1,"error","aceptable"))</f><v /></c><c r="BA362" s="366"><f>IF(T362&lt;$J$6*0.9,"error",IF(T362&gt;$J$6,"error","aceptable"))</f><v /></c><c r="BB362" s="422"><f>(IF(ABS(U362)&lt;1.05,"CONFORME",IF(ABS(AG362)&lt;1.05,"CONFORME",IF(ABS(AS362)&lt;2.55,"CONFORME","NO CONFORME"))))</f><v /></c><c r="BC362" s="423"><f>(IF(ABS(U362)&gt;2.05,"NO CONFORME",IF(ABS(AG362)&gt;2.05,"NO CONFORME",IF(ABS(AS362)&gt;5.05,"NO CONFORME","CONFORME"))))</f><v /></c><c r="BD362" s="424"><f>SIGN(U362)</f><v /></c><c r="BE362" s="424"><f>SIGN(AG362)</f><v /></c><c r="BF362" s="424"><f>SIGN(AS362)</f><v /></c><c r="BG362" s="424"><f>CONCATENATE(BD362,BE362,BF362)</f><v /></c><c r="BH362" s="424"><f>IF(BG362="111","SI","SD")</f><v /></c><c r="BI362" s="424"><f>IF(BG362="-1-1-1","SI","SD")</f><v /></c><c r="BJ362" s="424"><f>OR(BH362="SI",BI362="SI")</f><v /></c><c r="BK362" s="424"><f>IF(BJ362=FALSE,"SIGDIFERENTES","SIGIGUALES")</f><v /></c><c r="BL362" s="366"><f>IF(BC362="NO CONFORME","NO CONFORME",IF(BB362="CONFORME","CONFORME","NO CONFORME"))</f><v /></c></row><row r="363" ht="15" customHeight="1" thickBot="1"><c r="A363" s="451" t="n"><v>355</v></c><c r="B363" s="369"><f>B362</f><v /></c><c r="C363" s="369"><f>C362</f><v /></c><c r="D363" s="370"><f>D362</f><v /></c><c r="E363" s="371"><f>E362</f><v /></c><c r="F363" s="13" t="n" /><c r="G363" s="477" t="inlineStr"><is><t>PA25516755</t></is></c><c r="H363" s="313"><f>H362</f><v /></c><c r="I363" s="38"><f>I362</f><v /></c><c r="J363" s="314"><f>J362</f><v /></c><c r="K363" s="372"><f>K362</f><v /></c><c r="L363" s="372"><f>L362</f><v /></c><c r="M363" s="373" t="n"><v>88.01000000000001</v></c><c r="N363" s="373" t="n"><v>187.72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379"><f>W362</f><v /></c><c r="X363" s="379"><f>X362</f><v /></c><c r="Y363" s="373" t="n"><v>193.35</v></c><c r="Z363" s="373" t="n"><v>203.36</v></c><c r="AA363" s="380"><f>AA362</f><v /></c><c r="AB363" s="381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379"><f>AI362</f><v /></c><c r="AJ363" s="379"><f>AJ362</f><v /></c><c r="AK363" s="373"><f>Z363</f><v /></c><c r="AL363" s="373" t="n"><v>208.45</v></c><c r="AM363" s="382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3"><f>IF(I363&gt;=1,"NO CONFORME",IF(BK363="SIGDIFERENTES",BC363,BL363))</f><v /></c><c r="AU363" s="421"><f>B363=C363</f><v /></c><c r="AV363" s="421"><f>N363&lt;Y363</f><v /></c><c r="AW363" s="421"><f>Z363&lt;=AK363</f><v /></c><c r="AX363" s="421"><f>IF(I363&gt;=1,"Qcorrecto",IF(AND(AY363="aceptable",AZ363="aceptable",BA363="aceptable"),"Qcorrecto","Qincorrecto"))</f><v /></c><c r="AY363" s="366"><f>IF(AR363&lt;$AH$6,"error",IF(AR363&gt;$AH$6*1.1,"error","aceptable"))</f><v /></c><c r="AZ363" s="366"><f>IF(AF363&lt;$V$6,"error",IF(AF363&gt;$V$6*1.1,"error","aceptable"))</f><v /></c><c r="BA363" s="366"><f>IF(T363&lt;$J$6*0.9,"error",IF(T363&gt;$J$6,"error","aceptable"))</f><v /></c><c r="BB363" s="422"><f>(IF(ABS(U363)&lt;1.05,"CONFORME",IF(ABS(AG363)&lt;1.05,"CONFORME",IF(ABS(AS363)&lt;2.55,"CONFORME","NO CONFORME"))))</f><v /></c><c r="BC363" s="423"><f>(IF(ABS(U363)&gt;2.05,"NO CONFORME",IF(ABS(AG363)&gt;2.05,"NO CONFORME",IF(ABS(AS363)&gt;5.05,"NO CONFORME","CONFORME"))))</f><v /></c><c r="BD363" s="424"><f>SIGN(U363)</f><v /></c><c r="BE363" s="424"><f>SIGN(AG363)</f><v /></c><c r="BF363" s="424"><f>SIGN(AS363)</f><v /></c><c r="BG363" s="424"><f>CONCATENATE(BD363,BE363,BF363)</f><v /></c><c r="BH363" s="424"><f>IF(BG363="111","SI","SD")</f><v /></c><c r="BI363" s="424"><f>IF(BG363="-1-1-1","SI","SD")</f><v /></c><c r="BJ363" s="424"><f>OR(BH363="SI",BI363="SI")</f><v /></c><c r="BK363" s="424"><f>IF(BJ363=FALSE,"SIGDIFERENTES","SIGIGUALES")</f><v /></c><c r="BL363" s="366"><f>IF(BC363="NO CONFORME","NO CONFORME",IF(BB363="CONFORME","CONFORME","NO CONFORME"))</f><v /></c></row><row r="364" ht="15" customHeight="1" thickBot="1"><c r="A364" s="451" t="n"><v>356</v></c><c r="B364" s="369"><f>B363</f><v /></c><c r="C364" s="369"><f>C363</f><v /></c><c r="D364" s="370"><f>D363</f><v /></c><c r="E364" s="371"><f>E363</f><v /></c><c r="F364" s="13" t="n" /><c r="G364" s="477" t="inlineStr"><is><t>PA25516756</t></is></c><c r="H364" s="313"><f>H363</f><v /></c><c r="I364" s="38"><f>I363</f><v /></c><c r="J364" s="314"><f>J363</f><v /></c><c r="K364" s="372"><f>K363</f><v /></c><c r="L364" s="372"><f>L363</f><v /></c><c r="M364" s="373" t="n"><v>88.14</v></c><c r="N364" s="373" t="n"><v>187.81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379"><f>W363</f><v /></c><c r="X364" s="379"><f>X363</f><v /></c><c r="Y364" s="373" t="n"><v>193.44</v></c><c r="Z364" s="373" t="n"><v>203.38</v></c><c r="AA364" s="380"><f>AA363</f><v /></c><c r="AB364" s="381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379"><f>AI363</f><v /></c><c r="AJ364" s="379"><f>AJ363</f><v /></c><c r="AK364" s="373"><f>Z364</f><v /></c><c r="AL364" s="373" t="n"><v>208.36</v></c><c r="AM364" s="382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3"><f>IF(I364&gt;=1,"NO CONFORME",IF(BK364="SIGDIFERENTES",BC364,BL364))</f><v /></c><c r="AU364" s="421"><f>B364=C364</f><v /></c><c r="AV364" s="421"><f>N364&lt;Y364</f><v /></c><c r="AW364" s="421"><f>Z364&lt;=AK364</f><v /></c><c r="AX364" s="421"><f>IF(I364&gt;=1,"Qcorrecto",IF(AND(AY364="aceptable",AZ364="aceptable",BA364="aceptable"),"Qcorrecto","Qincorrecto"))</f><v /></c><c r="AY364" s="366"><f>IF(AR364&lt;$AH$6,"error",IF(AR364&gt;$AH$6*1.1,"error","aceptable"))</f><v /></c><c r="AZ364" s="366"><f>IF(AF364&lt;$V$6,"error",IF(AF364&gt;$V$6*1.1,"error","aceptable"))</f><v /></c><c r="BA364" s="366"><f>IF(T364&lt;$J$6*0.9,"error",IF(T364&gt;$J$6,"error","aceptable"))</f><v /></c><c r="BB364" s="422"><f>(IF(ABS(U364)&lt;1.05,"CONFORME",IF(ABS(AG364)&lt;1.05,"CONFORME",IF(ABS(AS364)&lt;2.55,"CONFORME","NO CONFORME"))))</f><v /></c><c r="BC364" s="423"><f>(IF(ABS(U364)&gt;2.05,"NO CONFORME",IF(ABS(AG364)&gt;2.05,"NO CONFORME",IF(ABS(AS364)&gt;5.05,"NO CONFORME","CONFORME"))))</f><v /></c><c r="BD364" s="424"><f>SIGN(U364)</f><v /></c><c r="BE364" s="424"><f>SIGN(AG364)</f><v /></c><c r="BF364" s="424"><f>SIGN(AS364)</f><v /></c><c r="BG364" s="424"><f>CONCATENATE(BD364,BE364,BF364)</f><v /></c><c r="BH364" s="424"><f>IF(BG364="111","SI","SD")</f><v /></c><c r="BI364" s="424"><f>IF(BG364="-1-1-1","SI","SD")</f><v /></c><c r="BJ364" s="424"><f>OR(BH364="SI",BI364="SI")</f><v /></c><c r="BK364" s="424"><f>IF(BJ364=FALSE,"SIGDIFERENTES","SIGIGUALES")</f><v /></c><c r="BL364" s="366"><f>IF(BC364="NO CONFORME","NO CONFORME",IF(BB364="CONFORME","CONFORME","NO CONFORME"))</f><v /></c></row><row r="365" ht="15" customHeight="1" thickBot="1"><c r="A365" s="351" t="n"><v>357</v></c><c r="B365" s="386"><f>B364</f><v /></c><c r="C365" s="386"><f>C364</f><v /></c><c r="D365" s="387"><f>D364</f><v /></c><c r="E365" s="475"><f>E364</f><v /></c><c r="F365" s="58" t="n" /><c r="G365" s="477" t="inlineStr"><is><t>PA25516757</t></is></c><c r="H365" s="388"><f>H364</f><v /></c><c r="I365" s="232"><f>I364</f><v /></c><c r="J365" s="389"><f>J364</f><v /></c><c r="K365" s="390"><f>K364</f><v /></c><c r="L365" s="390"><f>L364</f><v /></c><c r="M365" s="356" t="n"><v>86.3</v></c><c r="N365" s="356" t="n"><v>186.06</v></c><c r="O365" s="391"><f>O364</f><v /></c><c r="P365" s="392"><f>P364</f><v /></c><c r="Q365" s="359"><f>LEFT(P365,1)</f><v /></c><c r="R365" s="359"><f>RIGHT(P365,6)</f><v /></c><c r="S365" s="359"><f>+(Q365*60+R365)/(60*60)</f><v /></c><c r="T365" s="360"><f>+O365/S365</f><v /></c><c r="U365" s="361"><f>+(((N365-M365-O365)/O365)*100)</f><v /></c><c r="V365" s="393"><f>V364</f><v /></c><c r="W365" s="394"><f>W364</f><v /></c><c r="X365" s="394"><f>X364</f><v /></c><c r="Y365" s="356" t="n"><v>191.7</v></c><c r="Z365" s="356" t="n"><v>201.59</v></c><c r="AA365" s="395"><f>AA364</f><v /></c><c r="AB365" s="396"><f>AB364</f><v /></c><c r="AC365" s="359"><f>LEFT(AB365,2)</f><v /></c><c r="AD365" s="359"><f>RIGHT(AB365,6)</f><v /></c><c r="AE365" s="359"><f>+(AC365*60+AD365)/(60*60)</f><v /></c><c r="AF365" s="360"><f>+AA365/AE365</f><v /></c><c r="AG365" s="362"><f>+(((Z365-Y365-AA365)/AA365)*100)</f><v /></c><c r="AH365" s="393"><f>AH364</f><v /></c><c r="AI365" s="394"><f>AI364</f><v /></c><c r="AJ365" s="394"><f>AJ364</f><v /></c><c r="AK365" s="356"><f>Z365</f><v /></c><c r="AL365" s="356" t="n"><v>206.53</v></c><c r="AM365" s="397"><f>AM364</f><v /></c><c r="AN365" s="392"><f>AN364</f><v /></c><c r="AO365" s="359"><f>LEFT(AN365,2)</f><v /></c><c r="AP365" s="359"><f>RIGHT(AN365,6)</f><v /></c><c r="AQ365" s="359"><f>+(AO365*60+AP365)/(60*60)</f><v /></c><c r="AR365" s="360"><f>+AM365/AQ365</f><v /></c><c r="AS365" s="362"><f>+(((AL365-AK365-AM365)/AM365)*100)</f><v /></c><c r="AT365" s="364"><f>IF(I365&gt;=1,"NO CONFORME",IF(BK365="SIGDIFERENTES",BC365,BL365))</f><v /></c><c r="AU365" s="384"><f>B365=C365</f><v /></c><c r="AV365" s="384"><f>N365&lt;Y365</f><v /></c><c r="AW365" s="384"><f>Z365&lt;=AK365</f><v /></c><c r="AX365" s="384"><f>IF(I365&gt;=1,"Qcorrecto",IF(AND(AY365="aceptable",AZ365="aceptable",BA365="aceptable"),"Qcorrecto","Qincorrecto"))</f><v /></c><c r="AY365" s="368"><f>IF(AR365&lt;$AH$6,"error",IF(AR365&gt;$AH$6*1.1,"error","aceptable"))</f><v /></c><c r="AZ365" s="368"><f>IF(AF365&lt;$V$6,"error",IF(AF365&gt;$V$6*1.1,"error","aceptable"))</f><v /></c><c r="BA365" s="368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85"><f>SIGN(U365)</f><v /></c><c r="BE365" s="385"><f>SIGN(AG365)</f><v /></c><c r="BF365" s="385"><f>SIGN(AS365)</f><v /></c><c r="BG365" s="385"><f>CONCATENATE(BD365,BE365,BF365)</f><v /></c><c r="BH365" s="385"><f>IF(BG365="111","SI","SD")</f><v /></c><c r="BI365" s="385"><f>IF(BG365="-1-1-1","SI","SD")</f><v /></c><c r="BJ365" s="385"><f>OR(BH365="SI",BI365="SI")</f><v /></c><c r="BK365" s="385"><f>IF(BJ365=FALSE,"SIGDIFERENTES","SIGIGUALES")</f><v /></c><c r="BL365" s="368"><f>IF(BC365="NO CONFORME","NO CONFORME",IF(BB365="CONFORME","CONFORME","NO CONFORME"))</f><v /></c></row><row r="366" ht="15" customHeight="1" thickBot="1"><c r="A366" s="351" t="n"><v>358</v></c><c r="B366" s="386"><f>B365</f><v /></c><c r="C366" s="386"><f>C365</f><v /></c><c r="D366" s="387"><f>D365</f><v /></c><c r="E366" s="475"><f>E365</f><v /></c><c r="F366" s="58" t="n" /><c r="G366" s="477" t="inlineStr"><is><t>PA25516758</t></is></c><c r="H366" s="388"><f>H365</f><v /></c><c r="I366" s="232"><f>I365</f><v /></c><c r="J366" s="389"><f>J365</f><v /></c><c r="K366" s="390"><f>K365</f><v /></c><c r="L366" s="390"><f>L365</f><v /></c><c r="M366" s="356" t="n"><v>86.19</v></c><c r="N366" s="356" t="n"><v>185.78</v></c><c r="O366" s="391"><f>O365</f><v /></c><c r="P366" s="392"><f>P365</f><v /></c><c r="Q366" s="359"><f>LEFT(P366,1)</f><v /></c><c r="R366" s="359"><f>RIGHT(P366,6)</f><v /></c><c r="S366" s="359"><f>+(Q366*60+R366)/(60*60)</f><v /></c><c r="T366" s="360"><f>+O366/S366</f><v /></c><c r="U366" s="361"><f>+(((N366-M366-O366)/O366)*100)</f><v /></c><c r="V366" s="393"><f>V365</f><v /></c><c r="W366" s="394"><f>W365</f><v /></c><c r="X366" s="394"><f>X365</f><v /></c><c r="Y366" s="356" t="n"><v>191.39</v></c><c r="Z366" s="356" t="n"><v>201.36</v></c><c r="AA366" s="395"><f>AA365</f><v /></c><c r="AB366" s="396"><f>AB365</f><v /></c><c r="AC366" s="359"><f>LEFT(AB366,2)</f><v /></c><c r="AD366" s="359"><f>RIGHT(AB366,6)</f><v /></c><c r="AE366" s="359"><f>+(AC366*60+AD366)/(60*60)</f><v /></c><c r="AF366" s="360"><f>+AA366/AE366</f><v /></c><c r="AG366" s="362"><f>+(((Z366-Y366-AA366)/AA366)*100)</f><v /></c><c r="AH366" s="393"><f>AH365</f><v /></c><c r="AI366" s="394"><f>AI365</f><v /></c><c r="AJ366" s="394"><f>AJ365</f><v /></c><c r="AK366" s="356"><f>Z366</f><v /></c><c r="AL366" s="356" t="n"><v>206.35</v></c><c r="AM366" s="397"><f>AM365</f><v /></c><c r="AN366" s="392"><f>AN365</f><v /></c><c r="AO366" s="359"><f>LEFT(AN366,2)</f><v /></c><c r="AP366" s="359"><f>RIGHT(AN366,6)</f><v /></c><c r="AQ366" s="359"><f>+(AO366*60+AP366)/(60*60)</f><v /></c><c r="AR366" s="360"><f>+AM366/AQ366</f><v /></c><c r="AS366" s="362"><f>+(((AL366-AK366-AM366)/AM366)*100)</f><v /></c><c r="AT366" s="364"><f>IF(I366&gt;=1,"NO CONFORME",IF(BK366="SIGDIFERENTES",BC366,BL366))</f><v /></c><c r="AU366" s="384"><f>B366=C366</f><v /></c><c r="AV366" s="384"><f>N366&lt;Y366</f><v /></c><c r="AW366" s="384"><f>Z366&lt;=AK366</f><v /></c><c r="AX366" s="384"><f>IF(I366&gt;=1,"Qcorrecto",IF(AND(AY366="aceptable",AZ366="aceptable",BA366="aceptable"),"Qcorrecto","Qincorrecto"))</f><v /></c><c r="AY366" s="368"><f>IF(AR366&lt;$AH$6,"error",IF(AR366&gt;$AH$6*1.1,"error","aceptable"))</f><v /></c><c r="AZ366" s="368"><f>IF(AF366&lt;$V$6,"error",IF(AF366&gt;$V$6*1.1,"error","aceptable"))</f><v /></c><c r="BA366" s="368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85"><f>SIGN(U366)</f><v /></c><c r="BE366" s="385"><f>SIGN(AG366)</f><v /></c><c r="BF366" s="385"><f>SIGN(AS366)</f><v /></c><c r="BG366" s="385"><f>CONCATENATE(BD366,BE366,BF366)</f><v /></c><c r="BH366" s="385"><f>IF(BG366="111","SI","SD")</f><v /></c><c r="BI366" s="385"><f>IF(BG366="-1-1-1","SI","SD")</f><v /></c><c r="BJ366" s="385"><f>OR(BH366="SI",BI366="SI")</f><v /></c><c r="BK366" s="385"><f>IF(BJ366=FALSE,"SIGDIFERENTES","SIGIGUALES")</f><v /></c><c r="BL366" s="368"><f>IF(BC366="NO CONFORME","NO CONFORME",IF(BB366="CONFORME","CONFORME","NO CONFORME"))</f><v /></c></row><row r="367" ht="15" customHeight="1" thickBot="1"><c r="A367" s="351" t="n"><v>359</v></c><c r="B367" s="386"><f>B366</f><v /></c><c r="C367" s="386"><f>C366</f><v /></c><c r="D367" s="387"><f>D366</f><v /></c><c r="E367" s="475"><f>E366</f><v /></c><c r="F367" s="58" t="n" /><c r="G367" s="477" t="inlineStr"><is><t>PA25516759</t></is></c><c r="H367" s="388"><f>H366</f><v /></c><c r="I367" s="232"><f>I366</f><v /></c><c r="J367" s="389"><f>J366</f><v /></c><c r="K367" s="390"><f>K366</f><v /></c><c r="L367" s="390"><f>L366</f><v /></c><c r="M367" s="356" t="n"><v>87.59999999999999</v></c><c r="N367" s="356" t="n"><v>186.84</v></c><c r="O367" s="391"><f>O366</f><v /></c><c r="P367" s="392"><f>P366</f><v /></c><c r="Q367" s="359"><f>LEFT(P367,1)</f><v /></c><c r="R367" s="359"><f>RIGHT(P367,6)</f><v /></c><c r="S367" s="359"><f>+(Q367*60+R367)/(60*60)</f><v /></c><c r="T367" s="360"><f>+O367/S367</f><v /></c><c r="U367" s="361"><f>+(((N367-M367-O367)/O367)*100)</f><v /></c><c r="V367" s="393"><f>V366</f><v /></c><c r="W367" s="394"><f>W366</f><v /></c><c r="X367" s="394"><f>X366</f><v /></c><c r="Y367" s="356" t="n"><v>192.54</v></c><c r="Z367" s="356" t="n"><v>202.46</v></c><c r="AA367" s="395"><f>AA366</f><v /></c><c r="AB367" s="396"><f>AB366</f><v /></c><c r="AC367" s="359"><f>LEFT(AB367,2)</f><v /></c><c r="AD367" s="359"><f>RIGHT(AB367,6)</f><v /></c><c r="AE367" s="359"><f>+(AC367*60+AD367)/(60*60)</f><v /></c><c r="AF367" s="360"><f>+AA367/AE367</f><v /></c><c r="AG367" s="362"><f>+(((Z367-Y367-AA367)/AA367)*100)</f><v /></c><c r="AH367" s="393"><f>AH366</f><v /></c><c r="AI367" s="394"><f>AI366</f><v /></c><c r="AJ367" s="394"><f>AJ366</f><v /></c><c r="AK367" s="356"><f>Z367</f><v /></c><c r="AL367" s="356" t="n"><v>207.45</v></c><c r="AM367" s="397"><f>AM366</f><v /></c><c r="AN367" s="392"><f>AN366</f><v /></c><c r="AO367" s="359"><f>LEFT(AN367,2)</f><v /></c><c r="AP367" s="359"><f>RIGHT(AN367,6)</f><v /></c><c r="AQ367" s="359"><f>+(AO367*60+AP367)/(60*60)</f><v /></c><c r="AR367" s="360"><f>+AM367/AQ367</f><v /></c><c r="AS367" s="362"><f>+(((AL367-AK367-AM367)/AM367)*100)</f><v /></c><c r="AT367" s="364"><f>IF(I367&gt;=1,"NO CONFORME",IF(BK367="SIGDIFERENTES",BC367,BL367))</f><v /></c><c r="AU367" s="384"><f>B367=C367</f><v /></c><c r="AV367" s="384"><f>N367&lt;Y367</f><v /></c><c r="AW367" s="384"><f>Z367&lt;=AK367</f><v /></c><c r="AX367" s="384"><f>IF(I367&gt;=1,"Qcorrecto",IF(AND(AY367="aceptable",AZ367="aceptable",BA367="aceptable"),"Qcorrecto","Qincorrecto"))</f><v /></c><c r="AY367" s="368"><f>IF(AR367&lt;$AH$6,"error",IF(AR367&gt;$AH$6*1.1,"error","aceptable"))</f><v /></c><c r="AZ367" s="368"><f>IF(AF367&lt;$V$6,"error",IF(AF367&gt;$V$6*1.1,"error","aceptable"))</f><v /></c><c r="BA367" s="368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85"><f>SIGN(U367)</f><v /></c><c r="BE367" s="385"><f>SIGN(AG367)</f><v /></c><c r="BF367" s="385"><f>SIGN(AS367)</f><v /></c><c r="BG367" s="385"><f>CONCATENATE(BD367,BE367,BF367)</f><v /></c><c r="BH367" s="385"><f>IF(BG367="111","SI","SD")</f><v /></c><c r="BI367" s="385"><f>IF(BG367="-1-1-1","SI","SD")</f><v /></c><c r="BJ367" s="385"><f>OR(BH367="SI",BI367="SI")</f><v /></c><c r="BK367" s="385"><f>IF(BJ367=FALSE,"SIGDIFERENTES","SIGIGUALES")</f><v /></c><c r="BL367" s="368"><f>IF(BC367="NO CONFORME","NO CONFORME",IF(BB367="CONFORME","CONFORME","NO CONFORME"))</f><v /></c></row><row r="368" ht="14.4" customHeight="1" thickBot="1"><c r="A368" s="351" t="n"><v>360</v></c><c r="B368" s="386"><f>B367</f><v /></c><c r="C368" s="386"><f>C367</f><v /></c><c r="D368" s="387"><f>D367</f><v /></c><c r="E368" s="475"><f>E367</f><v /></c><c r="F368" s="58" t="n" /><c r="G368" s="452" t="inlineStr"><is><t>PA25516760</t></is></c><c r="H368" s="388"><f>H367</f><v /></c><c r="I368" s="232"><f>I367</f><v /></c><c r="J368" s="389"><f>J367</f><v /></c><c r="K368" s="390"><f>K367</f><v /></c><c r="L368" s="390"><f>L367</f><v /></c><c r="M368" s="356" t="n"><v>86.88</v></c><c r="N368" s="356" t="n"><v>186.7</v></c><c r="O368" s="391"><f>O367</f><v /></c><c r="P368" s="392"><f>P367</f><v /></c><c r="Q368" s="359"><f>LEFT(P368,1)</f><v /></c><c r="R368" s="359"><f>RIGHT(P368,6)</f><v /></c><c r="S368" s="359"><f>+(Q368*60+R368)/(60*60)</f><v /></c><c r="T368" s="360"><f>+O368/S368</f><v /></c><c r="U368" s="361"><f>+(((N368-M368-O368)/O368)*100)</f><v /></c><c r="V368" s="393"><f>V367</f><v /></c><c r="W368" s="394"><f>W367</f><v /></c><c r="X368" s="394"><f>X367</f><v /></c><c r="Y368" s="356" t="n"><v>192.3</v></c><c r="Z368" s="356" t="n"><v>202.26</v></c><c r="AA368" s="395"><f>AA367</f><v /></c><c r="AB368" s="396"><f>AB367</f><v /></c><c r="AC368" s="359"><f>LEFT(AB368,2)</f><v /></c><c r="AD368" s="359"><f>RIGHT(AB368,6)</f><v /></c><c r="AE368" s="359"><f>+(AC368*60+AD368)/(60*60)</f><v /></c><c r="AF368" s="360"><f>+AA368/AE368</f><v /></c><c r="AG368" s="362"><f>+(((Z368-Y368-AA368)/AA368)*100)</f><v /></c><c r="AH368" s="393"><f>AH367</f><v /></c><c r="AI368" s="394"><f>AI367</f><v /></c><c r="AJ368" s="394"><f>AJ367</f><v /></c><c r="AK368" s="356"><f>Z368</f><v /></c><c r="AL368" s="356" t="n"><v>207.25</v></c><c r="AM368" s="397"><f>AM367</f><v /></c><c r="AN368" s="392"><f>AN367</f><v /></c><c r="AO368" s="359"><f>LEFT(AN368,2)</f><v /></c><c r="AP368" s="359"><f>RIGHT(AN368,6)</f><v /></c><c r="AQ368" s="359"><f>+(AO368*60+AP368)/(60*60)</f><v /></c><c r="AR368" s="360"><f>+AM368/AQ368</f><v /></c><c r="AS368" s="362"><f>+(((AL368-AK368-AM368)/AM368)*100)</f><v /></c><c r="AT368" s="364"><f>IF(I368&gt;=1,"NO CONFORME",IF(BK368="SIGDIFERENTES",BC368,BL368))</f><v /></c><c r="AU368" s="384"><f>B368=C368</f><v /></c><c r="AV368" s="384"><f>N368&lt;Y368</f><v /></c><c r="AW368" s="384"><f>Z368&lt;=AK368</f><v /></c><c r="AX368" s="384"><f>IF(I368&gt;=1,"Qcorrecto",IF(AND(AY368="aceptable",AZ368="aceptable",BA368="aceptable"),"Qcorrecto","Qincorrecto"))</f><v /></c><c r="AY368" s="368"><f>IF(AR368&lt;$AH$6,"error",IF(AR368&gt;$AH$6*1.1,"error","aceptable"))</f><v /></c><c r="AZ368" s="368"><f>IF(AF368&lt;$V$6,"error",IF(AF368&gt;$V$6*1.1,"error","aceptable"))</f><v /></c><c r="BA368" s="368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85"><f>SIGN(U368)</f><v /></c><c r="BE368" s="385"><f>SIGN(AG368)</f><v /></c><c r="BF368" s="385"><f>SIGN(AS368)</f><v /></c><c r="BG368" s="385"><f>CONCATENATE(BD368,BE368,BF368)</f><v /></c><c r="BH368" s="385"><f>IF(BG368="111","SI","SD")</f><v /></c><c r="BI368" s="385"><f>IF(BG368="-1-1-1","SI","SD")</f><v /></c><c r="BJ368" s="385"><f>OR(BH368="SI",BI368="SI")</f><v /></c><c r="BK368" s="385"><f>IF(BJ368=FALSE,"SIGDIFERENTES","SIGIGUALES")</f><v /></c><c r="BL368" s="368"><f>IF(BC368="NO CONFORME","NO CONFORME",IF(BB368="CONFORME","CONFORME","NO CONFORME"))</f><v /></c></row><row r="369" ht="15" customHeight="1" thickBot="1"><c r="A369" s="351" t="n"><v>361</v></c><c r="B369" s="386"><f>B368</f><v /></c><c r="C369" s="386"><f>C368</f><v /></c><c r="D369" s="387"><f>D368</f><v /></c><c r="E369" s="475"><f>E368</f><v /></c><c r="F369" s="58" t="n" /><c r="G369" s="457" t="inlineStr"><is><t>PA25516761</t></is></c><c r="H369" s="388"><f>H368</f><v /></c><c r="I369" s="232"><f>I368</f><v /></c><c r="J369" s="389"><f>J368</f><v /></c><c r="K369" s="390"><f>K368</f><v /></c><c r="L369" s="390"><f>L368</f><v /></c><c r="M369" s="356" t="n"><v>87.3</v></c><c r="N369" s="356" t="n"><v>187.06</v></c><c r="O369" s="391"><f>O368</f><v /></c><c r="P369" s="392"><f>P368</f><v /></c><c r="Q369" s="359"><f>LEFT(P369,1)</f><v /></c><c r="R369" s="359"><f>RIGHT(P369,6)</f><v /></c><c r="S369" s="359"><f>+(Q369*60+R369)/(60*60)</f><v /></c><c r="T369" s="360"><f>+O369/S369</f><v /></c><c r="U369" s="361"><f>+(((N369-M369-O369)/O369)*100)</f><v /></c><c r="V369" s="393"><f>V368</f><v /></c><c r="W369" s="394"><f>W368</f><v /></c><c r="X369" s="394"><f>X368</f><v /></c><c r="Y369" s="356" t="n"><v>192.65</v></c><c r="Z369" s="356" t="n"><v>202.56</v></c><c r="AA369" s="395"><f>AA368</f><v /></c><c r="AB369" s="396"><f>AB368</f><v /></c><c r="AC369" s="359"><f>LEFT(AB369,2)</f><v /></c><c r="AD369" s="359"><f>RIGHT(AB369,6)</f><v /></c><c r="AE369" s="359"><f>+(AC369*60+AD369)/(60*60)</f><v /></c><c r="AF369" s="360"><f>+AA369/AE369</f><v /></c><c r="AG369" s="362"><f>+(((Z369-Y369-AA369)/AA369)*100)</f><v /></c><c r="AH369" s="393"><f>AH368</f><v /></c><c r="AI369" s="394"><f>AI368</f><v /></c><c r="AJ369" s="394"><f>AJ368</f><v /></c><c r="AK369" s="356"><f>Z369</f><v /></c><c r="AL369" s="356" t="n"><v>207.49</v></c><c r="AM369" s="397"><f>AM368</f><v /></c><c r="AN369" s="392"><f>AN368</f><v /></c><c r="AO369" s="359"><f>LEFT(AN369,2)</f><v /></c><c r="AP369" s="359"><f>RIGHT(AN369,6)</f><v /></c><c r="AQ369" s="359"><f>+(AO369*60+AP369)/(60*60)</f><v /></c><c r="AR369" s="360"><f>+AM369/AQ369</f><v /></c><c r="AS369" s="362"><f>+(((AL369-AK369-AM369)/AM369)*100)</f><v /></c><c r="AT369" s="364"><f>IF(I369&gt;=1,"NO CONFORME",IF(BK369="SIGDIFERENTES",BC369,BL369))</f><v /></c><c r="AU369" s="365"><f>B369=C369</f><v /></c><c r="AV369" s="365"><f>N369&lt;Y369</f><v /></c><c r="AW369" s="365"><f>Z369&lt;=AK369</f><v /></c><c r="AX369" s="365"><f>IF(I369&gt;=1,"Qcorrecto",IF(AND(AY369="aceptable",AZ369="aceptable",BA369="aceptable"),"Qcorrecto","Qincorrecto"))</f><v /></c><c r="AY369" s="368"><f>IF(AR369&lt;$AH$6,"error",IF(AR369&gt;$AH$6*1.1,"error","aceptable"))</f><v /></c><c r="AZ369" s="368"><f>IF(AF369&lt;$V$6,"error",IF(AF369&gt;$V$6*1.1,"error","aceptable"))</f><v /></c><c r="BA369" s="368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7"><f>SIGN(U369)</f><v /></c><c r="BE369" s="367"><f>SIGN(AG369)</f><v /></c><c r="BF369" s="367"><f>SIGN(AS369)</f><v /></c><c r="BG369" s="367"><f>CONCATENATE(BD369,BE369,BF369)</f><v /></c><c r="BH369" s="367"><f>IF(BG369="111","SI","SD")</f><v /></c><c r="BI369" s="367"><f>IF(BG369="-1-1-1","SI","SD")</f><v /></c><c r="BJ369" s="367"><f>OR(BH369="SI",BI369="SI")</f><v /></c><c r="BK369" s="367"><f>IF(BJ369=FALSE,"SIGDIFERENTES","SIGIGUALES")</f><v /></c><c r="BL369" s="368"><f>IF(BC369="NO CONFORME","NO CONFORME",IF(BB369="CONFORME","CONFORME","NO CONFORME"))</f><v /></c></row><row r="370" ht="15" customHeight="1" thickBot="1"><c r="A370" s="351" t="n"><v>362</v></c><c r="B370" s="369"><f>B369</f><v /></c><c r="C370" s="369"><f>C369</f><v /></c><c r="D370" s="370"><f>D369</f><v /></c><c r="E370" s="371"><f>E369</f><v /></c><c r="F370" s="13" t="n" /><c r="G370" s="477" t="inlineStr"><is><t>PA25516762</t></is></c><c r="H370" s="313"><f>H369</f><v /></c><c r="I370" s="38"><f>I369</f><v /></c><c r="J370" s="314"><f>J369</f><v /></c><c r="K370" s="372"><f>K369</f><v /></c><c r="L370" s="372"><f>L369</f><v /></c><c r="M370" s="373" t="n"><v>87.7</v></c><c r="N370" s="373" t="n"><v>187.86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379"><f>W369</f><v /></c><c r="X370" s="379"><f>X369</f><v /></c><c r="Y370" s="373" t="n"><v>193.51</v></c><c r="Z370" s="373" t="n"><v>203.46</v></c><c r="AA370" s="380"><f>AA369</f><v /></c><c r="AB370" s="381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379"><f>AI369</f><v /></c><c r="AJ370" s="379"><f>AJ369</f><v /></c><c r="AK370" s="373"><f>Z370</f><v /></c><c r="AL370" s="373" t="n"><v>208.45</v></c><c r="AM370" s="382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3"><f>IF(I370&gt;=1,"NO CONFORME",IF(BK370="SIGDIFERENTES",BC370,BL370))</f><v /></c><c r="AU370" s="365"><f>B370=C370</f><v /></c><c r="AV370" s="365"><f>N370&lt;Y370</f><v /></c><c r="AW370" s="365"><f>Z370&lt;=AK370</f><v /></c><c r="AX370" s="365"><f>IF(I370&gt;=1,"Qcorrecto",IF(AND(AY370="aceptable",AZ370="aceptable",BA370="aceptable"),"Qcorrecto","Qincorrecto"))</f><v /></c><c r="AY370" s="366"><f>IF(AR370&lt;$AH$6,"error",IF(AR370&gt;$AH$6*1.1,"error","aceptable"))</f><v /></c><c r="AZ370" s="366"><f>IF(AF370&lt;$V$6,"error",IF(AF370&gt;$V$6*1.1,"error","aceptable"))</f><v /></c><c r="BA370" s="366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7"><f>SIGN(U370)</f><v /></c><c r="BE370" s="367"><f>SIGN(AG370)</f><v /></c><c r="BF370" s="367"><f>SIGN(AS370)</f><v /></c><c r="BG370" s="367"><f>CONCATENATE(BD370,BE370,BF370)</f><v /></c><c r="BH370" s="367"><f>IF(BG370="111","SI","SD")</f><v /></c><c r="BI370" s="367"><f>IF(BG370="-1-1-1","SI","SD")</f><v /></c><c r="BJ370" s="367"><f>OR(BH370="SI",BI370="SI")</f><v /></c><c r="BK370" s="367"><f>IF(BJ370=FALSE,"SIGDIFERENTES","SIGIGUALES")</f><v /></c><c r="BL370" s="366"><f>IF(BC370="NO CONFORME","NO CONFORME",IF(BB370="CONFORME","CONFORME","NO CONFORME"))</f><v /></c></row><row r="371" ht="15" customHeight="1" thickBot="1"><c r="A371" s="351" t="n"><v>363</v></c><c r="B371" s="369"><f>B370</f><v /></c><c r="C371" s="369"><f>C370</f><v /></c><c r="D371" s="370"><f>D370</f><v /></c><c r="E371" s="371"><f>E370</f><v /></c><c r="F371" s="13" t="n" /><c r="G371" s="477" t="inlineStr"><is><t>PA25516763</t></is></c><c r="H371" s="313"><f>H370</f><v /></c><c r="I371" s="38"><f>I370</f><v /></c><c r="J371" s="314"><f>J370</f><v /></c><c r="K371" s="372"><f>K370</f><v /></c><c r="L371" s="372"><f>L370</f><v /></c><c r="M371" s="373" t="n"><v>127.84</v></c><c r="N371" s="373" t="n"><v>227.49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379"><f>W370</f><v /></c><c r="X371" s="379"><f>X370</f><v /></c><c r="Y371" s="373" t="n"><v>233.06</v></c><c r="Z371" s="373" t="n"><v>243</v></c><c r="AA371" s="380"><f>AA370</f><v /></c><c r="AB371" s="381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379"><f>AI370</f><v /></c><c r="AJ371" s="379"><f>AJ370</f><v /></c><c r="AK371" s="373"><f>Z371</f><v /></c><c r="AL371" s="373" t="n"><v>248</v></c><c r="AM371" s="382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3"><f>IF(I371&gt;=1,"NO CONFORME",IF(BK371="SIGDIFERENTES",BC371,BL371))</f><v /></c><c r="AU371" s="365"><f>B371=C371</f><v /></c><c r="AV371" s="365"><f>N371&lt;Y371</f><v /></c><c r="AW371" s="365"><f>Z371&lt;=AK371</f><v /></c><c r="AX371" s="365"><f>IF(I371&gt;=1,"Qcorrecto",IF(AND(AY371="aceptable",AZ371="aceptable",BA371="aceptable"),"Qcorrecto","Qincorrecto"))</f><v /></c><c r="AY371" s="366"><f>IF(AR371&lt;$AH$6,"error",IF(AR371&gt;$AH$6*1.1,"error","aceptable"))</f><v /></c><c r="AZ371" s="366"><f>IF(AF371&lt;$V$6,"error",IF(AF371&gt;$V$6*1.1,"error","aceptable"))</f><v /></c><c r="BA371" s="366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7"><f>SIGN(U371)</f><v /></c><c r="BE371" s="367"><f>SIGN(AG371)</f><v /></c><c r="BF371" s="367"><f>SIGN(AS371)</f><v /></c><c r="BG371" s="367"><f>CONCATENATE(BD371,BE371,BF371)</f><v /></c><c r="BH371" s="367"><f>IF(BG371="111","SI","SD")</f><v /></c><c r="BI371" s="367"><f>IF(BG371="-1-1-1","SI","SD")</f><v /></c><c r="BJ371" s="367"><f>OR(BH371="SI",BI371="SI")</f><v /></c><c r="BK371" s="367"><f>IF(BJ371=FALSE,"SIGDIFERENTES","SIGIGUALES")</f><v /></c><c r="BL371" s="366"><f>IF(BC371="NO CONFORME","NO CONFORME",IF(BB371="CONFORME","CONFORME","NO CONFORME"))</f><v /></c></row><row r="372" ht="15" customHeight="1" thickBot="1"><c r="A372" s="351" t="n"><v>364</v></c><c r="B372" s="369"><f>B371</f><v /></c><c r="C372" s="369"><f>C371</f><v /></c><c r="D372" s="370"><f>D371</f><v /></c><c r="E372" s="371"><f>E371</f><v /></c><c r="F372" s="13" t="n" /><c r="G372" s="477" t="inlineStr"><is><t>PA25516764</t></is></c><c r="H372" s="313"><f>H371</f><v /></c><c r="I372" s="38"><f>I371</f><v /></c><c r="J372" s="314"><f>J371</f><v /></c><c r="K372" s="372"><f>K371</f><v /></c><c r="L372" s="372"><f>L371</f><v /></c><c r="M372" s="373" t="n"><v>86.55</v></c><c r="N372" s="373" t="n"><v>186.31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379"><f>W371</f><v /></c><c r="X372" s="379"><f>X371</f><v /></c><c r="Y372" s="373" t="n"><v>191.9</v></c><c r="Z372" s="373" t="n"><v>201.9</v></c><c r="AA372" s="380"><f>AA371</f><v /></c><c r="AB372" s="381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379"><f>AI371</f><v /></c><c r="AJ372" s="379"><f>AJ371</f><v /></c><c r="AK372" s="373"><f>Z372</f><v /></c><c r="AL372" s="373" t="n"><v>206.9</v></c><c r="AM372" s="382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3"><f>IF(I372&gt;=1,"NO CONFORME",IF(BK372="SIGDIFERENTES",BC372,BL372))</f><v /></c><c r="AU372" s="365"><f>B372=C372</f><v /></c><c r="AV372" s="365"><f>N372&lt;Y372</f><v /></c><c r="AW372" s="365"><f>Z372&lt;=AK372</f><v /></c><c r="AX372" s="365"><f>IF(I372&gt;=1,"Qcorrecto",IF(AND(AY372="aceptable",AZ372="aceptable",BA372="aceptable"),"Qcorrecto","Qincorrecto"))</f><v /></c><c r="AY372" s="366"><f>IF(AR372&lt;$AH$6,"error",IF(AR372&gt;$AH$6*1.1,"error","aceptable"))</f><v /></c><c r="AZ372" s="366"><f>IF(AF372&lt;$V$6,"error",IF(AF372&gt;$V$6*1.1,"error","aceptable"))</f><v /></c><c r="BA372" s="366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7"><f>SIGN(U372)</f><v /></c><c r="BE372" s="367"><f>SIGN(AG372)</f><v /></c><c r="BF372" s="367"><f>SIGN(AS372)</f><v /></c><c r="BG372" s="367"><f>CONCATENATE(BD372,BE372,BF372)</f><v /></c><c r="BH372" s="367"><f>IF(BG372="111","SI","SD")</f><v /></c><c r="BI372" s="367"><f>IF(BG372="-1-1-1","SI","SD")</f><v /></c><c r="BJ372" s="367"><f>OR(BH372="SI",BI372="SI")</f><v /></c><c r="BK372" s="367"><f>IF(BJ372=FALSE,"SIGDIFERENTES","SIGIGUALES")</f><v /></c><c r="BL372" s="366"><f>IF(BC372="NO CONFORME","NO CONFORME",IF(BB372="CONFORME","CONFORME","NO CONFORME"))</f><v /></c></row><row r="373" ht="15" customHeight="1" thickBot="1"><c r="A373" s="351" t="n"><v>365</v></c><c r="B373" s="369"><f>B372</f><v /></c><c r="C373" s="369"><f>C372</f><v /></c><c r="D373" s="370"><f>D372</f><v /></c><c r="E373" s="371"><f>E372</f><v /></c><c r="F373" s="13" t="n" /><c r="G373" s="477" t="inlineStr"><is><t>PA25516765</t></is></c><c r="H373" s="313"><f>H372</f><v /></c><c r="I373" s="38"><f>I372</f><v /></c><c r="J373" s="314"><f>J372</f><v /></c><c r="K373" s="372"><f>K372</f><v /></c><c r="L373" s="372"><f>L372</f><v /></c><c r="M373" s="373" t="n"><v>87.23999999999999</v></c><c r="N373" s="373" t="n"><v>187.36</v></c><c r="O373" s="374"><f>O372</f><v /></c><c r="P373" s="375"><f>P372</f><v /></c><c r="Q373" s="376"><f>LEFT(P373,1)</f><v /></c><c r="R373" s="376"><f>RIGHT(P373,6)</f><v /></c><c r="S373" s="376"><f>+(Q373*60+R373)/(60*60)</f><v /></c><c r="T373" s="377"><f>+O373/S373</f><v /></c><c r="U373" s="378"><f>+(((N373-M373-O373)/O373)*100)</f><v /></c><c r="V373" s="317"><f>V372</f><v /></c><c r="W373" s="379"><f>W372</f><v /></c><c r="X373" s="379"><f>X372</f><v /></c><c r="Y373" s="373" t="n"><v>193.01</v></c><c r="Z373" s="373" t="n"><v>202.96</v></c><c r="AA373" s="380"><f>AA372</f><v /></c><c r="AB373" s="381"><f>AB372</f><v /></c><c r="AC373" s="376"><f>LEFT(AB373,2)</f><v /></c><c r="AD373" s="376"><f>RIGHT(AB373,6)</f><v /></c><c r="AE373" s="376"><f>+(AC373*60+AD373)/(60*60)</f><v /></c><c r="AF373" s="377"><f>+AA373/AE373</f><v /></c><c r="AG373" s="321"><f>+(((Z373-Y373-AA373)/AA373)*100)</f><v /></c><c r="AH373" s="317"><f>AH372</f><v /></c><c r="AI373" s="379"><f>AI372</f><v /></c><c r="AJ373" s="379"><f>AJ372</f><v /></c><c r="AK373" s="373"><f>Z373</f><v /></c><c r="AL373" s="373" t="n"><v>207.95</v></c><c r="AM373" s="382"><f>AM372</f><v /></c><c r="AN373" s="375"><f>AN372</f><v /></c><c r="AO373" s="376"><f>LEFT(AN373,2)</f><v /></c><c r="AP373" s="376"><f>RIGHT(AN373,6)</f><v /></c><c r="AQ373" s="376"><f>+(AO373*60+AP373)/(60*60)</f><v /></c><c r="AR373" s="377"><f>+AM373/AQ373</f><v /></c><c r="AS373" s="321"><f>+(((AL373-AK373-AM373)/AM373)*100)</f><v /></c><c r="AT373" s="383"><f>IF(I373&gt;=1,"NO CONFORME",IF(BK373="SIGDIFERENTES",BC373,BL373))</f><v /></c><c r="AU373" s="365"><f>B373=C373</f><v /></c><c r="AV373" s="365"><f>N373&lt;Y373</f><v /></c><c r="AW373" s="365"><f>Z373&lt;=AK373</f><v /></c><c r="AX373" s="365"><f>IF(I373&gt;=1,"Qcorrecto",IF(AND(AY373="aceptable",AZ373="aceptable",BA373="aceptable"),"Qcorrecto","Qincorrecto"))</f><v /></c><c r="AY373" s="366"><f>IF(AR373&lt;$AH$6,"error",IF(AR373&gt;$AH$6*1.1,"error","aceptable"))</f><v /></c><c r="AZ373" s="366"><f>IF(AF373&lt;$V$6,"error",IF(AF373&gt;$V$6*1.1,"error","aceptable"))</f><v /></c><c r="BA373" s="366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7"><f>SIGN(U373)</f><v /></c><c r="BE373" s="367"><f>SIGN(AG373)</f><v /></c><c r="BF373" s="367"><f>SIGN(AS373)</f><v /></c><c r="BG373" s="367"><f>CONCATENATE(BD373,BE373,BF373)</f><v /></c><c r="BH373" s="367"><f>IF(BG373="111","SI","SD")</f><v /></c><c r="BI373" s="367"><f>IF(BG373="-1-1-1","SI","SD")</f><v /></c><c r="BJ373" s="367"><f>OR(BH373="SI",BI373="SI")</f><v /></c><c r="BK373" s="367"><f>IF(BJ373=FALSE,"SIGDIFERENTES","SIGIGUALES")</f><v /></c><c r="BL373" s="366"><f>IF(BC373="NO CONFORME","NO CONFORME",IF(BB373="CONFORME","CONFORME","NO CONFORME"))</f><v /></c></row><row r="374" ht="15" customHeight="1" thickBot="1"><c r="A374" s="351" t="n"><v>366</v></c><c r="B374" s="369"><f>B373</f><v /></c><c r="C374" s="369"><f>C373</f><v /></c><c r="D374" s="370"><f>D373</f><v /></c><c r="E374" s="371"><f>E373</f><v /></c><c r="F374" s="13" t="n" /><c r="G374" s="477" t="inlineStr"><is><t>PA25516766</t></is></c><c r="H374" s="313"><f>H373</f><v /></c><c r="I374" s="38"><f>I373</f><v /></c><c r="J374" s="314"><f>J373</f><v /></c><c r="K374" s="372"><f>K373</f><v /></c><c r="L374" s="372"><f>L373</f><v /></c><c r="M374" s="373" t="n"><v>87.86</v></c><c r="N374" s="373" t="n"><v>187.72</v></c><c r="O374" s="374"><f>O373</f><v /></c><c r="P374" s="375"><f>P373</f><v /></c><c r="Q374" s="376"><f>LEFT(P374,1)</f><v /></c><c r="R374" s="376"><f>RIGHT(P374,6)</f><v /></c><c r="S374" s="376"><f>+(Q374*60+R374)/(60*60)</f><v /></c><c r="T374" s="377"><f>+O374/S374</f><v /></c><c r="U374" s="378"><f>+(((N374-M374-O374)/O374)*100)</f><v /></c><c r="V374" s="317"><f>V373</f><v /></c><c r="W374" s="379"><f>W373</f><v /></c><c r="X374" s="379"><f>X373</f><v /></c><c r="Y374" s="373" t="n"><v>193.31</v></c><c r="Z374" s="373" t="n"><v>203.19</v></c><c r="AA374" s="380"><f>AA373</f><v /></c><c r="AB374" s="381"><f>AB373</f><v /></c><c r="AC374" s="376"><f>LEFT(AB374,2)</f><v /></c><c r="AD374" s="376"><f>RIGHT(AB374,6)</f><v /></c><c r="AE374" s="376"><f>+(AC374*60+AD374)/(60*60)</f><v /></c><c r="AF374" s="377"><f>+AA374/AE374</f><v /></c><c r="AG374" s="321"><f>+(((Z374-Y374-AA374)/AA374)*100)</f><v /></c><c r="AH374" s="317"><f>AH373</f><v /></c><c r="AI374" s="379"><f>AI373</f><v /></c><c r="AJ374" s="379"><f>AJ373</f><v /></c><c r="AK374" s="373"><f>Z374</f><v /></c><c r="AL374" s="373" t="n"><v>208.07</v></c><c r="AM374" s="382"><f>AM373</f><v /></c><c r="AN374" s="375"><f>AN373</f><v /></c><c r="AO374" s="376"><f>LEFT(AN374,2)</f><v /></c><c r="AP374" s="376"><f>RIGHT(AN374,6)</f><v /></c><c r="AQ374" s="376"><f>+(AO374*60+AP374)/(60*60)</f><v /></c><c r="AR374" s="377"><f>+AM374/AQ374</f><v /></c><c r="AS374" s="321"><f>+(((AL374-AK374-AM374)/AM374)*100)</f><v /></c><c r="AT374" s="383"><f>IF(I374&gt;=1,"NO CONFORME",IF(BK374="SIGDIFERENTES",BC374,BL374))</f><v /></c><c r="AU374" s="365"><f>B374=C374</f><v /></c><c r="AV374" s="365"><f>N374&lt;Y374</f><v /></c><c r="AW374" s="365"><f>Z374&lt;=AK374</f><v /></c><c r="AX374" s="365"><f>IF(I374&gt;=1,"Qcorrecto",IF(AND(AY374="aceptable",AZ374="aceptable",BA374="aceptable"),"Qcorrecto","Qincorrecto"))</f><v /></c><c r="AY374" s="366"><f>IF(AR374&lt;$AH$6,"error",IF(AR374&gt;$AH$6*1.1,"error","aceptable"))</f><v /></c><c r="AZ374" s="366"><f>IF(AF374&lt;$V$6,"error",IF(AF374&gt;$V$6*1.1,"error","aceptable"))</f><v /></c><c r="BA374" s="366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7"><f>SIGN(U374)</f><v /></c><c r="BE374" s="367"><f>SIGN(AG374)</f><v /></c><c r="BF374" s="367"><f>SIGN(AS374)</f><v /></c><c r="BG374" s="367"><f>CONCATENATE(BD374,BE374,BF374)</f><v /></c><c r="BH374" s="367"><f>IF(BG374="111","SI","SD")</f><v /></c><c r="BI374" s="367"><f>IF(BG374="-1-1-1","SI","SD")</f><v /></c><c r="BJ374" s="367"><f>OR(BH374="SI",BI374="SI")</f><v /></c><c r="BK374" s="367"><f>IF(BJ374=FALSE,"SIGDIFERENTES","SIGIGUALES")</f><v /></c><c r="BL374" s="366"><f>IF(BC374="NO CONFORME","NO CONFORME",IF(BB374="CONFORME","CONFORME","NO CONFORME"))</f><v /></c></row><row r="375" ht="14.4" customHeight="1" thickBot="1"><c r="A375" s="398" t="n"><v>367</v></c><c r="B375" s="399"><f>B374</f><v /></c><c r="C375" s="399"><f>C374</f><v /></c><c r="D375" s="400"><f>D374</f><v /></c><c r="E375" s="456"><f>E374</f><v /></c><c r="F375" s="56" t="n" /><c r="G375" s="482" t="inlineStr"><is><t>PA25516767</t></is></c><c r="H375" s="401"><f>H374</f><v /></c><c r="I375" s="402"><f>I374</f><v /></c><c r="J375" s="403"><f>J374</f><v /></c><c r="K375" s="404"><f>K374</f><v /></c><c r="L375" s="404"><f>L374</f><v /></c><c r="M375" s="405" t="n"><v>87.04000000000001</v></c><c r="N375" s="405" t="n"><v>187.01</v></c><c r="O375" s="406"><f>O374</f><v /></c><c r="P375" s="407"><f>P374</f><v /></c><c r="Q375" s="408"><f>LEFT(P375,1)</f><v /></c><c r="R375" s="408"><f>RIGHT(P375,6)</f><v /></c><c r="S375" s="408"><f>+(Q375*60+R375)/(60*60)</f><v /></c><c r="T375" s="409"><f>+O375/S375</f><v /></c><c r="U375" s="410"><f>+(((N375-M375-O375)/O375)*100)</f><v /></c><c r="V375" s="411"><f>V374</f><v /></c><c r="W375" s="412"><f>W374</f><v /></c><c r="X375" s="412"><f>X374</f><v /></c><c r="Y375" s="405" t="n"><v>192.65</v></c><c r="Z375" s="405" t="n"><v>202.58</v></c><c r="AA375" s="413"><f>AA374</f><v /></c><c r="AB375" s="414"><f>AB374</f><v /></c><c r="AC375" s="408"><f>LEFT(AB375,2)</f><v /></c><c r="AD375" s="408"><f>RIGHT(AB375,6)</f><v /></c><c r="AE375" s="408"><f>+(AC375*60+AD375)/(60*60)</f><v /></c><c r="AF375" s="409"><f>+AA375/AE375</f><v /></c><c r="AG375" s="415"><f>+(((Z375-Y375-AA375)/AA375)*100)</f><v /></c><c r="AH375" s="411"><f>AH374</f><v /></c><c r="AI375" s="412"><f>AI374</f><v /></c><c r="AJ375" s="412"><f>AJ374</f><v /></c><c r="AK375" s="405"><f>Z375</f><v /></c><c r="AL375" s="405" t="n"><v>207.52</v></c><c r="AM375" s="416"><f>AM374</f><v /></c><c r="AN375" s="407"><f>AN374</f><v /></c><c r="AO375" s="408"><f>LEFT(AN375,2)</f><v /></c><c r="AP375" s="408"><f>RIGHT(AN375,6)</f><v /></c><c r="AQ375" s="408"><f>+(AO375*60+AP375)/(60*60)</f><v /></c><c r="AR375" s="409"><f>+AM375/AQ375</f><v /></c><c r="AS375" s="415"><f>+(((AL375-AK375-AM375)/AM375)*100)</f><v /></c><c r="AT375" s="417"><f>IF(I375&gt;=1,"NO CONFORME",IF(BK375="SIGDIFERENTES",BC375,BL375))</f><v /></c><c r="AU375" s="365"><f>B375=C375</f><v /></c><c r="AV375" s="365"><f>N375&lt;Y375</f><v /></c><c r="AW375" s="365"><f>Z375&lt;=AK375</f><v /></c><c r="AX375" s="365"><f>IF(I375&gt;=1,"Qcorrecto",IF(AND(AY375="aceptable",AZ375="aceptable",BA375="aceptable"),"Qcorrecto","Qincorrecto"))</f><v /></c><c r="AY375" s="418"><f>IF(AR375&lt;$AH$6,"error",IF(AR375&gt;$AH$6*1.1,"error","aceptable"))</f><v /></c><c r="AZ375" s="418"><f>IF(AF375&lt;$V$6,"error",IF(AF375&gt;$V$6*1.1,"error","aceptable"))</f><v /></c><c r="BA375" s="418"><f>IF(T375&lt;$J$6*0.9,"error",IF(T375&gt;$J$6,"error","aceptable"))</f><v /></c><c r="BB375" s="419"><f>(IF(ABS(U375)&lt;1.05,"CONFORME",IF(ABS(AG375)&lt;1.05,"CONFORME",IF(ABS(AS375)&lt;2.55,"CONFORME","NO CONFORME"))))</f><v /></c><c r="BC375" s="420"><f>(IF(ABS(U375)&gt;2.05,"NO CONFORME",IF(ABS(AG375)&gt;2.05,"NO CONFORME",IF(ABS(AS375)&gt;5.05,"NO CONFORME","CONFORME"))))</f><v /></c><c r="BD375" s="367"><f>SIGN(U375)</f><v /></c><c r="BE375" s="367"><f>SIGN(AG375)</f><v /></c><c r="BF375" s="367"><f>SIGN(AS375)</f><v /></c><c r="BG375" s="367"><f>CONCATENATE(BD375,BE375,BF375)</f><v /></c><c r="BH375" s="367"><f>IF(BG375="111","SI","SD")</f><v /></c><c r="BI375" s="367"><f>IF(BG375="-1-1-1","SI","SD")</f><v /></c><c r="BJ375" s="367"><f>OR(BH375="SI",BI375="SI")</f><v /></c><c r="BK375" s="367"><f>IF(BJ375=FALSE,"SIGDIFERENTES","SIGIGUALES")</f><v /></c><c r="BL375" s="418"><f>IF(BC375="NO CONFORME","NO CONFORME",IF(BB375="CONFORME","CONFORME","NO CONFORME"))</f><v /></c></row><row r="376" ht="15" customHeight="1" thickBot="1"><c r="A376" s="473" t="n"><v>368</v></c><c r="B376" s="454"><f>B375</f><v /></c><c r="C376" s="454"><f>C375</f><v /></c><c r="D376" s="455"><f>D375</f><v /></c><c r="E376" s="474"><f>E375</f><v /></c><c r="F376" s="52" t="n" /><c r="G376" s="477" t="inlineStr"><is><t>PA25516768</t></is></c><c r="H376" s="326"><f>H375</f><v /></c><c r="I376" s="98"><f>I375</f><v /></c><c r="J376" s="327"><f>J375</f><v /></c><c r="K376" s="458"><f>K375</f><v /></c><c r="L376" s="458"><f>L375</f><v /></c><c r="M376" s="459" t="n"><v>86.26000000000001</v></c><c r="N376" s="459" t="n"><v>185.72</v></c><c r="O376" s="460"><f>O375</f><v /></c><c r="P376" s="461"><f>P375</f><v /></c><c r="Q376" s="462"><f>LEFT(P376,1)</f><v /></c><c r="R376" s="462"><f>RIGHT(P376,6)</f><v /></c><c r="S376" s="462"><f>+(Q376*60+R376)/(60*60)</f><v /></c><c r="T376" s="463"><f>+O376/S376</f><v /></c><c r="U376" s="464"><f>+(((N376-M376-O376)/O376)*100)</f><v /></c><c r="V376" s="329"><f>V375</f><v /></c><c r="W376" s="465"><f>W375</f><v /></c><c r="X376" s="465"><f>X375</f><v /></c><c r="Y376" s="459" t="n"><v>191.35</v></c><c r="Z376" s="459" t="n"><v>201.26</v></c><c r="AA376" s="466"><f>AA375</f><v /></c><c r="AB376" s="467"><f>AB375</f><v /></c><c r="AC376" s="462"><f>LEFT(AB376,2)</f><v /></c><c r="AD376" s="462"><f>RIGHT(AB376,6)</f><v /></c><c r="AE376" s="462"><f>+(AC376*60+AD376)/(60*60)</f><v /></c><c r="AF376" s="463"><f>+AA376/AE376</f><v /></c><c r="AG376" s="468"><f>+(((Z376-Y376-AA376)/AA376)*100)</f><v /></c><c r="AH376" s="329"><f>AH375</f><v /></c><c r="AI376" s="465"><f>AI375</f><v /></c><c r="AJ376" s="465"><f>AJ375</f><v /></c><c r="AK376" s="459"><f>Z376</f><v /></c><c r="AL376" s="459" t="n"><v>206.22</v></c><c r="AM376" s="469"><f>AM375</f><v /></c><c r="AN376" s="461"><f>AN375</f><v /></c><c r="AO376" s="462"><f>LEFT(AN376,2)</f><v /></c><c r="AP376" s="462"><f>RIGHT(AN376,6)</f><v /></c><c r="AQ376" s="462"><f>+(AO376*60+AP376)/(60*60)</f><v /></c><c r="AR376" s="463"><f>+AM376/AQ376</f><v /></c><c r="AS376" s="468"><f>+(((AL376-AK376-AM376)/AM376)*100)</f><v /></c><c r="AT376" s="470"><f>IF(I376&gt;=1,"NO CONFORME",IF(BK376="SIGDIFERENTES",BC376,BL376))</f><v /></c><c r="AU376" s="478"><f>B376=C376</f><v /></c><c r="AV376" s="478"><f>N376&lt;Y376</f><v /></c><c r="AW376" s="478"><f>Z376&lt;=AK376</f><v /></c><c r="AX376" s="478"><f>IF(I376&gt;=1,"Qcorrecto",IF(AND(AY376="aceptable",AZ376="aceptable",BA376="aceptable"),"Qcorrecto","Qincorrecto"))</f><v /></c><c r="AY376" s="427"><f>IF(AR376&lt;$AH$6,"error",IF(AR376&gt;$AH$6*1.1,"error","aceptable"))</f><v /></c><c r="AZ376" s="427"><f>IF(AF376&lt;$V$6,"error",IF(AF376&gt;$V$6*1.1,"error","aceptable"))</f><v /></c><c r="BA376" s="427"><f>IF(T376&lt;$J$6*0.9,"error",IF(T376&gt;$J$6,"error","aceptable"))</f><v /></c><c r="BB376" s="479"><f>(IF(ABS(U376)&lt;1.05,"CONFORME",IF(ABS(AG376)&lt;1.05,"CONFORME",IF(ABS(AS376)&lt;2.55,"CONFORME","NO CONFORME"))))</f><v /></c><c r="BC376" s="480"><f>(IF(ABS(U376)&gt;2.05,"NO CONFORME",IF(ABS(AG376)&gt;2.05,"NO CONFORME",IF(ABS(AS376)&gt;5.05,"NO CONFORME","CONFORME"))))</f><v /></c><c r="BD376" s="481"><f>SIGN(U376)</f><v /></c><c r="BE376" s="481"><f>SIGN(AG376)</f><v /></c><c r="BF376" s="481"><f>SIGN(AS376)</f><v /></c><c r="BG376" s="481"><f>CONCATENATE(BD376,BE376,BF376)</f><v /></c><c r="BH376" s="481"><f>IF(BG376="111","SI","SD")</f><v /></c><c r="BI376" s="481"><f>IF(BG376="-1-1-1","SI","SD")</f><v /></c><c r="BJ376" s="481"><f>OR(BH376="SI",BI376="SI")</f><v /></c><c r="BK376" s="481"><f>IF(BJ376=FALSE,"SIGDIFERENTES","SIGIGUALES")</f><v /></c><c r="BL376" s="427"><f>IF(BC376="NO CONFORME","NO CONFORME",IF(BB376="CONFORME","CONFORME","NO CONFORME"))</f><v /></c></row><row r="377" ht="15" customHeight="1" thickBot="1"><c r="A377" s="351" t="n"><v>369</v></c><c r="B377" s="386"><f>B376</f><v /></c><c r="C377" s="386"><f>C376</f><v /></c><c r="D377" s="387"><f>D376</f><v /></c><c r="E377" s="475"><f>E376</f><v /></c><c r="F377" s="58" t="n" /><c r="G377" s="457" t="inlineStr"><is><t>PA25516769</t></is></c><c r="H377" s="388"><f>H376</f><v /></c><c r="I377" s="232"><f>I376</f><v /></c><c r="J377" s="389" t="n"><v>21</v></c><c r="K377" s="390" t="n"><v>8.217000000000001</v></c><c r="L377" s="390" t="n"><v>0.5580000000000001</v></c><c r="M377" s="356" t="n"><v>127.56</v></c><c r="N377" s="356" t="n"><v>227.42</v></c><c r="O377" s="391" t="n"><v>100.55</v></c><c r="P377" s="392" t="inlineStr"><is><t>2,32,290</t></is></c><c r="Q377" s="359"><f>LEFT(P377,1)</f><v /></c><c r="R377" s="359"><f>RIGHT(P377,6)</f><v /></c><c r="S377" s="359"><f>+(Q377*60+R377)/(60*60)</f><v /></c><c r="T377" s="360"><f>+O377/S377</f><v /></c><c r="U377" s="361"><f>+(((N377-M377-O377)/O377)*100)</f><v /></c><c r="V377" s="393" t="n"><v>21</v></c><c r="W377" s="394" t="n"><v>1.069</v></c><c r="X377" s="394" t="n"><v>1.06</v></c><c r="Y377" s="356" t="n"><v>233.53</v></c><c r="Z377" s="356" t="n"><v>243.46</v></c><c r="AA377" s="395" t="n"><v>10.02</v></c><c r="AB377" s="396" t="inlineStr"><is><t>22,28,180</t></is></c><c r="AC377" s="359"><f>LEFT(AB377,2)</f><v /></c><c r="AD377" s="359"><f>RIGHT(AB377,6)</f><v /></c><c r="AE377" s="359"><f>+(AC377*60+AD377)/(60*60)</f><v /></c><c r="AF377" s="360"><f>+AA377/AE377</f><v /></c><c r="AG377" s="362"><f>+(((Z377-Y377-AA377)/AA377)*100)</f><v /></c><c r="AH377" s="393" t="n"><v>21</v></c><c r="AI377" s="394" t="n"><v>1.07</v></c><c r="AJ377" s="394" t="n"><v>1.062</v></c><c r="AK377" s="356"><f>Z377</f><v /></c><c r="AL377" s="356" t="n"><v>248.5</v></c><c r="AM377" s="397" t="n"><v>5.01</v></c><c r="AN377" s="392" t="inlineStr"><is><t>18,21,540</t></is></c><c r="AO377" s="359"><f>LEFT(AN377,2)</f><v /></c><c r="AP377" s="359"><f>RIGHT(AN377,6)</f><v /></c><c r="AQ377" s="359"><f>+(AO377*60+AP377)/(60*60)</f><v /></c><c r="AR377" s="360"><f>+AM377/AQ377</f><v /></c><c r="AS377" s="362"><f>+(((AL377-AK377-AM377)/AM377)*100)</f><v /></c><c r="AT377" s="364"><f>IF(I377&gt;=1,"NO CONFORME",IF(BK377="SIGDIFERENTES",BC377,BL377))</f><v /></c><c r="AU377" s="365"><f>B377=C377</f><v /></c><c r="AV377" s="365"><f>N377&lt;Y377</f><v /></c><c r="AW377" s="365"><f>Z377&lt;=AK377</f><v /></c><c r="AX377" s="365"><f>IF(I377&gt;=1,"Qcorrecto",IF(AND(AY377="aceptable",AZ377="aceptable",BA377="aceptable"),"Qcorrecto","Qincorrecto"))</f><v /></c><c r="AY377" s="368"><f>IF(AR377&lt;$AH$6,"error",IF(AR377&gt;$AH$6*1.1,"error","aceptable"))</f><v /></c><c r="AZ377" s="368"><f>IF(AF377&lt;$V$6,"error",IF(AF377&gt;$V$6*1.1,"error","aceptable"))</f><v /></c><c r="BA377" s="368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7"><f>SIGN(U377)</f><v /></c><c r="BE377" s="367"><f>SIGN(AG377)</f><v /></c><c r="BF377" s="367"><f>SIGN(AS377)</f><v /></c><c r="BG377" s="367"><f>CONCATENATE(BD377,BE377,BF377)</f><v /></c><c r="BH377" s="367"><f>IF(BG377="111","SI","SD")</f><v /></c><c r="BI377" s="367"><f>IF(BG377="-1-1-1","SI","SD")</f><v /></c><c r="BJ377" s="367"><f>OR(BH377="SI",BI377="SI")</f><v /></c><c r="BK377" s="367"><f>IF(BJ377=FALSE,"SIGDIFERENTES","SIGIGUALES")</f><v /></c><c r="BL377" s="368"><f>IF(BC377="NO CONFORME","NO CONFORME",IF(BB377="CONFORME","CONFORME","NO CONFORME"))</f><v /></c></row><row r="378" ht="15" customHeight="1" thickBot="1"><c r="A378" s="351" t="n"><v>370</v></c><c r="B378" s="369"><f>B377</f><v /></c><c r="C378" s="369"><f>C377</f><v /></c><c r="D378" s="370"><f>D377</f><v /></c><c r="E378" s="371"><f>E377</f><v /></c><c r="F378" s="13" t="n" /><c r="G378" s="477" t="inlineStr"><is><t>PA25516770</t></is></c><c r="H378" s="313"><f>H377</f><v /></c><c r="I378" s="38"><f>I377</f><v /></c><c r="J378" s="314"><f>J377</f><v /></c><c r="K378" s="372"><f>K377</f><v /></c><c r="L378" s="372"><f>L377</f><v /></c><c r="M378" s="373" t="n"><v>90.09999999999999</v></c><c r="N378" s="373" t="n"><v>189.65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379"><f>W377</f><v /></c><c r="X378" s="379"><f>X377</f><v /></c><c r="Y378" s="373" t="n"><v>195.75</v></c><c r="Z378" s="373" t="n"><v>205.7</v></c><c r="AA378" s="380"><f>AA377</f><v /></c><c r="AB378" s="381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379"><f>AI377</f><v /></c><c r="AJ378" s="379"><f>AJ377</f><v /></c><c r="AK378" s="373"><f>Z378</f><v /></c><c r="AL378" s="373" t="n"><v>210.7</v></c><c r="AM378" s="382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3"><f>IF(I378&gt;=1,"NO CONFORME",IF(BK378="SIGDIFERENTES",BC378,BL378))</f><v /></c><c r="AU378" s="365"><f>B378=C378</f><v /></c><c r="AV378" s="365"><f>N378&lt;Y378</f><v /></c><c r="AW378" s="365"><f>Z378&lt;=AK378</f><v /></c><c r="AX378" s="365"><f>IF(I378&gt;=1,"Qcorrecto",IF(AND(AY378="aceptable",AZ378="aceptable",BA378="aceptable"),"Qcorrecto","Qincorrecto"))</f><v /></c><c r="AY378" s="366"><f>IF(AR378&lt;$AH$6,"error",IF(AR378&gt;$AH$6*1.1,"error","aceptable"))</f><v /></c><c r="AZ378" s="366"><f>IF(AF378&lt;$V$6,"error",IF(AF378&gt;$V$6*1.1,"error","aceptable"))</f><v /></c><c r="BA378" s="366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7"><f>SIGN(U378)</f><v /></c><c r="BE378" s="367"><f>SIGN(AG378)</f><v /></c><c r="BF378" s="367"><f>SIGN(AS378)</f><v /></c><c r="BG378" s="367"><f>CONCATENATE(BD378,BE378,BF378)</f><v /></c><c r="BH378" s="367"><f>IF(BG378="111","SI","SD")</f><v /></c><c r="BI378" s="367"><f>IF(BG378="-1-1-1","SI","SD")</f><v /></c><c r="BJ378" s="367"><f>OR(BH378="SI",BI378="SI")</f><v /></c><c r="BK378" s="367"><f>IF(BJ378=FALSE,"SIGDIFERENTES","SIGIGUALES")</f><v /></c><c r="BL378" s="366"><f>IF(BC378="NO CONFORME","NO CONFORME",IF(BB378="CONFORME","CONFORME","NO CONFORME"))</f><v /></c></row><row r="379" ht="15" customHeight="1" thickBot="1"><c r="A379" s="351" t="n"><v>371</v></c><c r="B379" s="369"><f>B378</f><v /></c><c r="C379" s="369"><f>C378</f><v /></c><c r="D379" s="370"><f>D378</f><v /></c><c r="E379" s="371"><f>E378</f><v /></c><c r="F379" s="13" t="n" /><c r="G379" s="477" t="inlineStr"><is><t>PA25516771</t></is></c><c r="H379" s="313"><f>H378</f><v /></c><c r="I379" s="38"><f>I378</f><v /></c><c r="J379" s="314"><f>J378</f><v /></c><c r="K379" s="372"><f>K378</f><v /></c><c r="L379" s="372"><f>L378</f><v /></c><c r="M379" s="373" t="n"><v>91.5</v></c><c r="N379" s="373" t="n"><v>191.75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379"><f>W378</f><v /></c><c r="X379" s="379"><f>X378</f><v /></c><c r="Y379" s="373" t="n"><v>197.88</v></c><c r="Z379" s="373" t="n"><v>207.9</v></c><c r="AA379" s="380"><f>AA378</f><v /></c><c r="AB379" s="381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379"><f>AI378</f><v /></c><c r="AJ379" s="379"><f>AJ378</f><v /></c><c r="AK379" s="373"><f>Z379</f><v /></c><c r="AL379" s="373" t="n"><v>212.94</v></c><c r="AM379" s="382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3"><f>IF(I379&gt;=1,"NO CONFORME",IF(BK379="SIGDIFERENTES",BC379,BL379))</f><v /></c><c r="AU379" s="365"><f>B379=C379</f><v /></c><c r="AV379" s="365"><f>N379&lt;Y379</f><v /></c><c r="AW379" s="365"><f>Z379&lt;=AK379</f><v /></c><c r="AX379" s="365"><f>IF(I379&gt;=1,"Qcorrecto",IF(AND(AY379="aceptable",AZ379="aceptable",BA379="aceptable"),"Qcorrecto","Qincorrecto"))</f><v /></c><c r="AY379" s="366"><f>IF(AR379&lt;$AH$6,"error",IF(AR379&gt;$AH$6*1.1,"error","aceptable"))</f><v /></c><c r="AZ379" s="366"><f>IF(AF379&lt;$V$6,"error",IF(AF379&gt;$V$6*1.1,"error","aceptable"))</f><v /></c><c r="BA379" s="366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7"><f>SIGN(U379)</f><v /></c><c r="BE379" s="367"><f>SIGN(AG379)</f><v /></c><c r="BF379" s="367"><f>SIGN(AS379)</f><v /></c><c r="BG379" s="367"><f>CONCATENATE(BD379,BE379,BF379)</f><v /></c><c r="BH379" s="367"><f>IF(BG379="111","SI","SD")</f><v /></c><c r="BI379" s="367"><f>IF(BG379="-1-1-1","SI","SD")</f><v /></c><c r="BJ379" s="367"><f>OR(BH379="SI",BI379="SI")</f><v /></c><c r="BK379" s="367"><f>IF(BJ379=FALSE,"SIGDIFERENTES","SIGIGUALES")</f><v /></c><c r="BL379" s="366"><f>IF(BC379="NO CONFORME","NO CONFORME",IF(BB379="CONFORME","CONFORME","NO CONFORME"))</f><v /></c></row><row r="380" ht="15" customHeight="1" thickBot="1"><c r="A380" s="351" t="n"><v>372</v></c><c r="B380" s="369"><f>B379</f><v /></c><c r="C380" s="369"><f>C379</f><v /></c><c r="D380" s="370"><f>D379</f><v /></c><c r="E380" s="371"><f>E379</f><v /></c><c r="F380" s="13" t="n" /><c r="G380" s="477" t="inlineStr"><is><t>PA25516772</t></is></c><c r="H380" s="313"><f>H379</f><v /></c><c r="I380" s="38"><f>I379</f><v /></c><c r="J380" s="314"><f>J379</f><v /></c><c r="K380" s="372"><f>K379</f><v /></c><c r="L380" s="372"><f>L379</f><v /></c><c r="M380" s="373" t="n"><v>90.48999999999999</v></c><c r="N380" s="373" t="n"><v>190.04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379"><f>W379</f><v /></c><c r="X380" s="379"><f>X379</f><v /></c><c r="Y380" s="373" t="n"><v>196.15</v></c><c r="Z380" s="373" t="n"><v>206.15</v></c><c r="AA380" s="380"><f>AA379</f><v /></c><c r="AB380" s="381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379"><f>AI379</f><v /></c><c r="AJ380" s="379"><f>AJ379</f><v /></c><c r="AK380" s="373"><f>Z380</f><v /></c><c r="AL380" s="373" t="n"><v>211.16</v></c><c r="AM380" s="382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3"><f>IF(I380&gt;=1,"NO CONFORME",IF(BK380="SIGDIFERENTES",BC380,BL380))</f><v /></c><c r="AU380" s="365"><f>B380=C380</f><v /></c><c r="AV380" s="365"><f>N380&lt;Y380</f><v /></c><c r="AW380" s="365"><f>Z380&lt;=AK380</f><v /></c><c r="AX380" s="365"><f>IF(I380&gt;=1,"Qcorrecto",IF(AND(AY380="aceptable",AZ380="aceptable",BA380="aceptable"),"Qcorrecto","Qincorrecto"))</f><v /></c><c r="AY380" s="366"><f>IF(AR380&lt;$AH$6,"error",IF(AR380&gt;$AH$6*1.1,"error","aceptable"))</f><v /></c><c r="AZ380" s="366"><f>IF(AF380&lt;$V$6,"error",IF(AF380&gt;$V$6*1.1,"error","aceptable"))</f><v /></c><c r="BA380" s="366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7"><f>SIGN(U380)</f><v /></c><c r="BE380" s="367"><f>SIGN(AG380)</f><v /></c><c r="BF380" s="367"><f>SIGN(AS380)</f><v /></c><c r="BG380" s="367"><f>CONCATENATE(BD380,BE380,BF380)</f><v /></c><c r="BH380" s="367"><f>IF(BG380="111","SI","SD")</f><v /></c><c r="BI380" s="367"><f>IF(BG380="-1-1-1","SI","SD")</f><v /></c><c r="BJ380" s="367"><f>OR(BH380="SI",BI380="SI")</f><v /></c><c r="BK380" s="367"><f>IF(BJ380=FALSE,"SIGDIFERENTES","SIGIGUALES")</f><v /></c><c r="BL380" s="366"><f>IF(BC380="NO CONFORME","NO CONFORME",IF(BB380="CONFORME","CONFORME","NO CONFORME"))</f><v /></c></row><row r="381" ht="15" customHeight="1" thickBot="1"><c r="A381" s="351" t="n"><v>373</v></c><c r="B381" s="369"><f>B380</f><v /></c><c r="C381" s="369"><f>C380</f><v /></c><c r="D381" s="370"><f>D380</f><v /></c><c r="E381" s="371"><f>E380</f><v /></c><c r="F381" s="13" t="n" /><c r="G381" s="477" t="inlineStr"><is><t>PA25516773</t></is></c><c r="H381" s="313"><f>H380</f><v /></c><c r="I381" s="38"><f>I380</f><v /></c><c r="J381" s="314"><f>J380</f><v /></c><c r="K381" s="372"><f>K380</f><v /></c><c r="L381" s="372"><f>L380</f><v /></c><c r="M381" s="373" t="n"><v>90.75</v></c><c r="N381" s="373" t="n"><v>190.11</v></c><c r="O381" s="374"><f>O380</f><v /></c><c r="P381" s="375"><f>P380</f><v /></c><c r="Q381" s="376"><f>LEFT(P381,1)</f><v /></c><c r="R381" s="376"><f>RIGHT(P381,6)</f><v /></c><c r="S381" s="376"><f>+(Q381*60+R381)/(60*60)</f><v /></c><c r="T381" s="377"><f>+O381/S381</f><v /></c><c r="U381" s="378"><f>+(((N381-M381-O381)/O381)*100)</f><v /></c><c r="V381" s="317"><f>V380</f><v /></c><c r="W381" s="379"><f>W380</f><v /></c><c r="X381" s="379"><f>X380</f><v /></c><c r="Y381" s="373" t="n"><v>196.2</v></c><c r="Z381" s="373" t="n"><v>206.14</v></c><c r="AA381" s="380"><f>AA380</f><v /></c><c r="AB381" s="381"><f>AB380</f><v /></c><c r="AC381" s="376"><f>LEFT(AB381,2)</f><v /></c><c r="AD381" s="376"><f>RIGHT(AB381,6)</f><v /></c><c r="AE381" s="376"><f>+(AC381*60+AD381)/(60*60)</f><v /></c><c r="AF381" s="377"><f>+AA381/AE381</f><v /></c><c r="AG381" s="321"><f>+(((Z381-Y381-AA381)/AA381)*100)</f><v /></c><c r="AH381" s="317"><f>AH380</f><v /></c><c r="AI381" s="379"><f>AI380</f><v /></c><c r="AJ381" s="379"><f>AJ380</f><v /></c><c r="AK381" s="373"><f>Z381</f><v /></c><c r="AL381" s="373" t="n"><v>211.12</v></c><c r="AM381" s="382"><f>AM380</f><v /></c><c r="AN381" s="375"><f>AN380</f><v /></c><c r="AO381" s="376"><f>LEFT(AN381,2)</f><v /></c><c r="AP381" s="376"><f>RIGHT(AN381,6)</f><v /></c><c r="AQ381" s="376"><f>+(AO381*60+AP381)/(60*60)</f><v /></c><c r="AR381" s="377"><f>+AM381/AQ381</f><v /></c><c r="AS381" s="321"><f>+(((AL381-AK381-AM381)/AM381)*100)</f><v /></c><c r="AT381" s="383"><f>IF(I381&gt;=1,"NO CONFORME",IF(BK381="SIGDIFERENTES",BC381,BL381))</f><v /></c><c r="AU381" s="365"><f>B381=C381</f><v /></c><c r="AV381" s="365"><f>N381&lt;Y381</f><v /></c><c r="AW381" s="365"><f>Z381&lt;=AK381</f><v /></c><c r="AX381" s="365"><f>IF(I381&gt;=1,"Qcorrecto",IF(AND(AY381="aceptable",AZ381="aceptable",BA381="aceptable"),"Qcorrecto","Qincorrecto"))</f><v /></c><c r="AY381" s="366"><f>IF(AR381&lt;$AH$6,"error",IF(AR381&gt;$AH$6*1.1,"error","aceptable"))</f><v /></c><c r="AZ381" s="366"><f>IF(AF381&lt;$V$6,"error",IF(AF381&gt;$V$6*1.1,"error","aceptable"))</f><v /></c><c r="BA381" s="366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67"><f>SIGN(U381)</f><v /></c><c r="BE381" s="367"><f>SIGN(AG381)</f><v /></c><c r="BF381" s="367"><f>SIGN(AS381)</f><v /></c><c r="BG381" s="367"><f>CONCATENATE(BD381,BE381,BF381)</f><v /></c><c r="BH381" s="367"><f>IF(BG381="111","SI","SD")</f><v /></c><c r="BI381" s="367"><f>IF(BG381="-1-1-1","SI","SD")</f><v /></c><c r="BJ381" s="367"><f>OR(BH381="SI",BI381="SI")</f><v /></c><c r="BK381" s="367"><f>IF(BJ381=FALSE,"SIGDIFERENTES","SIGIGUALES")</f><v /></c><c r="BL381" s="366"><f>IF(BC381="NO CONFORME","NO CONFORME",IF(BB381="CONFORME","CONFORME","NO CONFORME"))</f><v /></c></row><row r="382" ht="15" customHeight="1" thickBot="1"><c r="A382" s="351" t="n"><v>374</v></c><c r="B382" s="369"><f>B381</f><v /></c><c r="C382" s="369"><f>C381</f><v /></c><c r="D382" s="370"><f>D381</f><v /></c><c r="E382" s="371"><f>E381</f><v /></c><c r="F382" s="13" t="n" /><c r="G382" s="477" t="inlineStr"><is><t>PA25516774</t></is></c><c r="H382" s="313"><f>H381</f><v /></c><c r="I382" s="38"><f>I381</f><v /></c><c r="J382" s="314"><f>J381</f><v /></c><c r="K382" s="372"><f>K381</f><v /></c><c r="L382" s="372"><f>L381</f><v /></c><c r="M382" s="373" t="n"><v>89.8</v></c><c r="N382" s="373" t="n"><v>189.39</v></c><c r="O382" s="374"><f>O381</f><v /></c><c r="P382" s="375"><f>P381</f><v /></c><c r="Q382" s="376"><f>LEFT(P382,1)</f><v /></c><c r="R382" s="376"><f>RIGHT(P382,6)</f><v /></c><c r="S382" s="376"><f>+(Q382*60+R382)/(60*60)</f><v /></c><c r="T382" s="377"><f>+O382/S382</f><v /></c><c r="U382" s="378"><f>+(((N382-M382-O382)/O382)*100)</f><v /></c><c r="V382" s="317"><f>V381</f><v /></c><c r="W382" s="379"><f>W381</f><v /></c><c r="X382" s="379"><f>X381</f><v /></c><c r="Y382" s="373" t="n"><v>195.47</v></c><c r="Z382" s="373" t="n"><v>205.4</v></c><c r="AA382" s="380"><f>AA381</f><v /></c><c r="AB382" s="381"><f>AB381</f><v /></c><c r="AC382" s="376"><f>LEFT(AB382,2)</f><v /></c><c r="AD382" s="376"><f>RIGHT(AB382,6)</f><v /></c><c r="AE382" s="376"><f>+(AC382*60+AD382)/(60*60)</f><v /></c><c r="AF382" s="377"><f>+AA382/AE382</f><v /></c><c r="AG382" s="321"><f>+(((Z382-Y382-AA382)/AA382)*100)</f><v /></c><c r="AH382" s="317"><f>AH381</f><v /></c><c r="AI382" s="379"><f>AI381</f><v /></c><c r="AJ382" s="379"><f>AJ381</f><v /></c><c r="AK382" s="373"><f>Z382</f><v /></c><c r="AL382" s="373" t="n"><v>210.33</v></c><c r="AM382" s="382"><f>AM381</f><v /></c><c r="AN382" s="375"><f>AN381</f><v /></c><c r="AO382" s="376"><f>LEFT(AN382,2)</f><v /></c><c r="AP382" s="376"><f>RIGHT(AN382,6)</f><v /></c><c r="AQ382" s="376"><f>+(AO382*60+AP382)/(60*60)</f><v /></c><c r="AR382" s="377"><f>+AM382/AQ382</f><v /></c><c r="AS382" s="321"><f>+(((AL382-AK382-AM382)/AM382)*100)</f><v /></c><c r="AT382" s="383"><f>IF(I382&gt;=1,"NO CONFORME",IF(BK382="SIGDIFERENTES",BC382,BL382))</f><v /></c><c r="AU382" s="365"><f>B382=C382</f><v /></c><c r="AV382" s="365"><f>N382&lt;Y382</f><v /></c><c r="AW382" s="365"><f>Z382&lt;=AK382</f><v /></c><c r="AX382" s="365"><f>IF(I382&gt;=1,"Qcorrecto",IF(AND(AY382="aceptable",AZ382="aceptable",BA382="aceptable"),"Qcorrecto","Qincorrecto"))</f><v /></c><c r="AY382" s="366"><f>IF(AR382&lt;$AH$6,"error",IF(AR382&gt;$AH$6*1.1,"error","aceptable"))</f><v /></c><c r="AZ382" s="366"><f>IF(AF382&lt;$V$6,"error",IF(AF382&gt;$V$6*1.1,"error","aceptable"))</f><v /></c><c r="BA382" s="366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67"><f>SIGN(U382)</f><v /></c><c r="BE382" s="367"><f>SIGN(AG382)</f><v /></c><c r="BF382" s="367"><f>SIGN(AS382)</f><v /></c><c r="BG382" s="367"><f>CONCATENATE(BD382,BE382,BF382)</f><v /></c><c r="BH382" s="367"><f>IF(BG382="111","SI","SD")</f><v /></c><c r="BI382" s="367"><f>IF(BG382="-1-1-1","SI","SD")</f><v /></c><c r="BJ382" s="367"><f>OR(BH382="SI",BI382="SI")</f><v /></c><c r="BK382" s="367"><f>IF(BJ382=FALSE,"SIGDIFERENTES","SIGIGUALES")</f><v /></c><c r="BL382" s="366"><f>IF(BC382="NO CONFORME","NO CONFORME",IF(BB382="CONFORME","CONFORME","NO CONFORME"))</f><v /></c></row><row r="383" ht="15" customHeight="1" thickBot="1"><c r="A383" s="351" t="n"><v>375</v></c><c r="B383" s="369"><f>B382</f><v /></c><c r="C383" s="369"><f>C382</f><v /></c><c r="D383" s="370"><f>D382</f><v /></c><c r="E383" s="371"><f>E382</f><v /></c><c r="F383" s="13" t="n" /><c r="G383" s="477" t="inlineStr"><is><t>PA25516775</t></is></c><c r="H383" s="313"><f>H382</f><v /></c><c r="I383" s="38"><f>I382</f><v /></c><c r="J383" s="314"><f>J382</f><v /></c><c r="K383" s="372"><f>K382</f><v /></c><c r="L383" s="372"><f>L382</f><v /></c><c r="M383" s="373" t="n"><v>90.65000000000001</v></c><c r="N383" s="373" t="n"><v>190.4</v></c><c r="O383" s="374"><f>O382</f><v /></c><c r="P383" s="375"><f>P382</f><v /></c><c r="Q383" s="376"><f>LEFT(P383,1)</f><v /></c><c r="R383" s="376"><f>RIGHT(P383,6)</f><v /></c><c r="S383" s="376"><f>+(Q383*60+R383)/(60*60)</f><v /></c><c r="T383" s="377"><f>+O383/S383</f><v /></c><c r="U383" s="378"><f>+(((N383-M383-O383)/O383)*100)</f><v /></c><c r="V383" s="317"><f>V382</f><v /></c><c r="W383" s="379"><f>W382</f><v /></c><c r="X383" s="379"><f>X382</f><v /></c><c r="Y383" s="373" t="n"><v>196.51</v></c><c r="Z383" s="373" t="n"><v>206.49</v></c><c r="AA383" s="380"><f>AA382</f><v /></c><c r="AB383" s="381"><f>AB382</f><v /></c><c r="AC383" s="376"><f>LEFT(AB383,2)</f><v /></c><c r="AD383" s="376"><f>RIGHT(AB383,6)</f><v /></c><c r="AE383" s="376"><f>+(AC383*60+AD383)/(60*60)</f><v /></c><c r="AF383" s="377"><f>+AA383/AE383</f><v /></c><c r="AG383" s="321"><f>+(((Z383-Y383-AA383)/AA383)*100)</f><v /></c><c r="AH383" s="317"><f>AH382</f><v /></c><c r="AI383" s="379"><f>AI382</f><v /></c><c r="AJ383" s="379"><f>AJ382</f><v /></c><c r="AK383" s="373"><f>Z383</f><v /></c><c r="AL383" s="373" t="n"><v>211.46</v></c><c r="AM383" s="382"><f>AM382</f><v /></c><c r="AN383" s="375"><f>AN382</f><v /></c><c r="AO383" s="376"><f>LEFT(AN383,2)</f><v /></c><c r="AP383" s="376"><f>RIGHT(AN383,6)</f><v /></c><c r="AQ383" s="376"><f>+(AO383*60+AP383)/(60*60)</f><v /></c><c r="AR383" s="377"><f>+AM383/AQ383</f><v /></c><c r="AS383" s="321"><f>+(((AL383-AK383-AM383)/AM383)*100)</f><v /></c><c r="AT383" s="383"><f>IF(I383&gt;=1,"NO CONFORME",IF(BK383="SIGDIFERENTES",BC383,BL383))</f><v /></c><c r="AU383" s="365"><f>B383=C383</f><v /></c><c r="AV383" s="365"><f>N383&lt;Y383</f><v /></c><c r="AW383" s="365"><f>Z383&lt;=AK383</f><v /></c><c r="AX383" s="365"><f>IF(I383&gt;=1,"Qcorrecto",IF(AND(AY383="aceptable",AZ383="aceptable",BA383="aceptable"),"Qcorrecto","Qincorrecto"))</f><v /></c><c r="AY383" s="366"><f>IF(AR383&lt;$AH$6,"error",IF(AR383&gt;$AH$6*1.1,"error","aceptable"))</f><v /></c><c r="AZ383" s="366"><f>IF(AF383&lt;$V$6,"error",IF(AF383&gt;$V$6*1.1,"error","aceptable"))</f><v /></c><c r="BA383" s="366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7"><f>SIGN(U383)</f><v /></c><c r="BE383" s="367"><f>SIGN(AG383)</f><v /></c><c r="BF383" s="367"><f>SIGN(AS383)</f><v /></c><c r="BG383" s="367"><f>CONCATENATE(BD383,BE383,BF383)</f><v /></c><c r="BH383" s="367"><f>IF(BG383="111","SI","SD")</f><v /></c><c r="BI383" s="367"><f>IF(BG383="-1-1-1","SI","SD")</f><v /></c><c r="BJ383" s="367"><f>OR(BH383="SI",BI383="SI")</f><v /></c><c r="BK383" s="367"><f>IF(BJ383=FALSE,"SIGDIFERENTES","SIGIGUALES")</f><v /></c><c r="BL383" s="366"><f>IF(BC383="NO CONFORME","NO CONFORME",IF(BB383="CONFORME","CONFORME","NO CONFORME"))</f><v /></c></row><row r="384" ht="15" customHeight="1" thickBot="1"><c r="A384" s="351" t="n"><v>376</v></c><c r="B384" s="369"><f>B383</f><v /></c><c r="C384" s="369"><f>C383</f><v /></c><c r="D384" s="370"><f>D383</f><v /></c><c r="E384" s="371"><f>E383</f><v /></c><c r="F384" s="13" t="n" /><c r="G384" s="477" t="inlineStr"><is><t>PA25516776</t></is></c><c r="H384" s="313"><f>H383</f><v /></c><c r="I384" s="38"><f>I383</f><v /></c><c r="J384" s="314"><f>J383</f><v /></c><c r="K384" s="372"><f>K383</f><v /></c><c r="L384" s="372"><f>L383</f><v /></c><c r="M384" s="373" t="n"><v>90.5</v></c><c r="N384" s="373" t="n"><v>190.5</v></c><c r="O384" s="374"><f>O383</f><v /></c><c r="P384" s="375"><f>P383</f><v /></c><c r="Q384" s="376"><f>LEFT(P384,1)</f><v /></c><c r="R384" s="376"><f>RIGHT(P384,6)</f><v /></c><c r="S384" s="376"><f>+(Q384*60+R384)/(60*60)</f><v /></c><c r="T384" s="377"><f>+O384/S384</f><v /></c><c r="U384" s="378"><f>+(((N384-M384-O384)/O384)*100)</f><v /></c><c r="V384" s="317"><f>V383</f><v /></c><c r="W384" s="379"><f>W383</f><v /></c><c r="X384" s="379"><f>X383</f><v /></c><c r="Y384" s="373" t="n"><v>196.63</v></c><c r="Z384" s="373" t="n"><v>206.62</v></c><c r="AA384" s="380"><f>AA383</f><v /></c><c r="AB384" s="381"><f>AB383</f><v /></c><c r="AC384" s="376"><f>LEFT(AB384,2)</f><v /></c><c r="AD384" s="376"><f>RIGHT(AB384,6)</f><v /></c><c r="AE384" s="376"><f>+(AC384*60+AD384)/(60*60)</f><v /></c><c r="AF384" s="377"><f>+AA384/AE384</f><v /></c><c r="AG384" s="321"><f>+(((Z384-Y384-AA384)/AA384)*100)</f><v /></c><c r="AH384" s="317"><f>AH383</f><v /></c><c r="AI384" s="379"><f>AI383</f><v /></c><c r="AJ384" s="379"><f>AJ383</f><v /></c><c r="AK384" s="373"><f>Z384</f><v /></c><c r="AL384" s="373" t="n"><v>211.65</v></c><c r="AM384" s="382"><f>AM383</f><v /></c><c r="AN384" s="375"><f>AN383</f><v /></c><c r="AO384" s="376"><f>LEFT(AN384,2)</f><v /></c><c r="AP384" s="376"><f>RIGHT(AN384,6)</f><v /></c><c r="AQ384" s="376"><f>+(AO384*60+AP384)/(60*60)</f><v /></c><c r="AR384" s="377"><f>+AM384/AQ384</f><v /></c><c r="AS384" s="321"><f>+(((AL384-AK384-AM384)/AM384)*100)</f><v /></c><c r="AT384" s="383"><f>IF(I384&gt;=1,"NO CONFORME",IF(BK384="SIGDIFERENTES",BC384,BL384))</f><v /></c><c r="AU384" s="365"><f>B384=C384</f><v /></c><c r="AV384" s="365"><f>N384&lt;Y384</f><v /></c><c r="AW384" s="365"><f>Z384&lt;=AK384</f><v /></c><c r="AX384" s="365"><f>IF(I384&gt;=1,"Qcorrecto",IF(AND(AY384="aceptable",AZ384="aceptable",BA384="aceptable"),"Qcorrecto","Qincorrecto"))</f><v /></c><c r="AY384" s="366"><f>IF(AR384&lt;$AH$6,"error",IF(AR384&gt;$AH$6*1.1,"error","aceptable"))</f><v /></c><c r="AZ384" s="366"><f>IF(AF384&lt;$V$6,"error",IF(AF384&gt;$V$6*1.1,"error","aceptable"))</f><v /></c><c r="BA384" s="366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7"><f>SIGN(U384)</f><v /></c><c r="BE384" s="367"><f>SIGN(AG384)</f><v /></c><c r="BF384" s="367"><f>SIGN(AS384)</f><v /></c><c r="BG384" s="367"><f>CONCATENATE(BD384,BE384,BF384)</f><v /></c><c r="BH384" s="367"><f>IF(BG384="111","SI","SD")</f><v /></c><c r="BI384" s="367"><f>IF(BG384="-1-1-1","SI","SD")</f><v /></c><c r="BJ384" s="367"><f>OR(BH384="SI",BI384="SI")</f><v /></c><c r="BK384" s="367"><f>IF(BJ384=FALSE,"SIGDIFERENTES","SIGIGUALES")</f><v /></c><c r="BL384" s="366"><f>IF(BC384="NO CONFORME","NO CONFORME",IF(BB384="CONFORME","CONFORME","NO CONFORME"))</f><v /></c></row><row r="385" ht="15" customHeight="1" thickBot="1"><c r="A385" s="351" t="n"><v>377</v></c><c r="B385" s="369"><f>B384</f><v /></c><c r="C385" s="369"><f>C384</f><v /></c><c r="D385" s="370"><f>D384</f><v /></c><c r="E385" s="371"><f>E384</f><v /></c><c r="F385" s="13" t="n" /><c r="G385" s="477" t="inlineStr"><is><t>PA25516777</t></is></c><c r="H385" s="313"><f>H384</f><v /></c><c r="I385" s="38"><f>I384</f><v /></c><c r="J385" s="314"><f>J384</f><v /></c><c r="K385" s="372"><f>K384</f><v /></c><c r="L385" s="372"><f>L384</f><v /></c><c r="M385" s="373" t="n"><v>91.2</v></c><c r="N385" s="373" t="n"><v>190.28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379"><f>W384</f><v /></c><c r="X385" s="379"><f>X384</f><v /></c><c r="Y385" s="373" t="n"><v>196.35</v></c><c r="Z385" s="373" t="n"><v>206.3</v></c><c r="AA385" s="380"><f>AA384</f><v /></c><c r="AB385" s="381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379"><f>AI384</f><v /></c><c r="AJ385" s="379"><f>AJ384</f><v /></c><c r="AK385" s="373"><f>Z385</f><v /></c><c r="AL385" s="373" t="n"><v>211.3</v></c><c r="AM385" s="382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3"><f>IF(I385&gt;=1,"NO CONFORME",IF(BK385="SIGDIFERENTES",BC385,BL385))</f><v /></c><c r="AU385" s="365"><f>B385=C385</f><v /></c><c r="AV385" s="365"><f>N385&lt;Y385</f><v /></c><c r="AW385" s="365"><f>Z385&lt;=AK385</f><v /></c><c r="AX385" s="365"><f>IF(I385&gt;=1,"Qcorrecto",IF(AND(AY385="aceptable",AZ385="aceptable",BA385="aceptable"),"Qcorrecto","Qincorrecto"))</f><v /></c><c r="AY385" s="366"><f>IF(AR385&lt;$AH$6,"error",IF(AR385&gt;$AH$6*1.1,"error","aceptable"))</f><v /></c><c r="AZ385" s="366"><f>IF(AF385&lt;$V$6,"error",IF(AF385&gt;$V$6*1.1,"error","aceptable"))</f><v /></c><c r="BA385" s="366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7"><f>SIGN(U385)</f><v /></c><c r="BE385" s="367"><f>SIGN(AG385)</f><v /></c><c r="BF385" s="367"><f>SIGN(AS385)</f><v /></c><c r="BG385" s="367"><f>CONCATENATE(BD385,BE385,BF385)</f><v /></c><c r="BH385" s="367"><f>IF(BG385="111","SI","SD")</f><v /></c><c r="BI385" s="367"><f>IF(BG385="-1-1-1","SI","SD")</f><v /></c><c r="BJ385" s="367"><f>OR(BH385="SI",BI385="SI")</f><v /></c><c r="BK385" s="367"><f>IF(BJ385=FALSE,"SIGDIFERENTES","SIGIGUALES")</f><v /></c><c r="BL385" s="366"><f>IF(BC385="NO CONFORME","NO CONFORME",IF(BB385="CONFORME","CONFORME","NO CONFORME"))</f><v /></c></row><row r="386" ht="15" customHeight="1" thickBot="1"><c r="A386" s="351" t="n"><v>378</v></c><c r="B386" s="369"><f>B385</f><v /></c><c r="C386" s="369"><f>C385</f><v /></c><c r="D386" s="370"><f>D385</f><v /></c><c r="E386" s="371"><f>E385</f><v /></c><c r="F386" s="13" t="n" /><c r="G386" s="477" t="inlineStr"><is><t>PA25516778</t></is></c><c r="H386" s="313"><f>H385</f><v /></c><c r="I386" s="38"><f>I385</f><v /></c><c r="J386" s="314"><f>J385</f><v /></c><c r="K386" s="372"><f>K385</f><v /></c><c r="L386" s="372"><f>L385</f><v /></c><c r="M386" s="373" t="n"><v>91.06</v></c><c r="N386" s="373" t="n"><v>190.17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379"><f>W385</f><v /></c><c r="X386" s="379"><f>X385</f><v /></c><c r="Y386" s="373" t="n"><v>196.25</v></c><c r="Z386" s="373" t="n"><v>206.19</v></c><c r="AA386" s="380"><f>AA385</f><v /></c><c r="AB386" s="381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379"><f>AI385</f><v /></c><c r="AJ386" s="379"><f>AJ385</f><v /></c><c r="AK386" s="373"><f>Z386</f><v /></c><c r="AL386" s="373" t="n"><v>211.13</v></c><c r="AM386" s="382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3"><f>IF(I386&gt;=1,"NO CONFORME",IF(BK386="SIGDIFERENTES",BC386,BL386))</f><v /></c><c r="AU386" s="365"><f>B386=C386</f><v /></c><c r="AV386" s="365"><f>N386&lt;Y386</f><v /></c><c r="AW386" s="365"><f>Z386&lt;=AK386</f><v /></c><c r="AX386" s="365"><f>IF(I386&gt;=1,"Qcorrecto",IF(AND(AY386="aceptable",AZ386="aceptable",BA386="aceptable"),"Qcorrecto","Qincorrecto"))</f><v /></c><c r="AY386" s="366"><f>IF(AR386&lt;$AH$6,"error",IF(AR386&gt;$AH$6*1.1,"error","aceptable"))</f><v /></c><c r="AZ386" s="366"><f>IF(AF386&lt;$V$6,"error",IF(AF386&gt;$V$6*1.1,"error","aceptable"))</f><v /></c><c r="BA386" s="366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7"><f>SIGN(U386)</f><v /></c><c r="BE386" s="367"><f>SIGN(AG386)</f><v /></c><c r="BF386" s="367"><f>SIGN(AS386)</f><v /></c><c r="BG386" s="367"><f>CONCATENATE(BD386,BE386,BF386)</f><v /></c><c r="BH386" s="367"><f>IF(BG386="111","SI","SD")</f><v /></c><c r="BI386" s="367"><f>IF(BG386="-1-1-1","SI","SD")</f><v /></c><c r="BJ386" s="367"><f>OR(BH386="SI",BI386="SI")</f><v /></c><c r="BK386" s="367"><f>IF(BJ386=FALSE,"SIGDIFERENTES","SIGIGUALES")</f><v /></c><c r="BL386" s="366"><f>IF(BC386="NO CONFORME","NO CONFORME",IF(BB386="CONFORME","CONFORME","NO CONFORME"))</f><v /></c></row><row r="387" ht="15" customHeight="1" thickBot="1"><c r="A387" s="351" t="n"><v>379</v></c><c r="B387" s="369"><f>B386</f><v /></c><c r="C387" s="369"><f>C386</f><v /></c><c r="D387" s="370"><f>D386</f><v /></c><c r="E387" s="371"><f>E386</f><v /></c><c r="F387" s="13" t="n" /><c r="G387" s="477" t="inlineStr"><is><t>PA25516779</t></is></c><c r="H387" s="313"><f>H386</f><v /></c><c r="I387" s="38"><f>I386</f><v /></c><c r="J387" s="314"><f>J386</f><v /></c><c r="K387" s="372"><f>K386</f><v /></c><c r="L387" s="372"><f>L386</f><v /></c><c r="M387" s="373" t="n"><v>91.15000000000001</v></c><c r="N387" s="373" t="n"><v>190.95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379"><f>W386</f><v /></c><c r="X387" s="379"><f>X386</f><v /></c><c r="Y387" s="373" t="n"><v>197.06</v></c><c r="Z387" s="373" t="n"><v>207.1</v></c><c r="AA387" s="380"><f>AA386</f><v /></c><c r="AB387" s="381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379"><f>AI386</f><v /></c><c r="AJ387" s="379"><f>AJ386</f><v /></c><c r="AK387" s="373"><f>Z387</f><v /></c><c r="AL387" s="373" t="n"><v>212.12</v></c><c r="AM387" s="382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3"><f>IF(I387&gt;=1,"NO CONFORME",IF(BK387="SIGDIFERENTES",BC387,BL387))</f><v /></c><c r="AU387" s="365"><f>B387=C387</f><v /></c><c r="AV387" s="365"><f>N387&lt;Y387</f><v /></c><c r="AW387" s="365"><f>Z387&lt;=AK387</f><v /></c><c r="AX387" s="365"><f>IF(I387&gt;=1,"Qcorrecto",IF(AND(AY387="aceptable",AZ387="aceptable",BA387="aceptable"),"Qcorrecto","Qincorrecto"))</f><v /></c><c r="AY387" s="366"><f>IF(AR387&lt;$AH$6,"error",IF(AR387&gt;$AH$6*1.1,"error","aceptable"))</f><v /></c><c r="AZ387" s="366"><f>IF(AF387&lt;$V$6,"error",IF(AF387&gt;$V$6*1.1,"error","aceptable"))</f><v /></c><c r="BA387" s="366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7"><f>SIGN(U387)</f><v /></c><c r="BE387" s="367"><f>SIGN(AG387)</f><v /></c><c r="BF387" s="367"><f>SIGN(AS387)</f><v /></c><c r="BG387" s="367"><f>CONCATENATE(BD387,BE387,BF387)</f><v /></c><c r="BH387" s="367"><f>IF(BG387="111","SI","SD")</f><v /></c><c r="BI387" s="367"><f>IF(BG387="-1-1-1","SI","SD")</f><v /></c><c r="BJ387" s="367"><f>OR(BH387="SI",BI387="SI")</f><v /></c><c r="BK387" s="367"><f>IF(BJ387=FALSE,"SIGDIFERENTES","SIGIGUALES")</f><v /></c><c r="BL387" s="366"><f>IF(BC387="NO CONFORME","NO CONFORME",IF(BB387="CONFORME","CONFORME","NO CONFORME"))</f><v /></c></row><row r="388" ht="15" customHeight="1" thickBot="1"><c r="A388" s="351" t="n"><v>380</v></c><c r="B388" s="369"><f>B387</f><v /></c><c r="C388" s="369"><f>C387</f><v /></c><c r="D388" s="370"><f>D387</f><v /></c><c r="E388" s="371"><f>E387</f><v /></c><c r="F388" s="13" t="n" /><c r="G388" s="477" t="inlineStr"><is><t>PA25516780</t></is></c><c r="H388" s="313"><f>H387</f><v /></c><c r="I388" s="38"><f>I387</f><v /></c><c r="J388" s="314"><f>J387</f><v /></c><c r="K388" s="372"><f>K387</f><v /></c><c r="L388" s="372"><f>L387</f><v /></c><c r="M388" s="373" t="n"><v>92.06</v></c><c r="N388" s="373" t="n"><v>191.96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379"><f>W387</f><v /></c><c r="X388" s="379"><f>X387</f><v /></c><c r="Y388" s="373" t="n"><v>198.06</v></c><c r="Z388" s="373" t="n"><v>208</v></c><c r="AA388" s="380"><f>AA387</f><v /></c><c r="AB388" s="381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379"><f>AI387</f><v /></c><c r="AJ388" s="379"><f>AJ387</f><v /></c><c r="AK388" s="373"><f>Z388</f><v /></c><c r="AL388" s="373" t="n"><v>213.01</v></c><c r="AM388" s="382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3"><f>IF(I388&gt;=1,"NO CONFORME",IF(BK388="SIGDIFERENTES",BC388,BL388))</f><v /></c><c r="AU388" s="365"><f>B388=C388</f><v /></c><c r="AV388" s="365"><f>N388&lt;Y388</f><v /></c><c r="AW388" s="365"><f>Z388&lt;=AK388</f><v /></c><c r="AX388" s="365"><f>IF(I388&gt;=1,"Qcorrecto",IF(AND(AY388="aceptable",AZ388="aceptable",BA388="aceptable"),"Qcorrecto","Qincorrecto"))</f><v /></c><c r="AY388" s="366"><f>IF(AR388&lt;$AH$6,"error",IF(AR388&gt;$AH$6*1.1,"error","aceptable"))</f><v /></c><c r="AZ388" s="366"><f>IF(AF388&lt;$V$6,"error",IF(AF388&gt;$V$6*1.1,"error","aceptable"))</f><v /></c><c r="BA388" s="366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7"><f>SIGN(U388)</f><v /></c><c r="BE388" s="367"><f>SIGN(AG388)</f><v /></c><c r="BF388" s="367"><f>SIGN(AS388)</f><v /></c><c r="BG388" s="367"><f>CONCATENATE(BD388,BE388,BF388)</f><v /></c><c r="BH388" s="367"><f>IF(BG388="111","SI","SD")</f><v /></c><c r="BI388" s="367"><f>IF(BG388="-1-1-1","SI","SD")</f><v /></c><c r="BJ388" s="367"><f>OR(BH388="SI",BI388="SI")</f><v /></c><c r="BK388" s="367"><f>IF(BJ388=FALSE,"SIGDIFERENTES","SIGIGUALES")</f><v /></c><c r="BL388" s="366"><f>IF(BC388="NO CONFORME","NO CONFORME",IF(BB388="CONFORME","CONFORME","NO CONFORME"))</f><v /></c></row><row r="389" ht="15" customHeight="1" thickBot="1"><c r="A389" s="351" t="n"><v>381</v></c><c r="B389" s="369"><f>B388</f><v /></c><c r="C389" s="369"><f>C388</f><v /></c><c r="D389" s="370"><f>D388</f><v /></c><c r="E389" s="371"><f>E388</f><v /></c><c r="F389" s="13" t="n" /><c r="G389" s="477" t="inlineStr"><is><t>PA25516781</t></is></c><c r="H389" s="313"><f>H388</f><v /></c><c r="I389" s="38"><f>I388</f><v /></c><c r="J389" s="314"><f>J388</f><v /></c><c r="K389" s="372"><f>K388</f><v /></c><c r="L389" s="372"><f>L388</f><v /></c><c r="M389" s="373" t="n"><v>93.75</v></c><c r="N389" s="373" t="n"><v>193.65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379"><f>W388</f><v /></c><c r="X389" s="379"><f>X388</f><v /></c><c r="Y389" s="373" t="n"><v>199.75</v></c><c r="Z389" s="373" t="n"><v>209.75</v></c><c r="AA389" s="380"><f>AA388</f><v /></c><c r="AB389" s="381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379"><f>AI388</f><v /></c><c r="AJ389" s="379"><f>AJ388</f><v /></c><c r="AK389" s="373"><f>Z389</f><v /></c><c r="AL389" s="373" t="n"><v>214.71</v></c><c r="AM389" s="382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3"><f>IF(I389&gt;=1,"NO CONFORME",IF(BK389="SIGDIFERENTES",BC389,BL389))</f><v /></c><c r="AU389" s="365"><f>B389=C389</f><v /></c><c r="AV389" s="365"><f>N389&lt;Y389</f><v /></c><c r="AW389" s="365"><f>Z389&lt;=AK389</f><v /></c><c r="AX389" s="365"><f>IF(I389&gt;=1,"Qcorrecto",IF(AND(AY389="aceptable",AZ389="aceptable",BA389="aceptable"),"Qcorrecto","Qincorrecto"))</f><v /></c><c r="AY389" s="366"><f>IF(AR389&lt;$AH$6,"error",IF(AR389&gt;$AH$6*1.1,"error","aceptable"))</f><v /></c><c r="AZ389" s="366"><f>IF(AF389&lt;$V$6,"error",IF(AF389&gt;$V$6*1.1,"error","aceptable"))</f><v /></c><c r="BA389" s="366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7"><f>SIGN(U389)</f><v /></c><c r="BE389" s="367"><f>SIGN(AG389)</f><v /></c><c r="BF389" s="367"><f>SIGN(AS389)</f><v /></c><c r="BG389" s="367"><f>CONCATENATE(BD389,BE389,BF389)</f><v /></c><c r="BH389" s="367"><f>IF(BG389="111","SI","SD")</f><v /></c><c r="BI389" s="367"><f>IF(BG389="-1-1-1","SI","SD")</f><v /></c><c r="BJ389" s="367"><f>OR(BH389="SI",BI389="SI")</f><v /></c><c r="BK389" s="367"><f>IF(BJ389=FALSE,"SIGDIFERENTES","SIGIGUALES")</f><v /></c><c r="BL389" s="366"><f>IF(BC389="NO CONFORME","NO CONFORME",IF(BB389="CONFORME","CONFORME","NO CONFORME"))</f><v /></c></row><row r="390" ht="15" customHeight="1" thickBot="1"><c r="A390" s="351" t="n"><v>382</v></c><c r="B390" s="369"><f>B389</f><v /></c><c r="C390" s="369"><f>C389</f><v /></c><c r="D390" s="370"><f>D389</f><v /></c><c r="E390" s="371"><f>E389</f><v /></c><c r="F390" s="13" t="n" /><c r="G390" s="477" t="inlineStr"><is><t>PA25516782</t></is></c><c r="H390" s="313"><f>H389</f><v /></c><c r="I390" s="38"><f>I389</f><v /></c><c r="J390" s="314"><f>J389</f><v /></c><c r="K390" s="372"><f>K389</f><v /></c><c r="L390" s="372"><f>L389</f><v /></c><c r="M390" s="373" t="n"><v>91.28</v></c><c r="N390" s="373" t="n"><v>190.7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379"><f>W389</f><v /></c><c r="X390" s="379"><f>X389</f><v /></c><c r="Y390" s="373" t="n"><v>196.8</v></c><c r="Z390" s="373" t="n"><v>206.77</v></c><c r="AA390" s="380"><f>AA389</f><v /></c><c r="AB390" s="381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379"><f>AI389</f><v /></c><c r="AJ390" s="379"><f>AJ389</f><v /></c><c r="AK390" s="373"><f>Z390</f><v /></c><c r="AL390" s="373" t="n"><v>211.78</v></c><c r="AM390" s="382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3"><f>IF(I390&gt;=1,"NO CONFORME",IF(BK390="SIGDIFERENTES",BC390,BL390))</f><v /></c><c r="AU390" s="365"><f>B390=C390</f><v /></c><c r="AV390" s="365"><f>N390&lt;Y390</f><v /></c><c r="AW390" s="365"><f>Z390&lt;=AK390</f><v /></c><c r="AX390" s="365"><f>IF(I390&gt;=1,"Qcorrecto",IF(AND(AY390="aceptable",AZ390="aceptable",BA390="aceptable"),"Qcorrecto","Qincorrecto"))</f><v /></c><c r="AY390" s="366"><f>IF(AR390&lt;$AH$6,"error",IF(AR390&gt;$AH$6*1.1,"error","aceptable"))</f><v /></c><c r="AZ390" s="366"><f>IF(AF390&lt;$V$6,"error",IF(AF390&gt;$V$6*1.1,"error","aceptable"))</f><v /></c><c r="BA390" s="366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7"><f>SIGN(U390)</f><v /></c><c r="BE390" s="367"><f>SIGN(AG390)</f><v /></c><c r="BF390" s="367"><f>SIGN(AS390)</f><v /></c><c r="BG390" s="367"><f>CONCATENATE(BD390,BE390,BF390)</f><v /></c><c r="BH390" s="367"><f>IF(BG390="111","SI","SD")</f><v /></c><c r="BI390" s="367"><f>IF(BG390="-1-1-1","SI","SD")</f><v /></c><c r="BJ390" s="367"><f>OR(BH390="SI",BI390="SI")</f><v /></c><c r="BK390" s="367"><f>IF(BJ390=FALSE,"SIGDIFERENTES","SIGIGUALES")</f><v /></c><c r="BL390" s="366"><f>IF(BC390="NO CONFORME","NO CONFORME",IF(BB390="CONFORME","CONFORME","NO CONFORME"))</f><v /></c></row><row r="391" ht="15" customHeight="1" thickBot="1"><c r="A391" s="351" t="n"><v>383</v></c><c r="B391" s="369"><f>B390</f><v /></c><c r="C391" s="369"><f>C390</f><v /></c><c r="D391" s="370"><f>D390</f><v /></c><c r="E391" s="371"><f>E390</f><v /></c><c r="F391" s="13" t="n" /><c r="G391" s="477" t="inlineStr"><is><t>PA25516783</t></is></c><c r="H391" s="313"><f>H390</f><v /></c><c r="I391" s="38"><f>I390</f><v /></c><c r="J391" s="314"><f>J390</f><v /></c><c r="K391" s="372"><f>K390</f><v /></c><c r="L391" s="372"><f>L390</f><v /></c><c r="M391" s="373" t="n"><v>91.81999999999999</v></c><c r="N391" s="373" t="n"><v>191.62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379"><f>W390</f><v /></c><c r="X391" s="379"><f>X390</f><v /></c><c r="Y391" s="373" t="n"><v>197.74</v></c><c r="Z391" s="373" t="n"><v>207.64</v></c><c r="AA391" s="380"><f>AA390</f><v /></c><c r="AB391" s="381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379"><f>AI390</f><v /></c><c r="AJ391" s="379"><f>AJ390</f><v /></c><c r="AK391" s="373"><f>Z391</f><v /></c><c r="AL391" s="373" t="n"><v>212.56</v></c><c r="AM391" s="382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3"><f>IF(I391&gt;=1,"NO CONFORME",IF(BK391="SIGDIFERENTES",BC391,BL391))</f><v /></c><c r="AU391" s="365"><f>B391=C391</f><v /></c><c r="AV391" s="365"><f>N391&lt;Y391</f><v /></c><c r="AW391" s="365"><f>Z391&lt;=AK391</f><v /></c><c r="AX391" s="365"><f>IF(I391&gt;=1,"Qcorrecto",IF(AND(AY391="aceptable",AZ391="aceptable",BA391="aceptable"),"Qcorrecto","Qincorrecto"))</f><v /></c><c r="AY391" s="366"><f>IF(AR391&lt;$AH$6,"error",IF(AR391&gt;$AH$6*1.1,"error","aceptable"))</f><v /></c><c r="AZ391" s="366"><f>IF(AF391&lt;$V$6,"error",IF(AF391&gt;$V$6*1.1,"error","aceptable"))</f><v /></c><c r="BA391" s="366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7"><f>SIGN(U391)</f><v /></c><c r="BE391" s="367"><f>SIGN(AG391)</f><v /></c><c r="BF391" s="367"><f>SIGN(AS391)</f><v /></c><c r="BG391" s="367"><f>CONCATENATE(BD391,BE391,BF391)</f><v /></c><c r="BH391" s="367"><f>IF(BG391="111","SI","SD")</f><v /></c><c r="BI391" s="367"><f>IF(BG391="-1-1-1","SI","SD")</f><v /></c><c r="BJ391" s="367"><f>OR(BH391="SI",BI391="SI")</f><v /></c><c r="BK391" s="367"><f>IF(BJ391=FALSE,"SIGDIFERENTES","SIGIGUALES")</f><v /></c><c r="BL391" s="366"><f>IF(BC391="NO CONFORME","NO CONFORME",IF(BB391="CONFORME","CONFORME","NO CONFORME"))</f><v /></c></row><row r="392" ht="15" customHeight="1" thickBot="1"><c r="A392" s="453" t="n"><v>384</v></c><c r="B392" s="454"><f>B391</f><v /></c><c r="C392" s="454"><f>C391</f><v /></c><c r="D392" s="455"><f>D391</f><v /></c><c r="E392" s="474"><f>E391</f><v /></c><c r="F392" s="52" t="n" /><c r="G392" s="477" t="inlineStr"><is><t>PA25516784</t></is></c><c r="H392" s="326"><f>H391</f><v /></c><c r="I392" s="98"><f>I391</f><v /></c><c r="J392" s="327"><f>J391</f><v /></c><c r="K392" s="458"><f>K391</f><v /></c><c r="L392" s="458"><f>L391</f><v /></c><c r="M392" s="459" t="n"><v>92.45</v></c><c r="N392" s="459" t="n"><v>192.2</v></c><c r="O392" s="460"><f>O391</f><v /></c><c r="P392" s="461"><f>P391</f><v /></c><c r="Q392" s="462"><f>LEFT(P392,1)</f><v /></c><c r="R392" s="462"><f>RIGHT(P392,6)</f><v /></c><c r="S392" s="462"><f>+(Q392*60+R392)/(60*60)</f><v /></c><c r="T392" s="463"><f>+O392/S392</f><v /></c><c r="U392" s="464"><f>+(((N392-M392-O392)/O392)*100)</f><v /></c><c r="V392" s="329"><f>V391</f><v /></c><c r="W392" s="465"><f>W391</f><v /></c><c r="X392" s="465"><f>X391</f><v /></c><c r="Y392" s="459" t="n"><v>198.29</v></c><c r="Z392" s="459" t="n"><v>208.23</v></c><c r="AA392" s="466"><f>AA391</f><v /></c><c r="AB392" s="467"><f>AB391</f><v /></c><c r="AC392" s="462"><f>LEFT(AB392,2)</f><v /></c><c r="AD392" s="462"><f>RIGHT(AB392,6)</f><v /></c><c r="AE392" s="462"><f>+(AC392*60+AD392)/(60*60)</f><v /></c><c r="AF392" s="463"><f>+AA392/AE392</f><v /></c><c r="AG392" s="468"><f>+(((Z392-Y392-AA392)/AA392)*100)</f><v /></c><c r="AH392" s="329"><f>AH391</f><v /></c><c r="AI392" s="465"><f>AI391</f><v /></c><c r="AJ392" s="465"><f>AJ391</f><v /></c><c r="AK392" s="459"><f>Z392</f><v /></c><c r="AL392" s="459" t="n"><v>213.25</v></c><c r="AM392" s="469"><f>AM391</f><v /></c><c r="AN392" s="461"><f>AN391</f><v /></c><c r="AO392" s="462"><f>LEFT(AN392,2)</f><v /></c><c r="AP392" s="462"><f>RIGHT(AN392,6)</f><v /></c><c r="AQ392" s="462"><f>+(AO392*60+AP392)/(60*60)</f><v /></c><c r="AR392" s="463"><f>+AM392/AQ392</f><v /></c><c r="AS392" s="468"><f>+(((AL392-AK392-AM392)/AM392)*100)</f><v /></c><c r="AT392" s="470"><f>IF(I392&gt;=1,"NO CONFORME",IF(BK392="SIGDIFERENTES",BC392,BL392))</f><v /></c><c r="AU392" s="426"><f>B392=C392</f><v /></c><c r="AV392" s="426"><f>N392&lt;Y392</f><v /></c><c r="AW392" s="426"><f>Z392&lt;=AK392</f><v /></c><c r="AX392" s="426"><f>IF(I392&gt;=1,"Qcorrecto",IF(AND(AY392="aceptable",AZ392="aceptable",BA392="aceptable"),"Qcorrecto","Qincorrecto"))</f><v /></c><c r="AY392" s="427"><f>IF(AR392&lt;$AH$6,"error",IF(AR392&gt;$AH$6*1.1,"error","aceptable"))</f><v /></c><c r="AZ392" s="427"><f>IF(AF392&lt;$V$6,"error",IF(AF392&gt;$V$6*1.1,"error","aceptable"))</f><v /></c><c r="BA392" s="427"><f>IF(T392&lt;$J$6*0.9,"error",IF(T392&gt;$J$6,"error","aceptable"))</f><v /></c><c r="BB392" s="428"><f>(IF(ABS(U392)&lt;1.05,"CONFORME",IF(ABS(AG392)&lt;1.05,"CONFORME",IF(ABS(AS392)&lt;2.55,"CONFORME","NO CONFORME"))))</f><v /></c><c r="BC392" s="429"><f>(IF(ABS(U392)&gt;2.05,"NO CONFORME",IF(ABS(AG392)&gt;2.05,"NO CONFORME",IF(ABS(AS392)&gt;5.05,"NO CONFORME","CONFORME"))))</f><v /></c><c r="BD392" s="430"><f>SIGN(U392)</f><v /></c><c r="BE392" s="430"><f>SIGN(AG392)</f><v /></c><c r="BF392" s="430"><f>SIGN(AS392)</f><v /></c><c r="BG392" s="430"><f>CONCATENATE(BD392,BE392,BF392)</f><v /></c><c r="BH392" s="430"><f>IF(BG392="111","SI","SD")</f><v /></c><c r="BI392" s="430"><f>IF(BG392="-1-1-1","SI","SD")</f><v /></c><c r="BJ392" s="430"><f>OR(BH392="SI",BI392="SI")</f><v /></c><c r="BK392" s="430"><f>IF(BJ392=FALSE,"SIGDIFERENTES","SIGIGUALES")</f><v /></c><c r="BL392" s="427"><f>IF(BC392="NO CONFORME","NO CONFORME",IF(BB392="CONFORME","CONFORME","NO CONFORME"))</f><v /></c></row><row r="393" ht="15" customHeight="1" thickBot="1"><c r="A393" s="351" t="n"><v>385</v></c><c r="B393" s="386"><f>B392</f><v /></c><c r="C393" s="386"><f>C392</f><v /></c><c r="D393" s="387"><f>D392</f><v /></c><c r="E393" s="475"><f>E392</f><v /></c><c r="F393" s="58" t="n" /><c r="G393" s="457" t="inlineStr"><is><t>PA25516785</t></is></c><c r="H393" s="388"><f>H392</f><v /></c><c r="I393" s="232"><f>I392</f><v /></c><c r="J393" s="389" t="n"><v>21</v></c><c r="K393" s="390" t="n"><v>8.209</v></c><c r="L393" s="390" t="n"><v>0.551</v></c><c r="M393" s="356" t="n"><v>154</v></c><c r="N393" s="356" t="n"><v>253.6</v></c><c r="O393" s="391" t="n"><v>100.45</v></c><c r="P393" s="392" t="inlineStr"><is><t>2,31,460</t></is></c><c r="Q393" s="359"><f>LEFT(P393,1)</f><v /></c><c r="R393" s="359"><f>RIGHT(P393,6)</f><v /></c><c r="S393" s="359"><f>+(Q393*60+R393)/(60*60)</f><v /></c><c r="T393" s="360"><f>+O393/S393</f><v /></c><c r="U393" s="361"><f>+(((N393-M393-O393)/O393)*100)</f><v /></c><c r="V393" s="393" t="n"><v>20.9</v></c><c r="W393" s="394" t="n"><v>1.076</v></c><c r="X393" s="394" t="n"><v>1.067</v></c><c r="Y393" s="356" t="n"><v>259.51</v></c><c r="Z393" s="356" t="n"><v>269.46</v></c><c r="AA393" s="395" t="n"><v>10.006</v></c><c r="AB393" s="396" t="inlineStr"><is><t>22,28,700</t></is></c><c r="AC393" s="359"><f>LEFT(AB393,2)</f><v /></c><c r="AD393" s="359"><f>RIGHT(AB393,6)</f><v /></c><c r="AE393" s="359"><f>+(AC393*60+AD393)/(60*60)</f><v /></c><c r="AF393" s="360"><f>+AA393/AE393</f><v /></c><c r="AG393" s="362"><f>+(((Z393-Y393-AA393)/AA393)*100)</f><v /></c><c r="AH393" s="393" t="n"><v>21</v></c><c r="AI393" s="394" t="n"><v>1.074</v></c><c r="AJ393" s="394" t="n"><v>1.068</v></c><c r="AK393" s="356"><f>Z393</f><v /></c><c r="AL393" s="356" t="n"><v>274.4</v></c><c r="AM393" s="397" t="n"><v>5.009</v></c><c r="AN393" s="392" t="inlineStr"><is><t>18,22,780</t></is></c><c r="AO393" s="359"><f>LEFT(AN393,2)</f><v /></c><c r="AP393" s="359"><f>RIGHT(AN393,6)</f><v /></c><c r="AQ393" s="359"><f>+(AO393*60+AP393)/(60*60)</f><v /></c><c r="AR393" s="360"><f>+AM393/AQ393</f><v /></c><c r="AS393" s="362"><f>+(((AL393-AK393-AM393)/AM393)*100)</f><v /></c><c r="AT393" s="364"><f>IF(I393&gt;=1,"NO CONFORME",IF(BK393="SIGDIFERENTES",BC393,BL393))</f><v /></c><c r="AU393" s="365"><f>B393=C393</f><v /></c><c r="AV393" s="365"><f>N393&lt;Y393</f><v /></c><c r="AW393" s="365"><f>Z393&lt;=AK393</f><v /></c><c r="AX393" s="365"><f>IF(I393&gt;=1,"Qcorrecto",IF(AND(AY393="aceptable",AZ393="aceptable",BA393="aceptable"),"Qcorrecto","Qincorrecto"))</f><v /></c><c r="AY393" s="368"><f>IF(AR393&lt;$AH$6,"error",IF(AR393&gt;$AH$6*1.1,"error","aceptable"))</f><v /></c><c r="AZ393" s="368"><f>IF(AF393&lt;$V$6,"error",IF(AF393&gt;$V$6*1.1,"error","aceptable"))</f><v /></c><c r="BA393" s="368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7"><f>SIGN(U393)</f><v /></c><c r="BE393" s="367"><f>SIGN(AG393)</f><v /></c><c r="BF393" s="367"><f>SIGN(AS393)</f><v /></c><c r="BG393" s="367"><f>CONCATENATE(BD393,BE393,BF393)</f><v /></c><c r="BH393" s="367"><f>IF(BG393="111","SI","SD")</f><v /></c><c r="BI393" s="367"><f>IF(BG393="-1-1-1","SI","SD")</f><v /></c><c r="BJ393" s="367"><f>OR(BH393="SI",BI393="SI")</f><v /></c><c r="BK393" s="367"><f>IF(BJ393=FALSE,"SIGDIFERENTES","SIGIGUALES")</f><v /></c><c r="BL393" s="368"><f>IF(BC393="NO CONFORME","NO CONFORME",IF(BB393="CONFORME","CONFORME","NO CONFORME"))</f><v /></c></row><row r="394" ht="15" customHeight="1" thickBot="1"><c r="A394" s="351" t="n"><v>386</v></c><c r="B394" s="369"><f>B393</f><v /></c><c r="C394" s="369"><f>C393</f><v /></c><c r="D394" s="370"><f>D393</f><v /></c><c r="E394" s="371"><f>E393</f><v /></c><c r="F394" s="13" t="n" /><c r="G394" s="477" t="inlineStr"><is><t>PA25516786</t></is></c><c r="H394" s="313"><f>H393</f><v /></c><c r="I394" s="38"><f>I393</f><v /></c><c r="J394" s="314"><f>J393</f><v /></c><c r="K394" s="372"><f>K393</f><v /></c><c r="L394" s="372"><f>L393</f><v /></c><c r="M394" s="373" t="n"><v>77.3</v></c><c r="N394" s="373" t="n"><v>176.61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379"><f>W393</f><v /></c><c r="X394" s="379"><f>X393</f><v /></c><c r="Y394" s="373" t="n"><v>182.54</v></c><c r="Z394" s="373" t="n"><v>192.49</v></c><c r="AA394" s="380"><f>AA393</f><v /></c><c r="AB394" s="381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379"><f>AI393</f><v /></c><c r="AJ394" s="379"><f>AJ393</f><v /></c><c r="AK394" s="373"><f>Z394</f><v /></c><c r="AL394" s="373" t="n"><v>197.46</v></c><c r="AM394" s="382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3"><f>IF(I394&gt;=1,"NO CONFORME",IF(BK394="SIGDIFERENTES",BC394,BL394))</f><v /></c><c r="AU394" s="365"><f>B394=C394</f><v /></c><c r="AV394" s="365"><f>N394&lt;Y394</f><v /></c><c r="AW394" s="365"><f>Z394&lt;=AK394</f><v /></c><c r="AX394" s="365"><f>IF(I394&gt;=1,"Qcorrecto",IF(AND(AY394="aceptable",AZ394="aceptable",BA394="aceptable"),"Qcorrecto","Qincorrecto"))</f><v /></c><c r="AY394" s="366"><f>IF(AR394&lt;$AH$6,"error",IF(AR394&gt;$AH$6*1.1,"error","aceptable"))</f><v /></c><c r="AZ394" s="366"><f>IF(AF394&lt;$V$6,"error",IF(AF394&gt;$V$6*1.1,"error","aceptable"))</f><v /></c><c r="BA394" s="366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7"><f>SIGN(U394)</f><v /></c><c r="BE394" s="367"><f>SIGN(AG394)</f><v /></c><c r="BF394" s="367"><f>SIGN(AS394)</f><v /></c><c r="BG394" s="367"><f>CONCATENATE(BD394,BE394,BF394)</f><v /></c><c r="BH394" s="367"><f>IF(BG394="111","SI","SD")</f><v /></c><c r="BI394" s="367"><f>IF(BG394="-1-1-1","SI","SD")</f><v /></c><c r="BJ394" s="367"><f>OR(BH394="SI",BI394="SI")</f><v /></c><c r="BK394" s="367"><f>IF(BJ394=FALSE,"SIGDIFERENTES","SIGIGUALES")</f><v /></c><c r="BL394" s="366"><f>IF(BC394="NO CONFORME","NO CONFORME",IF(BB394="CONFORME","CONFORME","NO CONFORME"))</f><v /></c></row><row r="395" ht="15" customHeight="1" thickBot="1"><c r="A395" s="351" t="n"><v>387</v></c><c r="B395" s="369"><f>B394</f><v /></c><c r="C395" s="369"><f>C394</f><v /></c><c r="D395" s="370"><f>D394</f><v /></c><c r="E395" s="371"><f>E394</f><v /></c><c r="F395" s="13" t="n" /><c r="G395" s="477" t="inlineStr"><is><t>PA25516787</t></is></c><c r="H395" s="313"><f>H394</f><v /></c><c r="I395" s="38"><f>I394</f><v /></c><c r="J395" s="314"><f>J394</f><v /></c><c r="K395" s="372"><f>K394</f><v /></c><c r="L395" s="372"><f>L394</f><v /></c><c r="M395" s="373" t="n"><v>77.19</v></c><c r="N395" s="373" t="n"><v>176.95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379"><f>W394</f><v /></c><c r="X395" s="379"><f>X394</f><v /></c><c r="Y395" s="373" t="n"><v>182.9</v></c><c r="Z395" s="373" t="n"><v>192.86</v></c><c r="AA395" s="380"><f>AA394</f><v /></c><c r="AB395" s="381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379"><f>AI394</f><v /></c><c r="AJ395" s="379"><f>AJ394</f><v /></c><c r="AK395" s="373"><f>Z395</f><v /></c><c r="AL395" s="373" t="n"><v>197.88</v></c><c r="AM395" s="382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3"><f>IF(I395&gt;=1,"NO CONFORME",IF(BK395="SIGDIFERENTES",BC395,BL395))</f><v /></c><c r="AU395" s="365"><f>B395=C395</f><v /></c><c r="AV395" s="365"><f>N395&lt;Y395</f><v /></c><c r="AW395" s="365"><f>Z395&lt;=AK395</f><v /></c><c r="AX395" s="365"><f>IF(I395&gt;=1,"Qcorrecto",IF(AND(AY395="aceptable",AZ395="aceptable",BA395="aceptable"),"Qcorrecto","Qincorrecto"))</f><v /></c><c r="AY395" s="366"><f>IF(AR395&lt;$AH$6,"error",IF(AR395&gt;$AH$6*1.1,"error","aceptable"))</f><v /></c><c r="AZ395" s="366"><f>IF(AF395&lt;$V$6,"error",IF(AF395&gt;$V$6*1.1,"error","aceptable"))</f><v /></c><c r="BA395" s="366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7"><f>SIGN(U395)</f><v /></c><c r="BE395" s="367"><f>SIGN(AG395)</f><v /></c><c r="BF395" s="367"><f>SIGN(AS395)</f><v /></c><c r="BG395" s="367"><f>CONCATENATE(BD395,BE395,BF395)</f><v /></c><c r="BH395" s="367"><f>IF(BG395="111","SI","SD")</f><v /></c><c r="BI395" s="367"><f>IF(BG395="-1-1-1","SI","SD")</f><v /></c><c r="BJ395" s="367"><f>OR(BH395="SI",BI395="SI")</f><v /></c><c r="BK395" s="367"><f>IF(BJ395=FALSE,"SIGDIFERENTES","SIGIGUALES")</f><v /></c><c r="BL395" s="366"><f>IF(BC395="NO CONFORME","NO CONFORME",IF(BB395="CONFORME","CONFORME","NO CONFORME"))</f><v /></c></row><row r="396" ht="15" customHeight="1" thickBot="1"><c r="A396" s="351" t="n"><v>388</v></c><c r="B396" s="369"><f>B395</f><v /></c><c r="C396" s="369"><f>C395</f><v /></c><c r="D396" s="370"><f>D395</f><v /></c><c r="E396" s="371"><f>E395</f><v /></c><c r="F396" s="13" t="n" /><c r="G396" s="477" t="inlineStr"><is><t>PA25516788</t></is></c><c r="H396" s="313"><f>H395</f><v /></c><c r="I396" s="38"><f>I395</f><v /></c><c r="J396" s="314"><f>J395</f><v /></c><c r="K396" s="372"><f>K395</f><v /></c><c r="L396" s="372"><f>L395</f><v /></c><c r="M396" s="373" t="n"><v>77.39</v></c><c r="N396" s="373" t="n"><v>176.39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379"><f>W395</f><v /></c><c r="X396" s="379"><f>X395</f><v /></c><c r="Y396" s="373" t="n"><v>182.3</v></c><c r="Z396" s="373" t="n"><v>192.25</v></c><c r="AA396" s="380"><f>AA395</f><v /></c><c r="AB396" s="381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379"><f>AI395</f><v /></c><c r="AJ396" s="379"><f>AJ395</f><v /></c><c r="AK396" s="373"><f>Z396</f><v /></c><c r="AL396" s="373" t="n"><v>197.26</v></c><c r="AM396" s="382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3"><f>IF(I396&gt;=1,"NO CONFORME",IF(BK396="SIGDIFERENTES",BC396,BL396))</f><v /></c><c r="AU396" s="365"><f>B396=C396</f><v /></c><c r="AV396" s="365"><f>N396&lt;Y396</f><v /></c><c r="AW396" s="365"><f>Z396&lt;=AK396</f><v /></c><c r="AX396" s="365"><f>IF(I396&gt;=1,"Qcorrecto",IF(AND(AY396="aceptable",AZ396="aceptable",BA396="aceptable"),"Qcorrecto","Qincorrecto"))</f><v /></c><c r="AY396" s="366"><f>IF(AR396&lt;$AH$6,"error",IF(AR396&gt;$AH$6*1.1,"error","aceptable"))</f><v /></c><c r="AZ396" s="366"><f>IF(AF396&lt;$V$6,"error",IF(AF396&gt;$V$6*1.1,"error","aceptable"))</f><v /></c><c r="BA396" s="366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67"><f>SIGN(U396)</f><v /></c><c r="BE396" s="367"><f>SIGN(AG396)</f><v /></c><c r="BF396" s="367"><f>SIGN(AS396)</f><v /></c><c r="BG396" s="367"><f>CONCATENATE(BD396,BE396,BF396)</f><v /></c><c r="BH396" s="367"><f>IF(BG396="111","SI","SD")</f><v /></c><c r="BI396" s="367"><f>IF(BG396="-1-1-1","SI","SD")</f><v /></c><c r="BJ396" s="367"><f>OR(BH396="SI",BI396="SI")</f><v /></c><c r="BK396" s="367"><f>IF(BJ396=FALSE,"SIGDIFERENTES","SIGIGUALES")</f><v /></c><c r="BL396" s="366"><f>IF(BC396="NO CONFORME","NO CONFORME",IF(BB396="CONFORME","CONFORME","NO CONFORME"))</f><v /></c></row><row r="397" ht="15" customHeight="1" thickBot="1"><c r="A397" s="351" t="n"><v>389</v></c><c r="B397" s="369"><f>B396</f><v /></c><c r="C397" s="369"><f>C396</f><v /></c><c r="D397" s="370"><f>D396</f><v /></c><c r="E397" s="371"><f>E396</f><v /></c><c r="F397" s="13" t="n" /><c r="G397" s="477" t="inlineStr"><is><t>PA25516789</t></is></c><c r="H397" s="313"><f>H396</f><v /></c><c r="I397" s="38"><f>I396</f><v /></c><c r="J397" s="314"><f>J396</f><v /></c><c r="K397" s="372"><f>K396</f><v /></c><c r="L397" s="372"><f>L396</f><v /></c><c r="M397" s="373" t="n"><v>78.59</v></c><c r="N397" s="373" t="n"><v>179</v></c><c r="O397" s="374"><f>O396</f><v /></c><c r="P397" s="375"><f>P396</f><v /></c><c r="Q397" s="376"><f>LEFT(P397,1)</f><v /></c><c r="R397" s="376"><f>RIGHT(P397,6)</f><v /></c><c r="S397" s="376"><f>+(Q397*60+R397)/(60*60)</f><v /></c><c r="T397" s="377"><f>+O397/S397</f><v /></c><c r="U397" s="378"><f>+(((N397-M397-O397)/O397)*100)</f><v /></c><c r="V397" s="317"><f>V396</f><v /></c><c r="W397" s="379"><f>W396</f><v /></c><c r="X397" s="379"><f>X396</f><v /></c><c r="Y397" s="373" t="n"><v>184.98</v></c><c r="Z397" s="373" t="n"><v>195</v></c><c r="AA397" s="380"><f>AA396</f><v /></c><c r="AB397" s="381"><f>AB396</f><v /></c><c r="AC397" s="376"><f>LEFT(AB397,2)</f><v /></c><c r="AD397" s="376"><f>RIGHT(AB397,6)</f><v /></c><c r="AE397" s="376"><f>+(AC397*60+AD397)/(60*60)</f><v /></c><c r="AF397" s="377"><f>+AA397/AE397</f><v /></c><c r="AG397" s="321"><f>+(((Z397-Y397-AA397)/AA397)*100)</f><v /></c><c r="AH397" s="317"><f>AH396</f><v /></c><c r="AI397" s="379"><f>AI396</f><v /></c><c r="AJ397" s="379"><f>AJ396</f><v /></c><c r="AK397" s="373"><f>Z397</f><v /></c><c r="AL397" s="373" t="n"><v>200</v></c><c r="AM397" s="382"><f>AM396</f><v /></c><c r="AN397" s="375"><f>AN396</f><v /></c><c r="AO397" s="376"><f>LEFT(AN397,2)</f><v /></c><c r="AP397" s="376"><f>RIGHT(AN397,6)</f><v /></c><c r="AQ397" s="376"><f>+(AO397*60+AP397)/(60*60)</f><v /></c><c r="AR397" s="377"><f>+AM397/AQ397</f><v /></c><c r="AS397" s="321"><f>+(((AL397-AK397-AM397)/AM397)*100)</f><v /></c><c r="AT397" s="383"><f>IF(I397&gt;=1,"NO CONFORME",IF(BK397="SIGDIFERENTES",BC397,BL397))</f><v /></c><c r="AU397" s="365"><f>B397=C397</f><v /></c><c r="AV397" s="365"><f>N397&lt;Y397</f><v /></c><c r="AW397" s="365"><f>Z397&lt;=AK397</f><v /></c><c r="AX397" s="365"><f>IF(I397&gt;=1,"Qcorrecto",IF(AND(AY397="aceptable",AZ397="aceptable",BA397="aceptable"),"Qcorrecto","Qincorrecto"))</f><v /></c><c r="AY397" s="366"><f>IF(AR397&lt;$AH$6,"error",IF(AR397&gt;$AH$6*1.1,"error","aceptable"))</f><v /></c><c r="AZ397" s="366"><f>IF(AF397&lt;$V$6,"error",IF(AF397&gt;$V$6*1.1,"error","aceptable"))</f><v /></c><c r="BA397" s="366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67"><f>SIGN(U397)</f><v /></c><c r="BE397" s="367"><f>SIGN(AG397)</f><v /></c><c r="BF397" s="367"><f>SIGN(AS397)</f><v /></c><c r="BG397" s="367"><f>CONCATENATE(BD397,BE397,BF397)</f><v /></c><c r="BH397" s="367"><f>IF(BG397="111","SI","SD")</f><v /></c><c r="BI397" s="367"><f>IF(BG397="-1-1-1","SI","SD")</f><v /></c><c r="BJ397" s="367"><f>OR(BH397="SI",BI397="SI")</f><v /></c><c r="BK397" s="367"><f>IF(BJ397=FALSE,"SIGDIFERENTES","SIGIGUALES")</f><v /></c><c r="BL397" s="366"><f>IF(BC397="NO CONFORME","NO CONFORME",IF(BB397="CONFORME","CONFORME","NO CONFORME"))</f><v /></c></row><row r="398" ht="15" customHeight="1" thickBot="1"><c r="A398" s="351" t="n"><v>390</v></c><c r="B398" s="369"><f>B397</f><v /></c><c r="C398" s="369"><f>C397</f><v /></c><c r="D398" s="370"><f>D397</f><v /></c><c r="E398" s="371"><f>E397</f><v /></c><c r="F398" s="13" t="n" /><c r="G398" s="477" t="inlineStr"><is><t>PA25516790</t></is></c><c r="H398" s="313"><f>H397</f><v /></c><c r="I398" s="38"><f>I397</f><v /></c><c r="J398" s="314"><f>J397</f><v /></c><c r="K398" s="372"><f>K397</f><v /></c><c r="L398" s="372"><f>L397</f><v /></c><c r="M398" s="373" t="n"><v>77.91</v></c><c r="N398" s="373" t="n"><v>178.1</v></c><c r="O398" s="374"><f>O397</f><v /></c><c r="P398" s="375"><f>P397</f><v /></c><c r="Q398" s="376"><f>LEFT(P398,1)</f><v /></c><c r="R398" s="376"><f>RIGHT(P398,6)</f><v /></c><c r="S398" s="376"><f>+(Q398*60+R398)/(60*60)</f><v /></c><c r="T398" s="377"><f>+O398/S398</f><v /></c><c r="U398" s="378"><f>+(((N398-M398-O398)/O398)*100)</f><v /></c><c r="V398" s="317"><f>V397</f><v /></c><c r="W398" s="379"><f>W397</f><v /></c><c r="X398" s="379"><f>X397</f><v /></c><c r="Y398" s="373" t="n"><v>184.05</v></c><c r="Z398" s="373" t="n"><v>194.03</v></c><c r="AA398" s="380"><f>AA397</f><v /></c><c r="AB398" s="381"><f>AB397</f><v /></c><c r="AC398" s="376"><f>LEFT(AB398,2)</f><v /></c><c r="AD398" s="376"><f>RIGHT(AB398,6)</f><v /></c><c r="AE398" s="376"><f>+(AC398*60+AD398)/(60*60)</f><v /></c><c r="AF398" s="377"><f>+AA398/AE398</f><v /></c><c r="AG398" s="321"><f>+(((Z398-Y398-AA398)/AA398)*100)</f><v /></c><c r="AH398" s="317"><f>AH397</f><v /></c><c r="AI398" s="379"><f>AI397</f><v /></c><c r="AJ398" s="379"><f>AJ397</f><v /></c><c r="AK398" s="373"><f>Z398</f><v /></c><c r="AL398" s="373" t="n"><v>199.04</v></c><c r="AM398" s="382"><f>AM397</f><v /></c><c r="AN398" s="375"><f>AN397</f><v /></c><c r="AO398" s="376"><f>LEFT(AN398,2)</f><v /></c><c r="AP398" s="376"><f>RIGHT(AN398,6)</f><v /></c><c r="AQ398" s="376"><f>+(AO398*60+AP398)/(60*60)</f><v /></c><c r="AR398" s="377"><f>+AM398/AQ398</f><v /></c><c r="AS398" s="321"><f>+(((AL398-AK398-AM398)/AM398)*100)</f><v /></c><c r="AT398" s="383"><f>IF(I398&gt;=1,"NO CONFORME",IF(BK398="SIGDIFERENTES",BC398,BL398))</f><v /></c><c r="AU398" s="365"><f>B398=C398</f><v /></c><c r="AV398" s="365"><f>N398&lt;Y398</f><v /></c><c r="AW398" s="365"><f>Z398&lt;=AK398</f><v /></c><c r="AX398" s="365"><f>IF(I398&gt;=1,"Qcorrecto",IF(AND(AY398="aceptable",AZ398="aceptable",BA398="aceptable"),"Qcorrecto","Qincorrecto"))</f><v /></c><c r="AY398" s="366"><f>IF(AR398&lt;$AH$6,"error",IF(AR398&gt;$AH$6*1.1,"error","aceptable"))</f><v /></c><c r="AZ398" s="366"><f>IF(AF398&lt;$V$6,"error",IF(AF398&gt;$V$6*1.1,"error","aceptable"))</f><v /></c><c r="BA398" s="366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67"><f>SIGN(U398)</f><v /></c><c r="BE398" s="367"><f>SIGN(AG398)</f><v /></c><c r="BF398" s="367"><f>SIGN(AS398)</f><v /></c><c r="BG398" s="367"><f>CONCATENATE(BD398,BE398,BF398)</f><v /></c><c r="BH398" s="367"><f>IF(BG398="111","SI","SD")</f><v /></c><c r="BI398" s="367"><f>IF(BG398="-1-1-1","SI","SD")</f><v /></c><c r="BJ398" s="367"><f>OR(BH398="SI",BI398="SI")</f><v /></c><c r="BK398" s="367"><f>IF(BJ398=FALSE,"SIGDIFERENTES","SIGIGUALES")</f><v /></c><c r="BL398" s="366"><f>IF(BC398="NO CONFORME","NO CONFORME",IF(BB398="CONFORME","CONFORME","NO CONFORME"))</f><v /></c></row><row r="399" ht="15" customHeight="1" thickBot="1"><c r="A399" s="351" t="n"><v>391</v></c><c r="B399" s="369"><f>B398</f><v /></c><c r="C399" s="369"><f>C398</f><v /></c><c r="D399" s="370"><f>D398</f><v /></c><c r="E399" s="371"><f>E398</f><v /></c><c r="F399" s="13" t="n" /><c r="G399" s="477" t="inlineStr"><is><t>PA25516791</t></is></c><c r="H399" s="313"><f>H398</f><v /></c><c r="I399" s="38"><f>I398</f><v /></c><c r="J399" s="314"><f>J398</f><v /></c><c r="K399" s="372"><f>K398</f><v /></c><c r="L399" s="372"><f>L398</f><v /></c><c r="M399" s="373" t="n"><v>78</v></c><c r="N399" s="373" t="n"><v>178.2</v></c><c r="O399" s="374"><f>O398</f><v /></c><c r="P399" s="375"><f>P398</f><v /></c><c r="Q399" s="376"><f>LEFT(P399,1)</f><v /></c><c r="R399" s="376"><f>RIGHT(P399,6)</f><v /></c><c r="S399" s="376"><f>+(Q399*60+R399)/(60*60)</f><v /></c><c r="T399" s="377"><f>+O399/S399</f><v /></c><c r="U399" s="378"><f>+(((N399-M399-O399)/O399)*100)</f><v /></c><c r="V399" s="317"><f>V398</f><v /></c><c r="W399" s="379"><f>W398</f><v /></c><c r="X399" s="379"><f>X398</f><v /></c><c r="Y399" s="373" t="n"><v>184.19</v></c><c r="Z399" s="373" t="n"><v>194.13</v></c><c r="AA399" s="380"><f>AA398</f><v /></c><c r="AB399" s="381"><f>AB398</f><v /></c><c r="AC399" s="376"><f>LEFT(AB399,2)</f><v /></c><c r="AD399" s="376"><f>RIGHT(AB399,6)</f><v /></c><c r="AE399" s="376"><f>+(AC399*60+AD399)/(60*60)</f><v /></c><c r="AF399" s="377"><f>+AA399/AE399</f><v /></c><c r="AG399" s="321"><f>+(((Z399-Y399-AA399)/AA399)*100)</f><v /></c><c r="AH399" s="317"><f>AH398</f><v /></c><c r="AI399" s="379"><f>AI398</f><v /></c><c r="AJ399" s="379"><f>AJ398</f><v /></c><c r="AK399" s="373"><f>Z399</f><v /></c><c r="AL399" s="373" t="n"><v>199.12</v></c><c r="AM399" s="382"><f>AM398</f><v /></c><c r="AN399" s="375"><f>AN398</f><v /></c><c r="AO399" s="376"><f>LEFT(AN399,2)</f><v /></c><c r="AP399" s="376"><f>RIGHT(AN399,6)</f><v /></c><c r="AQ399" s="376"><f>+(AO399*60+AP399)/(60*60)</f><v /></c><c r="AR399" s="377"><f>+AM399/AQ399</f><v /></c><c r="AS399" s="321"><f>+(((AL399-AK399-AM399)/AM399)*100)</f><v /></c><c r="AT399" s="383"><f>IF(I399&gt;=1,"NO CONFORME",IF(BK399="SIGDIFERENTES",BC399,BL399))</f><v /></c><c r="AU399" s="365"><f>B399=C399</f><v /></c><c r="AV399" s="365"><f>N399&lt;Y399</f><v /></c><c r="AW399" s="365"><f>Z399&lt;=AK399</f><v /></c><c r="AX399" s="365"><f>IF(I399&gt;=1,"Qcorrecto",IF(AND(AY399="aceptable",AZ399="aceptable",BA399="aceptable"),"Qcorrecto","Qincorrecto"))</f><v /></c><c r="AY399" s="366"><f>IF(AR399&lt;$AH$6,"error",IF(AR399&gt;$AH$6*1.1,"error","aceptable"))</f><v /></c><c r="AZ399" s="366"><f>IF(AF399&lt;$V$6,"error",IF(AF399&gt;$V$6*1.1,"error","aceptable"))</f><v /></c><c r="BA399" s="366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7"><f>SIGN(U399)</f><v /></c><c r="BE399" s="367"><f>SIGN(AG399)</f><v /></c><c r="BF399" s="367"><f>SIGN(AS399)</f><v /></c><c r="BG399" s="367"><f>CONCATENATE(BD399,BE399,BF399)</f><v /></c><c r="BH399" s="367"><f>IF(BG399="111","SI","SD")</f><v /></c><c r="BI399" s="367"><f>IF(BG399="-1-1-1","SI","SD")</f><v /></c><c r="BJ399" s="367"><f>OR(BH399="SI",BI399="SI")</f><v /></c><c r="BK399" s="367"><f>IF(BJ399=FALSE,"SIGDIFERENTES","SIGIGUALES")</f><v /></c><c r="BL399" s="366"><f>IF(BC399="NO CONFORME","NO CONFORME",IF(BB399="CONFORME","CONFORME","NO CONFORME"))</f><v /></c></row><row r="400" ht="15" customHeight="1" thickBot="1"><c r="A400" s="351" t="n"><v>392</v></c><c r="B400" s="369"><f>B399</f><v /></c><c r="C400" s="369"><f>C399</f><v /></c><c r="D400" s="370"><f>D399</f><v /></c><c r="E400" s="371"><f>E399</f><v /></c><c r="F400" s="13" t="n" /><c r="G400" s="477" t="inlineStr"><is><t>PA25516792</t></is></c><c r="H400" s="313"><f>H399</f><v /></c><c r="I400" s="38"><f>I399</f><v /></c><c r="J400" s="314"><f>J399</f><v /></c><c r="K400" s="372"><f>K399</f><v /></c><c r="L400" s="372"><f>L399</f><v /></c><c r="M400" s="373" t="n"><v>78.18000000000001</v></c><c r="N400" s="373" t="n"><v>178.28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379"><f>W399</f><v /></c><c r="X400" s="379"><f>X399</f><v /></c><c r="Y400" s="373" t="n"><v>184.2</v></c><c r="Z400" s="373" t="n"><v>194.07</v></c><c r="AA400" s="380"><f>AA399</f><v /></c><c r="AB400" s="381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379"><f>AI399</f><v /></c><c r="AJ400" s="379"><f>AJ399</f><v /></c><c r="AK400" s="373"><f>Z400</f><v /></c><c r="AL400" s="373" t="n"><v>198.98</v></c><c r="AM400" s="382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3"><f>IF(I400&gt;=1,"NO CONFORME",IF(BK400="SIGDIFERENTES",BC400,BL400))</f><v /></c><c r="AU400" s="365"><f>B400=C400</f><v /></c><c r="AV400" s="365"><f>N400&lt;Y400</f><v /></c><c r="AW400" s="365"><f>Z400&lt;=AK400</f><v /></c><c r="AX400" s="365"><f>IF(I400&gt;=1,"Qcorrecto",IF(AND(AY400="aceptable",AZ400="aceptable",BA400="aceptable"),"Qcorrecto","Qincorrecto"))</f><v /></c><c r="AY400" s="366"><f>IF(AR400&lt;$AH$6,"error",IF(AR400&gt;$AH$6*1.1,"error","aceptable"))</f><v /></c><c r="AZ400" s="366"><f>IF(AF400&lt;$V$6,"error",IF(AF400&gt;$V$6*1.1,"error","aceptable"))</f><v /></c><c r="BA400" s="366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7"><f>SIGN(U400)</f><v /></c><c r="BE400" s="367"><f>SIGN(AG400)</f><v /></c><c r="BF400" s="367"><f>SIGN(AS400)</f><v /></c><c r="BG400" s="367"><f>CONCATENATE(BD400,BE400,BF400)</f><v /></c><c r="BH400" s="367"><f>IF(BG400="111","SI","SD")</f><v /></c><c r="BI400" s="367"><f>IF(BG400="-1-1-1","SI","SD")</f><v /></c><c r="BJ400" s="367"><f>OR(BH400="SI",BI400="SI")</f><v /></c><c r="BK400" s="367"><f>IF(BJ400=FALSE,"SIGDIFERENTES","SIGIGUALES")</f><v /></c><c r="BL400" s="366"><f>IF(BC400="NO CONFORME","NO CONFORME",IF(BB400="CONFORME","CONFORME","NO CONFORME"))</f><v /></c></row><row r="401" ht="15" customHeight="1" thickBot="1"><c r="A401" s="351" t="n"><v>393</v></c><c r="B401" s="369"><f>B400</f><v /></c><c r="C401" s="369"><f>C400</f><v /></c><c r="D401" s="370"><f>D400</f><v /></c><c r="E401" s="371"><f>E400</f><v /></c><c r="F401" s="13" t="n" /><c r="G401" s="477" t="inlineStr"><is><t>PA25516793</t></is></c><c r="H401" s="313"><f>H400</f><v /></c><c r="I401" s="38"><f>I400</f><v /></c><c r="J401" s="314"><f>J400</f><v /></c><c r="K401" s="372"><f>K400</f><v /></c><c r="L401" s="372"><f>L400</f><v /></c><c r="M401" s="373" t="n"><v>80.04000000000001</v></c><c r="N401" s="373" t="n"><v>179.09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379"><f>W400</f><v /></c><c r="X401" s="379"><f>X400</f><v /></c><c r="Y401" s="373" t="n"><v>185</v></c><c r="Z401" s="373" t="n"><v>194.95</v></c><c r="AA401" s="380"><f>AA400</f><v /></c><c r="AB401" s="381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379"><f>AI400</f><v /></c><c r="AJ401" s="379"><f>AJ400</f><v /></c><c r="AK401" s="373"><f>Z401</f><v /></c><c r="AL401" s="373" t="n"><v>199.94</v></c><c r="AM401" s="382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3"><f>IF(I401&gt;=1,"NO CONFORME",IF(BK401="SIGDIFERENTES",BC401,BL401))</f><v /></c><c r="AU401" s="365"><f>B401=C401</f><v /></c><c r="AV401" s="365"><f>N401&lt;Y401</f><v /></c><c r="AW401" s="365"><f>Z401&lt;=AK401</f><v /></c><c r="AX401" s="365"><f>IF(I401&gt;=1,"Qcorrecto",IF(AND(AY401="aceptable",AZ401="aceptable",BA401="aceptable"),"Qcorrecto","Qincorrecto"))</f><v /></c><c r="AY401" s="366"><f>IF(AR401&lt;$AH$6,"error",IF(AR401&gt;$AH$6*1.1,"error","aceptable"))</f><v /></c><c r="AZ401" s="366"><f>IF(AF401&lt;$V$6,"error",IF(AF401&gt;$V$6*1.1,"error","aceptable"))</f><v /></c><c r="BA401" s="366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7"><f>SIGN(U401)</f><v /></c><c r="BE401" s="367"><f>SIGN(AG401)</f><v /></c><c r="BF401" s="367"><f>SIGN(AS401)</f><v /></c><c r="BG401" s="367"><f>CONCATENATE(BD401,BE401,BF401)</f><v /></c><c r="BH401" s="367"><f>IF(BG401="111","SI","SD")</f><v /></c><c r="BI401" s="367"><f>IF(BG401="-1-1-1","SI","SD")</f><v /></c><c r="BJ401" s="367"><f>OR(BH401="SI",BI401="SI")</f><v /></c><c r="BK401" s="367"><f>IF(BJ401=FALSE,"SIGDIFERENTES","SIGIGUALES")</f><v /></c><c r="BL401" s="366"><f>IF(BC401="NO CONFORME","NO CONFORME",IF(BB401="CONFORME","CONFORME","NO CONFORME"))</f><v /></c></row><row r="402" ht="15" customHeight="1" thickBot="1"><c r="A402" s="351" t="n"><v>394</v></c><c r="B402" s="369"><f>B401</f><v /></c><c r="C402" s="369"><f>C401</f><v /></c><c r="D402" s="370"><f>D401</f><v /></c><c r="E402" s="371"><f>E401</f><v /></c><c r="F402" s="13" t="n" /><c r="G402" s="477" t="inlineStr"><is><t>PA25516794</t></is></c><c r="H402" s="313"><f>H401</f><v /></c><c r="I402" s="38"><f>I401</f><v /></c><c r="J402" s="314"><f>J401</f><v /></c><c r="K402" s="372"><f>K401</f><v /></c><c r="L402" s="372"><f>L401</f><v /></c><c r="M402" s="373" t="n"><v>79.62</v></c><c r="N402" s="373" t="n"><v>178.86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379"><f>W401</f><v /></c><c r="X402" s="379"><f>X401</f><v /></c><c r="Y402" s="373" t="n"><v>184.76</v></c><c r="Z402" s="373" t="n"><v>194.76</v></c><c r="AA402" s="380"><f>AA401</f><v /></c><c r="AB402" s="381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379"><f>AI401</f><v /></c><c r="AJ402" s="379"><f>AJ401</f><v /></c><c r="AK402" s="373"><f>Z402</f><v /></c><c r="AL402" s="373" t="n"><v>199.75</v></c><c r="AM402" s="382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3"><f>IF(I402&gt;=1,"NO CONFORME",IF(BK402="SIGDIFERENTES",BC402,BL402))</f><v /></c><c r="AU402" s="365"><f>B402=C402</f><v /></c><c r="AV402" s="365"><f>N402&lt;Y402</f><v /></c><c r="AW402" s="365"><f>Z402&lt;=AK402</f><v /></c><c r="AX402" s="365"><f>IF(I402&gt;=1,"Qcorrecto",IF(AND(AY402="aceptable",AZ402="aceptable",BA402="aceptable"),"Qcorrecto","Qincorrecto"))</f><v /></c><c r="AY402" s="366"><f>IF(AR402&lt;$AH$6,"error",IF(AR402&gt;$AH$6*1.1,"error","aceptable"))</f><v /></c><c r="AZ402" s="366"><f>IF(AF402&lt;$V$6,"error",IF(AF402&gt;$V$6*1.1,"error","aceptable"))</f><v /></c><c r="BA402" s="366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7"><f>SIGN(U402)</f><v /></c><c r="BE402" s="367"><f>SIGN(AG402)</f><v /></c><c r="BF402" s="367"><f>SIGN(AS402)</f><v /></c><c r="BG402" s="367"><f>CONCATENATE(BD402,BE402,BF402)</f><v /></c><c r="BH402" s="367"><f>IF(BG402="111","SI","SD")</f><v /></c><c r="BI402" s="367"><f>IF(BG402="-1-1-1","SI","SD")</f><v /></c><c r="BJ402" s="367"><f>OR(BH402="SI",BI402="SI")</f><v /></c><c r="BK402" s="367"><f>IF(BJ402=FALSE,"SIGDIFERENTES","SIGIGUALES")</f><v /></c><c r="BL402" s="366"><f>IF(BC402="NO CONFORME","NO CONFORME",IF(BB402="CONFORME","CONFORME","NO CONFORME"))</f><v /></c></row><row r="403" ht="15" customHeight="1" thickBot="1"><c r="A403" s="351" t="n"><v>395</v></c><c r="B403" s="369"><f>B402</f><v /></c><c r="C403" s="369"><f>C402</f><v /></c><c r="D403" s="370"><f>D402</f><v /></c><c r="E403" s="371"><f>E402</f><v /></c><c r="F403" s="13" t="n" /><c r="G403" s="477" t="inlineStr"><is><t>PA25516795</t></is></c><c r="H403" s="313"><f>H402</f><v /></c><c r="I403" s="38"><f>I402</f><v /></c><c r="J403" s="314"><f>J402</f><v /></c><c r="K403" s="372"><f>K402</f><v /></c><c r="L403" s="372"><f>L402</f><v /></c><c r="M403" s="373" t="n"><v>79.90000000000001</v></c><c r="N403" s="373" t="n"><v>178.65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379"><f>W402</f><v /></c><c r="X403" s="379"><f>X402</f><v /></c><c r="Y403" s="373" t="n"><v>184.55</v></c><c r="Z403" s="373" t="n"><v>194.44</v></c><c r="AA403" s="380"><f>AA402</f><v /></c><c r="AB403" s="381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379"><f>AI402</f><v /></c><c r="AJ403" s="379"><f>AJ402</f><v /></c><c r="AK403" s="373"><f>Z403</f><v /></c><c r="AL403" s="373" t="n"><v>199.4</v></c><c r="AM403" s="382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3"><f>IF(I403&gt;=1,"NO CONFORME",IF(BK403="SIGDIFERENTES",BC403,BL403))</f><v /></c><c r="AU403" s="365"><f>B403=C403</f><v /></c><c r="AV403" s="365"><f>N403&lt;Y403</f><v /></c><c r="AW403" s="365"><f>Z403&lt;=AK403</f><v /></c><c r="AX403" s="365"><f>IF(I403&gt;=1,"Qcorrecto",IF(AND(AY403="aceptable",AZ403="aceptable",BA403="aceptable"),"Qcorrecto","Qincorrecto"))</f><v /></c><c r="AY403" s="366"><f>IF(AR403&lt;$AH$6,"error",IF(AR403&gt;$AH$6*1.1,"error","aceptable"))</f><v /></c><c r="AZ403" s="366"><f>IF(AF403&lt;$V$6,"error",IF(AF403&gt;$V$6*1.1,"error","aceptable"))</f><v /></c><c r="BA403" s="366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7"><f>SIGN(U403)</f><v /></c><c r="BE403" s="367"><f>SIGN(AG403)</f><v /></c><c r="BF403" s="367"><f>SIGN(AS403)</f><v /></c><c r="BG403" s="367"><f>CONCATENATE(BD403,BE403,BF403)</f><v /></c><c r="BH403" s="367"><f>IF(BG403="111","SI","SD")</f><v /></c><c r="BI403" s="367"><f>IF(BG403="-1-1-1","SI","SD")</f><v /></c><c r="BJ403" s="367"><f>OR(BH403="SI",BI403="SI")</f><v /></c><c r="BK403" s="367"><f>IF(BJ403=FALSE,"SIGDIFERENTES","SIGIGUALES")</f><v /></c><c r="BL403" s="366"><f>IF(BC403="NO CONFORME","NO CONFORME",IF(BB403="CONFORME","CONFORME","NO CONFORME"))</f><v /></c></row><row r="404" ht="15" customHeight="1" thickBot="1"><c r="A404" s="351" t="n"><v>396</v></c><c r="B404" s="369"><f>B403</f><v /></c><c r="C404" s="369"><f>C403</f><v /></c><c r="D404" s="370"><f>D403</f><v /></c><c r="E404" s="371"><f>E403</f><v /></c><c r="F404" s="13" t="n" /><c r="G404" s="477" t="inlineStr"><is><t>PA25516796</t></is></c><c r="H404" s="313"><f>H403</f><v /></c><c r="I404" s="38"><f>I403</f><v /></c><c r="J404" s="314"><f>J403</f><v /></c><c r="K404" s="372"><f>K403</f><v /></c><c r="L404" s="372"><f>L403</f><v /></c><c r="M404" s="373" t="n"><v>80</v></c><c r="N404" s="373" t="n"><v>179.35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379"><f>W403</f><v /></c><c r="X404" s="379"><f>X403</f><v /></c><c r="Y404" s="373" t="n"><v>185.26</v></c><c r="Z404" s="373" t="n"><v>195.22</v></c><c r="AA404" s="380"><f>AA403</f><v /></c><c r="AB404" s="381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379"><f>AI403</f><v /></c><c r="AJ404" s="379"><f>AJ403</f><v /></c><c r="AK404" s="373"><f>Z404</f><v /></c><c r="AL404" s="373" t="n"><v>200.29</v></c><c r="AM404" s="382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3"><f>IF(I404&gt;=1,"NO CONFORME",IF(BK404="SIGDIFERENTES",BC404,BL404))</f><v /></c><c r="AU404" s="365"><f>B404=C404</f><v /></c><c r="AV404" s="365"><f>N404&lt;Y404</f><v /></c><c r="AW404" s="365"><f>Z404&lt;=AK404</f><v /></c><c r="AX404" s="365"><f>IF(I404&gt;=1,"Qcorrecto",IF(AND(AY404="aceptable",AZ404="aceptable",BA404="aceptable"),"Qcorrecto","Qincorrecto"))</f><v /></c><c r="AY404" s="366"><f>IF(AR404&lt;$AH$6,"error",IF(AR404&gt;$AH$6*1.1,"error","aceptable"))</f><v /></c><c r="AZ404" s="366"><f>IF(AF404&lt;$V$6,"error",IF(AF404&gt;$V$6*1.1,"error","aceptable"))</f><v /></c><c r="BA404" s="366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7"><f>SIGN(U404)</f><v /></c><c r="BE404" s="367"><f>SIGN(AG404)</f><v /></c><c r="BF404" s="367"><f>SIGN(AS404)</f><v /></c><c r="BG404" s="367"><f>CONCATENATE(BD404,BE404,BF404)</f><v /></c><c r="BH404" s="367"><f>IF(BG404="111","SI","SD")</f><v /></c><c r="BI404" s="367"><f>IF(BG404="-1-1-1","SI","SD")</f><v /></c><c r="BJ404" s="367"><f>OR(BH404="SI",BI404="SI")</f><v /></c><c r="BK404" s="367"><f>IF(BJ404=FALSE,"SIGDIFERENTES","SIGIGUALES")</f><v /></c><c r="BL404" s="366"><f>IF(BC404="NO CONFORME","NO CONFORME",IF(BB404="CONFORME","CONFORME","NO CONFORME"))</f><v /></c></row><row r="405" ht="15" customHeight="1" thickBot="1"><c r="A405" s="351" t="n"><v>397</v></c><c r="B405" s="369"><f>B404</f><v /></c><c r="C405" s="369"><f>C404</f><v /></c><c r="D405" s="370"><f>D404</f><v /></c><c r="E405" s="371"><f>E404</f><v /></c><c r="F405" s="13" t="n" /><c r="G405" s="477" t="inlineStr"><is><t>PA25516797</t></is></c><c r="H405" s="313"><f>H404</f><v /></c><c r="I405" s="38"><f>I404</f><v /></c><c r="J405" s="314"><f>J404</f><v /></c><c r="K405" s="372"><f>K404</f><v /></c><c r="L405" s="372"><f>L404</f><v /></c><c r="M405" s="373" t="n"><v>81.28</v></c><c r="N405" s="373" t="n"><v>181.04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379"><f>W404</f><v /></c><c r="X405" s="379"><f>X404</f><v /></c><c r="Y405" s="373" t="n"><v>186.95</v></c><c r="Z405" s="373" t="n"><v>196.88</v></c><c r="AA405" s="380"><f>AA404</f><v /></c><c r="AB405" s="381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379"><f>AI404</f><v /></c><c r="AJ405" s="379"><f>AJ404</f><v /></c><c r="AK405" s="373"><f>Z405</f><v /></c><c r="AL405" s="373" t="n"><v>201.83</v></c><c r="AM405" s="382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3"><f>IF(I405&gt;=1,"NO CONFORME",IF(BK405="SIGDIFERENTES",BC405,BL405))</f><v /></c><c r="AU405" s="365"><f>B405=C405</f><v /></c><c r="AV405" s="365"><f>N405&lt;Y405</f><v /></c><c r="AW405" s="365"><f>Z405&lt;=AK405</f><v /></c><c r="AX405" s="365"><f>IF(I405&gt;=1,"Qcorrecto",IF(AND(AY405="aceptable",AZ405="aceptable",BA405="aceptable"),"Qcorrecto","Qincorrecto"))</f><v /></c><c r="AY405" s="366"><f>IF(AR405&lt;$AH$6,"error",IF(AR405&gt;$AH$6*1.1,"error","aceptable"))</f><v /></c><c r="AZ405" s="366"><f>IF(AF405&lt;$V$6,"error",IF(AF405&gt;$V$6*1.1,"error","aceptable"))</f><v /></c><c r="BA405" s="366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7"><f>SIGN(U405)</f><v /></c><c r="BE405" s="367"><f>SIGN(AG405)</f><v /></c><c r="BF405" s="367"><f>SIGN(AS405)</f><v /></c><c r="BG405" s="367"><f>CONCATENATE(BD405,BE405,BF405)</f><v /></c><c r="BH405" s="367"><f>IF(BG405="111","SI","SD")</f><v /></c><c r="BI405" s="367"><f>IF(BG405="-1-1-1","SI","SD")</f><v /></c><c r="BJ405" s="367"><f>OR(BH405="SI",BI405="SI")</f><v /></c><c r="BK405" s="367"><f>IF(BJ405=FALSE,"SIGDIFERENTES","SIGIGUALES")</f><v /></c><c r="BL405" s="366"><f>IF(BC405="NO CONFORME","NO CONFORME",IF(BB405="CONFORME","CONFORME","NO CONFORME"))</f><v /></c></row><row r="406" ht="15" customHeight="1" thickBot="1"><c r="A406" s="351" t="n"><v>398</v></c><c r="B406" s="369"><f>B405</f><v /></c><c r="C406" s="369"><f>C405</f><v /></c><c r="D406" s="370"><f>D405</f><v /></c><c r="E406" s="371"><f>E405</f><v /></c><c r="F406" s="13" t="n" /><c r="G406" s="477" t="inlineStr"><is><t>PA25516798</t></is></c><c r="H406" s="313"><f>H405</f><v /></c><c r="I406" s="38"><f>I405</f><v /></c><c r="J406" s="314"><f>J405</f><v /></c><c r="K406" s="372"><f>K405</f><v /></c><c r="L406" s="372"><f>L405</f><v /></c><c r="M406" s="373" t="n"><v>78.8</v></c><c r="N406" s="373" t="n"><v>179.4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379"><f>W405</f><v /></c><c r="X406" s="379"><f>X405</f><v /></c><c r="Y406" s="373" t="n"><v>185.35</v></c><c r="Z406" s="373" t="n"><v>195.4</v></c><c r="AA406" s="380"><f>AA405</f><v /></c><c r="AB406" s="381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379"><f>AI405</f><v /></c><c r="AJ406" s="379"><f>AJ405</f><v /></c><c r="AK406" s="373"><f>Z406</f><v /></c><c r="AL406" s="373" t="n"><v>200.45</v></c><c r="AM406" s="382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3"><f>IF(I406&gt;=1,"NO CONFORME",IF(BK406="SIGDIFERENTES",BC406,BL406))</f><v /></c><c r="AU406" s="365"><f>B406=C406</f><v /></c><c r="AV406" s="365"><f>N406&lt;Y406</f><v /></c><c r="AW406" s="365"><f>Z406&lt;=AK406</f><v /></c><c r="AX406" s="365"><f>IF(I406&gt;=1,"Qcorrecto",IF(AND(AY406="aceptable",AZ406="aceptable",BA406="aceptable"),"Qcorrecto","Qincorrecto"))</f><v /></c><c r="AY406" s="366"><f>IF(AR406&lt;$AH$6,"error",IF(AR406&gt;$AH$6*1.1,"error","aceptable"))</f><v /></c><c r="AZ406" s="366"><f>IF(AF406&lt;$V$6,"error",IF(AF406&gt;$V$6*1.1,"error","aceptable"))</f><v /></c><c r="BA406" s="366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7"><f>SIGN(U406)</f><v /></c><c r="BE406" s="367"><f>SIGN(AG406)</f><v /></c><c r="BF406" s="367"><f>SIGN(AS406)</f><v /></c><c r="BG406" s="367"><f>CONCATENATE(BD406,BE406,BF406)</f><v /></c><c r="BH406" s="367"><f>IF(BG406="111","SI","SD")</f><v /></c><c r="BI406" s="367"><f>IF(BG406="-1-1-1","SI","SD")</f><v /></c><c r="BJ406" s="367"><f>OR(BH406="SI",BI406="SI")</f><v /></c><c r="BK406" s="367"><f>IF(BJ406=FALSE,"SIGDIFERENTES","SIGIGUALES")</f><v /></c><c r="BL406" s="366"><f>IF(BC406="NO CONFORME","NO CONFORME",IF(BB406="CONFORME","CONFORME","NO CONFORME"))</f><v /></c></row><row r="407" ht="15" customHeight="1" thickBot="1"><c r="A407" s="351" t="n"><v>399</v></c><c r="B407" s="369"><f>B406</f><v /></c><c r="C407" s="369"><f>C406</f><v /></c><c r="D407" s="370"><f>D406</f><v /></c><c r="E407" s="371"><f>E406</f><v /></c><c r="F407" s="13" t="n" /><c r="G407" s="477" t="inlineStr"><is><t>PA25516799</t></is></c><c r="H407" s="313"><f>H406</f><v /></c><c r="I407" s="38"><f>I406</f><v /></c><c r="J407" s="314"><f>J406</f><v /></c><c r="K407" s="372"><f>K406</f><v /></c><c r="L407" s="372"><f>L406</f><v /></c><c r="M407" s="373" t="n"><v>83</v></c><c r="N407" s="373" t="n"><v>182.3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379"><f>W406</f><v /></c><c r="X407" s="379"><f>X406</f><v /></c><c r="Y407" s="373" t="n"><v>188.21</v></c><c r="Z407" s="373" t="n"><v>198.12</v></c><c r="AA407" s="380"><f>AA406</f><v /></c><c r="AB407" s="381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379"><f>AI406</f><v /></c><c r="AJ407" s="379"><f>AJ406</f><v /></c><c r="AK407" s="373"><f>Z407</f><v /></c><c r="AL407" s="373" t="n"><v>203.04</v></c><c r="AM407" s="382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3"><f>IF(I407&gt;=1,"NO CONFORME",IF(BK407="SIGDIFERENTES",BC407,BL407))</f><v /></c><c r="AU407" s="365"><f>B407=C407</f><v /></c><c r="AV407" s="365"><f>N407&lt;Y407</f><v /></c><c r="AW407" s="365"><f>Z407&lt;=AK407</f><v /></c><c r="AX407" s="365"><f>IF(I407&gt;=1,"Qcorrecto",IF(AND(AY407="aceptable",AZ407="aceptable",BA407="aceptable"),"Qcorrecto","Qincorrecto"))</f><v /></c><c r="AY407" s="366"><f>IF(AR407&lt;$AH$6,"error",IF(AR407&gt;$AH$6*1.1,"error","aceptable"))</f><v /></c><c r="AZ407" s="366"><f>IF(AF407&lt;$V$6,"error",IF(AF407&gt;$V$6*1.1,"error","aceptable"))</f><v /></c><c r="BA407" s="366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7"><f>SIGN(U407)</f><v /></c><c r="BE407" s="367"><f>SIGN(AG407)</f><v /></c><c r="BF407" s="367"><f>SIGN(AS407)</f><v /></c><c r="BG407" s="367"><f>CONCATENATE(BD407,BE407,BF407)</f><v /></c><c r="BH407" s="367"><f>IF(BG407="111","SI","SD")</f><v /></c><c r="BI407" s="367"><f>IF(BG407="-1-1-1","SI","SD")</f><v /></c><c r="BJ407" s="367"><f>OR(BH407="SI",BI407="SI")</f><v /></c><c r="BK407" s="367"><f>IF(BJ407=FALSE,"SIGDIFERENTES","SIGIGUALES")</f><v /></c><c r="BL407" s="366"><f>IF(BC407="NO CONFORME","NO CONFORME",IF(BB407="CONFORME","CONFORME","NO CONFORME"))</f><v /></c></row><row r="408" ht="15" customHeight="1" thickBot="1"><c r="A408" s="453" t="n"><v>400</v></c><c r="B408" s="454"><f>B407</f><v /></c><c r="C408" s="454"><f>C407</f><v /></c><c r="D408" s="455"><f>D407</f><v /></c><c r="E408" s="474"><f>E407</f><v /></c><c r="F408" s="52" t="n" /><c r="G408" s="477" t="inlineStr"><is><t>PA25516800</t></is></c><c r="H408" s="326"><f>H407</f><v /></c><c r="I408" s="98"><f>I407</f><v /></c><c r="J408" s="327"><f>J407</f><v /></c><c r="K408" s="458"><f>K407</f><v /></c><c r="L408" s="458"><f>L407</f><v /></c><c r="M408" s="459" t="n"><v>79</v></c><c r="N408" s="459" t="n"><v>179.22</v></c><c r="O408" s="460"><f>O407</f><v /></c><c r="P408" s="461"><f>P407</f><v /></c><c r="Q408" s="462"><f>LEFT(P408,1)</f><v /></c><c r="R408" s="462"><f>RIGHT(P408,6)</f><v /></c><c r="S408" s="462"><f>+(Q408*60+R408)/(60*60)</f><v /></c><c r="T408" s="463"><f>+O408/S408</f><v /></c><c r="U408" s="464"><f>+(((N408-M408-O408)/O408)*100)</f><v /></c><c r="V408" s="329"><f>V407</f><v /></c><c r="W408" s="465"><f>W407</f><v /></c><c r="X408" s="465"><f>X407</f><v /></c><c r="Y408" s="459" t="n"><v>185.2</v></c><c r="Z408" s="459" t="n"><v>195.2</v></c><c r="AA408" s="466"><f>AA407</f><v /></c><c r="AB408" s="467"><f>AB407</f><v /></c><c r="AC408" s="462"><f>LEFT(AB408,2)</f><v /></c><c r="AD408" s="462"><f>RIGHT(AB408,6)</f><v /></c><c r="AE408" s="462"><f>+(AC408*60+AD408)/(60*60)</f><v /></c><c r="AF408" s="463"><f>+AA408/AE408</f><v /></c><c r="AG408" s="468"><f>+(((Z408-Y408-AA408)/AA408)*100)</f><v /></c><c r="AH408" s="329"><f>AH407</f><v /></c><c r="AI408" s="465"><f>AI407</f><v /></c><c r="AJ408" s="465"><f>AJ407</f><v /></c><c r="AK408" s="459"><f>Z408</f><v /></c><c r="AL408" s="459" t="n"><v>200.24</v></c><c r="AM408" s="469"><f>AM407</f><v /></c><c r="AN408" s="461"><f>AN407</f><v /></c><c r="AO408" s="462"><f>LEFT(AN408,2)</f><v /></c><c r="AP408" s="462"><f>RIGHT(AN408,6)</f><v /></c><c r="AQ408" s="462"><f>+(AO408*60+AP408)/(60*60)</f><v /></c><c r="AR408" s="463"><f>+AM408/AQ408</f><v /></c><c r="AS408" s="468"><f>+(((AL408-AK408-AM408)/AM408)*100)</f><v /></c><c r="AT408" s="470"><f>IF(I408&gt;=1,"NO CONFORME",IF(BK408="SIGDIFERENTES",BC408,BL408))</f><v /></c><c r="AU408" s="426"><f>B408=C408</f><v /></c><c r="AV408" s="426"><f>N408&lt;Y408</f><v /></c><c r="AW408" s="426"><f>Z408&lt;=AK408</f><v /></c><c r="AX408" s="426"><f>IF(I408&gt;=1,"Qcorrecto",IF(AND(AY408="aceptable",AZ408="aceptable",BA408="aceptable"),"Qcorrecto","Qincorrecto"))</f><v /></c><c r="AY408" s="427"><f>IF(AR408&lt;$AH$6,"error",IF(AR408&gt;$AH$6*1.1,"error","aceptable"))</f><v /></c><c r="AZ408" s="427"><f>IF(AF408&lt;$V$6,"error",IF(AF408&gt;$V$6*1.1,"error","aceptable"))</f><v /></c><c r="BA408" s="427"><f>IF(T408&lt;$J$6*0.9,"error",IF(T408&gt;$J$6,"error","aceptable"))</f><v /></c><c r="BB408" s="428"><f>(IF(ABS(U408)&lt;1.05,"CONFORME",IF(ABS(AG408)&lt;1.05,"CONFORME",IF(ABS(AS408)&lt;2.55,"CONFORME","NO CONFORME"))))</f><v /></c><c r="BC408" s="429"><f>(IF(ABS(U408)&gt;2.05,"NO CONFORME",IF(ABS(AG408)&gt;2.05,"NO CONFORME",IF(ABS(AS408)&gt;5.05,"NO CONFORME","CONFORME"))))</f><v /></c><c r="BD408" s="430"><f>SIGN(U408)</f><v /></c><c r="BE408" s="430"><f>SIGN(AG408)</f><v /></c><c r="BF408" s="430"><f>SIGN(AS408)</f><v /></c><c r="BG408" s="430"><f>CONCATENATE(BD408,BE408,BF408)</f><v /></c><c r="BH408" s="430"><f>IF(BG408="111","SI","SD")</f><v /></c><c r="BI408" s="430"><f>IF(BG408="-1-1-1","SI","SD")</f><v /></c><c r="BJ408" s="430"><f>OR(BH408="SI",BI408="SI")</f><v /></c><c r="BK408" s="430"><f>IF(BJ408=FALSE,"SIGDIFERENTES","SIGIGUALES")</f><v /></c><c r="BL408" s="427"><f>IF(BC408="NO CONFORME","NO CONFORME",IF(BB408="CONFORME","CONFORME","NO CONFORME"))</f><v /></c></row><row r="409" ht="15" customHeight="1" thickBot="1"><c r="A409" s="351" t="n"><v>401</v></c><c r="B409" s="386"><f>B408</f><v /></c><c r="C409" s="386"><f>C408</f><v /></c><c r="D409" s="387"><f>D408</f><v /></c><c r="E409" s="475"><f>E408</f><v /></c><c r="F409" s="58" t="n" /><c r="G409" s="457" t="inlineStr"><is><t>PA25516801</t></is></c><c r="H409" s="388"><f>H408</f><v /></c><c r="I409" s="232"><f>I408</f><v /></c><c r="J409" s="389" t="n"><v>20.8</v></c><c r="K409" s="390" t="n"><v>8.212</v></c><c r="L409" s="390" t="n"><v>0.5620000000000001</v></c><c r="M409" s="356" t="n"><v>103.44</v></c><c r="N409" s="356" t="n"><v>203</v></c><c r="O409" s="391" t="n"><v>100.61</v></c><c r="P409" s="392" t="inlineStr"><is><t>2,32,230</t></is></c><c r="Q409" s="359"><f>LEFT(P409,1)</f><v /></c><c r="R409" s="359"><f>RIGHT(P409,6)</f><v /></c><c r="S409" s="359"><f>+(Q409*60+R409)/(60*60)</f><v /></c><c r="T409" s="360"><f>+O409/S409</f><v /></c><c r="U409" s="361"><f>+(((N409-M409-O409)/O409)*100)</f><v /></c><c r="V409" s="393" t="n"><v>20.9</v></c><c r="W409" s="394" t="n"><v>1.071</v></c><c r="X409" s="394" t="n"><v>1.062</v></c><c r="Y409" s="356" t="n"><v>208.35</v></c><c r="Z409" s="356" t="n"><v>218.32</v></c><c r="AA409" s="395" t="n"><v>10.005</v></c><c r="AB409" s="396" t="inlineStr"><is><t>22,30,400</t></is></c><c r="AC409" s="359"><f>LEFT(AB409,2)</f><v /></c><c r="AD409" s="359"><f>RIGHT(AB409,6)</f><v /></c><c r="AE409" s="359"><f>+(AC409*60+AD409)/(60*60)</f><v /></c><c r="AF409" s="360"><f>+AA409/AE409</f><v /></c><c r="AG409" s="362"><f>+(((Z409-Y409-AA409)/AA409)*100)</f><v /></c><c r="AH409" s="393" t="n"><v>21</v></c><c r="AI409" s="394" t="n"><v>1.07</v></c><c r="AJ409" s="394" t="n"><v>1.062</v></c><c r="AK409" s="356"><f>Z409</f><v /></c><c r="AL409" s="356" t="n"><v>223.3</v></c><c r="AM409" s="397" t="n"><v>5.01</v></c><c r="AN409" s="392" t="inlineStr"><is><t>18,24,550</t></is></c><c r="AO409" s="359"><f>LEFT(AN409,2)</f><v /></c><c r="AP409" s="359"><f>RIGHT(AN409,6)</f><v /></c><c r="AQ409" s="359"><f>+(AO409*60+AP409)/(60*60)</f><v /></c><c r="AR409" s="360"><f>+AM409/AQ409</f><v /></c><c r="AS409" s="362"><f>+(((AL409-AK409-AM409)/AM409)*100)</f><v /></c><c r="AT409" s="364"><f>IF(I409&gt;=1,"NO CONFORME",IF(BK409="SIGDIFERENTES",BC409,BL409))</f><v /></c><c r="AU409" s="365"><f>B409=C409</f><v /></c><c r="AV409" s="365"><f>N409&lt;Y409</f><v /></c><c r="AW409" s="365"><f>Z409&lt;=AK409</f><v /></c><c r="AX409" s="365"><f>IF(I409&gt;=1,"Qcorrecto",IF(AND(AY409="aceptable",AZ409="aceptable",BA409="aceptable"),"Qcorrecto","Qincorrecto"))</f><v /></c><c r="AY409" s="368"><f>IF(AR409&lt;$AH$6,"error",IF(AR409&gt;$AH$6*1.1,"error","aceptable"))</f><v /></c><c r="AZ409" s="368"><f>IF(AF409&lt;$V$6,"error",IF(AF409&gt;$V$6*1.1,"error","aceptable"))</f><v /></c><c r="BA409" s="368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7"><f>SIGN(U409)</f><v /></c><c r="BE409" s="367"><f>SIGN(AG409)</f><v /></c><c r="BF409" s="367"><f>SIGN(AS409)</f><v /></c><c r="BG409" s="367"><f>CONCATENATE(BD409,BE409,BF409)</f><v /></c><c r="BH409" s="367"><f>IF(BG409="111","SI","SD")</f><v /></c><c r="BI409" s="367"><f>IF(BG409="-1-1-1","SI","SD")</f><v /></c><c r="BJ409" s="367"><f>OR(BH409="SI",BI409="SI")</f><v /></c><c r="BK409" s="367"><f>IF(BJ409=FALSE,"SIGDIFERENTES","SIGIGUALES")</f><v /></c><c r="BL409" s="368"><f>IF(BC409="NO CONFORME","NO CONFORME",IF(BB409="CONFORME","CONFORME","NO CONFORME"))</f><v /></c></row><row r="410" ht="15" customHeight="1" thickBot="1"><c r="A410" s="351" t="n"><v>402</v></c><c r="B410" s="369"><f>B409</f><v /></c><c r="C410" s="369"><f>C409</f><v /></c><c r="D410" s="370"><f>D409</f><v /></c><c r="E410" s="371"><f>E409</f><v /></c><c r="F410" s="13" t="n" /><c r="G410" s="477" t="inlineStr"><is><t>PA25516802</t></is></c><c r="H410" s="313"><f>H409</f><v /></c><c r="I410" s="38"><f>I409</f><v /></c><c r="J410" s="314"><f>J409</f><v /></c><c r="K410" s="372"><f>K409</f><v /></c><c r="L410" s="372"><f>L409</f><v /></c><c r="M410" s="373" t="n"><v>102.45</v></c><c r="N410" s="373" t="n"><v>202.55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379"><f>W409</f><v /></c><c r="X410" s="379"><f>X409</f><v /></c><c r="Y410" s="373" t="n"><v>207.95</v></c><c r="Z410" s="373" t="n"><v>217.91</v></c><c r="AA410" s="380"><f>AA409</f><v /></c><c r="AB410" s="381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379"><f>AI409</f><v /></c><c r="AJ410" s="379"><f>AJ409</f><v /></c><c r="AK410" s="373"><f>Z410</f><v /></c><c r="AL410" s="373" t="n"><v>222.9</v></c><c r="AM410" s="382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3"><f>IF(I410&gt;=1,"NO CONFORME",IF(BK410="SIGDIFERENTES",BC410,BL410))</f><v /></c><c r="AU410" s="365"><f>B410=C410</f><v /></c><c r="AV410" s="365"><f>N410&lt;Y410</f><v /></c><c r="AW410" s="365"><f>Z410&lt;=AK410</f><v /></c><c r="AX410" s="365"><f>IF(I410&gt;=1,"Qcorrecto",IF(AND(AY410="aceptable",AZ410="aceptable",BA410="aceptable"),"Qcorrecto","Qincorrecto"))</f><v /></c><c r="AY410" s="366"><f>IF(AR410&lt;$AH$6,"error",IF(AR410&gt;$AH$6*1.1,"error","aceptable"))</f><v /></c><c r="AZ410" s="366"><f>IF(AF410&lt;$V$6,"error",IF(AF410&gt;$V$6*1.1,"error","aceptable"))</f><v /></c><c r="BA410" s="366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7"><f>SIGN(U410)</f><v /></c><c r="BE410" s="367"><f>SIGN(AG410)</f><v /></c><c r="BF410" s="367"><f>SIGN(AS410)</f><v /></c><c r="BG410" s="367"><f>CONCATENATE(BD410,BE410,BF410)</f><v /></c><c r="BH410" s="367"><f>IF(BG410="111","SI","SD")</f><v /></c><c r="BI410" s="367"><f>IF(BG410="-1-1-1","SI","SD")</f><v /></c><c r="BJ410" s="367"><f>OR(BH410="SI",BI410="SI")</f><v /></c><c r="BK410" s="367"><f>IF(BJ410=FALSE,"SIGDIFERENTES","SIGIGUALES")</f><v /></c><c r="BL410" s="366"><f>IF(BC410="NO CONFORME","NO CONFORME",IF(BB410="CONFORME","CONFORME","NO CONFORME"))</f><v /></c></row><row r="411" ht="15" customHeight="1" thickBot="1"><c r="A411" s="351" t="n"><v>403</v></c><c r="B411" s="369"><f>B410</f><v /></c><c r="C411" s="369"><f>C410</f><v /></c><c r="D411" s="370"><f>D410</f><v /></c><c r="E411" s="371"><f>E410</f><v /></c><c r="F411" s="13" t="n" /><c r="G411" s="477" t="inlineStr"><is><t>PA25516803</t></is></c><c r="H411" s="313"><f>H410</f><v /></c><c r="I411" s="38"><f>I410</f><v /></c><c r="J411" s="314"><f>J410</f><v /></c><c r="K411" s="372"><f>K410</f><v /></c><c r="L411" s="372"><f>L410</f><v /></c><c r="M411" s="373" t="n"><v>102.25</v></c><c r="N411" s="373" t="n"><v>201.94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379"><f>W410</f><v /></c><c r="X411" s="379"><f>X410</f><v /></c><c r="Y411" s="373" t="n"><v>207.29</v></c><c r="Z411" s="373" t="n"><v>217.22</v></c><c r="AA411" s="380"><f>AA410</f><v /></c><c r="AB411" s="381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379"><f>AI410</f><v /></c><c r="AJ411" s="379"><f>AJ410</f><v /></c><c r="AK411" s="373"><f>Z411</f><v /></c><c r="AL411" s="373" t="n"><v>222.19</v></c><c r="AM411" s="382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3"><f>IF(I411&gt;=1,"NO CONFORME",IF(BK411="SIGDIFERENTES",BC411,BL411))</f><v /></c><c r="AU411" s="365"><f>B411=C411</f><v /></c><c r="AV411" s="365"><f>N411&lt;Y411</f><v /></c><c r="AW411" s="365"><f>Z411&lt;=AK411</f><v /></c><c r="AX411" s="365"><f>IF(I411&gt;=1,"Qcorrecto",IF(AND(AY411="aceptable",AZ411="aceptable",BA411="aceptable"),"Qcorrecto","Qincorrecto"))</f><v /></c><c r="AY411" s="366"><f>IF(AR411&lt;$AH$6,"error",IF(AR411&gt;$AH$6*1.1,"error","aceptable"))</f><v /></c><c r="AZ411" s="366"><f>IF(AF411&lt;$V$6,"error",IF(AF411&gt;$V$6*1.1,"error","aceptable"))</f><v /></c><c r="BA411" s="366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7"><f>SIGN(U411)</f><v /></c><c r="BE411" s="367"><f>SIGN(AG411)</f><v /></c><c r="BF411" s="367"><f>SIGN(AS411)</f><v /></c><c r="BG411" s="367"><f>CONCATENATE(BD411,BE411,BF411)</f><v /></c><c r="BH411" s="367"><f>IF(BG411="111","SI","SD")</f><v /></c><c r="BI411" s="367"><f>IF(BG411="-1-1-1","SI","SD")</f><v /></c><c r="BJ411" s="367"><f>OR(BH411="SI",BI411="SI")</f><v /></c><c r="BK411" s="367"><f>IF(BJ411=FALSE,"SIGDIFERENTES","SIGIGUALES")</f><v /></c><c r="BL411" s="366"><f>IF(BC411="NO CONFORME","NO CONFORME",IF(BB411="CONFORME","CONFORME","NO CONFORME"))</f><v /></c></row><row r="412" ht="15" customHeight="1" thickBot="1"><c r="A412" s="351" t="n"><v>404</v></c><c r="B412" s="369"><f>B411</f><v /></c><c r="C412" s="369"><f>C411</f><v /></c><c r="D412" s="370"><f>D411</f><v /></c><c r="E412" s="371"><f>E411</f><v /></c><c r="F412" s="13" t="n" /><c r="G412" s="477" t="inlineStr"><is><t>PA25516804</t></is></c><c r="H412" s="313"><f>H411</f><v /></c><c r="I412" s="38"><f>I411</f><v /></c><c r="J412" s="314"><f>J411</f><v /></c><c r="K412" s="372"><f>K411</f><v /></c><c r="L412" s="372"><f>L411</f><v /></c><c r="M412" s="373" t="n"><v>102.78</v></c><c r="N412" s="373" t="n"><v>202.26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379"><f>W411</f><v /></c><c r="X412" s="379"><f>X411</f><v /></c><c r="Y412" s="373" t="n"><v>207.6</v></c><c r="Z412" s="373" t="n"><v>217.58</v></c><c r="AA412" s="380"><f>AA411</f><v /></c><c r="AB412" s="381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379"><f>AI411</f><v /></c><c r="AJ412" s="379"><f>AJ411</f><v /></c><c r="AK412" s="373"><f>Z412</f><v /></c><c r="AL412" s="373" t="n"><v>222.58</v></c><c r="AM412" s="382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3"><f>IF(I412&gt;=1,"NO CONFORME",IF(BK412="SIGDIFERENTES",BC412,BL412))</f><v /></c><c r="AU412" s="365"><f>B412=C412</f><v /></c><c r="AV412" s="365"><f>N412&lt;Y412</f><v /></c><c r="AW412" s="365"><f>Z412&lt;=AK412</f><v /></c><c r="AX412" s="365"><f>IF(I412&gt;=1,"Qcorrecto",IF(AND(AY412="aceptable",AZ412="aceptable",BA412="aceptable"),"Qcorrecto","Qincorrecto"))</f><v /></c><c r="AY412" s="366"><f>IF(AR412&lt;$AH$6,"error",IF(AR412&gt;$AH$6*1.1,"error","aceptable"))</f><v /></c><c r="AZ412" s="366"><f>IF(AF412&lt;$V$6,"error",IF(AF412&gt;$V$6*1.1,"error","aceptable"))</f><v /></c><c r="BA412" s="366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7"><f>SIGN(U412)</f><v /></c><c r="BE412" s="367"><f>SIGN(AG412)</f><v /></c><c r="BF412" s="367"><f>SIGN(AS412)</f><v /></c><c r="BG412" s="367"><f>CONCATENATE(BD412,BE412,BF412)</f><v /></c><c r="BH412" s="367"><f>IF(BG412="111","SI","SD")</f><v /></c><c r="BI412" s="367"><f>IF(BG412="-1-1-1","SI","SD")</f><v /></c><c r="BJ412" s="367"><f>OR(BH412="SI",BI412="SI")</f><v /></c><c r="BK412" s="367"><f>IF(BJ412=FALSE,"SIGDIFERENTES","SIGIGUALES")</f><v /></c><c r="BL412" s="366"><f>IF(BC412="NO CONFORME","NO CONFORME",IF(BB412="CONFORME","CONFORME","NO CONFORME"))</f><v /></c></row><row r="413" ht="15" customHeight="1" thickBot="1"><c r="A413" s="351" t="n"><v>405</v></c><c r="B413" s="369"><f>B412</f><v /></c><c r="C413" s="369"><f>C412</f><v /></c><c r="D413" s="370"><f>D412</f><v /></c><c r="E413" s="371"><f>E412</f><v /></c><c r="F413" s="13" t="n" /><c r="G413" s="477" t="inlineStr"><is><t>PA25516805</t></is></c><c r="H413" s="313"><f>H412</f><v /></c><c r="I413" s="38"><f>I412</f><v /></c><c r="J413" s="314"><f>J412</f><v /></c><c r="K413" s="372"><f>K412</f><v /></c><c r="L413" s="372"><f>L412</f><v /></c><c r="M413" s="373" t="n"><v>101.64</v></c><c r="N413" s="373" t="n"><v>201.05</v></c><c r="O413" s="374"><f>O412</f><v /></c><c r="P413" s="375"><f>P412</f><v /></c><c r="Q413" s="376"><f>LEFT(P413,1)</f><v /></c><c r="R413" s="376"><f>RIGHT(P413,6)</f><v /></c><c r="S413" s="376"><f>+(Q413*60+R413)/(60*60)</f><v /></c><c r="T413" s="377"><f>+O413/S413</f><v /></c><c r="U413" s="378"><f>+(((N413-M413-O413)/O413)*100)</f><v /></c><c r="V413" s="317"><f>V412</f><v /></c><c r="W413" s="379"><f>W412</f><v /></c><c r="X413" s="379"><f>X412</f><v /></c><c r="Y413" s="373" t="n"><v>206.4</v></c><c r="Z413" s="373" t="n"><v>216.36</v></c><c r="AA413" s="380"><f>AA412</f><v /></c><c r="AB413" s="381"><f>AB412</f><v /></c><c r="AC413" s="376"><f>LEFT(AB413,2)</f><v /></c><c r="AD413" s="376"><f>RIGHT(AB413,6)</f><v /></c><c r="AE413" s="376"><f>+(AC413*60+AD413)/(60*60)</f><v /></c><c r="AF413" s="377"><f>+AA413/AE413</f><v /></c><c r="AG413" s="321"><f>+(((Z413-Y413-AA413)/AA413)*100)</f><v /></c><c r="AH413" s="317"><f>AH412</f><v /></c><c r="AI413" s="379"><f>AI412</f><v /></c><c r="AJ413" s="379"><f>AJ412</f><v /></c><c r="AK413" s="373"><f>Z413</f><v /></c><c r="AL413" s="373" t="n"><v>221.32</v></c><c r="AM413" s="382"><f>AM412</f><v /></c><c r="AN413" s="375"><f>AN412</f><v /></c><c r="AO413" s="376"><f>LEFT(AN413,2)</f><v /></c><c r="AP413" s="376"><f>RIGHT(AN413,6)</f><v /></c><c r="AQ413" s="376"><f>+(AO413*60+AP413)/(60*60)</f><v /></c><c r="AR413" s="377"><f>+AM413/AQ413</f><v /></c><c r="AS413" s="321"><f>+(((AL413-AK413-AM413)/AM413)*100)</f><v /></c><c r="AT413" s="383"><f>IF(I413&gt;=1,"NO CONFORME",IF(BK413="SIGDIFERENTES",BC413,BL413))</f><v /></c><c r="AU413" s="365"><f>B413=C413</f><v /></c><c r="AV413" s="365"><f>N413&lt;Y413</f><v /></c><c r="AW413" s="365"><f>Z413&lt;=AK413</f><v /></c><c r="AX413" s="365"><f>IF(I413&gt;=1,"Qcorrecto",IF(AND(AY413="aceptable",AZ413="aceptable",BA413="aceptable"),"Qcorrecto","Qincorrecto"))</f><v /></c><c r="AY413" s="366"><f>IF(AR413&lt;$AH$6,"error",IF(AR413&gt;$AH$6*1.1,"error","aceptable"))</f><v /></c><c r="AZ413" s="366"><f>IF(AF413&lt;$V$6,"error",IF(AF413&gt;$V$6*1.1,"error","aceptable"))</f><v /></c><c r="BA413" s="366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67"><f>SIGN(U413)</f><v /></c><c r="BE413" s="367"><f>SIGN(AG413)</f><v /></c><c r="BF413" s="367"><f>SIGN(AS413)</f><v /></c><c r="BG413" s="367"><f>CONCATENATE(BD413,BE413,BF413)</f><v /></c><c r="BH413" s="367"><f>IF(BG413="111","SI","SD")</f><v /></c><c r="BI413" s="367"><f>IF(BG413="-1-1-1","SI","SD")</f><v /></c><c r="BJ413" s="367"><f>OR(BH413="SI",BI413="SI")</f><v /></c><c r="BK413" s="367"><f>IF(BJ413=FALSE,"SIGDIFERENTES","SIGIGUALES")</f><v /></c><c r="BL413" s="366"><f>IF(BC413="NO CONFORME","NO CONFORME",IF(BB413="CONFORME","CONFORME","NO CONFORME"))</f><v /></c></row><row r="414" ht="15" customHeight="1" thickBot="1"><c r="A414" s="351" t="n"><v>406</v></c><c r="B414" s="369"><f>B413</f><v /></c><c r="C414" s="369"><f>C413</f><v /></c><c r="D414" s="370"><f>D413</f><v /></c><c r="E414" s="371"><f>E413</f><v /></c><c r="F414" s="13" t="n" /><c r="G414" s="477" t="inlineStr"><is><t>PA25516806</t></is></c><c r="H414" s="313"><f>H413</f><v /></c><c r="I414" s="38"><f>I413</f><v /></c><c r="J414" s="314"><f>J413</f><v /></c><c r="K414" s="372"><f>K413</f><v /></c><c r="L414" s="372"><f>L413</f><v /></c><c r="M414" s="373" t="n"><v>99.39</v></c><c r="N414" s="373" t="n"><v>199.49</v></c><c r="O414" s="374"><f>O413</f><v /></c><c r="P414" s="375"><f>P413</f><v /></c><c r="Q414" s="376"><f>LEFT(P414,1)</f><v /></c><c r="R414" s="376"><f>RIGHT(P414,6)</f><v /></c><c r="S414" s="376"><f>+(Q414*60+R414)/(60*60)</f><v /></c><c r="T414" s="377"><f>+O414/S414</f><v /></c><c r="U414" s="378"><f>+(((N414-M414-O414)/O414)*100)</f><v /></c><c r="V414" s="317"><f>V413</f><v /></c><c r="W414" s="379"><f>W413</f><v /></c><c r="X414" s="379"><f>X413</f><v /></c><c r="Y414" s="373" t="n"><v>204.85</v></c><c r="Z414" s="373" t="n"><v>214.76</v></c><c r="AA414" s="380"><f>AA413</f><v /></c><c r="AB414" s="381"><f>AB413</f><v /></c><c r="AC414" s="376"><f>LEFT(AB414,2)</f><v /></c><c r="AD414" s="376"><f>RIGHT(AB414,6)</f><v /></c><c r="AE414" s="376"><f>+(AC414*60+AD414)/(60*60)</f><v /></c><c r="AF414" s="377"><f>+AA414/AE414</f><v /></c><c r="AG414" s="321"><f>+(((Z414-Y414-AA414)/AA414)*100)</f><v /></c><c r="AH414" s="317"><f>AH413</f><v /></c><c r="AI414" s="379"><f>AI413</f><v /></c><c r="AJ414" s="379"><f>AJ413</f><v /></c><c r="AK414" s="373"><f>Z414</f><v /></c><c r="AL414" s="373" t="n"><v>219.72</v></c><c r="AM414" s="382"><f>AM413</f><v /></c><c r="AN414" s="375"><f>AN413</f><v /></c><c r="AO414" s="376"><f>LEFT(AN414,2)</f><v /></c><c r="AP414" s="376"><f>RIGHT(AN414,6)</f><v /></c><c r="AQ414" s="376"><f>+(AO414*60+AP414)/(60*60)</f><v /></c><c r="AR414" s="377"><f>+AM414/AQ414</f><v /></c><c r="AS414" s="321"><f>+(((AL414-AK414-AM414)/AM414)*100)</f><v /></c><c r="AT414" s="383"><f>IF(I414&gt;=1,"NO CONFORME",IF(BK414="SIGDIFERENTES",BC414,BL414))</f><v /></c><c r="AU414" s="365"><f>B414=C414</f><v /></c><c r="AV414" s="365"><f>N414&lt;Y414</f><v /></c><c r="AW414" s="365"><f>Z414&lt;=AK414</f><v /></c><c r="AX414" s="365"><f>IF(I414&gt;=1,"Qcorrecto",IF(AND(AY414="aceptable",AZ414="aceptable",BA414="aceptable"),"Qcorrecto","Qincorrecto"))</f><v /></c><c r="AY414" s="366"><f>IF(AR414&lt;$AH$6,"error",IF(AR414&gt;$AH$6*1.1,"error","aceptable"))</f><v /></c><c r="AZ414" s="366"><f>IF(AF414&lt;$V$6,"error",IF(AF414&gt;$V$6*1.1,"error","aceptable"))</f><v /></c><c r="BA414" s="366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67"><f>SIGN(U414)</f><v /></c><c r="BE414" s="367"><f>SIGN(AG414)</f><v /></c><c r="BF414" s="367"><f>SIGN(AS414)</f><v /></c><c r="BG414" s="367"><f>CONCATENATE(BD414,BE414,BF414)</f><v /></c><c r="BH414" s="367"><f>IF(BG414="111","SI","SD")</f><v /></c><c r="BI414" s="367"><f>IF(BG414="-1-1-1","SI","SD")</f><v /></c><c r="BJ414" s="367"><f>OR(BH414="SI",BI414="SI")</f><v /></c><c r="BK414" s="367"><f>IF(BJ414=FALSE,"SIGDIFERENTES","SIGIGUALES")</f><v /></c><c r="BL414" s="366"><f>IF(BC414="NO CONFORME","NO CONFORME",IF(BB414="CONFORME","CONFORME","NO CONFORME"))</f><v /></c></row><row r="415" ht="15" customHeight="1" thickBot="1"><c r="A415" s="351" t="n"><v>407</v></c><c r="B415" s="369"><f>B414</f><v /></c><c r="C415" s="369"><f>C414</f><v /></c><c r="D415" s="370"><f>D414</f><v /></c><c r="E415" s="371"><f>E414</f><v /></c><c r="F415" s="13" t="n" /><c r="G415" s="477" t="inlineStr"><is><t>PA25516807</t></is></c><c r="H415" s="313"><f>H414</f><v /></c><c r="I415" s="38"><f>I414</f><v /></c><c r="J415" s="314"><f>J414</f><v /></c><c r="K415" s="372"><f>K414</f><v /></c><c r="L415" s="372"><f>L414</f><v /></c><c r="M415" s="373" t="n"><v>142.29</v></c><c r="N415" s="373" t="n"><v>242.27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379"><f>W414</f><v /></c><c r="X415" s="379"><f>X414</f><v /></c><c r="Y415" s="373" t="n"><v>247.66</v></c><c r="Z415" s="373" t="n"><v>257.69</v></c><c r="AA415" s="380"><f>AA414</f><v /></c><c r="AB415" s="381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379"><f>AI414</f><v /></c><c r="AJ415" s="379"><f>AJ414</f><v /></c><c r="AK415" s="373"><f>Z415</f><v /></c><c r="AL415" s="373" t="n"><v>262.75</v></c><c r="AM415" s="382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3"><f>IF(I415&gt;=1,"NO CONFORME",IF(BK415="SIGDIFERENTES",BC415,BL415))</f><v /></c><c r="AU415" s="365"><f>B415=C415</f><v /></c><c r="AV415" s="365"><f>N415&lt;Y415</f><v /></c><c r="AW415" s="365"><f>Z415&lt;=AK415</f><v /></c><c r="AX415" s="365"><f>IF(I415&gt;=1,"Qcorrecto",IF(AND(AY415="aceptable",AZ415="aceptable",BA415="aceptable"),"Qcorrecto","Qincorrecto"))</f><v /></c><c r="AY415" s="366"><f>IF(AR415&lt;$AH$6,"error",IF(AR415&gt;$AH$6*1.1,"error","aceptable"))</f><v /></c><c r="AZ415" s="366"><f>IF(AF415&lt;$V$6,"error",IF(AF415&gt;$V$6*1.1,"error","aceptable"))</f><v /></c><c r="BA415" s="366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7"><f>SIGN(U415)</f><v /></c><c r="BE415" s="367"><f>SIGN(AG415)</f><v /></c><c r="BF415" s="367"><f>SIGN(AS415)</f><v /></c><c r="BG415" s="367"><f>CONCATENATE(BD415,BE415,BF415)</f><v /></c><c r="BH415" s="367"><f>IF(BG415="111","SI","SD")</f><v /></c><c r="BI415" s="367"><f>IF(BG415="-1-1-1","SI","SD")</f><v /></c><c r="BJ415" s="367"><f>OR(BH415="SI",BI415="SI")</f><v /></c><c r="BK415" s="367"><f>IF(BJ415=FALSE,"SIGDIFERENTES","SIGIGUALES")</f><v /></c><c r="BL415" s="366"><f>IF(BC415="NO CONFORME","NO CONFORME",IF(BB415="CONFORME","CONFORME","NO CONFORME"))</f><v /></c></row><row r="416" ht="15" customHeight="1" thickBot="1"><c r="A416" s="351" t="n"><v>408</v></c><c r="B416" s="369"><f>B415</f><v /></c><c r="C416" s="369"><f>C415</f><v /></c><c r="D416" s="370"><f>D415</f><v /></c><c r="E416" s="371"><f>E415</f><v /></c><c r="F416" s="13" t="n" /><c r="G416" s="477" t="inlineStr"><is><t>PA25516808</t></is></c><c r="H416" s="313"><f>H415</f><v /></c><c r="I416" s="38"><f>I415</f><v /></c><c r="J416" s="314"><f>J415</f><v /></c><c r="K416" s="372"><f>K415</f><v /></c><c r="L416" s="372"><f>L415</f><v /></c><c r="M416" s="373" t="n"><v>101.25</v></c><c r="N416" s="373" t="n"><v>201.25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379"><f>W415</f><v /></c><c r="X416" s="379"><f>X415</f><v /></c><c r="Y416" s="373" t="n"><v>206.6</v></c><c r="Z416" s="373" t="n"><v>216.55</v></c><c r="AA416" s="380"><f>AA415</f><v /></c><c r="AB416" s="381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379"><f>AI415</f><v /></c><c r="AJ416" s="379"><f>AJ415</f><v /></c><c r="AK416" s="373"><f>Z416</f><v /></c><c r="AL416" s="373" t="n"><v>221.51</v></c><c r="AM416" s="382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3"><f>IF(I416&gt;=1,"NO CONFORME",IF(BK416="SIGDIFERENTES",BC416,BL416))</f><v /></c><c r="AU416" s="365"><f>B416=C416</f><v /></c><c r="AV416" s="365"><f>N416&lt;Y416</f><v /></c><c r="AW416" s="365"><f>Z416&lt;=AK416</f><v /></c><c r="AX416" s="365"><f>IF(I416&gt;=1,"Qcorrecto",IF(AND(AY416="aceptable",AZ416="aceptable",BA416="aceptable"),"Qcorrecto","Qincorrecto"))</f><v /></c><c r="AY416" s="366"><f>IF(AR416&lt;$AH$6,"error",IF(AR416&gt;$AH$6*1.1,"error","aceptable"))</f><v /></c><c r="AZ416" s="366"><f>IF(AF416&lt;$V$6,"error",IF(AF416&gt;$V$6*1.1,"error","aceptable"))</f><v /></c><c r="BA416" s="366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7"><f>SIGN(U416)</f><v /></c><c r="BE416" s="367"><f>SIGN(AG416)</f><v /></c><c r="BF416" s="367"><f>SIGN(AS416)</f><v /></c><c r="BG416" s="367"><f>CONCATENATE(BD416,BE416,BF416)</f><v /></c><c r="BH416" s="367"><f>IF(BG416="111","SI","SD")</f><v /></c><c r="BI416" s="367"><f>IF(BG416="-1-1-1","SI","SD")</f><v /></c><c r="BJ416" s="367"><f>OR(BH416="SI",BI416="SI")</f><v /></c><c r="BK416" s="367"><f>IF(BJ416=FALSE,"SIGDIFERENTES","SIGIGUALES")</f><v /></c><c r="BL416" s="366"><f>IF(BC416="NO CONFORME","NO CONFORME",IF(BB416="CONFORME","CONFORME","NO CONFORME"))</f><v /></c></row><row r="417" ht="15" customHeight="1" thickBot="1"><c r="A417" s="351" t="n"><v>409</v></c><c r="B417" s="369"><f>B416</f><v /></c><c r="C417" s="369"><f>C416</f><v /></c><c r="D417" s="370"><f>D416</f><v /></c><c r="E417" s="371"><f>E416</f><v /></c><c r="F417" s="13" t="n" /><c r="G417" s="477" t="inlineStr"><is><t>PA25516809</t></is></c><c r="H417" s="313"><f>H416</f><v /></c><c r="I417" s="38"><f>I416</f><v /></c><c r="J417" s="314"><f>J416</f><v /></c><c r="K417" s="372"><f>K416</f><v /></c><c r="L417" s="372"><f>L416</f><v /></c><c r="M417" s="373" t="n"><v>142.9</v></c><c r="N417" s="373" t="n"><v>242.77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379"><f>W416</f><v /></c><c r="X417" s="379"><f>X416</f><v /></c><c r="Y417" s="373" t="n"><v>248.06</v></c><c r="Z417" s="373" t="n"><v>257.96</v></c><c r="AA417" s="380"><f>AA416</f><v /></c><c r="AB417" s="381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379"><f>AI416</f><v /></c><c r="AJ417" s="379"><f>AJ416</f><v /></c><c r="AK417" s="373"><f>Z417</f><v /></c><c r="AL417" s="373" t="n"><v>262.84</v></c><c r="AM417" s="382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3"><f>IF(I417&gt;=1,"NO CONFORME",IF(BK417="SIGDIFERENTES",BC417,BL417))</f><v /></c><c r="AU417" s="365"><f>B417=C417</f><v /></c><c r="AV417" s="365"><f>N417&lt;Y417</f><v /></c><c r="AW417" s="365"><f>Z417&lt;=AK417</f><v /></c><c r="AX417" s="365"><f>IF(I417&gt;=1,"Qcorrecto",IF(AND(AY417="aceptable",AZ417="aceptable",BA417="aceptable"),"Qcorrecto","Qincorrecto"))</f><v /></c><c r="AY417" s="366"><f>IF(AR417&lt;$AH$6,"error",IF(AR417&gt;$AH$6*1.1,"error","aceptable"))</f><v /></c><c r="AZ417" s="366"><f>IF(AF417&lt;$V$6,"error",IF(AF417&gt;$V$6*1.1,"error","aceptable"))</f><v /></c><c r="BA417" s="366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7"><f>SIGN(U417)</f><v /></c><c r="BE417" s="367"><f>SIGN(AG417)</f><v /></c><c r="BF417" s="367"><f>SIGN(AS417)</f><v /></c><c r="BG417" s="367"><f>CONCATENATE(BD417,BE417,BF417)</f><v /></c><c r="BH417" s="367"><f>IF(BG417="111","SI","SD")</f><v /></c><c r="BI417" s="367"><f>IF(BG417="-1-1-1","SI","SD")</f><v /></c><c r="BJ417" s="367"><f>OR(BH417="SI",BI417="SI")</f><v /></c><c r="BK417" s="367"><f>IF(BJ417=FALSE,"SIGDIFERENTES","SIGIGUALES")</f><v /></c><c r="BL417" s="366"><f>IF(BC417="NO CONFORME","NO CONFORME",IF(BB417="CONFORME","CONFORME","NO CONFORME"))</f><v /></c></row><row r="418" ht="15" customHeight="1" thickBot="1"><c r="A418" s="351" t="n"><v>410</v></c><c r="B418" s="369"><f>B417</f><v /></c><c r="C418" s="369"><f>C417</f><v /></c><c r="D418" s="370"><f>D417</f><v /></c><c r="E418" s="371"><f>E417</f><v /></c><c r="F418" s="13" t="n" /><c r="G418" s="477" t="inlineStr"><is><t>PA25516810</t></is></c><c r="H418" s="313"><f>H417</f><v /></c><c r="I418" s="38"><f>I417</f><v /></c><c r="J418" s="314"><f>J417</f><v /></c><c r="K418" s="372"><f>K417</f><v /></c><c r="L418" s="372"><f>L417</f><v /></c><c r="M418" s="373" t="n"><v>102.31</v></c><c r="N418" s="373" t="n"><v>202.51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379"><f>W417</f><v /></c><c r="X418" s="379"><f>X417</f><v /></c><c r="Y418" s="373" t="n"><v>207.9</v></c><c r="Z418" s="373" t="n"><v>217.82</v></c><c r="AA418" s="380"><f>AA417</f><v /></c><c r="AB418" s="381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379"><f>AI417</f><v /></c><c r="AJ418" s="379"><f>AJ417</f><v /></c><c r="AK418" s="373"><f>Z418</f><v /></c><c r="AL418" s="373" t="n"><v>222.8</v></c><c r="AM418" s="382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3"><f>IF(I418&gt;=1,"NO CONFORME",IF(BK418="SIGDIFERENTES",BC418,BL418))</f><v /></c><c r="AU418" s="365"><f>B418=C418</f><v /></c><c r="AV418" s="365"><f>N418&lt;Y418</f><v /></c><c r="AW418" s="365"><f>Z418&lt;=AK418</f><v /></c><c r="AX418" s="365"><f>IF(I418&gt;=1,"Qcorrecto",IF(AND(AY418="aceptable",AZ418="aceptable",BA418="aceptable"),"Qcorrecto","Qincorrecto"))</f><v /></c><c r="AY418" s="366"><f>IF(AR418&lt;$AH$6,"error",IF(AR418&gt;$AH$6*1.1,"error","aceptable"))</f><v /></c><c r="AZ418" s="366"><f>IF(AF418&lt;$V$6,"error",IF(AF418&gt;$V$6*1.1,"error","aceptable"))</f><v /></c><c r="BA418" s="366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7"><f>SIGN(U418)</f><v /></c><c r="BE418" s="367"><f>SIGN(AG418)</f><v /></c><c r="BF418" s="367"><f>SIGN(AS418)</f><v /></c><c r="BG418" s="367"><f>CONCATENATE(BD418,BE418,BF418)</f><v /></c><c r="BH418" s="367"><f>IF(BG418="111","SI","SD")</f><v /></c><c r="BI418" s="367"><f>IF(BG418="-1-1-1","SI","SD")</f><v /></c><c r="BJ418" s="367"><f>OR(BH418="SI",BI418="SI")</f><v /></c><c r="BK418" s="367"><f>IF(BJ418=FALSE,"SIGDIFERENTES","SIGIGUALES")</f><v /></c><c r="BL418" s="366"><f>IF(BC418="NO CONFORME","NO CONFORME",IF(BB418="CONFORME","CONFORME","NO CONFORME"))</f><v /></c></row><row r="419" ht="15" customHeight="1" thickBot="1"><c r="A419" s="351" t="n"><v>411</v></c><c r="B419" s="369"><f>B418</f><v /></c><c r="C419" s="369"><f>C418</f><v /></c><c r="D419" s="370"><f>D418</f><v /></c><c r="E419" s="371"><f>E418</f><v /></c><c r="F419" s="13" t="n" /><c r="G419" s="477" t="inlineStr"><is><t>PA25516811</t></is></c><c r="H419" s="313"><f>H418</f><v /></c><c r="I419" s="38"><f>I418</f><v /></c><c r="J419" s="314"><f>J418</f><v /></c><c r="K419" s="372"><f>K418</f><v /></c><c r="L419" s="372"><f>L418</f><v /></c><c r="M419" s="373" t="n"><v>101.3</v></c><c r="N419" s="373" t="n"><v>201.15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379"><f>W418</f><v /></c><c r="X419" s="379"><f>X418</f><v /></c><c r="Y419" s="373" t="n"><v>206.54</v></c><c r="Z419" s="373" t="n"><v>216.46</v></c><c r="AA419" s="380"><f>AA418</f><v /></c><c r="AB419" s="381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379"><f>AI418</f><v /></c><c r="AJ419" s="379"><f>AJ418</f><v /></c><c r="AK419" s="373"><f>Z419</f><v /></c><c r="AL419" s="373" t="n"><v>221.41</v></c><c r="AM419" s="382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3"><f>IF(I419&gt;=1,"NO CONFORME",IF(BK419="SIGDIFERENTES",BC419,BL419))</f><v /></c><c r="AU419" s="365"><f>B419=C419</f><v /></c><c r="AV419" s="365"><f>N419&lt;Y419</f><v /></c><c r="AW419" s="365"><f>Z419&lt;=AK419</f><v /></c><c r="AX419" s="365"><f>IF(I419&gt;=1,"Qcorrecto",IF(AND(AY419="aceptable",AZ419="aceptable",BA419="aceptable"),"Qcorrecto","Qincorrecto"))</f><v /></c><c r="AY419" s="366"><f>IF(AR419&lt;$AH$6,"error",IF(AR419&gt;$AH$6*1.1,"error","aceptable"))</f><v /></c><c r="AZ419" s="366"><f>IF(AF419&lt;$V$6,"error",IF(AF419&gt;$V$6*1.1,"error","aceptable"))</f><v /></c><c r="BA419" s="366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7"><f>SIGN(U419)</f><v /></c><c r="BE419" s="367"><f>SIGN(AG419)</f><v /></c><c r="BF419" s="367"><f>SIGN(AS419)</f><v /></c><c r="BG419" s="367"><f>CONCATENATE(BD419,BE419,BF419)</f><v /></c><c r="BH419" s="367"><f>IF(BG419="111","SI","SD")</f><v /></c><c r="BI419" s="367"><f>IF(BG419="-1-1-1","SI","SD")</f><v /></c><c r="BJ419" s="367"><f>OR(BH419="SI",BI419="SI")</f><v /></c><c r="BK419" s="367"><f>IF(BJ419=FALSE,"SIGDIFERENTES","SIGIGUALES")</f><v /></c><c r="BL419" s="366"><f>IF(BC419="NO CONFORME","NO CONFORME",IF(BB419="CONFORME","CONFORME","NO CONFORME"))</f><v /></c></row><row r="420" ht="15" customHeight="1" thickBot="1"><c r="A420" s="351" t="n"><v>412</v></c><c r="B420" s="369"><f>B419</f><v /></c><c r="C420" s="369"><f>C419</f><v /></c><c r="D420" s="370"><f>D419</f><v /></c><c r="E420" s="371"><f>E419</f><v /></c><c r="F420" s="13" t="n" /><c r="G420" s="477" t="inlineStr"><is><t>PA25516812</t></is></c><c r="H420" s="313"><f>H419</f><v /></c><c r="I420" s="38"><f>I419</f><v /></c><c r="J420" s="314"><f>J419</f><v /></c><c r="K420" s="372"><f>K419</f><v /></c><c r="L420" s="372"><f>L419</f><v /></c><c r="M420" s="373" t="n"><v>101.45</v></c><c r="N420" s="373" t="n"><v>201.2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379"><f>W419</f><v /></c><c r="X420" s="379"><f>X419</f><v /></c><c r="Y420" s="373" t="n"><v>206.55</v></c><c r="Z420" s="373" t="n"><v>216.46</v></c><c r="AA420" s="380"><f>AA419</f><v /></c><c r="AB420" s="381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379"><f>AI419</f><v /></c><c r="AJ420" s="379"><f>AJ419</f><v /></c><c r="AK420" s="373"><f>Z420</f><v /></c><c r="AL420" s="373" t="n"><v>221.42</v></c><c r="AM420" s="382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3"><f>IF(I420&gt;=1,"NO CONFORME",IF(BK420="SIGDIFERENTES",BC420,BL420))</f><v /></c><c r="AU420" s="365"><f>B420=C420</f><v /></c><c r="AV420" s="365"><f>N420&lt;Y420</f><v /></c><c r="AW420" s="365"><f>Z420&lt;=AK420</f><v /></c><c r="AX420" s="365"><f>IF(I420&gt;=1,"Qcorrecto",IF(AND(AY420="aceptable",AZ420="aceptable",BA420="aceptable"),"Qcorrecto","Qincorrecto"))</f><v /></c><c r="AY420" s="366"><f>IF(AR420&lt;$AH$6,"error",IF(AR420&gt;$AH$6*1.1,"error","aceptable"))</f><v /></c><c r="AZ420" s="366"><f>IF(AF420&lt;$V$6,"error",IF(AF420&gt;$V$6*1.1,"error","aceptable"))</f><v /></c><c r="BA420" s="366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7"><f>SIGN(U420)</f><v /></c><c r="BE420" s="367"><f>SIGN(AG420)</f><v /></c><c r="BF420" s="367"><f>SIGN(AS420)</f><v /></c><c r="BG420" s="367"><f>CONCATENATE(BD420,BE420,BF420)</f><v /></c><c r="BH420" s="367"><f>IF(BG420="111","SI","SD")</f><v /></c><c r="BI420" s="367"><f>IF(BG420="-1-1-1","SI","SD")</f><v /></c><c r="BJ420" s="367"><f>OR(BH420="SI",BI420="SI")</f><v /></c><c r="BK420" s="367"><f>IF(BJ420=FALSE,"SIGDIFERENTES","SIGIGUALES")</f><v /></c><c r="BL420" s="366"><f>IF(BC420="NO CONFORME","NO CONFORME",IF(BB420="CONFORME","CONFORME","NO CONFORME"))</f><v /></c></row><row r="421" ht="15" customHeight="1" thickBot="1"><c r="A421" s="351" t="n"><v>413</v></c><c r="B421" s="369"><f>B420</f><v /></c><c r="C421" s="369"><f>C420</f><v /></c><c r="D421" s="370"><f>D420</f><v /></c><c r="E421" s="371"><f>E420</f><v /></c><c r="F421" s="13" t="n" /><c r="G421" s="477" t="inlineStr"><is><t>PA25516813</t></is></c><c r="H421" s="313"><f>H420</f><v /></c><c r="I421" s="38"><f>I420</f><v /></c><c r="J421" s="314"><f>J420</f><v /></c><c r="K421" s="372"><f>K420</f><v /></c><c r="L421" s="372"><f>L420</f><v /></c><c r="M421" s="373" t="n"><v>101.6</v></c><c r="N421" s="373" t="n"><v>201.65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379"><f>W420</f><v /></c><c r="X421" s="379"><f>X420</f><v /></c><c r="Y421" s="373" t="n"><v>207.01</v></c><c r="Z421" s="373" t="n"><v>217.03</v></c><c r="AA421" s="380"><f>AA420</f><v /></c><c r="AB421" s="381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379"><f>AI420</f><v /></c><c r="AJ421" s="379"><f>AJ420</f><v /></c><c r="AK421" s="373"><f>Z421</f><v /></c><c r="AL421" s="373" t="n"><v>222.05</v></c><c r="AM421" s="382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3"><f>IF(I421&gt;=1,"NO CONFORME",IF(BK421="SIGDIFERENTES",BC421,BL421))</f><v /></c><c r="AU421" s="365"><f>B421=C421</f><v /></c><c r="AV421" s="365"><f>N421&lt;Y421</f><v /></c><c r="AW421" s="365"><f>Z421&lt;=AK421</f><v /></c><c r="AX421" s="365"><f>IF(I421&gt;=1,"Qcorrecto",IF(AND(AY421="aceptable",AZ421="aceptable",BA421="aceptable"),"Qcorrecto","Qincorrecto"))</f><v /></c><c r="AY421" s="366"><f>IF(AR421&lt;$AH$6,"error",IF(AR421&gt;$AH$6*1.1,"error","aceptable"))</f><v /></c><c r="AZ421" s="366"><f>IF(AF421&lt;$V$6,"error",IF(AF421&gt;$V$6*1.1,"error","aceptable"))</f><v /></c><c r="BA421" s="366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7"><f>SIGN(U421)</f><v /></c><c r="BE421" s="367"><f>SIGN(AG421)</f><v /></c><c r="BF421" s="367"><f>SIGN(AS421)</f><v /></c><c r="BG421" s="367"><f>CONCATENATE(BD421,BE421,BF421)</f><v /></c><c r="BH421" s="367"><f>IF(BG421="111","SI","SD")</f><v /></c><c r="BI421" s="367"><f>IF(BG421="-1-1-1","SI","SD")</f><v /></c><c r="BJ421" s="367"><f>OR(BH421="SI",BI421="SI")</f><v /></c><c r="BK421" s="367"><f>IF(BJ421=FALSE,"SIGDIFERENTES","SIGIGUALES")</f><v /></c><c r="BL421" s="366"><f>IF(BC421="NO CONFORME","NO CONFORME",IF(BB421="CONFORME","CONFORME","NO CONFORME"))</f><v /></c></row><row r="422" ht="15" customHeight="1" thickBot="1"><c r="A422" s="351" t="n"><v>414</v></c><c r="B422" s="369"><f>B421</f><v /></c><c r="C422" s="369"><f>C421</f><v /></c><c r="D422" s="370"><f>D421</f><v /></c><c r="E422" s="371"><f>E421</f><v /></c><c r="F422" s="13" t="n" /><c r="G422" s="477" t="inlineStr"><is><t>PA25516814</t></is></c><c r="H422" s="313"><f>H421</f><v /></c><c r="I422" s="38"><f>I421</f><v /></c><c r="J422" s="314"><f>J421</f><v /></c><c r="K422" s="372"><f>K421</f><v /></c><c r="L422" s="372"><f>L421</f><v /></c><c r="M422" s="373" t="n"><v>141.16</v></c><c r="N422" s="373" t="n"><v>241.36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379"><f>W421</f><v /></c><c r="X422" s="379"><f>X421</f><v /></c><c r="Y422" s="373" t="n"><v>246.74</v></c><c r="Z422" s="373" t="n"><v>256.66</v></c><c r="AA422" s="380"><f>AA421</f><v /></c><c r="AB422" s="381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379"><f>AI421</f><v /></c><c r="AJ422" s="379"><f>AJ421</f><v /></c><c r="AK422" s="373"><f>Z422</f><v /></c><c r="AL422" s="373" t="n"><v>261.62</v></c><c r="AM422" s="382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3"><f>IF(I422&gt;=1,"NO CONFORME",IF(BK422="SIGDIFERENTES",BC422,BL422))</f><v /></c><c r="AU422" s="365"><f>B422=C422</f><v /></c><c r="AV422" s="365"><f>N422&lt;Y422</f><v /></c><c r="AW422" s="365"><f>Z422&lt;=AK422</f><v /></c><c r="AX422" s="365"><f>IF(I422&gt;=1,"Qcorrecto",IF(AND(AY422="aceptable",AZ422="aceptable",BA422="aceptable"),"Qcorrecto","Qincorrecto"))</f><v /></c><c r="AY422" s="366"><f>IF(AR422&lt;$AH$6,"error",IF(AR422&gt;$AH$6*1.1,"error","aceptable"))</f><v /></c><c r="AZ422" s="366"><f>IF(AF422&lt;$V$6,"error",IF(AF422&gt;$V$6*1.1,"error","aceptable"))</f><v /></c><c r="BA422" s="366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7"><f>SIGN(U422)</f><v /></c><c r="BE422" s="367"><f>SIGN(AG422)</f><v /></c><c r="BF422" s="367"><f>SIGN(AS422)</f><v /></c><c r="BG422" s="367"><f>CONCATENATE(BD422,BE422,BF422)</f><v /></c><c r="BH422" s="367"><f>IF(BG422="111","SI","SD")</f><v /></c><c r="BI422" s="367"><f>IF(BG422="-1-1-1","SI","SD")</f><v /></c><c r="BJ422" s="367"><f>OR(BH422="SI",BI422="SI")</f><v /></c><c r="BK422" s="367"><f>IF(BJ422=FALSE,"SIGDIFERENTES","SIGIGUALES")</f><v /></c><c r="BL422" s="366"><f>IF(BC422="NO CONFORME","NO CONFORME",IF(BB422="CONFORME","CONFORME","NO CONFORME"))</f><v /></c></row><row r="423" ht="15" customHeight="1" thickBot="1"><c r="A423" s="351" t="n"><v>415</v></c><c r="B423" s="369"><f>B422</f><v /></c><c r="C423" s="369"><f>C422</f><v /></c><c r="D423" s="370"><f>D422</f><v /></c><c r="E423" s="371"><f>E422</f><v /></c><c r="F423" s="13" t="n" /><c r="G423" s="477" t="inlineStr"><is><t>PA25516815</t></is></c><c r="H423" s="313"><f>H422</f><v /></c><c r="I423" s="38"><f>I422</f><v /></c><c r="J423" s="314"><f>J422</f><v /></c><c r="K423" s="372"><f>K422</f><v /></c><c r="L423" s="372"><f>L422</f><v /></c><c r="M423" s="373" t="n"><v>139.05</v></c><c r="N423" s="373" t="n"><v>238.31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379"><f>W422</f><v /></c><c r="X423" s="379"><f>X422</f><v /></c><c r="Y423" s="373" t="n"><v>243.65</v></c><c r="Z423" s="373" t="n"><v>253.52</v></c><c r="AA423" s="380"><f>AA422</f><v /></c><c r="AB423" s="381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379"><f>AI422</f><v /></c><c r="AJ423" s="379"><f>AJ422</f><v /></c><c r="AK423" s="373"><f>Z423</f><v /></c><c r="AL423" s="373" t="n"><v>258.46</v></c><c r="AM423" s="382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3"><f>IF(I423&gt;=1,"NO CONFORME",IF(BK423="SIGDIFERENTES",BC423,BL423))</f><v /></c><c r="AU423" s="365"><f>B423=C423</f><v /></c><c r="AV423" s="365"><f>N423&lt;Y423</f><v /></c><c r="AW423" s="365"><f>Z423&lt;=AK423</f><v /></c><c r="AX423" s="365"><f>IF(I423&gt;=1,"Qcorrecto",IF(AND(AY423="aceptable",AZ423="aceptable",BA423="aceptable"),"Qcorrecto","Qincorrecto"))</f><v /></c><c r="AY423" s="366"><f>IF(AR423&lt;$AH$6,"error",IF(AR423&gt;$AH$6*1.1,"error","aceptable"))</f><v /></c><c r="AZ423" s="366"><f>IF(AF423&lt;$V$6,"error",IF(AF423&gt;$V$6*1.1,"error","aceptable"))</f><v /></c><c r="BA423" s="366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7"><f>SIGN(U423)</f><v /></c><c r="BE423" s="367"><f>SIGN(AG423)</f><v /></c><c r="BF423" s="367"><f>SIGN(AS423)</f><v /></c><c r="BG423" s="367"><f>CONCATENATE(BD423,BE423,BF423)</f><v /></c><c r="BH423" s="367"><f>IF(BG423="111","SI","SD")</f><v /></c><c r="BI423" s="367"><f>IF(BG423="-1-1-1","SI","SD")</f><v /></c><c r="BJ423" s="367"><f>OR(BH423="SI",BI423="SI")</f><v /></c><c r="BK423" s="367"><f>IF(BJ423=FALSE,"SIGDIFERENTES","SIGIGUALES")</f><v /></c><c r="BL423" s="366"><f>IF(BC423="NO CONFORME","NO CONFORME",IF(BB423="CONFORME","CONFORME","NO CONFORME"))</f><v /></c></row><row r="424" ht="15" customHeight="1" thickBot="1"><c r="A424" s="453" t="n"><v>416</v></c><c r="B424" s="454"><f>B423</f><v /></c><c r="C424" s="454"><f>C423</f><v /></c><c r="D424" s="455"><f>D423</f><v /></c><c r="E424" s="474"><f>E423</f><v /></c><c r="F424" s="52" t="n" /><c r="G424" s="477" t="inlineStr"><is><t>PA25516816</t></is></c><c r="H424" s="326"><f>H423</f><v /></c><c r="I424" s="98"><f>I423</f><v /></c><c r="J424" s="327"><f>J423</f><v /></c><c r="K424" s="458"><f>K423</f><v /></c><c r="L424" s="458"><f>L423</f><v /></c><c r="M424" s="459" t="n"><v>101.55</v></c><c r="N424" s="459" t="n"><v>201.39</v></c><c r="O424" s="460"><f>O423</f><v /></c><c r="P424" s="461"><f>P423</f><v /></c><c r="Q424" s="462"><f>LEFT(P424,1)</f><v /></c><c r="R424" s="462"><f>RIGHT(P424,6)</f><v /></c><c r="S424" s="462"><f>+(Q424*60+R424)/(60*60)</f><v /></c><c r="T424" s="463"><f>+O424/S424</f><v /></c><c r="U424" s="464"><f>+(((N424-M424-O424)/O424)*100)</f><v /></c><c r="V424" s="329"><f>V423</f><v /></c><c r="W424" s="465"><f>W423</f><v /></c><c r="X424" s="465"><f>X423</f><v /></c><c r="Y424" s="459" t="n"><v>206.75</v></c><c r="Z424" s="459" t="n"><v>216.71</v></c><c r="AA424" s="466"><f>AA423</f><v /></c><c r="AB424" s="467"><f>AB423</f><v /></c><c r="AC424" s="462"><f>LEFT(AB424,2)</f><v /></c><c r="AD424" s="462"><f>RIGHT(AB424,6)</f><v /></c><c r="AE424" s="462"><f>+(AC424*60+AD424)/(60*60)</f><v /></c><c r="AF424" s="463"><f>+AA424/AE424</f><v /></c><c r="AG424" s="468"><f>+(((Z424-Y424-AA424)/AA424)*100)</f><v /></c><c r="AH424" s="329"><f>AH423</f><v /></c><c r="AI424" s="465"><f>AI423</f><v /></c><c r="AJ424" s="465"><f>AJ423</f><v /></c><c r="AK424" s="459"><f>Z424</f><v /></c><c r="AL424" s="459" t="n"><v>221.66</v></c><c r="AM424" s="469"><f>AM423</f><v /></c><c r="AN424" s="461"><f>AN423</f><v /></c><c r="AO424" s="462"><f>LEFT(AN424,2)</f><v /></c><c r="AP424" s="462"><f>RIGHT(AN424,6)</f><v /></c><c r="AQ424" s="462"><f>+(AO424*60+AP424)/(60*60)</f><v /></c><c r="AR424" s="463"><f>+AM424/AQ424</f><v /></c><c r="AS424" s="468"><f>+(((AL424-AK424-AM424)/AM424)*100)</f><v /></c><c r="AT424" s="470"><f>IF(I424&gt;=1,"NO CONFORME",IF(BK424="SIGDIFERENTES",BC424,BL424))</f><v /></c><c r="AU424" s="426"><f>B424=C424</f><v /></c><c r="AV424" s="426"><f>N424&lt;Y424</f><v /></c><c r="AW424" s="426"><f>Z424&lt;=AK424</f><v /></c><c r="AX424" s="426"><f>IF(I424&gt;=1,"Qcorrecto",IF(AND(AY424="aceptable",AZ424="aceptable",BA424="aceptable"),"Qcorrecto","Qincorrecto"))</f><v /></c><c r="AY424" s="427"><f>IF(AR424&lt;$AH$6,"error",IF(AR424&gt;$AH$6*1.1,"error","aceptable"))</f><v /></c><c r="AZ424" s="427"><f>IF(AF424&lt;$V$6,"error",IF(AF424&gt;$V$6*1.1,"error","aceptable"))</f><v /></c><c r="BA424" s="427"><f>IF(T424&lt;$J$6*0.9,"error",IF(T424&gt;$J$6,"error","aceptable"))</f><v /></c><c r="BB424" s="428"><f>(IF(ABS(U424)&lt;1.05,"CONFORME",IF(ABS(AG424)&lt;1.05,"CONFORME",IF(ABS(AS424)&lt;2.55,"CONFORME","NO CONFORME"))))</f><v /></c><c r="BC424" s="429"><f>(IF(ABS(U424)&gt;2.05,"NO CONFORME",IF(ABS(AG424)&gt;2.05,"NO CONFORME",IF(ABS(AS424)&gt;5.05,"NO CONFORME","CONFORME"))))</f><v /></c><c r="BD424" s="430"><f>SIGN(U424)</f><v /></c><c r="BE424" s="430"><f>SIGN(AG424)</f><v /></c><c r="BF424" s="430"><f>SIGN(AS424)</f><v /></c><c r="BG424" s="430"><f>CONCATENATE(BD424,BE424,BF424)</f><v /></c><c r="BH424" s="430"><f>IF(BG424="111","SI","SD")</f><v /></c><c r="BI424" s="430"><f>IF(BG424="-1-1-1","SI","SD")</f><v /></c><c r="BJ424" s="430"><f>OR(BH424="SI",BI424="SI")</f><v /></c><c r="BK424" s="430"><f>IF(BJ424=FALSE,"SIGDIFERENTES","SIGIGUALES")</f><v /></c><c r="BL424" s="427"><f>IF(BC424="NO CONFORME","NO CONFORME",IF(BB424="CONFORME","CONFORME","NO CONFORME"))</f><v /></c></row><row r="425" ht="15" customHeight="1" thickBot="1"><c r="A425" s="351" t="n"><v>417</v></c><c r="B425" s="386"><f>B424</f><v /></c><c r="C425" s="386"><f>C424</f><v /></c><c r="D425" s="387"><f>D424</f><v /></c><c r="E425" s="475"><f>E424</f><v /></c><c r="F425" s="58" t="n" /><c r="G425" s="457" t="inlineStr"><is><t>PA25516817</t></is></c><c r="H425" s="388"><f>H424</f><v /></c><c r="I425" s="232"><f>I424</f><v /></c><c r="J425" s="389" t="n"><v>21.4</v></c><c r="K425" s="390" t="n"><v>8.202</v></c><c r="L425" s="390" t="n"><v>0.5600000000000001</v></c><c r="M425" s="356" t="n"><v>123.38</v></c><c r="N425" s="356" t="n"><v>222.65</v></c><c r="O425" s="391" t="n"><v>100.6</v></c><c r="P425" s="392" t="inlineStr"><is><t>2,32,100</t></is></c><c r="Q425" s="359"><f>LEFT(P425,1)</f><v /></c><c r="R425" s="359"><f>RIGHT(P425,6)</f><v /></c><c r="S425" s="359"><f>+(Q425*60+R425)/(60*60)</f><v /></c><c r="T425" s="360"><f>+O425/S425</f><v /></c><c r="U425" s="361"><f>+(((N425-M425-O425)/O425)*100)</f><v /></c><c r="V425" s="393" t="n"><v>20.8</v></c><c r="W425" s="394" t="n"><v>1.07</v></c><c r="X425" s="394" t="n"><v>1.064</v></c><c r="Y425" s="356" t="n"><v>228.71</v></c><c r="Z425" s="356" t="n"><v>238.66</v></c><c r="AA425" s="395" t="n"><v>10.018</v></c><c r="AB425" s="396" t="inlineStr"><is><t>22,25,120</t></is></c><c r="AC425" s="359"><f>LEFT(AB425,2)</f><v /></c><c r="AD425" s="359"><f>RIGHT(AB425,6)</f><v /></c><c r="AE425" s="359"><f>+(AC425*60+AD425)/(60*60)</f><v /></c><c r="AF425" s="360"><f>+AA425/AE425</f><v /></c><c r="AG425" s="362"><f>+(((Z425-Y425-AA425)/AA425)*100)</f><v /></c><c r="AH425" s="393" t="n"><v>20.9</v></c><c r="AI425" s="394" t="n"><v>1.068</v></c><c r="AJ425" s="394" t="n"><v>1.064</v></c><c r="AK425" s="356"><f>Z425</f><v /></c><c r="AL425" s="356" t="n"><v>243.65</v></c><c r="AM425" s="397" t="n"><v>5.015</v></c><c r="AN425" s="392" t="inlineStr"><is><t>18,25,660</t></is></c><c r="AO425" s="359"><f>LEFT(AN425,2)</f><v /></c><c r="AP425" s="359"><f>RIGHT(AN425,6)</f><v /></c><c r="AQ425" s="359"><f>+(AO425*60+AP425)/(60*60)</f><v /></c><c r="AR425" s="360"><f>+AM425/AQ425</f><v /></c><c r="AS425" s="362"><f>+(((AL425-AK425-AM425)/AM425)*100)</f><v /></c><c r="AT425" s="364"><f>IF(I425&gt;=1,"NO CONFORME",IF(BK425="SIGDIFERENTES",BC425,BL425))</f><v /></c><c r="AU425" s="365"><f>B425=C425</f><v /></c><c r="AV425" s="365"><f>N425&lt;Y425</f><v /></c><c r="AW425" s="365"><f>Z425&lt;=AK425</f><v /></c><c r="AX425" s="365"><f>IF(I425&gt;=1,"Qcorrecto",IF(AND(AY425="aceptable",AZ425="aceptable",BA425="aceptable"),"Qcorrecto","Qincorrecto"))</f><v /></c><c r="AY425" s="368"><f>IF(AR425&lt;$AH$6,"error",IF(AR425&gt;$AH$6*1.1,"error","aceptable"))</f><v /></c><c r="AZ425" s="368"><f>IF(AF425&lt;$V$6,"error",IF(AF425&gt;$V$6*1.1,"error","aceptable"))</f><v /></c><c r="BA425" s="368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7"><f>SIGN(U425)</f><v /></c><c r="BE425" s="367"><f>SIGN(AG425)</f><v /></c><c r="BF425" s="367"><f>SIGN(AS425)</f><v /></c><c r="BG425" s="367"><f>CONCATENATE(BD425,BE425,BF425)</f><v /></c><c r="BH425" s="367"><f>IF(BG425="111","SI","SD")</f><v /></c><c r="BI425" s="367"><f>IF(BG425="-1-1-1","SI","SD")</f><v /></c><c r="BJ425" s="367"><f>OR(BH425="SI",BI425="SI")</f><v /></c><c r="BK425" s="367"><f>IF(BJ425=FALSE,"SIGDIFERENTES","SIGIGUALES")</f><v /></c><c r="BL425" s="368"><f>IF(BC425="NO CONFORME","NO CONFORME",IF(BB425="CONFORME","CONFORME","NO CONFORME"))</f><v /></c></row><row r="426" ht="15" customHeight="1" thickBot="1"><c r="A426" s="351" t="n"><v>418</v></c><c r="B426" s="369"><f>B425</f><v /></c><c r="C426" s="369"><f>C425</f><v /></c><c r="D426" s="370"><f>D425</f><v /></c><c r="E426" s="371"><f>E425</f><v /></c><c r="F426" s="13" t="n" /><c r="G426" s="477" t="inlineStr"><is><t>PA25516818</t></is></c><c r="H426" s="313"><f>H425</f><v /></c><c r="I426" s="38"><f>I425</f><v /></c><c r="J426" s="314"><f>J425</f><v /></c><c r="K426" s="372"><f>K425</f><v /></c><c r="L426" s="372"><f>L425</f><v /></c><c r="M426" s="373" t="n"><v>123.26</v></c><c r="N426" s="373" t="n"><v>223.79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379"><f>W425</f><v /></c><c r="X426" s="379"><f>X425</f><v /></c><c r="Y426" s="373" t="n"><v>229.9</v></c><c r="Z426" s="373" t="n"><v>239.88</v></c><c r="AA426" s="380"><f>AA425</f><v /></c><c r="AB426" s="381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379"><f>AI425</f><v /></c><c r="AJ426" s="379"><f>AJ425</f><v /></c><c r="AK426" s="373"><f>Z426</f><v /></c><c r="AL426" s="373" t="n"><v>244.86</v></c><c r="AM426" s="382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3"><f>IF(I426&gt;=1,"NO CONFORME",IF(BK426="SIGDIFERENTES",BC426,BL426))</f><v /></c><c r="AU426" s="365"><f>B426=C426</f><v /></c><c r="AV426" s="365"><f>N426&lt;Y426</f><v /></c><c r="AW426" s="365"><f>Z426&lt;=AK426</f><v /></c><c r="AX426" s="365"><f>IF(I426&gt;=1,"Qcorrecto",IF(AND(AY426="aceptable",AZ426="aceptable",BA426="aceptable"),"Qcorrecto","Qincorrecto"))</f><v /></c><c r="AY426" s="366"><f>IF(AR426&lt;$AH$6,"error",IF(AR426&gt;$AH$6*1.1,"error","aceptable"))</f><v /></c><c r="AZ426" s="366"><f>IF(AF426&lt;$V$6,"error",IF(AF426&gt;$V$6*1.1,"error","aceptable"))</f><v /></c><c r="BA426" s="366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7"><f>SIGN(U426)</f><v /></c><c r="BE426" s="367"><f>SIGN(AG426)</f><v /></c><c r="BF426" s="367"><f>SIGN(AS426)</f><v /></c><c r="BG426" s="367"><f>CONCATENATE(BD426,BE426,BF426)</f><v /></c><c r="BH426" s="367"><f>IF(BG426="111","SI","SD")</f><v /></c><c r="BI426" s="367"><f>IF(BG426="-1-1-1","SI","SD")</f><v /></c><c r="BJ426" s="367"><f>OR(BH426="SI",BI426="SI")</f><v /></c><c r="BK426" s="367"><f>IF(BJ426=FALSE,"SIGDIFERENTES","SIGIGUALES")</f><v /></c><c r="BL426" s="366"><f>IF(BC426="NO CONFORME","NO CONFORME",IF(BB426="CONFORME","CONFORME","NO CONFORME"))</f><v /></c></row><row r="427" ht="15" customHeight="1" thickBot="1"><c r="A427" s="351" t="n"><v>419</v></c><c r="B427" s="369"><f>B426</f><v /></c><c r="C427" s="369"><f>C426</f><v /></c><c r="D427" s="370"><f>D426</f><v /></c><c r="E427" s="371"><f>E426</f><v /></c><c r="F427" s="13" t="n" /><c r="G427" s="477" t="inlineStr"><is><t>PA25516819</t></is></c><c r="H427" s="313"><f>H426</f><v /></c><c r="I427" s="38"><f>I426</f><v /></c><c r="J427" s="314"><f>J426</f><v /></c><c r="K427" s="372"><f>K426</f><v /></c><c r="L427" s="372"><f>L426</f><v /></c><c r="M427" s="373" t="n"><v>122.65</v></c><c r="N427" s="373" t="n"><v>222.56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379"><f>W426</f><v /></c><c r="X427" s="379"><f>X426</f><v /></c><c r="Y427" s="373" t="n"><v>228.6</v></c><c r="Z427" s="373" t="n"><v>238.6</v></c><c r="AA427" s="380"><f>AA426</f><v /></c><c r="AB427" s="381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379"><f>AI426</f><v /></c><c r="AJ427" s="379"><f>AJ426</f><v /></c><c r="AK427" s="373"><f>Z427</f><v /></c><c r="AL427" s="373" t="n"><v>243.61</v></c><c r="AM427" s="382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3"><f>IF(I427&gt;=1,"NO CONFORME",IF(BK427="SIGDIFERENTES",BC427,BL427))</f><v /></c><c r="AU427" s="365"><f>B427=C427</f><v /></c><c r="AV427" s="365"><f>N427&lt;Y427</f><v /></c><c r="AW427" s="365"><f>Z427&lt;=AK427</f><v /></c><c r="AX427" s="365"><f>IF(I427&gt;=1,"Qcorrecto",IF(AND(AY427="aceptable",AZ427="aceptable",BA427="aceptable"),"Qcorrecto","Qincorrecto"))</f><v /></c><c r="AY427" s="366"><f>IF(AR427&lt;$AH$6,"error",IF(AR427&gt;$AH$6*1.1,"error","aceptable"))</f><v /></c><c r="AZ427" s="366"><f>IF(AF427&lt;$V$6,"error",IF(AF427&gt;$V$6*1.1,"error","aceptable"))</f><v /></c><c r="BA427" s="366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7"><f>SIGN(U427)</f><v /></c><c r="BE427" s="367"><f>SIGN(AG427)</f><v /></c><c r="BF427" s="367"><f>SIGN(AS427)</f><v /></c><c r="BG427" s="367"><f>CONCATENATE(BD427,BE427,BF427)</f><v /></c><c r="BH427" s="367"><f>IF(BG427="111","SI","SD")</f><v /></c><c r="BI427" s="367"><f>IF(BG427="-1-1-1","SI","SD")</f><v /></c><c r="BJ427" s="367"><f>OR(BH427="SI",BI427="SI")</f><v /></c><c r="BK427" s="367"><f>IF(BJ427=FALSE,"SIGDIFERENTES","SIGIGUALES")</f><v /></c><c r="BL427" s="366"><f>IF(BC427="NO CONFORME","NO CONFORME",IF(BB427="CONFORME","CONFORME","NO CONFORME"))</f><v /></c></row><row r="428" ht="15" customHeight="1" thickBot="1"><c r="A428" s="351" t="n"><v>420</v></c><c r="B428" s="369"><f>B427</f><v /></c><c r="C428" s="369"><f>C427</f><v /></c><c r="D428" s="370"><f>D427</f><v /></c><c r="E428" s="371"><f>E427</f><v /></c><c r="F428" s="13" t="n" /><c r="G428" s="477" t="inlineStr"><is><t>PA25516820</t></is></c><c r="H428" s="313"><f>H427</f><v /></c><c r="I428" s="38"><f>I427</f><v /></c><c r="J428" s="314"><f>J427</f><v /></c><c r="K428" s="372"><f>K427</f><v /></c><c r="L428" s="372"><f>L427</f><v /></c><c r="M428" s="373" t="n"><v>82.84</v></c><c r="N428" s="373" t="n"><v>182.84</v></c><c r="O428" s="374"><f>O427</f><v /></c><c r="P428" s="375"><f>P427</f><v /></c><c r="Q428" s="376"><f>LEFT(P428,1)</f><v /></c><c r="R428" s="376"><f>RIGHT(P428,6)</f><v /></c><c r="S428" s="376"><f>+(Q428*60+R428)/(60*60)</f><v /></c><c r="T428" s="377"><f>+O428/S428</f><v /></c><c r="U428" s="378"><f>+(((N428-M428-O428)/O428)*100)</f><v /></c><c r="V428" s="317"><f>V427</f><v /></c><c r="W428" s="379"><f>W427</f><v /></c><c r="X428" s="379"><f>X427</f><v /></c><c r="Y428" s="373" t="n"><v>188.9</v></c><c r="Z428" s="373" t="n"><v>198.82</v></c><c r="AA428" s="380"><f>AA427</f><v /></c><c r="AB428" s="381"><f>AB427</f><v /></c><c r="AC428" s="376"><f>LEFT(AB428,2)</f><v /></c><c r="AD428" s="376"><f>RIGHT(AB428,6)</f><v /></c><c r="AE428" s="376"><f>+(AC428*60+AD428)/(60*60)</f><v /></c><c r="AF428" s="377"><f>+AA428/AE428</f><v /></c><c r="AG428" s="321"><f>+(((Z428-Y428-AA428)/AA428)*100)</f><v /></c><c r="AH428" s="317"><f>AH427</f><v /></c><c r="AI428" s="379"><f>AI427</f><v /></c><c r="AJ428" s="379"><f>AJ427</f><v /></c><c r="AK428" s="373"><f>Z428</f><v /></c><c r="AL428" s="373" t="n"><v>203.78</v></c><c r="AM428" s="382"><f>AM427</f><v /></c><c r="AN428" s="375"><f>AN427</f><v /></c><c r="AO428" s="376"><f>LEFT(AN428,2)</f><v /></c><c r="AP428" s="376"><f>RIGHT(AN428,6)</f><v /></c><c r="AQ428" s="376"><f>+(AO428*60+AP428)/(60*60)</f><v /></c><c r="AR428" s="377"><f>+AM428/AQ428</f><v /></c><c r="AS428" s="321"><f>+(((AL428-AK428-AM428)/AM428)*100)</f><v /></c><c r="AT428" s="383"><f>IF(I428&gt;=1,"NO CONFORME",IF(BK428="SIGDIFERENTES",BC428,BL428))</f><v /></c><c r="AU428" s="365"><f>B428=C428</f><v /></c><c r="AV428" s="365"><f>N428&lt;Y428</f><v /></c><c r="AW428" s="365"><f>Z428&lt;=AK428</f><v /></c><c r="AX428" s="365"><f>IF(I428&gt;=1,"Qcorrecto",IF(AND(AY428="aceptable",AZ428="aceptable",BA428="aceptable"),"Qcorrecto","Qincorrecto"))</f><v /></c><c r="AY428" s="366"><f>IF(AR428&lt;$AH$6,"error",IF(AR428&gt;$AH$6*1.1,"error","aceptable"))</f><v /></c><c r="AZ428" s="366"><f>IF(AF428&lt;$V$6,"error",IF(AF428&gt;$V$6*1.1,"error","aceptable"))</f><v /></c><c r="BA428" s="366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7"><f>SIGN(U428)</f><v /></c><c r="BE428" s="367"><f>SIGN(AG428)</f><v /></c><c r="BF428" s="367"><f>SIGN(AS428)</f><v /></c><c r="BG428" s="367"><f>CONCATENATE(BD428,BE428,BF428)</f><v /></c><c r="BH428" s="367"><f>IF(BG428="111","SI","SD")</f><v /></c><c r="BI428" s="367"><f>IF(BG428="-1-1-1","SI","SD")</f><v /></c><c r="BJ428" s="367"><f>OR(BH428="SI",BI428="SI")</f><v /></c><c r="BK428" s="367"><f>IF(BJ428=FALSE,"SIGDIFERENTES","SIGIGUALES")</f><v /></c><c r="BL428" s="366"><f>IF(BC428="NO CONFORME","NO CONFORME",IF(BB428="CONFORME","CONFORME","NO CONFORME"))</f><v /></c></row><row r="429" ht="15" customHeight="1" thickBot="1"><c r="A429" s="351" t="n"><v>421</v></c><c r="B429" s="369"><f>B428</f><v /></c><c r="C429" s="369"><f>C428</f><v /></c><c r="D429" s="370"><f>D428</f><v /></c><c r="E429" s="371"><f>E428</f><v /></c><c r="F429" s="13" t="n" /><c r="G429" s="477" t="inlineStr"><is><t>PA25516821</t></is></c><c r="H429" s="313"><f>H428</f><v /></c><c r="I429" s="38"><f>I428</f><v /></c><c r="J429" s="314"><f>J428</f><v /></c><c r="K429" s="372"><f>K428</f><v /></c><c r="L429" s="372"><f>L428</f><v /></c><c r="M429" s="373" t="n"><v>82.5</v></c><c r="N429" s="373" t="n"><v>183</v></c><c r="O429" s="374"><f>O428</f><v /></c><c r="P429" s="375"><f>P428</f><v /></c><c r="Q429" s="376"><f>LEFT(P429,1)</f><v /></c><c r="R429" s="376"><f>RIGHT(P429,6)</f><v /></c><c r="S429" s="376"><f>+(Q429*60+R429)/(60*60)</f><v /></c><c r="T429" s="377"><f>+O429/S429</f><v /></c><c r="U429" s="378"><f>+(((N429-M429-O429)/O429)*100)</f><v /></c><c r="V429" s="317"><f>V428</f><v /></c><c r="W429" s="379"><f>W428</f><v /></c><c r="X429" s="379"><f>X428</f><v /></c><c r="Y429" s="373" t="n"><v>189.09</v></c><c r="Z429" s="373" t="n"><v>199.1</v></c><c r="AA429" s="380"><f>AA428</f><v /></c><c r="AB429" s="381"><f>AB428</f><v /></c><c r="AC429" s="376"><f>LEFT(AB429,2)</f><v /></c><c r="AD429" s="376"><f>RIGHT(AB429,6)</f><v /></c><c r="AE429" s="376"><f>+(AC429*60+AD429)/(60*60)</f><v /></c><c r="AF429" s="377"><f>+AA429/AE429</f><v /></c><c r="AG429" s="321"><f>+(((Z429-Y429-AA429)/AA429)*100)</f><v /></c><c r="AH429" s="317"><f>AH428</f><v /></c><c r="AI429" s="379"><f>AI428</f><v /></c><c r="AJ429" s="379"><f>AJ428</f><v /></c><c r="AK429" s="373"><f>Z429</f><v /></c><c r="AL429" s="373" t="n"><v>204.1</v></c><c r="AM429" s="382"><f>AM428</f><v /></c><c r="AN429" s="375"><f>AN428</f><v /></c><c r="AO429" s="376"><f>LEFT(AN429,2)</f><v /></c><c r="AP429" s="376"><f>RIGHT(AN429,6)</f><v /></c><c r="AQ429" s="376"><f>+(AO429*60+AP429)/(60*60)</f><v /></c><c r="AR429" s="377"><f>+AM429/AQ429</f><v /></c><c r="AS429" s="321"><f>+(((AL429-AK429-AM429)/AM429)*100)</f><v /></c><c r="AT429" s="383"><f>IF(I429&gt;=1,"NO CONFORME",IF(BK429="SIGDIFERENTES",BC429,BL429))</f><v /></c><c r="AU429" s="365"><f>B429=C429</f><v /></c><c r="AV429" s="365"><f>N429&lt;Y429</f><v /></c><c r="AW429" s="365"><f>Z429&lt;=AK429</f><v /></c><c r="AX429" s="365"><f>IF(I429&gt;=1,"Qcorrecto",IF(AND(AY429="aceptable",AZ429="aceptable",BA429="aceptable"),"Qcorrecto","Qincorrecto"))</f><v /></c><c r="AY429" s="366"><f>IF(AR429&lt;$AH$6,"error",IF(AR429&gt;$AH$6*1.1,"error","aceptable"))</f><v /></c><c r="AZ429" s="366"><f>IF(AF429&lt;$V$6,"error",IF(AF429&gt;$V$6*1.1,"error","aceptable"))</f><v /></c><c r="BA429" s="366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67"><f>SIGN(U429)</f><v /></c><c r="BE429" s="367"><f>SIGN(AG429)</f><v /></c><c r="BF429" s="367"><f>SIGN(AS429)</f><v /></c><c r="BG429" s="367"><f>CONCATENATE(BD429,BE429,BF429)</f><v /></c><c r="BH429" s="367"><f>IF(BG429="111","SI","SD")</f><v /></c><c r="BI429" s="367"><f>IF(BG429="-1-1-1","SI","SD")</f><v /></c><c r="BJ429" s="367"><f>OR(BH429="SI",BI429="SI")</f><v /></c><c r="BK429" s="367"><f>IF(BJ429=FALSE,"SIGDIFERENTES","SIGIGUALES")</f><v /></c><c r="BL429" s="366"><f>IF(BC429="NO CONFORME","NO CONFORME",IF(BB429="CONFORME","CONFORME","NO CONFORME"))</f><v /></c></row><row r="430" ht="15" customHeight="1" thickBot="1"><c r="A430" s="351" t="n"><v>422</v></c><c r="B430" s="369"><f>B429</f><v /></c><c r="C430" s="369"><f>C429</f><v /></c><c r="D430" s="370"><f>D429</f><v /></c><c r="E430" s="371"><f>E429</f><v /></c><c r="F430" s="13" t="n" /><c r="G430" s="477" t="inlineStr"><is><t>PA25516822</t></is></c><c r="H430" s="313"><f>H429</f><v /></c><c r="I430" s="38"><f>I429</f><v /></c><c r="J430" s="314"><f>J429</f><v /></c><c r="K430" s="372"><f>K429</f><v /></c><c r="L430" s="372"><f>L429</f><v /></c><c r="M430" s="373" t="n"><v>120.6</v></c><c r="N430" s="373" t="n"><v>220.19</v></c><c r="O430" s="374"><f>O429</f><v /></c><c r="P430" s="375"><f>P429</f><v /></c><c r="Q430" s="376"><f>LEFT(P430,1)</f><v /></c><c r="R430" s="376"><f>RIGHT(P430,6)</f><v /></c><c r="S430" s="376"><f>+(Q430*60+R430)/(60*60)</f><v /></c><c r="T430" s="377"><f>+O430/S430</f><v /></c><c r="U430" s="378"><f>+(((N430-M430-O430)/O430)*100)</f><v /></c><c r="V430" s="317"><f>V429</f><v /></c><c r="W430" s="379"><f>W429</f><v /></c><c r="X430" s="379"><f>X429</f><v /></c><c r="Y430" s="373" t="n"><v>226.21</v></c><c r="Z430" s="373" t="n"><v>236.17</v></c><c r="AA430" s="380"><f>AA429</f><v /></c><c r="AB430" s="381"><f>AB429</f><v /></c><c r="AC430" s="376"><f>LEFT(AB430,2)</f><v /></c><c r="AD430" s="376"><f>RIGHT(AB430,6)</f><v /></c><c r="AE430" s="376"><f>+(AC430*60+AD430)/(60*60)</f><v /></c><c r="AF430" s="377"><f>+AA430/AE430</f><v /></c><c r="AG430" s="321"><f>+(((Z430-Y430-AA430)/AA430)*100)</f><v /></c><c r="AH430" s="317"><f>AH429</f><v /></c><c r="AI430" s="379"><f>AI429</f><v /></c><c r="AJ430" s="379"><f>AJ429</f><v /></c><c r="AK430" s="373"><f>Z430</f><v /></c><c r="AL430" s="373" t="n"><v>241.17</v></c><c r="AM430" s="382"><f>AM429</f><v /></c><c r="AN430" s="375"><f>AN429</f><v /></c><c r="AO430" s="376"><f>LEFT(AN430,2)</f><v /></c><c r="AP430" s="376"><f>RIGHT(AN430,6)</f><v /></c><c r="AQ430" s="376"><f>+(AO430*60+AP430)/(60*60)</f><v /></c><c r="AR430" s="377"><f>+AM430/AQ430</f><v /></c><c r="AS430" s="321"><f>+(((AL430-AK430-AM430)/AM430)*100)</f><v /></c><c r="AT430" s="383"><f>IF(I430&gt;=1,"NO CONFORME",IF(BK430="SIGDIFERENTES",BC430,BL430))</f><v /></c><c r="AU430" s="365"><f>B430=C430</f><v /></c><c r="AV430" s="365"><f>N430&lt;Y430</f><v /></c><c r="AW430" s="365"><f>Z430&lt;=AK430</f><v /></c><c r="AX430" s="365"><f>IF(I430&gt;=1,"Qcorrecto",IF(AND(AY430="aceptable",AZ430="aceptable",BA430="aceptable"),"Qcorrecto","Qincorrecto"))</f><v /></c><c r="AY430" s="366"><f>IF(AR430&lt;$AH$6,"error",IF(AR430&gt;$AH$6*1.1,"error","aceptable"))</f><v /></c><c r="AZ430" s="366"><f>IF(AF430&lt;$V$6,"error",IF(AF430&gt;$V$6*1.1,"error","aceptable"))</f><v /></c><c r="BA430" s="366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67"><f>SIGN(U430)</f><v /></c><c r="BE430" s="367"><f>SIGN(AG430)</f><v /></c><c r="BF430" s="367"><f>SIGN(AS430)</f><v /></c><c r="BG430" s="367"><f>CONCATENATE(BD430,BE430,BF430)</f><v /></c><c r="BH430" s="367"><f>IF(BG430="111","SI","SD")</f><v /></c><c r="BI430" s="367"><f>IF(BG430="-1-1-1","SI","SD")</f><v /></c><c r="BJ430" s="367"><f>OR(BH430="SI",BI430="SI")</f><v /></c><c r="BK430" s="367"><f>IF(BJ430=FALSE,"SIGDIFERENTES","SIGIGUALES")</f><v /></c><c r="BL430" s="366"><f>IF(BC430="NO CONFORME","NO CONFORME",IF(BB430="CONFORME","CONFORME","NO CONFORME"))</f><v /></c></row><row r="431" ht="15" customHeight="1" thickBot="1"><c r="A431" s="351" t="n"><v>423</v></c><c r="B431" s="369"><f>B430</f><v /></c><c r="C431" s="369"><f>C430</f><v /></c><c r="D431" s="370"><f>D430</f><v /></c><c r="E431" s="371"><f>E430</f><v /></c><c r="F431" s="13" t="n" /><c r="G431" s="477" t="inlineStr"><is><t>PA25516823</t></is></c><c r="H431" s="313"><f>H430</f><v /></c><c r="I431" s="38"><f>I430</f><v /></c><c r="J431" s="314"><f>J430</f><v /></c><c r="K431" s="372"><f>K430</f><v /></c><c r="L431" s="372"><f>L430</f><v /></c><c r="M431" s="373" t="n"><v>83.54000000000001</v></c><c r="N431" s="373" t="n"><v>183.4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379"><f>W430</f><v /></c><c r="X431" s="379"><f>X430</f><v /></c><c r="Y431" s="373" t="n"><v>189.45</v></c><c r="Z431" s="373" t="n"><v>199.36</v></c><c r="AA431" s="380"><f>AA430</f><v /></c><c r="AB431" s="381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379"><f>AI430</f><v /></c><c r="AJ431" s="379"><f>AJ430</f><v /></c><c r="AK431" s="373"><f>Z431</f><v /></c><c r="AL431" s="373" t="n"><v>204.31</v></c><c r="AM431" s="382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3"><f>IF(I431&gt;=1,"NO CONFORME",IF(BK431="SIGDIFERENTES",BC431,BL431))</f><v /></c><c r="AU431" s="365"><f>B431=C431</f><v /></c><c r="AV431" s="365"><f>N431&lt;Y431</f><v /></c><c r="AW431" s="365"><f>Z431&lt;=AK431</f><v /></c><c r="AX431" s="365"><f>IF(I431&gt;=1,"Qcorrecto",IF(AND(AY431="aceptable",AZ431="aceptable",BA431="aceptable"),"Qcorrecto","Qincorrecto"))</f><v /></c><c r="AY431" s="366"><f>IF(AR431&lt;$AH$6,"error",IF(AR431&gt;$AH$6*1.1,"error","aceptable"))</f><v /></c><c r="AZ431" s="366"><f>IF(AF431&lt;$V$6,"error",IF(AF431&gt;$V$6*1.1,"error","aceptable"))</f><v /></c><c r="BA431" s="366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7"><f>SIGN(U431)</f><v /></c><c r="BE431" s="367"><f>SIGN(AG431)</f><v /></c><c r="BF431" s="367"><f>SIGN(AS431)</f><v /></c><c r="BG431" s="367"><f>CONCATENATE(BD431,BE431,BF431)</f><v /></c><c r="BH431" s="367"><f>IF(BG431="111","SI","SD")</f><v /></c><c r="BI431" s="367"><f>IF(BG431="-1-1-1","SI","SD")</f><v /></c><c r="BJ431" s="367"><f>OR(BH431="SI",BI431="SI")</f><v /></c><c r="BK431" s="367"><f>IF(BJ431=FALSE,"SIGDIFERENTES","SIGIGUALES")</f><v /></c><c r="BL431" s="366"><f>IF(BC431="NO CONFORME","NO CONFORME",IF(BB431="CONFORME","CONFORME","NO CONFORME"))</f><v /></c></row><row r="432" ht="15" customHeight="1" thickBot="1"><c r="A432" s="351" t="n"><v>424</v></c><c r="B432" s="369"><f>B431</f><v /></c><c r="C432" s="369"><f>C431</f><v /></c><c r="D432" s="370"><f>D431</f><v /></c><c r="E432" s="371"><f>E431</f><v /></c><c r="F432" s="13" t="n" /><c r="G432" s="477" t="inlineStr"><is><t>PA25516824</t></is></c><c r="H432" s="313"><f>H431</f><v /></c><c r="I432" s="38"><f>I431</f><v /></c><c r="J432" s="314"><f>J431</f><v /></c><c r="K432" s="372"><f>K431</f><v /></c><c r="L432" s="372"><f>L431</f><v /></c><c r="M432" s="373" t="n"><v>84.08</v></c><c r="N432" s="373" t="n"><v>184.35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379"><f>W431</f><v /></c><c r="X432" s="379"><f>X431</f><v /></c><c r="Y432" s="373" t="n"><v>190.44</v></c><c r="Z432" s="373" t="n"><v>200.45</v></c><c r="AA432" s="380"><f>AA431</f><v /></c><c r="AB432" s="381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379"><f>AI431</f><v /></c><c r="AJ432" s="379"><f>AJ431</f><v /></c><c r="AK432" s="373"><f>Z432</f><v /></c><c r="AL432" s="373" t="n"><v>205.51</v></c><c r="AM432" s="382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3"><f>IF(I432&gt;=1,"NO CONFORME",IF(BK432="SIGDIFERENTES",BC432,BL432))</f><v /></c><c r="AU432" s="365"><f>B432=C432</f><v /></c><c r="AV432" s="365"><f>N432&lt;Y432</f><v /></c><c r="AW432" s="365"><f>Z432&lt;=AK432</f><v /></c><c r="AX432" s="365"><f>IF(I432&gt;=1,"Qcorrecto",IF(AND(AY432="aceptable",AZ432="aceptable",BA432="aceptable"),"Qcorrecto","Qincorrecto"))</f><v /></c><c r="AY432" s="366"><f>IF(AR432&lt;$AH$6,"error",IF(AR432&gt;$AH$6*1.1,"error","aceptable"))</f><v /></c><c r="AZ432" s="366"><f>IF(AF432&lt;$V$6,"error",IF(AF432&gt;$V$6*1.1,"error","aceptable"))</f><v /></c><c r="BA432" s="366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7"><f>SIGN(U432)</f><v /></c><c r="BE432" s="367"><f>SIGN(AG432)</f><v /></c><c r="BF432" s="367"><f>SIGN(AS432)</f><v /></c><c r="BG432" s="367"><f>CONCATENATE(BD432,BE432,BF432)</f><v /></c><c r="BH432" s="367"><f>IF(BG432="111","SI","SD")</f><v /></c><c r="BI432" s="367"><f>IF(BG432="-1-1-1","SI","SD")</f><v /></c><c r="BJ432" s="367"><f>OR(BH432="SI",BI432="SI")</f><v /></c><c r="BK432" s="367"><f>IF(BJ432=FALSE,"SIGDIFERENTES","SIGIGUALES")</f><v /></c><c r="BL432" s="366"><f>IF(BC432="NO CONFORME","NO CONFORME",IF(BB432="CONFORME","CONFORME","NO CONFORME"))</f><v /></c></row><row r="433" ht="15" customHeight="1" thickBot="1"><c r="A433" s="351" t="n"><v>425</v></c><c r="B433" s="369"><f>B432</f><v /></c><c r="C433" s="369"><f>C432</f><v /></c><c r="D433" s="370"><f>D432</f><v /></c><c r="E433" s="371"><f>E432</f><v /></c><c r="F433" s="13" t="n" /><c r="G433" s="477" t="inlineStr"><is><t>PA25516825</t></is></c><c r="H433" s="313"><f>H432</f><v /></c><c r="I433" s="38"><f>I432</f><v /></c><c r="J433" s="314"><f>J432</f><v /></c><c r="K433" s="372"><f>K432</f><v /></c><c r="L433" s="372"><f>L432</f><v /></c><c r="M433" s="373" t="n"><v>84</v></c><c r="N433" s="373" t="n"><v>184.28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379"><f>W432</f><v /></c><c r="X433" s="379"><f>X432</f><v /></c><c r="Y433" s="373" t="n"><v>190.33</v></c><c r="Z433" s="373" t="n"><v>200.3</v></c><c r="AA433" s="380"><f>AA432</f><v /></c><c r="AB433" s="381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379"><f>AI432</f><v /></c><c r="AJ433" s="379"><f>AJ432</f><v /></c><c r="AK433" s="373"><f>Z433</f><v /></c><c r="AL433" s="373" t="n"><v>205.32</v></c><c r="AM433" s="382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3"><f>IF(I433&gt;=1,"NO CONFORME",IF(BK433="SIGDIFERENTES",BC433,BL433))</f><v /></c><c r="AU433" s="365"><f>B433=C433</f><v /></c><c r="AV433" s="365"><f>N433&lt;Y433</f><v /></c><c r="AW433" s="365"><f>Z433&lt;=AK433</f><v /></c><c r="AX433" s="365"><f>IF(I433&gt;=1,"Qcorrecto",IF(AND(AY433="aceptable",AZ433="aceptable",BA433="aceptable"),"Qcorrecto","Qincorrecto"))</f><v /></c><c r="AY433" s="366"><f>IF(AR433&lt;$AH$6,"error",IF(AR433&gt;$AH$6*1.1,"error","aceptable"))</f><v /></c><c r="AZ433" s="366"><f>IF(AF433&lt;$V$6,"error",IF(AF433&gt;$V$6*1.1,"error","aceptable"))</f><v /></c><c r="BA433" s="366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7"><f>SIGN(U433)</f><v /></c><c r="BE433" s="367"><f>SIGN(AG433)</f><v /></c><c r="BF433" s="367"><f>SIGN(AS433)</f><v /></c><c r="BG433" s="367"><f>CONCATENATE(BD433,BE433,BF433)</f><v /></c><c r="BH433" s="367"><f>IF(BG433="111","SI","SD")</f><v /></c><c r="BI433" s="367"><f>IF(BG433="-1-1-1","SI","SD")</f><v /></c><c r="BJ433" s="367"><f>OR(BH433="SI",BI433="SI")</f><v /></c><c r="BK433" s="367"><f>IF(BJ433=FALSE,"SIGDIFERENTES","SIGIGUALES")</f><v /></c><c r="BL433" s="366"><f>IF(BC433="NO CONFORME","NO CONFORME",IF(BB433="CONFORME","CONFORME","NO CONFORME"))</f><v /></c></row><row r="434" ht="15" customHeight="1" thickBot="1"><c r="A434" s="351" t="n"><v>426</v></c><c r="B434" s="369"><f>B433</f><v /></c><c r="C434" s="369"><f>C433</f><v /></c><c r="D434" s="370"><f>D433</f><v /></c><c r="E434" s="371"><f>E433</f><v /></c><c r="F434" s="13" t="n" /><c r="G434" s="477" t="inlineStr"><is><t>PA25516826</t></is></c><c r="H434" s="313"><f>H433</f><v /></c><c r="I434" s="38"><f>I433</f><v /></c><c r="J434" s="314"><f>J433</f><v /></c><c r="K434" s="372"><f>K433</f><v /></c><c r="L434" s="372"><f>L433</f><v /></c><c r="M434" s="373" t="n"><v>83.65000000000001</v></c><c r="N434" s="373" t="n"><v>184.05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379"><f>W433</f><v /></c><c r="X434" s="379"><f>X433</f><v /></c><c r="Y434" s="373" t="n"><v>190.11</v></c><c r="Z434" s="373" t="n"><v>200.11</v></c><c r="AA434" s="380"><f>AA433</f><v /></c><c r="AB434" s="381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379"><f>AI433</f><v /></c><c r="AJ434" s="379"><f>AJ433</f><v /></c><c r="AK434" s="373"><f>Z434</f><v /></c><c r="AL434" s="373" t="n"><v>205.14</v></c><c r="AM434" s="382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3"><f>IF(I434&gt;=1,"NO CONFORME",IF(BK434="SIGDIFERENTES",BC434,BL434))</f><v /></c><c r="AU434" s="365"><f>B434=C434</f><v /></c><c r="AV434" s="365"><f>N434&lt;Y434</f><v /></c><c r="AW434" s="365"><f>Z434&lt;=AK434</f><v /></c><c r="AX434" s="365"><f>IF(I434&gt;=1,"Qcorrecto",IF(AND(AY434="aceptable",AZ434="aceptable",BA434="aceptable"),"Qcorrecto","Qincorrecto"))</f><v /></c><c r="AY434" s="366"><f>IF(AR434&lt;$AH$6,"error",IF(AR434&gt;$AH$6*1.1,"error","aceptable"))</f><v /></c><c r="AZ434" s="366"><f>IF(AF434&lt;$V$6,"error",IF(AF434&gt;$V$6*1.1,"error","aceptable"))</f><v /></c><c r="BA434" s="366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7"><f>SIGN(U434)</f><v /></c><c r="BE434" s="367"><f>SIGN(AG434)</f><v /></c><c r="BF434" s="367"><f>SIGN(AS434)</f><v /></c><c r="BG434" s="367"><f>CONCATENATE(BD434,BE434,BF434)</f><v /></c><c r="BH434" s="367"><f>IF(BG434="111","SI","SD")</f><v /></c><c r="BI434" s="367"><f>IF(BG434="-1-1-1","SI","SD")</f><v /></c><c r="BJ434" s="367"><f>OR(BH434="SI",BI434="SI")</f><v /></c><c r="BK434" s="367"><f>IF(BJ434=FALSE,"SIGDIFERENTES","SIGIGUALES")</f><v /></c><c r="BL434" s="366"><f>IF(BC434="NO CONFORME","NO CONFORME",IF(BB434="CONFORME","CONFORME","NO CONFORME"))</f><v /></c></row><row r="435" ht="15" customHeight="1" thickBot="1"><c r="A435" s="351" t="n"><v>427</v></c><c r="B435" s="369"><f>B434</f><v /></c><c r="C435" s="369"><f>C434</f><v /></c><c r="D435" s="370"><f>D434</f><v /></c><c r="E435" s="371"><f>E434</f><v /></c><c r="F435" s="13" t="n" /><c r="G435" s="477" t="inlineStr"><is><t>PA25516827</t></is></c><c r="H435" s="313"><f>H434</f><v /></c><c r="I435" s="38"><f>I434</f><v /></c><c r="J435" s="314"><f>J434</f><v /></c><c r="K435" s="372"><f>K434</f><v /></c><c r="L435" s="372"><f>L434</f><v /></c><c r="M435" s="373" t="n"><v>83.48999999999999</v></c><c r="N435" s="373" t="n"><v>183.85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379"><f>W434</f><v /></c><c r="X435" s="379"><f>X434</f><v /></c><c r="Y435" s="373" t="n"><v>189.95</v></c><c r="Z435" s="373" t="n"><v>199.95</v></c><c r="AA435" s="380"><f>AA434</f><v /></c><c r="AB435" s="381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379"><f>AI434</f><v /></c><c r="AJ435" s="379"><f>AJ434</f><v /></c><c r="AK435" s="373"><f>Z435</f><v /></c><c r="AL435" s="373" t="n"><v>205</v></c><c r="AM435" s="382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3"><f>IF(I435&gt;=1,"NO CONFORME",IF(BK435="SIGDIFERENTES",BC435,BL435))</f><v /></c><c r="AU435" s="365"><f>B435=C435</f><v /></c><c r="AV435" s="365"><f>N435&lt;Y435</f><v /></c><c r="AW435" s="365"><f>Z435&lt;=AK435</f><v /></c><c r="AX435" s="365"><f>IF(I435&gt;=1,"Qcorrecto",IF(AND(AY435="aceptable",AZ435="aceptable",BA435="aceptable"),"Qcorrecto","Qincorrecto"))</f><v /></c><c r="AY435" s="366"><f>IF(AR435&lt;$AH$6,"error",IF(AR435&gt;$AH$6*1.1,"error","aceptable"))</f><v /></c><c r="AZ435" s="366"><f>IF(AF435&lt;$V$6,"error",IF(AF435&gt;$V$6*1.1,"error","aceptable"))</f><v /></c><c r="BA435" s="366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7"><f>SIGN(U435)</f><v /></c><c r="BE435" s="367"><f>SIGN(AG435)</f><v /></c><c r="BF435" s="367"><f>SIGN(AS435)</f><v /></c><c r="BG435" s="367"><f>CONCATENATE(BD435,BE435,BF435)</f><v /></c><c r="BH435" s="367"><f>IF(BG435="111","SI","SD")</f><v /></c><c r="BI435" s="367"><f>IF(BG435="-1-1-1","SI","SD")</f><v /></c><c r="BJ435" s="367"><f>OR(BH435="SI",BI435="SI")</f><v /></c><c r="BK435" s="367"><f>IF(BJ435=FALSE,"SIGDIFERENTES","SIGIGUALES")</f><v /></c><c r="BL435" s="366"><f>IF(BC435="NO CONFORME","NO CONFORME",IF(BB435="CONFORME","CONFORME","NO CONFORME"))</f><v /></c></row><row r="436" ht="15" customHeight="1" thickBot="1"><c r="A436" s="351" t="n"><v>428</v></c><c r="B436" s="369"><f>B435</f><v /></c><c r="C436" s="369"><f>C435</f><v /></c><c r="D436" s="370"><f>D435</f><v /></c><c r="E436" s="371"><f>E435</f><v /></c><c r="F436" s="13" t="n" /><c r="G436" s="477" t="inlineStr"><is><t>PA25516828</t></is></c><c r="H436" s="313"><f>H435</f><v /></c><c r="I436" s="38"><f>I435</f><v /></c><c r="J436" s="314"><f>J435</f><v /></c><c r="K436" s="372"><f>K435</f><v /></c><c r="L436" s="372"><f>L435</f><v /></c><c r="M436" s="373" t="n"><v>83.55</v></c><c r="N436" s="373" t="n"><v>183.39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379"><f>W435</f><v /></c><c r="X436" s="379"><f>X435</f><v /></c><c r="Y436" s="373" t="n"><v>189.44</v></c><c r="Z436" s="373" t="n"><v>199.41</v></c><c r="AA436" s="380"><f>AA435</f><v /></c><c r="AB436" s="381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379"><f>AI435</f><v /></c><c r="AJ436" s="379"><f>AJ435</f><v /></c><c r="AK436" s="373"><f>Z436</f><v /></c><c r="AL436" s="373" t="n"><v>204.4</v></c><c r="AM436" s="382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3"><f>IF(I436&gt;=1,"NO CONFORME",IF(BK436="SIGDIFERENTES",BC436,BL436))</f><v /></c><c r="AU436" s="365"><f>B436=C436</f><v /></c><c r="AV436" s="365"><f>N436&lt;Y436</f><v /></c><c r="AW436" s="365"><f>Z436&lt;=AK436</f><v /></c><c r="AX436" s="365"><f>IF(I436&gt;=1,"Qcorrecto",IF(AND(AY436="aceptable",AZ436="aceptable",BA436="aceptable"),"Qcorrecto","Qincorrecto"))</f><v /></c><c r="AY436" s="366"><f>IF(AR436&lt;$AH$6,"error",IF(AR436&gt;$AH$6*1.1,"error","aceptable"))</f><v /></c><c r="AZ436" s="366"><f>IF(AF436&lt;$V$6,"error",IF(AF436&gt;$V$6*1.1,"error","aceptable"))</f><v /></c><c r="BA436" s="366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7"><f>SIGN(U436)</f><v /></c><c r="BE436" s="367"><f>SIGN(AG436)</f><v /></c><c r="BF436" s="367"><f>SIGN(AS436)</f><v /></c><c r="BG436" s="367"><f>CONCATENATE(BD436,BE436,BF436)</f><v /></c><c r="BH436" s="367"><f>IF(BG436="111","SI","SD")</f><v /></c><c r="BI436" s="367"><f>IF(BG436="-1-1-1","SI","SD")</f><v /></c><c r="BJ436" s="367"><f>OR(BH436="SI",BI436="SI")</f><v /></c><c r="BK436" s="367"><f>IF(BJ436=FALSE,"SIGDIFERENTES","SIGIGUALES")</f><v /></c><c r="BL436" s="366"><f>IF(BC436="NO CONFORME","NO CONFORME",IF(BB436="CONFORME","CONFORME","NO CONFORME"))</f><v /></c></row><row r="437" ht="15" customHeight="1" thickBot="1"><c r="A437" s="351" t="n"><v>429</v></c><c r="B437" s="369"><f>B436</f><v /></c><c r="C437" s="369"><f>C436</f><v /></c><c r="D437" s="370"><f>D436</f><v /></c><c r="E437" s="371"><f>E436</f><v /></c><c r="F437" s="13" t="n" /><c r="G437" s="477" t="inlineStr"><is><t>PA25516829</t></is></c><c r="H437" s="313"><f>H436</f><v /></c><c r="I437" s="38"><f>I436</f><v /></c><c r="J437" s="314"><f>J436</f><v /></c><c r="K437" s="372"><f>K436</f><v /></c><c r="L437" s="372"><f>L436</f><v /></c><c r="M437" s="373" t="n"><v>83.90000000000001</v></c><c r="N437" s="373" t="n"><v>184.15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379"><f>W436</f><v /></c><c r="X437" s="379"><f>X436</f><v /></c><c r="Y437" s="373" t="n"><v>190.25</v></c><c r="Z437" s="373" t="n"><v>200.21</v></c><c r="AA437" s="380"><f>AA436</f><v /></c><c r="AB437" s="381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379"><f>AI436</f><v /></c><c r="AJ437" s="379"><f>AJ436</f><v /></c><c r="AK437" s="373"><f>Z437</f><v /></c><c r="AL437" s="373" t="n"><v>205.2</v></c><c r="AM437" s="382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3"><f>IF(I437&gt;=1,"NO CONFORME",IF(BK437="SIGDIFERENTES",BC437,BL437))</f><v /></c><c r="AU437" s="365"><f>B437=C437</f><v /></c><c r="AV437" s="365"><f>N437&lt;Y437</f><v /></c><c r="AW437" s="365"><f>Z437&lt;=AK437</f><v /></c><c r="AX437" s="365"><f>IF(I437&gt;=1,"Qcorrecto",IF(AND(AY437="aceptable",AZ437="aceptable",BA437="aceptable"),"Qcorrecto","Qincorrecto"))</f><v /></c><c r="AY437" s="366"><f>IF(AR437&lt;$AH$6,"error",IF(AR437&gt;$AH$6*1.1,"error","aceptable"))</f><v /></c><c r="AZ437" s="366"><f>IF(AF437&lt;$V$6,"error",IF(AF437&gt;$V$6*1.1,"error","aceptable"))</f><v /></c><c r="BA437" s="366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7"><f>SIGN(U437)</f><v /></c><c r="BE437" s="367"><f>SIGN(AG437)</f><v /></c><c r="BF437" s="367"><f>SIGN(AS437)</f><v /></c><c r="BG437" s="367"><f>CONCATENATE(BD437,BE437,BF437)</f><v /></c><c r="BH437" s="367"><f>IF(BG437="111","SI","SD")</f><v /></c><c r="BI437" s="367"><f>IF(BG437="-1-1-1","SI","SD")</f><v /></c><c r="BJ437" s="367"><f>OR(BH437="SI",BI437="SI")</f><v /></c><c r="BK437" s="367"><f>IF(BJ437=FALSE,"SIGDIFERENTES","SIGIGUALES")</f><v /></c><c r="BL437" s="366"><f>IF(BC437="NO CONFORME","NO CONFORME",IF(BB437="CONFORME","CONFORME","NO CONFORME"))</f><v /></c></row><row r="438" ht="15" customHeight="1" thickBot="1"><c r="A438" s="351" t="n"><v>430</v></c><c r="B438" s="369"><f>B437</f><v /></c><c r="C438" s="369"><f>C437</f><v /></c><c r="D438" s="370"><f>D437</f><v /></c><c r="E438" s="371"><f>E437</f><v /></c><c r="F438" s="13" t="n" /><c r="G438" s="477" t="inlineStr"><is><t>PA25516830</t></is></c><c r="H438" s="313"><f>H437</f><v /></c><c r="I438" s="38"><f>I437</f><v /></c><c r="J438" s="314"><f>J437</f><v /></c><c r="K438" s="372"><f>K437</f><v /></c><c r="L438" s="372"><f>L437</f><v /></c><c r="M438" s="373" t="n"><v>82.45</v></c><c r="N438" s="373" t="n"><v>182.71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379"><f>W437</f><v /></c><c r="X438" s="379"><f>X437</f><v /></c><c r="Y438" s="373" t="n"><v>188.75</v></c><c r="Z438" s="373" t="n"><v>198.72</v></c><c r="AA438" s="380"><f>AA437</f><v /></c><c r="AB438" s="381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379"><f>AI437</f><v /></c><c r="AJ438" s="379"><f>AJ437</f><v /></c><c r="AK438" s="373"><f>Z438</f><v /></c><c r="AL438" s="373" t="n"><v>203.72</v></c><c r="AM438" s="382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3"><f>IF(I438&gt;=1,"NO CONFORME",IF(BK438="SIGDIFERENTES",BC438,BL438))</f><v /></c><c r="AU438" s="365"><f>B438=C438</f><v /></c><c r="AV438" s="365"><f>N438&lt;Y438</f><v /></c><c r="AW438" s="365"><f>Z438&lt;=AK438</f><v /></c><c r="AX438" s="365"><f>IF(I438&gt;=1,"Qcorrecto",IF(AND(AY438="aceptable",AZ438="aceptable",BA438="aceptable"),"Qcorrecto","Qincorrecto"))</f><v /></c><c r="AY438" s="366"><f>IF(AR438&lt;$AH$6,"error",IF(AR438&gt;$AH$6*1.1,"error","aceptable"))</f><v /></c><c r="AZ438" s="366"><f>IF(AF438&lt;$V$6,"error",IF(AF438&gt;$V$6*1.1,"error","aceptable"))</f><v /></c><c r="BA438" s="366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7"><f>SIGN(U438)</f><v /></c><c r="BE438" s="367"><f>SIGN(AG438)</f><v /></c><c r="BF438" s="367"><f>SIGN(AS438)</f><v /></c><c r="BG438" s="367"><f>CONCATENATE(BD438,BE438,BF438)</f><v /></c><c r="BH438" s="367"><f>IF(BG438="111","SI","SD")</f><v /></c><c r="BI438" s="367"><f>IF(BG438="-1-1-1","SI","SD")</f><v /></c><c r="BJ438" s="367"><f>OR(BH438="SI",BI438="SI")</f><v /></c><c r="BK438" s="367"><f>IF(BJ438=FALSE,"SIGDIFERENTES","SIGIGUALES")</f><v /></c><c r="BL438" s="366"><f>IF(BC438="NO CONFORME","NO CONFORME",IF(BB438="CONFORME","CONFORME","NO CONFORME"))</f><v /></c></row><row r="439" ht="15" customHeight="1" thickBot="1"><c r="A439" s="351" t="n"><v>431</v></c><c r="B439" s="369"><f>B438</f><v /></c><c r="C439" s="369"><f>C438</f><v /></c><c r="D439" s="370"><f>D438</f><v /></c><c r="E439" s="371"><f>E438</f><v /></c><c r="F439" s="13" t="n" /><c r="G439" s="477" t="inlineStr"><is><t>PA25516831</t></is></c><c r="H439" s="313"><f>H438</f><v /></c><c r="I439" s="38"><f>I438</f><v /></c><c r="J439" s="314"><f>J438</f><v /></c><c r="K439" s="372"><f>K438</f><v /></c><c r="L439" s="372"><f>L438</f><v /></c><c r="M439" s="373" t="n"><v>82.90000000000001</v></c><c r="N439" s="373" t="n"><v>182.65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379"><f>W438</f><v /></c><c r="X439" s="379"><f>X438</f><v /></c><c r="Y439" s="373" t="n"><v>188.71</v></c><c r="Z439" s="373" t="n"><v>198.63</v></c><c r="AA439" s="380"><f>AA438</f><v /></c><c r="AB439" s="381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379"><f>AI438</f><v /></c><c r="AJ439" s="379"><f>AJ438</f><v /></c><c r="AK439" s="373"><f>Z439</f><v /></c><c r="AL439" s="373" t="n"><v>203.55</v></c><c r="AM439" s="382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3"><f>IF(I439&gt;=1,"NO CONFORME",IF(BK439="SIGDIFERENTES",BC439,BL439))</f><v /></c><c r="AU439" s="365"><f>B439=C439</f><v /></c><c r="AV439" s="365"><f>N439&lt;Y439</f><v /></c><c r="AW439" s="365"><f>Z439&lt;=AK439</f><v /></c><c r="AX439" s="365"><f>IF(I439&gt;=1,"Qcorrecto",IF(AND(AY439="aceptable",AZ439="aceptable",BA439="aceptable"),"Qcorrecto","Qincorrecto"))</f><v /></c><c r="AY439" s="366"><f>IF(AR439&lt;$AH$6,"error",IF(AR439&gt;$AH$6*1.1,"error","aceptable"))</f><v /></c><c r="AZ439" s="366"><f>IF(AF439&lt;$V$6,"error",IF(AF439&gt;$V$6*1.1,"error","aceptable"))</f><v /></c><c r="BA439" s="366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7"><f>SIGN(U439)</f><v /></c><c r="BE439" s="367"><f>SIGN(AG439)</f><v /></c><c r="BF439" s="367"><f>SIGN(AS439)</f><v /></c><c r="BG439" s="367"><f>CONCATENATE(BD439,BE439,BF439)</f><v /></c><c r="BH439" s="367"><f>IF(BG439="111","SI","SD")</f><v /></c><c r="BI439" s="367"><f>IF(BG439="-1-1-1","SI","SD")</f><v /></c><c r="BJ439" s="367"><f>OR(BH439="SI",BI439="SI")</f><v /></c><c r="BK439" s="367"><f>IF(BJ439=FALSE,"SIGDIFERENTES","SIGIGUALES")</f><v /></c><c r="BL439" s="366"><f>IF(BC439="NO CONFORME","NO CONFORME",IF(BB439="CONFORME","CONFORME","NO CONFORME"))</f><v /></c></row><row r="440" ht="15" customHeight="1" thickBot="1"><c r="A440" s="453" t="n"><v>432</v></c><c r="B440" s="454"><f>B439</f><v /></c><c r="C440" s="454"><f>C439</f><v /></c><c r="D440" s="455"><f>D439</f><v /></c><c r="E440" s="474"><f>E439</f><v /></c><c r="F440" s="52" t="n" /><c r="G440" s="477" t="inlineStr"><is><t>PA25516832</t></is></c><c r="H440" s="326"><f>H439</f><v /></c><c r="I440" s="98"><f>I439</f><v /></c><c r="J440" s="327"><f>J439</f><v /></c><c r="K440" s="458"><f>K439</f><v /></c><c r="L440" s="458"><f>L439</f><v /></c><c r="M440" s="459" t="n"><v>83.52</v></c><c r="N440" s="459" t="n"><v>183.65</v></c><c r="O440" s="460"><f>O439</f><v /></c><c r="P440" s="461"><f>P439</f><v /></c><c r="Q440" s="462"><f>LEFT(P440,1)</f><v /></c><c r="R440" s="462"><f>RIGHT(P440,6)</f><v /></c><c r="S440" s="462"><f>+(Q440*60+R440)/(60*60)</f><v /></c><c r="T440" s="463"><f>+O440/S440</f><v /></c><c r="U440" s="464"><f>+(((N440-M440-O440)/O440)*100)</f><v /></c><c r="V440" s="329"><f>V439</f><v /></c><c r="W440" s="465"><f>W439</f><v /></c><c r="X440" s="465"><f>X439</f><v /></c><c r="Y440" s="459" t="n"><v>189.71</v></c><c r="Z440" s="459" t="n"><v>199.72</v></c><c r="AA440" s="466"><f>AA439</f><v /></c><c r="AB440" s="467"><f>AB439</f><v /></c><c r="AC440" s="462"><f>LEFT(AB440,2)</f><v /></c><c r="AD440" s="462"><f>RIGHT(AB440,6)</f><v /></c><c r="AE440" s="462"><f>+(AC440*60+AD440)/(60*60)</f><v /></c><c r="AF440" s="463"><f>+AA440/AE440</f><v /></c><c r="AG440" s="468"><f>+(((Z440-Y440-AA440)/AA440)*100)</f><v /></c><c r="AH440" s="329"><f>AH439</f><v /></c><c r="AI440" s="465"><f>AI439</f><v /></c><c r="AJ440" s="465"><f>AJ439</f><v /></c><c r="AK440" s="459"><f>Z440</f><v /></c><c r="AL440" s="459" t="n"><v>204.71</v></c><c r="AM440" s="469"><f>AM439</f><v /></c><c r="AN440" s="461"><f>AN439</f><v /></c><c r="AO440" s="462"><f>LEFT(AN440,2)</f><v /></c><c r="AP440" s="462"><f>RIGHT(AN440,6)</f><v /></c><c r="AQ440" s="462"><f>+(AO440*60+AP440)/(60*60)</f><v /></c><c r="AR440" s="463"><f>+AM440/AQ440</f><v /></c><c r="AS440" s="468"><f>+(((AL440-AK440-AM440)/AM440)*100)</f><v /></c><c r="AT440" s="470"><f>IF(I440&gt;=1,"NO CONFORME",IF(BK440="SIGDIFERENTES",BC440,BL440))</f><v /></c><c r="AU440" s="426"><f>B440=C440</f><v /></c><c r="AV440" s="426"><f>N440&lt;Y440</f><v /></c><c r="AW440" s="426"><f>Z440&lt;=AK440</f><v /></c><c r="AX440" s="426"><f>IF(I440&gt;=1,"Qcorrecto",IF(AND(AY440="aceptable",AZ440="aceptable",BA440="aceptable"),"Qcorrecto","Qincorrecto"))</f><v /></c><c r="AY440" s="427"><f>IF(AR440&lt;$AH$6,"error",IF(AR440&gt;$AH$6*1.1,"error","aceptable"))</f><v /></c><c r="AZ440" s="427"><f>IF(AF440&lt;$V$6,"error",IF(AF440&gt;$V$6*1.1,"error","aceptable"))</f><v /></c><c r="BA440" s="427"><f>IF(T440&lt;$J$6*0.9,"error",IF(T440&gt;$J$6,"error","aceptable"))</f><v /></c><c r="BB440" s="428"><f>(IF(ABS(U440)&lt;1.05,"CONFORME",IF(ABS(AG440)&lt;1.05,"CONFORME",IF(ABS(AS440)&lt;2.55,"CONFORME","NO CONFORME"))))</f><v /></c><c r="BC440" s="429"><f>(IF(ABS(U440)&gt;2.05,"NO CONFORME",IF(ABS(AG440)&gt;2.05,"NO CONFORME",IF(ABS(AS440)&gt;5.05,"NO CONFORME","CONFORME"))))</f><v /></c><c r="BD440" s="430"><f>SIGN(U440)</f><v /></c><c r="BE440" s="430"><f>SIGN(AG440)</f><v /></c><c r="BF440" s="430"><f>SIGN(AS440)</f><v /></c><c r="BG440" s="430"><f>CONCATENATE(BD440,BE440,BF440)</f><v /></c><c r="BH440" s="430"><f>IF(BG440="111","SI","SD")</f><v /></c><c r="BI440" s="430"><f>IF(BG440="-1-1-1","SI","SD")</f><v /></c><c r="BJ440" s="430"><f>OR(BH440="SI",BI440="SI")</f><v /></c><c r="BK440" s="430"><f>IF(BJ440=FALSE,"SIGDIFERENTES","SIGIGUALES")</f><v /></c><c r="BL440" s="427"><f>IF(BC440="NO CONFORME","NO CONFORME",IF(BB440="CONFORME","CONFORME","NO CONFORME"))</f><v /></c></row><row r="441" ht="15" customHeight="1" thickBot="1"><c r="A441" s="351" t="n"><v>433</v></c><c r="B441" s="386"><f>B440</f><v /></c><c r="C441" s="386"><f>C440</f><v /></c><c r="D441" s="387"><f>D440</f><v /></c><c r="E441" s="475"><f>E440</f><v /></c><c r="F441" s="58" t="n" /><c r="G441" s="457" t="inlineStr"><is><t>PA25516833</t></is></c><c r="H441" s="388"><f>H440</f><v /></c><c r="I441" s="232"><f>I440</f><v /></c><c r="J441" s="389" t="n"><v>21.2</v></c><c r="K441" s="390" t="n"><v>8.210000000000001</v></c><c r="L441" s="390" t="n"><v>0.5639999999999999</v></c><c r="M441" s="356" t="n"><v>77.84</v></c><c r="N441" s="356" t="n"><v>177.25</v></c><c r="O441" s="391" t="n"><v>100.6</v></c><c r="P441" s="392" t="inlineStr"><is><t>2,32,140</t></is></c><c r="Q441" s="359"><f>LEFT(P441,1)</f><v /></c><c r="R441" s="359"><f>RIGHT(P441,6)</f><v /></c><c r="S441" s="359"><f>+(Q441*60+R441)/(60*60)</f><v /></c><c r="T441" s="360"><f>+O441/S441</f><v /></c><c r="U441" s="361"><f>+(((N441-M441-O441)/O441)*100)</f><v /></c><c r="V441" s="393" t="n"><v>20.9</v></c><c r="W441" s="394" t="n"><v>1.07</v></c><c r="X441" s="394" t="n"><v>1.062</v></c><c r="Y441" s="356" t="n"><v>183.48</v></c><c r="Z441" s="356" t="n"><v>193.36</v></c><c r="AA441" s="395" t="n"><v>10.009</v></c><c r="AB441" s="396" t="inlineStr"><is><t>22,30,670</t></is></c><c r="AC441" s="359"><f>LEFT(AB441,2)</f><v /></c><c r="AD441" s="359"><f>RIGHT(AB441,6)</f><v /></c><c r="AE441" s="359"><f>+(AC441*60+AD441)/(60*60)</f><v /></c><c r="AF441" s="360"><f>+AA441/AE441</f><v /></c><c r="AG441" s="362"><f>+(((Z441-Y441-AA441)/AA441)*100)</f><v /></c><c r="AH441" s="393" t="n"><v>20.9</v></c><c r="AI441" s="394" t="n"><v>1.066</v></c><c r="AJ441" s="394" t="n"><v>1.063</v></c><c r="AK441" s="356"><f>Z441</f><v /></c><c r="AL441" s="356" t="n"><v>198.36</v></c><c r="AM441" s="397" t="n"><v>5.015</v></c><c r="AN441" s="392" t="inlineStr"><is><t>18,27,010</t></is></c><c r="AO441" s="359"><f>LEFT(AN441,2)</f><v /></c><c r="AP441" s="359"><f>RIGHT(AN441,6)</f><v /></c><c r="AQ441" s="359"><f>+(AO441*60+AP441)/(60*60)</f><v /></c><c r="AR441" s="360"><f>+AM441/AQ441</f><v /></c><c r="AS441" s="362"><f>+(((AL441-AK441-AM441)/AM441)*100)</f><v /></c><c r="AT441" s="364"><f>IF(I441&gt;=1,"NO CONFORME",IF(BK441="SIGDIFERENTES",BC441,BL441))</f><v /></c><c r="AU441" s="365"><f>B441=C441</f><v /></c><c r="AV441" s="365"><f>N441&lt;Y441</f><v /></c><c r="AW441" s="365"><f>Z441&lt;=AK441</f><v /></c><c r="AX441" s="365"><f>IF(I441&gt;=1,"Qcorrecto",IF(AND(AY441="aceptable",AZ441="aceptable",BA441="aceptable"),"Qcorrecto","Qincorrecto"))</f><v /></c><c r="AY441" s="368"><f>IF(AR441&lt;$AH$6,"error",IF(AR441&gt;$AH$6*1.1,"error","aceptable"))</f><v /></c><c r="AZ441" s="368"><f>IF(AF441&lt;$V$6,"error",IF(AF441&gt;$V$6*1.1,"error","aceptable"))</f><v /></c><c r="BA441" s="368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7"><f>SIGN(U441)</f><v /></c><c r="BE441" s="367"><f>SIGN(AG441)</f><v /></c><c r="BF441" s="367"><f>SIGN(AS441)</f><v /></c><c r="BG441" s="367"><f>CONCATENATE(BD441,BE441,BF441)</f><v /></c><c r="BH441" s="367"><f>IF(BG441="111","SI","SD")</f><v /></c><c r="BI441" s="367"><f>IF(BG441="-1-1-1","SI","SD")</f><v /></c><c r="BJ441" s="367"><f>OR(BH441="SI",BI441="SI")</f><v /></c><c r="BK441" s="367"><f>IF(BJ441=FALSE,"SIGDIFERENTES","SIGIGUALES")</f><v /></c><c r="BL441" s="368"><f>IF(BC441="NO CONFORME","NO CONFORME",IF(BB441="CONFORME","CONFORME","NO CONFORME"))</f><v /></c></row><row r="442" ht="15" customHeight="1" thickBot="1"><c r="A442" s="351" t="n"><v>434</v></c><c r="B442" s="369"><f>B441</f><v /></c><c r="C442" s="369"><f>C441</f><v /></c><c r="D442" s="370"><f>D441</f><v /></c><c r="E442" s="371"><f>E441</f><v /></c><c r="F442" s="13" t="n" /><c r="G442" s="477" t="inlineStr"><is><t>PA25516834</t></is></c><c r="H442" s="313"><f>H441</f><v /></c><c r="I442" s="38"><f>I441</f><v /></c><c r="J442" s="314"><f>J441</f><v /></c><c r="K442" s="372"><f>K441</f><v /></c><c r="L442" s="372"><f>L441</f><v /></c><c r="M442" s="373" t="n"><v>76.45</v></c><c r="N442" s="373" t="n"><v>175.8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379"><f>W441</f><v /></c><c r="X442" s="379"><f>X441</f><v /></c><c r="Y442" s="373" t="n"><v>182.06</v></c><c r="Z442" s="373" t="n"><v>192.01</v></c><c r="AA442" s="380"><f>AA441</f><v /></c><c r="AB442" s="381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379"><f>AI441</f><v /></c><c r="AJ442" s="379"><f>AJ441</f><v /></c><c r="AK442" s="373"><f>Z442</f><v /></c><c r="AL442" s="373" t="n"><v>196.96</v></c><c r="AM442" s="382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3"><f>IF(I442&gt;=1,"NO CONFORME",IF(BK442="SIGDIFERENTES",BC442,BL442))</f><v /></c><c r="AU442" s="365"><f>B442=C442</f><v /></c><c r="AV442" s="365"><f>N442&lt;Y442</f><v /></c><c r="AW442" s="365"><f>Z442&lt;=AK442</f><v /></c><c r="AX442" s="365"><f>IF(I442&gt;=1,"Qcorrecto",IF(AND(AY442="aceptable",AZ442="aceptable",BA442="aceptable"),"Qcorrecto","Qincorrecto"))</f><v /></c><c r="AY442" s="366"><f>IF(AR442&lt;$AH$6,"error",IF(AR442&gt;$AH$6*1.1,"error","aceptable"))</f><v /></c><c r="AZ442" s="366"><f>IF(AF442&lt;$V$6,"error",IF(AF442&gt;$V$6*1.1,"error","aceptable"))</f><v /></c><c r="BA442" s="366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7"><f>SIGN(U442)</f><v /></c><c r="BE442" s="367"><f>SIGN(AG442)</f><v /></c><c r="BF442" s="367"><f>SIGN(AS442)</f><v /></c><c r="BG442" s="367"><f>CONCATENATE(BD442,BE442,BF442)</f><v /></c><c r="BH442" s="367"><f>IF(BG442="111","SI","SD")</f><v /></c><c r="BI442" s="367"><f>IF(BG442="-1-1-1","SI","SD")</f><v /></c><c r="BJ442" s="367"><f>OR(BH442="SI",BI442="SI")</f><v /></c><c r="BK442" s="367"><f>IF(BJ442=FALSE,"SIGDIFERENTES","SIGIGUALES")</f><v /></c><c r="BL442" s="366"><f>IF(BC442="NO CONFORME","NO CONFORME",IF(BB442="CONFORME","CONFORME","NO CONFORME"))</f><v /></c></row><row r="443" ht="15" customHeight="1" thickBot="1"><c r="A443" s="351" t="n"><v>435</v></c><c r="B443" s="369"><f>B442</f><v /></c><c r="C443" s="369"><f>C442</f><v /></c><c r="D443" s="370"><f>D442</f><v /></c><c r="E443" s="371"><f>E442</f><v /></c><c r="F443" s="13" t="n" /><c r="G443" s="336" t="inlineStr"><is><t>PA25516835</t></is></c><c r="H443" s="313"><f>H442</f><v /></c><c r="I443" s="38"><f>I442</f><v /></c><c r="J443" s="314"><f>J442</f><v /></c><c r="K443" s="372"><f>K442</f><v /></c><c r="L443" s="372"><f>L442</f><v /></c><c r="M443" s="373" t="n"><v>76.66</v></c><c r="N443" s="373" t="n"><v>176.74</v></c><c r="O443" s="374"><f>O442</f><v /></c><c r="P443" s="375"><f>P442</f><v /></c><c r="Q443" s="376"><f>LEFT(P443,1)</f><v /></c><c r="R443" s="376"><f>RIGHT(P443,6)</f><v /></c><c r="S443" s="376"><f>+(Q443*60+R443)/(60*60)</f><v /></c><c r="T443" s="377"><f>+O443/S443</f><v /></c><c r="U443" s="378"><f>+(((N443-M443-O443)/O443)*100)</f><v /></c><c r="V443" s="317"><f>V442</f><v /></c><c r="W443" s="379"><f>W442</f><v /></c><c r="X443" s="379"><f>X442</f><v /></c><c r="Y443" s="373" t="n"><v>183</v></c><c r="Z443" s="373" t="n"><v>192.86</v></c><c r="AA443" s="380"><f>AA442</f><v /></c><c r="AB443" s="381"><f>AB442</f><v /></c><c r="AC443" s="376"><f>LEFT(AB443,2)</f><v /></c><c r="AD443" s="376"><f>RIGHT(AB443,6)</f><v /></c><c r="AE443" s="376"><f>+(AC443*60+AD443)/(60*60)</f><v /></c><c r="AF443" s="377"><f>+AA443/AE443</f><v /></c><c r="AG443" s="321"><f>+(((Z443-Y443-AA443)/AA443)*100)</f><v /></c><c r="AH443" s="317"><f>AH442</f><v /></c><c r="AI443" s="379"><f>AI442</f><v /></c><c r="AJ443" s="379"><f>AJ442</f><v /></c><c r="AK443" s="373"><f>Z443</f><v /></c><c r="AL443" s="373" t="n"><v>197.45</v></c><c r="AM443" s="382"><f>AM442</f><v /></c><c r="AN443" s="375"><f>AN442</f><v /></c><c r="AO443" s="376"><f>LEFT(AN443,2)</f><v /></c><c r="AP443" s="376"><f>RIGHT(AN443,6)</f><v /></c><c r="AQ443" s="376"><f>+(AO443*60+AP443)/(60*60)</f><v /></c><c r="AR443" s="377"><f>+AM443/AQ443</f><v /></c><c r="AS443" s="321"><f>+(((AL443-AK443-AM443)/AM443)*100)</f><v /></c><c r="AT443" s="383"><f>IF(I443&gt;=1,"NO CONFORME",IF(BK443="SIGDIFERENTES",BC443,BL443))</f><v /></c><c r="AU443" s="365"><f>B443=C443</f><v /></c><c r="AV443" s="365"><f>N443&lt;Y443</f><v /></c><c r="AW443" s="365"><f>Z443&lt;=AK443</f><v /></c><c r="AX443" s="365"><f>IF(I443&gt;=1,"Qcorrecto",IF(AND(AY443="aceptable",AZ443="aceptable",BA443="aceptable"),"Qcorrecto","Qincorrecto"))</f><v /></c><c r="AY443" s="366"><f>IF(AR443&lt;$AH$6,"error",IF(AR443&gt;$AH$6*1.1,"error","aceptable"))</f><v /></c><c r="AZ443" s="366"><f>IF(AF443&lt;$V$6,"error",IF(AF443&gt;$V$6*1.1,"error","aceptable"))</f><v /></c><c r="BA443" s="366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7"><f>SIGN(U443)</f><v /></c><c r="BE443" s="367"><f>SIGN(AG443)</f><v /></c><c r="BF443" s="367"><f>SIGN(AS443)</f><v /></c><c r="BG443" s="367"><f>CONCATENATE(BD443,BE443,BF443)</f><v /></c><c r="BH443" s="367"><f>IF(BG443="111","SI","SD")</f><v /></c><c r="BI443" s="367"><f>IF(BG443="-1-1-1","SI","SD")</f><v /></c><c r="BJ443" s="367"><f>OR(BH443="SI",BI443="SI")</f><v /></c><c r="BK443" s="367"><f>IF(BJ443=FALSE,"SIGDIFERENTES","SIGIGUALES")</f><v /></c><c r="BL443" s="366"><f>IF(BC443="NO CONFORME","NO CONFORME",IF(BB443="CONFORME","CONFORME","NO CONFORME"))</f><v /></c></row><row r="444" ht="15" customHeight="1" thickBot="1"><c r="A444" s="351" t="n"><v>436</v></c><c r="B444" s="369"><f>B443</f><v /></c><c r="C444" s="369"><f>C443</f><v /></c><c r="D444" s="370"><f>D443</f><v /></c><c r="E444" s="371"><f>E443</f><v /></c><c r="F444" s="13" t="n" /><c r="G444" s="477" t="inlineStr"><is><t>PA25516836</t></is></c><c r="H444" s="313"><f>H443</f><v /></c><c r="I444" s="38"><f>I443</f><v /></c><c r="J444" s="314"><f>J443</f><v /></c><c r="K444" s="372"><f>K443</f><v /></c><c r="L444" s="372"><f>L443</f><v /></c><c r="M444" s="373" t="n"><v>76.45</v></c><c r="N444" s="373" t="n"><v>176.46</v></c><c r="O444" s="374"><f>O443</f><v /></c><c r="P444" s="375"><f>P443</f><v /></c><c r="Q444" s="376"><f>LEFT(P444,1)</f><v /></c><c r="R444" s="376"><f>RIGHT(P444,6)</f><v /></c><c r="S444" s="376"><f>+(Q444*60+R444)/(60*60)</f><v /></c><c r="T444" s="377"><f>+O444/S444</f><v /></c><c r="U444" s="378"><f>+(((N444-M444-O444)/O444)*100)</f><v /></c><c r="V444" s="317"><f>V443</f><v /></c><c r="W444" s="379"><f>W443</f><v /></c><c r="X444" s="379"><f>X443</f><v /></c><c r="Y444" s="373" t="n"><v>182.77</v></c><c r="Z444" s="373" t="n"><v>192.75</v></c><c r="AA444" s="380"><f>AA443</f><v /></c><c r="AB444" s="381"><f>AB443</f><v /></c><c r="AC444" s="376"><f>LEFT(AB444,2)</f><v /></c><c r="AD444" s="376"><f>RIGHT(AB444,6)</f><v /></c><c r="AE444" s="376"><f>+(AC444*60+AD444)/(60*60)</f><v /></c><c r="AF444" s="377"><f>+AA444/AE444</f><v /></c><c r="AG444" s="321"><f>+(((Z444-Y444-AA444)/AA444)*100)</f><v /></c><c r="AH444" s="317"><f>AH443</f><v /></c><c r="AI444" s="379"><f>AI443</f><v /></c><c r="AJ444" s="379"><f>AJ443</f><v /></c><c r="AK444" s="373"><f>Z444</f><v /></c><c r="AL444" s="373" t="n"><v>197.7</v></c><c r="AM444" s="382"><f>AM443</f><v /></c><c r="AN444" s="375"><f>AN443</f><v /></c><c r="AO444" s="376"><f>LEFT(AN444,2)</f><v /></c><c r="AP444" s="376"><f>RIGHT(AN444,6)</f><v /></c><c r="AQ444" s="376"><f>+(AO444*60+AP444)/(60*60)</f><v /></c><c r="AR444" s="377"><f>+AM444/AQ444</f><v /></c><c r="AS444" s="321"><f>+(((AL444-AK444-AM444)/AM444)*100)</f><v /></c><c r="AT444" s="383"><f>IF(I444&gt;=1,"NO CONFORME",IF(BK444="SIGDIFERENTES",BC444,BL444))</f><v /></c><c r="AU444" s="365"><f>B444=C444</f><v /></c><c r="AV444" s="365"><f>N444&lt;Y444</f><v /></c><c r="AW444" s="365"><f>Z444&lt;=AK444</f><v /></c><c r="AX444" s="365"><f>IF(I444&gt;=1,"Qcorrecto",IF(AND(AY444="aceptable",AZ444="aceptable",BA444="aceptable"),"Qcorrecto","Qincorrecto"))</f><v /></c><c r="AY444" s="366"><f>IF(AR444&lt;$AH$6,"error",IF(AR444&gt;$AH$6*1.1,"error","aceptable"))</f><v /></c><c r="AZ444" s="366"><f>IF(AF444&lt;$V$6,"error",IF(AF444&gt;$V$6*1.1,"error","aceptable"))</f><v /></c><c r="BA444" s="366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7"><f>SIGN(U444)</f><v /></c><c r="BE444" s="367"><f>SIGN(AG444)</f><v /></c><c r="BF444" s="367"><f>SIGN(AS444)</f><v /></c><c r="BG444" s="367"><f>CONCATENATE(BD444,BE444,BF444)</f><v /></c><c r="BH444" s="367"><f>IF(BG444="111","SI","SD")</f><v /></c><c r="BI444" s="367"><f>IF(BG444="-1-1-1","SI","SD")</f><v /></c><c r="BJ444" s="367"><f>OR(BH444="SI",BI444="SI")</f><v /></c><c r="BK444" s="367"><f>IF(BJ444=FALSE,"SIGDIFERENTES","SIGIGUALES")</f><v /></c><c r="BL444" s="366"><f>IF(BC444="NO CONFORME","NO CONFORME",IF(BB444="CONFORME","CONFORME","NO CONFORME"))</f><v /></c></row><row r="445" ht="15" customHeight="1" thickBot="1"><c r="A445" s="351" t="n"><v>437</v></c><c r="B445" s="369"><f>B444</f><v /></c><c r="C445" s="369"><f>C444</f><v /></c><c r="D445" s="370"><f>D444</f><v /></c><c r="E445" s="371"><f>E444</f><v /></c><c r="F445" s="13" t="n" /><c r="G445" s="477" t="inlineStr"><is><t>PA25516837</t></is></c><c r="H445" s="313"><f>H444</f><v /></c><c r="I445" s="38"><f>I444</f><v /></c><c r="J445" s="314"><f>J444</f><v /></c><c r="K445" s="372"><f>K444</f><v /></c><c r="L445" s="372"><f>L444</f><v /></c><c r="M445" s="373" t="n"><v>75.98</v></c><c r="N445" s="373" t="n"><v>175.26</v></c><c r="O445" s="374"><f>O444</f><v /></c><c r="P445" s="375"><f>P444</f><v /></c><c r="Q445" s="376"><f>LEFT(P445,1)</f><v /></c><c r="R445" s="376"><f>RIGHT(P445,6)</f><v /></c><c r="S445" s="376"><f>+(Q445*60+R445)/(60*60)</f><v /></c><c r="T445" s="377"><f>+O445/S445</f><v /></c><c r="U445" s="378"><f>+(((N445-M445-O445)/O445)*100)</f><v /></c><c r="V445" s="317"><f>V444</f><v /></c><c r="W445" s="379"><f>W444</f><v /></c><c r="X445" s="379"><f>X444</f><v /></c><c r="Y445" s="373" t="n"><v>181.5</v></c><c r="Z445" s="373" t="n"><v>191.39</v></c><c r="AA445" s="380"><f>AA444</f><v /></c><c r="AB445" s="381"><f>AB444</f><v /></c><c r="AC445" s="376"><f>LEFT(AB445,2)</f><v /></c><c r="AD445" s="376"><f>RIGHT(AB445,6)</f><v /></c><c r="AE445" s="376"><f>+(AC445*60+AD445)/(60*60)</f><v /></c><c r="AF445" s="377"><f>+AA445/AE445</f><v /></c><c r="AG445" s="321"><f>+(((Z445-Y445-AA445)/AA445)*100)</f><v /></c><c r="AH445" s="317"><f>AH444</f><v /></c><c r="AI445" s="379"><f>AI444</f><v /></c><c r="AJ445" s="379"><f>AJ444</f><v /></c><c r="AK445" s="373"><f>Z445</f><v /></c><c r="AL445" s="373" t="n"><v>196.36</v></c><c r="AM445" s="382"><f>AM444</f><v /></c><c r="AN445" s="375"><f>AN444</f><v /></c><c r="AO445" s="376"><f>LEFT(AN445,2)</f><v /></c><c r="AP445" s="376"><f>RIGHT(AN445,6)</f><v /></c><c r="AQ445" s="376"><f>+(AO445*60+AP445)/(60*60)</f><v /></c><c r="AR445" s="377"><f>+AM445/AQ445</f><v /></c><c r="AS445" s="321"><f>+(((AL445-AK445-AM445)/AM445)*100)</f><v /></c><c r="AT445" s="383"><f>IF(I445&gt;=1,"NO CONFORME",IF(BK445="SIGDIFERENTES",BC445,BL445))</f><v /></c><c r="AU445" s="365"><f>B445=C445</f><v /></c><c r="AV445" s="365"><f>N445&lt;Y445</f><v /></c><c r="AW445" s="365"><f>Z445&lt;=AK445</f><v /></c><c r="AX445" s="365"><f>IF(I445&gt;=1,"Qcorrecto",IF(AND(AY445="aceptable",AZ445="aceptable",BA445="aceptable"),"Qcorrecto","Qincorrecto"))</f><v /></c><c r="AY445" s="366"><f>IF(AR445&lt;$AH$6,"error",IF(AR445&gt;$AH$6*1.1,"error","aceptable"))</f><v /></c><c r="AZ445" s="366"><f>IF(AF445&lt;$V$6,"error",IF(AF445&gt;$V$6*1.1,"error","aceptable"))</f><v /></c><c r="BA445" s="366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367"><f>SIGN(U445)</f><v /></c><c r="BE445" s="367"><f>SIGN(AG445)</f><v /></c><c r="BF445" s="367"><f>SIGN(AS445)</f><v /></c><c r="BG445" s="367"><f>CONCATENATE(BD445,BE445,BF445)</f><v /></c><c r="BH445" s="367"><f>IF(BG445="111","SI","SD")</f><v /></c><c r="BI445" s="367"><f>IF(BG445="-1-1-1","SI","SD")</f><v /></c><c r="BJ445" s="367"><f>OR(BH445="SI",BI445="SI")</f><v /></c><c r="BK445" s="367"><f>IF(BJ445=FALSE,"SIGDIFERENTES","SIGIGUALES")</f><v /></c><c r="BL445" s="366"><f>IF(BC445="NO CONFORME","NO CONFORME",IF(BB445="CONFORME","CONFORME","NO CONFORME"))</f><v /></c></row><row r="446" ht="15" customHeight="1" thickBot="1"><c r="A446" s="351" t="n"><v>438</v></c><c r="B446" s="369"><f>B445</f><v /></c><c r="C446" s="369"><f>C445</f><v /></c><c r="D446" s="370"><f>D445</f><v /></c><c r="E446" s="371"><f>E445</f><v /></c><c r="F446" s="13" t="n" /><c r="G446" s="477" t="inlineStr"><is><t>PA25516838</t></is></c><c r="H446" s="313"><f>H445</f><v /></c><c r="I446" s="38"><f>I445</f><v /></c><c r="J446" s="314"><f>J445</f><v /></c><c r="K446" s="372"><f>K445</f><v /></c><c r="L446" s="372"><f>L445</f><v /></c><c r="M446" s="373" t="n"><v>76.8</v></c><c r="N446" s="373" t="n"><v>176.7</v></c><c r="O446" s="374"><f>O445</f><v /></c><c r="P446" s="375"><f>P445</f><v /></c><c r="Q446" s="376"><f>LEFT(P446,1)</f><v /></c><c r="R446" s="376"><f>RIGHT(P446,6)</f><v /></c><c r="S446" s="376"><f>+(Q446*60+R446)/(60*60)</f><v /></c><c r="T446" s="377"><f>+O446/S446</f><v /></c><c r="U446" s="378"><f>+(((N446-M446-O446)/O446)*100)</f><v /></c><c r="V446" s="317"><f>V445</f><v /></c><c r="W446" s="379"><f>W445</f><v /></c><c r="X446" s="379"><f>X445</f><v /></c><c r="Y446" s="373" t="n"><v>183</v></c><c r="Z446" s="373" t="n"><v>193</v></c><c r="AA446" s="380"><f>AA445</f><v /></c><c r="AB446" s="381"><f>AB445</f><v /></c><c r="AC446" s="376"><f>LEFT(AB446,2)</f><v /></c><c r="AD446" s="376"><f>RIGHT(AB446,6)</f><v /></c><c r="AE446" s="376"><f>+(AC446*60+AD446)/(60*60)</f><v /></c><c r="AF446" s="377"><f>+AA446/AE446</f><v /></c><c r="AG446" s="321"><f>+(((Z446-Y446-AA446)/AA446)*100)</f><v /></c><c r="AH446" s="317"><f>AH445</f><v /></c><c r="AI446" s="379"><f>AI445</f><v /></c><c r="AJ446" s="379"><f>AJ445</f><v /></c><c r="AK446" s="373"><f>Z446</f><v /></c><c r="AL446" s="373" t="n"><v>198.05</v></c><c r="AM446" s="382"><f>AM445</f><v /></c><c r="AN446" s="375"><f>AN445</f><v /></c><c r="AO446" s="376"><f>LEFT(AN446,2)</f><v /></c><c r="AP446" s="376"><f>RIGHT(AN446,6)</f><v /></c><c r="AQ446" s="376"><f>+(AO446*60+AP446)/(60*60)</f><v /></c><c r="AR446" s="377"><f>+AM446/AQ446</f><v /></c><c r="AS446" s="321"><f>+(((AL446-AK446-AM446)/AM446)*100)</f><v /></c><c r="AT446" s="383"><f>IF(I446&gt;=1,"NO CONFORME",IF(BK446="SIGDIFERENTES",BC446,BL446))</f><v /></c><c r="AU446" s="365"><f>B446=C446</f><v /></c><c r="AV446" s="365"><f>N446&lt;Y446</f><v /></c><c r="AW446" s="365"><f>Z446&lt;=AK446</f><v /></c><c r="AX446" s="365"><f>IF(I446&gt;=1,"Qcorrecto",IF(AND(AY446="aceptable",AZ446="aceptable",BA446="aceptable"),"Qcorrecto","Qincorrecto"))</f><v /></c><c r="AY446" s="366"><f>IF(AR446&lt;$AH$6,"error",IF(AR446&gt;$AH$6*1.1,"error","aceptable"))</f><v /></c><c r="AZ446" s="366"><f>IF(AF446&lt;$V$6,"error",IF(AF446&gt;$V$6*1.1,"error","aceptable"))</f><v /></c><c r="BA446" s="366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67"><f>SIGN(U446)</f><v /></c><c r="BE446" s="367"><f>SIGN(AG446)</f><v /></c><c r="BF446" s="367"><f>SIGN(AS446)</f><v /></c><c r="BG446" s="367"><f>CONCATENATE(BD446,BE446,BF446)</f><v /></c><c r="BH446" s="367"><f>IF(BG446="111","SI","SD")</f><v /></c><c r="BI446" s="367"><f>IF(BG446="-1-1-1","SI","SD")</f><v /></c><c r="BJ446" s="367"><f>OR(BH446="SI",BI446="SI")</f><v /></c><c r="BK446" s="367"><f>IF(BJ446=FALSE,"SIGDIFERENTES","SIGIGUALES")</f><v /></c><c r="BL446" s="366"><f>IF(BC446="NO CONFORME","NO CONFORME",IF(BB446="CONFORME","CONFORME","NO CONFORME"))</f><v /></c></row><row r="447" ht="15" customHeight="1" thickBot="1"><c r="A447" s="351" t="n"><v>439</v></c><c r="B447" s="369"><f>B446</f><v /></c><c r="C447" s="369"><f>C446</f><v /></c><c r="D447" s="370"><f>D446</f><v /></c><c r="E447" s="371"><f>E446</f><v /></c><c r="F447" s="13" t="n" /><c r="G447" s="477" t="inlineStr"><is><t>PA25516839</t></is></c><c r="H447" s="313"><f>H446</f><v /></c><c r="I447" s="38"><f>I446</f><v /></c><c r="J447" s="314"><f>J446</f><v /></c><c r="K447" s="372"><f>K446</f><v /></c><c r="L447" s="372"><f>L446</f><v /></c><c r="M447" s="373" t="n"><v>78.8</v></c><c r="N447" s="373" t="n"><v>179.24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379"><f>W446</f><v /></c><c r="X447" s="379"><f>X446</f><v /></c><c r="Y447" s="373" t="n"><v>185.55</v></c><c r="Z447" s="373" t="n"><v>195.51</v></c><c r="AA447" s="380"><f>AA446</f><v /></c><c r="AB447" s="381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379"><f>AI446</f><v /></c><c r="AJ447" s="379"><f>AJ446</f><v /></c><c r="AK447" s="373"><f>Z447</f><v /></c><c r="AL447" s="373" t="n"><v>200.49</v></c><c r="AM447" s="382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3"><f>IF(I447&gt;=1,"NO CONFORME",IF(BK447="SIGDIFERENTES",BC447,BL447))</f><v /></c><c r="AU447" s="365"><f>B447=C447</f><v /></c><c r="AV447" s="365"><f>N447&lt;Y447</f><v /></c><c r="AW447" s="365"><f>Z447&lt;=AK447</f><v /></c><c r="AX447" s="365"><f>IF(I447&gt;=1,"Qcorrecto",IF(AND(AY447="aceptable",AZ447="aceptable",BA447="aceptable"),"Qcorrecto","Qincorrecto"))</f><v /></c><c r="AY447" s="366"><f>IF(AR447&lt;$AH$6,"error",IF(AR447&gt;$AH$6*1.1,"error","aceptable"))</f><v /></c><c r="AZ447" s="366"><f>IF(AF447&lt;$V$6,"error",IF(AF447&gt;$V$6*1.1,"error","aceptable"))</f><v /></c><c r="BA447" s="366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7"><f>SIGN(U447)</f><v /></c><c r="BE447" s="367"><f>SIGN(AG447)</f><v /></c><c r="BF447" s="367"><f>SIGN(AS447)</f><v /></c><c r="BG447" s="367"><f>CONCATENATE(BD447,BE447,BF447)</f><v /></c><c r="BH447" s="367"><f>IF(BG447="111","SI","SD")</f><v /></c><c r="BI447" s="367"><f>IF(BG447="-1-1-1","SI","SD")</f><v /></c><c r="BJ447" s="367"><f>OR(BH447="SI",BI447="SI")</f><v /></c><c r="BK447" s="367"><f>IF(BJ447=FALSE,"SIGDIFERENTES","SIGIGUALES")</f><v /></c><c r="BL447" s="366"><f>IF(BC447="NO CONFORME","NO CONFORME",IF(BB447="CONFORME","CONFORME","NO CONFORME"))</f><v /></c></row><row r="448" ht="15" customHeight="1" thickBot="1"><c r="A448" s="351" t="n"><v>440</v></c><c r="B448" s="369"><f>B447</f><v /></c><c r="C448" s="369"><f>C447</f><v /></c><c r="D448" s="370"><f>D447</f><v /></c><c r="E448" s="371"><f>E447</f><v /></c><c r="F448" s="13" t="n" /><c r="G448" s="477" t="inlineStr"><is><t>PA25516840</t></is></c><c r="H448" s="313"><f>H447</f><v /></c><c r="I448" s="38"><f>I447</f><v /></c><c r="J448" s="314"><f>J447</f><v /></c><c r="K448" s="372"><f>K447</f><v /></c><c r="L448" s="372"><f>L447</f><v /></c><c r="M448" s="373" t="n"><v>78.15000000000001</v></c><c r="N448" s="373" t="n"><v>178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379"><f>W447</f><v /></c><c r="X448" s="379"><f>X447</f><v /></c><c r="Y448" s="373" t="n"><v>184.31</v></c><c r="Z448" s="373" t="n"><v>194.26</v></c><c r="AA448" s="380"><f>AA447</f><v /></c><c r="AB448" s="381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379"><f>AI447</f><v /></c><c r="AJ448" s="379"><f>AJ447</f><v /></c><c r="AK448" s="373"><f>Z448</f><v /></c><c r="AL448" s="373" t="n"><v>199.26</v></c><c r="AM448" s="382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3"><f>IF(I448&gt;=1,"NO CONFORME",IF(BK448="SIGDIFERENTES",BC448,BL448))</f><v /></c><c r="AU448" s="365"><f>B448=C448</f><v /></c><c r="AV448" s="365"><f>N448&lt;Y448</f><v /></c><c r="AW448" s="365"><f>Z448&lt;=AK448</f><v /></c><c r="AX448" s="365"><f>IF(I448&gt;=1,"Qcorrecto",IF(AND(AY448="aceptable",AZ448="aceptable",BA448="aceptable"),"Qcorrecto","Qincorrecto"))</f><v /></c><c r="AY448" s="366"><f>IF(AR448&lt;$AH$6,"error",IF(AR448&gt;$AH$6*1.1,"error","aceptable"))</f><v /></c><c r="AZ448" s="366"><f>IF(AF448&lt;$V$6,"error",IF(AF448&gt;$V$6*1.1,"error","aceptable"))</f><v /></c><c r="BA448" s="366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7"><f>SIGN(U448)</f><v /></c><c r="BE448" s="367"><f>SIGN(AG448)</f><v /></c><c r="BF448" s="367"><f>SIGN(AS448)</f><v /></c><c r="BG448" s="367"><f>CONCATENATE(BD448,BE448,BF448)</f><v /></c><c r="BH448" s="367"><f>IF(BG448="111","SI","SD")</f><v /></c><c r="BI448" s="367"><f>IF(BG448="-1-1-1","SI","SD")</f><v /></c><c r="BJ448" s="367"><f>OR(BH448="SI",BI448="SI")</f><v /></c><c r="BK448" s="367"><f>IF(BJ448=FALSE,"SIGDIFERENTES","SIGIGUALES")</f><v /></c><c r="BL448" s="366"><f>IF(BC448="NO CONFORME","NO CONFORME",IF(BB448="CONFORME","CONFORME","NO CONFORME"))</f><v /></c></row><row r="449" ht="15" customHeight="1" thickBot="1"><c r="A449" s="351" t="n"><v>441</v></c><c r="B449" s="369"><f>B448</f><v /></c><c r="C449" s="369"><f>C448</f><v /></c><c r="D449" s="370"><f>D448</f><v /></c><c r="E449" s="371"><f>E448</f><v /></c><c r="F449" s="13" t="n" /><c r="G449" s="477" t="inlineStr"><is><t>PA25516841</t></is></c><c r="H449" s="313"><f>H448</f><v /></c><c r="I449" s="38"><f>I448</f><v /></c><c r="J449" s="314"><f>J448</f><v /></c><c r="K449" s="372"><f>K448</f><v /></c><c r="L449" s="372"><f>L448</f><v /></c><c r="M449" s="373" t="n"><v>76.26000000000001</v></c><c r="N449" s="373" t="n"><v>175.61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379"><f>W448</f><v /></c><c r="X449" s="379"><f>X448</f><v /></c><c r="Y449" s="373" t="n"><v>181.91</v></c><c r="Z449" s="373" t="n"><v>191.85</v></c><c r="AA449" s="380"><f>AA448</f><v /></c><c r="AB449" s="381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379"><f>AI448</f><v /></c><c r="AJ449" s="379"><f>AJ448</f><v /></c><c r="AK449" s="373"><f>Z449</f><v /></c><c r="AL449" s="373" t="n"><v>196.81</v></c><c r="AM449" s="382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3"><f>IF(I449&gt;=1,"NO CONFORME",IF(BK449="SIGDIFERENTES",BC449,BL449))</f><v /></c><c r="AU449" s="365"><f>B449=C449</f><v /></c><c r="AV449" s="365"><f>N449&lt;Y449</f><v /></c><c r="AW449" s="365"><f>Z449&lt;=AK449</f><v /></c><c r="AX449" s="365"><f>IF(I449&gt;=1,"Qcorrecto",IF(AND(AY449="aceptable",AZ449="aceptable",BA449="aceptable"),"Qcorrecto","Qincorrecto"))</f><v /></c><c r="AY449" s="366"><f>IF(AR449&lt;$AH$6,"error",IF(AR449&gt;$AH$6*1.1,"error","aceptable"))</f><v /></c><c r="AZ449" s="366"><f>IF(AF449&lt;$V$6,"error",IF(AF449&gt;$V$6*1.1,"error","aceptable"))</f><v /></c><c r="BA449" s="366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7"><f>SIGN(U449)</f><v /></c><c r="BE449" s="367"><f>SIGN(AG449)</f><v /></c><c r="BF449" s="367"><f>SIGN(AS449)</f><v /></c><c r="BG449" s="367"><f>CONCATENATE(BD449,BE449,BF449)</f><v /></c><c r="BH449" s="367"><f>IF(BG449="111","SI","SD")</f><v /></c><c r="BI449" s="367"><f>IF(BG449="-1-1-1","SI","SD")</f><v /></c><c r="BJ449" s="367"><f>OR(BH449="SI",BI449="SI")</f><v /></c><c r="BK449" s="367"><f>IF(BJ449=FALSE,"SIGDIFERENTES","SIGIGUALES")</f><v /></c><c r="BL449" s="366"><f>IF(BC449="NO CONFORME","NO CONFORME",IF(BB449="CONFORME","CONFORME","NO CONFORME"))</f><v /></c></row><row r="450" ht="15" customHeight="1" thickBot="1"><c r="A450" s="351" t="n"><v>442</v></c><c r="B450" s="369"><f>B449</f><v /></c><c r="C450" s="369"><f>C449</f><v /></c><c r="D450" s="370"><f>D449</f><v /></c><c r="E450" s="371"><f>E449</f><v /></c><c r="F450" s="13" t="n" /><c r="G450" s="477" t="inlineStr"><is><t>PA25516842</t></is></c><c r="H450" s="313"><f>H449</f><v /></c><c r="I450" s="38"><f>I449</f><v /></c><c r="J450" s="314"><f>J449</f><v /></c><c r="K450" s="372"><f>K449</f><v /></c><c r="L450" s="372"><f>L449</f><v /></c><c r="M450" s="373" t="n"><v>77.34999999999999</v></c><c r="N450" s="373" t="n"><v>178.05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379"><f>W449</f><v /></c><c r="X450" s="379"><f>X449</f><v /></c><c r="Y450" s="373" t="n"><v>184.34</v></c><c r="Z450" s="373" t="n"><v>194.33</v></c><c r="AA450" s="380"><f>AA449</f><v /></c><c r="AB450" s="381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379"><f>AI449</f><v /></c><c r="AJ450" s="379"><f>AJ449</f><v /></c><c r="AK450" s="373"><f>Z450</f><v /></c><c r="AL450" s="373" t="n"><v>199.36</v></c><c r="AM450" s="382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3"><f>IF(I450&gt;=1,"NO CONFORME",IF(BK450="SIGDIFERENTES",BC450,BL450))</f><v /></c><c r="AU450" s="365"><f>B450=C450</f><v /></c><c r="AV450" s="365"><f>N450&lt;Y450</f><v /></c><c r="AW450" s="365"><f>Z450&lt;=AK450</f><v /></c><c r="AX450" s="365"><f>IF(I450&gt;=1,"Qcorrecto",IF(AND(AY450="aceptable",AZ450="aceptable",BA450="aceptable"),"Qcorrecto","Qincorrecto"))</f><v /></c><c r="AY450" s="366"><f>IF(AR450&lt;$AH$6,"error",IF(AR450&gt;$AH$6*1.1,"error","aceptable"))</f><v /></c><c r="AZ450" s="366"><f>IF(AF450&lt;$V$6,"error",IF(AF450&gt;$V$6*1.1,"error","aceptable"))</f><v /></c><c r="BA450" s="366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7"><f>SIGN(U450)</f><v /></c><c r="BE450" s="367"><f>SIGN(AG450)</f><v /></c><c r="BF450" s="367"><f>SIGN(AS450)</f><v /></c><c r="BG450" s="367"><f>CONCATENATE(BD450,BE450,BF450)</f><v /></c><c r="BH450" s="367"><f>IF(BG450="111","SI","SD")</f><v /></c><c r="BI450" s="367"><f>IF(BG450="-1-1-1","SI","SD")</f><v /></c><c r="BJ450" s="367"><f>OR(BH450="SI",BI450="SI")</f><v /></c><c r="BK450" s="367"><f>IF(BJ450=FALSE,"SIGDIFERENTES","SIGIGUALES")</f><v /></c><c r="BL450" s="366"><f>IF(BC450="NO CONFORME","NO CONFORME",IF(BB450="CONFORME","CONFORME","NO CONFORME"))</f><v /></c></row><row r="451" ht="15" customHeight="1" thickBot="1"><c r="A451" s="351" t="n"><v>443</v></c><c r="B451" s="369"><f>B450</f><v /></c><c r="C451" s="369"><f>C450</f><v /></c><c r="D451" s="370"><f>D450</f><v /></c><c r="E451" s="371"><f>E450</f><v /></c><c r="F451" s="13" t="n" /><c r="G451" s="477" t="inlineStr"><is><t>PA25516843</t></is></c><c r="H451" s="313"><f>H450</f><v /></c><c r="I451" s="38"><f>I450</f><v /></c><c r="J451" s="314"><f>J450</f><v /></c><c r="K451" s="372"><f>K450</f><v /></c><c r="L451" s="372"><f>L450</f><v /></c><c r="M451" s="373" t="n"><v>76.95</v></c><c r="N451" s="373" t="n"><v>176.98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379"><f>W450</f><v /></c><c r="X451" s="379"><f>X450</f><v /></c><c r="Y451" s="373" t="n"><v>183.25</v></c><c r="Z451" s="373" t="n"><v>193.21</v></c><c r="AA451" s="380"><f>AA450</f><v /></c><c r="AB451" s="381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379"><f>AI450</f><v /></c><c r="AJ451" s="379"><f>AJ450</f><v /></c><c r="AK451" s="373"><f>Z451</f><v /></c><c r="AL451" s="373" t="n"><v>198.2</v></c><c r="AM451" s="382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3"><f>IF(I451&gt;=1,"NO CONFORME",IF(BK451="SIGDIFERENTES",BC451,BL451))</f><v /></c><c r="AU451" s="365"><f>B451=C451</f><v /></c><c r="AV451" s="365"><f>N451&lt;Y451</f><v /></c><c r="AW451" s="365"><f>Z451&lt;=AK451</f><v /></c><c r="AX451" s="365"><f>IF(I451&gt;=1,"Qcorrecto",IF(AND(AY451="aceptable",AZ451="aceptable",BA451="aceptable"),"Qcorrecto","Qincorrecto"))</f><v /></c><c r="AY451" s="366"><f>IF(AR451&lt;$AH$6,"error",IF(AR451&gt;$AH$6*1.1,"error","aceptable"))</f><v /></c><c r="AZ451" s="366"><f>IF(AF451&lt;$V$6,"error",IF(AF451&gt;$V$6*1.1,"error","aceptable"))</f><v /></c><c r="BA451" s="366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7"><f>SIGN(U451)</f><v /></c><c r="BE451" s="367"><f>SIGN(AG451)</f><v /></c><c r="BF451" s="367"><f>SIGN(AS451)</f><v /></c><c r="BG451" s="367"><f>CONCATENATE(BD451,BE451,BF451)</f><v /></c><c r="BH451" s="367"><f>IF(BG451="111","SI","SD")</f><v /></c><c r="BI451" s="367"><f>IF(BG451="-1-1-1","SI","SD")</f><v /></c><c r="BJ451" s="367"><f>OR(BH451="SI",BI451="SI")</f><v /></c><c r="BK451" s="367"><f>IF(BJ451=FALSE,"SIGDIFERENTES","SIGIGUALES")</f><v /></c><c r="BL451" s="366"><f>IF(BC451="NO CONFORME","NO CONFORME",IF(BB451="CONFORME","CONFORME","NO CONFORME"))</f><v /></c></row><row r="452" ht="15" customHeight="1" thickBot="1"><c r="A452" s="351" t="n"><v>444</v></c><c r="B452" s="369"><f>B451</f><v /></c><c r="C452" s="369"><f>C451</f><v /></c><c r="D452" s="370"><f>D451</f><v /></c><c r="E452" s="371"><f>E451</f><v /></c><c r="F452" s="13" t="n" /><c r="G452" s="477" t="inlineStr"><is><t>PA25516844</t></is></c><c r="H452" s="313"><f>H451</f><v /></c><c r="I452" s="38"><f>I451</f><v /></c><c r="J452" s="314"><f>J451</f><v /></c><c r="K452" s="372"><f>K451</f><v /></c><c r="L452" s="372"><f>L451</f><v /></c><c r="M452" s="373" t="n"><v>77.09999999999999</v></c><c r="N452" s="373" t="n"><v>177.31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379"><f>W451</f><v /></c><c r="X452" s="379"><f>X451</f><v /></c><c r="Y452" s="373" t="n"><v>183.62</v></c><c r="Z452" s="373" t="n"><v>193.57</v></c><c r="AA452" s="380"><f>AA451</f><v /></c><c r="AB452" s="381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379"><f>AI451</f><v /></c><c r="AJ452" s="379"><f>AJ451</f><v /></c><c r="AK452" s="373"><f>Z452</f><v /></c><c r="AL452" s="373" t="n"><v>198.58</v></c><c r="AM452" s="382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3"><f>IF(I452&gt;=1,"NO CONFORME",IF(BK452="SIGDIFERENTES",BC452,BL452))</f><v /></c><c r="AU452" s="365"><f>B452=C452</f><v /></c><c r="AV452" s="365"><f>N452&lt;Y452</f><v /></c><c r="AW452" s="365"><f>Z452&lt;=AK452</f><v /></c><c r="AX452" s="365"><f>IF(I452&gt;=1,"Qcorrecto",IF(AND(AY452="aceptable",AZ452="aceptable",BA452="aceptable"),"Qcorrecto","Qincorrecto"))</f><v /></c><c r="AY452" s="366"><f>IF(AR452&lt;$AH$6,"error",IF(AR452&gt;$AH$6*1.1,"error","aceptable"))</f><v /></c><c r="AZ452" s="366"><f>IF(AF452&lt;$V$6,"error",IF(AF452&gt;$V$6*1.1,"error","aceptable"))</f><v /></c><c r="BA452" s="366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7"><f>SIGN(U452)</f><v /></c><c r="BE452" s="367"><f>SIGN(AG452)</f><v /></c><c r="BF452" s="367"><f>SIGN(AS452)</f><v /></c><c r="BG452" s="367"><f>CONCATENATE(BD452,BE452,BF452)</f><v /></c><c r="BH452" s="367"><f>IF(BG452="111","SI","SD")</f><v /></c><c r="BI452" s="367"><f>IF(BG452="-1-1-1","SI","SD")</f><v /></c><c r="BJ452" s="367"><f>OR(BH452="SI",BI452="SI")</f><v /></c><c r="BK452" s="367"><f>IF(BJ452=FALSE,"SIGDIFERENTES","SIGIGUALES")</f><v /></c><c r="BL452" s="366"><f>IF(BC452="NO CONFORME","NO CONFORME",IF(BB452="CONFORME","CONFORME","NO CONFORME"))</f><v /></c></row><row r="453" ht="15" customHeight="1" thickBot="1"><c r="A453" s="351" t="n"><v>445</v></c><c r="B453" s="369"><f>B452</f><v /></c><c r="C453" s="369"><f>C452</f><v /></c><c r="D453" s="370"><f>D452</f><v /></c><c r="E453" s="371"><f>E452</f><v /></c><c r="F453" s="13" t="n" /><c r="G453" s="477" t="inlineStr"><is><t>PA25516845</t></is></c><c r="H453" s="313"><f>H452</f><v /></c><c r="I453" s="38"><f>I452</f><v /></c><c r="J453" s="314"><f>J452</f><v /></c><c r="K453" s="372"><f>K452</f><v /></c><c r="L453" s="372"><f>L452</f><v /></c><c r="M453" s="373" t="n"><v>77.55</v></c><c r="N453" s="373" t="n"><v>178.05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379"><f>W452</f><v /></c><c r="X453" s="379"><f>X452</f><v /></c><c r="Y453" s="373" t="n"><v>184.35</v></c><c r="Z453" s="373" t="n"><v>194.26</v></c><c r="AA453" s="380"><f>AA452</f><v /></c><c r="AB453" s="381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379"><f>AI452</f><v /></c><c r="AJ453" s="379"><f>AJ452</f><v /></c><c r="AK453" s="373"><f>Z453</f><v /></c><c r="AL453" s="373" t="n"><v>199.22</v></c><c r="AM453" s="382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3"><f>IF(I453&gt;=1,"NO CONFORME",IF(BK453="SIGDIFERENTES",BC453,BL453))</f><v /></c><c r="AU453" s="365"><f>B453=C453</f><v /></c><c r="AV453" s="365"><f>N453&lt;Y453</f><v /></c><c r="AW453" s="365"><f>Z453&lt;=AK453</f><v /></c><c r="AX453" s="365"><f>IF(I453&gt;=1,"Qcorrecto",IF(AND(AY453="aceptable",AZ453="aceptable",BA453="aceptable"),"Qcorrecto","Qincorrecto"))</f><v /></c><c r="AY453" s="366"><f>IF(AR453&lt;$AH$6,"error",IF(AR453&gt;$AH$6*1.1,"error","aceptable"))</f><v /></c><c r="AZ453" s="366"><f>IF(AF453&lt;$V$6,"error",IF(AF453&gt;$V$6*1.1,"error","aceptable"))</f><v /></c><c r="BA453" s="366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7"><f>SIGN(U453)</f><v /></c><c r="BE453" s="367"><f>SIGN(AG453)</f><v /></c><c r="BF453" s="367"><f>SIGN(AS453)</f><v /></c><c r="BG453" s="367"><f>CONCATENATE(BD453,BE453,BF453)</f><v /></c><c r="BH453" s="367"><f>IF(BG453="111","SI","SD")</f><v /></c><c r="BI453" s="367"><f>IF(BG453="-1-1-1","SI","SD")</f><v /></c><c r="BJ453" s="367"><f>OR(BH453="SI",BI453="SI")</f><v /></c><c r="BK453" s="367"><f>IF(BJ453=FALSE,"SIGDIFERENTES","SIGIGUALES")</f><v /></c><c r="BL453" s="366"><f>IF(BC453="NO CONFORME","NO CONFORME",IF(BB453="CONFORME","CONFORME","NO CONFORME"))</f><v /></c></row><row r="454" ht="15" customHeight="1" thickBot="1"><c r="A454" s="351" t="n"><v>446</v></c><c r="B454" s="369"><f>B453</f><v /></c><c r="C454" s="369"><f>C453</f><v /></c><c r="D454" s="370"><f>D453</f><v /></c><c r="E454" s="371"><f>E453</f><v /></c><c r="F454" s="13" t="n" /><c r="G454" s="477" t="inlineStr"><is><t>PA25516846</t></is></c><c r="H454" s="313"><f>H453</f><v /></c><c r="I454" s="38"><f>I453</f><v /></c><c r="J454" s="314"><f>J453</f><v /></c><c r="K454" s="372"><f>K453</f><v /></c><c r="L454" s="372"><f>L453</f><v /></c><c r="M454" s="373" t="n"><v>78.88</v></c><c r="N454" s="373" t="n"><v>179.09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379"><f>W453</f><v /></c><c r="X454" s="379"><f>X453</f><v /></c><c r="Y454" s="373" t="n"><v>185.4</v></c><c r="Z454" s="373" t="n"><v>195.35</v></c><c r="AA454" s="380"><f>AA453</f><v /></c><c r="AB454" s="381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379"><f>AI453</f><v /></c><c r="AJ454" s="379"><f>AJ453</f><v /></c><c r="AK454" s="373"><f>Z454</f><v /></c><c r="AL454" s="373" t="n"><v>200.3</v></c><c r="AM454" s="382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3"><f>IF(I454&gt;=1,"NO CONFORME",IF(BK454="SIGDIFERENTES",BC454,BL454))</f><v /></c><c r="AU454" s="365"><f>B454=C454</f><v /></c><c r="AV454" s="365"><f>N454&lt;Y454</f><v /></c><c r="AW454" s="365"><f>Z454&lt;=AK454</f><v /></c><c r="AX454" s="365"><f>IF(I454&gt;=1,"Qcorrecto",IF(AND(AY454="aceptable",AZ454="aceptable",BA454="aceptable"),"Qcorrecto","Qincorrecto"))</f><v /></c><c r="AY454" s="366"><f>IF(AR454&lt;$AH$6,"error",IF(AR454&gt;$AH$6*1.1,"error","aceptable"))</f><v /></c><c r="AZ454" s="366"><f>IF(AF454&lt;$V$6,"error",IF(AF454&gt;$V$6*1.1,"error","aceptable"))</f><v /></c><c r="BA454" s="366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7"><f>SIGN(U454)</f><v /></c><c r="BE454" s="367"><f>SIGN(AG454)</f><v /></c><c r="BF454" s="367"><f>SIGN(AS454)</f><v /></c><c r="BG454" s="367"><f>CONCATENATE(BD454,BE454,BF454)</f><v /></c><c r="BH454" s="367"><f>IF(BG454="111","SI","SD")</f><v /></c><c r="BI454" s="367"><f>IF(BG454="-1-1-1","SI","SD")</f><v /></c><c r="BJ454" s="367"><f>OR(BH454="SI",BI454="SI")</f><v /></c><c r="BK454" s="367"><f>IF(BJ454=FALSE,"SIGDIFERENTES","SIGIGUALES")</f><v /></c><c r="BL454" s="366"><f>IF(BC454="NO CONFORME","NO CONFORME",IF(BB454="CONFORME","CONFORME","NO CONFORME"))</f><v /></c></row><row r="455" ht="15" customHeight="1" thickBot="1"><c r="A455" s="351" t="n"><v>447</v></c><c r="B455" s="369"><f>B454</f><v /></c><c r="C455" s="369"><f>C454</f><v /></c><c r="D455" s="370"><f>D454</f><v /></c><c r="E455" s="371"><f>E454</f><v /></c><c r="F455" s="13" t="n" /><c r="G455" s="477" t="inlineStr"><is><t>PA25516847</t></is></c><c r="H455" s="313"><f>H454</f><v /></c><c r="I455" s="38"><f>I454</f><v /></c><c r="J455" s="314"><f>J454</f><v /></c><c r="K455" s="372"><f>K454</f><v /></c><c r="L455" s="372"><f>L454</f><v /></c><c r="M455" s="373" t="n"><v>78.90000000000001</v></c><c r="N455" s="373" t="n"><v>179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379"><f>W454</f><v /></c><c r="X455" s="379"><f>X454</f><v /></c><c r="Y455" s="373" t="n"><v>185.26</v></c><c r="Z455" s="373" t="n"><v>195.21</v></c><c r="AA455" s="380"><f>AA454</f><v /></c><c r="AB455" s="381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379"><f>AI454</f><v /></c><c r="AJ455" s="379"><f>AJ454</f><v /></c><c r="AK455" s="373"><f>Z455</f><v /></c><c r="AL455" s="373" t="n"><v>200.22</v></c><c r="AM455" s="382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3"><f>IF(I455&gt;=1,"NO CONFORME",IF(BK455="SIGDIFERENTES",BC455,BL455))</f><v /></c><c r="AU455" s="365"><f>B455=C455</f><v /></c><c r="AV455" s="365"><f>N455&lt;Y455</f><v /></c><c r="AW455" s="365"><f>Z455&lt;=AK455</f><v /></c><c r="AX455" s="365"><f>IF(I455&gt;=1,"Qcorrecto",IF(AND(AY455="aceptable",AZ455="aceptable",BA455="aceptable"),"Qcorrecto","Qincorrecto"))</f><v /></c><c r="AY455" s="366"><f>IF(AR455&lt;$AH$6,"error",IF(AR455&gt;$AH$6*1.1,"error","aceptable"))</f><v /></c><c r="AZ455" s="366"><f>IF(AF455&lt;$V$6,"error",IF(AF455&gt;$V$6*1.1,"error","aceptable"))</f><v /></c><c r="BA455" s="366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7"><f>SIGN(U455)</f><v /></c><c r="BE455" s="367"><f>SIGN(AG455)</f><v /></c><c r="BF455" s="367"><f>SIGN(AS455)</f><v /></c><c r="BG455" s="367"><f>CONCATENATE(BD455,BE455,BF455)</f><v /></c><c r="BH455" s="367"><f>IF(BG455="111","SI","SD")</f><v /></c><c r="BI455" s="367"><f>IF(BG455="-1-1-1","SI","SD")</f><v /></c><c r="BJ455" s="367"><f>OR(BH455="SI",BI455="SI")</f><v /></c><c r="BK455" s="367"><f>IF(BJ455=FALSE,"SIGDIFERENTES","SIGIGUALES")</f><v /></c><c r="BL455" s="366"><f>IF(BC455="NO CONFORME","NO CONFORME",IF(BB455="CONFORME","CONFORME","NO CONFORME"))</f><v /></c></row><row r="456" ht="15" customHeight="1" thickBot="1"><c r="A456" s="453" t="n"><v>448</v></c><c r="B456" s="454"><f>B455</f><v /></c><c r="C456" s="454"><f>C455</f><v /></c><c r="D456" s="455"><f>D455</f><v /></c><c r="E456" s="474"><f>E455</f><v /></c><c r="F456" s="52" t="n" /><c r="G456" s="477" t="inlineStr"><is><t>PA25516848</t></is></c><c r="H456" s="326"><f>H455</f><v /></c><c r="I456" s="98"><f>I455</f><v /></c><c r="J456" s="327"><f>J455</f><v /></c><c r="K456" s="458"><f>K455</f><v /></c><c r="L456" s="458"><f>L455</f><v /></c><c r="M456" s="459" t="n"><v>77.55</v></c><c r="N456" s="459" t="n"><v>177.6</v></c><c r="O456" s="460"><f>O455</f><v /></c><c r="P456" s="461"><f>P455</f><v /></c><c r="Q456" s="462"><f>LEFT(P456,1)</f><v /></c><c r="R456" s="462"><f>RIGHT(P456,6)</f><v /></c><c r="S456" s="462"><f>+(Q456*60+R456)/(60*60)</f><v /></c><c r="T456" s="463"><f>+O456/S456</f><v /></c><c r="U456" s="464"><f>+(((N456-M456-O456)/O456)*100)</f><v /></c><c r="V456" s="329"><f>V455</f><v /></c><c r="W456" s="465"><f>W455</f><v /></c><c r="X456" s="465"><f>X455</f><v /></c><c r="Y456" s="459" t="n"><v>183.9</v></c><c r="Z456" s="459" t="n"><v>193.86</v></c><c r="AA456" s="466"><f>AA455</f><v /></c><c r="AB456" s="467"><f>AB455</f><v /></c><c r="AC456" s="462"><f>LEFT(AB456,2)</f><v /></c><c r="AD456" s="462"><f>RIGHT(AB456,6)</f><v /></c><c r="AE456" s="462"><f>+(AC456*60+AD456)/(60*60)</f><v /></c><c r="AF456" s="463"><f>+AA456/AE456</f><v /></c><c r="AG456" s="468"><f>+(((Z456-Y456-AA456)/AA456)*100)</f><v /></c><c r="AH456" s="329"><f>AH455</f><v /></c><c r="AI456" s="465"><f>AI455</f><v /></c><c r="AJ456" s="465"><f>AJ455</f><v /></c><c r="AK456" s="459"><f>Z456</f><v /></c><c r="AL456" s="459" t="n"><v>198.85</v></c><c r="AM456" s="469"><f>AM455</f><v /></c><c r="AN456" s="461"><f>AN455</f><v /></c><c r="AO456" s="462"><f>LEFT(AN456,2)</f><v /></c><c r="AP456" s="462"><f>RIGHT(AN456,6)</f><v /></c><c r="AQ456" s="462"><f>+(AO456*60+AP456)/(60*60)</f><v /></c><c r="AR456" s="463"><f>+AM456/AQ456</f><v /></c><c r="AS456" s="468"><f>+(((AL456-AK456-AM456)/AM456)*100)</f><v /></c><c r="AT456" s="470"><f>IF(I456&gt;=1,"NO CONFORME",IF(BK456="SIGDIFERENTES",BC456,BL456))</f><v /></c><c r="AU456" s="426"><f>B456=C456</f><v /></c><c r="AV456" s="426"><f>N456&lt;Y456</f><v /></c><c r="AW456" s="426"><f>Z456&lt;=AK456</f><v /></c><c r="AX456" s="426"><f>IF(I456&gt;=1,"Qcorrecto",IF(AND(AY456="aceptable",AZ456="aceptable",BA456="aceptable"),"Qcorrecto","Qincorrecto"))</f><v /></c><c r="AY456" s="427"><f>IF(AR456&lt;$AH$6,"error",IF(AR456&gt;$AH$6*1.1,"error","aceptable"))</f><v /></c><c r="AZ456" s="427"><f>IF(AF456&lt;$V$6,"error",IF(AF456&gt;$V$6*1.1,"error","aceptable"))</f><v /></c><c r="BA456" s="427"><f>IF(T456&lt;$J$6*0.9,"error",IF(T456&gt;$J$6,"error","aceptable"))</f><v /></c><c r="BB456" s="428"><f>(IF(ABS(U456)&lt;1.05,"CONFORME",IF(ABS(AG456)&lt;1.05,"CONFORME",IF(ABS(AS456)&lt;2.55,"CONFORME","NO CONFORME"))))</f><v /></c><c r="BC456" s="429"><f>(IF(ABS(U456)&gt;2.05,"NO CONFORME",IF(ABS(AG456)&gt;2.05,"NO CONFORME",IF(ABS(AS456)&gt;5.05,"NO CONFORME","CONFORME"))))</f><v /></c><c r="BD456" s="430"><f>SIGN(U456)</f><v /></c><c r="BE456" s="430"><f>SIGN(AG456)</f><v /></c><c r="BF456" s="430"><f>SIGN(AS456)</f><v /></c><c r="BG456" s="430"><f>CONCATENATE(BD456,BE456,BF456)</f><v /></c><c r="BH456" s="430"><f>IF(BG456="111","SI","SD")</f><v /></c><c r="BI456" s="430"><f>IF(BG456="-1-1-1","SI","SD")</f><v /></c><c r="BJ456" s="430"><f>OR(BH456="SI",BI456="SI")</f><v /></c><c r="BK456" s="430"><f>IF(BJ456=FALSE,"SIGDIFERENTES","SIGIGUALES")</f><v /></c><c r="BL456" s="427"><f>IF(BC456="NO CONFORME","NO CONFORME",IF(BB456="CONFORME","CONFORME","NO CONFORME"))</f><v /></c></row><row r="457" ht="15" customHeight="1" thickBot="1"><c r="A457" s="351" t="n"><v>449</v></c><c r="B457" s="386"><f>B456</f><v /></c><c r="C457" s="386"><f>C456</f><v /></c><c r="D457" s="387"><f>D456</f><v /></c><c r="E457" s="475"><f>E456</f><v /></c><c r="F457" s="58" t="n" /><c r="G457" s="457" t="inlineStr"><is><t>PA25516849</t></is></c><c r="H457" s="388"><f>H456</f><v /></c><c r="I457" s="232"><f>I456</f><v /></c><c r="J457" s="389" t="n"><v>21.2</v></c><c r="K457" s="390" t="n"><v>8.209</v></c><c r="L457" s="390" t="n"><v>0.529</v></c><c r="M457" s="356" t="n"><v>78.39</v></c><c r="N457" s="356" t="n"><v>179.1</v></c><c r="O457" s="391" t="n"><v>100.39</v></c><c r="P457" s="392" t="inlineStr"><is><t>2,32,090</t></is></c><c r="Q457" s="359"><f>LEFT(P457,1)</f><v /></c><c r="R457" s="359"><f>RIGHT(P457,6)</f><v /></c><c r="S457" s="359"><f>+(Q457*60+R457)/(60*60)</f><v /></c><c r="T457" s="360"><f>+O457/S457</f><v /></c><c r="U457" s="361"><f>+(((N457-M457-O457)/O457)*100)</f><v /></c><c r="V457" s="393" t="n"><v>20.9</v></c><c r="W457" s="394" t="n"><v>1.071</v></c><c r="X457" s="394" t="n"><v>1.065</v></c><c r="Y457" s="356" t="n"><v>183.55</v></c><c r="Z457" s="356" t="n"><v>193.55</v></c><c r="AA457" s="395" t="n"><v>10.01</v></c><c r="AB457" s="396" t="inlineStr"><is><t>22,21,980</t></is></c><c r="AC457" s="359"><f>LEFT(AB457,2)</f><v /></c><c r="AD457" s="359"><f>RIGHT(AB457,6)</f><v /></c><c r="AE457" s="359"><f>+(AC457*60+AD457)/(60*60)</f><v /></c><c r="AF457" s="360"><f>+AA457/AE457</f><v /></c><c r="AG457" s="362"><f>+(((Z457-Y457-AA457)/AA457)*100)</f><v /></c><c r="AH457" s="393" t="n"><v>20.9</v></c><c r="AI457" s="394" t="n"><v>1.074</v></c><c r="AJ457" s="394" t="n"><v>1.064</v></c><c r="AK457" s="356"><f>Z457</f><v /></c><c r="AL457" s="356" t="n"><v>198.56</v></c><c r="AM457" s="397" t="n"><v>5.01</v></c><c r="AN457" s="392" t="inlineStr"><is><t>18,24,480</t></is></c><c r="AO457" s="359"><f>LEFT(AN457,2)</f><v /></c><c r="AP457" s="359"><f>RIGHT(AN457,6)</f><v /></c><c r="AQ457" s="359"><f>+(AO457*60+AP457)/(60*60)</f><v /></c><c r="AR457" s="360"><f>+AM457/AQ457</f><v /></c><c r="AS457" s="362"><f>+(((AL457-AK457-AM457)/AM457)*100)</f><v /></c><c r="AT457" s="364"><f>IF(I457&gt;=1,"NO CONFORME",IF(BK457="SIGDIFERENTES",BC457,BL457))</f><v /></c><c r="AU457" s="365"><f>B457=C457</f><v /></c><c r="AV457" s="365"><f>N457&lt;Y457</f><v /></c><c r="AW457" s="365"><f>Z457&lt;=AK457</f><v /></c><c r="AX457" s="365"><f>IF(I457&gt;=1,"Qcorrecto",IF(AND(AY457="aceptable",AZ457="aceptable",BA457="aceptable"),"Qcorrecto","Qincorrecto"))</f><v /></c><c r="AY457" s="368"><f>IF(AR457&lt;$AH$6,"error",IF(AR457&gt;$AH$6*1.1,"error","aceptable"))</f><v /></c><c r="AZ457" s="368"><f>IF(AF457&lt;$V$6,"error",IF(AF457&gt;$V$6*1.1,"error","aceptable"))</f><v /></c><c r="BA457" s="368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67"><f>SIGN(U457)</f><v /></c><c r="BE457" s="367"><f>SIGN(AG457)</f><v /></c><c r="BF457" s="367"><f>SIGN(AS457)</f><v /></c><c r="BG457" s="367"><f>CONCATENATE(BD457,BE457,BF457)</f><v /></c><c r="BH457" s="367"><f>IF(BG457="111","SI","SD")</f><v /></c><c r="BI457" s="367"><f>IF(BG457="-1-1-1","SI","SD")</f><v /></c><c r="BJ457" s="367"><f>OR(BH457="SI",BI457="SI")</f><v /></c><c r="BK457" s="367"><f>IF(BJ457=FALSE,"SIGDIFERENTES","SIGIGUALES")</f><v /></c><c r="BL457" s="368"><f>IF(BC457="NO CONFORME","NO CONFORME",IF(BB457="CONFORME","CONFORME","NO CONFORME"))</f><v /></c></row><row r="458" ht="15" customHeight="1" thickBot="1"><c r="A458" s="351" t="n"><v>450</v></c><c r="B458" s="369"><f>B457</f><v /></c><c r="C458" s="369"><f>C457</f><v /></c><c r="D458" s="370"><f>D457</f><v /></c><c r="E458" s="371"><f>E457</f><v /></c><c r="F458" s="13" t="n" /><c r="G458" s="477" t="inlineStr"><is><t>PA25516850</t></is></c><c r="H458" s="313"><f>H457</f><v /></c><c r="I458" s="38"><f>I457</f><v /></c><c r="J458" s="314"><f>J457</f><v /></c><c r="K458" s="372"><f>K457</f><v /></c><c r="L458" s="372"><f>L457</f><v /></c><c r="M458" s="373" t="n"><v>78.55</v></c><c r="N458" s="373" t="n"><v>179.55</v></c><c r="O458" s="374"><f>O457</f><v /></c><c r="P458" s="375"><f>P457</f><v /></c><c r="Q458" s="376"><f>LEFT(P458,1)</f><v /></c><c r="R458" s="376"><f>RIGHT(P458,6)</f><v /></c><c r="S458" s="376"><f>+(Q458*60+R458)/(60*60)</f><v /></c><c r="T458" s="377"><f>+O458/S458</f><v /></c><c r="U458" s="378"><f>+(((N458-M458-O458)/O458)*100)</f><v /></c><c r="V458" s="317"><f>V457</f><v /></c><c r="W458" s="379"><f>W457</f><v /></c><c r="X458" s="379"><f>X457</f><v /></c><c r="Y458" s="373" t="n"><v>184</v></c><c r="Z458" s="373" t="n"><v>193.96</v></c><c r="AA458" s="380"><f>AA457</f><v /></c><c r="AB458" s="381"><f>AB457</f><v /></c><c r="AC458" s="376"><f>LEFT(AB458,2)</f><v /></c><c r="AD458" s="376"><f>RIGHT(AB458,6)</f><v /></c><c r="AE458" s="376"><f>+(AC458*60+AD458)/(60*60)</f><v /></c><c r="AF458" s="377"><f>+AA458/AE458</f><v /></c><c r="AG458" s="321"><f>+(((Z458-Y458-AA458)/AA458)*100)</f><v /></c><c r="AH458" s="317"><f>AH457</f><v /></c><c r="AI458" s="379"><f>AI457</f><v /></c><c r="AJ458" s="379"><f>AJ457</f><v /></c><c r="AK458" s="373"><f>Z458</f><v /></c><c r="AL458" s="373" t="n"><v>199</v></c><c r="AM458" s="382"><f>AM457</f><v /></c><c r="AN458" s="375"><f>AN457</f><v /></c><c r="AO458" s="376"><f>LEFT(AN458,2)</f><v /></c><c r="AP458" s="376"><f>RIGHT(AN458,6)</f><v /></c><c r="AQ458" s="376"><f>+(AO458*60+AP458)/(60*60)</f><v /></c><c r="AR458" s="377"><f>+AM458/AQ458</f><v /></c><c r="AS458" s="321"><f>+(((AL458-AK458-AM458)/AM458)*100)</f><v /></c><c r="AT458" s="383"><f>IF(I458&gt;=1,"NO CONFORME",IF(BK458="SIGDIFERENTES",BC458,BL458))</f><v /></c><c r="AU458" s="365"><f>B458=C458</f><v /></c><c r="AV458" s="365"><f>N458&lt;Y458</f><v /></c><c r="AW458" s="365"><f>Z458&lt;=AK458</f><v /></c><c r="AX458" s="365"><f>IF(I458&gt;=1,"Qcorrecto",IF(AND(AY458="aceptable",AZ458="aceptable",BA458="aceptable"),"Qcorrecto","Qincorrecto"))</f><v /></c><c r="AY458" s="366"><f>IF(AR458&lt;$AH$6,"error",IF(AR458&gt;$AH$6*1.1,"error","aceptable"))</f><v /></c><c r="AZ458" s="366"><f>IF(AF458&lt;$V$6,"error",IF(AF458&gt;$V$6*1.1,"error","aceptable"))</f><v /></c><c r="BA458" s="366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67"><f>SIGN(U458)</f><v /></c><c r="BE458" s="367"><f>SIGN(AG458)</f><v /></c><c r="BF458" s="367"><f>SIGN(AS458)</f><v /></c><c r="BG458" s="367"><f>CONCATENATE(BD458,BE458,BF458)</f><v /></c><c r="BH458" s="367"><f>IF(BG458="111","SI","SD")</f><v /></c><c r="BI458" s="367"><f>IF(BG458="-1-1-1","SI","SD")</f><v /></c><c r="BJ458" s="367"><f>OR(BH458="SI",BI458="SI")</f><v /></c><c r="BK458" s="367"><f>IF(BJ458=FALSE,"SIGDIFERENTES","SIGIGUALES")</f><v /></c><c r="BL458" s="366"><f>IF(BC458="NO CONFORME","NO CONFORME",IF(BB458="CONFORME","CONFORME","NO CONFORME"))</f><v /></c></row><row r="459" ht="15" customHeight="1" thickBot="1"><c r="A459" s="351" t="n"><v>451</v></c><c r="B459" s="369"><f>B458</f><v /></c><c r="C459" s="369"><f>C458</f><v /></c><c r="D459" s="370"><f>D458</f><v /></c><c r="E459" s="371"><f>E458</f><v /></c><c r="F459" s="13" t="n" /><c r="G459" s="477" t="inlineStr"><is><t>PA25516851</t></is></c><c r="H459" s="313"><f>H458</f><v /></c><c r="I459" s="38"><f>I458</f><v /></c><c r="J459" s="314"><f>J458</f><v /></c><c r="K459" s="372"><f>K458</f><v /></c><c r="L459" s="372"><f>L458</f><v /></c><c r="M459" s="373" t="n"><v>79.31</v></c><c r="N459" s="373" t="n"><v>180.15</v></c><c r="O459" s="374"><f>O458</f><v /></c><c r="P459" s="375"><f>P458</f><v /></c><c r="Q459" s="376"><f>LEFT(P459,1)</f><v /></c><c r="R459" s="376"><f>RIGHT(P459,6)</f><v /></c><c r="S459" s="376"><f>+(Q459*60+R459)/(60*60)</f><v /></c><c r="T459" s="377"><f>+O459/S459</f><v /></c><c r="U459" s="378"><f>+(((N459-M459-O459)/O459)*100)</f><v /></c><c r="V459" s="317"><f>V458</f><v /></c><c r="W459" s="379"><f>W458</f><v /></c><c r="X459" s="379"><f>X458</f><v /></c><c r="Y459" s="373" t="n"><v>184.6</v></c><c r="Z459" s="373" t="n"><v>194.61</v></c><c r="AA459" s="380"><f>AA458</f><v /></c><c r="AB459" s="381"><f>AB458</f><v /></c><c r="AC459" s="376"><f>LEFT(AB459,2)</f><v /></c><c r="AD459" s="376"><f>RIGHT(AB459,6)</f><v /></c><c r="AE459" s="376"><f>+(AC459*60+AD459)/(60*60)</f><v /></c><c r="AF459" s="377"><f>+AA459/AE459</f><v /></c><c r="AG459" s="321"><f>+(((Z459-Y459-AA459)/AA459)*100)</f><v /></c><c r="AH459" s="317"><f>AH458</f><v /></c><c r="AI459" s="379"><f>AI458</f><v /></c><c r="AJ459" s="379"><f>AJ458</f><v /></c><c r="AK459" s="373"><f>Z459</f><v /></c><c r="AL459" s="373" t="n"><v>199.59</v></c><c r="AM459" s="382"><f>AM458</f><v /></c><c r="AN459" s="375"><f>AN458</f><v /></c><c r="AO459" s="376"><f>LEFT(AN459,2)</f><v /></c><c r="AP459" s="376"><f>RIGHT(AN459,6)</f><v /></c><c r="AQ459" s="376"><f>+(AO459*60+AP459)/(60*60)</f><v /></c><c r="AR459" s="377"><f>+AM459/AQ459</f><v /></c><c r="AS459" s="321"><f>+(((AL459-AK459-AM459)/AM459)*100)</f><v /></c><c r="AT459" s="383"><f>IF(I459&gt;=1,"NO CONFORME",IF(BK459="SIGDIFERENTES",BC459,BL459))</f><v /></c><c r="AU459" s="365"><f>B459=C459</f><v /></c><c r="AV459" s="365"><f>N459&lt;Y459</f><v /></c><c r="AW459" s="365"><f>Z459&lt;=AK459</f><v /></c><c r="AX459" s="365"><f>IF(I459&gt;=1,"Qcorrecto",IF(AND(AY459="aceptable",AZ459="aceptable",BA459="aceptable"),"Qcorrecto","Qincorrecto"))</f><v /></c><c r="AY459" s="366"><f>IF(AR459&lt;$AH$6,"error",IF(AR459&gt;$AH$6*1.1,"error","aceptable"))</f><v /></c><c r="AZ459" s="366"><f>IF(AF459&lt;$V$6,"error",IF(AF459&gt;$V$6*1.1,"error","aceptable"))</f><v /></c><c r="BA459" s="366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7"><f>SIGN(U459)</f><v /></c><c r="BE459" s="367"><f>SIGN(AG459)</f><v /></c><c r="BF459" s="367"><f>SIGN(AS459)</f><v /></c><c r="BG459" s="367"><f>CONCATENATE(BD459,BE459,BF459)</f><v /></c><c r="BH459" s="367"><f>IF(BG459="111","SI","SD")</f><v /></c><c r="BI459" s="367"><f>IF(BG459="-1-1-1","SI","SD")</f><v /></c><c r="BJ459" s="367"><f>OR(BH459="SI",BI459="SI")</f><v /></c><c r="BK459" s="367"><f>IF(BJ459=FALSE,"SIGDIFERENTES","SIGIGUALES")</f><v /></c><c r="BL459" s="366"><f>IF(BC459="NO CONFORME","NO CONFORME",IF(BB459="CONFORME","CONFORME","NO CONFORME"))</f><v /></c></row><row r="460" ht="15" customHeight="1" thickBot="1"><c r="A460" s="351" t="n"><v>452</v></c><c r="B460" s="369"><f>B459</f><v /></c><c r="C460" s="369"><f>C459</f><v /></c><c r="D460" s="370"><f>D459</f><v /></c><c r="E460" s="371"><f>E459</f><v /></c><c r="F460" s="13" t="n" /><c r="G460" s="477" t="inlineStr"><is><t>PA25516852</t></is></c><c r="H460" s="313"><f>H459</f><v /></c><c r="I460" s="38"><f>I459</f><v /></c><c r="J460" s="314"><f>J459</f><v /></c><c r="K460" s="372"><f>K459</f><v /></c><c r="L460" s="372"><f>L459</f><v /></c><c r="M460" s="373" t="n"><v>75.23999999999999</v></c><c r="N460" s="373" t="n"><v>175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379"><f>W459</f><v /></c><c r="X460" s="379"><f>X459</f><v /></c><c r="Y460" s="373" t="n"><v>179.4</v></c><c r="Z460" s="373" t="n"><v>189.36</v></c><c r="AA460" s="380"><f>AA459</f><v /></c><c r="AB460" s="381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379"><f>AI459</f><v /></c><c r="AJ460" s="379"><f>AJ459</f><v /></c><c r="AK460" s="373"><f>Z460</f><v /></c><c r="AL460" s="373" t="n"><v>194.32</v></c><c r="AM460" s="382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3"><f>IF(I460&gt;=1,"NO CONFORME",IF(BK460="SIGDIFERENTES",BC460,BL460))</f><v /></c><c r="AU460" s="365"><f>B460=C460</f><v /></c><c r="AV460" s="365"><f>N460&lt;Y460</f><v /></c><c r="AW460" s="365"><f>Z460&lt;=AK460</f><v /></c><c r="AX460" s="365"><f>IF(I460&gt;=1,"Qcorrecto",IF(AND(AY460="aceptable",AZ460="aceptable",BA460="aceptable"),"Qcorrecto","Qincorrecto"))</f><v /></c><c r="AY460" s="366"><f>IF(AR460&lt;$AH$6,"error",IF(AR460&gt;$AH$6*1.1,"error","aceptable"))</f><v /></c><c r="AZ460" s="366"><f>IF(AF460&lt;$V$6,"error",IF(AF460&gt;$V$6*1.1,"error","aceptable"))</f><v /></c><c r="BA460" s="366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7"><f>SIGN(U460)</f><v /></c><c r="BE460" s="367"><f>SIGN(AG460)</f><v /></c><c r="BF460" s="367"><f>SIGN(AS460)</f><v /></c><c r="BG460" s="367"><f>CONCATENATE(BD460,BE460,BF460)</f><v /></c><c r="BH460" s="367"><f>IF(BG460="111","SI","SD")</f><v /></c><c r="BI460" s="367"><f>IF(BG460="-1-1-1","SI","SD")</f><v /></c><c r="BJ460" s="367"><f>OR(BH460="SI",BI460="SI")</f><v /></c><c r="BK460" s="367"><f>IF(BJ460=FALSE,"SIGDIFERENTES","SIGIGUALES")</f><v /></c><c r="BL460" s="366"><f>IF(BC460="NO CONFORME","NO CONFORME",IF(BB460="CONFORME","CONFORME","NO CONFORME"))</f><v /></c></row><row r="461" ht="15" customHeight="1" thickBot="1"><c r="A461" s="351" t="n"><v>453</v></c><c r="B461" s="369"><f>B460</f><v /></c><c r="C461" s="369"><f>C460</f><v /></c><c r="D461" s="370"><f>D460</f><v /></c><c r="E461" s="371"><f>E460</f><v /></c><c r="F461" s="13" t="n" /><c r="G461" s="477" t="inlineStr"><is><t>PA25516853</t></is></c><c r="H461" s="313"><f>H460</f><v /></c><c r="I461" s="38"><f>I460</f><v /></c><c r="J461" s="314"><f>J460</f><v /></c><c r="K461" s="372"><f>K460</f><v /></c><c r="L461" s="372"><f>L460</f><v /></c><c r="M461" s="373" t="n"><v>76.16</v></c><c r="N461" s="373" t="n"><v>176.29</v></c><c r="O461" s="374"><f>O460</f><v /></c><c r="P461" s="375"><f>P460</f><v /></c><c r="Q461" s="376"><f>LEFT(P461,1)</f><v /></c><c r="R461" s="376"><f>RIGHT(P461,6)</f><v /></c><c r="S461" s="376"><f>+(Q461*60+R461)/(60*60)</f><v /></c><c r="T461" s="377"><f>+O461/S461</f><v /></c><c r="U461" s="378"><f>+(((N461-M461-O461)/O461)*100)</f><v /></c><c r="V461" s="317"><f>V460</f><v /></c><c r="W461" s="379"><f>W460</f><v /></c><c r="X461" s="379"><f>X460</f><v /></c><c r="Y461" s="373" t="n"><v>180.69</v></c><c r="Z461" s="373" t="n"><v>190.62</v></c><c r="AA461" s="380"><f>AA460</f><v /></c><c r="AB461" s="381"><f>AB460</f><v /></c><c r="AC461" s="376"><f>LEFT(AB461,2)</f><v /></c><c r="AD461" s="376"><f>RIGHT(AB461,6)</f><v /></c><c r="AE461" s="376"><f>+(AC461*60+AD461)/(60*60)</f><v /></c><c r="AF461" s="377"><f>+AA461/AE461</f><v /></c><c r="AG461" s="321"><f>+(((Z461-Y461-AA461)/AA461)*100)</f><v /></c><c r="AH461" s="317"><f>AH460</f><v /></c><c r="AI461" s="379"><f>AI460</f><v /></c><c r="AJ461" s="379"><f>AJ460</f><v /></c><c r="AK461" s="373"><f>Z461</f><v /></c><c r="AL461" s="373" t="n"><v>195.6</v></c><c r="AM461" s="382"><f>AM460</f><v /></c><c r="AN461" s="375"><f>AN460</f><v /></c><c r="AO461" s="376"><f>LEFT(AN461,2)</f><v /></c><c r="AP461" s="376"><f>RIGHT(AN461,6)</f><v /></c><c r="AQ461" s="376"><f>+(AO461*60+AP461)/(60*60)</f><v /></c><c r="AR461" s="377"><f>+AM461/AQ461</f><v /></c><c r="AS461" s="321"><f>+(((AL461-AK461-AM461)/AM461)*100)</f><v /></c><c r="AT461" s="383"><f>IF(I461&gt;=1,"NO CONFORME",IF(BK461="SIGDIFERENTES",BC461,BL461))</f><v /></c><c r="AU461" s="365"><f>B461=C461</f><v /></c><c r="AV461" s="365"><f>N461&lt;Y461</f><v /></c><c r="AW461" s="365"><f>Z461&lt;=AK461</f><v /></c><c r="AX461" s="365"><f>IF(I461&gt;=1,"Qcorrecto",IF(AND(AY461="aceptable",AZ461="aceptable",BA461="aceptable"),"Qcorrecto","Qincorrecto"))</f><v /></c><c r="AY461" s="366"><f>IF(AR461&lt;$AH$6,"error",IF(AR461&gt;$AH$6*1.1,"error","aceptable"))</f><v /></c><c r="AZ461" s="366"><f>IF(AF461&lt;$V$6,"error",IF(AF461&gt;$V$6*1.1,"error","aceptable"))</f><v /></c><c r="BA461" s="366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367"><f>SIGN(U461)</f><v /></c><c r="BE461" s="367"><f>SIGN(AG461)</f><v /></c><c r="BF461" s="367"><f>SIGN(AS461)</f><v /></c><c r="BG461" s="367"><f>CONCATENATE(BD461,BE461,BF461)</f><v /></c><c r="BH461" s="367"><f>IF(BG461="111","SI","SD")</f><v /></c><c r="BI461" s="367"><f>IF(BG461="-1-1-1","SI","SD")</f><v /></c><c r="BJ461" s="367"><f>OR(BH461="SI",BI461="SI")</f><v /></c><c r="BK461" s="367"><f>IF(BJ461=FALSE,"SIGDIFERENTES","SIGIGUALES")</f><v /></c><c r="BL461" s="366"><f>IF(BC461="NO CONFORME","NO CONFORME",IF(BB461="CONFORME","CONFORME","NO CONFORME"))</f><v /></c></row><row r="462" ht="15" customHeight="1" thickBot="1"><c r="A462" s="351" t="n"><v>454</v></c><c r="B462" s="369"><f>B461</f><v /></c><c r="C462" s="369"><f>C461</f><v /></c><c r="D462" s="370"><f>D461</f><v /></c><c r="E462" s="371"><f>E461</f><v /></c><c r="F462" s="13" t="n" /><c r="G462" s="477" t="inlineStr"><is><t>PA25516854</t></is></c><c r="H462" s="313"><f>H461</f><v /></c><c r="I462" s="38"><f>I461</f><v /></c><c r="J462" s="314"><f>J461</f><v /></c><c r="K462" s="372"><f>K461</f><v /></c><c r="L462" s="372"><f>L461</f><v /></c><c r="M462" s="373" t="n"><v>76.56</v></c><c r="N462" s="373" t="n"><v>177.1</v></c><c r="O462" s="374"><f>O461</f><v /></c><c r="P462" s="375"><f>P461</f><v /></c><c r="Q462" s="376"><f>LEFT(P462,1)</f><v /></c><c r="R462" s="376"><f>RIGHT(P462,6)</f><v /></c><c r="S462" s="376"><f>+(Q462*60+R462)/(60*60)</f><v /></c><c r="T462" s="377"><f>+O462/S462</f><v /></c><c r="U462" s="378"><f>+(((N462-M462-O462)/O462)*100)</f><v /></c><c r="V462" s="317"><f>V461</f><v /></c><c r="W462" s="379"><f>W461</f><v /></c><c r="X462" s="379"><f>X461</f><v /></c><c r="Y462" s="373" t="n"><v>181.55</v></c><c r="Z462" s="373" t="n"><v>191.52</v></c><c r="AA462" s="380"><f>AA461</f><v /></c><c r="AB462" s="381"><f>AB461</f><v /></c><c r="AC462" s="376"><f>LEFT(AB462,2)</f><v /></c><c r="AD462" s="376"><f>RIGHT(AB462,6)</f><v /></c><c r="AE462" s="376"><f>+(AC462*60+AD462)/(60*60)</f><v /></c><c r="AF462" s="377"><f>+AA462/AE462</f><v /></c><c r="AG462" s="321"><f>+(((Z462-Y462-AA462)/AA462)*100)</f><v /></c><c r="AH462" s="317"><f>AH461</f><v /></c><c r="AI462" s="379"><f>AI461</f><v /></c><c r="AJ462" s="379"><f>AJ461</f><v /></c><c r="AK462" s="373"><f>Z462</f><v /></c><c r="AL462" s="373" t="n"><v>196.48</v></c><c r="AM462" s="382"><f>AM461</f><v /></c><c r="AN462" s="375"><f>AN461</f><v /></c><c r="AO462" s="376"><f>LEFT(AN462,2)</f><v /></c><c r="AP462" s="376"><f>RIGHT(AN462,6)</f><v /></c><c r="AQ462" s="376"><f>+(AO462*60+AP462)/(60*60)</f><v /></c><c r="AR462" s="377"><f>+AM462/AQ462</f><v /></c><c r="AS462" s="321"><f>+(((AL462-AK462-AM462)/AM462)*100)</f><v /></c><c r="AT462" s="383"><f>IF(I462&gt;=1,"NO CONFORME",IF(BK462="SIGDIFERENTES",BC462,BL462))</f><v /></c><c r="AU462" s="365"><f>B462=C462</f><v /></c><c r="AV462" s="365"><f>N462&lt;Y462</f><v /></c><c r="AW462" s="365"><f>Z462&lt;=AK462</f><v /></c><c r="AX462" s="365"><f>IF(I462&gt;=1,"Qcorrecto",IF(AND(AY462="aceptable",AZ462="aceptable",BA462="aceptable"),"Qcorrecto","Qincorrecto"))</f><v /></c><c r="AY462" s="366"><f>IF(AR462&lt;$AH$6,"error",IF(AR462&gt;$AH$6*1.1,"error","aceptable"))</f><v /></c><c r="AZ462" s="366"><f>IF(AF462&lt;$V$6,"error",IF(AF462&gt;$V$6*1.1,"error","aceptable"))</f><v /></c><c r="BA462" s="366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67"><f>SIGN(U462)</f><v /></c><c r="BE462" s="367"><f>SIGN(AG462)</f><v /></c><c r="BF462" s="367"><f>SIGN(AS462)</f><v /></c><c r="BG462" s="367"><f>CONCATENATE(BD462,BE462,BF462)</f><v /></c><c r="BH462" s="367"><f>IF(BG462="111","SI","SD")</f><v /></c><c r="BI462" s="367"><f>IF(BG462="-1-1-1","SI","SD")</f><v /></c><c r="BJ462" s="367"><f>OR(BH462="SI",BI462="SI")</f><v /></c><c r="BK462" s="367"><f>IF(BJ462=FALSE,"SIGDIFERENTES","SIGIGUALES")</f><v /></c><c r="BL462" s="366"><f>IF(BC462="NO CONFORME","NO CONFORME",IF(BB462="CONFORME","CONFORME","NO CONFORME"))</f><v /></c></row><row r="463" ht="15" customHeight="1" thickBot="1"><c r="A463" s="351" t="n"><v>455</v></c><c r="B463" s="369"><f>B462</f><v /></c><c r="C463" s="369"><f>C462</f><v /></c><c r="D463" s="370"><f>D462</f><v /></c><c r="E463" s="371"><f>E462</f><v /></c><c r="F463" s="13" t="n" /><c r="G463" s="477" t="inlineStr"><is><t>PA25516855</t></is></c><c r="H463" s="313"><f>H462</f><v /></c><c r="I463" s="38"><f>I462</f><v /></c><c r="J463" s="314"><f>J462</f><v /></c><c r="K463" s="372"><f>K462</f><v /></c><c r="L463" s="372"><f>L462</f><v /></c><c r="M463" s="373" t="n"><v>76.25</v></c><c r="N463" s="373" t="n"><v>176.45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379"><f>W462</f><v /></c><c r="X463" s="379"><f>X462</f><v /></c><c r="Y463" s="373" t="n"><v>180.9</v></c><c r="Z463" s="373" t="n"><v>190.86</v></c><c r="AA463" s="380"><f>AA462</f><v /></c><c r="AB463" s="381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379"><f>AI462</f><v /></c><c r="AJ463" s="379"><f>AJ462</f><v /></c><c r="AK463" s="373"><f>Z463</f><v /></c><c r="AL463" s="373" t="n"><v>195.85</v></c><c r="AM463" s="382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3"><f>IF(I463&gt;=1,"NO CONFORME",IF(BK463="SIGDIFERENTES",BC463,BL463))</f><v /></c><c r="AU463" s="365"><f>B463=C463</f><v /></c><c r="AV463" s="365"><f>N463&lt;Y463</f><v /></c><c r="AW463" s="365"><f>Z463&lt;=AK463</f><v /></c><c r="AX463" s="365"><f>IF(I463&gt;=1,"Qcorrecto",IF(AND(AY463="aceptable",AZ463="aceptable",BA463="aceptable"),"Qcorrecto","Qincorrecto"))</f><v /></c><c r="AY463" s="366"><f>IF(AR463&lt;$AH$6,"error",IF(AR463&gt;$AH$6*1.1,"error","aceptable"))</f><v /></c><c r="AZ463" s="366"><f>IF(AF463&lt;$V$6,"error",IF(AF463&gt;$V$6*1.1,"error","aceptable"))</f><v /></c><c r="BA463" s="366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7"><f>SIGN(U463)</f><v /></c><c r="BE463" s="367"><f>SIGN(AG463)</f><v /></c><c r="BF463" s="367"><f>SIGN(AS463)</f><v /></c><c r="BG463" s="367"><f>CONCATENATE(BD463,BE463,BF463)</f><v /></c><c r="BH463" s="367"><f>IF(BG463="111","SI","SD")</f><v /></c><c r="BI463" s="367"><f>IF(BG463="-1-1-1","SI","SD")</f><v /></c><c r="BJ463" s="367"><f>OR(BH463="SI",BI463="SI")</f><v /></c><c r="BK463" s="367"><f>IF(BJ463=FALSE,"SIGDIFERENTES","SIGIGUALES")</f><v /></c><c r="BL463" s="366"><f>IF(BC463="NO CONFORME","NO CONFORME",IF(BB463="CONFORME","CONFORME","NO CONFORME"))</f><v /></c></row><row r="464" ht="15" customHeight="1" thickBot="1"><c r="A464" s="351" t="n"><v>456</v></c><c r="B464" s="369"><f>B463</f><v /></c><c r="C464" s="369"><f>C463</f><v /></c><c r="D464" s="370"><f>D463</f><v /></c><c r="E464" s="371"><f>E463</f><v /></c><c r="F464" s="13" t="n" /><c r="G464" s="477" t="inlineStr"><is><t>PA25516856</t></is></c><c r="H464" s="313"><f>H463</f><v /></c><c r="I464" s="38"><f>I463</f><v /></c><c r="J464" s="314"><f>J463</f><v /></c><c r="K464" s="372"><f>K463</f><v /></c><c r="L464" s="372"><f>L463</f><v /></c><c r="M464" s="373" t="n"><v>75.81</v></c><c r="N464" s="373" t="n"><v>176.1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379"><f>W463</f><v /></c><c r="X464" s="379"><f>X463</f><v /></c><c r="Y464" s="373" t="n"><v>180.55</v></c><c r="Z464" s="373" t="n"><v>190.42</v></c><c r="AA464" s="380"><f>AA463</f><v /></c><c r="AB464" s="381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379"><f>AI463</f><v /></c><c r="AJ464" s="379"><f>AJ463</f><v /></c><c r="AK464" s="373"><f>Z464</f><v /></c><c r="AL464" s="373" t="n"><v>195.36</v></c><c r="AM464" s="382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3"><f>IF(I464&gt;=1,"NO CONFORME",IF(BK464="SIGDIFERENTES",BC464,BL464))</f><v /></c><c r="AU464" s="365"><f>B464=C464</f><v /></c><c r="AV464" s="365"><f>N464&lt;Y464</f><v /></c><c r="AW464" s="365"><f>Z464&lt;=AK464</f><v /></c><c r="AX464" s="365"><f>IF(I464&gt;=1,"Qcorrecto",IF(AND(AY464="aceptable",AZ464="aceptable",BA464="aceptable"),"Qcorrecto","Qincorrecto"))</f><v /></c><c r="AY464" s="366"><f>IF(AR464&lt;$AH$6,"error",IF(AR464&gt;$AH$6*1.1,"error","aceptable"))</f><v /></c><c r="AZ464" s="366"><f>IF(AF464&lt;$V$6,"error",IF(AF464&gt;$V$6*1.1,"error","aceptable"))</f><v /></c><c r="BA464" s="366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7"><f>SIGN(U464)</f><v /></c><c r="BE464" s="367"><f>SIGN(AG464)</f><v /></c><c r="BF464" s="367"><f>SIGN(AS464)</f><v /></c><c r="BG464" s="367"><f>CONCATENATE(BD464,BE464,BF464)</f><v /></c><c r="BH464" s="367"><f>IF(BG464="111","SI","SD")</f><v /></c><c r="BI464" s="367"><f>IF(BG464="-1-1-1","SI","SD")</f><v /></c><c r="BJ464" s="367"><f>OR(BH464="SI",BI464="SI")</f><v /></c><c r="BK464" s="367"><f>IF(BJ464=FALSE,"SIGDIFERENTES","SIGIGUALES")</f><v /></c><c r="BL464" s="366"><f>IF(BC464="NO CONFORME","NO CONFORME",IF(BB464="CONFORME","CONFORME","NO CONFORME"))</f><v /></c></row><row r="465" ht="15" customHeight="1" thickBot="1"><c r="A465" s="351" t="n"><v>457</v></c><c r="B465" s="369"><f>B464</f><v /></c><c r="C465" s="369"><f>C464</f><v /></c><c r="D465" s="370"><f>D464</f><v /></c><c r="E465" s="371"><f>E464</f><v /></c><c r="F465" s="13" t="n" /><c r="G465" s="477" t="inlineStr"><is><t>PA25516857</t></is></c><c r="H465" s="313"><f>H464</f><v /></c><c r="I465" s="38"><f>I464</f><v /></c><c r="J465" s="314"><f>J464</f><v /></c><c r="K465" s="372"><f>K464</f><v /></c><c r="L465" s="372"><f>L464</f><v /></c><c r="M465" s="373" t="n"><v>76.90000000000001</v></c><c r="N465" s="373" t="n"><v>177.46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379"><f>W464</f><v /></c><c r="X465" s="379"><f>X464</f><v /></c><c r="Y465" s="373" t="n"><v>181.9</v></c><c r="Z465" s="373" t="n"><v>191.9</v></c><c r="AA465" s="380"><f>AA464</f><v /></c><c r="AB465" s="381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379"><f>AI464</f><v /></c><c r="AJ465" s="379"><f>AJ464</f><v /></c><c r="AK465" s="373"><f>Z465</f><v /></c><c r="AL465" s="373" t="n"><v>196.94</v></c><c r="AM465" s="382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3"><f>IF(I465&gt;=1,"NO CONFORME",IF(BK465="SIGDIFERENTES",BC465,BL465))</f><v /></c><c r="AU465" s="365"><f>B465=C465</f><v /></c><c r="AV465" s="365"><f>N465&lt;Y465</f><v /></c><c r="AW465" s="365"><f>Z465&lt;=AK465</f><v /></c><c r="AX465" s="365"><f>IF(I465&gt;=1,"Qcorrecto",IF(AND(AY465="aceptable",AZ465="aceptable",BA465="aceptable"),"Qcorrecto","Qincorrecto"))</f><v /></c><c r="AY465" s="366"><f>IF(AR465&lt;$AH$6,"error",IF(AR465&gt;$AH$6*1.1,"error","aceptable"))</f><v /></c><c r="AZ465" s="366"><f>IF(AF465&lt;$V$6,"error",IF(AF465&gt;$V$6*1.1,"error","aceptable"))</f><v /></c><c r="BA465" s="366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7"><f>SIGN(U465)</f><v /></c><c r="BE465" s="367"><f>SIGN(AG465)</f><v /></c><c r="BF465" s="367"><f>SIGN(AS465)</f><v /></c><c r="BG465" s="367"><f>CONCATENATE(BD465,BE465,BF465)</f><v /></c><c r="BH465" s="367"><f>IF(BG465="111","SI","SD")</f><v /></c><c r="BI465" s="367"><f>IF(BG465="-1-1-1","SI","SD")</f><v /></c><c r="BJ465" s="367"><f>OR(BH465="SI",BI465="SI")</f><v /></c><c r="BK465" s="367"><f>IF(BJ465=FALSE,"SIGDIFERENTES","SIGIGUALES")</f><v /></c><c r="BL465" s="366"><f>IF(BC465="NO CONFORME","NO CONFORME",IF(BB465="CONFORME","CONFORME","NO CONFORME"))</f><v /></c></row><row r="466" ht="15" customHeight="1" thickBot="1"><c r="A466" s="351" t="n"><v>458</v></c><c r="B466" s="369"><f>B465</f><v /></c><c r="C466" s="369"><f>C465</f><v /></c><c r="D466" s="370"><f>D465</f><v /></c><c r="E466" s="371"><f>E465</f><v /></c><c r="F466" s="13" t="n" /><c r="G466" s="477" t="inlineStr"><is><t>PA25516858</t></is></c><c r="H466" s="313"><f>H465</f><v /></c><c r="I466" s="38"><f>I465</f><v /></c><c r="J466" s="314"><f>J465</f><v /></c><c r="K466" s="372"><f>K465</f><v /></c><c r="L466" s="372"><f>L465</f><v /></c><c r="M466" s="373" t="n"><v>76.75</v></c><c r="N466" s="373" t="n"><v>177.38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379"><f>W465</f><v /></c><c r="X466" s="379"><f>X465</f><v /></c><c r="Y466" s="373" t="n"><v>181.8</v></c><c r="Z466" s="373" t="n"><v>191.82</v></c><c r="AA466" s="380"><f>AA465</f><v /></c><c r="AB466" s="381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379"><f>AI465</f><v /></c><c r="AJ466" s="379"><f>AJ465</f><v /></c><c r="AK466" s="373"><f>Z466</f><v /></c><c r="AL466" s="373" t="n"><v>196.86</v></c><c r="AM466" s="382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3"><f>IF(I466&gt;=1,"NO CONFORME",IF(BK466="SIGDIFERENTES",BC466,BL466))</f><v /></c><c r="AU466" s="365"><f>B466=C466</f><v /></c><c r="AV466" s="365"><f>N466&lt;Y466</f><v /></c><c r="AW466" s="365"><f>Z466&lt;=AK466</f><v /></c><c r="AX466" s="365"><f>IF(I466&gt;=1,"Qcorrecto",IF(AND(AY466="aceptable",AZ466="aceptable",BA466="aceptable"),"Qcorrecto","Qincorrecto"))</f><v /></c><c r="AY466" s="366"><f>IF(AR466&lt;$AH$6,"error",IF(AR466&gt;$AH$6*1.1,"error","aceptable"))</f><v /></c><c r="AZ466" s="366"><f>IF(AF466&lt;$V$6,"error",IF(AF466&gt;$V$6*1.1,"error","aceptable"))</f><v /></c><c r="BA466" s="366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7"><f>SIGN(U466)</f><v /></c><c r="BE466" s="367"><f>SIGN(AG466)</f><v /></c><c r="BF466" s="367"><f>SIGN(AS466)</f><v /></c><c r="BG466" s="367"><f>CONCATENATE(BD466,BE466,BF466)</f><v /></c><c r="BH466" s="367"><f>IF(BG466="111","SI","SD")</f><v /></c><c r="BI466" s="367"><f>IF(BG466="-1-1-1","SI","SD")</f><v /></c><c r="BJ466" s="367"><f>OR(BH466="SI",BI466="SI")</f><v /></c><c r="BK466" s="367"><f>IF(BJ466=FALSE,"SIGDIFERENTES","SIGIGUALES")</f><v /></c><c r="BL466" s="366"><f>IF(BC466="NO CONFORME","NO CONFORME",IF(BB466="CONFORME","CONFORME","NO CONFORME"))</f><v /></c></row><row r="467" ht="15" customHeight="1" thickBot="1"><c r="A467" s="351" t="n"><v>459</v></c><c r="B467" s="369"><f>B466</f><v /></c><c r="C467" s="369"><f>C466</f><v /></c><c r="D467" s="370"><f>D466</f><v /></c><c r="E467" s="371"><f>E466</f><v /></c><c r="F467" s="13" t="n" /><c r="G467" s="477" t="inlineStr"><is><t>PA25516859</t></is></c><c r="H467" s="313"><f>H466</f><v /></c><c r="I467" s="38"><f>I466</f><v /></c><c r="J467" s="314"><f>J466</f><v /></c><c r="K467" s="372"><f>K466</f><v /></c><c r="L467" s="372"><f>L466</f><v /></c><c r="M467" s="373" t="n"><v>116.06</v></c><c r="N467" s="373" t="n"><v>215.35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379"><f>W466</f><v /></c><c r="X467" s="379"><f>X466</f><v /></c><c r="Y467" s="373" t="n"><v>219.75</v></c><c r="Z467" s="373" t="n"><v>229.7</v></c><c r="AA467" s="380"><f>AA466</f><v /></c><c r="AB467" s="381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379"><f>AI466</f><v /></c><c r="AJ467" s="379"><f>AJ466</f><v /></c><c r="AK467" s="373"><f>Z467</f><v /></c><c r="AL467" s="373" t="n"><v>234.7</v></c><c r="AM467" s="382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3"><f>IF(I467&gt;=1,"NO CONFORME",IF(BK467="SIGDIFERENTES",BC467,BL467))</f><v /></c><c r="AU467" s="365"><f>B467=C467</f><v /></c><c r="AV467" s="365"><f>N467&lt;Y467</f><v /></c><c r="AW467" s="365"><f>Z467&lt;=AK467</f><v /></c><c r="AX467" s="365"><f>IF(I467&gt;=1,"Qcorrecto",IF(AND(AY467="aceptable",AZ467="aceptable",BA467="aceptable"),"Qcorrecto","Qincorrecto"))</f><v /></c><c r="AY467" s="366"><f>IF(AR467&lt;$AH$6,"error",IF(AR467&gt;$AH$6*1.1,"error","aceptable"))</f><v /></c><c r="AZ467" s="366"><f>IF(AF467&lt;$V$6,"error",IF(AF467&gt;$V$6*1.1,"error","aceptable"))</f><v /></c><c r="BA467" s="366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7"><f>SIGN(U467)</f><v /></c><c r="BE467" s="367"><f>SIGN(AG467)</f><v /></c><c r="BF467" s="367"><f>SIGN(AS467)</f><v /></c><c r="BG467" s="367"><f>CONCATENATE(BD467,BE467,BF467)</f><v /></c><c r="BH467" s="367"><f>IF(BG467="111","SI","SD")</f><v /></c><c r="BI467" s="367"><f>IF(BG467="-1-1-1","SI","SD")</f><v /></c><c r="BJ467" s="367"><f>OR(BH467="SI",BI467="SI")</f><v /></c><c r="BK467" s="367"><f>IF(BJ467=FALSE,"SIGDIFERENTES","SIGIGUALES")</f><v /></c><c r="BL467" s="366"><f>IF(BC467="NO CONFORME","NO CONFORME",IF(BB467="CONFORME","CONFORME","NO CONFORME"))</f><v /></c></row><row r="468" ht="15" customHeight="1" thickBot="1"><c r="A468" s="351" t="n"><v>460</v></c><c r="B468" s="369"><f>B467</f><v /></c><c r="C468" s="369"><f>C467</f><v /></c><c r="D468" s="370"><f>D467</f><v /></c><c r="E468" s="371"><f>E467</f><v /></c><c r="F468" s="13" t="n" /><c r="G468" s="477" t="inlineStr"><is><t>PA25516860</t></is></c><c r="H468" s="313"><f>H467</f><v /></c><c r="I468" s="38"><f>I467</f><v /></c><c r="J468" s="314"><f>J467</f><v /></c><c r="K468" s="372"><f>K467</f><v /></c><c r="L468" s="372"><f>L467</f><v /></c><c r="M468" s="373" t="n"><v>77.47</v></c><c r="N468" s="373" t="n"><v>178.04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379"><f>W467</f><v /></c><c r="X468" s="379"><f>X467</f><v /></c><c r="Y468" s="373" t="n"><v>182.49</v></c><c r="Z468" s="373" t="n"><v>192.39</v></c><c r="AA468" s="380"><f>AA467</f><v /></c><c r="AB468" s="381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379"><f>AI467</f><v /></c><c r="AJ468" s="379"><f>AJ467</f><v /></c><c r="AK468" s="373"><f>Z468</f><v /></c><c r="AL468" s="373" t="n"><v>197.33</v></c><c r="AM468" s="382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3"><f>IF(I468&gt;=1,"NO CONFORME",IF(BK468="SIGDIFERENTES",BC468,BL468))</f><v /></c><c r="AU468" s="365"><f>B468=C468</f><v /></c><c r="AV468" s="365"><f>N468&lt;Y468</f><v /></c><c r="AW468" s="365"><f>Z468&lt;=AK468</f><v /></c><c r="AX468" s="365"><f>IF(I468&gt;=1,"Qcorrecto",IF(AND(AY468="aceptable",AZ468="aceptable",BA468="aceptable"),"Qcorrecto","Qincorrecto"))</f><v /></c><c r="AY468" s="366"><f>IF(AR468&lt;$AH$6,"error",IF(AR468&gt;$AH$6*1.1,"error","aceptable"))</f><v /></c><c r="AZ468" s="366"><f>IF(AF468&lt;$V$6,"error",IF(AF468&gt;$V$6*1.1,"error","aceptable"))</f><v /></c><c r="BA468" s="366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7"><f>SIGN(U468)</f><v /></c><c r="BE468" s="367"><f>SIGN(AG468)</f><v /></c><c r="BF468" s="367"><f>SIGN(AS468)</f><v /></c><c r="BG468" s="367"><f>CONCATENATE(BD468,BE468,BF468)</f><v /></c><c r="BH468" s="367"><f>IF(BG468="111","SI","SD")</f><v /></c><c r="BI468" s="367"><f>IF(BG468="-1-1-1","SI","SD")</f><v /></c><c r="BJ468" s="367"><f>OR(BH468="SI",BI468="SI")</f><v /></c><c r="BK468" s="367"><f>IF(BJ468=FALSE,"SIGDIFERENTES","SIGIGUALES")</f><v /></c><c r="BL468" s="366"><f>IF(BC468="NO CONFORME","NO CONFORME",IF(BB468="CONFORME","CONFORME","NO CONFORME"))</f><v /></c></row><row r="469" ht="15" customHeight="1" thickBot="1"><c r="A469" s="351" t="n"><v>461</v></c><c r="B469" s="369"><f>B468</f><v /></c><c r="C469" s="369"><f>C468</f><v /></c><c r="D469" s="370"><f>D468</f><v /></c><c r="E469" s="371"><f>E468</f><v /></c><c r="F469" s="13" t="n" /><c r="G469" s="477" t="inlineStr"><is><t>PA25516861</t></is></c><c r="H469" s="313"><f>H468</f><v /></c><c r="I469" s="38"><f>I468</f><v /></c><c r="J469" s="314"><f>J468</f><v /></c><c r="K469" s="372"><f>K468</f><v /></c><c r="L469" s="372"><f>L468</f><v /></c><c r="M469" s="373" t="n"><v>116.49</v></c><c r="N469" s="373" t="n"><v>216.66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379"><f>W468</f><v /></c><c r="X469" s="379"><f>X468</f><v /></c><c r="Y469" s="373" t="n"><v>221.1</v></c><c r="Z469" s="373" t="n"><v>231.05</v></c><c r="AA469" s="380"><f>AA468</f><v /></c><c r="AB469" s="381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379"><f>AI468</f><v /></c><c r="AJ469" s="379"><f>AJ468</f><v /></c><c r="AK469" s="373"><f>Z469</f><v /></c><c r="AL469" s="373" t="n"><v>236.05</v></c><c r="AM469" s="382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3"><f>IF(I469&gt;=1,"NO CONFORME",IF(BK469="SIGDIFERENTES",BC469,BL469))</f><v /></c><c r="AU469" s="365"><f>B469=C469</f><v /></c><c r="AV469" s="365"><f>N469&lt;Y469</f><v /></c><c r="AW469" s="365"><f>Z469&lt;=AK469</f><v /></c><c r="AX469" s="365"><f>IF(I469&gt;=1,"Qcorrecto",IF(AND(AY469="aceptable",AZ469="aceptable",BA469="aceptable"),"Qcorrecto","Qincorrecto"))</f><v /></c><c r="AY469" s="366"><f>IF(AR469&lt;$AH$6,"error",IF(AR469&gt;$AH$6*1.1,"error","aceptable"))</f><v /></c><c r="AZ469" s="366"><f>IF(AF469&lt;$V$6,"error",IF(AF469&gt;$V$6*1.1,"error","aceptable"))</f><v /></c><c r="BA469" s="366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7"><f>SIGN(U469)</f><v /></c><c r="BE469" s="367"><f>SIGN(AG469)</f><v /></c><c r="BF469" s="367"><f>SIGN(AS469)</f><v /></c><c r="BG469" s="367"><f>CONCATENATE(BD469,BE469,BF469)</f><v /></c><c r="BH469" s="367"><f>IF(BG469="111","SI","SD")</f><v /></c><c r="BI469" s="367"><f>IF(BG469="-1-1-1","SI","SD")</f><v /></c><c r="BJ469" s="367"><f>OR(BH469="SI",BI469="SI")</f><v /></c><c r="BK469" s="367"><f>IF(BJ469=FALSE,"SIGDIFERENTES","SIGIGUALES")</f><v /></c><c r="BL469" s="366"><f>IF(BC469="NO CONFORME","NO CONFORME",IF(BB469="CONFORME","CONFORME","NO CONFORME"))</f><v /></c></row><row r="470" ht="15" customHeight="1" thickBot="1"><c r="A470" s="351" t="n"><v>462</v></c><c r="B470" s="369"><f>B469</f><v /></c><c r="C470" s="369"><f>C469</f><v /></c><c r="D470" s="370"><f>D469</f><v /></c><c r="E470" s="371"><f>E469</f><v /></c><c r="F470" s="13" t="n" /><c r="G470" s="336" t="inlineStr"><is><t>PA25516862</t></is></c><c r="H470" s="313"><f>H469</f><v /></c><c r="I470" s="38"><f>I469</f><v /></c><c r="J470" s="314"><f>J469</f><v /></c><c r="K470" s="372"><f>K469</f><v /></c><c r="L470" s="372"><f>L469</f><v /></c><c r="M470" s="373" t="n"><v>117.33</v></c><c r="N470" s="373" t="n"><v>218.2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379"><f>W469</f><v /></c><c r="X470" s="379"><f>X469</f><v /></c><c r="Y470" s="373" t="n"><v>222.65</v></c><c r="Z470" s="373" t="n"><v>232.29</v></c><c r="AA470" s="380"><f>AA469</f><v /></c><c r="AB470" s="381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379"><f>AI469</f><v /></c><c r="AJ470" s="379"><f>AJ469</f><v /></c><c r="AK470" s="373"><f>Z470</f><v /></c><c r="AL470" s="373" t="n"><v>236.79</v></c><c r="AM470" s="382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3"><f>IF(I470&gt;=1,"NO CONFORME",IF(BK470="SIGDIFERENTES",BC470,BL470))</f><v /></c><c r="AU470" s="365"><f>B470=C470</f><v /></c><c r="AV470" s="365"><f>N470&lt;Y470</f><v /></c><c r="AW470" s="365"><f>Z470&lt;=AK470</f><v /></c><c r="AX470" s="365"><f>IF(I470&gt;=1,"Qcorrecto",IF(AND(AY470="aceptable",AZ470="aceptable",BA470="aceptable"),"Qcorrecto","Qincorrecto"))</f><v /></c><c r="AY470" s="366"><f>IF(AR470&lt;$AH$6,"error",IF(AR470&gt;$AH$6*1.1,"error","aceptable"))</f><v /></c><c r="AZ470" s="366"><f>IF(AF470&lt;$V$6,"error",IF(AF470&gt;$V$6*1.1,"error","aceptable"))</f><v /></c><c r="BA470" s="366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7"><f>SIGN(U470)</f><v /></c><c r="BE470" s="367"><f>SIGN(AG470)</f><v /></c><c r="BF470" s="367"><f>SIGN(AS470)</f><v /></c><c r="BG470" s="367"><f>CONCATENATE(BD470,BE470,BF470)</f><v /></c><c r="BH470" s="367"><f>IF(BG470="111","SI","SD")</f><v /></c><c r="BI470" s="367"><f>IF(BG470="-1-1-1","SI","SD")</f><v /></c><c r="BJ470" s="367"><f>OR(BH470="SI",BI470="SI")</f><v /></c><c r="BK470" s="367"><f>IF(BJ470=FALSE,"SIGDIFERENTES","SIGIGUALES")</f><v /></c><c r="BL470" s="366"><f>IF(BC470="NO CONFORME","NO CONFORME",IF(BB470="CONFORME","CONFORME","NO CONFORME"))</f><v /></c></row><row r="471" ht="15" customHeight="1" thickBot="1"><c r="A471" s="351" t="n"><v>463</v></c><c r="B471" s="369"><f>B470</f><v /></c><c r="C471" s="369"><f>C470</f><v /></c><c r="D471" s="370"><f>D470</f><v /></c><c r="E471" s="371"><f>E470</f><v /></c><c r="F471" s="13" t="n" /><c r="G471" s="477" t="inlineStr"><is><t>PA25516863</t></is></c><c r="H471" s="313"><f>H470</f><v /></c><c r="I471" s="38"><f>I470</f><v /></c><c r="J471" s="314"><f>J470</f><v /></c><c r="K471" s="372"><f>K470</f><v /></c><c r="L471" s="372"><f>L470</f><v /></c><c r="M471" s="373" t="n"><v>117.5</v></c><c r="N471" s="373" t="n"><v>218.25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379"><f>W470</f><v /></c><c r="X471" s="379"><f>X470</f><v /></c><c r="Y471" s="373" t="n"><v>222.7</v></c><c r="Z471" s="373" t="n"><v>232.74</v></c><c r="AA471" s="380"><f>AA470</f><v /></c><c r="AB471" s="381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379"><f>AI470</f><v /></c><c r="AJ471" s="379"><f>AJ470</f><v /></c><c r="AK471" s="373"><f>Z471</f><v /></c><c r="AL471" s="373" t="n"><v>237.75</v></c><c r="AM471" s="382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3"><f>IF(I471&gt;=1,"NO CONFORME",IF(BK471="SIGDIFERENTES",BC471,BL471))</f><v /></c><c r="AU471" s="365"><f>B471=C471</f><v /></c><c r="AV471" s="365"><f>N471&lt;Y471</f><v /></c><c r="AW471" s="365"><f>Z471&lt;=AK471</f><v /></c><c r="AX471" s="365"><f>IF(I471&gt;=1,"Qcorrecto",IF(AND(AY471="aceptable",AZ471="aceptable",BA471="aceptable"),"Qcorrecto","Qincorrecto"))</f><v /></c><c r="AY471" s="366"><f>IF(AR471&lt;$AH$6,"error",IF(AR471&gt;$AH$6*1.1,"error","aceptable"))</f><v /></c><c r="AZ471" s="366"><f>IF(AF471&lt;$V$6,"error",IF(AF471&gt;$V$6*1.1,"error","aceptable"))</f><v /></c><c r="BA471" s="366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7"><f>SIGN(U471)</f><v /></c><c r="BE471" s="367"><f>SIGN(AG471)</f><v /></c><c r="BF471" s="367"><f>SIGN(AS471)</f><v /></c><c r="BG471" s="367"><f>CONCATENATE(BD471,BE471,BF471)</f><v /></c><c r="BH471" s="367"><f>IF(BG471="111","SI","SD")</f><v /></c><c r="BI471" s="367"><f>IF(BG471="-1-1-1","SI","SD")</f><v /></c><c r="BJ471" s="367"><f>OR(BH471="SI",BI471="SI")</f><v /></c><c r="BK471" s="367"><f>IF(BJ471=FALSE,"SIGDIFERENTES","SIGIGUALES")</f><v /></c><c r="BL471" s="366"><f>IF(BC471="NO CONFORME","NO CONFORME",IF(BB471="CONFORME","CONFORME","NO CONFORME"))</f><v /></c></row><row r="472" ht="15" customHeight="1" thickBot="1"><c r="A472" s="453" t="n"><v>464</v></c><c r="B472" s="454"><f>B471</f><v /></c><c r="C472" s="454"><f>C471</f><v /></c><c r="D472" s="455"><f>D471</f><v /></c><c r="E472" s="474"><f>E471</f><v /></c><c r="F472" s="52" t="n" /><c r="G472" s="477" t="inlineStr"><is><t>PA25516864</t></is></c><c r="H472" s="326"><f>H471</f><v /></c><c r="I472" s="98"><f>I471</f><v /></c><c r="J472" s="327"><f>J471</f><v /></c><c r="K472" s="458"><f>K471</f><v /></c><c r="L472" s="458"><f>L471</f><v /></c><c r="M472" s="459" t="n"><v>306</v></c><c r="N472" s="459" t="n"><v>406.28</v></c><c r="O472" s="460"><f>O471</f><v /></c><c r="P472" s="461"><f>P471</f><v /></c><c r="Q472" s="462"><f>LEFT(P472,1)</f><v /></c><c r="R472" s="462"><f>RIGHT(P472,6)</f><v /></c><c r="S472" s="462"><f>+(Q472*60+R472)/(60*60)</f><v /></c><c r="T472" s="463"><f>+O472/S472</f><v /></c><c r="U472" s="464"><f>+(((N472-M472-O472)/O472)*100)</f><v /></c><c r="V472" s="329"><f>V471</f><v /></c><c r="W472" s="465"><f>W471</f><v /></c><c r="X472" s="465"><f>X471</f><v /></c><c r="Y472" s="459" t="n"><v>410.7</v></c><c r="Z472" s="459" t="n"><v>420.71</v></c><c r="AA472" s="466"><f>AA471</f><v /></c><c r="AB472" s="467"><f>AB471</f><v /></c><c r="AC472" s="462"><f>LEFT(AB472,2)</f><v /></c><c r="AD472" s="462"><f>RIGHT(AB472,6)</f><v /></c><c r="AE472" s="462"><f>+(AC472*60+AD472)/(60*60)</f><v /></c><c r="AF472" s="463"><f>+AA472/AE472</f><v /></c><c r="AG472" s="468"><f>+(((Z472-Y472-AA472)/AA472)*100)</f><v /></c><c r="AH472" s="329"><f>AH471</f><v /></c><c r="AI472" s="465"><f>AI471</f><v /></c><c r="AJ472" s="465"><f>AJ471</f><v /></c><c r="AK472" s="459"><f>Z472</f><v /></c><c r="AL472" s="459" t="n"><v>425.7</v></c><c r="AM472" s="469"><f>AM471</f><v /></c><c r="AN472" s="461"><f>AN471</f><v /></c><c r="AO472" s="462"><f>LEFT(AN472,2)</f><v /></c><c r="AP472" s="462"><f>RIGHT(AN472,6)</f><v /></c><c r="AQ472" s="462"><f>+(AO472*60+AP472)/(60*60)</f><v /></c><c r="AR472" s="463"><f>+AM472/AQ472</f><v /></c><c r="AS472" s="468"><f>+(((AL472-AK472-AM472)/AM472)*100)</f><v /></c><c r="AT472" s="470"><f>IF(I472&gt;=1,"NO CONFORME",IF(BK472="SIGDIFERENTES",BC472,BL472))</f><v /></c><c r="AU472" s="426"><f>B472=C472</f><v /></c><c r="AV472" s="426"><f>N472&lt;Y472</f><v /></c><c r="AW472" s="426"><f>Z472&lt;=AK472</f><v /></c><c r="AX472" s="426"><f>IF(I472&gt;=1,"Qcorrecto",IF(AND(AY472="aceptable",AZ472="aceptable",BA472="aceptable"),"Qcorrecto","Qincorrecto"))</f><v /></c><c r="AY472" s="427"><f>IF(AR472&lt;$AH$6,"error",IF(AR472&gt;$AH$6*1.1,"error","aceptable"))</f><v /></c><c r="AZ472" s="427"><f>IF(AF472&lt;$V$6,"error",IF(AF472&gt;$V$6*1.1,"error","aceptable"))</f><v /></c><c r="BA472" s="427"><f>IF(T472&lt;$J$6*0.9,"error",IF(T472&gt;$J$6,"error","aceptable"))</f><v /></c><c r="BB472" s="428"><f>(IF(ABS(U472)&lt;1.05,"CONFORME",IF(ABS(AG472)&lt;1.05,"CONFORME",IF(ABS(AS472)&lt;2.55,"CONFORME","NO CONFORME"))))</f><v /></c><c r="BC472" s="429"><f>(IF(ABS(U472)&gt;2.05,"NO CONFORME",IF(ABS(AG472)&gt;2.05,"NO CONFORME",IF(ABS(AS472)&gt;5.05,"NO CONFORME","CONFORME"))))</f><v /></c><c r="BD472" s="430"><f>SIGN(U472)</f><v /></c><c r="BE472" s="430"><f>SIGN(AG472)</f><v /></c><c r="BF472" s="430"><f>SIGN(AS472)</f><v /></c><c r="BG472" s="430"><f>CONCATENATE(BD472,BE472,BF472)</f><v /></c><c r="BH472" s="430"><f>IF(BG472="111","SI","SD")</f><v /></c><c r="BI472" s="430"><f>IF(BG472="-1-1-1","SI","SD")</f><v /></c><c r="BJ472" s="430"><f>OR(BH472="SI",BI472="SI")</f><v /></c><c r="BK472" s="430"><f>IF(BJ472=FALSE,"SIGDIFERENTES","SIGIGUALES")</f><v /></c><c r="BL472" s="427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2025-12-16T18:31:59Z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